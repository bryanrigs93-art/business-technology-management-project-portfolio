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233549F6-AD6C-400E-B158-8617D877F1D9}" xr6:coauthVersionLast="47" xr6:coauthVersionMax="47" xr10:uidLastSave="{00000000-0000-0000-0000-000000000000}"/>
  <bookViews>
    <workbookView xWindow="4908" yWindow="1632" windowWidth="23040" windowHeight="12120" activeTab="3" xr2:uid="{56968ACC-57CD-4B47-8A33-5BD1E6F43E69}"/>
  </bookViews>
  <sheets>
    <sheet name="Datos_Ejemplo.csv" sheetId="1" r:id="rId1"/>
    <sheet name="Errores" sheetId="2" r:id="rId2"/>
    <sheet name="Correcciones" sheetId="3" r:id="rId3"/>
    <sheet name="Datos_Corregidos" sheetId="4" r:id="rId4"/>
  </sheets>
  <calcPr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<sst xmlns="http://schemas.openxmlformats.org/spreadsheetml/2006/main" count="37937" uniqueCount="380">
  <si>
    <t>PacienteID</t>
  </si>
  <si>
    <t>NombreCompleto</t>
  </si>
  <si>
    <t>FechaNacimiento</t>
  </si>
  <si>
    <t>Edad</t>
  </si>
  <si>
    <t>Genero</t>
  </si>
  <si>
    <t>Diagnostico</t>
  </si>
  <si>
    <t>FechaIngreso</t>
  </si>
  <si>
    <t>FechaAlta</t>
  </si>
  <si>
    <t>DiasHospitalizado</t>
  </si>
  <si>
    <t>SeguroMedico</t>
  </si>
  <si>
    <t>CostoEstimado_USD</t>
  </si>
  <si>
    <t>Luisa HernÃ¡ndez</t>
  </si>
  <si>
    <t>F</t>
  </si>
  <si>
    <t>COVID-19</t>
  </si>
  <si>
    <t>Pedro LÃ³pez</t>
  </si>
  <si>
    <t>M</t>
  </si>
  <si>
    <t>NeumonÃ­a</t>
  </si>
  <si>
    <t>Miguel MartÃ­nez</t>
  </si>
  <si>
    <t>Asma</t>
  </si>
  <si>
    <t>Publico</t>
  </si>
  <si>
    <t>Ana PÃ©rez</t>
  </si>
  <si>
    <t>Diabetes</t>
  </si>
  <si>
    <t>Jorge SÃ¡nchez</t>
  </si>
  <si>
    <t>N/A</t>
  </si>
  <si>
    <t>Juan MartÃ­nez</t>
  </si>
  <si>
    <t>Privado</t>
  </si>
  <si>
    <t>Laura HernÃ¡ndez</t>
  </si>
  <si>
    <t>JosÃ© MartÃ­nez</t>
  </si>
  <si>
    <t>Carlos MartÃ­nez</t>
  </si>
  <si>
    <t>Ricardo GÃ³mez</t>
  </si>
  <si>
    <t>JosÃ© Cruz</t>
  </si>
  <si>
    <t>Pedro SÃ¡nchez</t>
  </si>
  <si>
    <t>Gripe</t>
  </si>
  <si>
    <t>Pedro RamÃ­rez</t>
  </si>
  <si>
    <t>Pedro HernÃ¡ndez</t>
  </si>
  <si>
    <t>MarÃ­a GÃ³mez</t>
  </si>
  <si>
    <t>Pedro PÃ©rez</t>
  </si>
  <si>
    <t>JosÃ© HernÃ¡ndez</t>
  </si>
  <si>
    <t>Carmen LÃ³pez</t>
  </si>
  <si>
    <t>Jorge Morales</t>
  </si>
  <si>
    <t>Carlos RodrÃ­guez</t>
  </si>
  <si>
    <t>Laura PÃ©rez</t>
  </si>
  <si>
    <t>Carlos LÃ³pez</t>
  </si>
  <si>
    <t>Carmen MartÃ­nez</t>
  </si>
  <si>
    <t>Carlos HernÃ¡ndez</t>
  </si>
  <si>
    <t>HipertensiÃ³n</t>
  </si>
  <si>
    <t>JosÃ© SÃ¡nchez</t>
  </si>
  <si>
    <t>MarÃ­a PÃ©rez</t>
  </si>
  <si>
    <t>Ana RamÃ­rez</t>
  </si>
  <si>
    <t>Laura Morales</t>
  </si>
  <si>
    <t>Luis MartÃ­nez</t>
  </si>
  <si>
    <t>Elena Morales</t>
  </si>
  <si>
    <t>Carlos Cruz</t>
  </si>
  <si>
    <t>Ana RodrÃ­guez</t>
  </si>
  <si>
    <t>Carmen GÃ³mez</t>
  </si>
  <si>
    <t>Miguel Cruz</t>
  </si>
  <si>
    <t>Luisa SÃ¡nchez</t>
  </si>
  <si>
    <t>Luisa MartÃ­nez</t>
  </si>
  <si>
    <t>Laura MartÃ­nez</t>
  </si>
  <si>
    <t>Jorge GÃ³mez</t>
  </si>
  <si>
    <t>Ana HernÃ¡ndez</t>
  </si>
  <si>
    <t>Juan Morales</t>
  </si>
  <si>
    <t>SofÃ­a GÃ³mez</t>
  </si>
  <si>
    <t>Carmen RamÃ­rez</t>
  </si>
  <si>
    <t>JosÃ© GÃ³mez</t>
  </si>
  <si>
    <t>Jorge MartÃ­nez</t>
  </si>
  <si>
    <t>Luisa Cruz</t>
  </si>
  <si>
    <t>Carmen Cruz</t>
  </si>
  <si>
    <t>SofÃ­a HernÃ¡ndez</t>
  </si>
  <si>
    <t>Miguel HernÃ¡ndez</t>
  </si>
  <si>
    <t>Carlos PÃ©rez</t>
  </si>
  <si>
    <t>Luisa LÃ³pez</t>
  </si>
  <si>
    <t>Juan SÃ¡nchez</t>
  </si>
  <si>
    <t>Jorge HernÃ¡ndez</t>
  </si>
  <si>
    <t>Elena GÃ³mez</t>
  </si>
  <si>
    <t>Ana GÃ³mez</t>
  </si>
  <si>
    <t>Juan RamÃ­rez</t>
  </si>
  <si>
    <t>Carmen SÃ¡nchez</t>
  </si>
  <si>
    <t>JosÃ© LÃ³pez</t>
  </si>
  <si>
    <t>Ricardo HernÃ¡ndez</t>
  </si>
  <si>
    <t>Carlos SÃ¡nchez</t>
  </si>
  <si>
    <t>Miguel GÃ³mez</t>
  </si>
  <si>
    <t>Luis PÃ©rez</t>
  </si>
  <si>
    <t>Miguel SÃ¡nchez</t>
  </si>
  <si>
    <t>Carmen HernÃ¡ndez</t>
  </si>
  <si>
    <t>Ana SÃ¡nchez</t>
  </si>
  <si>
    <t>Elena SÃ¡nchez</t>
  </si>
  <si>
    <t>Miguel PÃ©rez</t>
  </si>
  <si>
    <t>Ana LÃ³pez</t>
  </si>
  <si>
    <t>Luisa RamÃ­rez</t>
  </si>
  <si>
    <t>Laura Cruz</t>
  </si>
  <si>
    <t>Ana MartÃ­nez</t>
  </si>
  <si>
    <t>Laura RamÃ­rez</t>
  </si>
  <si>
    <t>SofÃ­a SÃ¡nchez</t>
  </si>
  <si>
    <t>Ricardo LÃ³pez</t>
  </si>
  <si>
    <t>Jorge RamÃ­rez</t>
  </si>
  <si>
    <t>Luis RamÃ­rez</t>
  </si>
  <si>
    <t>Jorge PÃ©rez</t>
  </si>
  <si>
    <t>Ricardo RodrÃ­guez</t>
  </si>
  <si>
    <t>MarÃ­a RamÃ­rez</t>
  </si>
  <si>
    <t>MarÃ­a LÃ³pez</t>
  </si>
  <si>
    <t>MarÃ­a HernÃ¡ndez</t>
  </si>
  <si>
    <t>Pedro Morales</t>
  </si>
  <si>
    <t>Luis Cruz</t>
  </si>
  <si>
    <t>Luisa PÃ©rez</t>
  </si>
  <si>
    <t>Luis Morales</t>
  </si>
  <si>
    <t>Laura GÃ³mez</t>
  </si>
  <si>
    <t>Laura SÃ¡nchez</t>
  </si>
  <si>
    <t>JosÃ© Morales</t>
  </si>
  <si>
    <t>Carlos RamÃ­rez</t>
  </si>
  <si>
    <t>Juan PÃ©rez</t>
  </si>
  <si>
    <t>Luisa Morales</t>
  </si>
  <si>
    <t>SofÃ­a RamÃ­rez</t>
  </si>
  <si>
    <t>Pedro GÃ³mez</t>
  </si>
  <si>
    <t>Elena Cruz</t>
  </si>
  <si>
    <t>MarÃ­a RodrÃ­guez</t>
  </si>
  <si>
    <t>Ana Morales</t>
  </si>
  <si>
    <t>MarÃ­a Cruz</t>
  </si>
  <si>
    <t>SofÃ­a RodrÃ­guez</t>
  </si>
  <si>
    <t>Ricardo SÃ¡nchez</t>
  </si>
  <si>
    <t>Elena PÃ©rez</t>
  </si>
  <si>
    <t>JosÃ© RodrÃ­guez</t>
  </si>
  <si>
    <t>Pedro Cruz</t>
  </si>
  <si>
    <t>Elena HernÃ¡ndez</t>
  </si>
  <si>
    <t>Pedro MartÃ­nez</t>
  </si>
  <si>
    <t>Jorge RodrÃ­guez</t>
  </si>
  <si>
    <t>Miguel RodrÃ­guez</t>
  </si>
  <si>
    <t>Carmen PÃ©rez</t>
  </si>
  <si>
    <t>SofÃ­a Cruz</t>
  </si>
  <si>
    <t>Miguel LÃ³pez</t>
  </si>
  <si>
    <t>Jorge Cruz</t>
  </si>
  <si>
    <t>Elena RamÃ­rez</t>
  </si>
  <si>
    <t>Ricardo RamÃ­rez</t>
  </si>
  <si>
    <t>Elena MartÃ­nez</t>
  </si>
  <si>
    <t>Ricardo MartÃ­nez</t>
  </si>
  <si>
    <t>Pedro RodrÃ­guez</t>
  </si>
  <si>
    <t>Ana Cruz</t>
  </si>
  <si>
    <t>Ricardo PÃ©rez</t>
  </si>
  <si>
    <t>SofÃ­a LÃ³pez</t>
  </si>
  <si>
    <t>SofÃ­a PÃ©rez</t>
  </si>
  <si>
    <t>Luis SÃ¡nchez</t>
  </si>
  <si>
    <t>Luis RodrÃ­guez</t>
  </si>
  <si>
    <t>Carlos GÃ³mez</t>
  </si>
  <si>
    <t>JosÃ© RamÃ­rez</t>
  </si>
  <si>
    <t>Juan LÃ³pez</t>
  </si>
  <si>
    <t>Luisa RodrÃ­guez</t>
  </si>
  <si>
    <t>Carlos Morales</t>
  </si>
  <si>
    <t>Laura RodrÃ­guez</t>
  </si>
  <si>
    <t>Luisa GÃ³mez</t>
  </si>
  <si>
    <t>SofÃ­a Morales</t>
  </si>
  <si>
    <t>Luis HernÃ¡ndez</t>
  </si>
  <si>
    <t>Ricardo Cruz</t>
  </si>
  <si>
    <t>Juan Cruz</t>
  </si>
  <si>
    <t>Juan HernÃ¡ndez</t>
  </si>
  <si>
    <t>JosÃ© PÃ©rez</t>
  </si>
  <si>
    <t>MarÃ­a Morales</t>
  </si>
  <si>
    <t>Juan RodrÃ­guez</t>
  </si>
  <si>
    <t>Laura LÃ³pez</t>
  </si>
  <si>
    <t>MarÃ­a MartÃ­nez</t>
  </si>
  <si>
    <t>Elena LÃ³pez</t>
  </si>
  <si>
    <t>MarÃ­a SÃ¡nchez</t>
  </si>
  <si>
    <t>Miguel Morales</t>
  </si>
  <si>
    <t>Carmen Morales</t>
  </si>
  <si>
    <t>Jorge LÃ³pez</t>
  </si>
  <si>
    <t>Ricardo Morales</t>
  </si>
  <si>
    <t>Elena RodrÃ­guez</t>
  </si>
  <si>
    <t>SofÃ­a MartÃ­nez</t>
  </si>
  <si>
    <t>Luis LÃ³pez</t>
  </si>
  <si>
    <t>Miguel RamÃ­rez</t>
  </si>
  <si>
    <t>Juan GÃ³mez</t>
  </si>
  <si>
    <t>Carmen RodrÃ­guez</t>
  </si>
  <si>
    <t>Luis GÃ³mez</t>
  </si>
  <si>
    <t>Valores faltantes</t>
  </si>
  <si>
    <t>Revisar o calcular con Edad</t>
  </si>
  <si>
    <t>Calcular desde FechaNacimiento</t>
  </si>
  <si>
    <t>Marcar como No especificado</t>
  </si>
  <si>
    <t>Marcar como No registrado</t>
  </si>
  <si>
    <t>FechaAlta / FechaIngreso</t>
  </si>
  <si>
    <t>FechaAlta antes de FechaIngreso</t>
  </si>
  <si>
    <t>Revisar inconsistencia</t>
  </si>
  <si>
    <t>No coincide con diferencia entre fechas</t>
  </si>
  <si>
    <t>Recalcular con fechas</t>
  </si>
  <si>
    <t>Duplicados</t>
  </si>
  <si>
    <t>Sin acción</t>
  </si>
  <si>
    <t>Filas completas</t>
  </si>
  <si>
    <t>Columna</t>
  </si>
  <si>
    <t>Tipo de error</t>
  </si>
  <si>
    <t>Acción sugerida</t>
  </si>
  <si>
    <t>Tipo de corrección</t>
  </si>
  <si>
    <t>Valor original</t>
  </si>
  <si>
    <t>Valor corregido</t>
  </si>
  <si>
    <t>Motivo</t>
  </si>
  <si>
    <t xml:space="preserve">Edad </t>
  </si>
  <si>
    <t>Imputación</t>
  </si>
  <si>
    <t>Vacío</t>
  </si>
  <si>
    <t xml:space="preserve">Calculado con DATEDIF </t>
  </si>
  <si>
    <t>Se calculó desde FechaNacimiento</t>
  </si>
  <si>
    <t>No especificado</t>
  </si>
  <si>
    <t xml:space="preserve">Genero </t>
  </si>
  <si>
    <t>Relleno</t>
  </si>
  <si>
    <t>No había información</t>
  </si>
  <si>
    <t>No registrado</t>
  </si>
  <si>
    <t>Total</t>
  </si>
  <si>
    <t xml:space="preserve">Vacío </t>
  </si>
  <si>
    <t xml:space="preserve"> No registrado</t>
  </si>
  <si>
    <t>Dato médico faltante</t>
  </si>
  <si>
    <t xml:space="preserve">SeguroMedico </t>
  </si>
  <si>
    <t xml:space="preserve"> No aplica o no registrado</t>
  </si>
  <si>
    <t>ValidacionFechas</t>
  </si>
  <si>
    <t xml:space="preserve">FechaAlta </t>
  </si>
  <si>
    <t xml:space="preserve">Corrección lógica </t>
  </si>
  <si>
    <t xml:space="preserve">DiasHospitalizado </t>
  </si>
  <si>
    <t>Recalculado</t>
  </si>
  <si>
    <t>Valores negativos/incoherentes</t>
  </si>
  <si>
    <t>Edad / FechaNacimiento</t>
  </si>
  <si>
    <t>Edad extrema o fecha estimada inválida</t>
  </si>
  <si>
    <t>Revisar, no corregir sin fuente confiable</t>
  </si>
  <si>
    <t xml:space="preserve">FechaNacimiento </t>
  </si>
  <si>
    <t xml:space="preserve">Estimada con Edad </t>
  </si>
  <si>
    <t>Se usó 1/1 del año estimado porque no había fecha exacta</t>
  </si>
  <si>
    <t>NombreCompleto / Diagnostico</t>
  </si>
  <si>
    <t>Texto mal codificado</t>
  </si>
  <si>
    <t>Revisar tildes y caracteres especiales</t>
  </si>
  <si>
    <t xml:space="preserve">NombreCompleto </t>
  </si>
  <si>
    <t>Corrección de codificación</t>
  </si>
  <si>
    <t>Pendiente o corregido parcialmente</t>
  </si>
  <si>
    <t>Problema de acentos/tildes por codificación CSV</t>
  </si>
  <si>
    <t>Caracteres extraños (ej: RamÃ­rez)</t>
  </si>
  <si>
    <t xml:space="preserve"> Imputación aproximada </t>
  </si>
  <si>
    <t>Caracteres extraños (ej: NeumonÃ­a)</t>
  </si>
  <si>
    <t>Juan Sánchez</t>
  </si>
  <si>
    <t>Ana Hernández</t>
  </si>
  <si>
    <t>Carlos Sánchez</t>
  </si>
  <si>
    <t>Carmen Hernández</t>
  </si>
  <si>
    <t>Jorge Hernández</t>
  </si>
  <si>
    <t>Ricardo Hernández</t>
  </si>
  <si>
    <t>Jorge Sánchez</t>
  </si>
  <si>
    <t>Luis Hernández</t>
  </si>
  <si>
    <t>Laura Hernández</t>
  </si>
  <si>
    <t>Laura Sánchez</t>
  </si>
  <si>
    <t>Luisa Hernández</t>
  </si>
  <si>
    <t>Pedro Sánchez</t>
  </si>
  <si>
    <t>Ana Sánchez</t>
  </si>
  <si>
    <t>Carmen Sánchez</t>
  </si>
  <si>
    <t>Miguel Sánchez</t>
  </si>
  <si>
    <t>Elena Sánchez</t>
  </si>
  <si>
    <t>Carlos Hernández</t>
  </si>
  <si>
    <t>Luisa Sánchez</t>
  </si>
  <si>
    <t>Ricardo Sánchez</t>
  </si>
  <si>
    <t>José Morales</t>
  </si>
  <si>
    <t>Ricardo Pérez</t>
  </si>
  <si>
    <t>Carmen Pérez</t>
  </si>
  <si>
    <t>Luis Pérez</t>
  </si>
  <si>
    <t>Luisa Pérez</t>
  </si>
  <si>
    <t>Ana Pérez</t>
  </si>
  <si>
    <t>José Pérez</t>
  </si>
  <si>
    <t>José Sánchez</t>
  </si>
  <si>
    <t>Elena Pérez</t>
  </si>
  <si>
    <t>José Cruz</t>
  </si>
  <si>
    <t>Laura Pérez</t>
  </si>
  <si>
    <t>Carlos Pérez</t>
  </si>
  <si>
    <t>Neumonía</t>
  </si>
  <si>
    <t>José Ramírez</t>
  </si>
  <si>
    <t>María Morales</t>
  </si>
  <si>
    <t>Carlos Rodríguez</t>
  </si>
  <si>
    <t>Laura Martínez</t>
  </si>
  <si>
    <t>Sofía Pérez</t>
  </si>
  <si>
    <t>Carlos Martínez</t>
  </si>
  <si>
    <t>María Rodríguez</t>
  </si>
  <si>
    <t>Elena Ramírez</t>
  </si>
  <si>
    <t>Ricardo Rodríguez</t>
  </si>
  <si>
    <t>Luisa Rodríguez</t>
  </si>
  <si>
    <t>José Rodríguez</t>
  </si>
  <si>
    <t>Sofía Morales</t>
  </si>
  <si>
    <t>Pedro Rodríguez</t>
  </si>
  <si>
    <t>Carmen Ramírez</t>
  </si>
  <si>
    <t>Ana Ramírez</t>
  </si>
  <si>
    <t>Jorge Rodríguez</t>
  </si>
  <si>
    <t>Sofía Ramírez</t>
  </si>
  <si>
    <t>Luis Ramírez</t>
  </si>
  <si>
    <t>Elena Martínez</t>
  </si>
  <si>
    <t>María Hernández</t>
  </si>
  <si>
    <t>Ana Rodríguez</t>
  </si>
  <si>
    <t>Miguel Ramírez</t>
  </si>
  <si>
    <t>María Pérez</t>
  </si>
  <si>
    <t>María Martínez</t>
  </si>
  <si>
    <t>Juan Ramírez</t>
  </si>
  <si>
    <t>Miguel Martínez</t>
  </si>
  <si>
    <t>Luis Martínez</t>
  </si>
  <si>
    <t>Sofía Sánchez</t>
  </si>
  <si>
    <t>Juan Martínez</t>
  </si>
  <si>
    <t>Ricardo Ramírez</t>
  </si>
  <si>
    <t>Ana Martínez</t>
  </si>
  <si>
    <t>Jorge López</t>
  </si>
  <si>
    <t>Ricardo López</t>
  </si>
  <si>
    <t>Hipertensión</t>
  </si>
  <si>
    <t>Elena Gómez</t>
  </si>
  <si>
    <t>Pedro López</t>
  </si>
  <si>
    <t>Carlos López</t>
  </si>
  <si>
    <t>Ricardo Gómez</t>
  </si>
  <si>
    <t>María Gómez</t>
  </si>
  <si>
    <t>Laura López</t>
  </si>
  <si>
    <t>Sofía Gómez</t>
  </si>
  <si>
    <t>Luisa Gómez</t>
  </si>
  <si>
    <t>Ana Gómez</t>
  </si>
  <si>
    <t>Miguel López</t>
  </si>
  <si>
    <t>Luis Gómez</t>
  </si>
  <si>
    <t>José López</t>
  </si>
  <si>
    <t>Sofía López</t>
  </si>
  <si>
    <t>Juan López</t>
  </si>
  <si>
    <t>Juan Gómez</t>
  </si>
  <si>
    <t>Carlos Gómez</t>
  </si>
  <si>
    <t>Ana López</t>
  </si>
  <si>
    <t>Carmen Gómez</t>
  </si>
  <si>
    <t xml:space="preserve">CostoEstimado_USD </t>
  </si>
  <si>
    <t>Formato de dato</t>
  </si>
  <si>
    <t>Número sin formato de moneda</t>
  </si>
  <si>
    <t>Formato Currency USD</t>
  </si>
  <si>
    <t>Se estandarizó como moneda</t>
  </si>
  <si>
    <t>Formato de dato inconsistente</t>
  </si>
  <si>
    <t>Aplicar formato moneda USD y verificar que sea numérico</t>
  </si>
  <si>
    <t>Verificación</t>
  </si>
  <si>
    <t>Sin duplicados</t>
  </si>
  <si>
    <t xml:space="preserve">No aplica </t>
  </si>
  <si>
    <t>No se encontraron registros duplicados</t>
  </si>
  <si>
    <t>Pedro Hernández</t>
  </si>
  <si>
    <t>Miguel Hernández</t>
  </si>
  <si>
    <t>Elena Hernández</t>
  </si>
  <si>
    <t>Luis Sánchez</t>
  </si>
  <si>
    <t>Juan Hernández</t>
  </si>
  <si>
    <t>Pedro Pérez</t>
  </si>
  <si>
    <t>José Hernández</t>
  </si>
  <si>
    <t>Miguel Pérez</t>
  </si>
  <si>
    <t>Jorge Pérez</t>
  </si>
  <si>
    <t>Juan Pérez</t>
  </si>
  <si>
    <t>José Martínez</t>
  </si>
  <si>
    <t>Pedro Ramírez</t>
  </si>
  <si>
    <t>Carmen Martínez</t>
  </si>
  <si>
    <t>Luisa Martínez</t>
  </si>
  <si>
    <t>Jorge Martínez</t>
  </si>
  <si>
    <t>Sofía Hernández</t>
  </si>
  <si>
    <t>Luisa Ramírez</t>
  </si>
  <si>
    <t>Laura Ramírez</t>
  </si>
  <si>
    <t>Jorge Ramírez</t>
  </si>
  <si>
    <t>María Ramírez</t>
  </si>
  <si>
    <t>Carlos Ramírez</t>
  </si>
  <si>
    <t>María Cruz</t>
  </si>
  <si>
    <t>Sofía Rodríguez</t>
  </si>
  <si>
    <t>Pedro Martínez</t>
  </si>
  <si>
    <t>Miguel Rodríguez</t>
  </si>
  <si>
    <t>Sofía Cruz</t>
  </si>
  <si>
    <t>Ricardo Martínez</t>
  </si>
  <si>
    <t>Luis Rodríguez</t>
  </si>
  <si>
    <t>Laura Rodríguez</t>
  </si>
  <si>
    <t>Juan Rodríguez</t>
  </si>
  <si>
    <t>María Sánchez</t>
  </si>
  <si>
    <t>Elena Rodríguez</t>
  </si>
  <si>
    <t>Sofía Martínez</t>
  </si>
  <si>
    <t>Carmen Rodríguez</t>
  </si>
  <si>
    <t>Carmen López</t>
  </si>
  <si>
    <t>Jorge Gómez</t>
  </si>
  <si>
    <t>José Gómez</t>
  </si>
  <si>
    <t>Luisa López</t>
  </si>
  <si>
    <t>Miguel Gómez</t>
  </si>
  <si>
    <t>María López</t>
  </si>
  <si>
    <t>Laura Gómez</t>
  </si>
  <si>
    <t>Pedro Gómez</t>
  </si>
  <si>
    <t>Elena López</t>
  </si>
  <si>
    <t>Luis López</t>
  </si>
  <si>
    <t xml:space="preserve">Diagnostico  </t>
  </si>
  <si>
    <t>Correcciones</t>
  </si>
  <si>
    <t>Errores encontrados</t>
  </si>
  <si>
    <t>Marcar como N/A</t>
  </si>
  <si>
    <t xml:space="preserve">FechaIngreso + DiasHospitalizado </t>
  </si>
  <si>
    <t>DiasOriginal</t>
  </si>
  <si>
    <t>DiasNuevo</t>
  </si>
  <si>
    <t>FechaAltaNueva</t>
  </si>
  <si>
    <t>Se recalculó la fecha de alta usando la duración hospitalaria registrada</t>
  </si>
  <si>
    <t xml:space="preserve"> Se corrigieron valores negativos para mantener una duración válida</t>
  </si>
  <si>
    <t>Valor absoluto de los días hospitalizados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</si>
</sst>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right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4" formatCode="&quot;$&quot;#,##0.00"/>
    </dxf>
    <dxf>
      <alignment horizontal="right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9" formatCode="m/d/yyyy"/>
    </dxf>
    <dxf>
      <alignment horizontal="right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82EEE-E430-4A49-A2C2-0D494C4F6BC3}" name="Table2" displayName="Table2" ref="A5:C17" totalsRowShown="0">
  <autoFilter ref="A5:C17" xr:uid="{20C82EEE-E430-4A49-A2C2-0D494C4F6BC3}"/>
  <tableColumns count="3">
    <tableColumn id="1" xr3:uid="{E171EFD4-D8C4-4294-A2E7-819D3DEF15D0}" name="Columna"/>
    <tableColumn id="2" xr3:uid="{E1DA9111-A5E3-4954-A815-8199BB655E65}" name="Tipo de error"/>
    <tableColumn id="4" xr3:uid="{0385F0C9-A719-4268-A6C9-6E451B3FB1B7}" name="Acción suger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8F3539-271C-4F23-B332-FC461E8DE30A}" name="Table5" displayName="Table5" ref="A5:E16" totalsRowShown="0">
  <autoFilter ref="A5:E16" xr:uid="{D58F3539-271C-4F23-B332-FC461E8DE30A}"/>
  <tableColumns count="5">
    <tableColumn id="1" xr3:uid="{EB04E3B8-B74D-4C5D-BF67-E8D196E64B83}" name="Columna"/>
    <tableColumn id="2" xr3:uid="{D173C14F-D926-4DCF-88C7-C43783740764}" name="Tipo de corrección"/>
    <tableColumn id="3" xr3:uid="{111738F4-2829-440F-8CE8-1C00A478987B}" name="Valor original"/>
    <tableColumn id="4" xr3:uid="{E773F366-67B2-426A-A0AB-C476C470FBB7}" name="Valor corregido"/>
    <tableColumn id="5" xr3:uid="{141AF6D4-6B37-4C33-87CB-A54FE57213EA}" name="Mo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40D825-7D41-464C-9266-C34D9FF0B060}" name="TablaDatos" displayName="TablaDatos" ref="A1:O5002" totalsRowCount="1">
  <autoFilter ref="A1:O5001" xr:uid="{9940D825-7D41-464C-9266-C34D9FF0B060}"/>
  <sortState xmlns:xlrd2="http://schemas.microsoft.com/office/spreadsheetml/2017/richdata2" ref="A2:L5001">
    <sortCondition ref="A1:A5001"/>
  </sortState>
  <tableColumns count="15">
    <tableColumn id="1" xr3:uid="{62A0B942-F7E8-475B-A806-58FC5A5AB59B}" name="PacienteID" totalsRowLabel="Total"/>
    <tableColumn id="2" xr3:uid="{1AD7792A-8E27-4A8F-9A41-5AD96F37E84F}" name="NombreCompleto"/>
    <tableColumn id="3" xr3:uid="{F7079CF2-2658-4E34-A137-8C8847A460E5}" name="FechaNacimiento" totalsRowFunction="custom" dataDxfId="11" totalsRowDxfId="2">
      <totalsRowFormula>DATE(YEAR(TODAY())-TablaDatos[[#This Row],[Edad]],1,1)</totalsRowFormula>
    </tableColumn>
    <tableColumn id="4" xr3:uid="{E935C165-E8E6-4459-95F8-C7AD8AFA3F91}" name="Edad"/>
    <tableColumn id="5" xr3:uid="{951EC795-5F92-4042-8A2A-2F7856DFAEAD}" name="Genero" totalsRowLabel="No especificado" dataDxfId="10" totalsRowDxfId="1"/>
    <tableColumn id="6" xr3:uid="{C3B6DF81-BC31-40AC-A2E2-342381A95248}" name="Diagnostico" totalsRowLabel="No registrado"/>
    <tableColumn id="7" xr3:uid="{E689A683-036D-457B-B6CF-9E22CFD376C1}" name="FechaIngreso" dataDxfId="9"/>
    <tableColumn id="8" xr3:uid="{0C127627-94FE-4E87-ACD2-437E3704BB21}" name="FechaAlta" dataDxfId="3">
      <calculatedColumnFormula>TablaDatos[[#This Row],[FechaIngreso]]+TablaDatos[[#This Row],[DiasNuevo]]</calculatedColumnFormula>
    </tableColumn>
    <tableColumn id="9" xr3:uid="{26991B5E-BDB3-46E2-B219-E7508423F2B4}" name="DiasHospitalizado"/>
    <tableColumn id="10" xr3:uid="{CD74B57E-81DB-4FF8-8604-AD764B45812F}" name="SeguroMedico"/>
    <tableColumn id="11" xr3:uid="{12B7C8EC-CCA1-4CC2-8A76-315C249F9E60}" name="CostoEstimado_USD" totalsRowFunction="sum" dataDxfId="8" totalsRowDxfId="0"/>
    <tableColumn id="12" xr3:uid="{E067DF18-6B97-41F1-A63F-1181DD60030C}" name="ValidacionFechas" dataDxfId="7">
      <calculatedColumnFormula>TablaDatos[[#This Row],[FechaAlta]] &lt; TablaDatos[[#This Row],[FechaIngreso]]</calculatedColumnFormula>
    </tableColumn>
    <tableColumn id="13" xr3:uid="{2FEF6A8A-E3FB-431E-B965-5DBC1270A9A5}" name="DiasOriginal" dataDxfId="6">
      <calculatedColumnFormula>_xlfn.XLOOKUP(TablaDatos[[#This Row],[PacienteID]],'Datos_Ejemplo.csv'!A:A,'Datos_Ejemplo.csv'!I:I)</calculatedColumnFormula>
    </tableColumn>
    <tableColumn id="14" xr3:uid="{51AAA24B-2F62-42D5-9B21-56C719F45C81}" name="DiasNuevo" dataDxfId="5">
      <calculatedColumnFormula>ABS(TablaDatos[[#This Row],[DiasOriginal]])</calculatedColumnFormula>
    </tableColumn>
    <tableColumn id="15" xr3:uid="{84CDE4DA-1084-4988-899E-905B9FFCCF73}" name="FechaAltaNuev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512E-10B4-4AC8-AB61-37BFC7289697}">
  <dimension ref="A1:K5001"/>
  <sheetViews>
    <sheetView workbookViewId="0">
      <selection activeCell="N6" sqref="N6"/>
    </sheetView>
  </sheetViews>
  <sheetFormatPr defaultRowHeight="14.4"/>
  <cols>
    <col min="1" max="1" width="9.77734375" bestFit="1" customWidth="1"/>
    <col min="2" max="2" width="17.5546875" bestFit="1" customWidth="1"/>
    <col min="3" max="3" width="15.44140625" bestFit="1" customWidth="1"/>
    <col min="7" max="7" width="11.88671875" bestFit="1" customWidth="1"/>
    <col min="8" max="8" width="10.33203125" bestFit="1" customWidth="1"/>
    <col min="9" max="9" width="15.5546875" bestFit="1" customWidth="1"/>
    <col min="10" max="10" width="12.44140625" bestFit="1" customWidth="1"/>
    <col min="11" max="11" width="17.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s="1">
        <v>27395</v>
      </c>
      <c r="D2">
        <v>51</v>
      </c>
      <c r="E2" t="s">
        <v>12</v>
      </c>
      <c r="F2" t="s">
        <v>13</v>
      </c>
      <c r="G2" s="1">
        <v>45634</v>
      </c>
      <c r="H2" s="1">
        <v>45712</v>
      </c>
      <c r="I2">
        <v>5</v>
      </c>
      <c r="K2">
        <v>16301.13</v>
      </c>
    </row>
    <row r="3" spans="1:11">
      <c r="A3">
        <v>2</v>
      </c>
      <c r="B3" t="s">
        <v>14</v>
      </c>
      <c r="C3" s="1">
        <v>12419</v>
      </c>
      <c r="D3">
        <v>92</v>
      </c>
      <c r="E3" t="s">
        <v>15</v>
      </c>
      <c r="F3" t="s">
        <v>16</v>
      </c>
      <c r="G3" s="1">
        <v>45585</v>
      </c>
      <c r="H3" s="1">
        <v>45504</v>
      </c>
      <c r="I3">
        <v>18</v>
      </c>
      <c r="K3">
        <v>19622.52</v>
      </c>
    </row>
    <row r="4" spans="1:11">
      <c r="A4">
        <v>3</v>
      </c>
      <c r="B4" t="s">
        <v>17</v>
      </c>
      <c r="C4" s="1">
        <v>40909</v>
      </c>
      <c r="D4">
        <v>14</v>
      </c>
      <c r="E4" t="s">
        <v>12</v>
      </c>
      <c r="F4" t="s">
        <v>18</v>
      </c>
      <c r="G4" s="1">
        <v>45164</v>
      </c>
      <c r="H4" s="1">
        <v>45307</v>
      </c>
      <c r="I4">
        <v>5</v>
      </c>
      <c r="J4" t="s">
        <v>19</v>
      </c>
      <c r="K4">
        <v>13169.22</v>
      </c>
    </row>
    <row r="5" spans="1:11">
      <c r="A5">
        <v>4</v>
      </c>
      <c r="B5" t="s">
        <v>20</v>
      </c>
      <c r="C5" s="1">
        <v>20090</v>
      </c>
      <c r="D5">
        <v>71</v>
      </c>
      <c r="E5" t="s">
        <v>15</v>
      </c>
      <c r="F5" t="s">
        <v>21</v>
      </c>
      <c r="G5" s="1">
        <v>44939</v>
      </c>
      <c r="H5" s="1">
        <v>44948</v>
      </c>
      <c r="I5">
        <v>2</v>
      </c>
      <c r="J5" t="s">
        <v>19</v>
      </c>
      <c r="K5">
        <v>12458.69</v>
      </c>
    </row>
    <row r="6" spans="1:11">
      <c r="A6">
        <v>5</v>
      </c>
      <c r="B6" t="s">
        <v>22</v>
      </c>
      <c r="C6" s="1">
        <v>24107</v>
      </c>
      <c r="D6">
        <v>60</v>
      </c>
      <c r="E6" t="s">
        <v>15</v>
      </c>
      <c r="G6" s="1">
        <v>45183</v>
      </c>
      <c r="H6" s="1">
        <v>45806</v>
      </c>
      <c r="I6">
        <v>18</v>
      </c>
      <c r="J6" t="s">
        <v>23</v>
      </c>
      <c r="K6">
        <v>6320.56</v>
      </c>
    </row>
    <row r="7" spans="1:11">
      <c r="A7">
        <v>6</v>
      </c>
      <c r="B7" t="s">
        <v>24</v>
      </c>
      <c r="C7" s="1">
        <v>38717</v>
      </c>
      <c r="D7">
        <v>20</v>
      </c>
      <c r="E7" t="s">
        <v>15</v>
      </c>
      <c r="F7" t="s">
        <v>21</v>
      </c>
      <c r="G7" s="1">
        <v>45440</v>
      </c>
      <c r="H7" s="1">
        <v>45104</v>
      </c>
      <c r="I7">
        <v>24</v>
      </c>
      <c r="J7" t="s">
        <v>25</v>
      </c>
      <c r="K7">
        <v>310.31</v>
      </c>
    </row>
    <row r="8" spans="1:11">
      <c r="A8">
        <v>7</v>
      </c>
      <c r="B8" t="s">
        <v>26</v>
      </c>
      <c r="D8">
        <v>82</v>
      </c>
      <c r="E8" t="s">
        <v>15</v>
      </c>
      <c r="G8" s="1">
        <v>45136</v>
      </c>
      <c r="H8" s="1">
        <v>45290</v>
      </c>
      <c r="I8">
        <v>35</v>
      </c>
      <c r="J8" t="s">
        <v>19</v>
      </c>
      <c r="K8">
        <v>3755.14</v>
      </c>
    </row>
    <row r="9" spans="1:11">
      <c r="A9">
        <v>8</v>
      </c>
      <c r="B9" t="s">
        <v>27</v>
      </c>
      <c r="C9" s="1">
        <v>14611</v>
      </c>
      <c r="D9">
        <v>86</v>
      </c>
      <c r="E9" t="s">
        <v>12</v>
      </c>
      <c r="F9" t="s">
        <v>18</v>
      </c>
      <c r="G9" s="1">
        <v>45410</v>
      </c>
      <c r="H9" s="1">
        <v>44949</v>
      </c>
      <c r="I9">
        <v>2</v>
      </c>
      <c r="J9" t="s">
        <v>19</v>
      </c>
      <c r="K9">
        <v>11647.05</v>
      </c>
    </row>
    <row r="10" spans="1:11">
      <c r="A10">
        <v>9</v>
      </c>
      <c r="B10" t="s">
        <v>28</v>
      </c>
      <c r="C10" s="1">
        <v>18994</v>
      </c>
      <c r="D10">
        <v>74</v>
      </c>
      <c r="E10" t="s">
        <v>12</v>
      </c>
      <c r="F10" t="s">
        <v>16</v>
      </c>
      <c r="G10" s="1">
        <v>45291</v>
      </c>
      <c r="H10" s="1">
        <v>45764</v>
      </c>
      <c r="I10">
        <v>18</v>
      </c>
      <c r="J10" t="s">
        <v>23</v>
      </c>
      <c r="K10">
        <v>2941.46</v>
      </c>
    </row>
    <row r="11" spans="1:11">
      <c r="A11">
        <v>10</v>
      </c>
      <c r="B11" t="s">
        <v>22</v>
      </c>
      <c r="C11" s="1">
        <v>18994</v>
      </c>
      <c r="D11">
        <v>74</v>
      </c>
      <c r="E11" t="s">
        <v>15</v>
      </c>
      <c r="F11" t="s">
        <v>16</v>
      </c>
      <c r="G11" s="1">
        <v>45151</v>
      </c>
      <c r="H11" s="1">
        <v>45475</v>
      </c>
      <c r="I11">
        <v>5</v>
      </c>
      <c r="J11" t="s">
        <v>25</v>
      </c>
      <c r="K11">
        <v>17665.099999999999</v>
      </c>
    </row>
    <row r="12" spans="1:11">
      <c r="A12">
        <v>11</v>
      </c>
      <c r="B12" t="s">
        <v>29</v>
      </c>
      <c r="C12" s="1">
        <v>14246</v>
      </c>
      <c r="D12">
        <v>87</v>
      </c>
      <c r="E12" t="s">
        <v>12</v>
      </c>
      <c r="F12" t="s">
        <v>21</v>
      </c>
      <c r="G12" s="1">
        <v>45120</v>
      </c>
      <c r="H12" s="1">
        <v>45177</v>
      </c>
      <c r="I12">
        <v>19</v>
      </c>
      <c r="J12" t="s">
        <v>25</v>
      </c>
      <c r="K12">
        <v>3681.71</v>
      </c>
    </row>
    <row r="13" spans="1:11">
      <c r="A13">
        <v>12</v>
      </c>
      <c r="B13" t="s">
        <v>30</v>
      </c>
      <c r="C13" s="1">
        <v>37622</v>
      </c>
      <c r="D13">
        <v>23</v>
      </c>
      <c r="E13" t="s">
        <v>12</v>
      </c>
      <c r="F13" t="s">
        <v>16</v>
      </c>
      <c r="G13" s="1">
        <v>45122</v>
      </c>
      <c r="H13" s="1">
        <v>45588</v>
      </c>
      <c r="I13">
        <v>15</v>
      </c>
      <c r="J13" t="s">
        <v>19</v>
      </c>
      <c r="K13">
        <v>10394.299999999999</v>
      </c>
    </row>
    <row r="14" spans="1:11">
      <c r="A14">
        <v>13</v>
      </c>
      <c r="B14" t="s">
        <v>31</v>
      </c>
      <c r="C14" s="1">
        <v>45292</v>
      </c>
      <c r="D14">
        <v>2</v>
      </c>
      <c r="E14" t="s">
        <v>15</v>
      </c>
      <c r="F14" t="s">
        <v>32</v>
      </c>
      <c r="G14" s="1">
        <v>45326</v>
      </c>
      <c r="H14" s="1">
        <v>45000</v>
      </c>
      <c r="I14">
        <v>1</v>
      </c>
      <c r="J14" t="s">
        <v>25</v>
      </c>
      <c r="K14">
        <v>10191.469999999999</v>
      </c>
    </row>
    <row r="15" spans="1:11">
      <c r="A15">
        <v>14</v>
      </c>
      <c r="B15" t="s">
        <v>33</v>
      </c>
      <c r="C15" s="1">
        <v>38352</v>
      </c>
      <c r="D15">
        <v>21</v>
      </c>
      <c r="E15" t="s">
        <v>15</v>
      </c>
      <c r="F15" t="s">
        <v>32</v>
      </c>
      <c r="G15" s="1">
        <v>44983</v>
      </c>
      <c r="H15" s="1">
        <v>45018</v>
      </c>
      <c r="I15">
        <v>1</v>
      </c>
      <c r="J15" t="s">
        <v>25</v>
      </c>
      <c r="K15">
        <v>12039.31</v>
      </c>
    </row>
    <row r="16" spans="1:11">
      <c r="A16">
        <v>15</v>
      </c>
      <c r="B16" t="s">
        <v>34</v>
      </c>
      <c r="C16" s="1">
        <v>27029</v>
      </c>
      <c r="D16">
        <v>52</v>
      </c>
      <c r="G16" s="1">
        <v>45551</v>
      </c>
      <c r="H16" s="1">
        <v>45103</v>
      </c>
      <c r="I16">
        <v>34</v>
      </c>
      <c r="J16" t="s">
        <v>25</v>
      </c>
      <c r="K16">
        <v>6481.42</v>
      </c>
    </row>
    <row r="17" spans="1:11">
      <c r="A17">
        <v>16</v>
      </c>
      <c r="B17" t="s">
        <v>35</v>
      </c>
      <c r="C17" s="1">
        <v>45657</v>
      </c>
      <c r="D17">
        <v>1</v>
      </c>
      <c r="E17" t="s">
        <v>12</v>
      </c>
      <c r="F17" t="s">
        <v>18</v>
      </c>
      <c r="G17" s="1">
        <v>45139</v>
      </c>
      <c r="H17" s="1">
        <v>45053</v>
      </c>
      <c r="I17">
        <v>12</v>
      </c>
      <c r="K17">
        <v>17458.04</v>
      </c>
    </row>
    <row r="18" spans="1:11">
      <c r="A18">
        <v>17</v>
      </c>
      <c r="B18" t="s">
        <v>36</v>
      </c>
      <c r="C18" s="1">
        <v>14246</v>
      </c>
      <c r="D18">
        <v>87</v>
      </c>
      <c r="F18" t="s">
        <v>13</v>
      </c>
      <c r="G18" s="1">
        <v>45205</v>
      </c>
      <c r="H18" s="1">
        <v>45131</v>
      </c>
      <c r="I18">
        <v>35</v>
      </c>
      <c r="J18" t="s">
        <v>25</v>
      </c>
      <c r="K18">
        <v>8830.4599999999991</v>
      </c>
    </row>
    <row r="19" spans="1:11">
      <c r="A19">
        <v>18</v>
      </c>
      <c r="B19" t="s">
        <v>37</v>
      </c>
      <c r="C19" s="1">
        <v>35430</v>
      </c>
      <c r="D19">
        <v>29</v>
      </c>
      <c r="E19" t="s">
        <v>15</v>
      </c>
      <c r="F19" t="s">
        <v>32</v>
      </c>
      <c r="G19" s="1">
        <v>45306</v>
      </c>
      <c r="H19" s="1">
        <v>45173</v>
      </c>
      <c r="I19">
        <v>24</v>
      </c>
      <c r="K19">
        <v>13973.09</v>
      </c>
    </row>
    <row r="20" spans="1:11">
      <c r="A20">
        <v>19</v>
      </c>
      <c r="B20" t="s">
        <v>38</v>
      </c>
      <c r="C20" s="1">
        <v>32508</v>
      </c>
      <c r="D20">
        <v>37</v>
      </c>
      <c r="E20" t="s">
        <v>12</v>
      </c>
      <c r="G20" s="1">
        <v>45043</v>
      </c>
      <c r="H20" s="1">
        <v>45538</v>
      </c>
      <c r="I20">
        <v>18</v>
      </c>
      <c r="J20" t="s">
        <v>25</v>
      </c>
      <c r="K20">
        <v>12681.81</v>
      </c>
    </row>
    <row r="21" spans="1:11">
      <c r="A21">
        <v>20</v>
      </c>
      <c r="B21" t="s">
        <v>39</v>
      </c>
      <c r="C21" s="1">
        <v>45657</v>
      </c>
      <c r="D21">
        <v>1</v>
      </c>
      <c r="E21" t="s">
        <v>15</v>
      </c>
      <c r="F21" t="s">
        <v>16</v>
      </c>
      <c r="G21" s="1">
        <v>45377</v>
      </c>
      <c r="H21" s="1">
        <v>45198</v>
      </c>
      <c r="I21">
        <v>1</v>
      </c>
      <c r="J21" t="s">
        <v>25</v>
      </c>
      <c r="K21">
        <v>2254.84</v>
      </c>
    </row>
    <row r="22" spans="1:11">
      <c r="A22">
        <v>21</v>
      </c>
      <c r="B22" t="s">
        <v>40</v>
      </c>
      <c r="C22" s="1">
        <v>23012</v>
      </c>
      <c r="D22">
        <v>63</v>
      </c>
      <c r="E22" t="s">
        <v>15</v>
      </c>
      <c r="F22" t="s">
        <v>18</v>
      </c>
      <c r="G22" s="1">
        <v>45525</v>
      </c>
      <c r="H22" s="1">
        <v>44971</v>
      </c>
      <c r="I22">
        <v>8</v>
      </c>
      <c r="J22" t="s">
        <v>25</v>
      </c>
      <c r="K22">
        <v>12415.05</v>
      </c>
    </row>
    <row r="23" spans="1:11">
      <c r="A23">
        <v>22</v>
      </c>
      <c r="B23" t="s">
        <v>41</v>
      </c>
      <c r="C23" s="1">
        <v>24473</v>
      </c>
      <c r="D23">
        <v>59</v>
      </c>
      <c r="E23" t="s">
        <v>12</v>
      </c>
      <c r="G23" s="1">
        <v>45336</v>
      </c>
      <c r="H23" s="1">
        <v>45661</v>
      </c>
      <c r="I23">
        <v>16</v>
      </c>
      <c r="J23" t="s">
        <v>19</v>
      </c>
      <c r="K23">
        <v>10969.12</v>
      </c>
    </row>
    <row r="24" spans="1:11">
      <c r="A24">
        <v>23</v>
      </c>
      <c r="B24" t="s">
        <v>42</v>
      </c>
      <c r="C24" s="1">
        <v>38717</v>
      </c>
      <c r="D24">
        <v>20</v>
      </c>
      <c r="E24" t="s">
        <v>15</v>
      </c>
      <c r="G24" s="1">
        <v>45293</v>
      </c>
      <c r="H24" s="1">
        <v>45536</v>
      </c>
      <c r="I24">
        <v>16</v>
      </c>
      <c r="J24" t="s">
        <v>19</v>
      </c>
      <c r="K24">
        <v>17961.939999999999</v>
      </c>
    </row>
    <row r="25" spans="1:11">
      <c r="A25">
        <v>24</v>
      </c>
      <c r="B25" t="s">
        <v>43</v>
      </c>
      <c r="C25" s="1">
        <v>34334</v>
      </c>
      <c r="D25">
        <v>32</v>
      </c>
      <c r="E25" t="s">
        <v>15</v>
      </c>
      <c r="F25" t="s">
        <v>32</v>
      </c>
      <c r="G25" s="1">
        <v>45039</v>
      </c>
      <c r="H25" s="1">
        <v>45475</v>
      </c>
      <c r="I25">
        <v>24</v>
      </c>
      <c r="K25">
        <v>17605.62</v>
      </c>
    </row>
    <row r="26" spans="1:11">
      <c r="A26">
        <v>25</v>
      </c>
      <c r="B26" t="s">
        <v>44</v>
      </c>
      <c r="C26" s="1">
        <v>18629</v>
      </c>
      <c r="D26">
        <v>75</v>
      </c>
      <c r="E26" t="s">
        <v>15</v>
      </c>
      <c r="F26" t="s">
        <v>45</v>
      </c>
      <c r="G26" s="1">
        <v>45090</v>
      </c>
      <c r="H26" s="1">
        <v>45095</v>
      </c>
      <c r="I26">
        <v>37</v>
      </c>
      <c r="J26" t="s">
        <v>25</v>
      </c>
      <c r="K26">
        <v>2934.19</v>
      </c>
    </row>
    <row r="27" spans="1:11">
      <c r="A27">
        <v>26</v>
      </c>
      <c r="B27" t="s">
        <v>43</v>
      </c>
      <c r="C27" s="1">
        <v>25203</v>
      </c>
      <c r="D27">
        <v>57</v>
      </c>
      <c r="E27" t="s">
        <v>15</v>
      </c>
      <c r="F27" t="s">
        <v>18</v>
      </c>
      <c r="G27" s="1">
        <v>44930</v>
      </c>
      <c r="H27" s="1">
        <v>45362</v>
      </c>
      <c r="I27">
        <v>39</v>
      </c>
      <c r="K27">
        <v>1541.87</v>
      </c>
    </row>
    <row r="28" spans="1:11">
      <c r="A28">
        <v>27</v>
      </c>
      <c r="B28" t="s">
        <v>44</v>
      </c>
      <c r="C28" s="1">
        <v>38352</v>
      </c>
      <c r="D28">
        <v>21</v>
      </c>
      <c r="E28" t="s">
        <v>12</v>
      </c>
      <c r="F28" t="s">
        <v>21</v>
      </c>
      <c r="G28" s="1">
        <v>45556</v>
      </c>
      <c r="H28" s="1">
        <v>44957</v>
      </c>
      <c r="I28">
        <v>25</v>
      </c>
      <c r="J28" t="s">
        <v>25</v>
      </c>
      <c r="K28">
        <v>5821.3</v>
      </c>
    </row>
    <row r="29" spans="1:11">
      <c r="A29">
        <v>28</v>
      </c>
      <c r="B29" t="s">
        <v>46</v>
      </c>
      <c r="C29" s="1">
        <v>13880</v>
      </c>
      <c r="D29">
        <v>88</v>
      </c>
      <c r="E29" t="s">
        <v>12</v>
      </c>
      <c r="G29" s="1">
        <v>44949</v>
      </c>
      <c r="H29" s="1">
        <v>45721</v>
      </c>
      <c r="I29">
        <v>2</v>
      </c>
      <c r="J29" t="s">
        <v>23</v>
      </c>
      <c r="K29">
        <v>19730.919999999998</v>
      </c>
    </row>
    <row r="30" spans="1:11">
      <c r="A30">
        <v>29</v>
      </c>
      <c r="B30" t="s">
        <v>47</v>
      </c>
      <c r="D30">
        <v>48</v>
      </c>
      <c r="E30" t="s">
        <v>15</v>
      </c>
      <c r="F30" t="s">
        <v>32</v>
      </c>
      <c r="G30" s="1">
        <v>45528</v>
      </c>
      <c r="H30" s="1">
        <v>45524</v>
      </c>
      <c r="I30">
        <v>22</v>
      </c>
      <c r="K30">
        <v>333.63</v>
      </c>
    </row>
    <row r="31" spans="1:11">
      <c r="A31">
        <v>30</v>
      </c>
      <c r="B31" t="s">
        <v>48</v>
      </c>
      <c r="C31" s="1">
        <v>13150</v>
      </c>
      <c r="D31">
        <v>90</v>
      </c>
      <c r="E31" t="s">
        <v>15</v>
      </c>
      <c r="F31" t="s">
        <v>21</v>
      </c>
      <c r="G31" s="1">
        <v>45018</v>
      </c>
      <c r="H31" s="1">
        <v>45284</v>
      </c>
      <c r="I31">
        <v>0</v>
      </c>
      <c r="J31" t="s">
        <v>19</v>
      </c>
      <c r="K31">
        <v>13425.13</v>
      </c>
    </row>
    <row r="32" spans="1:11">
      <c r="A32">
        <v>31</v>
      </c>
      <c r="B32" t="s">
        <v>49</v>
      </c>
      <c r="C32" s="1">
        <v>24838</v>
      </c>
      <c r="D32">
        <v>58</v>
      </c>
      <c r="E32" t="s">
        <v>15</v>
      </c>
      <c r="F32" t="s">
        <v>18</v>
      </c>
      <c r="G32" s="1">
        <v>45395</v>
      </c>
      <c r="H32" s="1">
        <v>45418</v>
      </c>
      <c r="I32">
        <v>23</v>
      </c>
      <c r="J32" t="s">
        <v>23</v>
      </c>
      <c r="K32">
        <v>12131.13</v>
      </c>
    </row>
    <row r="33" spans="1:11">
      <c r="A33">
        <v>32</v>
      </c>
      <c r="B33" t="s">
        <v>40</v>
      </c>
      <c r="C33" s="1">
        <v>31047</v>
      </c>
      <c r="D33">
        <v>41</v>
      </c>
      <c r="E33" t="s">
        <v>12</v>
      </c>
      <c r="F33" t="s">
        <v>32</v>
      </c>
      <c r="G33" s="1">
        <v>45081</v>
      </c>
      <c r="H33" s="1">
        <v>45560</v>
      </c>
      <c r="I33">
        <v>7</v>
      </c>
      <c r="J33" t="s">
        <v>19</v>
      </c>
      <c r="K33">
        <v>12896.22</v>
      </c>
    </row>
    <row r="34" spans="1:11">
      <c r="A34">
        <v>33</v>
      </c>
      <c r="B34" t="s">
        <v>50</v>
      </c>
      <c r="C34" s="1">
        <v>12785</v>
      </c>
      <c r="D34">
        <v>91</v>
      </c>
      <c r="E34" t="s">
        <v>15</v>
      </c>
      <c r="F34" t="s">
        <v>21</v>
      </c>
      <c r="G34" s="1">
        <v>45553</v>
      </c>
      <c r="H34" s="1">
        <v>45726</v>
      </c>
      <c r="I34">
        <v>21</v>
      </c>
      <c r="J34" t="s">
        <v>23</v>
      </c>
      <c r="K34">
        <v>4287.55</v>
      </c>
    </row>
    <row r="35" spans="1:11">
      <c r="A35">
        <v>34</v>
      </c>
      <c r="B35" t="s">
        <v>51</v>
      </c>
      <c r="C35" s="1">
        <v>24473</v>
      </c>
      <c r="D35">
        <v>59</v>
      </c>
      <c r="E35" t="s">
        <v>12</v>
      </c>
      <c r="F35" t="s">
        <v>13</v>
      </c>
      <c r="G35" s="1">
        <v>45133</v>
      </c>
      <c r="H35" s="1">
        <v>45175</v>
      </c>
      <c r="I35">
        <v>26</v>
      </c>
      <c r="J35" t="s">
        <v>23</v>
      </c>
      <c r="K35">
        <v>4457.0200000000004</v>
      </c>
    </row>
    <row r="36" spans="1:11">
      <c r="A36">
        <v>35</v>
      </c>
      <c r="B36" t="s">
        <v>52</v>
      </c>
      <c r="C36" s="1">
        <v>17168</v>
      </c>
      <c r="D36">
        <v>79</v>
      </c>
      <c r="E36" t="s">
        <v>15</v>
      </c>
      <c r="G36" s="1">
        <v>45007</v>
      </c>
      <c r="H36" s="1">
        <v>45623</v>
      </c>
      <c r="I36">
        <v>4</v>
      </c>
      <c r="J36" t="s">
        <v>23</v>
      </c>
      <c r="K36">
        <v>8555.91</v>
      </c>
    </row>
    <row r="37" spans="1:11">
      <c r="A37">
        <v>36</v>
      </c>
      <c r="B37" t="s">
        <v>53</v>
      </c>
      <c r="C37" s="1">
        <v>40909</v>
      </c>
      <c r="D37">
        <v>14</v>
      </c>
      <c r="E37" t="s">
        <v>15</v>
      </c>
      <c r="F37" t="s">
        <v>13</v>
      </c>
      <c r="G37" s="1">
        <v>45541</v>
      </c>
      <c r="H37" s="1">
        <v>45180</v>
      </c>
      <c r="I37">
        <v>20</v>
      </c>
      <c r="K37">
        <v>1826.74</v>
      </c>
    </row>
    <row r="38" spans="1:11">
      <c r="A38">
        <v>37</v>
      </c>
      <c r="B38" t="s">
        <v>54</v>
      </c>
      <c r="C38" s="1">
        <v>23742</v>
      </c>
      <c r="D38">
        <v>61</v>
      </c>
      <c r="E38" t="s">
        <v>12</v>
      </c>
      <c r="F38" t="s">
        <v>45</v>
      </c>
      <c r="G38" s="1">
        <v>45409</v>
      </c>
      <c r="H38" s="1">
        <v>45712</v>
      </c>
      <c r="I38">
        <v>24</v>
      </c>
      <c r="K38">
        <v>1399.73</v>
      </c>
    </row>
    <row r="39" spans="1:11">
      <c r="A39">
        <v>38</v>
      </c>
      <c r="B39" t="s">
        <v>55</v>
      </c>
      <c r="C39" s="1">
        <v>23742</v>
      </c>
      <c r="D39">
        <v>61</v>
      </c>
      <c r="E39" t="s">
        <v>12</v>
      </c>
      <c r="F39" t="s">
        <v>16</v>
      </c>
      <c r="G39" s="1">
        <v>45518</v>
      </c>
      <c r="H39" s="1">
        <v>45648</v>
      </c>
      <c r="I39">
        <v>39</v>
      </c>
      <c r="J39" t="s">
        <v>19</v>
      </c>
      <c r="K39">
        <v>1676.03</v>
      </c>
    </row>
    <row r="40" spans="1:11">
      <c r="A40">
        <v>39</v>
      </c>
      <c r="B40" t="s">
        <v>53</v>
      </c>
      <c r="C40" s="1">
        <v>29221</v>
      </c>
      <c r="D40">
        <v>46</v>
      </c>
      <c r="E40" t="s">
        <v>15</v>
      </c>
      <c r="F40" t="s">
        <v>18</v>
      </c>
      <c r="G40" s="1">
        <v>45333</v>
      </c>
      <c r="H40" s="1">
        <v>45793</v>
      </c>
      <c r="I40">
        <v>6</v>
      </c>
      <c r="K40">
        <v>11416.88</v>
      </c>
    </row>
    <row r="41" spans="1:11">
      <c r="A41">
        <v>40</v>
      </c>
      <c r="B41" t="s">
        <v>56</v>
      </c>
      <c r="C41" s="1">
        <v>23742</v>
      </c>
      <c r="E41" t="s">
        <v>12</v>
      </c>
      <c r="F41" t="s">
        <v>16</v>
      </c>
      <c r="G41" s="1">
        <v>45029</v>
      </c>
      <c r="H41" s="1">
        <v>45309</v>
      </c>
      <c r="I41">
        <v>0</v>
      </c>
      <c r="J41" t="s">
        <v>19</v>
      </c>
      <c r="K41">
        <v>7894.61</v>
      </c>
    </row>
    <row r="42" spans="1:11">
      <c r="A42">
        <v>41</v>
      </c>
      <c r="B42" t="s">
        <v>54</v>
      </c>
      <c r="C42" s="1">
        <v>27760</v>
      </c>
      <c r="D42">
        <v>50</v>
      </c>
      <c r="E42" t="s">
        <v>12</v>
      </c>
      <c r="F42" t="s">
        <v>16</v>
      </c>
      <c r="G42" s="1">
        <v>45166</v>
      </c>
      <c r="H42" s="1">
        <v>45463</v>
      </c>
      <c r="I42">
        <v>10</v>
      </c>
      <c r="J42" t="s">
        <v>25</v>
      </c>
      <c r="K42">
        <v>5801.7</v>
      </c>
    </row>
    <row r="43" spans="1:11">
      <c r="A43">
        <v>42</v>
      </c>
      <c r="B43" t="s">
        <v>57</v>
      </c>
      <c r="C43" s="1">
        <v>26299</v>
      </c>
      <c r="D43">
        <v>54</v>
      </c>
      <c r="E43" t="s">
        <v>12</v>
      </c>
      <c r="F43" t="s">
        <v>21</v>
      </c>
      <c r="G43" s="1">
        <v>45191</v>
      </c>
      <c r="H43" s="1">
        <v>45561</v>
      </c>
      <c r="I43">
        <v>3</v>
      </c>
      <c r="J43" t="s">
        <v>19</v>
      </c>
      <c r="K43">
        <v>6247.97</v>
      </c>
    </row>
    <row r="44" spans="1:11">
      <c r="A44">
        <v>43</v>
      </c>
      <c r="B44" t="s">
        <v>58</v>
      </c>
      <c r="C44" s="1">
        <v>23012</v>
      </c>
      <c r="D44">
        <v>63</v>
      </c>
      <c r="E44" t="s">
        <v>12</v>
      </c>
      <c r="F44" t="s">
        <v>45</v>
      </c>
      <c r="G44" s="1">
        <v>44959</v>
      </c>
      <c r="H44" s="1">
        <v>45664</v>
      </c>
      <c r="I44">
        <v>35</v>
      </c>
      <c r="J44" t="s">
        <v>19</v>
      </c>
      <c r="K44">
        <v>4066.39</v>
      </c>
    </row>
    <row r="45" spans="1:11">
      <c r="A45">
        <v>44</v>
      </c>
      <c r="B45" t="s">
        <v>28</v>
      </c>
      <c r="C45" s="1">
        <v>45292</v>
      </c>
      <c r="D45">
        <v>2</v>
      </c>
      <c r="E45" t="s">
        <v>12</v>
      </c>
      <c r="F45" t="s">
        <v>18</v>
      </c>
      <c r="G45" s="1">
        <v>44961</v>
      </c>
      <c r="H45" s="1">
        <v>45825</v>
      </c>
      <c r="I45">
        <v>18</v>
      </c>
      <c r="K45">
        <v>8171.26</v>
      </c>
    </row>
    <row r="46" spans="1:11">
      <c r="A46">
        <v>45</v>
      </c>
      <c r="B46" t="s">
        <v>59</v>
      </c>
      <c r="C46" s="1">
        <v>27760</v>
      </c>
      <c r="D46">
        <v>50</v>
      </c>
      <c r="F46" t="s">
        <v>13</v>
      </c>
      <c r="G46" s="1">
        <v>45175</v>
      </c>
      <c r="H46" s="1">
        <v>45346</v>
      </c>
      <c r="I46">
        <v>16</v>
      </c>
      <c r="J46" t="s">
        <v>19</v>
      </c>
      <c r="K46">
        <v>3981.47</v>
      </c>
    </row>
    <row r="47" spans="1:11">
      <c r="A47">
        <v>46</v>
      </c>
      <c r="B47" t="s">
        <v>60</v>
      </c>
      <c r="C47" s="1">
        <v>43831</v>
      </c>
      <c r="D47">
        <v>6</v>
      </c>
      <c r="E47" t="s">
        <v>15</v>
      </c>
      <c r="F47" t="s">
        <v>16</v>
      </c>
      <c r="G47" s="1">
        <v>44976</v>
      </c>
      <c r="H47" s="1">
        <v>45050</v>
      </c>
      <c r="I47">
        <v>22</v>
      </c>
      <c r="K47">
        <v>13930.73</v>
      </c>
    </row>
    <row r="48" spans="1:11">
      <c r="A48">
        <v>47</v>
      </c>
      <c r="B48" t="s">
        <v>61</v>
      </c>
      <c r="C48" s="1">
        <v>38717</v>
      </c>
      <c r="D48">
        <v>20</v>
      </c>
      <c r="E48" t="s">
        <v>12</v>
      </c>
      <c r="F48" t="s">
        <v>21</v>
      </c>
      <c r="G48" s="1">
        <v>45206</v>
      </c>
      <c r="H48" s="1">
        <v>45221</v>
      </c>
      <c r="I48">
        <v>36</v>
      </c>
      <c r="J48" t="s">
        <v>19</v>
      </c>
      <c r="K48">
        <v>2391.04</v>
      </c>
    </row>
    <row r="49" spans="1:11">
      <c r="A49">
        <v>48</v>
      </c>
      <c r="B49" t="s">
        <v>60</v>
      </c>
      <c r="C49" s="1">
        <v>19724</v>
      </c>
      <c r="D49">
        <v>72</v>
      </c>
      <c r="E49" t="s">
        <v>15</v>
      </c>
      <c r="F49" t="s">
        <v>16</v>
      </c>
      <c r="G49" s="1">
        <v>45078</v>
      </c>
      <c r="H49" s="1">
        <v>45612</v>
      </c>
      <c r="I49">
        <v>1</v>
      </c>
      <c r="J49" t="s">
        <v>25</v>
      </c>
      <c r="K49">
        <v>18959.669999999998</v>
      </c>
    </row>
    <row r="50" spans="1:11">
      <c r="A50">
        <v>49</v>
      </c>
      <c r="B50" t="s">
        <v>62</v>
      </c>
      <c r="C50" s="1">
        <v>32143</v>
      </c>
      <c r="D50">
        <v>38</v>
      </c>
      <c r="E50" t="s">
        <v>15</v>
      </c>
      <c r="F50" t="s">
        <v>32</v>
      </c>
      <c r="G50" s="1">
        <v>45585</v>
      </c>
      <c r="H50" s="1">
        <v>45070</v>
      </c>
      <c r="I50">
        <v>19</v>
      </c>
      <c r="K50">
        <v>1705.36</v>
      </c>
    </row>
    <row r="51" spans="1:11">
      <c r="A51">
        <v>50</v>
      </c>
      <c r="B51" t="s">
        <v>63</v>
      </c>
      <c r="C51" s="1">
        <v>39813</v>
      </c>
      <c r="E51" t="s">
        <v>15</v>
      </c>
      <c r="F51" t="s">
        <v>13</v>
      </c>
      <c r="G51" s="1">
        <v>45477</v>
      </c>
      <c r="H51" s="1">
        <v>45826</v>
      </c>
      <c r="I51">
        <v>2</v>
      </c>
      <c r="K51">
        <v>18863.560000000001</v>
      </c>
    </row>
    <row r="52" spans="1:11">
      <c r="A52">
        <v>51</v>
      </c>
      <c r="B52" t="s">
        <v>64</v>
      </c>
      <c r="C52" s="1">
        <v>44927</v>
      </c>
      <c r="D52">
        <v>3</v>
      </c>
      <c r="E52" t="s">
        <v>15</v>
      </c>
      <c r="F52" t="s">
        <v>16</v>
      </c>
      <c r="G52" s="1">
        <v>45627</v>
      </c>
      <c r="H52" s="1">
        <v>45438</v>
      </c>
      <c r="I52">
        <v>-2</v>
      </c>
      <c r="J52" t="s">
        <v>25</v>
      </c>
      <c r="K52">
        <v>16649.23</v>
      </c>
    </row>
    <row r="53" spans="1:11">
      <c r="A53">
        <v>52</v>
      </c>
      <c r="B53" t="s">
        <v>33</v>
      </c>
      <c r="C53" s="1">
        <v>13880</v>
      </c>
      <c r="D53">
        <v>88</v>
      </c>
      <c r="E53" t="s">
        <v>12</v>
      </c>
      <c r="F53" t="s">
        <v>32</v>
      </c>
      <c r="G53" s="1">
        <v>45463</v>
      </c>
      <c r="H53" s="1">
        <v>45608</v>
      </c>
      <c r="I53">
        <v>14</v>
      </c>
      <c r="K53">
        <v>13582.31</v>
      </c>
    </row>
    <row r="54" spans="1:11">
      <c r="A54">
        <v>53</v>
      </c>
      <c r="B54" t="s">
        <v>43</v>
      </c>
      <c r="C54" s="1">
        <v>24473</v>
      </c>
      <c r="D54">
        <v>59</v>
      </c>
      <c r="E54" t="s">
        <v>12</v>
      </c>
      <c r="F54" t="s">
        <v>32</v>
      </c>
      <c r="G54" s="1">
        <v>45156</v>
      </c>
      <c r="H54" s="1">
        <v>44984</v>
      </c>
      <c r="I54">
        <v>6</v>
      </c>
      <c r="J54" t="s">
        <v>19</v>
      </c>
      <c r="K54">
        <v>18237.259999999998</v>
      </c>
    </row>
    <row r="55" spans="1:11">
      <c r="A55">
        <v>54</v>
      </c>
      <c r="B55" t="s">
        <v>65</v>
      </c>
      <c r="C55" s="1">
        <v>41274</v>
      </c>
      <c r="D55">
        <v>13</v>
      </c>
      <c r="E55" t="s">
        <v>12</v>
      </c>
      <c r="F55" t="s">
        <v>21</v>
      </c>
      <c r="G55" s="1">
        <v>45591</v>
      </c>
      <c r="H55" s="1">
        <v>44969</v>
      </c>
      <c r="I55">
        <v>6</v>
      </c>
      <c r="J55" t="s">
        <v>23</v>
      </c>
      <c r="K55">
        <v>2698.3</v>
      </c>
    </row>
    <row r="56" spans="1:11">
      <c r="A56">
        <v>55</v>
      </c>
      <c r="B56" t="s">
        <v>66</v>
      </c>
      <c r="C56" s="1">
        <v>43100</v>
      </c>
      <c r="D56">
        <v>8</v>
      </c>
      <c r="E56" t="s">
        <v>15</v>
      </c>
      <c r="F56" t="s">
        <v>21</v>
      </c>
      <c r="G56" s="1">
        <v>45214</v>
      </c>
      <c r="H56" s="1">
        <v>45748</v>
      </c>
      <c r="I56">
        <v>21</v>
      </c>
      <c r="K56">
        <v>3443.93</v>
      </c>
    </row>
    <row r="57" spans="1:11">
      <c r="A57">
        <v>56</v>
      </c>
      <c r="B57" t="s">
        <v>67</v>
      </c>
      <c r="C57" s="1">
        <v>13515</v>
      </c>
      <c r="D57">
        <v>89</v>
      </c>
      <c r="E57" t="s">
        <v>15</v>
      </c>
      <c r="F57" t="s">
        <v>32</v>
      </c>
      <c r="G57" s="1">
        <v>45321</v>
      </c>
      <c r="H57" s="1">
        <v>45558</v>
      </c>
      <c r="I57">
        <v>7</v>
      </c>
      <c r="J57" t="s">
        <v>23</v>
      </c>
      <c r="K57">
        <v>4968.2700000000004</v>
      </c>
    </row>
    <row r="58" spans="1:11">
      <c r="A58">
        <v>57</v>
      </c>
      <c r="B58" t="s">
        <v>68</v>
      </c>
      <c r="C58" s="1">
        <v>27029</v>
      </c>
      <c r="D58">
        <v>52</v>
      </c>
      <c r="E58" t="s">
        <v>12</v>
      </c>
      <c r="F58" t="s">
        <v>45</v>
      </c>
      <c r="G58" s="1">
        <v>45379</v>
      </c>
      <c r="H58" s="1">
        <v>45048</v>
      </c>
      <c r="I58">
        <v>17</v>
      </c>
      <c r="J58" t="s">
        <v>19</v>
      </c>
      <c r="K58">
        <v>4820.71</v>
      </c>
    </row>
    <row r="59" spans="1:11">
      <c r="A59">
        <v>58</v>
      </c>
      <c r="B59" t="s">
        <v>69</v>
      </c>
      <c r="C59" s="1">
        <v>45657</v>
      </c>
      <c r="D59">
        <v>1</v>
      </c>
      <c r="E59" t="s">
        <v>15</v>
      </c>
      <c r="F59" t="s">
        <v>16</v>
      </c>
      <c r="G59" s="1">
        <v>45546</v>
      </c>
      <c r="H59" s="1">
        <v>45751</v>
      </c>
      <c r="I59">
        <v>14</v>
      </c>
      <c r="J59" t="s">
        <v>25</v>
      </c>
      <c r="K59">
        <v>6148.05</v>
      </c>
    </row>
    <row r="60" spans="1:11">
      <c r="A60">
        <v>59</v>
      </c>
      <c r="B60" t="s">
        <v>70</v>
      </c>
      <c r="C60" s="1">
        <v>15707</v>
      </c>
      <c r="D60">
        <v>83</v>
      </c>
      <c r="E60" t="s">
        <v>12</v>
      </c>
      <c r="F60" t="s">
        <v>32</v>
      </c>
      <c r="G60" s="1">
        <v>44959</v>
      </c>
      <c r="H60" s="1">
        <v>45690</v>
      </c>
      <c r="I60">
        <v>10</v>
      </c>
      <c r="K60">
        <v>11470.18</v>
      </c>
    </row>
    <row r="61" spans="1:11">
      <c r="A61">
        <v>60</v>
      </c>
      <c r="B61" t="s">
        <v>71</v>
      </c>
      <c r="C61" s="1">
        <v>12785</v>
      </c>
      <c r="D61">
        <v>91</v>
      </c>
      <c r="E61" t="s">
        <v>12</v>
      </c>
      <c r="F61" t="s">
        <v>32</v>
      </c>
      <c r="G61" s="1">
        <v>45289</v>
      </c>
      <c r="H61" s="1">
        <v>45270</v>
      </c>
      <c r="I61">
        <v>26</v>
      </c>
      <c r="J61" t="s">
        <v>23</v>
      </c>
      <c r="K61">
        <v>466.27</v>
      </c>
    </row>
    <row r="62" spans="1:11">
      <c r="A62">
        <v>61</v>
      </c>
      <c r="B62" t="s">
        <v>72</v>
      </c>
      <c r="C62" s="1">
        <v>24473</v>
      </c>
      <c r="D62">
        <v>59</v>
      </c>
      <c r="E62" t="s">
        <v>12</v>
      </c>
      <c r="F62" t="s">
        <v>21</v>
      </c>
      <c r="G62" s="1">
        <v>45037</v>
      </c>
      <c r="H62" s="1">
        <v>45259</v>
      </c>
      <c r="I62">
        <v>33</v>
      </c>
      <c r="J62" t="s">
        <v>25</v>
      </c>
      <c r="K62">
        <v>7583.68</v>
      </c>
    </row>
    <row r="63" spans="1:11">
      <c r="A63">
        <v>62</v>
      </c>
      <c r="B63" t="s">
        <v>73</v>
      </c>
      <c r="C63" s="1">
        <v>20455</v>
      </c>
      <c r="D63">
        <v>70</v>
      </c>
      <c r="E63" t="s">
        <v>12</v>
      </c>
      <c r="F63" t="s">
        <v>16</v>
      </c>
      <c r="G63" s="1">
        <v>45047</v>
      </c>
      <c r="H63" s="1">
        <v>45383</v>
      </c>
      <c r="I63">
        <v>20</v>
      </c>
      <c r="J63" t="s">
        <v>25</v>
      </c>
      <c r="K63">
        <v>4852.34</v>
      </c>
    </row>
    <row r="64" spans="1:11">
      <c r="A64">
        <v>63</v>
      </c>
      <c r="B64" t="s">
        <v>64</v>
      </c>
      <c r="C64" s="1">
        <v>30317</v>
      </c>
      <c r="D64">
        <v>43</v>
      </c>
      <c r="E64" t="s">
        <v>12</v>
      </c>
      <c r="F64" t="s">
        <v>18</v>
      </c>
      <c r="G64" s="1">
        <v>44942</v>
      </c>
      <c r="H64" s="1">
        <v>45364</v>
      </c>
      <c r="I64">
        <v>24</v>
      </c>
      <c r="K64">
        <v>12093.26</v>
      </c>
    </row>
    <row r="65" spans="1:11">
      <c r="A65">
        <v>64</v>
      </c>
      <c r="B65" t="s">
        <v>41</v>
      </c>
      <c r="C65" s="1">
        <v>43466</v>
      </c>
      <c r="D65">
        <v>7</v>
      </c>
      <c r="E65" t="s">
        <v>15</v>
      </c>
      <c r="F65" t="s">
        <v>13</v>
      </c>
      <c r="G65" s="1">
        <v>45449</v>
      </c>
      <c r="H65" s="1">
        <v>45268</v>
      </c>
      <c r="I65">
        <v>15</v>
      </c>
      <c r="J65" t="s">
        <v>23</v>
      </c>
      <c r="K65">
        <v>19701.900000000001</v>
      </c>
    </row>
    <row r="66" spans="1:11">
      <c r="A66">
        <v>65</v>
      </c>
      <c r="B66" t="s">
        <v>74</v>
      </c>
      <c r="C66" s="1">
        <v>29221</v>
      </c>
      <c r="E66" t="s">
        <v>12</v>
      </c>
      <c r="F66" t="s">
        <v>21</v>
      </c>
      <c r="G66" s="1">
        <v>45641</v>
      </c>
      <c r="H66" s="1">
        <v>45268</v>
      </c>
      <c r="I66">
        <v>15</v>
      </c>
      <c r="K66">
        <v>10304.86</v>
      </c>
    </row>
    <row r="67" spans="1:11">
      <c r="A67">
        <v>66</v>
      </c>
      <c r="B67" t="s">
        <v>75</v>
      </c>
      <c r="C67" s="1">
        <v>33604</v>
      </c>
      <c r="E67" t="s">
        <v>15</v>
      </c>
      <c r="F67" t="s">
        <v>16</v>
      </c>
      <c r="G67" s="1">
        <v>45640</v>
      </c>
      <c r="H67" s="1">
        <v>45343</v>
      </c>
      <c r="I67">
        <v>6</v>
      </c>
      <c r="J67" t="s">
        <v>19</v>
      </c>
      <c r="K67">
        <v>8456.27</v>
      </c>
    </row>
    <row r="68" spans="1:11">
      <c r="A68">
        <v>67</v>
      </c>
      <c r="B68" t="s">
        <v>76</v>
      </c>
      <c r="C68" s="1">
        <v>17898</v>
      </c>
      <c r="D68">
        <v>77</v>
      </c>
      <c r="E68" t="s">
        <v>15</v>
      </c>
      <c r="F68" t="s">
        <v>16</v>
      </c>
      <c r="G68" s="1">
        <v>45024</v>
      </c>
      <c r="H68" s="1">
        <v>45776</v>
      </c>
      <c r="I68">
        <v>0</v>
      </c>
      <c r="J68" t="s">
        <v>25</v>
      </c>
      <c r="K68">
        <v>7301.7</v>
      </c>
    </row>
    <row r="69" spans="1:11">
      <c r="A69">
        <v>68</v>
      </c>
      <c r="B69" t="s">
        <v>77</v>
      </c>
      <c r="C69" s="1">
        <v>16802</v>
      </c>
      <c r="D69">
        <v>80</v>
      </c>
      <c r="E69" t="s">
        <v>15</v>
      </c>
      <c r="G69" s="1">
        <v>45042</v>
      </c>
      <c r="H69" s="1">
        <v>45109</v>
      </c>
      <c r="I69">
        <v>4</v>
      </c>
      <c r="J69" t="s">
        <v>23</v>
      </c>
      <c r="K69">
        <v>15677.48</v>
      </c>
    </row>
    <row r="70" spans="1:11">
      <c r="A70">
        <v>69</v>
      </c>
      <c r="B70" t="s">
        <v>78</v>
      </c>
      <c r="C70" s="1">
        <v>33239</v>
      </c>
      <c r="D70">
        <v>35</v>
      </c>
      <c r="E70" t="s">
        <v>12</v>
      </c>
      <c r="F70" t="s">
        <v>45</v>
      </c>
      <c r="G70" s="1">
        <v>45397</v>
      </c>
      <c r="H70" s="1">
        <v>45604</v>
      </c>
      <c r="I70">
        <v>12</v>
      </c>
      <c r="K70">
        <v>1346.82</v>
      </c>
    </row>
    <row r="71" spans="1:11">
      <c r="A71">
        <v>70</v>
      </c>
      <c r="B71" t="s">
        <v>79</v>
      </c>
      <c r="C71" s="1">
        <v>28125</v>
      </c>
      <c r="D71">
        <v>49</v>
      </c>
      <c r="E71" t="s">
        <v>15</v>
      </c>
      <c r="F71" t="s">
        <v>13</v>
      </c>
      <c r="G71" s="1">
        <v>45365</v>
      </c>
      <c r="H71" s="1">
        <v>45191</v>
      </c>
      <c r="I71">
        <v>27</v>
      </c>
      <c r="J71" t="s">
        <v>25</v>
      </c>
      <c r="K71">
        <v>19191.39</v>
      </c>
    </row>
    <row r="72" spans="1:11">
      <c r="A72">
        <v>71</v>
      </c>
      <c r="B72" t="s">
        <v>80</v>
      </c>
      <c r="C72" s="1">
        <v>44927</v>
      </c>
      <c r="D72">
        <v>3</v>
      </c>
      <c r="E72" t="s">
        <v>15</v>
      </c>
      <c r="F72" t="s">
        <v>21</v>
      </c>
      <c r="G72" s="1">
        <v>45207</v>
      </c>
      <c r="H72" s="1">
        <v>45137</v>
      </c>
      <c r="I72">
        <v>6</v>
      </c>
      <c r="K72">
        <v>8300.15</v>
      </c>
    </row>
    <row r="73" spans="1:11">
      <c r="A73">
        <v>72</v>
      </c>
      <c r="B73" t="s">
        <v>81</v>
      </c>
      <c r="C73" s="1">
        <v>45657</v>
      </c>
      <c r="D73">
        <v>1</v>
      </c>
      <c r="E73" t="s">
        <v>15</v>
      </c>
      <c r="F73" t="s">
        <v>21</v>
      </c>
      <c r="G73" s="1">
        <v>45275</v>
      </c>
      <c r="H73" s="1">
        <v>45450</v>
      </c>
      <c r="I73">
        <v>38</v>
      </c>
      <c r="J73" t="s">
        <v>23</v>
      </c>
      <c r="K73">
        <v>6205.38</v>
      </c>
    </row>
    <row r="74" spans="1:11">
      <c r="A74">
        <v>73</v>
      </c>
      <c r="B74" t="s">
        <v>82</v>
      </c>
      <c r="C74" s="1">
        <v>44196</v>
      </c>
      <c r="D74">
        <v>5</v>
      </c>
      <c r="E74" t="s">
        <v>12</v>
      </c>
      <c r="F74" t="s">
        <v>18</v>
      </c>
      <c r="G74" s="1">
        <v>45158</v>
      </c>
      <c r="H74" s="1">
        <v>45109</v>
      </c>
      <c r="I74">
        <v>24</v>
      </c>
      <c r="J74" t="s">
        <v>19</v>
      </c>
      <c r="K74">
        <v>19478.77</v>
      </c>
    </row>
    <row r="75" spans="1:11">
      <c r="A75">
        <v>74</v>
      </c>
      <c r="B75" t="s">
        <v>64</v>
      </c>
      <c r="C75" s="1">
        <v>26664</v>
      </c>
      <c r="D75">
        <v>53</v>
      </c>
      <c r="E75" t="s">
        <v>12</v>
      </c>
      <c r="G75" s="1">
        <v>45037</v>
      </c>
      <c r="H75" s="1">
        <v>45371</v>
      </c>
      <c r="I75">
        <v>33</v>
      </c>
      <c r="J75" t="s">
        <v>19</v>
      </c>
      <c r="K75">
        <v>18711.169999999998</v>
      </c>
    </row>
    <row r="76" spans="1:11">
      <c r="A76">
        <v>75</v>
      </c>
      <c r="B76" t="s">
        <v>60</v>
      </c>
      <c r="C76" s="1">
        <v>44927</v>
      </c>
      <c r="D76">
        <v>3</v>
      </c>
      <c r="E76" t="s">
        <v>12</v>
      </c>
      <c r="G76" s="1">
        <v>45278</v>
      </c>
      <c r="H76" s="1">
        <v>45178</v>
      </c>
      <c r="I76">
        <v>15</v>
      </c>
      <c r="J76" t="s">
        <v>19</v>
      </c>
      <c r="K76">
        <v>12802.88</v>
      </c>
    </row>
    <row r="77" spans="1:11">
      <c r="A77">
        <v>76</v>
      </c>
      <c r="B77" t="s">
        <v>83</v>
      </c>
      <c r="C77" s="1">
        <v>26664</v>
      </c>
      <c r="D77">
        <v>53</v>
      </c>
      <c r="E77" t="s">
        <v>12</v>
      </c>
      <c r="F77" t="s">
        <v>45</v>
      </c>
      <c r="G77" s="1">
        <v>44938</v>
      </c>
      <c r="H77" s="1">
        <v>45065</v>
      </c>
      <c r="I77">
        <v>28</v>
      </c>
      <c r="K77">
        <v>272</v>
      </c>
    </row>
    <row r="78" spans="1:11">
      <c r="A78">
        <v>77</v>
      </c>
      <c r="B78" t="s">
        <v>22</v>
      </c>
      <c r="C78" s="1">
        <v>12419</v>
      </c>
      <c r="D78">
        <v>92</v>
      </c>
      <c r="E78" t="s">
        <v>15</v>
      </c>
      <c r="G78" s="1">
        <v>45414</v>
      </c>
      <c r="H78" s="1">
        <v>45145</v>
      </c>
      <c r="I78">
        <v>14</v>
      </c>
      <c r="J78" t="s">
        <v>25</v>
      </c>
      <c r="K78">
        <v>14945.55</v>
      </c>
    </row>
    <row r="79" spans="1:11">
      <c r="A79">
        <v>78</v>
      </c>
      <c r="B79" t="s">
        <v>84</v>
      </c>
      <c r="C79" s="1">
        <v>23377</v>
      </c>
      <c r="D79">
        <v>62</v>
      </c>
      <c r="E79" t="s">
        <v>15</v>
      </c>
      <c r="F79" t="s">
        <v>45</v>
      </c>
      <c r="G79" s="1">
        <v>45459</v>
      </c>
      <c r="H79" s="1">
        <v>45678</v>
      </c>
      <c r="I79">
        <v>3</v>
      </c>
      <c r="J79" t="s">
        <v>19</v>
      </c>
      <c r="K79">
        <v>6644.7</v>
      </c>
    </row>
    <row r="80" spans="1:11">
      <c r="A80">
        <v>79</v>
      </c>
      <c r="B80" t="s">
        <v>85</v>
      </c>
      <c r="C80" s="1">
        <v>39813</v>
      </c>
      <c r="D80">
        <v>17</v>
      </c>
      <c r="E80" t="s">
        <v>12</v>
      </c>
      <c r="F80" t="s">
        <v>16</v>
      </c>
      <c r="G80" s="1">
        <v>45565</v>
      </c>
      <c r="H80" s="1">
        <v>45381</v>
      </c>
      <c r="I80">
        <v>36</v>
      </c>
      <c r="J80" t="s">
        <v>19</v>
      </c>
      <c r="K80">
        <v>7704.43</v>
      </c>
    </row>
    <row r="81" spans="1:11">
      <c r="A81">
        <v>80</v>
      </c>
      <c r="B81" t="s">
        <v>86</v>
      </c>
      <c r="C81" s="1">
        <v>13515</v>
      </c>
      <c r="D81">
        <v>89</v>
      </c>
      <c r="E81" t="s">
        <v>15</v>
      </c>
      <c r="F81" t="s">
        <v>16</v>
      </c>
      <c r="G81" s="1">
        <v>45211</v>
      </c>
      <c r="H81" s="1">
        <v>45810</v>
      </c>
      <c r="I81">
        <v>22</v>
      </c>
      <c r="J81" t="s">
        <v>19</v>
      </c>
      <c r="K81">
        <v>3090.72</v>
      </c>
    </row>
    <row r="82" spans="1:11">
      <c r="A82">
        <v>81</v>
      </c>
      <c r="B82" t="s">
        <v>87</v>
      </c>
      <c r="C82" s="1">
        <v>30317</v>
      </c>
      <c r="D82">
        <v>43</v>
      </c>
      <c r="E82" t="s">
        <v>15</v>
      </c>
      <c r="F82" t="s">
        <v>21</v>
      </c>
      <c r="G82" s="1">
        <v>45559</v>
      </c>
      <c r="H82" s="1">
        <v>45776</v>
      </c>
      <c r="I82">
        <v>39</v>
      </c>
      <c r="J82" t="s">
        <v>19</v>
      </c>
      <c r="K82">
        <v>10421.51</v>
      </c>
    </row>
    <row r="83" spans="1:11">
      <c r="A83">
        <v>82</v>
      </c>
      <c r="B83" t="s">
        <v>88</v>
      </c>
      <c r="C83" s="1">
        <v>33969</v>
      </c>
      <c r="E83" t="s">
        <v>15</v>
      </c>
      <c r="F83" t="s">
        <v>18</v>
      </c>
      <c r="G83" s="1">
        <v>45562</v>
      </c>
      <c r="H83" s="1">
        <v>45014</v>
      </c>
      <c r="I83">
        <v>39</v>
      </c>
      <c r="J83" t="s">
        <v>23</v>
      </c>
      <c r="K83">
        <v>14865.51</v>
      </c>
    </row>
    <row r="84" spans="1:11">
      <c r="A84">
        <v>83</v>
      </c>
      <c r="B84" t="s">
        <v>89</v>
      </c>
      <c r="C84" s="1">
        <v>19359</v>
      </c>
      <c r="D84">
        <v>73</v>
      </c>
      <c r="E84" t="s">
        <v>12</v>
      </c>
      <c r="F84" t="s">
        <v>21</v>
      </c>
      <c r="G84" s="1">
        <v>45471</v>
      </c>
      <c r="H84" s="1">
        <v>45737</v>
      </c>
      <c r="I84">
        <v>35</v>
      </c>
      <c r="J84" t="s">
        <v>23</v>
      </c>
      <c r="K84">
        <v>5387.52</v>
      </c>
    </row>
    <row r="85" spans="1:11">
      <c r="A85">
        <v>84</v>
      </c>
      <c r="B85" t="s">
        <v>86</v>
      </c>
      <c r="C85" s="1">
        <v>23742</v>
      </c>
      <c r="D85">
        <v>61</v>
      </c>
      <c r="E85" t="s">
        <v>15</v>
      </c>
      <c r="G85" s="1">
        <v>45318</v>
      </c>
      <c r="H85" s="1">
        <v>45220</v>
      </c>
      <c r="I85">
        <v>35</v>
      </c>
      <c r="J85" t="s">
        <v>25</v>
      </c>
      <c r="K85">
        <v>18768.53</v>
      </c>
    </row>
    <row r="86" spans="1:11">
      <c r="A86">
        <v>85</v>
      </c>
      <c r="B86" t="s">
        <v>43</v>
      </c>
      <c r="C86" s="1">
        <v>41274</v>
      </c>
      <c r="D86">
        <v>13</v>
      </c>
      <c r="E86" t="s">
        <v>12</v>
      </c>
      <c r="F86" t="s">
        <v>32</v>
      </c>
      <c r="G86" s="1">
        <v>45096</v>
      </c>
      <c r="H86" s="1">
        <v>45019</v>
      </c>
      <c r="I86">
        <v>28</v>
      </c>
      <c r="J86" t="s">
        <v>23</v>
      </c>
      <c r="K86">
        <v>3814.21</v>
      </c>
    </row>
    <row r="87" spans="1:11">
      <c r="A87">
        <v>86</v>
      </c>
      <c r="B87" t="s">
        <v>56</v>
      </c>
      <c r="C87" s="1">
        <v>11689</v>
      </c>
      <c r="D87">
        <v>94</v>
      </c>
      <c r="E87" t="s">
        <v>15</v>
      </c>
      <c r="F87" t="s">
        <v>16</v>
      </c>
      <c r="G87" s="1">
        <v>45003</v>
      </c>
      <c r="H87" s="1">
        <v>45135</v>
      </c>
      <c r="I87">
        <v>26</v>
      </c>
      <c r="J87" t="s">
        <v>23</v>
      </c>
      <c r="K87">
        <v>1231.8699999999999</v>
      </c>
    </row>
    <row r="88" spans="1:11">
      <c r="A88">
        <v>87</v>
      </c>
      <c r="B88" t="s">
        <v>90</v>
      </c>
      <c r="C88" s="1">
        <v>28856</v>
      </c>
      <c r="D88">
        <v>47</v>
      </c>
      <c r="E88" t="s">
        <v>12</v>
      </c>
      <c r="F88" t="s">
        <v>32</v>
      </c>
      <c r="G88" s="1">
        <v>45223</v>
      </c>
      <c r="H88" s="1">
        <v>45131</v>
      </c>
      <c r="I88">
        <v>37</v>
      </c>
      <c r="J88" t="s">
        <v>23</v>
      </c>
      <c r="K88">
        <v>12851.71</v>
      </c>
    </row>
    <row r="89" spans="1:11">
      <c r="A89">
        <v>88</v>
      </c>
      <c r="B89" t="s">
        <v>40</v>
      </c>
      <c r="C89" s="1">
        <v>40909</v>
      </c>
      <c r="D89">
        <v>14</v>
      </c>
      <c r="E89" t="s">
        <v>15</v>
      </c>
      <c r="G89" s="1">
        <v>45256</v>
      </c>
      <c r="H89" s="1">
        <v>45113</v>
      </c>
      <c r="I89">
        <v>6</v>
      </c>
      <c r="K89">
        <v>16971.310000000001</v>
      </c>
    </row>
    <row r="90" spans="1:11">
      <c r="A90">
        <v>89</v>
      </c>
      <c r="B90" t="s">
        <v>91</v>
      </c>
      <c r="C90" s="1">
        <v>20090</v>
      </c>
      <c r="D90">
        <v>71</v>
      </c>
      <c r="E90" t="s">
        <v>15</v>
      </c>
      <c r="F90" t="s">
        <v>18</v>
      </c>
      <c r="G90" s="1">
        <v>44989</v>
      </c>
      <c r="H90" s="1">
        <v>45012</v>
      </c>
      <c r="I90">
        <v>-2</v>
      </c>
      <c r="J90" t="s">
        <v>23</v>
      </c>
      <c r="K90">
        <v>19057.97</v>
      </c>
    </row>
    <row r="91" spans="1:11">
      <c r="A91">
        <v>90</v>
      </c>
      <c r="B91" t="s">
        <v>87</v>
      </c>
      <c r="C91" s="1">
        <v>17898</v>
      </c>
      <c r="D91">
        <v>77</v>
      </c>
      <c r="E91" t="s">
        <v>15</v>
      </c>
      <c r="F91" t="s">
        <v>21</v>
      </c>
      <c r="G91" s="1">
        <v>45196</v>
      </c>
      <c r="H91" s="1">
        <v>45754</v>
      </c>
      <c r="I91">
        <v>13</v>
      </c>
      <c r="K91">
        <v>15320.14</v>
      </c>
    </row>
    <row r="92" spans="1:11">
      <c r="A92">
        <v>91</v>
      </c>
      <c r="B92" t="s">
        <v>92</v>
      </c>
      <c r="C92" s="1">
        <v>14611</v>
      </c>
      <c r="D92">
        <v>86</v>
      </c>
      <c r="E92" t="s">
        <v>12</v>
      </c>
      <c r="F92" t="s">
        <v>16</v>
      </c>
      <c r="G92" s="1">
        <v>45142</v>
      </c>
      <c r="H92" s="1">
        <v>45591</v>
      </c>
      <c r="I92">
        <v>35</v>
      </c>
      <c r="K92">
        <v>3912.97</v>
      </c>
    </row>
    <row r="93" spans="1:11">
      <c r="A93">
        <v>92</v>
      </c>
      <c r="B93" t="s">
        <v>93</v>
      </c>
      <c r="C93" s="1">
        <v>23742</v>
      </c>
      <c r="D93">
        <v>61</v>
      </c>
      <c r="E93" t="s">
        <v>15</v>
      </c>
      <c r="F93" t="s">
        <v>18</v>
      </c>
      <c r="G93" s="1">
        <v>45116</v>
      </c>
      <c r="H93" s="1">
        <v>45083</v>
      </c>
      <c r="I93">
        <v>20</v>
      </c>
      <c r="J93" t="s">
        <v>23</v>
      </c>
      <c r="K93">
        <v>19550.990000000002</v>
      </c>
    </row>
    <row r="94" spans="1:11">
      <c r="A94">
        <v>93</v>
      </c>
      <c r="B94" t="s">
        <v>58</v>
      </c>
      <c r="C94" s="1">
        <v>31778</v>
      </c>
      <c r="D94">
        <v>39</v>
      </c>
      <c r="E94" t="s">
        <v>12</v>
      </c>
      <c r="F94" t="s">
        <v>21</v>
      </c>
      <c r="G94" s="1">
        <v>45001</v>
      </c>
      <c r="H94" s="1">
        <v>45220</v>
      </c>
      <c r="I94">
        <v>5</v>
      </c>
      <c r="K94">
        <v>18380.66</v>
      </c>
    </row>
    <row r="95" spans="1:11">
      <c r="A95">
        <v>94</v>
      </c>
      <c r="B95" t="s">
        <v>94</v>
      </c>
      <c r="C95" s="1">
        <v>15341</v>
      </c>
      <c r="D95">
        <v>84</v>
      </c>
      <c r="E95" t="s">
        <v>12</v>
      </c>
      <c r="F95" t="s">
        <v>21</v>
      </c>
      <c r="G95" s="1">
        <v>45612</v>
      </c>
      <c r="H95" s="1">
        <v>45460</v>
      </c>
      <c r="I95">
        <v>9</v>
      </c>
      <c r="J95" t="s">
        <v>19</v>
      </c>
      <c r="K95">
        <v>3179.67</v>
      </c>
    </row>
    <row r="96" spans="1:11">
      <c r="A96">
        <v>95</v>
      </c>
      <c r="B96" t="s">
        <v>95</v>
      </c>
      <c r="C96" s="1">
        <v>17168</v>
      </c>
      <c r="D96">
        <v>79</v>
      </c>
      <c r="E96" t="s">
        <v>12</v>
      </c>
      <c r="F96" t="s">
        <v>32</v>
      </c>
      <c r="G96" s="1">
        <v>45436</v>
      </c>
      <c r="H96" s="1">
        <v>45088</v>
      </c>
      <c r="I96">
        <v>7</v>
      </c>
      <c r="J96" t="s">
        <v>25</v>
      </c>
      <c r="K96">
        <v>11131.6</v>
      </c>
    </row>
    <row r="97" spans="1:11">
      <c r="A97">
        <v>96</v>
      </c>
      <c r="B97" t="s">
        <v>96</v>
      </c>
      <c r="C97" s="1">
        <v>16437</v>
      </c>
      <c r="D97">
        <v>81</v>
      </c>
      <c r="E97" t="s">
        <v>15</v>
      </c>
      <c r="F97" t="s">
        <v>13</v>
      </c>
      <c r="G97" s="1">
        <v>45505</v>
      </c>
      <c r="H97" s="1">
        <v>45313</v>
      </c>
      <c r="I97">
        <v>13</v>
      </c>
      <c r="J97" t="s">
        <v>23</v>
      </c>
      <c r="K97">
        <v>11065.9</v>
      </c>
    </row>
    <row r="98" spans="1:11">
      <c r="A98">
        <v>97</v>
      </c>
      <c r="B98" t="s">
        <v>97</v>
      </c>
      <c r="C98" s="1">
        <v>27029</v>
      </c>
      <c r="D98">
        <v>52</v>
      </c>
      <c r="E98" t="s">
        <v>15</v>
      </c>
      <c r="G98" s="1">
        <v>45019</v>
      </c>
      <c r="H98" s="1">
        <v>45412</v>
      </c>
      <c r="I98">
        <v>21</v>
      </c>
      <c r="J98" t="s">
        <v>23</v>
      </c>
      <c r="K98">
        <v>8794.9500000000007</v>
      </c>
    </row>
    <row r="99" spans="1:11">
      <c r="A99">
        <v>98</v>
      </c>
      <c r="B99" t="s">
        <v>61</v>
      </c>
      <c r="C99" s="1">
        <v>37622</v>
      </c>
      <c r="D99">
        <v>23</v>
      </c>
      <c r="E99" t="s">
        <v>15</v>
      </c>
      <c r="F99" t="s">
        <v>45</v>
      </c>
      <c r="G99" s="1">
        <v>44979</v>
      </c>
      <c r="H99" s="1">
        <v>45430</v>
      </c>
      <c r="I99">
        <v>36</v>
      </c>
      <c r="J99" t="s">
        <v>25</v>
      </c>
      <c r="K99">
        <v>19684.05</v>
      </c>
    </row>
    <row r="100" spans="1:11">
      <c r="A100">
        <v>99</v>
      </c>
      <c r="B100" t="s">
        <v>98</v>
      </c>
      <c r="C100" s="1">
        <v>36891</v>
      </c>
      <c r="D100">
        <v>25</v>
      </c>
      <c r="E100" t="s">
        <v>12</v>
      </c>
      <c r="F100" t="s">
        <v>16</v>
      </c>
      <c r="G100" s="1">
        <v>45422</v>
      </c>
      <c r="H100" s="1">
        <v>45778</v>
      </c>
      <c r="I100">
        <v>5</v>
      </c>
      <c r="J100" t="s">
        <v>23</v>
      </c>
      <c r="K100">
        <v>1098.4100000000001</v>
      </c>
    </row>
    <row r="101" spans="1:11">
      <c r="A101">
        <v>100</v>
      </c>
      <c r="B101" t="s">
        <v>29</v>
      </c>
      <c r="C101" s="1">
        <v>13880</v>
      </c>
      <c r="D101">
        <v>88</v>
      </c>
      <c r="E101" t="s">
        <v>12</v>
      </c>
      <c r="F101" t="s">
        <v>45</v>
      </c>
      <c r="G101" s="1">
        <v>45020</v>
      </c>
      <c r="H101" s="1">
        <v>45083</v>
      </c>
      <c r="I101">
        <v>8</v>
      </c>
      <c r="J101" t="s">
        <v>23</v>
      </c>
      <c r="K101">
        <v>12506.9</v>
      </c>
    </row>
    <row r="102" spans="1:11">
      <c r="A102">
        <v>101</v>
      </c>
      <c r="B102" t="s">
        <v>99</v>
      </c>
      <c r="C102" s="1">
        <v>24473</v>
      </c>
      <c r="D102">
        <v>59</v>
      </c>
      <c r="E102" t="s">
        <v>12</v>
      </c>
      <c r="F102" t="s">
        <v>18</v>
      </c>
      <c r="G102" s="1">
        <v>45551</v>
      </c>
      <c r="H102" s="1">
        <v>45070</v>
      </c>
      <c r="I102">
        <v>38</v>
      </c>
      <c r="J102" t="s">
        <v>25</v>
      </c>
      <c r="K102">
        <v>4026.6</v>
      </c>
    </row>
    <row r="103" spans="1:11">
      <c r="A103">
        <v>102</v>
      </c>
      <c r="B103" t="s">
        <v>39</v>
      </c>
      <c r="C103" s="1">
        <v>31412</v>
      </c>
      <c r="D103">
        <v>40</v>
      </c>
      <c r="E103" t="s">
        <v>12</v>
      </c>
      <c r="F103" t="s">
        <v>45</v>
      </c>
      <c r="G103" s="1">
        <v>45155</v>
      </c>
      <c r="H103" s="1">
        <v>45696</v>
      </c>
      <c r="I103">
        <v>23</v>
      </c>
      <c r="K103">
        <v>10499.36</v>
      </c>
    </row>
    <row r="104" spans="1:11">
      <c r="A104">
        <v>103</v>
      </c>
      <c r="B104" t="s">
        <v>100</v>
      </c>
      <c r="C104" s="1">
        <v>35795</v>
      </c>
      <c r="D104">
        <v>28</v>
      </c>
      <c r="E104" t="s">
        <v>15</v>
      </c>
      <c r="F104" t="s">
        <v>32</v>
      </c>
      <c r="G104" s="1">
        <v>45176</v>
      </c>
      <c r="H104" s="1">
        <v>45546</v>
      </c>
      <c r="I104">
        <v>4</v>
      </c>
      <c r="J104" t="s">
        <v>19</v>
      </c>
      <c r="K104">
        <v>15572.79</v>
      </c>
    </row>
    <row r="105" spans="1:11">
      <c r="A105">
        <v>104</v>
      </c>
      <c r="B105" t="s">
        <v>101</v>
      </c>
      <c r="C105" s="1">
        <v>40909</v>
      </c>
      <c r="D105">
        <v>14</v>
      </c>
      <c r="E105" t="s">
        <v>15</v>
      </c>
      <c r="F105" t="s">
        <v>13</v>
      </c>
      <c r="G105" s="1">
        <v>45317</v>
      </c>
      <c r="H105" s="1">
        <v>45211</v>
      </c>
      <c r="I105">
        <v>12</v>
      </c>
      <c r="K105">
        <v>4859.21</v>
      </c>
    </row>
    <row r="106" spans="1:11">
      <c r="A106">
        <v>105</v>
      </c>
      <c r="B106" t="s">
        <v>102</v>
      </c>
      <c r="C106" s="1">
        <v>29951</v>
      </c>
      <c r="D106">
        <v>44</v>
      </c>
      <c r="E106" t="s">
        <v>12</v>
      </c>
      <c r="F106" t="s">
        <v>16</v>
      </c>
      <c r="G106" s="1">
        <v>45647</v>
      </c>
      <c r="H106" s="1">
        <v>45489</v>
      </c>
      <c r="I106">
        <v>12</v>
      </c>
      <c r="J106" t="s">
        <v>19</v>
      </c>
      <c r="K106">
        <v>7806.53</v>
      </c>
    </row>
    <row r="107" spans="1:11">
      <c r="A107">
        <v>106</v>
      </c>
      <c r="B107" t="s">
        <v>91</v>
      </c>
      <c r="C107" s="1">
        <v>22646</v>
      </c>
      <c r="D107">
        <v>64</v>
      </c>
      <c r="E107" t="s">
        <v>15</v>
      </c>
      <c r="G107" s="1">
        <v>45108</v>
      </c>
      <c r="H107" s="1">
        <v>44962</v>
      </c>
      <c r="I107">
        <v>0</v>
      </c>
      <c r="J107" t="s">
        <v>25</v>
      </c>
      <c r="K107">
        <v>19010.439999999999</v>
      </c>
    </row>
    <row r="108" spans="1:11">
      <c r="A108">
        <v>107</v>
      </c>
      <c r="B108" t="s">
        <v>53</v>
      </c>
      <c r="C108" s="1">
        <v>13880</v>
      </c>
      <c r="D108">
        <v>88</v>
      </c>
      <c r="E108" t="s">
        <v>15</v>
      </c>
      <c r="F108" t="s">
        <v>21</v>
      </c>
      <c r="G108" s="1">
        <v>45193</v>
      </c>
      <c r="H108" s="1">
        <v>45151</v>
      </c>
      <c r="I108">
        <v>13</v>
      </c>
      <c r="K108">
        <v>15205.76</v>
      </c>
    </row>
    <row r="109" spans="1:11">
      <c r="A109">
        <v>108</v>
      </c>
      <c r="B109" t="s">
        <v>103</v>
      </c>
      <c r="C109" s="1">
        <v>20455</v>
      </c>
      <c r="D109">
        <v>70</v>
      </c>
      <c r="E109" t="s">
        <v>12</v>
      </c>
      <c r="F109" t="s">
        <v>21</v>
      </c>
      <c r="G109" s="1">
        <v>45207</v>
      </c>
      <c r="H109" s="1">
        <v>45595</v>
      </c>
      <c r="I109">
        <v>12</v>
      </c>
      <c r="K109">
        <v>11411.74</v>
      </c>
    </row>
    <row r="110" spans="1:11">
      <c r="A110">
        <v>109</v>
      </c>
      <c r="B110" t="s">
        <v>31</v>
      </c>
      <c r="C110" s="1">
        <v>43100</v>
      </c>
      <c r="D110">
        <v>8</v>
      </c>
      <c r="E110" t="s">
        <v>15</v>
      </c>
      <c r="G110" s="1">
        <v>45593</v>
      </c>
      <c r="H110" s="1">
        <v>45320</v>
      </c>
      <c r="I110">
        <v>22</v>
      </c>
      <c r="J110" t="s">
        <v>19</v>
      </c>
      <c r="K110">
        <v>4362.1499999999996</v>
      </c>
    </row>
    <row r="111" spans="1:11">
      <c r="A111">
        <v>110</v>
      </c>
      <c r="B111" t="s">
        <v>31</v>
      </c>
      <c r="C111" s="1">
        <v>14246</v>
      </c>
      <c r="D111">
        <v>87</v>
      </c>
      <c r="E111" t="s">
        <v>12</v>
      </c>
      <c r="F111" t="s">
        <v>32</v>
      </c>
      <c r="G111" s="1">
        <v>45009</v>
      </c>
      <c r="H111" s="1">
        <v>45335</v>
      </c>
      <c r="I111">
        <v>30</v>
      </c>
      <c r="J111" t="s">
        <v>19</v>
      </c>
      <c r="K111">
        <v>8448.64</v>
      </c>
    </row>
    <row r="112" spans="1:11">
      <c r="A112">
        <v>111</v>
      </c>
      <c r="B112" t="s">
        <v>56</v>
      </c>
      <c r="C112" s="1">
        <v>46022</v>
      </c>
      <c r="D112">
        <v>0</v>
      </c>
      <c r="E112" t="s">
        <v>12</v>
      </c>
      <c r="F112" t="s">
        <v>16</v>
      </c>
      <c r="G112" s="1">
        <v>45112</v>
      </c>
      <c r="H112" s="1">
        <v>45630</v>
      </c>
      <c r="I112">
        <v>11</v>
      </c>
      <c r="J112" t="s">
        <v>19</v>
      </c>
      <c r="K112">
        <v>15458.63</v>
      </c>
    </row>
    <row r="113" spans="1:11">
      <c r="A113">
        <v>112</v>
      </c>
      <c r="B113" t="s">
        <v>77</v>
      </c>
      <c r="C113" s="1">
        <v>43466</v>
      </c>
      <c r="D113">
        <v>7</v>
      </c>
      <c r="E113" t="s">
        <v>12</v>
      </c>
      <c r="F113" t="s">
        <v>45</v>
      </c>
      <c r="G113" s="1">
        <v>45577</v>
      </c>
      <c r="H113" s="1">
        <v>45315</v>
      </c>
      <c r="I113">
        <v>21</v>
      </c>
      <c r="J113" t="s">
        <v>19</v>
      </c>
      <c r="K113">
        <v>16392.919999999998</v>
      </c>
    </row>
    <row r="114" spans="1:11">
      <c r="A114">
        <v>113</v>
      </c>
      <c r="B114" t="s">
        <v>86</v>
      </c>
      <c r="C114" s="1">
        <v>14246</v>
      </c>
      <c r="D114">
        <v>87</v>
      </c>
      <c r="E114" t="s">
        <v>15</v>
      </c>
      <c r="G114" s="1">
        <v>45493</v>
      </c>
      <c r="H114" s="1">
        <v>45623</v>
      </c>
      <c r="I114">
        <v>8</v>
      </c>
      <c r="J114" t="s">
        <v>23</v>
      </c>
      <c r="K114">
        <v>4816.58</v>
      </c>
    </row>
    <row r="115" spans="1:11">
      <c r="A115">
        <v>114</v>
      </c>
      <c r="B115" t="s">
        <v>39</v>
      </c>
      <c r="C115" s="1">
        <v>23377</v>
      </c>
      <c r="D115">
        <v>62</v>
      </c>
      <c r="E115" t="s">
        <v>15</v>
      </c>
      <c r="F115" t="s">
        <v>21</v>
      </c>
      <c r="G115" s="1">
        <v>45457</v>
      </c>
      <c r="H115" s="1">
        <v>45676</v>
      </c>
      <c r="I115">
        <v>0</v>
      </c>
      <c r="J115" t="s">
        <v>25</v>
      </c>
      <c r="K115">
        <v>13207.41</v>
      </c>
    </row>
    <row r="116" spans="1:11">
      <c r="A116">
        <v>115</v>
      </c>
      <c r="B116" t="s">
        <v>104</v>
      </c>
      <c r="C116" s="1">
        <v>42370</v>
      </c>
      <c r="D116">
        <v>10</v>
      </c>
      <c r="E116" t="s">
        <v>12</v>
      </c>
      <c r="F116" t="s">
        <v>45</v>
      </c>
      <c r="G116" s="1">
        <v>45274</v>
      </c>
      <c r="H116" s="1">
        <v>45224</v>
      </c>
      <c r="I116">
        <v>6</v>
      </c>
      <c r="J116" t="s">
        <v>19</v>
      </c>
      <c r="K116">
        <v>1809.56</v>
      </c>
    </row>
    <row r="117" spans="1:11">
      <c r="A117">
        <v>116</v>
      </c>
      <c r="B117" t="s">
        <v>88</v>
      </c>
      <c r="C117" s="1">
        <v>16802</v>
      </c>
      <c r="D117">
        <v>80</v>
      </c>
      <c r="E117" t="s">
        <v>15</v>
      </c>
      <c r="F117" t="s">
        <v>32</v>
      </c>
      <c r="G117" s="1">
        <v>45349</v>
      </c>
      <c r="H117" s="1">
        <v>45250</v>
      </c>
      <c r="I117">
        <v>3</v>
      </c>
      <c r="K117">
        <v>366.57</v>
      </c>
    </row>
    <row r="118" spans="1:11">
      <c r="A118">
        <v>117</v>
      </c>
      <c r="B118" t="s">
        <v>105</v>
      </c>
      <c r="C118" s="1">
        <v>43466</v>
      </c>
      <c r="D118">
        <v>7</v>
      </c>
      <c r="E118" t="s">
        <v>15</v>
      </c>
      <c r="F118" t="s">
        <v>21</v>
      </c>
      <c r="G118" s="1">
        <v>45380</v>
      </c>
      <c r="H118" s="1">
        <v>45743</v>
      </c>
      <c r="I118">
        <v>28</v>
      </c>
      <c r="K118">
        <v>10928.35</v>
      </c>
    </row>
    <row r="119" spans="1:11">
      <c r="A119">
        <v>118</v>
      </c>
      <c r="B119" t="s">
        <v>78</v>
      </c>
      <c r="C119" s="1">
        <v>33604</v>
      </c>
      <c r="D119">
        <v>34</v>
      </c>
      <c r="E119" t="s">
        <v>15</v>
      </c>
      <c r="F119" t="s">
        <v>18</v>
      </c>
      <c r="G119" s="1">
        <v>45193</v>
      </c>
      <c r="H119" s="1">
        <v>45781</v>
      </c>
      <c r="I119">
        <v>13</v>
      </c>
      <c r="K119">
        <v>4410.04</v>
      </c>
    </row>
    <row r="120" spans="1:11">
      <c r="A120">
        <v>119</v>
      </c>
      <c r="B120" t="s">
        <v>106</v>
      </c>
      <c r="C120" s="1">
        <v>33604</v>
      </c>
      <c r="D120">
        <v>34</v>
      </c>
      <c r="E120" t="s">
        <v>15</v>
      </c>
      <c r="F120" t="s">
        <v>13</v>
      </c>
      <c r="G120" s="1">
        <v>45433</v>
      </c>
      <c r="H120" s="1">
        <v>45415</v>
      </c>
      <c r="I120">
        <v>8</v>
      </c>
      <c r="J120" t="s">
        <v>19</v>
      </c>
      <c r="K120">
        <v>1486.13</v>
      </c>
    </row>
    <row r="121" spans="1:11">
      <c r="A121">
        <v>120</v>
      </c>
      <c r="B121" t="s">
        <v>46</v>
      </c>
      <c r="C121" s="1">
        <v>34334</v>
      </c>
      <c r="D121">
        <v>32</v>
      </c>
      <c r="E121" t="s">
        <v>15</v>
      </c>
      <c r="F121" t="s">
        <v>45</v>
      </c>
      <c r="G121" s="1">
        <v>45068</v>
      </c>
      <c r="H121" s="1">
        <v>45497</v>
      </c>
      <c r="I121">
        <v>14</v>
      </c>
      <c r="J121" t="s">
        <v>25</v>
      </c>
      <c r="K121">
        <v>14569.55</v>
      </c>
    </row>
    <row r="122" spans="1:11">
      <c r="A122">
        <v>121</v>
      </c>
      <c r="B122" t="s">
        <v>107</v>
      </c>
      <c r="C122" s="1">
        <v>44561</v>
      </c>
      <c r="D122">
        <v>4</v>
      </c>
      <c r="E122" t="s">
        <v>12</v>
      </c>
      <c r="G122" s="1">
        <v>45242</v>
      </c>
      <c r="H122" s="1">
        <v>44966</v>
      </c>
      <c r="I122">
        <v>0</v>
      </c>
      <c r="J122" t="s">
        <v>23</v>
      </c>
      <c r="K122">
        <v>9909.2900000000009</v>
      </c>
    </row>
    <row r="123" spans="1:11">
      <c r="A123">
        <v>122</v>
      </c>
      <c r="B123" t="s">
        <v>11</v>
      </c>
      <c r="C123" s="1">
        <v>31412</v>
      </c>
      <c r="D123">
        <v>40</v>
      </c>
      <c r="E123" t="s">
        <v>15</v>
      </c>
      <c r="F123" t="s">
        <v>16</v>
      </c>
      <c r="G123" s="1">
        <v>45602</v>
      </c>
      <c r="H123" s="1">
        <v>45432</v>
      </c>
      <c r="I123">
        <v>16</v>
      </c>
      <c r="J123" t="s">
        <v>19</v>
      </c>
      <c r="K123">
        <v>15905.17</v>
      </c>
    </row>
    <row r="124" spans="1:11">
      <c r="A124">
        <v>123</v>
      </c>
      <c r="B124" t="s">
        <v>99</v>
      </c>
      <c r="C124" s="1">
        <v>36161</v>
      </c>
      <c r="D124">
        <v>27</v>
      </c>
      <c r="E124" t="s">
        <v>15</v>
      </c>
      <c r="F124" t="s">
        <v>45</v>
      </c>
      <c r="G124" s="1">
        <v>45158</v>
      </c>
      <c r="H124" s="1">
        <v>45430</v>
      </c>
      <c r="I124">
        <v>21</v>
      </c>
      <c r="J124" t="s">
        <v>19</v>
      </c>
      <c r="K124">
        <v>13245.28</v>
      </c>
    </row>
    <row r="125" spans="1:11">
      <c r="A125">
        <v>124</v>
      </c>
      <c r="B125" t="s">
        <v>43</v>
      </c>
      <c r="C125" s="1">
        <v>43831</v>
      </c>
      <c r="D125">
        <v>6</v>
      </c>
      <c r="E125" t="s">
        <v>12</v>
      </c>
      <c r="F125" t="s">
        <v>45</v>
      </c>
      <c r="G125" s="1">
        <v>45223</v>
      </c>
      <c r="H125" s="1">
        <v>45680</v>
      </c>
      <c r="I125">
        <v>39</v>
      </c>
      <c r="J125" t="s">
        <v>23</v>
      </c>
      <c r="K125">
        <v>14569.08</v>
      </c>
    </row>
    <row r="126" spans="1:11">
      <c r="A126">
        <v>125</v>
      </c>
      <c r="B126" t="s">
        <v>108</v>
      </c>
      <c r="C126" s="1">
        <v>19724</v>
      </c>
      <c r="D126">
        <v>72</v>
      </c>
      <c r="F126" t="s">
        <v>45</v>
      </c>
      <c r="G126" s="1">
        <v>45498</v>
      </c>
      <c r="H126" s="1">
        <v>45464</v>
      </c>
      <c r="I126">
        <v>5</v>
      </c>
      <c r="J126" t="s">
        <v>25</v>
      </c>
      <c r="K126">
        <v>6077.95</v>
      </c>
    </row>
    <row r="127" spans="1:11">
      <c r="A127">
        <v>126</v>
      </c>
      <c r="B127" t="s">
        <v>31</v>
      </c>
      <c r="C127" s="1">
        <v>20090</v>
      </c>
      <c r="D127">
        <v>71</v>
      </c>
      <c r="E127" t="s">
        <v>15</v>
      </c>
      <c r="G127" s="1">
        <v>44948</v>
      </c>
      <c r="H127" s="1">
        <v>45243</v>
      </c>
      <c r="I127">
        <v>33</v>
      </c>
      <c r="J127" t="s">
        <v>19</v>
      </c>
      <c r="K127">
        <v>5191.84</v>
      </c>
    </row>
    <row r="128" spans="1:11">
      <c r="A128">
        <v>127</v>
      </c>
      <c r="B128" t="s">
        <v>109</v>
      </c>
      <c r="C128" s="1">
        <v>42005</v>
      </c>
      <c r="D128">
        <v>11</v>
      </c>
      <c r="E128" t="s">
        <v>15</v>
      </c>
      <c r="F128" t="s">
        <v>32</v>
      </c>
      <c r="G128" s="1">
        <v>45310</v>
      </c>
      <c r="H128" s="1">
        <v>45423</v>
      </c>
      <c r="I128">
        <v>37</v>
      </c>
      <c r="K128">
        <v>11977.59</v>
      </c>
    </row>
    <row r="129" spans="1:11">
      <c r="A129">
        <v>128</v>
      </c>
      <c r="B129" t="s">
        <v>110</v>
      </c>
      <c r="C129" s="1">
        <v>33969</v>
      </c>
      <c r="D129">
        <v>33</v>
      </c>
      <c r="E129" t="s">
        <v>12</v>
      </c>
      <c r="F129" t="s">
        <v>32</v>
      </c>
      <c r="G129" s="1">
        <v>45052</v>
      </c>
      <c r="H129" s="1">
        <v>45044</v>
      </c>
      <c r="I129">
        <v>-1</v>
      </c>
      <c r="K129">
        <v>3921.65</v>
      </c>
    </row>
    <row r="130" spans="1:11">
      <c r="A130">
        <v>129</v>
      </c>
      <c r="B130" t="s">
        <v>111</v>
      </c>
      <c r="C130" s="1">
        <v>34334</v>
      </c>
      <c r="D130">
        <v>32</v>
      </c>
      <c r="E130" t="s">
        <v>12</v>
      </c>
      <c r="F130" t="s">
        <v>16</v>
      </c>
      <c r="G130" s="1">
        <v>45029</v>
      </c>
      <c r="H130" s="1">
        <v>45269</v>
      </c>
      <c r="I130">
        <v>20</v>
      </c>
      <c r="J130" t="s">
        <v>19</v>
      </c>
      <c r="K130">
        <v>16289.78</v>
      </c>
    </row>
    <row r="131" spans="1:11">
      <c r="A131">
        <v>130</v>
      </c>
      <c r="B131" t="s">
        <v>112</v>
      </c>
      <c r="C131" s="1">
        <v>28856</v>
      </c>
      <c r="D131">
        <v>47</v>
      </c>
      <c r="E131" t="s">
        <v>12</v>
      </c>
      <c r="F131" t="s">
        <v>32</v>
      </c>
      <c r="G131" s="1">
        <v>45036</v>
      </c>
      <c r="H131" s="1">
        <v>45809</v>
      </c>
      <c r="I131">
        <v>37</v>
      </c>
      <c r="J131" t="s">
        <v>25</v>
      </c>
      <c r="K131">
        <v>10410.700000000001</v>
      </c>
    </row>
    <row r="132" spans="1:11">
      <c r="A132">
        <v>131</v>
      </c>
      <c r="B132" t="s">
        <v>17</v>
      </c>
      <c r="C132" s="1">
        <v>37987</v>
      </c>
      <c r="D132">
        <v>22</v>
      </c>
      <c r="E132" t="s">
        <v>12</v>
      </c>
      <c r="G132" s="1">
        <v>45496</v>
      </c>
      <c r="H132" s="1">
        <v>45167</v>
      </c>
      <c r="I132">
        <v>27</v>
      </c>
      <c r="K132">
        <v>4462.5</v>
      </c>
    </row>
    <row r="133" spans="1:11">
      <c r="A133">
        <v>132</v>
      </c>
      <c r="B133" t="s">
        <v>113</v>
      </c>
      <c r="C133" s="1">
        <v>23742</v>
      </c>
      <c r="D133">
        <v>61</v>
      </c>
      <c r="E133" t="s">
        <v>15</v>
      </c>
      <c r="F133" t="s">
        <v>16</v>
      </c>
      <c r="G133" s="1">
        <v>45398</v>
      </c>
      <c r="H133" s="1">
        <v>45614</v>
      </c>
      <c r="I133">
        <v>22</v>
      </c>
      <c r="K133">
        <v>12465.88</v>
      </c>
    </row>
    <row r="134" spans="1:11">
      <c r="A134">
        <v>133</v>
      </c>
      <c r="B134" t="s">
        <v>68</v>
      </c>
      <c r="C134" s="1">
        <v>14246</v>
      </c>
      <c r="D134">
        <v>87</v>
      </c>
      <c r="E134" t="s">
        <v>12</v>
      </c>
      <c r="F134" t="s">
        <v>16</v>
      </c>
      <c r="G134" s="1">
        <v>44991</v>
      </c>
      <c r="H134" s="1">
        <v>45372</v>
      </c>
      <c r="I134">
        <v>4</v>
      </c>
      <c r="J134" t="s">
        <v>23</v>
      </c>
      <c r="K134">
        <v>18895.22</v>
      </c>
    </row>
    <row r="135" spans="1:11">
      <c r="A135">
        <v>134</v>
      </c>
      <c r="B135" t="s">
        <v>114</v>
      </c>
      <c r="C135" s="1">
        <v>32873</v>
      </c>
      <c r="D135">
        <v>36</v>
      </c>
      <c r="E135" t="s">
        <v>15</v>
      </c>
      <c r="F135" t="s">
        <v>32</v>
      </c>
      <c r="G135" s="1">
        <v>45398</v>
      </c>
      <c r="H135" s="1">
        <v>45779</v>
      </c>
      <c r="I135">
        <v>25</v>
      </c>
      <c r="J135" t="s">
        <v>25</v>
      </c>
      <c r="K135">
        <v>1550.1</v>
      </c>
    </row>
    <row r="136" spans="1:11">
      <c r="A136">
        <v>135</v>
      </c>
      <c r="B136" t="s">
        <v>115</v>
      </c>
      <c r="C136" s="1">
        <v>30317</v>
      </c>
      <c r="D136">
        <v>43</v>
      </c>
      <c r="E136" t="s">
        <v>12</v>
      </c>
      <c r="F136" t="s">
        <v>21</v>
      </c>
      <c r="G136" s="1">
        <v>45496</v>
      </c>
      <c r="H136" s="1">
        <v>45667</v>
      </c>
      <c r="I136">
        <v>38</v>
      </c>
      <c r="J136" t="s">
        <v>19</v>
      </c>
      <c r="K136">
        <v>2097.84</v>
      </c>
    </row>
    <row r="137" spans="1:11">
      <c r="A137">
        <v>136</v>
      </c>
      <c r="B137" t="s">
        <v>22</v>
      </c>
      <c r="C137" s="1">
        <v>14976</v>
      </c>
      <c r="D137">
        <v>85</v>
      </c>
      <c r="E137" t="s">
        <v>12</v>
      </c>
      <c r="F137" t="s">
        <v>32</v>
      </c>
      <c r="G137" s="1">
        <v>45596</v>
      </c>
      <c r="H137" s="1">
        <v>45414</v>
      </c>
      <c r="I137">
        <v>14</v>
      </c>
      <c r="J137" t="s">
        <v>23</v>
      </c>
      <c r="K137">
        <v>16861.169999999998</v>
      </c>
    </row>
    <row r="138" spans="1:11">
      <c r="A138">
        <v>137</v>
      </c>
      <c r="B138" t="s">
        <v>61</v>
      </c>
      <c r="C138" s="1">
        <v>13150</v>
      </c>
      <c r="D138">
        <v>90</v>
      </c>
      <c r="F138" t="s">
        <v>21</v>
      </c>
      <c r="G138" s="1">
        <v>45002</v>
      </c>
      <c r="H138" s="1">
        <v>45692</v>
      </c>
      <c r="I138">
        <v>29</v>
      </c>
      <c r="J138" t="s">
        <v>23</v>
      </c>
      <c r="K138">
        <v>2102.83</v>
      </c>
    </row>
    <row r="139" spans="1:11">
      <c r="A139">
        <v>138</v>
      </c>
      <c r="B139" t="s">
        <v>92</v>
      </c>
      <c r="C139" s="1">
        <v>33604</v>
      </c>
      <c r="D139">
        <v>34</v>
      </c>
      <c r="E139" t="s">
        <v>15</v>
      </c>
      <c r="F139" t="s">
        <v>18</v>
      </c>
      <c r="G139" s="1">
        <v>44945</v>
      </c>
      <c r="H139" s="1">
        <v>45338</v>
      </c>
      <c r="I139">
        <v>-2</v>
      </c>
      <c r="J139" t="s">
        <v>23</v>
      </c>
      <c r="K139">
        <v>691.44</v>
      </c>
    </row>
    <row r="140" spans="1:11">
      <c r="A140">
        <v>139</v>
      </c>
      <c r="B140" t="s">
        <v>104</v>
      </c>
      <c r="C140" s="1">
        <v>22646</v>
      </c>
      <c r="D140">
        <v>64</v>
      </c>
      <c r="E140" t="s">
        <v>15</v>
      </c>
      <c r="F140" t="s">
        <v>32</v>
      </c>
      <c r="G140" s="1">
        <v>45310</v>
      </c>
      <c r="H140" s="1">
        <v>45819</v>
      </c>
      <c r="I140">
        <v>24</v>
      </c>
      <c r="J140" t="s">
        <v>25</v>
      </c>
      <c r="K140">
        <v>6893.4</v>
      </c>
    </row>
    <row r="141" spans="1:11">
      <c r="A141">
        <v>140</v>
      </c>
      <c r="B141" t="s">
        <v>93</v>
      </c>
      <c r="C141" s="1">
        <v>29221</v>
      </c>
      <c r="D141">
        <v>46</v>
      </c>
      <c r="E141" t="s">
        <v>12</v>
      </c>
      <c r="F141" t="s">
        <v>18</v>
      </c>
      <c r="G141" s="1">
        <v>45116</v>
      </c>
      <c r="H141" s="1">
        <v>45550</v>
      </c>
      <c r="I141">
        <v>33</v>
      </c>
      <c r="J141" t="s">
        <v>25</v>
      </c>
      <c r="K141">
        <v>9280.7900000000009</v>
      </c>
    </row>
    <row r="142" spans="1:11">
      <c r="A142">
        <v>141</v>
      </c>
      <c r="B142" t="s">
        <v>116</v>
      </c>
      <c r="C142" s="1">
        <v>17898</v>
      </c>
      <c r="D142">
        <v>77</v>
      </c>
      <c r="E142" t="s">
        <v>12</v>
      </c>
      <c r="F142" t="s">
        <v>32</v>
      </c>
      <c r="G142" s="1">
        <v>45286</v>
      </c>
      <c r="H142" s="1">
        <v>45680</v>
      </c>
      <c r="I142">
        <v>4</v>
      </c>
      <c r="J142" t="s">
        <v>25</v>
      </c>
      <c r="K142">
        <v>11345.83</v>
      </c>
    </row>
    <row r="143" spans="1:11">
      <c r="A143">
        <v>142</v>
      </c>
      <c r="B143" t="s">
        <v>43</v>
      </c>
      <c r="C143" s="1">
        <v>45292</v>
      </c>
      <c r="D143">
        <v>2</v>
      </c>
      <c r="E143" t="s">
        <v>12</v>
      </c>
      <c r="F143" t="s">
        <v>18</v>
      </c>
      <c r="G143" s="1">
        <v>45378</v>
      </c>
      <c r="H143" s="1">
        <v>45663</v>
      </c>
      <c r="I143">
        <v>0</v>
      </c>
      <c r="J143" t="s">
        <v>19</v>
      </c>
      <c r="K143">
        <v>10096.73</v>
      </c>
    </row>
    <row r="144" spans="1:11">
      <c r="A144">
        <v>143</v>
      </c>
      <c r="B144" t="s">
        <v>117</v>
      </c>
      <c r="C144" s="1">
        <v>46022</v>
      </c>
      <c r="D144">
        <v>0</v>
      </c>
      <c r="E144" t="s">
        <v>15</v>
      </c>
      <c r="F144" t="s">
        <v>13</v>
      </c>
      <c r="G144" s="1">
        <v>45005</v>
      </c>
      <c r="H144" s="1">
        <v>45225</v>
      </c>
      <c r="I144">
        <v>27</v>
      </c>
      <c r="J144" t="s">
        <v>25</v>
      </c>
      <c r="K144">
        <v>18255.009999999998</v>
      </c>
    </row>
    <row r="145" spans="1:11">
      <c r="A145">
        <v>144</v>
      </c>
      <c r="B145" t="s">
        <v>26</v>
      </c>
      <c r="C145" s="1">
        <v>44561</v>
      </c>
      <c r="D145">
        <v>4</v>
      </c>
      <c r="E145" t="s">
        <v>15</v>
      </c>
      <c r="F145" t="s">
        <v>18</v>
      </c>
      <c r="G145" s="1">
        <v>45522</v>
      </c>
      <c r="H145" s="1">
        <v>44979</v>
      </c>
      <c r="I145">
        <v>-2</v>
      </c>
      <c r="J145" t="s">
        <v>23</v>
      </c>
      <c r="K145">
        <v>15350.23</v>
      </c>
    </row>
    <row r="146" spans="1:11">
      <c r="A146">
        <v>145</v>
      </c>
      <c r="B146" t="s">
        <v>109</v>
      </c>
      <c r="C146" s="1">
        <v>13515</v>
      </c>
      <c r="D146">
        <v>89</v>
      </c>
      <c r="E146" t="s">
        <v>12</v>
      </c>
      <c r="F146" t="s">
        <v>21</v>
      </c>
      <c r="G146" s="1">
        <v>45098</v>
      </c>
      <c r="H146" s="1">
        <v>45660</v>
      </c>
      <c r="I146">
        <v>31</v>
      </c>
      <c r="K146">
        <v>19674.59</v>
      </c>
    </row>
    <row r="147" spans="1:11">
      <c r="A147">
        <v>146</v>
      </c>
      <c r="B147" t="s">
        <v>118</v>
      </c>
      <c r="C147" s="1">
        <v>41274</v>
      </c>
      <c r="D147">
        <v>13</v>
      </c>
      <c r="E147" t="s">
        <v>15</v>
      </c>
      <c r="F147" t="s">
        <v>45</v>
      </c>
      <c r="G147" s="1">
        <v>45138</v>
      </c>
      <c r="H147" s="1">
        <v>45231</v>
      </c>
      <c r="I147">
        <v>35</v>
      </c>
      <c r="J147" t="s">
        <v>19</v>
      </c>
      <c r="K147">
        <v>9476.75</v>
      </c>
    </row>
    <row r="148" spans="1:11">
      <c r="A148">
        <v>147</v>
      </c>
      <c r="B148" t="s">
        <v>99</v>
      </c>
      <c r="C148" s="1">
        <v>36526</v>
      </c>
      <c r="D148">
        <v>26</v>
      </c>
      <c r="E148" t="s">
        <v>12</v>
      </c>
      <c r="F148" t="s">
        <v>16</v>
      </c>
      <c r="G148" s="1">
        <v>45371</v>
      </c>
      <c r="H148" s="1">
        <v>45215</v>
      </c>
      <c r="I148">
        <v>33</v>
      </c>
      <c r="J148" t="s">
        <v>19</v>
      </c>
      <c r="K148">
        <v>1595.03</v>
      </c>
    </row>
    <row r="149" spans="1:11">
      <c r="A149">
        <v>148</v>
      </c>
      <c r="B149" t="s">
        <v>71</v>
      </c>
      <c r="C149" s="1">
        <v>43100</v>
      </c>
      <c r="D149">
        <v>8</v>
      </c>
      <c r="E149" t="s">
        <v>15</v>
      </c>
      <c r="F149" t="s">
        <v>18</v>
      </c>
      <c r="G149" s="1">
        <v>45075</v>
      </c>
      <c r="H149" s="1">
        <v>45591</v>
      </c>
      <c r="I149">
        <v>30</v>
      </c>
      <c r="J149" t="s">
        <v>19</v>
      </c>
      <c r="K149">
        <v>19106.169999999998</v>
      </c>
    </row>
    <row r="150" spans="1:11">
      <c r="A150">
        <v>149</v>
      </c>
      <c r="B150" t="s">
        <v>67</v>
      </c>
      <c r="C150" s="1">
        <v>17533</v>
      </c>
      <c r="D150">
        <v>78</v>
      </c>
      <c r="E150" t="s">
        <v>12</v>
      </c>
      <c r="F150" t="s">
        <v>45</v>
      </c>
      <c r="G150" s="1">
        <v>44936</v>
      </c>
      <c r="H150" s="1">
        <v>45826</v>
      </c>
      <c r="I150">
        <v>13</v>
      </c>
      <c r="J150" t="s">
        <v>23</v>
      </c>
      <c r="K150">
        <v>-17.329999999999998</v>
      </c>
    </row>
    <row r="151" spans="1:11">
      <c r="A151">
        <v>150</v>
      </c>
      <c r="B151" t="s">
        <v>119</v>
      </c>
      <c r="C151" s="1">
        <v>40909</v>
      </c>
      <c r="D151">
        <v>14</v>
      </c>
      <c r="E151" t="s">
        <v>12</v>
      </c>
      <c r="G151" s="1">
        <v>45468</v>
      </c>
      <c r="H151" s="1">
        <v>45045</v>
      </c>
      <c r="I151">
        <v>35</v>
      </c>
      <c r="J151" t="s">
        <v>25</v>
      </c>
      <c r="K151">
        <v>15499.53</v>
      </c>
    </row>
    <row r="152" spans="1:11">
      <c r="A152">
        <v>151</v>
      </c>
      <c r="B152" t="s">
        <v>120</v>
      </c>
      <c r="C152" s="1">
        <v>13515</v>
      </c>
      <c r="D152">
        <v>89</v>
      </c>
      <c r="E152" t="s">
        <v>12</v>
      </c>
      <c r="F152" t="s">
        <v>13</v>
      </c>
      <c r="G152" s="1">
        <v>44981</v>
      </c>
      <c r="H152" s="1">
        <v>45351</v>
      </c>
      <c r="I152">
        <v>8</v>
      </c>
      <c r="J152" t="s">
        <v>23</v>
      </c>
      <c r="K152">
        <v>528.77</v>
      </c>
    </row>
    <row r="153" spans="1:11">
      <c r="A153">
        <v>152</v>
      </c>
      <c r="B153" t="s">
        <v>24</v>
      </c>
      <c r="C153" s="1">
        <v>31047</v>
      </c>
      <c r="D153">
        <v>41</v>
      </c>
      <c r="E153" t="s">
        <v>15</v>
      </c>
      <c r="F153" t="s">
        <v>13</v>
      </c>
      <c r="G153" s="1">
        <v>45565</v>
      </c>
      <c r="H153" s="1">
        <v>45718</v>
      </c>
      <c r="I153">
        <v>5</v>
      </c>
      <c r="K153">
        <v>15200.41</v>
      </c>
    </row>
    <row r="154" spans="1:11">
      <c r="A154">
        <v>153</v>
      </c>
      <c r="B154" t="s">
        <v>121</v>
      </c>
      <c r="C154" s="1">
        <v>18263</v>
      </c>
      <c r="E154" t="s">
        <v>12</v>
      </c>
      <c r="G154" s="1">
        <v>45106</v>
      </c>
      <c r="H154" s="1">
        <v>45574</v>
      </c>
      <c r="I154">
        <v>-2</v>
      </c>
      <c r="J154" t="s">
        <v>25</v>
      </c>
      <c r="K154">
        <v>18752.57</v>
      </c>
    </row>
    <row r="155" spans="1:11">
      <c r="A155">
        <v>154</v>
      </c>
      <c r="B155" t="s">
        <v>114</v>
      </c>
      <c r="C155" s="1">
        <v>27760</v>
      </c>
      <c r="D155">
        <v>50</v>
      </c>
      <c r="E155" t="s">
        <v>15</v>
      </c>
      <c r="G155" s="1">
        <v>45307</v>
      </c>
      <c r="H155" s="1">
        <v>45136</v>
      </c>
      <c r="I155">
        <v>11</v>
      </c>
      <c r="K155">
        <v>7724.13</v>
      </c>
    </row>
    <row r="156" spans="1:11">
      <c r="A156">
        <v>155</v>
      </c>
      <c r="B156" t="s">
        <v>39</v>
      </c>
      <c r="C156" s="1">
        <v>23377</v>
      </c>
      <c r="D156">
        <v>62</v>
      </c>
      <c r="E156" t="s">
        <v>12</v>
      </c>
      <c r="G156" s="1">
        <v>45348</v>
      </c>
      <c r="H156" s="1">
        <v>45054</v>
      </c>
      <c r="I156">
        <v>27</v>
      </c>
      <c r="J156" t="s">
        <v>19</v>
      </c>
      <c r="K156">
        <v>4743.3900000000003</v>
      </c>
    </row>
    <row r="157" spans="1:11">
      <c r="A157">
        <v>156</v>
      </c>
      <c r="B157" t="s">
        <v>79</v>
      </c>
      <c r="C157" s="1">
        <v>27395</v>
      </c>
      <c r="D157">
        <v>51</v>
      </c>
      <c r="E157" t="s">
        <v>15</v>
      </c>
      <c r="F157" t="s">
        <v>21</v>
      </c>
      <c r="G157" s="1">
        <v>45377</v>
      </c>
      <c r="H157" s="1">
        <v>45220</v>
      </c>
      <c r="I157">
        <v>18</v>
      </c>
      <c r="J157" t="s">
        <v>19</v>
      </c>
      <c r="K157">
        <v>4448.21</v>
      </c>
    </row>
    <row r="158" spans="1:11">
      <c r="A158">
        <v>157</v>
      </c>
      <c r="B158" t="s">
        <v>48</v>
      </c>
      <c r="C158" s="1">
        <v>44927</v>
      </c>
      <c r="D158">
        <v>3</v>
      </c>
      <c r="E158" t="s">
        <v>15</v>
      </c>
      <c r="G158" s="1">
        <v>45019</v>
      </c>
      <c r="H158" s="1">
        <v>45446</v>
      </c>
      <c r="I158">
        <v>18</v>
      </c>
      <c r="J158" t="s">
        <v>23</v>
      </c>
      <c r="K158">
        <v>9783.52</v>
      </c>
    </row>
    <row r="159" spans="1:11">
      <c r="A159">
        <v>158</v>
      </c>
      <c r="B159" t="s">
        <v>122</v>
      </c>
      <c r="C159" s="1">
        <v>12054</v>
      </c>
      <c r="D159">
        <v>93</v>
      </c>
      <c r="E159" t="s">
        <v>15</v>
      </c>
      <c r="F159" t="s">
        <v>21</v>
      </c>
      <c r="G159" s="1">
        <v>45446</v>
      </c>
      <c r="H159" s="1">
        <v>45149</v>
      </c>
      <c r="I159">
        <v>31</v>
      </c>
      <c r="J159" t="s">
        <v>25</v>
      </c>
      <c r="K159">
        <v>3334.83</v>
      </c>
    </row>
    <row r="160" spans="1:11">
      <c r="A160">
        <v>159</v>
      </c>
      <c r="B160" t="s">
        <v>123</v>
      </c>
      <c r="C160" s="1">
        <v>37987</v>
      </c>
      <c r="E160" t="s">
        <v>15</v>
      </c>
      <c r="F160" t="s">
        <v>18</v>
      </c>
      <c r="G160" s="1">
        <v>45339</v>
      </c>
      <c r="H160" s="1">
        <v>45004</v>
      </c>
      <c r="I160">
        <v>35</v>
      </c>
      <c r="J160" t="s">
        <v>19</v>
      </c>
      <c r="K160">
        <v>13425.76</v>
      </c>
    </row>
    <row r="161" spans="1:11">
      <c r="A161">
        <v>160</v>
      </c>
      <c r="B161" t="s">
        <v>26</v>
      </c>
      <c r="C161" s="1">
        <v>40909</v>
      </c>
      <c r="D161">
        <v>14</v>
      </c>
      <c r="F161" t="s">
        <v>32</v>
      </c>
      <c r="G161" s="1">
        <v>45320</v>
      </c>
      <c r="H161" s="1">
        <v>45265</v>
      </c>
      <c r="I161">
        <v>23</v>
      </c>
      <c r="J161" t="s">
        <v>23</v>
      </c>
      <c r="K161">
        <v>7303.88</v>
      </c>
    </row>
    <row r="162" spans="1:11">
      <c r="A162">
        <v>161</v>
      </c>
      <c r="B162" t="s">
        <v>124</v>
      </c>
      <c r="C162" s="1">
        <v>30682</v>
      </c>
      <c r="D162">
        <v>42</v>
      </c>
      <c r="E162" t="s">
        <v>15</v>
      </c>
      <c r="G162" s="1">
        <v>45257</v>
      </c>
      <c r="H162" s="1">
        <v>45790</v>
      </c>
      <c r="I162">
        <v>38</v>
      </c>
      <c r="K162">
        <v>6394.5</v>
      </c>
    </row>
    <row r="163" spans="1:11">
      <c r="A163">
        <v>162</v>
      </c>
      <c r="B163" t="s">
        <v>98</v>
      </c>
      <c r="C163" s="1">
        <v>35795</v>
      </c>
      <c r="D163">
        <v>28</v>
      </c>
      <c r="E163" t="s">
        <v>12</v>
      </c>
      <c r="G163" s="1">
        <v>45634</v>
      </c>
      <c r="H163" s="1">
        <v>45717</v>
      </c>
      <c r="I163">
        <v>11</v>
      </c>
      <c r="J163" t="s">
        <v>23</v>
      </c>
      <c r="K163">
        <v>9171.84</v>
      </c>
    </row>
    <row r="164" spans="1:11">
      <c r="A164">
        <v>163</v>
      </c>
      <c r="B164" t="s">
        <v>125</v>
      </c>
      <c r="C164" s="1">
        <v>33239</v>
      </c>
      <c r="D164">
        <v>35</v>
      </c>
      <c r="F164" t="s">
        <v>13</v>
      </c>
      <c r="G164" s="1">
        <v>45359</v>
      </c>
      <c r="H164" s="1">
        <v>45773</v>
      </c>
      <c r="I164">
        <v>37</v>
      </c>
      <c r="J164" t="s">
        <v>25</v>
      </c>
      <c r="K164">
        <v>10806.01</v>
      </c>
    </row>
    <row r="165" spans="1:11">
      <c r="A165">
        <v>164</v>
      </c>
      <c r="B165" t="s">
        <v>123</v>
      </c>
      <c r="C165" s="1">
        <v>41639</v>
      </c>
      <c r="D165">
        <v>12</v>
      </c>
      <c r="E165" t="s">
        <v>15</v>
      </c>
      <c r="F165" t="s">
        <v>45</v>
      </c>
      <c r="G165" s="1">
        <v>45089</v>
      </c>
      <c r="H165" s="1">
        <v>45777</v>
      </c>
      <c r="I165">
        <v>32</v>
      </c>
      <c r="J165" t="s">
        <v>25</v>
      </c>
      <c r="K165">
        <v>2752.8</v>
      </c>
    </row>
    <row r="166" spans="1:11">
      <c r="A166">
        <v>165</v>
      </c>
      <c r="B166" t="s">
        <v>101</v>
      </c>
      <c r="C166" s="1">
        <v>34700</v>
      </c>
      <c r="D166">
        <v>31</v>
      </c>
      <c r="E166" t="s">
        <v>12</v>
      </c>
      <c r="F166" t="s">
        <v>32</v>
      </c>
      <c r="G166" s="1">
        <v>44966</v>
      </c>
      <c r="H166" s="1">
        <v>45666</v>
      </c>
      <c r="I166">
        <v>39</v>
      </c>
      <c r="J166" t="s">
        <v>25</v>
      </c>
      <c r="K166">
        <v>14126.04</v>
      </c>
    </row>
    <row r="167" spans="1:11">
      <c r="A167">
        <v>166</v>
      </c>
      <c r="B167" t="s">
        <v>123</v>
      </c>
      <c r="C167" s="1">
        <v>20455</v>
      </c>
      <c r="D167">
        <v>70</v>
      </c>
      <c r="E167" t="s">
        <v>15</v>
      </c>
      <c r="F167" t="s">
        <v>13</v>
      </c>
      <c r="G167" s="1">
        <v>45011</v>
      </c>
      <c r="H167" s="1">
        <v>45202</v>
      </c>
      <c r="I167">
        <v>15</v>
      </c>
      <c r="J167" t="s">
        <v>19</v>
      </c>
      <c r="K167">
        <v>17647.240000000002</v>
      </c>
    </row>
    <row r="168" spans="1:11">
      <c r="A168">
        <v>167</v>
      </c>
      <c r="B168" t="s">
        <v>33</v>
      </c>
      <c r="C168" s="1">
        <v>24838</v>
      </c>
      <c r="D168">
        <v>58</v>
      </c>
      <c r="E168" t="s">
        <v>15</v>
      </c>
      <c r="F168" t="s">
        <v>18</v>
      </c>
      <c r="G168" s="1">
        <v>45516</v>
      </c>
      <c r="H168" s="1">
        <v>45790</v>
      </c>
      <c r="I168">
        <v>17</v>
      </c>
      <c r="J168" t="s">
        <v>23</v>
      </c>
      <c r="K168">
        <v>5487.54</v>
      </c>
    </row>
    <row r="169" spans="1:11">
      <c r="A169">
        <v>168</v>
      </c>
      <c r="B169" t="s">
        <v>122</v>
      </c>
      <c r="C169" s="1">
        <v>14976</v>
      </c>
      <c r="D169">
        <v>85</v>
      </c>
      <c r="E169" t="s">
        <v>15</v>
      </c>
      <c r="G169" s="1">
        <v>45651</v>
      </c>
      <c r="H169" s="1">
        <v>45734</v>
      </c>
      <c r="I169">
        <v>6</v>
      </c>
      <c r="K169">
        <v>3525.86</v>
      </c>
    </row>
    <row r="170" spans="1:11">
      <c r="A170">
        <v>169</v>
      </c>
      <c r="B170" t="s">
        <v>121</v>
      </c>
      <c r="C170" s="1">
        <v>36161</v>
      </c>
      <c r="D170">
        <v>27</v>
      </c>
      <c r="E170" t="s">
        <v>12</v>
      </c>
      <c r="F170" t="s">
        <v>13</v>
      </c>
      <c r="G170" s="1">
        <v>45017</v>
      </c>
      <c r="H170" s="1">
        <v>45044</v>
      </c>
      <c r="I170">
        <v>38</v>
      </c>
      <c r="J170" t="s">
        <v>25</v>
      </c>
      <c r="K170">
        <v>15186.16</v>
      </c>
    </row>
    <row r="171" spans="1:11">
      <c r="A171">
        <v>170</v>
      </c>
      <c r="B171" t="s">
        <v>126</v>
      </c>
      <c r="C171" s="1">
        <v>22281</v>
      </c>
      <c r="D171">
        <v>65</v>
      </c>
      <c r="E171" t="s">
        <v>15</v>
      </c>
      <c r="F171" t="s">
        <v>21</v>
      </c>
      <c r="G171" s="1">
        <v>45410</v>
      </c>
      <c r="H171" s="1">
        <v>45219</v>
      </c>
      <c r="I171">
        <v>30</v>
      </c>
      <c r="J171" t="s">
        <v>23</v>
      </c>
      <c r="K171">
        <v>3589.19</v>
      </c>
    </row>
    <row r="172" spans="1:11">
      <c r="A172">
        <v>171</v>
      </c>
      <c r="B172" t="s">
        <v>127</v>
      </c>
      <c r="C172" s="1">
        <v>31047</v>
      </c>
      <c r="D172">
        <v>41</v>
      </c>
      <c r="E172" t="s">
        <v>12</v>
      </c>
      <c r="F172" t="s">
        <v>45</v>
      </c>
      <c r="G172" s="1">
        <v>45311</v>
      </c>
      <c r="H172" s="1">
        <v>45198</v>
      </c>
      <c r="I172">
        <v>1</v>
      </c>
      <c r="J172" t="s">
        <v>19</v>
      </c>
      <c r="K172">
        <v>729.23</v>
      </c>
    </row>
    <row r="173" spans="1:11">
      <c r="A173">
        <v>172</v>
      </c>
      <c r="B173" t="s">
        <v>43</v>
      </c>
      <c r="C173" s="1">
        <v>29951</v>
      </c>
      <c r="D173">
        <v>44</v>
      </c>
      <c r="E173" t="s">
        <v>12</v>
      </c>
      <c r="F173" t="s">
        <v>45</v>
      </c>
      <c r="G173" s="1">
        <v>45119</v>
      </c>
      <c r="H173" s="1">
        <v>45374</v>
      </c>
      <c r="I173">
        <v>1</v>
      </c>
      <c r="K173">
        <v>12346.79</v>
      </c>
    </row>
    <row r="174" spans="1:11">
      <c r="A174">
        <v>173</v>
      </c>
      <c r="B174" t="s">
        <v>94</v>
      </c>
      <c r="C174" s="1">
        <v>23742</v>
      </c>
      <c r="D174">
        <v>61</v>
      </c>
      <c r="E174" t="s">
        <v>12</v>
      </c>
      <c r="F174" t="s">
        <v>21</v>
      </c>
      <c r="G174" s="1">
        <v>45179</v>
      </c>
      <c r="H174" s="1">
        <v>45084</v>
      </c>
      <c r="I174">
        <v>13</v>
      </c>
      <c r="K174">
        <v>4719</v>
      </c>
    </row>
    <row r="175" spans="1:11">
      <c r="A175">
        <v>174</v>
      </c>
      <c r="B175" t="s">
        <v>128</v>
      </c>
      <c r="C175" s="1">
        <v>25568</v>
      </c>
      <c r="D175">
        <v>56</v>
      </c>
      <c r="E175" t="s">
        <v>15</v>
      </c>
      <c r="G175" s="1">
        <v>45581</v>
      </c>
      <c r="H175" s="1">
        <v>45499</v>
      </c>
      <c r="I175">
        <v>23</v>
      </c>
      <c r="K175">
        <v>3353.39</v>
      </c>
    </row>
    <row r="176" spans="1:11">
      <c r="A176">
        <v>175</v>
      </c>
      <c r="B176" t="s">
        <v>58</v>
      </c>
      <c r="C176" s="1">
        <v>44196</v>
      </c>
      <c r="D176">
        <v>5</v>
      </c>
      <c r="E176" t="s">
        <v>12</v>
      </c>
      <c r="G176" s="1">
        <v>45170</v>
      </c>
      <c r="H176" s="1">
        <v>45111</v>
      </c>
      <c r="I176">
        <v>3</v>
      </c>
      <c r="J176" t="s">
        <v>19</v>
      </c>
      <c r="K176">
        <v>19630.22</v>
      </c>
    </row>
    <row r="177" spans="1:11">
      <c r="A177">
        <v>176</v>
      </c>
      <c r="B177" t="s">
        <v>129</v>
      </c>
      <c r="E177" t="s">
        <v>12</v>
      </c>
      <c r="F177" t="s">
        <v>32</v>
      </c>
      <c r="G177" s="1">
        <v>45650</v>
      </c>
      <c r="H177" s="1">
        <v>45351</v>
      </c>
      <c r="I177">
        <v>34</v>
      </c>
      <c r="J177" t="s">
        <v>25</v>
      </c>
      <c r="K177">
        <v>5766.49</v>
      </c>
    </row>
    <row r="178" spans="1:11">
      <c r="A178">
        <v>177</v>
      </c>
      <c r="B178" t="s">
        <v>11</v>
      </c>
      <c r="C178" s="1">
        <v>36161</v>
      </c>
      <c r="D178">
        <v>27</v>
      </c>
      <c r="E178" t="s">
        <v>12</v>
      </c>
      <c r="F178" t="s">
        <v>21</v>
      </c>
      <c r="G178" s="1">
        <v>45633</v>
      </c>
      <c r="H178" s="1">
        <v>45583</v>
      </c>
      <c r="I178">
        <v>19</v>
      </c>
      <c r="J178" t="s">
        <v>19</v>
      </c>
      <c r="K178">
        <v>18059.21</v>
      </c>
    </row>
    <row r="179" spans="1:11">
      <c r="A179">
        <v>178</v>
      </c>
      <c r="B179" t="s">
        <v>116</v>
      </c>
      <c r="C179" s="1">
        <v>30317</v>
      </c>
      <c r="D179">
        <v>43</v>
      </c>
      <c r="E179" t="s">
        <v>12</v>
      </c>
      <c r="G179" s="1">
        <v>45196</v>
      </c>
      <c r="H179" s="1">
        <v>45600</v>
      </c>
      <c r="I179">
        <v>39</v>
      </c>
      <c r="K179">
        <v>3482.2</v>
      </c>
    </row>
    <row r="180" spans="1:11">
      <c r="A180">
        <v>179</v>
      </c>
      <c r="B180" t="s">
        <v>47</v>
      </c>
      <c r="C180" s="1">
        <v>15707</v>
      </c>
      <c r="D180">
        <v>83</v>
      </c>
      <c r="E180" t="s">
        <v>12</v>
      </c>
      <c r="F180" t="s">
        <v>45</v>
      </c>
      <c r="G180" s="1">
        <v>44945</v>
      </c>
      <c r="H180" s="1">
        <v>45528</v>
      </c>
      <c r="I180">
        <v>36</v>
      </c>
      <c r="J180" t="s">
        <v>23</v>
      </c>
      <c r="K180">
        <v>16361.44</v>
      </c>
    </row>
    <row r="181" spans="1:11">
      <c r="A181">
        <v>180</v>
      </c>
      <c r="B181" t="s">
        <v>88</v>
      </c>
      <c r="C181" s="1">
        <v>35430</v>
      </c>
      <c r="D181">
        <v>29</v>
      </c>
      <c r="E181" t="s">
        <v>15</v>
      </c>
      <c r="G181" s="1">
        <v>44966</v>
      </c>
      <c r="H181" s="1">
        <v>44943</v>
      </c>
      <c r="I181">
        <v>4</v>
      </c>
      <c r="K181">
        <v>9990.58</v>
      </c>
    </row>
    <row r="182" spans="1:11">
      <c r="A182">
        <v>181</v>
      </c>
      <c r="B182" t="s">
        <v>120</v>
      </c>
      <c r="C182" s="1">
        <v>23742</v>
      </c>
      <c r="D182">
        <v>61</v>
      </c>
      <c r="E182" t="s">
        <v>15</v>
      </c>
      <c r="F182" t="s">
        <v>18</v>
      </c>
      <c r="G182" s="1">
        <v>45536</v>
      </c>
      <c r="H182" s="1">
        <v>45688</v>
      </c>
      <c r="I182">
        <v>39</v>
      </c>
      <c r="J182" t="s">
        <v>23</v>
      </c>
      <c r="K182">
        <v>1479.75</v>
      </c>
    </row>
    <row r="183" spans="1:11">
      <c r="A183">
        <v>182</v>
      </c>
      <c r="B183" t="s">
        <v>78</v>
      </c>
      <c r="D183">
        <v>74</v>
      </c>
      <c r="E183" t="s">
        <v>15</v>
      </c>
      <c r="G183" s="1">
        <v>45442</v>
      </c>
      <c r="H183" s="1">
        <v>45025</v>
      </c>
      <c r="I183">
        <v>27</v>
      </c>
      <c r="J183" t="s">
        <v>19</v>
      </c>
      <c r="K183">
        <v>14645.47</v>
      </c>
    </row>
    <row r="184" spans="1:11">
      <c r="A184">
        <v>183</v>
      </c>
      <c r="B184" t="s">
        <v>110</v>
      </c>
      <c r="C184" s="1">
        <v>12785</v>
      </c>
      <c r="D184">
        <v>91</v>
      </c>
      <c r="E184" t="s">
        <v>15</v>
      </c>
      <c r="F184" t="s">
        <v>32</v>
      </c>
      <c r="G184" s="1">
        <v>44959</v>
      </c>
      <c r="H184" s="1">
        <v>45543</v>
      </c>
      <c r="I184">
        <v>7</v>
      </c>
      <c r="J184" t="s">
        <v>19</v>
      </c>
      <c r="K184">
        <v>17830.669999999998</v>
      </c>
    </row>
    <row r="185" spans="1:11">
      <c r="A185">
        <v>184</v>
      </c>
      <c r="B185" t="s">
        <v>41</v>
      </c>
      <c r="C185" s="1">
        <v>13880</v>
      </c>
      <c r="D185">
        <v>88</v>
      </c>
      <c r="E185" t="s">
        <v>15</v>
      </c>
      <c r="F185" t="s">
        <v>16</v>
      </c>
      <c r="G185" s="1">
        <v>45603</v>
      </c>
      <c r="H185" s="1">
        <v>45227</v>
      </c>
      <c r="I185">
        <v>12</v>
      </c>
      <c r="J185" t="s">
        <v>19</v>
      </c>
      <c r="K185">
        <v>3176.64</v>
      </c>
    </row>
    <row r="186" spans="1:11">
      <c r="A186">
        <v>185</v>
      </c>
      <c r="B186" t="s">
        <v>102</v>
      </c>
      <c r="C186" s="1">
        <v>23742</v>
      </c>
      <c r="D186">
        <v>61</v>
      </c>
      <c r="E186" t="s">
        <v>15</v>
      </c>
      <c r="F186" t="s">
        <v>13</v>
      </c>
      <c r="G186" s="1">
        <v>45376</v>
      </c>
      <c r="H186" s="1">
        <v>45674</v>
      </c>
      <c r="I186">
        <v>3</v>
      </c>
      <c r="J186" t="s">
        <v>23</v>
      </c>
      <c r="K186">
        <v>14484.36</v>
      </c>
    </row>
    <row r="187" spans="1:11">
      <c r="A187">
        <v>186</v>
      </c>
      <c r="B187" t="s">
        <v>113</v>
      </c>
      <c r="C187" s="1">
        <v>46022</v>
      </c>
      <c r="D187">
        <v>0</v>
      </c>
      <c r="E187" t="s">
        <v>15</v>
      </c>
      <c r="F187" t="s">
        <v>16</v>
      </c>
      <c r="G187" s="1">
        <v>45465</v>
      </c>
      <c r="H187" s="1">
        <v>45349</v>
      </c>
      <c r="I187">
        <v>21</v>
      </c>
      <c r="J187" t="s">
        <v>19</v>
      </c>
      <c r="K187">
        <v>8845.56</v>
      </c>
    </row>
    <row r="188" spans="1:11">
      <c r="A188">
        <v>187</v>
      </c>
      <c r="B188" t="s">
        <v>63</v>
      </c>
      <c r="C188" s="1">
        <v>36526</v>
      </c>
      <c r="D188">
        <v>26</v>
      </c>
      <c r="F188" t="s">
        <v>18</v>
      </c>
      <c r="G188" s="1">
        <v>45611</v>
      </c>
      <c r="H188" s="1">
        <v>45234</v>
      </c>
      <c r="I188">
        <v>-1</v>
      </c>
      <c r="J188" t="s">
        <v>25</v>
      </c>
      <c r="K188">
        <v>15052.8</v>
      </c>
    </row>
    <row r="189" spans="1:11">
      <c r="A189">
        <v>188</v>
      </c>
      <c r="B189" t="s">
        <v>119</v>
      </c>
      <c r="C189" s="1">
        <v>23742</v>
      </c>
      <c r="D189">
        <v>61</v>
      </c>
      <c r="E189" t="s">
        <v>15</v>
      </c>
      <c r="F189" t="s">
        <v>16</v>
      </c>
      <c r="G189" s="1">
        <v>45551</v>
      </c>
      <c r="H189" s="1">
        <v>45201</v>
      </c>
      <c r="I189">
        <v>37</v>
      </c>
      <c r="K189">
        <v>14249.95</v>
      </c>
    </row>
    <row r="190" spans="1:11">
      <c r="A190">
        <v>189</v>
      </c>
      <c r="B190" t="s">
        <v>102</v>
      </c>
      <c r="C190" s="1">
        <v>18263</v>
      </c>
      <c r="D190">
        <v>76</v>
      </c>
      <c r="E190" t="s">
        <v>12</v>
      </c>
      <c r="G190" s="1">
        <v>45533</v>
      </c>
      <c r="H190" s="1">
        <v>45188</v>
      </c>
      <c r="I190">
        <v>12</v>
      </c>
      <c r="J190" t="s">
        <v>25</v>
      </c>
      <c r="K190">
        <v>434.66</v>
      </c>
    </row>
    <row r="191" spans="1:11">
      <c r="A191">
        <v>190</v>
      </c>
      <c r="B191" t="s">
        <v>92</v>
      </c>
      <c r="C191" s="1">
        <v>45292</v>
      </c>
      <c r="D191">
        <v>2</v>
      </c>
      <c r="E191" t="s">
        <v>12</v>
      </c>
      <c r="F191" t="s">
        <v>32</v>
      </c>
      <c r="G191" s="1">
        <v>45245</v>
      </c>
      <c r="H191" s="1">
        <v>45166</v>
      </c>
      <c r="I191">
        <v>18</v>
      </c>
      <c r="J191" t="s">
        <v>23</v>
      </c>
      <c r="K191">
        <v>3492.29</v>
      </c>
    </row>
    <row r="192" spans="1:11">
      <c r="A192">
        <v>191</v>
      </c>
      <c r="B192" t="s">
        <v>82</v>
      </c>
      <c r="C192" s="1">
        <v>20820</v>
      </c>
      <c r="D192">
        <v>69</v>
      </c>
      <c r="E192" t="s">
        <v>12</v>
      </c>
      <c r="F192" t="s">
        <v>45</v>
      </c>
      <c r="G192" s="1">
        <v>45572</v>
      </c>
      <c r="H192" s="1">
        <v>45701</v>
      </c>
      <c r="I192">
        <v>15</v>
      </c>
      <c r="J192" t="s">
        <v>19</v>
      </c>
      <c r="K192">
        <v>9367.65</v>
      </c>
    </row>
    <row r="193" spans="1:11">
      <c r="A193">
        <v>192</v>
      </c>
      <c r="B193" t="s">
        <v>130</v>
      </c>
      <c r="C193" s="1">
        <v>20090</v>
      </c>
      <c r="E193" t="s">
        <v>12</v>
      </c>
      <c r="F193" t="s">
        <v>45</v>
      </c>
      <c r="G193" s="1">
        <v>45050</v>
      </c>
      <c r="H193" s="1">
        <v>45259</v>
      </c>
      <c r="I193">
        <v>2</v>
      </c>
      <c r="K193">
        <v>18665.240000000002</v>
      </c>
    </row>
    <row r="194" spans="1:11">
      <c r="A194">
        <v>193</v>
      </c>
      <c r="B194" t="s">
        <v>131</v>
      </c>
      <c r="C194" s="1">
        <v>36526</v>
      </c>
      <c r="D194">
        <v>26</v>
      </c>
      <c r="E194" t="s">
        <v>15</v>
      </c>
      <c r="F194" t="s">
        <v>18</v>
      </c>
      <c r="G194" s="1">
        <v>45298</v>
      </c>
      <c r="H194" s="1">
        <v>45042</v>
      </c>
      <c r="I194">
        <v>22</v>
      </c>
      <c r="J194" t="s">
        <v>19</v>
      </c>
      <c r="K194">
        <v>6775.68</v>
      </c>
    </row>
    <row r="195" spans="1:11">
      <c r="A195">
        <v>194</v>
      </c>
      <c r="B195" t="s">
        <v>101</v>
      </c>
      <c r="C195" s="1">
        <v>43100</v>
      </c>
      <c r="D195">
        <v>8</v>
      </c>
      <c r="E195" t="s">
        <v>15</v>
      </c>
      <c r="F195" t="s">
        <v>16</v>
      </c>
      <c r="G195" s="1">
        <v>45277</v>
      </c>
      <c r="H195" s="1">
        <v>45195</v>
      </c>
      <c r="I195">
        <v>33</v>
      </c>
      <c r="J195" t="s">
        <v>19</v>
      </c>
      <c r="K195">
        <v>12540.36</v>
      </c>
    </row>
    <row r="196" spans="1:11">
      <c r="A196">
        <v>195</v>
      </c>
      <c r="B196" t="s">
        <v>47</v>
      </c>
      <c r="C196" s="1">
        <v>23742</v>
      </c>
      <c r="D196">
        <v>61</v>
      </c>
      <c r="E196" t="s">
        <v>15</v>
      </c>
      <c r="F196" t="s">
        <v>32</v>
      </c>
      <c r="G196" s="1">
        <v>45249</v>
      </c>
      <c r="H196" s="1">
        <v>44939</v>
      </c>
      <c r="I196">
        <v>7</v>
      </c>
      <c r="K196">
        <v>142.88</v>
      </c>
    </row>
    <row r="197" spans="1:11">
      <c r="A197">
        <v>196</v>
      </c>
      <c r="B197" t="s">
        <v>132</v>
      </c>
      <c r="C197" s="1">
        <v>32873</v>
      </c>
      <c r="D197">
        <v>36</v>
      </c>
      <c r="E197" t="s">
        <v>15</v>
      </c>
      <c r="F197" t="s">
        <v>13</v>
      </c>
      <c r="G197" s="1">
        <v>45414</v>
      </c>
      <c r="H197" s="1">
        <v>45000</v>
      </c>
      <c r="I197">
        <v>20</v>
      </c>
      <c r="K197">
        <v>14193.65</v>
      </c>
    </row>
    <row r="198" spans="1:11">
      <c r="A198">
        <v>197</v>
      </c>
      <c r="B198" t="s">
        <v>74</v>
      </c>
      <c r="C198" s="1">
        <v>27760</v>
      </c>
      <c r="D198">
        <v>50</v>
      </c>
      <c r="E198" t="s">
        <v>12</v>
      </c>
      <c r="G198" s="1">
        <v>45377</v>
      </c>
      <c r="H198" s="1">
        <v>45801</v>
      </c>
      <c r="I198">
        <v>21</v>
      </c>
      <c r="J198" t="s">
        <v>25</v>
      </c>
      <c r="K198">
        <v>12021.67</v>
      </c>
    </row>
    <row r="199" spans="1:11">
      <c r="A199">
        <v>198</v>
      </c>
      <c r="B199" t="s">
        <v>74</v>
      </c>
      <c r="E199" t="s">
        <v>12</v>
      </c>
      <c r="F199" t="s">
        <v>16</v>
      </c>
      <c r="G199" s="1">
        <v>45279</v>
      </c>
      <c r="H199" s="1">
        <v>45333</v>
      </c>
      <c r="I199">
        <v>7</v>
      </c>
      <c r="J199" t="s">
        <v>25</v>
      </c>
      <c r="K199">
        <v>14279.43</v>
      </c>
    </row>
    <row r="200" spans="1:11">
      <c r="A200">
        <v>199</v>
      </c>
      <c r="B200" t="s">
        <v>133</v>
      </c>
      <c r="C200" s="1">
        <v>37622</v>
      </c>
      <c r="D200">
        <v>23</v>
      </c>
      <c r="E200" t="s">
        <v>15</v>
      </c>
      <c r="F200" t="s">
        <v>16</v>
      </c>
      <c r="G200" s="1">
        <v>45042</v>
      </c>
      <c r="H200" s="1">
        <v>45744</v>
      </c>
      <c r="I200">
        <v>3</v>
      </c>
      <c r="J200" t="s">
        <v>25</v>
      </c>
      <c r="K200">
        <v>18083.68</v>
      </c>
    </row>
    <row r="201" spans="1:11">
      <c r="A201">
        <v>200</v>
      </c>
      <c r="B201" t="s">
        <v>134</v>
      </c>
      <c r="C201" s="1">
        <v>17533</v>
      </c>
      <c r="D201">
        <v>78</v>
      </c>
      <c r="E201" t="s">
        <v>15</v>
      </c>
      <c r="F201" t="s">
        <v>13</v>
      </c>
      <c r="G201" s="1">
        <v>44939</v>
      </c>
      <c r="H201" s="1">
        <v>45105</v>
      </c>
      <c r="I201">
        <v>10</v>
      </c>
      <c r="J201" t="s">
        <v>25</v>
      </c>
      <c r="K201">
        <v>2844.63</v>
      </c>
    </row>
    <row r="202" spans="1:11">
      <c r="A202">
        <v>201</v>
      </c>
      <c r="B202" t="s">
        <v>104</v>
      </c>
      <c r="C202" s="1">
        <v>24838</v>
      </c>
      <c r="D202">
        <v>58</v>
      </c>
      <c r="E202" t="s">
        <v>15</v>
      </c>
      <c r="F202" t="s">
        <v>21</v>
      </c>
      <c r="G202" s="1">
        <v>45246</v>
      </c>
      <c r="H202" s="1">
        <v>45699</v>
      </c>
      <c r="I202">
        <v>18</v>
      </c>
      <c r="J202" t="s">
        <v>25</v>
      </c>
      <c r="K202">
        <v>5157.95</v>
      </c>
    </row>
    <row r="203" spans="1:11">
      <c r="A203">
        <v>202</v>
      </c>
      <c r="B203" t="s">
        <v>135</v>
      </c>
      <c r="C203" s="1">
        <v>34700</v>
      </c>
      <c r="D203">
        <v>31</v>
      </c>
      <c r="E203" t="s">
        <v>15</v>
      </c>
      <c r="G203" s="1">
        <v>45091</v>
      </c>
      <c r="H203" s="1">
        <v>45186</v>
      </c>
      <c r="I203">
        <v>29</v>
      </c>
      <c r="J203" t="s">
        <v>23</v>
      </c>
      <c r="K203">
        <v>19915.2</v>
      </c>
    </row>
    <row r="204" spans="1:11">
      <c r="A204">
        <v>203</v>
      </c>
      <c r="B204" t="s">
        <v>136</v>
      </c>
      <c r="C204" s="1">
        <v>14246</v>
      </c>
      <c r="D204">
        <v>87</v>
      </c>
      <c r="E204" t="s">
        <v>12</v>
      </c>
      <c r="F204" t="s">
        <v>18</v>
      </c>
      <c r="G204" s="1">
        <v>45646</v>
      </c>
      <c r="H204" s="1">
        <v>45327</v>
      </c>
      <c r="I204">
        <v>12</v>
      </c>
      <c r="J204" t="s">
        <v>23</v>
      </c>
      <c r="K204">
        <v>3041.31</v>
      </c>
    </row>
    <row r="205" spans="1:11">
      <c r="A205">
        <v>204</v>
      </c>
      <c r="B205" t="s">
        <v>116</v>
      </c>
      <c r="C205" s="1">
        <v>27395</v>
      </c>
      <c r="E205" t="s">
        <v>15</v>
      </c>
      <c r="G205" s="1">
        <v>45011</v>
      </c>
      <c r="H205" s="1">
        <v>45197</v>
      </c>
      <c r="I205">
        <v>-1</v>
      </c>
      <c r="J205" t="s">
        <v>19</v>
      </c>
      <c r="K205">
        <v>14384.6</v>
      </c>
    </row>
    <row r="206" spans="1:11">
      <c r="A206">
        <v>205</v>
      </c>
      <c r="B206" t="s">
        <v>65</v>
      </c>
      <c r="C206" s="1">
        <v>23742</v>
      </c>
      <c r="D206">
        <v>61</v>
      </c>
      <c r="E206" t="s">
        <v>12</v>
      </c>
      <c r="F206" t="s">
        <v>32</v>
      </c>
      <c r="G206" s="1">
        <v>45174</v>
      </c>
      <c r="H206" s="1">
        <v>45759</v>
      </c>
      <c r="I206">
        <v>12</v>
      </c>
      <c r="J206" t="s">
        <v>19</v>
      </c>
      <c r="K206">
        <v>14474.03</v>
      </c>
    </row>
    <row r="207" spans="1:11">
      <c r="A207">
        <v>206</v>
      </c>
      <c r="B207" t="s">
        <v>71</v>
      </c>
      <c r="C207" s="1">
        <v>25203</v>
      </c>
      <c r="D207">
        <v>57</v>
      </c>
      <c r="E207" t="s">
        <v>15</v>
      </c>
      <c r="F207" t="s">
        <v>18</v>
      </c>
      <c r="G207" s="1">
        <v>45358</v>
      </c>
      <c r="H207" s="1">
        <v>45559</v>
      </c>
      <c r="I207">
        <v>14</v>
      </c>
      <c r="J207" t="s">
        <v>25</v>
      </c>
      <c r="K207">
        <v>13628.17</v>
      </c>
    </row>
    <row r="208" spans="1:11">
      <c r="A208">
        <v>207</v>
      </c>
      <c r="B208" t="s">
        <v>137</v>
      </c>
      <c r="C208" s="1">
        <v>27395</v>
      </c>
      <c r="D208">
        <v>51</v>
      </c>
      <c r="E208" t="s">
        <v>15</v>
      </c>
      <c r="F208" t="s">
        <v>13</v>
      </c>
      <c r="G208" s="1">
        <v>45494</v>
      </c>
      <c r="H208" s="1">
        <v>45608</v>
      </c>
      <c r="I208">
        <v>17</v>
      </c>
      <c r="J208" t="s">
        <v>19</v>
      </c>
      <c r="K208">
        <v>4471.5600000000004</v>
      </c>
    </row>
    <row r="209" spans="1:11">
      <c r="A209">
        <v>208</v>
      </c>
      <c r="B209" t="s">
        <v>138</v>
      </c>
      <c r="C209" s="1">
        <v>42005</v>
      </c>
      <c r="D209">
        <v>11</v>
      </c>
      <c r="E209" t="s">
        <v>12</v>
      </c>
      <c r="F209" t="s">
        <v>32</v>
      </c>
      <c r="G209" s="1">
        <v>45610</v>
      </c>
      <c r="H209" s="1">
        <v>45413</v>
      </c>
      <c r="I209">
        <v>3</v>
      </c>
      <c r="J209" t="s">
        <v>23</v>
      </c>
      <c r="K209">
        <v>4224.1899999999996</v>
      </c>
    </row>
    <row r="210" spans="1:11">
      <c r="A210">
        <v>209</v>
      </c>
      <c r="B210" t="s">
        <v>68</v>
      </c>
      <c r="C210" s="1">
        <v>32143</v>
      </c>
      <c r="D210">
        <v>38</v>
      </c>
      <c r="E210" t="s">
        <v>12</v>
      </c>
      <c r="F210" t="s">
        <v>45</v>
      </c>
      <c r="G210" s="1">
        <v>45579</v>
      </c>
      <c r="H210" s="1">
        <v>45507</v>
      </c>
      <c r="I210">
        <v>12</v>
      </c>
      <c r="J210" t="s">
        <v>23</v>
      </c>
      <c r="K210">
        <v>13293.46</v>
      </c>
    </row>
    <row r="211" spans="1:11">
      <c r="A211">
        <v>210</v>
      </c>
      <c r="B211" t="s">
        <v>41</v>
      </c>
      <c r="C211" s="1">
        <v>45657</v>
      </c>
      <c r="D211">
        <v>1</v>
      </c>
      <c r="F211" t="s">
        <v>45</v>
      </c>
      <c r="G211" s="1">
        <v>45570</v>
      </c>
      <c r="H211" s="1">
        <v>44986</v>
      </c>
      <c r="I211">
        <v>14</v>
      </c>
      <c r="J211" t="s">
        <v>19</v>
      </c>
      <c r="K211">
        <v>3643.63</v>
      </c>
    </row>
    <row r="212" spans="1:11">
      <c r="A212">
        <v>211</v>
      </c>
      <c r="B212" t="s">
        <v>125</v>
      </c>
      <c r="C212" s="1">
        <v>45292</v>
      </c>
      <c r="D212">
        <v>2</v>
      </c>
      <c r="E212" t="s">
        <v>12</v>
      </c>
      <c r="G212" s="1">
        <v>45405</v>
      </c>
      <c r="H212" s="1">
        <v>45569</v>
      </c>
      <c r="I212">
        <v>23</v>
      </c>
      <c r="J212" t="s">
        <v>25</v>
      </c>
      <c r="K212">
        <v>13197.42</v>
      </c>
    </row>
    <row r="213" spans="1:11">
      <c r="A213">
        <v>212</v>
      </c>
      <c r="B213" t="s">
        <v>54</v>
      </c>
      <c r="C213" s="1">
        <v>25934</v>
      </c>
      <c r="D213">
        <v>55</v>
      </c>
      <c r="E213" t="s">
        <v>15</v>
      </c>
      <c r="F213" t="s">
        <v>32</v>
      </c>
      <c r="G213" s="1">
        <v>45639</v>
      </c>
      <c r="H213" s="1">
        <v>45814</v>
      </c>
      <c r="I213">
        <v>19</v>
      </c>
      <c r="J213" t="s">
        <v>23</v>
      </c>
      <c r="K213">
        <v>9799.82</v>
      </c>
    </row>
    <row r="214" spans="1:11">
      <c r="A214">
        <v>213</v>
      </c>
      <c r="B214" t="s">
        <v>139</v>
      </c>
      <c r="C214" s="1">
        <v>16802</v>
      </c>
      <c r="D214">
        <v>80</v>
      </c>
      <c r="E214" t="s">
        <v>15</v>
      </c>
      <c r="F214" t="s">
        <v>18</v>
      </c>
      <c r="G214" s="1">
        <v>45294</v>
      </c>
      <c r="H214" s="1">
        <v>45193</v>
      </c>
      <c r="I214">
        <v>6</v>
      </c>
      <c r="K214">
        <v>7671.24</v>
      </c>
    </row>
    <row r="215" spans="1:11">
      <c r="A215">
        <v>214</v>
      </c>
      <c r="B215" t="s">
        <v>114</v>
      </c>
      <c r="C215" s="1">
        <v>24838</v>
      </c>
      <c r="E215" t="s">
        <v>12</v>
      </c>
      <c r="F215" t="s">
        <v>18</v>
      </c>
      <c r="G215" s="1">
        <v>45283</v>
      </c>
      <c r="H215" s="1">
        <v>45002</v>
      </c>
      <c r="I215">
        <v>9</v>
      </c>
      <c r="K215">
        <v>5934.67</v>
      </c>
    </row>
    <row r="216" spans="1:11">
      <c r="A216">
        <v>215</v>
      </c>
      <c r="B216" t="s">
        <v>93</v>
      </c>
      <c r="C216" s="1">
        <v>45657</v>
      </c>
      <c r="D216">
        <v>1</v>
      </c>
      <c r="E216" t="s">
        <v>12</v>
      </c>
      <c r="F216" t="s">
        <v>45</v>
      </c>
      <c r="G216" s="1">
        <v>45334</v>
      </c>
      <c r="H216" s="1">
        <v>45017</v>
      </c>
      <c r="I216">
        <v>19</v>
      </c>
      <c r="J216" t="s">
        <v>19</v>
      </c>
      <c r="K216">
        <v>18946.3</v>
      </c>
    </row>
    <row r="217" spans="1:11">
      <c r="A217">
        <v>216</v>
      </c>
      <c r="B217" t="s">
        <v>36</v>
      </c>
      <c r="C217" s="1">
        <v>45657</v>
      </c>
      <c r="D217">
        <v>1</v>
      </c>
      <c r="E217" t="s">
        <v>12</v>
      </c>
      <c r="F217" t="s">
        <v>45</v>
      </c>
      <c r="G217" s="1">
        <v>45271</v>
      </c>
      <c r="H217" s="1">
        <v>45432</v>
      </c>
      <c r="I217">
        <v>20</v>
      </c>
      <c r="J217" t="s">
        <v>25</v>
      </c>
      <c r="K217">
        <v>10112.68</v>
      </c>
    </row>
    <row r="218" spans="1:11">
      <c r="A218">
        <v>217</v>
      </c>
      <c r="B218" t="s">
        <v>77</v>
      </c>
      <c r="C218" s="1">
        <v>12785</v>
      </c>
      <c r="D218">
        <v>91</v>
      </c>
      <c r="E218" t="s">
        <v>15</v>
      </c>
      <c r="F218" t="s">
        <v>13</v>
      </c>
      <c r="G218" s="1">
        <v>45105</v>
      </c>
      <c r="H218" s="1">
        <v>45284</v>
      </c>
      <c r="I218">
        <v>34</v>
      </c>
      <c r="J218" t="s">
        <v>19</v>
      </c>
      <c r="K218">
        <v>11181.16</v>
      </c>
    </row>
    <row r="219" spans="1:11">
      <c r="A219">
        <v>218</v>
      </c>
      <c r="B219" t="s">
        <v>126</v>
      </c>
      <c r="C219" s="1">
        <v>26664</v>
      </c>
      <c r="D219">
        <v>53</v>
      </c>
      <c r="F219" t="s">
        <v>32</v>
      </c>
      <c r="G219" s="1">
        <v>45351</v>
      </c>
      <c r="H219" s="1">
        <v>45081</v>
      </c>
      <c r="I219">
        <v>11</v>
      </c>
      <c r="J219" t="s">
        <v>25</v>
      </c>
      <c r="K219">
        <v>18980.05</v>
      </c>
    </row>
    <row r="220" spans="1:11">
      <c r="A220">
        <v>219</v>
      </c>
      <c r="B220" t="s">
        <v>63</v>
      </c>
      <c r="C220" s="1">
        <v>14611</v>
      </c>
      <c r="D220">
        <v>86</v>
      </c>
      <c r="E220" t="s">
        <v>15</v>
      </c>
      <c r="F220" t="s">
        <v>18</v>
      </c>
      <c r="G220" s="1">
        <v>45467</v>
      </c>
      <c r="H220" s="1">
        <v>45145</v>
      </c>
      <c r="I220">
        <v>21</v>
      </c>
      <c r="J220" t="s">
        <v>25</v>
      </c>
      <c r="K220">
        <v>13042.93</v>
      </c>
    </row>
    <row r="221" spans="1:11">
      <c r="A221">
        <v>220</v>
      </c>
      <c r="B221" t="s">
        <v>127</v>
      </c>
      <c r="C221" s="1">
        <v>46022</v>
      </c>
      <c r="D221">
        <v>0</v>
      </c>
      <c r="E221" t="s">
        <v>12</v>
      </c>
      <c r="F221" t="s">
        <v>13</v>
      </c>
      <c r="G221" s="1">
        <v>45369</v>
      </c>
      <c r="H221" s="1">
        <v>45413</v>
      </c>
      <c r="I221">
        <v>5</v>
      </c>
      <c r="K221">
        <v>19152.84</v>
      </c>
    </row>
    <row r="222" spans="1:11">
      <c r="A222">
        <v>221</v>
      </c>
      <c r="B222" t="s">
        <v>61</v>
      </c>
      <c r="C222" s="1">
        <v>39448</v>
      </c>
      <c r="D222">
        <v>18</v>
      </c>
      <c r="E222" t="s">
        <v>12</v>
      </c>
      <c r="F222" t="s">
        <v>18</v>
      </c>
      <c r="G222" s="1">
        <v>45232</v>
      </c>
      <c r="H222" s="1">
        <v>45467</v>
      </c>
      <c r="I222">
        <v>23</v>
      </c>
      <c r="J222" t="s">
        <v>23</v>
      </c>
      <c r="K222">
        <v>2037.97</v>
      </c>
    </row>
    <row r="223" spans="1:11">
      <c r="A223">
        <v>222</v>
      </c>
      <c r="B223" t="s">
        <v>133</v>
      </c>
      <c r="C223" s="1">
        <v>45657</v>
      </c>
      <c r="D223">
        <v>1</v>
      </c>
      <c r="E223" t="s">
        <v>15</v>
      </c>
      <c r="F223" t="s">
        <v>45</v>
      </c>
      <c r="G223" s="1">
        <v>45293</v>
      </c>
      <c r="H223" s="1">
        <v>45057</v>
      </c>
      <c r="I223">
        <v>29</v>
      </c>
      <c r="J223" t="s">
        <v>23</v>
      </c>
      <c r="K223">
        <v>16917.46</v>
      </c>
    </row>
    <row r="224" spans="1:11">
      <c r="A224">
        <v>223</v>
      </c>
      <c r="B224" t="s">
        <v>140</v>
      </c>
      <c r="C224" s="1">
        <v>27029</v>
      </c>
      <c r="D224">
        <v>52</v>
      </c>
      <c r="E224" t="s">
        <v>12</v>
      </c>
      <c r="F224" t="s">
        <v>32</v>
      </c>
      <c r="G224" s="1">
        <v>44962</v>
      </c>
      <c r="H224" s="1">
        <v>44993</v>
      </c>
      <c r="I224">
        <v>25</v>
      </c>
      <c r="J224" t="s">
        <v>19</v>
      </c>
      <c r="K224">
        <v>6641.83</v>
      </c>
    </row>
    <row r="225" spans="1:11">
      <c r="A225">
        <v>224</v>
      </c>
      <c r="B225" t="s">
        <v>56</v>
      </c>
      <c r="C225" s="1">
        <v>30317</v>
      </c>
      <c r="D225">
        <v>43</v>
      </c>
      <c r="E225" t="s">
        <v>15</v>
      </c>
      <c r="F225" t="s">
        <v>21</v>
      </c>
      <c r="G225" s="1">
        <v>45389</v>
      </c>
      <c r="H225" s="1">
        <v>45071</v>
      </c>
      <c r="I225">
        <v>29</v>
      </c>
      <c r="J225" t="s">
        <v>19</v>
      </c>
      <c r="K225">
        <v>16190.8</v>
      </c>
    </row>
    <row r="226" spans="1:11">
      <c r="A226">
        <v>225</v>
      </c>
      <c r="B226" t="s">
        <v>37</v>
      </c>
      <c r="C226" s="1">
        <v>13515</v>
      </c>
      <c r="D226">
        <v>89</v>
      </c>
      <c r="F226" t="s">
        <v>32</v>
      </c>
      <c r="G226" s="1">
        <v>45547</v>
      </c>
      <c r="H226" s="1">
        <v>45307</v>
      </c>
      <c r="I226">
        <v>19</v>
      </c>
      <c r="J226" t="s">
        <v>25</v>
      </c>
      <c r="K226">
        <v>17098.3</v>
      </c>
    </row>
    <row r="227" spans="1:11">
      <c r="A227">
        <v>226</v>
      </c>
      <c r="B227" t="s">
        <v>101</v>
      </c>
      <c r="C227" s="1">
        <v>34700</v>
      </c>
      <c r="D227">
        <v>31</v>
      </c>
      <c r="E227" t="s">
        <v>15</v>
      </c>
      <c r="F227" t="s">
        <v>16</v>
      </c>
      <c r="G227" s="1">
        <v>45072</v>
      </c>
      <c r="H227" s="1">
        <v>45240</v>
      </c>
      <c r="I227">
        <v>6</v>
      </c>
      <c r="J227" t="s">
        <v>23</v>
      </c>
      <c r="K227">
        <v>5356.91</v>
      </c>
    </row>
    <row r="228" spans="1:11">
      <c r="A228">
        <v>227</v>
      </c>
      <c r="B228" t="s">
        <v>141</v>
      </c>
      <c r="C228" s="1">
        <v>20820</v>
      </c>
      <c r="D228">
        <v>69</v>
      </c>
      <c r="E228" t="s">
        <v>12</v>
      </c>
      <c r="F228" t="s">
        <v>21</v>
      </c>
      <c r="G228" s="1">
        <v>45072</v>
      </c>
      <c r="H228" s="1">
        <v>45334</v>
      </c>
      <c r="I228">
        <v>0</v>
      </c>
      <c r="J228" t="s">
        <v>25</v>
      </c>
      <c r="K228">
        <v>8117.5</v>
      </c>
    </row>
    <row r="229" spans="1:11">
      <c r="A229">
        <v>228</v>
      </c>
      <c r="B229" t="s">
        <v>46</v>
      </c>
      <c r="C229" s="1">
        <v>34700</v>
      </c>
      <c r="D229">
        <v>31</v>
      </c>
      <c r="E229" t="s">
        <v>15</v>
      </c>
      <c r="G229" s="1">
        <v>45306</v>
      </c>
      <c r="H229" s="1">
        <v>45334</v>
      </c>
      <c r="I229">
        <v>22</v>
      </c>
      <c r="K229">
        <v>14492.89</v>
      </c>
    </row>
    <row r="230" spans="1:11">
      <c r="A230">
        <v>229</v>
      </c>
      <c r="B230" t="s">
        <v>139</v>
      </c>
      <c r="C230" s="1">
        <v>21551</v>
      </c>
      <c r="D230">
        <v>67</v>
      </c>
      <c r="E230" t="s">
        <v>12</v>
      </c>
      <c r="G230" s="1">
        <v>45094</v>
      </c>
      <c r="H230" s="1">
        <v>45204</v>
      </c>
      <c r="I230">
        <v>36</v>
      </c>
      <c r="K230">
        <v>1891.02</v>
      </c>
    </row>
    <row r="231" spans="1:11">
      <c r="A231">
        <v>230</v>
      </c>
      <c r="B231" t="s">
        <v>40</v>
      </c>
      <c r="C231" s="1">
        <v>26299</v>
      </c>
      <c r="D231">
        <v>54</v>
      </c>
      <c r="E231" t="s">
        <v>12</v>
      </c>
      <c r="F231" t="s">
        <v>13</v>
      </c>
      <c r="G231" s="1">
        <v>45201</v>
      </c>
      <c r="H231" s="1">
        <v>45542</v>
      </c>
      <c r="I231">
        <v>9</v>
      </c>
      <c r="J231" t="s">
        <v>25</v>
      </c>
      <c r="K231">
        <v>15086.22</v>
      </c>
    </row>
    <row r="232" spans="1:11">
      <c r="A232">
        <v>231</v>
      </c>
      <c r="B232" t="s">
        <v>77</v>
      </c>
      <c r="C232" s="1">
        <v>18994</v>
      </c>
      <c r="D232">
        <v>74</v>
      </c>
      <c r="E232" t="s">
        <v>15</v>
      </c>
      <c r="F232" t="s">
        <v>21</v>
      </c>
      <c r="G232" s="1">
        <v>45013</v>
      </c>
      <c r="H232" s="1">
        <v>45336</v>
      </c>
      <c r="I232">
        <v>26</v>
      </c>
      <c r="J232" t="s">
        <v>25</v>
      </c>
      <c r="K232">
        <v>2120.5100000000002</v>
      </c>
    </row>
    <row r="233" spans="1:11">
      <c r="A233">
        <v>232</v>
      </c>
      <c r="B233" t="s">
        <v>24</v>
      </c>
      <c r="C233" s="1">
        <v>25934</v>
      </c>
      <c r="D233">
        <v>55</v>
      </c>
      <c r="E233" t="s">
        <v>15</v>
      </c>
      <c r="F233" t="s">
        <v>21</v>
      </c>
      <c r="G233" s="1">
        <v>45080</v>
      </c>
      <c r="H233" s="1">
        <v>45241</v>
      </c>
      <c r="I233">
        <v>0</v>
      </c>
      <c r="J233" t="s">
        <v>25</v>
      </c>
      <c r="K233">
        <v>18280.560000000001</v>
      </c>
    </row>
    <row r="234" spans="1:11">
      <c r="A234">
        <v>233</v>
      </c>
      <c r="B234" t="s">
        <v>142</v>
      </c>
      <c r="C234" s="1">
        <v>40178</v>
      </c>
      <c r="D234">
        <v>16</v>
      </c>
      <c r="E234" t="s">
        <v>12</v>
      </c>
      <c r="F234" t="s">
        <v>13</v>
      </c>
      <c r="G234" s="1">
        <v>45423</v>
      </c>
      <c r="H234" s="1">
        <v>45476</v>
      </c>
      <c r="I234">
        <v>38</v>
      </c>
      <c r="J234" t="s">
        <v>25</v>
      </c>
      <c r="K234">
        <v>5454.42</v>
      </c>
    </row>
    <row r="235" spans="1:11">
      <c r="A235">
        <v>234</v>
      </c>
      <c r="B235" t="s">
        <v>107</v>
      </c>
      <c r="C235" s="1">
        <v>32508</v>
      </c>
      <c r="D235">
        <v>37</v>
      </c>
      <c r="E235" t="s">
        <v>15</v>
      </c>
      <c r="F235" t="s">
        <v>32</v>
      </c>
      <c r="G235" s="1">
        <v>45241</v>
      </c>
      <c r="H235" s="1">
        <v>45176</v>
      </c>
      <c r="I235">
        <v>20</v>
      </c>
      <c r="J235" t="s">
        <v>25</v>
      </c>
      <c r="K235">
        <v>11469.55</v>
      </c>
    </row>
    <row r="236" spans="1:11">
      <c r="A236">
        <v>235</v>
      </c>
      <c r="B236" t="s">
        <v>109</v>
      </c>
      <c r="C236" s="1">
        <v>37622</v>
      </c>
      <c r="D236">
        <v>23</v>
      </c>
      <c r="E236" t="s">
        <v>12</v>
      </c>
      <c r="F236" t="s">
        <v>13</v>
      </c>
      <c r="G236" s="1">
        <v>45536</v>
      </c>
      <c r="H236" s="1">
        <v>45388</v>
      </c>
      <c r="I236">
        <v>20</v>
      </c>
      <c r="K236">
        <v>2254.79</v>
      </c>
    </row>
    <row r="237" spans="1:11">
      <c r="A237">
        <v>236</v>
      </c>
      <c r="B237" t="s">
        <v>97</v>
      </c>
      <c r="C237" s="1">
        <v>21185</v>
      </c>
      <c r="D237">
        <v>68</v>
      </c>
      <c r="E237" t="s">
        <v>15</v>
      </c>
      <c r="F237" t="s">
        <v>16</v>
      </c>
      <c r="G237" s="1">
        <v>45649</v>
      </c>
      <c r="H237" s="1">
        <v>45326</v>
      </c>
      <c r="I237">
        <v>15</v>
      </c>
      <c r="K237">
        <v>5316.81</v>
      </c>
    </row>
    <row r="238" spans="1:11">
      <c r="A238">
        <v>237</v>
      </c>
      <c r="B238" t="s">
        <v>121</v>
      </c>
      <c r="C238" s="1">
        <v>20820</v>
      </c>
      <c r="D238">
        <v>69</v>
      </c>
      <c r="E238" t="s">
        <v>12</v>
      </c>
      <c r="F238" t="s">
        <v>45</v>
      </c>
      <c r="G238" s="1">
        <v>45486</v>
      </c>
      <c r="H238" s="1">
        <v>45595</v>
      </c>
      <c r="I238">
        <v>8</v>
      </c>
      <c r="K238">
        <v>8019.5</v>
      </c>
    </row>
    <row r="239" spans="1:11">
      <c r="A239">
        <v>238</v>
      </c>
      <c r="B239" t="s">
        <v>34</v>
      </c>
      <c r="C239" s="1">
        <v>14976</v>
      </c>
      <c r="D239">
        <v>85</v>
      </c>
      <c r="E239" t="s">
        <v>15</v>
      </c>
      <c r="G239" s="1">
        <v>45200</v>
      </c>
      <c r="H239" s="1">
        <v>45378</v>
      </c>
      <c r="I239">
        <v>33</v>
      </c>
      <c r="J239" t="s">
        <v>19</v>
      </c>
      <c r="K239">
        <v>9689.68</v>
      </c>
    </row>
    <row r="240" spans="1:11">
      <c r="A240">
        <v>239</v>
      </c>
      <c r="B240" t="s">
        <v>59</v>
      </c>
      <c r="C240" s="1">
        <v>42370</v>
      </c>
      <c r="D240">
        <v>10</v>
      </c>
      <c r="E240" t="s">
        <v>15</v>
      </c>
      <c r="F240" t="s">
        <v>45</v>
      </c>
      <c r="G240" s="1">
        <v>45632</v>
      </c>
      <c r="H240" s="1">
        <v>45398</v>
      </c>
      <c r="I240">
        <v>23</v>
      </c>
      <c r="K240">
        <v>-98.64</v>
      </c>
    </row>
    <row r="241" spans="1:11">
      <c r="A241">
        <v>240</v>
      </c>
      <c r="B241" t="s">
        <v>143</v>
      </c>
      <c r="C241" s="1">
        <v>40544</v>
      </c>
      <c r="D241">
        <v>15</v>
      </c>
      <c r="E241" t="s">
        <v>15</v>
      </c>
      <c r="G241" s="1">
        <v>45188</v>
      </c>
      <c r="H241" s="1">
        <v>45571</v>
      </c>
      <c r="I241">
        <v>5</v>
      </c>
      <c r="J241" t="s">
        <v>23</v>
      </c>
      <c r="K241">
        <v>17761.98</v>
      </c>
    </row>
    <row r="242" spans="1:11">
      <c r="A242">
        <v>241</v>
      </c>
      <c r="B242" t="s">
        <v>141</v>
      </c>
      <c r="C242" s="1">
        <v>19724</v>
      </c>
      <c r="D242">
        <v>72</v>
      </c>
      <c r="E242" t="s">
        <v>15</v>
      </c>
      <c r="F242" t="s">
        <v>21</v>
      </c>
      <c r="G242" s="1">
        <v>45413</v>
      </c>
      <c r="H242" s="1">
        <v>45486</v>
      </c>
      <c r="I242">
        <v>25</v>
      </c>
      <c r="J242" t="s">
        <v>23</v>
      </c>
      <c r="K242">
        <v>54.26</v>
      </c>
    </row>
    <row r="243" spans="1:11">
      <c r="A243">
        <v>242</v>
      </c>
      <c r="B243" t="s">
        <v>88</v>
      </c>
      <c r="C243" s="1">
        <v>24838</v>
      </c>
      <c r="D243">
        <v>58</v>
      </c>
      <c r="E243" t="s">
        <v>15</v>
      </c>
      <c r="F243" t="s">
        <v>13</v>
      </c>
      <c r="G243" s="1">
        <v>45380</v>
      </c>
      <c r="H243" s="1">
        <v>45361</v>
      </c>
      <c r="I243">
        <v>15</v>
      </c>
      <c r="J243" t="s">
        <v>25</v>
      </c>
      <c r="K243">
        <v>15451.06</v>
      </c>
    </row>
    <row r="244" spans="1:11">
      <c r="A244">
        <v>243</v>
      </c>
      <c r="B244" t="s">
        <v>108</v>
      </c>
      <c r="D244">
        <v>69</v>
      </c>
      <c r="E244" t="s">
        <v>12</v>
      </c>
      <c r="F244" t="s">
        <v>13</v>
      </c>
      <c r="G244" s="1">
        <v>45369</v>
      </c>
      <c r="H244" s="1">
        <v>45373</v>
      </c>
      <c r="I244">
        <v>10</v>
      </c>
      <c r="K244">
        <v>9358.64</v>
      </c>
    </row>
    <row r="245" spans="1:11">
      <c r="A245">
        <v>244</v>
      </c>
      <c r="B245" t="s">
        <v>144</v>
      </c>
      <c r="C245" s="1">
        <v>17168</v>
      </c>
      <c r="D245">
        <v>79</v>
      </c>
      <c r="E245" t="s">
        <v>12</v>
      </c>
      <c r="F245" t="s">
        <v>13</v>
      </c>
      <c r="G245" s="1">
        <v>45188</v>
      </c>
      <c r="H245" s="1">
        <v>45634</v>
      </c>
      <c r="I245">
        <v>33</v>
      </c>
      <c r="J245" t="s">
        <v>25</v>
      </c>
      <c r="K245">
        <v>10429.99</v>
      </c>
    </row>
    <row r="246" spans="1:11">
      <c r="A246">
        <v>245</v>
      </c>
      <c r="B246" t="s">
        <v>129</v>
      </c>
      <c r="C246" s="1">
        <v>12419</v>
      </c>
      <c r="D246">
        <v>92</v>
      </c>
      <c r="E246" t="s">
        <v>12</v>
      </c>
      <c r="F246" t="s">
        <v>16</v>
      </c>
      <c r="G246" s="1">
        <v>45469</v>
      </c>
      <c r="H246" s="1">
        <v>45030</v>
      </c>
      <c r="I246">
        <v>39</v>
      </c>
      <c r="J246" t="s">
        <v>25</v>
      </c>
      <c r="K246">
        <v>4086.14</v>
      </c>
    </row>
    <row r="247" spans="1:11">
      <c r="A247">
        <v>246</v>
      </c>
      <c r="B247" t="s">
        <v>87</v>
      </c>
      <c r="C247" s="1">
        <v>45292</v>
      </c>
      <c r="D247">
        <v>2</v>
      </c>
      <c r="E247" t="s">
        <v>12</v>
      </c>
      <c r="F247" t="s">
        <v>16</v>
      </c>
      <c r="G247" s="1">
        <v>45031</v>
      </c>
      <c r="H247" s="1">
        <v>45255</v>
      </c>
      <c r="I247">
        <v>37</v>
      </c>
      <c r="J247" t="s">
        <v>23</v>
      </c>
      <c r="K247">
        <v>12108.1</v>
      </c>
    </row>
    <row r="248" spans="1:11">
      <c r="A248">
        <v>247</v>
      </c>
      <c r="B248" t="s">
        <v>138</v>
      </c>
      <c r="C248" s="1">
        <v>39083</v>
      </c>
      <c r="D248">
        <v>19</v>
      </c>
      <c r="E248" t="s">
        <v>15</v>
      </c>
      <c r="F248" t="s">
        <v>32</v>
      </c>
      <c r="G248" s="1">
        <v>45276</v>
      </c>
      <c r="H248" s="1">
        <v>45610</v>
      </c>
      <c r="I248">
        <v>9</v>
      </c>
      <c r="J248" t="s">
        <v>23</v>
      </c>
      <c r="K248">
        <v>10698.36</v>
      </c>
    </row>
    <row r="249" spans="1:11">
      <c r="A249">
        <v>248</v>
      </c>
      <c r="B249" t="s">
        <v>145</v>
      </c>
      <c r="C249" s="1">
        <v>24838</v>
      </c>
      <c r="D249">
        <v>58</v>
      </c>
      <c r="E249" t="s">
        <v>12</v>
      </c>
      <c r="F249" t="s">
        <v>18</v>
      </c>
      <c r="G249" s="1">
        <v>45364</v>
      </c>
      <c r="H249" s="1">
        <v>45528</v>
      </c>
      <c r="I249">
        <v>19</v>
      </c>
      <c r="J249" t="s">
        <v>25</v>
      </c>
      <c r="K249">
        <v>3201.15</v>
      </c>
    </row>
    <row r="250" spans="1:11">
      <c r="A250">
        <v>249</v>
      </c>
      <c r="B250" t="s">
        <v>126</v>
      </c>
      <c r="C250" s="1">
        <v>33239</v>
      </c>
      <c r="D250">
        <v>35</v>
      </c>
      <c r="E250" t="s">
        <v>15</v>
      </c>
      <c r="G250" s="1">
        <v>45095</v>
      </c>
      <c r="H250" s="1">
        <v>45173</v>
      </c>
      <c r="I250">
        <v>-1</v>
      </c>
      <c r="J250" t="s">
        <v>23</v>
      </c>
      <c r="K250">
        <v>4686.1899999999996</v>
      </c>
    </row>
    <row r="251" spans="1:11">
      <c r="A251">
        <v>250</v>
      </c>
      <c r="B251" t="s">
        <v>119</v>
      </c>
      <c r="C251" s="1">
        <v>39448</v>
      </c>
      <c r="D251">
        <v>18</v>
      </c>
      <c r="E251" t="s">
        <v>12</v>
      </c>
      <c r="F251" t="s">
        <v>18</v>
      </c>
      <c r="G251" s="1">
        <v>45269</v>
      </c>
      <c r="H251" s="1">
        <v>44985</v>
      </c>
      <c r="I251">
        <v>37</v>
      </c>
      <c r="J251" t="s">
        <v>25</v>
      </c>
      <c r="K251">
        <v>1244.76</v>
      </c>
    </row>
    <row r="252" spans="1:11">
      <c r="A252">
        <v>251</v>
      </c>
      <c r="B252" t="s">
        <v>36</v>
      </c>
      <c r="C252" s="1">
        <v>13515</v>
      </c>
      <c r="D252">
        <v>89</v>
      </c>
      <c r="E252" t="s">
        <v>15</v>
      </c>
      <c r="F252" t="s">
        <v>18</v>
      </c>
      <c r="G252" s="1">
        <v>45156</v>
      </c>
      <c r="H252" s="1">
        <v>45032</v>
      </c>
      <c r="I252">
        <v>25</v>
      </c>
      <c r="J252" t="s">
        <v>25</v>
      </c>
      <c r="K252">
        <v>1232.3</v>
      </c>
    </row>
    <row r="253" spans="1:11">
      <c r="A253">
        <v>252</v>
      </c>
      <c r="B253" t="s">
        <v>81</v>
      </c>
      <c r="C253" s="1">
        <v>21916</v>
      </c>
      <c r="D253">
        <v>66</v>
      </c>
      <c r="E253" t="s">
        <v>15</v>
      </c>
      <c r="G253" s="1">
        <v>44949</v>
      </c>
      <c r="H253" s="1">
        <v>45619</v>
      </c>
      <c r="I253">
        <v>10</v>
      </c>
      <c r="J253" t="s">
        <v>25</v>
      </c>
      <c r="K253">
        <v>176.89</v>
      </c>
    </row>
    <row r="254" spans="1:11">
      <c r="A254">
        <v>253</v>
      </c>
      <c r="B254" t="s">
        <v>36</v>
      </c>
      <c r="C254" s="1">
        <v>39448</v>
      </c>
      <c r="D254">
        <v>18</v>
      </c>
      <c r="E254" t="s">
        <v>15</v>
      </c>
      <c r="F254" t="s">
        <v>32</v>
      </c>
      <c r="G254" s="1">
        <v>45602</v>
      </c>
      <c r="H254" s="1">
        <v>44996</v>
      </c>
      <c r="I254">
        <v>30</v>
      </c>
      <c r="J254" t="s">
        <v>19</v>
      </c>
      <c r="K254">
        <v>4331.53</v>
      </c>
    </row>
    <row r="255" spans="1:11">
      <c r="A255">
        <v>254</v>
      </c>
      <c r="B255" t="s">
        <v>107</v>
      </c>
      <c r="C255" s="1">
        <v>39083</v>
      </c>
      <c r="D255">
        <v>19</v>
      </c>
      <c r="E255" t="s">
        <v>12</v>
      </c>
      <c r="F255" t="s">
        <v>13</v>
      </c>
      <c r="G255" s="1">
        <v>45207</v>
      </c>
      <c r="H255" s="1">
        <v>45229</v>
      </c>
      <c r="I255">
        <v>0</v>
      </c>
      <c r="J255" t="s">
        <v>23</v>
      </c>
      <c r="K255">
        <v>13561.19</v>
      </c>
    </row>
    <row r="256" spans="1:11">
      <c r="A256">
        <v>255</v>
      </c>
      <c r="B256" t="s">
        <v>113</v>
      </c>
      <c r="C256" s="1">
        <v>20455</v>
      </c>
      <c r="D256">
        <v>70</v>
      </c>
      <c r="E256" t="s">
        <v>15</v>
      </c>
      <c r="F256" t="s">
        <v>18</v>
      </c>
      <c r="G256" s="1">
        <v>45445</v>
      </c>
      <c r="H256" s="1">
        <v>45080</v>
      </c>
      <c r="I256">
        <v>31</v>
      </c>
      <c r="J256" t="s">
        <v>23</v>
      </c>
      <c r="K256">
        <v>6255.93</v>
      </c>
    </row>
    <row r="257" spans="1:11">
      <c r="A257">
        <v>256</v>
      </c>
      <c r="B257" t="s">
        <v>60</v>
      </c>
      <c r="C257" s="1">
        <v>27395</v>
      </c>
      <c r="D257">
        <v>51</v>
      </c>
      <c r="E257" t="s">
        <v>12</v>
      </c>
      <c r="F257" t="s">
        <v>13</v>
      </c>
      <c r="G257" s="1">
        <v>45648</v>
      </c>
      <c r="H257" s="1">
        <v>45464</v>
      </c>
      <c r="I257">
        <v>20</v>
      </c>
      <c r="K257">
        <v>6788.96</v>
      </c>
    </row>
    <row r="258" spans="1:11">
      <c r="A258">
        <v>257</v>
      </c>
      <c r="B258" t="s">
        <v>130</v>
      </c>
      <c r="D258">
        <v>32</v>
      </c>
      <c r="E258" t="s">
        <v>15</v>
      </c>
      <c r="F258" t="s">
        <v>21</v>
      </c>
      <c r="G258" s="1">
        <v>45179</v>
      </c>
      <c r="H258" s="1">
        <v>45816</v>
      </c>
      <c r="I258">
        <v>29</v>
      </c>
      <c r="J258" t="s">
        <v>23</v>
      </c>
      <c r="K258">
        <v>2551.3000000000002</v>
      </c>
    </row>
    <row r="259" spans="1:11">
      <c r="A259">
        <v>258</v>
      </c>
      <c r="B259" t="s">
        <v>107</v>
      </c>
      <c r="C259" s="1">
        <v>31778</v>
      </c>
      <c r="D259">
        <v>39</v>
      </c>
      <c r="E259" t="s">
        <v>12</v>
      </c>
      <c r="F259" t="s">
        <v>18</v>
      </c>
      <c r="G259" s="1">
        <v>45330</v>
      </c>
      <c r="H259" s="1">
        <v>44962</v>
      </c>
      <c r="I259">
        <v>17</v>
      </c>
      <c r="K259">
        <v>11466.96</v>
      </c>
    </row>
    <row r="260" spans="1:11">
      <c r="A260">
        <v>259</v>
      </c>
      <c r="B260" t="s">
        <v>22</v>
      </c>
      <c r="C260" s="1">
        <v>32143</v>
      </c>
      <c r="D260">
        <v>38</v>
      </c>
      <c r="E260" t="s">
        <v>12</v>
      </c>
      <c r="F260" t="s">
        <v>21</v>
      </c>
      <c r="G260" s="1">
        <v>45059</v>
      </c>
      <c r="H260" s="1">
        <v>44942</v>
      </c>
      <c r="I260">
        <v>25</v>
      </c>
      <c r="J260" t="s">
        <v>25</v>
      </c>
      <c r="K260">
        <v>6777.09</v>
      </c>
    </row>
    <row r="261" spans="1:11">
      <c r="A261">
        <v>260</v>
      </c>
      <c r="B261" t="s">
        <v>66</v>
      </c>
      <c r="C261" s="1">
        <v>16437</v>
      </c>
      <c r="D261">
        <v>81</v>
      </c>
      <c r="E261" t="s">
        <v>15</v>
      </c>
      <c r="F261" t="s">
        <v>32</v>
      </c>
      <c r="G261" s="1">
        <v>45200</v>
      </c>
      <c r="H261" s="1">
        <v>45033</v>
      </c>
      <c r="I261">
        <v>5</v>
      </c>
      <c r="J261" t="s">
        <v>19</v>
      </c>
      <c r="K261">
        <v>13493.97</v>
      </c>
    </row>
    <row r="262" spans="1:11">
      <c r="A262">
        <v>261</v>
      </c>
      <c r="B262" t="s">
        <v>106</v>
      </c>
      <c r="C262" s="1">
        <v>46022</v>
      </c>
      <c r="D262">
        <v>0</v>
      </c>
      <c r="E262" t="s">
        <v>12</v>
      </c>
      <c r="F262" t="s">
        <v>45</v>
      </c>
      <c r="G262" s="1">
        <v>45544</v>
      </c>
      <c r="H262" s="1">
        <v>45657</v>
      </c>
      <c r="I262">
        <v>0</v>
      </c>
      <c r="J262" t="s">
        <v>25</v>
      </c>
      <c r="K262">
        <v>14803.34</v>
      </c>
    </row>
    <row r="263" spans="1:11">
      <c r="A263">
        <v>262</v>
      </c>
      <c r="B263" t="s">
        <v>146</v>
      </c>
      <c r="C263" s="1">
        <v>42370</v>
      </c>
      <c r="D263">
        <v>10</v>
      </c>
      <c r="E263" t="s">
        <v>12</v>
      </c>
      <c r="F263" t="s">
        <v>16</v>
      </c>
      <c r="G263" s="1">
        <v>45158</v>
      </c>
      <c r="H263" s="1">
        <v>45823</v>
      </c>
      <c r="I263">
        <v>27</v>
      </c>
      <c r="J263" t="s">
        <v>25</v>
      </c>
      <c r="K263">
        <v>11652.33</v>
      </c>
    </row>
    <row r="264" spans="1:11">
      <c r="A264">
        <v>263</v>
      </c>
      <c r="B264" t="s">
        <v>34</v>
      </c>
      <c r="C264" s="1">
        <v>12785</v>
      </c>
      <c r="D264">
        <v>91</v>
      </c>
      <c r="E264" t="s">
        <v>12</v>
      </c>
      <c r="G264" s="1">
        <v>45471</v>
      </c>
      <c r="H264" s="1">
        <v>45001</v>
      </c>
      <c r="I264">
        <v>22</v>
      </c>
      <c r="J264" t="s">
        <v>25</v>
      </c>
      <c r="K264">
        <v>5449</v>
      </c>
    </row>
    <row r="265" spans="1:11">
      <c r="A265">
        <v>264</v>
      </c>
      <c r="B265" t="s">
        <v>55</v>
      </c>
      <c r="C265" s="1">
        <v>25568</v>
      </c>
      <c r="D265">
        <v>56</v>
      </c>
      <c r="E265" t="s">
        <v>12</v>
      </c>
      <c r="F265" t="s">
        <v>32</v>
      </c>
      <c r="G265" s="1">
        <v>45005</v>
      </c>
      <c r="H265" s="1">
        <v>45783</v>
      </c>
      <c r="I265">
        <v>27</v>
      </c>
      <c r="K265">
        <v>10123.02</v>
      </c>
    </row>
    <row r="266" spans="1:11">
      <c r="A266">
        <v>265</v>
      </c>
      <c r="B266" t="s">
        <v>129</v>
      </c>
      <c r="C266" s="1">
        <v>13880</v>
      </c>
      <c r="D266">
        <v>88</v>
      </c>
      <c r="E266" t="s">
        <v>12</v>
      </c>
      <c r="F266" t="s">
        <v>32</v>
      </c>
      <c r="G266" s="1">
        <v>44961</v>
      </c>
      <c r="H266" s="1">
        <v>45212</v>
      </c>
      <c r="I266">
        <v>26</v>
      </c>
      <c r="J266" t="s">
        <v>19</v>
      </c>
      <c r="K266">
        <v>4963.8100000000004</v>
      </c>
    </row>
    <row r="267" spans="1:11">
      <c r="A267">
        <v>266</v>
      </c>
      <c r="B267" t="s">
        <v>102</v>
      </c>
      <c r="C267" s="1">
        <v>28125</v>
      </c>
      <c r="D267">
        <v>49</v>
      </c>
      <c r="E267" t="s">
        <v>12</v>
      </c>
      <c r="F267" t="s">
        <v>32</v>
      </c>
      <c r="G267" s="1">
        <v>45421</v>
      </c>
      <c r="H267" s="1">
        <v>45477</v>
      </c>
      <c r="I267">
        <v>27</v>
      </c>
      <c r="J267" t="s">
        <v>25</v>
      </c>
      <c r="K267">
        <v>18048.55</v>
      </c>
    </row>
    <row r="268" spans="1:11">
      <c r="A268">
        <v>267</v>
      </c>
      <c r="B268" t="s">
        <v>40</v>
      </c>
      <c r="C268" s="1">
        <v>37987</v>
      </c>
      <c r="D268">
        <v>22</v>
      </c>
      <c r="E268" t="s">
        <v>15</v>
      </c>
      <c r="F268" t="s">
        <v>18</v>
      </c>
      <c r="G268" s="1">
        <v>45036</v>
      </c>
      <c r="H268" s="1">
        <v>45124</v>
      </c>
      <c r="I268">
        <v>31</v>
      </c>
      <c r="K268">
        <v>15304.35</v>
      </c>
    </row>
    <row r="269" spans="1:11">
      <c r="A269">
        <v>268</v>
      </c>
      <c r="B269" t="s">
        <v>124</v>
      </c>
      <c r="C269" s="1">
        <v>35065</v>
      </c>
      <c r="E269" t="s">
        <v>12</v>
      </c>
      <c r="F269" t="s">
        <v>21</v>
      </c>
      <c r="G269" s="1">
        <v>45247</v>
      </c>
      <c r="H269" s="1">
        <v>45207</v>
      </c>
      <c r="I269">
        <v>22</v>
      </c>
      <c r="J269" t="s">
        <v>25</v>
      </c>
      <c r="K269">
        <v>9809.42</v>
      </c>
    </row>
    <row r="270" spans="1:11">
      <c r="A270">
        <v>269</v>
      </c>
      <c r="B270" t="s">
        <v>146</v>
      </c>
      <c r="C270" s="1">
        <v>12054</v>
      </c>
      <c r="D270">
        <v>93</v>
      </c>
      <c r="E270" t="s">
        <v>15</v>
      </c>
      <c r="F270" t="s">
        <v>16</v>
      </c>
      <c r="G270" s="1">
        <v>45501</v>
      </c>
      <c r="H270" s="1">
        <v>45714</v>
      </c>
      <c r="I270">
        <v>14</v>
      </c>
      <c r="J270" t="s">
        <v>19</v>
      </c>
      <c r="K270">
        <v>19305.689999999999</v>
      </c>
    </row>
    <row r="271" spans="1:11">
      <c r="A271">
        <v>270</v>
      </c>
      <c r="B271" t="s">
        <v>127</v>
      </c>
      <c r="C271" s="1">
        <v>31047</v>
      </c>
      <c r="D271">
        <v>41</v>
      </c>
      <c r="E271" t="s">
        <v>15</v>
      </c>
      <c r="F271" t="s">
        <v>18</v>
      </c>
      <c r="G271" s="1">
        <v>45254</v>
      </c>
      <c r="H271" s="1">
        <v>45613</v>
      </c>
      <c r="I271">
        <v>21</v>
      </c>
      <c r="J271" t="s">
        <v>25</v>
      </c>
      <c r="K271">
        <v>10889.78</v>
      </c>
    </row>
    <row r="272" spans="1:11">
      <c r="A272">
        <v>271</v>
      </c>
      <c r="B272" t="s">
        <v>147</v>
      </c>
      <c r="C272" s="1">
        <v>43831</v>
      </c>
      <c r="D272">
        <v>6</v>
      </c>
      <c r="E272" t="s">
        <v>12</v>
      </c>
      <c r="F272" t="s">
        <v>45</v>
      </c>
      <c r="G272" s="1">
        <v>45616</v>
      </c>
      <c r="H272" s="1">
        <v>45744</v>
      </c>
      <c r="I272">
        <v>35</v>
      </c>
      <c r="J272" t="s">
        <v>25</v>
      </c>
      <c r="K272">
        <v>6503.56</v>
      </c>
    </row>
    <row r="273" spans="1:11">
      <c r="A273">
        <v>272</v>
      </c>
      <c r="B273" t="s">
        <v>130</v>
      </c>
      <c r="C273" s="1">
        <v>40544</v>
      </c>
      <c r="D273">
        <v>15</v>
      </c>
      <c r="E273" t="s">
        <v>15</v>
      </c>
      <c r="G273" s="1">
        <v>45310</v>
      </c>
      <c r="H273" s="1">
        <v>45483</v>
      </c>
      <c r="I273">
        <v>25</v>
      </c>
      <c r="J273" t="s">
        <v>23</v>
      </c>
      <c r="K273">
        <v>1818.89</v>
      </c>
    </row>
    <row r="274" spans="1:11">
      <c r="A274">
        <v>273</v>
      </c>
      <c r="B274" t="s">
        <v>105</v>
      </c>
      <c r="C274" s="1">
        <v>13515</v>
      </c>
      <c r="D274">
        <v>89</v>
      </c>
      <c r="E274" t="s">
        <v>15</v>
      </c>
      <c r="G274" s="1">
        <v>45290</v>
      </c>
      <c r="H274" s="1">
        <v>45593</v>
      </c>
      <c r="I274">
        <v>30</v>
      </c>
      <c r="K274">
        <v>10829.29</v>
      </c>
    </row>
    <row r="275" spans="1:11">
      <c r="A275">
        <v>274</v>
      </c>
      <c r="B275" t="s">
        <v>106</v>
      </c>
      <c r="C275" s="1">
        <v>24473</v>
      </c>
      <c r="E275" t="s">
        <v>12</v>
      </c>
      <c r="F275" t="s">
        <v>16</v>
      </c>
      <c r="G275" s="1">
        <v>45158</v>
      </c>
      <c r="H275" s="1">
        <v>45080</v>
      </c>
      <c r="I275">
        <v>33</v>
      </c>
      <c r="J275" t="s">
        <v>19</v>
      </c>
      <c r="K275">
        <v>17194.37</v>
      </c>
    </row>
    <row r="276" spans="1:11">
      <c r="A276">
        <v>275</v>
      </c>
      <c r="B276" t="s">
        <v>148</v>
      </c>
      <c r="C276" s="1">
        <v>45657</v>
      </c>
      <c r="D276">
        <v>1</v>
      </c>
      <c r="E276" t="s">
        <v>12</v>
      </c>
      <c r="G276" s="1">
        <v>45542</v>
      </c>
      <c r="H276" s="1">
        <v>45218</v>
      </c>
      <c r="I276">
        <v>4</v>
      </c>
      <c r="K276">
        <v>17321.05</v>
      </c>
    </row>
    <row r="277" spans="1:11">
      <c r="A277">
        <v>276</v>
      </c>
      <c r="B277" t="s">
        <v>48</v>
      </c>
      <c r="C277" s="1">
        <v>46022</v>
      </c>
      <c r="D277">
        <v>0</v>
      </c>
      <c r="E277" t="s">
        <v>12</v>
      </c>
      <c r="G277" s="1">
        <v>45340</v>
      </c>
      <c r="H277" s="1">
        <v>45069</v>
      </c>
      <c r="I277">
        <v>20</v>
      </c>
      <c r="J277" t="s">
        <v>23</v>
      </c>
      <c r="K277">
        <v>12051.8</v>
      </c>
    </row>
    <row r="278" spans="1:11">
      <c r="A278">
        <v>277</v>
      </c>
      <c r="B278" t="s">
        <v>48</v>
      </c>
      <c r="C278" s="1">
        <v>28856</v>
      </c>
      <c r="D278">
        <v>47</v>
      </c>
      <c r="E278" t="s">
        <v>12</v>
      </c>
      <c r="F278" t="s">
        <v>32</v>
      </c>
      <c r="G278" s="1">
        <v>45220</v>
      </c>
      <c r="H278" s="1">
        <v>45695</v>
      </c>
      <c r="I278">
        <v>23</v>
      </c>
      <c r="J278" t="s">
        <v>25</v>
      </c>
      <c r="K278">
        <v>7808.11</v>
      </c>
    </row>
    <row r="279" spans="1:11">
      <c r="A279">
        <v>278</v>
      </c>
      <c r="B279" t="s">
        <v>104</v>
      </c>
      <c r="C279" s="1">
        <v>42005</v>
      </c>
      <c r="D279">
        <v>11</v>
      </c>
      <c r="E279" t="s">
        <v>12</v>
      </c>
      <c r="F279" t="s">
        <v>13</v>
      </c>
      <c r="G279" s="1">
        <v>45473</v>
      </c>
      <c r="H279" s="1">
        <v>45239</v>
      </c>
      <c r="I279">
        <v>11</v>
      </c>
      <c r="J279" t="s">
        <v>19</v>
      </c>
      <c r="K279">
        <v>12970.96</v>
      </c>
    </row>
    <row r="280" spans="1:11">
      <c r="A280">
        <v>279</v>
      </c>
      <c r="B280" t="s">
        <v>30</v>
      </c>
      <c r="C280" s="1">
        <v>21185</v>
      </c>
      <c r="D280">
        <v>68</v>
      </c>
      <c r="E280" t="s">
        <v>15</v>
      </c>
      <c r="F280" t="s">
        <v>45</v>
      </c>
      <c r="G280" s="1">
        <v>45632</v>
      </c>
      <c r="H280" s="1">
        <v>45573</v>
      </c>
      <c r="I280">
        <v>39</v>
      </c>
      <c r="J280" t="s">
        <v>19</v>
      </c>
      <c r="K280">
        <v>15219.02</v>
      </c>
    </row>
    <row r="281" spans="1:11">
      <c r="A281">
        <v>280</v>
      </c>
      <c r="B281" t="s">
        <v>115</v>
      </c>
      <c r="C281" s="1">
        <v>32873</v>
      </c>
      <c r="D281">
        <v>36</v>
      </c>
      <c r="E281" t="s">
        <v>15</v>
      </c>
      <c r="F281" t="s">
        <v>21</v>
      </c>
      <c r="G281" s="1">
        <v>45100</v>
      </c>
      <c r="H281" s="1">
        <v>44959</v>
      </c>
      <c r="I281">
        <v>25</v>
      </c>
      <c r="K281">
        <v>8173.66</v>
      </c>
    </row>
    <row r="282" spans="1:11">
      <c r="A282">
        <v>281</v>
      </c>
      <c r="B282" t="s">
        <v>17</v>
      </c>
      <c r="C282" s="1">
        <v>34700</v>
      </c>
      <c r="D282">
        <v>31</v>
      </c>
      <c r="E282" t="s">
        <v>12</v>
      </c>
      <c r="F282" t="s">
        <v>45</v>
      </c>
      <c r="G282" s="1">
        <v>45318</v>
      </c>
      <c r="H282" s="1">
        <v>44953</v>
      </c>
      <c r="I282">
        <v>21</v>
      </c>
      <c r="J282" t="s">
        <v>25</v>
      </c>
      <c r="K282">
        <v>9472.7099999999991</v>
      </c>
    </row>
    <row r="283" spans="1:11">
      <c r="A283">
        <v>282</v>
      </c>
      <c r="B283" t="s">
        <v>138</v>
      </c>
      <c r="C283" s="1">
        <v>43100</v>
      </c>
      <c r="D283">
        <v>8</v>
      </c>
      <c r="E283" t="s">
        <v>15</v>
      </c>
      <c r="F283" t="s">
        <v>18</v>
      </c>
      <c r="G283" s="1">
        <v>45028</v>
      </c>
      <c r="H283" s="1">
        <v>45182</v>
      </c>
      <c r="I283">
        <v>4</v>
      </c>
      <c r="J283" t="s">
        <v>23</v>
      </c>
      <c r="K283">
        <v>13580.39</v>
      </c>
    </row>
    <row r="284" spans="1:11">
      <c r="A284">
        <v>283</v>
      </c>
      <c r="B284" t="s">
        <v>144</v>
      </c>
      <c r="C284" s="1">
        <v>39448</v>
      </c>
      <c r="E284" t="s">
        <v>12</v>
      </c>
      <c r="G284" s="1">
        <v>45219</v>
      </c>
      <c r="H284" s="1">
        <v>45662</v>
      </c>
      <c r="I284">
        <v>33</v>
      </c>
      <c r="J284" t="s">
        <v>25</v>
      </c>
      <c r="K284">
        <v>17520.72</v>
      </c>
    </row>
    <row r="285" spans="1:11">
      <c r="A285">
        <v>284</v>
      </c>
      <c r="B285" t="s">
        <v>27</v>
      </c>
      <c r="C285" s="1">
        <v>28856</v>
      </c>
      <c r="D285">
        <v>47</v>
      </c>
      <c r="E285" t="s">
        <v>12</v>
      </c>
      <c r="F285" t="s">
        <v>13</v>
      </c>
      <c r="G285" s="1">
        <v>45011</v>
      </c>
      <c r="H285" s="1">
        <v>44983</v>
      </c>
      <c r="I285">
        <v>36</v>
      </c>
      <c r="K285">
        <v>15799.31</v>
      </c>
    </row>
    <row r="286" spans="1:11">
      <c r="A286">
        <v>285</v>
      </c>
      <c r="B286" t="s">
        <v>137</v>
      </c>
      <c r="C286" s="1">
        <v>17168</v>
      </c>
      <c r="D286">
        <v>79</v>
      </c>
      <c r="E286" t="s">
        <v>15</v>
      </c>
      <c r="F286" t="s">
        <v>18</v>
      </c>
      <c r="G286" s="1">
        <v>45127</v>
      </c>
      <c r="H286" s="1">
        <v>45220</v>
      </c>
      <c r="I286">
        <v>12</v>
      </c>
      <c r="J286" t="s">
        <v>19</v>
      </c>
      <c r="K286">
        <v>350.07</v>
      </c>
    </row>
    <row r="287" spans="1:11">
      <c r="A287">
        <v>286</v>
      </c>
      <c r="B287" t="s">
        <v>60</v>
      </c>
      <c r="C287" s="1">
        <v>45292</v>
      </c>
      <c r="D287">
        <v>2</v>
      </c>
      <c r="E287" t="s">
        <v>12</v>
      </c>
      <c r="F287" t="s">
        <v>16</v>
      </c>
      <c r="G287" s="1">
        <v>45611</v>
      </c>
      <c r="H287" s="1">
        <v>45564</v>
      </c>
      <c r="I287">
        <v>0</v>
      </c>
      <c r="J287" t="s">
        <v>19</v>
      </c>
      <c r="K287">
        <v>2399.88</v>
      </c>
    </row>
    <row r="288" spans="1:11">
      <c r="A288">
        <v>287</v>
      </c>
      <c r="B288" t="s">
        <v>51</v>
      </c>
      <c r="C288" s="1">
        <v>39083</v>
      </c>
      <c r="D288">
        <v>19</v>
      </c>
      <c r="E288" t="s">
        <v>12</v>
      </c>
      <c r="F288" t="s">
        <v>32</v>
      </c>
      <c r="G288" s="1">
        <v>45467</v>
      </c>
      <c r="H288" s="1">
        <v>45157</v>
      </c>
      <c r="I288">
        <v>-1</v>
      </c>
      <c r="J288" t="s">
        <v>25</v>
      </c>
      <c r="K288">
        <v>17040.84</v>
      </c>
    </row>
    <row r="289" spans="1:11">
      <c r="A289">
        <v>288</v>
      </c>
      <c r="B289" t="s">
        <v>129</v>
      </c>
      <c r="C289" s="1">
        <v>37622</v>
      </c>
      <c r="D289">
        <v>23</v>
      </c>
      <c r="E289" t="s">
        <v>15</v>
      </c>
      <c r="G289" s="1">
        <v>45223</v>
      </c>
      <c r="H289" s="1">
        <v>44980</v>
      </c>
      <c r="I289">
        <v>4</v>
      </c>
      <c r="J289" t="s">
        <v>25</v>
      </c>
      <c r="K289">
        <v>16659.84</v>
      </c>
    </row>
    <row r="290" spans="1:11">
      <c r="A290">
        <v>289</v>
      </c>
      <c r="B290" t="s">
        <v>90</v>
      </c>
      <c r="C290" s="1">
        <v>26664</v>
      </c>
      <c r="D290">
        <v>53</v>
      </c>
      <c r="F290" t="s">
        <v>32</v>
      </c>
      <c r="G290" s="1">
        <v>44982</v>
      </c>
      <c r="H290" s="1">
        <v>45028</v>
      </c>
      <c r="I290">
        <v>13</v>
      </c>
      <c r="J290" t="s">
        <v>25</v>
      </c>
      <c r="K290">
        <v>7715.02</v>
      </c>
    </row>
    <row r="291" spans="1:11">
      <c r="A291">
        <v>290</v>
      </c>
      <c r="B291" t="s">
        <v>140</v>
      </c>
      <c r="C291" s="1">
        <v>34334</v>
      </c>
      <c r="D291">
        <v>32</v>
      </c>
      <c r="E291" t="s">
        <v>12</v>
      </c>
      <c r="F291" t="s">
        <v>45</v>
      </c>
      <c r="G291" s="1">
        <v>45398</v>
      </c>
      <c r="H291" s="1">
        <v>45394</v>
      </c>
      <c r="I291">
        <v>18</v>
      </c>
      <c r="J291" t="s">
        <v>25</v>
      </c>
      <c r="K291">
        <v>11643.99</v>
      </c>
    </row>
    <row r="292" spans="1:11">
      <c r="A292">
        <v>291</v>
      </c>
      <c r="B292" t="s">
        <v>149</v>
      </c>
      <c r="C292" s="1">
        <v>37622</v>
      </c>
      <c r="D292">
        <v>23</v>
      </c>
      <c r="E292" t="s">
        <v>15</v>
      </c>
      <c r="F292" t="s">
        <v>32</v>
      </c>
      <c r="G292" s="1">
        <v>44942</v>
      </c>
      <c r="H292" s="1">
        <v>45773</v>
      </c>
      <c r="I292">
        <v>6</v>
      </c>
      <c r="J292" t="s">
        <v>23</v>
      </c>
      <c r="K292">
        <v>18107.48</v>
      </c>
    </row>
    <row r="293" spans="1:11">
      <c r="A293">
        <v>292</v>
      </c>
      <c r="B293" t="s">
        <v>150</v>
      </c>
      <c r="D293">
        <v>74</v>
      </c>
      <c r="E293" t="s">
        <v>12</v>
      </c>
      <c r="F293" t="s">
        <v>32</v>
      </c>
      <c r="G293" s="1">
        <v>45578</v>
      </c>
      <c r="H293" s="1">
        <v>45731</v>
      </c>
      <c r="I293">
        <v>9</v>
      </c>
      <c r="J293" t="s">
        <v>23</v>
      </c>
      <c r="K293">
        <v>18222.330000000002</v>
      </c>
    </row>
    <row r="294" spans="1:11">
      <c r="A294">
        <v>293</v>
      </c>
      <c r="B294" t="s">
        <v>76</v>
      </c>
      <c r="C294" s="1">
        <v>20090</v>
      </c>
      <c r="D294">
        <v>71</v>
      </c>
      <c r="E294" t="s">
        <v>12</v>
      </c>
      <c r="F294" t="s">
        <v>16</v>
      </c>
      <c r="G294" s="1">
        <v>44992</v>
      </c>
      <c r="H294" s="1">
        <v>45796</v>
      </c>
      <c r="I294">
        <v>26</v>
      </c>
      <c r="J294" t="s">
        <v>23</v>
      </c>
      <c r="K294">
        <v>15640.17</v>
      </c>
    </row>
    <row r="295" spans="1:11">
      <c r="A295">
        <v>294</v>
      </c>
      <c r="B295" t="s">
        <v>75</v>
      </c>
      <c r="C295" s="1">
        <v>33239</v>
      </c>
      <c r="D295">
        <v>35</v>
      </c>
      <c r="E295" t="s">
        <v>12</v>
      </c>
      <c r="F295" t="s">
        <v>21</v>
      </c>
      <c r="G295" s="1">
        <v>45585</v>
      </c>
      <c r="H295" s="1">
        <v>45194</v>
      </c>
      <c r="I295">
        <v>21</v>
      </c>
      <c r="J295" t="s">
        <v>23</v>
      </c>
      <c r="K295">
        <v>4112.74</v>
      </c>
    </row>
    <row r="296" spans="1:11">
      <c r="A296">
        <v>295</v>
      </c>
      <c r="B296" t="s">
        <v>141</v>
      </c>
      <c r="C296" s="1">
        <v>32508</v>
      </c>
      <c r="D296">
        <v>37</v>
      </c>
      <c r="E296" t="s">
        <v>12</v>
      </c>
      <c r="F296" t="s">
        <v>21</v>
      </c>
      <c r="G296" s="1">
        <v>45596</v>
      </c>
      <c r="H296" s="1">
        <v>45722</v>
      </c>
      <c r="I296">
        <v>30</v>
      </c>
      <c r="K296">
        <v>14578.68</v>
      </c>
    </row>
    <row r="297" spans="1:11">
      <c r="A297">
        <v>296</v>
      </c>
      <c r="B297" t="s">
        <v>46</v>
      </c>
      <c r="C297" s="1">
        <v>15707</v>
      </c>
      <c r="D297">
        <v>83</v>
      </c>
      <c r="E297" t="s">
        <v>12</v>
      </c>
      <c r="F297" t="s">
        <v>18</v>
      </c>
      <c r="G297" s="1">
        <v>45398</v>
      </c>
      <c r="H297" s="1">
        <v>44929</v>
      </c>
      <c r="I297">
        <v>11</v>
      </c>
      <c r="J297" t="s">
        <v>19</v>
      </c>
      <c r="K297">
        <v>1932.08</v>
      </c>
    </row>
    <row r="298" spans="1:11">
      <c r="A298">
        <v>297</v>
      </c>
      <c r="B298" t="s">
        <v>145</v>
      </c>
      <c r="C298" s="1">
        <v>13880</v>
      </c>
      <c r="E298" t="s">
        <v>15</v>
      </c>
      <c r="G298" s="1">
        <v>45507</v>
      </c>
      <c r="H298" s="1">
        <v>44949</v>
      </c>
      <c r="I298">
        <v>15</v>
      </c>
      <c r="J298" t="s">
        <v>19</v>
      </c>
      <c r="K298">
        <v>17868.16</v>
      </c>
    </row>
    <row r="299" spans="1:11">
      <c r="A299">
        <v>298</v>
      </c>
      <c r="B299" t="s">
        <v>113</v>
      </c>
      <c r="C299" s="1">
        <v>37256</v>
      </c>
      <c r="D299">
        <v>24</v>
      </c>
      <c r="E299" t="s">
        <v>12</v>
      </c>
      <c r="F299" t="s">
        <v>18</v>
      </c>
      <c r="G299" s="1">
        <v>44949</v>
      </c>
      <c r="H299" s="1">
        <v>45505</v>
      </c>
      <c r="I299">
        <v>2</v>
      </c>
      <c r="K299">
        <v>2897.89</v>
      </c>
    </row>
    <row r="300" spans="1:11">
      <c r="A300">
        <v>299</v>
      </c>
      <c r="B300" t="s">
        <v>55</v>
      </c>
      <c r="C300" s="1">
        <v>12419</v>
      </c>
      <c r="D300">
        <v>92</v>
      </c>
      <c r="E300" t="s">
        <v>12</v>
      </c>
      <c r="F300" t="s">
        <v>21</v>
      </c>
      <c r="G300" s="1">
        <v>45628</v>
      </c>
      <c r="H300" s="1">
        <v>45139</v>
      </c>
      <c r="I300">
        <v>12</v>
      </c>
      <c r="K300">
        <v>13213.21</v>
      </c>
    </row>
    <row r="301" spans="1:11">
      <c r="A301">
        <v>300</v>
      </c>
      <c r="B301" t="s">
        <v>20</v>
      </c>
      <c r="C301" s="1">
        <v>39813</v>
      </c>
      <c r="D301">
        <v>17</v>
      </c>
      <c r="E301" t="s">
        <v>15</v>
      </c>
      <c r="F301" t="s">
        <v>45</v>
      </c>
      <c r="G301" s="1">
        <v>45412</v>
      </c>
      <c r="H301" s="1">
        <v>45163</v>
      </c>
      <c r="I301">
        <v>4</v>
      </c>
      <c r="J301" t="s">
        <v>23</v>
      </c>
      <c r="K301">
        <v>12165.89</v>
      </c>
    </row>
    <row r="302" spans="1:11">
      <c r="A302">
        <v>301</v>
      </c>
      <c r="B302" t="s">
        <v>33</v>
      </c>
      <c r="C302" s="1">
        <v>16437</v>
      </c>
      <c r="D302">
        <v>81</v>
      </c>
      <c r="E302" t="s">
        <v>15</v>
      </c>
      <c r="F302" t="s">
        <v>21</v>
      </c>
      <c r="G302" s="1">
        <v>45341</v>
      </c>
      <c r="H302" s="1">
        <v>45807</v>
      </c>
      <c r="I302">
        <v>22</v>
      </c>
      <c r="J302" t="s">
        <v>25</v>
      </c>
      <c r="K302">
        <v>15515.68</v>
      </c>
    </row>
    <row r="303" spans="1:11">
      <c r="A303">
        <v>302</v>
      </c>
      <c r="B303" t="s">
        <v>43</v>
      </c>
      <c r="C303" s="1">
        <v>22281</v>
      </c>
      <c r="D303">
        <v>65</v>
      </c>
      <c r="F303" t="s">
        <v>18</v>
      </c>
      <c r="G303" s="1">
        <v>45583</v>
      </c>
      <c r="H303" s="1">
        <v>45456</v>
      </c>
      <c r="I303">
        <v>11</v>
      </c>
      <c r="J303" t="s">
        <v>19</v>
      </c>
      <c r="K303">
        <v>10986.71</v>
      </c>
    </row>
    <row r="304" spans="1:11">
      <c r="A304">
        <v>303</v>
      </c>
      <c r="B304" t="s">
        <v>17</v>
      </c>
      <c r="C304" s="1">
        <v>26664</v>
      </c>
      <c r="D304">
        <v>53</v>
      </c>
      <c r="E304" t="s">
        <v>12</v>
      </c>
      <c r="F304" t="s">
        <v>13</v>
      </c>
      <c r="G304" s="1">
        <v>45231</v>
      </c>
      <c r="H304" s="1">
        <v>45315</v>
      </c>
      <c r="I304">
        <v>37</v>
      </c>
      <c r="K304">
        <v>1097.29</v>
      </c>
    </row>
    <row r="305" spans="1:11">
      <c r="A305">
        <v>304</v>
      </c>
      <c r="B305" t="s">
        <v>57</v>
      </c>
      <c r="C305" s="1">
        <v>33604</v>
      </c>
      <c r="D305">
        <v>34</v>
      </c>
      <c r="E305" t="s">
        <v>12</v>
      </c>
      <c r="G305" s="1">
        <v>45103</v>
      </c>
      <c r="H305" s="1">
        <v>44941</v>
      </c>
      <c r="I305">
        <v>33</v>
      </c>
      <c r="J305" t="s">
        <v>25</v>
      </c>
      <c r="K305">
        <v>14087.51</v>
      </c>
    </row>
    <row r="306" spans="1:11">
      <c r="A306">
        <v>305</v>
      </c>
      <c r="B306" t="s">
        <v>34</v>
      </c>
      <c r="C306" s="1">
        <v>17168</v>
      </c>
      <c r="D306">
        <v>79</v>
      </c>
      <c r="E306" t="s">
        <v>12</v>
      </c>
      <c r="F306" t="s">
        <v>32</v>
      </c>
      <c r="G306" s="1">
        <v>45121</v>
      </c>
      <c r="H306" s="1">
        <v>45446</v>
      </c>
      <c r="I306">
        <v>32</v>
      </c>
      <c r="J306" t="s">
        <v>23</v>
      </c>
      <c r="K306">
        <v>7601.41</v>
      </c>
    </row>
    <row r="307" spans="1:11">
      <c r="A307">
        <v>306</v>
      </c>
      <c r="B307" t="s">
        <v>133</v>
      </c>
      <c r="C307" s="1">
        <v>24107</v>
      </c>
      <c r="D307">
        <v>60</v>
      </c>
      <c r="E307" t="s">
        <v>12</v>
      </c>
      <c r="F307" t="s">
        <v>16</v>
      </c>
      <c r="G307" s="1">
        <v>44939</v>
      </c>
      <c r="H307" s="1">
        <v>45774</v>
      </c>
      <c r="I307">
        <v>21</v>
      </c>
      <c r="K307">
        <v>6337.73</v>
      </c>
    </row>
    <row r="308" spans="1:11">
      <c r="A308">
        <v>307</v>
      </c>
      <c r="B308" t="s">
        <v>62</v>
      </c>
      <c r="C308" s="1">
        <v>31412</v>
      </c>
      <c r="D308">
        <v>40</v>
      </c>
      <c r="E308" t="s">
        <v>12</v>
      </c>
      <c r="F308" t="s">
        <v>13</v>
      </c>
      <c r="G308" s="1">
        <v>45092</v>
      </c>
      <c r="H308" s="1">
        <v>45149</v>
      </c>
      <c r="I308">
        <v>12</v>
      </c>
      <c r="J308" t="s">
        <v>19</v>
      </c>
      <c r="K308">
        <v>19832.64</v>
      </c>
    </row>
    <row r="309" spans="1:11">
      <c r="A309">
        <v>308</v>
      </c>
      <c r="B309" t="s">
        <v>72</v>
      </c>
      <c r="C309" s="1">
        <v>34334</v>
      </c>
      <c r="D309">
        <v>32</v>
      </c>
      <c r="E309" t="s">
        <v>12</v>
      </c>
      <c r="F309" t="s">
        <v>13</v>
      </c>
      <c r="G309" s="1">
        <v>45076</v>
      </c>
      <c r="H309" s="1">
        <v>45543</v>
      </c>
      <c r="I309">
        <v>8</v>
      </c>
      <c r="J309" t="s">
        <v>19</v>
      </c>
      <c r="K309">
        <v>11767.04</v>
      </c>
    </row>
    <row r="310" spans="1:11">
      <c r="A310">
        <v>309</v>
      </c>
      <c r="B310" t="s">
        <v>125</v>
      </c>
      <c r="C310" s="1">
        <v>21551</v>
      </c>
      <c r="D310">
        <v>67</v>
      </c>
      <c r="E310" t="s">
        <v>15</v>
      </c>
      <c r="F310" t="s">
        <v>32</v>
      </c>
      <c r="G310" s="1">
        <v>45267</v>
      </c>
      <c r="H310" s="1">
        <v>45330</v>
      </c>
      <c r="I310">
        <v>21</v>
      </c>
      <c r="J310" t="s">
        <v>19</v>
      </c>
      <c r="K310">
        <v>14185.45</v>
      </c>
    </row>
    <row r="311" spans="1:11">
      <c r="A311">
        <v>310</v>
      </c>
      <c r="B311" t="s">
        <v>132</v>
      </c>
      <c r="C311" s="1">
        <v>34334</v>
      </c>
      <c r="D311">
        <v>32</v>
      </c>
      <c r="E311" t="s">
        <v>12</v>
      </c>
      <c r="F311" t="s">
        <v>21</v>
      </c>
      <c r="G311" s="1">
        <v>45483</v>
      </c>
      <c r="H311" s="1">
        <v>45440</v>
      </c>
      <c r="I311">
        <v>8</v>
      </c>
      <c r="K311">
        <v>10479.16</v>
      </c>
    </row>
    <row r="312" spans="1:11">
      <c r="A312">
        <v>311</v>
      </c>
      <c r="B312" t="s">
        <v>83</v>
      </c>
      <c r="C312" s="1">
        <v>41274</v>
      </c>
      <c r="D312">
        <v>13</v>
      </c>
      <c r="E312" t="s">
        <v>12</v>
      </c>
      <c r="G312" s="1">
        <v>45100</v>
      </c>
      <c r="H312" s="1">
        <v>45214</v>
      </c>
      <c r="I312">
        <v>14</v>
      </c>
      <c r="J312" t="s">
        <v>19</v>
      </c>
      <c r="K312">
        <v>15376.45</v>
      </c>
    </row>
    <row r="313" spans="1:11">
      <c r="A313">
        <v>312</v>
      </c>
      <c r="B313" t="s">
        <v>26</v>
      </c>
      <c r="C313" s="1">
        <v>38717</v>
      </c>
      <c r="E313" t="s">
        <v>12</v>
      </c>
      <c r="F313" t="s">
        <v>45</v>
      </c>
      <c r="G313" s="1">
        <v>45093</v>
      </c>
      <c r="H313" s="1">
        <v>45311</v>
      </c>
      <c r="I313">
        <v>3</v>
      </c>
      <c r="J313" t="s">
        <v>23</v>
      </c>
      <c r="K313">
        <v>15016.66</v>
      </c>
    </row>
    <row r="314" spans="1:11">
      <c r="A314">
        <v>313</v>
      </c>
      <c r="B314" t="s">
        <v>39</v>
      </c>
      <c r="C314" s="1">
        <v>28856</v>
      </c>
      <c r="D314">
        <v>47</v>
      </c>
      <c r="E314" t="s">
        <v>12</v>
      </c>
      <c r="F314" t="s">
        <v>13</v>
      </c>
      <c r="G314" s="1">
        <v>45635</v>
      </c>
      <c r="H314" s="1">
        <v>45174</v>
      </c>
      <c r="I314">
        <v>18</v>
      </c>
      <c r="J314" t="s">
        <v>19</v>
      </c>
      <c r="K314">
        <v>13108.64</v>
      </c>
    </row>
    <row r="315" spans="1:11">
      <c r="A315">
        <v>314</v>
      </c>
      <c r="B315" t="s">
        <v>151</v>
      </c>
      <c r="C315" s="1">
        <v>39083</v>
      </c>
      <c r="D315">
        <v>19</v>
      </c>
      <c r="E315" t="s">
        <v>12</v>
      </c>
      <c r="F315" t="s">
        <v>45</v>
      </c>
      <c r="G315" s="1">
        <v>45644</v>
      </c>
      <c r="H315" s="1">
        <v>45018</v>
      </c>
      <c r="I315">
        <v>5</v>
      </c>
      <c r="J315" t="s">
        <v>23</v>
      </c>
      <c r="K315">
        <v>19954.64</v>
      </c>
    </row>
    <row r="316" spans="1:11">
      <c r="A316">
        <v>315</v>
      </c>
      <c r="B316" t="s">
        <v>111</v>
      </c>
      <c r="C316" s="1">
        <v>43466</v>
      </c>
      <c r="D316">
        <v>7</v>
      </c>
      <c r="E316" t="s">
        <v>15</v>
      </c>
      <c r="F316" t="s">
        <v>16</v>
      </c>
      <c r="G316" s="1">
        <v>45520</v>
      </c>
      <c r="H316" s="1">
        <v>45753</v>
      </c>
      <c r="I316">
        <v>12</v>
      </c>
      <c r="J316" t="s">
        <v>19</v>
      </c>
      <c r="K316">
        <v>9141.85</v>
      </c>
    </row>
    <row r="317" spans="1:11">
      <c r="A317">
        <v>316</v>
      </c>
      <c r="B317" t="s">
        <v>140</v>
      </c>
      <c r="C317" s="1">
        <v>43831</v>
      </c>
      <c r="D317">
        <v>6</v>
      </c>
      <c r="E317" t="s">
        <v>15</v>
      </c>
      <c r="F317" t="s">
        <v>16</v>
      </c>
      <c r="G317" s="1">
        <v>45506</v>
      </c>
      <c r="H317" s="1">
        <v>45239</v>
      </c>
      <c r="I317">
        <v>29</v>
      </c>
      <c r="J317" t="s">
        <v>23</v>
      </c>
      <c r="K317">
        <v>14094.47</v>
      </c>
    </row>
    <row r="318" spans="1:11">
      <c r="A318">
        <v>317</v>
      </c>
      <c r="B318" t="s">
        <v>106</v>
      </c>
      <c r="C318" s="1">
        <v>21916</v>
      </c>
      <c r="D318">
        <v>66</v>
      </c>
      <c r="E318" t="s">
        <v>15</v>
      </c>
      <c r="F318" t="s">
        <v>16</v>
      </c>
      <c r="G318" s="1">
        <v>45023</v>
      </c>
      <c r="H318" s="1">
        <v>45364</v>
      </c>
      <c r="I318">
        <v>7</v>
      </c>
      <c r="K318">
        <v>15935.34</v>
      </c>
    </row>
    <row r="319" spans="1:11">
      <c r="A319">
        <v>318</v>
      </c>
      <c r="B319" t="s">
        <v>71</v>
      </c>
      <c r="C319" s="1">
        <v>40178</v>
      </c>
      <c r="D319">
        <v>16</v>
      </c>
      <c r="E319" t="s">
        <v>15</v>
      </c>
      <c r="F319" t="s">
        <v>18</v>
      </c>
      <c r="G319" s="1">
        <v>45605</v>
      </c>
      <c r="H319" s="1">
        <v>45653</v>
      </c>
      <c r="I319">
        <v>25</v>
      </c>
      <c r="J319" t="s">
        <v>23</v>
      </c>
      <c r="K319">
        <v>7458.3</v>
      </c>
    </row>
    <row r="320" spans="1:11">
      <c r="A320">
        <v>319</v>
      </c>
      <c r="B320" t="s">
        <v>139</v>
      </c>
      <c r="C320" s="1">
        <v>34334</v>
      </c>
      <c r="D320">
        <v>32</v>
      </c>
      <c r="F320" t="s">
        <v>13</v>
      </c>
      <c r="G320" s="1">
        <v>45330</v>
      </c>
      <c r="H320" s="1">
        <v>44970</v>
      </c>
      <c r="I320">
        <v>12</v>
      </c>
      <c r="K320">
        <v>9089.2199999999993</v>
      </c>
    </row>
    <row r="321" spans="1:11">
      <c r="A321">
        <v>320</v>
      </c>
      <c r="B321" t="s">
        <v>11</v>
      </c>
      <c r="C321" s="1">
        <v>28856</v>
      </c>
      <c r="D321">
        <v>47</v>
      </c>
      <c r="E321" t="s">
        <v>15</v>
      </c>
      <c r="F321" t="s">
        <v>16</v>
      </c>
      <c r="G321" s="1">
        <v>45003</v>
      </c>
      <c r="H321" s="1">
        <v>45001</v>
      </c>
      <c r="I321">
        <v>9</v>
      </c>
      <c r="J321" t="s">
        <v>25</v>
      </c>
      <c r="K321">
        <v>19380.259999999998</v>
      </c>
    </row>
    <row r="322" spans="1:11">
      <c r="A322">
        <v>321</v>
      </c>
      <c r="B322" t="s">
        <v>124</v>
      </c>
      <c r="C322" s="1">
        <v>18629</v>
      </c>
      <c r="D322">
        <v>75</v>
      </c>
      <c r="E322" t="s">
        <v>15</v>
      </c>
      <c r="F322" t="s">
        <v>18</v>
      </c>
      <c r="G322" s="1">
        <v>45163</v>
      </c>
      <c r="H322" s="1">
        <v>45681</v>
      </c>
      <c r="I322">
        <v>15</v>
      </c>
      <c r="J322" t="s">
        <v>23</v>
      </c>
      <c r="K322">
        <v>549.04999999999995</v>
      </c>
    </row>
    <row r="323" spans="1:11">
      <c r="A323">
        <v>322</v>
      </c>
      <c r="B323" t="s">
        <v>41</v>
      </c>
      <c r="C323" s="1">
        <v>24838</v>
      </c>
      <c r="D323">
        <v>58</v>
      </c>
      <c r="E323" t="s">
        <v>12</v>
      </c>
      <c r="F323" t="s">
        <v>16</v>
      </c>
      <c r="G323" s="1">
        <v>45634</v>
      </c>
      <c r="H323" s="1">
        <v>45488</v>
      </c>
      <c r="I323">
        <v>34</v>
      </c>
      <c r="K323">
        <v>6639.44</v>
      </c>
    </row>
    <row r="324" spans="1:11">
      <c r="A324">
        <v>323</v>
      </c>
      <c r="B324" t="s">
        <v>152</v>
      </c>
      <c r="C324" s="1">
        <v>14976</v>
      </c>
      <c r="D324">
        <v>85</v>
      </c>
      <c r="E324" t="s">
        <v>12</v>
      </c>
      <c r="F324" t="s">
        <v>21</v>
      </c>
      <c r="G324" s="1">
        <v>45217</v>
      </c>
      <c r="H324" s="1">
        <v>45807</v>
      </c>
      <c r="I324">
        <v>21</v>
      </c>
      <c r="J324" t="s">
        <v>25</v>
      </c>
      <c r="K324">
        <v>9672.8799999999992</v>
      </c>
    </row>
    <row r="325" spans="1:11">
      <c r="A325">
        <v>324</v>
      </c>
      <c r="B325" t="s">
        <v>49</v>
      </c>
      <c r="C325" s="1">
        <v>38352</v>
      </c>
      <c r="D325">
        <v>21</v>
      </c>
      <c r="E325" t="s">
        <v>15</v>
      </c>
      <c r="F325" t="s">
        <v>13</v>
      </c>
      <c r="G325" s="1">
        <v>45062</v>
      </c>
      <c r="H325" s="1">
        <v>45803</v>
      </c>
      <c r="I325">
        <v>34</v>
      </c>
      <c r="J325" t="s">
        <v>19</v>
      </c>
      <c r="K325">
        <v>-70.55</v>
      </c>
    </row>
    <row r="326" spans="1:11">
      <c r="A326">
        <v>325</v>
      </c>
      <c r="B326" t="s">
        <v>108</v>
      </c>
      <c r="C326" s="1">
        <v>35430</v>
      </c>
      <c r="D326">
        <v>29</v>
      </c>
      <c r="E326" t="s">
        <v>12</v>
      </c>
      <c r="F326" t="s">
        <v>18</v>
      </c>
      <c r="G326" s="1">
        <v>45293</v>
      </c>
      <c r="H326" s="1">
        <v>45243</v>
      </c>
      <c r="I326">
        <v>26</v>
      </c>
      <c r="J326" t="s">
        <v>25</v>
      </c>
      <c r="K326">
        <v>17972.45</v>
      </c>
    </row>
    <row r="327" spans="1:11">
      <c r="A327">
        <v>326</v>
      </c>
      <c r="B327" t="s">
        <v>82</v>
      </c>
      <c r="C327" s="1">
        <v>32508</v>
      </c>
      <c r="D327">
        <v>37</v>
      </c>
      <c r="E327" t="s">
        <v>12</v>
      </c>
      <c r="F327" t="s">
        <v>16</v>
      </c>
      <c r="G327" s="1">
        <v>45474</v>
      </c>
      <c r="H327" s="1">
        <v>45661</v>
      </c>
      <c r="I327">
        <v>7</v>
      </c>
      <c r="J327" t="s">
        <v>23</v>
      </c>
      <c r="K327">
        <v>5653.51</v>
      </c>
    </row>
    <row r="328" spans="1:11">
      <c r="A328">
        <v>327</v>
      </c>
      <c r="B328" t="s">
        <v>37</v>
      </c>
      <c r="C328" s="1">
        <v>27760</v>
      </c>
      <c r="D328">
        <v>50</v>
      </c>
      <c r="E328" t="s">
        <v>15</v>
      </c>
      <c r="G328" s="1">
        <v>45174</v>
      </c>
      <c r="H328" s="1">
        <v>45789</v>
      </c>
      <c r="I328">
        <v>11</v>
      </c>
      <c r="J328" t="s">
        <v>25</v>
      </c>
      <c r="K328">
        <v>5079.87</v>
      </c>
    </row>
    <row r="329" spans="1:11">
      <c r="A329">
        <v>328</v>
      </c>
      <c r="B329" t="s">
        <v>80</v>
      </c>
      <c r="C329" s="1">
        <v>26664</v>
      </c>
      <c r="D329">
        <v>53</v>
      </c>
      <c r="E329" t="s">
        <v>15</v>
      </c>
      <c r="F329" t="s">
        <v>18</v>
      </c>
      <c r="G329" s="1">
        <v>45140</v>
      </c>
      <c r="H329" s="1">
        <v>45071</v>
      </c>
      <c r="I329">
        <v>13</v>
      </c>
      <c r="J329" t="s">
        <v>19</v>
      </c>
      <c r="K329">
        <v>16388.560000000001</v>
      </c>
    </row>
    <row r="330" spans="1:11">
      <c r="A330">
        <v>329</v>
      </c>
      <c r="B330" t="s">
        <v>137</v>
      </c>
      <c r="C330" s="1">
        <v>43466</v>
      </c>
      <c r="D330">
        <v>7</v>
      </c>
      <c r="E330" t="s">
        <v>12</v>
      </c>
      <c r="F330" t="s">
        <v>16</v>
      </c>
      <c r="G330" s="1">
        <v>44996</v>
      </c>
      <c r="H330" s="1">
        <v>45256</v>
      </c>
      <c r="I330">
        <v>34</v>
      </c>
      <c r="J330" t="s">
        <v>25</v>
      </c>
      <c r="K330">
        <v>5487.46</v>
      </c>
    </row>
    <row r="331" spans="1:11">
      <c r="A331">
        <v>330</v>
      </c>
      <c r="B331" t="s">
        <v>153</v>
      </c>
      <c r="C331" s="1">
        <v>36526</v>
      </c>
      <c r="D331">
        <v>26</v>
      </c>
      <c r="E331" t="s">
        <v>12</v>
      </c>
      <c r="F331" t="s">
        <v>21</v>
      </c>
      <c r="G331" s="1">
        <v>45255</v>
      </c>
      <c r="H331" s="1">
        <v>45136</v>
      </c>
      <c r="I331">
        <v>8</v>
      </c>
      <c r="J331" t="s">
        <v>23</v>
      </c>
      <c r="K331">
        <v>13118.21</v>
      </c>
    </row>
    <row r="332" spans="1:11">
      <c r="A332">
        <v>331</v>
      </c>
      <c r="B332" t="s">
        <v>87</v>
      </c>
      <c r="C332" s="1">
        <v>36526</v>
      </c>
      <c r="D332">
        <v>26</v>
      </c>
      <c r="E332" t="s">
        <v>12</v>
      </c>
      <c r="F332" t="s">
        <v>45</v>
      </c>
      <c r="G332" s="1">
        <v>44942</v>
      </c>
      <c r="H332" s="1">
        <v>45026</v>
      </c>
      <c r="I332">
        <v>23</v>
      </c>
      <c r="J332" t="s">
        <v>23</v>
      </c>
      <c r="K332">
        <v>16412.21</v>
      </c>
    </row>
    <row r="333" spans="1:11">
      <c r="A333">
        <v>332</v>
      </c>
      <c r="B333" t="s">
        <v>154</v>
      </c>
      <c r="C333" s="1">
        <v>38717</v>
      </c>
      <c r="E333" t="s">
        <v>15</v>
      </c>
      <c r="F333" t="s">
        <v>16</v>
      </c>
      <c r="G333" s="1">
        <v>45413</v>
      </c>
      <c r="H333" s="1">
        <v>45627</v>
      </c>
      <c r="I333">
        <v>37</v>
      </c>
      <c r="K333">
        <v>15828.78</v>
      </c>
    </row>
    <row r="334" spans="1:11">
      <c r="A334">
        <v>333</v>
      </c>
      <c r="B334" t="s">
        <v>79</v>
      </c>
      <c r="C334" s="1">
        <v>35430</v>
      </c>
      <c r="D334">
        <v>29</v>
      </c>
      <c r="E334" t="s">
        <v>15</v>
      </c>
      <c r="F334" t="s">
        <v>45</v>
      </c>
      <c r="G334" s="1">
        <v>45100</v>
      </c>
      <c r="H334" s="1">
        <v>45041</v>
      </c>
      <c r="I334">
        <v>16</v>
      </c>
      <c r="J334" t="s">
        <v>19</v>
      </c>
      <c r="K334">
        <v>15617.21</v>
      </c>
    </row>
    <row r="335" spans="1:11">
      <c r="A335">
        <v>334</v>
      </c>
      <c r="B335" t="s">
        <v>80</v>
      </c>
      <c r="C335" s="1">
        <v>36161</v>
      </c>
      <c r="D335">
        <v>27</v>
      </c>
      <c r="E335" t="s">
        <v>12</v>
      </c>
      <c r="F335" t="s">
        <v>13</v>
      </c>
      <c r="G335" s="1">
        <v>45625</v>
      </c>
      <c r="H335" s="1">
        <v>45102</v>
      </c>
      <c r="I335">
        <v>15</v>
      </c>
      <c r="J335" t="s">
        <v>19</v>
      </c>
      <c r="K335">
        <v>1681.62</v>
      </c>
    </row>
    <row r="336" spans="1:11">
      <c r="A336">
        <v>335</v>
      </c>
      <c r="B336" t="s">
        <v>123</v>
      </c>
      <c r="C336" s="1">
        <v>23012</v>
      </c>
      <c r="D336">
        <v>63</v>
      </c>
      <c r="E336" t="s">
        <v>15</v>
      </c>
      <c r="F336" t="s">
        <v>21</v>
      </c>
      <c r="G336" s="1">
        <v>45200</v>
      </c>
      <c r="H336" s="1">
        <v>45198</v>
      </c>
      <c r="I336">
        <v>27</v>
      </c>
      <c r="J336" t="s">
        <v>25</v>
      </c>
      <c r="K336">
        <v>1504.92</v>
      </c>
    </row>
    <row r="337" spans="1:11">
      <c r="A337">
        <v>336</v>
      </c>
      <c r="B337" t="s">
        <v>120</v>
      </c>
      <c r="C337" s="1">
        <v>21185</v>
      </c>
      <c r="D337">
        <v>68</v>
      </c>
      <c r="E337" t="s">
        <v>15</v>
      </c>
      <c r="G337" s="1">
        <v>45450</v>
      </c>
      <c r="H337" s="1">
        <v>44990</v>
      </c>
      <c r="I337">
        <v>29</v>
      </c>
      <c r="J337" t="s">
        <v>19</v>
      </c>
      <c r="K337">
        <v>6066.08</v>
      </c>
    </row>
    <row r="338" spans="1:11">
      <c r="A338">
        <v>337</v>
      </c>
      <c r="B338" t="s">
        <v>58</v>
      </c>
      <c r="C338" s="1">
        <v>24107</v>
      </c>
      <c r="D338">
        <v>60</v>
      </c>
      <c r="E338" t="s">
        <v>12</v>
      </c>
      <c r="F338" t="s">
        <v>13</v>
      </c>
      <c r="G338" s="1">
        <v>45145</v>
      </c>
      <c r="H338" s="1">
        <v>45723</v>
      </c>
      <c r="I338">
        <v>20</v>
      </c>
      <c r="J338" t="s">
        <v>23</v>
      </c>
      <c r="K338">
        <v>622.54999999999995</v>
      </c>
    </row>
    <row r="339" spans="1:11">
      <c r="A339">
        <v>338</v>
      </c>
      <c r="B339" t="s">
        <v>135</v>
      </c>
      <c r="C339" s="1">
        <v>28856</v>
      </c>
      <c r="D339">
        <v>47</v>
      </c>
      <c r="E339" t="s">
        <v>15</v>
      </c>
      <c r="G339" s="1">
        <v>45439</v>
      </c>
      <c r="H339" s="1">
        <v>45331</v>
      </c>
      <c r="I339">
        <v>9</v>
      </c>
      <c r="J339" t="s">
        <v>25</v>
      </c>
      <c r="K339">
        <v>9958.64</v>
      </c>
    </row>
    <row r="340" spans="1:11">
      <c r="A340">
        <v>339</v>
      </c>
      <c r="B340" t="s">
        <v>73</v>
      </c>
      <c r="C340" s="1">
        <v>39448</v>
      </c>
      <c r="D340">
        <v>18</v>
      </c>
      <c r="E340" t="s">
        <v>12</v>
      </c>
      <c r="F340" t="s">
        <v>45</v>
      </c>
      <c r="G340" s="1">
        <v>45325</v>
      </c>
      <c r="H340" s="1">
        <v>45152</v>
      </c>
      <c r="I340">
        <v>10</v>
      </c>
      <c r="K340">
        <v>7835.12</v>
      </c>
    </row>
    <row r="341" spans="1:11">
      <c r="A341">
        <v>340</v>
      </c>
      <c r="B341" t="s">
        <v>150</v>
      </c>
      <c r="C341" s="1">
        <v>44927</v>
      </c>
      <c r="D341">
        <v>3</v>
      </c>
      <c r="E341" t="s">
        <v>12</v>
      </c>
      <c r="F341" t="s">
        <v>21</v>
      </c>
      <c r="G341" s="1">
        <v>45037</v>
      </c>
      <c r="H341" s="1">
        <v>45088</v>
      </c>
      <c r="I341">
        <v>18</v>
      </c>
      <c r="J341" t="s">
        <v>25</v>
      </c>
      <c r="K341">
        <v>11096.22</v>
      </c>
    </row>
    <row r="342" spans="1:11">
      <c r="A342">
        <v>341</v>
      </c>
      <c r="B342" t="s">
        <v>87</v>
      </c>
      <c r="C342" s="1">
        <v>33604</v>
      </c>
      <c r="D342">
        <v>34</v>
      </c>
      <c r="E342" t="s">
        <v>15</v>
      </c>
      <c r="F342" t="s">
        <v>32</v>
      </c>
      <c r="G342" s="1">
        <v>45390</v>
      </c>
      <c r="H342" s="1">
        <v>44963</v>
      </c>
      <c r="I342">
        <v>18</v>
      </c>
      <c r="J342" t="s">
        <v>25</v>
      </c>
      <c r="K342">
        <v>5905.65</v>
      </c>
    </row>
    <row r="343" spans="1:11">
      <c r="A343">
        <v>342</v>
      </c>
      <c r="B343" t="s">
        <v>66</v>
      </c>
      <c r="C343" s="1">
        <v>23012</v>
      </c>
      <c r="D343">
        <v>63</v>
      </c>
      <c r="E343" t="s">
        <v>12</v>
      </c>
      <c r="F343" t="s">
        <v>21</v>
      </c>
      <c r="G343" s="1">
        <v>45567</v>
      </c>
      <c r="H343" s="1">
        <v>45308</v>
      </c>
      <c r="I343">
        <v>26</v>
      </c>
      <c r="K343">
        <v>9663.66</v>
      </c>
    </row>
    <row r="344" spans="1:11">
      <c r="A344">
        <v>343</v>
      </c>
      <c r="B344" t="s">
        <v>155</v>
      </c>
      <c r="C344" s="1">
        <v>28490</v>
      </c>
      <c r="D344">
        <v>48</v>
      </c>
      <c r="E344" t="s">
        <v>15</v>
      </c>
      <c r="F344" t="s">
        <v>21</v>
      </c>
      <c r="G344" s="1">
        <v>45019</v>
      </c>
      <c r="H344" s="1">
        <v>45580</v>
      </c>
      <c r="I344">
        <v>26</v>
      </c>
      <c r="J344" t="s">
        <v>25</v>
      </c>
      <c r="K344">
        <v>6628.37</v>
      </c>
    </row>
    <row r="345" spans="1:11">
      <c r="A345">
        <v>344</v>
      </c>
      <c r="B345" t="s">
        <v>58</v>
      </c>
      <c r="C345" s="1">
        <v>40178</v>
      </c>
      <c r="D345">
        <v>16</v>
      </c>
      <c r="E345" t="s">
        <v>12</v>
      </c>
      <c r="G345" s="1">
        <v>45377</v>
      </c>
      <c r="H345" s="1">
        <v>45245</v>
      </c>
      <c r="I345">
        <v>24</v>
      </c>
      <c r="J345" t="s">
        <v>19</v>
      </c>
      <c r="K345">
        <v>3823.68</v>
      </c>
    </row>
    <row r="346" spans="1:11">
      <c r="A346">
        <v>345</v>
      </c>
      <c r="B346" t="s">
        <v>129</v>
      </c>
      <c r="C346" s="1">
        <v>30317</v>
      </c>
      <c r="D346">
        <v>43</v>
      </c>
      <c r="E346" t="s">
        <v>15</v>
      </c>
      <c r="F346" t="s">
        <v>32</v>
      </c>
      <c r="G346" s="1">
        <v>45322</v>
      </c>
      <c r="H346" s="1">
        <v>45635</v>
      </c>
      <c r="I346">
        <v>26</v>
      </c>
      <c r="J346" t="s">
        <v>25</v>
      </c>
      <c r="K346">
        <v>12952.27</v>
      </c>
    </row>
    <row r="347" spans="1:11">
      <c r="A347">
        <v>346</v>
      </c>
      <c r="B347" t="s">
        <v>37</v>
      </c>
      <c r="C347" s="1">
        <v>12785</v>
      </c>
      <c r="D347">
        <v>91</v>
      </c>
      <c r="E347" t="s">
        <v>15</v>
      </c>
      <c r="F347" t="s">
        <v>18</v>
      </c>
      <c r="G347" s="1">
        <v>45477</v>
      </c>
      <c r="H347" s="1">
        <v>45590</v>
      </c>
      <c r="I347">
        <v>12</v>
      </c>
      <c r="J347" t="s">
        <v>25</v>
      </c>
      <c r="K347">
        <v>13436.06</v>
      </c>
    </row>
    <row r="348" spans="1:11">
      <c r="A348">
        <v>347</v>
      </c>
      <c r="B348" t="s">
        <v>54</v>
      </c>
      <c r="C348" s="1">
        <v>35430</v>
      </c>
      <c r="D348">
        <v>29</v>
      </c>
      <c r="E348" t="s">
        <v>12</v>
      </c>
      <c r="F348" t="s">
        <v>18</v>
      </c>
      <c r="G348" s="1">
        <v>45405</v>
      </c>
      <c r="H348" s="1">
        <v>45383</v>
      </c>
      <c r="I348">
        <v>9</v>
      </c>
      <c r="J348" t="s">
        <v>25</v>
      </c>
      <c r="K348">
        <v>16567.560000000001</v>
      </c>
    </row>
    <row r="349" spans="1:11">
      <c r="A349">
        <v>348</v>
      </c>
      <c r="B349" t="s">
        <v>100</v>
      </c>
      <c r="C349" s="1">
        <v>12419</v>
      </c>
      <c r="D349">
        <v>92</v>
      </c>
      <c r="E349" t="s">
        <v>15</v>
      </c>
      <c r="F349" t="s">
        <v>18</v>
      </c>
      <c r="G349" s="1">
        <v>45242</v>
      </c>
      <c r="H349" s="1">
        <v>45196</v>
      </c>
      <c r="I349">
        <v>38</v>
      </c>
      <c r="J349" t="s">
        <v>23</v>
      </c>
      <c r="K349">
        <v>17482.509999999998</v>
      </c>
    </row>
    <row r="350" spans="1:11">
      <c r="A350">
        <v>349</v>
      </c>
      <c r="B350" t="s">
        <v>152</v>
      </c>
      <c r="C350" s="1">
        <v>29586</v>
      </c>
      <c r="D350">
        <v>45</v>
      </c>
      <c r="E350" t="s">
        <v>12</v>
      </c>
      <c r="F350" t="s">
        <v>45</v>
      </c>
      <c r="G350" s="1">
        <v>45597</v>
      </c>
      <c r="H350" s="1">
        <v>45271</v>
      </c>
      <c r="I350">
        <v>16</v>
      </c>
      <c r="J350" t="s">
        <v>23</v>
      </c>
      <c r="K350">
        <v>14059.68</v>
      </c>
    </row>
    <row r="351" spans="1:11">
      <c r="A351">
        <v>350</v>
      </c>
      <c r="B351" t="s">
        <v>132</v>
      </c>
      <c r="C351" s="1">
        <v>44196</v>
      </c>
      <c r="D351">
        <v>5</v>
      </c>
      <c r="E351" t="s">
        <v>15</v>
      </c>
      <c r="F351" t="s">
        <v>21</v>
      </c>
      <c r="G351" s="1">
        <v>45624</v>
      </c>
      <c r="H351" s="1">
        <v>44967</v>
      </c>
      <c r="I351">
        <v>9</v>
      </c>
      <c r="J351" t="s">
        <v>19</v>
      </c>
      <c r="K351">
        <v>13718.71</v>
      </c>
    </row>
    <row r="352" spans="1:11">
      <c r="A352">
        <v>351</v>
      </c>
      <c r="B352" t="s">
        <v>95</v>
      </c>
      <c r="C352" s="1">
        <v>32873</v>
      </c>
      <c r="D352">
        <v>36</v>
      </c>
      <c r="E352" t="s">
        <v>15</v>
      </c>
      <c r="F352" t="s">
        <v>16</v>
      </c>
      <c r="G352" s="1">
        <v>45279</v>
      </c>
      <c r="H352" s="1">
        <v>45677</v>
      </c>
      <c r="I352">
        <v>20</v>
      </c>
      <c r="K352">
        <v>1039.18</v>
      </c>
    </row>
    <row r="353" spans="1:11">
      <c r="A353">
        <v>352</v>
      </c>
      <c r="B353" t="s">
        <v>147</v>
      </c>
      <c r="C353" s="1">
        <v>37622</v>
      </c>
      <c r="D353">
        <v>23</v>
      </c>
      <c r="E353" t="s">
        <v>12</v>
      </c>
      <c r="F353" t="s">
        <v>32</v>
      </c>
      <c r="G353" s="1">
        <v>45165</v>
      </c>
      <c r="H353" s="1">
        <v>45341</v>
      </c>
      <c r="I353">
        <v>2</v>
      </c>
      <c r="J353" t="s">
        <v>23</v>
      </c>
      <c r="K353">
        <v>2106.56</v>
      </c>
    </row>
    <row r="354" spans="1:11">
      <c r="A354">
        <v>353</v>
      </c>
      <c r="B354" t="s">
        <v>147</v>
      </c>
      <c r="C354" s="1">
        <v>12419</v>
      </c>
      <c r="D354">
        <v>92</v>
      </c>
      <c r="E354" t="s">
        <v>15</v>
      </c>
      <c r="F354" t="s">
        <v>16</v>
      </c>
      <c r="G354" s="1">
        <v>45030</v>
      </c>
      <c r="H354" s="1">
        <v>45307</v>
      </c>
      <c r="I354">
        <v>23</v>
      </c>
      <c r="J354" t="s">
        <v>23</v>
      </c>
      <c r="K354">
        <v>16232.51</v>
      </c>
    </row>
    <row r="355" spans="1:11">
      <c r="A355">
        <v>354</v>
      </c>
      <c r="B355" t="s">
        <v>156</v>
      </c>
      <c r="C355" s="1">
        <v>29586</v>
      </c>
      <c r="D355">
        <v>45</v>
      </c>
      <c r="E355" t="s">
        <v>15</v>
      </c>
      <c r="F355" t="s">
        <v>45</v>
      </c>
      <c r="G355" s="1">
        <v>44955</v>
      </c>
      <c r="H355" s="1">
        <v>45149</v>
      </c>
      <c r="I355">
        <v>7</v>
      </c>
      <c r="J355" t="s">
        <v>19</v>
      </c>
      <c r="K355">
        <v>4582.32</v>
      </c>
    </row>
    <row r="356" spans="1:11">
      <c r="A356">
        <v>355</v>
      </c>
      <c r="B356" t="s">
        <v>42</v>
      </c>
      <c r="C356" s="1">
        <v>27029</v>
      </c>
      <c r="D356">
        <v>52</v>
      </c>
      <c r="E356" t="s">
        <v>12</v>
      </c>
      <c r="F356" t="s">
        <v>32</v>
      </c>
      <c r="G356" s="1">
        <v>45015</v>
      </c>
      <c r="H356" s="1">
        <v>45208</v>
      </c>
      <c r="I356">
        <v>19</v>
      </c>
      <c r="J356" t="s">
        <v>19</v>
      </c>
      <c r="K356">
        <v>7046.86</v>
      </c>
    </row>
    <row r="357" spans="1:11">
      <c r="A357">
        <v>356</v>
      </c>
      <c r="B357" t="s">
        <v>53</v>
      </c>
      <c r="C357" s="1">
        <v>11689</v>
      </c>
      <c r="D357">
        <v>94</v>
      </c>
      <c r="E357" t="s">
        <v>12</v>
      </c>
      <c r="F357" t="s">
        <v>16</v>
      </c>
      <c r="G357" s="1">
        <v>45301</v>
      </c>
      <c r="H357" s="1">
        <v>45152</v>
      </c>
      <c r="I357">
        <v>36</v>
      </c>
      <c r="K357">
        <v>2820.48</v>
      </c>
    </row>
    <row r="358" spans="1:11">
      <c r="A358">
        <v>357</v>
      </c>
      <c r="B358" t="s">
        <v>83</v>
      </c>
      <c r="C358" s="1">
        <v>24473</v>
      </c>
      <c r="D358">
        <v>59</v>
      </c>
      <c r="E358" t="s">
        <v>12</v>
      </c>
      <c r="G358" s="1">
        <v>45323</v>
      </c>
      <c r="H358" s="1">
        <v>45384</v>
      </c>
      <c r="I358">
        <v>20</v>
      </c>
      <c r="J358" t="s">
        <v>25</v>
      </c>
      <c r="K358">
        <v>3822.55</v>
      </c>
    </row>
    <row r="359" spans="1:11">
      <c r="A359">
        <v>358</v>
      </c>
      <c r="B359" t="s">
        <v>36</v>
      </c>
      <c r="C359" s="1">
        <v>23377</v>
      </c>
      <c r="D359">
        <v>62</v>
      </c>
      <c r="F359" t="s">
        <v>45</v>
      </c>
      <c r="G359" s="1">
        <v>45489</v>
      </c>
      <c r="H359" s="1">
        <v>45081</v>
      </c>
      <c r="I359">
        <v>8</v>
      </c>
      <c r="J359" t="s">
        <v>25</v>
      </c>
      <c r="K359">
        <v>15485.89</v>
      </c>
    </row>
    <row r="360" spans="1:11">
      <c r="A360">
        <v>359</v>
      </c>
      <c r="B360" t="s">
        <v>148</v>
      </c>
      <c r="C360" s="1">
        <v>15341</v>
      </c>
      <c r="D360">
        <v>84</v>
      </c>
      <c r="E360" t="s">
        <v>15</v>
      </c>
      <c r="F360" t="s">
        <v>45</v>
      </c>
      <c r="G360" s="1">
        <v>45290</v>
      </c>
      <c r="H360" s="1">
        <v>45207</v>
      </c>
      <c r="I360">
        <v>25</v>
      </c>
      <c r="K360">
        <v>5163.38</v>
      </c>
    </row>
    <row r="361" spans="1:11">
      <c r="A361">
        <v>360</v>
      </c>
      <c r="B361" t="s">
        <v>156</v>
      </c>
      <c r="C361" s="1">
        <v>34700</v>
      </c>
      <c r="D361">
        <v>31</v>
      </c>
      <c r="E361" t="s">
        <v>12</v>
      </c>
      <c r="F361" t="s">
        <v>45</v>
      </c>
      <c r="G361" s="1">
        <v>45073</v>
      </c>
      <c r="H361" s="1">
        <v>45280</v>
      </c>
      <c r="I361">
        <v>28</v>
      </c>
      <c r="K361">
        <v>8925.6</v>
      </c>
    </row>
    <row r="362" spans="1:11">
      <c r="A362">
        <v>361</v>
      </c>
      <c r="B362" t="s">
        <v>60</v>
      </c>
      <c r="C362" s="1">
        <v>14611</v>
      </c>
      <c r="D362">
        <v>86</v>
      </c>
      <c r="E362" t="s">
        <v>15</v>
      </c>
      <c r="F362" t="s">
        <v>32</v>
      </c>
      <c r="G362" s="1">
        <v>45240</v>
      </c>
      <c r="H362" s="1">
        <v>44966</v>
      </c>
      <c r="I362">
        <v>5</v>
      </c>
      <c r="K362">
        <v>2948.59</v>
      </c>
    </row>
    <row r="363" spans="1:11">
      <c r="A363">
        <v>362</v>
      </c>
      <c r="B363" t="s">
        <v>17</v>
      </c>
      <c r="C363" s="1">
        <v>34334</v>
      </c>
      <c r="D363">
        <v>32</v>
      </c>
      <c r="E363" t="s">
        <v>12</v>
      </c>
      <c r="F363" t="s">
        <v>16</v>
      </c>
      <c r="G363" s="1">
        <v>45474</v>
      </c>
      <c r="H363" s="1">
        <v>45656</v>
      </c>
      <c r="I363">
        <v>36</v>
      </c>
      <c r="J363" t="s">
        <v>19</v>
      </c>
      <c r="K363">
        <v>13526.39</v>
      </c>
    </row>
    <row r="364" spans="1:11">
      <c r="A364">
        <v>363</v>
      </c>
      <c r="B364" t="s">
        <v>157</v>
      </c>
      <c r="C364" s="1">
        <v>21916</v>
      </c>
      <c r="D364">
        <v>66</v>
      </c>
      <c r="E364" t="s">
        <v>15</v>
      </c>
      <c r="F364" t="s">
        <v>16</v>
      </c>
      <c r="G364" s="1">
        <v>45378</v>
      </c>
      <c r="H364" s="1">
        <v>45683</v>
      </c>
      <c r="I364">
        <v>25</v>
      </c>
      <c r="J364" t="s">
        <v>25</v>
      </c>
      <c r="K364">
        <v>14538.22</v>
      </c>
    </row>
    <row r="365" spans="1:11">
      <c r="A365">
        <v>364</v>
      </c>
      <c r="B365" t="s">
        <v>14</v>
      </c>
      <c r="C365" s="1">
        <v>39813</v>
      </c>
      <c r="D365">
        <v>17</v>
      </c>
      <c r="F365" t="s">
        <v>13</v>
      </c>
      <c r="G365" s="1">
        <v>45432</v>
      </c>
      <c r="H365" s="1">
        <v>45548</v>
      </c>
      <c r="I365">
        <v>13</v>
      </c>
      <c r="K365">
        <v>7170.02</v>
      </c>
    </row>
    <row r="366" spans="1:11">
      <c r="A366">
        <v>365</v>
      </c>
      <c r="B366" t="s">
        <v>51</v>
      </c>
      <c r="C366" s="1">
        <v>37256</v>
      </c>
      <c r="D366">
        <v>24</v>
      </c>
      <c r="E366" t="s">
        <v>12</v>
      </c>
      <c r="F366" t="s">
        <v>45</v>
      </c>
      <c r="G366" s="1">
        <v>45412</v>
      </c>
      <c r="H366" s="1">
        <v>45500</v>
      </c>
      <c r="I366">
        <v>28</v>
      </c>
      <c r="K366">
        <v>15673.41</v>
      </c>
    </row>
    <row r="367" spans="1:11">
      <c r="A367">
        <v>366</v>
      </c>
      <c r="B367" t="s">
        <v>59</v>
      </c>
      <c r="C367" s="1">
        <v>11689</v>
      </c>
      <c r="D367">
        <v>94</v>
      </c>
      <c r="E367" t="s">
        <v>12</v>
      </c>
      <c r="F367" t="s">
        <v>18</v>
      </c>
      <c r="G367" s="1">
        <v>45027</v>
      </c>
      <c r="H367" s="1">
        <v>45416</v>
      </c>
      <c r="I367">
        <v>38</v>
      </c>
      <c r="J367" t="s">
        <v>25</v>
      </c>
      <c r="K367">
        <v>4722.12</v>
      </c>
    </row>
    <row r="368" spans="1:11">
      <c r="A368">
        <v>367</v>
      </c>
      <c r="B368" t="s">
        <v>147</v>
      </c>
      <c r="C368" s="1">
        <v>26664</v>
      </c>
      <c r="D368">
        <v>53</v>
      </c>
      <c r="E368" t="s">
        <v>12</v>
      </c>
      <c r="F368" t="s">
        <v>21</v>
      </c>
      <c r="G368" s="1">
        <v>45033</v>
      </c>
      <c r="H368" s="1">
        <v>45125</v>
      </c>
      <c r="I368">
        <v>13</v>
      </c>
      <c r="J368" t="s">
        <v>25</v>
      </c>
      <c r="K368">
        <v>13807.27</v>
      </c>
    </row>
    <row r="369" spans="1:11">
      <c r="A369">
        <v>368</v>
      </c>
      <c r="B369" t="s">
        <v>46</v>
      </c>
      <c r="C369" s="1">
        <v>25203</v>
      </c>
      <c r="E369" t="s">
        <v>12</v>
      </c>
      <c r="G369" s="1">
        <v>45217</v>
      </c>
      <c r="H369" s="1">
        <v>45203</v>
      </c>
      <c r="I369">
        <v>2</v>
      </c>
      <c r="J369" t="s">
        <v>19</v>
      </c>
      <c r="K369">
        <v>14572.29</v>
      </c>
    </row>
    <row r="370" spans="1:11">
      <c r="A370">
        <v>369</v>
      </c>
      <c r="B370" t="s">
        <v>122</v>
      </c>
      <c r="C370" s="1">
        <v>21916</v>
      </c>
      <c r="D370">
        <v>66</v>
      </c>
      <c r="E370" t="s">
        <v>12</v>
      </c>
      <c r="G370" s="1">
        <v>45275</v>
      </c>
      <c r="H370" s="1">
        <v>45099</v>
      </c>
      <c r="I370">
        <v>32</v>
      </c>
      <c r="J370" t="s">
        <v>23</v>
      </c>
      <c r="K370">
        <v>19370.009999999998</v>
      </c>
    </row>
    <row r="371" spans="1:11">
      <c r="A371">
        <v>370</v>
      </c>
      <c r="B371" t="s">
        <v>148</v>
      </c>
      <c r="C371" s="1">
        <v>29586</v>
      </c>
      <c r="D371">
        <v>45</v>
      </c>
      <c r="E371" t="s">
        <v>15</v>
      </c>
      <c r="F371" t="s">
        <v>13</v>
      </c>
      <c r="G371" s="1">
        <v>45543</v>
      </c>
      <c r="H371" s="1">
        <v>45711</v>
      </c>
      <c r="I371">
        <v>22</v>
      </c>
      <c r="J371" t="s">
        <v>23</v>
      </c>
      <c r="K371">
        <v>4569.67</v>
      </c>
    </row>
    <row r="372" spans="1:11">
      <c r="A372">
        <v>371</v>
      </c>
      <c r="B372" t="s">
        <v>33</v>
      </c>
      <c r="C372" s="1">
        <v>37622</v>
      </c>
      <c r="E372" t="s">
        <v>15</v>
      </c>
      <c r="F372" t="s">
        <v>13</v>
      </c>
      <c r="G372" s="1">
        <v>45514</v>
      </c>
      <c r="H372" s="1">
        <v>45435</v>
      </c>
      <c r="I372">
        <v>10</v>
      </c>
      <c r="J372" t="s">
        <v>19</v>
      </c>
      <c r="K372">
        <v>1783.58</v>
      </c>
    </row>
    <row r="373" spans="1:11">
      <c r="A373">
        <v>372</v>
      </c>
      <c r="B373" t="s">
        <v>135</v>
      </c>
      <c r="C373" s="1">
        <v>34700</v>
      </c>
      <c r="D373">
        <v>31</v>
      </c>
      <c r="E373" t="s">
        <v>15</v>
      </c>
      <c r="F373" t="s">
        <v>32</v>
      </c>
      <c r="G373" s="1">
        <v>45153</v>
      </c>
      <c r="H373" s="1">
        <v>45332</v>
      </c>
      <c r="I373">
        <v>26</v>
      </c>
      <c r="J373" t="s">
        <v>19</v>
      </c>
      <c r="K373">
        <v>5187.01</v>
      </c>
    </row>
    <row r="374" spans="1:11">
      <c r="A374">
        <v>373</v>
      </c>
      <c r="B374" t="s">
        <v>111</v>
      </c>
      <c r="C374" s="1">
        <v>29221</v>
      </c>
      <c r="D374">
        <v>46</v>
      </c>
      <c r="E374" t="s">
        <v>15</v>
      </c>
      <c r="F374" t="s">
        <v>13</v>
      </c>
      <c r="G374" s="1">
        <v>45522</v>
      </c>
      <c r="H374" s="1">
        <v>45198</v>
      </c>
      <c r="I374">
        <v>24</v>
      </c>
      <c r="J374" t="s">
        <v>25</v>
      </c>
      <c r="K374">
        <v>2369.5300000000002</v>
      </c>
    </row>
    <row r="375" spans="1:11">
      <c r="A375">
        <v>374</v>
      </c>
      <c r="B375" t="s">
        <v>114</v>
      </c>
      <c r="C375" s="1">
        <v>14976</v>
      </c>
      <c r="D375">
        <v>85</v>
      </c>
      <c r="E375" t="s">
        <v>12</v>
      </c>
      <c r="F375" t="s">
        <v>16</v>
      </c>
      <c r="G375" s="1">
        <v>45514</v>
      </c>
      <c r="H375" s="1">
        <v>45481</v>
      </c>
      <c r="I375">
        <v>37</v>
      </c>
      <c r="J375" t="s">
        <v>19</v>
      </c>
      <c r="K375">
        <v>3310.86</v>
      </c>
    </row>
    <row r="376" spans="1:11">
      <c r="A376">
        <v>375</v>
      </c>
      <c r="B376" t="s">
        <v>146</v>
      </c>
      <c r="D376">
        <v>22</v>
      </c>
      <c r="E376" t="s">
        <v>12</v>
      </c>
      <c r="F376" t="s">
        <v>32</v>
      </c>
      <c r="G376" s="1">
        <v>44976</v>
      </c>
      <c r="H376" s="1">
        <v>45628</v>
      </c>
      <c r="I376">
        <v>14</v>
      </c>
      <c r="J376" t="s">
        <v>19</v>
      </c>
      <c r="K376">
        <v>6615.7</v>
      </c>
    </row>
    <row r="377" spans="1:11">
      <c r="A377">
        <v>376</v>
      </c>
      <c r="B377" t="s">
        <v>64</v>
      </c>
      <c r="C377" s="1">
        <v>22281</v>
      </c>
      <c r="D377">
        <v>65</v>
      </c>
      <c r="E377" t="s">
        <v>12</v>
      </c>
      <c r="F377" t="s">
        <v>32</v>
      </c>
      <c r="G377" s="1">
        <v>45648</v>
      </c>
      <c r="H377" s="1">
        <v>45699</v>
      </c>
      <c r="I377">
        <v>34</v>
      </c>
      <c r="K377">
        <v>8221.2099999999991</v>
      </c>
    </row>
    <row r="378" spans="1:11">
      <c r="A378">
        <v>377</v>
      </c>
      <c r="B378" t="s">
        <v>158</v>
      </c>
      <c r="C378" s="1">
        <v>36526</v>
      </c>
      <c r="D378">
        <v>26</v>
      </c>
      <c r="G378" s="1">
        <v>45084</v>
      </c>
      <c r="H378" s="1">
        <v>45591</v>
      </c>
      <c r="I378">
        <v>35</v>
      </c>
      <c r="J378" t="s">
        <v>19</v>
      </c>
      <c r="K378">
        <v>18064.86</v>
      </c>
    </row>
    <row r="379" spans="1:11">
      <c r="A379">
        <v>378</v>
      </c>
      <c r="B379" t="s">
        <v>96</v>
      </c>
      <c r="C379" s="1">
        <v>45657</v>
      </c>
      <c r="D379">
        <v>1</v>
      </c>
      <c r="E379" t="s">
        <v>12</v>
      </c>
      <c r="G379" s="1">
        <v>45254</v>
      </c>
      <c r="H379" s="1">
        <v>45058</v>
      </c>
      <c r="I379">
        <v>26</v>
      </c>
      <c r="J379" t="s">
        <v>19</v>
      </c>
      <c r="K379">
        <v>3831.88</v>
      </c>
    </row>
    <row r="380" spans="1:11">
      <c r="A380">
        <v>379</v>
      </c>
      <c r="B380" t="s">
        <v>59</v>
      </c>
      <c r="C380" s="1">
        <v>13515</v>
      </c>
      <c r="D380">
        <v>89</v>
      </c>
      <c r="E380" t="s">
        <v>15</v>
      </c>
      <c r="F380" t="s">
        <v>18</v>
      </c>
      <c r="G380" s="1">
        <v>45003</v>
      </c>
      <c r="H380" s="1">
        <v>45553</v>
      </c>
      <c r="I380">
        <v>31</v>
      </c>
      <c r="K380">
        <v>19432.36</v>
      </c>
    </row>
    <row r="381" spans="1:11">
      <c r="A381">
        <v>380</v>
      </c>
      <c r="B381" t="s">
        <v>63</v>
      </c>
      <c r="C381" s="1">
        <v>40178</v>
      </c>
      <c r="D381">
        <v>16</v>
      </c>
      <c r="E381" t="s">
        <v>15</v>
      </c>
      <c r="F381" t="s">
        <v>45</v>
      </c>
      <c r="G381" s="1">
        <v>45559</v>
      </c>
      <c r="H381" s="1">
        <v>45312</v>
      </c>
      <c r="I381">
        <v>27</v>
      </c>
      <c r="J381" t="s">
        <v>25</v>
      </c>
      <c r="K381">
        <v>16184.08</v>
      </c>
    </row>
    <row r="382" spans="1:11">
      <c r="A382">
        <v>381</v>
      </c>
      <c r="B382" t="s">
        <v>150</v>
      </c>
      <c r="C382" s="1">
        <v>34334</v>
      </c>
      <c r="D382">
        <v>32</v>
      </c>
      <c r="E382" t="s">
        <v>15</v>
      </c>
      <c r="F382" t="s">
        <v>13</v>
      </c>
      <c r="G382" s="1">
        <v>45380</v>
      </c>
      <c r="H382" s="1">
        <v>45661</v>
      </c>
      <c r="I382">
        <v>28</v>
      </c>
      <c r="J382" t="s">
        <v>25</v>
      </c>
      <c r="K382">
        <v>17617.57</v>
      </c>
    </row>
    <row r="383" spans="1:11">
      <c r="A383">
        <v>382</v>
      </c>
      <c r="B383" t="s">
        <v>102</v>
      </c>
      <c r="C383" s="1">
        <v>43100</v>
      </c>
      <c r="D383">
        <v>8</v>
      </c>
      <c r="E383" t="s">
        <v>15</v>
      </c>
      <c r="F383" t="s">
        <v>45</v>
      </c>
      <c r="G383" s="1">
        <v>45236</v>
      </c>
      <c r="H383" s="1">
        <v>45324</v>
      </c>
      <c r="I383">
        <v>19</v>
      </c>
      <c r="J383" t="s">
        <v>19</v>
      </c>
      <c r="K383">
        <v>18581.82</v>
      </c>
    </row>
    <row r="384" spans="1:11">
      <c r="A384">
        <v>383</v>
      </c>
      <c r="B384" t="s">
        <v>159</v>
      </c>
      <c r="C384" s="1">
        <v>30682</v>
      </c>
      <c r="D384">
        <v>42</v>
      </c>
      <c r="E384" t="s">
        <v>12</v>
      </c>
      <c r="F384" t="s">
        <v>45</v>
      </c>
      <c r="G384" s="1">
        <v>45253</v>
      </c>
      <c r="H384" s="1">
        <v>45493</v>
      </c>
      <c r="I384">
        <v>22</v>
      </c>
      <c r="J384" t="s">
        <v>19</v>
      </c>
      <c r="K384">
        <v>15040.15</v>
      </c>
    </row>
    <row r="385" spans="1:11">
      <c r="A385">
        <v>384</v>
      </c>
      <c r="B385" t="s">
        <v>131</v>
      </c>
      <c r="C385" s="1">
        <v>28856</v>
      </c>
      <c r="D385">
        <v>47</v>
      </c>
      <c r="E385" t="s">
        <v>12</v>
      </c>
      <c r="F385" t="s">
        <v>45</v>
      </c>
      <c r="G385" s="1">
        <v>45434</v>
      </c>
      <c r="H385" s="1">
        <v>45777</v>
      </c>
      <c r="I385">
        <v>1</v>
      </c>
      <c r="J385" t="s">
        <v>23</v>
      </c>
      <c r="K385">
        <v>15754.47</v>
      </c>
    </row>
    <row r="386" spans="1:11">
      <c r="A386">
        <v>385</v>
      </c>
      <c r="B386" t="s">
        <v>108</v>
      </c>
      <c r="C386" s="1">
        <v>32143</v>
      </c>
      <c r="D386">
        <v>38</v>
      </c>
      <c r="E386" t="s">
        <v>12</v>
      </c>
      <c r="F386" t="s">
        <v>32</v>
      </c>
      <c r="G386" s="1">
        <v>45033</v>
      </c>
      <c r="H386" s="1">
        <v>45223</v>
      </c>
      <c r="I386">
        <v>32</v>
      </c>
      <c r="K386">
        <v>8700.15</v>
      </c>
    </row>
    <row r="387" spans="1:11">
      <c r="A387">
        <v>386</v>
      </c>
      <c r="B387" t="s">
        <v>160</v>
      </c>
      <c r="C387" s="1">
        <v>12419</v>
      </c>
      <c r="D387">
        <v>92</v>
      </c>
      <c r="E387" t="s">
        <v>12</v>
      </c>
      <c r="F387" t="s">
        <v>45</v>
      </c>
      <c r="G387" s="1">
        <v>45167</v>
      </c>
      <c r="H387" s="1">
        <v>45310</v>
      </c>
      <c r="I387">
        <v>38</v>
      </c>
      <c r="J387" t="s">
        <v>23</v>
      </c>
      <c r="K387">
        <v>10160.049999999999</v>
      </c>
    </row>
    <row r="388" spans="1:11">
      <c r="A388">
        <v>387</v>
      </c>
      <c r="B388" t="s">
        <v>55</v>
      </c>
      <c r="C388" s="1">
        <v>31047</v>
      </c>
      <c r="D388">
        <v>41</v>
      </c>
      <c r="E388" t="s">
        <v>12</v>
      </c>
      <c r="F388" t="s">
        <v>13</v>
      </c>
      <c r="G388" s="1">
        <v>45361</v>
      </c>
      <c r="H388" s="1">
        <v>45439</v>
      </c>
      <c r="I388">
        <v>6</v>
      </c>
      <c r="J388" t="s">
        <v>19</v>
      </c>
      <c r="K388">
        <v>18642.96</v>
      </c>
    </row>
    <row r="389" spans="1:11">
      <c r="A389">
        <v>388</v>
      </c>
      <c r="B389" t="s">
        <v>105</v>
      </c>
      <c r="C389" s="1">
        <v>36891</v>
      </c>
      <c r="D389">
        <v>25</v>
      </c>
      <c r="E389" t="s">
        <v>15</v>
      </c>
      <c r="F389" t="s">
        <v>32</v>
      </c>
      <c r="G389" s="1">
        <v>44954</v>
      </c>
      <c r="H389" s="1">
        <v>45322</v>
      </c>
      <c r="I389">
        <v>23</v>
      </c>
      <c r="J389" t="s">
        <v>23</v>
      </c>
      <c r="K389">
        <v>7502.94</v>
      </c>
    </row>
    <row r="390" spans="1:11">
      <c r="A390">
        <v>389</v>
      </c>
      <c r="B390" t="s">
        <v>60</v>
      </c>
      <c r="C390" s="1">
        <v>28125</v>
      </c>
      <c r="D390">
        <v>49</v>
      </c>
      <c r="E390" t="s">
        <v>12</v>
      </c>
      <c r="F390" t="s">
        <v>13</v>
      </c>
      <c r="G390" s="1">
        <v>45630</v>
      </c>
      <c r="H390" s="1">
        <v>45481</v>
      </c>
      <c r="I390">
        <v>24</v>
      </c>
      <c r="J390" t="s">
        <v>23</v>
      </c>
      <c r="K390">
        <v>743.14</v>
      </c>
    </row>
    <row r="391" spans="1:11">
      <c r="A391">
        <v>390</v>
      </c>
      <c r="B391" t="s">
        <v>135</v>
      </c>
      <c r="C391" s="1">
        <v>37256</v>
      </c>
      <c r="D391">
        <v>24</v>
      </c>
      <c r="E391" t="s">
        <v>15</v>
      </c>
      <c r="F391" t="s">
        <v>32</v>
      </c>
      <c r="G391" s="1">
        <v>45175</v>
      </c>
      <c r="H391" s="1">
        <v>45532</v>
      </c>
      <c r="I391">
        <v>24</v>
      </c>
      <c r="J391" t="s">
        <v>25</v>
      </c>
      <c r="K391">
        <v>15231.36</v>
      </c>
    </row>
    <row r="392" spans="1:11">
      <c r="A392">
        <v>391</v>
      </c>
      <c r="B392" t="s">
        <v>87</v>
      </c>
      <c r="C392" s="1">
        <v>37622</v>
      </c>
      <c r="D392">
        <v>23</v>
      </c>
      <c r="E392" t="s">
        <v>15</v>
      </c>
      <c r="F392" t="s">
        <v>21</v>
      </c>
      <c r="G392" s="1">
        <v>45290</v>
      </c>
      <c r="H392" s="1">
        <v>45187</v>
      </c>
      <c r="I392">
        <v>15</v>
      </c>
      <c r="K392">
        <v>11420.47</v>
      </c>
    </row>
    <row r="393" spans="1:11">
      <c r="A393">
        <v>392</v>
      </c>
      <c r="B393" t="s">
        <v>88</v>
      </c>
      <c r="C393" s="1">
        <v>41639</v>
      </c>
      <c r="D393">
        <v>12</v>
      </c>
      <c r="E393" t="s">
        <v>15</v>
      </c>
      <c r="F393" t="s">
        <v>21</v>
      </c>
      <c r="G393" s="1">
        <v>45651</v>
      </c>
      <c r="H393" s="1">
        <v>45208</v>
      </c>
      <c r="I393">
        <v>27</v>
      </c>
      <c r="J393" t="s">
        <v>25</v>
      </c>
      <c r="K393">
        <v>16279.01</v>
      </c>
    </row>
    <row r="394" spans="1:11">
      <c r="A394">
        <v>393</v>
      </c>
      <c r="B394" t="s">
        <v>152</v>
      </c>
      <c r="C394" s="1">
        <v>24473</v>
      </c>
      <c r="D394">
        <v>59</v>
      </c>
      <c r="E394" t="s">
        <v>12</v>
      </c>
      <c r="F394" t="s">
        <v>21</v>
      </c>
      <c r="G394" s="1">
        <v>45459</v>
      </c>
      <c r="H394" s="1">
        <v>45283</v>
      </c>
      <c r="I394">
        <v>28</v>
      </c>
      <c r="J394" t="s">
        <v>25</v>
      </c>
      <c r="K394">
        <v>1418.58</v>
      </c>
    </row>
    <row r="395" spans="1:11">
      <c r="A395">
        <v>394</v>
      </c>
      <c r="B395" t="s">
        <v>28</v>
      </c>
      <c r="C395" s="1">
        <v>43831</v>
      </c>
      <c r="E395" t="s">
        <v>15</v>
      </c>
      <c r="F395" t="s">
        <v>21</v>
      </c>
      <c r="G395" s="1">
        <v>45398</v>
      </c>
      <c r="H395" s="1">
        <v>45347</v>
      </c>
      <c r="I395">
        <v>39</v>
      </c>
      <c r="J395" t="s">
        <v>23</v>
      </c>
      <c r="K395">
        <v>12386.76</v>
      </c>
    </row>
    <row r="396" spans="1:11">
      <c r="A396">
        <v>395</v>
      </c>
      <c r="B396" t="s">
        <v>46</v>
      </c>
      <c r="C396" s="1">
        <v>25568</v>
      </c>
      <c r="D396">
        <v>56</v>
      </c>
      <c r="E396" t="s">
        <v>15</v>
      </c>
      <c r="F396" t="s">
        <v>32</v>
      </c>
      <c r="G396" s="1">
        <v>45593</v>
      </c>
      <c r="H396" s="1">
        <v>45119</v>
      </c>
      <c r="I396">
        <v>0</v>
      </c>
      <c r="K396">
        <v>4878.8900000000003</v>
      </c>
    </row>
    <row r="397" spans="1:11">
      <c r="A397">
        <v>396</v>
      </c>
      <c r="B397" t="s">
        <v>121</v>
      </c>
      <c r="C397" s="1">
        <v>33239</v>
      </c>
      <c r="D397">
        <v>35</v>
      </c>
      <c r="E397" t="s">
        <v>12</v>
      </c>
      <c r="F397" t="s">
        <v>45</v>
      </c>
      <c r="G397" s="1">
        <v>45465</v>
      </c>
      <c r="H397" s="1">
        <v>45564</v>
      </c>
      <c r="I397">
        <v>26</v>
      </c>
      <c r="J397" t="s">
        <v>19</v>
      </c>
      <c r="K397">
        <v>18055.7</v>
      </c>
    </row>
    <row r="398" spans="1:11">
      <c r="A398">
        <v>397</v>
      </c>
      <c r="B398" t="s">
        <v>154</v>
      </c>
      <c r="C398" s="1">
        <v>29951</v>
      </c>
      <c r="D398">
        <v>44</v>
      </c>
      <c r="E398" t="s">
        <v>12</v>
      </c>
      <c r="F398" t="s">
        <v>18</v>
      </c>
      <c r="G398" s="1">
        <v>45515</v>
      </c>
      <c r="H398" s="1">
        <v>45355</v>
      </c>
      <c r="I398">
        <v>4</v>
      </c>
      <c r="K398">
        <v>2109.19</v>
      </c>
    </row>
    <row r="399" spans="1:11">
      <c r="A399">
        <v>398</v>
      </c>
      <c r="B399" t="s">
        <v>60</v>
      </c>
      <c r="C399" s="1">
        <v>39083</v>
      </c>
      <c r="D399">
        <v>19</v>
      </c>
      <c r="E399" t="s">
        <v>15</v>
      </c>
      <c r="G399" s="1">
        <v>45339</v>
      </c>
      <c r="H399" s="1">
        <v>45735</v>
      </c>
      <c r="I399">
        <v>15</v>
      </c>
      <c r="J399" t="s">
        <v>25</v>
      </c>
      <c r="K399">
        <v>16845.689999999999</v>
      </c>
    </row>
    <row r="400" spans="1:11">
      <c r="A400">
        <v>399</v>
      </c>
      <c r="B400" t="s">
        <v>111</v>
      </c>
      <c r="C400" s="1">
        <v>22646</v>
      </c>
      <c r="D400">
        <v>64</v>
      </c>
      <c r="E400" t="s">
        <v>15</v>
      </c>
      <c r="F400" t="s">
        <v>16</v>
      </c>
      <c r="G400" s="1">
        <v>45495</v>
      </c>
      <c r="H400" s="1">
        <v>45275</v>
      </c>
      <c r="I400">
        <v>13</v>
      </c>
      <c r="J400" t="s">
        <v>23</v>
      </c>
      <c r="K400">
        <v>1679.94</v>
      </c>
    </row>
    <row r="401" spans="1:11">
      <c r="A401">
        <v>400</v>
      </c>
      <c r="B401" t="s">
        <v>52</v>
      </c>
      <c r="C401" s="1">
        <v>43466</v>
      </c>
      <c r="D401">
        <v>7</v>
      </c>
      <c r="E401" t="s">
        <v>12</v>
      </c>
      <c r="F401" t="s">
        <v>18</v>
      </c>
      <c r="G401" s="1">
        <v>45557</v>
      </c>
      <c r="H401" s="1">
        <v>45356</v>
      </c>
      <c r="I401">
        <v>29</v>
      </c>
      <c r="J401" t="s">
        <v>19</v>
      </c>
      <c r="K401">
        <v>404.46</v>
      </c>
    </row>
    <row r="402" spans="1:11">
      <c r="A402">
        <v>401</v>
      </c>
      <c r="B402" t="s">
        <v>95</v>
      </c>
      <c r="C402" s="1">
        <v>40544</v>
      </c>
      <c r="D402">
        <v>15</v>
      </c>
      <c r="E402" t="s">
        <v>15</v>
      </c>
      <c r="F402" t="s">
        <v>21</v>
      </c>
      <c r="G402" s="1">
        <v>45091</v>
      </c>
      <c r="H402" s="1">
        <v>45319</v>
      </c>
      <c r="I402">
        <v>35</v>
      </c>
      <c r="J402" t="s">
        <v>25</v>
      </c>
      <c r="K402">
        <v>4624.6899999999996</v>
      </c>
    </row>
    <row r="403" spans="1:11">
      <c r="A403">
        <v>402</v>
      </c>
      <c r="B403" t="s">
        <v>137</v>
      </c>
      <c r="C403" s="1">
        <v>41274</v>
      </c>
      <c r="D403">
        <v>13</v>
      </c>
      <c r="E403" t="s">
        <v>12</v>
      </c>
      <c r="F403" t="s">
        <v>45</v>
      </c>
      <c r="G403" s="1">
        <v>45502</v>
      </c>
      <c r="H403" s="1">
        <v>45268</v>
      </c>
      <c r="I403">
        <v>22</v>
      </c>
      <c r="J403" t="s">
        <v>23</v>
      </c>
      <c r="K403">
        <v>6594.2</v>
      </c>
    </row>
    <row r="404" spans="1:11">
      <c r="A404">
        <v>403</v>
      </c>
      <c r="B404" t="s">
        <v>47</v>
      </c>
      <c r="C404" s="1">
        <v>18629</v>
      </c>
      <c r="D404">
        <v>75</v>
      </c>
      <c r="E404" t="s">
        <v>12</v>
      </c>
      <c r="F404" t="s">
        <v>13</v>
      </c>
      <c r="G404" s="1">
        <v>44974</v>
      </c>
      <c r="H404" s="1">
        <v>45474</v>
      </c>
      <c r="I404">
        <v>29</v>
      </c>
      <c r="J404" t="s">
        <v>25</v>
      </c>
      <c r="K404">
        <v>12493.23</v>
      </c>
    </row>
    <row r="405" spans="1:11">
      <c r="A405">
        <v>404</v>
      </c>
      <c r="B405" t="s">
        <v>67</v>
      </c>
      <c r="C405" s="1">
        <v>14611</v>
      </c>
      <c r="D405">
        <v>86</v>
      </c>
      <c r="E405" t="s">
        <v>15</v>
      </c>
      <c r="F405" t="s">
        <v>45</v>
      </c>
      <c r="G405" s="1">
        <v>45588</v>
      </c>
      <c r="H405" s="1">
        <v>45329</v>
      </c>
      <c r="I405">
        <v>16</v>
      </c>
      <c r="J405" t="s">
        <v>23</v>
      </c>
      <c r="K405">
        <v>2547.66</v>
      </c>
    </row>
    <row r="406" spans="1:11">
      <c r="A406">
        <v>405</v>
      </c>
      <c r="B406" t="s">
        <v>112</v>
      </c>
      <c r="C406" s="1">
        <v>40909</v>
      </c>
      <c r="D406">
        <v>14</v>
      </c>
      <c r="E406" t="s">
        <v>15</v>
      </c>
      <c r="F406" t="s">
        <v>13</v>
      </c>
      <c r="G406" s="1">
        <v>45410</v>
      </c>
      <c r="H406" s="1">
        <v>44974</v>
      </c>
      <c r="I406">
        <v>0</v>
      </c>
      <c r="K406">
        <v>8690.33</v>
      </c>
    </row>
    <row r="407" spans="1:11">
      <c r="A407">
        <v>406</v>
      </c>
      <c r="B407" t="s">
        <v>126</v>
      </c>
      <c r="C407" s="1">
        <v>12785</v>
      </c>
      <c r="D407">
        <v>91</v>
      </c>
      <c r="E407" t="s">
        <v>15</v>
      </c>
      <c r="F407" t="s">
        <v>18</v>
      </c>
      <c r="G407" s="1">
        <v>45084</v>
      </c>
      <c r="H407" s="1">
        <v>45592</v>
      </c>
      <c r="I407">
        <v>32</v>
      </c>
      <c r="J407" t="s">
        <v>25</v>
      </c>
      <c r="K407">
        <v>4005.7</v>
      </c>
    </row>
    <row r="408" spans="1:11">
      <c r="A408">
        <v>407</v>
      </c>
      <c r="B408" t="s">
        <v>133</v>
      </c>
      <c r="C408" s="1">
        <v>22281</v>
      </c>
      <c r="D408">
        <v>65</v>
      </c>
      <c r="E408" t="s">
        <v>15</v>
      </c>
      <c r="F408" t="s">
        <v>45</v>
      </c>
      <c r="G408" s="1">
        <v>45594</v>
      </c>
      <c r="H408" s="1">
        <v>45677</v>
      </c>
      <c r="I408">
        <v>26</v>
      </c>
      <c r="K408">
        <v>17091.599999999999</v>
      </c>
    </row>
    <row r="409" spans="1:11">
      <c r="A409">
        <v>408</v>
      </c>
      <c r="B409" t="s">
        <v>157</v>
      </c>
      <c r="C409" s="1">
        <v>34700</v>
      </c>
      <c r="D409">
        <v>31</v>
      </c>
      <c r="E409" t="s">
        <v>15</v>
      </c>
      <c r="F409" t="s">
        <v>45</v>
      </c>
      <c r="G409" s="1">
        <v>45077</v>
      </c>
      <c r="H409" s="1">
        <v>45352</v>
      </c>
      <c r="I409">
        <v>8</v>
      </c>
      <c r="K409">
        <v>803.83</v>
      </c>
    </row>
    <row r="410" spans="1:11">
      <c r="A410">
        <v>409</v>
      </c>
      <c r="B410" t="s">
        <v>66</v>
      </c>
      <c r="C410" s="1">
        <v>14611</v>
      </c>
      <c r="D410">
        <v>86</v>
      </c>
      <c r="E410" t="s">
        <v>12</v>
      </c>
      <c r="F410" t="s">
        <v>16</v>
      </c>
      <c r="G410" s="1">
        <v>45151</v>
      </c>
      <c r="H410" s="1">
        <v>45444</v>
      </c>
      <c r="I410">
        <v>3</v>
      </c>
      <c r="J410" t="s">
        <v>23</v>
      </c>
      <c r="K410">
        <v>7054.35</v>
      </c>
    </row>
    <row r="411" spans="1:11">
      <c r="A411">
        <v>410</v>
      </c>
      <c r="B411" t="s">
        <v>59</v>
      </c>
      <c r="C411" s="1">
        <v>23377</v>
      </c>
      <c r="D411">
        <v>62</v>
      </c>
      <c r="E411" t="s">
        <v>15</v>
      </c>
      <c r="F411" t="s">
        <v>18</v>
      </c>
      <c r="G411" s="1">
        <v>45186</v>
      </c>
      <c r="H411" s="1">
        <v>45564</v>
      </c>
      <c r="I411">
        <v>16</v>
      </c>
      <c r="J411" t="s">
        <v>19</v>
      </c>
      <c r="K411">
        <v>12590.62</v>
      </c>
    </row>
    <row r="412" spans="1:11">
      <c r="A412">
        <v>411</v>
      </c>
      <c r="B412" t="s">
        <v>86</v>
      </c>
      <c r="C412" s="1">
        <v>14976</v>
      </c>
      <c r="D412">
        <v>85</v>
      </c>
      <c r="E412" t="s">
        <v>12</v>
      </c>
      <c r="F412" t="s">
        <v>45</v>
      </c>
      <c r="G412" s="1">
        <v>45313</v>
      </c>
      <c r="H412" s="1">
        <v>45806</v>
      </c>
      <c r="I412">
        <v>34</v>
      </c>
      <c r="K412">
        <v>18253.07</v>
      </c>
    </row>
    <row r="413" spans="1:11">
      <c r="A413">
        <v>412</v>
      </c>
      <c r="B413" t="s">
        <v>90</v>
      </c>
      <c r="C413" s="1">
        <v>27760</v>
      </c>
      <c r="D413">
        <v>50</v>
      </c>
      <c r="E413" t="s">
        <v>12</v>
      </c>
      <c r="F413" t="s">
        <v>13</v>
      </c>
      <c r="G413" s="1">
        <v>45182</v>
      </c>
      <c r="H413" s="1">
        <v>45255</v>
      </c>
      <c r="I413">
        <v>24</v>
      </c>
      <c r="J413" t="s">
        <v>25</v>
      </c>
      <c r="K413">
        <v>17346.669999999998</v>
      </c>
    </row>
    <row r="414" spans="1:11">
      <c r="A414">
        <v>413</v>
      </c>
      <c r="B414" t="s">
        <v>161</v>
      </c>
      <c r="C414" s="1">
        <v>37256</v>
      </c>
      <c r="D414">
        <v>24</v>
      </c>
      <c r="E414" t="s">
        <v>15</v>
      </c>
      <c r="G414" s="1">
        <v>44987</v>
      </c>
      <c r="H414" s="1">
        <v>45014</v>
      </c>
      <c r="I414">
        <v>2</v>
      </c>
      <c r="J414" t="s">
        <v>25</v>
      </c>
      <c r="K414">
        <v>17893.36</v>
      </c>
    </row>
    <row r="415" spans="1:11">
      <c r="A415">
        <v>414</v>
      </c>
      <c r="B415" t="s">
        <v>149</v>
      </c>
      <c r="C415" s="1">
        <v>25203</v>
      </c>
      <c r="D415">
        <v>57</v>
      </c>
      <c r="E415" t="s">
        <v>15</v>
      </c>
      <c r="F415" t="s">
        <v>45</v>
      </c>
      <c r="G415" s="1">
        <v>45322</v>
      </c>
      <c r="H415" s="1">
        <v>45442</v>
      </c>
      <c r="I415">
        <v>23</v>
      </c>
      <c r="J415" t="s">
        <v>23</v>
      </c>
      <c r="K415">
        <v>1163.3499999999999</v>
      </c>
    </row>
    <row r="416" spans="1:11">
      <c r="A416">
        <v>415</v>
      </c>
      <c r="B416" t="s">
        <v>132</v>
      </c>
      <c r="C416" s="1">
        <v>23377</v>
      </c>
      <c r="D416">
        <v>62</v>
      </c>
      <c r="E416" t="s">
        <v>15</v>
      </c>
      <c r="F416" t="s">
        <v>13</v>
      </c>
      <c r="G416" s="1">
        <v>45323</v>
      </c>
      <c r="H416" s="1">
        <v>45092</v>
      </c>
      <c r="I416">
        <v>32</v>
      </c>
      <c r="K416">
        <v>16802.560000000001</v>
      </c>
    </row>
    <row r="417" spans="1:11">
      <c r="A417">
        <v>416</v>
      </c>
      <c r="B417" t="s">
        <v>90</v>
      </c>
      <c r="C417" s="1">
        <v>23742</v>
      </c>
      <c r="D417">
        <v>61</v>
      </c>
      <c r="E417" t="s">
        <v>15</v>
      </c>
      <c r="F417" t="s">
        <v>21</v>
      </c>
      <c r="G417" s="1">
        <v>45088</v>
      </c>
      <c r="H417" s="1">
        <v>45150</v>
      </c>
      <c r="I417">
        <v>16</v>
      </c>
      <c r="J417" t="s">
        <v>19</v>
      </c>
      <c r="K417">
        <v>15576.24</v>
      </c>
    </row>
    <row r="418" spans="1:11">
      <c r="A418">
        <v>417</v>
      </c>
      <c r="B418" t="s">
        <v>118</v>
      </c>
      <c r="C418" s="1">
        <v>38352</v>
      </c>
      <c r="D418">
        <v>21</v>
      </c>
      <c r="E418" t="s">
        <v>12</v>
      </c>
      <c r="F418" t="s">
        <v>45</v>
      </c>
      <c r="G418" s="1">
        <v>45306</v>
      </c>
      <c r="H418" s="1">
        <v>45788</v>
      </c>
      <c r="I418">
        <v>14</v>
      </c>
      <c r="J418" t="s">
        <v>19</v>
      </c>
      <c r="K418">
        <v>18038.88</v>
      </c>
    </row>
    <row r="419" spans="1:11">
      <c r="A419">
        <v>418</v>
      </c>
      <c r="B419" t="s">
        <v>75</v>
      </c>
      <c r="C419" s="1">
        <v>25203</v>
      </c>
      <c r="D419">
        <v>57</v>
      </c>
      <c r="E419" t="s">
        <v>15</v>
      </c>
      <c r="F419" t="s">
        <v>13</v>
      </c>
      <c r="G419" s="1">
        <v>45369</v>
      </c>
      <c r="H419" s="1">
        <v>45224</v>
      </c>
      <c r="I419">
        <v>32</v>
      </c>
      <c r="J419" t="s">
        <v>25</v>
      </c>
      <c r="K419">
        <v>6162.68</v>
      </c>
    </row>
    <row r="420" spans="1:11">
      <c r="A420">
        <v>419</v>
      </c>
      <c r="B420" t="s">
        <v>126</v>
      </c>
      <c r="C420" s="1">
        <v>25203</v>
      </c>
      <c r="D420">
        <v>57</v>
      </c>
      <c r="E420" t="s">
        <v>12</v>
      </c>
      <c r="G420" s="1">
        <v>45275</v>
      </c>
      <c r="H420" s="1">
        <v>45378</v>
      </c>
      <c r="I420">
        <v>10</v>
      </c>
      <c r="J420" t="s">
        <v>23</v>
      </c>
      <c r="K420">
        <v>18226.48</v>
      </c>
    </row>
    <row r="421" spans="1:11">
      <c r="A421">
        <v>420</v>
      </c>
      <c r="B421" t="s">
        <v>43</v>
      </c>
      <c r="C421" s="1">
        <v>14976</v>
      </c>
      <c r="D421">
        <v>85</v>
      </c>
      <c r="E421" t="s">
        <v>15</v>
      </c>
      <c r="F421" t="s">
        <v>18</v>
      </c>
      <c r="G421" s="1">
        <v>44957</v>
      </c>
      <c r="H421" s="1">
        <v>45270</v>
      </c>
      <c r="I421">
        <v>11</v>
      </c>
      <c r="K421">
        <v>7993.09</v>
      </c>
    </row>
    <row r="422" spans="1:11">
      <c r="A422">
        <v>421</v>
      </c>
      <c r="B422" t="s">
        <v>150</v>
      </c>
      <c r="C422" s="1">
        <v>28490</v>
      </c>
      <c r="D422">
        <v>48</v>
      </c>
      <c r="E422" t="s">
        <v>15</v>
      </c>
      <c r="F422" t="s">
        <v>21</v>
      </c>
      <c r="G422" s="1">
        <v>44997</v>
      </c>
      <c r="H422" s="1">
        <v>45268</v>
      </c>
      <c r="I422">
        <v>27</v>
      </c>
      <c r="J422" t="s">
        <v>25</v>
      </c>
      <c r="K422">
        <v>12645.4</v>
      </c>
    </row>
    <row r="423" spans="1:11">
      <c r="A423">
        <v>422</v>
      </c>
      <c r="B423" t="s">
        <v>131</v>
      </c>
      <c r="C423" s="1">
        <v>27395</v>
      </c>
      <c r="D423">
        <v>51</v>
      </c>
      <c r="E423" t="s">
        <v>12</v>
      </c>
      <c r="F423" t="s">
        <v>45</v>
      </c>
      <c r="G423" s="1">
        <v>45323</v>
      </c>
      <c r="H423" s="1">
        <v>45388</v>
      </c>
      <c r="I423">
        <v>14</v>
      </c>
      <c r="J423" t="s">
        <v>23</v>
      </c>
      <c r="K423">
        <v>8426</v>
      </c>
    </row>
    <row r="424" spans="1:11">
      <c r="A424">
        <v>423</v>
      </c>
      <c r="B424" t="s">
        <v>104</v>
      </c>
      <c r="C424" s="1">
        <v>31047</v>
      </c>
      <c r="D424">
        <v>41</v>
      </c>
      <c r="E424" t="s">
        <v>12</v>
      </c>
      <c r="F424" t="s">
        <v>16</v>
      </c>
      <c r="G424" s="1">
        <v>45364</v>
      </c>
      <c r="H424" s="1">
        <v>45319</v>
      </c>
      <c r="I424">
        <v>34</v>
      </c>
      <c r="J424" t="s">
        <v>19</v>
      </c>
      <c r="K424">
        <v>8495.73</v>
      </c>
    </row>
    <row r="425" spans="1:11">
      <c r="A425">
        <v>424</v>
      </c>
      <c r="B425" t="s">
        <v>29</v>
      </c>
      <c r="C425" s="1">
        <v>20820</v>
      </c>
      <c r="D425">
        <v>69</v>
      </c>
      <c r="E425" t="s">
        <v>15</v>
      </c>
      <c r="F425" t="s">
        <v>13</v>
      </c>
      <c r="G425" s="1">
        <v>44928</v>
      </c>
      <c r="H425" s="1">
        <v>45464</v>
      </c>
      <c r="I425">
        <v>12</v>
      </c>
      <c r="J425" t="s">
        <v>25</v>
      </c>
      <c r="K425">
        <v>10887.4</v>
      </c>
    </row>
    <row r="426" spans="1:11">
      <c r="A426">
        <v>425</v>
      </c>
      <c r="B426" t="s">
        <v>130</v>
      </c>
      <c r="C426" s="1">
        <v>40909</v>
      </c>
      <c r="D426">
        <v>14</v>
      </c>
      <c r="E426" t="s">
        <v>15</v>
      </c>
      <c r="G426" s="1">
        <v>45488</v>
      </c>
      <c r="H426" s="1">
        <v>45478</v>
      </c>
      <c r="I426">
        <v>15</v>
      </c>
      <c r="J426" t="s">
        <v>23</v>
      </c>
      <c r="K426">
        <v>7054.13</v>
      </c>
    </row>
    <row r="427" spans="1:11">
      <c r="A427">
        <v>426</v>
      </c>
      <c r="B427" t="s">
        <v>81</v>
      </c>
      <c r="C427" s="1">
        <v>26664</v>
      </c>
      <c r="D427">
        <v>53</v>
      </c>
      <c r="E427" t="s">
        <v>12</v>
      </c>
      <c r="F427" t="s">
        <v>16</v>
      </c>
      <c r="G427" s="1">
        <v>45061</v>
      </c>
      <c r="H427" s="1">
        <v>45348</v>
      </c>
      <c r="I427">
        <v>11</v>
      </c>
      <c r="J427" t="s">
        <v>19</v>
      </c>
      <c r="K427">
        <v>15834.01</v>
      </c>
    </row>
    <row r="428" spans="1:11">
      <c r="A428">
        <v>427</v>
      </c>
      <c r="B428" t="s">
        <v>154</v>
      </c>
      <c r="C428" s="1">
        <v>24473</v>
      </c>
      <c r="D428">
        <v>59</v>
      </c>
      <c r="E428" t="s">
        <v>15</v>
      </c>
      <c r="F428" t="s">
        <v>45</v>
      </c>
      <c r="G428" s="1">
        <v>45072</v>
      </c>
      <c r="H428" s="1">
        <v>45308</v>
      </c>
      <c r="I428">
        <v>11</v>
      </c>
      <c r="J428" t="s">
        <v>23</v>
      </c>
      <c r="K428">
        <v>12636.14</v>
      </c>
    </row>
    <row r="429" spans="1:11">
      <c r="A429">
        <v>428</v>
      </c>
      <c r="B429" t="s">
        <v>142</v>
      </c>
      <c r="C429" s="1">
        <v>43466</v>
      </c>
      <c r="D429">
        <v>7</v>
      </c>
      <c r="E429" t="s">
        <v>15</v>
      </c>
      <c r="F429" t="s">
        <v>13</v>
      </c>
      <c r="G429" s="1">
        <v>45105</v>
      </c>
      <c r="H429" s="1">
        <v>45544</v>
      </c>
      <c r="I429">
        <v>30</v>
      </c>
      <c r="J429" t="s">
        <v>25</v>
      </c>
      <c r="K429">
        <v>13764.09</v>
      </c>
    </row>
    <row r="430" spans="1:11">
      <c r="A430">
        <v>429</v>
      </c>
      <c r="B430" t="s">
        <v>28</v>
      </c>
      <c r="C430" s="1">
        <v>27029</v>
      </c>
      <c r="D430">
        <v>52</v>
      </c>
      <c r="E430" t="s">
        <v>12</v>
      </c>
      <c r="F430" t="s">
        <v>45</v>
      </c>
      <c r="G430" s="1">
        <v>45190</v>
      </c>
      <c r="H430" s="1">
        <v>44932</v>
      </c>
      <c r="I430">
        <v>35</v>
      </c>
      <c r="K430">
        <v>4543.8</v>
      </c>
    </row>
    <row r="431" spans="1:11">
      <c r="A431">
        <v>430</v>
      </c>
      <c r="B431" t="s">
        <v>162</v>
      </c>
      <c r="D431">
        <v>59</v>
      </c>
      <c r="E431" t="s">
        <v>12</v>
      </c>
      <c r="F431" t="s">
        <v>21</v>
      </c>
      <c r="G431" s="1">
        <v>45237</v>
      </c>
      <c r="H431" s="1">
        <v>45575</v>
      </c>
      <c r="I431">
        <v>8</v>
      </c>
      <c r="J431" t="s">
        <v>23</v>
      </c>
      <c r="K431">
        <v>19388.46</v>
      </c>
    </row>
    <row r="432" spans="1:11">
      <c r="A432">
        <v>431</v>
      </c>
      <c r="B432" t="s">
        <v>30</v>
      </c>
      <c r="C432" s="1">
        <v>44561</v>
      </c>
      <c r="D432">
        <v>4</v>
      </c>
      <c r="E432" t="s">
        <v>12</v>
      </c>
      <c r="G432" s="1">
        <v>45130</v>
      </c>
      <c r="H432" s="1">
        <v>44931</v>
      </c>
      <c r="I432">
        <v>8</v>
      </c>
      <c r="K432">
        <v>13169.54</v>
      </c>
    </row>
    <row r="433" spans="1:11">
      <c r="A433">
        <v>432</v>
      </c>
      <c r="B433" t="s">
        <v>39</v>
      </c>
      <c r="C433" s="1">
        <v>21551</v>
      </c>
      <c r="D433">
        <v>67</v>
      </c>
      <c r="E433" t="s">
        <v>12</v>
      </c>
      <c r="G433" s="1">
        <v>45625</v>
      </c>
      <c r="H433" s="1">
        <v>45608</v>
      </c>
      <c r="I433">
        <v>23</v>
      </c>
      <c r="J433" t="s">
        <v>25</v>
      </c>
      <c r="K433">
        <v>3863.64</v>
      </c>
    </row>
    <row r="434" spans="1:11">
      <c r="A434">
        <v>433</v>
      </c>
      <c r="B434" t="s">
        <v>163</v>
      </c>
      <c r="C434" s="1">
        <v>44196</v>
      </c>
      <c r="D434">
        <v>5</v>
      </c>
      <c r="E434" t="s">
        <v>12</v>
      </c>
      <c r="F434" t="s">
        <v>21</v>
      </c>
      <c r="G434" s="1">
        <v>44956</v>
      </c>
      <c r="H434" s="1">
        <v>45243</v>
      </c>
      <c r="I434">
        <v>0</v>
      </c>
      <c r="J434" t="s">
        <v>19</v>
      </c>
      <c r="K434">
        <v>14984.85</v>
      </c>
    </row>
    <row r="435" spans="1:11">
      <c r="A435">
        <v>434</v>
      </c>
      <c r="B435" t="s">
        <v>11</v>
      </c>
      <c r="C435" s="1">
        <v>12054</v>
      </c>
      <c r="D435">
        <v>93</v>
      </c>
      <c r="E435" t="s">
        <v>12</v>
      </c>
      <c r="F435" t="s">
        <v>45</v>
      </c>
      <c r="G435" s="1">
        <v>44985</v>
      </c>
      <c r="H435" s="1">
        <v>45749</v>
      </c>
      <c r="I435">
        <v>22</v>
      </c>
      <c r="J435" t="s">
        <v>23</v>
      </c>
      <c r="K435">
        <v>3391.65</v>
      </c>
    </row>
    <row r="436" spans="1:11">
      <c r="A436">
        <v>435</v>
      </c>
      <c r="B436" t="s">
        <v>155</v>
      </c>
      <c r="D436">
        <v>46</v>
      </c>
      <c r="E436" t="s">
        <v>12</v>
      </c>
      <c r="F436" t="s">
        <v>45</v>
      </c>
      <c r="G436" s="1">
        <v>44935</v>
      </c>
      <c r="H436" s="1">
        <v>45005</v>
      </c>
      <c r="I436">
        <v>14</v>
      </c>
      <c r="J436" t="s">
        <v>19</v>
      </c>
      <c r="K436">
        <v>1174.04</v>
      </c>
    </row>
    <row r="437" spans="1:11">
      <c r="A437">
        <v>436</v>
      </c>
      <c r="B437" t="s">
        <v>77</v>
      </c>
      <c r="C437" s="1">
        <v>26299</v>
      </c>
      <c r="D437">
        <v>54</v>
      </c>
      <c r="E437" t="s">
        <v>12</v>
      </c>
      <c r="F437" t="s">
        <v>32</v>
      </c>
      <c r="G437" s="1">
        <v>45250</v>
      </c>
      <c r="H437" s="1">
        <v>45458</v>
      </c>
      <c r="I437">
        <v>19</v>
      </c>
      <c r="K437">
        <v>10503.82</v>
      </c>
    </row>
    <row r="438" spans="1:11">
      <c r="A438">
        <v>437</v>
      </c>
      <c r="B438" t="s">
        <v>89</v>
      </c>
      <c r="C438" s="1">
        <v>31778</v>
      </c>
      <c r="D438">
        <v>39</v>
      </c>
      <c r="E438" t="s">
        <v>12</v>
      </c>
      <c r="F438" t="s">
        <v>45</v>
      </c>
      <c r="G438" s="1">
        <v>45093</v>
      </c>
      <c r="H438" s="1">
        <v>45644</v>
      </c>
      <c r="I438">
        <v>26</v>
      </c>
      <c r="K438">
        <v>11025.83</v>
      </c>
    </row>
    <row r="439" spans="1:11">
      <c r="A439">
        <v>438</v>
      </c>
      <c r="B439" t="s">
        <v>119</v>
      </c>
      <c r="C439" s="1">
        <v>27395</v>
      </c>
      <c r="D439">
        <v>51</v>
      </c>
      <c r="E439" t="s">
        <v>15</v>
      </c>
      <c r="G439" s="1">
        <v>45263</v>
      </c>
      <c r="H439" s="1">
        <v>45282</v>
      </c>
      <c r="I439">
        <v>23</v>
      </c>
      <c r="J439" t="s">
        <v>19</v>
      </c>
      <c r="K439">
        <v>3698.21</v>
      </c>
    </row>
    <row r="440" spans="1:11">
      <c r="A440">
        <v>439</v>
      </c>
      <c r="B440" t="s">
        <v>97</v>
      </c>
      <c r="C440" s="1">
        <v>40544</v>
      </c>
      <c r="D440">
        <v>15</v>
      </c>
      <c r="E440" t="s">
        <v>15</v>
      </c>
      <c r="F440" t="s">
        <v>45</v>
      </c>
      <c r="G440" s="1">
        <v>45305</v>
      </c>
      <c r="H440" s="1">
        <v>45763</v>
      </c>
      <c r="I440">
        <v>31</v>
      </c>
      <c r="J440" t="s">
        <v>25</v>
      </c>
      <c r="K440">
        <v>6902.42</v>
      </c>
    </row>
    <row r="441" spans="1:11">
      <c r="A441">
        <v>440</v>
      </c>
      <c r="B441" t="s">
        <v>41</v>
      </c>
      <c r="D441">
        <v>12</v>
      </c>
      <c r="E441" t="s">
        <v>12</v>
      </c>
      <c r="F441" t="s">
        <v>16</v>
      </c>
      <c r="G441" s="1">
        <v>45629</v>
      </c>
      <c r="H441" s="1">
        <v>44960</v>
      </c>
      <c r="I441">
        <v>23</v>
      </c>
      <c r="K441">
        <v>18909.96</v>
      </c>
    </row>
    <row r="442" spans="1:11">
      <c r="A442">
        <v>441</v>
      </c>
      <c r="B442" t="s">
        <v>14</v>
      </c>
      <c r="C442" s="1">
        <v>35430</v>
      </c>
      <c r="D442">
        <v>29</v>
      </c>
      <c r="E442" t="s">
        <v>12</v>
      </c>
      <c r="F442" t="s">
        <v>16</v>
      </c>
      <c r="G442" s="1">
        <v>45168</v>
      </c>
      <c r="H442" s="1">
        <v>45589</v>
      </c>
      <c r="I442">
        <v>6</v>
      </c>
      <c r="J442" t="s">
        <v>25</v>
      </c>
      <c r="K442">
        <v>5628.56</v>
      </c>
    </row>
    <row r="443" spans="1:11">
      <c r="A443">
        <v>442</v>
      </c>
      <c r="B443" t="s">
        <v>140</v>
      </c>
      <c r="C443" s="1">
        <v>39448</v>
      </c>
      <c r="D443">
        <v>18</v>
      </c>
      <c r="E443" t="s">
        <v>15</v>
      </c>
      <c r="F443" t="s">
        <v>21</v>
      </c>
      <c r="G443" s="1">
        <v>45592</v>
      </c>
      <c r="H443" s="1">
        <v>45632</v>
      </c>
      <c r="I443">
        <v>37</v>
      </c>
      <c r="J443" t="s">
        <v>19</v>
      </c>
      <c r="K443">
        <v>3026.92</v>
      </c>
    </row>
    <row r="444" spans="1:11">
      <c r="A444">
        <v>443</v>
      </c>
      <c r="B444" t="s">
        <v>105</v>
      </c>
      <c r="C444" s="1">
        <v>40178</v>
      </c>
      <c r="D444">
        <v>16</v>
      </c>
      <c r="E444" t="s">
        <v>12</v>
      </c>
      <c r="F444" t="s">
        <v>16</v>
      </c>
      <c r="G444" s="1">
        <v>45086</v>
      </c>
      <c r="H444" s="1">
        <v>45066</v>
      </c>
      <c r="I444">
        <v>8</v>
      </c>
      <c r="J444" t="s">
        <v>25</v>
      </c>
      <c r="K444">
        <v>19850.5</v>
      </c>
    </row>
    <row r="445" spans="1:11">
      <c r="A445">
        <v>444</v>
      </c>
      <c r="B445" t="s">
        <v>60</v>
      </c>
      <c r="D445">
        <v>62</v>
      </c>
      <c r="E445" t="s">
        <v>15</v>
      </c>
      <c r="F445" t="s">
        <v>45</v>
      </c>
      <c r="G445" s="1">
        <v>45161</v>
      </c>
      <c r="H445" s="1">
        <v>45199</v>
      </c>
      <c r="I445">
        <v>4</v>
      </c>
      <c r="K445">
        <v>5976.34</v>
      </c>
    </row>
    <row r="446" spans="1:11">
      <c r="A446">
        <v>445</v>
      </c>
      <c r="B446" t="s">
        <v>133</v>
      </c>
      <c r="C446" s="1">
        <v>39448</v>
      </c>
      <c r="D446">
        <v>18</v>
      </c>
      <c r="E446" t="s">
        <v>12</v>
      </c>
      <c r="F446" t="s">
        <v>18</v>
      </c>
      <c r="G446" s="1">
        <v>45379</v>
      </c>
      <c r="H446" s="1">
        <v>45123</v>
      </c>
      <c r="I446">
        <v>27</v>
      </c>
      <c r="J446" t="s">
        <v>19</v>
      </c>
      <c r="K446">
        <v>13573.1</v>
      </c>
    </row>
    <row r="447" spans="1:11">
      <c r="A447">
        <v>446</v>
      </c>
      <c r="B447" t="s">
        <v>132</v>
      </c>
      <c r="C447" s="1">
        <v>12785</v>
      </c>
      <c r="D447">
        <v>91</v>
      </c>
      <c r="E447" t="s">
        <v>12</v>
      </c>
      <c r="F447" t="s">
        <v>45</v>
      </c>
      <c r="G447" s="1">
        <v>45125</v>
      </c>
      <c r="H447" s="1">
        <v>45054</v>
      </c>
      <c r="I447">
        <v>-1</v>
      </c>
      <c r="J447" t="s">
        <v>25</v>
      </c>
      <c r="K447">
        <v>4554.3599999999997</v>
      </c>
    </row>
    <row r="448" spans="1:11">
      <c r="A448">
        <v>447</v>
      </c>
      <c r="B448" t="s">
        <v>164</v>
      </c>
      <c r="C448" s="1">
        <v>25203</v>
      </c>
      <c r="D448">
        <v>57</v>
      </c>
      <c r="E448" t="s">
        <v>12</v>
      </c>
      <c r="G448" s="1">
        <v>45403</v>
      </c>
      <c r="H448" s="1">
        <v>45276</v>
      </c>
      <c r="I448">
        <v>27</v>
      </c>
      <c r="J448" t="s">
        <v>25</v>
      </c>
      <c r="K448">
        <v>10957.44</v>
      </c>
    </row>
    <row r="449" spans="1:11">
      <c r="A449">
        <v>448</v>
      </c>
      <c r="B449" t="s">
        <v>71</v>
      </c>
      <c r="C449" s="1">
        <v>26299</v>
      </c>
      <c r="D449">
        <v>54</v>
      </c>
      <c r="E449" t="s">
        <v>15</v>
      </c>
      <c r="F449" t="s">
        <v>32</v>
      </c>
      <c r="G449" s="1">
        <v>44959</v>
      </c>
      <c r="H449" s="1">
        <v>45670</v>
      </c>
      <c r="I449">
        <v>1</v>
      </c>
      <c r="J449" t="s">
        <v>23</v>
      </c>
      <c r="K449">
        <v>7664.27</v>
      </c>
    </row>
    <row r="450" spans="1:11">
      <c r="A450">
        <v>449</v>
      </c>
      <c r="B450" t="s">
        <v>65</v>
      </c>
      <c r="C450" s="1">
        <v>13515</v>
      </c>
      <c r="D450">
        <v>89</v>
      </c>
      <c r="E450" t="s">
        <v>12</v>
      </c>
      <c r="F450" t="s">
        <v>13</v>
      </c>
      <c r="G450" s="1">
        <v>45334</v>
      </c>
      <c r="H450" s="1">
        <v>44971</v>
      </c>
      <c r="I450">
        <v>11</v>
      </c>
      <c r="K450">
        <v>19227.740000000002</v>
      </c>
    </row>
    <row r="451" spans="1:11">
      <c r="A451">
        <v>450</v>
      </c>
      <c r="B451" t="s">
        <v>165</v>
      </c>
      <c r="C451" s="1">
        <v>13515</v>
      </c>
      <c r="D451">
        <v>89</v>
      </c>
      <c r="E451" t="s">
        <v>15</v>
      </c>
      <c r="G451" s="1">
        <v>45015</v>
      </c>
      <c r="H451" s="1">
        <v>45669</v>
      </c>
      <c r="I451">
        <v>10</v>
      </c>
      <c r="J451" t="s">
        <v>23</v>
      </c>
      <c r="K451">
        <v>8599.4</v>
      </c>
    </row>
    <row r="452" spans="1:11">
      <c r="A452">
        <v>451</v>
      </c>
      <c r="B452" t="s">
        <v>157</v>
      </c>
      <c r="C452" s="1">
        <v>23742</v>
      </c>
      <c r="D452">
        <v>61</v>
      </c>
      <c r="E452" t="s">
        <v>15</v>
      </c>
      <c r="F452" t="s">
        <v>21</v>
      </c>
      <c r="G452" s="1">
        <v>45533</v>
      </c>
      <c r="H452" s="1">
        <v>45655</v>
      </c>
      <c r="I452">
        <v>22</v>
      </c>
      <c r="J452" t="s">
        <v>25</v>
      </c>
      <c r="K452">
        <v>11641.9</v>
      </c>
    </row>
    <row r="453" spans="1:11">
      <c r="A453">
        <v>452</v>
      </c>
      <c r="B453" t="s">
        <v>157</v>
      </c>
      <c r="C453" s="1">
        <v>37987</v>
      </c>
      <c r="D453">
        <v>22</v>
      </c>
      <c r="E453" t="s">
        <v>15</v>
      </c>
      <c r="F453" t="s">
        <v>16</v>
      </c>
      <c r="G453" s="1">
        <v>45147</v>
      </c>
      <c r="H453" s="1">
        <v>45171</v>
      </c>
      <c r="I453">
        <v>10</v>
      </c>
      <c r="K453">
        <v>18889.8</v>
      </c>
    </row>
    <row r="454" spans="1:11">
      <c r="A454">
        <v>453</v>
      </c>
      <c r="B454" t="s">
        <v>146</v>
      </c>
      <c r="C454" s="1">
        <v>43100</v>
      </c>
      <c r="D454">
        <v>8</v>
      </c>
      <c r="E454" t="s">
        <v>12</v>
      </c>
      <c r="F454" t="s">
        <v>18</v>
      </c>
      <c r="G454" s="1">
        <v>44995</v>
      </c>
      <c r="H454" s="1">
        <v>44936</v>
      </c>
      <c r="I454">
        <v>10</v>
      </c>
      <c r="J454" t="s">
        <v>19</v>
      </c>
      <c r="K454">
        <v>19783.61</v>
      </c>
    </row>
    <row r="455" spans="1:11">
      <c r="A455">
        <v>454</v>
      </c>
      <c r="B455" t="s">
        <v>50</v>
      </c>
      <c r="C455" s="1">
        <v>42005</v>
      </c>
      <c r="D455">
        <v>11</v>
      </c>
      <c r="E455" t="s">
        <v>15</v>
      </c>
      <c r="G455" s="1">
        <v>45220</v>
      </c>
      <c r="H455" s="1">
        <v>45689</v>
      </c>
      <c r="I455">
        <v>34</v>
      </c>
      <c r="J455" t="s">
        <v>19</v>
      </c>
      <c r="K455">
        <v>1943.33</v>
      </c>
    </row>
    <row r="456" spans="1:11">
      <c r="A456">
        <v>455</v>
      </c>
      <c r="B456" t="s">
        <v>63</v>
      </c>
      <c r="C456" s="1">
        <v>46022</v>
      </c>
      <c r="D456">
        <v>0</v>
      </c>
      <c r="E456" t="s">
        <v>15</v>
      </c>
      <c r="F456" t="s">
        <v>13</v>
      </c>
      <c r="G456" s="1">
        <v>45163</v>
      </c>
      <c r="H456" s="1">
        <v>45639</v>
      </c>
      <c r="I456">
        <v>3</v>
      </c>
      <c r="J456" t="s">
        <v>19</v>
      </c>
      <c r="K456">
        <v>16669.849999999999</v>
      </c>
    </row>
    <row r="457" spans="1:11">
      <c r="A457">
        <v>456</v>
      </c>
      <c r="B457" t="s">
        <v>88</v>
      </c>
      <c r="C457" s="1">
        <v>25203</v>
      </c>
      <c r="D457">
        <v>57</v>
      </c>
      <c r="E457" t="s">
        <v>12</v>
      </c>
      <c r="F457" t="s">
        <v>18</v>
      </c>
      <c r="G457" s="1">
        <v>45086</v>
      </c>
      <c r="H457" s="1">
        <v>45773</v>
      </c>
      <c r="I457">
        <v>23</v>
      </c>
      <c r="J457" t="s">
        <v>25</v>
      </c>
      <c r="K457">
        <v>7580.54</v>
      </c>
    </row>
    <row r="458" spans="1:11">
      <c r="A458">
        <v>457</v>
      </c>
      <c r="B458" t="s">
        <v>68</v>
      </c>
      <c r="C458" s="1">
        <v>46022</v>
      </c>
      <c r="D458">
        <v>0</v>
      </c>
      <c r="E458" t="s">
        <v>12</v>
      </c>
      <c r="F458" t="s">
        <v>21</v>
      </c>
      <c r="G458" s="1">
        <v>45216</v>
      </c>
      <c r="H458" s="1">
        <v>45006</v>
      </c>
      <c r="I458">
        <v>11</v>
      </c>
      <c r="J458" t="s">
        <v>25</v>
      </c>
      <c r="K458">
        <v>11856.06</v>
      </c>
    </row>
    <row r="459" spans="1:11">
      <c r="A459">
        <v>458</v>
      </c>
      <c r="B459" t="s">
        <v>157</v>
      </c>
      <c r="C459" s="1">
        <v>33969</v>
      </c>
      <c r="D459">
        <v>33</v>
      </c>
      <c r="E459" t="s">
        <v>12</v>
      </c>
      <c r="F459" t="s">
        <v>16</v>
      </c>
      <c r="G459" s="1">
        <v>45480</v>
      </c>
      <c r="H459" s="1">
        <v>45684</v>
      </c>
      <c r="I459">
        <v>5</v>
      </c>
      <c r="J459" t="s">
        <v>19</v>
      </c>
      <c r="K459">
        <v>7438.47</v>
      </c>
    </row>
    <row r="460" spans="1:11">
      <c r="A460">
        <v>459</v>
      </c>
      <c r="B460" t="s">
        <v>101</v>
      </c>
      <c r="C460" s="1">
        <v>28856</v>
      </c>
      <c r="D460">
        <v>47</v>
      </c>
      <c r="E460" t="s">
        <v>12</v>
      </c>
      <c r="F460" t="s">
        <v>32</v>
      </c>
      <c r="G460" s="1">
        <v>45504</v>
      </c>
      <c r="H460" s="1">
        <v>45117</v>
      </c>
      <c r="I460">
        <v>21</v>
      </c>
      <c r="J460" t="s">
        <v>23</v>
      </c>
      <c r="K460">
        <v>7962.44</v>
      </c>
    </row>
    <row r="461" spans="1:11">
      <c r="A461">
        <v>460</v>
      </c>
      <c r="B461" t="s">
        <v>158</v>
      </c>
      <c r="D461">
        <v>88</v>
      </c>
      <c r="E461" t="s">
        <v>15</v>
      </c>
      <c r="G461" s="1">
        <v>45459</v>
      </c>
      <c r="H461" s="1">
        <v>45013</v>
      </c>
      <c r="I461">
        <v>19</v>
      </c>
      <c r="J461" t="s">
        <v>23</v>
      </c>
      <c r="K461">
        <v>3093.04</v>
      </c>
    </row>
    <row r="462" spans="1:11">
      <c r="A462">
        <v>461</v>
      </c>
      <c r="B462" t="s">
        <v>78</v>
      </c>
      <c r="C462" s="1">
        <v>46022</v>
      </c>
      <c r="D462">
        <v>0</v>
      </c>
      <c r="E462" t="s">
        <v>12</v>
      </c>
      <c r="G462" s="1">
        <v>45261</v>
      </c>
      <c r="H462" s="1">
        <v>45412</v>
      </c>
      <c r="I462">
        <v>37</v>
      </c>
      <c r="K462">
        <v>11412.61</v>
      </c>
    </row>
    <row r="463" spans="1:11">
      <c r="A463">
        <v>462</v>
      </c>
      <c r="B463" t="s">
        <v>98</v>
      </c>
      <c r="C463" s="1">
        <v>40544</v>
      </c>
      <c r="D463">
        <v>15</v>
      </c>
      <c r="E463" t="s">
        <v>12</v>
      </c>
      <c r="G463" s="1">
        <v>45508</v>
      </c>
      <c r="H463" s="1">
        <v>45198</v>
      </c>
      <c r="I463">
        <v>36</v>
      </c>
      <c r="K463">
        <v>10888.99</v>
      </c>
    </row>
    <row r="464" spans="1:11">
      <c r="A464">
        <v>463</v>
      </c>
      <c r="B464" t="s">
        <v>148</v>
      </c>
      <c r="C464" s="1">
        <v>24107</v>
      </c>
      <c r="D464">
        <v>60</v>
      </c>
      <c r="E464" t="s">
        <v>15</v>
      </c>
      <c r="F464" t="s">
        <v>21</v>
      </c>
      <c r="G464" s="1">
        <v>45428</v>
      </c>
      <c r="H464" s="1">
        <v>45701</v>
      </c>
      <c r="I464">
        <v>18</v>
      </c>
      <c r="J464" t="s">
        <v>19</v>
      </c>
      <c r="K464">
        <v>3706.05</v>
      </c>
    </row>
    <row r="465" spans="1:11">
      <c r="A465">
        <v>464</v>
      </c>
      <c r="B465" t="s">
        <v>123</v>
      </c>
      <c r="C465" s="1">
        <v>23012</v>
      </c>
      <c r="D465">
        <v>63</v>
      </c>
      <c r="E465" t="s">
        <v>15</v>
      </c>
      <c r="F465" t="s">
        <v>18</v>
      </c>
      <c r="G465" s="1">
        <v>45172</v>
      </c>
      <c r="H465" s="1">
        <v>45440</v>
      </c>
      <c r="I465">
        <v>23</v>
      </c>
      <c r="J465" t="s">
        <v>25</v>
      </c>
      <c r="K465">
        <v>10788.78</v>
      </c>
    </row>
    <row r="466" spans="1:11">
      <c r="A466">
        <v>465</v>
      </c>
      <c r="B466" t="s">
        <v>159</v>
      </c>
      <c r="C466" s="1">
        <v>23377</v>
      </c>
      <c r="D466">
        <v>62</v>
      </c>
      <c r="E466" t="s">
        <v>15</v>
      </c>
      <c r="F466" t="s">
        <v>18</v>
      </c>
      <c r="G466" s="1">
        <v>45249</v>
      </c>
      <c r="H466" s="1">
        <v>44947</v>
      </c>
      <c r="I466">
        <v>7</v>
      </c>
      <c r="J466" t="s">
        <v>25</v>
      </c>
      <c r="K466">
        <v>19459.349999999999</v>
      </c>
    </row>
    <row r="467" spans="1:11">
      <c r="A467">
        <v>466</v>
      </c>
      <c r="B467" t="s">
        <v>78</v>
      </c>
      <c r="C467" s="1">
        <v>21185</v>
      </c>
      <c r="D467">
        <v>68</v>
      </c>
      <c r="E467" t="s">
        <v>15</v>
      </c>
      <c r="F467" t="s">
        <v>21</v>
      </c>
      <c r="G467" s="1">
        <v>45537</v>
      </c>
      <c r="H467" s="1">
        <v>45416</v>
      </c>
      <c r="I467">
        <v>10</v>
      </c>
      <c r="K467">
        <v>14259.61</v>
      </c>
    </row>
    <row r="468" spans="1:11">
      <c r="A468">
        <v>467</v>
      </c>
      <c r="B468" t="s">
        <v>88</v>
      </c>
      <c r="C468" s="1">
        <v>38352</v>
      </c>
      <c r="D468">
        <v>21</v>
      </c>
      <c r="E468" t="s">
        <v>12</v>
      </c>
      <c r="G468" s="1">
        <v>45255</v>
      </c>
      <c r="H468" s="1">
        <v>45057</v>
      </c>
      <c r="I468">
        <v>39</v>
      </c>
      <c r="J468" t="s">
        <v>19</v>
      </c>
      <c r="K468">
        <v>9567.75</v>
      </c>
    </row>
    <row r="469" spans="1:11">
      <c r="A469">
        <v>468</v>
      </c>
      <c r="B469" t="s">
        <v>112</v>
      </c>
      <c r="C469" s="1">
        <v>12419</v>
      </c>
      <c r="D469">
        <v>92</v>
      </c>
      <c r="E469" t="s">
        <v>12</v>
      </c>
      <c r="F469" t="s">
        <v>45</v>
      </c>
      <c r="G469" s="1">
        <v>45473</v>
      </c>
      <c r="H469" s="1">
        <v>45765</v>
      </c>
      <c r="I469">
        <v>11</v>
      </c>
      <c r="K469">
        <v>18313.29</v>
      </c>
    </row>
    <row r="470" spans="1:11">
      <c r="A470">
        <v>469</v>
      </c>
      <c r="B470" t="s">
        <v>40</v>
      </c>
      <c r="C470" s="1">
        <v>21916</v>
      </c>
      <c r="D470">
        <v>66</v>
      </c>
      <c r="E470" t="s">
        <v>12</v>
      </c>
      <c r="F470" t="s">
        <v>21</v>
      </c>
      <c r="G470" s="1">
        <v>45265</v>
      </c>
      <c r="H470" s="1">
        <v>45697</v>
      </c>
      <c r="I470">
        <v>6</v>
      </c>
      <c r="J470" t="s">
        <v>23</v>
      </c>
      <c r="K470">
        <v>11463.82</v>
      </c>
    </row>
    <row r="471" spans="1:11">
      <c r="A471">
        <v>470</v>
      </c>
      <c r="B471" t="s">
        <v>37</v>
      </c>
      <c r="C471" s="1">
        <v>18629</v>
      </c>
      <c r="D471">
        <v>75</v>
      </c>
      <c r="E471" t="s">
        <v>12</v>
      </c>
      <c r="F471" t="s">
        <v>16</v>
      </c>
      <c r="G471" s="1">
        <v>45097</v>
      </c>
      <c r="H471" s="1">
        <v>45570</v>
      </c>
      <c r="I471">
        <v>4</v>
      </c>
      <c r="J471" t="s">
        <v>19</v>
      </c>
      <c r="K471">
        <v>2614.46</v>
      </c>
    </row>
    <row r="472" spans="1:11">
      <c r="A472">
        <v>471</v>
      </c>
      <c r="B472" t="s">
        <v>136</v>
      </c>
      <c r="C472" s="1">
        <v>36891</v>
      </c>
      <c r="D472">
        <v>25</v>
      </c>
      <c r="E472" t="s">
        <v>15</v>
      </c>
      <c r="F472" t="s">
        <v>16</v>
      </c>
      <c r="G472" s="1">
        <v>45036</v>
      </c>
      <c r="H472" s="1">
        <v>44934</v>
      </c>
      <c r="I472">
        <v>36</v>
      </c>
      <c r="J472" t="s">
        <v>19</v>
      </c>
      <c r="K472">
        <v>10904.94</v>
      </c>
    </row>
    <row r="473" spans="1:11">
      <c r="A473">
        <v>472</v>
      </c>
      <c r="B473" t="s">
        <v>136</v>
      </c>
      <c r="C473" s="1">
        <v>40544</v>
      </c>
      <c r="D473">
        <v>15</v>
      </c>
      <c r="E473" t="s">
        <v>12</v>
      </c>
      <c r="F473" t="s">
        <v>32</v>
      </c>
      <c r="G473" s="1">
        <v>44936</v>
      </c>
      <c r="H473" s="1">
        <v>45779</v>
      </c>
      <c r="I473">
        <v>28</v>
      </c>
      <c r="J473" t="s">
        <v>19</v>
      </c>
      <c r="K473">
        <v>3537.56</v>
      </c>
    </row>
    <row r="474" spans="1:11">
      <c r="A474">
        <v>473</v>
      </c>
      <c r="B474" t="s">
        <v>75</v>
      </c>
      <c r="C474" s="1">
        <v>27760</v>
      </c>
      <c r="D474">
        <v>50</v>
      </c>
      <c r="E474" t="s">
        <v>15</v>
      </c>
      <c r="F474" t="s">
        <v>21</v>
      </c>
      <c r="G474" s="1">
        <v>45128</v>
      </c>
      <c r="H474" s="1">
        <v>45680</v>
      </c>
      <c r="I474">
        <v>13</v>
      </c>
      <c r="J474" t="s">
        <v>23</v>
      </c>
      <c r="K474">
        <v>15326.85</v>
      </c>
    </row>
    <row r="475" spans="1:11">
      <c r="A475">
        <v>474</v>
      </c>
      <c r="B475" t="s">
        <v>158</v>
      </c>
      <c r="C475" s="1">
        <v>14976</v>
      </c>
      <c r="D475">
        <v>85</v>
      </c>
      <c r="F475" t="s">
        <v>13</v>
      </c>
      <c r="G475" s="1">
        <v>45183</v>
      </c>
      <c r="H475" s="1">
        <v>45631</v>
      </c>
      <c r="I475">
        <v>5</v>
      </c>
      <c r="J475" t="s">
        <v>19</v>
      </c>
      <c r="K475">
        <v>19340.2</v>
      </c>
    </row>
    <row r="476" spans="1:11">
      <c r="A476">
        <v>475</v>
      </c>
      <c r="B476" t="s">
        <v>48</v>
      </c>
      <c r="C476" s="1">
        <v>25568</v>
      </c>
      <c r="D476">
        <v>56</v>
      </c>
      <c r="E476" t="s">
        <v>15</v>
      </c>
      <c r="F476" t="s">
        <v>16</v>
      </c>
      <c r="G476" s="1">
        <v>45188</v>
      </c>
      <c r="H476" s="1">
        <v>45237</v>
      </c>
      <c r="I476">
        <v>12</v>
      </c>
      <c r="K476">
        <v>7152.45</v>
      </c>
    </row>
    <row r="477" spans="1:11">
      <c r="A477">
        <v>476</v>
      </c>
      <c r="B477" t="s">
        <v>134</v>
      </c>
      <c r="C477" s="1">
        <v>35795</v>
      </c>
      <c r="D477">
        <v>28</v>
      </c>
      <c r="E477" t="s">
        <v>12</v>
      </c>
      <c r="F477" t="s">
        <v>16</v>
      </c>
      <c r="G477" s="1">
        <v>45619</v>
      </c>
      <c r="H477" s="1">
        <v>45736</v>
      </c>
      <c r="I477">
        <v>22</v>
      </c>
      <c r="J477" t="s">
        <v>23</v>
      </c>
      <c r="K477">
        <v>8641.85</v>
      </c>
    </row>
    <row r="478" spans="1:11">
      <c r="A478">
        <v>477</v>
      </c>
      <c r="B478" t="s">
        <v>108</v>
      </c>
      <c r="C478" s="1">
        <v>17898</v>
      </c>
      <c r="D478">
        <v>77</v>
      </c>
      <c r="E478" t="s">
        <v>15</v>
      </c>
      <c r="F478" t="s">
        <v>16</v>
      </c>
      <c r="G478" s="1">
        <v>45356</v>
      </c>
      <c r="H478" s="1">
        <v>45554</v>
      </c>
      <c r="I478">
        <v>35</v>
      </c>
      <c r="J478" t="s">
        <v>25</v>
      </c>
      <c r="K478">
        <v>8372.08</v>
      </c>
    </row>
    <row r="479" spans="1:11">
      <c r="A479">
        <v>478</v>
      </c>
      <c r="B479" t="s">
        <v>75</v>
      </c>
      <c r="D479">
        <v>91</v>
      </c>
      <c r="E479" t="s">
        <v>15</v>
      </c>
      <c r="F479" t="s">
        <v>45</v>
      </c>
      <c r="G479" s="1">
        <v>45433</v>
      </c>
      <c r="H479" s="1">
        <v>45400</v>
      </c>
      <c r="I479">
        <v>38</v>
      </c>
      <c r="K479">
        <v>5634.53</v>
      </c>
    </row>
    <row r="480" spans="1:11">
      <c r="A480">
        <v>479</v>
      </c>
      <c r="B480" t="s">
        <v>51</v>
      </c>
      <c r="C480" s="1">
        <v>21185</v>
      </c>
      <c r="D480">
        <v>68</v>
      </c>
      <c r="E480" t="s">
        <v>15</v>
      </c>
      <c r="F480" t="s">
        <v>13</v>
      </c>
      <c r="G480" s="1">
        <v>44992</v>
      </c>
      <c r="H480" s="1">
        <v>45029</v>
      </c>
      <c r="I480">
        <v>12</v>
      </c>
      <c r="K480">
        <v>15863.02</v>
      </c>
    </row>
    <row r="481" spans="1:11">
      <c r="A481">
        <v>480</v>
      </c>
      <c r="B481" t="s">
        <v>149</v>
      </c>
      <c r="C481" s="1">
        <v>29221</v>
      </c>
      <c r="D481">
        <v>46</v>
      </c>
      <c r="E481" t="s">
        <v>12</v>
      </c>
      <c r="G481" s="1">
        <v>45599</v>
      </c>
      <c r="H481" s="1">
        <v>45265</v>
      </c>
      <c r="I481">
        <v>22</v>
      </c>
      <c r="K481">
        <v>12316.34</v>
      </c>
    </row>
    <row r="482" spans="1:11">
      <c r="A482">
        <v>481</v>
      </c>
      <c r="B482" t="s">
        <v>92</v>
      </c>
      <c r="C482" s="1">
        <v>12054</v>
      </c>
      <c r="D482">
        <v>93</v>
      </c>
      <c r="E482" t="s">
        <v>12</v>
      </c>
      <c r="G482" s="1">
        <v>45505</v>
      </c>
      <c r="H482" s="1">
        <v>45246</v>
      </c>
      <c r="I482">
        <v>4</v>
      </c>
      <c r="J482" t="s">
        <v>23</v>
      </c>
      <c r="K482">
        <v>1187.44</v>
      </c>
    </row>
    <row r="483" spans="1:11">
      <c r="A483">
        <v>482</v>
      </c>
      <c r="B483" t="s">
        <v>53</v>
      </c>
      <c r="C483" s="1">
        <v>23742</v>
      </c>
      <c r="D483">
        <v>61</v>
      </c>
      <c r="E483" t="s">
        <v>15</v>
      </c>
      <c r="F483" t="s">
        <v>21</v>
      </c>
      <c r="G483" s="1">
        <v>45538</v>
      </c>
      <c r="H483" s="1">
        <v>45440</v>
      </c>
      <c r="I483">
        <v>23</v>
      </c>
      <c r="K483">
        <v>16760.009999999998</v>
      </c>
    </row>
    <row r="484" spans="1:11">
      <c r="A484">
        <v>483</v>
      </c>
      <c r="B484" t="s">
        <v>126</v>
      </c>
      <c r="C484" s="1">
        <v>21185</v>
      </c>
      <c r="D484">
        <v>68</v>
      </c>
      <c r="E484" t="s">
        <v>12</v>
      </c>
      <c r="F484" t="s">
        <v>45</v>
      </c>
      <c r="G484" s="1">
        <v>45515</v>
      </c>
      <c r="H484" s="1">
        <v>44952</v>
      </c>
      <c r="I484">
        <v>5</v>
      </c>
      <c r="J484" t="s">
        <v>23</v>
      </c>
      <c r="K484">
        <v>3660.47</v>
      </c>
    </row>
    <row r="485" spans="1:11">
      <c r="A485">
        <v>484</v>
      </c>
      <c r="B485" t="s">
        <v>166</v>
      </c>
      <c r="C485" s="1">
        <v>18629</v>
      </c>
      <c r="D485">
        <v>75</v>
      </c>
      <c r="E485" t="s">
        <v>12</v>
      </c>
      <c r="F485" t="s">
        <v>16</v>
      </c>
      <c r="G485" s="1">
        <v>44961</v>
      </c>
      <c r="H485" s="1">
        <v>45648</v>
      </c>
      <c r="I485">
        <v>15</v>
      </c>
      <c r="J485" t="s">
        <v>19</v>
      </c>
      <c r="K485">
        <v>19580.939999999999</v>
      </c>
    </row>
    <row r="486" spans="1:11">
      <c r="A486">
        <v>485</v>
      </c>
      <c r="B486" t="s">
        <v>165</v>
      </c>
      <c r="C486" s="1">
        <v>40544</v>
      </c>
      <c r="D486">
        <v>15</v>
      </c>
      <c r="E486" t="s">
        <v>12</v>
      </c>
      <c r="G486" s="1">
        <v>45483</v>
      </c>
      <c r="H486" s="1">
        <v>45357</v>
      </c>
      <c r="I486">
        <v>18</v>
      </c>
      <c r="J486" t="s">
        <v>25</v>
      </c>
      <c r="K486">
        <v>7470.93</v>
      </c>
    </row>
    <row r="487" spans="1:11">
      <c r="A487">
        <v>486</v>
      </c>
      <c r="B487" t="s">
        <v>58</v>
      </c>
      <c r="C487" s="1">
        <v>13515</v>
      </c>
      <c r="D487">
        <v>89</v>
      </c>
      <c r="E487" t="s">
        <v>12</v>
      </c>
      <c r="F487" t="s">
        <v>13</v>
      </c>
      <c r="G487" s="1">
        <v>45588</v>
      </c>
      <c r="H487" s="1">
        <v>45070</v>
      </c>
      <c r="I487">
        <v>13</v>
      </c>
      <c r="J487" t="s">
        <v>19</v>
      </c>
      <c r="K487">
        <v>12290.64</v>
      </c>
    </row>
    <row r="488" spans="1:11">
      <c r="A488">
        <v>487</v>
      </c>
      <c r="B488" t="s">
        <v>100</v>
      </c>
      <c r="C488" s="1">
        <v>13515</v>
      </c>
      <c r="D488">
        <v>89</v>
      </c>
      <c r="E488" t="s">
        <v>15</v>
      </c>
      <c r="G488" s="1">
        <v>45417</v>
      </c>
      <c r="H488" s="1">
        <v>45636</v>
      </c>
      <c r="I488">
        <v>0</v>
      </c>
      <c r="K488">
        <v>1464.25</v>
      </c>
    </row>
    <row r="489" spans="1:11">
      <c r="A489">
        <v>488</v>
      </c>
      <c r="B489" t="s">
        <v>81</v>
      </c>
      <c r="C489" s="1">
        <v>28856</v>
      </c>
      <c r="D489">
        <v>47</v>
      </c>
      <c r="E489" t="s">
        <v>15</v>
      </c>
      <c r="F489" t="s">
        <v>13</v>
      </c>
      <c r="G489" s="1">
        <v>45506</v>
      </c>
      <c r="H489" s="1">
        <v>45584</v>
      </c>
      <c r="I489">
        <v>-2</v>
      </c>
      <c r="J489" t="s">
        <v>23</v>
      </c>
      <c r="K489">
        <v>6827.73</v>
      </c>
    </row>
    <row r="490" spans="1:11">
      <c r="A490">
        <v>489</v>
      </c>
      <c r="B490" t="s">
        <v>160</v>
      </c>
      <c r="C490" s="1">
        <v>15341</v>
      </c>
      <c r="D490">
        <v>84</v>
      </c>
      <c r="E490" t="s">
        <v>12</v>
      </c>
      <c r="F490" t="s">
        <v>45</v>
      </c>
      <c r="G490" s="1">
        <v>45180</v>
      </c>
      <c r="H490" s="1">
        <v>45076</v>
      </c>
      <c r="I490">
        <v>10</v>
      </c>
      <c r="J490" t="s">
        <v>23</v>
      </c>
      <c r="K490">
        <v>16027.31</v>
      </c>
    </row>
    <row r="491" spans="1:11">
      <c r="A491">
        <v>490</v>
      </c>
      <c r="B491" t="s">
        <v>76</v>
      </c>
      <c r="C491" s="1">
        <v>32143</v>
      </c>
      <c r="D491">
        <v>38</v>
      </c>
      <c r="E491" t="s">
        <v>12</v>
      </c>
      <c r="G491" s="1">
        <v>44943</v>
      </c>
      <c r="H491" s="1">
        <v>45620</v>
      </c>
      <c r="I491">
        <v>29</v>
      </c>
      <c r="J491" t="s">
        <v>19</v>
      </c>
      <c r="K491">
        <v>9491.89</v>
      </c>
    </row>
    <row r="492" spans="1:11">
      <c r="A492">
        <v>491</v>
      </c>
      <c r="B492" t="s">
        <v>140</v>
      </c>
      <c r="C492" s="1">
        <v>34334</v>
      </c>
      <c r="D492">
        <v>32</v>
      </c>
      <c r="F492" t="s">
        <v>16</v>
      </c>
      <c r="G492" s="1">
        <v>45187</v>
      </c>
      <c r="H492" s="1">
        <v>44982</v>
      </c>
      <c r="I492">
        <v>9</v>
      </c>
      <c r="K492">
        <v>18082.53</v>
      </c>
    </row>
    <row r="493" spans="1:11">
      <c r="A493">
        <v>492</v>
      </c>
      <c r="B493" t="s">
        <v>76</v>
      </c>
      <c r="C493" s="1">
        <v>12054</v>
      </c>
      <c r="D493">
        <v>93</v>
      </c>
      <c r="E493" t="s">
        <v>12</v>
      </c>
      <c r="F493" t="s">
        <v>45</v>
      </c>
      <c r="G493" s="1">
        <v>45651</v>
      </c>
      <c r="H493" s="1">
        <v>45398</v>
      </c>
      <c r="I493">
        <v>28</v>
      </c>
      <c r="J493" t="s">
        <v>25</v>
      </c>
      <c r="K493">
        <v>11460.28</v>
      </c>
    </row>
    <row r="494" spans="1:11">
      <c r="A494">
        <v>493</v>
      </c>
      <c r="B494" t="s">
        <v>167</v>
      </c>
      <c r="C494" s="1">
        <v>37987</v>
      </c>
      <c r="D494">
        <v>22</v>
      </c>
      <c r="E494" t="s">
        <v>15</v>
      </c>
      <c r="F494" t="s">
        <v>18</v>
      </c>
      <c r="G494" s="1">
        <v>45182</v>
      </c>
      <c r="H494" s="1">
        <v>45290</v>
      </c>
      <c r="I494">
        <v>38</v>
      </c>
      <c r="J494" t="s">
        <v>23</v>
      </c>
      <c r="K494">
        <v>18564.3</v>
      </c>
    </row>
    <row r="495" spans="1:11">
      <c r="A495">
        <v>494</v>
      </c>
      <c r="B495" t="s">
        <v>111</v>
      </c>
      <c r="C495" s="1">
        <v>42735</v>
      </c>
      <c r="D495">
        <v>9</v>
      </c>
      <c r="E495" t="s">
        <v>12</v>
      </c>
      <c r="F495" t="s">
        <v>16</v>
      </c>
      <c r="G495" s="1">
        <v>45654</v>
      </c>
      <c r="H495" s="1">
        <v>45577</v>
      </c>
      <c r="I495">
        <v>-1</v>
      </c>
      <c r="J495" t="s">
        <v>23</v>
      </c>
      <c r="K495">
        <v>19650.46</v>
      </c>
    </row>
    <row r="496" spans="1:11">
      <c r="A496">
        <v>495</v>
      </c>
      <c r="B496" t="s">
        <v>106</v>
      </c>
      <c r="C496" s="1">
        <v>21185</v>
      </c>
      <c r="D496">
        <v>68</v>
      </c>
      <c r="E496" t="s">
        <v>15</v>
      </c>
      <c r="F496" t="s">
        <v>45</v>
      </c>
      <c r="G496" s="1">
        <v>45350</v>
      </c>
      <c r="H496" s="1">
        <v>45136</v>
      </c>
      <c r="I496">
        <v>38</v>
      </c>
      <c r="K496">
        <v>9023.2800000000007</v>
      </c>
    </row>
    <row r="497" spans="1:11">
      <c r="A497">
        <v>496</v>
      </c>
      <c r="B497" t="s">
        <v>97</v>
      </c>
      <c r="C497" s="1">
        <v>33969</v>
      </c>
      <c r="D497">
        <v>33</v>
      </c>
      <c r="F497" t="s">
        <v>21</v>
      </c>
      <c r="G497" s="1">
        <v>45427</v>
      </c>
      <c r="H497" s="1">
        <v>45112</v>
      </c>
      <c r="I497">
        <v>5</v>
      </c>
      <c r="J497" t="s">
        <v>23</v>
      </c>
      <c r="K497">
        <v>11259.65</v>
      </c>
    </row>
    <row r="498" spans="1:11">
      <c r="A498">
        <v>497</v>
      </c>
      <c r="B498" t="s">
        <v>110</v>
      </c>
      <c r="C498" s="1">
        <v>27395</v>
      </c>
      <c r="D498">
        <v>51</v>
      </c>
      <c r="E498" t="s">
        <v>15</v>
      </c>
      <c r="G498" s="1">
        <v>45212</v>
      </c>
      <c r="H498" s="1">
        <v>44992</v>
      </c>
      <c r="I498">
        <v>22</v>
      </c>
      <c r="K498">
        <v>16681.900000000001</v>
      </c>
    </row>
    <row r="499" spans="1:11">
      <c r="A499">
        <v>498</v>
      </c>
      <c r="B499" t="s">
        <v>58</v>
      </c>
      <c r="C499" s="1">
        <v>11689</v>
      </c>
      <c r="D499">
        <v>94</v>
      </c>
      <c r="E499" t="s">
        <v>12</v>
      </c>
      <c r="F499" t="s">
        <v>16</v>
      </c>
      <c r="G499" s="1">
        <v>44933</v>
      </c>
      <c r="H499" s="1">
        <v>45476</v>
      </c>
      <c r="I499">
        <v>2</v>
      </c>
      <c r="K499">
        <v>4352.8100000000004</v>
      </c>
    </row>
    <row r="500" spans="1:11">
      <c r="A500">
        <v>499</v>
      </c>
      <c r="B500" t="s">
        <v>168</v>
      </c>
      <c r="C500" s="1">
        <v>42735</v>
      </c>
      <c r="D500">
        <v>9</v>
      </c>
      <c r="E500" t="s">
        <v>12</v>
      </c>
      <c r="F500" t="s">
        <v>32</v>
      </c>
      <c r="G500" s="1">
        <v>45423</v>
      </c>
      <c r="H500" s="1">
        <v>45039</v>
      </c>
      <c r="I500">
        <v>-1</v>
      </c>
      <c r="J500" t="s">
        <v>25</v>
      </c>
      <c r="K500">
        <v>17218.75</v>
      </c>
    </row>
    <row r="501" spans="1:11">
      <c r="A501">
        <v>500</v>
      </c>
      <c r="B501" t="s">
        <v>155</v>
      </c>
      <c r="C501" s="1">
        <v>39448</v>
      </c>
      <c r="D501">
        <v>18</v>
      </c>
      <c r="E501" t="s">
        <v>15</v>
      </c>
      <c r="F501" t="s">
        <v>16</v>
      </c>
      <c r="G501" s="1">
        <v>45125</v>
      </c>
      <c r="H501" s="1">
        <v>45190</v>
      </c>
      <c r="I501">
        <v>39</v>
      </c>
      <c r="K501">
        <v>11797.59</v>
      </c>
    </row>
    <row r="502" spans="1:11">
      <c r="A502">
        <v>501</v>
      </c>
      <c r="B502" t="s">
        <v>14</v>
      </c>
      <c r="C502" s="1">
        <v>25203</v>
      </c>
      <c r="D502">
        <v>57</v>
      </c>
      <c r="E502" t="s">
        <v>15</v>
      </c>
      <c r="F502" t="s">
        <v>18</v>
      </c>
      <c r="G502" s="1">
        <v>45529</v>
      </c>
      <c r="H502" s="1">
        <v>45003</v>
      </c>
      <c r="I502">
        <v>35</v>
      </c>
      <c r="J502" t="s">
        <v>19</v>
      </c>
      <c r="K502">
        <v>14482.55</v>
      </c>
    </row>
    <row r="503" spans="1:11">
      <c r="A503">
        <v>502</v>
      </c>
      <c r="B503" t="s">
        <v>125</v>
      </c>
      <c r="C503" s="1">
        <v>46022</v>
      </c>
      <c r="E503" t="s">
        <v>12</v>
      </c>
      <c r="F503" t="s">
        <v>45</v>
      </c>
      <c r="G503" s="1">
        <v>45585</v>
      </c>
      <c r="H503" s="1">
        <v>45223</v>
      </c>
      <c r="I503">
        <v>36</v>
      </c>
      <c r="J503" t="s">
        <v>25</v>
      </c>
      <c r="K503">
        <v>1505.07</v>
      </c>
    </row>
    <row r="504" spans="1:11">
      <c r="A504">
        <v>503</v>
      </c>
      <c r="B504" t="s">
        <v>83</v>
      </c>
      <c r="C504" s="1">
        <v>21185</v>
      </c>
      <c r="D504">
        <v>68</v>
      </c>
      <c r="E504" t="s">
        <v>12</v>
      </c>
      <c r="F504" t="s">
        <v>32</v>
      </c>
      <c r="G504" s="1">
        <v>45344</v>
      </c>
      <c r="H504" s="1">
        <v>45105</v>
      </c>
      <c r="I504">
        <v>0</v>
      </c>
      <c r="K504">
        <v>15300.37</v>
      </c>
    </row>
    <row r="505" spans="1:11">
      <c r="A505">
        <v>504</v>
      </c>
      <c r="B505" t="s">
        <v>115</v>
      </c>
      <c r="C505" s="1">
        <v>44927</v>
      </c>
      <c r="D505">
        <v>3</v>
      </c>
      <c r="E505" t="s">
        <v>15</v>
      </c>
      <c r="F505" t="s">
        <v>18</v>
      </c>
      <c r="G505" s="1">
        <v>45588</v>
      </c>
      <c r="H505" s="1">
        <v>45693</v>
      </c>
      <c r="I505">
        <v>35</v>
      </c>
      <c r="K505">
        <v>6146.82</v>
      </c>
    </row>
    <row r="506" spans="1:11">
      <c r="A506">
        <v>505</v>
      </c>
      <c r="B506" t="s">
        <v>125</v>
      </c>
      <c r="C506" s="1">
        <v>40544</v>
      </c>
      <c r="D506">
        <v>15</v>
      </c>
      <c r="E506" t="s">
        <v>12</v>
      </c>
      <c r="F506" t="s">
        <v>21</v>
      </c>
      <c r="G506" s="1">
        <v>44978</v>
      </c>
      <c r="H506" s="1">
        <v>44928</v>
      </c>
      <c r="I506">
        <v>19</v>
      </c>
      <c r="J506" t="s">
        <v>25</v>
      </c>
      <c r="K506">
        <v>16085.17</v>
      </c>
    </row>
    <row r="507" spans="1:11">
      <c r="A507">
        <v>506</v>
      </c>
      <c r="B507" t="s">
        <v>87</v>
      </c>
      <c r="C507" s="1">
        <v>37622</v>
      </c>
      <c r="D507">
        <v>23</v>
      </c>
      <c r="E507" t="s">
        <v>12</v>
      </c>
      <c r="F507" t="s">
        <v>16</v>
      </c>
      <c r="G507" s="1">
        <v>45169</v>
      </c>
      <c r="H507" s="1">
        <v>45075</v>
      </c>
      <c r="I507">
        <v>37</v>
      </c>
      <c r="J507" t="s">
        <v>23</v>
      </c>
      <c r="K507">
        <v>10133.969999999999</v>
      </c>
    </row>
    <row r="508" spans="1:11">
      <c r="A508">
        <v>507</v>
      </c>
      <c r="B508" t="s">
        <v>64</v>
      </c>
      <c r="C508" s="1">
        <v>17168</v>
      </c>
      <c r="D508">
        <v>79</v>
      </c>
      <c r="E508" t="s">
        <v>15</v>
      </c>
      <c r="G508" s="1">
        <v>45145</v>
      </c>
      <c r="H508" s="1">
        <v>45803</v>
      </c>
      <c r="I508">
        <v>30</v>
      </c>
      <c r="J508" t="s">
        <v>25</v>
      </c>
      <c r="K508">
        <v>5419.75</v>
      </c>
    </row>
    <row r="509" spans="1:11">
      <c r="A509">
        <v>508</v>
      </c>
      <c r="B509" t="s">
        <v>169</v>
      </c>
      <c r="C509" s="1">
        <v>45657</v>
      </c>
      <c r="D509">
        <v>1</v>
      </c>
      <c r="E509" t="s">
        <v>15</v>
      </c>
      <c r="F509" t="s">
        <v>32</v>
      </c>
      <c r="G509" s="1">
        <v>45444</v>
      </c>
      <c r="H509" s="1">
        <v>45598</v>
      </c>
      <c r="I509">
        <v>29</v>
      </c>
      <c r="J509" t="s">
        <v>23</v>
      </c>
      <c r="K509">
        <v>19050.47</v>
      </c>
    </row>
    <row r="510" spans="1:11">
      <c r="A510">
        <v>509</v>
      </c>
      <c r="B510" t="s">
        <v>73</v>
      </c>
      <c r="C510" s="1">
        <v>12785</v>
      </c>
      <c r="D510">
        <v>91</v>
      </c>
      <c r="E510" t="s">
        <v>12</v>
      </c>
      <c r="G510" s="1">
        <v>45035</v>
      </c>
      <c r="H510" s="1">
        <v>45763</v>
      </c>
      <c r="I510">
        <v>14</v>
      </c>
      <c r="J510" t="s">
        <v>25</v>
      </c>
      <c r="K510">
        <v>15277.75</v>
      </c>
    </row>
    <row r="511" spans="1:11">
      <c r="A511">
        <v>510</v>
      </c>
      <c r="B511" t="s">
        <v>94</v>
      </c>
      <c r="C511" s="1">
        <v>34700</v>
      </c>
      <c r="D511">
        <v>31</v>
      </c>
      <c r="E511" t="s">
        <v>12</v>
      </c>
      <c r="F511" t="s">
        <v>45</v>
      </c>
      <c r="G511" s="1">
        <v>45277</v>
      </c>
      <c r="H511" s="1">
        <v>45707</v>
      </c>
      <c r="I511">
        <v>15</v>
      </c>
      <c r="J511" t="s">
        <v>25</v>
      </c>
      <c r="K511">
        <v>19712.29</v>
      </c>
    </row>
    <row r="512" spans="1:11">
      <c r="A512">
        <v>511</v>
      </c>
      <c r="B512" t="s">
        <v>30</v>
      </c>
      <c r="C512" s="1">
        <v>13150</v>
      </c>
      <c r="E512" t="s">
        <v>12</v>
      </c>
      <c r="F512" t="s">
        <v>45</v>
      </c>
      <c r="G512" s="1">
        <v>44992</v>
      </c>
      <c r="H512" s="1">
        <v>45589</v>
      </c>
      <c r="I512">
        <v>0</v>
      </c>
      <c r="J512" t="s">
        <v>19</v>
      </c>
      <c r="K512">
        <v>7225.84</v>
      </c>
    </row>
    <row r="513" spans="1:11">
      <c r="A513">
        <v>512</v>
      </c>
      <c r="B513" t="s">
        <v>51</v>
      </c>
      <c r="C513" s="1">
        <v>15707</v>
      </c>
      <c r="E513" t="s">
        <v>12</v>
      </c>
      <c r="F513" t="s">
        <v>21</v>
      </c>
      <c r="G513" s="1">
        <v>44936</v>
      </c>
      <c r="H513" s="1">
        <v>45056</v>
      </c>
      <c r="I513">
        <v>3</v>
      </c>
      <c r="J513" t="s">
        <v>25</v>
      </c>
      <c r="K513">
        <v>12949.31</v>
      </c>
    </row>
    <row r="514" spans="1:11">
      <c r="A514">
        <v>513</v>
      </c>
      <c r="B514" t="s">
        <v>39</v>
      </c>
      <c r="C514" s="1">
        <v>37622</v>
      </c>
      <c r="D514">
        <v>23</v>
      </c>
      <c r="E514" t="s">
        <v>15</v>
      </c>
      <c r="F514" t="s">
        <v>18</v>
      </c>
      <c r="G514" s="1">
        <v>45128</v>
      </c>
      <c r="H514" s="1">
        <v>45565</v>
      </c>
      <c r="I514">
        <v>10</v>
      </c>
      <c r="J514" t="s">
        <v>19</v>
      </c>
      <c r="K514">
        <v>12192.93</v>
      </c>
    </row>
    <row r="515" spans="1:11">
      <c r="A515">
        <v>514</v>
      </c>
      <c r="B515" t="s">
        <v>36</v>
      </c>
      <c r="C515" s="1">
        <v>42005</v>
      </c>
      <c r="D515">
        <v>11</v>
      </c>
      <c r="E515" t="s">
        <v>15</v>
      </c>
      <c r="F515" t="s">
        <v>32</v>
      </c>
      <c r="G515" s="1">
        <v>45140</v>
      </c>
      <c r="H515" s="1">
        <v>45440</v>
      </c>
      <c r="I515">
        <v>28</v>
      </c>
      <c r="K515">
        <v>13719.89</v>
      </c>
    </row>
    <row r="516" spans="1:11">
      <c r="A516">
        <v>515</v>
      </c>
      <c r="B516" t="s">
        <v>86</v>
      </c>
      <c r="C516" s="1">
        <v>28125</v>
      </c>
      <c r="D516">
        <v>49</v>
      </c>
      <c r="E516" t="s">
        <v>15</v>
      </c>
      <c r="F516" t="s">
        <v>21</v>
      </c>
      <c r="G516" s="1">
        <v>44994</v>
      </c>
      <c r="H516" s="1">
        <v>45826</v>
      </c>
      <c r="I516">
        <v>14</v>
      </c>
      <c r="J516" t="s">
        <v>23</v>
      </c>
      <c r="K516">
        <v>670.16</v>
      </c>
    </row>
    <row r="517" spans="1:11">
      <c r="A517">
        <v>516</v>
      </c>
      <c r="B517" t="s">
        <v>68</v>
      </c>
      <c r="C517" s="1">
        <v>33604</v>
      </c>
      <c r="D517">
        <v>34</v>
      </c>
      <c r="E517" t="s">
        <v>15</v>
      </c>
      <c r="F517" t="s">
        <v>18</v>
      </c>
      <c r="G517" s="1">
        <v>45253</v>
      </c>
      <c r="H517" s="1">
        <v>45556</v>
      </c>
      <c r="I517">
        <v>18</v>
      </c>
      <c r="J517" t="s">
        <v>23</v>
      </c>
      <c r="K517">
        <v>5763.56</v>
      </c>
    </row>
    <row r="518" spans="1:11">
      <c r="A518">
        <v>517</v>
      </c>
      <c r="B518" t="s">
        <v>17</v>
      </c>
      <c r="C518" s="1">
        <v>34334</v>
      </c>
      <c r="D518">
        <v>32</v>
      </c>
      <c r="E518" t="s">
        <v>12</v>
      </c>
      <c r="F518" t="s">
        <v>13</v>
      </c>
      <c r="G518" s="1">
        <v>44976</v>
      </c>
      <c r="H518" s="1">
        <v>45429</v>
      </c>
      <c r="I518">
        <v>13</v>
      </c>
      <c r="J518" t="s">
        <v>19</v>
      </c>
      <c r="K518">
        <v>18177.689999999999</v>
      </c>
    </row>
    <row r="519" spans="1:11">
      <c r="A519">
        <v>518</v>
      </c>
      <c r="B519" t="s">
        <v>37</v>
      </c>
      <c r="C519" s="1">
        <v>34334</v>
      </c>
      <c r="D519">
        <v>32</v>
      </c>
      <c r="E519" t="s">
        <v>12</v>
      </c>
      <c r="F519" t="s">
        <v>13</v>
      </c>
      <c r="G519" s="1">
        <v>44943</v>
      </c>
      <c r="H519" s="1">
        <v>45076</v>
      </c>
      <c r="I519">
        <v>14</v>
      </c>
      <c r="J519" t="s">
        <v>23</v>
      </c>
      <c r="K519">
        <v>8418.7800000000007</v>
      </c>
    </row>
    <row r="520" spans="1:11">
      <c r="A520">
        <v>519</v>
      </c>
      <c r="B520" t="s">
        <v>138</v>
      </c>
      <c r="C520" s="1">
        <v>24107</v>
      </c>
      <c r="D520">
        <v>60</v>
      </c>
      <c r="E520" t="s">
        <v>15</v>
      </c>
      <c r="F520" t="s">
        <v>18</v>
      </c>
      <c r="G520" s="1">
        <v>45449</v>
      </c>
      <c r="H520" s="1">
        <v>45196</v>
      </c>
      <c r="I520">
        <v>29</v>
      </c>
      <c r="J520" t="s">
        <v>23</v>
      </c>
      <c r="K520">
        <v>19208.939999999999</v>
      </c>
    </row>
    <row r="521" spans="1:11">
      <c r="A521">
        <v>520</v>
      </c>
      <c r="B521" t="s">
        <v>117</v>
      </c>
      <c r="C521" s="1">
        <v>27760</v>
      </c>
      <c r="D521">
        <v>50</v>
      </c>
      <c r="E521" t="s">
        <v>15</v>
      </c>
      <c r="F521" t="s">
        <v>45</v>
      </c>
      <c r="G521" s="1">
        <v>45232</v>
      </c>
      <c r="H521" s="1">
        <v>45628</v>
      </c>
      <c r="I521">
        <v>-2</v>
      </c>
      <c r="J521" t="s">
        <v>25</v>
      </c>
      <c r="K521">
        <v>4191.41</v>
      </c>
    </row>
    <row r="522" spans="1:11">
      <c r="A522">
        <v>521</v>
      </c>
      <c r="B522" t="s">
        <v>155</v>
      </c>
      <c r="C522" s="1">
        <v>30682</v>
      </c>
      <c r="D522">
        <v>42</v>
      </c>
      <c r="E522" t="s">
        <v>12</v>
      </c>
      <c r="F522" t="s">
        <v>45</v>
      </c>
      <c r="G522" s="1">
        <v>45318</v>
      </c>
      <c r="H522" s="1">
        <v>45580</v>
      </c>
      <c r="I522">
        <v>35</v>
      </c>
      <c r="J522" t="s">
        <v>19</v>
      </c>
      <c r="K522">
        <v>19948.22</v>
      </c>
    </row>
    <row r="523" spans="1:11">
      <c r="A523">
        <v>522</v>
      </c>
      <c r="B523" t="s">
        <v>62</v>
      </c>
      <c r="C523" s="1">
        <v>42005</v>
      </c>
      <c r="D523">
        <v>11</v>
      </c>
      <c r="E523" t="s">
        <v>12</v>
      </c>
      <c r="F523" t="s">
        <v>13</v>
      </c>
      <c r="G523" s="1">
        <v>45050</v>
      </c>
      <c r="H523" s="1">
        <v>45032</v>
      </c>
      <c r="I523">
        <v>5</v>
      </c>
      <c r="J523" t="s">
        <v>23</v>
      </c>
      <c r="K523">
        <v>13921.38</v>
      </c>
    </row>
    <row r="524" spans="1:11">
      <c r="A524">
        <v>523</v>
      </c>
      <c r="B524" t="s">
        <v>22</v>
      </c>
      <c r="C524" s="1">
        <v>21916</v>
      </c>
      <c r="D524">
        <v>66</v>
      </c>
      <c r="E524" t="s">
        <v>12</v>
      </c>
      <c r="F524" t="s">
        <v>45</v>
      </c>
      <c r="G524" s="1">
        <v>45430</v>
      </c>
      <c r="H524" s="1">
        <v>45393</v>
      </c>
      <c r="I524">
        <v>-2</v>
      </c>
      <c r="K524">
        <v>15505.51</v>
      </c>
    </row>
    <row r="525" spans="1:11">
      <c r="A525">
        <v>524</v>
      </c>
      <c r="B525" t="s">
        <v>149</v>
      </c>
      <c r="C525" s="1">
        <v>22646</v>
      </c>
      <c r="D525">
        <v>64</v>
      </c>
      <c r="E525" t="s">
        <v>12</v>
      </c>
      <c r="G525" s="1">
        <v>45151</v>
      </c>
      <c r="H525" s="1">
        <v>45691</v>
      </c>
      <c r="I525">
        <v>-1</v>
      </c>
      <c r="J525" t="s">
        <v>19</v>
      </c>
      <c r="K525">
        <v>7876.91</v>
      </c>
    </row>
    <row r="526" spans="1:11">
      <c r="A526">
        <v>525</v>
      </c>
      <c r="B526" t="s">
        <v>149</v>
      </c>
      <c r="C526" s="1">
        <v>34334</v>
      </c>
      <c r="D526">
        <v>32</v>
      </c>
      <c r="E526" t="s">
        <v>12</v>
      </c>
      <c r="F526" t="s">
        <v>45</v>
      </c>
      <c r="G526" s="1">
        <v>45244</v>
      </c>
      <c r="H526" s="1">
        <v>45208</v>
      </c>
      <c r="I526">
        <v>34</v>
      </c>
      <c r="J526" t="s">
        <v>25</v>
      </c>
      <c r="K526">
        <v>18130.86</v>
      </c>
    </row>
    <row r="527" spans="1:11">
      <c r="A527">
        <v>526</v>
      </c>
      <c r="B527" t="s">
        <v>62</v>
      </c>
      <c r="C527" s="1">
        <v>31778</v>
      </c>
      <c r="E527" t="s">
        <v>12</v>
      </c>
      <c r="F527" t="s">
        <v>18</v>
      </c>
      <c r="G527" s="1">
        <v>45399</v>
      </c>
      <c r="H527" s="1">
        <v>45334</v>
      </c>
      <c r="I527">
        <v>21</v>
      </c>
      <c r="K527">
        <v>10863.8</v>
      </c>
    </row>
    <row r="528" spans="1:11">
      <c r="A528">
        <v>527</v>
      </c>
      <c r="B528" t="s">
        <v>48</v>
      </c>
      <c r="D528">
        <v>73</v>
      </c>
      <c r="E528" t="s">
        <v>15</v>
      </c>
      <c r="F528" t="s">
        <v>16</v>
      </c>
      <c r="G528" s="1">
        <v>45467</v>
      </c>
      <c r="H528" s="1">
        <v>45783</v>
      </c>
      <c r="I528">
        <v>24</v>
      </c>
      <c r="J528" t="s">
        <v>23</v>
      </c>
      <c r="K528">
        <v>13586.86</v>
      </c>
    </row>
    <row r="529" spans="1:11">
      <c r="A529">
        <v>528</v>
      </c>
      <c r="B529" t="s">
        <v>59</v>
      </c>
      <c r="C529" s="1">
        <v>30682</v>
      </c>
      <c r="E529" t="s">
        <v>15</v>
      </c>
      <c r="F529" t="s">
        <v>18</v>
      </c>
      <c r="G529" s="1">
        <v>45284</v>
      </c>
      <c r="H529" s="1">
        <v>45540</v>
      </c>
      <c r="I529">
        <v>17</v>
      </c>
      <c r="J529" t="s">
        <v>23</v>
      </c>
      <c r="K529">
        <v>1805.65</v>
      </c>
    </row>
    <row r="530" spans="1:11">
      <c r="A530">
        <v>529</v>
      </c>
      <c r="B530" t="s">
        <v>156</v>
      </c>
      <c r="C530" s="1">
        <v>30317</v>
      </c>
      <c r="D530">
        <v>43</v>
      </c>
      <c r="E530" t="s">
        <v>15</v>
      </c>
      <c r="F530" t="s">
        <v>45</v>
      </c>
      <c r="G530" s="1">
        <v>45409</v>
      </c>
      <c r="H530" s="1">
        <v>45721</v>
      </c>
      <c r="I530">
        <v>18</v>
      </c>
      <c r="J530" t="s">
        <v>19</v>
      </c>
      <c r="K530">
        <v>12596.78</v>
      </c>
    </row>
    <row r="531" spans="1:11">
      <c r="A531">
        <v>530</v>
      </c>
      <c r="B531" t="s">
        <v>163</v>
      </c>
      <c r="C531" s="1">
        <v>35795</v>
      </c>
      <c r="D531">
        <v>28</v>
      </c>
      <c r="E531" t="s">
        <v>12</v>
      </c>
      <c r="F531" t="s">
        <v>18</v>
      </c>
      <c r="G531" s="1">
        <v>45355</v>
      </c>
      <c r="H531" s="1">
        <v>45285</v>
      </c>
      <c r="I531">
        <v>39</v>
      </c>
      <c r="J531" t="s">
        <v>23</v>
      </c>
      <c r="K531">
        <v>17569.490000000002</v>
      </c>
    </row>
    <row r="532" spans="1:11">
      <c r="A532">
        <v>531</v>
      </c>
      <c r="B532" t="s">
        <v>34</v>
      </c>
      <c r="C532" s="1">
        <v>41639</v>
      </c>
      <c r="D532">
        <v>12</v>
      </c>
      <c r="E532" t="s">
        <v>12</v>
      </c>
      <c r="F532" t="s">
        <v>32</v>
      </c>
      <c r="G532" s="1">
        <v>45423</v>
      </c>
      <c r="H532" s="1">
        <v>45602</v>
      </c>
      <c r="I532">
        <v>34</v>
      </c>
      <c r="J532" t="s">
        <v>19</v>
      </c>
      <c r="K532">
        <v>3483.49</v>
      </c>
    </row>
    <row r="533" spans="1:11">
      <c r="A533">
        <v>532</v>
      </c>
      <c r="B533" t="s">
        <v>54</v>
      </c>
      <c r="C533" s="1">
        <v>42005</v>
      </c>
      <c r="D533">
        <v>11</v>
      </c>
      <c r="E533" t="s">
        <v>12</v>
      </c>
      <c r="F533" t="s">
        <v>13</v>
      </c>
      <c r="G533" s="1">
        <v>45398</v>
      </c>
      <c r="H533" s="1">
        <v>45130</v>
      </c>
      <c r="I533">
        <v>32</v>
      </c>
      <c r="J533" t="s">
        <v>23</v>
      </c>
      <c r="K533">
        <v>14728.29</v>
      </c>
    </row>
    <row r="534" spans="1:11">
      <c r="A534">
        <v>533</v>
      </c>
      <c r="B534" t="s">
        <v>90</v>
      </c>
      <c r="C534" s="1">
        <v>11689</v>
      </c>
      <c r="D534">
        <v>94</v>
      </c>
      <c r="E534" t="s">
        <v>15</v>
      </c>
      <c r="F534" t="s">
        <v>16</v>
      </c>
      <c r="G534" s="1">
        <v>45497</v>
      </c>
      <c r="H534" s="1">
        <v>45539</v>
      </c>
      <c r="I534">
        <v>35</v>
      </c>
      <c r="K534">
        <v>410.56</v>
      </c>
    </row>
    <row r="535" spans="1:11">
      <c r="A535">
        <v>534</v>
      </c>
      <c r="B535" t="s">
        <v>29</v>
      </c>
      <c r="C535" s="1">
        <v>29586</v>
      </c>
      <c r="D535">
        <v>45</v>
      </c>
      <c r="E535" t="s">
        <v>15</v>
      </c>
      <c r="F535" t="s">
        <v>32</v>
      </c>
      <c r="G535" s="1">
        <v>45581</v>
      </c>
      <c r="H535" s="1">
        <v>45208</v>
      </c>
      <c r="I535">
        <v>12</v>
      </c>
      <c r="J535" t="s">
        <v>25</v>
      </c>
      <c r="K535">
        <v>18516.68</v>
      </c>
    </row>
    <row r="536" spans="1:11">
      <c r="A536">
        <v>535</v>
      </c>
      <c r="B536" t="s">
        <v>133</v>
      </c>
      <c r="D536">
        <v>1</v>
      </c>
      <c r="E536" t="s">
        <v>15</v>
      </c>
      <c r="F536" t="s">
        <v>32</v>
      </c>
      <c r="G536" s="1">
        <v>45226</v>
      </c>
      <c r="H536" s="1">
        <v>45184</v>
      </c>
      <c r="I536">
        <v>39</v>
      </c>
      <c r="K536">
        <v>19656.63</v>
      </c>
    </row>
    <row r="537" spans="1:11">
      <c r="A537">
        <v>536</v>
      </c>
      <c r="B537" t="s">
        <v>163</v>
      </c>
      <c r="C537" s="1">
        <v>33604</v>
      </c>
      <c r="D537">
        <v>34</v>
      </c>
      <c r="E537" t="s">
        <v>15</v>
      </c>
      <c r="F537" t="s">
        <v>45</v>
      </c>
      <c r="G537" s="1">
        <v>45602</v>
      </c>
      <c r="H537" s="1">
        <v>45021</v>
      </c>
      <c r="I537">
        <v>27</v>
      </c>
      <c r="J537" t="s">
        <v>25</v>
      </c>
      <c r="K537">
        <v>7019.02</v>
      </c>
    </row>
    <row r="538" spans="1:11">
      <c r="A538">
        <v>537</v>
      </c>
      <c r="B538" t="s">
        <v>131</v>
      </c>
      <c r="D538">
        <v>86</v>
      </c>
      <c r="E538" t="s">
        <v>12</v>
      </c>
      <c r="F538" t="s">
        <v>45</v>
      </c>
      <c r="G538" s="1">
        <v>45010</v>
      </c>
      <c r="H538" s="1">
        <v>45251</v>
      </c>
      <c r="I538">
        <v>1</v>
      </c>
      <c r="J538" t="s">
        <v>19</v>
      </c>
      <c r="K538">
        <v>2052.1799999999998</v>
      </c>
    </row>
    <row r="539" spans="1:11">
      <c r="A539">
        <v>538</v>
      </c>
      <c r="B539" t="s">
        <v>124</v>
      </c>
      <c r="C539" s="1">
        <v>16802</v>
      </c>
      <c r="D539">
        <v>80</v>
      </c>
      <c r="E539" t="s">
        <v>12</v>
      </c>
      <c r="F539" t="s">
        <v>32</v>
      </c>
      <c r="G539" s="1">
        <v>45303</v>
      </c>
      <c r="H539" s="1">
        <v>45718</v>
      </c>
      <c r="I539">
        <v>36</v>
      </c>
      <c r="J539" t="s">
        <v>23</v>
      </c>
      <c r="K539">
        <v>13137.39</v>
      </c>
    </row>
    <row r="540" spans="1:11">
      <c r="A540">
        <v>539</v>
      </c>
      <c r="B540" t="s">
        <v>17</v>
      </c>
      <c r="C540" s="1">
        <v>13515</v>
      </c>
      <c r="D540">
        <v>89</v>
      </c>
      <c r="F540" t="s">
        <v>32</v>
      </c>
      <c r="G540" s="1">
        <v>45239</v>
      </c>
      <c r="H540" s="1">
        <v>45666</v>
      </c>
      <c r="I540">
        <v>12</v>
      </c>
      <c r="K540">
        <v>499.67</v>
      </c>
    </row>
    <row r="541" spans="1:11">
      <c r="A541">
        <v>540</v>
      </c>
      <c r="B541" t="s">
        <v>160</v>
      </c>
      <c r="C541" s="1">
        <v>43466</v>
      </c>
      <c r="D541">
        <v>7</v>
      </c>
      <c r="E541" t="s">
        <v>12</v>
      </c>
      <c r="F541" t="s">
        <v>21</v>
      </c>
      <c r="G541" s="1">
        <v>45555</v>
      </c>
      <c r="H541" s="1">
        <v>45289</v>
      </c>
      <c r="I541">
        <v>20</v>
      </c>
      <c r="J541" t="s">
        <v>23</v>
      </c>
      <c r="K541">
        <v>9597.9699999999993</v>
      </c>
    </row>
    <row r="542" spans="1:11">
      <c r="A542">
        <v>541</v>
      </c>
      <c r="B542" t="s">
        <v>29</v>
      </c>
      <c r="C542" s="1">
        <v>12419</v>
      </c>
      <c r="D542">
        <v>92</v>
      </c>
      <c r="E542" t="s">
        <v>12</v>
      </c>
      <c r="F542" t="s">
        <v>21</v>
      </c>
      <c r="G542" s="1">
        <v>45246</v>
      </c>
      <c r="H542" s="1">
        <v>45589</v>
      </c>
      <c r="I542">
        <v>38</v>
      </c>
      <c r="J542" t="s">
        <v>19</v>
      </c>
      <c r="K542">
        <v>5362.76</v>
      </c>
    </row>
    <row r="543" spans="1:11">
      <c r="A543">
        <v>542</v>
      </c>
      <c r="B543" t="s">
        <v>69</v>
      </c>
      <c r="C543" s="1">
        <v>36891</v>
      </c>
      <c r="D543">
        <v>25</v>
      </c>
      <c r="E543" t="s">
        <v>12</v>
      </c>
      <c r="G543" s="1">
        <v>45130</v>
      </c>
      <c r="H543" s="1">
        <v>45278</v>
      </c>
      <c r="I543">
        <v>12</v>
      </c>
      <c r="J543" t="s">
        <v>25</v>
      </c>
      <c r="K543">
        <v>9414.11</v>
      </c>
    </row>
    <row r="544" spans="1:11">
      <c r="A544">
        <v>543</v>
      </c>
      <c r="B544" t="s">
        <v>34</v>
      </c>
      <c r="C544" s="1">
        <v>19359</v>
      </c>
      <c r="D544">
        <v>73</v>
      </c>
      <c r="E544" t="s">
        <v>15</v>
      </c>
      <c r="F544" t="s">
        <v>13</v>
      </c>
      <c r="G544" s="1">
        <v>45281</v>
      </c>
      <c r="H544" s="1">
        <v>44989</v>
      </c>
      <c r="I544">
        <v>23</v>
      </c>
      <c r="K544">
        <v>267.33999999999997</v>
      </c>
    </row>
    <row r="545" spans="1:11">
      <c r="A545">
        <v>544</v>
      </c>
      <c r="B545" t="s">
        <v>88</v>
      </c>
      <c r="C545" s="1">
        <v>13515</v>
      </c>
      <c r="D545">
        <v>89</v>
      </c>
      <c r="E545" t="s">
        <v>12</v>
      </c>
      <c r="F545" t="s">
        <v>32</v>
      </c>
      <c r="G545" s="1">
        <v>45220</v>
      </c>
      <c r="H545" s="1">
        <v>45568</v>
      </c>
      <c r="I545">
        <v>9</v>
      </c>
      <c r="J545" t="s">
        <v>25</v>
      </c>
      <c r="K545">
        <v>937.4</v>
      </c>
    </row>
    <row r="546" spans="1:11">
      <c r="A546">
        <v>545</v>
      </c>
      <c r="B546" t="s">
        <v>78</v>
      </c>
      <c r="C546" s="1">
        <v>33969</v>
      </c>
      <c r="D546">
        <v>33</v>
      </c>
      <c r="E546" t="s">
        <v>12</v>
      </c>
      <c r="F546" t="s">
        <v>18</v>
      </c>
      <c r="G546" s="1">
        <v>45430</v>
      </c>
      <c r="H546" s="1">
        <v>45114</v>
      </c>
      <c r="I546">
        <v>15</v>
      </c>
      <c r="J546" t="s">
        <v>25</v>
      </c>
      <c r="K546">
        <v>221.11</v>
      </c>
    </row>
    <row r="547" spans="1:11">
      <c r="A547">
        <v>546</v>
      </c>
      <c r="B547" t="s">
        <v>122</v>
      </c>
      <c r="C547" s="1">
        <v>43831</v>
      </c>
      <c r="D547">
        <v>6</v>
      </c>
      <c r="E547" t="s">
        <v>12</v>
      </c>
      <c r="F547" t="s">
        <v>16</v>
      </c>
      <c r="G547" s="1">
        <v>45071</v>
      </c>
      <c r="H547" s="1">
        <v>45507</v>
      </c>
      <c r="I547">
        <v>3</v>
      </c>
      <c r="J547" t="s">
        <v>19</v>
      </c>
      <c r="K547">
        <v>12344.55</v>
      </c>
    </row>
    <row r="548" spans="1:11">
      <c r="A548">
        <v>547</v>
      </c>
      <c r="B548" t="s">
        <v>144</v>
      </c>
      <c r="C548" s="1">
        <v>21551</v>
      </c>
      <c r="D548">
        <v>67</v>
      </c>
      <c r="E548" t="s">
        <v>15</v>
      </c>
      <c r="F548" t="s">
        <v>21</v>
      </c>
      <c r="G548" s="1">
        <v>45465</v>
      </c>
      <c r="H548" s="1">
        <v>45469</v>
      </c>
      <c r="I548">
        <v>15</v>
      </c>
      <c r="J548" t="s">
        <v>25</v>
      </c>
      <c r="K548">
        <v>11157.87</v>
      </c>
    </row>
    <row r="549" spans="1:11">
      <c r="A549">
        <v>548</v>
      </c>
      <c r="B549" t="s">
        <v>75</v>
      </c>
      <c r="C549" s="1">
        <v>25203</v>
      </c>
      <c r="D549">
        <v>57</v>
      </c>
      <c r="E549" t="s">
        <v>15</v>
      </c>
      <c r="F549" t="s">
        <v>45</v>
      </c>
      <c r="G549" s="1">
        <v>44943</v>
      </c>
      <c r="H549" s="1">
        <v>45824</v>
      </c>
      <c r="I549">
        <v>21</v>
      </c>
      <c r="J549" t="s">
        <v>19</v>
      </c>
      <c r="K549">
        <v>4586.4799999999996</v>
      </c>
    </row>
    <row r="550" spans="1:11">
      <c r="A550">
        <v>549</v>
      </c>
      <c r="B550" t="s">
        <v>121</v>
      </c>
      <c r="C550" s="1">
        <v>18994</v>
      </c>
      <c r="D550">
        <v>74</v>
      </c>
      <c r="E550" t="s">
        <v>15</v>
      </c>
      <c r="F550" t="s">
        <v>32</v>
      </c>
      <c r="G550" s="1">
        <v>45501</v>
      </c>
      <c r="H550" s="1">
        <v>45231</v>
      </c>
      <c r="I550">
        <v>35</v>
      </c>
      <c r="J550" t="s">
        <v>25</v>
      </c>
      <c r="K550">
        <v>12897.53</v>
      </c>
    </row>
    <row r="551" spans="1:11">
      <c r="A551">
        <v>550</v>
      </c>
      <c r="B551" t="s">
        <v>57</v>
      </c>
      <c r="C551" s="1">
        <v>35795</v>
      </c>
      <c r="D551">
        <v>28</v>
      </c>
      <c r="E551" t="s">
        <v>12</v>
      </c>
      <c r="F551" t="s">
        <v>18</v>
      </c>
      <c r="G551" s="1">
        <v>45502</v>
      </c>
      <c r="H551" s="1">
        <v>45714</v>
      </c>
      <c r="I551">
        <v>25</v>
      </c>
      <c r="J551" t="s">
        <v>25</v>
      </c>
      <c r="K551">
        <v>17672.57</v>
      </c>
    </row>
    <row r="552" spans="1:11">
      <c r="A552">
        <v>551</v>
      </c>
      <c r="B552" t="s">
        <v>91</v>
      </c>
      <c r="C552" s="1">
        <v>33239</v>
      </c>
      <c r="E552" t="s">
        <v>15</v>
      </c>
      <c r="F552" t="s">
        <v>16</v>
      </c>
      <c r="G552" s="1">
        <v>44965</v>
      </c>
      <c r="H552" s="1">
        <v>45566</v>
      </c>
      <c r="I552">
        <v>12</v>
      </c>
      <c r="K552">
        <v>5474.17</v>
      </c>
    </row>
    <row r="553" spans="1:11">
      <c r="A553">
        <v>552</v>
      </c>
      <c r="B553" t="s">
        <v>135</v>
      </c>
      <c r="C553" s="1">
        <v>13880</v>
      </c>
      <c r="D553">
        <v>88</v>
      </c>
      <c r="E553" t="s">
        <v>12</v>
      </c>
      <c r="F553" t="s">
        <v>18</v>
      </c>
      <c r="G553" s="1">
        <v>45056</v>
      </c>
      <c r="H553" s="1">
        <v>45363</v>
      </c>
      <c r="I553">
        <v>16</v>
      </c>
      <c r="J553" t="s">
        <v>19</v>
      </c>
      <c r="K553">
        <v>16623.080000000002</v>
      </c>
    </row>
    <row r="554" spans="1:11">
      <c r="A554">
        <v>553</v>
      </c>
      <c r="B554" t="s">
        <v>132</v>
      </c>
      <c r="C554" s="1">
        <v>38717</v>
      </c>
      <c r="D554">
        <v>20</v>
      </c>
      <c r="E554" t="s">
        <v>12</v>
      </c>
      <c r="G554" s="1">
        <v>45041</v>
      </c>
      <c r="H554" s="1">
        <v>45140</v>
      </c>
      <c r="I554">
        <v>2</v>
      </c>
      <c r="J554" t="s">
        <v>23</v>
      </c>
      <c r="K554">
        <v>13216.43</v>
      </c>
    </row>
    <row r="555" spans="1:11">
      <c r="A555">
        <v>554</v>
      </c>
      <c r="B555" t="s">
        <v>26</v>
      </c>
      <c r="C555" s="1">
        <v>33239</v>
      </c>
      <c r="D555">
        <v>35</v>
      </c>
      <c r="E555" t="s">
        <v>15</v>
      </c>
      <c r="F555" t="s">
        <v>18</v>
      </c>
      <c r="G555" s="1">
        <v>45376</v>
      </c>
      <c r="H555" s="1">
        <v>45333</v>
      </c>
      <c r="I555">
        <v>1</v>
      </c>
      <c r="J555" t="s">
        <v>23</v>
      </c>
      <c r="K555">
        <v>579.79</v>
      </c>
    </row>
    <row r="556" spans="1:11">
      <c r="A556">
        <v>555</v>
      </c>
      <c r="B556" t="s">
        <v>97</v>
      </c>
      <c r="C556" s="1">
        <v>42735</v>
      </c>
      <c r="D556">
        <v>9</v>
      </c>
      <c r="E556" t="s">
        <v>12</v>
      </c>
      <c r="F556" t="s">
        <v>45</v>
      </c>
      <c r="G556" s="1">
        <v>44971</v>
      </c>
      <c r="H556" s="1">
        <v>45745</v>
      </c>
      <c r="I556">
        <v>14</v>
      </c>
      <c r="J556" t="s">
        <v>23</v>
      </c>
      <c r="K556">
        <v>7440.51</v>
      </c>
    </row>
    <row r="557" spans="1:11">
      <c r="A557">
        <v>556</v>
      </c>
      <c r="B557" t="s">
        <v>131</v>
      </c>
      <c r="C557" s="1">
        <v>19724</v>
      </c>
      <c r="D557">
        <v>72</v>
      </c>
      <c r="E557" t="s">
        <v>12</v>
      </c>
      <c r="F557" t="s">
        <v>21</v>
      </c>
      <c r="G557" s="1">
        <v>45142</v>
      </c>
      <c r="H557" s="1">
        <v>45061</v>
      </c>
      <c r="I557">
        <v>7</v>
      </c>
      <c r="K557">
        <v>10105.92</v>
      </c>
    </row>
    <row r="558" spans="1:11">
      <c r="A558">
        <v>557</v>
      </c>
      <c r="B558" t="s">
        <v>132</v>
      </c>
      <c r="C558" s="1">
        <v>37622</v>
      </c>
      <c r="D558">
        <v>23</v>
      </c>
      <c r="E558" t="s">
        <v>15</v>
      </c>
      <c r="F558" t="s">
        <v>18</v>
      </c>
      <c r="G558" s="1">
        <v>45526</v>
      </c>
      <c r="H558" s="1">
        <v>45146</v>
      </c>
      <c r="I558">
        <v>9</v>
      </c>
      <c r="K558">
        <v>14607.15</v>
      </c>
    </row>
    <row r="559" spans="1:11">
      <c r="A559">
        <v>558</v>
      </c>
      <c r="B559" t="s">
        <v>137</v>
      </c>
      <c r="D559">
        <v>63</v>
      </c>
      <c r="E559" t="s">
        <v>12</v>
      </c>
      <c r="F559" t="s">
        <v>16</v>
      </c>
      <c r="G559" s="1">
        <v>45341</v>
      </c>
      <c r="H559" s="1">
        <v>45348</v>
      </c>
      <c r="I559">
        <v>2</v>
      </c>
      <c r="J559" t="s">
        <v>25</v>
      </c>
      <c r="K559">
        <v>5671.32</v>
      </c>
    </row>
    <row r="560" spans="1:11">
      <c r="A560">
        <v>559</v>
      </c>
      <c r="B560" t="s">
        <v>68</v>
      </c>
      <c r="C560" s="1">
        <v>28490</v>
      </c>
      <c r="D560">
        <v>48</v>
      </c>
      <c r="E560" t="s">
        <v>15</v>
      </c>
      <c r="F560" t="s">
        <v>21</v>
      </c>
      <c r="G560" s="1">
        <v>45615</v>
      </c>
      <c r="H560" s="1">
        <v>45246</v>
      </c>
      <c r="I560">
        <v>4</v>
      </c>
      <c r="J560" t="s">
        <v>25</v>
      </c>
      <c r="K560">
        <v>19652.88</v>
      </c>
    </row>
    <row r="561" spans="1:11">
      <c r="A561">
        <v>560</v>
      </c>
      <c r="B561" t="s">
        <v>106</v>
      </c>
      <c r="C561" s="1">
        <v>33239</v>
      </c>
      <c r="D561">
        <v>35</v>
      </c>
      <c r="E561" t="s">
        <v>15</v>
      </c>
      <c r="G561" s="1">
        <v>45191</v>
      </c>
      <c r="H561" s="1">
        <v>45084</v>
      </c>
      <c r="I561">
        <v>20</v>
      </c>
      <c r="J561" t="s">
        <v>23</v>
      </c>
      <c r="K561">
        <v>13659.25</v>
      </c>
    </row>
    <row r="562" spans="1:11">
      <c r="A562">
        <v>561</v>
      </c>
      <c r="B562" t="s">
        <v>167</v>
      </c>
      <c r="C562" s="1">
        <v>16437</v>
      </c>
      <c r="D562">
        <v>81</v>
      </c>
      <c r="E562" t="s">
        <v>12</v>
      </c>
      <c r="G562" s="1">
        <v>45366</v>
      </c>
      <c r="H562" s="1">
        <v>45115</v>
      </c>
      <c r="I562">
        <v>-1</v>
      </c>
      <c r="J562" t="s">
        <v>25</v>
      </c>
      <c r="K562">
        <v>7393.55</v>
      </c>
    </row>
    <row r="563" spans="1:11">
      <c r="A563">
        <v>562</v>
      </c>
      <c r="B563" t="s">
        <v>56</v>
      </c>
      <c r="C563" s="1">
        <v>37622</v>
      </c>
      <c r="D563">
        <v>23</v>
      </c>
      <c r="E563" t="s">
        <v>12</v>
      </c>
      <c r="F563" t="s">
        <v>13</v>
      </c>
      <c r="G563" s="1">
        <v>45543</v>
      </c>
      <c r="H563" s="1">
        <v>45403</v>
      </c>
      <c r="I563">
        <v>27</v>
      </c>
      <c r="J563" t="s">
        <v>25</v>
      </c>
      <c r="K563">
        <v>1850.2</v>
      </c>
    </row>
    <row r="564" spans="1:11">
      <c r="A564">
        <v>563</v>
      </c>
      <c r="B564" t="s">
        <v>127</v>
      </c>
      <c r="C564" s="1">
        <v>37987</v>
      </c>
      <c r="D564">
        <v>22</v>
      </c>
      <c r="F564" t="s">
        <v>45</v>
      </c>
      <c r="G564" s="1">
        <v>45307</v>
      </c>
      <c r="H564" s="1">
        <v>45089</v>
      </c>
      <c r="I564">
        <v>34</v>
      </c>
      <c r="K564">
        <v>3545.49</v>
      </c>
    </row>
    <row r="565" spans="1:11">
      <c r="A565">
        <v>564</v>
      </c>
      <c r="B565" t="s">
        <v>141</v>
      </c>
      <c r="C565" s="1">
        <v>23742</v>
      </c>
      <c r="D565">
        <v>61</v>
      </c>
      <c r="E565" t="s">
        <v>12</v>
      </c>
      <c r="F565" t="s">
        <v>21</v>
      </c>
      <c r="G565" s="1">
        <v>45227</v>
      </c>
      <c r="H565" s="1">
        <v>45056</v>
      </c>
      <c r="I565">
        <v>2</v>
      </c>
      <c r="J565" t="s">
        <v>23</v>
      </c>
      <c r="K565">
        <v>9700.92</v>
      </c>
    </row>
    <row r="566" spans="1:11">
      <c r="A566">
        <v>565</v>
      </c>
      <c r="B566" t="s">
        <v>156</v>
      </c>
      <c r="C566" s="1">
        <v>32873</v>
      </c>
      <c r="D566">
        <v>36</v>
      </c>
      <c r="E566" t="s">
        <v>12</v>
      </c>
      <c r="G566" s="1">
        <v>45097</v>
      </c>
      <c r="H566" s="1">
        <v>45231</v>
      </c>
      <c r="I566">
        <v>17</v>
      </c>
      <c r="J566" t="s">
        <v>19</v>
      </c>
      <c r="K566">
        <v>9843.3799999999992</v>
      </c>
    </row>
    <row r="567" spans="1:11">
      <c r="A567">
        <v>566</v>
      </c>
      <c r="B567" t="s">
        <v>79</v>
      </c>
      <c r="C567" s="1">
        <v>42005</v>
      </c>
      <c r="D567">
        <v>11</v>
      </c>
      <c r="E567" t="s">
        <v>12</v>
      </c>
      <c r="G567" s="1">
        <v>45546</v>
      </c>
      <c r="H567" s="1">
        <v>45016</v>
      </c>
      <c r="I567">
        <v>23</v>
      </c>
      <c r="J567" t="s">
        <v>23</v>
      </c>
      <c r="K567">
        <v>15331.15</v>
      </c>
    </row>
    <row r="568" spans="1:11">
      <c r="A568">
        <v>567</v>
      </c>
      <c r="B568" t="s">
        <v>132</v>
      </c>
      <c r="C568" s="1">
        <v>26299</v>
      </c>
      <c r="D568">
        <v>54</v>
      </c>
      <c r="E568" t="s">
        <v>12</v>
      </c>
      <c r="F568" t="s">
        <v>21</v>
      </c>
      <c r="G568" s="1">
        <v>45332</v>
      </c>
      <c r="H568" s="1">
        <v>45822</v>
      </c>
      <c r="I568">
        <v>36</v>
      </c>
      <c r="K568">
        <v>14496.15</v>
      </c>
    </row>
    <row r="569" spans="1:11">
      <c r="A569">
        <v>568</v>
      </c>
      <c r="B569" t="s">
        <v>14</v>
      </c>
      <c r="C569" s="1">
        <v>41639</v>
      </c>
      <c r="D569">
        <v>12</v>
      </c>
      <c r="E569" t="s">
        <v>12</v>
      </c>
      <c r="F569" t="s">
        <v>18</v>
      </c>
      <c r="G569" s="1">
        <v>45281</v>
      </c>
      <c r="H569" s="1">
        <v>45089</v>
      </c>
      <c r="I569">
        <v>3</v>
      </c>
      <c r="J569" t="s">
        <v>23</v>
      </c>
      <c r="K569">
        <v>3945.59</v>
      </c>
    </row>
    <row r="570" spans="1:11">
      <c r="A570">
        <v>569</v>
      </c>
      <c r="B570" t="s">
        <v>28</v>
      </c>
      <c r="C570" s="1">
        <v>37987</v>
      </c>
      <c r="D570">
        <v>22</v>
      </c>
      <c r="E570" t="s">
        <v>15</v>
      </c>
      <c r="F570" t="s">
        <v>16</v>
      </c>
      <c r="G570" s="1">
        <v>45087</v>
      </c>
      <c r="H570" s="1">
        <v>44963</v>
      </c>
      <c r="I570">
        <v>26</v>
      </c>
      <c r="J570" t="s">
        <v>19</v>
      </c>
      <c r="K570">
        <v>11858.63</v>
      </c>
    </row>
    <row r="571" spans="1:11">
      <c r="A571">
        <v>570</v>
      </c>
      <c r="B571" t="s">
        <v>68</v>
      </c>
      <c r="C571" s="1">
        <v>13880</v>
      </c>
      <c r="E571" t="s">
        <v>12</v>
      </c>
      <c r="F571" t="s">
        <v>18</v>
      </c>
      <c r="G571" s="1">
        <v>45478</v>
      </c>
      <c r="H571" s="1">
        <v>45154</v>
      </c>
      <c r="I571">
        <v>7</v>
      </c>
      <c r="J571" t="s">
        <v>25</v>
      </c>
      <c r="K571">
        <v>314.5</v>
      </c>
    </row>
    <row r="572" spans="1:11">
      <c r="A572">
        <v>571</v>
      </c>
      <c r="B572" t="s">
        <v>90</v>
      </c>
      <c r="C572" s="1">
        <v>35430</v>
      </c>
      <c r="D572">
        <v>29</v>
      </c>
      <c r="E572" t="s">
        <v>15</v>
      </c>
      <c r="F572" t="s">
        <v>16</v>
      </c>
      <c r="G572" s="1">
        <v>44952</v>
      </c>
      <c r="H572" s="1">
        <v>45078</v>
      </c>
      <c r="I572">
        <v>13</v>
      </c>
      <c r="J572" t="s">
        <v>23</v>
      </c>
      <c r="K572">
        <v>7910.8</v>
      </c>
    </row>
    <row r="573" spans="1:11">
      <c r="A573">
        <v>572</v>
      </c>
      <c r="B573" t="s">
        <v>26</v>
      </c>
      <c r="C573" s="1">
        <v>40178</v>
      </c>
      <c r="E573" t="s">
        <v>12</v>
      </c>
      <c r="G573" s="1">
        <v>45009</v>
      </c>
      <c r="H573" s="1">
        <v>45520</v>
      </c>
      <c r="I573">
        <v>31</v>
      </c>
      <c r="K573">
        <v>15258.52</v>
      </c>
    </row>
    <row r="574" spans="1:11">
      <c r="A574">
        <v>573</v>
      </c>
      <c r="B574" t="s">
        <v>158</v>
      </c>
      <c r="C574" s="1">
        <v>23742</v>
      </c>
      <c r="D574">
        <v>61</v>
      </c>
      <c r="E574" t="s">
        <v>15</v>
      </c>
      <c r="G574" s="1">
        <v>45099</v>
      </c>
      <c r="H574" s="1">
        <v>44974</v>
      </c>
      <c r="I574">
        <v>28</v>
      </c>
      <c r="K574">
        <v>7930.12</v>
      </c>
    </row>
    <row r="575" spans="1:11">
      <c r="A575">
        <v>574</v>
      </c>
      <c r="B575" t="s">
        <v>130</v>
      </c>
      <c r="C575" s="1">
        <v>15707</v>
      </c>
      <c r="D575">
        <v>83</v>
      </c>
      <c r="E575" t="s">
        <v>12</v>
      </c>
      <c r="F575" t="s">
        <v>45</v>
      </c>
      <c r="G575" s="1">
        <v>45611</v>
      </c>
      <c r="H575" s="1">
        <v>45643</v>
      </c>
      <c r="I575">
        <v>33</v>
      </c>
      <c r="J575" t="s">
        <v>23</v>
      </c>
      <c r="K575">
        <v>16695.48</v>
      </c>
    </row>
    <row r="576" spans="1:11">
      <c r="A576">
        <v>575</v>
      </c>
      <c r="B576" t="s">
        <v>33</v>
      </c>
      <c r="C576" s="1">
        <v>13880</v>
      </c>
      <c r="D576">
        <v>88</v>
      </c>
      <c r="E576" t="s">
        <v>15</v>
      </c>
      <c r="F576" t="s">
        <v>21</v>
      </c>
      <c r="G576" s="1">
        <v>44996</v>
      </c>
      <c r="H576" s="1">
        <v>45587</v>
      </c>
      <c r="I576">
        <v>38</v>
      </c>
      <c r="J576" t="s">
        <v>25</v>
      </c>
      <c r="K576">
        <v>19520.72</v>
      </c>
    </row>
    <row r="577" spans="1:11">
      <c r="A577">
        <v>576</v>
      </c>
      <c r="B577" t="s">
        <v>144</v>
      </c>
      <c r="C577" s="1">
        <v>14976</v>
      </c>
      <c r="D577">
        <v>85</v>
      </c>
      <c r="E577" t="s">
        <v>15</v>
      </c>
      <c r="F577" t="s">
        <v>32</v>
      </c>
      <c r="G577" s="1">
        <v>44932</v>
      </c>
      <c r="H577" s="1">
        <v>45158</v>
      </c>
      <c r="I577">
        <v>2</v>
      </c>
      <c r="J577" t="s">
        <v>25</v>
      </c>
      <c r="K577">
        <v>12104.97</v>
      </c>
    </row>
    <row r="578" spans="1:11">
      <c r="A578">
        <v>577</v>
      </c>
      <c r="B578" t="s">
        <v>95</v>
      </c>
      <c r="C578" s="1">
        <v>41639</v>
      </c>
      <c r="D578">
        <v>12</v>
      </c>
      <c r="E578" t="s">
        <v>12</v>
      </c>
      <c r="G578" s="1">
        <v>45121</v>
      </c>
      <c r="H578" s="1">
        <v>45466</v>
      </c>
      <c r="I578">
        <v>30</v>
      </c>
      <c r="K578">
        <v>2814.58</v>
      </c>
    </row>
    <row r="579" spans="1:11">
      <c r="A579">
        <v>578</v>
      </c>
      <c r="B579" t="s">
        <v>63</v>
      </c>
      <c r="C579" s="1">
        <v>24838</v>
      </c>
      <c r="D579">
        <v>58</v>
      </c>
      <c r="E579" t="s">
        <v>15</v>
      </c>
      <c r="F579" t="s">
        <v>16</v>
      </c>
      <c r="G579" s="1">
        <v>45451</v>
      </c>
      <c r="H579" s="1">
        <v>45628</v>
      </c>
      <c r="I579">
        <v>16</v>
      </c>
      <c r="K579">
        <v>7531.51</v>
      </c>
    </row>
    <row r="580" spans="1:11">
      <c r="A580">
        <v>579</v>
      </c>
      <c r="B580" t="s">
        <v>26</v>
      </c>
      <c r="C580" s="1">
        <v>39448</v>
      </c>
      <c r="D580">
        <v>18</v>
      </c>
      <c r="E580" t="s">
        <v>12</v>
      </c>
      <c r="F580" t="s">
        <v>16</v>
      </c>
      <c r="G580" s="1">
        <v>44989</v>
      </c>
      <c r="H580" s="1">
        <v>45092</v>
      </c>
      <c r="I580">
        <v>29</v>
      </c>
      <c r="J580" t="s">
        <v>19</v>
      </c>
      <c r="K580">
        <v>90.62</v>
      </c>
    </row>
    <row r="581" spans="1:11">
      <c r="A581">
        <v>580</v>
      </c>
      <c r="B581" t="s">
        <v>34</v>
      </c>
      <c r="C581" s="1">
        <v>28490</v>
      </c>
      <c r="D581">
        <v>48</v>
      </c>
      <c r="E581" t="s">
        <v>15</v>
      </c>
      <c r="F581" t="s">
        <v>18</v>
      </c>
      <c r="G581" s="1">
        <v>44939</v>
      </c>
      <c r="H581" s="1">
        <v>45651</v>
      </c>
      <c r="I581">
        <v>20</v>
      </c>
      <c r="J581" t="s">
        <v>25</v>
      </c>
      <c r="K581">
        <v>12014.79</v>
      </c>
    </row>
    <row r="582" spans="1:11">
      <c r="A582">
        <v>581</v>
      </c>
      <c r="B582" t="s">
        <v>126</v>
      </c>
      <c r="C582" s="1">
        <v>42005</v>
      </c>
      <c r="D582">
        <v>11</v>
      </c>
      <c r="E582" t="s">
        <v>15</v>
      </c>
      <c r="F582" t="s">
        <v>18</v>
      </c>
      <c r="G582" s="1">
        <v>45131</v>
      </c>
      <c r="H582" s="1">
        <v>45747</v>
      </c>
      <c r="I582">
        <v>0</v>
      </c>
      <c r="J582" t="s">
        <v>23</v>
      </c>
      <c r="K582">
        <v>16413.53</v>
      </c>
    </row>
    <row r="583" spans="1:11">
      <c r="A583">
        <v>582</v>
      </c>
      <c r="B583" t="s">
        <v>53</v>
      </c>
      <c r="C583" s="1">
        <v>24107</v>
      </c>
      <c r="D583">
        <v>60</v>
      </c>
      <c r="E583" t="s">
        <v>15</v>
      </c>
      <c r="G583" s="1">
        <v>44966</v>
      </c>
      <c r="H583" s="1">
        <v>45514</v>
      </c>
      <c r="I583">
        <v>-2</v>
      </c>
      <c r="K583">
        <v>12561.8</v>
      </c>
    </row>
    <row r="584" spans="1:11">
      <c r="A584">
        <v>583</v>
      </c>
      <c r="B584" t="s">
        <v>61</v>
      </c>
      <c r="C584" s="1">
        <v>39448</v>
      </c>
      <c r="D584">
        <v>18</v>
      </c>
      <c r="E584" t="s">
        <v>12</v>
      </c>
      <c r="G584" s="1">
        <v>45091</v>
      </c>
      <c r="H584" s="1">
        <v>45531</v>
      </c>
      <c r="I584">
        <v>33</v>
      </c>
      <c r="K584">
        <v>15700.33</v>
      </c>
    </row>
    <row r="585" spans="1:11">
      <c r="A585">
        <v>584</v>
      </c>
      <c r="B585" t="s">
        <v>82</v>
      </c>
      <c r="C585" s="1">
        <v>18629</v>
      </c>
      <c r="E585" t="s">
        <v>15</v>
      </c>
      <c r="F585" t="s">
        <v>13</v>
      </c>
      <c r="G585" s="1">
        <v>44957</v>
      </c>
      <c r="H585" s="1">
        <v>45501</v>
      </c>
      <c r="I585">
        <v>38</v>
      </c>
      <c r="K585">
        <v>15978.07</v>
      </c>
    </row>
    <row r="586" spans="1:11">
      <c r="A586">
        <v>585</v>
      </c>
      <c r="B586" t="s">
        <v>169</v>
      </c>
      <c r="C586" s="1">
        <v>43100</v>
      </c>
      <c r="D586">
        <v>8</v>
      </c>
      <c r="E586" t="s">
        <v>12</v>
      </c>
      <c r="F586" t="s">
        <v>16</v>
      </c>
      <c r="G586" s="1">
        <v>45455</v>
      </c>
      <c r="H586" s="1">
        <v>44993</v>
      </c>
      <c r="I586">
        <v>25</v>
      </c>
      <c r="K586">
        <v>17005.349999999999</v>
      </c>
    </row>
    <row r="587" spans="1:11">
      <c r="A587">
        <v>586</v>
      </c>
      <c r="B587" t="s">
        <v>159</v>
      </c>
      <c r="C587" s="1">
        <v>20455</v>
      </c>
      <c r="D587">
        <v>70</v>
      </c>
      <c r="E587" t="s">
        <v>15</v>
      </c>
      <c r="F587" t="s">
        <v>45</v>
      </c>
      <c r="G587" s="1">
        <v>45575</v>
      </c>
      <c r="H587" s="1">
        <v>45007</v>
      </c>
      <c r="I587">
        <v>36</v>
      </c>
      <c r="J587" t="s">
        <v>25</v>
      </c>
      <c r="K587">
        <v>5259.94</v>
      </c>
    </row>
    <row r="588" spans="1:11">
      <c r="A588">
        <v>587</v>
      </c>
      <c r="B588" t="s">
        <v>46</v>
      </c>
      <c r="C588" s="1">
        <v>36161</v>
      </c>
      <c r="D588">
        <v>27</v>
      </c>
      <c r="E588" t="s">
        <v>15</v>
      </c>
      <c r="F588" t="s">
        <v>21</v>
      </c>
      <c r="G588" s="1">
        <v>45603</v>
      </c>
      <c r="H588" s="1">
        <v>45067</v>
      </c>
      <c r="I588">
        <v>2</v>
      </c>
      <c r="K588">
        <v>17412.5</v>
      </c>
    </row>
    <row r="589" spans="1:11">
      <c r="A589">
        <v>588</v>
      </c>
      <c r="B589" t="s">
        <v>165</v>
      </c>
      <c r="C589" s="1">
        <v>17898</v>
      </c>
      <c r="D589">
        <v>77</v>
      </c>
      <c r="E589" t="s">
        <v>15</v>
      </c>
      <c r="F589" t="s">
        <v>21</v>
      </c>
      <c r="G589" s="1">
        <v>45324</v>
      </c>
      <c r="H589" s="1">
        <v>45327</v>
      </c>
      <c r="I589">
        <v>10</v>
      </c>
      <c r="J589" t="s">
        <v>25</v>
      </c>
      <c r="K589">
        <v>13047.29</v>
      </c>
    </row>
    <row r="590" spans="1:11">
      <c r="A590">
        <v>589</v>
      </c>
      <c r="B590" t="s">
        <v>156</v>
      </c>
      <c r="C590" s="1">
        <v>11689</v>
      </c>
      <c r="D590">
        <v>94</v>
      </c>
      <c r="E590" t="s">
        <v>15</v>
      </c>
      <c r="F590" t="s">
        <v>21</v>
      </c>
      <c r="G590" s="1">
        <v>45385</v>
      </c>
      <c r="H590" s="1">
        <v>45057</v>
      </c>
      <c r="I590">
        <v>8</v>
      </c>
      <c r="J590" t="s">
        <v>19</v>
      </c>
      <c r="K590">
        <v>5723.48</v>
      </c>
    </row>
    <row r="591" spans="1:11">
      <c r="A591">
        <v>590</v>
      </c>
      <c r="B591" t="s">
        <v>125</v>
      </c>
      <c r="C591" s="1">
        <v>27395</v>
      </c>
      <c r="D591">
        <v>51</v>
      </c>
      <c r="E591" t="s">
        <v>12</v>
      </c>
      <c r="F591" t="s">
        <v>16</v>
      </c>
      <c r="G591" s="1">
        <v>45149</v>
      </c>
      <c r="H591" s="1">
        <v>45693</v>
      </c>
      <c r="I591">
        <v>19</v>
      </c>
      <c r="J591" t="s">
        <v>19</v>
      </c>
      <c r="K591">
        <v>19744.62</v>
      </c>
    </row>
    <row r="592" spans="1:11">
      <c r="A592">
        <v>591</v>
      </c>
      <c r="B592" t="s">
        <v>167</v>
      </c>
      <c r="C592" s="1">
        <v>16072</v>
      </c>
      <c r="D592">
        <v>82</v>
      </c>
      <c r="E592" t="s">
        <v>12</v>
      </c>
      <c r="F592" t="s">
        <v>18</v>
      </c>
      <c r="G592" s="1">
        <v>45560</v>
      </c>
      <c r="H592" s="1">
        <v>45373</v>
      </c>
      <c r="I592">
        <v>20</v>
      </c>
      <c r="J592" t="s">
        <v>23</v>
      </c>
      <c r="K592">
        <v>18998.669999999998</v>
      </c>
    </row>
    <row r="593" spans="1:11">
      <c r="A593">
        <v>592</v>
      </c>
      <c r="B593" t="s">
        <v>159</v>
      </c>
      <c r="C593" s="1">
        <v>40544</v>
      </c>
      <c r="D593">
        <v>15</v>
      </c>
      <c r="E593" t="s">
        <v>12</v>
      </c>
      <c r="F593" t="s">
        <v>45</v>
      </c>
      <c r="G593" s="1">
        <v>45004</v>
      </c>
      <c r="H593" s="1">
        <v>45759</v>
      </c>
      <c r="I593">
        <v>9</v>
      </c>
      <c r="K593">
        <v>11446.26</v>
      </c>
    </row>
    <row r="594" spans="1:11">
      <c r="A594">
        <v>593</v>
      </c>
      <c r="B594" t="s">
        <v>112</v>
      </c>
      <c r="C594" s="1">
        <v>21185</v>
      </c>
      <c r="D594">
        <v>68</v>
      </c>
      <c r="E594" t="s">
        <v>15</v>
      </c>
      <c r="F594" t="s">
        <v>21</v>
      </c>
      <c r="G594" s="1">
        <v>45526</v>
      </c>
      <c r="H594" s="1">
        <v>44956</v>
      </c>
      <c r="I594">
        <v>18</v>
      </c>
      <c r="J594" t="s">
        <v>23</v>
      </c>
      <c r="K594">
        <v>16848.490000000002</v>
      </c>
    </row>
    <row r="595" spans="1:11">
      <c r="A595">
        <v>594</v>
      </c>
      <c r="B595" t="s">
        <v>53</v>
      </c>
      <c r="C595" s="1">
        <v>42005</v>
      </c>
      <c r="D595">
        <v>11</v>
      </c>
      <c r="E595" t="s">
        <v>15</v>
      </c>
      <c r="F595" t="s">
        <v>16</v>
      </c>
      <c r="G595" s="1">
        <v>45551</v>
      </c>
      <c r="H595" s="1">
        <v>45129</v>
      </c>
      <c r="I595">
        <v>16</v>
      </c>
      <c r="J595" t="s">
        <v>25</v>
      </c>
      <c r="K595">
        <v>5156.04</v>
      </c>
    </row>
    <row r="596" spans="1:11">
      <c r="A596">
        <v>595</v>
      </c>
      <c r="B596" t="s">
        <v>121</v>
      </c>
      <c r="C596" s="1">
        <v>37256</v>
      </c>
      <c r="D596">
        <v>24</v>
      </c>
      <c r="E596" t="s">
        <v>15</v>
      </c>
      <c r="F596" t="s">
        <v>32</v>
      </c>
      <c r="G596" s="1">
        <v>45538</v>
      </c>
      <c r="H596" s="1">
        <v>45164</v>
      </c>
      <c r="I596">
        <v>2</v>
      </c>
      <c r="J596" t="s">
        <v>23</v>
      </c>
      <c r="K596">
        <v>8262.34</v>
      </c>
    </row>
    <row r="597" spans="1:11">
      <c r="A597">
        <v>596</v>
      </c>
      <c r="B597" t="s">
        <v>30</v>
      </c>
      <c r="C597" s="1">
        <v>27395</v>
      </c>
      <c r="D597">
        <v>51</v>
      </c>
      <c r="E597" t="s">
        <v>12</v>
      </c>
      <c r="G597" s="1">
        <v>45354</v>
      </c>
      <c r="H597" s="1">
        <v>45526</v>
      </c>
      <c r="I597">
        <v>21</v>
      </c>
      <c r="J597" t="s">
        <v>23</v>
      </c>
      <c r="K597">
        <v>3597.83</v>
      </c>
    </row>
    <row r="598" spans="1:11">
      <c r="A598">
        <v>597</v>
      </c>
      <c r="B598" t="s">
        <v>78</v>
      </c>
      <c r="C598" s="1">
        <v>15341</v>
      </c>
      <c r="E598" t="s">
        <v>15</v>
      </c>
      <c r="F598" t="s">
        <v>13</v>
      </c>
      <c r="G598" s="1">
        <v>45351</v>
      </c>
      <c r="H598" s="1">
        <v>45535</v>
      </c>
      <c r="I598">
        <v>27</v>
      </c>
      <c r="K598">
        <v>10354.06</v>
      </c>
    </row>
    <row r="599" spans="1:11">
      <c r="A599">
        <v>598</v>
      </c>
      <c r="B599" t="s">
        <v>58</v>
      </c>
      <c r="C599" s="1">
        <v>27029</v>
      </c>
      <c r="D599">
        <v>52</v>
      </c>
      <c r="E599" t="s">
        <v>12</v>
      </c>
      <c r="F599" t="s">
        <v>13</v>
      </c>
      <c r="G599" s="1">
        <v>45313</v>
      </c>
      <c r="H599" s="1">
        <v>45726</v>
      </c>
      <c r="I599">
        <v>5</v>
      </c>
      <c r="J599" t="s">
        <v>25</v>
      </c>
      <c r="K599">
        <v>9869.6299999999992</v>
      </c>
    </row>
    <row r="600" spans="1:11">
      <c r="A600">
        <v>599</v>
      </c>
      <c r="B600" t="s">
        <v>123</v>
      </c>
      <c r="C600" s="1">
        <v>37987</v>
      </c>
      <c r="D600">
        <v>22</v>
      </c>
      <c r="E600" t="s">
        <v>15</v>
      </c>
      <c r="F600" t="s">
        <v>21</v>
      </c>
      <c r="G600" s="1">
        <v>45165</v>
      </c>
      <c r="H600" s="1">
        <v>45266</v>
      </c>
      <c r="I600">
        <v>-1</v>
      </c>
      <c r="J600" t="s">
        <v>25</v>
      </c>
      <c r="K600">
        <v>4177.55</v>
      </c>
    </row>
    <row r="601" spans="1:11">
      <c r="A601">
        <v>600</v>
      </c>
      <c r="B601" t="s">
        <v>170</v>
      </c>
      <c r="C601" s="1">
        <v>40544</v>
      </c>
      <c r="D601">
        <v>15</v>
      </c>
      <c r="E601" t="s">
        <v>15</v>
      </c>
      <c r="F601" t="s">
        <v>18</v>
      </c>
      <c r="G601" s="1">
        <v>45549</v>
      </c>
      <c r="H601" s="1">
        <v>45326</v>
      </c>
      <c r="I601">
        <v>31</v>
      </c>
      <c r="K601">
        <v>13423.31</v>
      </c>
    </row>
    <row r="602" spans="1:11">
      <c r="A602">
        <v>601</v>
      </c>
      <c r="B602" t="s">
        <v>14</v>
      </c>
      <c r="C602" s="1">
        <v>25568</v>
      </c>
      <c r="D602">
        <v>56</v>
      </c>
      <c r="E602" t="s">
        <v>15</v>
      </c>
      <c r="F602" t="s">
        <v>13</v>
      </c>
      <c r="G602" s="1">
        <v>45016</v>
      </c>
      <c r="H602" s="1">
        <v>45366</v>
      </c>
      <c r="I602">
        <v>20</v>
      </c>
      <c r="J602" t="s">
        <v>25</v>
      </c>
      <c r="K602">
        <v>2267.58</v>
      </c>
    </row>
    <row r="603" spans="1:11">
      <c r="A603">
        <v>602</v>
      </c>
      <c r="B603" t="s">
        <v>102</v>
      </c>
      <c r="C603" s="1">
        <v>32143</v>
      </c>
      <c r="D603">
        <v>38</v>
      </c>
      <c r="E603" t="s">
        <v>15</v>
      </c>
      <c r="F603" t="s">
        <v>13</v>
      </c>
      <c r="G603" s="1">
        <v>45311</v>
      </c>
      <c r="H603" s="1">
        <v>45216</v>
      </c>
      <c r="I603">
        <v>0</v>
      </c>
      <c r="J603" t="s">
        <v>19</v>
      </c>
      <c r="K603">
        <v>1140</v>
      </c>
    </row>
    <row r="604" spans="1:11">
      <c r="A604">
        <v>603</v>
      </c>
      <c r="B604" t="s">
        <v>126</v>
      </c>
      <c r="C604" s="1">
        <v>27029</v>
      </c>
      <c r="D604">
        <v>52</v>
      </c>
      <c r="E604" t="s">
        <v>12</v>
      </c>
      <c r="F604" t="s">
        <v>13</v>
      </c>
      <c r="G604" s="1">
        <v>45065</v>
      </c>
      <c r="H604" s="1">
        <v>45179</v>
      </c>
      <c r="I604">
        <v>21</v>
      </c>
      <c r="K604">
        <v>7636.59</v>
      </c>
    </row>
    <row r="605" spans="1:11">
      <c r="A605">
        <v>604</v>
      </c>
      <c r="B605" t="s">
        <v>168</v>
      </c>
      <c r="C605" s="1">
        <v>31047</v>
      </c>
      <c r="D605">
        <v>41</v>
      </c>
      <c r="E605" t="s">
        <v>15</v>
      </c>
      <c r="F605" t="s">
        <v>13</v>
      </c>
      <c r="G605" s="1">
        <v>45573</v>
      </c>
      <c r="H605" s="1">
        <v>45619</v>
      </c>
      <c r="I605">
        <v>15</v>
      </c>
      <c r="K605">
        <v>8137.48</v>
      </c>
    </row>
    <row r="606" spans="1:11">
      <c r="A606">
        <v>605</v>
      </c>
      <c r="B606" t="s">
        <v>67</v>
      </c>
      <c r="C606" s="1">
        <v>25203</v>
      </c>
      <c r="D606">
        <v>57</v>
      </c>
      <c r="E606" t="s">
        <v>12</v>
      </c>
      <c r="F606" t="s">
        <v>21</v>
      </c>
      <c r="G606" s="1">
        <v>45450</v>
      </c>
      <c r="H606" s="1">
        <v>45027</v>
      </c>
      <c r="I606">
        <v>34</v>
      </c>
      <c r="K606">
        <v>6326.79</v>
      </c>
    </row>
    <row r="607" spans="1:11">
      <c r="A607">
        <v>606</v>
      </c>
      <c r="B607" t="s">
        <v>85</v>
      </c>
      <c r="C607" s="1">
        <v>32143</v>
      </c>
      <c r="D607">
        <v>38</v>
      </c>
      <c r="E607" t="s">
        <v>15</v>
      </c>
      <c r="F607" t="s">
        <v>16</v>
      </c>
      <c r="G607" s="1">
        <v>45170</v>
      </c>
      <c r="H607" s="1">
        <v>45512</v>
      </c>
      <c r="I607">
        <v>28</v>
      </c>
      <c r="J607" t="s">
        <v>19</v>
      </c>
      <c r="K607">
        <v>5084.7299999999996</v>
      </c>
    </row>
    <row r="608" spans="1:11">
      <c r="A608">
        <v>607</v>
      </c>
      <c r="B608" t="s">
        <v>109</v>
      </c>
      <c r="C608" s="1">
        <v>41274</v>
      </c>
      <c r="D608">
        <v>13</v>
      </c>
      <c r="E608" t="s">
        <v>12</v>
      </c>
      <c r="F608" t="s">
        <v>45</v>
      </c>
      <c r="G608" s="1">
        <v>45431</v>
      </c>
      <c r="H608" s="1">
        <v>45349</v>
      </c>
      <c r="I608">
        <v>11</v>
      </c>
      <c r="J608" t="s">
        <v>25</v>
      </c>
      <c r="K608">
        <v>6709.4</v>
      </c>
    </row>
    <row r="609" spans="1:11">
      <c r="A609">
        <v>608</v>
      </c>
      <c r="B609" t="s">
        <v>109</v>
      </c>
      <c r="C609" s="1">
        <v>11689</v>
      </c>
      <c r="D609">
        <v>94</v>
      </c>
      <c r="E609" t="s">
        <v>15</v>
      </c>
      <c r="F609" t="s">
        <v>45</v>
      </c>
      <c r="G609" s="1">
        <v>45348</v>
      </c>
      <c r="H609" s="1">
        <v>45570</v>
      </c>
      <c r="I609">
        <v>-2</v>
      </c>
      <c r="J609" t="s">
        <v>19</v>
      </c>
      <c r="K609">
        <v>3183.85</v>
      </c>
    </row>
    <row r="610" spans="1:11">
      <c r="A610">
        <v>609</v>
      </c>
      <c r="B610" t="s">
        <v>164</v>
      </c>
      <c r="C610" s="1">
        <v>44561</v>
      </c>
      <c r="D610">
        <v>4</v>
      </c>
      <c r="E610" t="s">
        <v>12</v>
      </c>
      <c r="F610" t="s">
        <v>18</v>
      </c>
      <c r="G610" s="1">
        <v>45108</v>
      </c>
      <c r="H610" s="1">
        <v>45621</v>
      </c>
      <c r="I610">
        <v>11</v>
      </c>
      <c r="J610" t="s">
        <v>19</v>
      </c>
      <c r="K610">
        <v>8009.39</v>
      </c>
    </row>
    <row r="611" spans="1:11">
      <c r="A611">
        <v>610</v>
      </c>
      <c r="B611" t="s">
        <v>69</v>
      </c>
      <c r="C611" s="1">
        <v>33604</v>
      </c>
      <c r="D611">
        <v>34</v>
      </c>
      <c r="E611" t="s">
        <v>12</v>
      </c>
      <c r="F611" t="s">
        <v>16</v>
      </c>
      <c r="G611" s="1">
        <v>45121</v>
      </c>
      <c r="H611" s="1">
        <v>45633</v>
      </c>
      <c r="I611">
        <v>38</v>
      </c>
      <c r="J611" t="s">
        <v>19</v>
      </c>
      <c r="K611">
        <v>18082.53</v>
      </c>
    </row>
    <row r="612" spans="1:11">
      <c r="A612">
        <v>611</v>
      </c>
      <c r="B612" t="s">
        <v>115</v>
      </c>
      <c r="C612" s="1">
        <v>14611</v>
      </c>
      <c r="D612">
        <v>86</v>
      </c>
      <c r="G612" s="1">
        <v>45560</v>
      </c>
      <c r="H612" s="1">
        <v>44945</v>
      </c>
      <c r="I612">
        <v>2</v>
      </c>
      <c r="J612" t="s">
        <v>23</v>
      </c>
      <c r="K612">
        <v>4410.9799999999996</v>
      </c>
    </row>
    <row r="613" spans="1:11">
      <c r="A613">
        <v>612</v>
      </c>
      <c r="B613" t="s">
        <v>78</v>
      </c>
      <c r="C613" s="1">
        <v>12419</v>
      </c>
      <c r="D613">
        <v>92</v>
      </c>
      <c r="E613" t="s">
        <v>15</v>
      </c>
      <c r="F613" t="s">
        <v>32</v>
      </c>
      <c r="G613" s="1">
        <v>44979</v>
      </c>
      <c r="H613" s="1">
        <v>45398</v>
      </c>
      <c r="I613">
        <v>28</v>
      </c>
      <c r="J613" t="s">
        <v>25</v>
      </c>
      <c r="K613">
        <v>13657.47</v>
      </c>
    </row>
    <row r="614" spans="1:11">
      <c r="A614">
        <v>613</v>
      </c>
      <c r="B614" t="s">
        <v>154</v>
      </c>
      <c r="C614" s="1">
        <v>18994</v>
      </c>
      <c r="D614">
        <v>74</v>
      </c>
      <c r="E614" t="s">
        <v>12</v>
      </c>
      <c r="F614" t="s">
        <v>45</v>
      </c>
      <c r="G614" s="1">
        <v>45611</v>
      </c>
      <c r="H614" s="1">
        <v>45565</v>
      </c>
      <c r="I614">
        <v>28</v>
      </c>
      <c r="J614" t="s">
        <v>25</v>
      </c>
      <c r="K614">
        <v>2749.87</v>
      </c>
    </row>
    <row r="615" spans="1:11">
      <c r="A615">
        <v>614</v>
      </c>
      <c r="B615" t="s">
        <v>87</v>
      </c>
      <c r="C615" s="1">
        <v>39813</v>
      </c>
      <c r="D615">
        <v>17</v>
      </c>
      <c r="E615" t="s">
        <v>15</v>
      </c>
      <c r="F615" t="s">
        <v>32</v>
      </c>
      <c r="G615" s="1">
        <v>45105</v>
      </c>
      <c r="H615" s="1">
        <v>45650</v>
      </c>
      <c r="I615">
        <v>27</v>
      </c>
      <c r="K615">
        <v>7013.52</v>
      </c>
    </row>
    <row r="616" spans="1:11">
      <c r="A616">
        <v>615</v>
      </c>
      <c r="B616" t="s">
        <v>80</v>
      </c>
      <c r="C616" s="1">
        <v>18629</v>
      </c>
      <c r="D616">
        <v>75</v>
      </c>
      <c r="E616" t="s">
        <v>15</v>
      </c>
      <c r="F616" t="s">
        <v>45</v>
      </c>
      <c r="G616" s="1">
        <v>45219</v>
      </c>
      <c r="H616" s="1">
        <v>44934</v>
      </c>
      <c r="I616">
        <v>33</v>
      </c>
      <c r="K616">
        <v>6355.61</v>
      </c>
    </row>
    <row r="617" spans="1:11">
      <c r="A617">
        <v>616</v>
      </c>
      <c r="B617" t="s">
        <v>14</v>
      </c>
      <c r="C617" s="1">
        <v>43100</v>
      </c>
      <c r="D617">
        <v>8</v>
      </c>
      <c r="E617" t="s">
        <v>15</v>
      </c>
      <c r="F617" t="s">
        <v>45</v>
      </c>
      <c r="G617" s="1">
        <v>45301</v>
      </c>
      <c r="H617" s="1">
        <v>45346</v>
      </c>
      <c r="I617">
        <v>-2</v>
      </c>
      <c r="J617" t="s">
        <v>23</v>
      </c>
      <c r="K617">
        <v>18734.29</v>
      </c>
    </row>
    <row r="618" spans="1:11">
      <c r="A618">
        <v>617</v>
      </c>
      <c r="B618" t="s">
        <v>46</v>
      </c>
      <c r="C618" s="1">
        <v>19359</v>
      </c>
      <c r="D618">
        <v>73</v>
      </c>
      <c r="E618" t="s">
        <v>15</v>
      </c>
      <c r="F618" t="s">
        <v>18</v>
      </c>
      <c r="G618" s="1">
        <v>44985</v>
      </c>
      <c r="H618" s="1">
        <v>45307</v>
      </c>
      <c r="I618">
        <v>0</v>
      </c>
      <c r="J618" t="s">
        <v>19</v>
      </c>
      <c r="K618">
        <v>8502.44</v>
      </c>
    </row>
    <row r="619" spans="1:11">
      <c r="A619">
        <v>618</v>
      </c>
      <c r="B619" t="s">
        <v>89</v>
      </c>
      <c r="C619" s="1">
        <v>25203</v>
      </c>
      <c r="D619">
        <v>57</v>
      </c>
      <c r="F619" t="s">
        <v>13</v>
      </c>
      <c r="G619" s="1">
        <v>44980</v>
      </c>
      <c r="H619" s="1">
        <v>45435</v>
      </c>
      <c r="I619">
        <v>17</v>
      </c>
      <c r="K619">
        <v>13778.37</v>
      </c>
    </row>
    <row r="620" spans="1:11">
      <c r="A620">
        <v>619</v>
      </c>
      <c r="B620" t="s">
        <v>159</v>
      </c>
      <c r="C620" s="1">
        <v>40178</v>
      </c>
      <c r="D620">
        <v>16</v>
      </c>
      <c r="E620" t="s">
        <v>15</v>
      </c>
      <c r="F620" t="s">
        <v>18</v>
      </c>
      <c r="G620" s="1">
        <v>45171</v>
      </c>
      <c r="H620" s="1">
        <v>45041</v>
      </c>
      <c r="I620">
        <v>18</v>
      </c>
      <c r="J620" t="s">
        <v>25</v>
      </c>
      <c r="K620">
        <v>12009.5</v>
      </c>
    </row>
    <row r="621" spans="1:11">
      <c r="A621">
        <v>620</v>
      </c>
      <c r="B621" t="s">
        <v>149</v>
      </c>
      <c r="C621" s="1">
        <v>43831</v>
      </c>
      <c r="D621">
        <v>6</v>
      </c>
      <c r="E621" t="s">
        <v>12</v>
      </c>
      <c r="F621" t="s">
        <v>45</v>
      </c>
      <c r="G621" s="1">
        <v>45075</v>
      </c>
      <c r="H621" s="1">
        <v>45779</v>
      </c>
      <c r="I621">
        <v>27</v>
      </c>
      <c r="K621">
        <v>2734.7</v>
      </c>
    </row>
    <row r="622" spans="1:11">
      <c r="A622">
        <v>621</v>
      </c>
      <c r="B622" t="s">
        <v>121</v>
      </c>
      <c r="C622" s="1">
        <v>29586</v>
      </c>
      <c r="D622">
        <v>45</v>
      </c>
      <c r="E622" t="s">
        <v>12</v>
      </c>
      <c r="F622" t="s">
        <v>16</v>
      </c>
      <c r="G622" s="1">
        <v>45294</v>
      </c>
      <c r="H622" s="1">
        <v>45438</v>
      </c>
      <c r="I622">
        <v>39</v>
      </c>
      <c r="J622" t="s">
        <v>19</v>
      </c>
      <c r="K622">
        <v>18784.759999999998</v>
      </c>
    </row>
    <row r="623" spans="1:11">
      <c r="A623">
        <v>622</v>
      </c>
      <c r="B623" t="s">
        <v>50</v>
      </c>
      <c r="C623" s="1">
        <v>41639</v>
      </c>
      <c r="D623">
        <v>12</v>
      </c>
      <c r="E623" t="s">
        <v>12</v>
      </c>
      <c r="F623" t="s">
        <v>13</v>
      </c>
      <c r="G623" s="1">
        <v>44942</v>
      </c>
      <c r="H623" s="1">
        <v>45523</v>
      </c>
      <c r="I623">
        <v>27</v>
      </c>
      <c r="J623" t="s">
        <v>23</v>
      </c>
      <c r="K623">
        <v>6851.97</v>
      </c>
    </row>
    <row r="624" spans="1:11">
      <c r="A624">
        <v>623</v>
      </c>
      <c r="B624" t="s">
        <v>134</v>
      </c>
      <c r="C624" s="1">
        <v>31778</v>
      </c>
      <c r="D624">
        <v>39</v>
      </c>
      <c r="E624" t="s">
        <v>12</v>
      </c>
      <c r="F624" t="s">
        <v>16</v>
      </c>
      <c r="G624" s="1">
        <v>45102</v>
      </c>
      <c r="H624" s="1">
        <v>45778</v>
      </c>
      <c r="I624">
        <v>2</v>
      </c>
      <c r="J624" t="s">
        <v>19</v>
      </c>
      <c r="K624">
        <v>799.64</v>
      </c>
    </row>
    <row r="625" spans="1:11">
      <c r="A625">
        <v>624</v>
      </c>
      <c r="B625" t="s">
        <v>122</v>
      </c>
      <c r="C625" s="1">
        <v>31047</v>
      </c>
      <c r="D625">
        <v>41</v>
      </c>
      <c r="E625" t="s">
        <v>15</v>
      </c>
      <c r="F625" t="s">
        <v>16</v>
      </c>
      <c r="G625" s="1">
        <v>45466</v>
      </c>
      <c r="H625" s="1">
        <v>45800</v>
      </c>
      <c r="I625">
        <v>7</v>
      </c>
      <c r="K625">
        <v>5938.92</v>
      </c>
    </row>
    <row r="626" spans="1:11">
      <c r="A626">
        <v>625</v>
      </c>
      <c r="B626" t="s">
        <v>114</v>
      </c>
      <c r="C626" s="1">
        <v>43100</v>
      </c>
      <c r="D626">
        <v>8</v>
      </c>
      <c r="E626" t="s">
        <v>12</v>
      </c>
      <c r="F626" t="s">
        <v>16</v>
      </c>
      <c r="G626" s="1">
        <v>45332</v>
      </c>
      <c r="H626" s="1">
        <v>45541</v>
      </c>
      <c r="I626">
        <v>21</v>
      </c>
      <c r="J626" t="s">
        <v>23</v>
      </c>
      <c r="K626">
        <v>6646.24</v>
      </c>
    </row>
    <row r="627" spans="1:11">
      <c r="A627">
        <v>626</v>
      </c>
      <c r="B627" t="s">
        <v>123</v>
      </c>
      <c r="C627" s="1">
        <v>28125</v>
      </c>
      <c r="D627">
        <v>49</v>
      </c>
      <c r="E627" t="s">
        <v>15</v>
      </c>
      <c r="F627" t="s">
        <v>13</v>
      </c>
      <c r="G627" s="1">
        <v>45393</v>
      </c>
      <c r="H627" s="1">
        <v>45396</v>
      </c>
      <c r="I627">
        <v>36</v>
      </c>
      <c r="J627" t="s">
        <v>23</v>
      </c>
      <c r="K627">
        <v>1764.18</v>
      </c>
    </row>
    <row r="628" spans="1:11">
      <c r="A628">
        <v>627</v>
      </c>
      <c r="B628" t="s">
        <v>30</v>
      </c>
      <c r="C628" s="1">
        <v>36526</v>
      </c>
      <c r="D628">
        <v>26</v>
      </c>
      <c r="E628" t="s">
        <v>12</v>
      </c>
      <c r="F628" t="s">
        <v>16</v>
      </c>
      <c r="G628" s="1">
        <v>45055</v>
      </c>
      <c r="H628" s="1">
        <v>45020</v>
      </c>
      <c r="I628">
        <v>3</v>
      </c>
      <c r="J628" t="s">
        <v>19</v>
      </c>
      <c r="K628">
        <v>12361.55</v>
      </c>
    </row>
    <row r="629" spans="1:11">
      <c r="A629">
        <v>628</v>
      </c>
      <c r="B629" t="s">
        <v>60</v>
      </c>
      <c r="C629" s="1">
        <v>22281</v>
      </c>
      <c r="D629">
        <v>65</v>
      </c>
      <c r="E629" t="s">
        <v>12</v>
      </c>
      <c r="F629" t="s">
        <v>13</v>
      </c>
      <c r="G629" s="1">
        <v>45149</v>
      </c>
      <c r="H629" s="1">
        <v>45419</v>
      </c>
      <c r="I629">
        <v>7</v>
      </c>
      <c r="K629">
        <v>6869.96</v>
      </c>
    </row>
    <row r="630" spans="1:11">
      <c r="A630">
        <v>629</v>
      </c>
      <c r="B630" t="s">
        <v>20</v>
      </c>
      <c r="C630" s="1">
        <v>44561</v>
      </c>
      <c r="D630">
        <v>4</v>
      </c>
      <c r="F630" t="s">
        <v>32</v>
      </c>
      <c r="G630" s="1">
        <v>45170</v>
      </c>
      <c r="H630" s="1">
        <v>45755</v>
      </c>
      <c r="I630">
        <v>39</v>
      </c>
      <c r="J630" t="s">
        <v>19</v>
      </c>
      <c r="K630">
        <v>12545.61</v>
      </c>
    </row>
    <row r="631" spans="1:11">
      <c r="A631">
        <v>630</v>
      </c>
      <c r="B631" t="s">
        <v>111</v>
      </c>
      <c r="C631" s="1">
        <v>35795</v>
      </c>
      <c r="D631">
        <v>28</v>
      </c>
      <c r="E631" t="s">
        <v>15</v>
      </c>
      <c r="G631" s="1">
        <v>45352</v>
      </c>
      <c r="H631" s="1">
        <v>45029</v>
      </c>
      <c r="I631">
        <v>7</v>
      </c>
      <c r="K631">
        <v>35.49</v>
      </c>
    </row>
    <row r="632" spans="1:11">
      <c r="A632">
        <v>631</v>
      </c>
      <c r="B632" t="s">
        <v>84</v>
      </c>
      <c r="C632" s="1">
        <v>32873</v>
      </c>
      <c r="D632">
        <v>36</v>
      </c>
      <c r="E632" t="s">
        <v>15</v>
      </c>
      <c r="F632" t="s">
        <v>45</v>
      </c>
      <c r="G632" s="1">
        <v>45280</v>
      </c>
      <c r="H632" s="1">
        <v>45420</v>
      </c>
      <c r="I632">
        <v>22</v>
      </c>
      <c r="K632">
        <v>19639.169999999998</v>
      </c>
    </row>
    <row r="633" spans="1:11">
      <c r="A633">
        <v>632</v>
      </c>
      <c r="B633" t="s">
        <v>112</v>
      </c>
      <c r="C633" s="1">
        <v>32508</v>
      </c>
      <c r="D633">
        <v>37</v>
      </c>
      <c r="E633" t="s">
        <v>15</v>
      </c>
      <c r="F633" t="s">
        <v>21</v>
      </c>
      <c r="G633" s="1">
        <v>45252</v>
      </c>
      <c r="H633" s="1">
        <v>45690</v>
      </c>
      <c r="I633">
        <v>11</v>
      </c>
      <c r="J633" t="s">
        <v>25</v>
      </c>
      <c r="K633">
        <v>3327.38</v>
      </c>
    </row>
    <row r="634" spans="1:11">
      <c r="A634">
        <v>633</v>
      </c>
      <c r="B634" t="s">
        <v>131</v>
      </c>
      <c r="C634" s="1">
        <v>16072</v>
      </c>
      <c r="D634">
        <v>82</v>
      </c>
      <c r="E634" t="s">
        <v>15</v>
      </c>
      <c r="F634" t="s">
        <v>16</v>
      </c>
      <c r="G634" s="1">
        <v>45530</v>
      </c>
      <c r="H634" s="1">
        <v>45463</v>
      </c>
      <c r="I634">
        <v>36</v>
      </c>
      <c r="J634" t="s">
        <v>23</v>
      </c>
      <c r="K634">
        <v>13152.55</v>
      </c>
    </row>
    <row r="635" spans="1:11">
      <c r="A635">
        <v>634</v>
      </c>
      <c r="B635" t="s">
        <v>117</v>
      </c>
      <c r="C635" s="1">
        <v>43466</v>
      </c>
      <c r="D635">
        <v>7</v>
      </c>
      <c r="E635" t="s">
        <v>15</v>
      </c>
      <c r="F635" t="s">
        <v>18</v>
      </c>
      <c r="G635" s="1">
        <v>44929</v>
      </c>
      <c r="H635" s="1">
        <v>45412</v>
      </c>
      <c r="I635">
        <v>10</v>
      </c>
      <c r="K635">
        <v>14287.26</v>
      </c>
    </row>
    <row r="636" spans="1:11">
      <c r="A636">
        <v>635</v>
      </c>
      <c r="B636" t="s">
        <v>55</v>
      </c>
      <c r="C636" s="1">
        <v>22646</v>
      </c>
      <c r="D636">
        <v>64</v>
      </c>
      <c r="E636" t="s">
        <v>12</v>
      </c>
      <c r="F636" t="s">
        <v>32</v>
      </c>
      <c r="G636" s="1">
        <v>45405</v>
      </c>
      <c r="H636" s="1">
        <v>45406</v>
      </c>
      <c r="I636">
        <v>8</v>
      </c>
      <c r="J636" t="s">
        <v>19</v>
      </c>
      <c r="K636">
        <v>3349.33</v>
      </c>
    </row>
    <row r="637" spans="1:11">
      <c r="A637">
        <v>636</v>
      </c>
      <c r="B637" t="s">
        <v>121</v>
      </c>
      <c r="C637" s="1">
        <v>14976</v>
      </c>
      <c r="D637">
        <v>85</v>
      </c>
      <c r="E637" t="s">
        <v>15</v>
      </c>
      <c r="F637" t="s">
        <v>18</v>
      </c>
      <c r="G637" s="1">
        <v>45007</v>
      </c>
      <c r="H637" s="1">
        <v>45804</v>
      </c>
      <c r="I637">
        <v>36</v>
      </c>
      <c r="J637" t="s">
        <v>19</v>
      </c>
      <c r="K637">
        <v>2145.42</v>
      </c>
    </row>
    <row r="638" spans="1:11">
      <c r="A638">
        <v>637</v>
      </c>
      <c r="B638" t="s">
        <v>144</v>
      </c>
      <c r="C638" s="1">
        <v>40178</v>
      </c>
      <c r="D638">
        <v>16</v>
      </c>
      <c r="E638" t="s">
        <v>12</v>
      </c>
      <c r="F638" t="s">
        <v>21</v>
      </c>
      <c r="G638" s="1">
        <v>44970</v>
      </c>
      <c r="H638" s="1">
        <v>45094</v>
      </c>
      <c r="I638">
        <v>8</v>
      </c>
      <c r="J638" t="s">
        <v>25</v>
      </c>
      <c r="K638">
        <v>2966.8</v>
      </c>
    </row>
    <row r="639" spans="1:11">
      <c r="A639">
        <v>638</v>
      </c>
      <c r="B639" t="s">
        <v>98</v>
      </c>
      <c r="C639" s="1">
        <v>20455</v>
      </c>
      <c r="D639">
        <v>70</v>
      </c>
      <c r="E639" t="s">
        <v>12</v>
      </c>
      <c r="F639" t="s">
        <v>13</v>
      </c>
      <c r="G639" s="1">
        <v>45081</v>
      </c>
      <c r="H639" s="1">
        <v>45067</v>
      </c>
      <c r="I639">
        <v>13</v>
      </c>
      <c r="J639" t="s">
        <v>25</v>
      </c>
      <c r="K639">
        <v>4861.05</v>
      </c>
    </row>
    <row r="640" spans="1:11">
      <c r="A640">
        <v>639</v>
      </c>
      <c r="B640" t="s">
        <v>137</v>
      </c>
      <c r="C640" s="1">
        <v>13880</v>
      </c>
      <c r="E640" t="s">
        <v>12</v>
      </c>
      <c r="F640" t="s">
        <v>21</v>
      </c>
      <c r="G640" s="1">
        <v>45462</v>
      </c>
      <c r="H640" s="1">
        <v>45021</v>
      </c>
      <c r="I640">
        <v>30</v>
      </c>
      <c r="J640" t="s">
        <v>25</v>
      </c>
      <c r="K640">
        <v>3281.47</v>
      </c>
    </row>
    <row r="641" spans="1:11">
      <c r="A641">
        <v>640</v>
      </c>
      <c r="B641" t="s">
        <v>42</v>
      </c>
      <c r="C641" s="1">
        <v>29951</v>
      </c>
      <c r="D641">
        <v>44</v>
      </c>
      <c r="E641" t="s">
        <v>15</v>
      </c>
      <c r="F641" t="s">
        <v>18</v>
      </c>
      <c r="G641" s="1">
        <v>45025</v>
      </c>
      <c r="H641" s="1">
        <v>45108</v>
      </c>
      <c r="I641">
        <v>38</v>
      </c>
      <c r="J641" t="s">
        <v>23</v>
      </c>
      <c r="K641">
        <v>13447.39</v>
      </c>
    </row>
    <row r="642" spans="1:11">
      <c r="A642">
        <v>641</v>
      </c>
      <c r="B642" t="s">
        <v>86</v>
      </c>
      <c r="C642" s="1">
        <v>44927</v>
      </c>
      <c r="D642">
        <v>3</v>
      </c>
      <c r="E642" t="s">
        <v>15</v>
      </c>
      <c r="F642" t="s">
        <v>21</v>
      </c>
      <c r="G642" s="1">
        <v>45323</v>
      </c>
      <c r="H642" s="1">
        <v>45503</v>
      </c>
      <c r="I642">
        <v>38</v>
      </c>
      <c r="J642" t="s">
        <v>25</v>
      </c>
      <c r="K642">
        <v>8358.75</v>
      </c>
    </row>
    <row r="643" spans="1:11">
      <c r="A643">
        <v>642</v>
      </c>
      <c r="B643" t="s">
        <v>118</v>
      </c>
      <c r="C643" s="1">
        <v>33239</v>
      </c>
      <c r="D643">
        <v>35</v>
      </c>
      <c r="E643" t="s">
        <v>15</v>
      </c>
      <c r="F643" t="s">
        <v>45</v>
      </c>
      <c r="G643" s="1">
        <v>45097</v>
      </c>
      <c r="H643" s="1">
        <v>44931</v>
      </c>
      <c r="I643">
        <v>29</v>
      </c>
      <c r="J643" t="s">
        <v>23</v>
      </c>
      <c r="K643">
        <v>10709.61</v>
      </c>
    </row>
    <row r="644" spans="1:11">
      <c r="A644">
        <v>643</v>
      </c>
      <c r="B644" t="s">
        <v>108</v>
      </c>
      <c r="C644" s="1">
        <v>20820</v>
      </c>
      <c r="E644" t="s">
        <v>15</v>
      </c>
      <c r="F644" t="s">
        <v>21</v>
      </c>
      <c r="G644" s="1">
        <v>45074</v>
      </c>
      <c r="H644" s="1">
        <v>45533</v>
      </c>
      <c r="I644">
        <v>7</v>
      </c>
      <c r="J644" t="s">
        <v>25</v>
      </c>
      <c r="K644">
        <v>851.47</v>
      </c>
    </row>
    <row r="645" spans="1:11">
      <c r="A645">
        <v>644</v>
      </c>
      <c r="B645" t="s">
        <v>43</v>
      </c>
      <c r="C645" s="1">
        <v>35065</v>
      </c>
      <c r="D645">
        <v>30</v>
      </c>
      <c r="E645" t="s">
        <v>12</v>
      </c>
      <c r="F645" t="s">
        <v>16</v>
      </c>
      <c r="G645" s="1">
        <v>45049</v>
      </c>
      <c r="H645" s="1">
        <v>45316</v>
      </c>
      <c r="I645">
        <v>12</v>
      </c>
      <c r="J645" t="s">
        <v>23</v>
      </c>
      <c r="K645">
        <v>17211.099999999999</v>
      </c>
    </row>
    <row r="646" spans="1:11">
      <c r="A646">
        <v>645</v>
      </c>
      <c r="B646" t="s">
        <v>78</v>
      </c>
      <c r="C646" s="1">
        <v>39448</v>
      </c>
      <c r="D646">
        <v>18</v>
      </c>
      <c r="E646" t="s">
        <v>15</v>
      </c>
      <c r="F646" t="s">
        <v>45</v>
      </c>
      <c r="G646" s="1">
        <v>45038</v>
      </c>
      <c r="H646" s="1">
        <v>45199</v>
      </c>
      <c r="I646">
        <v>13</v>
      </c>
      <c r="K646">
        <v>3328.49</v>
      </c>
    </row>
    <row r="647" spans="1:11">
      <c r="A647">
        <v>646</v>
      </c>
      <c r="B647" t="s">
        <v>69</v>
      </c>
      <c r="C647" s="1">
        <v>24107</v>
      </c>
      <c r="D647">
        <v>60</v>
      </c>
      <c r="E647" t="s">
        <v>12</v>
      </c>
      <c r="F647" t="s">
        <v>16</v>
      </c>
      <c r="G647" s="1">
        <v>45056</v>
      </c>
      <c r="H647" s="1">
        <v>45722</v>
      </c>
      <c r="I647">
        <v>24</v>
      </c>
      <c r="J647" t="s">
        <v>25</v>
      </c>
      <c r="K647">
        <v>7139.06</v>
      </c>
    </row>
    <row r="648" spans="1:11">
      <c r="A648">
        <v>647</v>
      </c>
      <c r="B648" t="s">
        <v>66</v>
      </c>
      <c r="C648" s="1">
        <v>26664</v>
      </c>
      <c r="D648">
        <v>53</v>
      </c>
      <c r="E648" t="s">
        <v>12</v>
      </c>
      <c r="G648" s="1">
        <v>44994</v>
      </c>
      <c r="H648" s="1">
        <v>45059</v>
      </c>
      <c r="I648">
        <v>29</v>
      </c>
      <c r="J648" t="s">
        <v>23</v>
      </c>
      <c r="K648">
        <v>1345.22</v>
      </c>
    </row>
    <row r="649" spans="1:11">
      <c r="A649">
        <v>648</v>
      </c>
      <c r="B649" t="s">
        <v>168</v>
      </c>
      <c r="C649" s="1">
        <v>32143</v>
      </c>
      <c r="D649">
        <v>38</v>
      </c>
      <c r="E649" t="s">
        <v>12</v>
      </c>
      <c r="G649" s="1">
        <v>45655</v>
      </c>
      <c r="H649" s="1">
        <v>45511</v>
      </c>
      <c r="I649">
        <v>3</v>
      </c>
      <c r="K649">
        <v>2649.54</v>
      </c>
    </row>
    <row r="650" spans="1:11">
      <c r="A650">
        <v>649</v>
      </c>
      <c r="B650" t="s">
        <v>154</v>
      </c>
      <c r="C650" s="1">
        <v>13150</v>
      </c>
      <c r="E650" t="s">
        <v>15</v>
      </c>
      <c r="F650" t="s">
        <v>21</v>
      </c>
      <c r="G650" s="1">
        <v>45534</v>
      </c>
      <c r="H650" s="1">
        <v>45743</v>
      </c>
      <c r="I650">
        <v>33</v>
      </c>
      <c r="J650" t="s">
        <v>25</v>
      </c>
      <c r="K650">
        <v>13282.57</v>
      </c>
    </row>
    <row r="651" spans="1:11">
      <c r="A651">
        <v>650</v>
      </c>
      <c r="B651" t="s">
        <v>47</v>
      </c>
      <c r="C651" s="1">
        <v>19359</v>
      </c>
      <c r="D651">
        <v>73</v>
      </c>
      <c r="E651" t="s">
        <v>15</v>
      </c>
      <c r="F651" t="s">
        <v>45</v>
      </c>
      <c r="G651" s="1">
        <v>45583</v>
      </c>
      <c r="H651" s="1">
        <v>45520</v>
      </c>
      <c r="I651">
        <v>5</v>
      </c>
      <c r="K651">
        <v>13821</v>
      </c>
    </row>
    <row r="652" spans="1:11">
      <c r="A652">
        <v>651</v>
      </c>
      <c r="B652" t="s">
        <v>149</v>
      </c>
      <c r="C652" s="1">
        <v>13515</v>
      </c>
      <c r="D652">
        <v>89</v>
      </c>
      <c r="E652" t="s">
        <v>12</v>
      </c>
      <c r="F652" t="s">
        <v>45</v>
      </c>
      <c r="G652" s="1">
        <v>45471</v>
      </c>
      <c r="H652" s="1">
        <v>45439</v>
      </c>
      <c r="I652">
        <v>22</v>
      </c>
      <c r="J652" t="s">
        <v>25</v>
      </c>
      <c r="K652">
        <v>13507.01</v>
      </c>
    </row>
    <row r="653" spans="1:11">
      <c r="A653">
        <v>652</v>
      </c>
      <c r="B653" t="s">
        <v>55</v>
      </c>
      <c r="C653" s="1">
        <v>39448</v>
      </c>
      <c r="D653">
        <v>18</v>
      </c>
      <c r="E653" t="s">
        <v>12</v>
      </c>
      <c r="G653" s="1">
        <v>45212</v>
      </c>
      <c r="H653" s="1">
        <v>45613</v>
      </c>
      <c r="I653">
        <v>4</v>
      </c>
      <c r="J653" t="s">
        <v>19</v>
      </c>
      <c r="K653">
        <v>10997.95</v>
      </c>
    </row>
    <row r="654" spans="1:11">
      <c r="A654">
        <v>653</v>
      </c>
      <c r="B654" t="s">
        <v>148</v>
      </c>
      <c r="C654" s="1">
        <v>32143</v>
      </c>
      <c r="D654">
        <v>38</v>
      </c>
      <c r="E654" t="s">
        <v>15</v>
      </c>
      <c r="F654" t="s">
        <v>21</v>
      </c>
      <c r="G654" s="1">
        <v>44931</v>
      </c>
      <c r="H654" s="1">
        <v>45739</v>
      </c>
      <c r="I654">
        <v>14</v>
      </c>
      <c r="J654" t="s">
        <v>23</v>
      </c>
      <c r="K654">
        <v>19045.689999999999</v>
      </c>
    </row>
    <row r="655" spans="1:11">
      <c r="A655">
        <v>654</v>
      </c>
      <c r="B655" t="s">
        <v>78</v>
      </c>
      <c r="C655" s="1">
        <v>21916</v>
      </c>
      <c r="D655">
        <v>66</v>
      </c>
      <c r="E655" t="s">
        <v>15</v>
      </c>
      <c r="F655" t="s">
        <v>32</v>
      </c>
      <c r="G655" s="1">
        <v>45044</v>
      </c>
      <c r="H655" s="1">
        <v>44979</v>
      </c>
      <c r="I655">
        <v>27</v>
      </c>
      <c r="J655" t="s">
        <v>19</v>
      </c>
      <c r="K655">
        <v>10094.26</v>
      </c>
    </row>
    <row r="656" spans="1:11">
      <c r="A656">
        <v>655</v>
      </c>
      <c r="B656" t="s">
        <v>110</v>
      </c>
      <c r="C656" s="1">
        <v>29951</v>
      </c>
      <c r="D656">
        <v>44</v>
      </c>
      <c r="E656" t="s">
        <v>15</v>
      </c>
      <c r="F656" t="s">
        <v>13</v>
      </c>
      <c r="G656" s="1">
        <v>45578</v>
      </c>
      <c r="H656" s="1">
        <v>45217</v>
      </c>
      <c r="I656">
        <v>-1</v>
      </c>
      <c r="J656" t="s">
        <v>23</v>
      </c>
      <c r="K656">
        <v>8933.18</v>
      </c>
    </row>
    <row r="657" spans="1:11">
      <c r="A657">
        <v>656</v>
      </c>
      <c r="B657" t="s">
        <v>65</v>
      </c>
      <c r="C657" s="1">
        <v>41639</v>
      </c>
      <c r="D657">
        <v>12</v>
      </c>
      <c r="E657" t="s">
        <v>12</v>
      </c>
      <c r="F657" t="s">
        <v>13</v>
      </c>
      <c r="G657" s="1">
        <v>45156</v>
      </c>
      <c r="H657" s="1">
        <v>45373</v>
      </c>
      <c r="I657">
        <v>14</v>
      </c>
      <c r="J657" t="s">
        <v>19</v>
      </c>
      <c r="K657">
        <v>4875.67</v>
      </c>
    </row>
    <row r="658" spans="1:11">
      <c r="A658">
        <v>657</v>
      </c>
      <c r="B658" t="s">
        <v>59</v>
      </c>
      <c r="C658" s="1">
        <v>12785</v>
      </c>
      <c r="E658" t="s">
        <v>15</v>
      </c>
      <c r="F658" t="s">
        <v>13</v>
      </c>
      <c r="G658" s="1">
        <v>45086</v>
      </c>
      <c r="H658" s="1">
        <v>45164</v>
      </c>
      <c r="I658">
        <v>1</v>
      </c>
      <c r="J658" t="s">
        <v>25</v>
      </c>
      <c r="K658">
        <v>1886.88</v>
      </c>
    </row>
    <row r="659" spans="1:11">
      <c r="A659">
        <v>658</v>
      </c>
      <c r="B659" t="s">
        <v>20</v>
      </c>
      <c r="C659" s="1">
        <v>25203</v>
      </c>
      <c r="D659">
        <v>57</v>
      </c>
      <c r="E659" t="s">
        <v>12</v>
      </c>
      <c r="F659" t="s">
        <v>45</v>
      </c>
      <c r="G659" s="1">
        <v>45220</v>
      </c>
      <c r="H659" s="1">
        <v>45716</v>
      </c>
      <c r="I659">
        <v>23</v>
      </c>
      <c r="J659" t="s">
        <v>19</v>
      </c>
      <c r="K659">
        <v>10917.91</v>
      </c>
    </row>
    <row r="660" spans="1:11">
      <c r="A660">
        <v>659</v>
      </c>
      <c r="B660" t="s">
        <v>60</v>
      </c>
      <c r="C660" s="1">
        <v>39083</v>
      </c>
      <c r="D660">
        <v>19</v>
      </c>
      <c r="E660" t="s">
        <v>15</v>
      </c>
      <c r="G660" s="1">
        <v>45112</v>
      </c>
      <c r="H660" s="1">
        <v>45418</v>
      </c>
      <c r="I660">
        <v>11</v>
      </c>
      <c r="J660" t="s">
        <v>25</v>
      </c>
      <c r="K660">
        <v>6229.29</v>
      </c>
    </row>
    <row r="661" spans="1:11">
      <c r="A661">
        <v>660</v>
      </c>
      <c r="B661" t="s">
        <v>129</v>
      </c>
      <c r="C661" s="1">
        <v>12785</v>
      </c>
      <c r="D661">
        <v>91</v>
      </c>
      <c r="E661" t="s">
        <v>12</v>
      </c>
      <c r="F661" t="s">
        <v>13</v>
      </c>
      <c r="G661" s="1">
        <v>45478</v>
      </c>
      <c r="H661" s="1">
        <v>45207</v>
      </c>
      <c r="I661">
        <v>5</v>
      </c>
      <c r="J661" t="s">
        <v>23</v>
      </c>
      <c r="K661">
        <v>10432.91</v>
      </c>
    </row>
    <row r="662" spans="1:11">
      <c r="A662">
        <v>661</v>
      </c>
      <c r="B662" t="s">
        <v>76</v>
      </c>
      <c r="C662" s="1">
        <v>20090</v>
      </c>
      <c r="D662">
        <v>71</v>
      </c>
      <c r="E662" t="s">
        <v>12</v>
      </c>
      <c r="G662" s="1">
        <v>45150</v>
      </c>
      <c r="H662" s="1">
        <v>44971</v>
      </c>
      <c r="I662">
        <v>2</v>
      </c>
      <c r="J662" t="s">
        <v>25</v>
      </c>
      <c r="K662">
        <v>4042.99</v>
      </c>
    </row>
    <row r="663" spans="1:11">
      <c r="A663">
        <v>662</v>
      </c>
      <c r="B663" t="s">
        <v>29</v>
      </c>
      <c r="C663" s="1">
        <v>24107</v>
      </c>
      <c r="D663">
        <v>60</v>
      </c>
      <c r="E663" t="s">
        <v>12</v>
      </c>
      <c r="F663" t="s">
        <v>45</v>
      </c>
      <c r="G663" s="1">
        <v>45078</v>
      </c>
      <c r="H663" s="1">
        <v>45809</v>
      </c>
      <c r="I663">
        <v>2</v>
      </c>
      <c r="J663" t="s">
        <v>19</v>
      </c>
      <c r="K663">
        <v>16747.27</v>
      </c>
    </row>
    <row r="664" spans="1:11">
      <c r="A664">
        <v>663</v>
      </c>
      <c r="B664" t="s">
        <v>118</v>
      </c>
      <c r="C664" s="1">
        <v>32143</v>
      </c>
      <c r="D664">
        <v>38</v>
      </c>
      <c r="E664" t="s">
        <v>15</v>
      </c>
      <c r="G664" s="1">
        <v>45066</v>
      </c>
      <c r="H664" s="1">
        <v>45693</v>
      </c>
      <c r="I664">
        <v>2</v>
      </c>
      <c r="K664">
        <v>19993.91</v>
      </c>
    </row>
    <row r="665" spans="1:11">
      <c r="A665">
        <v>664</v>
      </c>
      <c r="B665" t="s">
        <v>31</v>
      </c>
      <c r="C665" s="1">
        <v>46022</v>
      </c>
      <c r="D665">
        <v>0</v>
      </c>
      <c r="E665" t="s">
        <v>15</v>
      </c>
      <c r="F665" t="s">
        <v>32</v>
      </c>
      <c r="G665" s="1">
        <v>45293</v>
      </c>
      <c r="H665" s="1">
        <v>45286</v>
      </c>
      <c r="I665">
        <v>24</v>
      </c>
      <c r="J665" t="s">
        <v>23</v>
      </c>
      <c r="K665">
        <v>6380.31</v>
      </c>
    </row>
    <row r="666" spans="1:11">
      <c r="A666">
        <v>665</v>
      </c>
      <c r="B666" t="s">
        <v>42</v>
      </c>
      <c r="C666" s="1">
        <v>45292</v>
      </c>
      <c r="D666">
        <v>2</v>
      </c>
      <c r="E666" t="s">
        <v>15</v>
      </c>
      <c r="F666" t="s">
        <v>21</v>
      </c>
      <c r="G666" s="1">
        <v>45054</v>
      </c>
      <c r="H666" s="1">
        <v>45573</v>
      </c>
      <c r="I666">
        <v>2</v>
      </c>
      <c r="K666">
        <v>16830.78</v>
      </c>
    </row>
    <row r="667" spans="1:11">
      <c r="A667">
        <v>666</v>
      </c>
      <c r="B667" t="s">
        <v>100</v>
      </c>
      <c r="C667" s="1">
        <v>18263</v>
      </c>
      <c r="D667">
        <v>76</v>
      </c>
      <c r="E667" t="s">
        <v>12</v>
      </c>
      <c r="G667" s="1">
        <v>45277</v>
      </c>
      <c r="H667" s="1">
        <v>45495</v>
      </c>
      <c r="I667">
        <v>0</v>
      </c>
      <c r="K667">
        <v>17447.02</v>
      </c>
    </row>
    <row r="668" spans="1:11">
      <c r="A668">
        <v>667</v>
      </c>
      <c r="B668" t="s">
        <v>67</v>
      </c>
      <c r="C668" s="1">
        <v>12785</v>
      </c>
      <c r="D668">
        <v>91</v>
      </c>
      <c r="E668" t="s">
        <v>12</v>
      </c>
      <c r="G668" s="1">
        <v>45073</v>
      </c>
      <c r="H668" s="1">
        <v>45453</v>
      </c>
      <c r="I668">
        <v>35</v>
      </c>
      <c r="K668">
        <v>19921.080000000002</v>
      </c>
    </row>
    <row r="669" spans="1:11">
      <c r="A669">
        <v>668</v>
      </c>
      <c r="B669" t="s">
        <v>115</v>
      </c>
      <c r="D669">
        <v>61</v>
      </c>
      <c r="E669" t="s">
        <v>12</v>
      </c>
      <c r="F669" t="s">
        <v>21</v>
      </c>
      <c r="G669" s="1">
        <v>45211</v>
      </c>
      <c r="H669" s="1">
        <v>45617</v>
      </c>
      <c r="I669">
        <v>27</v>
      </c>
      <c r="K669">
        <v>6788.67</v>
      </c>
    </row>
    <row r="670" spans="1:11">
      <c r="A670">
        <v>669</v>
      </c>
      <c r="B670" t="s">
        <v>157</v>
      </c>
      <c r="C670" s="1">
        <v>23377</v>
      </c>
      <c r="D670">
        <v>62</v>
      </c>
      <c r="E670" t="s">
        <v>15</v>
      </c>
      <c r="F670" t="s">
        <v>45</v>
      </c>
      <c r="G670" s="1">
        <v>45395</v>
      </c>
      <c r="H670" s="1">
        <v>45389</v>
      </c>
      <c r="I670">
        <v>-2</v>
      </c>
      <c r="K670">
        <v>15096.43</v>
      </c>
    </row>
    <row r="671" spans="1:11">
      <c r="A671">
        <v>670</v>
      </c>
      <c r="B671" t="s">
        <v>82</v>
      </c>
      <c r="C671" s="1">
        <v>37256</v>
      </c>
      <c r="D671">
        <v>24</v>
      </c>
      <c r="E671" t="s">
        <v>12</v>
      </c>
      <c r="F671" t="s">
        <v>45</v>
      </c>
      <c r="G671" s="1">
        <v>45144</v>
      </c>
      <c r="H671" s="1">
        <v>45028</v>
      </c>
      <c r="I671">
        <v>5</v>
      </c>
      <c r="J671" t="s">
        <v>19</v>
      </c>
      <c r="K671">
        <v>4499.0600000000004</v>
      </c>
    </row>
    <row r="672" spans="1:11">
      <c r="A672">
        <v>671</v>
      </c>
      <c r="B672" t="s">
        <v>111</v>
      </c>
      <c r="D672">
        <v>55</v>
      </c>
      <c r="E672" t="s">
        <v>15</v>
      </c>
      <c r="G672" s="1">
        <v>45362</v>
      </c>
      <c r="H672" s="1">
        <v>45619</v>
      </c>
      <c r="I672">
        <v>10</v>
      </c>
      <c r="J672" t="s">
        <v>25</v>
      </c>
      <c r="K672">
        <v>12458.4</v>
      </c>
    </row>
    <row r="673" spans="1:11">
      <c r="A673">
        <v>672</v>
      </c>
      <c r="B673" t="s">
        <v>66</v>
      </c>
      <c r="C673" s="1">
        <v>34334</v>
      </c>
      <c r="E673" t="s">
        <v>12</v>
      </c>
      <c r="F673" t="s">
        <v>32</v>
      </c>
      <c r="G673" s="1">
        <v>45071</v>
      </c>
      <c r="H673" s="1">
        <v>45388</v>
      </c>
      <c r="I673">
        <v>17</v>
      </c>
      <c r="J673" t="s">
        <v>25</v>
      </c>
      <c r="K673">
        <v>14067.34</v>
      </c>
    </row>
    <row r="674" spans="1:11">
      <c r="A674">
        <v>673</v>
      </c>
      <c r="B674" t="s">
        <v>60</v>
      </c>
      <c r="C674" s="1">
        <v>32508</v>
      </c>
      <c r="D674">
        <v>37</v>
      </c>
      <c r="E674" t="s">
        <v>15</v>
      </c>
      <c r="F674" t="s">
        <v>13</v>
      </c>
      <c r="G674" s="1">
        <v>45203</v>
      </c>
      <c r="H674" s="1">
        <v>45696</v>
      </c>
      <c r="I674">
        <v>3</v>
      </c>
      <c r="K674">
        <v>14796.53</v>
      </c>
    </row>
    <row r="675" spans="1:11">
      <c r="A675">
        <v>674</v>
      </c>
      <c r="B675" t="s">
        <v>54</v>
      </c>
      <c r="C675" s="1">
        <v>44196</v>
      </c>
      <c r="D675">
        <v>5</v>
      </c>
      <c r="E675" t="s">
        <v>12</v>
      </c>
      <c r="F675" t="s">
        <v>32</v>
      </c>
      <c r="G675" s="1">
        <v>44986</v>
      </c>
      <c r="H675" s="1">
        <v>45195</v>
      </c>
      <c r="I675">
        <v>5</v>
      </c>
      <c r="J675" t="s">
        <v>19</v>
      </c>
      <c r="K675">
        <v>4064.16</v>
      </c>
    </row>
    <row r="676" spans="1:11">
      <c r="A676">
        <v>675</v>
      </c>
      <c r="B676" t="s">
        <v>163</v>
      </c>
      <c r="D676">
        <v>57</v>
      </c>
      <c r="E676" t="s">
        <v>15</v>
      </c>
      <c r="F676" t="s">
        <v>21</v>
      </c>
      <c r="G676" s="1">
        <v>45536</v>
      </c>
      <c r="H676" s="1">
        <v>45810</v>
      </c>
      <c r="I676">
        <v>27</v>
      </c>
      <c r="K676">
        <v>16959.38</v>
      </c>
    </row>
    <row r="677" spans="1:11">
      <c r="A677">
        <v>676</v>
      </c>
      <c r="B677" t="s">
        <v>155</v>
      </c>
      <c r="C677" s="1">
        <v>30317</v>
      </c>
      <c r="D677">
        <v>43</v>
      </c>
      <c r="E677" t="s">
        <v>15</v>
      </c>
      <c r="F677" t="s">
        <v>21</v>
      </c>
      <c r="G677" s="1">
        <v>45301</v>
      </c>
      <c r="H677" s="1">
        <v>45289</v>
      </c>
      <c r="I677">
        <v>37</v>
      </c>
      <c r="K677">
        <v>8361.5300000000007</v>
      </c>
    </row>
    <row r="678" spans="1:11">
      <c r="A678">
        <v>677</v>
      </c>
      <c r="B678" t="s">
        <v>96</v>
      </c>
      <c r="C678" s="1">
        <v>29951</v>
      </c>
      <c r="D678">
        <v>44</v>
      </c>
      <c r="E678" t="s">
        <v>12</v>
      </c>
      <c r="F678" t="s">
        <v>16</v>
      </c>
      <c r="G678" s="1">
        <v>45330</v>
      </c>
      <c r="H678" s="1">
        <v>45335</v>
      </c>
      <c r="I678">
        <v>12</v>
      </c>
      <c r="J678" t="s">
        <v>23</v>
      </c>
      <c r="K678">
        <v>4249.03</v>
      </c>
    </row>
    <row r="679" spans="1:11">
      <c r="A679">
        <v>678</v>
      </c>
      <c r="B679" t="s">
        <v>120</v>
      </c>
      <c r="C679" s="1">
        <v>34700</v>
      </c>
      <c r="D679">
        <v>31</v>
      </c>
      <c r="E679" t="s">
        <v>15</v>
      </c>
      <c r="F679" t="s">
        <v>13</v>
      </c>
      <c r="G679" s="1">
        <v>45619</v>
      </c>
      <c r="H679" s="1">
        <v>44964</v>
      </c>
      <c r="I679">
        <v>7</v>
      </c>
      <c r="J679" t="s">
        <v>19</v>
      </c>
      <c r="K679">
        <v>10804.87</v>
      </c>
    </row>
    <row r="680" spans="1:11">
      <c r="A680">
        <v>679</v>
      </c>
      <c r="B680" t="s">
        <v>49</v>
      </c>
      <c r="C680" s="1">
        <v>29951</v>
      </c>
      <c r="D680">
        <v>44</v>
      </c>
      <c r="E680" t="s">
        <v>12</v>
      </c>
      <c r="G680" s="1">
        <v>45040</v>
      </c>
      <c r="H680" s="1">
        <v>45395</v>
      </c>
      <c r="I680">
        <v>30</v>
      </c>
      <c r="K680">
        <v>17253.48</v>
      </c>
    </row>
    <row r="681" spans="1:11">
      <c r="A681">
        <v>680</v>
      </c>
      <c r="B681" t="s">
        <v>168</v>
      </c>
      <c r="C681" s="1">
        <v>24107</v>
      </c>
      <c r="D681">
        <v>60</v>
      </c>
      <c r="E681" t="s">
        <v>12</v>
      </c>
      <c r="F681" t="s">
        <v>21</v>
      </c>
      <c r="G681" s="1">
        <v>45421</v>
      </c>
      <c r="H681" s="1">
        <v>45643</v>
      </c>
      <c r="I681">
        <v>6</v>
      </c>
      <c r="J681" t="s">
        <v>25</v>
      </c>
      <c r="K681">
        <v>19338.47</v>
      </c>
    </row>
    <row r="682" spans="1:11">
      <c r="A682">
        <v>681</v>
      </c>
      <c r="B682" t="s">
        <v>69</v>
      </c>
      <c r="C682" s="1">
        <v>29221</v>
      </c>
      <c r="D682">
        <v>46</v>
      </c>
      <c r="E682" t="s">
        <v>12</v>
      </c>
      <c r="F682" t="s">
        <v>16</v>
      </c>
      <c r="G682" s="1">
        <v>45541</v>
      </c>
      <c r="H682" s="1">
        <v>45186</v>
      </c>
      <c r="I682">
        <v>30</v>
      </c>
      <c r="J682" t="s">
        <v>23</v>
      </c>
      <c r="K682">
        <v>14938.98</v>
      </c>
    </row>
    <row r="683" spans="1:11">
      <c r="A683">
        <v>682</v>
      </c>
      <c r="B683" t="s">
        <v>46</v>
      </c>
      <c r="C683" s="1">
        <v>38717</v>
      </c>
      <c r="D683">
        <v>20</v>
      </c>
      <c r="E683" t="s">
        <v>15</v>
      </c>
      <c r="F683" t="s">
        <v>45</v>
      </c>
      <c r="G683" s="1">
        <v>45262</v>
      </c>
      <c r="H683" s="1">
        <v>45436</v>
      </c>
      <c r="I683">
        <v>6</v>
      </c>
      <c r="K683">
        <v>13.02</v>
      </c>
    </row>
    <row r="684" spans="1:11">
      <c r="A684">
        <v>683</v>
      </c>
      <c r="B684" t="s">
        <v>34</v>
      </c>
      <c r="C684" s="1">
        <v>17168</v>
      </c>
      <c r="D684">
        <v>79</v>
      </c>
      <c r="E684" t="s">
        <v>12</v>
      </c>
      <c r="F684" t="s">
        <v>21</v>
      </c>
      <c r="G684" s="1">
        <v>45495</v>
      </c>
      <c r="H684" s="1">
        <v>45594</v>
      </c>
      <c r="I684">
        <v>11</v>
      </c>
      <c r="K684">
        <v>2607.4899999999998</v>
      </c>
    </row>
    <row r="685" spans="1:11">
      <c r="A685">
        <v>684</v>
      </c>
      <c r="B685" t="s">
        <v>28</v>
      </c>
      <c r="C685" s="1">
        <v>15341</v>
      </c>
      <c r="D685">
        <v>84</v>
      </c>
      <c r="E685" t="s">
        <v>12</v>
      </c>
      <c r="F685" t="s">
        <v>18</v>
      </c>
      <c r="G685" s="1">
        <v>45211</v>
      </c>
      <c r="H685" s="1">
        <v>45677</v>
      </c>
      <c r="I685">
        <v>29</v>
      </c>
      <c r="K685">
        <v>1433.11</v>
      </c>
    </row>
    <row r="686" spans="1:11">
      <c r="A686">
        <v>685</v>
      </c>
      <c r="B686" t="s">
        <v>158</v>
      </c>
      <c r="C686" s="1">
        <v>18994</v>
      </c>
      <c r="D686">
        <v>74</v>
      </c>
      <c r="E686" t="s">
        <v>15</v>
      </c>
      <c r="F686" t="s">
        <v>13</v>
      </c>
      <c r="G686" s="1">
        <v>45055</v>
      </c>
      <c r="H686" s="1">
        <v>45236</v>
      </c>
      <c r="I686">
        <v>34</v>
      </c>
      <c r="J686" t="s">
        <v>19</v>
      </c>
      <c r="K686">
        <v>1934.4</v>
      </c>
    </row>
    <row r="687" spans="1:11">
      <c r="A687">
        <v>686</v>
      </c>
      <c r="B687" t="s">
        <v>151</v>
      </c>
      <c r="C687" s="1">
        <v>33239</v>
      </c>
      <c r="D687">
        <v>35</v>
      </c>
      <c r="E687" t="s">
        <v>12</v>
      </c>
      <c r="F687" t="s">
        <v>16</v>
      </c>
      <c r="G687" s="1">
        <v>45241</v>
      </c>
      <c r="H687" s="1">
        <v>45539</v>
      </c>
      <c r="I687">
        <v>3</v>
      </c>
      <c r="K687">
        <v>7599</v>
      </c>
    </row>
    <row r="688" spans="1:11">
      <c r="A688">
        <v>687</v>
      </c>
      <c r="B688" t="s">
        <v>87</v>
      </c>
      <c r="C688" s="1">
        <v>39448</v>
      </c>
      <c r="D688">
        <v>18</v>
      </c>
      <c r="E688" t="s">
        <v>15</v>
      </c>
      <c r="F688" t="s">
        <v>13</v>
      </c>
      <c r="G688" s="1">
        <v>45524</v>
      </c>
      <c r="H688" s="1">
        <v>45200</v>
      </c>
      <c r="I688">
        <v>2</v>
      </c>
      <c r="J688" t="s">
        <v>25</v>
      </c>
      <c r="K688">
        <v>6703.72</v>
      </c>
    </row>
    <row r="689" spans="1:11">
      <c r="A689">
        <v>688</v>
      </c>
      <c r="B689" t="s">
        <v>17</v>
      </c>
      <c r="D689">
        <v>19</v>
      </c>
      <c r="E689" t="s">
        <v>15</v>
      </c>
      <c r="F689" t="s">
        <v>13</v>
      </c>
      <c r="G689" s="1">
        <v>45638</v>
      </c>
      <c r="H689" s="1">
        <v>45552</v>
      </c>
      <c r="I689">
        <v>1</v>
      </c>
      <c r="J689" t="s">
        <v>23</v>
      </c>
      <c r="K689">
        <v>2185.0700000000002</v>
      </c>
    </row>
    <row r="690" spans="1:11">
      <c r="A690">
        <v>689</v>
      </c>
      <c r="B690" t="s">
        <v>73</v>
      </c>
      <c r="C690" s="1">
        <v>25568</v>
      </c>
      <c r="D690">
        <v>56</v>
      </c>
      <c r="E690" t="s">
        <v>15</v>
      </c>
      <c r="F690" t="s">
        <v>18</v>
      </c>
      <c r="G690" s="1">
        <v>44997</v>
      </c>
      <c r="H690" s="1">
        <v>45037</v>
      </c>
      <c r="I690">
        <v>13</v>
      </c>
      <c r="J690" t="s">
        <v>19</v>
      </c>
      <c r="K690">
        <v>17632.93</v>
      </c>
    </row>
    <row r="691" spans="1:11">
      <c r="A691">
        <v>690</v>
      </c>
      <c r="B691" t="s">
        <v>132</v>
      </c>
      <c r="C691" s="1">
        <v>39813</v>
      </c>
      <c r="D691">
        <v>17</v>
      </c>
      <c r="E691" t="s">
        <v>15</v>
      </c>
      <c r="F691" t="s">
        <v>32</v>
      </c>
      <c r="G691" s="1">
        <v>45271</v>
      </c>
      <c r="H691" s="1">
        <v>45582</v>
      </c>
      <c r="I691">
        <v>7</v>
      </c>
      <c r="J691" t="s">
        <v>23</v>
      </c>
      <c r="K691">
        <v>12270.09</v>
      </c>
    </row>
    <row r="692" spans="1:11">
      <c r="A692">
        <v>691</v>
      </c>
      <c r="B692" t="s">
        <v>68</v>
      </c>
      <c r="C692" s="1">
        <v>29221</v>
      </c>
      <c r="D692">
        <v>46</v>
      </c>
      <c r="E692" t="s">
        <v>15</v>
      </c>
      <c r="F692" t="s">
        <v>45</v>
      </c>
      <c r="G692" s="1">
        <v>45024</v>
      </c>
      <c r="H692" s="1">
        <v>45606</v>
      </c>
      <c r="I692">
        <v>28</v>
      </c>
      <c r="J692" t="s">
        <v>25</v>
      </c>
      <c r="K692">
        <v>15908.91</v>
      </c>
    </row>
    <row r="693" spans="1:11">
      <c r="A693">
        <v>692</v>
      </c>
      <c r="B693" t="s">
        <v>96</v>
      </c>
      <c r="C693" s="1">
        <v>28490</v>
      </c>
      <c r="D693">
        <v>48</v>
      </c>
      <c r="E693" t="s">
        <v>12</v>
      </c>
      <c r="F693" t="s">
        <v>13</v>
      </c>
      <c r="G693" s="1">
        <v>45226</v>
      </c>
      <c r="H693" s="1">
        <v>45187</v>
      </c>
      <c r="I693">
        <v>28</v>
      </c>
      <c r="K693">
        <v>7368.14</v>
      </c>
    </row>
    <row r="694" spans="1:11">
      <c r="A694">
        <v>693</v>
      </c>
      <c r="B694" t="s">
        <v>120</v>
      </c>
      <c r="C694" s="1">
        <v>41274</v>
      </c>
      <c r="D694">
        <v>13</v>
      </c>
      <c r="E694" t="s">
        <v>12</v>
      </c>
      <c r="F694" t="s">
        <v>21</v>
      </c>
      <c r="G694" s="1">
        <v>45102</v>
      </c>
      <c r="H694" s="1">
        <v>45584</v>
      </c>
      <c r="I694">
        <v>11</v>
      </c>
      <c r="J694" t="s">
        <v>19</v>
      </c>
      <c r="K694">
        <v>8145.74</v>
      </c>
    </row>
    <row r="695" spans="1:11">
      <c r="A695">
        <v>694</v>
      </c>
      <c r="B695" t="s">
        <v>43</v>
      </c>
      <c r="C695" s="1">
        <v>40909</v>
      </c>
      <c r="D695">
        <v>14</v>
      </c>
      <c r="E695" t="s">
        <v>15</v>
      </c>
      <c r="F695" t="s">
        <v>45</v>
      </c>
      <c r="G695" s="1">
        <v>45001</v>
      </c>
      <c r="H695" s="1">
        <v>45669</v>
      </c>
      <c r="I695">
        <v>10</v>
      </c>
      <c r="K695">
        <v>6284.19</v>
      </c>
    </row>
    <row r="696" spans="1:11">
      <c r="A696">
        <v>695</v>
      </c>
      <c r="B696" t="s">
        <v>106</v>
      </c>
      <c r="C696" s="1">
        <v>35065</v>
      </c>
      <c r="D696">
        <v>30</v>
      </c>
      <c r="E696" t="s">
        <v>12</v>
      </c>
      <c r="F696" t="s">
        <v>21</v>
      </c>
      <c r="G696" s="1">
        <v>45069</v>
      </c>
      <c r="H696" s="1">
        <v>45195</v>
      </c>
      <c r="I696">
        <v>1</v>
      </c>
      <c r="J696" t="s">
        <v>19</v>
      </c>
      <c r="K696">
        <v>8712.3700000000008</v>
      </c>
    </row>
    <row r="697" spans="1:11">
      <c r="A697">
        <v>696</v>
      </c>
      <c r="B697" t="s">
        <v>48</v>
      </c>
      <c r="C697" s="1">
        <v>46022</v>
      </c>
      <c r="D697">
        <v>0</v>
      </c>
      <c r="E697" t="s">
        <v>12</v>
      </c>
      <c r="F697" t="s">
        <v>45</v>
      </c>
      <c r="G697" s="1">
        <v>44949</v>
      </c>
      <c r="H697" s="1">
        <v>44959</v>
      </c>
      <c r="I697">
        <v>23</v>
      </c>
      <c r="K697">
        <v>12168.58</v>
      </c>
    </row>
    <row r="698" spans="1:11">
      <c r="A698">
        <v>697</v>
      </c>
      <c r="B698" t="s">
        <v>150</v>
      </c>
      <c r="C698" s="1">
        <v>26664</v>
      </c>
      <c r="D698">
        <v>53</v>
      </c>
      <c r="E698" t="s">
        <v>12</v>
      </c>
      <c r="G698" s="1">
        <v>45107</v>
      </c>
      <c r="H698" s="1">
        <v>45738</v>
      </c>
      <c r="I698">
        <v>21</v>
      </c>
      <c r="J698" t="s">
        <v>25</v>
      </c>
      <c r="K698">
        <v>9808.98</v>
      </c>
    </row>
    <row r="699" spans="1:11">
      <c r="A699">
        <v>698</v>
      </c>
      <c r="B699" t="s">
        <v>115</v>
      </c>
      <c r="C699" s="1">
        <v>45292</v>
      </c>
      <c r="D699">
        <v>2</v>
      </c>
      <c r="E699" t="s">
        <v>12</v>
      </c>
      <c r="F699" t="s">
        <v>45</v>
      </c>
      <c r="G699" s="1">
        <v>44971</v>
      </c>
      <c r="H699" s="1">
        <v>45658</v>
      </c>
      <c r="I699">
        <v>6</v>
      </c>
      <c r="J699" t="s">
        <v>25</v>
      </c>
      <c r="K699">
        <v>16742.13</v>
      </c>
    </row>
    <row r="700" spans="1:11">
      <c r="A700">
        <v>699</v>
      </c>
      <c r="B700" t="s">
        <v>148</v>
      </c>
      <c r="C700" s="1">
        <v>40544</v>
      </c>
      <c r="D700">
        <v>15</v>
      </c>
      <c r="E700" t="s">
        <v>12</v>
      </c>
      <c r="F700" t="s">
        <v>16</v>
      </c>
      <c r="G700" s="1">
        <v>45395</v>
      </c>
      <c r="H700" s="1">
        <v>45104</v>
      </c>
      <c r="I700">
        <v>32</v>
      </c>
      <c r="K700">
        <v>17992.8</v>
      </c>
    </row>
    <row r="701" spans="1:11">
      <c r="A701">
        <v>700</v>
      </c>
      <c r="B701" t="s">
        <v>73</v>
      </c>
      <c r="C701" s="1">
        <v>14611</v>
      </c>
      <c r="D701">
        <v>86</v>
      </c>
      <c r="E701" t="s">
        <v>15</v>
      </c>
      <c r="F701" t="s">
        <v>21</v>
      </c>
      <c r="G701" s="1">
        <v>45018</v>
      </c>
      <c r="H701" s="1">
        <v>45031</v>
      </c>
      <c r="I701">
        <v>39</v>
      </c>
      <c r="J701" t="s">
        <v>25</v>
      </c>
      <c r="K701">
        <v>9340.65</v>
      </c>
    </row>
    <row r="702" spans="1:11">
      <c r="A702">
        <v>701</v>
      </c>
      <c r="B702" t="s">
        <v>105</v>
      </c>
      <c r="C702" s="1">
        <v>25568</v>
      </c>
      <c r="D702">
        <v>56</v>
      </c>
      <c r="E702" t="s">
        <v>15</v>
      </c>
      <c r="F702" t="s">
        <v>21</v>
      </c>
      <c r="G702" s="1">
        <v>45195</v>
      </c>
      <c r="H702" s="1">
        <v>45163</v>
      </c>
      <c r="I702">
        <v>12</v>
      </c>
      <c r="K702">
        <v>4718.93</v>
      </c>
    </row>
    <row r="703" spans="1:11">
      <c r="A703">
        <v>702</v>
      </c>
      <c r="B703" t="s">
        <v>61</v>
      </c>
      <c r="C703" s="1">
        <v>18994</v>
      </c>
      <c r="D703">
        <v>74</v>
      </c>
      <c r="E703" t="s">
        <v>15</v>
      </c>
      <c r="G703" s="1">
        <v>44960</v>
      </c>
      <c r="H703" s="1">
        <v>45020</v>
      </c>
      <c r="I703">
        <v>21</v>
      </c>
      <c r="J703" t="s">
        <v>19</v>
      </c>
      <c r="K703">
        <v>18898.37</v>
      </c>
    </row>
    <row r="704" spans="1:11">
      <c r="A704">
        <v>703</v>
      </c>
      <c r="B704" t="s">
        <v>38</v>
      </c>
      <c r="C704" s="1">
        <v>42005</v>
      </c>
      <c r="D704">
        <v>11</v>
      </c>
      <c r="E704" t="s">
        <v>12</v>
      </c>
      <c r="F704" t="s">
        <v>45</v>
      </c>
      <c r="G704" s="1">
        <v>45604</v>
      </c>
      <c r="H704" s="1">
        <v>45128</v>
      </c>
      <c r="I704">
        <v>28</v>
      </c>
      <c r="J704" t="s">
        <v>25</v>
      </c>
      <c r="K704">
        <v>14674.28</v>
      </c>
    </row>
    <row r="705" spans="1:11">
      <c r="A705">
        <v>704</v>
      </c>
      <c r="B705" t="s">
        <v>54</v>
      </c>
      <c r="C705" s="1">
        <v>19359</v>
      </c>
      <c r="D705">
        <v>73</v>
      </c>
      <c r="E705" t="s">
        <v>15</v>
      </c>
      <c r="F705" t="s">
        <v>13</v>
      </c>
      <c r="G705" s="1">
        <v>45508</v>
      </c>
      <c r="H705" s="1">
        <v>45738</v>
      </c>
      <c r="I705">
        <v>16</v>
      </c>
      <c r="J705" t="s">
        <v>19</v>
      </c>
      <c r="K705">
        <v>12766.55</v>
      </c>
    </row>
    <row r="706" spans="1:11">
      <c r="A706">
        <v>705</v>
      </c>
      <c r="B706" t="s">
        <v>20</v>
      </c>
      <c r="C706" s="1">
        <v>40544</v>
      </c>
      <c r="E706" t="s">
        <v>12</v>
      </c>
      <c r="F706" t="s">
        <v>21</v>
      </c>
      <c r="G706" s="1">
        <v>45290</v>
      </c>
      <c r="H706" s="1">
        <v>45826</v>
      </c>
      <c r="I706">
        <v>-1</v>
      </c>
      <c r="K706">
        <v>14882.82</v>
      </c>
    </row>
    <row r="707" spans="1:11">
      <c r="A707">
        <v>706</v>
      </c>
      <c r="B707" t="s">
        <v>160</v>
      </c>
      <c r="C707" s="1">
        <v>20090</v>
      </c>
      <c r="D707">
        <v>71</v>
      </c>
      <c r="E707" t="s">
        <v>15</v>
      </c>
      <c r="G707" s="1">
        <v>45634</v>
      </c>
      <c r="H707" s="1">
        <v>45670</v>
      </c>
      <c r="I707">
        <v>-1</v>
      </c>
      <c r="J707" t="s">
        <v>19</v>
      </c>
      <c r="K707">
        <v>1427.23</v>
      </c>
    </row>
    <row r="708" spans="1:11">
      <c r="A708">
        <v>707</v>
      </c>
      <c r="B708" t="s">
        <v>64</v>
      </c>
      <c r="C708" s="1">
        <v>18629</v>
      </c>
      <c r="D708">
        <v>75</v>
      </c>
      <c r="E708" t="s">
        <v>12</v>
      </c>
      <c r="F708" t="s">
        <v>18</v>
      </c>
      <c r="G708" s="1">
        <v>45059</v>
      </c>
      <c r="H708" s="1">
        <v>45694</v>
      </c>
      <c r="I708">
        <v>38</v>
      </c>
      <c r="J708" t="s">
        <v>23</v>
      </c>
      <c r="K708">
        <v>1259.29</v>
      </c>
    </row>
    <row r="709" spans="1:11">
      <c r="A709">
        <v>708</v>
      </c>
      <c r="B709" t="s">
        <v>73</v>
      </c>
      <c r="C709" s="1">
        <v>37622</v>
      </c>
      <c r="D709">
        <v>23</v>
      </c>
      <c r="E709" t="s">
        <v>15</v>
      </c>
      <c r="F709" t="s">
        <v>18</v>
      </c>
      <c r="G709" s="1">
        <v>45308</v>
      </c>
      <c r="H709" s="1">
        <v>45524</v>
      </c>
      <c r="I709">
        <v>33</v>
      </c>
      <c r="K709">
        <v>2977.73</v>
      </c>
    </row>
    <row r="710" spans="1:11">
      <c r="A710">
        <v>709</v>
      </c>
      <c r="B710" t="s">
        <v>55</v>
      </c>
      <c r="C710" s="1">
        <v>36161</v>
      </c>
      <c r="E710" t="s">
        <v>15</v>
      </c>
      <c r="F710" t="s">
        <v>45</v>
      </c>
      <c r="G710" s="1">
        <v>45606</v>
      </c>
      <c r="H710" s="1">
        <v>44962</v>
      </c>
      <c r="I710">
        <v>34</v>
      </c>
      <c r="J710" t="s">
        <v>25</v>
      </c>
      <c r="K710">
        <v>2863.76</v>
      </c>
    </row>
    <row r="711" spans="1:11">
      <c r="A711">
        <v>710</v>
      </c>
      <c r="B711" t="s">
        <v>66</v>
      </c>
      <c r="C711" s="1">
        <v>43466</v>
      </c>
      <c r="D711">
        <v>7</v>
      </c>
      <c r="E711" t="s">
        <v>15</v>
      </c>
      <c r="F711" t="s">
        <v>32</v>
      </c>
      <c r="G711" s="1">
        <v>45203</v>
      </c>
      <c r="H711" s="1">
        <v>45044</v>
      </c>
      <c r="I711">
        <v>31</v>
      </c>
      <c r="J711" t="s">
        <v>25</v>
      </c>
      <c r="K711">
        <v>8355.48</v>
      </c>
    </row>
    <row r="712" spans="1:11">
      <c r="A712">
        <v>711</v>
      </c>
      <c r="B712" t="s">
        <v>96</v>
      </c>
      <c r="C712" s="1">
        <v>12785</v>
      </c>
      <c r="D712">
        <v>91</v>
      </c>
      <c r="E712" t="s">
        <v>15</v>
      </c>
      <c r="F712" t="s">
        <v>45</v>
      </c>
      <c r="G712" s="1">
        <v>45082</v>
      </c>
      <c r="H712" s="1">
        <v>45615</v>
      </c>
      <c r="I712">
        <v>36</v>
      </c>
      <c r="J712" t="s">
        <v>23</v>
      </c>
      <c r="K712">
        <v>3063.82</v>
      </c>
    </row>
    <row r="713" spans="1:11">
      <c r="A713">
        <v>712</v>
      </c>
      <c r="B713" t="s">
        <v>63</v>
      </c>
      <c r="C713" s="1">
        <v>33239</v>
      </c>
      <c r="D713">
        <v>35</v>
      </c>
      <c r="E713" t="s">
        <v>15</v>
      </c>
      <c r="G713" s="1">
        <v>45313</v>
      </c>
      <c r="H713" s="1">
        <v>45385</v>
      </c>
      <c r="I713">
        <v>16</v>
      </c>
      <c r="K713">
        <v>17075.97</v>
      </c>
    </row>
    <row r="714" spans="1:11">
      <c r="A714">
        <v>713</v>
      </c>
      <c r="B714" t="s">
        <v>125</v>
      </c>
      <c r="C714" s="1">
        <v>13515</v>
      </c>
      <c r="D714">
        <v>89</v>
      </c>
      <c r="E714" t="s">
        <v>12</v>
      </c>
      <c r="F714" t="s">
        <v>45</v>
      </c>
      <c r="G714" s="1">
        <v>45461</v>
      </c>
      <c r="H714" s="1">
        <v>45398</v>
      </c>
      <c r="I714">
        <v>35</v>
      </c>
      <c r="K714">
        <v>11519.75</v>
      </c>
    </row>
    <row r="715" spans="1:11">
      <c r="A715">
        <v>714</v>
      </c>
      <c r="B715" t="s">
        <v>104</v>
      </c>
      <c r="C715" s="1">
        <v>43466</v>
      </c>
      <c r="D715">
        <v>7</v>
      </c>
      <c r="E715" t="s">
        <v>15</v>
      </c>
      <c r="F715" t="s">
        <v>13</v>
      </c>
      <c r="G715" s="1">
        <v>45126</v>
      </c>
      <c r="H715" s="1">
        <v>45715</v>
      </c>
      <c r="I715">
        <v>20</v>
      </c>
      <c r="K715">
        <v>7302.06</v>
      </c>
    </row>
    <row r="716" spans="1:11">
      <c r="A716">
        <v>715</v>
      </c>
      <c r="B716" t="s">
        <v>149</v>
      </c>
      <c r="C716" s="1">
        <v>25203</v>
      </c>
      <c r="D716">
        <v>57</v>
      </c>
      <c r="E716" t="s">
        <v>15</v>
      </c>
      <c r="F716" t="s">
        <v>13</v>
      </c>
      <c r="G716" s="1">
        <v>45201</v>
      </c>
      <c r="H716" s="1">
        <v>45326</v>
      </c>
      <c r="I716">
        <v>13</v>
      </c>
      <c r="K716">
        <v>1299.4100000000001</v>
      </c>
    </row>
    <row r="717" spans="1:11">
      <c r="A717">
        <v>716</v>
      </c>
      <c r="B717" t="s">
        <v>123</v>
      </c>
      <c r="C717" s="1">
        <v>24473</v>
      </c>
      <c r="D717">
        <v>59</v>
      </c>
      <c r="E717" t="s">
        <v>12</v>
      </c>
      <c r="F717" t="s">
        <v>16</v>
      </c>
      <c r="G717" s="1">
        <v>45427</v>
      </c>
      <c r="H717" s="1">
        <v>45524</v>
      </c>
      <c r="I717">
        <v>3</v>
      </c>
      <c r="J717" t="s">
        <v>19</v>
      </c>
      <c r="K717">
        <v>11779.66</v>
      </c>
    </row>
    <row r="718" spans="1:11">
      <c r="A718">
        <v>717</v>
      </c>
      <c r="B718" t="s">
        <v>96</v>
      </c>
      <c r="D718">
        <v>49</v>
      </c>
      <c r="E718" t="s">
        <v>15</v>
      </c>
      <c r="G718" s="1">
        <v>45385</v>
      </c>
      <c r="H718" s="1">
        <v>45044</v>
      </c>
      <c r="I718">
        <v>23</v>
      </c>
      <c r="K718">
        <v>2242.31</v>
      </c>
    </row>
    <row r="719" spans="1:11">
      <c r="A719">
        <v>718</v>
      </c>
      <c r="B719" t="s">
        <v>105</v>
      </c>
      <c r="C719" s="1">
        <v>36161</v>
      </c>
      <c r="D719">
        <v>27</v>
      </c>
      <c r="E719" t="s">
        <v>12</v>
      </c>
      <c r="F719" t="s">
        <v>32</v>
      </c>
      <c r="G719" s="1">
        <v>44976</v>
      </c>
      <c r="H719" s="1">
        <v>45289</v>
      </c>
      <c r="I719">
        <v>19</v>
      </c>
      <c r="J719" t="s">
        <v>19</v>
      </c>
      <c r="K719">
        <v>14838.73</v>
      </c>
    </row>
    <row r="720" spans="1:11">
      <c r="A720">
        <v>719</v>
      </c>
      <c r="B720" t="s">
        <v>105</v>
      </c>
      <c r="C720" s="1">
        <v>12785</v>
      </c>
      <c r="D720">
        <v>91</v>
      </c>
      <c r="G720" s="1">
        <v>45624</v>
      </c>
      <c r="H720" s="1">
        <v>45131</v>
      </c>
      <c r="I720">
        <v>21</v>
      </c>
      <c r="J720" t="s">
        <v>19</v>
      </c>
      <c r="K720">
        <v>16035.44</v>
      </c>
    </row>
    <row r="721" spans="1:11">
      <c r="A721">
        <v>720</v>
      </c>
      <c r="B721" t="s">
        <v>63</v>
      </c>
      <c r="C721" s="1">
        <v>31412</v>
      </c>
      <c r="D721">
        <v>40</v>
      </c>
      <c r="E721" t="s">
        <v>15</v>
      </c>
      <c r="G721" s="1">
        <v>45458</v>
      </c>
      <c r="H721" s="1">
        <v>45073</v>
      </c>
      <c r="I721">
        <v>37</v>
      </c>
      <c r="J721" t="s">
        <v>25</v>
      </c>
      <c r="K721">
        <v>10833.92</v>
      </c>
    </row>
    <row r="722" spans="1:11">
      <c r="A722">
        <v>721</v>
      </c>
      <c r="B722" t="s">
        <v>168</v>
      </c>
      <c r="C722" s="1">
        <v>23012</v>
      </c>
      <c r="D722">
        <v>63</v>
      </c>
      <c r="E722" t="s">
        <v>15</v>
      </c>
      <c r="F722" t="s">
        <v>32</v>
      </c>
      <c r="G722" s="1">
        <v>45554</v>
      </c>
      <c r="H722" s="1">
        <v>45371</v>
      </c>
      <c r="I722">
        <v>18</v>
      </c>
      <c r="K722">
        <v>2907.02</v>
      </c>
    </row>
    <row r="723" spans="1:11">
      <c r="A723">
        <v>722</v>
      </c>
      <c r="B723" t="s">
        <v>165</v>
      </c>
      <c r="C723" s="1">
        <v>36526</v>
      </c>
      <c r="D723">
        <v>26</v>
      </c>
      <c r="E723" t="s">
        <v>15</v>
      </c>
      <c r="G723" s="1">
        <v>45018</v>
      </c>
      <c r="H723" s="1">
        <v>45654</v>
      </c>
      <c r="I723">
        <v>27</v>
      </c>
      <c r="J723" t="s">
        <v>19</v>
      </c>
      <c r="K723">
        <v>15715.94</v>
      </c>
    </row>
    <row r="724" spans="1:11">
      <c r="A724">
        <v>723</v>
      </c>
      <c r="B724" t="s">
        <v>146</v>
      </c>
      <c r="C724" s="1">
        <v>23377</v>
      </c>
      <c r="D724">
        <v>62</v>
      </c>
      <c r="E724" t="s">
        <v>12</v>
      </c>
      <c r="F724" t="s">
        <v>32</v>
      </c>
      <c r="G724" s="1">
        <v>45382</v>
      </c>
      <c r="H724" s="1">
        <v>45544</v>
      </c>
      <c r="I724">
        <v>8</v>
      </c>
      <c r="K724">
        <v>6087.34</v>
      </c>
    </row>
    <row r="725" spans="1:11">
      <c r="A725">
        <v>724</v>
      </c>
      <c r="B725" t="s">
        <v>125</v>
      </c>
      <c r="C725" s="1">
        <v>40178</v>
      </c>
      <c r="D725">
        <v>16</v>
      </c>
      <c r="E725" t="s">
        <v>12</v>
      </c>
      <c r="F725" t="s">
        <v>32</v>
      </c>
      <c r="G725" s="1">
        <v>45265</v>
      </c>
      <c r="H725" s="1">
        <v>45788</v>
      </c>
      <c r="I725">
        <v>6</v>
      </c>
      <c r="J725" t="s">
        <v>23</v>
      </c>
      <c r="K725">
        <v>4375.33</v>
      </c>
    </row>
    <row r="726" spans="1:11">
      <c r="A726">
        <v>725</v>
      </c>
      <c r="B726" t="s">
        <v>37</v>
      </c>
      <c r="C726" s="1">
        <v>19724</v>
      </c>
      <c r="D726">
        <v>72</v>
      </c>
      <c r="E726" t="s">
        <v>12</v>
      </c>
      <c r="F726" t="s">
        <v>32</v>
      </c>
      <c r="G726" s="1">
        <v>44979</v>
      </c>
      <c r="H726" s="1">
        <v>45224</v>
      </c>
      <c r="I726">
        <v>9</v>
      </c>
      <c r="J726" t="s">
        <v>19</v>
      </c>
      <c r="K726">
        <v>9358.19</v>
      </c>
    </row>
    <row r="727" spans="1:11">
      <c r="A727">
        <v>726</v>
      </c>
      <c r="B727" t="s">
        <v>165</v>
      </c>
      <c r="C727" s="1">
        <v>34334</v>
      </c>
      <c r="D727">
        <v>32</v>
      </c>
      <c r="E727" t="s">
        <v>12</v>
      </c>
      <c r="G727" s="1">
        <v>45422</v>
      </c>
      <c r="H727" s="1">
        <v>45795</v>
      </c>
      <c r="I727">
        <v>23</v>
      </c>
      <c r="J727" t="s">
        <v>25</v>
      </c>
      <c r="K727">
        <v>18445.189999999999</v>
      </c>
    </row>
    <row r="728" spans="1:11">
      <c r="A728">
        <v>727</v>
      </c>
      <c r="B728" t="s">
        <v>80</v>
      </c>
      <c r="C728" s="1">
        <v>15707</v>
      </c>
      <c r="D728">
        <v>83</v>
      </c>
      <c r="E728" t="s">
        <v>15</v>
      </c>
      <c r="G728" s="1">
        <v>45561</v>
      </c>
      <c r="H728" s="1">
        <v>45508</v>
      </c>
      <c r="I728">
        <v>35</v>
      </c>
      <c r="K728">
        <v>5877.2</v>
      </c>
    </row>
    <row r="729" spans="1:11">
      <c r="A729">
        <v>728</v>
      </c>
      <c r="B729" t="s">
        <v>33</v>
      </c>
      <c r="C729" s="1">
        <v>18263</v>
      </c>
      <c r="D729">
        <v>76</v>
      </c>
      <c r="E729" t="s">
        <v>12</v>
      </c>
      <c r="F729" t="s">
        <v>45</v>
      </c>
      <c r="G729" s="1">
        <v>44930</v>
      </c>
      <c r="H729" s="1">
        <v>45414</v>
      </c>
      <c r="I729">
        <v>0</v>
      </c>
      <c r="J729" t="s">
        <v>25</v>
      </c>
      <c r="K729">
        <v>18102.13</v>
      </c>
    </row>
    <row r="730" spans="1:11">
      <c r="A730">
        <v>729</v>
      </c>
      <c r="B730" t="s">
        <v>129</v>
      </c>
      <c r="C730" s="1">
        <v>12785</v>
      </c>
      <c r="D730">
        <v>91</v>
      </c>
      <c r="E730" t="s">
        <v>12</v>
      </c>
      <c r="G730" s="1">
        <v>45607</v>
      </c>
      <c r="H730" s="1">
        <v>45694</v>
      </c>
      <c r="I730">
        <v>30</v>
      </c>
      <c r="J730" t="s">
        <v>19</v>
      </c>
      <c r="K730">
        <v>978.43</v>
      </c>
    </row>
    <row r="731" spans="1:11">
      <c r="A731">
        <v>730</v>
      </c>
      <c r="B731" t="s">
        <v>157</v>
      </c>
      <c r="C731" s="1">
        <v>35795</v>
      </c>
      <c r="E731" t="s">
        <v>12</v>
      </c>
      <c r="F731" t="s">
        <v>45</v>
      </c>
      <c r="G731" s="1">
        <v>45207</v>
      </c>
      <c r="H731" s="1">
        <v>45158</v>
      </c>
      <c r="I731">
        <v>12</v>
      </c>
      <c r="J731" t="s">
        <v>19</v>
      </c>
      <c r="K731">
        <v>1578.83</v>
      </c>
    </row>
    <row r="732" spans="1:11">
      <c r="A732">
        <v>731</v>
      </c>
      <c r="B732" t="s">
        <v>28</v>
      </c>
      <c r="C732" s="1">
        <v>41639</v>
      </c>
      <c r="D732">
        <v>12</v>
      </c>
      <c r="E732" t="s">
        <v>12</v>
      </c>
      <c r="F732" t="s">
        <v>16</v>
      </c>
      <c r="G732" s="1">
        <v>45216</v>
      </c>
      <c r="H732" s="1">
        <v>45130</v>
      </c>
      <c r="I732">
        <v>2</v>
      </c>
      <c r="J732" t="s">
        <v>25</v>
      </c>
      <c r="K732">
        <v>13941.08</v>
      </c>
    </row>
    <row r="733" spans="1:11">
      <c r="A733">
        <v>732</v>
      </c>
      <c r="B733" t="s">
        <v>80</v>
      </c>
      <c r="C733" s="1">
        <v>29586</v>
      </c>
      <c r="D733">
        <v>45</v>
      </c>
      <c r="E733" t="s">
        <v>12</v>
      </c>
      <c r="F733" t="s">
        <v>18</v>
      </c>
      <c r="G733" s="1">
        <v>44999</v>
      </c>
      <c r="H733" s="1">
        <v>45289</v>
      </c>
      <c r="I733">
        <v>21</v>
      </c>
      <c r="K733">
        <v>3730.91</v>
      </c>
    </row>
    <row r="734" spans="1:11">
      <c r="A734">
        <v>733</v>
      </c>
      <c r="B734" t="s">
        <v>145</v>
      </c>
      <c r="C734" s="1">
        <v>33604</v>
      </c>
      <c r="D734">
        <v>34</v>
      </c>
      <c r="E734" t="s">
        <v>15</v>
      </c>
      <c r="F734" t="s">
        <v>18</v>
      </c>
      <c r="G734" s="1">
        <v>45063</v>
      </c>
      <c r="H734" s="1">
        <v>45322</v>
      </c>
      <c r="I734">
        <v>8</v>
      </c>
      <c r="J734" t="s">
        <v>19</v>
      </c>
      <c r="K734">
        <v>6264.08</v>
      </c>
    </row>
    <row r="735" spans="1:11">
      <c r="A735">
        <v>734</v>
      </c>
      <c r="B735" t="s">
        <v>166</v>
      </c>
      <c r="C735" s="1">
        <v>44196</v>
      </c>
      <c r="D735">
        <v>5</v>
      </c>
      <c r="E735" t="s">
        <v>15</v>
      </c>
      <c r="F735" t="s">
        <v>16</v>
      </c>
      <c r="G735" s="1">
        <v>45579</v>
      </c>
      <c r="H735" s="1">
        <v>45175</v>
      </c>
      <c r="I735">
        <v>30</v>
      </c>
      <c r="J735" t="s">
        <v>23</v>
      </c>
      <c r="K735">
        <v>2641.1</v>
      </c>
    </row>
    <row r="736" spans="1:11">
      <c r="A736">
        <v>735</v>
      </c>
      <c r="B736" t="s">
        <v>112</v>
      </c>
      <c r="C736" s="1">
        <v>16437</v>
      </c>
      <c r="D736">
        <v>81</v>
      </c>
      <c r="E736" t="s">
        <v>12</v>
      </c>
      <c r="F736" t="s">
        <v>16</v>
      </c>
      <c r="G736" s="1">
        <v>45319</v>
      </c>
      <c r="H736" s="1">
        <v>45367</v>
      </c>
      <c r="I736">
        <v>20</v>
      </c>
      <c r="J736" t="s">
        <v>25</v>
      </c>
      <c r="K736">
        <v>6578.19</v>
      </c>
    </row>
    <row r="737" spans="1:11">
      <c r="A737">
        <v>736</v>
      </c>
      <c r="B737" t="s">
        <v>92</v>
      </c>
      <c r="C737" s="1">
        <v>21185</v>
      </c>
      <c r="D737">
        <v>68</v>
      </c>
      <c r="E737" t="s">
        <v>15</v>
      </c>
      <c r="F737" t="s">
        <v>21</v>
      </c>
      <c r="G737" s="1">
        <v>45134</v>
      </c>
      <c r="H737" s="1">
        <v>45323</v>
      </c>
      <c r="I737">
        <v>7</v>
      </c>
      <c r="J737" t="s">
        <v>19</v>
      </c>
      <c r="K737">
        <v>5537.25</v>
      </c>
    </row>
    <row r="738" spans="1:11">
      <c r="A738">
        <v>737</v>
      </c>
      <c r="B738" t="s">
        <v>64</v>
      </c>
      <c r="C738" s="1">
        <v>29221</v>
      </c>
      <c r="D738">
        <v>46</v>
      </c>
      <c r="E738" t="s">
        <v>12</v>
      </c>
      <c r="F738" t="s">
        <v>45</v>
      </c>
      <c r="G738" s="1">
        <v>45186</v>
      </c>
      <c r="H738" s="1">
        <v>45688</v>
      </c>
      <c r="I738">
        <v>25</v>
      </c>
      <c r="K738">
        <v>14700.39</v>
      </c>
    </row>
    <row r="739" spans="1:11">
      <c r="A739">
        <v>738</v>
      </c>
      <c r="B739" t="s">
        <v>68</v>
      </c>
      <c r="C739" s="1">
        <v>37256</v>
      </c>
      <c r="D739">
        <v>24</v>
      </c>
      <c r="E739" t="s">
        <v>15</v>
      </c>
      <c r="F739" t="s">
        <v>32</v>
      </c>
      <c r="G739" s="1">
        <v>45189</v>
      </c>
      <c r="H739" s="1">
        <v>45583</v>
      </c>
      <c r="I739">
        <v>36</v>
      </c>
      <c r="J739" t="s">
        <v>19</v>
      </c>
      <c r="K739">
        <v>14010.67</v>
      </c>
    </row>
    <row r="740" spans="1:11">
      <c r="A740">
        <v>739</v>
      </c>
      <c r="B740" t="s">
        <v>36</v>
      </c>
      <c r="C740" s="1">
        <v>22281</v>
      </c>
      <c r="E740" t="s">
        <v>12</v>
      </c>
      <c r="F740" t="s">
        <v>21</v>
      </c>
      <c r="G740" s="1">
        <v>45431</v>
      </c>
      <c r="H740" s="1">
        <v>45722</v>
      </c>
      <c r="I740">
        <v>14</v>
      </c>
      <c r="K740">
        <v>19094.04</v>
      </c>
    </row>
    <row r="741" spans="1:11">
      <c r="A741">
        <v>740</v>
      </c>
      <c r="B741" t="s">
        <v>82</v>
      </c>
      <c r="C741" s="1">
        <v>42735</v>
      </c>
      <c r="D741">
        <v>9</v>
      </c>
      <c r="E741" t="s">
        <v>12</v>
      </c>
      <c r="F741" t="s">
        <v>13</v>
      </c>
      <c r="G741" s="1">
        <v>45476</v>
      </c>
      <c r="H741" s="1">
        <v>45283</v>
      </c>
      <c r="I741">
        <v>23</v>
      </c>
      <c r="K741">
        <v>14460.88</v>
      </c>
    </row>
    <row r="742" spans="1:11">
      <c r="A742">
        <v>741</v>
      </c>
      <c r="B742" t="s">
        <v>83</v>
      </c>
      <c r="C742" s="1">
        <v>25934</v>
      </c>
      <c r="D742">
        <v>55</v>
      </c>
      <c r="E742" t="s">
        <v>15</v>
      </c>
      <c r="F742" t="s">
        <v>45</v>
      </c>
      <c r="G742" s="1">
        <v>45129</v>
      </c>
      <c r="H742" s="1">
        <v>45328</v>
      </c>
      <c r="I742">
        <v>22</v>
      </c>
      <c r="J742" t="s">
        <v>19</v>
      </c>
      <c r="K742">
        <v>13865.84</v>
      </c>
    </row>
    <row r="743" spans="1:11">
      <c r="A743">
        <v>742</v>
      </c>
      <c r="B743" t="s">
        <v>36</v>
      </c>
      <c r="C743" s="1">
        <v>35430</v>
      </c>
      <c r="D743">
        <v>29</v>
      </c>
      <c r="E743" t="s">
        <v>12</v>
      </c>
      <c r="G743" s="1">
        <v>45273</v>
      </c>
      <c r="H743" s="1">
        <v>45168</v>
      </c>
      <c r="I743">
        <v>33</v>
      </c>
      <c r="J743" t="s">
        <v>23</v>
      </c>
      <c r="K743">
        <v>13853.5</v>
      </c>
    </row>
    <row r="744" spans="1:11">
      <c r="A744">
        <v>743</v>
      </c>
      <c r="B744" t="s">
        <v>62</v>
      </c>
      <c r="C744" s="1">
        <v>44561</v>
      </c>
      <c r="D744">
        <v>4</v>
      </c>
      <c r="E744" t="s">
        <v>12</v>
      </c>
      <c r="F744" t="s">
        <v>16</v>
      </c>
      <c r="G744" s="1">
        <v>44978</v>
      </c>
      <c r="H744" s="1">
        <v>45268</v>
      </c>
      <c r="I744">
        <v>9</v>
      </c>
      <c r="K744">
        <v>17647.650000000001</v>
      </c>
    </row>
    <row r="745" spans="1:11">
      <c r="A745">
        <v>744</v>
      </c>
      <c r="B745" t="s">
        <v>130</v>
      </c>
      <c r="C745" s="1">
        <v>34334</v>
      </c>
      <c r="D745">
        <v>32</v>
      </c>
      <c r="E745" t="s">
        <v>12</v>
      </c>
      <c r="F745" t="s">
        <v>18</v>
      </c>
      <c r="G745" s="1">
        <v>45519</v>
      </c>
      <c r="H745" s="1">
        <v>45814</v>
      </c>
      <c r="I745">
        <v>0</v>
      </c>
      <c r="J745" t="s">
        <v>25</v>
      </c>
      <c r="K745">
        <v>5854.36</v>
      </c>
    </row>
    <row r="746" spans="1:11">
      <c r="A746">
        <v>745</v>
      </c>
      <c r="B746" t="s">
        <v>61</v>
      </c>
      <c r="C746" s="1">
        <v>22646</v>
      </c>
      <c r="D746">
        <v>64</v>
      </c>
      <c r="E746" t="s">
        <v>15</v>
      </c>
      <c r="F746" t="s">
        <v>45</v>
      </c>
      <c r="G746" s="1">
        <v>45282</v>
      </c>
      <c r="H746" s="1">
        <v>45156</v>
      </c>
      <c r="I746">
        <v>26</v>
      </c>
      <c r="K746">
        <v>5931.85</v>
      </c>
    </row>
    <row r="747" spans="1:11">
      <c r="A747">
        <v>746</v>
      </c>
      <c r="B747" t="s">
        <v>151</v>
      </c>
      <c r="C747" s="1">
        <v>39813</v>
      </c>
      <c r="D747">
        <v>17</v>
      </c>
      <c r="E747" t="s">
        <v>15</v>
      </c>
      <c r="F747" t="s">
        <v>16</v>
      </c>
      <c r="G747" s="1">
        <v>45649</v>
      </c>
      <c r="H747" s="1">
        <v>45470</v>
      </c>
      <c r="I747">
        <v>21</v>
      </c>
      <c r="K747">
        <v>14798.4</v>
      </c>
    </row>
    <row r="748" spans="1:11">
      <c r="A748">
        <v>747</v>
      </c>
      <c r="B748" t="s">
        <v>136</v>
      </c>
      <c r="C748" s="1">
        <v>28490</v>
      </c>
      <c r="D748">
        <v>48</v>
      </c>
      <c r="E748" t="s">
        <v>15</v>
      </c>
      <c r="F748" t="s">
        <v>45</v>
      </c>
      <c r="G748" s="1">
        <v>45445</v>
      </c>
      <c r="H748" s="1">
        <v>45548</v>
      </c>
      <c r="I748">
        <v>16</v>
      </c>
      <c r="J748" t="s">
        <v>23</v>
      </c>
      <c r="K748">
        <v>4496.97</v>
      </c>
    </row>
    <row r="749" spans="1:11">
      <c r="A749">
        <v>748</v>
      </c>
      <c r="B749" t="s">
        <v>11</v>
      </c>
      <c r="D749">
        <v>10</v>
      </c>
      <c r="E749" t="s">
        <v>15</v>
      </c>
      <c r="G749" s="1">
        <v>45289</v>
      </c>
      <c r="H749" s="1">
        <v>45466</v>
      </c>
      <c r="I749">
        <v>10</v>
      </c>
      <c r="K749">
        <v>18231.599999999999</v>
      </c>
    </row>
    <row r="750" spans="1:11">
      <c r="A750">
        <v>749</v>
      </c>
      <c r="B750" t="s">
        <v>58</v>
      </c>
      <c r="C750" s="1">
        <v>15341</v>
      </c>
      <c r="D750">
        <v>84</v>
      </c>
      <c r="E750" t="s">
        <v>12</v>
      </c>
      <c r="F750" t="s">
        <v>45</v>
      </c>
      <c r="G750" s="1">
        <v>44971</v>
      </c>
      <c r="H750" s="1">
        <v>45782</v>
      </c>
      <c r="I750">
        <v>13</v>
      </c>
      <c r="J750" t="s">
        <v>19</v>
      </c>
      <c r="K750">
        <v>10649.11</v>
      </c>
    </row>
    <row r="751" spans="1:11">
      <c r="A751">
        <v>750</v>
      </c>
      <c r="B751" t="s">
        <v>67</v>
      </c>
      <c r="C751" s="1">
        <v>36891</v>
      </c>
      <c r="D751">
        <v>25</v>
      </c>
      <c r="G751" s="1">
        <v>45304</v>
      </c>
      <c r="H751" s="1">
        <v>45599</v>
      </c>
      <c r="I751">
        <v>37</v>
      </c>
      <c r="J751" t="s">
        <v>23</v>
      </c>
      <c r="K751">
        <v>5932.51</v>
      </c>
    </row>
    <row r="752" spans="1:11">
      <c r="A752">
        <v>751</v>
      </c>
      <c r="B752" t="s">
        <v>35</v>
      </c>
      <c r="C752" s="1">
        <v>23377</v>
      </c>
      <c r="D752">
        <v>62</v>
      </c>
      <c r="E752" t="s">
        <v>12</v>
      </c>
      <c r="F752" t="s">
        <v>45</v>
      </c>
      <c r="G752" s="1">
        <v>45338</v>
      </c>
      <c r="H752" s="1">
        <v>45456</v>
      </c>
      <c r="I752">
        <v>24</v>
      </c>
      <c r="K752">
        <v>15499.61</v>
      </c>
    </row>
    <row r="753" spans="1:11">
      <c r="A753">
        <v>752</v>
      </c>
      <c r="B753" t="s">
        <v>67</v>
      </c>
      <c r="C753" s="1">
        <v>13880</v>
      </c>
      <c r="D753">
        <v>88</v>
      </c>
      <c r="E753" t="s">
        <v>12</v>
      </c>
      <c r="F753" t="s">
        <v>13</v>
      </c>
      <c r="G753" s="1">
        <v>45068</v>
      </c>
      <c r="H753" s="1">
        <v>45194</v>
      </c>
      <c r="I753">
        <v>3</v>
      </c>
      <c r="J753" t="s">
        <v>19</v>
      </c>
      <c r="K753">
        <v>6177.64</v>
      </c>
    </row>
    <row r="754" spans="1:11">
      <c r="A754">
        <v>753</v>
      </c>
      <c r="B754" t="s">
        <v>125</v>
      </c>
      <c r="C754" s="1">
        <v>14976</v>
      </c>
      <c r="D754">
        <v>85</v>
      </c>
      <c r="E754" t="s">
        <v>12</v>
      </c>
      <c r="F754" t="s">
        <v>18</v>
      </c>
      <c r="G754" s="1">
        <v>45184</v>
      </c>
      <c r="H754" s="1">
        <v>45056</v>
      </c>
      <c r="I754">
        <v>39</v>
      </c>
      <c r="J754" t="s">
        <v>19</v>
      </c>
      <c r="K754">
        <v>19261.89</v>
      </c>
    </row>
    <row r="755" spans="1:11">
      <c r="A755">
        <v>754</v>
      </c>
      <c r="B755" t="s">
        <v>122</v>
      </c>
      <c r="D755">
        <v>58</v>
      </c>
      <c r="E755" t="s">
        <v>15</v>
      </c>
      <c r="F755" t="s">
        <v>45</v>
      </c>
      <c r="G755" s="1">
        <v>44963</v>
      </c>
      <c r="H755" s="1">
        <v>45147</v>
      </c>
      <c r="I755">
        <v>7</v>
      </c>
      <c r="K755">
        <v>19658.080000000002</v>
      </c>
    </row>
    <row r="756" spans="1:11">
      <c r="A756">
        <v>755</v>
      </c>
      <c r="B756" t="s">
        <v>14</v>
      </c>
      <c r="C756" s="1">
        <v>36526</v>
      </c>
      <c r="D756">
        <v>26</v>
      </c>
      <c r="E756" t="s">
        <v>12</v>
      </c>
      <c r="F756" t="s">
        <v>16</v>
      </c>
      <c r="G756" s="1">
        <v>44971</v>
      </c>
      <c r="H756" s="1">
        <v>45009</v>
      </c>
      <c r="I756">
        <v>35</v>
      </c>
      <c r="J756" t="s">
        <v>25</v>
      </c>
      <c r="K756">
        <v>13302.6</v>
      </c>
    </row>
    <row r="757" spans="1:11">
      <c r="A757">
        <v>756</v>
      </c>
      <c r="B757" t="s">
        <v>97</v>
      </c>
      <c r="C757" s="1">
        <v>28490</v>
      </c>
      <c r="D757">
        <v>48</v>
      </c>
      <c r="E757" t="s">
        <v>15</v>
      </c>
      <c r="F757" t="s">
        <v>13</v>
      </c>
      <c r="G757" s="1">
        <v>45558</v>
      </c>
      <c r="H757" s="1">
        <v>45488</v>
      </c>
      <c r="I757">
        <v>5</v>
      </c>
      <c r="J757" t="s">
        <v>25</v>
      </c>
      <c r="K757">
        <v>2184.04</v>
      </c>
    </row>
    <row r="758" spans="1:11">
      <c r="A758">
        <v>757</v>
      </c>
      <c r="B758" t="s">
        <v>136</v>
      </c>
      <c r="C758" s="1">
        <v>18263</v>
      </c>
      <c r="D758">
        <v>76</v>
      </c>
      <c r="E758" t="s">
        <v>12</v>
      </c>
      <c r="F758" t="s">
        <v>21</v>
      </c>
      <c r="G758" s="1">
        <v>44972</v>
      </c>
      <c r="H758" s="1">
        <v>45480</v>
      </c>
      <c r="I758">
        <v>15</v>
      </c>
      <c r="K758">
        <v>5190.5</v>
      </c>
    </row>
    <row r="759" spans="1:11">
      <c r="A759">
        <v>758</v>
      </c>
      <c r="B759" t="s">
        <v>115</v>
      </c>
      <c r="C759" s="1">
        <v>34334</v>
      </c>
      <c r="D759">
        <v>32</v>
      </c>
      <c r="E759" t="s">
        <v>15</v>
      </c>
      <c r="F759" t="s">
        <v>45</v>
      </c>
      <c r="G759" s="1">
        <v>45578</v>
      </c>
      <c r="H759" s="1">
        <v>44947</v>
      </c>
      <c r="I759">
        <v>29</v>
      </c>
      <c r="K759">
        <v>10259.879999999999</v>
      </c>
    </row>
    <row r="760" spans="1:11">
      <c r="A760">
        <v>759</v>
      </c>
      <c r="B760" t="s">
        <v>83</v>
      </c>
      <c r="C760" s="1">
        <v>46022</v>
      </c>
      <c r="D760">
        <v>0</v>
      </c>
      <c r="E760" t="s">
        <v>15</v>
      </c>
      <c r="G760" s="1">
        <v>45491</v>
      </c>
      <c r="H760" s="1">
        <v>45254</v>
      </c>
      <c r="I760">
        <v>14</v>
      </c>
      <c r="J760" t="s">
        <v>19</v>
      </c>
      <c r="K760">
        <v>17014.09</v>
      </c>
    </row>
    <row r="761" spans="1:11">
      <c r="A761">
        <v>760</v>
      </c>
      <c r="B761" t="s">
        <v>46</v>
      </c>
      <c r="C761" s="1">
        <v>38717</v>
      </c>
      <c r="D761">
        <v>20</v>
      </c>
      <c r="E761" t="s">
        <v>12</v>
      </c>
      <c r="F761" t="s">
        <v>13</v>
      </c>
      <c r="G761" s="1">
        <v>45227</v>
      </c>
      <c r="H761" s="1">
        <v>44964</v>
      </c>
      <c r="I761">
        <v>39</v>
      </c>
      <c r="K761">
        <v>3616.22</v>
      </c>
    </row>
    <row r="762" spans="1:11">
      <c r="A762">
        <v>761</v>
      </c>
      <c r="B762" t="s">
        <v>57</v>
      </c>
      <c r="C762" s="1">
        <v>26299</v>
      </c>
      <c r="D762">
        <v>54</v>
      </c>
      <c r="E762" t="s">
        <v>12</v>
      </c>
      <c r="F762" t="s">
        <v>32</v>
      </c>
      <c r="G762" s="1">
        <v>45214</v>
      </c>
      <c r="H762" s="1">
        <v>45309</v>
      </c>
      <c r="I762">
        <v>-1</v>
      </c>
      <c r="K762">
        <v>1998.51</v>
      </c>
    </row>
    <row r="763" spans="1:11">
      <c r="A763">
        <v>762</v>
      </c>
      <c r="B763" t="s">
        <v>138</v>
      </c>
      <c r="C763" s="1">
        <v>44196</v>
      </c>
      <c r="D763">
        <v>5</v>
      </c>
      <c r="E763" t="s">
        <v>12</v>
      </c>
      <c r="F763" t="s">
        <v>21</v>
      </c>
      <c r="G763" s="1">
        <v>45195</v>
      </c>
      <c r="H763" s="1">
        <v>44966</v>
      </c>
      <c r="I763">
        <v>17</v>
      </c>
      <c r="J763" t="s">
        <v>19</v>
      </c>
      <c r="K763">
        <v>1397</v>
      </c>
    </row>
    <row r="764" spans="1:11">
      <c r="A764">
        <v>763</v>
      </c>
      <c r="B764" t="s">
        <v>64</v>
      </c>
      <c r="C764" s="1">
        <v>12785</v>
      </c>
      <c r="D764">
        <v>91</v>
      </c>
      <c r="E764" t="s">
        <v>12</v>
      </c>
      <c r="F764" t="s">
        <v>18</v>
      </c>
      <c r="G764" s="1">
        <v>44988</v>
      </c>
      <c r="H764" s="1">
        <v>45036</v>
      </c>
      <c r="I764">
        <v>7</v>
      </c>
      <c r="K764">
        <v>10090.049999999999</v>
      </c>
    </row>
    <row r="765" spans="1:11">
      <c r="A765">
        <v>764</v>
      </c>
      <c r="B765" t="s">
        <v>106</v>
      </c>
      <c r="C765" s="1">
        <v>16802</v>
      </c>
      <c r="D765">
        <v>80</v>
      </c>
      <c r="E765" t="s">
        <v>15</v>
      </c>
      <c r="F765" t="s">
        <v>45</v>
      </c>
      <c r="G765" s="1">
        <v>45492</v>
      </c>
      <c r="H765" s="1">
        <v>45356</v>
      </c>
      <c r="I765">
        <v>6</v>
      </c>
      <c r="K765">
        <v>17682.490000000002</v>
      </c>
    </row>
    <row r="766" spans="1:11">
      <c r="A766">
        <v>765</v>
      </c>
      <c r="B766" t="s">
        <v>155</v>
      </c>
      <c r="C766" s="1">
        <v>21185</v>
      </c>
      <c r="D766">
        <v>68</v>
      </c>
      <c r="E766" t="s">
        <v>12</v>
      </c>
      <c r="F766" t="s">
        <v>45</v>
      </c>
      <c r="G766" s="1">
        <v>45507</v>
      </c>
      <c r="H766" s="1">
        <v>44991</v>
      </c>
      <c r="I766">
        <v>36</v>
      </c>
      <c r="K766">
        <v>751.42</v>
      </c>
    </row>
    <row r="767" spans="1:11">
      <c r="A767">
        <v>766</v>
      </c>
      <c r="B767" t="s">
        <v>148</v>
      </c>
      <c r="C767" s="1">
        <v>11689</v>
      </c>
      <c r="D767">
        <v>94</v>
      </c>
      <c r="E767" t="s">
        <v>15</v>
      </c>
      <c r="F767" t="s">
        <v>13</v>
      </c>
      <c r="G767" s="1">
        <v>45168</v>
      </c>
      <c r="H767" s="1">
        <v>45102</v>
      </c>
      <c r="I767">
        <v>38</v>
      </c>
      <c r="J767" t="s">
        <v>19</v>
      </c>
      <c r="K767">
        <v>4167.66</v>
      </c>
    </row>
    <row r="768" spans="1:11">
      <c r="A768">
        <v>767</v>
      </c>
      <c r="B768" t="s">
        <v>106</v>
      </c>
      <c r="C768" s="1">
        <v>44561</v>
      </c>
      <c r="D768">
        <v>4</v>
      </c>
      <c r="E768" t="s">
        <v>12</v>
      </c>
      <c r="F768" t="s">
        <v>18</v>
      </c>
      <c r="G768" s="1">
        <v>45280</v>
      </c>
      <c r="H768" s="1">
        <v>45718</v>
      </c>
      <c r="I768">
        <v>22</v>
      </c>
      <c r="K768">
        <v>13834.47</v>
      </c>
    </row>
    <row r="769" spans="1:11">
      <c r="A769">
        <v>768</v>
      </c>
      <c r="B769" t="s">
        <v>90</v>
      </c>
      <c r="C769" s="1">
        <v>45292</v>
      </c>
      <c r="D769">
        <v>2</v>
      </c>
      <c r="E769" t="s">
        <v>12</v>
      </c>
      <c r="F769" t="s">
        <v>32</v>
      </c>
      <c r="G769" s="1">
        <v>44997</v>
      </c>
      <c r="H769" s="1">
        <v>44959</v>
      </c>
      <c r="I769">
        <v>22</v>
      </c>
      <c r="J769" t="s">
        <v>25</v>
      </c>
      <c r="K769">
        <v>16499.86</v>
      </c>
    </row>
    <row r="770" spans="1:11">
      <c r="A770">
        <v>769</v>
      </c>
      <c r="B770" t="s">
        <v>145</v>
      </c>
      <c r="C770" s="1">
        <v>27029</v>
      </c>
      <c r="D770">
        <v>52</v>
      </c>
      <c r="E770" t="s">
        <v>15</v>
      </c>
      <c r="F770" t="s">
        <v>21</v>
      </c>
      <c r="G770" s="1">
        <v>45339</v>
      </c>
      <c r="H770" s="1">
        <v>45648</v>
      </c>
      <c r="I770">
        <v>21</v>
      </c>
      <c r="K770">
        <v>16128.73</v>
      </c>
    </row>
    <row r="771" spans="1:11">
      <c r="A771">
        <v>770</v>
      </c>
      <c r="B771" t="s">
        <v>109</v>
      </c>
      <c r="C771" s="1">
        <v>37987</v>
      </c>
      <c r="D771">
        <v>22</v>
      </c>
      <c r="E771" t="s">
        <v>12</v>
      </c>
      <c r="F771" t="s">
        <v>16</v>
      </c>
      <c r="G771" s="1">
        <v>45538</v>
      </c>
      <c r="H771" s="1">
        <v>45818</v>
      </c>
      <c r="I771">
        <v>3</v>
      </c>
      <c r="J771" t="s">
        <v>25</v>
      </c>
      <c r="K771">
        <v>15679.87</v>
      </c>
    </row>
    <row r="772" spans="1:11">
      <c r="A772">
        <v>771</v>
      </c>
      <c r="B772" t="s">
        <v>105</v>
      </c>
      <c r="C772" s="1">
        <v>27029</v>
      </c>
      <c r="D772">
        <v>52</v>
      </c>
      <c r="E772" t="s">
        <v>12</v>
      </c>
      <c r="F772" t="s">
        <v>18</v>
      </c>
      <c r="G772" s="1">
        <v>44987</v>
      </c>
      <c r="H772" s="1">
        <v>45458</v>
      </c>
      <c r="I772">
        <v>27</v>
      </c>
      <c r="K772">
        <v>2508.98</v>
      </c>
    </row>
    <row r="773" spans="1:11">
      <c r="A773">
        <v>772</v>
      </c>
      <c r="B773" t="s">
        <v>79</v>
      </c>
      <c r="C773" s="1">
        <v>32873</v>
      </c>
      <c r="D773">
        <v>36</v>
      </c>
      <c r="E773" t="s">
        <v>15</v>
      </c>
      <c r="F773" t="s">
        <v>45</v>
      </c>
      <c r="G773" s="1">
        <v>45541</v>
      </c>
      <c r="H773" s="1">
        <v>45033</v>
      </c>
      <c r="I773">
        <v>7</v>
      </c>
      <c r="J773" t="s">
        <v>19</v>
      </c>
      <c r="K773">
        <v>7884.48</v>
      </c>
    </row>
    <row r="774" spans="1:11">
      <c r="A774">
        <v>773</v>
      </c>
      <c r="B774" t="s">
        <v>86</v>
      </c>
      <c r="C774" s="1">
        <v>19359</v>
      </c>
      <c r="D774">
        <v>73</v>
      </c>
      <c r="E774" t="s">
        <v>12</v>
      </c>
      <c r="F774" t="s">
        <v>13</v>
      </c>
      <c r="G774" s="1">
        <v>45378</v>
      </c>
      <c r="H774" s="1">
        <v>45409</v>
      </c>
      <c r="I774">
        <v>36</v>
      </c>
      <c r="J774" t="s">
        <v>25</v>
      </c>
      <c r="K774">
        <v>19693.37</v>
      </c>
    </row>
    <row r="775" spans="1:11">
      <c r="A775">
        <v>774</v>
      </c>
      <c r="B775" t="s">
        <v>139</v>
      </c>
      <c r="C775" s="1">
        <v>19359</v>
      </c>
      <c r="D775">
        <v>73</v>
      </c>
      <c r="E775" t="s">
        <v>12</v>
      </c>
      <c r="F775" t="s">
        <v>32</v>
      </c>
      <c r="G775" s="1">
        <v>45319</v>
      </c>
      <c r="H775" s="1">
        <v>45133</v>
      </c>
      <c r="I775">
        <v>28</v>
      </c>
      <c r="K775">
        <v>19776.64</v>
      </c>
    </row>
    <row r="776" spans="1:11">
      <c r="A776">
        <v>775</v>
      </c>
      <c r="B776" t="s">
        <v>109</v>
      </c>
      <c r="C776" s="1">
        <v>16072</v>
      </c>
      <c r="D776">
        <v>82</v>
      </c>
      <c r="E776" t="s">
        <v>12</v>
      </c>
      <c r="F776" t="s">
        <v>13</v>
      </c>
      <c r="G776" s="1">
        <v>45557</v>
      </c>
      <c r="H776" s="1">
        <v>45174</v>
      </c>
      <c r="I776">
        <v>15</v>
      </c>
      <c r="K776">
        <v>12008.79</v>
      </c>
    </row>
    <row r="777" spans="1:11">
      <c r="A777">
        <v>776</v>
      </c>
      <c r="B777" t="s">
        <v>143</v>
      </c>
      <c r="C777" s="1">
        <v>40178</v>
      </c>
      <c r="D777">
        <v>16</v>
      </c>
      <c r="E777" t="s">
        <v>15</v>
      </c>
      <c r="F777" t="s">
        <v>21</v>
      </c>
      <c r="G777" s="1">
        <v>45455</v>
      </c>
      <c r="H777" s="1">
        <v>45762</v>
      </c>
      <c r="I777">
        <v>30</v>
      </c>
      <c r="K777">
        <v>14156.27</v>
      </c>
    </row>
    <row r="778" spans="1:11">
      <c r="A778">
        <v>777</v>
      </c>
      <c r="B778" t="s">
        <v>34</v>
      </c>
      <c r="C778" s="1">
        <v>15341</v>
      </c>
      <c r="D778">
        <v>84</v>
      </c>
      <c r="E778" t="s">
        <v>15</v>
      </c>
      <c r="G778" s="1">
        <v>45231</v>
      </c>
      <c r="H778" s="1">
        <v>45606</v>
      </c>
      <c r="I778">
        <v>16</v>
      </c>
      <c r="K778">
        <v>19020.8</v>
      </c>
    </row>
    <row r="779" spans="1:11">
      <c r="A779">
        <v>778</v>
      </c>
      <c r="B779" t="s">
        <v>142</v>
      </c>
      <c r="C779" s="1">
        <v>17898</v>
      </c>
      <c r="D779">
        <v>77</v>
      </c>
      <c r="E779" t="s">
        <v>12</v>
      </c>
      <c r="G779" s="1">
        <v>45117</v>
      </c>
      <c r="H779" s="1">
        <v>45016</v>
      </c>
      <c r="I779">
        <v>20</v>
      </c>
      <c r="J779" t="s">
        <v>19</v>
      </c>
      <c r="K779">
        <v>8943.5499999999993</v>
      </c>
    </row>
    <row r="780" spans="1:11">
      <c r="A780">
        <v>779</v>
      </c>
      <c r="B780" t="s">
        <v>95</v>
      </c>
      <c r="C780" s="1">
        <v>19724</v>
      </c>
      <c r="D780">
        <v>72</v>
      </c>
      <c r="E780" t="s">
        <v>15</v>
      </c>
      <c r="F780" t="s">
        <v>18</v>
      </c>
      <c r="G780" s="1">
        <v>45650</v>
      </c>
      <c r="H780" s="1">
        <v>45243</v>
      </c>
      <c r="I780">
        <v>2</v>
      </c>
      <c r="J780" t="s">
        <v>23</v>
      </c>
      <c r="K780">
        <v>2651.02</v>
      </c>
    </row>
    <row r="781" spans="1:11">
      <c r="A781">
        <v>780</v>
      </c>
      <c r="B781" t="s">
        <v>97</v>
      </c>
      <c r="C781" s="1">
        <v>46022</v>
      </c>
      <c r="D781">
        <v>0</v>
      </c>
      <c r="F781" t="s">
        <v>13</v>
      </c>
      <c r="G781" s="1">
        <v>45004</v>
      </c>
      <c r="H781" s="1">
        <v>44938</v>
      </c>
      <c r="I781">
        <v>23</v>
      </c>
      <c r="J781" t="s">
        <v>25</v>
      </c>
      <c r="K781">
        <v>13345.87</v>
      </c>
    </row>
    <row r="782" spans="1:11">
      <c r="A782">
        <v>781</v>
      </c>
      <c r="B782" t="s">
        <v>42</v>
      </c>
      <c r="C782" s="1">
        <v>27760</v>
      </c>
      <c r="D782">
        <v>50</v>
      </c>
      <c r="E782" t="s">
        <v>15</v>
      </c>
      <c r="F782" t="s">
        <v>16</v>
      </c>
      <c r="G782" s="1">
        <v>45484</v>
      </c>
      <c r="H782" s="1">
        <v>44976</v>
      </c>
      <c r="I782">
        <v>26</v>
      </c>
      <c r="K782">
        <v>19198.060000000001</v>
      </c>
    </row>
    <row r="783" spans="1:11">
      <c r="A783">
        <v>782</v>
      </c>
      <c r="B783" t="s">
        <v>120</v>
      </c>
      <c r="C783" s="1">
        <v>29951</v>
      </c>
      <c r="D783">
        <v>44</v>
      </c>
      <c r="E783" t="s">
        <v>12</v>
      </c>
      <c r="F783" t="s">
        <v>16</v>
      </c>
      <c r="G783" s="1">
        <v>45531</v>
      </c>
      <c r="H783" s="1">
        <v>45823</v>
      </c>
      <c r="I783">
        <v>21</v>
      </c>
      <c r="J783" t="s">
        <v>19</v>
      </c>
      <c r="K783">
        <v>13913.84</v>
      </c>
    </row>
    <row r="784" spans="1:11">
      <c r="A784">
        <v>783</v>
      </c>
      <c r="B784" t="s">
        <v>105</v>
      </c>
      <c r="C784" s="1">
        <v>18263</v>
      </c>
      <c r="D784">
        <v>76</v>
      </c>
      <c r="E784" t="s">
        <v>12</v>
      </c>
      <c r="G784" s="1">
        <v>45451</v>
      </c>
      <c r="H784" s="1">
        <v>45500</v>
      </c>
      <c r="I784">
        <v>3</v>
      </c>
      <c r="J784" t="s">
        <v>23</v>
      </c>
      <c r="K784">
        <v>16046.75</v>
      </c>
    </row>
    <row r="785" spans="1:11">
      <c r="A785">
        <v>784</v>
      </c>
      <c r="B785" t="s">
        <v>142</v>
      </c>
      <c r="C785" s="1">
        <v>44927</v>
      </c>
      <c r="D785">
        <v>3</v>
      </c>
      <c r="E785" t="s">
        <v>15</v>
      </c>
      <c r="G785" s="1">
        <v>45227</v>
      </c>
      <c r="H785" s="1">
        <v>45098</v>
      </c>
      <c r="I785">
        <v>36</v>
      </c>
      <c r="J785" t="s">
        <v>19</v>
      </c>
      <c r="K785">
        <v>8397.25</v>
      </c>
    </row>
    <row r="786" spans="1:11">
      <c r="A786">
        <v>785</v>
      </c>
      <c r="B786" t="s">
        <v>147</v>
      </c>
      <c r="C786" s="1">
        <v>23742</v>
      </c>
      <c r="D786">
        <v>61</v>
      </c>
      <c r="E786" t="s">
        <v>15</v>
      </c>
      <c r="F786" t="s">
        <v>13</v>
      </c>
      <c r="G786" s="1">
        <v>44943</v>
      </c>
      <c r="H786" s="1">
        <v>45070</v>
      </c>
      <c r="I786">
        <v>1</v>
      </c>
      <c r="K786">
        <v>1838.91</v>
      </c>
    </row>
    <row r="787" spans="1:11">
      <c r="A787">
        <v>786</v>
      </c>
      <c r="B787" t="s">
        <v>34</v>
      </c>
      <c r="C787" s="1">
        <v>22646</v>
      </c>
      <c r="D787">
        <v>64</v>
      </c>
      <c r="E787" t="s">
        <v>12</v>
      </c>
      <c r="F787" t="s">
        <v>45</v>
      </c>
      <c r="G787" s="1">
        <v>45500</v>
      </c>
      <c r="H787" s="1">
        <v>45134</v>
      </c>
      <c r="I787">
        <v>39</v>
      </c>
      <c r="J787" t="s">
        <v>23</v>
      </c>
      <c r="K787">
        <v>3294.53</v>
      </c>
    </row>
    <row r="788" spans="1:11">
      <c r="A788">
        <v>787</v>
      </c>
      <c r="B788" t="s">
        <v>131</v>
      </c>
      <c r="C788" s="1">
        <v>34700</v>
      </c>
      <c r="D788">
        <v>31</v>
      </c>
      <c r="E788" t="s">
        <v>12</v>
      </c>
      <c r="F788" t="s">
        <v>13</v>
      </c>
      <c r="G788" s="1">
        <v>45360</v>
      </c>
      <c r="H788" s="1">
        <v>45390</v>
      </c>
      <c r="I788">
        <v>23</v>
      </c>
      <c r="J788" t="s">
        <v>25</v>
      </c>
      <c r="K788">
        <v>19651.36</v>
      </c>
    </row>
    <row r="789" spans="1:11">
      <c r="A789">
        <v>788</v>
      </c>
      <c r="B789" t="s">
        <v>73</v>
      </c>
      <c r="C789" s="1">
        <v>33969</v>
      </c>
      <c r="D789">
        <v>33</v>
      </c>
      <c r="E789" t="s">
        <v>15</v>
      </c>
      <c r="F789" t="s">
        <v>32</v>
      </c>
      <c r="G789" s="1">
        <v>44969</v>
      </c>
      <c r="H789" s="1">
        <v>45436</v>
      </c>
      <c r="I789">
        <v>12</v>
      </c>
      <c r="J789" t="s">
        <v>25</v>
      </c>
      <c r="K789">
        <v>9813</v>
      </c>
    </row>
    <row r="790" spans="1:11">
      <c r="A790">
        <v>789</v>
      </c>
      <c r="B790" t="s">
        <v>121</v>
      </c>
      <c r="C790" s="1">
        <v>12785</v>
      </c>
      <c r="D790">
        <v>91</v>
      </c>
      <c r="E790" t="s">
        <v>12</v>
      </c>
      <c r="F790" t="s">
        <v>18</v>
      </c>
      <c r="G790" s="1">
        <v>44994</v>
      </c>
      <c r="H790" s="1">
        <v>45128</v>
      </c>
      <c r="I790">
        <v>10</v>
      </c>
      <c r="J790" t="s">
        <v>19</v>
      </c>
      <c r="K790">
        <v>141.61000000000001</v>
      </c>
    </row>
    <row r="791" spans="1:11">
      <c r="A791">
        <v>790</v>
      </c>
      <c r="B791" t="s">
        <v>22</v>
      </c>
      <c r="C791" s="1">
        <v>11689</v>
      </c>
      <c r="D791">
        <v>94</v>
      </c>
      <c r="E791" t="s">
        <v>15</v>
      </c>
      <c r="F791" t="s">
        <v>21</v>
      </c>
      <c r="G791" s="1">
        <v>45306</v>
      </c>
      <c r="H791" s="1">
        <v>44932</v>
      </c>
      <c r="I791">
        <v>37</v>
      </c>
      <c r="J791" t="s">
        <v>25</v>
      </c>
      <c r="K791">
        <v>19102.88</v>
      </c>
    </row>
    <row r="792" spans="1:11">
      <c r="A792">
        <v>791</v>
      </c>
      <c r="B792" t="s">
        <v>95</v>
      </c>
      <c r="C792" s="1">
        <v>20090</v>
      </c>
      <c r="D792">
        <v>71</v>
      </c>
      <c r="E792" t="s">
        <v>15</v>
      </c>
      <c r="F792" t="s">
        <v>16</v>
      </c>
      <c r="G792" s="1">
        <v>45138</v>
      </c>
      <c r="H792" s="1">
        <v>45138</v>
      </c>
      <c r="I792">
        <v>19</v>
      </c>
      <c r="J792" t="s">
        <v>25</v>
      </c>
      <c r="K792">
        <v>9905.3799999999992</v>
      </c>
    </row>
    <row r="793" spans="1:11">
      <c r="A793">
        <v>792</v>
      </c>
      <c r="B793" t="s">
        <v>11</v>
      </c>
      <c r="C793" s="1">
        <v>32143</v>
      </c>
      <c r="D793">
        <v>38</v>
      </c>
      <c r="E793" t="s">
        <v>12</v>
      </c>
      <c r="F793" t="s">
        <v>13</v>
      </c>
      <c r="G793" s="1">
        <v>45129</v>
      </c>
      <c r="H793" s="1">
        <v>44956</v>
      </c>
      <c r="I793">
        <v>10</v>
      </c>
      <c r="J793" t="s">
        <v>23</v>
      </c>
      <c r="K793">
        <v>16708.990000000002</v>
      </c>
    </row>
    <row r="794" spans="1:11">
      <c r="A794">
        <v>793</v>
      </c>
      <c r="B794" t="s">
        <v>105</v>
      </c>
      <c r="C794" s="1">
        <v>36891</v>
      </c>
      <c r="D794">
        <v>25</v>
      </c>
      <c r="E794" t="s">
        <v>15</v>
      </c>
      <c r="F794" t="s">
        <v>32</v>
      </c>
      <c r="G794" s="1">
        <v>45652</v>
      </c>
      <c r="H794" s="1">
        <v>45117</v>
      </c>
      <c r="I794">
        <v>36</v>
      </c>
      <c r="J794" t="s">
        <v>25</v>
      </c>
      <c r="K794">
        <v>10924.01</v>
      </c>
    </row>
    <row r="795" spans="1:11">
      <c r="A795">
        <v>794</v>
      </c>
      <c r="B795" t="s">
        <v>124</v>
      </c>
      <c r="C795" s="1">
        <v>33969</v>
      </c>
      <c r="D795">
        <v>33</v>
      </c>
      <c r="E795" t="s">
        <v>12</v>
      </c>
      <c r="G795" s="1">
        <v>45035</v>
      </c>
      <c r="H795" s="1">
        <v>45115</v>
      </c>
      <c r="I795">
        <v>14</v>
      </c>
      <c r="J795" t="s">
        <v>23</v>
      </c>
      <c r="K795">
        <v>1944.22</v>
      </c>
    </row>
    <row r="796" spans="1:11">
      <c r="A796">
        <v>795</v>
      </c>
      <c r="B796" t="s">
        <v>128</v>
      </c>
      <c r="C796" s="1">
        <v>26664</v>
      </c>
      <c r="D796">
        <v>53</v>
      </c>
      <c r="E796" t="s">
        <v>15</v>
      </c>
      <c r="F796" t="s">
        <v>16</v>
      </c>
      <c r="G796" s="1">
        <v>45210</v>
      </c>
      <c r="H796" s="1">
        <v>45764</v>
      </c>
      <c r="I796">
        <v>33</v>
      </c>
      <c r="J796" t="s">
        <v>23</v>
      </c>
      <c r="K796">
        <v>12272.95</v>
      </c>
    </row>
    <row r="797" spans="1:11">
      <c r="A797">
        <v>796</v>
      </c>
      <c r="B797" t="s">
        <v>153</v>
      </c>
      <c r="C797" s="1">
        <v>45292</v>
      </c>
      <c r="D797">
        <v>2</v>
      </c>
      <c r="E797" t="s">
        <v>15</v>
      </c>
      <c r="F797" t="s">
        <v>16</v>
      </c>
      <c r="G797" s="1">
        <v>45532</v>
      </c>
      <c r="H797" s="1">
        <v>45694</v>
      </c>
      <c r="I797">
        <v>36</v>
      </c>
      <c r="J797" t="s">
        <v>23</v>
      </c>
      <c r="K797">
        <v>19947.75</v>
      </c>
    </row>
    <row r="798" spans="1:11">
      <c r="A798">
        <v>797</v>
      </c>
      <c r="B798" t="s">
        <v>145</v>
      </c>
      <c r="C798" s="1">
        <v>28125</v>
      </c>
      <c r="D798">
        <v>49</v>
      </c>
      <c r="E798" t="s">
        <v>15</v>
      </c>
      <c r="F798" t="s">
        <v>21</v>
      </c>
      <c r="G798" s="1">
        <v>45151</v>
      </c>
      <c r="H798" s="1">
        <v>45077</v>
      </c>
      <c r="I798">
        <v>22</v>
      </c>
      <c r="J798" t="s">
        <v>25</v>
      </c>
      <c r="K798">
        <v>598.23</v>
      </c>
    </row>
    <row r="799" spans="1:11">
      <c r="A799">
        <v>798</v>
      </c>
      <c r="B799" t="s">
        <v>89</v>
      </c>
      <c r="C799" s="1">
        <v>42005</v>
      </c>
      <c r="D799">
        <v>11</v>
      </c>
      <c r="E799" t="s">
        <v>12</v>
      </c>
      <c r="F799" t="s">
        <v>16</v>
      </c>
      <c r="G799" s="1">
        <v>45044</v>
      </c>
      <c r="H799" s="1">
        <v>45452</v>
      </c>
      <c r="I799">
        <v>31</v>
      </c>
      <c r="J799" t="s">
        <v>19</v>
      </c>
      <c r="K799">
        <v>16820.060000000001</v>
      </c>
    </row>
    <row r="800" spans="1:11">
      <c r="A800">
        <v>799</v>
      </c>
      <c r="B800" t="s">
        <v>29</v>
      </c>
      <c r="C800" s="1">
        <v>22646</v>
      </c>
      <c r="D800">
        <v>64</v>
      </c>
      <c r="E800" t="s">
        <v>12</v>
      </c>
      <c r="F800" t="s">
        <v>32</v>
      </c>
      <c r="G800" s="1">
        <v>45529</v>
      </c>
      <c r="H800" s="1">
        <v>45811</v>
      </c>
      <c r="I800">
        <v>18</v>
      </c>
      <c r="J800" t="s">
        <v>19</v>
      </c>
      <c r="K800">
        <v>4633.16</v>
      </c>
    </row>
    <row r="801" spans="1:11">
      <c r="A801">
        <v>800</v>
      </c>
      <c r="B801" t="s">
        <v>104</v>
      </c>
      <c r="C801" s="1">
        <v>26664</v>
      </c>
      <c r="D801">
        <v>53</v>
      </c>
      <c r="E801" t="s">
        <v>12</v>
      </c>
      <c r="F801" t="s">
        <v>16</v>
      </c>
      <c r="G801" s="1">
        <v>45266</v>
      </c>
      <c r="H801" s="1">
        <v>45293</v>
      </c>
      <c r="I801">
        <v>22</v>
      </c>
      <c r="J801" t="s">
        <v>25</v>
      </c>
      <c r="K801">
        <v>7816.71</v>
      </c>
    </row>
    <row r="802" spans="1:11">
      <c r="A802">
        <v>801</v>
      </c>
      <c r="B802" t="s">
        <v>103</v>
      </c>
      <c r="C802" s="1">
        <v>44561</v>
      </c>
      <c r="E802" t="s">
        <v>15</v>
      </c>
      <c r="F802" t="s">
        <v>16</v>
      </c>
      <c r="G802" s="1">
        <v>45207</v>
      </c>
      <c r="H802" s="1">
        <v>45084</v>
      </c>
      <c r="I802">
        <v>22</v>
      </c>
      <c r="J802" t="s">
        <v>23</v>
      </c>
      <c r="K802">
        <v>7391.46</v>
      </c>
    </row>
    <row r="803" spans="1:11">
      <c r="A803">
        <v>802</v>
      </c>
      <c r="B803" t="s">
        <v>89</v>
      </c>
      <c r="C803" s="1">
        <v>12054</v>
      </c>
      <c r="D803">
        <v>93</v>
      </c>
      <c r="E803" t="s">
        <v>15</v>
      </c>
      <c r="F803" t="s">
        <v>13</v>
      </c>
      <c r="G803" s="1">
        <v>45417</v>
      </c>
      <c r="H803" s="1">
        <v>45007</v>
      </c>
      <c r="I803">
        <v>19</v>
      </c>
      <c r="J803" t="s">
        <v>25</v>
      </c>
      <c r="K803">
        <v>17965.82</v>
      </c>
    </row>
    <row r="804" spans="1:11">
      <c r="A804">
        <v>803</v>
      </c>
      <c r="B804" t="s">
        <v>54</v>
      </c>
      <c r="C804" s="1">
        <v>12054</v>
      </c>
      <c r="D804">
        <v>93</v>
      </c>
      <c r="E804" t="s">
        <v>12</v>
      </c>
      <c r="F804" t="s">
        <v>13</v>
      </c>
      <c r="G804" s="1">
        <v>44945</v>
      </c>
      <c r="H804" s="1">
        <v>45795</v>
      </c>
      <c r="I804">
        <v>20</v>
      </c>
      <c r="K804">
        <v>10040.17</v>
      </c>
    </row>
    <row r="805" spans="1:11">
      <c r="A805">
        <v>804</v>
      </c>
      <c r="B805" t="s">
        <v>135</v>
      </c>
      <c r="C805" s="1">
        <v>25568</v>
      </c>
      <c r="D805">
        <v>56</v>
      </c>
      <c r="E805" t="s">
        <v>15</v>
      </c>
      <c r="G805" s="1">
        <v>45101</v>
      </c>
      <c r="H805" s="1">
        <v>45200</v>
      </c>
      <c r="I805">
        <v>22</v>
      </c>
      <c r="J805" t="s">
        <v>19</v>
      </c>
      <c r="K805">
        <v>8888.2000000000007</v>
      </c>
    </row>
    <row r="806" spans="1:11">
      <c r="A806">
        <v>805</v>
      </c>
      <c r="B806" t="s">
        <v>107</v>
      </c>
      <c r="C806" s="1">
        <v>40178</v>
      </c>
      <c r="D806">
        <v>16</v>
      </c>
      <c r="E806" t="s">
        <v>12</v>
      </c>
      <c r="F806" t="s">
        <v>18</v>
      </c>
      <c r="G806" s="1">
        <v>45395</v>
      </c>
      <c r="H806" s="1">
        <v>45587</v>
      </c>
      <c r="I806">
        <v>11</v>
      </c>
      <c r="J806" t="s">
        <v>23</v>
      </c>
      <c r="K806">
        <v>16342.3</v>
      </c>
    </row>
    <row r="807" spans="1:11">
      <c r="A807">
        <v>806</v>
      </c>
      <c r="B807" t="s">
        <v>146</v>
      </c>
      <c r="C807" s="1">
        <v>29221</v>
      </c>
      <c r="D807">
        <v>46</v>
      </c>
      <c r="E807" t="s">
        <v>15</v>
      </c>
      <c r="F807" t="s">
        <v>45</v>
      </c>
      <c r="G807" s="1">
        <v>45544</v>
      </c>
      <c r="H807" s="1">
        <v>45645</v>
      </c>
      <c r="I807">
        <v>11</v>
      </c>
      <c r="J807" t="s">
        <v>25</v>
      </c>
      <c r="K807">
        <v>883.03</v>
      </c>
    </row>
    <row r="808" spans="1:11">
      <c r="A808">
        <v>807</v>
      </c>
      <c r="B808" t="s">
        <v>148</v>
      </c>
      <c r="C808" s="1">
        <v>37987</v>
      </c>
      <c r="E808" t="s">
        <v>12</v>
      </c>
      <c r="F808" t="s">
        <v>32</v>
      </c>
      <c r="G808" s="1">
        <v>45068</v>
      </c>
      <c r="H808" s="1">
        <v>45553</v>
      </c>
      <c r="I808">
        <v>23</v>
      </c>
      <c r="J808" t="s">
        <v>23</v>
      </c>
      <c r="K808">
        <v>1637.77</v>
      </c>
    </row>
    <row r="809" spans="1:11">
      <c r="A809">
        <v>808</v>
      </c>
      <c r="B809" t="s">
        <v>60</v>
      </c>
      <c r="C809" s="1">
        <v>17533</v>
      </c>
      <c r="D809">
        <v>78</v>
      </c>
      <c r="E809" t="s">
        <v>15</v>
      </c>
      <c r="F809" t="s">
        <v>45</v>
      </c>
      <c r="G809" s="1">
        <v>45389</v>
      </c>
      <c r="H809" s="1">
        <v>45445</v>
      </c>
      <c r="I809">
        <v>37</v>
      </c>
      <c r="K809">
        <v>335.95</v>
      </c>
    </row>
    <row r="810" spans="1:11">
      <c r="A810">
        <v>809</v>
      </c>
      <c r="B810" t="s">
        <v>67</v>
      </c>
      <c r="C810" s="1">
        <v>15341</v>
      </c>
      <c r="D810">
        <v>84</v>
      </c>
      <c r="E810" t="s">
        <v>12</v>
      </c>
      <c r="F810" t="s">
        <v>45</v>
      </c>
      <c r="G810" s="1">
        <v>45224</v>
      </c>
      <c r="H810" s="1">
        <v>45717</v>
      </c>
      <c r="I810">
        <v>27</v>
      </c>
      <c r="J810" t="s">
        <v>23</v>
      </c>
      <c r="K810">
        <v>13728.46</v>
      </c>
    </row>
    <row r="811" spans="1:11">
      <c r="A811">
        <v>810</v>
      </c>
      <c r="B811" t="s">
        <v>103</v>
      </c>
      <c r="C811" s="1">
        <v>41274</v>
      </c>
      <c r="D811">
        <v>13</v>
      </c>
      <c r="E811" t="s">
        <v>15</v>
      </c>
      <c r="F811" t="s">
        <v>16</v>
      </c>
      <c r="G811" s="1">
        <v>45396</v>
      </c>
      <c r="H811" s="1">
        <v>45159</v>
      </c>
      <c r="I811">
        <v>23</v>
      </c>
      <c r="K811">
        <v>10464.879999999999</v>
      </c>
    </row>
    <row r="812" spans="1:11">
      <c r="A812">
        <v>811</v>
      </c>
      <c r="B812" t="s">
        <v>58</v>
      </c>
      <c r="C812" s="1">
        <v>22281</v>
      </c>
      <c r="D812">
        <v>65</v>
      </c>
      <c r="E812" t="s">
        <v>15</v>
      </c>
      <c r="G812" s="1">
        <v>45631</v>
      </c>
      <c r="H812" s="1">
        <v>45576</v>
      </c>
      <c r="I812">
        <v>35</v>
      </c>
      <c r="J812" t="s">
        <v>19</v>
      </c>
      <c r="K812">
        <v>17508.04</v>
      </c>
    </row>
    <row r="813" spans="1:11">
      <c r="A813">
        <v>812</v>
      </c>
      <c r="B813" t="s">
        <v>83</v>
      </c>
      <c r="C813" s="1">
        <v>18994</v>
      </c>
      <c r="D813">
        <v>74</v>
      </c>
      <c r="E813" t="s">
        <v>15</v>
      </c>
      <c r="F813" t="s">
        <v>21</v>
      </c>
      <c r="G813" s="1">
        <v>45299</v>
      </c>
      <c r="H813" s="1">
        <v>45087</v>
      </c>
      <c r="I813">
        <v>19</v>
      </c>
      <c r="J813" t="s">
        <v>23</v>
      </c>
      <c r="K813">
        <v>9920.51</v>
      </c>
    </row>
    <row r="814" spans="1:11">
      <c r="A814">
        <v>813</v>
      </c>
      <c r="B814" t="s">
        <v>120</v>
      </c>
      <c r="C814" s="1">
        <v>27760</v>
      </c>
      <c r="D814">
        <v>50</v>
      </c>
      <c r="E814" t="s">
        <v>15</v>
      </c>
      <c r="F814" t="s">
        <v>21</v>
      </c>
      <c r="G814" s="1">
        <v>45394</v>
      </c>
      <c r="H814" s="1">
        <v>45271</v>
      </c>
      <c r="I814">
        <v>36</v>
      </c>
      <c r="J814" t="s">
        <v>25</v>
      </c>
      <c r="K814">
        <v>4358.57</v>
      </c>
    </row>
    <row r="815" spans="1:11">
      <c r="A815">
        <v>814</v>
      </c>
      <c r="B815" t="s">
        <v>71</v>
      </c>
      <c r="C815" s="1">
        <v>32508</v>
      </c>
      <c r="D815">
        <v>37</v>
      </c>
      <c r="E815" t="s">
        <v>15</v>
      </c>
      <c r="F815" t="s">
        <v>16</v>
      </c>
      <c r="G815" s="1">
        <v>45364</v>
      </c>
      <c r="H815" s="1">
        <v>45216</v>
      </c>
      <c r="I815">
        <v>36</v>
      </c>
      <c r="J815" t="s">
        <v>23</v>
      </c>
      <c r="K815">
        <v>16083.46</v>
      </c>
    </row>
    <row r="816" spans="1:11">
      <c r="A816">
        <v>815</v>
      </c>
      <c r="B816" t="s">
        <v>150</v>
      </c>
      <c r="C816" s="1">
        <v>23012</v>
      </c>
      <c r="D816">
        <v>63</v>
      </c>
      <c r="E816" t="s">
        <v>12</v>
      </c>
      <c r="G816" s="1">
        <v>45646</v>
      </c>
      <c r="H816" s="1">
        <v>45132</v>
      </c>
      <c r="I816">
        <v>31</v>
      </c>
      <c r="J816" t="s">
        <v>23</v>
      </c>
      <c r="K816">
        <v>5815.91</v>
      </c>
    </row>
    <row r="817" spans="1:11">
      <c r="A817">
        <v>816</v>
      </c>
      <c r="B817" t="s">
        <v>82</v>
      </c>
      <c r="C817" s="1">
        <v>32508</v>
      </c>
      <c r="D817">
        <v>37</v>
      </c>
      <c r="E817" t="s">
        <v>12</v>
      </c>
      <c r="F817" t="s">
        <v>32</v>
      </c>
      <c r="G817" s="1">
        <v>45369</v>
      </c>
      <c r="H817" s="1">
        <v>45765</v>
      </c>
      <c r="I817">
        <v>22</v>
      </c>
      <c r="K817">
        <v>18707.36</v>
      </c>
    </row>
    <row r="818" spans="1:11">
      <c r="A818">
        <v>817</v>
      </c>
      <c r="B818" t="s">
        <v>130</v>
      </c>
      <c r="C818" s="1">
        <v>28125</v>
      </c>
      <c r="D818">
        <v>49</v>
      </c>
      <c r="E818" t="s">
        <v>12</v>
      </c>
      <c r="F818" t="s">
        <v>45</v>
      </c>
      <c r="G818" s="1">
        <v>45382</v>
      </c>
      <c r="H818" s="1">
        <v>45232</v>
      </c>
      <c r="I818">
        <v>33</v>
      </c>
      <c r="K818">
        <v>4933.5200000000004</v>
      </c>
    </row>
    <row r="819" spans="1:11">
      <c r="A819">
        <v>818</v>
      </c>
      <c r="B819" t="s">
        <v>117</v>
      </c>
      <c r="C819" s="1">
        <v>16437</v>
      </c>
      <c r="D819">
        <v>81</v>
      </c>
      <c r="E819" t="s">
        <v>12</v>
      </c>
      <c r="F819" t="s">
        <v>18</v>
      </c>
      <c r="G819" s="1">
        <v>45174</v>
      </c>
      <c r="H819" s="1">
        <v>45287</v>
      </c>
      <c r="I819">
        <v>10</v>
      </c>
      <c r="J819" t="s">
        <v>25</v>
      </c>
      <c r="K819">
        <v>3271.19</v>
      </c>
    </row>
    <row r="820" spans="1:11">
      <c r="A820">
        <v>819</v>
      </c>
      <c r="B820" t="s">
        <v>81</v>
      </c>
      <c r="C820" s="1">
        <v>35430</v>
      </c>
      <c r="D820">
        <v>29</v>
      </c>
      <c r="E820" t="s">
        <v>12</v>
      </c>
      <c r="G820" s="1">
        <v>45068</v>
      </c>
      <c r="H820" s="1">
        <v>45597</v>
      </c>
      <c r="I820">
        <v>26</v>
      </c>
      <c r="J820" t="s">
        <v>19</v>
      </c>
      <c r="K820">
        <v>9815.81</v>
      </c>
    </row>
    <row r="821" spans="1:11">
      <c r="A821">
        <v>820</v>
      </c>
      <c r="B821" t="s">
        <v>68</v>
      </c>
      <c r="C821" s="1">
        <v>17533</v>
      </c>
      <c r="D821">
        <v>78</v>
      </c>
      <c r="E821" t="s">
        <v>15</v>
      </c>
      <c r="F821" t="s">
        <v>45</v>
      </c>
      <c r="G821" s="1">
        <v>45328</v>
      </c>
      <c r="H821" s="1">
        <v>45797</v>
      </c>
      <c r="I821">
        <v>39</v>
      </c>
      <c r="J821" t="s">
        <v>19</v>
      </c>
      <c r="K821">
        <v>915.35</v>
      </c>
    </row>
    <row r="822" spans="1:11">
      <c r="A822">
        <v>821</v>
      </c>
      <c r="B822" t="s">
        <v>67</v>
      </c>
      <c r="C822" s="1">
        <v>13150</v>
      </c>
      <c r="D822">
        <v>90</v>
      </c>
      <c r="E822" t="s">
        <v>15</v>
      </c>
      <c r="F822" t="s">
        <v>21</v>
      </c>
      <c r="G822" s="1">
        <v>45148</v>
      </c>
      <c r="H822" s="1">
        <v>45327</v>
      </c>
      <c r="I822">
        <v>6</v>
      </c>
      <c r="K822">
        <v>631.88</v>
      </c>
    </row>
    <row r="823" spans="1:11">
      <c r="A823">
        <v>822</v>
      </c>
      <c r="B823" t="s">
        <v>123</v>
      </c>
      <c r="C823" s="1">
        <v>27760</v>
      </c>
      <c r="D823">
        <v>50</v>
      </c>
      <c r="E823" t="s">
        <v>15</v>
      </c>
      <c r="F823" t="s">
        <v>45</v>
      </c>
      <c r="G823" s="1">
        <v>45110</v>
      </c>
      <c r="H823" s="1">
        <v>45376</v>
      </c>
      <c r="I823">
        <v>12</v>
      </c>
      <c r="J823" t="s">
        <v>25</v>
      </c>
      <c r="K823">
        <v>9869.89</v>
      </c>
    </row>
    <row r="824" spans="1:11">
      <c r="A824">
        <v>823</v>
      </c>
      <c r="B824" t="s">
        <v>64</v>
      </c>
      <c r="C824" s="1">
        <v>23377</v>
      </c>
      <c r="D824">
        <v>62</v>
      </c>
      <c r="E824" t="s">
        <v>12</v>
      </c>
      <c r="F824" t="s">
        <v>13</v>
      </c>
      <c r="G824" s="1">
        <v>45290</v>
      </c>
      <c r="H824" s="1">
        <v>45033</v>
      </c>
      <c r="I824">
        <v>28</v>
      </c>
      <c r="J824" t="s">
        <v>23</v>
      </c>
      <c r="K824">
        <v>4223.6499999999996</v>
      </c>
    </row>
    <row r="825" spans="1:11">
      <c r="A825">
        <v>824</v>
      </c>
      <c r="B825" t="s">
        <v>135</v>
      </c>
      <c r="C825" s="1">
        <v>27395</v>
      </c>
      <c r="D825">
        <v>51</v>
      </c>
      <c r="E825" t="s">
        <v>15</v>
      </c>
      <c r="F825" t="s">
        <v>13</v>
      </c>
      <c r="G825" s="1">
        <v>45114</v>
      </c>
      <c r="H825" s="1">
        <v>45009</v>
      </c>
      <c r="I825">
        <v>24</v>
      </c>
      <c r="J825" t="s">
        <v>25</v>
      </c>
      <c r="K825">
        <v>87.99</v>
      </c>
    </row>
    <row r="826" spans="1:11">
      <c r="A826">
        <v>825</v>
      </c>
      <c r="B826" t="s">
        <v>57</v>
      </c>
      <c r="C826" s="1">
        <v>32508</v>
      </c>
      <c r="D826">
        <v>37</v>
      </c>
      <c r="E826" t="s">
        <v>15</v>
      </c>
      <c r="F826" t="s">
        <v>18</v>
      </c>
      <c r="G826" s="1">
        <v>45039</v>
      </c>
      <c r="H826" s="1">
        <v>45269</v>
      </c>
      <c r="I826">
        <v>28</v>
      </c>
      <c r="J826" t="s">
        <v>25</v>
      </c>
      <c r="K826">
        <v>5850.74</v>
      </c>
    </row>
    <row r="827" spans="1:11">
      <c r="A827">
        <v>826</v>
      </c>
      <c r="B827" t="s">
        <v>70</v>
      </c>
      <c r="C827" s="1">
        <v>14246</v>
      </c>
      <c r="D827">
        <v>87</v>
      </c>
      <c r="E827" t="s">
        <v>12</v>
      </c>
      <c r="F827" t="s">
        <v>32</v>
      </c>
      <c r="G827" s="1">
        <v>45107</v>
      </c>
      <c r="H827" s="1">
        <v>45709</v>
      </c>
      <c r="I827">
        <v>7</v>
      </c>
      <c r="J827" t="s">
        <v>25</v>
      </c>
      <c r="K827">
        <v>9495.08</v>
      </c>
    </row>
    <row r="828" spans="1:11">
      <c r="A828">
        <v>827</v>
      </c>
      <c r="B828" t="s">
        <v>135</v>
      </c>
      <c r="C828" s="1">
        <v>17533</v>
      </c>
      <c r="D828">
        <v>78</v>
      </c>
      <c r="E828" t="s">
        <v>15</v>
      </c>
      <c r="F828" t="s">
        <v>45</v>
      </c>
      <c r="G828" s="1">
        <v>45125</v>
      </c>
      <c r="H828" s="1">
        <v>45348</v>
      </c>
      <c r="I828">
        <v>34</v>
      </c>
      <c r="J828" t="s">
        <v>19</v>
      </c>
      <c r="K828">
        <v>7825.2</v>
      </c>
    </row>
    <row r="829" spans="1:11">
      <c r="A829">
        <v>828</v>
      </c>
      <c r="B829" t="s">
        <v>47</v>
      </c>
      <c r="C829" s="1">
        <v>35430</v>
      </c>
      <c r="D829">
        <v>29</v>
      </c>
      <c r="E829" t="s">
        <v>12</v>
      </c>
      <c r="F829" t="s">
        <v>13</v>
      </c>
      <c r="G829" s="1">
        <v>44996</v>
      </c>
      <c r="H829" s="1">
        <v>44976</v>
      </c>
      <c r="I829">
        <v>4</v>
      </c>
      <c r="J829" t="s">
        <v>23</v>
      </c>
      <c r="K829">
        <v>2622.94</v>
      </c>
    </row>
    <row r="830" spans="1:11">
      <c r="A830">
        <v>829</v>
      </c>
      <c r="B830" t="s">
        <v>85</v>
      </c>
      <c r="C830" s="1">
        <v>27760</v>
      </c>
      <c r="D830">
        <v>50</v>
      </c>
      <c r="E830" t="s">
        <v>12</v>
      </c>
      <c r="F830" t="s">
        <v>32</v>
      </c>
      <c r="G830" s="1">
        <v>45524</v>
      </c>
      <c r="H830" s="1">
        <v>45133</v>
      </c>
      <c r="I830">
        <v>29</v>
      </c>
      <c r="J830" t="s">
        <v>25</v>
      </c>
      <c r="K830">
        <v>11551.46</v>
      </c>
    </row>
    <row r="831" spans="1:11">
      <c r="A831">
        <v>830</v>
      </c>
      <c r="B831" t="s">
        <v>165</v>
      </c>
      <c r="C831" s="1">
        <v>16802</v>
      </c>
      <c r="D831">
        <v>80</v>
      </c>
      <c r="E831" t="s">
        <v>15</v>
      </c>
      <c r="G831" s="1">
        <v>45411</v>
      </c>
      <c r="H831" s="1">
        <v>45145</v>
      </c>
      <c r="I831">
        <v>8</v>
      </c>
      <c r="J831" t="s">
        <v>19</v>
      </c>
      <c r="K831">
        <v>14177.69</v>
      </c>
    </row>
    <row r="832" spans="1:11">
      <c r="A832">
        <v>831</v>
      </c>
      <c r="B832" t="s">
        <v>137</v>
      </c>
      <c r="C832" s="1">
        <v>44561</v>
      </c>
      <c r="D832">
        <v>4</v>
      </c>
      <c r="E832" t="s">
        <v>15</v>
      </c>
      <c r="G832" s="1">
        <v>45325</v>
      </c>
      <c r="H832" s="1">
        <v>45745</v>
      </c>
      <c r="I832">
        <v>25</v>
      </c>
      <c r="J832" t="s">
        <v>19</v>
      </c>
      <c r="K832">
        <v>13478.34</v>
      </c>
    </row>
    <row r="833" spans="1:11">
      <c r="A833">
        <v>832</v>
      </c>
      <c r="B833" t="s">
        <v>136</v>
      </c>
      <c r="C833" s="1">
        <v>35795</v>
      </c>
      <c r="E833" t="s">
        <v>12</v>
      </c>
      <c r="F833" t="s">
        <v>13</v>
      </c>
      <c r="G833" s="1">
        <v>45477</v>
      </c>
      <c r="H833" s="1">
        <v>45603</v>
      </c>
      <c r="I833">
        <v>1</v>
      </c>
      <c r="K833">
        <v>7814.61</v>
      </c>
    </row>
    <row r="834" spans="1:11">
      <c r="A834">
        <v>833</v>
      </c>
      <c r="B834" t="s">
        <v>120</v>
      </c>
      <c r="C834" s="1">
        <v>44927</v>
      </c>
      <c r="D834">
        <v>3</v>
      </c>
      <c r="E834" t="s">
        <v>12</v>
      </c>
      <c r="F834" t="s">
        <v>32</v>
      </c>
      <c r="G834" s="1">
        <v>45569</v>
      </c>
      <c r="H834" s="1">
        <v>45363</v>
      </c>
      <c r="I834">
        <v>28</v>
      </c>
      <c r="J834" t="s">
        <v>23</v>
      </c>
      <c r="K834">
        <v>2665.68</v>
      </c>
    </row>
    <row r="835" spans="1:11">
      <c r="A835">
        <v>834</v>
      </c>
      <c r="B835" t="s">
        <v>59</v>
      </c>
      <c r="C835" s="1">
        <v>42735</v>
      </c>
      <c r="D835">
        <v>9</v>
      </c>
      <c r="E835" t="s">
        <v>15</v>
      </c>
      <c r="F835" t="s">
        <v>32</v>
      </c>
      <c r="G835" s="1">
        <v>44936</v>
      </c>
      <c r="H835" s="1">
        <v>45718</v>
      </c>
      <c r="I835">
        <v>26</v>
      </c>
      <c r="J835" t="s">
        <v>25</v>
      </c>
      <c r="K835">
        <v>9939.68</v>
      </c>
    </row>
    <row r="836" spans="1:11">
      <c r="A836">
        <v>835</v>
      </c>
      <c r="B836" t="s">
        <v>62</v>
      </c>
      <c r="D836">
        <v>55</v>
      </c>
      <c r="E836" t="s">
        <v>12</v>
      </c>
      <c r="F836" t="s">
        <v>13</v>
      </c>
      <c r="G836" s="1">
        <v>44929</v>
      </c>
      <c r="H836" s="1">
        <v>45249</v>
      </c>
      <c r="I836">
        <v>30</v>
      </c>
      <c r="J836" t="s">
        <v>23</v>
      </c>
      <c r="K836">
        <v>17797.68</v>
      </c>
    </row>
    <row r="837" spans="1:11">
      <c r="A837">
        <v>836</v>
      </c>
      <c r="B837" t="s">
        <v>165</v>
      </c>
      <c r="C837" s="1">
        <v>40178</v>
      </c>
      <c r="D837">
        <v>16</v>
      </c>
      <c r="E837" t="s">
        <v>12</v>
      </c>
      <c r="F837" t="s">
        <v>16</v>
      </c>
      <c r="G837" s="1">
        <v>45404</v>
      </c>
      <c r="H837" s="1">
        <v>45158</v>
      </c>
      <c r="I837">
        <v>1</v>
      </c>
      <c r="K837">
        <v>9321.33</v>
      </c>
    </row>
    <row r="838" spans="1:11">
      <c r="A838">
        <v>837</v>
      </c>
      <c r="B838" t="s">
        <v>145</v>
      </c>
      <c r="C838" s="1">
        <v>19359</v>
      </c>
      <c r="D838">
        <v>73</v>
      </c>
      <c r="E838" t="s">
        <v>15</v>
      </c>
      <c r="F838" t="s">
        <v>21</v>
      </c>
      <c r="G838" s="1">
        <v>45588</v>
      </c>
      <c r="H838" s="1">
        <v>45638</v>
      </c>
      <c r="I838">
        <v>23</v>
      </c>
      <c r="K838">
        <v>3833.19</v>
      </c>
    </row>
    <row r="839" spans="1:11">
      <c r="A839">
        <v>838</v>
      </c>
      <c r="B839" t="s">
        <v>68</v>
      </c>
      <c r="C839" s="1">
        <v>40178</v>
      </c>
      <c r="D839">
        <v>16</v>
      </c>
      <c r="E839" t="s">
        <v>15</v>
      </c>
      <c r="F839" t="s">
        <v>32</v>
      </c>
      <c r="G839" s="1">
        <v>44993</v>
      </c>
      <c r="H839" s="1">
        <v>45414</v>
      </c>
      <c r="I839">
        <v>28</v>
      </c>
      <c r="J839" t="s">
        <v>25</v>
      </c>
      <c r="K839">
        <v>1770.37</v>
      </c>
    </row>
    <row r="840" spans="1:11">
      <c r="A840">
        <v>839</v>
      </c>
      <c r="B840" t="s">
        <v>52</v>
      </c>
      <c r="C840" s="1">
        <v>15707</v>
      </c>
      <c r="D840">
        <v>83</v>
      </c>
      <c r="E840" t="s">
        <v>12</v>
      </c>
      <c r="G840" s="1">
        <v>45631</v>
      </c>
      <c r="H840" s="1">
        <v>45356</v>
      </c>
      <c r="I840">
        <v>28</v>
      </c>
      <c r="J840" t="s">
        <v>19</v>
      </c>
      <c r="K840">
        <v>18872.93</v>
      </c>
    </row>
    <row r="841" spans="1:11">
      <c r="A841">
        <v>840</v>
      </c>
      <c r="B841" t="s">
        <v>61</v>
      </c>
      <c r="C841" s="1">
        <v>14246</v>
      </c>
      <c r="D841">
        <v>87</v>
      </c>
      <c r="E841" t="s">
        <v>15</v>
      </c>
      <c r="F841" t="s">
        <v>16</v>
      </c>
      <c r="G841" s="1">
        <v>45023</v>
      </c>
      <c r="H841" s="1">
        <v>45810</v>
      </c>
      <c r="I841">
        <v>24</v>
      </c>
      <c r="K841">
        <v>14834.49</v>
      </c>
    </row>
    <row r="842" spans="1:11">
      <c r="A842">
        <v>841</v>
      </c>
      <c r="B842" t="s">
        <v>70</v>
      </c>
      <c r="C842" s="1">
        <v>21185</v>
      </c>
      <c r="D842">
        <v>68</v>
      </c>
      <c r="E842" t="s">
        <v>12</v>
      </c>
      <c r="F842" t="s">
        <v>45</v>
      </c>
      <c r="G842" s="1">
        <v>45457</v>
      </c>
      <c r="H842" s="1">
        <v>45653</v>
      </c>
      <c r="I842">
        <v>22</v>
      </c>
      <c r="J842" t="s">
        <v>19</v>
      </c>
      <c r="K842">
        <v>6190.64</v>
      </c>
    </row>
    <row r="843" spans="1:11">
      <c r="A843">
        <v>842</v>
      </c>
      <c r="B843" t="s">
        <v>160</v>
      </c>
      <c r="C843" s="1">
        <v>33969</v>
      </c>
      <c r="D843">
        <v>33</v>
      </c>
      <c r="E843" t="s">
        <v>15</v>
      </c>
      <c r="F843" t="s">
        <v>16</v>
      </c>
      <c r="G843" s="1">
        <v>45244</v>
      </c>
      <c r="H843" s="1">
        <v>45211</v>
      </c>
      <c r="I843">
        <v>33</v>
      </c>
      <c r="K843">
        <v>5836.58</v>
      </c>
    </row>
    <row r="844" spans="1:11">
      <c r="A844">
        <v>843</v>
      </c>
      <c r="B844" t="s">
        <v>148</v>
      </c>
      <c r="C844" s="1">
        <v>44196</v>
      </c>
      <c r="E844" t="s">
        <v>12</v>
      </c>
      <c r="F844" t="s">
        <v>13</v>
      </c>
      <c r="G844" s="1">
        <v>45024</v>
      </c>
      <c r="H844" s="1">
        <v>45413</v>
      </c>
      <c r="I844">
        <v>28</v>
      </c>
      <c r="J844" t="s">
        <v>23</v>
      </c>
      <c r="K844">
        <v>17893.89</v>
      </c>
    </row>
    <row r="845" spans="1:11">
      <c r="A845">
        <v>844</v>
      </c>
      <c r="B845" t="s">
        <v>117</v>
      </c>
      <c r="C845" s="1">
        <v>27029</v>
      </c>
      <c r="E845" t="s">
        <v>12</v>
      </c>
      <c r="F845" t="s">
        <v>16</v>
      </c>
      <c r="G845" s="1">
        <v>44983</v>
      </c>
      <c r="H845" s="1">
        <v>45203</v>
      </c>
      <c r="I845">
        <v>34</v>
      </c>
      <c r="J845" t="s">
        <v>25</v>
      </c>
      <c r="K845">
        <v>3469.12</v>
      </c>
    </row>
    <row r="846" spans="1:11">
      <c r="A846">
        <v>845</v>
      </c>
      <c r="B846" t="s">
        <v>123</v>
      </c>
      <c r="C846" s="1">
        <v>22281</v>
      </c>
      <c r="D846">
        <v>65</v>
      </c>
      <c r="E846" t="s">
        <v>12</v>
      </c>
      <c r="F846" t="s">
        <v>21</v>
      </c>
      <c r="G846" s="1">
        <v>45033</v>
      </c>
      <c r="H846" s="1">
        <v>45360</v>
      </c>
      <c r="I846">
        <v>20</v>
      </c>
      <c r="K846">
        <v>10654.25</v>
      </c>
    </row>
    <row r="847" spans="1:11">
      <c r="A847">
        <v>846</v>
      </c>
      <c r="B847" t="s">
        <v>105</v>
      </c>
      <c r="C847" s="1">
        <v>18263</v>
      </c>
      <c r="D847">
        <v>76</v>
      </c>
      <c r="E847" t="s">
        <v>15</v>
      </c>
      <c r="F847" t="s">
        <v>13</v>
      </c>
      <c r="G847" s="1">
        <v>45014</v>
      </c>
      <c r="H847" s="1">
        <v>45112</v>
      </c>
      <c r="I847">
        <v>32</v>
      </c>
      <c r="J847" t="s">
        <v>23</v>
      </c>
      <c r="K847">
        <v>14241.44</v>
      </c>
    </row>
    <row r="848" spans="1:11">
      <c r="A848">
        <v>847</v>
      </c>
      <c r="B848" t="s">
        <v>30</v>
      </c>
      <c r="C848" s="1">
        <v>30682</v>
      </c>
      <c r="D848">
        <v>42</v>
      </c>
      <c r="E848" t="s">
        <v>15</v>
      </c>
      <c r="F848" t="s">
        <v>18</v>
      </c>
      <c r="G848" s="1">
        <v>45579</v>
      </c>
      <c r="H848" s="1">
        <v>45649</v>
      </c>
      <c r="I848">
        <v>1</v>
      </c>
      <c r="K848">
        <v>7867.45</v>
      </c>
    </row>
    <row r="849" spans="1:11">
      <c r="A849">
        <v>848</v>
      </c>
      <c r="B849" t="s">
        <v>63</v>
      </c>
      <c r="C849" s="1">
        <v>18994</v>
      </c>
      <c r="D849">
        <v>74</v>
      </c>
      <c r="E849" t="s">
        <v>12</v>
      </c>
      <c r="F849" t="s">
        <v>45</v>
      </c>
      <c r="G849" s="1">
        <v>45582</v>
      </c>
      <c r="H849" s="1">
        <v>45560</v>
      </c>
      <c r="I849">
        <v>25</v>
      </c>
      <c r="J849" t="s">
        <v>25</v>
      </c>
      <c r="K849">
        <v>702.04</v>
      </c>
    </row>
    <row r="850" spans="1:11">
      <c r="A850">
        <v>849</v>
      </c>
      <c r="B850" t="s">
        <v>49</v>
      </c>
      <c r="C850" s="1">
        <v>37987</v>
      </c>
      <c r="D850">
        <v>22</v>
      </c>
      <c r="E850" t="s">
        <v>15</v>
      </c>
      <c r="G850" s="1">
        <v>45297</v>
      </c>
      <c r="H850" s="1">
        <v>45143</v>
      </c>
      <c r="I850">
        <v>39</v>
      </c>
      <c r="J850" t="s">
        <v>23</v>
      </c>
      <c r="K850">
        <v>4477.95</v>
      </c>
    </row>
    <row r="851" spans="1:11">
      <c r="A851">
        <v>850</v>
      </c>
      <c r="B851" t="s">
        <v>55</v>
      </c>
      <c r="C851" s="1">
        <v>26299</v>
      </c>
      <c r="D851">
        <v>54</v>
      </c>
      <c r="E851" t="s">
        <v>15</v>
      </c>
      <c r="F851" t="s">
        <v>18</v>
      </c>
      <c r="G851" s="1">
        <v>45301</v>
      </c>
      <c r="H851" s="1">
        <v>45024</v>
      </c>
      <c r="I851">
        <v>38</v>
      </c>
      <c r="J851" t="s">
        <v>19</v>
      </c>
      <c r="K851">
        <v>18026.34</v>
      </c>
    </row>
    <row r="852" spans="1:11">
      <c r="A852">
        <v>851</v>
      </c>
      <c r="B852" t="s">
        <v>75</v>
      </c>
      <c r="C852" s="1">
        <v>17168</v>
      </c>
      <c r="D852">
        <v>79</v>
      </c>
      <c r="E852" t="s">
        <v>12</v>
      </c>
      <c r="F852" t="s">
        <v>16</v>
      </c>
      <c r="G852" s="1">
        <v>44978</v>
      </c>
      <c r="H852" s="1">
        <v>45046</v>
      </c>
      <c r="I852">
        <v>39</v>
      </c>
      <c r="K852">
        <v>10414.69</v>
      </c>
    </row>
    <row r="853" spans="1:11">
      <c r="A853">
        <v>852</v>
      </c>
      <c r="B853" t="s">
        <v>22</v>
      </c>
      <c r="C853" s="1">
        <v>11689</v>
      </c>
      <c r="D853">
        <v>94</v>
      </c>
      <c r="E853" t="s">
        <v>15</v>
      </c>
      <c r="F853" t="s">
        <v>32</v>
      </c>
      <c r="G853" s="1">
        <v>45650</v>
      </c>
      <c r="H853" s="1">
        <v>45292</v>
      </c>
      <c r="I853">
        <v>10</v>
      </c>
      <c r="K853">
        <v>16290.37</v>
      </c>
    </row>
    <row r="854" spans="1:11">
      <c r="A854">
        <v>853</v>
      </c>
      <c r="B854" t="s">
        <v>136</v>
      </c>
      <c r="C854" s="1">
        <v>18994</v>
      </c>
      <c r="D854">
        <v>74</v>
      </c>
      <c r="E854" t="s">
        <v>15</v>
      </c>
      <c r="F854" t="s">
        <v>16</v>
      </c>
      <c r="G854" s="1">
        <v>44967</v>
      </c>
      <c r="H854" s="1">
        <v>45721</v>
      </c>
      <c r="I854">
        <v>-2</v>
      </c>
      <c r="J854" t="s">
        <v>23</v>
      </c>
      <c r="K854">
        <v>11069.28</v>
      </c>
    </row>
    <row r="855" spans="1:11">
      <c r="A855">
        <v>854</v>
      </c>
      <c r="B855" t="s">
        <v>157</v>
      </c>
      <c r="C855" s="1">
        <v>40544</v>
      </c>
      <c r="D855">
        <v>15</v>
      </c>
      <c r="E855" t="s">
        <v>15</v>
      </c>
      <c r="G855" s="1">
        <v>45017</v>
      </c>
      <c r="H855" s="1">
        <v>45330</v>
      </c>
      <c r="I855">
        <v>9</v>
      </c>
      <c r="J855" t="s">
        <v>25</v>
      </c>
      <c r="K855">
        <v>18866.400000000001</v>
      </c>
    </row>
    <row r="856" spans="1:11">
      <c r="A856">
        <v>855</v>
      </c>
      <c r="B856" t="s">
        <v>107</v>
      </c>
      <c r="C856" s="1">
        <v>43466</v>
      </c>
      <c r="D856">
        <v>7</v>
      </c>
      <c r="E856" t="s">
        <v>12</v>
      </c>
      <c r="G856" s="1">
        <v>44965</v>
      </c>
      <c r="H856" s="1">
        <v>45545</v>
      </c>
      <c r="I856">
        <v>37</v>
      </c>
      <c r="K856">
        <v>18173.59</v>
      </c>
    </row>
    <row r="857" spans="1:11">
      <c r="A857">
        <v>856</v>
      </c>
      <c r="B857" t="s">
        <v>128</v>
      </c>
      <c r="C857" s="1">
        <v>44927</v>
      </c>
      <c r="D857">
        <v>3</v>
      </c>
      <c r="E857" t="s">
        <v>12</v>
      </c>
      <c r="F857" t="s">
        <v>32</v>
      </c>
      <c r="G857" s="1">
        <v>44939</v>
      </c>
      <c r="H857" s="1">
        <v>45324</v>
      </c>
      <c r="I857">
        <v>23</v>
      </c>
      <c r="J857" t="s">
        <v>23</v>
      </c>
      <c r="K857">
        <v>9606.0499999999993</v>
      </c>
    </row>
    <row r="858" spans="1:11">
      <c r="A858">
        <v>857</v>
      </c>
      <c r="B858" t="s">
        <v>129</v>
      </c>
      <c r="D858">
        <v>3</v>
      </c>
      <c r="E858" t="s">
        <v>15</v>
      </c>
      <c r="F858" t="s">
        <v>18</v>
      </c>
      <c r="G858" s="1">
        <v>45534</v>
      </c>
      <c r="H858" s="1">
        <v>45385</v>
      </c>
      <c r="I858">
        <v>20</v>
      </c>
      <c r="J858" t="s">
        <v>25</v>
      </c>
      <c r="K858">
        <v>6297.31</v>
      </c>
    </row>
    <row r="859" spans="1:11">
      <c r="A859">
        <v>858</v>
      </c>
      <c r="B859" t="s">
        <v>156</v>
      </c>
      <c r="C859" s="1">
        <v>25934</v>
      </c>
      <c r="D859">
        <v>55</v>
      </c>
      <c r="E859" t="s">
        <v>15</v>
      </c>
      <c r="F859" t="s">
        <v>18</v>
      </c>
      <c r="G859" s="1">
        <v>45547</v>
      </c>
      <c r="H859" s="1">
        <v>45245</v>
      </c>
      <c r="I859">
        <v>19</v>
      </c>
      <c r="K859">
        <v>11993.54</v>
      </c>
    </row>
    <row r="860" spans="1:11">
      <c r="A860">
        <v>859</v>
      </c>
      <c r="B860" t="s">
        <v>138</v>
      </c>
      <c r="C860" s="1">
        <v>37256</v>
      </c>
      <c r="D860">
        <v>24</v>
      </c>
      <c r="E860" t="s">
        <v>15</v>
      </c>
      <c r="F860" t="s">
        <v>32</v>
      </c>
      <c r="G860" s="1">
        <v>45030</v>
      </c>
      <c r="H860" s="1">
        <v>45309</v>
      </c>
      <c r="I860">
        <v>25</v>
      </c>
      <c r="J860" t="s">
        <v>23</v>
      </c>
      <c r="K860">
        <v>13465.24</v>
      </c>
    </row>
    <row r="861" spans="1:11">
      <c r="A861">
        <v>860</v>
      </c>
      <c r="B861" t="s">
        <v>96</v>
      </c>
      <c r="C861" s="1">
        <v>21916</v>
      </c>
      <c r="D861">
        <v>66</v>
      </c>
      <c r="E861" t="s">
        <v>12</v>
      </c>
      <c r="F861" t="s">
        <v>21</v>
      </c>
      <c r="G861" s="1">
        <v>44969</v>
      </c>
      <c r="H861" s="1">
        <v>45069</v>
      </c>
      <c r="I861">
        <v>14</v>
      </c>
      <c r="J861" t="s">
        <v>25</v>
      </c>
      <c r="K861">
        <v>9916.94</v>
      </c>
    </row>
    <row r="862" spans="1:11">
      <c r="A862">
        <v>861</v>
      </c>
      <c r="B862" t="s">
        <v>167</v>
      </c>
      <c r="C862" s="1">
        <v>21916</v>
      </c>
      <c r="D862">
        <v>66</v>
      </c>
      <c r="E862" t="s">
        <v>15</v>
      </c>
      <c r="F862" t="s">
        <v>45</v>
      </c>
      <c r="G862" s="1">
        <v>45135</v>
      </c>
      <c r="H862" s="1">
        <v>45384</v>
      </c>
      <c r="I862">
        <v>3</v>
      </c>
      <c r="K862">
        <v>16427.89</v>
      </c>
    </row>
    <row r="863" spans="1:11">
      <c r="A863">
        <v>862</v>
      </c>
      <c r="B863" t="s">
        <v>106</v>
      </c>
      <c r="C863" s="1">
        <v>36526</v>
      </c>
      <c r="D863">
        <v>26</v>
      </c>
      <c r="E863" t="s">
        <v>12</v>
      </c>
      <c r="F863" t="s">
        <v>13</v>
      </c>
      <c r="G863" s="1">
        <v>45526</v>
      </c>
      <c r="H863" s="1">
        <v>45428</v>
      </c>
      <c r="I863">
        <v>11</v>
      </c>
      <c r="K863">
        <v>3584.9</v>
      </c>
    </row>
    <row r="864" spans="1:11">
      <c r="A864">
        <v>863</v>
      </c>
      <c r="B864" t="s">
        <v>106</v>
      </c>
      <c r="C864" s="1">
        <v>12419</v>
      </c>
      <c r="D864">
        <v>92</v>
      </c>
      <c r="E864" t="s">
        <v>15</v>
      </c>
      <c r="F864" t="s">
        <v>18</v>
      </c>
      <c r="G864" s="1">
        <v>45531</v>
      </c>
      <c r="H864" s="1">
        <v>45250</v>
      </c>
      <c r="I864">
        <v>14</v>
      </c>
      <c r="J864" t="s">
        <v>25</v>
      </c>
      <c r="K864">
        <v>6621.68</v>
      </c>
    </row>
    <row r="865" spans="1:11">
      <c r="A865">
        <v>864</v>
      </c>
      <c r="B865" t="s">
        <v>159</v>
      </c>
      <c r="C865" s="1">
        <v>34700</v>
      </c>
      <c r="D865">
        <v>31</v>
      </c>
      <c r="F865" t="s">
        <v>45</v>
      </c>
      <c r="G865" s="1">
        <v>45612</v>
      </c>
      <c r="H865" s="1">
        <v>45195</v>
      </c>
      <c r="I865">
        <v>35</v>
      </c>
      <c r="J865" t="s">
        <v>25</v>
      </c>
      <c r="K865">
        <v>13696.16</v>
      </c>
    </row>
    <row r="866" spans="1:11">
      <c r="A866">
        <v>865</v>
      </c>
      <c r="B866" t="s">
        <v>161</v>
      </c>
      <c r="C866" s="1">
        <v>28125</v>
      </c>
      <c r="D866">
        <v>49</v>
      </c>
      <c r="E866" t="s">
        <v>15</v>
      </c>
      <c r="F866" t="s">
        <v>13</v>
      </c>
      <c r="G866" s="1">
        <v>45402</v>
      </c>
      <c r="H866" s="1">
        <v>45730</v>
      </c>
      <c r="I866">
        <v>2</v>
      </c>
      <c r="J866" t="s">
        <v>23</v>
      </c>
      <c r="K866">
        <v>4858.3500000000004</v>
      </c>
    </row>
    <row r="867" spans="1:11">
      <c r="A867">
        <v>866</v>
      </c>
      <c r="B867" t="s">
        <v>114</v>
      </c>
      <c r="C867" s="1">
        <v>24107</v>
      </c>
      <c r="D867">
        <v>60</v>
      </c>
      <c r="E867" t="s">
        <v>12</v>
      </c>
      <c r="F867" t="s">
        <v>16</v>
      </c>
      <c r="G867" s="1">
        <v>45564</v>
      </c>
      <c r="H867" s="1">
        <v>45414</v>
      </c>
      <c r="I867">
        <v>10</v>
      </c>
      <c r="K867">
        <v>8740.8799999999992</v>
      </c>
    </row>
    <row r="868" spans="1:11">
      <c r="A868">
        <v>867</v>
      </c>
      <c r="B868" t="s">
        <v>135</v>
      </c>
      <c r="D868">
        <v>50</v>
      </c>
      <c r="E868" t="s">
        <v>15</v>
      </c>
      <c r="F868" t="s">
        <v>13</v>
      </c>
      <c r="G868" s="1">
        <v>45035</v>
      </c>
      <c r="H868" s="1">
        <v>45805</v>
      </c>
      <c r="I868">
        <v>6</v>
      </c>
      <c r="K868">
        <v>19271.04</v>
      </c>
    </row>
    <row r="869" spans="1:11">
      <c r="A869">
        <v>868</v>
      </c>
      <c r="B869" t="s">
        <v>90</v>
      </c>
      <c r="C869" s="1">
        <v>39448</v>
      </c>
      <c r="D869">
        <v>18</v>
      </c>
      <c r="E869" t="s">
        <v>15</v>
      </c>
      <c r="F869" t="s">
        <v>18</v>
      </c>
      <c r="G869" s="1">
        <v>45485</v>
      </c>
      <c r="H869" s="1">
        <v>45606</v>
      </c>
      <c r="I869">
        <v>39</v>
      </c>
      <c r="J869" t="s">
        <v>23</v>
      </c>
      <c r="K869">
        <v>12480.11</v>
      </c>
    </row>
    <row r="870" spans="1:11">
      <c r="A870">
        <v>869</v>
      </c>
      <c r="B870" t="s">
        <v>134</v>
      </c>
      <c r="C870" s="1">
        <v>38717</v>
      </c>
      <c r="D870">
        <v>20</v>
      </c>
      <c r="E870" t="s">
        <v>12</v>
      </c>
      <c r="F870" t="s">
        <v>21</v>
      </c>
      <c r="G870" s="1">
        <v>45140</v>
      </c>
      <c r="H870" s="1">
        <v>45087</v>
      </c>
      <c r="I870">
        <v>23</v>
      </c>
      <c r="K870">
        <v>18976.05</v>
      </c>
    </row>
    <row r="871" spans="1:11">
      <c r="A871">
        <v>870</v>
      </c>
      <c r="B871" t="s">
        <v>170</v>
      </c>
      <c r="C871" s="1">
        <v>44561</v>
      </c>
      <c r="D871">
        <v>4</v>
      </c>
      <c r="E871" t="s">
        <v>12</v>
      </c>
      <c r="F871" t="s">
        <v>21</v>
      </c>
      <c r="G871" s="1">
        <v>45530</v>
      </c>
      <c r="H871" s="1">
        <v>45670</v>
      </c>
      <c r="I871">
        <v>10</v>
      </c>
      <c r="K871">
        <v>14421.07</v>
      </c>
    </row>
    <row r="872" spans="1:11">
      <c r="A872">
        <v>871</v>
      </c>
      <c r="B872" t="s">
        <v>105</v>
      </c>
      <c r="C872" s="1">
        <v>16437</v>
      </c>
      <c r="D872">
        <v>81</v>
      </c>
      <c r="E872" t="s">
        <v>15</v>
      </c>
      <c r="F872" t="s">
        <v>45</v>
      </c>
      <c r="G872" s="1">
        <v>45619</v>
      </c>
      <c r="H872" s="1">
        <v>44941</v>
      </c>
      <c r="I872">
        <v>16</v>
      </c>
      <c r="K872">
        <v>14465.8</v>
      </c>
    </row>
    <row r="873" spans="1:11">
      <c r="A873">
        <v>872</v>
      </c>
      <c r="B873" t="s">
        <v>159</v>
      </c>
      <c r="C873" s="1">
        <v>12785</v>
      </c>
      <c r="D873">
        <v>91</v>
      </c>
      <c r="E873" t="s">
        <v>12</v>
      </c>
      <c r="F873" t="s">
        <v>16</v>
      </c>
      <c r="G873" s="1">
        <v>45335</v>
      </c>
      <c r="H873" s="1">
        <v>45632</v>
      </c>
      <c r="I873">
        <v>14</v>
      </c>
      <c r="J873" t="s">
        <v>19</v>
      </c>
      <c r="K873">
        <v>11796.33</v>
      </c>
    </row>
    <row r="874" spans="1:11">
      <c r="A874">
        <v>873</v>
      </c>
      <c r="B874" t="s">
        <v>124</v>
      </c>
      <c r="C874" s="1">
        <v>31047</v>
      </c>
      <c r="D874">
        <v>41</v>
      </c>
      <c r="E874" t="s">
        <v>12</v>
      </c>
      <c r="F874" t="s">
        <v>45</v>
      </c>
      <c r="G874" s="1">
        <v>45479</v>
      </c>
      <c r="H874" s="1">
        <v>45082</v>
      </c>
      <c r="I874">
        <v>13</v>
      </c>
      <c r="J874" t="s">
        <v>25</v>
      </c>
      <c r="K874">
        <v>2758.39</v>
      </c>
    </row>
    <row r="875" spans="1:11">
      <c r="A875">
        <v>874</v>
      </c>
      <c r="B875" t="s">
        <v>83</v>
      </c>
      <c r="C875" s="1">
        <v>24107</v>
      </c>
      <c r="D875">
        <v>60</v>
      </c>
      <c r="E875" t="s">
        <v>12</v>
      </c>
      <c r="F875" t="s">
        <v>32</v>
      </c>
      <c r="G875" s="1">
        <v>45559</v>
      </c>
      <c r="H875" s="1">
        <v>45028</v>
      </c>
      <c r="I875">
        <v>27</v>
      </c>
      <c r="J875" t="s">
        <v>19</v>
      </c>
      <c r="K875">
        <v>10346.26</v>
      </c>
    </row>
    <row r="876" spans="1:11">
      <c r="A876">
        <v>875</v>
      </c>
      <c r="B876" t="s">
        <v>138</v>
      </c>
      <c r="C876" s="1">
        <v>38352</v>
      </c>
      <c r="D876">
        <v>21</v>
      </c>
      <c r="E876" t="s">
        <v>15</v>
      </c>
      <c r="F876" t="s">
        <v>21</v>
      </c>
      <c r="G876" s="1">
        <v>45003</v>
      </c>
      <c r="H876" s="1">
        <v>45499</v>
      </c>
      <c r="I876">
        <v>29</v>
      </c>
      <c r="J876" t="s">
        <v>19</v>
      </c>
      <c r="K876">
        <v>4978.59</v>
      </c>
    </row>
    <row r="877" spans="1:11">
      <c r="A877">
        <v>876</v>
      </c>
      <c r="B877" t="s">
        <v>148</v>
      </c>
      <c r="C877" s="1">
        <v>38717</v>
      </c>
      <c r="D877">
        <v>20</v>
      </c>
      <c r="E877" t="s">
        <v>12</v>
      </c>
      <c r="F877" t="s">
        <v>45</v>
      </c>
      <c r="G877" s="1">
        <v>45021</v>
      </c>
      <c r="H877" s="1">
        <v>44970</v>
      </c>
      <c r="I877">
        <v>11</v>
      </c>
      <c r="J877" t="s">
        <v>25</v>
      </c>
      <c r="K877">
        <v>19973.32</v>
      </c>
    </row>
    <row r="878" spans="1:11">
      <c r="A878">
        <v>877</v>
      </c>
      <c r="B878" t="s">
        <v>46</v>
      </c>
      <c r="C878" s="1">
        <v>20820</v>
      </c>
      <c r="D878">
        <v>69</v>
      </c>
      <c r="E878" t="s">
        <v>12</v>
      </c>
      <c r="F878" t="s">
        <v>32</v>
      </c>
      <c r="G878" s="1">
        <v>45195</v>
      </c>
      <c r="H878" s="1">
        <v>45120</v>
      </c>
      <c r="I878">
        <v>12</v>
      </c>
      <c r="J878" t="s">
        <v>19</v>
      </c>
      <c r="K878">
        <v>5265.93</v>
      </c>
    </row>
    <row r="879" spans="1:11">
      <c r="A879">
        <v>878</v>
      </c>
      <c r="B879" t="s">
        <v>95</v>
      </c>
      <c r="C879" s="1">
        <v>46022</v>
      </c>
      <c r="D879">
        <v>0</v>
      </c>
      <c r="E879" t="s">
        <v>15</v>
      </c>
      <c r="F879" t="s">
        <v>16</v>
      </c>
      <c r="G879" s="1">
        <v>45287</v>
      </c>
      <c r="H879" s="1">
        <v>45238</v>
      </c>
      <c r="I879">
        <v>9</v>
      </c>
      <c r="J879" t="s">
        <v>23</v>
      </c>
      <c r="K879">
        <v>4536.79</v>
      </c>
    </row>
    <row r="880" spans="1:11">
      <c r="A880">
        <v>879</v>
      </c>
      <c r="B880" t="s">
        <v>56</v>
      </c>
      <c r="C880" s="1">
        <v>44561</v>
      </c>
      <c r="D880">
        <v>4</v>
      </c>
      <c r="E880" t="s">
        <v>12</v>
      </c>
      <c r="G880" s="1">
        <v>45456</v>
      </c>
      <c r="H880" s="1">
        <v>45548</v>
      </c>
      <c r="I880">
        <v>34</v>
      </c>
      <c r="J880" t="s">
        <v>19</v>
      </c>
      <c r="K880">
        <v>12440.05</v>
      </c>
    </row>
    <row r="881" spans="1:11">
      <c r="A881">
        <v>880</v>
      </c>
      <c r="B881" t="s">
        <v>57</v>
      </c>
      <c r="C881" s="1">
        <v>42005</v>
      </c>
      <c r="D881">
        <v>11</v>
      </c>
      <c r="E881" t="s">
        <v>15</v>
      </c>
      <c r="F881" t="s">
        <v>13</v>
      </c>
      <c r="G881" s="1">
        <v>45609</v>
      </c>
      <c r="H881" s="1">
        <v>45532</v>
      </c>
      <c r="I881">
        <v>8</v>
      </c>
      <c r="J881" t="s">
        <v>23</v>
      </c>
      <c r="K881">
        <v>10170.07</v>
      </c>
    </row>
    <row r="882" spans="1:11">
      <c r="A882">
        <v>881</v>
      </c>
      <c r="B882" t="s">
        <v>111</v>
      </c>
      <c r="C882" s="1">
        <v>13515</v>
      </c>
      <c r="D882">
        <v>89</v>
      </c>
      <c r="E882" t="s">
        <v>15</v>
      </c>
      <c r="F882" t="s">
        <v>45</v>
      </c>
      <c r="G882" s="1">
        <v>45088</v>
      </c>
      <c r="H882" s="1">
        <v>45655</v>
      </c>
      <c r="I882">
        <v>2</v>
      </c>
      <c r="J882" t="s">
        <v>25</v>
      </c>
      <c r="K882">
        <v>329.19</v>
      </c>
    </row>
    <row r="883" spans="1:11">
      <c r="A883">
        <v>882</v>
      </c>
      <c r="B883" t="s">
        <v>28</v>
      </c>
      <c r="C883" s="1">
        <v>29586</v>
      </c>
      <c r="D883">
        <v>45</v>
      </c>
      <c r="E883" t="s">
        <v>12</v>
      </c>
      <c r="F883" t="s">
        <v>32</v>
      </c>
      <c r="G883" s="1">
        <v>45391</v>
      </c>
      <c r="H883" s="1">
        <v>45392</v>
      </c>
      <c r="I883">
        <v>8</v>
      </c>
      <c r="K883">
        <v>2503.62</v>
      </c>
    </row>
    <row r="884" spans="1:11">
      <c r="A884">
        <v>883</v>
      </c>
      <c r="B884" t="s">
        <v>66</v>
      </c>
      <c r="C884" s="1">
        <v>33969</v>
      </c>
      <c r="D884">
        <v>33</v>
      </c>
      <c r="E884" t="s">
        <v>12</v>
      </c>
      <c r="F884" t="s">
        <v>21</v>
      </c>
      <c r="G884" s="1">
        <v>45490</v>
      </c>
      <c r="H884" s="1">
        <v>45090</v>
      </c>
      <c r="I884">
        <v>31</v>
      </c>
      <c r="J884" t="s">
        <v>25</v>
      </c>
      <c r="K884">
        <v>16201.96</v>
      </c>
    </row>
    <row r="885" spans="1:11">
      <c r="A885">
        <v>884</v>
      </c>
      <c r="B885" t="s">
        <v>106</v>
      </c>
      <c r="C885" s="1">
        <v>28490</v>
      </c>
      <c r="D885">
        <v>48</v>
      </c>
      <c r="E885" t="s">
        <v>15</v>
      </c>
      <c r="F885" t="s">
        <v>13</v>
      </c>
      <c r="G885" s="1">
        <v>45474</v>
      </c>
      <c r="H885" s="1">
        <v>45278</v>
      </c>
      <c r="I885">
        <v>16</v>
      </c>
      <c r="J885" t="s">
        <v>25</v>
      </c>
      <c r="K885">
        <v>9622.2099999999991</v>
      </c>
    </row>
    <row r="886" spans="1:11">
      <c r="A886">
        <v>885</v>
      </c>
      <c r="B886" t="s">
        <v>48</v>
      </c>
      <c r="C886" s="1">
        <v>17898</v>
      </c>
      <c r="D886">
        <v>77</v>
      </c>
      <c r="E886" t="s">
        <v>15</v>
      </c>
      <c r="F886" t="s">
        <v>45</v>
      </c>
      <c r="G886" s="1">
        <v>45113</v>
      </c>
      <c r="H886" s="1">
        <v>45161</v>
      </c>
      <c r="I886">
        <v>23</v>
      </c>
      <c r="J886" t="s">
        <v>19</v>
      </c>
      <c r="K886">
        <v>2834.91</v>
      </c>
    </row>
    <row r="887" spans="1:11">
      <c r="A887">
        <v>886</v>
      </c>
      <c r="B887" t="s">
        <v>169</v>
      </c>
      <c r="C887" s="1">
        <v>13515</v>
      </c>
      <c r="D887">
        <v>89</v>
      </c>
      <c r="E887" t="s">
        <v>12</v>
      </c>
      <c r="F887" t="s">
        <v>21</v>
      </c>
      <c r="G887" s="1">
        <v>44978</v>
      </c>
      <c r="H887" s="1">
        <v>45330</v>
      </c>
      <c r="I887">
        <v>23</v>
      </c>
      <c r="J887" t="s">
        <v>25</v>
      </c>
      <c r="K887">
        <v>9251.3799999999992</v>
      </c>
    </row>
    <row r="888" spans="1:11">
      <c r="A888">
        <v>887</v>
      </c>
      <c r="B888" t="s">
        <v>149</v>
      </c>
      <c r="C888" s="1">
        <v>29951</v>
      </c>
      <c r="D888">
        <v>44</v>
      </c>
      <c r="E888" t="s">
        <v>15</v>
      </c>
      <c r="G888" s="1">
        <v>45414</v>
      </c>
      <c r="H888" s="1">
        <v>45278</v>
      </c>
      <c r="I888">
        <v>14</v>
      </c>
      <c r="J888" t="s">
        <v>25</v>
      </c>
      <c r="K888">
        <v>4988.3</v>
      </c>
    </row>
    <row r="889" spans="1:11">
      <c r="A889">
        <v>888</v>
      </c>
      <c r="B889" t="s">
        <v>111</v>
      </c>
      <c r="C889" s="1">
        <v>36526</v>
      </c>
      <c r="D889">
        <v>26</v>
      </c>
      <c r="E889" t="s">
        <v>12</v>
      </c>
      <c r="F889" t="s">
        <v>13</v>
      </c>
      <c r="G889" s="1">
        <v>45457</v>
      </c>
      <c r="H889" s="1">
        <v>45094</v>
      </c>
      <c r="I889">
        <v>28</v>
      </c>
      <c r="J889" t="s">
        <v>23</v>
      </c>
      <c r="K889">
        <v>4394.1899999999996</v>
      </c>
    </row>
    <row r="890" spans="1:11">
      <c r="A890">
        <v>889</v>
      </c>
      <c r="B890" t="s">
        <v>11</v>
      </c>
      <c r="C890" s="1">
        <v>19724</v>
      </c>
      <c r="D890">
        <v>72</v>
      </c>
      <c r="E890" t="s">
        <v>12</v>
      </c>
      <c r="F890" t="s">
        <v>18</v>
      </c>
      <c r="G890" s="1">
        <v>45322</v>
      </c>
      <c r="H890" s="1">
        <v>45075</v>
      </c>
      <c r="I890">
        <v>16</v>
      </c>
      <c r="K890">
        <v>19150.28</v>
      </c>
    </row>
    <row r="891" spans="1:11">
      <c r="A891">
        <v>890</v>
      </c>
      <c r="B891" t="s">
        <v>146</v>
      </c>
      <c r="C891" s="1">
        <v>36891</v>
      </c>
      <c r="D891">
        <v>25</v>
      </c>
      <c r="E891" t="s">
        <v>15</v>
      </c>
      <c r="F891" t="s">
        <v>21</v>
      </c>
      <c r="G891" s="1">
        <v>45018</v>
      </c>
      <c r="H891" s="1">
        <v>44955</v>
      </c>
      <c r="I891">
        <v>17</v>
      </c>
      <c r="J891" t="s">
        <v>19</v>
      </c>
      <c r="K891">
        <v>7176.69</v>
      </c>
    </row>
    <row r="892" spans="1:11">
      <c r="A892">
        <v>891</v>
      </c>
      <c r="B892" t="s">
        <v>142</v>
      </c>
      <c r="C892" s="1">
        <v>29221</v>
      </c>
      <c r="D892">
        <v>46</v>
      </c>
      <c r="E892" t="s">
        <v>12</v>
      </c>
      <c r="F892" t="s">
        <v>18</v>
      </c>
      <c r="G892" s="1">
        <v>45577</v>
      </c>
      <c r="H892" s="1">
        <v>45186</v>
      </c>
      <c r="I892">
        <v>20</v>
      </c>
      <c r="K892">
        <v>833.27</v>
      </c>
    </row>
    <row r="893" spans="1:11">
      <c r="A893">
        <v>892</v>
      </c>
      <c r="B893" t="s">
        <v>84</v>
      </c>
      <c r="C893" s="1">
        <v>14976</v>
      </c>
      <c r="D893">
        <v>85</v>
      </c>
      <c r="E893" t="s">
        <v>12</v>
      </c>
      <c r="F893" t="s">
        <v>16</v>
      </c>
      <c r="G893" s="1">
        <v>45283</v>
      </c>
      <c r="H893" s="1">
        <v>45525</v>
      </c>
      <c r="I893">
        <v>22</v>
      </c>
      <c r="K893">
        <v>19403.57</v>
      </c>
    </row>
    <row r="894" spans="1:11">
      <c r="A894">
        <v>893</v>
      </c>
      <c r="B894" t="s">
        <v>91</v>
      </c>
      <c r="C894" s="1">
        <v>25934</v>
      </c>
      <c r="D894">
        <v>55</v>
      </c>
      <c r="E894" t="s">
        <v>15</v>
      </c>
      <c r="F894" t="s">
        <v>45</v>
      </c>
      <c r="G894" s="1">
        <v>45537</v>
      </c>
      <c r="H894" s="1">
        <v>45547</v>
      </c>
      <c r="I894">
        <v>25</v>
      </c>
      <c r="K894">
        <v>15876.28</v>
      </c>
    </row>
    <row r="895" spans="1:11">
      <c r="A895">
        <v>894</v>
      </c>
      <c r="B895" t="s">
        <v>44</v>
      </c>
      <c r="D895">
        <v>93</v>
      </c>
      <c r="E895" t="s">
        <v>12</v>
      </c>
      <c r="G895" s="1">
        <v>45645</v>
      </c>
      <c r="H895" s="1">
        <v>45369</v>
      </c>
      <c r="I895">
        <v>34</v>
      </c>
      <c r="J895" t="s">
        <v>19</v>
      </c>
      <c r="K895">
        <v>5013.71</v>
      </c>
    </row>
    <row r="896" spans="1:11">
      <c r="A896">
        <v>895</v>
      </c>
      <c r="B896" t="s">
        <v>170</v>
      </c>
      <c r="C896" s="1">
        <v>23377</v>
      </c>
      <c r="D896">
        <v>62</v>
      </c>
      <c r="E896" t="s">
        <v>12</v>
      </c>
      <c r="F896" t="s">
        <v>32</v>
      </c>
      <c r="G896" s="1">
        <v>45070</v>
      </c>
      <c r="H896" s="1">
        <v>45556</v>
      </c>
      <c r="I896">
        <v>9</v>
      </c>
      <c r="J896" t="s">
        <v>25</v>
      </c>
      <c r="K896">
        <v>8118.73</v>
      </c>
    </row>
    <row r="897" spans="1:11">
      <c r="A897">
        <v>896</v>
      </c>
      <c r="B897" t="s">
        <v>119</v>
      </c>
      <c r="D897">
        <v>47</v>
      </c>
      <c r="E897" t="s">
        <v>12</v>
      </c>
      <c r="F897" t="s">
        <v>45</v>
      </c>
      <c r="G897" s="1">
        <v>45125</v>
      </c>
      <c r="H897" s="1">
        <v>45803</v>
      </c>
      <c r="I897">
        <v>-2</v>
      </c>
      <c r="K897">
        <v>17232.02</v>
      </c>
    </row>
    <row r="898" spans="1:11">
      <c r="A898">
        <v>897</v>
      </c>
      <c r="B898" t="s">
        <v>138</v>
      </c>
      <c r="C898" s="1">
        <v>24107</v>
      </c>
      <c r="D898">
        <v>60</v>
      </c>
      <c r="E898" t="s">
        <v>12</v>
      </c>
      <c r="F898" t="s">
        <v>21</v>
      </c>
      <c r="G898" s="1">
        <v>45249</v>
      </c>
      <c r="H898" s="1">
        <v>45454</v>
      </c>
      <c r="I898">
        <v>-1</v>
      </c>
      <c r="J898" t="s">
        <v>19</v>
      </c>
      <c r="K898">
        <v>7084.01</v>
      </c>
    </row>
    <row r="899" spans="1:11">
      <c r="A899">
        <v>898</v>
      </c>
      <c r="B899" t="s">
        <v>90</v>
      </c>
      <c r="C899" s="1">
        <v>16802</v>
      </c>
      <c r="D899">
        <v>80</v>
      </c>
      <c r="E899" t="s">
        <v>15</v>
      </c>
      <c r="F899" t="s">
        <v>18</v>
      </c>
      <c r="G899" s="1">
        <v>45258</v>
      </c>
      <c r="H899" s="1">
        <v>45138</v>
      </c>
      <c r="I899">
        <v>7</v>
      </c>
      <c r="J899" t="s">
        <v>25</v>
      </c>
      <c r="K899">
        <v>11304.82</v>
      </c>
    </row>
    <row r="900" spans="1:11">
      <c r="A900">
        <v>899</v>
      </c>
      <c r="B900" t="s">
        <v>95</v>
      </c>
      <c r="C900" s="1">
        <v>36891</v>
      </c>
      <c r="D900">
        <v>25</v>
      </c>
      <c r="E900" t="s">
        <v>15</v>
      </c>
      <c r="F900" t="s">
        <v>18</v>
      </c>
      <c r="G900" s="1">
        <v>45190</v>
      </c>
      <c r="H900" s="1">
        <v>45757</v>
      </c>
      <c r="I900">
        <v>31</v>
      </c>
      <c r="K900">
        <v>10650.62</v>
      </c>
    </row>
    <row r="901" spans="1:11">
      <c r="A901">
        <v>900</v>
      </c>
      <c r="B901" t="s">
        <v>109</v>
      </c>
      <c r="C901" s="1">
        <v>33239</v>
      </c>
      <c r="D901">
        <v>35</v>
      </c>
      <c r="E901" t="s">
        <v>15</v>
      </c>
      <c r="F901" t="s">
        <v>13</v>
      </c>
      <c r="G901" s="1">
        <v>45143</v>
      </c>
      <c r="H901" s="1">
        <v>45470</v>
      </c>
      <c r="I901">
        <v>29</v>
      </c>
      <c r="J901" t="s">
        <v>23</v>
      </c>
      <c r="K901">
        <v>7966.02</v>
      </c>
    </row>
    <row r="902" spans="1:11">
      <c r="A902">
        <v>901</v>
      </c>
      <c r="B902" t="s">
        <v>137</v>
      </c>
      <c r="C902" s="1">
        <v>46022</v>
      </c>
      <c r="D902">
        <v>0</v>
      </c>
      <c r="E902" t="s">
        <v>15</v>
      </c>
      <c r="F902" t="s">
        <v>45</v>
      </c>
      <c r="G902" s="1">
        <v>45627</v>
      </c>
      <c r="H902" s="1">
        <v>45372</v>
      </c>
      <c r="I902">
        <v>22</v>
      </c>
      <c r="J902" t="s">
        <v>19</v>
      </c>
      <c r="K902">
        <v>12753.99</v>
      </c>
    </row>
    <row r="903" spans="1:11">
      <c r="A903">
        <v>902</v>
      </c>
      <c r="B903" t="s">
        <v>44</v>
      </c>
      <c r="C903" s="1">
        <v>43466</v>
      </c>
      <c r="D903">
        <v>7</v>
      </c>
      <c r="E903" t="s">
        <v>15</v>
      </c>
      <c r="F903" t="s">
        <v>45</v>
      </c>
      <c r="G903" s="1">
        <v>45482</v>
      </c>
      <c r="H903" s="1">
        <v>45721</v>
      </c>
      <c r="I903">
        <v>7</v>
      </c>
      <c r="K903">
        <v>9413.14</v>
      </c>
    </row>
    <row r="904" spans="1:11">
      <c r="A904">
        <v>903</v>
      </c>
      <c r="B904" t="s">
        <v>48</v>
      </c>
      <c r="C904" s="1">
        <v>27395</v>
      </c>
      <c r="D904">
        <v>51</v>
      </c>
      <c r="E904" t="s">
        <v>12</v>
      </c>
      <c r="F904" t="s">
        <v>21</v>
      </c>
      <c r="G904" s="1">
        <v>45360</v>
      </c>
      <c r="H904" s="1">
        <v>45380</v>
      </c>
      <c r="I904">
        <v>-2</v>
      </c>
      <c r="J904" t="s">
        <v>19</v>
      </c>
      <c r="K904">
        <v>326.73</v>
      </c>
    </row>
    <row r="905" spans="1:11">
      <c r="A905">
        <v>904</v>
      </c>
      <c r="B905" t="s">
        <v>98</v>
      </c>
      <c r="C905" s="1">
        <v>17533</v>
      </c>
      <c r="D905">
        <v>78</v>
      </c>
      <c r="E905" t="s">
        <v>12</v>
      </c>
      <c r="F905" t="s">
        <v>18</v>
      </c>
      <c r="G905" s="1">
        <v>45386</v>
      </c>
      <c r="H905" s="1">
        <v>45624</v>
      </c>
      <c r="I905">
        <v>29</v>
      </c>
      <c r="J905" t="s">
        <v>23</v>
      </c>
      <c r="K905">
        <v>16269.1</v>
      </c>
    </row>
    <row r="906" spans="1:11">
      <c r="A906">
        <v>905</v>
      </c>
      <c r="B906" t="s">
        <v>152</v>
      </c>
      <c r="C906" s="1">
        <v>29221</v>
      </c>
      <c r="D906">
        <v>46</v>
      </c>
      <c r="E906" t="s">
        <v>12</v>
      </c>
      <c r="F906" t="s">
        <v>21</v>
      </c>
      <c r="G906" s="1">
        <v>45627</v>
      </c>
      <c r="H906" s="1">
        <v>45331</v>
      </c>
      <c r="I906">
        <v>34</v>
      </c>
      <c r="J906" t="s">
        <v>19</v>
      </c>
      <c r="K906">
        <v>2174.4299999999998</v>
      </c>
    </row>
    <row r="907" spans="1:11">
      <c r="A907">
        <v>906</v>
      </c>
      <c r="B907" t="s">
        <v>26</v>
      </c>
      <c r="C907" s="1">
        <v>25934</v>
      </c>
      <c r="D907">
        <v>55</v>
      </c>
      <c r="E907" t="s">
        <v>12</v>
      </c>
      <c r="F907" t="s">
        <v>21</v>
      </c>
      <c r="G907" s="1">
        <v>45429</v>
      </c>
      <c r="H907" s="1">
        <v>44993</v>
      </c>
      <c r="I907">
        <v>9</v>
      </c>
      <c r="J907" t="s">
        <v>25</v>
      </c>
      <c r="K907">
        <v>9228.2099999999991</v>
      </c>
    </row>
    <row r="908" spans="1:11">
      <c r="A908">
        <v>907</v>
      </c>
      <c r="B908" t="s">
        <v>135</v>
      </c>
      <c r="D908">
        <v>85</v>
      </c>
      <c r="E908" t="s">
        <v>12</v>
      </c>
      <c r="F908" t="s">
        <v>16</v>
      </c>
      <c r="G908" s="1">
        <v>45395</v>
      </c>
      <c r="H908" s="1">
        <v>45332</v>
      </c>
      <c r="I908">
        <v>15</v>
      </c>
      <c r="K908">
        <v>11556.01</v>
      </c>
    </row>
    <row r="909" spans="1:11">
      <c r="A909">
        <v>908</v>
      </c>
      <c r="B909" t="s">
        <v>113</v>
      </c>
      <c r="C909" s="1">
        <v>41274</v>
      </c>
      <c r="D909">
        <v>13</v>
      </c>
      <c r="E909" t="s">
        <v>12</v>
      </c>
      <c r="F909" t="s">
        <v>18</v>
      </c>
      <c r="G909" s="1">
        <v>45632</v>
      </c>
      <c r="H909" s="1">
        <v>45810</v>
      </c>
      <c r="I909">
        <v>27</v>
      </c>
      <c r="J909" t="s">
        <v>19</v>
      </c>
      <c r="K909">
        <v>14080.67</v>
      </c>
    </row>
    <row r="910" spans="1:11">
      <c r="A910">
        <v>909</v>
      </c>
      <c r="B910" t="s">
        <v>163</v>
      </c>
      <c r="C910" s="1">
        <v>13515</v>
      </c>
      <c r="D910">
        <v>89</v>
      </c>
      <c r="E910" t="s">
        <v>12</v>
      </c>
      <c r="F910" t="s">
        <v>21</v>
      </c>
      <c r="G910" s="1">
        <v>45292</v>
      </c>
      <c r="H910" s="1">
        <v>45755</v>
      </c>
      <c r="I910">
        <v>10</v>
      </c>
      <c r="J910" t="s">
        <v>19</v>
      </c>
      <c r="K910">
        <v>8157.01</v>
      </c>
    </row>
    <row r="911" spans="1:11">
      <c r="A911">
        <v>910</v>
      </c>
      <c r="B911" t="s">
        <v>146</v>
      </c>
      <c r="C911" s="1">
        <v>36161</v>
      </c>
      <c r="D911">
        <v>27</v>
      </c>
      <c r="E911" t="s">
        <v>15</v>
      </c>
      <c r="F911" t="s">
        <v>18</v>
      </c>
      <c r="G911" s="1">
        <v>45165</v>
      </c>
      <c r="H911" s="1">
        <v>45502</v>
      </c>
      <c r="I911">
        <v>0</v>
      </c>
      <c r="K911">
        <v>14684.52</v>
      </c>
    </row>
    <row r="912" spans="1:11">
      <c r="A912">
        <v>911</v>
      </c>
      <c r="B912" t="s">
        <v>76</v>
      </c>
      <c r="C912" s="1">
        <v>14611</v>
      </c>
      <c r="D912">
        <v>86</v>
      </c>
      <c r="E912" t="s">
        <v>12</v>
      </c>
      <c r="F912" t="s">
        <v>21</v>
      </c>
      <c r="G912" s="1">
        <v>45550</v>
      </c>
      <c r="H912" s="1">
        <v>45362</v>
      </c>
      <c r="I912">
        <v>18</v>
      </c>
      <c r="J912" t="s">
        <v>23</v>
      </c>
      <c r="K912">
        <v>2540.14</v>
      </c>
    </row>
    <row r="913" spans="1:11">
      <c r="A913">
        <v>912</v>
      </c>
      <c r="B913" t="s">
        <v>162</v>
      </c>
      <c r="C913" s="1">
        <v>17898</v>
      </c>
      <c r="D913">
        <v>77</v>
      </c>
      <c r="E913" t="s">
        <v>12</v>
      </c>
      <c r="F913" t="s">
        <v>32</v>
      </c>
      <c r="G913" s="1">
        <v>45507</v>
      </c>
      <c r="H913" s="1">
        <v>45155</v>
      </c>
      <c r="I913">
        <v>39</v>
      </c>
      <c r="J913" t="s">
        <v>23</v>
      </c>
      <c r="K913">
        <v>13034.26</v>
      </c>
    </row>
    <row r="914" spans="1:11">
      <c r="A914">
        <v>913</v>
      </c>
      <c r="B914" t="s">
        <v>100</v>
      </c>
      <c r="C914" s="1">
        <v>14246</v>
      </c>
      <c r="D914">
        <v>87</v>
      </c>
      <c r="E914" t="s">
        <v>15</v>
      </c>
      <c r="F914" t="s">
        <v>21</v>
      </c>
      <c r="G914" s="1">
        <v>45487</v>
      </c>
      <c r="H914" s="1">
        <v>45403</v>
      </c>
      <c r="I914">
        <v>11</v>
      </c>
      <c r="K914">
        <v>16509.41</v>
      </c>
    </row>
    <row r="915" spans="1:11">
      <c r="A915">
        <v>914</v>
      </c>
      <c r="B915" t="s">
        <v>68</v>
      </c>
      <c r="C915" s="1">
        <v>45657</v>
      </c>
      <c r="D915">
        <v>1</v>
      </c>
      <c r="E915" t="s">
        <v>12</v>
      </c>
      <c r="F915" t="s">
        <v>21</v>
      </c>
      <c r="G915" s="1">
        <v>45589</v>
      </c>
      <c r="H915" s="1">
        <v>45395</v>
      </c>
      <c r="I915">
        <v>37</v>
      </c>
      <c r="K915">
        <v>17777.82</v>
      </c>
    </row>
    <row r="916" spans="1:11">
      <c r="A916">
        <v>915</v>
      </c>
      <c r="B916" t="s">
        <v>113</v>
      </c>
      <c r="C916" s="1">
        <v>36891</v>
      </c>
      <c r="D916">
        <v>25</v>
      </c>
      <c r="E916" t="s">
        <v>12</v>
      </c>
      <c r="G916" s="1">
        <v>45322</v>
      </c>
      <c r="H916" s="1">
        <v>45028</v>
      </c>
      <c r="I916">
        <v>7</v>
      </c>
      <c r="J916" t="s">
        <v>25</v>
      </c>
      <c r="K916">
        <v>11549.29</v>
      </c>
    </row>
    <row r="917" spans="1:11">
      <c r="A917">
        <v>916</v>
      </c>
      <c r="B917" t="s">
        <v>11</v>
      </c>
      <c r="C917" s="1">
        <v>41274</v>
      </c>
      <c r="D917">
        <v>13</v>
      </c>
      <c r="E917" t="s">
        <v>15</v>
      </c>
      <c r="F917" t="s">
        <v>32</v>
      </c>
      <c r="G917" s="1">
        <v>45321</v>
      </c>
      <c r="H917" s="1">
        <v>45350</v>
      </c>
      <c r="I917">
        <v>-1</v>
      </c>
      <c r="J917" t="s">
        <v>19</v>
      </c>
      <c r="K917">
        <v>6189.19</v>
      </c>
    </row>
    <row r="918" spans="1:11">
      <c r="A918">
        <v>917</v>
      </c>
      <c r="B918" t="s">
        <v>114</v>
      </c>
      <c r="C918" s="1">
        <v>24838</v>
      </c>
      <c r="D918">
        <v>58</v>
      </c>
      <c r="E918" t="s">
        <v>12</v>
      </c>
      <c r="F918" t="s">
        <v>45</v>
      </c>
      <c r="G918" s="1">
        <v>45553</v>
      </c>
      <c r="H918" s="1">
        <v>45283</v>
      </c>
      <c r="I918">
        <v>34</v>
      </c>
      <c r="J918" t="s">
        <v>19</v>
      </c>
      <c r="K918">
        <v>3183.47</v>
      </c>
    </row>
    <row r="919" spans="1:11">
      <c r="A919">
        <v>918</v>
      </c>
      <c r="B919" t="s">
        <v>104</v>
      </c>
      <c r="C919" s="1">
        <v>25934</v>
      </c>
      <c r="D919">
        <v>55</v>
      </c>
      <c r="E919" t="s">
        <v>15</v>
      </c>
      <c r="F919" t="s">
        <v>18</v>
      </c>
      <c r="G919" s="1">
        <v>45001</v>
      </c>
      <c r="H919" s="1">
        <v>45066</v>
      </c>
      <c r="I919">
        <v>8</v>
      </c>
      <c r="J919" t="s">
        <v>23</v>
      </c>
      <c r="K919">
        <v>6845.73</v>
      </c>
    </row>
    <row r="920" spans="1:11">
      <c r="A920">
        <v>919</v>
      </c>
      <c r="B920" t="s">
        <v>119</v>
      </c>
      <c r="C920" s="1">
        <v>43831</v>
      </c>
      <c r="E920" t="s">
        <v>15</v>
      </c>
      <c r="G920" s="1">
        <v>45024</v>
      </c>
      <c r="H920" s="1">
        <v>45558</v>
      </c>
      <c r="I920">
        <v>-2</v>
      </c>
      <c r="J920" t="s">
        <v>25</v>
      </c>
      <c r="K920">
        <v>10753.48</v>
      </c>
    </row>
    <row r="921" spans="1:11">
      <c r="A921">
        <v>920</v>
      </c>
      <c r="B921" t="s">
        <v>162</v>
      </c>
      <c r="C921" s="1">
        <v>45292</v>
      </c>
      <c r="D921">
        <v>2</v>
      </c>
      <c r="E921" t="s">
        <v>12</v>
      </c>
      <c r="F921" t="s">
        <v>13</v>
      </c>
      <c r="G921" s="1">
        <v>45309</v>
      </c>
      <c r="H921" s="1">
        <v>45496</v>
      </c>
      <c r="I921">
        <v>23</v>
      </c>
      <c r="J921" t="s">
        <v>19</v>
      </c>
      <c r="K921">
        <v>3846.24</v>
      </c>
    </row>
    <row r="922" spans="1:11">
      <c r="A922">
        <v>921</v>
      </c>
      <c r="B922" t="s">
        <v>147</v>
      </c>
      <c r="C922" s="1">
        <v>37987</v>
      </c>
      <c r="D922">
        <v>22</v>
      </c>
      <c r="E922" t="s">
        <v>12</v>
      </c>
      <c r="F922" t="s">
        <v>32</v>
      </c>
      <c r="G922" s="1">
        <v>45549</v>
      </c>
      <c r="H922" s="1">
        <v>45058</v>
      </c>
      <c r="I922">
        <v>39</v>
      </c>
      <c r="J922" t="s">
        <v>25</v>
      </c>
      <c r="K922">
        <v>19045.55</v>
      </c>
    </row>
    <row r="923" spans="1:11">
      <c r="A923">
        <v>922</v>
      </c>
      <c r="B923" t="s">
        <v>29</v>
      </c>
      <c r="C923" s="1">
        <v>39813</v>
      </c>
      <c r="D923">
        <v>17</v>
      </c>
      <c r="E923" t="s">
        <v>12</v>
      </c>
      <c r="G923" s="1">
        <v>45296</v>
      </c>
      <c r="H923" s="1">
        <v>45476</v>
      </c>
      <c r="I923">
        <v>10</v>
      </c>
      <c r="K923">
        <v>17932.419999999998</v>
      </c>
    </row>
    <row r="924" spans="1:11">
      <c r="A924">
        <v>923</v>
      </c>
      <c r="B924" t="s">
        <v>125</v>
      </c>
      <c r="C924" s="1">
        <v>32508</v>
      </c>
      <c r="D924">
        <v>37</v>
      </c>
      <c r="E924" t="s">
        <v>12</v>
      </c>
      <c r="F924" t="s">
        <v>45</v>
      </c>
      <c r="G924" s="1">
        <v>45211</v>
      </c>
      <c r="H924" s="1">
        <v>45395</v>
      </c>
      <c r="I924">
        <v>25</v>
      </c>
      <c r="J924" t="s">
        <v>19</v>
      </c>
      <c r="K924">
        <v>562.44000000000005</v>
      </c>
    </row>
    <row r="925" spans="1:11">
      <c r="A925">
        <v>924</v>
      </c>
      <c r="B925" t="s">
        <v>84</v>
      </c>
      <c r="C925" s="1">
        <v>40909</v>
      </c>
      <c r="D925">
        <v>14</v>
      </c>
      <c r="E925" t="s">
        <v>15</v>
      </c>
      <c r="F925" t="s">
        <v>21</v>
      </c>
      <c r="G925" s="1">
        <v>45182</v>
      </c>
      <c r="H925" s="1">
        <v>45407</v>
      </c>
      <c r="I925">
        <v>33</v>
      </c>
      <c r="K925">
        <v>11195.43</v>
      </c>
    </row>
    <row r="926" spans="1:11">
      <c r="A926">
        <v>925</v>
      </c>
      <c r="B926" t="s">
        <v>165</v>
      </c>
      <c r="C926" s="1">
        <v>23012</v>
      </c>
      <c r="D926">
        <v>63</v>
      </c>
      <c r="E926" t="s">
        <v>12</v>
      </c>
      <c r="F926" t="s">
        <v>16</v>
      </c>
      <c r="G926" s="1">
        <v>45235</v>
      </c>
      <c r="H926" s="1">
        <v>45038</v>
      </c>
      <c r="I926">
        <v>18</v>
      </c>
      <c r="J926" t="s">
        <v>23</v>
      </c>
      <c r="K926">
        <v>15765.11</v>
      </c>
    </row>
    <row r="927" spans="1:11">
      <c r="A927">
        <v>926</v>
      </c>
      <c r="B927" t="s">
        <v>17</v>
      </c>
      <c r="C927" s="1">
        <v>13880</v>
      </c>
      <c r="D927">
        <v>88</v>
      </c>
      <c r="E927" t="s">
        <v>12</v>
      </c>
      <c r="F927" t="s">
        <v>45</v>
      </c>
      <c r="G927" s="1">
        <v>45555</v>
      </c>
      <c r="H927" s="1">
        <v>45080</v>
      </c>
      <c r="I927">
        <v>7</v>
      </c>
      <c r="J927" t="s">
        <v>23</v>
      </c>
      <c r="K927">
        <v>4832.38</v>
      </c>
    </row>
    <row r="928" spans="1:11">
      <c r="A928">
        <v>927</v>
      </c>
      <c r="B928" t="s">
        <v>46</v>
      </c>
      <c r="D928">
        <v>27</v>
      </c>
      <c r="F928" t="s">
        <v>32</v>
      </c>
      <c r="G928" s="1">
        <v>45102</v>
      </c>
      <c r="H928" s="1">
        <v>45689</v>
      </c>
      <c r="I928">
        <v>9</v>
      </c>
      <c r="K928">
        <v>10430.31</v>
      </c>
    </row>
    <row r="929" spans="1:11">
      <c r="A929">
        <v>928</v>
      </c>
      <c r="B929" t="s">
        <v>56</v>
      </c>
      <c r="C929" s="1">
        <v>19359</v>
      </c>
      <c r="D929">
        <v>73</v>
      </c>
      <c r="E929" t="s">
        <v>15</v>
      </c>
      <c r="F929" t="s">
        <v>16</v>
      </c>
      <c r="G929" s="1">
        <v>45154</v>
      </c>
      <c r="H929" s="1">
        <v>45169</v>
      </c>
      <c r="I929">
        <v>24</v>
      </c>
      <c r="J929" t="s">
        <v>23</v>
      </c>
      <c r="K929">
        <v>8060.44</v>
      </c>
    </row>
    <row r="930" spans="1:11">
      <c r="A930">
        <v>929</v>
      </c>
      <c r="B930" t="s">
        <v>42</v>
      </c>
      <c r="C930" s="1">
        <v>32143</v>
      </c>
      <c r="D930">
        <v>38</v>
      </c>
      <c r="E930" t="s">
        <v>12</v>
      </c>
      <c r="F930" t="s">
        <v>21</v>
      </c>
      <c r="G930" s="1">
        <v>45273</v>
      </c>
      <c r="H930" s="1">
        <v>45647</v>
      </c>
      <c r="I930">
        <v>0</v>
      </c>
      <c r="K930">
        <v>3850.58</v>
      </c>
    </row>
    <row r="931" spans="1:11">
      <c r="A931">
        <v>930</v>
      </c>
      <c r="B931" t="s">
        <v>143</v>
      </c>
      <c r="C931" s="1">
        <v>25568</v>
      </c>
      <c r="D931">
        <v>56</v>
      </c>
      <c r="E931" t="s">
        <v>12</v>
      </c>
      <c r="F931" t="s">
        <v>45</v>
      </c>
      <c r="G931" s="1">
        <v>45544</v>
      </c>
      <c r="H931" s="1">
        <v>45807</v>
      </c>
      <c r="I931">
        <v>25</v>
      </c>
      <c r="K931">
        <v>12256.22</v>
      </c>
    </row>
    <row r="932" spans="1:11">
      <c r="A932">
        <v>931</v>
      </c>
      <c r="B932" t="s">
        <v>139</v>
      </c>
      <c r="C932" s="1">
        <v>40178</v>
      </c>
      <c r="D932">
        <v>16</v>
      </c>
      <c r="E932" t="s">
        <v>12</v>
      </c>
      <c r="F932" t="s">
        <v>13</v>
      </c>
      <c r="G932" s="1">
        <v>45268</v>
      </c>
      <c r="H932" s="1">
        <v>45609</v>
      </c>
      <c r="I932">
        <v>-1</v>
      </c>
      <c r="K932">
        <v>19873.21</v>
      </c>
    </row>
    <row r="933" spans="1:11">
      <c r="A933">
        <v>932</v>
      </c>
      <c r="B933" t="s">
        <v>86</v>
      </c>
      <c r="C933" s="1">
        <v>14976</v>
      </c>
      <c r="D933">
        <v>85</v>
      </c>
      <c r="E933" t="s">
        <v>12</v>
      </c>
      <c r="F933" t="s">
        <v>18</v>
      </c>
      <c r="G933" s="1">
        <v>45165</v>
      </c>
      <c r="H933" s="1">
        <v>45696</v>
      </c>
      <c r="I933">
        <v>25</v>
      </c>
      <c r="J933" t="s">
        <v>23</v>
      </c>
      <c r="K933">
        <v>7242.27</v>
      </c>
    </row>
    <row r="934" spans="1:11">
      <c r="A934">
        <v>933</v>
      </c>
      <c r="B934" t="s">
        <v>34</v>
      </c>
      <c r="C934" s="1">
        <v>13515</v>
      </c>
      <c r="D934">
        <v>89</v>
      </c>
      <c r="E934" t="s">
        <v>15</v>
      </c>
      <c r="F934" t="s">
        <v>18</v>
      </c>
      <c r="G934" s="1">
        <v>45538</v>
      </c>
      <c r="H934" s="1">
        <v>45206</v>
      </c>
      <c r="I934">
        <v>28</v>
      </c>
      <c r="J934" t="s">
        <v>23</v>
      </c>
      <c r="K934">
        <v>11002.82</v>
      </c>
    </row>
    <row r="935" spans="1:11">
      <c r="A935">
        <v>934</v>
      </c>
      <c r="B935" t="s">
        <v>53</v>
      </c>
      <c r="C935" s="1">
        <v>30317</v>
      </c>
      <c r="D935">
        <v>43</v>
      </c>
      <c r="E935" t="s">
        <v>12</v>
      </c>
      <c r="F935" t="s">
        <v>32</v>
      </c>
      <c r="G935" s="1">
        <v>45614</v>
      </c>
      <c r="H935" s="1">
        <v>45290</v>
      </c>
      <c r="I935">
        <v>18</v>
      </c>
      <c r="J935" t="s">
        <v>23</v>
      </c>
      <c r="K935">
        <v>6489.88</v>
      </c>
    </row>
    <row r="936" spans="1:11">
      <c r="A936">
        <v>935</v>
      </c>
      <c r="B936" t="s">
        <v>170</v>
      </c>
      <c r="C936" s="1">
        <v>37256</v>
      </c>
      <c r="D936">
        <v>24</v>
      </c>
      <c r="E936" t="s">
        <v>12</v>
      </c>
      <c r="G936" s="1">
        <v>45276</v>
      </c>
      <c r="H936" s="1">
        <v>45552</v>
      </c>
      <c r="I936">
        <v>4</v>
      </c>
      <c r="K936">
        <v>17526.669999999998</v>
      </c>
    </row>
    <row r="937" spans="1:11">
      <c r="A937">
        <v>936</v>
      </c>
      <c r="B937" t="s">
        <v>46</v>
      </c>
      <c r="C937" s="1">
        <v>40178</v>
      </c>
      <c r="D937">
        <v>16</v>
      </c>
      <c r="E937" t="s">
        <v>15</v>
      </c>
      <c r="F937" t="s">
        <v>21</v>
      </c>
      <c r="G937" s="1">
        <v>45381</v>
      </c>
      <c r="H937" s="1">
        <v>45335</v>
      </c>
      <c r="I937">
        <v>28</v>
      </c>
      <c r="J937" t="s">
        <v>25</v>
      </c>
      <c r="K937">
        <v>17278.509999999998</v>
      </c>
    </row>
    <row r="938" spans="1:11">
      <c r="A938">
        <v>937</v>
      </c>
      <c r="B938" t="s">
        <v>104</v>
      </c>
      <c r="C938" s="1">
        <v>41639</v>
      </c>
      <c r="E938" t="s">
        <v>12</v>
      </c>
      <c r="F938" t="s">
        <v>21</v>
      </c>
      <c r="G938" s="1">
        <v>45367</v>
      </c>
      <c r="H938" s="1">
        <v>45102</v>
      </c>
      <c r="I938">
        <v>11</v>
      </c>
      <c r="J938" t="s">
        <v>23</v>
      </c>
      <c r="K938">
        <v>3493.35</v>
      </c>
    </row>
    <row r="939" spans="1:11">
      <c r="A939">
        <v>938</v>
      </c>
      <c r="B939" t="s">
        <v>84</v>
      </c>
      <c r="C939" s="1">
        <v>15707</v>
      </c>
      <c r="D939">
        <v>83</v>
      </c>
      <c r="E939" t="s">
        <v>12</v>
      </c>
      <c r="F939" t="s">
        <v>18</v>
      </c>
      <c r="G939" s="1">
        <v>45514</v>
      </c>
      <c r="H939" s="1">
        <v>45528</v>
      </c>
      <c r="I939">
        <v>36</v>
      </c>
      <c r="J939" t="s">
        <v>25</v>
      </c>
      <c r="K939">
        <v>17988.97</v>
      </c>
    </row>
    <row r="940" spans="1:11">
      <c r="A940">
        <v>939</v>
      </c>
      <c r="B940" t="s">
        <v>89</v>
      </c>
      <c r="C940" s="1">
        <v>37256</v>
      </c>
      <c r="D940">
        <v>24</v>
      </c>
      <c r="E940" t="s">
        <v>15</v>
      </c>
      <c r="F940" t="s">
        <v>45</v>
      </c>
      <c r="G940" s="1">
        <v>45441</v>
      </c>
      <c r="H940" s="1">
        <v>45062</v>
      </c>
      <c r="I940">
        <v>36</v>
      </c>
      <c r="J940" t="s">
        <v>23</v>
      </c>
      <c r="K940">
        <v>2945.33</v>
      </c>
    </row>
    <row r="941" spans="1:11">
      <c r="A941">
        <v>940</v>
      </c>
      <c r="B941" t="s">
        <v>149</v>
      </c>
      <c r="C941" s="1">
        <v>21551</v>
      </c>
      <c r="D941">
        <v>67</v>
      </c>
      <c r="E941" t="s">
        <v>12</v>
      </c>
      <c r="F941" t="s">
        <v>21</v>
      </c>
      <c r="G941" s="1">
        <v>45007</v>
      </c>
      <c r="H941" s="1">
        <v>45433</v>
      </c>
      <c r="I941">
        <v>6</v>
      </c>
      <c r="J941" t="s">
        <v>19</v>
      </c>
      <c r="K941">
        <v>1818.34</v>
      </c>
    </row>
    <row r="942" spans="1:11">
      <c r="A942">
        <v>941</v>
      </c>
      <c r="B942" t="s">
        <v>82</v>
      </c>
      <c r="C942" s="1">
        <v>42735</v>
      </c>
      <c r="D942">
        <v>9</v>
      </c>
      <c r="E942" t="s">
        <v>15</v>
      </c>
      <c r="F942" t="s">
        <v>13</v>
      </c>
      <c r="G942" s="1">
        <v>45287</v>
      </c>
      <c r="H942" s="1">
        <v>45221</v>
      </c>
      <c r="I942">
        <v>20</v>
      </c>
      <c r="J942" t="s">
        <v>19</v>
      </c>
      <c r="K942">
        <v>13023.99</v>
      </c>
    </row>
    <row r="943" spans="1:11">
      <c r="A943">
        <v>942</v>
      </c>
      <c r="B943" t="s">
        <v>100</v>
      </c>
      <c r="C943" s="1">
        <v>21916</v>
      </c>
      <c r="E943" t="s">
        <v>15</v>
      </c>
      <c r="F943" t="s">
        <v>13</v>
      </c>
      <c r="G943" s="1">
        <v>45214</v>
      </c>
      <c r="H943" s="1">
        <v>45422</v>
      </c>
      <c r="I943">
        <v>9</v>
      </c>
      <c r="J943" t="s">
        <v>19</v>
      </c>
      <c r="K943">
        <v>7656.67</v>
      </c>
    </row>
    <row r="944" spans="1:11">
      <c r="A944">
        <v>943</v>
      </c>
      <c r="B944" t="s">
        <v>103</v>
      </c>
      <c r="C944" s="1">
        <v>39813</v>
      </c>
      <c r="D944">
        <v>17</v>
      </c>
      <c r="E944" t="s">
        <v>12</v>
      </c>
      <c r="F944" t="s">
        <v>21</v>
      </c>
      <c r="G944" s="1">
        <v>44934</v>
      </c>
      <c r="H944" s="1">
        <v>45742</v>
      </c>
      <c r="I944">
        <v>26</v>
      </c>
      <c r="J944" t="s">
        <v>25</v>
      </c>
      <c r="K944">
        <v>10567.89</v>
      </c>
    </row>
    <row r="945" spans="1:11">
      <c r="A945">
        <v>944</v>
      </c>
      <c r="B945" t="s">
        <v>127</v>
      </c>
      <c r="C945" s="1">
        <v>14976</v>
      </c>
      <c r="D945">
        <v>85</v>
      </c>
      <c r="E945" t="s">
        <v>15</v>
      </c>
      <c r="F945" t="s">
        <v>21</v>
      </c>
      <c r="G945" s="1">
        <v>45013</v>
      </c>
      <c r="H945" s="1">
        <v>45798</v>
      </c>
      <c r="I945">
        <v>35</v>
      </c>
      <c r="J945" t="s">
        <v>23</v>
      </c>
      <c r="K945">
        <v>13016.67</v>
      </c>
    </row>
    <row r="946" spans="1:11">
      <c r="A946">
        <v>945</v>
      </c>
      <c r="B946" t="s">
        <v>28</v>
      </c>
      <c r="C946" s="1">
        <v>33969</v>
      </c>
      <c r="D946">
        <v>33</v>
      </c>
      <c r="E946" t="s">
        <v>15</v>
      </c>
      <c r="F946" t="s">
        <v>18</v>
      </c>
      <c r="G946" s="1">
        <v>45212</v>
      </c>
      <c r="H946" s="1">
        <v>45346</v>
      </c>
      <c r="I946">
        <v>36</v>
      </c>
      <c r="K946">
        <v>962.03</v>
      </c>
    </row>
    <row r="947" spans="1:11">
      <c r="A947">
        <v>946</v>
      </c>
      <c r="B947" t="s">
        <v>42</v>
      </c>
      <c r="C947" s="1">
        <v>43466</v>
      </c>
      <c r="D947">
        <v>7</v>
      </c>
      <c r="E947" t="s">
        <v>15</v>
      </c>
      <c r="F947" t="s">
        <v>32</v>
      </c>
      <c r="G947" s="1">
        <v>45325</v>
      </c>
      <c r="H947" s="1">
        <v>45133</v>
      </c>
      <c r="I947">
        <v>19</v>
      </c>
      <c r="J947" t="s">
        <v>25</v>
      </c>
      <c r="K947">
        <v>5788.36</v>
      </c>
    </row>
    <row r="948" spans="1:11">
      <c r="A948">
        <v>947</v>
      </c>
      <c r="B948" t="s">
        <v>147</v>
      </c>
      <c r="C948" s="1">
        <v>31778</v>
      </c>
      <c r="D948">
        <v>39</v>
      </c>
      <c r="E948" t="s">
        <v>15</v>
      </c>
      <c r="F948" t="s">
        <v>18</v>
      </c>
      <c r="G948" s="1">
        <v>45000</v>
      </c>
      <c r="H948" s="1">
        <v>45245</v>
      </c>
      <c r="I948">
        <v>1</v>
      </c>
      <c r="J948" t="s">
        <v>23</v>
      </c>
      <c r="K948">
        <v>9164.2199999999993</v>
      </c>
    </row>
    <row r="949" spans="1:11">
      <c r="A949">
        <v>948</v>
      </c>
      <c r="B949" t="s">
        <v>20</v>
      </c>
      <c r="C949" s="1">
        <v>16072</v>
      </c>
      <c r="D949">
        <v>82</v>
      </c>
      <c r="E949" t="s">
        <v>12</v>
      </c>
      <c r="F949" t="s">
        <v>32</v>
      </c>
      <c r="G949" s="1">
        <v>45365</v>
      </c>
      <c r="H949" s="1">
        <v>45000</v>
      </c>
      <c r="I949">
        <v>4</v>
      </c>
      <c r="J949" t="s">
        <v>19</v>
      </c>
      <c r="K949">
        <v>5258.41</v>
      </c>
    </row>
    <row r="950" spans="1:11">
      <c r="A950">
        <v>949</v>
      </c>
      <c r="B950" t="s">
        <v>22</v>
      </c>
      <c r="D950">
        <v>41</v>
      </c>
      <c r="E950" t="s">
        <v>12</v>
      </c>
      <c r="F950" t="s">
        <v>13</v>
      </c>
      <c r="G950" s="1">
        <v>45049</v>
      </c>
      <c r="H950" s="1">
        <v>45186</v>
      </c>
      <c r="I950">
        <v>37</v>
      </c>
      <c r="J950" t="s">
        <v>25</v>
      </c>
      <c r="K950">
        <v>884.32</v>
      </c>
    </row>
    <row r="951" spans="1:11">
      <c r="A951">
        <v>950</v>
      </c>
      <c r="B951" t="s">
        <v>48</v>
      </c>
      <c r="C951" s="1">
        <v>31412</v>
      </c>
      <c r="D951">
        <v>40</v>
      </c>
      <c r="E951" t="s">
        <v>12</v>
      </c>
      <c r="F951" t="s">
        <v>32</v>
      </c>
      <c r="G951" s="1">
        <v>45303</v>
      </c>
      <c r="H951" s="1">
        <v>45285</v>
      </c>
      <c r="I951">
        <v>5</v>
      </c>
      <c r="J951" t="s">
        <v>23</v>
      </c>
      <c r="K951">
        <v>1642.2</v>
      </c>
    </row>
    <row r="952" spans="1:11">
      <c r="A952">
        <v>951</v>
      </c>
      <c r="B952" t="s">
        <v>35</v>
      </c>
      <c r="C952" s="1">
        <v>44196</v>
      </c>
      <c r="D952">
        <v>5</v>
      </c>
      <c r="E952" t="s">
        <v>12</v>
      </c>
      <c r="F952" t="s">
        <v>18</v>
      </c>
      <c r="G952" s="1">
        <v>45069</v>
      </c>
      <c r="H952" s="1">
        <v>45075</v>
      </c>
      <c r="I952">
        <v>32</v>
      </c>
      <c r="K952">
        <v>16015.13</v>
      </c>
    </row>
    <row r="953" spans="1:11">
      <c r="A953">
        <v>952</v>
      </c>
      <c r="B953" t="s">
        <v>64</v>
      </c>
      <c r="C953" s="1">
        <v>27395</v>
      </c>
      <c r="D953">
        <v>51</v>
      </c>
      <c r="E953" t="s">
        <v>15</v>
      </c>
      <c r="F953" t="s">
        <v>21</v>
      </c>
      <c r="G953" s="1">
        <v>45084</v>
      </c>
      <c r="H953" s="1">
        <v>45152</v>
      </c>
      <c r="I953">
        <v>6</v>
      </c>
      <c r="J953" t="s">
        <v>25</v>
      </c>
      <c r="K953">
        <v>18218.87</v>
      </c>
    </row>
    <row r="954" spans="1:11">
      <c r="A954">
        <v>953</v>
      </c>
      <c r="B954" t="s">
        <v>26</v>
      </c>
      <c r="C954" s="1">
        <v>36891</v>
      </c>
      <c r="D954">
        <v>25</v>
      </c>
      <c r="E954" t="s">
        <v>12</v>
      </c>
      <c r="F954" t="s">
        <v>32</v>
      </c>
      <c r="G954" s="1">
        <v>45356</v>
      </c>
      <c r="H954" s="1">
        <v>45032</v>
      </c>
      <c r="I954">
        <v>10</v>
      </c>
      <c r="K954">
        <v>2959.89</v>
      </c>
    </row>
    <row r="955" spans="1:11">
      <c r="A955">
        <v>954</v>
      </c>
      <c r="B955" t="s">
        <v>54</v>
      </c>
      <c r="C955" s="1">
        <v>23012</v>
      </c>
      <c r="D955">
        <v>63</v>
      </c>
      <c r="E955" t="s">
        <v>12</v>
      </c>
      <c r="F955" t="s">
        <v>18</v>
      </c>
      <c r="G955" s="1">
        <v>45374</v>
      </c>
      <c r="H955" s="1">
        <v>45483</v>
      </c>
      <c r="I955">
        <v>36</v>
      </c>
      <c r="J955" t="s">
        <v>25</v>
      </c>
      <c r="K955">
        <v>4910.17</v>
      </c>
    </row>
    <row r="956" spans="1:11">
      <c r="A956">
        <v>955</v>
      </c>
      <c r="B956" t="s">
        <v>48</v>
      </c>
      <c r="C956" s="1">
        <v>24838</v>
      </c>
      <c r="E956" t="s">
        <v>12</v>
      </c>
      <c r="F956" t="s">
        <v>13</v>
      </c>
      <c r="G956" s="1">
        <v>45336</v>
      </c>
      <c r="H956" s="1">
        <v>45283</v>
      </c>
      <c r="I956">
        <v>17</v>
      </c>
      <c r="J956" t="s">
        <v>19</v>
      </c>
      <c r="K956">
        <v>13010.21</v>
      </c>
    </row>
    <row r="957" spans="1:11">
      <c r="A957">
        <v>956</v>
      </c>
      <c r="B957" t="s">
        <v>135</v>
      </c>
      <c r="C957" s="1">
        <v>25934</v>
      </c>
      <c r="D957">
        <v>55</v>
      </c>
      <c r="E957" t="s">
        <v>12</v>
      </c>
      <c r="F957" t="s">
        <v>16</v>
      </c>
      <c r="G957" s="1">
        <v>45297</v>
      </c>
      <c r="H957" s="1">
        <v>45465</v>
      </c>
      <c r="I957">
        <v>18</v>
      </c>
      <c r="J957" t="s">
        <v>19</v>
      </c>
      <c r="K957">
        <v>19080.86</v>
      </c>
    </row>
    <row r="958" spans="1:11">
      <c r="A958">
        <v>957</v>
      </c>
      <c r="B958" t="s">
        <v>151</v>
      </c>
      <c r="C958" s="1">
        <v>24838</v>
      </c>
      <c r="D958">
        <v>58</v>
      </c>
      <c r="E958" t="s">
        <v>12</v>
      </c>
      <c r="F958" t="s">
        <v>32</v>
      </c>
      <c r="G958" s="1">
        <v>45035</v>
      </c>
      <c r="H958" s="1">
        <v>45743</v>
      </c>
      <c r="I958">
        <v>16</v>
      </c>
      <c r="J958" t="s">
        <v>19</v>
      </c>
      <c r="K958">
        <v>5921.75</v>
      </c>
    </row>
    <row r="959" spans="1:11">
      <c r="A959">
        <v>958</v>
      </c>
      <c r="B959" t="s">
        <v>160</v>
      </c>
      <c r="C959" s="1">
        <v>20820</v>
      </c>
      <c r="D959">
        <v>69</v>
      </c>
      <c r="E959" t="s">
        <v>12</v>
      </c>
      <c r="F959" t="s">
        <v>13</v>
      </c>
      <c r="G959" s="1">
        <v>45633</v>
      </c>
      <c r="H959" s="1">
        <v>45188</v>
      </c>
      <c r="I959">
        <v>-1</v>
      </c>
      <c r="K959">
        <v>17089.79</v>
      </c>
    </row>
    <row r="960" spans="1:11">
      <c r="A960">
        <v>959</v>
      </c>
      <c r="B960" t="s">
        <v>14</v>
      </c>
      <c r="C960" s="1">
        <v>34334</v>
      </c>
      <c r="D960">
        <v>32</v>
      </c>
      <c r="E960" t="s">
        <v>15</v>
      </c>
      <c r="F960" t="s">
        <v>13</v>
      </c>
      <c r="G960" s="1">
        <v>44962</v>
      </c>
      <c r="H960" s="1">
        <v>45498</v>
      </c>
      <c r="I960">
        <v>37</v>
      </c>
      <c r="J960" t="s">
        <v>19</v>
      </c>
      <c r="K960">
        <v>10071.1</v>
      </c>
    </row>
    <row r="961" spans="1:11">
      <c r="A961">
        <v>960</v>
      </c>
      <c r="B961" t="s">
        <v>110</v>
      </c>
      <c r="C961" s="1">
        <v>27029</v>
      </c>
      <c r="D961">
        <v>52</v>
      </c>
      <c r="E961" t="s">
        <v>12</v>
      </c>
      <c r="F961" t="s">
        <v>45</v>
      </c>
      <c r="G961" s="1">
        <v>45016</v>
      </c>
      <c r="H961" s="1">
        <v>45500</v>
      </c>
      <c r="I961">
        <v>27</v>
      </c>
      <c r="K961">
        <v>19126.830000000002</v>
      </c>
    </row>
    <row r="962" spans="1:11">
      <c r="A962">
        <v>961</v>
      </c>
      <c r="B962" t="s">
        <v>117</v>
      </c>
      <c r="C962" s="1">
        <v>38352</v>
      </c>
      <c r="D962">
        <v>21</v>
      </c>
      <c r="E962" t="s">
        <v>15</v>
      </c>
      <c r="F962" t="s">
        <v>16</v>
      </c>
      <c r="G962" s="1">
        <v>45341</v>
      </c>
      <c r="H962" s="1">
        <v>45744</v>
      </c>
      <c r="I962">
        <v>20</v>
      </c>
      <c r="K962">
        <v>2638.8</v>
      </c>
    </row>
    <row r="963" spans="1:11">
      <c r="A963">
        <v>962</v>
      </c>
      <c r="B963" t="s">
        <v>74</v>
      </c>
      <c r="C963" s="1">
        <v>38717</v>
      </c>
      <c r="D963">
        <v>20</v>
      </c>
      <c r="E963" t="s">
        <v>15</v>
      </c>
      <c r="F963" t="s">
        <v>32</v>
      </c>
      <c r="G963" s="1">
        <v>45222</v>
      </c>
      <c r="H963" s="1">
        <v>44997</v>
      </c>
      <c r="I963">
        <v>37</v>
      </c>
      <c r="K963">
        <v>19470.82</v>
      </c>
    </row>
    <row r="964" spans="1:11">
      <c r="A964">
        <v>963</v>
      </c>
      <c r="B964" t="s">
        <v>101</v>
      </c>
      <c r="C964" s="1">
        <v>20820</v>
      </c>
      <c r="D964">
        <v>69</v>
      </c>
      <c r="E964" t="s">
        <v>15</v>
      </c>
      <c r="F964" t="s">
        <v>18</v>
      </c>
      <c r="G964" s="1">
        <v>45639</v>
      </c>
      <c r="H964" s="1">
        <v>45374</v>
      </c>
      <c r="I964">
        <v>10</v>
      </c>
      <c r="J964" t="s">
        <v>19</v>
      </c>
      <c r="K964">
        <v>8763.67</v>
      </c>
    </row>
    <row r="965" spans="1:11">
      <c r="A965">
        <v>964</v>
      </c>
      <c r="B965" t="s">
        <v>89</v>
      </c>
      <c r="C965" s="1">
        <v>20820</v>
      </c>
      <c r="D965">
        <v>69</v>
      </c>
      <c r="E965" t="s">
        <v>15</v>
      </c>
      <c r="F965" t="s">
        <v>32</v>
      </c>
      <c r="G965" s="1">
        <v>44972</v>
      </c>
      <c r="H965" s="1">
        <v>45374</v>
      </c>
      <c r="I965">
        <v>30</v>
      </c>
      <c r="J965" t="s">
        <v>23</v>
      </c>
      <c r="K965">
        <v>19054.060000000001</v>
      </c>
    </row>
    <row r="966" spans="1:11">
      <c r="A966">
        <v>965</v>
      </c>
      <c r="B966" t="s">
        <v>90</v>
      </c>
      <c r="C966" s="1">
        <v>44927</v>
      </c>
      <c r="D966">
        <v>3</v>
      </c>
      <c r="E966" t="s">
        <v>15</v>
      </c>
      <c r="F966" t="s">
        <v>32</v>
      </c>
      <c r="G966" s="1">
        <v>45414</v>
      </c>
      <c r="H966" s="1">
        <v>45710</v>
      </c>
      <c r="I966">
        <v>29</v>
      </c>
      <c r="K966">
        <v>9119.67</v>
      </c>
    </row>
    <row r="967" spans="1:11">
      <c r="A967">
        <v>966</v>
      </c>
      <c r="B967" t="s">
        <v>46</v>
      </c>
      <c r="C967" s="1">
        <v>12054</v>
      </c>
      <c r="D967">
        <v>93</v>
      </c>
      <c r="E967" t="s">
        <v>15</v>
      </c>
      <c r="F967" t="s">
        <v>16</v>
      </c>
      <c r="G967" s="1">
        <v>45545</v>
      </c>
      <c r="H967" s="1">
        <v>45184</v>
      </c>
      <c r="I967">
        <v>25</v>
      </c>
      <c r="J967" t="s">
        <v>23</v>
      </c>
      <c r="K967">
        <v>10554.65</v>
      </c>
    </row>
    <row r="968" spans="1:11">
      <c r="A968">
        <v>967</v>
      </c>
      <c r="B968" t="s">
        <v>84</v>
      </c>
      <c r="C968" s="1">
        <v>18994</v>
      </c>
      <c r="D968">
        <v>74</v>
      </c>
      <c r="E968" t="s">
        <v>12</v>
      </c>
      <c r="G968" s="1">
        <v>45096</v>
      </c>
      <c r="H968" s="1">
        <v>45823</v>
      </c>
      <c r="I968">
        <v>21</v>
      </c>
      <c r="K968">
        <v>16075.98</v>
      </c>
    </row>
    <row r="969" spans="1:11">
      <c r="A969">
        <v>968</v>
      </c>
      <c r="B969" t="s">
        <v>47</v>
      </c>
      <c r="C969" s="1">
        <v>23742</v>
      </c>
      <c r="D969">
        <v>61</v>
      </c>
      <c r="E969" t="s">
        <v>12</v>
      </c>
      <c r="F969" t="s">
        <v>13</v>
      </c>
      <c r="G969" s="1">
        <v>45072</v>
      </c>
      <c r="H969" s="1">
        <v>45564</v>
      </c>
      <c r="I969">
        <v>39</v>
      </c>
      <c r="J969" t="s">
        <v>19</v>
      </c>
      <c r="K969">
        <v>14424.83</v>
      </c>
    </row>
    <row r="970" spans="1:11">
      <c r="A970">
        <v>969</v>
      </c>
      <c r="B970" t="s">
        <v>103</v>
      </c>
      <c r="C970" s="1">
        <v>23742</v>
      </c>
      <c r="D970">
        <v>61</v>
      </c>
      <c r="F970" t="s">
        <v>13</v>
      </c>
      <c r="G970" s="1">
        <v>45346</v>
      </c>
      <c r="H970" s="1">
        <v>45458</v>
      </c>
      <c r="I970">
        <v>25</v>
      </c>
      <c r="J970" t="s">
        <v>19</v>
      </c>
      <c r="K970">
        <v>12354.03</v>
      </c>
    </row>
    <row r="971" spans="1:11">
      <c r="A971">
        <v>970</v>
      </c>
      <c r="B971" t="s">
        <v>14</v>
      </c>
      <c r="C971" s="1">
        <v>12054</v>
      </c>
      <c r="D971">
        <v>93</v>
      </c>
      <c r="E971" t="s">
        <v>15</v>
      </c>
      <c r="F971" t="s">
        <v>13</v>
      </c>
      <c r="G971" s="1">
        <v>45616</v>
      </c>
      <c r="H971" s="1">
        <v>45046</v>
      </c>
      <c r="I971">
        <v>27</v>
      </c>
      <c r="J971" t="s">
        <v>19</v>
      </c>
      <c r="K971">
        <v>8281.2999999999993</v>
      </c>
    </row>
    <row r="972" spans="1:11">
      <c r="A972">
        <v>971</v>
      </c>
      <c r="B972" t="s">
        <v>50</v>
      </c>
      <c r="C972" s="1">
        <v>11689</v>
      </c>
      <c r="D972">
        <v>94</v>
      </c>
      <c r="E972" t="s">
        <v>12</v>
      </c>
      <c r="F972" t="s">
        <v>13</v>
      </c>
      <c r="G972" s="1">
        <v>45499</v>
      </c>
      <c r="H972" s="1">
        <v>45759</v>
      </c>
      <c r="I972">
        <v>38</v>
      </c>
      <c r="J972" t="s">
        <v>25</v>
      </c>
      <c r="K972">
        <v>15828.01</v>
      </c>
    </row>
    <row r="973" spans="1:11">
      <c r="A973">
        <v>972</v>
      </c>
      <c r="B973" t="s">
        <v>121</v>
      </c>
      <c r="C973" s="1">
        <v>37622</v>
      </c>
      <c r="D973">
        <v>23</v>
      </c>
      <c r="E973" t="s">
        <v>12</v>
      </c>
      <c r="F973" t="s">
        <v>16</v>
      </c>
      <c r="G973" s="1">
        <v>44929</v>
      </c>
      <c r="H973" s="1">
        <v>44993</v>
      </c>
      <c r="I973">
        <v>26</v>
      </c>
      <c r="J973" t="s">
        <v>19</v>
      </c>
      <c r="K973">
        <v>18959.39</v>
      </c>
    </row>
    <row r="974" spans="1:11">
      <c r="A974">
        <v>973</v>
      </c>
      <c r="B974" t="s">
        <v>171</v>
      </c>
      <c r="D974">
        <v>54</v>
      </c>
      <c r="E974" t="s">
        <v>15</v>
      </c>
      <c r="F974" t="s">
        <v>18</v>
      </c>
      <c r="G974" s="1">
        <v>45520</v>
      </c>
      <c r="H974" s="1">
        <v>45172</v>
      </c>
      <c r="I974">
        <v>31</v>
      </c>
      <c r="J974" t="s">
        <v>23</v>
      </c>
      <c r="K974">
        <v>97.2</v>
      </c>
    </row>
    <row r="975" spans="1:11">
      <c r="A975">
        <v>974</v>
      </c>
      <c r="B975" t="s">
        <v>87</v>
      </c>
      <c r="C975" s="1">
        <v>43100</v>
      </c>
      <c r="D975">
        <v>8</v>
      </c>
      <c r="E975" t="s">
        <v>12</v>
      </c>
      <c r="F975" t="s">
        <v>21</v>
      </c>
      <c r="G975" s="1">
        <v>45189</v>
      </c>
      <c r="H975" s="1">
        <v>44984</v>
      </c>
      <c r="I975">
        <v>19</v>
      </c>
      <c r="K975">
        <v>11715.69</v>
      </c>
    </row>
    <row r="976" spans="1:11">
      <c r="A976">
        <v>975</v>
      </c>
      <c r="B976" t="s">
        <v>127</v>
      </c>
      <c r="C976" s="1">
        <v>45292</v>
      </c>
      <c r="D976">
        <v>2</v>
      </c>
      <c r="E976" t="s">
        <v>12</v>
      </c>
      <c r="F976" t="s">
        <v>45</v>
      </c>
      <c r="G976" s="1">
        <v>45247</v>
      </c>
      <c r="H976" s="1">
        <v>44971</v>
      </c>
      <c r="I976">
        <v>22</v>
      </c>
      <c r="J976" t="s">
        <v>23</v>
      </c>
      <c r="K976">
        <v>17306.22</v>
      </c>
    </row>
    <row r="977" spans="1:11">
      <c r="A977">
        <v>976</v>
      </c>
      <c r="B977" t="s">
        <v>168</v>
      </c>
      <c r="C977" s="1">
        <v>35065</v>
      </c>
      <c r="D977">
        <v>30</v>
      </c>
      <c r="E977" t="s">
        <v>15</v>
      </c>
      <c r="G977" s="1">
        <v>45533</v>
      </c>
      <c r="H977" s="1">
        <v>45451</v>
      </c>
      <c r="I977">
        <v>11</v>
      </c>
      <c r="J977" t="s">
        <v>25</v>
      </c>
      <c r="K977">
        <v>13027.56</v>
      </c>
    </row>
    <row r="978" spans="1:11">
      <c r="A978">
        <v>977</v>
      </c>
      <c r="B978" t="s">
        <v>100</v>
      </c>
      <c r="C978" s="1">
        <v>31778</v>
      </c>
      <c r="D978">
        <v>39</v>
      </c>
      <c r="E978" t="s">
        <v>12</v>
      </c>
      <c r="G978" s="1">
        <v>45502</v>
      </c>
      <c r="H978" s="1">
        <v>45817</v>
      </c>
      <c r="I978">
        <v>7</v>
      </c>
      <c r="J978" t="s">
        <v>23</v>
      </c>
      <c r="K978">
        <v>15996.67</v>
      </c>
    </row>
    <row r="979" spans="1:11">
      <c r="A979">
        <v>978</v>
      </c>
      <c r="B979" t="s">
        <v>96</v>
      </c>
      <c r="C979" s="1">
        <v>33239</v>
      </c>
      <c r="D979">
        <v>35</v>
      </c>
      <c r="E979" t="s">
        <v>12</v>
      </c>
      <c r="F979" t="s">
        <v>13</v>
      </c>
      <c r="G979" s="1">
        <v>45172</v>
      </c>
      <c r="H979" s="1">
        <v>45351</v>
      </c>
      <c r="I979">
        <v>7</v>
      </c>
      <c r="K979">
        <v>17890.73</v>
      </c>
    </row>
    <row r="980" spans="1:11">
      <c r="A980">
        <v>979</v>
      </c>
      <c r="B980" t="s">
        <v>101</v>
      </c>
      <c r="C980" s="1">
        <v>37622</v>
      </c>
      <c r="D980">
        <v>23</v>
      </c>
      <c r="E980" t="s">
        <v>15</v>
      </c>
      <c r="F980" t="s">
        <v>13</v>
      </c>
      <c r="G980" s="1">
        <v>45515</v>
      </c>
      <c r="H980" s="1">
        <v>45675</v>
      </c>
      <c r="I980">
        <v>5</v>
      </c>
      <c r="K980">
        <v>14994.12</v>
      </c>
    </row>
    <row r="981" spans="1:11">
      <c r="A981">
        <v>980</v>
      </c>
      <c r="B981" t="s">
        <v>76</v>
      </c>
      <c r="C981" s="1">
        <v>11689</v>
      </c>
      <c r="D981">
        <v>94</v>
      </c>
      <c r="E981" t="s">
        <v>15</v>
      </c>
      <c r="F981" t="s">
        <v>45</v>
      </c>
      <c r="G981" s="1">
        <v>45403</v>
      </c>
      <c r="H981" s="1">
        <v>45463</v>
      </c>
      <c r="I981">
        <v>11</v>
      </c>
      <c r="J981" t="s">
        <v>19</v>
      </c>
      <c r="K981">
        <v>14312.05</v>
      </c>
    </row>
    <row r="982" spans="1:11">
      <c r="A982">
        <v>981</v>
      </c>
      <c r="B982" t="s">
        <v>166</v>
      </c>
      <c r="C982" s="1">
        <v>44196</v>
      </c>
      <c r="D982">
        <v>5</v>
      </c>
      <c r="E982" t="s">
        <v>15</v>
      </c>
      <c r="F982" t="s">
        <v>13</v>
      </c>
      <c r="G982" s="1">
        <v>45185</v>
      </c>
      <c r="H982" s="1">
        <v>45322</v>
      </c>
      <c r="I982">
        <v>35</v>
      </c>
      <c r="J982" t="s">
        <v>25</v>
      </c>
      <c r="K982">
        <v>19291.39</v>
      </c>
    </row>
    <row r="983" spans="1:11">
      <c r="A983">
        <v>982</v>
      </c>
      <c r="B983" t="s">
        <v>167</v>
      </c>
      <c r="C983" s="1">
        <v>22281</v>
      </c>
      <c r="D983">
        <v>65</v>
      </c>
      <c r="E983" t="s">
        <v>15</v>
      </c>
      <c r="F983" t="s">
        <v>21</v>
      </c>
      <c r="G983" s="1">
        <v>45019</v>
      </c>
      <c r="H983" s="1">
        <v>45377</v>
      </c>
      <c r="I983">
        <v>29</v>
      </c>
      <c r="J983" t="s">
        <v>25</v>
      </c>
      <c r="K983">
        <v>17260.060000000001</v>
      </c>
    </row>
    <row r="984" spans="1:11">
      <c r="A984">
        <v>983</v>
      </c>
      <c r="B984" t="s">
        <v>52</v>
      </c>
      <c r="C984" s="1">
        <v>15707</v>
      </c>
      <c r="D984">
        <v>83</v>
      </c>
      <c r="E984" t="s">
        <v>12</v>
      </c>
      <c r="G984" s="1">
        <v>45459</v>
      </c>
      <c r="H984" s="1">
        <v>45184</v>
      </c>
      <c r="I984">
        <v>29</v>
      </c>
      <c r="J984" t="s">
        <v>23</v>
      </c>
      <c r="K984">
        <v>16289.1</v>
      </c>
    </row>
    <row r="985" spans="1:11">
      <c r="A985">
        <v>984</v>
      </c>
      <c r="B985" t="s">
        <v>140</v>
      </c>
      <c r="C985" s="1">
        <v>12785</v>
      </c>
      <c r="D985">
        <v>91</v>
      </c>
      <c r="E985" t="s">
        <v>12</v>
      </c>
      <c r="F985" t="s">
        <v>32</v>
      </c>
      <c r="G985" s="1">
        <v>45500</v>
      </c>
      <c r="H985" s="1">
        <v>45723</v>
      </c>
      <c r="I985">
        <v>0</v>
      </c>
      <c r="J985" t="s">
        <v>19</v>
      </c>
      <c r="K985">
        <v>1636.71</v>
      </c>
    </row>
    <row r="986" spans="1:11">
      <c r="A986">
        <v>985</v>
      </c>
      <c r="B986" t="s">
        <v>166</v>
      </c>
      <c r="C986" s="1">
        <v>18994</v>
      </c>
      <c r="D986">
        <v>74</v>
      </c>
      <c r="E986" t="s">
        <v>15</v>
      </c>
      <c r="F986" t="s">
        <v>45</v>
      </c>
      <c r="G986" s="1">
        <v>45265</v>
      </c>
      <c r="H986" s="1">
        <v>45763</v>
      </c>
      <c r="I986">
        <v>17</v>
      </c>
      <c r="J986" t="s">
        <v>19</v>
      </c>
      <c r="K986">
        <v>4704.5</v>
      </c>
    </row>
    <row r="987" spans="1:11">
      <c r="A987">
        <v>986</v>
      </c>
      <c r="B987" t="s">
        <v>55</v>
      </c>
      <c r="C987" s="1">
        <v>44927</v>
      </c>
      <c r="D987">
        <v>3</v>
      </c>
      <c r="E987" t="s">
        <v>12</v>
      </c>
      <c r="G987" s="1">
        <v>45186</v>
      </c>
      <c r="H987" s="1">
        <v>45288</v>
      </c>
      <c r="I987">
        <v>10</v>
      </c>
      <c r="J987" t="s">
        <v>19</v>
      </c>
      <c r="K987">
        <v>11090.8</v>
      </c>
    </row>
    <row r="988" spans="1:11">
      <c r="A988">
        <v>987</v>
      </c>
      <c r="B988" t="s">
        <v>117</v>
      </c>
      <c r="C988" s="1">
        <v>17533</v>
      </c>
      <c r="D988">
        <v>78</v>
      </c>
      <c r="E988" t="s">
        <v>15</v>
      </c>
      <c r="F988" t="s">
        <v>18</v>
      </c>
      <c r="G988" s="1">
        <v>45163</v>
      </c>
      <c r="H988" s="1">
        <v>45690</v>
      </c>
      <c r="I988">
        <v>20</v>
      </c>
      <c r="K988">
        <v>14162.16</v>
      </c>
    </row>
    <row r="989" spans="1:11">
      <c r="A989">
        <v>988</v>
      </c>
      <c r="B989" t="s">
        <v>38</v>
      </c>
      <c r="C989" s="1">
        <v>44196</v>
      </c>
      <c r="D989">
        <v>5</v>
      </c>
      <c r="E989" t="s">
        <v>15</v>
      </c>
      <c r="G989" s="1">
        <v>45067</v>
      </c>
      <c r="H989" s="1">
        <v>45533</v>
      </c>
      <c r="I989">
        <v>16</v>
      </c>
      <c r="J989" t="s">
        <v>25</v>
      </c>
      <c r="K989">
        <v>5994.62</v>
      </c>
    </row>
    <row r="990" spans="1:11">
      <c r="A990">
        <v>989</v>
      </c>
      <c r="B990" t="s">
        <v>37</v>
      </c>
      <c r="C990" s="1">
        <v>12054</v>
      </c>
      <c r="D990">
        <v>93</v>
      </c>
      <c r="E990" t="s">
        <v>15</v>
      </c>
      <c r="F990" t="s">
        <v>45</v>
      </c>
      <c r="G990" s="1">
        <v>45605</v>
      </c>
      <c r="H990" s="1">
        <v>45307</v>
      </c>
      <c r="I990">
        <v>13</v>
      </c>
      <c r="J990" t="s">
        <v>23</v>
      </c>
      <c r="K990">
        <v>1775.9</v>
      </c>
    </row>
    <row r="991" spans="1:11">
      <c r="A991">
        <v>990</v>
      </c>
      <c r="B991" t="s">
        <v>64</v>
      </c>
      <c r="C991" s="1">
        <v>27760</v>
      </c>
      <c r="D991">
        <v>50</v>
      </c>
      <c r="E991" t="s">
        <v>12</v>
      </c>
      <c r="F991" t="s">
        <v>21</v>
      </c>
      <c r="G991" s="1">
        <v>45406</v>
      </c>
      <c r="H991" s="1">
        <v>45370</v>
      </c>
      <c r="I991">
        <v>33</v>
      </c>
      <c r="J991" t="s">
        <v>23</v>
      </c>
      <c r="K991">
        <v>6153.09</v>
      </c>
    </row>
    <row r="992" spans="1:11">
      <c r="A992">
        <v>991</v>
      </c>
      <c r="B992" t="s">
        <v>11</v>
      </c>
      <c r="C992" s="1">
        <v>23742</v>
      </c>
      <c r="D992">
        <v>61</v>
      </c>
      <c r="E992" t="s">
        <v>15</v>
      </c>
      <c r="F992" t="s">
        <v>16</v>
      </c>
      <c r="G992" s="1">
        <v>45505</v>
      </c>
      <c r="H992" s="1">
        <v>45819</v>
      </c>
      <c r="I992">
        <v>32</v>
      </c>
      <c r="J992" t="s">
        <v>23</v>
      </c>
      <c r="K992">
        <v>15397.69</v>
      </c>
    </row>
    <row r="993" spans="1:11">
      <c r="A993">
        <v>992</v>
      </c>
      <c r="B993" t="s">
        <v>127</v>
      </c>
      <c r="C993" s="1">
        <v>25568</v>
      </c>
      <c r="D993">
        <v>56</v>
      </c>
      <c r="E993" t="s">
        <v>15</v>
      </c>
      <c r="F993" t="s">
        <v>18</v>
      </c>
      <c r="G993" s="1">
        <v>45276</v>
      </c>
      <c r="H993" s="1">
        <v>45461</v>
      </c>
      <c r="I993">
        <v>4</v>
      </c>
      <c r="J993" t="s">
        <v>19</v>
      </c>
      <c r="K993">
        <v>17535.759999999998</v>
      </c>
    </row>
    <row r="994" spans="1:11">
      <c r="A994">
        <v>993</v>
      </c>
      <c r="B994" t="s">
        <v>99</v>
      </c>
      <c r="C994" s="1">
        <v>22281</v>
      </c>
      <c r="D994">
        <v>65</v>
      </c>
      <c r="E994" t="s">
        <v>15</v>
      </c>
      <c r="F994" t="s">
        <v>32</v>
      </c>
      <c r="G994" s="1">
        <v>45496</v>
      </c>
      <c r="H994" s="1">
        <v>45401</v>
      </c>
      <c r="I994">
        <v>34</v>
      </c>
      <c r="J994" t="s">
        <v>25</v>
      </c>
      <c r="K994">
        <v>18249.36</v>
      </c>
    </row>
    <row r="995" spans="1:11">
      <c r="A995">
        <v>994</v>
      </c>
      <c r="B995" t="s">
        <v>110</v>
      </c>
      <c r="C995" s="1">
        <v>17533</v>
      </c>
      <c r="D995">
        <v>78</v>
      </c>
      <c r="E995" t="s">
        <v>12</v>
      </c>
      <c r="F995" t="s">
        <v>13</v>
      </c>
      <c r="G995" s="1">
        <v>45650</v>
      </c>
      <c r="H995" s="1">
        <v>45084</v>
      </c>
      <c r="I995">
        <v>5</v>
      </c>
      <c r="J995" t="s">
        <v>25</v>
      </c>
      <c r="K995">
        <v>7515.22</v>
      </c>
    </row>
    <row r="996" spans="1:11">
      <c r="A996">
        <v>995</v>
      </c>
      <c r="B996" t="s">
        <v>72</v>
      </c>
      <c r="C996" s="1">
        <v>18994</v>
      </c>
      <c r="D996">
        <v>74</v>
      </c>
      <c r="F996" t="s">
        <v>45</v>
      </c>
      <c r="G996" s="1">
        <v>45056</v>
      </c>
      <c r="H996" s="1">
        <v>45016</v>
      </c>
      <c r="I996">
        <v>22</v>
      </c>
      <c r="K996">
        <v>7388.03</v>
      </c>
    </row>
    <row r="997" spans="1:11">
      <c r="A997">
        <v>996</v>
      </c>
      <c r="B997" t="s">
        <v>88</v>
      </c>
      <c r="C997" s="1">
        <v>43466</v>
      </c>
      <c r="D997">
        <v>7</v>
      </c>
      <c r="E997" t="s">
        <v>15</v>
      </c>
      <c r="F997" t="s">
        <v>18</v>
      </c>
      <c r="G997" s="1">
        <v>45463</v>
      </c>
      <c r="H997" s="1">
        <v>45129</v>
      </c>
      <c r="I997">
        <v>20</v>
      </c>
      <c r="K997">
        <v>8074.82</v>
      </c>
    </row>
    <row r="998" spans="1:11">
      <c r="A998">
        <v>997</v>
      </c>
      <c r="B998" t="s">
        <v>74</v>
      </c>
      <c r="C998" s="1">
        <v>36891</v>
      </c>
      <c r="D998">
        <v>25</v>
      </c>
      <c r="E998" t="s">
        <v>15</v>
      </c>
      <c r="F998" t="s">
        <v>45</v>
      </c>
      <c r="G998" s="1">
        <v>44937</v>
      </c>
      <c r="H998" s="1">
        <v>45389</v>
      </c>
      <c r="I998">
        <v>7</v>
      </c>
      <c r="K998">
        <v>7453.77</v>
      </c>
    </row>
    <row r="999" spans="1:11">
      <c r="A999">
        <v>998</v>
      </c>
      <c r="B999" t="s">
        <v>127</v>
      </c>
      <c r="C999" s="1">
        <v>27760</v>
      </c>
      <c r="E999" t="s">
        <v>12</v>
      </c>
      <c r="F999" t="s">
        <v>32</v>
      </c>
      <c r="G999" s="1">
        <v>45183</v>
      </c>
      <c r="H999" s="1">
        <v>45408</v>
      </c>
      <c r="I999">
        <v>27</v>
      </c>
      <c r="J999" t="s">
        <v>23</v>
      </c>
      <c r="K999">
        <v>13290.55</v>
      </c>
    </row>
    <row r="1000" spans="1:11">
      <c r="A1000">
        <v>999</v>
      </c>
      <c r="B1000" t="s">
        <v>39</v>
      </c>
      <c r="C1000" s="1">
        <v>29951</v>
      </c>
      <c r="D1000">
        <v>44</v>
      </c>
      <c r="E1000" t="s">
        <v>12</v>
      </c>
      <c r="F1000" t="s">
        <v>45</v>
      </c>
      <c r="G1000" s="1">
        <v>45295</v>
      </c>
      <c r="H1000" s="1">
        <v>45636</v>
      </c>
      <c r="I1000">
        <v>30</v>
      </c>
      <c r="J1000" t="s">
        <v>23</v>
      </c>
      <c r="K1000">
        <v>7102.3</v>
      </c>
    </row>
    <row r="1001" spans="1:11">
      <c r="A1001">
        <v>1000</v>
      </c>
      <c r="B1001" t="s">
        <v>112</v>
      </c>
      <c r="C1001" s="1">
        <v>30317</v>
      </c>
      <c r="D1001">
        <v>43</v>
      </c>
      <c r="E1001" t="s">
        <v>15</v>
      </c>
      <c r="G1001" s="1">
        <v>45320</v>
      </c>
      <c r="H1001" s="1">
        <v>45484</v>
      </c>
      <c r="I1001">
        <v>8</v>
      </c>
      <c r="J1001" t="s">
        <v>25</v>
      </c>
      <c r="K1001">
        <v>308.91000000000003</v>
      </c>
    </row>
    <row r="1002" spans="1:11">
      <c r="A1002">
        <v>1001</v>
      </c>
      <c r="B1002" t="s">
        <v>60</v>
      </c>
      <c r="C1002" s="1">
        <v>44561</v>
      </c>
      <c r="D1002">
        <v>4</v>
      </c>
      <c r="E1002" t="s">
        <v>12</v>
      </c>
      <c r="G1002" s="1">
        <v>45519</v>
      </c>
      <c r="H1002" s="1">
        <v>45381</v>
      </c>
      <c r="I1002">
        <v>32</v>
      </c>
      <c r="K1002">
        <v>8724.39</v>
      </c>
    </row>
    <row r="1003" spans="1:11">
      <c r="A1003">
        <v>1002</v>
      </c>
      <c r="B1003" t="s">
        <v>29</v>
      </c>
      <c r="C1003" s="1">
        <v>20820</v>
      </c>
      <c r="D1003">
        <v>69</v>
      </c>
      <c r="E1003" t="s">
        <v>12</v>
      </c>
      <c r="F1003" t="s">
        <v>18</v>
      </c>
      <c r="G1003" s="1">
        <v>45345</v>
      </c>
      <c r="H1003" s="1">
        <v>45397</v>
      </c>
      <c r="I1003">
        <v>24</v>
      </c>
      <c r="J1003" t="s">
        <v>23</v>
      </c>
      <c r="K1003">
        <v>4405.46</v>
      </c>
    </row>
    <row r="1004" spans="1:11">
      <c r="A1004">
        <v>1003</v>
      </c>
      <c r="B1004" t="s">
        <v>148</v>
      </c>
      <c r="D1004">
        <v>25</v>
      </c>
      <c r="E1004" t="s">
        <v>15</v>
      </c>
      <c r="F1004" t="s">
        <v>21</v>
      </c>
      <c r="G1004" s="1">
        <v>44945</v>
      </c>
      <c r="H1004" s="1">
        <v>45307</v>
      </c>
      <c r="I1004">
        <v>0</v>
      </c>
      <c r="K1004">
        <v>479.02</v>
      </c>
    </row>
    <row r="1005" spans="1:11">
      <c r="A1005">
        <v>1004</v>
      </c>
      <c r="B1005" t="s">
        <v>83</v>
      </c>
      <c r="C1005" s="1">
        <v>21551</v>
      </c>
      <c r="D1005">
        <v>67</v>
      </c>
      <c r="E1005" t="s">
        <v>12</v>
      </c>
      <c r="F1005" t="s">
        <v>16</v>
      </c>
      <c r="G1005" s="1">
        <v>45036</v>
      </c>
      <c r="H1005" s="1">
        <v>45328</v>
      </c>
      <c r="I1005">
        <v>5</v>
      </c>
      <c r="K1005">
        <v>9363.94</v>
      </c>
    </row>
    <row r="1006" spans="1:11">
      <c r="A1006">
        <v>1005</v>
      </c>
      <c r="B1006" t="s">
        <v>36</v>
      </c>
      <c r="C1006" s="1">
        <v>39448</v>
      </c>
      <c r="D1006">
        <v>18</v>
      </c>
      <c r="E1006" t="s">
        <v>12</v>
      </c>
      <c r="F1006" t="s">
        <v>18</v>
      </c>
      <c r="G1006" s="1">
        <v>45363</v>
      </c>
      <c r="H1006" s="1">
        <v>45006</v>
      </c>
      <c r="I1006">
        <v>10</v>
      </c>
      <c r="J1006" t="s">
        <v>25</v>
      </c>
      <c r="K1006">
        <v>4039.69</v>
      </c>
    </row>
    <row r="1007" spans="1:11">
      <c r="A1007">
        <v>1006</v>
      </c>
      <c r="B1007" t="s">
        <v>86</v>
      </c>
      <c r="C1007" s="1">
        <v>15707</v>
      </c>
      <c r="D1007">
        <v>83</v>
      </c>
      <c r="E1007" t="s">
        <v>12</v>
      </c>
      <c r="F1007" t="s">
        <v>45</v>
      </c>
      <c r="G1007" s="1">
        <v>45431</v>
      </c>
      <c r="H1007" s="1">
        <v>45478</v>
      </c>
      <c r="I1007">
        <v>39</v>
      </c>
      <c r="J1007" t="s">
        <v>25</v>
      </c>
      <c r="K1007">
        <v>9000.11</v>
      </c>
    </row>
    <row r="1008" spans="1:11">
      <c r="A1008">
        <v>1007</v>
      </c>
      <c r="B1008" t="s">
        <v>101</v>
      </c>
      <c r="C1008" s="1">
        <v>39083</v>
      </c>
      <c r="D1008">
        <v>19</v>
      </c>
      <c r="E1008" t="s">
        <v>15</v>
      </c>
      <c r="F1008" t="s">
        <v>32</v>
      </c>
      <c r="G1008" s="1">
        <v>44960</v>
      </c>
      <c r="H1008" s="1">
        <v>45723</v>
      </c>
      <c r="I1008">
        <v>0</v>
      </c>
      <c r="J1008" t="s">
        <v>23</v>
      </c>
      <c r="K1008">
        <v>5482.77</v>
      </c>
    </row>
    <row r="1009" spans="1:11">
      <c r="A1009">
        <v>1008</v>
      </c>
      <c r="B1009" t="s">
        <v>120</v>
      </c>
      <c r="C1009" s="1">
        <v>42005</v>
      </c>
      <c r="D1009">
        <v>11</v>
      </c>
      <c r="E1009" t="s">
        <v>15</v>
      </c>
      <c r="G1009" s="1">
        <v>45214</v>
      </c>
      <c r="H1009" s="1">
        <v>45313</v>
      </c>
      <c r="I1009">
        <v>17</v>
      </c>
      <c r="J1009" t="s">
        <v>25</v>
      </c>
      <c r="K1009">
        <v>12034.55</v>
      </c>
    </row>
    <row r="1010" spans="1:11">
      <c r="A1010">
        <v>1009</v>
      </c>
      <c r="B1010" t="s">
        <v>96</v>
      </c>
      <c r="D1010">
        <v>46</v>
      </c>
      <c r="E1010" t="s">
        <v>15</v>
      </c>
      <c r="F1010" t="s">
        <v>13</v>
      </c>
      <c r="G1010" s="1">
        <v>45181</v>
      </c>
      <c r="H1010" s="1">
        <v>45594</v>
      </c>
      <c r="I1010">
        <v>32</v>
      </c>
      <c r="K1010">
        <v>19816.64</v>
      </c>
    </row>
    <row r="1011" spans="1:11">
      <c r="A1011">
        <v>1010</v>
      </c>
      <c r="B1011" t="s">
        <v>51</v>
      </c>
      <c r="C1011" s="1">
        <v>46022</v>
      </c>
      <c r="D1011">
        <v>0</v>
      </c>
      <c r="E1011" t="s">
        <v>15</v>
      </c>
      <c r="F1011" t="s">
        <v>13</v>
      </c>
      <c r="G1011" s="1">
        <v>45564</v>
      </c>
      <c r="H1011" s="1">
        <v>45588</v>
      </c>
      <c r="I1011">
        <v>10</v>
      </c>
      <c r="J1011" t="s">
        <v>25</v>
      </c>
      <c r="K1011">
        <v>10899.36</v>
      </c>
    </row>
    <row r="1012" spans="1:11">
      <c r="A1012">
        <v>1011</v>
      </c>
      <c r="B1012" t="s">
        <v>169</v>
      </c>
      <c r="C1012" s="1">
        <v>13515</v>
      </c>
      <c r="E1012" t="s">
        <v>12</v>
      </c>
      <c r="F1012" t="s">
        <v>32</v>
      </c>
      <c r="G1012" s="1">
        <v>45647</v>
      </c>
      <c r="H1012" s="1">
        <v>45270</v>
      </c>
      <c r="I1012">
        <v>17</v>
      </c>
      <c r="K1012">
        <v>12902.61</v>
      </c>
    </row>
    <row r="1013" spans="1:11">
      <c r="A1013">
        <v>1012</v>
      </c>
      <c r="B1013" t="s">
        <v>11</v>
      </c>
      <c r="C1013" s="1">
        <v>41274</v>
      </c>
      <c r="D1013">
        <v>13</v>
      </c>
      <c r="E1013" t="s">
        <v>12</v>
      </c>
      <c r="F1013" t="s">
        <v>45</v>
      </c>
      <c r="G1013" s="1">
        <v>45060</v>
      </c>
      <c r="H1013" s="1">
        <v>45372</v>
      </c>
      <c r="I1013">
        <v>21</v>
      </c>
      <c r="K1013">
        <v>18377.439999999999</v>
      </c>
    </row>
    <row r="1014" spans="1:11">
      <c r="A1014">
        <v>1013</v>
      </c>
      <c r="B1014" t="s">
        <v>146</v>
      </c>
      <c r="C1014" s="1">
        <v>23012</v>
      </c>
      <c r="D1014">
        <v>63</v>
      </c>
      <c r="E1014" t="s">
        <v>12</v>
      </c>
      <c r="F1014" t="s">
        <v>16</v>
      </c>
      <c r="G1014" s="1">
        <v>45425</v>
      </c>
      <c r="H1014" s="1">
        <v>44979</v>
      </c>
      <c r="I1014">
        <v>6</v>
      </c>
      <c r="J1014" t="s">
        <v>23</v>
      </c>
      <c r="K1014">
        <v>7417.41</v>
      </c>
    </row>
    <row r="1015" spans="1:11">
      <c r="A1015">
        <v>1014</v>
      </c>
      <c r="B1015" t="s">
        <v>155</v>
      </c>
      <c r="C1015" s="1">
        <v>32508</v>
      </c>
      <c r="D1015">
        <v>37</v>
      </c>
      <c r="F1015" t="s">
        <v>32</v>
      </c>
      <c r="G1015" s="1">
        <v>45323</v>
      </c>
      <c r="H1015" s="1">
        <v>45178</v>
      </c>
      <c r="I1015">
        <v>27</v>
      </c>
      <c r="J1015" t="s">
        <v>23</v>
      </c>
      <c r="K1015">
        <v>3247.62</v>
      </c>
    </row>
    <row r="1016" spans="1:11">
      <c r="A1016">
        <v>1015</v>
      </c>
      <c r="B1016" t="s">
        <v>53</v>
      </c>
      <c r="C1016" s="1">
        <v>32873</v>
      </c>
      <c r="D1016">
        <v>36</v>
      </c>
      <c r="E1016" t="s">
        <v>15</v>
      </c>
      <c r="F1016" t="s">
        <v>45</v>
      </c>
      <c r="G1016" s="1">
        <v>45413</v>
      </c>
      <c r="H1016" s="1">
        <v>45821</v>
      </c>
      <c r="I1016">
        <v>22</v>
      </c>
      <c r="J1016" t="s">
        <v>23</v>
      </c>
      <c r="K1016">
        <v>5584.23</v>
      </c>
    </row>
    <row r="1017" spans="1:11">
      <c r="A1017">
        <v>1016</v>
      </c>
      <c r="B1017" t="s">
        <v>56</v>
      </c>
      <c r="C1017" s="1">
        <v>42370</v>
      </c>
      <c r="D1017">
        <v>10</v>
      </c>
      <c r="E1017" t="s">
        <v>12</v>
      </c>
      <c r="F1017" t="s">
        <v>18</v>
      </c>
      <c r="G1017" s="1">
        <v>45524</v>
      </c>
      <c r="H1017" s="1">
        <v>45586</v>
      </c>
      <c r="I1017">
        <v>13</v>
      </c>
      <c r="K1017">
        <v>7996.18</v>
      </c>
    </row>
    <row r="1018" spans="1:11">
      <c r="A1018">
        <v>1017</v>
      </c>
      <c r="B1018" t="s">
        <v>155</v>
      </c>
      <c r="C1018" s="1">
        <v>18263</v>
      </c>
      <c r="D1018">
        <v>76</v>
      </c>
      <c r="E1018" t="s">
        <v>12</v>
      </c>
      <c r="F1018" t="s">
        <v>16</v>
      </c>
      <c r="G1018" s="1">
        <v>45513</v>
      </c>
      <c r="H1018" s="1">
        <v>45256</v>
      </c>
      <c r="I1018">
        <v>5</v>
      </c>
      <c r="J1018" t="s">
        <v>25</v>
      </c>
      <c r="K1018">
        <v>12864.86</v>
      </c>
    </row>
    <row r="1019" spans="1:11">
      <c r="A1019">
        <v>1018</v>
      </c>
      <c r="B1019" t="s">
        <v>56</v>
      </c>
      <c r="D1019">
        <v>2</v>
      </c>
      <c r="E1019" t="s">
        <v>15</v>
      </c>
      <c r="F1019" t="s">
        <v>21</v>
      </c>
      <c r="G1019" s="1">
        <v>45573</v>
      </c>
      <c r="H1019" s="1">
        <v>45421</v>
      </c>
      <c r="I1019">
        <v>25</v>
      </c>
      <c r="J1019" t="s">
        <v>23</v>
      </c>
      <c r="K1019">
        <v>-7.78</v>
      </c>
    </row>
    <row r="1020" spans="1:11">
      <c r="A1020">
        <v>1019</v>
      </c>
      <c r="B1020" t="s">
        <v>37</v>
      </c>
      <c r="C1020" s="1">
        <v>34334</v>
      </c>
      <c r="D1020">
        <v>32</v>
      </c>
      <c r="E1020" t="s">
        <v>12</v>
      </c>
      <c r="F1020" t="s">
        <v>45</v>
      </c>
      <c r="G1020" s="1">
        <v>45611</v>
      </c>
      <c r="H1020" s="1">
        <v>45277</v>
      </c>
      <c r="I1020">
        <v>9</v>
      </c>
      <c r="J1020" t="s">
        <v>23</v>
      </c>
      <c r="K1020">
        <v>17053</v>
      </c>
    </row>
    <row r="1021" spans="1:11">
      <c r="A1021">
        <v>1020</v>
      </c>
      <c r="B1021" t="s">
        <v>87</v>
      </c>
      <c r="C1021" s="1">
        <v>44196</v>
      </c>
      <c r="D1021">
        <v>5</v>
      </c>
      <c r="E1021" t="s">
        <v>15</v>
      </c>
      <c r="F1021" t="s">
        <v>13</v>
      </c>
      <c r="G1021" s="1">
        <v>45139</v>
      </c>
      <c r="H1021" s="1">
        <v>45697</v>
      </c>
      <c r="I1021">
        <v>21</v>
      </c>
      <c r="J1021" t="s">
        <v>25</v>
      </c>
      <c r="K1021">
        <v>1429.49</v>
      </c>
    </row>
    <row r="1022" spans="1:11">
      <c r="A1022">
        <v>1021</v>
      </c>
      <c r="B1022" t="s">
        <v>20</v>
      </c>
      <c r="C1022" s="1">
        <v>28125</v>
      </c>
      <c r="D1022">
        <v>49</v>
      </c>
      <c r="E1022" t="s">
        <v>12</v>
      </c>
      <c r="F1022" t="s">
        <v>13</v>
      </c>
      <c r="G1022" s="1">
        <v>45276</v>
      </c>
      <c r="H1022" s="1">
        <v>45712</v>
      </c>
      <c r="I1022">
        <v>26</v>
      </c>
      <c r="J1022" t="s">
        <v>25</v>
      </c>
      <c r="K1022">
        <v>18003.169999999998</v>
      </c>
    </row>
    <row r="1023" spans="1:11">
      <c r="A1023">
        <v>1022</v>
      </c>
      <c r="B1023" t="s">
        <v>75</v>
      </c>
      <c r="C1023" s="1">
        <v>42735</v>
      </c>
      <c r="D1023">
        <v>9</v>
      </c>
      <c r="E1023" t="s">
        <v>12</v>
      </c>
      <c r="G1023" s="1">
        <v>44945</v>
      </c>
      <c r="H1023" s="1">
        <v>45386</v>
      </c>
      <c r="I1023">
        <v>12</v>
      </c>
      <c r="J1023" t="s">
        <v>23</v>
      </c>
      <c r="K1023">
        <v>18983.63</v>
      </c>
    </row>
    <row r="1024" spans="1:11">
      <c r="A1024">
        <v>1023</v>
      </c>
      <c r="B1024" t="s">
        <v>43</v>
      </c>
      <c r="C1024" s="1">
        <v>44561</v>
      </c>
      <c r="D1024">
        <v>4</v>
      </c>
      <c r="E1024" t="s">
        <v>15</v>
      </c>
      <c r="F1024" t="s">
        <v>16</v>
      </c>
      <c r="G1024" s="1">
        <v>45045</v>
      </c>
      <c r="H1024" s="1">
        <v>45425</v>
      </c>
      <c r="I1024">
        <v>15</v>
      </c>
      <c r="K1024">
        <v>19801.07</v>
      </c>
    </row>
    <row r="1025" spans="1:11">
      <c r="A1025">
        <v>1024</v>
      </c>
      <c r="B1025" t="s">
        <v>55</v>
      </c>
      <c r="C1025" s="1">
        <v>37987</v>
      </c>
      <c r="D1025">
        <v>22</v>
      </c>
      <c r="E1025" t="s">
        <v>12</v>
      </c>
      <c r="F1025" t="s">
        <v>21</v>
      </c>
      <c r="G1025" s="1">
        <v>45228</v>
      </c>
      <c r="H1025" s="1">
        <v>45052</v>
      </c>
      <c r="I1025">
        <v>4</v>
      </c>
      <c r="K1025">
        <v>16171.15</v>
      </c>
    </row>
    <row r="1026" spans="1:11">
      <c r="A1026">
        <v>1025</v>
      </c>
      <c r="B1026" t="s">
        <v>162</v>
      </c>
      <c r="C1026" s="1">
        <v>42735</v>
      </c>
      <c r="D1026">
        <v>9</v>
      </c>
      <c r="E1026" t="s">
        <v>12</v>
      </c>
      <c r="F1026" t="s">
        <v>45</v>
      </c>
      <c r="G1026" s="1">
        <v>45211</v>
      </c>
      <c r="H1026" s="1">
        <v>45131</v>
      </c>
      <c r="I1026">
        <v>10</v>
      </c>
      <c r="J1026" t="s">
        <v>23</v>
      </c>
      <c r="K1026">
        <v>2751.3</v>
      </c>
    </row>
    <row r="1027" spans="1:11">
      <c r="A1027">
        <v>1026</v>
      </c>
      <c r="B1027" t="s">
        <v>80</v>
      </c>
      <c r="C1027" s="1">
        <v>30317</v>
      </c>
      <c r="D1027">
        <v>43</v>
      </c>
      <c r="E1027" t="s">
        <v>15</v>
      </c>
      <c r="F1027" t="s">
        <v>21</v>
      </c>
      <c r="G1027" s="1">
        <v>45153</v>
      </c>
      <c r="H1027" s="1">
        <v>45695</v>
      </c>
      <c r="I1027">
        <v>16</v>
      </c>
      <c r="J1027" t="s">
        <v>25</v>
      </c>
      <c r="K1027">
        <v>14093.96</v>
      </c>
    </row>
    <row r="1028" spans="1:11">
      <c r="A1028">
        <v>1027</v>
      </c>
      <c r="B1028" t="s">
        <v>44</v>
      </c>
      <c r="C1028" s="1">
        <v>45657</v>
      </c>
      <c r="D1028">
        <v>1</v>
      </c>
      <c r="E1028" t="s">
        <v>15</v>
      </c>
      <c r="G1028" s="1">
        <v>45433</v>
      </c>
      <c r="H1028" s="1">
        <v>45570</v>
      </c>
      <c r="I1028">
        <v>2</v>
      </c>
      <c r="K1028">
        <v>3986.76</v>
      </c>
    </row>
    <row r="1029" spans="1:11">
      <c r="A1029">
        <v>1028</v>
      </c>
      <c r="B1029" t="s">
        <v>85</v>
      </c>
      <c r="C1029" s="1">
        <v>41639</v>
      </c>
      <c r="D1029">
        <v>12</v>
      </c>
      <c r="E1029" t="s">
        <v>15</v>
      </c>
      <c r="F1029" t="s">
        <v>18</v>
      </c>
      <c r="G1029" s="1">
        <v>45427</v>
      </c>
      <c r="H1029" s="1">
        <v>44948</v>
      </c>
      <c r="I1029">
        <v>23</v>
      </c>
      <c r="J1029" t="s">
        <v>25</v>
      </c>
      <c r="K1029">
        <v>17932.27</v>
      </c>
    </row>
    <row r="1030" spans="1:11">
      <c r="A1030">
        <v>1029</v>
      </c>
      <c r="B1030" t="s">
        <v>84</v>
      </c>
      <c r="C1030" s="1">
        <v>31778</v>
      </c>
      <c r="D1030">
        <v>39</v>
      </c>
      <c r="E1030" t="s">
        <v>12</v>
      </c>
      <c r="F1030" t="s">
        <v>21</v>
      </c>
      <c r="G1030" s="1">
        <v>45138</v>
      </c>
      <c r="H1030" s="1">
        <v>45517</v>
      </c>
      <c r="I1030">
        <v>-1</v>
      </c>
      <c r="J1030" t="s">
        <v>19</v>
      </c>
      <c r="K1030">
        <v>6263.78</v>
      </c>
    </row>
    <row r="1031" spans="1:11">
      <c r="A1031">
        <v>1030</v>
      </c>
      <c r="B1031" t="s">
        <v>36</v>
      </c>
      <c r="C1031" s="1">
        <v>45657</v>
      </c>
      <c r="D1031">
        <v>1</v>
      </c>
      <c r="E1031" t="s">
        <v>12</v>
      </c>
      <c r="F1031" t="s">
        <v>18</v>
      </c>
      <c r="G1031" s="1">
        <v>45282</v>
      </c>
      <c r="H1031" s="1">
        <v>45774</v>
      </c>
      <c r="I1031">
        <v>30</v>
      </c>
      <c r="J1031" t="s">
        <v>25</v>
      </c>
      <c r="K1031">
        <v>6468.6</v>
      </c>
    </row>
    <row r="1032" spans="1:11">
      <c r="A1032">
        <v>1031</v>
      </c>
      <c r="B1032" t="s">
        <v>154</v>
      </c>
      <c r="C1032" s="1">
        <v>15707</v>
      </c>
      <c r="D1032">
        <v>83</v>
      </c>
      <c r="E1032" t="s">
        <v>12</v>
      </c>
      <c r="F1032" t="s">
        <v>13</v>
      </c>
      <c r="G1032" s="1">
        <v>45627</v>
      </c>
      <c r="H1032" s="1">
        <v>45490</v>
      </c>
      <c r="I1032">
        <v>34</v>
      </c>
      <c r="J1032" t="s">
        <v>25</v>
      </c>
      <c r="K1032">
        <v>18344.830000000002</v>
      </c>
    </row>
    <row r="1033" spans="1:11">
      <c r="A1033">
        <v>1032</v>
      </c>
      <c r="B1033" t="s">
        <v>72</v>
      </c>
      <c r="C1033" s="1">
        <v>22646</v>
      </c>
      <c r="E1033" t="s">
        <v>12</v>
      </c>
      <c r="F1033" t="s">
        <v>18</v>
      </c>
      <c r="G1033" s="1">
        <v>45413</v>
      </c>
      <c r="H1033" s="1">
        <v>45289</v>
      </c>
      <c r="I1033">
        <v>22</v>
      </c>
      <c r="J1033" t="s">
        <v>19</v>
      </c>
      <c r="K1033">
        <v>165.94</v>
      </c>
    </row>
    <row r="1034" spans="1:11">
      <c r="A1034">
        <v>1033</v>
      </c>
      <c r="B1034" t="s">
        <v>92</v>
      </c>
      <c r="C1034" s="1">
        <v>23377</v>
      </c>
      <c r="D1034">
        <v>62</v>
      </c>
      <c r="E1034" t="s">
        <v>12</v>
      </c>
      <c r="F1034" t="s">
        <v>45</v>
      </c>
      <c r="G1034" s="1">
        <v>45247</v>
      </c>
      <c r="H1034" s="1">
        <v>45288</v>
      </c>
      <c r="I1034">
        <v>22</v>
      </c>
      <c r="K1034">
        <v>3798.72</v>
      </c>
    </row>
    <row r="1035" spans="1:11">
      <c r="A1035">
        <v>1034</v>
      </c>
      <c r="B1035" t="s">
        <v>44</v>
      </c>
      <c r="C1035" s="1">
        <v>19724</v>
      </c>
      <c r="D1035">
        <v>72</v>
      </c>
      <c r="E1035" t="s">
        <v>15</v>
      </c>
      <c r="F1035" t="s">
        <v>16</v>
      </c>
      <c r="G1035" s="1">
        <v>45589</v>
      </c>
      <c r="H1035" s="1">
        <v>45705</v>
      </c>
      <c r="I1035">
        <v>36</v>
      </c>
      <c r="K1035">
        <v>8380.84</v>
      </c>
    </row>
    <row r="1036" spans="1:11">
      <c r="A1036">
        <v>1035</v>
      </c>
      <c r="B1036" t="s">
        <v>90</v>
      </c>
      <c r="D1036">
        <v>16</v>
      </c>
      <c r="E1036" t="s">
        <v>12</v>
      </c>
      <c r="F1036" t="s">
        <v>16</v>
      </c>
      <c r="G1036" s="1">
        <v>45149</v>
      </c>
      <c r="H1036" s="1">
        <v>45043</v>
      </c>
      <c r="I1036">
        <v>27</v>
      </c>
      <c r="K1036">
        <v>13984.5</v>
      </c>
    </row>
    <row r="1037" spans="1:11">
      <c r="A1037">
        <v>1036</v>
      </c>
      <c r="B1037" t="s">
        <v>145</v>
      </c>
      <c r="C1037" s="1">
        <v>43100</v>
      </c>
      <c r="D1037">
        <v>8</v>
      </c>
      <c r="E1037" t="s">
        <v>15</v>
      </c>
      <c r="F1037" t="s">
        <v>45</v>
      </c>
      <c r="G1037" s="1">
        <v>45566</v>
      </c>
      <c r="H1037" s="1">
        <v>44982</v>
      </c>
      <c r="I1037">
        <v>38</v>
      </c>
      <c r="J1037" t="s">
        <v>23</v>
      </c>
      <c r="K1037">
        <v>12916.08</v>
      </c>
    </row>
    <row r="1038" spans="1:11">
      <c r="A1038">
        <v>1037</v>
      </c>
      <c r="B1038" t="s">
        <v>79</v>
      </c>
      <c r="C1038" s="1">
        <v>18994</v>
      </c>
      <c r="D1038">
        <v>74</v>
      </c>
      <c r="E1038" t="s">
        <v>15</v>
      </c>
      <c r="F1038" t="s">
        <v>45</v>
      </c>
      <c r="G1038" s="1">
        <v>45489</v>
      </c>
      <c r="H1038" s="1">
        <v>45219</v>
      </c>
      <c r="I1038">
        <v>1</v>
      </c>
      <c r="J1038" t="s">
        <v>19</v>
      </c>
      <c r="K1038">
        <v>13355.18</v>
      </c>
    </row>
    <row r="1039" spans="1:11">
      <c r="A1039">
        <v>1038</v>
      </c>
      <c r="B1039" t="s">
        <v>38</v>
      </c>
      <c r="C1039" s="1">
        <v>40909</v>
      </c>
      <c r="D1039">
        <v>14</v>
      </c>
      <c r="E1039" t="s">
        <v>12</v>
      </c>
      <c r="F1039" t="s">
        <v>45</v>
      </c>
      <c r="G1039" s="1">
        <v>45117</v>
      </c>
      <c r="H1039" s="1">
        <v>44978</v>
      </c>
      <c r="I1039">
        <v>16</v>
      </c>
      <c r="J1039" t="s">
        <v>25</v>
      </c>
      <c r="K1039">
        <v>17588.439999999999</v>
      </c>
    </row>
    <row r="1040" spans="1:11">
      <c r="A1040">
        <v>1039</v>
      </c>
      <c r="B1040" t="s">
        <v>98</v>
      </c>
      <c r="C1040" s="1">
        <v>37622</v>
      </c>
      <c r="D1040">
        <v>23</v>
      </c>
      <c r="E1040" t="s">
        <v>15</v>
      </c>
      <c r="F1040" t="s">
        <v>32</v>
      </c>
      <c r="G1040" s="1">
        <v>45426</v>
      </c>
      <c r="H1040" s="1">
        <v>45769</v>
      </c>
      <c r="I1040">
        <v>24</v>
      </c>
      <c r="J1040" t="s">
        <v>19</v>
      </c>
      <c r="K1040">
        <v>2332.71</v>
      </c>
    </row>
    <row r="1041" spans="1:11">
      <c r="A1041">
        <v>1040</v>
      </c>
      <c r="B1041" t="s">
        <v>149</v>
      </c>
      <c r="C1041" s="1">
        <v>32508</v>
      </c>
      <c r="D1041">
        <v>37</v>
      </c>
      <c r="E1041" t="s">
        <v>12</v>
      </c>
      <c r="G1041" s="1">
        <v>45421</v>
      </c>
      <c r="H1041" s="1">
        <v>45712</v>
      </c>
      <c r="I1041">
        <v>36</v>
      </c>
      <c r="J1041" t="s">
        <v>19</v>
      </c>
      <c r="K1041">
        <v>10395.450000000001</v>
      </c>
    </row>
    <row r="1042" spans="1:11">
      <c r="A1042">
        <v>1041</v>
      </c>
      <c r="B1042" t="s">
        <v>47</v>
      </c>
      <c r="C1042" s="1">
        <v>33604</v>
      </c>
      <c r="D1042">
        <v>34</v>
      </c>
      <c r="E1042" t="s">
        <v>12</v>
      </c>
      <c r="F1042" t="s">
        <v>18</v>
      </c>
      <c r="G1042" s="1">
        <v>45163</v>
      </c>
      <c r="H1042" s="1">
        <v>45181</v>
      </c>
      <c r="I1042">
        <v>21</v>
      </c>
      <c r="J1042" t="s">
        <v>19</v>
      </c>
      <c r="K1042">
        <v>14482.1</v>
      </c>
    </row>
    <row r="1043" spans="1:11">
      <c r="A1043">
        <v>1042</v>
      </c>
      <c r="B1043" t="s">
        <v>106</v>
      </c>
      <c r="C1043" s="1">
        <v>12054</v>
      </c>
      <c r="D1043">
        <v>93</v>
      </c>
      <c r="E1043" t="s">
        <v>15</v>
      </c>
      <c r="F1043" t="s">
        <v>45</v>
      </c>
      <c r="G1043" s="1">
        <v>44948</v>
      </c>
      <c r="H1043" s="1">
        <v>45419</v>
      </c>
      <c r="I1043">
        <v>34</v>
      </c>
      <c r="J1043" t="s">
        <v>19</v>
      </c>
      <c r="K1043">
        <v>12685.98</v>
      </c>
    </row>
    <row r="1044" spans="1:11">
      <c r="A1044">
        <v>1043</v>
      </c>
      <c r="B1044" t="s">
        <v>111</v>
      </c>
      <c r="C1044" s="1">
        <v>11689</v>
      </c>
      <c r="D1044">
        <v>94</v>
      </c>
      <c r="E1044" t="s">
        <v>15</v>
      </c>
      <c r="F1044" t="s">
        <v>16</v>
      </c>
      <c r="G1044" s="1">
        <v>45548</v>
      </c>
      <c r="H1044" s="1">
        <v>45500</v>
      </c>
      <c r="I1044">
        <v>22</v>
      </c>
      <c r="J1044" t="s">
        <v>19</v>
      </c>
      <c r="K1044">
        <v>8911.11</v>
      </c>
    </row>
    <row r="1045" spans="1:11">
      <c r="A1045">
        <v>1044</v>
      </c>
      <c r="B1045" t="s">
        <v>153</v>
      </c>
      <c r="C1045" s="1">
        <v>28490</v>
      </c>
      <c r="D1045">
        <v>48</v>
      </c>
      <c r="E1045" t="s">
        <v>12</v>
      </c>
      <c r="F1045" t="s">
        <v>21</v>
      </c>
      <c r="G1045" s="1">
        <v>45253</v>
      </c>
      <c r="H1045" s="1">
        <v>45786</v>
      </c>
      <c r="I1045">
        <v>26</v>
      </c>
      <c r="J1045" t="s">
        <v>19</v>
      </c>
      <c r="K1045">
        <v>244</v>
      </c>
    </row>
    <row r="1046" spans="1:11">
      <c r="A1046">
        <v>1045</v>
      </c>
      <c r="B1046" t="s">
        <v>132</v>
      </c>
      <c r="C1046" s="1">
        <v>21185</v>
      </c>
      <c r="D1046">
        <v>68</v>
      </c>
      <c r="E1046" t="s">
        <v>12</v>
      </c>
      <c r="F1046" t="s">
        <v>21</v>
      </c>
      <c r="G1046" s="1">
        <v>45471</v>
      </c>
      <c r="H1046" s="1">
        <v>45790</v>
      </c>
      <c r="I1046">
        <v>28</v>
      </c>
      <c r="J1046" t="s">
        <v>23</v>
      </c>
      <c r="K1046">
        <v>1115.0899999999999</v>
      </c>
    </row>
    <row r="1047" spans="1:11">
      <c r="A1047">
        <v>1046</v>
      </c>
      <c r="B1047" t="s">
        <v>93</v>
      </c>
      <c r="C1047" s="1">
        <v>23742</v>
      </c>
      <c r="D1047">
        <v>61</v>
      </c>
      <c r="E1047" t="s">
        <v>15</v>
      </c>
      <c r="F1047" t="s">
        <v>32</v>
      </c>
      <c r="G1047" s="1">
        <v>45053</v>
      </c>
      <c r="H1047" s="1">
        <v>45152</v>
      </c>
      <c r="I1047">
        <v>32</v>
      </c>
      <c r="J1047" t="s">
        <v>19</v>
      </c>
      <c r="K1047">
        <v>2290.7199999999998</v>
      </c>
    </row>
    <row r="1048" spans="1:11">
      <c r="A1048">
        <v>1047</v>
      </c>
      <c r="B1048" t="s">
        <v>121</v>
      </c>
      <c r="C1048" s="1">
        <v>24473</v>
      </c>
      <c r="D1048">
        <v>59</v>
      </c>
      <c r="E1048" t="s">
        <v>15</v>
      </c>
      <c r="F1048" t="s">
        <v>18</v>
      </c>
      <c r="G1048" s="1">
        <v>45291</v>
      </c>
      <c r="H1048" s="1">
        <v>45396</v>
      </c>
      <c r="I1048">
        <v>25</v>
      </c>
      <c r="J1048" t="s">
        <v>19</v>
      </c>
      <c r="K1048">
        <v>6798.88</v>
      </c>
    </row>
    <row r="1049" spans="1:11">
      <c r="A1049">
        <v>1048</v>
      </c>
      <c r="B1049" t="s">
        <v>33</v>
      </c>
      <c r="C1049" s="1">
        <v>28125</v>
      </c>
      <c r="D1049">
        <v>49</v>
      </c>
      <c r="E1049" t="s">
        <v>12</v>
      </c>
      <c r="F1049" t="s">
        <v>18</v>
      </c>
      <c r="G1049" s="1">
        <v>44970</v>
      </c>
      <c r="H1049" s="1">
        <v>45775</v>
      </c>
      <c r="I1049">
        <v>35</v>
      </c>
      <c r="K1049">
        <v>2264.83</v>
      </c>
    </row>
    <row r="1050" spans="1:11">
      <c r="A1050">
        <v>1049</v>
      </c>
      <c r="B1050" t="s">
        <v>52</v>
      </c>
      <c r="C1050" s="1">
        <v>17898</v>
      </c>
      <c r="D1050">
        <v>77</v>
      </c>
      <c r="E1050" t="s">
        <v>12</v>
      </c>
      <c r="G1050" s="1">
        <v>45445</v>
      </c>
      <c r="H1050" s="1">
        <v>45030</v>
      </c>
      <c r="I1050">
        <v>1</v>
      </c>
      <c r="J1050" t="s">
        <v>19</v>
      </c>
      <c r="K1050">
        <v>8464.25</v>
      </c>
    </row>
    <row r="1051" spans="1:11">
      <c r="A1051">
        <v>1050</v>
      </c>
      <c r="B1051" t="s">
        <v>59</v>
      </c>
      <c r="C1051" s="1">
        <v>18994</v>
      </c>
      <c r="D1051">
        <v>74</v>
      </c>
      <c r="E1051" t="s">
        <v>15</v>
      </c>
      <c r="F1051" t="s">
        <v>18</v>
      </c>
      <c r="G1051" s="1">
        <v>45054</v>
      </c>
      <c r="H1051" s="1">
        <v>44975</v>
      </c>
      <c r="I1051">
        <v>25</v>
      </c>
      <c r="J1051" t="s">
        <v>19</v>
      </c>
      <c r="K1051">
        <v>3490.7</v>
      </c>
    </row>
    <row r="1052" spans="1:11">
      <c r="A1052">
        <v>1051</v>
      </c>
      <c r="B1052" t="s">
        <v>142</v>
      </c>
      <c r="C1052" s="1">
        <v>43100</v>
      </c>
      <c r="D1052">
        <v>8</v>
      </c>
      <c r="E1052" t="s">
        <v>15</v>
      </c>
      <c r="F1052" t="s">
        <v>16</v>
      </c>
      <c r="G1052" s="1">
        <v>45529</v>
      </c>
      <c r="H1052" s="1">
        <v>45664</v>
      </c>
      <c r="I1052">
        <v>28</v>
      </c>
      <c r="K1052">
        <v>15561.24</v>
      </c>
    </row>
    <row r="1053" spans="1:11">
      <c r="A1053">
        <v>1052</v>
      </c>
      <c r="B1053" t="s">
        <v>120</v>
      </c>
      <c r="C1053" s="1">
        <v>33969</v>
      </c>
      <c r="D1053">
        <v>33</v>
      </c>
      <c r="E1053" t="s">
        <v>12</v>
      </c>
      <c r="F1053" t="s">
        <v>16</v>
      </c>
      <c r="G1053" s="1">
        <v>45056</v>
      </c>
      <c r="H1053" s="1">
        <v>45269</v>
      </c>
      <c r="I1053">
        <v>20</v>
      </c>
      <c r="K1053">
        <v>17416.900000000001</v>
      </c>
    </row>
    <row r="1054" spans="1:11">
      <c r="A1054">
        <v>1053</v>
      </c>
      <c r="B1054" t="s">
        <v>91</v>
      </c>
      <c r="C1054" s="1">
        <v>18629</v>
      </c>
      <c r="E1054" t="s">
        <v>12</v>
      </c>
      <c r="G1054" s="1">
        <v>45455</v>
      </c>
      <c r="H1054" s="1">
        <v>45160</v>
      </c>
      <c r="I1054">
        <v>11</v>
      </c>
      <c r="K1054">
        <v>7731.91</v>
      </c>
    </row>
    <row r="1055" spans="1:11">
      <c r="A1055">
        <v>1054</v>
      </c>
      <c r="B1055" t="s">
        <v>123</v>
      </c>
      <c r="C1055" s="1">
        <v>33604</v>
      </c>
      <c r="D1055">
        <v>34</v>
      </c>
      <c r="F1055" t="s">
        <v>32</v>
      </c>
      <c r="G1055" s="1">
        <v>45247</v>
      </c>
      <c r="H1055" s="1">
        <v>45509</v>
      </c>
      <c r="I1055">
        <v>25</v>
      </c>
      <c r="J1055" t="s">
        <v>25</v>
      </c>
      <c r="K1055">
        <v>10177.77</v>
      </c>
    </row>
    <row r="1056" spans="1:11">
      <c r="A1056">
        <v>1055</v>
      </c>
      <c r="B1056" t="s">
        <v>82</v>
      </c>
      <c r="C1056" s="1">
        <v>46022</v>
      </c>
      <c r="E1056" t="s">
        <v>12</v>
      </c>
      <c r="F1056" t="s">
        <v>18</v>
      </c>
      <c r="G1056" s="1">
        <v>45112</v>
      </c>
      <c r="H1056" s="1">
        <v>45486</v>
      </c>
      <c r="I1056">
        <v>11</v>
      </c>
      <c r="J1056" t="s">
        <v>19</v>
      </c>
      <c r="K1056">
        <v>19065.27</v>
      </c>
    </row>
    <row r="1057" spans="1:11">
      <c r="A1057">
        <v>1056</v>
      </c>
      <c r="B1057" t="s">
        <v>70</v>
      </c>
      <c r="C1057" s="1">
        <v>31778</v>
      </c>
      <c r="D1057">
        <v>39</v>
      </c>
      <c r="E1057" t="s">
        <v>12</v>
      </c>
      <c r="F1057" t="s">
        <v>18</v>
      </c>
      <c r="G1057" s="1">
        <v>45548</v>
      </c>
      <c r="H1057" s="1">
        <v>45155</v>
      </c>
      <c r="I1057">
        <v>-2</v>
      </c>
      <c r="J1057" t="s">
        <v>19</v>
      </c>
      <c r="K1057">
        <v>10663.71</v>
      </c>
    </row>
    <row r="1058" spans="1:11">
      <c r="A1058">
        <v>1057</v>
      </c>
      <c r="B1058" t="s">
        <v>43</v>
      </c>
      <c r="C1058" s="1">
        <v>23012</v>
      </c>
      <c r="D1058">
        <v>63</v>
      </c>
      <c r="E1058" t="s">
        <v>15</v>
      </c>
      <c r="F1058" t="s">
        <v>45</v>
      </c>
      <c r="G1058" s="1">
        <v>45274</v>
      </c>
      <c r="H1058" s="1">
        <v>45449</v>
      </c>
      <c r="I1058">
        <v>29</v>
      </c>
      <c r="J1058" t="s">
        <v>19</v>
      </c>
      <c r="K1058">
        <v>19900.97</v>
      </c>
    </row>
    <row r="1059" spans="1:11">
      <c r="A1059">
        <v>1058</v>
      </c>
      <c r="B1059" t="s">
        <v>150</v>
      </c>
      <c r="C1059" s="1">
        <v>38352</v>
      </c>
      <c r="E1059" t="s">
        <v>12</v>
      </c>
      <c r="F1059" t="s">
        <v>18</v>
      </c>
      <c r="G1059" s="1">
        <v>45407</v>
      </c>
      <c r="H1059" s="1">
        <v>45624</v>
      </c>
      <c r="I1059">
        <v>38</v>
      </c>
      <c r="K1059">
        <v>2756.83</v>
      </c>
    </row>
    <row r="1060" spans="1:11">
      <c r="A1060">
        <v>1059</v>
      </c>
      <c r="B1060" t="s">
        <v>102</v>
      </c>
      <c r="C1060" s="1">
        <v>24473</v>
      </c>
      <c r="E1060" t="s">
        <v>15</v>
      </c>
      <c r="F1060" t="s">
        <v>16</v>
      </c>
      <c r="G1060" s="1">
        <v>45601</v>
      </c>
      <c r="H1060" s="1">
        <v>45519</v>
      </c>
      <c r="I1060">
        <v>15</v>
      </c>
      <c r="J1060" t="s">
        <v>23</v>
      </c>
      <c r="K1060">
        <v>17230.75</v>
      </c>
    </row>
    <row r="1061" spans="1:11">
      <c r="A1061">
        <v>1060</v>
      </c>
      <c r="B1061" t="s">
        <v>97</v>
      </c>
      <c r="C1061" s="1">
        <v>23012</v>
      </c>
      <c r="D1061">
        <v>63</v>
      </c>
      <c r="E1061" t="s">
        <v>12</v>
      </c>
      <c r="F1061" t="s">
        <v>45</v>
      </c>
      <c r="G1061" s="1">
        <v>45513</v>
      </c>
      <c r="H1061" s="1">
        <v>44940</v>
      </c>
      <c r="I1061">
        <v>2</v>
      </c>
      <c r="J1061" t="s">
        <v>19</v>
      </c>
      <c r="K1061">
        <v>9893.7800000000007</v>
      </c>
    </row>
    <row r="1062" spans="1:11">
      <c r="A1062">
        <v>1061</v>
      </c>
      <c r="B1062" t="s">
        <v>116</v>
      </c>
      <c r="C1062" s="1">
        <v>12419</v>
      </c>
      <c r="D1062">
        <v>92</v>
      </c>
      <c r="E1062" t="s">
        <v>15</v>
      </c>
      <c r="F1062" t="s">
        <v>45</v>
      </c>
      <c r="G1062" s="1">
        <v>45637</v>
      </c>
      <c r="H1062" s="1">
        <v>45426</v>
      </c>
      <c r="I1062">
        <v>39</v>
      </c>
      <c r="K1062">
        <v>356.55</v>
      </c>
    </row>
    <row r="1063" spans="1:11">
      <c r="A1063">
        <v>1062</v>
      </c>
      <c r="B1063" t="s">
        <v>127</v>
      </c>
      <c r="C1063" s="1">
        <v>20090</v>
      </c>
      <c r="D1063">
        <v>71</v>
      </c>
      <c r="E1063" t="s">
        <v>15</v>
      </c>
      <c r="F1063" t="s">
        <v>18</v>
      </c>
      <c r="G1063" s="1">
        <v>45287</v>
      </c>
      <c r="H1063" s="1">
        <v>45372</v>
      </c>
      <c r="I1063">
        <v>12</v>
      </c>
      <c r="K1063">
        <v>19441.68</v>
      </c>
    </row>
    <row r="1064" spans="1:11">
      <c r="A1064">
        <v>1063</v>
      </c>
      <c r="B1064" t="s">
        <v>112</v>
      </c>
      <c r="C1064" s="1">
        <v>42370</v>
      </c>
      <c r="D1064">
        <v>10</v>
      </c>
      <c r="E1064" t="s">
        <v>12</v>
      </c>
      <c r="F1064" t="s">
        <v>21</v>
      </c>
      <c r="G1064" s="1">
        <v>45213</v>
      </c>
      <c r="H1064" s="1">
        <v>45753</v>
      </c>
      <c r="I1064">
        <v>39</v>
      </c>
      <c r="K1064">
        <v>19297.46</v>
      </c>
    </row>
    <row r="1065" spans="1:11">
      <c r="A1065">
        <v>1064</v>
      </c>
      <c r="B1065" t="s">
        <v>57</v>
      </c>
      <c r="C1065" s="1">
        <v>41274</v>
      </c>
      <c r="D1065">
        <v>13</v>
      </c>
      <c r="E1065" t="s">
        <v>12</v>
      </c>
      <c r="F1065" t="s">
        <v>13</v>
      </c>
      <c r="G1065" s="1">
        <v>45108</v>
      </c>
      <c r="H1065" s="1">
        <v>45267</v>
      </c>
      <c r="I1065">
        <v>13</v>
      </c>
      <c r="J1065" t="s">
        <v>25</v>
      </c>
      <c r="K1065">
        <v>7603.74</v>
      </c>
    </row>
    <row r="1066" spans="1:11">
      <c r="A1066">
        <v>1065</v>
      </c>
      <c r="B1066" t="s">
        <v>148</v>
      </c>
      <c r="C1066" s="1">
        <v>24473</v>
      </c>
      <c r="D1066">
        <v>59</v>
      </c>
      <c r="E1066" t="s">
        <v>15</v>
      </c>
      <c r="F1066" t="s">
        <v>16</v>
      </c>
      <c r="G1066" s="1">
        <v>45377</v>
      </c>
      <c r="H1066" s="1">
        <v>45251</v>
      </c>
      <c r="I1066">
        <v>33</v>
      </c>
      <c r="K1066">
        <v>19078.259999999998</v>
      </c>
    </row>
    <row r="1067" spans="1:11">
      <c r="A1067">
        <v>1066</v>
      </c>
      <c r="B1067" t="s">
        <v>94</v>
      </c>
      <c r="C1067" s="1">
        <v>35430</v>
      </c>
      <c r="D1067">
        <v>29</v>
      </c>
      <c r="E1067" t="s">
        <v>12</v>
      </c>
      <c r="F1067" t="s">
        <v>21</v>
      </c>
      <c r="G1067" s="1">
        <v>45023</v>
      </c>
      <c r="H1067" s="1">
        <v>45523</v>
      </c>
      <c r="I1067">
        <v>33</v>
      </c>
      <c r="J1067" t="s">
        <v>23</v>
      </c>
      <c r="K1067">
        <v>2734.29</v>
      </c>
    </row>
    <row r="1068" spans="1:11">
      <c r="A1068">
        <v>1067</v>
      </c>
      <c r="B1068" t="s">
        <v>132</v>
      </c>
      <c r="C1068" s="1">
        <v>33604</v>
      </c>
      <c r="D1068">
        <v>34</v>
      </c>
      <c r="E1068" t="s">
        <v>15</v>
      </c>
      <c r="F1068" t="s">
        <v>18</v>
      </c>
      <c r="G1068" s="1">
        <v>45489</v>
      </c>
      <c r="H1068" s="1">
        <v>45525</v>
      </c>
      <c r="I1068">
        <v>37</v>
      </c>
      <c r="J1068" t="s">
        <v>25</v>
      </c>
      <c r="K1068">
        <v>13570.21</v>
      </c>
    </row>
    <row r="1069" spans="1:11">
      <c r="A1069">
        <v>1068</v>
      </c>
      <c r="B1069" t="s">
        <v>142</v>
      </c>
      <c r="C1069" s="1">
        <v>15341</v>
      </c>
      <c r="D1069">
        <v>84</v>
      </c>
      <c r="E1069" t="s">
        <v>15</v>
      </c>
      <c r="F1069" t="s">
        <v>18</v>
      </c>
      <c r="G1069" s="1">
        <v>45240</v>
      </c>
      <c r="H1069" s="1">
        <v>45084</v>
      </c>
      <c r="I1069">
        <v>27</v>
      </c>
      <c r="K1069">
        <v>3757.77</v>
      </c>
    </row>
    <row r="1070" spans="1:11">
      <c r="A1070">
        <v>1069</v>
      </c>
      <c r="B1070" t="s">
        <v>81</v>
      </c>
      <c r="C1070" s="1">
        <v>32873</v>
      </c>
      <c r="D1070">
        <v>36</v>
      </c>
      <c r="E1070" t="s">
        <v>12</v>
      </c>
      <c r="F1070" t="s">
        <v>21</v>
      </c>
      <c r="G1070" s="1">
        <v>45472</v>
      </c>
      <c r="H1070" s="1">
        <v>45583</v>
      </c>
      <c r="I1070">
        <v>35</v>
      </c>
      <c r="J1070" t="s">
        <v>23</v>
      </c>
      <c r="K1070">
        <v>4857.6099999999997</v>
      </c>
    </row>
    <row r="1071" spans="1:11">
      <c r="A1071">
        <v>1070</v>
      </c>
      <c r="B1071" t="s">
        <v>120</v>
      </c>
      <c r="C1071" s="1">
        <v>44561</v>
      </c>
      <c r="D1071">
        <v>4</v>
      </c>
      <c r="E1071" t="s">
        <v>15</v>
      </c>
      <c r="F1071" t="s">
        <v>18</v>
      </c>
      <c r="G1071" s="1">
        <v>44947</v>
      </c>
      <c r="H1071" s="1">
        <v>45502</v>
      </c>
      <c r="I1071">
        <v>20</v>
      </c>
      <c r="J1071" t="s">
        <v>23</v>
      </c>
      <c r="K1071">
        <v>15564.68</v>
      </c>
    </row>
    <row r="1072" spans="1:11">
      <c r="A1072">
        <v>1071</v>
      </c>
      <c r="B1072" t="s">
        <v>150</v>
      </c>
      <c r="C1072" s="1">
        <v>16072</v>
      </c>
      <c r="D1072">
        <v>82</v>
      </c>
      <c r="E1072" t="s">
        <v>12</v>
      </c>
      <c r="F1072" t="s">
        <v>16</v>
      </c>
      <c r="G1072" s="1">
        <v>45622</v>
      </c>
      <c r="H1072" s="1">
        <v>45358</v>
      </c>
      <c r="I1072">
        <v>8</v>
      </c>
      <c r="J1072" t="s">
        <v>19</v>
      </c>
      <c r="K1072">
        <v>7484.9</v>
      </c>
    </row>
    <row r="1073" spans="1:11">
      <c r="A1073">
        <v>1072</v>
      </c>
      <c r="B1073" t="s">
        <v>30</v>
      </c>
      <c r="C1073" s="1">
        <v>17898</v>
      </c>
      <c r="D1073">
        <v>77</v>
      </c>
      <c r="E1073" t="s">
        <v>15</v>
      </c>
      <c r="G1073" s="1">
        <v>45502</v>
      </c>
      <c r="H1073" s="1">
        <v>45482</v>
      </c>
      <c r="I1073">
        <v>22</v>
      </c>
      <c r="K1073">
        <v>43.26</v>
      </c>
    </row>
    <row r="1074" spans="1:11">
      <c r="A1074">
        <v>1073</v>
      </c>
      <c r="B1074" t="s">
        <v>20</v>
      </c>
      <c r="C1074" s="1">
        <v>36891</v>
      </c>
      <c r="D1074">
        <v>25</v>
      </c>
      <c r="E1074" t="s">
        <v>12</v>
      </c>
      <c r="F1074" t="s">
        <v>45</v>
      </c>
      <c r="G1074" s="1">
        <v>45423</v>
      </c>
      <c r="H1074" s="1">
        <v>45334</v>
      </c>
      <c r="I1074">
        <v>-1</v>
      </c>
      <c r="K1074">
        <v>8226.19</v>
      </c>
    </row>
    <row r="1075" spans="1:11">
      <c r="A1075">
        <v>1074</v>
      </c>
      <c r="B1075" t="s">
        <v>27</v>
      </c>
      <c r="C1075" s="1">
        <v>23742</v>
      </c>
      <c r="D1075">
        <v>61</v>
      </c>
      <c r="E1075" t="s">
        <v>12</v>
      </c>
      <c r="F1075" t="s">
        <v>32</v>
      </c>
      <c r="G1075" s="1">
        <v>45329</v>
      </c>
      <c r="H1075" s="1">
        <v>45085</v>
      </c>
      <c r="I1075">
        <v>32</v>
      </c>
      <c r="J1075" t="s">
        <v>19</v>
      </c>
      <c r="K1075">
        <v>4484.1899999999996</v>
      </c>
    </row>
    <row r="1076" spans="1:11">
      <c r="A1076">
        <v>1075</v>
      </c>
      <c r="B1076" t="s">
        <v>69</v>
      </c>
      <c r="C1076" s="1">
        <v>44927</v>
      </c>
      <c r="D1076">
        <v>3</v>
      </c>
      <c r="E1076" t="s">
        <v>15</v>
      </c>
      <c r="F1076" t="s">
        <v>18</v>
      </c>
      <c r="G1076" s="1">
        <v>45050</v>
      </c>
      <c r="H1076" s="1">
        <v>45112</v>
      </c>
      <c r="I1076">
        <v>21</v>
      </c>
      <c r="J1076" t="s">
        <v>23</v>
      </c>
      <c r="K1076">
        <v>13634.93</v>
      </c>
    </row>
    <row r="1077" spans="1:11">
      <c r="A1077">
        <v>1076</v>
      </c>
      <c r="B1077" t="s">
        <v>142</v>
      </c>
      <c r="C1077" s="1">
        <v>13880</v>
      </c>
      <c r="D1077">
        <v>88</v>
      </c>
      <c r="E1077" t="s">
        <v>15</v>
      </c>
      <c r="F1077" t="s">
        <v>18</v>
      </c>
      <c r="G1077" s="1">
        <v>45539</v>
      </c>
      <c r="H1077" s="1">
        <v>45725</v>
      </c>
      <c r="I1077">
        <v>10</v>
      </c>
      <c r="K1077">
        <v>3808.42</v>
      </c>
    </row>
    <row r="1078" spans="1:11">
      <c r="A1078">
        <v>1077</v>
      </c>
      <c r="B1078" t="s">
        <v>154</v>
      </c>
      <c r="C1078" s="1">
        <v>31047</v>
      </c>
      <c r="D1078">
        <v>41</v>
      </c>
      <c r="E1078" t="s">
        <v>12</v>
      </c>
      <c r="F1078" t="s">
        <v>21</v>
      </c>
      <c r="G1078" s="1">
        <v>45045</v>
      </c>
      <c r="H1078" s="1">
        <v>45418</v>
      </c>
      <c r="I1078">
        <v>39</v>
      </c>
      <c r="J1078" t="s">
        <v>19</v>
      </c>
      <c r="K1078">
        <v>16829.3</v>
      </c>
    </row>
    <row r="1079" spans="1:11">
      <c r="A1079">
        <v>1078</v>
      </c>
      <c r="B1079" t="s">
        <v>89</v>
      </c>
      <c r="C1079" s="1">
        <v>13880</v>
      </c>
      <c r="D1079">
        <v>88</v>
      </c>
      <c r="E1079" t="s">
        <v>12</v>
      </c>
      <c r="F1079" t="s">
        <v>45</v>
      </c>
      <c r="G1079" s="1">
        <v>45516</v>
      </c>
      <c r="H1079" s="1">
        <v>45762</v>
      </c>
      <c r="I1079">
        <v>34</v>
      </c>
      <c r="J1079" t="s">
        <v>19</v>
      </c>
      <c r="K1079">
        <v>5268.57</v>
      </c>
    </row>
    <row r="1080" spans="1:11">
      <c r="A1080">
        <v>1079</v>
      </c>
      <c r="B1080" t="s">
        <v>168</v>
      </c>
      <c r="D1080">
        <v>17</v>
      </c>
      <c r="E1080" t="s">
        <v>15</v>
      </c>
      <c r="F1080" t="s">
        <v>21</v>
      </c>
      <c r="G1080" s="1">
        <v>45619</v>
      </c>
      <c r="H1080" s="1">
        <v>45463</v>
      </c>
      <c r="I1080">
        <v>27</v>
      </c>
      <c r="J1080" t="s">
        <v>23</v>
      </c>
      <c r="K1080">
        <v>7799.87</v>
      </c>
    </row>
    <row r="1081" spans="1:11">
      <c r="A1081">
        <v>1080</v>
      </c>
      <c r="B1081" t="s">
        <v>49</v>
      </c>
      <c r="C1081" s="1">
        <v>31778</v>
      </c>
      <c r="D1081">
        <v>39</v>
      </c>
      <c r="E1081" t="s">
        <v>12</v>
      </c>
      <c r="G1081" s="1">
        <v>45637</v>
      </c>
      <c r="H1081" s="1">
        <v>45284</v>
      </c>
      <c r="I1081">
        <v>8</v>
      </c>
      <c r="J1081" t="s">
        <v>23</v>
      </c>
      <c r="K1081">
        <v>5890.54</v>
      </c>
    </row>
    <row r="1082" spans="1:11">
      <c r="A1082">
        <v>1081</v>
      </c>
      <c r="B1082" t="s">
        <v>144</v>
      </c>
      <c r="C1082" s="1">
        <v>20090</v>
      </c>
      <c r="D1082">
        <v>71</v>
      </c>
      <c r="E1082" t="s">
        <v>15</v>
      </c>
      <c r="F1082" t="s">
        <v>16</v>
      </c>
      <c r="G1082" s="1">
        <v>45403</v>
      </c>
      <c r="H1082" s="1">
        <v>45644</v>
      </c>
      <c r="I1082">
        <v>20</v>
      </c>
      <c r="K1082">
        <v>12842.86</v>
      </c>
    </row>
    <row r="1083" spans="1:11">
      <c r="A1083">
        <v>1082</v>
      </c>
      <c r="B1083" t="s">
        <v>131</v>
      </c>
      <c r="C1083" s="1">
        <v>32143</v>
      </c>
      <c r="D1083">
        <v>38</v>
      </c>
      <c r="E1083" t="s">
        <v>15</v>
      </c>
      <c r="F1083" t="s">
        <v>21</v>
      </c>
      <c r="G1083" s="1">
        <v>45628</v>
      </c>
      <c r="H1083" s="1">
        <v>45289</v>
      </c>
      <c r="I1083">
        <v>25</v>
      </c>
      <c r="K1083">
        <v>1933.39</v>
      </c>
    </row>
    <row r="1084" spans="1:11">
      <c r="A1084">
        <v>1083</v>
      </c>
      <c r="B1084" t="s">
        <v>67</v>
      </c>
      <c r="C1084" s="1">
        <v>41274</v>
      </c>
      <c r="D1084">
        <v>13</v>
      </c>
      <c r="E1084" t="s">
        <v>12</v>
      </c>
      <c r="F1084" t="s">
        <v>18</v>
      </c>
      <c r="G1084" s="1">
        <v>45029</v>
      </c>
      <c r="H1084" s="1">
        <v>45151</v>
      </c>
      <c r="I1084">
        <v>26</v>
      </c>
      <c r="J1084" t="s">
        <v>25</v>
      </c>
      <c r="K1084">
        <v>9509.7999999999993</v>
      </c>
    </row>
    <row r="1085" spans="1:11">
      <c r="A1085">
        <v>1084</v>
      </c>
      <c r="B1085" t="s">
        <v>171</v>
      </c>
      <c r="C1085" s="1">
        <v>34700</v>
      </c>
      <c r="D1085">
        <v>31</v>
      </c>
      <c r="E1085" t="s">
        <v>15</v>
      </c>
      <c r="F1085" t="s">
        <v>45</v>
      </c>
      <c r="G1085" s="1">
        <v>45259</v>
      </c>
      <c r="H1085" s="1">
        <v>45540</v>
      </c>
      <c r="I1085">
        <v>12</v>
      </c>
      <c r="J1085" t="s">
        <v>23</v>
      </c>
      <c r="K1085">
        <v>6622.54</v>
      </c>
    </row>
    <row r="1086" spans="1:11">
      <c r="A1086">
        <v>1085</v>
      </c>
      <c r="B1086" t="s">
        <v>111</v>
      </c>
      <c r="C1086" s="1">
        <v>27760</v>
      </c>
      <c r="E1086" t="s">
        <v>12</v>
      </c>
      <c r="F1086" t="s">
        <v>16</v>
      </c>
      <c r="G1086" s="1">
        <v>45385</v>
      </c>
      <c r="H1086" s="1">
        <v>45131</v>
      </c>
      <c r="I1086">
        <v>0</v>
      </c>
      <c r="J1086" t="s">
        <v>25</v>
      </c>
      <c r="K1086">
        <v>17671.169999999998</v>
      </c>
    </row>
    <row r="1087" spans="1:11">
      <c r="A1087">
        <v>1086</v>
      </c>
      <c r="B1087" t="s">
        <v>76</v>
      </c>
      <c r="C1087" s="1">
        <v>32508</v>
      </c>
      <c r="D1087">
        <v>37</v>
      </c>
      <c r="E1087" t="s">
        <v>12</v>
      </c>
      <c r="F1087" t="s">
        <v>18</v>
      </c>
      <c r="G1087" s="1">
        <v>45056</v>
      </c>
      <c r="H1087" s="1">
        <v>44935</v>
      </c>
      <c r="I1087">
        <v>6</v>
      </c>
      <c r="J1087" t="s">
        <v>25</v>
      </c>
      <c r="K1087">
        <v>1375.58</v>
      </c>
    </row>
    <row r="1088" spans="1:11">
      <c r="A1088">
        <v>1087</v>
      </c>
      <c r="B1088" t="s">
        <v>143</v>
      </c>
      <c r="C1088" s="1">
        <v>37987</v>
      </c>
      <c r="E1088" t="s">
        <v>12</v>
      </c>
      <c r="F1088" t="s">
        <v>16</v>
      </c>
      <c r="G1088" s="1">
        <v>45060</v>
      </c>
      <c r="H1088" s="1">
        <v>45399</v>
      </c>
      <c r="I1088">
        <v>5</v>
      </c>
      <c r="J1088" t="s">
        <v>19</v>
      </c>
      <c r="K1088">
        <v>16576.87</v>
      </c>
    </row>
    <row r="1089" spans="1:11">
      <c r="A1089">
        <v>1088</v>
      </c>
      <c r="B1089" t="s">
        <v>164</v>
      </c>
      <c r="C1089" s="1">
        <v>23377</v>
      </c>
      <c r="D1089">
        <v>62</v>
      </c>
      <c r="E1089" t="s">
        <v>12</v>
      </c>
      <c r="F1089" t="s">
        <v>18</v>
      </c>
      <c r="G1089" s="1">
        <v>45083</v>
      </c>
      <c r="H1089" s="1">
        <v>45099</v>
      </c>
      <c r="I1089">
        <v>30</v>
      </c>
      <c r="J1089" t="s">
        <v>19</v>
      </c>
      <c r="K1089">
        <v>3270.38</v>
      </c>
    </row>
    <row r="1090" spans="1:11">
      <c r="A1090">
        <v>1089</v>
      </c>
      <c r="B1090" t="s">
        <v>40</v>
      </c>
      <c r="C1090" s="1">
        <v>40909</v>
      </c>
      <c r="D1090">
        <v>14</v>
      </c>
      <c r="E1090" t="s">
        <v>12</v>
      </c>
      <c r="F1090" t="s">
        <v>18</v>
      </c>
      <c r="G1090" s="1">
        <v>45351</v>
      </c>
      <c r="H1090" s="1">
        <v>45647</v>
      </c>
      <c r="I1090">
        <v>31</v>
      </c>
      <c r="K1090">
        <v>1680.41</v>
      </c>
    </row>
    <row r="1091" spans="1:11">
      <c r="A1091">
        <v>1090</v>
      </c>
      <c r="B1091" t="s">
        <v>148</v>
      </c>
      <c r="C1091" s="1">
        <v>37256</v>
      </c>
      <c r="D1091">
        <v>24</v>
      </c>
      <c r="E1091" t="s">
        <v>12</v>
      </c>
      <c r="F1091" t="s">
        <v>18</v>
      </c>
      <c r="G1091" s="1">
        <v>45361</v>
      </c>
      <c r="H1091" s="1">
        <v>45023</v>
      </c>
      <c r="I1091">
        <v>6</v>
      </c>
      <c r="J1091" t="s">
        <v>23</v>
      </c>
      <c r="K1091">
        <v>3966.69</v>
      </c>
    </row>
    <row r="1092" spans="1:11">
      <c r="A1092">
        <v>1091</v>
      </c>
      <c r="B1092" t="s">
        <v>152</v>
      </c>
      <c r="C1092" s="1">
        <v>40178</v>
      </c>
      <c r="D1092">
        <v>16</v>
      </c>
      <c r="E1092" t="s">
        <v>12</v>
      </c>
      <c r="F1092" t="s">
        <v>32</v>
      </c>
      <c r="G1092" s="1">
        <v>45315</v>
      </c>
      <c r="H1092" s="1">
        <v>45601</v>
      </c>
      <c r="I1092">
        <v>14</v>
      </c>
      <c r="J1092" t="s">
        <v>23</v>
      </c>
      <c r="K1092">
        <v>1963.32</v>
      </c>
    </row>
    <row r="1093" spans="1:11">
      <c r="A1093">
        <v>1092</v>
      </c>
      <c r="B1093" t="s">
        <v>112</v>
      </c>
      <c r="C1093" s="1">
        <v>22281</v>
      </c>
      <c r="D1093">
        <v>65</v>
      </c>
      <c r="F1093" t="s">
        <v>13</v>
      </c>
      <c r="G1093" s="1">
        <v>45244</v>
      </c>
      <c r="H1093" s="1">
        <v>45730</v>
      </c>
      <c r="I1093">
        <v>38</v>
      </c>
      <c r="J1093" t="s">
        <v>25</v>
      </c>
      <c r="K1093">
        <v>10371.780000000001</v>
      </c>
    </row>
    <row r="1094" spans="1:11">
      <c r="A1094">
        <v>1093</v>
      </c>
      <c r="B1094" t="s">
        <v>145</v>
      </c>
      <c r="C1094" s="1">
        <v>17898</v>
      </c>
      <c r="D1094">
        <v>77</v>
      </c>
      <c r="E1094" t="s">
        <v>12</v>
      </c>
      <c r="F1094" t="s">
        <v>45</v>
      </c>
      <c r="G1094" s="1">
        <v>45596</v>
      </c>
      <c r="H1094" s="1">
        <v>45535</v>
      </c>
      <c r="I1094">
        <v>-2</v>
      </c>
      <c r="J1094" t="s">
        <v>25</v>
      </c>
      <c r="K1094">
        <v>19763.12</v>
      </c>
    </row>
    <row r="1095" spans="1:11">
      <c r="A1095">
        <v>1094</v>
      </c>
      <c r="B1095" t="s">
        <v>81</v>
      </c>
      <c r="C1095" s="1">
        <v>27029</v>
      </c>
      <c r="D1095">
        <v>52</v>
      </c>
      <c r="E1095" t="s">
        <v>15</v>
      </c>
      <c r="G1095" s="1">
        <v>45431</v>
      </c>
      <c r="H1095" s="1">
        <v>45233</v>
      </c>
      <c r="I1095">
        <v>37</v>
      </c>
      <c r="K1095">
        <v>589.98</v>
      </c>
    </row>
    <row r="1096" spans="1:11">
      <c r="A1096">
        <v>1095</v>
      </c>
      <c r="B1096" t="s">
        <v>63</v>
      </c>
      <c r="C1096" s="1">
        <v>27760</v>
      </c>
      <c r="D1096">
        <v>50</v>
      </c>
      <c r="E1096" t="s">
        <v>12</v>
      </c>
      <c r="F1096" t="s">
        <v>32</v>
      </c>
      <c r="G1096" s="1">
        <v>45116</v>
      </c>
      <c r="H1096" s="1">
        <v>45584</v>
      </c>
      <c r="I1096">
        <v>2</v>
      </c>
      <c r="J1096" t="s">
        <v>19</v>
      </c>
      <c r="K1096">
        <v>9168.68</v>
      </c>
    </row>
    <row r="1097" spans="1:11">
      <c r="A1097">
        <v>1096</v>
      </c>
      <c r="B1097" t="s">
        <v>139</v>
      </c>
      <c r="C1097" s="1">
        <v>32143</v>
      </c>
      <c r="D1097">
        <v>38</v>
      </c>
      <c r="E1097" t="s">
        <v>12</v>
      </c>
      <c r="F1097" t="s">
        <v>13</v>
      </c>
      <c r="G1097" s="1">
        <v>45538</v>
      </c>
      <c r="H1097" s="1">
        <v>45185</v>
      </c>
      <c r="I1097">
        <v>27</v>
      </c>
      <c r="J1097" t="s">
        <v>23</v>
      </c>
      <c r="K1097">
        <v>7660.01</v>
      </c>
    </row>
    <row r="1098" spans="1:11">
      <c r="A1098">
        <v>1097</v>
      </c>
      <c r="B1098" t="s">
        <v>159</v>
      </c>
      <c r="C1098" s="1">
        <v>27760</v>
      </c>
      <c r="D1098">
        <v>50</v>
      </c>
      <c r="E1098" t="s">
        <v>12</v>
      </c>
      <c r="F1098" t="s">
        <v>16</v>
      </c>
      <c r="G1098" s="1">
        <v>45337</v>
      </c>
      <c r="H1098" s="1">
        <v>45401</v>
      </c>
      <c r="I1098">
        <v>8</v>
      </c>
      <c r="J1098" t="s">
        <v>23</v>
      </c>
      <c r="K1098">
        <v>6726.09</v>
      </c>
    </row>
    <row r="1099" spans="1:11">
      <c r="A1099">
        <v>1098</v>
      </c>
      <c r="B1099" t="s">
        <v>143</v>
      </c>
      <c r="C1099" s="1">
        <v>20820</v>
      </c>
      <c r="D1099">
        <v>69</v>
      </c>
      <c r="E1099" t="s">
        <v>12</v>
      </c>
      <c r="F1099" t="s">
        <v>13</v>
      </c>
      <c r="G1099" s="1">
        <v>44978</v>
      </c>
      <c r="H1099" s="1">
        <v>45227</v>
      </c>
      <c r="I1099">
        <v>25</v>
      </c>
      <c r="J1099" t="s">
        <v>23</v>
      </c>
      <c r="K1099">
        <v>6570.46</v>
      </c>
    </row>
    <row r="1100" spans="1:11">
      <c r="A1100">
        <v>1099</v>
      </c>
      <c r="B1100" t="s">
        <v>168</v>
      </c>
      <c r="C1100" s="1">
        <v>44196</v>
      </c>
      <c r="D1100">
        <v>5</v>
      </c>
      <c r="E1100" t="s">
        <v>12</v>
      </c>
      <c r="F1100" t="s">
        <v>13</v>
      </c>
      <c r="G1100" s="1">
        <v>45487</v>
      </c>
      <c r="H1100" s="1">
        <v>45392</v>
      </c>
      <c r="I1100">
        <v>35</v>
      </c>
      <c r="J1100" t="s">
        <v>23</v>
      </c>
      <c r="K1100">
        <v>17889.759999999998</v>
      </c>
    </row>
    <row r="1101" spans="1:11">
      <c r="A1101">
        <v>1100</v>
      </c>
      <c r="B1101" t="s">
        <v>81</v>
      </c>
      <c r="C1101" s="1">
        <v>21916</v>
      </c>
      <c r="D1101">
        <v>66</v>
      </c>
      <c r="F1101" t="s">
        <v>32</v>
      </c>
      <c r="G1101" s="1">
        <v>45372</v>
      </c>
      <c r="H1101" s="1">
        <v>45541</v>
      </c>
      <c r="I1101">
        <v>14</v>
      </c>
      <c r="J1101" t="s">
        <v>19</v>
      </c>
      <c r="K1101">
        <v>281.42</v>
      </c>
    </row>
    <row r="1102" spans="1:11">
      <c r="A1102">
        <v>1101</v>
      </c>
      <c r="B1102" t="s">
        <v>94</v>
      </c>
      <c r="C1102" s="1">
        <v>43831</v>
      </c>
      <c r="E1102" t="s">
        <v>15</v>
      </c>
      <c r="F1102" t="s">
        <v>45</v>
      </c>
      <c r="G1102" s="1">
        <v>45538</v>
      </c>
      <c r="H1102" s="1">
        <v>45616</v>
      </c>
      <c r="I1102">
        <v>20</v>
      </c>
      <c r="K1102">
        <v>15475.82</v>
      </c>
    </row>
    <row r="1103" spans="1:11">
      <c r="A1103">
        <v>1102</v>
      </c>
      <c r="B1103" t="s">
        <v>82</v>
      </c>
      <c r="C1103" s="1">
        <v>27760</v>
      </c>
      <c r="D1103">
        <v>50</v>
      </c>
      <c r="E1103" t="s">
        <v>12</v>
      </c>
      <c r="F1103" t="s">
        <v>21</v>
      </c>
      <c r="G1103" s="1">
        <v>45370</v>
      </c>
      <c r="H1103" s="1">
        <v>45825</v>
      </c>
      <c r="I1103">
        <v>15</v>
      </c>
      <c r="K1103">
        <v>4983.96</v>
      </c>
    </row>
    <row r="1104" spans="1:11">
      <c r="A1104">
        <v>1103</v>
      </c>
      <c r="B1104" t="s">
        <v>61</v>
      </c>
      <c r="C1104" s="1">
        <v>20090</v>
      </c>
      <c r="D1104">
        <v>71</v>
      </c>
      <c r="E1104" t="s">
        <v>15</v>
      </c>
      <c r="F1104" t="s">
        <v>13</v>
      </c>
      <c r="G1104" s="1">
        <v>45308</v>
      </c>
      <c r="H1104" s="1">
        <v>45255</v>
      </c>
      <c r="I1104">
        <v>34</v>
      </c>
      <c r="J1104" t="s">
        <v>19</v>
      </c>
      <c r="K1104">
        <v>7604.24</v>
      </c>
    </row>
    <row r="1105" spans="1:11">
      <c r="A1105">
        <v>1104</v>
      </c>
      <c r="B1105" t="s">
        <v>146</v>
      </c>
      <c r="C1105" s="1">
        <v>31047</v>
      </c>
      <c r="D1105">
        <v>41</v>
      </c>
      <c r="E1105" t="s">
        <v>12</v>
      </c>
      <c r="F1105" t="s">
        <v>21</v>
      </c>
      <c r="G1105" s="1">
        <v>45300</v>
      </c>
      <c r="H1105" s="1">
        <v>45037</v>
      </c>
      <c r="I1105">
        <v>24</v>
      </c>
      <c r="K1105">
        <v>8345.01</v>
      </c>
    </row>
    <row r="1106" spans="1:11">
      <c r="A1106">
        <v>1105</v>
      </c>
      <c r="B1106" t="s">
        <v>80</v>
      </c>
      <c r="C1106" s="1">
        <v>23012</v>
      </c>
      <c r="D1106">
        <v>63</v>
      </c>
      <c r="E1106" t="s">
        <v>12</v>
      </c>
      <c r="F1106" t="s">
        <v>21</v>
      </c>
      <c r="G1106" s="1">
        <v>45492</v>
      </c>
      <c r="H1106" s="1">
        <v>45637</v>
      </c>
      <c r="I1106">
        <v>22</v>
      </c>
      <c r="K1106">
        <v>6025.11</v>
      </c>
    </row>
    <row r="1107" spans="1:11">
      <c r="A1107">
        <v>1106</v>
      </c>
      <c r="B1107" t="s">
        <v>139</v>
      </c>
      <c r="C1107" s="1">
        <v>40909</v>
      </c>
      <c r="D1107">
        <v>14</v>
      </c>
      <c r="E1107" t="s">
        <v>15</v>
      </c>
      <c r="F1107" t="s">
        <v>18</v>
      </c>
      <c r="G1107" s="1">
        <v>45301</v>
      </c>
      <c r="H1107" s="1">
        <v>45056</v>
      </c>
      <c r="I1107">
        <v>2</v>
      </c>
      <c r="J1107" t="s">
        <v>25</v>
      </c>
      <c r="K1107">
        <v>1780.53</v>
      </c>
    </row>
    <row r="1108" spans="1:11">
      <c r="A1108">
        <v>1107</v>
      </c>
      <c r="B1108" t="s">
        <v>29</v>
      </c>
      <c r="C1108" s="1">
        <v>35795</v>
      </c>
      <c r="D1108">
        <v>28</v>
      </c>
      <c r="E1108" t="s">
        <v>15</v>
      </c>
      <c r="F1108" t="s">
        <v>21</v>
      </c>
      <c r="G1108" s="1">
        <v>45315</v>
      </c>
      <c r="H1108" s="1">
        <v>45798</v>
      </c>
      <c r="I1108">
        <v>16</v>
      </c>
      <c r="J1108" t="s">
        <v>19</v>
      </c>
      <c r="K1108">
        <v>2198.0500000000002</v>
      </c>
    </row>
    <row r="1109" spans="1:11">
      <c r="A1109">
        <v>1108</v>
      </c>
      <c r="B1109" t="s">
        <v>81</v>
      </c>
      <c r="C1109" s="1">
        <v>34334</v>
      </c>
      <c r="D1109">
        <v>32</v>
      </c>
      <c r="E1109" t="s">
        <v>12</v>
      </c>
      <c r="F1109" t="s">
        <v>16</v>
      </c>
      <c r="G1109" s="1">
        <v>45575</v>
      </c>
      <c r="H1109" s="1">
        <v>45064</v>
      </c>
      <c r="I1109">
        <v>24</v>
      </c>
      <c r="K1109">
        <v>5892.44</v>
      </c>
    </row>
    <row r="1110" spans="1:11">
      <c r="A1110">
        <v>1109</v>
      </c>
      <c r="B1110" t="s">
        <v>157</v>
      </c>
      <c r="C1110" s="1">
        <v>12054</v>
      </c>
      <c r="D1110">
        <v>93</v>
      </c>
      <c r="E1110" t="s">
        <v>15</v>
      </c>
      <c r="F1110" t="s">
        <v>16</v>
      </c>
      <c r="G1110" s="1">
        <v>45600</v>
      </c>
      <c r="H1110" s="1">
        <v>45466</v>
      </c>
      <c r="I1110">
        <v>10</v>
      </c>
      <c r="J1110" t="s">
        <v>25</v>
      </c>
      <c r="K1110">
        <v>16418.36</v>
      </c>
    </row>
    <row r="1111" spans="1:11">
      <c r="A1111">
        <v>1110</v>
      </c>
      <c r="B1111" t="s">
        <v>99</v>
      </c>
      <c r="C1111" s="1">
        <v>36526</v>
      </c>
      <c r="D1111">
        <v>26</v>
      </c>
      <c r="E1111" t="s">
        <v>15</v>
      </c>
      <c r="F1111" t="s">
        <v>18</v>
      </c>
      <c r="G1111" s="1">
        <v>45405</v>
      </c>
      <c r="H1111" s="1">
        <v>45576</v>
      </c>
      <c r="I1111">
        <v>4</v>
      </c>
      <c r="J1111" t="s">
        <v>19</v>
      </c>
      <c r="K1111">
        <v>2606.02</v>
      </c>
    </row>
    <row r="1112" spans="1:11">
      <c r="A1112">
        <v>1111</v>
      </c>
      <c r="B1112" t="s">
        <v>114</v>
      </c>
      <c r="C1112" s="1">
        <v>33239</v>
      </c>
      <c r="E1112" t="s">
        <v>12</v>
      </c>
      <c r="F1112" t="s">
        <v>45</v>
      </c>
      <c r="G1112" s="1">
        <v>45330</v>
      </c>
      <c r="H1112" s="1">
        <v>45091</v>
      </c>
      <c r="I1112">
        <v>23</v>
      </c>
      <c r="J1112" t="s">
        <v>19</v>
      </c>
      <c r="K1112">
        <v>14827.06</v>
      </c>
    </row>
    <row r="1113" spans="1:11">
      <c r="A1113">
        <v>1112</v>
      </c>
      <c r="B1113" t="s">
        <v>11</v>
      </c>
      <c r="C1113" s="1">
        <v>35795</v>
      </c>
      <c r="E1113" t="s">
        <v>15</v>
      </c>
      <c r="G1113" s="1">
        <v>45519</v>
      </c>
      <c r="H1113" s="1">
        <v>45276</v>
      </c>
      <c r="I1113">
        <v>11</v>
      </c>
      <c r="J1113" t="s">
        <v>23</v>
      </c>
      <c r="K1113">
        <v>5706.28</v>
      </c>
    </row>
    <row r="1114" spans="1:11">
      <c r="A1114">
        <v>1113</v>
      </c>
      <c r="B1114" t="s">
        <v>49</v>
      </c>
      <c r="C1114" s="1">
        <v>32508</v>
      </c>
      <c r="D1114">
        <v>37</v>
      </c>
      <c r="E1114" t="s">
        <v>12</v>
      </c>
      <c r="F1114" t="s">
        <v>45</v>
      </c>
      <c r="G1114" s="1">
        <v>45394</v>
      </c>
      <c r="H1114" s="1">
        <v>45390</v>
      </c>
      <c r="I1114">
        <v>24</v>
      </c>
      <c r="J1114" t="s">
        <v>25</v>
      </c>
      <c r="K1114">
        <v>17657.650000000001</v>
      </c>
    </row>
    <row r="1115" spans="1:11">
      <c r="A1115">
        <v>1114</v>
      </c>
      <c r="B1115" t="s">
        <v>61</v>
      </c>
      <c r="C1115" s="1">
        <v>25568</v>
      </c>
      <c r="E1115" t="s">
        <v>12</v>
      </c>
      <c r="F1115" t="s">
        <v>16</v>
      </c>
      <c r="G1115" s="1">
        <v>45523</v>
      </c>
      <c r="H1115" s="1">
        <v>45795</v>
      </c>
      <c r="I1115">
        <v>5</v>
      </c>
      <c r="J1115" t="s">
        <v>25</v>
      </c>
      <c r="K1115">
        <v>8509.4</v>
      </c>
    </row>
    <row r="1116" spans="1:11">
      <c r="A1116">
        <v>1115</v>
      </c>
      <c r="B1116" t="s">
        <v>166</v>
      </c>
      <c r="C1116" s="1">
        <v>36526</v>
      </c>
      <c r="D1116">
        <v>26</v>
      </c>
      <c r="E1116" t="s">
        <v>15</v>
      </c>
      <c r="G1116" s="1">
        <v>45431</v>
      </c>
      <c r="H1116" s="1">
        <v>45570</v>
      </c>
      <c r="I1116">
        <v>28</v>
      </c>
      <c r="J1116" t="s">
        <v>25</v>
      </c>
      <c r="K1116">
        <v>3351.64</v>
      </c>
    </row>
    <row r="1117" spans="1:11">
      <c r="A1117">
        <v>1116</v>
      </c>
      <c r="B1117" t="s">
        <v>43</v>
      </c>
      <c r="C1117" s="1">
        <v>26299</v>
      </c>
      <c r="D1117">
        <v>54</v>
      </c>
      <c r="E1117" t="s">
        <v>15</v>
      </c>
      <c r="F1117" t="s">
        <v>18</v>
      </c>
      <c r="G1117" s="1">
        <v>45009</v>
      </c>
      <c r="H1117" s="1">
        <v>45431</v>
      </c>
      <c r="I1117">
        <v>32</v>
      </c>
      <c r="J1117" t="s">
        <v>19</v>
      </c>
      <c r="K1117">
        <v>19715.47</v>
      </c>
    </row>
    <row r="1118" spans="1:11">
      <c r="A1118">
        <v>1117</v>
      </c>
      <c r="B1118" t="s">
        <v>30</v>
      </c>
      <c r="C1118" s="1">
        <v>34334</v>
      </c>
      <c r="D1118">
        <v>32</v>
      </c>
      <c r="E1118" t="s">
        <v>12</v>
      </c>
      <c r="F1118" t="s">
        <v>45</v>
      </c>
      <c r="G1118" s="1">
        <v>45245</v>
      </c>
      <c r="H1118" s="1">
        <v>45812</v>
      </c>
      <c r="I1118">
        <v>24</v>
      </c>
      <c r="J1118" t="s">
        <v>23</v>
      </c>
      <c r="K1118">
        <v>3450.35</v>
      </c>
    </row>
    <row r="1119" spans="1:11">
      <c r="A1119">
        <v>1118</v>
      </c>
      <c r="B1119" t="s">
        <v>86</v>
      </c>
      <c r="C1119" s="1">
        <v>21551</v>
      </c>
      <c r="D1119">
        <v>67</v>
      </c>
      <c r="E1119" t="s">
        <v>12</v>
      </c>
      <c r="G1119" s="1">
        <v>44993</v>
      </c>
      <c r="H1119" s="1">
        <v>45078</v>
      </c>
      <c r="I1119">
        <v>1</v>
      </c>
      <c r="J1119" t="s">
        <v>19</v>
      </c>
      <c r="K1119">
        <v>11309.16</v>
      </c>
    </row>
    <row r="1120" spans="1:11">
      <c r="A1120">
        <v>1119</v>
      </c>
      <c r="B1120" t="s">
        <v>31</v>
      </c>
      <c r="C1120" s="1">
        <v>14976</v>
      </c>
      <c r="D1120">
        <v>85</v>
      </c>
      <c r="E1120" t="s">
        <v>12</v>
      </c>
      <c r="G1120" s="1">
        <v>45340</v>
      </c>
      <c r="H1120" s="1">
        <v>45817</v>
      </c>
      <c r="I1120">
        <v>39</v>
      </c>
      <c r="K1120">
        <v>11342.66</v>
      </c>
    </row>
    <row r="1121" spans="1:11">
      <c r="A1121">
        <v>1120</v>
      </c>
      <c r="B1121" t="s">
        <v>110</v>
      </c>
      <c r="C1121" s="1">
        <v>22281</v>
      </c>
      <c r="D1121">
        <v>65</v>
      </c>
      <c r="E1121" t="s">
        <v>12</v>
      </c>
      <c r="F1121" t="s">
        <v>13</v>
      </c>
      <c r="G1121" s="1">
        <v>45379</v>
      </c>
      <c r="H1121" s="1">
        <v>45173</v>
      </c>
      <c r="I1121">
        <v>1</v>
      </c>
      <c r="K1121">
        <v>7393.55</v>
      </c>
    </row>
    <row r="1122" spans="1:11">
      <c r="A1122">
        <v>1121</v>
      </c>
      <c r="B1122" t="s">
        <v>124</v>
      </c>
      <c r="C1122" s="1">
        <v>42735</v>
      </c>
      <c r="D1122">
        <v>9</v>
      </c>
      <c r="E1122" t="s">
        <v>12</v>
      </c>
      <c r="F1122" t="s">
        <v>45</v>
      </c>
      <c r="G1122" s="1">
        <v>45124</v>
      </c>
      <c r="H1122" s="1">
        <v>45037</v>
      </c>
      <c r="I1122">
        <v>15</v>
      </c>
      <c r="K1122">
        <v>19024.919999999998</v>
      </c>
    </row>
    <row r="1123" spans="1:11">
      <c r="A1123">
        <v>1122</v>
      </c>
      <c r="B1123" t="s">
        <v>62</v>
      </c>
      <c r="C1123" s="1">
        <v>44561</v>
      </c>
      <c r="D1123">
        <v>4</v>
      </c>
      <c r="E1123" t="s">
        <v>15</v>
      </c>
      <c r="F1123" t="s">
        <v>18</v>
      </c>
      <c r="G1123" s="1">
        <v>45185</v>
      </c>
      <c r="H1123" s="1">
        <v>45512</v>
      </c>
      <c r="I1123">
        <v>20</v>
      </c>
      <c r="J1123" t="s">
        <v>23</v>
      </c>
      <c r="K1123">
        <v>16861.88</v>
      </c>
    </row>
    <row r="1124" spans="1:11">
      <c r="A1124">
        <v>1123</v>
      </c>
      <c r="B1124" t="s">
        <v>93</v>
      </c>
      <c r="C1124" s="1">
        <v>19359</v>
      </c>
      <c r="D1124">
        <v>73</v>
      </c>
      <c r="E1124" t="s">
        <v>15</v>
      </c>
      <c r="G1124" s="1">
        <v>45615</v>
      </c>
      <c r="H1124" s="1">
        <v>45725</v>
      </c>
      <c r="I1124">
        <v>29</v>
      </c>
      <c r="J1124" t="s">
        <v>19</v>
      </c>
      <c r="K1124">
        <v>16579.37</v>
      </c>
    </row>
    <row r="1125" spans="1:11">
      <c r="A1125">
        <v>1124</v>
      </c>
      <c r="B1125" t="s">
        <v>138</v>
      </c>
      <c r="C1125" s="1">
        <v>32508</v>
      </c>
      <c r="D1125">
        <v>37</v>
      </c>
      <c r="E1125" t="s">
        <v>15</v>
      </c>
      <c r="F1125" t="s">
        <v>16</v>
      </c>
      <c r="G1125" s="1">
        <v>45224</v>
      </c>
      <c r="H1125" s="1">
        <v>45202</v>
      </c>
      <c r="I1125">
        <v>9</v>
      </c>
      <c r="J1125" t="s">
        <v>25</v>
      </c>
      <c r="K1125">
        <v>19480.45</v>
      </c>
    </row>
    <row r="1126" spans="1:11">
      <c r="A1126">
        <v>1125</v>
      </c>
      <c r="B1126" t="s">
        <v>110</v>
      </c>
      <c r="C1126" s="1">
        <v>41639</v>
      </c>
      <c r="D1126">
        <v>12</v>
      </c>
      <c r="E1126" t="s">
        <v>15</v>
      </c>
      <c r="F1126" t="s">
        <v>13</v>
      </c>
      <c r="G1126" s="1">
        <v>45206</v>
      </c>
      <c r="H1126" s="1">
        <v>45797</v>
      </c>
      <c r="I1126">
        <v>17</v>
      </c>
      <c r="K1126">
        <v>9087.9</v>
      </c>
    </row>
    <row r="1127" spans="1:11">
      <c r="A1127">
        <v>1126</v>
      </c>
      <c r="B1127" t="s">
        <v>171</v>
      </c>
      <c r="C1127" s="1">
        <v>35065</v>
      </c>
      <c r="D1127">
        <v>30</v>
      </c>
      <c r="E1127" t="s">
        <v>12</v>
      </c>
      <c r="F1127" t="s">
        <v>21</v>
      </c>
      <c r="G1127" s="1">
        <v>45226</v>
      </c>
      <c r="H1127" s="1">
        <v>44994</v>
      </c>
      <c r="I1127">
        <v>9</v>
      </c>
      <c r="K1127">
        <v>1853.43</v>
      </c>
    </row>
    <row r="1128" spans="1:11">
      <c r="A1128">
        <v>1127</v>
      </c>
      <c r="B1128" t="s">
        <v>119</v>
      </c>
      <c r="C1128" s="1">
        <v>29221</v>
      </c>
      <c r="D1128">
        <v>46</v>
      </c>
      <c r="E1128" t="s">
        <v>12</v>
      </c>
      <c r="F1128" t="s">
        <v>21</v>
      </c>
      <c r="G1128" s="1">
        <v>45055</v>
      </c>
      <c r="H1128" s="1">
        <v>44977</v>
      </c>
      <c r="I1128">
        <v>5</v>
      </c>
      <c r="J1128" t="s">
        <v>19</v>
      </c>
      <c r="K1128">
        <v>15285.66</v>
      </c>
    </row>
    <row r="1129" spans="1:11">
      <c r="A1129">
        <v>1128</v>
      </c>
      <c r="B1129" t="s">
        <v>17</v>
      </c>
      <c r="C1129" s="1">
        <v>14246</v>
      </c>
      <c r="D1129">
        <v>87</v>
      </c>
      <c r="E1129" t="s">
        <v>15</v>
      </c>
      <c r="F1129" t="s">
        <v>21</v>
      </c>
      <c r="G1129" s="1">
        <v>45424</v>
      </c>
      <c r="H1129" s="1">
        <v>45743</v>
      </c>
      <c r="I1129">
        <v>19</v>
      </c>
      <c r="J1129" t="s">
        <v>25</v>
      </c>
      <c r="K1129">
        <v>7554.33</v>
      </c>
    </row>
    <row r="1130" spans="1:11">
      <c r="A1130">
        <v>1129</v>
      </c>
      <c r="B1130" t="s">
        <v>171</v>
      </c>
      <c r="C1130" s="1">
        <v>27395</v>
      </c>
      <c r="D1130">
        <v>51</v>
      </c>
      <c r="E1130" t="s">
        <v>12</v>
      </c>
      <c r="F1130" t="s">
        <v>16</v>
      </c>
      <c r="G1130" s="1">
        <v>45364</v>
      </c>
      <c r="H1130" s="1">
        <v>45442</v>
      </c>
      <c r="I1130">
        <v>24</v>
      </c>
      <c r="J1130" t="s">
        <v>23</v>
      </c>
      <c r="K1130">
        <v>3725.94</v>
      </c>
    </row>
    <row r="1131" spans="1:11">
      <c r="A1131">
        <v>1130</v>
      </c>
      <c r="B1131" t="s">
        <v>56</v>
      </c>
      <c r="C1131" s="1">
        <v>25934</v>
      </c>
      <c r="D1131">
        <v>55</v>
      </c>
      <c r="E1131" t="s">
        <v>15</v>
      </c>
      <c r="G1131" s="1">
        <v>45618</v>
      </c>
      <c r="H1131" s="1">
        <v>45153</v>
      </c>
      <c r="I1131">
        <v>38</v>
      </c>
      <c r="K1131">
        <v>9613.27</v>
      </c>
    </row>
    <row r="1132" spans="1:11">
      <c r="A1132">
        <v>1131</v>
      </c>
      <c r="B1132" t="s">
        <v>87</v>
      </c>
      <c r="C1132" s="1">
        <v>40909</v>
      </c>
      <c r="D1132">
        <v>14</v>
      </c>
      <c r="E1132" t="s">
        <v>15</v>
      </c>
      <c r="F1132" t="s">
        <v>18</v>
      </c>
      <c r="G1132" s="1">
        <v>45218</v>
      </c>
      <c r="H1132" s="1">
        <v>45505</v>
      </c>
      <c r="I1132">
        <v>38</v>
      </c>
      <c r="K1132">
        <v>18506.95</v>
      </c>
    </row>
    <row r="1133" spans="1:11">
      <c r="A1133">
        <v>1132</v>
      </c>
      <c r="B1133" t="s">
        <v>155</v>
      </c>
      <c r="C1133" s="1">
        <v>35795</v>
      </c>
      <c r="D1133">
        <v>28</v>
      </c>
      <c r="E1133" t="s">
        <v>12</v>
      </c>
      <c r="F1133" t="s">
        <v>21</v>
      </c>
      <c r="G1133" s="1">
        <v>45133</v>
      </c>
      <c r="H1133" s="1">
        <v>45433</v>
      </c>
      <c r="I1133">
        <v>14</v>
      </c>
      <c r="K1133">
        <v>3344.28</v>
      </c>
    </row>
    <row r="1134" spans="1:11">
      <c r="A1134">
        <v>1133</v>
      </c>
      <c r="B1134" t="s">
        <v>91</v>
      </c>
      <c r="C1134" s="1">
        <v>43466</v>
      </c>
      <c r="E1134" t="s">
        <v>15</v>
      </c>
      <c r="F1134" t="s">
        <v>45</v>
      </c>
      <c r="G1134" s="1">
        <v>45220</v>
      </c>
      <c r="H1134" s="1">
        <v>45082</v>
      </c>
      <c r="I1134">
        <v>29</v>
      </c>
      <c r="J1134" t="s">
        <v>25</v>
      </c>
      <c r="K1134">
        <v>16958.849999999999</v>
      </c>
    </row>
    <row r="1135" spans="1:11">
      <c r="A1135">
        <v>1134</v>
      </c>
      <c r="B1135" t="s">
        <v>74</v>
      </c>
      <c r="C1135" s="1">
        <v>44561</v>
      </c>
      <c r="D1135">
        <v>4</v>
      </c>
      <c r="E1135" t="s">
        <v>15</v>
      </c>
      <c r="F1135" t="s">
        <v>21</v>
      </c>
      <c r="G1135" s="1">
        <v>45613</v>
      </c>
      <c r="H1135" s="1">
        <v>45801</v>
      </c>
      <c r="I1135">
        <v>30</v>
      </c>
      <c r="K1135">
        <v>8305.92</v>
      </c>
    </row>
    <row r="1136" spans="1:11">
      <c r="A1136">
        <v>1135</v>
      </c>
      <c r="B1136" t="s">
        <v>152</v>
      </c>
      <c r="C1136" s="1">
        <v>35795</v>
      </c>
      <c r="D1136">
        <v>28</v>
      </c>
      <c r="E1136" t="s">
        <v>15</v>
      </c>
      <c r="G1136" s="1">
        <v>44955</v>
      </c>
      <c r="H1136" s="1">
        <v>45407</v>
      </c>
      <c r="I1136">
        <v>28</v>
      </c>
      <c r="J1136" t="s">
        <v>25</v>
      </c>
      <c r="K1136">
        <v>2649.72</v>
      </c>
    </row>
    <row r="1137" spans="1:11">
      <c r="A1137">
        <v>1136</v>
      </c>
      <c r="B1137" t="s">
        <v>137</v>
      </c>
      <c r="C1137" s="1">
        <v>29221</v>
      </c>
      <c r="D1137">
        <v>46</v>
      </c>
      <c r="E1137" t="s">
        <v>15</v>
      </c>
      <c r="F1137" t="s">
        <v>32</v>
      </c>
      <c r="G1137" s="1">
        <v>45105</v>
      </c>
      <c r="H1137" s="1">
        <v>45038</v>
      </c>
      <c r="I1137">
        <v>3</v>
      </c>
      <c r="K1137">
        <v>16952.48</v>
      </c>
    </row>
    <row r="1138" spans="1:11">
      <c r="A1138">
        <v>1137</v>
      </c>
      <c r="B1138" t="s">
        <v>159</v>
      </c>
      <c r="C1138" s="1">
        <v>21551</v>
      </c>
      <c r="D1138">
        <v>67</v>
      </c>
      <c r="E1138" t="s">
        <v>12</v>
      </c>
      <c r="F1138" t="s">
        <v>16</v>
      </c>
      <c r="G1138" s="1">
        <v>44967</v>
      </c>
      <c r="H1138" s="1">
        <v>45410</v>
      </c>
      <c r="I1138">
        <v>36</v>
      </c>
      <c r="K1138">
        <v>19389.37</v>
      </c>
    </row>
    <row r="1139" spans="1:11">
      <c r="A1139">
        <v>1138</v>
      </c>
      <c r="B1139" t="s">
        <v>100</v>
      </c>
      <c r="C1139" s="1">
        <v>18629</v>
      </c>
      <c r="D1139">
        <v>75</v>
      </c>
      <c r="E1139" t="s">
        <v>12</v>
      </c>
      <c r="F1139" t="s">
        <v>32</v>
      </c>
      <c r="G1139" s="1">
        <v>45396</v>
      </c>
      <c r="H1139" s="1">
        <v>45735</v>
      </c>
      <c r="I1139">
        <v>6</v>
      </c>
      <c r="J1139" t="s">
        <v>25</v>
      </c>
      <c r="K1139">
        <v>5754.54</v>
      </c>
    </row>
    <row r="1140" spans="1:11">
      <c r="A1140">
        <v>1139</v>
      </c>
      <c r="B1140" t="s">
        <v>31</v>
      </c>
      <c r="C1140" s="1">
        <v>29951</v>
      </c>
      <c r="D1140">
        <v>44</v>
      </c>
      <c r="E1140" t="s">
        <v>15</v>
      </c>
      <c r="F1140" t="s">
        <v>21</v>
      </c>
      <c r="G1140" s="1">
        <v>45118</v>
      </c>
      <c r="H1140" s="1">
        <v>45820</v>
      </c>
      <c r="I1140">
        <v>39</v>
      </c>
      <c r="J1140" t="s">
        <v>25</v>
      </c>
      <c r="K1140">
        <v>6001.08</v>
      </c>
    </row>
    <row r="1141" spans="1:11">
      <c r="A1141">
        <v>1140</v>
      </c>
      <c r="B1141" t="s">
        <v>90</v>
      </c>
      <c r="C1141" s="1">
        <v>45657</v>
      </c>
      <c r="D1141">
        <v>1</v>
      </c>
      <c r="E1141" t="s">
        <v>15</v>
      </c>
      <c r="G1141" s="1">
        <v>45270</v>
      </c>
      <c r="H1141" s="1">
        <v>45695</v>
      </c>
      <c r="I1141">
        <v>29</v>
      </c>
      <c r="J1141" t="s">
        <v>23</v>
      </c>
      <c r="K1141">
        <v>7749.97</v>
      </c>
    </row>
    <row r="1142" spans="1:11">
      <c r="A1142">
        <v>1141</v>
      </c>
      <c r="B1142" t="s">
        <v>133</v>
      </c>
      <c r="C1142" s="1">
        <v>36526</v>
      </c>
      <c r="D1142">
        <v>26</v>
      </c>
      <c r="E1142" t="s">
        <v>12</v>
      </c>
      <c r="F1142" t="s">
        <v>21</v>
      </c>
      <c r="G1142" s="1">
        <v>45552</v>
      </c>
      <c r="H1142" s="1">
        <v>45201</v>
      </c>
      <c r="I1142">
        <v>33</v>
      </c>
      <c r="J1142" t="s">
        <v>19</v>
      </c>
      <c r="K1142">
        <v>16264.02</v>
      </c>
    </row>
    <row r="1143" spans="1:11">
      <c r="A1143">
        <v>1142</v>
      </c>
      <c r="B1143" t="s">
        <v>145</v>
      </c>
      <c r="C1143" s="1">
        <v>11689</v>
      </c>
      <c r="D1143">
        <v>94</v>
      </c>
      <c r="E1143" t="s">
        <v>12</v>
      </c>
      <c r="F1143" t="s">
        <v>32</v>
      </c>
      <c r="G1143" s="1">
        <v>45204</v>
      </c>
      <c r="H1143" s="1">
        <v>45082</v>
      </c>
      <c r="I1143">
        <v>13</v>
      </c>
      <c r="K1143">
        <v>109.39</v>
      </c>
    </row>
    <row r="1144" spans="1:11">
      <c r="A1144">
        <v>1143</v>
      </c>
      <c r="B1144" t="s">
        <v>129</v>
      </c>
      <c r="C1144" s="1">
        <v>33239</v>
      </c>
      <c r="D1144">
        <v>35</v>
      </c>
      <c r="E1144" t="s">
        <v>15</v>
      </c>
      <c r="G1144" s="1">
        <v>45281</v>
      </c>
      <c r="H1144" s="1">
        <v>45578</v>
      </c>
      <c r="I1144">
        <v>9</v>
      </c>
      <c r="K1144">
        <v>4401.53</v>
      </c>
    </row>
    <row r="1145" spans="1:11">
      <c r="A1145">
        <v>1144</v>
      </c>
      <c r="B1145" t="s">
        <v>55</v>
      </c>
      <c r="C1145" s="1">
        <v>33239</v>
      </c>
      <c r="E1145" t="s">
        <v>15</v>
      </c>
      <c r="F1145" t="s">
        <v>16</v>
      </c>
      <c r="G1145" s="1">
        <v>45455</v>
      </c>
      <c r="H1145" s="1">
        <v>45094</v>
      </c>
      <c r="I1145">
        <v>38</v>
      </c>
      <c r="J1145" t="s">
        <v>19</v>
      </c>
      <c r="K1145">
        <v>14088.59</v>
      </c>
    </row>
    <row r="1146" spans="1:11">
      <c r="A1146">
        <v>1145</v>
      </c>
      <c r="B1146" t="s">
        <v>161</v>
      </c>
      <c r="C1146" s="1">
        <v>36891</v>
      </c>
      <c r="D1146">
        <v>25</v>
      </c>
      <c r="E1146" t="s">
        <v>12</v>
      </c>
      <c r="F1146" t="s">
        <v>16</v>
      </c>
      <c r="G1146" s="1">
        <v>45012</v>
      </c>
      <c r="H1146" s="1">
        <v>44946</v>
      </c>
      <c r="I1146">
        <v>0</v>
      </c>
      <c r="J1146" t="s">
        <v>19</v>
      </c>
      <c r="K1146">
        <v>8053.35</v>
      </c>
    </row>
    <row r="1147" spans="1:11">
      <c r="A1147">
        <v>1146</v>
      </c>
      <c r="B1147" t="s">
        <v>137</v>
      </c>
      <c r="C1147" s="1">
        <v>30682</v>
      </c>
      <c r="D1147">
        <v>42</v>
      </c>
      <c r="E1147" t="s">
        <v>12</v>
      </c>
      <c r="F1147" t="s">
        <v>21</v>
      </c>
      <c r="G1147" s="1">
        <v>45243</v>
      </c>
      <c r="H1147" s="1">
        <v>45272</v>
      </c>
      <c r="I1147">
        <v>24</v>
      </c>
      <c r="J1147" t="s">
        <v>19</v>
      </c>
      <c r="K1147">
        <v>6538.94</v>
      </c>
    </row>
    <row r="1148" spans="1:11">
      <c r="A1148">
        <v>1147</v>
      </c>
      <c r="B1148" t="s">
        <v>158</v>
      </c>
      <c r="C1148" s="1">
        <v>36526</v>
      </c>
      <c r="D1148">
        <v>26</v>
      </c>
      <c r="E1148" t="s">
        <v>15</v>
      </c>
      <c r="F1148" t="s">
        <v>16</v>
      </c>
      <c r="G1148" s="1">
        <v>45619</v>
      </c>
      <c r="H1148" s="1">
        <v>45662</v>
      </c>
      <c r="I1148">
        <v>24</v>
      </c>
      <c r="K1148">
        <v>17432.89</v>
      </c>
    </row>
    <row r="1149" spans="1:11">
      <c r="A1149">
        <v>1148</v>
      </c>
      <c r="B1149" t="s">
        <v>142</v>
      </c>
      <c r="C1149" s="1">
        <v>21185</v>
      </c>
      <c r="D1149">
        <v>68</v>
      </c>
      <c r="E1149" t="s">
        <v>12</v>
      </c>
      <c r="F1149" t="s">
        <v>13</v>
      </c>
      <c r="G1149" s="1">
        <v>45263</v>
      </c>
      <c r="H1149" s="1">
        <v>45496</v>
      </c>
      <c r="I1149">
        <v>6</v>
      </c>
      <c r="K1149">
        <v>18338.41</v>
      </c>
    </row>
    <row r="1150" spans="1:11">
      <c r="A1150">
        <v>1149</v>
      </c>
      <c r="B1150" t="s">
        <v>61</v>
      </c>
      <c r="C1150" s="1">
        <v>39083</v>
      </c>
      <c r="D1150">
        <v>19</v>
      </c>
      <c r="E1150" t="s">
        <v>15</v>
      </c>
      <c r="G1150" s="1">
        <v>45071</v>
      </c>
      <c r="H1150" s="1">
        <v>45825</v>
      </c>
      <c r="I1150">
        <v>14</v>
      </c>
      <c r="K1150">
        <v>18954.52</v>
      </c>
    </row>
    <row r="1151" spans="1:11">
      <c r="A1151">
        <v>1150</v>
      </c>
      <c r="B1151" t="s">
        <v>70</v>
      </c>
      <c r="C1151" s="1">
        <v>42370</v>
      </c>
      <c r="D1151">
        <v>10</v>
      </c>
      <c r="E1151" t="s">
        <v>12</v>
      </c>
      <c r="G1151" s="1">
        <v>45241</v>
      </c>
      <c r="H1151" s="1">
        <v>45221</v>
      </c>
      <c r="I1151">
        <v>2</v>
      </c>
      <c r="J1151" t="s">
        <v>25</v>
      </c>
      <c r="K1151">
        <v>5378.27</v>
      </c>
    </row>
    <row r="1152" spans="1:11">
      <c r="A1152">
        <v>1151</v>
      </c>
      <c r="B1152" t="s">
        <v>97</v>
      </c>
      <c r="C1152" s="1">
        <v>19359</v>
      </c>
      <c r="D1152">
        <v>73</v>
      </c>
      <c r="E1152" t="s">
        <v>12</v>
      </c>
      <c r="F1152" t="s">
        <v>16</v>
      </c>
      <c r="G1152" s="1">
        <v>45151</v>
      </c>
      <c r="H1152" s="1">
        <v>45572</v>
      </c>
      <c r="I1152">
        <v>23</v>
      </c>
      <c r="J1152" t="s">
        <v>23</v>
      </c>
      <c r="K1152">
        <v>18241.5</v>
      </c>
    </row>
    <row r="1153" spans="1:11">
      <c r="A1153">
        <v>1152</v>
      </c>
      <c r="B1153" t="s">
        <v>97</v>
      </c>
      <c r="C1153" s="1">
        <v>32508</v>
      </c>
      <c r="E1153" t="s">
        <v>12</v>
      </c>
      <c r="G1153" s="1">
        <v>45349</v>
      </c>
      <c r="H1153" s="1">
        <v>45389</v>
      </c>
      <c r="I1153">
        <v>18</v>
      </c>
      <c r="J1153" t="s">
        <v>23</v>
      </c>
      <c r="K1153">
        <v>14713.01</v>
      </c>
    </row>
    <row r="1154" spans="1:11">
      <c r="A1154">
        <v>1153</v>
      </c>
      <c r="B1154" t="s">
        <v>135</v>
      </c>
      <c r="D1154">
        <v>5</v>
      </c>
      <c r="E1154" t="s">
        <v>15</v>
      </c>
      <c r="F1154" t="s">
        <v>32</v>
      </c>
      <c r="G1154" s="1">
        <v>44980</v>
      </c>
      <c r="H1154" s="1">
        <v>45265</v>
      </c>
      <c r="I1154">
        <v>-2</v>
      </c>
      <c r="J1154" t="s">
        <v>19</v>
      </c>
      <c r="K1154">
        <v>2999.72</v>
      </c>
    </row>
    <row r="1155" spans="1:11">
      <c r="A1155">
        <v>1154</v>
      </c>
      <c r="B1155" t="s">
        <v>127</v>
      </c>
      <c r="C1155" s="1">
        <v>20090</v>
      </c>
      <c r="E1155" t="s">
        <v>15</v>
      </c>
      <c r="F1155" t="s">
        <v>18</v>
      </c>
      <c r="G1155" s="1">
        <v>44994</v>
      </c>
      <c r="H1155" s="1">
        <v>45731</v>
      </c>
      <c r="I1155">
        <v>-2</v>
      </c>
      <c r="J1155" t="s">
        <v>19</v>
      </c>
      <c r="K1155">
        <v>12166.43</v>
      </c>
    </row>
    <row r="1156" spans="1:11">
      <c r="A1156">
        <v>1155</v>
      </c>
      <c r="B1156" t="s">
        <v>111</v>
      </c>
      <c r="C1156" s="1">
        <v>37987</v>
      </c>
      <c r="D1156">
        <v>22</v>
      </c>
      <c r="E1156" t="s">
        <v>15</v>
      </c>
      <c r="F1156" t="s">
        <v>32</v>
      </c>
      <c r="G1156" s="1">
        <v>45545</v>
      </c>
      <c r="H1156" s="1">
        <v>45379</v>
      </c>
      <c r="I1156">
        <v>32</v>
      </c>
      <c r="K1156">
        <v>429.33</v>
      </c>
    </row>
    <row r="1157" spans="1:11">
      <c r="A1157">
        <v>1156</v>
      </c>
      <c r="B1157" t="s">
        <v>80</v>
      </c>
      <c r="C1157" s="1">
        <v>29221</v>
      </c>
      <c r="E1157" t="s">
        <v>12</v>
      </c>
      <c r="F1157" t="s">
        <v>45</v>
      </c>
      <c r="G1157" s="1">
        <v>45260</v>
      </c>
      <c r="H1157" s="1">
        <v>45271</v>
      </c>
      <c r="I1157">
        <v>6</v>
      </c>
      <c r="J1157" t="s">
        <v>23</v>
      </c>
      <c r="K1157">
        <v>14138.4</v>
      </c>
    </row>
    <row r="1158" spans="1:11">
      <c r="A1158">
        <v>1157</v>
      </c>
      <c r="B1158" t="s">
        <v>88</v>
      </c>
      <c r="C1158" s="1">
        <v>13515</v>
      </c>
      <c r="D1158">
        <v>89</v>
      </c>
      <c r="E1158" t="s">
        <v>15</v>
      </c>
      <c r="F1158" t="s">
        <v>13</v>
      </c>
      <c r="G1158" s="1">
        <v>45003</v>
      </c>
      <c r="H1158" s="1">
        <v>45644</v>
      </c>
      <c r="I1158">
        <v>20</v>
      </c>
      <c r="J1158" t="s">
        <v>23</v>
      </c>
      <c r="K1158">
        <v>14644.71</v>
      </c>
    </row>
    <row r="1159" spans="1:11">
      <c r="A1159">
        <v>1158</v>
      </c>
      <c r="B1159" t="s">
        <v>150</v>
      </c>
      <c r="C1159" s="1">
        <v>29586</v>
      </c>
      <c r="D1159">
        <v>45</v>
      </c>
      <c r="E1159" t="s">
        <v>15</v>
      </c>
      <c r="F1159" t="s">
        <v>18</v>
      </c>
      <c r="G1159" s="1">
        <v>45465</v>
      </c>
      <c r="H1159" s="1">
        <v>45558</v>
      </c>
      <c r="I1159">
        <v>35</v>
      </c>
      <c r="J1159" t="s">
        <v>25</v>
      </c>
      <c r="K1159">
        <v>15765.7</v>
      </c>
    </row>
    <row r="1160" spans="1:11">
      <c r="A1160">
        <v>1159</v>
      </c>
      <c r="B1160" t="s">
        <v>71</v>
      </c>
      <c r="C1160" s="1">
        <v>42005</v>
      </c>
      <c r="D1160">
        <v>11</v>
      </c>
      <c r="E1160" t="s">
        <v>15</v>
      </c>
      <c r="F1160" t="s">
        <v>21</v>
      </c>
      <c r="G1160" s="1">
        <v>45081</v>
      </c>
      <c r="H1160" s="1">
        <v>45692</v>
      </c>
      <c r="I1160">
        <v>38</v>
      </c>
      <c r="K1160">
        <v>3367.75</v>
      </c>
    </row>
    <row r="1161" spans="1:11">
      <c r="A1161">
        <v>1160</v>
      </c>
      <c r="B1161" t="s">
        <v>34</v>
      </c>
      <c r="C1161" s="1">
        <v>13515</v>
      </c>
      <c r="D1161">
        <v>89</v>
      </c>
      <c r="E1161" t="s">
        <v>12</v>
      </c>
      <c r="G1161" s="1">
        <v>44998</v>
      </c>
      <c r="H1161" s="1">
        <v>45012</v>
      </c>
      <c r="I1161">
        <v>1</v>
      </c>
      <c r="K1161">
        <v>12527.82</v>
      </c>
    </row>
    <row r="1162" spans="1:11">
      <c r="A1162">
        <v>1161</v>
      </c>
      <c r="B1162" t="s">
        <v>137</v>
      </c>
      <c r="C1162" s="1">
        <v>41639</v>
      </c>
      <c r="D1162">
        <v>12</v>
      </c>
      <c r="E1162" t="s">
        <v>15</v>
      </c>
      <c r="F1162" t="s">
        <v>45</v>
      </c>
      <c r="G1162" s="1">
        <v>45427</v>
      </c>
      <c r="H1162" s="1">
        <v>45624</v>
      </c>
      <c r="I1162">
        <v>16</v>
      </c>
      <c r="J1162" t="s">
        <v>23</v>
      </c>
      <c r="K1162">
        <v>3495.02</v>
      </c>
    </row>
    <row r="1163" spans="1:11">
      <c r="A1163">
        <v>1162</v>
      </c>
      <c r="B1163" t="s">
        <v>152</v>
      </c>
      <c r="C1163" s="1">
        <v>23742</v>
      </c>
      <c r="D1163">
        <v>61</v>
      </c>
      <c r="E1163" t="s">
        <v>15</v>
      </c>
      <c r="F1163" t="s">
        <v>45</v>
      </c>
      <c r="G1163" s="1">
        <v>45373</v>
      </c>
      <c r="H1163" s="1">
        <v>45664</v>
      </c>
      <c r="I1163">
        <v>34</v>
      </c>
      <c r="J1163" t="s">
        <v>23</v>
      </c>
      <c r="K1163">
        <v>18927.669999999998</v>
      </c>
    </row>
    <row r="1164" spans="1:11">
      <c r="A1164">
        <v>1163</v>
      </c>
      <c r="B1164" t="s">
        <v>69</v>
      </c>
      <c r="C1164" s="1">
        <v>16437</v>
      </c>
      <c r="E1164" t="s">
        <v>15</v>
      </c>
      <c r="F1164" t="s">
        <v>13</v>
      </c>
      <c r="G1164" s="1">
        <v>45618</v>
      </c>
      <c r="H1164" s="1">
        <v>45587</v>
      </c>
      <c r="I1164">
        <v>2</v>
      </c>
      <c r="J1164" t="s">
        <v>25</v>
      </c>
      <c r="K1164">
        <v>13467.71</v>
      </c>
    </row>
    <row r="1165" spans="1:11">
      <c r="A1165">
        <v>1164</v>
      </c>
      <c r="B1165" t="s">
        <v>83</v>
      </c>
      <c r="C1165" s="1">
        <v>13880</v>
      </c>
      <c r="D1165">
        <v>88</v>
      </c>
      <c r="E1165" t="s">
        <v>12</v>
      </c>
      <c r="F1165" t="s">
        <v>18</v>
      </c>
      <c r="G1165" s="1">
        <v>45485</v>
      </c>
      <c r="H1165" s="1">
        <v>45316</v>
      </c>
      <c r="I1165">
        <v>25</v>
      </c>
      <c r="J1165" t="s">
        <v>25</v>
      </c>
      <c r="K1165">
        <v>1816.05</v>
      </c>
    </row>
    <row r="1166" spans="1:11">
      <c r="A1166">
        <v>1165</v>
      </c>
      <c r="B1166" t="s">
        <v>131</v>
      </c>
      <c r="C1166" s="1">
        <v>24473</v>
      </c>
      <c r="D1166">
        <v>59</v>
      </c>
      <c r="E1166" t="s">
        <v>12</v>
      </c>
      <c r="F1166" t="s">
        <v>45</v>
      </c>
      <c r="G1166" s="1">
        <v>45285</v>
      </c>
      <c r="H1166" s="1">
        <v>45719</v>
      </c>
      <c r="I1166">
        <v>39</v>
      </c>
      <c r="K1166">
        <v>3659.35</v>
      </c>
    </row>
    <row r="1167" spans="1:11">
      <c r="A1167">
        <v>1166</v>
      </c>
      <c r="B1167" t="s">
        <v>73</v>
      </c>
      <c r="D1167">
        <v>42</v>
      </c>
      <c r="E1167" t="s">
        <v>12</v>
      </c>
      <c r="F1167" t="s">
        <v>18</v>
      </c>
      <c r="G1167" s="1">
        <v>45203</v>
      </c>
      <c r="H1167" s="1">
        <v>45154</v>
      </c>
      <c r="I1167">
        <v>20</v>
      </c>
      <c r="J1167" t="s">
        <v>25</v>
      </c>
      <c r="K1167">
        <v>13235.55</v>
      </c>
    </row>
    <row r="1168" spans="1:11">
      <c r="A1168">
        <v>1167</v>
      </c>
      <c r="B1168" t="s">
        <v>48</v>
      </c>
      <c r="C1168" s="1">
        <v>18629</v>
      </c>
      <c r="D1168">
        <v>75</v>
      </c>
      <c r="E1168" t="s">
        <v>12</v>
      </c>
      <c r="F1168" t="s">
        <v>18</v>
      </c>
      <c r="G1168" s="1">
        <v>45239</v>
      </c>
      <c r="H1168" s="1">
        <v>45213</v>
      </c>
      <c r="I1168">
        <v>35</v>
      </c>
      <c r="J1168" t="s">
        <v>23</v>
      </c>
      <c r="K1168">
        <v>9481.08</v>
      </c>
    </row>
    <row r="1169" spans="1:11">
      <c r="A1169">
        <v>1168</v>
      </c>
      <c r="B1169" t="s">
        <v>149</v>
      </c>
      <c r="C1169" s="1">
        <v>21551</v>
      </c>
      <c r="D1169">
        <v>67</v>
      </c>
      <c r="E1169" t="s">
        <v>12</v>
      </c>
      <c r="F1169" t="s">
        <v>16</v>
      </c>
      <c r="G1169" s="1">
        <v>45031</v>
      </c>
      <c r="H1169" s="1">
        <v>45211</v>
      </c>
      <c r="I1169">
        <v>20</v>
      </c>
      <c r="K1169">
        <v>14699.58</v>
      </c>
    </row>
    <row r="1170" spans="1:11">
      <c r="A1170">
        <v>1169</v>
      </c>
      <c r="B1170" t="s">
        <v>168</v>
      </c>
      <c r="C1170" s="1">
        <v>44561</v>
      </c>
      <c r="D1170">
        <v>4</v>
      </c>
      <c r="E1170" t="s">
        <v>15</v>
      </c>
      <c r="F1170" t="s">
        <v>45</v>
      </c>
      <c r="G1170" s="1">
        <v>45021</v>
      </c>
      <c r="H1170" s="1">
        <v>45620</v>
      </c>
      <c r="I1170">
        <v>15</v>
      </c>
      <c r="J1170" t="s">
        <v>23</v>
      </c>
      <c r="K1170">
        <v>5543.85</v>
      </c>
    </row>
    <row r="1171" spans="1:11">
      <c r="A1171">
        <v>1170</v>
      </c>
      <c r="B1171" t="s">
        <v>61</v>
      </c>
      <c r="C1171" s="1">
        <v>32873</v>
      </c>
      <c r="D1171">
        <v>36</v>
      </c>
      <c r="E1171" t="s">
        <v>12</v>
      </c>
      <c r="F1171" t="s">
        <v>18</v>
      </c>
      <c r="G1171" s="1">
        <v>45145</v>
      </c>
      <c r="H1171" s="1">
        <v>45036</v>
      </c>
      <c r="I1171">
        <v>26</v>
      </c>
      <c r="K1171">
        <v>13124.14</v>
      </c>
    </row>
    <row r="1172" spans="1:11">
      <c r="A1172">
        <v>1171</v>
      </c>
      <c r="B1172" t="s">
        <v>138</v>
      </c>
      <c r="C1172" s="1">
        <v>20090</v>
      </c>
      <c r="D1172">
        <v>71</v>
      </c>
      <c r="E1172" t="s">
        <v>15</v>
      </c>
      <c r="F1172" t="s">
        <v>13</v>
      </c>
      <c r="G1172" s="1">
        <v>45608</v>
      </c>
      <c r="H1172" s="1">
        <v>45062</v>
      </c>
      <c r="I1172">
        <v>25</v>
      </c>
      <c r="K1172">
        <v>3456.9</v>
      </c>
    </row>
    <row r="1173" spans="1:11">
      <c r="A1173">
        <v>1172</v>
      </c>
      <c r="B1173" t="s">
        <v>147</v>
      </c>
      <c r="C1173" s="1">
        <v>12785</v>
      </c>
      <c r="D1173">
        <v>91</v>
      </c>
      <c r="E1173" t="s">
        <v>15</v>
      </c>
      <c r="F1173" t="s">
        <v>45</v>
      </c>
      <c r="G1173" s="1">
        <v>45054</v>
      </c>
      <c r="H1173" s="1">
        <v>45218</v>
      </c>
      <c r="I1173">
        <v>6</v>
      </c>
      <c r="J1173" t="s">
        <v>23</v>
      </c>
      <c r="K1173">
        <v>10828.58</v>
      </c>
    </row>
    <row r="1174" spans="1:11">
      <c r="A1174">
        <v>1173</v>
      </c>
      <c r="B1174" t="s">
        <v>88</v>
      </c>
      <c r="C1174" s="1">
        <v>35065</v>
      </c>
      <c r="D1174">
        <v>30</v>
      </c>
      <c r="E1174" t="s">
        <v>12</v>
      </c>
      <c r="F1174" t="s">
        <v>13</v>
      </c>
      <c r="G1174" s="1">
        <v>45126</v>
      </c>
      <c r="H1174" s="1">
        <v>45814</v>
      </c>
      <c r="I1174">
        <v>36</v>
      </c>
      <c r="K1174">
        <v>19151.77</v>
      </c>
    </row>
    <row r="1175" spans="1:11">
      <c r="A1175">
        <v>1174</v>
      </c>
      <c r="B1175" t="s">
        <v>51</v>
      </c>
      <c r="C1175" s="1">
        <v>43100</v>
      </c>
      <c r="D1175">
        <v>8</v>
      </c>
      <c r="E1175" t="s">
        <v>15</v>
      </c>
      <c r="F1175" t="s">
        <v>13</v>
      </c>
      <c r="G1175" s="1">
        <v>45258</v>
      </c>
      <c r="H1175" s="1">
        <v>45729</v>
      </c>
      <c r="I1175">
        <v>7</v>
      </c>
      <c r="K1175">
        <v>12527.27</v>
      </c>
    </row>
    <row r="1176" spans="1:11">
      <c r="A1176">
        <v>1175</v>
      </c>
      <c r="B1176" t="s">
        <v>54</v>
      </c>
      <c r="C1176" s="1">
        <v>27760</v>
      </c>
      <c r="D1176">
        <v>50</v>
      </c>
      <c r="E1176" t="s">
        <v>15</v>
      </c>
      <c r="F1176" t="s">
        <v>18</v>
      </c>
      <c r="G1176" s="1">
        <v>45473</v>
      </c>
      <c r="H1176" s="1">
        <v>45542</v>
      </c>
      <c r="I1176">
        <v>-1</v>
      </c>
      <c r="J1176" t="s">
        <v>25</v>
      </c>
      <c r="K1176">
        <v>904.87</v>
      </c>
    </row>
    <row r="1177" spans="1:11">
      <c r="A1177">
        <v>1176</v>
      </c>
      <c r="B1177" t="s">
        <v>137</v>
      </c>
      <c r="C1177" s="1">
        <v>35795</v>
      </c>
      <c r="D1177">
        <v>28</v>
      </c>
      <c r="E1177" t="s">
        <v>15</v>
      </c>
      <c r="F1177" t="s">
        <v>18</v>
      </c>
      <c r="G1177" s="1">
        <v>45582</v>
      </c>
      <c r="H1177" s="1">
        <v>45640</v>
      </c>
      <c r="I1177">
        <v>10</v>
      </c>
      <c r="J1177" t="s">
        <v>23</v>
      </c>
      <c r="K1177">
        <v>19774.12</v>
      </c>
    </row>
    <row r="1178" spans="1:11">
      <c r="A1178">
        <v>1177</v>
      </c>
      <c r="B1178" t="s">
        <v>39</v>
      </c>
      <c r="C1178" s="1">
        <v>17898</v>
      </c>
      <c r="D1178">
        <v>77</v>
      </c>
      <c r="E1178" t="s">
        <v>12</v>
      </c>
      <c r="F1178" t="s">
        <v>16</v>
      </c>
      <c r="G1178" s="1">
        <v>45218</v>
      </c>
      <c r="H1178" s="1">
        <v>45435</v>
      </c>
      <c r="I1178">
        <v>35</v>
      </c>
      <c r="J1178" t="s">
        <v>23</v>
      </c>
      <c r="K1178">
        <v>3053.01</v>
      </c>
    </row>
    <row r="1179" spans="1:11">
      <c r="A1179">
        <v>1178</v>
      </c>
      <c r="B1179" t="s">
        <v>97</v>
      </c>
      <c r="C1179" s="1">
        <v>31778</v>
      </c>
      <c r="D1179">
        <v>39</v>
      </c>
      <c r="E1179" t="s">
        <v>15</v>
      </c>
      <c r="G1179" s="1">
        <v>44992</v>
      </c>
      <c r="H1179" s="1">
        <v>45556</v>
      </c>
      <c r="I1179">
        <v>24</v>
      </c>
      <c r="J1179" t="s">
        <v>25</v>
      </c>
      <c r="K1179">
        <v>14333.19</v>
      </c>
    </row>
    <row r="1180" spans="1:11">
      <c r="A1180">
        <v>1179</v>
      </c>
      <c r="B1180" t="s">
        <v>86</v>
      </c>
      <c r="C1180" s="1">
        <v>31412</v>
      </c>
      <c r="D1180">
        <v>40</v>
      </c>
      <c r="E1180" t="s">
        <v>12</v>
      </c>
      <c r="F1180" t="s">
        <v>16</v>
      </c>
      <c r="G1180" s="1">
        <v>45494</v>
      </c>
      <c r="H1180" s="1">
        <v>45771</v>
      </c>
      <c r="I1180">
        <v>38</v>
      </c>
      <c r="K1180">
        <v>10603.85</v>
      </c>
    </row>
    <row r="1181" spans="1:11">
      <c r="A1181">
        <v>1180</v>
      </c>
      <c r="B1181" t="s">
        <v>29</v>
      </c>
      <c r="C1181" s="1">
        <v>14976</v>
      </c>
      <c r="D1181">
        <v>85</v>
      </c>
      <c r="E1181" t="s">
        <v>12</v>
      </c>
      <c r="F1181" t="s">
        <v>45</v>
      </c>
      <c r="G1181" s="1">
        <v>45583</v>
      </c>
      <c r="H1181" s="1">
        <v>45749</v>
      </c>
      <c r="I1181">
        <v>17</v>
      </c>
      <c r="J1181" t="s">
        <v>19</v>
      </c>
      <c r="K1181">
        <v>5816.65</v>
      </c>
    </row>
    <row r="1182" spans="1:11">
      <c r="A1182">
        <v>1181</v>
      </c>
      <c r="B1182" t="s">
        <v>39</v>
      </c>
      <c r="C1182" s="1">
        <v>42370</v>
      </c>
      <c r="D1182">
        <v>10</v>
      </c>
      <c r="E1182" t="s">
        <v>12</v>
      </c>
      <c r="F1182" t="s">
        <v>16</v>
      </c>
      <c r="G1182" s="1">
        <v>45330</v>
      </c>
      <c r="H1182" s="1">
        <v>44956</v>
      </c>
      <c r="I1182">
        <v>37</v>
      </c>
      <c r="J1182" t="s">
        <v>19</v>
      </c>
      <c r="K1182">
        <v>3463.94</v>
      </c>
    </row>
    <row r="1183" spans="1:11">
      <c r="A1183">
        <v>1182</v>
      </c>
      <c r="B1183" t="s">
        <v>167</v>
      </c>
      <c r="C1183" s="1">
        <v>37987</v>
      </c>
      <c r="D1183">
        <v>22</v>
      </c>
      <c r="E1183" t="s">
        <v>15</v>
      </c>
      <c r="F1183" t="s">
        <v>21</v>
      </c>
      <c r="G1183" s="1">
        <v>45651</v>
      </c>
      <c r="H1183" s="1">
        <v>45321</v>
      </c>
      <c r="I1183">
        <v>7</v>
      </c>
      <c r="J1183" t="s">
        <v>23</v>
      </c>
      <c r="K1183">
        <v>3471.82</v>
      </c>
    </row>
    <row r="1184" spans="1:11">
      <c r="A1184">
        <v>1183</v>
      </c>
      <c r="B1184" t="s">
        <v>113</v>
      </c>
      <c r="C1184" s="1">
        <v>46022</v>
      </c>
      <c r="D1184">
        <v>0</v>
      </c>
      <c r="E1184" t="s">
        <v>12</v>
      </c>
      <c r="F1184" t="s">
        <v>45</v>
      </c>
      <c r="G1184" s="1">
        <v>45532</v>
      </c>
      <c r="H1184" s="1">
        <v>44954</v>
      </c>
      <c r="I1184">
        <v>13</v>
      </c>
      <c r="J1184" t="s">
        <v>25</v>
      </c>
      <c r="K1184">
        <v>17153.830000000002</v>
      </c>
    </row>
    <row r="1185" spans="1:11">
      <c r="A1185">
        <v>1184</v>
      </c>
      <c r="B1185" t="s">
        <v>55</v>
      </c>
      <c r="C1185" s="1">
        <v>29586</v>
      </c>
      <c r="D1185">
        <v>45</v>
      </c>
      <c r="E1185" t="s">
        <v>15</v>
      </c>
      <c r="F1185" t="s">
        <v>13</v>
      </c>
      <c r="G1185" s="1">
        <v>45544</v>
      </c>
      <c r="H1185" s="1">
        <v>45394</v>
      </c>
      <c r="I1185">
        <v>12</v>
      </c>
      <c r="K1185">
        <v>17445.54</v>
      </c>
    </row>
    <row r="1186" spans="1:11">
      <c r="A1186">
        <v>1185</v>
      </c>
      <c r="B1186" t="s">
        <v>89</v>
      </c>
      <c r="C1186" s="1">
        <v>38717</v>
      </c>
      <c r="D1186">
        <v>20</v>
      </c>
      <c r="E1186" t="s">
        <v>15</v>
      </c>
      <c r="F1186" t="s">
        <v>16</v>
      </c>
      <c r="G1186" s="1">
        <v>45522</v>
      </c>
      <c r="H1186" s="1">
        <v>44940</v>
      </c>
      <c r="I1186">
        <v>10</v>
      </c>
      <c r="J1186" t="s">
        <v>25</v>
      </c>
      <c r="K1186">
        <v>9249.42</v>
      </c>
    </row>
    <row r="1187" spans="1:11">
      <c r="A1187">
        <v>1186</v>
      </c>
      <c r="B1187" t="s">
        <v>169</v>
      </c>
      <c r="C1187" s="1">
        <v>13515</v>
      </c>
      <c r="D1187">
        <v>89</v>
      </c>
      <c r="E1187" t="s">
        <v>15</v>
      </c>
      <c r="F1187" t="s">
        <v>16</v>
      </c>
      <c r="G1187" s="1">
        <v>45574</v>
      </c>
      <c r="H1187" s="1">
        <v>45481</v>
      </c>
      <c r="I1187">
        <v>35</v>
      </c>
      <c r="K1187">
        <v>1982.79</v>
      </c>
    </row>
    <row r="1188" spans="1:11">
      <c r="A1188">
        <v>1187</v>
      </c>
      <c r="B1188" t="s">
        <v>88</v>
      </c>
      <c r="C1188" s="1">
        <v>33239</v>
      </c>
      <c r="D1188">
        <v>35</v>
      </c>
      <c r="E1188" t="s">
        <v>12</v>
      </c>
      <c r="G1188" s="1">
        <v>45072</v>
      </c>
      <c r="H1188" s="1">
        <v>45372</v>
      </c>
      <c r="I1188">
        <v>17</v>
      </c>
      <c r="J1188" t="s">
        <v>23</v>
      </c>
      <c r="K1188">
        <v>17671.72</v>
      </c>
    </row>
    <row r="1189" spans="1:11">
      <c r="A1189">
        <v>1188</v>
      </c>
      <c r="B1189" t="s">
        <v>170</v>
      </c>
      <c r="C1189" s="1">
        <v>26664</v>
      </c>
      <c r="D1189">
        <v>53</v>
      </c>
      <c r="E1189" t="s">
        <v>15</v>
      </c>
      <c r="F1189" t="s">
        <v>16</v>
      </c>
      <c r="G1189" s="1">
        <v>45456</v>
      </c>
      <c r="H1189" s="1">
        <v>45151</v>
      </c>
      <c r="I1189">
        <v>21</v>
      </c>
      <c r="J1189" t="s">
        <v>23</v>
      </c>
      <c r="K1189">
        <v>9689.0300000000007</v>
      </c>
    </row>
    <row r="1190" spans="1:11">
      <c r="A1190">
        <v>1189</v>
      </c>
      <c r="B1190" t="s">
        <v>56</v>
      </c>
      <c r="C1190" s="1">
        <v>14611</v>
      </c>
      <c r="D1190">
        <v>86</v>
      </c>
      <c r="E1190" t="s">
        <v>15</v>
      </c>
      <c r="F1190" t="s">
        <v>18</v>
      </c>
      <c r="G1190" s="1">
        <v>45328</v>
      </c>
      <c r="H1190" s="1">
        <v>45390</v>
      </c>
      <c r="I1190">
        <v>38</v>
      </c>
      <c r="J1190" t="s">
        <v>19</v>
      </c>
      <c r="K1190">
        <v>8719.1200000000008</v>
      </c>
    </row>
    <row r="1191" spans="1:11">
      <c r="A1191">
        <v>1190</v>
      </c>
      <c r="B1191" t="s">
        <v>100</v>
      </c>
      <c r="C1191" s="1">
        <v>25568</v>
      </c>
      <c r="D1191">
        <v>56</v>
      </c>
      <c r="E1191" t="s">
        <v>15</v>
      </c>
      <c r="F1191" t="s">
        <v>13</v>
      </c>
      <c r="G1191" s="1">
        <v>45051</v>
      </c>
      <c r="H1191" s="1">
        <v>44948</v>
      </c>
      <c r="I1191">
        <v>4</v>
      </c>
      <c r="J1191" t="s">
        <v>25</v>
      </c>
      <c r="K1191">
        <v>8087.88</v>
      </c>
    </row>
    <row r="1192" spans="1:11">
      <c r="A1192">
        <v>1191</v>
      </c>
      <c r="B1192" t="s">
        <v>98</v>
      </c>
      <c r="C1192" s="1">
        <v>46022</v>
      </c>
      <c r="D1192">
        <v>0</v>
      </c>
      <c r="E1192" t="s">
        <v>15</v>
      </c>
      <c r="F1192" t="s">
        <v>16</v>
      </c>
      <c r="G1192" s="1">
        <v>45440</v>
      </c>
      <c r="H1192" s="1">
        <v>45314</v>
      </c>
      <c r="I1192">
        <v>20</v>
      </c>
      <c r="J1192" t="s">
        <v>23</v>
      </c>
      <c r="K1192">
        <v>7236.78</v>
      </c>
    </row>
    <row r="1193" spans="1:11">
      <c r="A1193">
        <v>1192</v>
      </c>
      <c r="B1193" t="s">
        <v>101</v>
      </c>
      <c r="C1193" s="1">
        <v>23377</v>
      </c>
      <c r="E1193" t="s">
        <v>12</v>
      </c>
      <c r="F1193" t="s">
        <v>32</v>
      </c>
      <c r="G1193" s="1">
        <v>45258</v>
      </c>
      <c r="H1193" s="1">
        <v>45575</v>
      </c>
      <c r="I1193">
        <v>21</v>
      </c>
      <c r="J1193" t="s">
        <v>25</v>
      </c>
      <c r="K1193">
        <v>10472.709999999999</v>
      </c>
    </row>
    <row r="1194" spans="1:11">
      <c r="A1194">
        <v>1193</v>
      </c>
      <c r="B1194" t="s">
        <v>159</v>
      </c>
      <c r="C1194" s="1">
        <v>26664</v>
      </c>
      <c r="D1194">
        <v>53</v>
      </c>
      <c r="E1194" t="s">
        <v>12</v>
      </c>
      <c r="F1194" t="s">
        <v>32</v>
      </c>
      <c r="G1194" s="1">
        <v>45406</v>
      </c>
      <c r="H1194" s="1">
        <v>45253</v>
      </c>
      <c r="I1194">
        <v>26</v>
      </c>
      <c r="J1194" t="s">
        <v>23</v>
      </c>
      <c r="K1194">
        <v>12051.28</v>
      </c>
    </row>
    <row r="1195" spans="1:11">
      <c r="A1195">
        <v>1194</v>
      </c>
      <c r="B1195" t="s">
        <v>64</v>
      </c>
      <c r="C1195" s="1">
        <v>26299</v>
      </c>
      <c r="D1195">
        <v>54</v>
      </c>
      <c r="E1195" t="s">
        <v>12</v>
      </c>
      <c r="F1195" t="s">
        <v>13</v>
      </c>
      <c r="G1195" s="1">
        <v>45638</v>
      </c>
      <c r="H1195" s="1">
        <v>45660</v>
      </c>
      <c r="I1195">
        <v>2</v>
      </c>
      <c r="K1195">
        <v>9275.2900000000009</v>
      </c>
    </row>
    <row r="1196" spans="1:11">
      <c r="A1196">
        <v>1195</v>
      </c>
      <c r="B1196" t="s">
        <v>163</v>
      </c>
      <c r="C1196" s="1">
        <v>31778</v>
      </c>
      <c r="D1196">
        <v>39</v>
      </c>
      <c r="E1196" t="s">
        <v>15</v>
      </c>
      <c r="F1196" t="s">
        <v>16</v>
      </c>
      <c r="G1196" s="1">
        <v>45576</v>
      </c>
      <c r="H1196" s="1">
        <v>45394</v>
      </c>
      <c r="I1196">
        <v>32</v>
      </c>
      <c r="K1196">
        <v>17922.63</v>
      </c>
    </row>
    <row r="1197" spans="1:11">
      <c r="A1197">
        <v>1196</v>
      </c>
      <c r="B1197" t="s">
        <v>84</v>
      </c>
      <c r="C1197" s="1">
        <v>40909</v>
      </c>
      <c r="D1197">
        <v>14</v>
      </c>
      <c r="E1197" t="s">
        <v>15</v>
      </c>
      <c r="G1197" s="1">
        <v>45641</v>
      </c>
      <c r="H1197" s="1">
        <v>45584</v>
      </c>
      <c r="I1197">
        <v>-2</v>
      </c>
      <c r="J1197" t="s">
        <v>19</v>
      </c>
      <c r="K1197">
        <v>6284.99</v>
      </c>
    </row>
    <row r="1198" spans="1:11">
      <c r="A1198">
        <v>1197</v>
      </c>
      <c r="B1198" t="s">
        <v>134</v>
      </c>
      <c r="C1198" s="1">
        <v>38717</v>
      </c>
      <c r="D1198">
        <v>20</v>
      </c>
      <c r="F1198" t="s">
        <v>21</v>
      </c>
      <c r="G1198" s="1">
        <v>45324</v>
      </c>
      <c r="H1198" s="1">
        <v>45449</v>
      </c>
      <c r="I1198">
        <v>33</v>
      </c>
      <c r="J1198" t="s">
        <v>23</v>
      </c>
      <c r="K1198">
        <v>11524.07</v>
      </c>
    </row>
    <row r="1199" spans="1:11">
      <c r="A1199">
        <v>1198</v>
      </c>
      <c r="B1199" t="s">
        <v>80</v>
      </c>
      <c r="C1199" s="1">
        <v>29221</v>
      </c>
      <c r="D1199">
        <v>46</v>
      </c>
      <c r="E1199" t="s">
        <v>15</v>
      </c>
      <c r="G1199" s="1">
        <v>44956</v>
      </c>
      <c r="H1199" s="1">
        <v>45152</v>
      </c>
      <c r="I1199">
        <v>15</v>
      </c>
      <c r="J1199" t="s">
        <v>19</v>
      </c>
      <c r="K1199">
        <v>5929.07</v>
      </c>
    </row>
    <row r="1200" spans="1:11">
      <c r="A1200">
        <v>1199</v>
      </c>
      <c r="B1200" t="s">
        <v>145</v>
      </c>
      <c r="C1200" s="1">
        <v>19724</v>
      </c>
      <c r="D1200">
        <v>72</v>
      </c>
      <c r="E1200" t="s">
        <v>12</v>
      </c>
      <c r="F1200" t="s">
        <v>21</v>
      </c>
      <c r="G1200" s="1">
        <v>44982</v>
      </c>
      <c r="H1200" s="1">
        <v>45580</v>
      </c>
      <c r="I1200">
        <v>3</v>
      </c>
      <c r="J1200" t="s">
        <v>19</v>
      </c>
      <c r="K1200">
        <v>15042.34</v>
      </c>
    </row>
    <row r="1201" spans="1:11">
      <c r="A1201">
        <v>1200</v>
      </c>
      <c r="B1201" t="s">
        <v>78</v>
      </c>
      <c r="C1201" s="1">
        <v>27029</v>
      </c>
      <c r="D1201">
        <v>52</v>
      </c>
      <c r="E1201" t="s">
        <v>15</v>
      </c>
      <c r="F1201" t="s">
        <v>45</v>
      </c>
      <c r="G1201" s="1">
        <v>45557</v>
      </c>
      <c r="H1201" s="1">
        <v>45402</v>
      </c>
      <c r="I1201">
        <v>20</v>
      </c>
      <c r="J1201" t="s">
        <v>23</v>
      </c>
      <c r="K1201">
        <v>1952.63</v>
      </c>
    </row>
    <row r="1202" spans="1:11">
      <c r="A1202">
        <v>1201</v>
      </c>
      <c r="B1202" t="s">
        <v>43</v>
      </c>
      <c r="C1202" s="1">
        <v>43100</v>
      </c>
      <c r="D1202">
        <v>8</v>
      </c>
      <c r="E1202" t="s">
        <v>12</v>
      </c>
      <c r="F1202" t="s">
        <v>45</v>
      </c>
      <c r="G1202" s="1">
        <v>45058</v>
      </c>
      <c r="H1202" s="1">
        <v>45545</v>
      </c>
      <c r="I1202">
        <v>7</v>
      </c>
      <c r="J1202" t="s">
        <v>23</v>
      </c>
      <c r="K1202">
        <v>3692.85</v>
      </c>
    </row>
    <row r="1203" spans="1:11">
      <c r="A1203">
        <v>1202</v>
      </c>
      <c r="B1203" t="s">
        <v>43</v>
      </c>
      <c r="C1203" s="1">
        <v>19359</v>
      </c>
      <c r="D1203">
        <v>73</v>
      </c>
      <c r="E1203" t="s">
        <v>15</v>
      </c>
      <c r="G1203" s="1">
        <v>45157</v>
      </c>
      <c r="H1203" s="1">
        <v>45707</v>
      </c>
      <c r="I1203">
        <v>4</v>
      </c>
      <c r="K1203">
        <v>16004.15</v>
      </c>
    </row>
    <row r="1204" spans="1:11">
      <c r="A1204">
        <v>1203</v>
      </c>
      <c r="B1204" t="s">
        <v>57</v>
      </c>
      <c r="C1204" s="1">
        <v>27395</v>
      </c>
      <c r="D1204">
        <v>51</v>
      </c>
      <c r="E1204" t="s">
        <v>15</v>
      </c>
      <c r="F1204" t="s">
        <v>16</v>
      </c>
      <c r="G1204" s="1">
        <v>45321</v>
      </c>
      <c r="H1204" s="1">
        <v>45633</v>
      </c>
      <c r="I1204">
        <v>5</v>
      </c>
      <c r="J1204" t="s">
        <v>19</v>
      </c>
      <c r="K1204">
        <v>3582.27</v>
      </c>
    </row>
    <row r="1205" spans="1:11">
      <c r="A1205">
        <v>1204</v>
      </c>
      <c r="B1205" t="s">
        <v>170</v>
      </c>
      <c r="C1205" s="1">
        <v>25568</v>
      </c>
      <c r="D1205">
        <v>56</v>
      </c>
      <c r="E1205" t="s">
        <v>12</v>
      </c>
      <c r="G1205" s="1">
        <v>45078</v>
      </c>
      <c r="H1205" s="1">
        <v>45385</v>
      </c>
      <c r="I1205">
        <v>10</v>
      </c>
      <c r="K1205">
        <v>12477.5</v>
      </c>
    </row>
    <row r="1206" spans="1:11">
      <c r="A1206">
        <v>1205</v>
      </c>
      <c r="B1206" t="s">
        <v>17</v>
      </c>
      <c r="C1206" s="1">
        <v>36891</v>
      </c>
      <c r="D1206">
        <v>25</v>
      </c>
      <c r="E1206" t="s">
        <v>12</v>
      </c>
      <c r="F1206" t="s">
        <v>45</v>
      </c>
      <c r="G1206" s="1">
        <v>45428</v>
      </c>
      <c r="H1206" s="1">
        <v>45567</v>
      </c>
      <c r="I1206">
        <v>27</v>
      </c>
      <c r="J1206" t="s">
        <v>25</v>
      </c>
      <c r="K1206">
        <v>19401.89</v>
      </c>
    </row>
    <row r="1207" spans="1:11">
      <c r="A1207">
        <v>1206</v>
      </c>
      <c r="B1207" t="s">
        <v>57</v>
      </c>
      <c r="C1207" s="1">
        <v>31412</v>
      </c>
      <c r="D1207">
        <v>40</v>
      </c>
      <c r="E1207" t="s">
        <v>15</v>
      </c>
      <c r="F1207" t="s">
        <v>18</v>
      </c>
      <c r="G1207" s="1">
        <v>45432</v>
      </c>
      <c r="H1207" s="1">
        <v>45140</v>
      </c>
      <c r="I1207">
        <v>15</v>
      </c>
      <c r="J1207" t="s">
        <v>25</v>
      </c>
      <c r="K1207">
        <v>10410.1</v>
      </c>
    </row>
    <row r="1208" spans="1:11">
      <c r="A1208">
        <v>1207</v>
      </c>
      <c r="B1208" t="s">
        <v>103</v>
      </c>
      <c r="C1208" s="1">
        <v>33604</v>
      </c>
      <c r="D1208">
        <v>34</v>
      </c>
      <c r="E1208" t="s">
        <v>12</v>
      </c>
      <c r="F1208" t="s">
        <v>21</v>
      </c>
      <c r="G1208" s="1">
        <v>45312</v>
      </c>
      <c r="H1208" s="1">
        <v>45590</v>
      </c>
      <c r="I1208">
        <v>11</v>
      </c>
      <c r="J1208" t="s">
        <v>19</v>
      </c>
      <c r="K1208">
        <v>3666.67</v>
      </c>
    </row>
    <row r="1209" spans="1:11">
      <c r="A1209">
        <v>1208</v>
      </c>
      <c r="B1209" t="s">
        <v>147</v>
      </c>
      <c r="C1209" s="1">
        <v>23377</v>
      </c>
      <c r="D1209">
        <v>62</v>
      </c>
      <c r="E1209" t="s">
        <v>12</v>
      </c>
      <c r="F1209" t="s">
        <v>13</v>
      </c>
      <c r="G1209" s="1">
        <v>45459</v>
      </c>
      <c r="H1209" s="1">
        <v>45408</v>
      </c>
      <c r="I1209">
        <v>8</v>
      </c>
      <c r="J1209" t="s">
        <v>19</v>
      </c>
      <c r="K1209">
        <v>6345.89</v>
      </c>
    </row>
    <row r="1210" spans="1:11">
      <c r="A1210">
        <v>1209</v>
      </c>
      <c r="B1210" t="s">
        <v>123</v>
      </c>
      <c r="C1210" s="1">
        <v>37256</v>
      </c>
      <c r="D1210">
        <v>24</v>
      </c>
      <c r="E1210" t="s">
        <v>15</v>
      </c>
      <c r="G1210" s="1">
        <v>45374</v>
      </c>
      <c r="H1210" s="1">
        <v>45823</v>
      </c>
      <c r="I1210">
        <v>39</v>
      </c>
      <c r="J1210" t="s">
        <v>23</v>
      </c>
      <c r="K1210">
        <v>16451.509999999998</v>
      </c>
    </row>
    <row r="1211" spans="1:11">
      <c r="A1211">
        <v>1210</v>
      </c>
      <c r="B1211" t="s">
        <v>61</v>
      </c>
      <c r="C1211" s="1">
        <v>13515</v>
      </c>
      <c r="D1211">
        <v>89</v>
      </c>
      <c r="E1211" t="s">
        <v>15</v>
      </c>
      <c r="F1211" t="s">
        <v>16</v>
      </c>
      <c r="G1211" s="1">
        <v>45506</v>
      </c>
      <c r="H1211" s="1">
        <v>45107</v>
      </c>
      <c r="I1211">
        <v>35</v>
      </c>
      <c r="J1211" t="s">
        <v>23</v>
      </c>
      <c r="K1211">
        <v>6968.38</v>
      </c>
    </row>
    <row r="1212" spans="1:11">
      <c r="A1212">
        <v>1211</v>
      </c>
      <c r="B1212" t="s">
        <v>140</v>
      </c>
      <c r="C1212" s="1">
        <v>18994</v>
      </c>
      <c r="D1212">
        <v>74</v>
      </c>
      <c r="E1212" t="s">
        <v>15</v>
      </c>
      <c r="F1212" t="s">
        <v>16</v>
      </c>
      <c r="G1212" s="1">
        <v>45052</v>
      </c>
      <c r="H1212" s="1">
        <v>45756</v>
      </c>
      <c r="I1212">
        <v>10</v>
      </c>
      <c r="J1212" t="s">
        <v>19</v>
      </c>
      <c r="K1212">
        <v>14442.58</v>
      </c>
    </row>
    <row r="1213" spans="1:11">
      <c r="A1213">
        <v>1212</v>
      </c>
      <c r="B1213" t="s">
        <v>103</v>
      </c>
      <c r="C1213" s="1">
        <v>32508</v>
      </c>
      <c r="D1213">
        <v>37</v>
      </c>
      <c r="E1213" t="s">
        <v>15</v>
      </c>
      <c r="F1213" t="s">
        <v>32</v>
      </c>
      <c r="G1213" s="1">
        <v>45481</v>
      </c>
      <c r="H1213" s="1">
        <v>45465</v>
      </c>
      <c r="I1213">
        <v>39</v>
      </c>
      <c r="J1213" t="s">
        <v>19</v>
      </c>
      <c r="K1213">
        <v>15524.74</v>
      </c>
    </row>
    <row r="1214" spans="1:11">
      <c r="A1214">
        <v>1213</v>
      </c>
      <c r="B1214" t="s">
        <v>84</v>
      </c>
      <c r="C1214" s="1">
        <v>45657</v>
      </c>
      <c r="D1214">
        <v>1</v>
      </c>
      <c r="E1214" t="s">
        <v>12</v>
      </c>
      <c r="F1214" t="s">
        <v>21</v>
      </c>
      <c r="G1214" s="1">
        <v>45620</v>
      </c>
      <c r="H1214" s="1">
        <v>45454</v>
      </c>
      <c r="I1214">
        <v>30</v>
      </c>
      <c r="J1214" t="s">
        <v>25</v>
      </c>
      <c r="K1214">
        <v>9973.7800000000007</v>
      </c>
    </row>
    <row r="1215" spans="1:11">
      <c r="A1215">
        <v>1214</v>
      </c>
      <c r="B1215" t="s">
        <v>102</v>
      </c>
      <c r="C1215" s="1">
        <v>43831</v>
      </c>
      <c r="D1215">
        <v>6</v>
      </c>
      <c r="E1215" t="s">
        <v>15</v>
      </c>
      <c r="F1215" t="s">
        <v>21</v>
      </c>
      <c r="G1215" s="1">
        <v>45415</v>
      </c>
      <c r="H1215" s="1">
        <v>44949</v>
      </c>
      <c r="I1215">
        <v>10</v>
      </c>
      <c r="K1215">
        <v>15642.59</v>
      </c>
    </row>
    <row r="1216" spans="1:11">
      <c r="A1216">
        <v>1215</v>
      </c>
      <c r="B1216" t="s">
        <v>135</v>
      </c>
      <c r="C1216" s="1">
        <v>16437</v>
      </c>
      <c r="D1216">
        <v>81</v>
      </c>
      <c r="E1216" t="s">
        <v>15</v>
      </c>
      <c r="F1216" t="s">
        <v>21</v>
      </c>
      <c r="G1216" s="1">
        <v>45538</v>
      </c>
      <c r="H1216" s="1">
        <v>45272</v>
      </c>
      <c r="I1216">
        <v>22</v>
      </c>
      <c r="J1216" t="s">
        <v>25</v>
      </c>
      <c r="K1216">
        <v>6269.75</v>
      </c>
    </row>
    <row r="1217" spans="1:11">
      <c r="A1217">
        <v>1216</v>
      </c>
      <c r="B1217" t="s">
        <v>89</v>
      </c>
      <c r="C1217" s="1">
        <v>13150</v>
      </c>
      <c r="D1217">
        <v>90</v>
      </c>
      <c r="E1217" t="s">
        <v>15</v>
      </c>
      <c r="G1217" s="1">
        <v>45372</v>
      </c>
      <c r="H1217" s="1">
        <v>45504</v>
      </c>
      <c r="I1217">
        <v>21</v>
      </c>
      <c r="J1217" t="s">
        <v>25</v>
      </c>
      <c r="K1217">
        <v>10274.81</v>
      </c>
    </row>
    <row r="1218" spans="1:11">
      <c r="A1218">
        <v>1217</v>
      </c>
      <c r="B1218" t="s">
        <v>164</v>
      </c>
      <c r="C1218" s="1">
        <v>33969</v>
      </c>
      <c r="D1218">
        <v>33</v>
      </c>
      <c r="E1218" t="s">
        <v>12</v>
      </c>
      <c r="F1218" t="s">
        <v>45</v>
      </c>
      <c r="G1218" s="1">
        <v>45396</v>
      </c>
      <c r="H1218" s="1">
        <v>45690</v>
      </c>
      <c r="I1218">
        <v>26</v>
      </c>
      <c r="K1218">
        <v>13699.82</v>
      </c>
    </row>
    <row r="1219" spans="1:11">
      <c r="A1219">
        <v>1218</v>
      </c>
      <c r="B1219" t="s">
        <v>73</v>
      </c>
      <c r="C1219" s="1">
        <v>13150</v>
      </c>
      <c r="D1219">
        <v>90</v>
      </c>
      <c r="E1219" t="s">
        <v>15</v>
      </c>
      <c r="F1219" t="s">
        <v>18</v>
      </c>
      <c r="G1219" s="1">
        <v>45275</v>
      </c>
      <c r="H1219" s="1">
        <v>44948</v>
      </c>
      <c r="I1219">
        <v>33</v>
      </c>
      <c r="J1219" t="s">
        <v>19</v>
      </c>
      <c r="K1219">
        <v>3278.27</v>
      </c>
    </row>
    <row r="1220" spans="1:11">
      <c r="A1220">
        <v>1219</v>
      </c>
      <c r="B1220" t="s">
        <v>95</v>
      </c>
      <c r="C1220" s="1">
        <v>40178</v>
      </c>
      <c r="D1220">
        <v>16</v>
      </c>
      <c r="E1220" t="s">
        <v>15</v>
      </c>
      <c r="G1220" s="1">
        <v>45434</v>
      </c>
      <c r="H1220" s="1">
        <v>45672</v>
      </c>
      <c r="I1220">
        <v>3</v>
      </c>
      <c r="J1220" t="s">
        <v>19</v>
      </c>
      <c r="K1220">
        <v>5399.8</v>
      </c>
    </row>
    <row r="1221" spans="1:11">
      <c r="A1221">
        <v>1220</v>
      </c>
      <c r="B1221" t="s">
        <v>29</v>
      </c>
      <c r="C1221" s="1">
        <v>30682</v>
      </c>
      <c r="D1221">
        <v>42</v>
      </c>
      <c r="E1221" t="s">
        <v>15</v>
      </c>
      <c r="F1221" t="s">
        <v>13</v>
      </c>
      <c r="G1221" s="1">
        <v>45383</v>
      </c>
      <c r="H1221" s="1">
        <v>45335</v>
      </c>
      <c r="I1221">
        <v>15</v>
      </c>
      <c r="J1221" t="s">
        <v>25</v>
      </c>
      <c r="K1221">
        <v>13005.94</v>
      </c>
    </row>
    <row r="1222" spans="1:11">
      <c r="A1222">
        <v>1221</v>
      </c>
      <c r="B1222" t="s">
        <v>149</v>
      </c>
      <c r="C1222" s="1">
        <v>24838</v>
      </c>
      <c r="D1222">
        <v>58</v>
      </c>
      <c r="E1222" t="s">
        <v>12</v>
      </c>
      <c r="F1222" t="s">
        <v>45</v>
      </c>
      <c r="G1222" s="1">
        <v>45311</v>
      </c>
      <c r="H1222" s="1">
        <v>45414</v>
      </c>
      <c r="I1222">
        <v>25</v>
      </c>
      <c r="J1222" t="s">
        <v>25</v>
      </c>
      <c r="K1222">
        <v>13072.74</v>
      </c>
    </row>
    <row r="1223" spans="1:11">
      <c r="A1223">
        <v>1222</v>
      </c>
      <c r="B1223" t="s">
        <v>87</v>
      </c>
      <c r="C1223" s="1">
        <v>27760</v>
      </c>
      <c r="E1223" t="s">
        <v>15</v>
      </c>
      <c r="G1223" s="1">
        <v>45638</v>
      </c>
      <c r="H1223" s="1">
        <v>45455</v>
      </c>
      <c r="I1223">
        <v>2</v>
      </c>
      <c r="K1223">
        <v>9815.3799999999992</v>
      </c>
    </row>
    <row r="1224" spans="1:11">
      <c r="A1224">
        <v>1223</v>
      </c>
      <c r="B1224" t="s">
        <v>156</v>
      </c>
      <c r="C1224" s="1">
        <v>26664</v>
      </c>
      <c r="D1224">
        <v>53</v>
      </c>
      <c r="E1224" t="s">
        <v>12</v>
      </c>
      <c r="F1224" t="s">
        <v>18</v>
      </c>
      <c r="G1224" s="1">
        <v>45374</v>
      </c>
      <c r="H1224" s="1">
        <v>45343</v>
      </c>
      <c r="I1224">
        <v>15</v>
      </c>
      <c r="J1224" t="s">
        <v>23</v>
      </c>
      <c r="K1224">
        <v>15891.27</v>
      </c>
    </row>
    <row r="1225" spans="1:11">
      <c r="A1225">
        <v>1224</v>
      </c>
      <c r="B1225" t="s">
        <v>98</v>
      </c>
      <c r="C1225" s="1">
        <v>37622</v>
      </c>
      <c r="D1225">
        <v>23</v>
      </c>
      <c r="E1225" t="s">
        <v>15</v>
      </c>
      <c r="F1225" t="s">
        <v>21</v>
      </c>
      <c r="G1225" s="1">
        <v>45554</v>
      </c>
      <c r="H1225" s="1">
        <v>45199</v>
      </c>
      <c r="I1225">
        <v>34</v>
      </c>
      <c r="J1225" t="s">
        <v>23</v>
      </c>
      <c r="K1225">
        <v>9589.2999999999993</v>
      </c>
    </row>
    <row r="1226" spans="1:11">
      <c r="A1226">
        <v>1225</v>
      </c>
      <c r="B1226" t="s">
        <v>76</v>
      </c>
      <c r="C1226" s="1">
        <v>37256</v>
      </c>
      <c r="D1226">
        <v>24</v>
      </c>
      <c r="E1226" t="s">
        <v>15</v>
      </c>
      <c r="F1226" t="s">
        <v>18</v>
      </c>
      <c r="G1226" s="1">
        <v>45041</v>
      </c>
      <c r="H1226" s="1">
        <v>45132</v>
      </c>
      <c r="I1226">
        <v>4</v>
      </c>
      <c r="J1226" t="s">
        <v>19</v>
      </c>
      <c r="K1226">
        <v>17614.580000000002</v>
      </c>
    </row>
    <row r="1227" spans="1:11">
      <c r="A1227">
        <v>1226</v>
      </c>
      <c r="B1227" t="s">
        <v>116</v>
      </c>
      <c r="C1227" s="1">
        <v>20455</v>
      </c>
      <c r="D1227">
        <v>70</v>
      </c>
      <c r="E1227" t="s">
        <v>12</v>
      </c>
      <c r="F1227" t="s">
        <v>45</v>
      </c>
      <c r="G1227" s="1">
        <v>45378</v>
      </c>
      <c r="H1227" s="1">
        <v>45225</v>
      </c>
      <c r="I1227">
        <v>6</v>
      </c>
      <c r="J1227" t="s">
        <v>23</v>
      </c>
      <c r="K1227">
        <v>14691.66</v>
      </c>
    </row>
    <row r="1228" spans="1:11">
      <c r="A1228">
        <v>1227</v>
      </c>
      <c r="B1228" t="s">
        <v>74</v>
      </c>
      <c r="C1228" s="1">
        <v>27395</v>
      </c>
      <c r="D1228">
        <v>51</v>
      </c>
      <c r="E1228" t="s">
        <v>15</v>
      </c>
      <c r="G1228" s="1">
        <v>45580</v>
      </c>
      <c r="H1228" s="1">
        <v>45599</v>
      </c>
      <c r="I1228">
        <v>32</v>
      </c>
      <c r="J1228" t="s">
        <v>19</v>
      </c>
      <c r="K1228">
        <v>6225.37</v>
      </c>
    </row>
    <row r="1229" spans="1:11">
      <c r="A1229">
        <v>1228</v>
      </c>
      <c r="B1229" t="s">
        <v>17</v>
      </c>
      <c r="C1229" s="1">
        <v>20820</v>
      </c>
      <c r="D1229">
        <v>69</v>
      </c>
      <c r="E1229" t="s">
        <v>12</v>
      </c>
      <c r="F1229" t="s">
        <v>21</v>
      </c>
      <c r="G1229" s="1">
        <v>45045</v>
      </c>
      <c r="H1229" s="1">
        <v>45480</v>
      </c>
      <c r="I1229">
        <v>9</v>
      </c>
      <c r="J1229" t="s">
        <v>19</v>
      </c>
      <c r="K1229">
        <v>7844.61</v>
      </c>
    </row>
    <row r="1230" spans="1:11">
      <c r="A1230">
        <v>1229</v>
      </c>
      <c r="B1230" t="s">
        <v>30</v>
      </c>
      <c r="C1230" s="1">
        <v>14246</v>
      </c>
      <c r="D1230">
        <v>87</v>
      </c>
      <c r="E1230" t="s">
        <v>12</v>
      </c>
      <c r="G1230" s="1">
        <v>45019</v>
      </c>
      <c r="H1230" s="1">
        <v>45035</v>
      </c>
      <c r="I1230">
        <v>37</v>
      </c>
      <c r="J1230" t="s">
        <v>19</v>
      </c>
      <c r="K1230">
        <v>13320.5</v>
      </c>
    </row>
    <row r="1231" spans="1:11">
      <c r="A1231">
        <v>1230</v>
      </c>
      <c r="B1231" t="s">
        <v>75</v>
      </c>
      <c r="C1231" s="1">
        <v>34334</v>
      </c>
      <c r="D1231">
        <v>32</v>
      </c>
      <c r="E1231" t="s">
        <v>12</v>
      </c>
      <c r="F1231" t="s">
        <v>45</v>
      </c>
      <c r="G1231" s="1">
        <v>45447</v>
      </c>
      <c r="H1231" s="1">
        <v>45564</v>
      </c>
      <c r="I1231">
        <v>36</v>
      </c>
      <c r="K1231">
        <v>17878.5</v>
      </c>
    </row>
    <row r="1232" spans="1:11">
      <c r="A1232">
        <v>1231</v>
      </c>
      <c r="B1232" t="s">
        <v>141</v>
      </c>
      <c r="C1232" s="1">
        <v>28490</v>
      </c>
      <c r="D1232">
        <v>48</v>
      </c>
      <c r="E1232" t="s">
        <v>12</v>
      </c>
      <c r="F1232" t="s">
        <v>13</v>
      </c>
      <c r="G1232" s="1">
        <v>45511</v>
      </c>
      <c r="H1232" s="1">
        <v>45079</v>
      </c>
      <c r="I1232">
        <v>21</v>
      </c>
      <c r="J1232" t="s">
        <v>25</v>
      </c>
      <c r="K1232">
        <v>3492.05</v>
      </c>
    </row>
    <row r="1233" spans="1:11">
      <c r="A1233">
        <v>1232</v>
      </c>
      <c r="B1233" t="s">
        <v>47</v>
      </c>
      <c r="C1233" s="1">
        <v>35795</v>
      </c>
      <c r="D1233">
        <v>28</v>
      </c>
      <c r="E1233" t="s">
        <v>15</v>
      </c>
      <c r="F1233" t="s">
        <v>21</v>
      </c>
      <c r="G1233" s="1">
        <v>45464</v>
      </c>
      <c r="H1233" s="1">
        <v>44940</v>
      </c>
      <c r="I1233">
        <v>6</v>
      </c>
      <c r="J1233" t="s">
        <v>23</v>
      </c>
      <c r="K1233">
        <v>10244.74</v>
      </c>
    </row>
    <row r="1234" spans="1:11">
      <c r="A1234">
        <v>1233</v>
      </c>
      <c r="B1234" t="s">
        <v>81</v>
      </c>
      <c r="C1234" s="1">
        <v>23377</v>
      </c>
      <c r="D1234">
        <v>62</v>
      </c>
      <c r="E1234" t="s">
        <v>15</v>
      </c>
      <c r="F1234" t="s">
        <v>18</v>
      </c>
      <c r="G1234" s="1">
        <v>45359</v>
      </c>
      <c r="H1234" s="1">
        <v>45642</v>
      </c>
      <c r="I1234">
        <v>9</v>
      </c>
      <c r="K1234">
        <v>2287.5700000000002</v>
      </c>
    </row>
    <row r="1235" spans="1:11">
      <c r="A1235">
        <v>1234</v>
      </c>
      <c r="B1235" t="s">
        <v>46</v>
      </c>
      <c r="C1235" s="1">
        <v>38352</v>
      </c>
      <c r="D1235">
        <v>21</v>
      </c>
      <c r="E1235" t="s">
        <v>12</v>
      </c>
      <c r="F1235" t="s">
        <v>45</v>
      </c>
      <c r="G1235" s="1">
        <v>45071</v>
      </c>
      <c r="H1235" s="1">
        <v>45006</v>
      </c>
      <c r="I1235">
        <v>33</v>
      </c>
      <c r="J1235" t="s">
        <v>23</v>
      </c>
      <c r="K1235">
        <v>5517.05</v>
      </c>
    </row>
    <row r="1236" spans="1:11">
      <c r="A1236">
        <v>1235</v>
      </c>
      <c r="B1236" t="s">
        <v>165</v>
      </c>
      <c r="C1236" s="1">
        <v>36891</v>
      </c>
      <c r="D1236">
        <v>25</v>
      </c>
      <c r="E1236" t="s">
        <v>12</v>
      </c>
      <c r="F1236" t="s">
        <v>32</v>
      </c>
      <c r="G1236" s="1">
        <v>44994</v>
      </c>
      <c r="H1236" s="1">
        <v>45481</v>
      </c>
      <c r="I1236">
        <v>34</v>
      </c>
      <c r="K1236">
        <v>13688.23</v>
      </c>
    </row>
    <row r="1237" spans="1:11">
      <c r="A1237">
        <v>1236</v>
      </c>
      <c r="B1237" t="s">
        <v>67</v>
      </c>
      <c r="C1237" s="1">
        <v>36161</v>
      </c>
      <c r="D1237">
        <v>27</v>
      </c>
      <c r="E1237" t="s">
        <v>12</v>
      </c>
      <c r="F1237" t="s">
        <v>18</v>
      </c>
      <c r="G1237" s="1">
        <v>45626</v>
      </c>
      <c r="H1237" s="1">
        <v>45096</v>
      </c>
      <c r="I1237">
        <v>6</v>
      </c>
      <c r="J1237" t="s">
        <v>23</v>
      </c>
      <c r="K1237">
        <v>1462.47</v>
      </c>
    </row>
    <row r="1238" spans="1:11">
      <c r="A1238">
        <v>1237</v>
      </c>
      <c r="B1238" t="s">
        <v>90</v>
      </c>
      <c r="C1238" s="1">
        <v>15341</v>
      </c>
      <c r="D1238">
        <v>84</v>
      </c>
      <c r="E1238" t="s">
        <v>15</v>
      </c>
      <c r="F1238" t="s">
        <v>18</v>
      </c>
      <c r="G1238" s="1">
        <v>45057</v>
      </c>
      <c r="H1238" s="1">
        <v>45176</v>
      </c>
      <c r="I1238">
        <v>36</v>
      </c>
      <c r="J1238" t="s">
        <v>23</v>
      </c>
      <c r="K1238">
        <v>13213.41</v>
      </c>
    </row>
    <row r="1239" spans="1:11">
      <c r="A1239">
        <v>1238</v>
      </c>
      <c r="B1239" t="s">
        <v>160</v>
      </c>
      <c r="C1239" s="1">
        <v>28490</v>
      </c>
      <c r="E1239" t="s">
        <v>15</v>
      </c>
      <c r="F1239" t="s">
        <v>21</v>
      </c>
      <c r="G1239" s="1">
        <v>45207</v>
      </c>
      <c r="H1239" s="1">
        <v>45048</v>
      </c>
      <c r="I1239">
        <v>19</v>
      </c>
      <c r="J1239" t="s">
        <v>25</v>
      </c>
      <c r="K1239">
        <v>18006.3</v>
      </c>
    </row>
    <row r="1240" spans="1:11">
      <c r="A1240">
        <v>1239</v>
      </c>
      <c r="B1240" t="s">
        <v>17</v>
      </c>
      <c r="C1240" s="1">
        <v>20455</v>
      </c>
      <c r="D1240">
        <v>70</v>
      </c>
      <c r="E1240" t="s">
        <v>12</v>
      </c>
      <c r="G1240" s="1">
        <v>45578</v>
      </c>
      <c r="H1240" s="1">
        <v>45314</v>
      </c>
      <c r="I1240">
        <v>14</v>
      </c>
      <c r="J1240" t="s">
        <v>23</v>
      </c>
      <c r="K1240">
        <v>19384.34</v>
      </c>
    </row>
    <row r="1241" spans="1:11">
      <c r="A1241">
        <v>1240</v>
      </c>
      <c r="B1241" t="s">
        <v>116</v>
      </c>
      <c r="C1241" s="1">
        <v>16802</v>
      </c>
      <c r="D1241">
        <v>80</v>
      </c>
      <c r="E1241" t="s">
        <v>15</v>
      </c>
      <c r="F1241" t="s">
        <v>16</v>
      </c>
      <c r="G1241" s="1">
        <v>45492</v>
      </c>
      <c r="H1241" s="1">
        <v>45366</v>
      </c>
      <c r="I1241">
        <v>30</v>
      </c>
      <c r="K1241">
        <v>4254.3100000000004</v>
      </c>
    </row>
    <row r="1242" spans="1:11">
      <c r="A1242">
        <v>1241</v>
      </c>
      <c r="B1242" t="s">
        <v>167</v>
      </c>
      <c r="C1242" s="1">
        <v>15707</v>
      </c>
      <c r="D1242">
        <v>83</v>
      </c>
      <c r="E1242" t="s">
        <v>15</v>
      </c>
      <c r="F1242" t="s">
        <v>18</v>
      </c>
      <c r="G1242" s="1">
        <v>45439</v>
      </c>
      <c r="H1242" s="1">
        <v>45199</v>
      </c>
      <c r="I1242">
        <v>21</v>
      </c>
      <c r="J1242" t="s">
        <v>23</v>
      </c>
      <c r="K1242">
        <v>14952.85</v>
      </c>
    </row>
    <row r="1243" spans="1:11">
      <c r="A1243">
        <v>1242</v>
      </c>
      <c r="B1243" t="s">
        <v>14</v>
      </c>
      <c r="C1243" s="1">
        <v>28490</v>
      </c>
      <c r="D1243">
        <v>48</v>
      </c>
      <c r="E1243" t="s">
        <v>15</v>
      </c>
      <c r="F1243" t="s">
        <v>45</v>
      </c>
      <c r="G1243" s="1">
        <v>45566</v>
      </c>
      <c r="H1243" s="1">
        <v>45227</v>
      </c>
      <c r="I1243">
        <v>12</v>
      </c>
      <c r="J1243" t="s">
        <v>25</v>
      </c>
      <c r="K1243">
        <v>18520.05</v>
      </c>
    </row>
    <row r="1244" spans="1:11">
      <c r="A1244">
        <v>1243</v>
      </c>
      <c r="B1244" t="s">
        <v>51</v>
      </c>
      <c r="C1244" s="1">
        <v>39083</v>
      </c>
      <c r="D1244">
        <v>19</v>
      </c>
      <c r="E1244" t="s">
        <v>12</v>
      </c>
      <c r="F1244" t="s">
        <v>32</v>
      </c>
      <c r="G1244" s="1">
        <v>44927</v>
      </c>
      <c r="H1244" s="1">
        <v>45648</v>
      </c>
      <c r="I1244">
        <v>26</v>
      </c>
      <c r="J1244" t="s">
        <v>23</v>
      </c>
      <c r="K1244">
        <v>1736.52</v>
      </c>
    </row>
    <row r="1245" spans="1:11">
      <c r="A1245">
        <v>1244</v>
      </c>
      <c r="B1245" t="s">
        <v>73</v>
      </c>
      <c r="C1245" s="1">
        <v>14976</v>
      </c>
      <c r="E1245" t="s">
        <v>15</v>
      </c>
      <c r="F1245" t="s">
        <v>13</v>
      </c>
      <c r="G1245" s="1">
        <v>45611</v>
      </c>
      <c r="H1245" s="1">
        <v>45400</v>
      </c>
      <c r="I1245">
        <v>29</v>
      </c>
      <c r="K1245">
        <v>8221.8700000000008</v>
      </c>
    </row>
    <row r="1246" spans="1:11">
      <c r="A1246">
        <v>1245</v>
      </c>
      <c r="B1246" t="s">
        <v>158</v>
      </c>
      <c r="C1246" s="1">
        <v>12785</v>
      </c>
      <c r="D1246">
        <v>91</v>
      </c>
      <c r="E1246" t="s">
        <v>12</v>
      </c>
      <c r="F1246" t="s">
        <v>32</v>
      </c>
      <c r="G1246" s="1">
        <v>45358</v>
      </c>
      <c r="H1246" s="1">
        <v>45085</v>
      </c>
      <c r="I1246">
        <v>30</v>
      </c>
      <c r="J1246" t="s">
        <v>23</v>
      </c>
      <c r="K1246">
        <v>18380.14</v>
      </c>
    </row>
    <row r="1247" spans="1:11">
      <c r="A1247">
        <v>1246</v>
      </c>
      <c r="B1247" t="s">
        <v>27</v>
      </c>
      <c r="C1247" s="1">
        <v>23377</v>
      </c>
      <c r="D1247">
        <v>62</v>
      </c>
      <c r="E1247" t="s">
        <v>15</v>
      </c>
      <c r="F1247" t="s">
        <v>45</v>
      </c>
      <c r="G1247" s="1">
        <v>45317</v>
      </c>
      <c r="H1247" s="1">
        <v>45560</v>
      </c>
      <c r="I1247">
        <v>26</v>
      </c>
      <c r="J1247" t="s">
        <v>25</v>
      </c>
      <c r="K1247">
        <v>3976.03</v>
      </c>
    </row>
    <row r="1248" spans="1:11">
      <c r="A1248">
        <v>1247</v>
      </c>
      <c r="B1248" t="s">
        <v>59</v>
      </c>
      <c r="C1248" s="1">
        <v>24107</v>
      </c>
      <c r="D1248">
        <v>60</v>
      </c>
      <c r="E1248" t="s">
        <v>12</v>
      </c>
      <c r="F1248" t="s">
        <v>21</v>
      </c>
      <c r="G1248" s="1">
        <v>45192</v>
      </c>
      <c r="H1248" s="1">
        <v>45154</v>
      </c>
      <c r="I1248">
        <v>12</v>
      </c>
      <c r="J1248" t="s">
        <v>25</v>
      </c>
      <c r="K1248">
        <v>18668.59</v>
      </c>
    </row>
    <row r="1249" spans="1:11">
      <c r="A1249">
        <v>1248</v>
      </c>
      <c r="B1249" t="s">
        <v>132</v>
      </c>
      <c r="C1249" s="1">
        <v>28490</v>
      </c>
      <c r="D1249">
        <v>48</v>
      </c>
      <c r="E1249" t="s">
        <v>12</v>
      </c>
      <c r="F1249" t="s">
        <v>45</v>
      </c>
      <c r="G1249" s="1">
        <v>45325</v>
      </c>
      <c r="H1249" s="1">
        <v>45348</v>
      </c>
      <c r="I1249">
        <v>24</v>
      </c>
      <c r="J1249" t="s">
        <v>25</v>
      </c>
      <c r="K1249">
        <v>10496.56</v>
      </c>
    </row>
    <row r="1250" spans="1:11">
      <c r="A1250">
        <v>1249</v>
      </c>
      <c r="B1250" t="s">
        <v>85</v>
      </c>
      <c r="C1250" s="1">
        <v>20455</v>
      </c>
      <c r="D1250">
        <v>70</v>
      </c>
      <c r="E1250" t="s">
        <v>15</v>
      </c>
      <c r="F1250" t="s">
        <v>16</v>
      </c>
      <c r="G1250" s="1">
        <v>45182</v>
      </c>
      <c r="H1250" s="1">
        <v>44951</v>
      </c>
      <c r="I1250">
        <v>31</v>
      </c>
      <c r="J1250" t="s">
        <v>25</v>
      </c>
      <c r="K1250">
        <v>1907.85</v>
      </c>
    </row>
    <row r="1251" spans="1:11">
      <c r="A1251">
        <v>1250</v>
      </c>
      <c r="B1251" t="s">
        <v>89</v>
      </c>
      <c r="C1251" s="1">
        <v>46022</v>
      </c>
      <c r="D1251">
        <v>0</v>
      </c>
      <c r="E1251" t="s">
        <v>12</v>
      </c>
      <c r="F1251" t="s">
        <v>16</v>
      </c>
      <c r="G1251" s="1">
        <v>45321</v>
      </c>
      <c r="H1251" s="1">
        <v>45669</v>
      </c>
      <c r="I1251">
        <v>1</v>
      </c>
      <c r="J1251" t="s">
        <v>19</v>
      </c>
      <c r="K1251">
        <v>8942.5300000000007</v>
      </c>
    </row>
    <row r="1252" spans="1:11">
      <c r="A1252">
        <v>1251</v>
      </c>
      <c r="B1252" t="s">
        <v>139</v>
      </c>
      <c r="C1252" s="1">
        <v>41639</v>
      </c>
      <c r="D1252">
        <v>12</v>
      </c>
      <c r="E1252" t="s">
        <v>15</v>
      </c>
      <c r="F1252" t="s">
        <v>16</v>
      </c>
      <c r="G1252" s="1">
        <v>45100</v>
      </c>
      <c r="H1252" s="1">
        <v>45465</v>
      </c>
      <c r="I1252">
        <v>15</v>
      </c>
      <c r="J1252" t="s">
        <v>25</v>
      </c>
      <c r="K1252">
        <v>6457.85</v>
      </c>
    </row>
    <row r="1253" spans="1:11">
      <c r="A1253">
        <v>1252</v>
      </c>
      <c r="B1253" t="s">
        <v>69</v>
      </c>
      <c r="C1253" s="1">
        <v>12054</v>
      </c>
      <c r="D1253">
        <v>93</v>
      </c>
      <c r="E1253" t="s">
        <v>15</v>
      </c>
      <c r="F1253" t="s">
        <v>18</v>
      </c>
      <c r="G1253" s="1">
        <v>44971</v>
      </c>
      <c r="H1253" s="1">
        <v>45497</v>
      </c>
      <c r="I1253">
        <v>18</v>
      </c>
      <c r="J1253" t="s">
        <v>23</v>
      </c>
      <c r="K1253">
        <v>5572.3</v>
      </c>
    </row>
    <row r="1254" spans="1:11">
      <c r="A1254">
        <v>1253</v>
      </c>
      <c r="B1254" t="s">
        <v>37</v>
      </c>
      <c r="C1254" s="1">
        <v>14611</v>
      </c>
      <c r="D1254">
        <v>86</v>
      </c>
      <c r="E1254" t="s">
        <v>12</v>
      </c>
      <c r="F1254" t="s">
        <v>21</v>
      </c>
      <c r="G1254" s="1">
        <v>45067</v>
      </c>
      <c r="H1254" s="1">
        <v>45704</v>
      </c>
      <c r="I1254">
        <v>5</v>
      </c>
      <c r="J1254" t="s">
        <v>23</v>
      </c>
      <c r="K1254">
        <v>10783.66</v>
      </c>
    </row>
    <row r="1255" spans="1:11">
      <c r="A1255">
        <v>1254</v>
      </c>
      <c r="B1255" t="s">
        <v>123</v>
      </c>
      <c r="C1255" s="1">
        <v>27760</v>
      </c>
      <c r="D1255">
        <v>50</v>
      </c>
      <c r="E1255" t="s">
        <v>15</v>
      </c>
      <c r="G1255" s="1">
        <v>45465</v>
      </c>
      <c r="H1255" s="1">
        <v>45565</v>
      </c>
      <c r="I1255">
        <v>3</v>
      </c>
      <c r="J1255" t="s">
        <v>23</v>
      </c>
      <c r="K1255">
        <v>9620.2099999999991</v>
      </c>
    </row>
    <row r="1256" spans="1:11">
      <c r="A1256">
        <v>1255</v>
      </c>
      <c r="B1256" t="s">
        <v>39</v>
      </c>
      <c r="C1256" s="1">
        <v>25934</v>
      </c>
      <c r="D1256">
        <v>55</v>
      </c>
      <c r="E1256" t="s">
        <v>15</v>
      </c>
      <c r="F1256" t="s">
        <v>16</v>
      </c>
      <c r="G1256" s="1">
        <v>45647</v>
      </c>
      <c r="H1256" s="1">
        <v>45714</v>
      </c>
      <c r="I1256">
        <v>17</v>
      </c>
      <c r="J1256" t="s">
        <v>23</v>
      </c>
      <c r="K1256">
        <v>9587.5400000000009</v>
      </c>
    </row>
    <row r="1257" spans="1:11">
      <c r="A1257">
        <v>1256</v>
      </c>
      <c r="B1257" t="s">
        <v>111</v>
      </c>
      <c r="C1257" s="1">
        <v>16072</v>
      </c>
      <c r="D1257">
        <v>82</v>
      </c>
      <c r="E1257" t="s">
        <v>15</v>
      </c>
      <c r="G1257" s="1">
        <v>44976</v>
      </c>
      <c r="H1257" s="1">
        <v>45467</v>
      </c>
      <c r="I1257">
        <v>-1</v>
      </c>
      <c r="J1257" t="s">
        <v>19</v>
      </c>
      <c r="K1257">
        <v>1671.65</v>
      </c>
    </row>
    <row r="1258" spans="1:11">
      <c r="A1258">
        <v>1257</v>
      </c>
      <c r="B1258" t="s">
        <v>154</v>
      </c>
      <c r="C1258" s="1">
        <v>23742</v>
      </c>
      <c r="D1258">
        <v>61</v>
      </c>
      <c r="E1258" t="s">
        <v>15</v>
      </c>
      <c r="F1258" t="s">
        <v>13</v>
      </c>
      <c r="G1258" s="1">
        <v>44987</v>
      </c>
      <c r="H1258" s="1">
        <v>45740</v>
      </c>
      <c r="I1258">
        <v>19</v>
      </c>
      <c r="J1258" t="s">
        <v>19</v>
      </c>
      <c r="K1258">
        <v>16026.6</v>
      </c>
    </row>
    <row r="1259" spans="1:11">
      <c r="A1259">
        <v>1258</v>
      </c>
      <c r="B1259" t="s">
        <v>142</v>
      </c>
      <c r="C1259" s="1">
        <v>34700</v>
      </c>
      <c r="D1259">
        <v>31</v>
      </c>
      <c r="E1259" t="s">
        <v>12</v>
      </c>
      <c r="F1259" t="s">
        <v>13</v>
      </c>
      <c r="G1259" s="1">
        <v>45169</v>
      </c>
      <c r="H1259" s="1">
        <v>45055</v>
      </c>
      <c r="I1259">
        <v>18</v>
      </c>
      <c r="J1259" t="s">
        <v>19</v>
      </c>
      <c r="K1259">
        <v>9576.93</v>
      </c>
    </row>
    <row r="1260" spans="1:11">
      <c r="A1260">
        <v>1259</v>
      </c>
      <c r="B1260" t="s">
        <v>46</v>
      </c>
      <c r="C1260" s="1">
        <v>35430</v>
      </c>
      <c r="D1260">
        <v>29</v>
      </c>
      <c r="E1260" t="s">
        <v>15</v>
      </c>
      <c r="G1260" s="1">
        <v>45195</v>
      </c>
      <c r="H1260" s="1">
        <v>45021</v>
      </c>
      <c r="I1260">
        <v>3</v>
      </c>
      <c r="J1260" t="s">
        <v>23</v>
      </c>
      <c r="K1260">
        <v>16400.21</v>
      </c>
    </row>
    <row r="1261" spans="1:11">
      <c r="A1261">
        <v>1260</v>
      </c>
      <c r="B1261" t="s">
        <v>146</v>
      </c>
      <c r="C1261" s="1">
        <v>35795</v>
      </c>
      <c r="D1261">
        <v>28</v>
      </c>
      <c r="E1261" t="s">
        <v>12</v>
      </c>
      <c r="F1261" t="s">
        <v>45</v>
      </c>
      <c r="G1261" s="1">
        <v>45066</v>
      </c>
      <c r="H1261" s="1">
        <v>45630</v>
      </c>
      <c r="I1261">
        <v>29</v>
      </c>
      <c r="K1261">
        <v>16474.349999999999</v>
      </c>
    </row>
    <row r="1262" spans="1:11">
      <c r="A1262">
        <v>1261</v>
      </c>
      <c r="B1262" t="s">
        <v>31</v>
      </c>
      <c r="C1262" s="1">
        <v>28490</v>
      </c>
      <c r="D1262">
        <v>48</v>
      </c>
      <c r="E1262" t="s">
        <v>12</v>
      </c>
      <c r="F1262" t="s">
        <v>16</v>
      </c>
      <c r="G1262" s="1">
        <v>45083</v>
      </c>
      <c r="H1262" s="1">
        <v>45348</v>
      </c>
      <c r="I1262">
        <v>3</v>
      </c>
      <c r="K1262">
        <v>6274.42</v>
      </c>
    </row>
    <row r="1263" spans="1:11">
      <c r="A1263">
        <v>1262</v>
      </c>
      <c r="B1263" t="s">
        <v>140</v>
      </c>
      <c r="C1263" s="1">
        <v>29951</v>
      </c>
      <c r="D1263">
        <v>44</v>
      </c>
      <c r="E1263" t="s">
        <v>15</v>
      </c>
      <c r="F1263" t="s">
        <v>18</v>
      </c>
      <c r="G1263" s="1">
        <v>45523</v>
      </c>
      <c r="H1263" s="1">
        <v>45199</v>
      </c>
      <c r="I1263">
        <v>10</v>
      </c>
      <c r="J1263" t="s">
        <v>23</v>
      </c>
      <c r="K1263">
        <v>-12.64</v>
      </c>
    </row>
    <row r="1264" spans="1:11">
      <c r="A1264">
        <v>1263</v>
      </c>
      <c r="B1264" t="s">
        <v>27</v>
      </c>
      <c r="C1264" s="1">
        <v>12419</v>
      </c>
      <c r="D1264">
        <v>92</v>
      </c>
      <c r="E1264" t="s">
        <v>15</v>
      </c>
      <c r="F1264" t="s">
        <v>13</v>
      </c>
      <c r="G1264" s="1">
        <v>45522</v>
      </c>
      <c r="H1264" s="1">
        <v>45411</v>
      </c>
      <c r="I1264">
        <v>-2</v>
      </c>
      <c r="J1264" t="s">
        <v>25</v>
      </c>
      <c r="K1264">
        <v>18216.04</v>
      </c>
    </row>
    <row r="1265" spans="1:11">
      <c r="A1265">
        <v>1264</v>
      </c>
      <c r="B1265" t="s">
        <v>112</v>
      </c>
      <c r="C1265" s="1">
        <v>35430</v>
      </c>
      <c r="D1265">
        <v>29</v>
      </c>
      <c r="E1265" t="s">
        <v>12</v>
      </c>
      <c r="F1265" t="s">
        <v>32</v>
      </c>
      <c r="G1265" s="1">
        <v>45202</v>
      </c>
      <c r="H1265" s="1">
        <v>44932</v>
      </c>
      <c r="I1265">
        <v>19</v>
      </c>
      <c r="J1265" t="s">
        <v>25</v>
      </c>
      <c r="K1265">
        <v>15189.96</v>
      </c>
    </row>
    <row r="1266" spans="1:11">
      <c r="A1266">
        <v>1265</v>
      </c>
      <c r="B1266" t="s">
        <v>36</v>
      </c>
      <c r="C1266" s="1">
        <v>40544</v>
      </c>
      <c r="D1266">
        <v>15</v>
      </c>
      <c r="E1266" t="s">
        <v>15</v>
      </c>
      <c r="F1266" t="s">
        <v>21</v>
      </c>
      <c r="G1266" s="1">
        <v>44957</v>
      </c>
      <c r="H1266" s="1">
        <v>45084</v>
      </c>
      <c r="I1266">
        <v>21</v>
      </c>
      <c r="J1266" t="s">
        <v>23</v>
      </c>
      <c r="K1266">
        <v>2055.7600000000002</v>
      </c>
    </row>
    <row r="1267" spans="1:11">
      <c r="A1267">
        <v>1266</v>
      </c>
      <c r="B1267" t="s">
        <v>54</v>
      </c>
      <c r="C1267" s="1">
        <v>31778</v>
      </c>
      <c r="E1267" t="s">
        <v>15</v>
      </c>
      <c r="F1267" t="s">
        <v>32</v>
      </c>
      <c r="G1267" s="1">
        <v>44934</v>
      </c>
      <c r="H1267" s="1">
        <v>44979</v>
      </c>
      <c r="I1267">
        <v>38</v>
      </c>
      <c r="J1267" t="s">
        <v>25</v>
      </c>
      <c r="K1267">
        <v>14004.71</v>
      </c>
    </row>
    <row r="1268" spans="1:11">
      <c r="A1268">
        <v>1267</v>
      </c>
      <c r="B1268" t="s">
        <v>122</v>
      </c>
      <c r="C1268" s="1">
        <v>39448</v>
      </c>
      <c r="D1268">
        <v>18</v>
      </c>
      <c r="E1268" t="s">
        <v>15</v>
      </c>
      <c r="G1268" s="1">
        <v>45641</v>
      </c>
      <c r="H1268" s="1">
        <v>45170</v>
      </c>
      <c r="I1268">
        <v>27</v>
      </c>
      <c r="J1268" t="s">
        <v>25</v>
      </c>
      <c r="K1268">
        <v>302.47000000000003</v>
      </c>
    </row>
    <row r="1269" spans="1:11">
      <c r="A1269">
        <v>1268</v>
      </c>
      <c r="B1269" t="s">
        <v>116</v>
      </c>
      <c r="C1269" s="1">
        <v>39813</v>
      </c>
      <c r="E1269" t="s">
        <v>12</v>
      </c>
      <c r="F1269" t="s">
        <v>13</v>
      </c>
      <c r="G1269" s="1">
        <v>44959</v>
      </c>
      <c r="H1269" s="1">
        <v>45590</v>
      </c>
      <c r="I1269">
        <v>19</v>
      </c>
      <c r="K1269">
        <v>457.96</v>
      </c>
    </row>
    <row r="1270" spans="1:11">
      <c r="A1270">
        <v>1269</v>
      </c>
      <c r="B1270" t="s">
        <v>162</v>
      </c>
      <c r="C1270" s="1">
        <v>46022</v>
      </c>
      <c r="D1270">
        <v>0</v>
      </c>
      <c r="E1270" t="s">
        <v>12</v>
      </c>
      <c r="F1270" t="s">
        <v>13</v>
      </c>
      <c r="G1270" s="1">
        <v>45581</v>
      </c>
      <c r="H1270" s="1">
        <v>45701</v>
      </c>
      <c r="I1270">
        <v>9</v>
      </c>
      <c r="J1270" t="s">
        <v>23</v>
      </c>
      <c r="K1270">
        <v>10469.049999999999</v>
      </c>
    </row>
    <row r="1271" spans="1:11">
      <c r="A1271">
        <v>1270</v>
      </c>
      <c r="B1271" t="s">
        <v>151</v>
      </c>
      <c r="C1271" s="1">
        <v>17898</v>
      </c>
      <c r="D1271">
        <v>77</v>
      </c>
      <c r="E1271" t="s">
        <v>15</v>
      </c>
      <c r="F1271" t="s">
        <v>45</v>
      </c>
      <c r="G1271" s="1">
        <v>45378</v>
      </c>
      <c r="H1271" s="1">
        <v>45347</v>
      </c>
      <c r="I1271">
        <v>23</v>
      </c>
      <c r="J1271" t="s">
        <v>19</v>
      </c>
      <c r="K1271">
        <v>1830.35</v>
      </c>
    </row>
    <row r="1272" spans="1:11">
      <c r="A1272">
        <v>1271</v>
      </c>
      <c r="B1272" t="s">
        <v>116</v>
      </c>
      <c r="C1272" s="1">
        <v>29221</v>
      </c>
      <c r="D1272">
        <v>46</v>
      </c>
      <c r="E1272" t="s">
        <v>15</v>
      </c>
      <c r="F1272" t="s">
        <v>45</v>
      </c>
      <c r="G1272" s="1">
        <v>45375</v>
      </c>
      <c r="H1272" s="1">
        <v>45744</v>
      </c>
      <c r="I1272">
        <v>1</v>
      </c>
      <c r="K1272">
        <v>19283.16</v>
      </c>
    </row>
    <row r="1273" spans="1:11">
      <c r="A1273">
        <v>1272</v>
      </c>
      <c r="B1273" t="s">
        <v>161</v>
      </c>
      <c r="C1273" s="1">
        <v>22281</v>
      </c>
      <c r="D1273">
        <v>65</v>
      </c>
      <c r="E1273" t="s">
        <v>12</v>
      </c>
      <c r="F1273" t="s">
        <v>16</v>
      </c>
      <c r="G1273" s="1">
        <v>44963</v>
      </c>
      <c r="H1273" s="1">
        <v>45352</v>
      </c>
      <c r="I1273">
        <v>16</v>
      </c>
      <c r="J1273" t="s">
        <v>23</v>
      </c>
      <c r="K1273">
        <v>17866.009999999998</v>
      </c>
    </row>
    <row r="1274" spans="1:11">
      <c r="A1274">
        <v>1273</v>
      </c>
      <c r="B1274" t="s">
        <v>112</v>
      </c>
      <c r="C1274" s="1">
        <v>12785</v>
      </c>
      <c r="D1274">
        <v>91</v>
      </c>
      <c r="E1274" t="s">
        <v>12</v>
      </c>
      <c r="G1274" s="1">
        <v>45585</v>
      </c>
      <c r="H1274" s="1">
        <v>45007</v>
      </c>
      <c r="I1274">
        <v>13</v>
      </c>
      <c r="J1274" t="s">
        <v>23</v>
      </c>
      <c r="K1274">
        <v>12961.22</v>
      </c>
    </row>
    <row r="1275" spans="1:11">
      <c r="A1275">
        <v>1274</v>
      </c>
      <c r="B1275" t="s">
        <v>117</v>
      </c>
      <c r="C1275" s="1">
        <v>12054</v>
      </c>
      <c r="D1275">
        <v>93</v>
      </c>
      <c r="E1275" t="s">
        <v>12</v>
      </c>
      <c r="F1275" t="s">
        <v>21</v>
      </c>
      <c r="G1275" s="1">
        <v>44960</v>
      </c>
      <c r="H1275" s="1">
        <v>45622</v>
      </c>
      <c r="I1275">
        <v>9</v>
      </c>
      <c r="K1275">
        <v>1180.55</v>
      </c>
    </row>
    <row r="1276" spans="1:11">
      <c r="A1276">
        <v>1275</v>
      </c>
      <c r="B1276" t="s">
        <v>85</v>
      </c>
      <c r="C1276" s="1">
        <v>32508</v>
      </c>
      <c r="D1276">
        <v>37</v>
      </c>
      <c r="E1276" t="s">
        <v>12</v>
      </c>
      <c r="F1276" t="s">
        <v>16</v>
      </c>
      <c r="G1276" s="1">
        <v>45381</v>
      </c>
      <c r="H1276" s="1">
        <v>45281</v>
      </c>
      <c r="I1276">
        <v>30</v>
      </c>
      <c r="J1276" t="s">
        <v>25</v>
      </c>
      <c r="K1276">
        <v>6429.19</v>
      </c>
    </row>
    <row r="1277" spans="1:11">
      <c r="A1277">
        <v>1276</v>
      </c>
      <c r="B1277" t="s">
        <v>132</v>
      </c>
      <c r="C1277" s="1">
        <v>27760</v>
      </c>
      <c r="E1277" t="s">
        <v>15</v>
      </c>
      <c r="F1277" t="s">
        <v>45</v>
      </c>
      <c r="G1277" s="1">
        <v>45370</v>
      </c>
      <c r="H1277" s="1">
        <v>45546</v>
      </c>
      <c r="I1277">
        <v>18</v>
      </c>
      <c r="J1277" t="s">
        <v>25</v>
      </c>
      <c r="K1277">
        <v>7371.63</v>
      </c>
    </row>
    <row r="1278" spans="1:11">
      <c r="A1278">
        <v>1277</v>
      </c>
      <c r="B1278" t="s">
        <v>131</v>
      </c>
      <c r="C1278" s="1">
        <v>23377</v>
      </c>
      <c r="D1278">
        <v>62</v>
      </c>
      <c r="E1278" t="s">
        <v>12</v>
      </c>
      <c r="F1278" t="s">
        <v>18</v>
      </c>
      <c r="G1278" s="1">
        <v>45163</v>
      </c>
      <c r="H1278" s="1">
        <v>45593</v>
      </c>
      <c r="I1278">
        <v>33</v>
      </c>
      <c r="K1278">
        <v>9565.68</v>
      </c>
    </row>
    <row r="1279" spans="1:11">
      <c r="A1279">
        <v>1278</v>
      </c>
      <c r="B1279" t="s">
        <v>36</v>
      </c>
      <c r="C1279" s="1">
        <v>44927</v>
      </c>
      <c r="D1279">
        <v>3</v>
      </c>
      <c r="E1279" t="s">
        <v>15</v>
      </c>
      <c r="F1279" t="s">
        <v>21</v>
      </c>
      <c r="G1279" s="1">
        <v>45138</v>
      </c>
      <c r="H1279" s="1">
        <v>45220</v>
      </c>
      <c r="I1279">
        <v>6</v>
      </c>
      <c r="J1279" t="s">
        <v>23</v>
      </c>
      <c r="K1279">
        <v>3294.95</v>
      </c>
    </row>
    <row r="1280" spans="1:11">
      <c r="A1280">
        <v>1279</v>
      </c>
      <c r="B1280" t="s">
        <v>171</v>
      </c>
      <c r="C1280" s="1">
        <v>46022</v>
      </c>
      <c r="D1280">
        <v>0</v>
      </c>
      <c r="E1280" t="s">
        <v>15</v>
      </c>
      <c r="F1280" t="s">
        <v>18</v>
      </c>
      <c r="G1280" s="1">
        <v>45066</v>
      </c>
      <c r="H1280" s="1">
        <v>45644</v>
      </c>
      <c r="I1280">
        <v>36</v>
      </c>
      <c r="J1280" t="s">
        <v>19</v>
      </c>
      <c r="K1280">
        <v>11507.98</v>
      </c>
    </row>
    <row r="1281" spans="1:11">
      <c r="A1281">
        <v>1280</v>
      </c>
      <c r="B1281" t="s">
        <v>47</v>
      </c>
      <c r="C1281" s="1">
        <v>43466</v>
      </c>
      <c r="D1281">
        <v>7</v>
      </c>
      <c r="E1281" t="s">
        <v>12</v>
      </c>
      <c r="F1281" t="s">
        <v>16</v>
      </c>
      <c r="G1281" s="1">
        <v>45628</v>
      </c>
      <c r="H1281" s="1">
        <v>45043</v>
      </c>
      <c r="I1281">
        <v>39</v>
      </c>
      <c r="J1281" t="s">
        <v>23</v>
      </c>
      <c r="K1281">
        <v>8658.99</v>
      </c>
    </row>
    <row r="1282" spans="1:11">
      <c r="A1282">
        <v>1281</v>
      </c>
      <c r="B1282" t="s">
        <v>171</v>
      </c>
      <c r="C1282" s="1">
        <v>35795</v>
      </c>
      <c r="D1282">
        <v>28</v>
      </c>
      <c r="E1282" t="s">
        <v>15</v>
      </c>
      <c r="F1282" t="s">
        <v>45</v>
      </c>
      <c r="G1282" s="1">
        <v>45534</v>
      </c>
      <c r="H1282" s="1">
        <v>45456</v>
      </c>
      <c r="I1282">
        <v>5</v>
      </c>
      <c r="J1282" t="s">
        <v>19</v>
      </c>
      <c r="K1282">
        <v>18940.669999999998</v>
      </c>
    </row>
    <row r="1283" spans="1:11">
      <c r="A1283">
        <v>1282</v>
      </c>
      <c r="B1283" t="s">
        <v>53</v>
      </c>
      <c r="C1283" s="1">
        <v>26299</v>
      </c>
      <c r="D1283">
        <v>54</v>
      </c>
      <c r="F1283" t="s">
        <v>21</v>
      </c>
      <c r="G1283" s="1">
        <v>45632</v>
      </c>
      <c r="H1283" s="1">
        <v>45407</v>
      </c>
      <c r="I1283">
        <v>17</v>
      </c>
      <c r="J1283" t="s">
        <v>19</v>
      </c>
      <c r="K1283">
        <v>18717.52</v>
      </c>
    </row>
    <row r="1284" spans="1:11">
      <c r="A1284">
        <v>1283</v>
      </c>
      <c r="B1284" t="s">
        <v>142</v>
      </c>
      <c r="C1284" s="1">
        <v>45292</v>
      </c>
      <c r="D1284">
        <v>2</v>
      </c>
      <c r="E1284" t="s">
        <v>15</v>
      </c>
      <c r="F1284" t="s">
        <v>16</v>
      </c>
      <c r="G1284" s="1">
        <v>45287</v>
      </c>
      <c r="H1284" s="1">
        <v>45215</v>
      </c>
      <c r="I1284">
        <v>7</v>
      </c>
      <c r="J1284" t="s">
        <v>23</v>
      </c>
      <c r="K1284">
        <v>11266.03</v>
      </c>
    </row>
    <row r="1285" spans="1:11">
      <c r="A1285">
        <v>1284</v>
      </c>
      <c r="B1285" t="s">
        <v>123</v>
      </c>
      <c r="C1285" s="1">
        <v>34700</v>
      </c>
      <c r="D1285">
        <v>31</v>
      </c>
      <c r="E1285" t="s">
        <v>12</v>
      </c>
      <c r="F1285" t="s">
        <v>13</v>
      </c>
      <c r="G1285" s="1">
        <v>45230</v>
      </c>
      <c r="H1285" s="1">
        <v>45595</v>
      </c>
      <c r="I1285">
        <v>29</v>
      </c>
      <c r="J1285" t="s">
        <v>23</v>
      </c>
      <c r="K1285">
        <v>12851.42</v>
      </c>
    </row>
    <row r="1286" spans="1:11">
      <c r="A1286">
        <v>1285</v>
      </c>
      <c r="B1286" t="s">
        <v>160</v>
      </c>
      <c r="C1286" s="1">
        <v>42735</v>
      </c>
      <c r="D1286">
        <v>9</v>
      </c>
      <c r="E1286" t="s">
        <v>12</v>
      </c>
      <c r="F1286" t="s">
        <v>16</v>
      </c>
      <c r="G1286" s="1">
        <v>45222</v>
      </c>
      <c r="H1286" s="1">
        <v>45404</v>
      </c>
      <c r="I1286">
        <v>25</v>
      </c>
      <c r="J1286" t="s">
        <v>23</v>
      </c>
      <c r="K1286">
        <v>2669.71</v>
      </c>
    </row>
    <row r="1287" spans="1:11">
      <c r="A1287">
        <v>1286</v>
      </c>
      <c r="B1287" t="s">
        <v>124</v>
      </c>
      <c r="C1287" s="1">
        <v>19359</v>
      </c>
      <c r="D1287">
        <v>73</v>
      </c>
      <c r="E1287" t="s">
        <v>15</v>
      </c>
      <c r="G1287" s="1">
        <v>45078</v>
      </c>
      <c r="H1287" s="1">
        <v>44952</v>
      </c>
      <c r="I1287">
        <v>7</v>
      </c>
      <c r="J1287" t="s">
        <v>19</v>
      </c>
      <c r="K1287">
        <v>4388.8</v>
      </c>
    </row>
    <row r="1288" spans="1:11">
      <c r="A1288">
        <v>1287</v>
      </c>
      <c r="B1288" t="s">
        <v>168</v>
      </c>
      <c r="C1288" s="1">
        <v>16072</v>
      </c>
      <c r="D1288">
        <v>82</v>
      </c>
      <c r="E1288" t="s">
        <v>12</v>
      </c>
      <c r="F1288" t="s">
        <v>32</v>
      </c>
      <c r="G1288" s="1">
        <v>45149</v>
      </c>
      <c r="H1288" s="1">
        <v>45358</v>
      </c>
      <c r="I1288">
        <v>5</v>
      </c>
      <c r="J1288" t="s">
        <v>25</v>
      </c>
      <c r="K1288">
        <v>18004.38</v>
      </c>
    </row>
    <row r="1289" spans="1:11">
      <c r="A1289">
        <v>1288</v>
      </c>
      <c r="B1289" t="s">
        <v>20</v>
      </c>
      <c r="C1289" s="1">
        <v>33969</v>
      </c>
      <c r="D1289">
        <v>33</v>
      </c>
      <c r="E1289" t="s">
        <v>15</v>
      </c>
      <c r="F1289" t="s">
        <v>13</v>
      </c>
      <c r="G1289" s="1">
        <v>45122</v>
      </c>
      <c r="H1289" s="1">
        <v>45205</v>
      </c>
      <c r="I1289">
        <v>30</v>
      </c>
      <c r="J1289" t="s">
        <v>19</v>
      </c>
      <c r="K1289">
        <v>13953.24</v>
      </c>
    </row>
    <row r="1290" spans="1:11">
      <c r="A1290">
        <v>1289</v>
      </c>
      <c r="B1290" t="s">
        <v>54</v>
      </c>
      <c r="C1290" s="1">
        <v>14611</v>
      </c>
      <c r="D1290">
        <v>86</v>
      </c>
      <c r="E1290" t="s">
        <v>12</v>
      </c>
      <c r="F1290" t="s">
        <v>18</v>
      </c>
      <c r="G1290" s="1">
        <v>45526</v>
      </c>
      <c r="H1290" s="1">
        <v>45244</v>
      </c>
      <c r="I1290">
        <v>10</v>
      </c>
      <c r="J1290" t="s">
        <v>19</v>
      </c>
      <c r="K1290">
        <v>3707.55</v>
      </c>
    </row>
    <row r="1291" spans="1:11">
      <c r="A1291">
        <v>1290</v>
      </c>
      <c r="B1291" t="s">
        <v>161</v>
      </c>
      <c r="C1291" s="1">
        <v>26299</v>
      </c>
      <c r="D1291">
        <v>54</v>
      </c>
      <c r="E1291" t="s">
        <v>15</v>
      </c>
      <c r="F1291" t="s">
        <v>13</v>
      </c>
      <c r="G1291" s="1">
        <v>45225</v>
      </c>
      <c r="H1291" s="1">
        <v>45565</v>
      </c>
      <c r="I1291">
        <v>32</v>
      </c>
      <c r="J1291" t="s">
        <v>19</v>
      </c>
      <c r="K1291">
        <v>11361.23</v>
      </c>
    </row>
    <row r="1292" spans="1:11">
      <c r="A1292">
        <v>1291</v>
      </c>
      <c r="B1292" t="s">
        <v>20</v>
      </c>
      <c r="D1292">
        <v>91</v>
      </c>
      <c r="E1292" t="s">
        <v>12</v>
      </c>
      <c r="F1292" t="s">
        <v>16</v>
      </c>
      <c r="G1292" s="1">
        <v>45455</v>
      </c>
      <c r="H1292" s="1">
        <v>45739</v>
      </c>
      <c r="I1292">
        <v>26</v>
      </c>
      <c r="K1292">
        <v>18688.7</v>
      </c>
    </row>
    <row r="1293" spans="1:11">
      <c r="A1293">
        <v>1292</v>
      </c>
      <c r="B1293" t="s">
        <v>107</v>
      </c>
      <c r="C1293" s="1">
        <v>34700</v>
      </c>
      <c r="D1293">
        <v>31</v>
      </c>
      <c r="E1293" t="s">
        <v>15</v>
      </c>
      <c r="F1293" t="s">
        <v>13</v>
      </c>
      <c r="G1293" s="1">
        <v>45414</v>
      </c>
      <c r="H1293" s="1">
        <v>45285</v>
      </c>
      <c r="I1293">
        <v>2</v>
      </c>
      <c r="J1293" t="s">
        <v>25</v>
      </c>
      <c r="K1293">
        <v>6837.94</v>
      </c>
    </row>
    <row r="1294" spans="1:11">
      <c r="A1294">
        <v>1293</v>
      </c>
      <c r="B1294" t="s">
        <v>138</v>
      </c>
      <c r="C1294" s="1">
        <v>28125</v>
      </c>
      <c r="D1294">
        <v>49</v>
      </c>
      <c r="E1294" t="s">
        <v>15</v>
      </c>
      <c r="F1294" t="s">
        <v>32</v>
      </c>
      <c r="G1294" s="1">
        <v>45137</v>
      </c>
      <c r="H1294" s="1">
        <v>45203</v>
      </c>
      <c r="I1294">
        <v>0</v>
      </c>
      <c r="J1294" t="s">
        <v>19</v>
      </c>
      <c r="K1294">
        <v>3634.99</v>
      </c>
    </row>
    <row r="1295" spans="1:11">
      <c r="A1295">
        <v>1294</v>
      </c>
      <c r="B1295" t="s">
        <v>126</v>
      </c>
      <c r="C1295" s="1">
        <v>43831</v>
      </c>
      <c r="D1295">
        <v>6</v>
      </c>
      <c r="E1295" t="s">
        <v>15</v>
      </c>
      <c r="G1295" s="1">
        <v>45158</v>
      </c>
      <c r="H1295" s="1">
        <v>45804</v>
      </c>
      <c r="I1295">
        <v>34</v>
      </c>
      <c r="J1295" t="s">
        <v>19</v>
      </c>
      <c r="K1295">
        <v>18834.71</v>
      </c>
    </row>
    <row r="1296" spans="1:11">
      <c r="A1296">
        <v>1295</v>
      </c>
      <c r="B1296" t="s">
        <v>158</v>
      </c>
      <c r="C1296" s="1">
        <v>12419</v>
      </c>
      <c r="D1296">
        <v>92</v>
      </c>
      <c r="E1296" t="s">
        <v>15</v>
      </c>
      <c r="F1296" t="s">
        <v>16</v>
      </c>
      <c r="G1296" s="1">
        <v>45621</v>
      </c>
      <c r="H1296" s="1">
        <v>45617</v>
      </c>
      <c r="I1296">
        <v>38</v>
      </c>
      <c r="K1296">
        <v>9171.43</v>
      </c>
    </row>
    <row r="1297" spans="1:11">
      <c r="A1297">
        <v>1296</v>
      </c>
      <c r="B1297" t="s">
        <v>98</v>
      </c>
      <c r="C1297" s="1">
        <v>43466</v>
      </c>
      <c r="D1297">
        <v>7</v>
      </c>
      <c r="E1297" t="s">
        <v>12</v>
      </c>
      <c r="F1297" t="s">
        <v>32</v>
      </c>
      <c r="G1297" s="1">
        <v>45600</v>
      </c>
      <c r="H1297" s="1">
        <v>45271</v>
      </c>
      <c r="I1297">
        <v>3</v>
      </c>
      <c r="J1297" t="s">
        <v>19</v>
      </c>
      <c r="K1297">
        <v>8286.56</v>
      </c>
    </row>
    <row r="1298" spans="1:11">
      <c r="A1298">
        <v>1297</v>
      </c>
      <c r="B1298" t="s">
        <v>168</v>
      </c>
      <c r="C1298" s="1">
        <v>22646</v>
      </c>
      <c r="D1298">
        <v>64</v>
      </c>
      <c r="E1298" t="s">
        <v>12</v>
      </c>
      <c r="F1298" t="s">
        <v>13</v>
      </c>
      <c r="G1298" s="1">
        <v>45293</v>
      </c>
      <c r="H1298" s="1">
        <v>45358</v>
      </c>
      <c r="I1298">
        <v>39</v>
      </c>
      <c r="J1298" t="s">
        <v>25</v>
      </c>
      <c r="K1298">
        <v>5278.1</v>
      </c>
    </row>
    <row r="1299" spans="1:11">
      <c r="A1299">
        <v>1298</v>
      </c>
      <c r="B1299" t="s">
        <v>84</v>
      </c>
      <c r="C1299" s="1">
        <v>25568</v>
      </c>
      <c r="D1299">
        <v>56</v>
      </c>
      <c r="E1299" t="s">
        <v>12</v>
      </c>
      <c r="F1299" t="s">
        <v>32</v>
      </c>
      <c r="G1299" s="1">
        <v>45407</v>
      </c>
      <c r="H1299" s="1">
        <v>45486</v>
      </c>
      <c r="I1299">
        <v>13</v>
      </c>
      <c r="J1299" t="s">
        <v>19</v>
      </c>
      <c r="K1299">
        <v>17820.86</v>
      </c>
    </row>
    <row r="1300" spans="1:11">
      <c r="A1300">
        <v>1299</v>
      </c>
      <c r="B1300" t="s">
        <v>72</v>
      </c>
      <c r="C1300" s="1">
        <v>21916</v>
      </c>
      <c r="D1300">
        <v>66</v>
      </c>
      <c r="E1300" t="s">
        <v>15</v>
      </c>
      <c r="F1300" t="s">
        <v>13</v>
      </c>
      <c r="G1300" s="1">
        <v>45508</v>
      </c>
      <c r="H1300" s="1">
        <v>45639</v>
      </c>
      <c r="I1300">
        <v>32</v>
      </c>
      <c r="J1300" t="s">
        <v>25</v>
      </c>
      <c r="K1300">
        <v>16896.900000000001</v>
      </c>
    </row>
    <row r="1301" spans="1:11">
      <c r="A1301">
        <v>1300</v>
      </c>
      <c r="B1301" t="s">
        <v>158</v>
      </c>
      <c r="C1301" s="1">
        <v>14246</v>
      </c>
      <c r="D1301">
        <v>87</v>
      </c>
      <c r="E1301" t="s">
        <v>12</v>
      </c>
      <c r="F1301" t="s">
        <v>21</v>
      </c>
      <c r="G1301" s="1">
        <v>45498</v>
      </c>
      <c r="H1301" s="1">
        <v>45490</v>
      </c>
      <c r="I1301">
        <v>15</v>
      </c>
      <c r="J1301" t="s">
        <v>25</v>
      </c>
      <c r="K1301">
        <v>8000.11</v>
      </c>
    </row>
    <row r="1302" spans="1:11">
      <c r="A1302">
        <v>1301</v>
      </c>
      <c r="B1302" t="s">
        <v>93</v>
      </c>
      <c r="C1302" s="1">
        <v>14611</v>
      </c>
      <c r="D1302">
        <v>86</v>
      </c>
      <c r="E1302" t="s">
        <v>15</v>
      </c>
      <c r="F1302" t="s">
        <v>13</v>
      </c>
      <c r="G1302" s="1">
        <v>45105</v>
      </c>
      <c r="H1302" s="1">
        <v>45366</v>
      </c>
      <c r="I1302">
        <v>8</v>
      </c>
      <c r="J1302" t="s">
        <v>23</v>
      </c>
      <c r="K1302">
        <v>515.33000000000004</v>
      </c>
    </row>
    <row r="1303" spans="1:11">
      <c r="A1303">
        <v>1302</v>
      </c>
      <c r="B1303" t="s">
        <v>117</v>
      </c>
      <c r="C1303" s="1">
        <v>24838</v>
      </c>
      <c r="D1303">
        <v>58</v>
      </c>
      <c r="E1303" t="s">
        <v>12</v>
      </c>
      <c r="F1303" t="s">
        <v>45</v>
      </c>
      <c r="G1303" s="1">
        <v>45410</v>
      </c>
      <c r="H1303" s="1">
        <v>45389</v>
      </c>
      <c r="I1303">
        <v>20</v>
      </c>
      <c r="K1303">
        <v>8877.69</v>
      </c>
    </row>
    <row r="1304" spans="1:11">
      <c r="A1304">
        <v>1303</v>
      </c>
      <c r="B1304" t="s">
        <v>105</v>
      </c>
      <c r="C1304" s="1">
        <v>20090</v>
      </c>
      <c r="D1304">
        <v>71</v>
      </c>
      <c r="F1304" t="s">
        <v>32</v>
      </c>
      <c r="G1304" s="1">
        <v>45515</v>
      </c>
      <c r="H1304" s="1">
        <v>45734</v>
      </c>
      <c r="I1304">
        <v>8</v>
      </c>
      <c r="K1304">
        <v>3535.25</v>
      </c>
    </row>
    <row r="1305" spans="1:11">
      <c r="A1305">
        <v>1304</v>
      </c>
      <c r="B1305" t="s">
        <v>79</v>
      </c>
      <c r="C1305" s="1">
        <v>26664</v>
      </c>
      <c r="D1305">
        <v>53</v>
      </c>
      <c r="E1305" t="s">
        <v>15</v>
      </c>
      <c r="G1305" s="1">
        <v>45421</v>
      </c>
      <c r="H1305" s="1">
        <v>45197</v>
      </c>
      <c r="I1305">
        <v>26</v>
      </c>
      <c r="K1305">
        <v>2768.95</v>
      </c>
    </row>
    <row r="1306" spans="1:11">
      <c r="A1306">
        <v>1305</v>
      </c>
      <c r="B1306" t="s">
        <v>165</v>
      </c>
      <c r="C1306" s="1">
        <v>21916</v>
      </c>
      <c r="D1306">
        <v>66</v>
      </c>
      <c r="E1306" t="s">
        <v>15</v>
      </c>
      <c r="F1306" t="s">
        <v>32</v>
      </c>
      <c r="G1306" s="1">
        <v>45473</v>
      </c>
      <c r="H1306" s="1">
        <v>45636</v>
      </c>
      <c r="I1306">
        <v>39</v>
      </c>
      <c r="J1306" t="s">
        <v>23</v>
      </c>
      <c r="K1306">
        <v>7801.18</v>
      </c>
    </row>
    <row r="1307" spans="1:11">
      <c r="A1307">
        <v>1306</v>
      </c>
      <c r="B1307" t="s">
        <v>165</v>
      </c>
      <c r="C1307" s="1">
        <v>27760</v>
      </c>
      <c r="E1307" t="s">
        <v>15</v>
      </c>
      <c r="F1307" t="s">
        <v>18</v>
      </c>
      <c r="G1307" s="1">
        <v>44942</v>
      </c>
      <c r="H1307" s="1">
        <v>45358</v>
      </c>
      <c r="I1307">
        <v>24</v>
      </c>
      <c r="J1307" t="s">
        <v>23</v>
      </c>
      <c r="K1307">
        <v>1891.45</v>
      </c>
    </row>
    <row r="1308" spans="1:11">
      <c r="A1308">
        <v>1307</v>
      </c>
      <c r="B1308" t="s">
        <v>83</v>
      </c>
      <c r="C1308" s="1">
        <v>12785</v>
      </c>
      <c r="D1308">
        <v>91</v>
      </c>
      <c r="E1308" t="s">
        <v>12</v>
      </c>
      <c r="G1308" s="1">
        <v>45392</v>
      </c>
      <c r="H1308" s="1">
        <v>44948</v>
      </c>
      <c r="I1308">
        <v>6</v>
      </c>
      <c r="J1308" t="s">
        <v>25</v>
      </c>
      <c r="K1308">
        <v>19145.04</v>
      </c>
    </row>
    <row r="1309" spans="1:11">
      <c r="A1309">
        <v>1308</v>
      </c>
      <c r="B1309" t="s">
        <v>162</v>
      </c>
      <c r="C1309" s="1">
        <v>43466</v>
      </c>
      <c r="D1309">
        <v>7</v>
      </c>
      <c r="E1309" t="s">
        <v>12</v>
      </c>
      <c r="G1309" s="1">
        <v>45328</v>
      </c>
      <c r="H1309" s="1">
        <v>45070</v>
      </c>
      <c r="I1309">
        <v>32</v>
      </c>
      <c r="K1309">
        <v>855.54</v>
      </c>
    </row>
    <row r="1310" spans="1:11">
      <c r="A1310">
        <v>1309</v>
      </c>
      <c r="B1310" t="s">
        <v>81</v>
      </c>
      <c r="C1310" s="1">
        <v>33969</v>
      </c>
      <c r="D1310">
        <v>33</v>
      </c>
      <c r="E1310" t="s">
        <v>12</v>
      </c>
      <c r="F1310" t="s">
        <v>18</v>
      </c>
      <c r="G1310" s="1">
        <v>45220</v>
      </c>
      <c r="H1310" s="1">
        <v>45687</v>
      </c>
      <c r="I1310">
        <v>6</v>
      </c>
      <c r="J1310" t="s">
        <v>23</v>
      </c>
      <c r="K1310">
        <v>7967.53</v>
      </c>
    </row>
    <row r="1311" spans="1:11">
      <c r="A1311">
        <v>1310</v>
      </c>
      <c r="B1311" t="s">
        <v>54</v>
      </c>
      <c r="C1311" s="1">
        <v>33604</v>
      </c>
      <c r="D1311">
        <v>34</v>
      </c>
      <c r="E1311" t="s">
        <v>15</v>
      </c>
      <c r="F1311" t="s">
        <v>45</v>
      </c>
      <c r="G1311" s="1">
        <v>45097</v>
      </c>
      <c r="H1311" s="1">
        <v>45795</v>
      </c>
      <c r="I1311">
        <v>15</v>
      </c>
      <c r="J1311" t="s">
        <v>23</v>
      </c>
      <c r="K1311">
        <v>3170.32</v>
      </c>
    </row>
    <row r="1312" spans="1:11">
      <c r="A1312">
        <v>1311</v>
      </c>
      <c r="B1312" t="s">
        <v>133</v>
      </c>
      <c r="C1312" s="1">
        <v>14246</v>
      </c>
      <c r="D1312">
        <v>87</v>
      </c>
      <c r="E1312" t="s">
        <v>12</v>
      </c>
      <c r="F1312" t="s">
        <v>32</v>
      </c>
      <c r="G1312" s="1">
        <v>44958</v>
      </c>
      <c r="H1312" s="1">
        <v>45280</v>
      </c>
      <c r="I1312">
        <v>18</v>
      </c>
      <c r="J1312" t="s">
        <v>23</v>
      </c>
      <c r="K1312">
        <v>13745.11</v>
      </c>
    </row>
    <row r="1313" spans="1:11">
      <c r="A1313">
        <v>1312</v>
      </c>
      <c r="B1313" t="s">
        <v>64</v>
      </c>
      <c r="C1313" s="1">
        <v>17898</v>
      </c>
      <c r="D1313">
        <v>77</v>
      </c>
      <c r="E1313" t="s">
        <v>12</v>
      </c>
      <c r="G1313" s="1">
        <v>45189</v>
      </c>
      <c r="H1313" s="1">
        <v>45392</v>
      </c>
      <c r="I1313">
        <v>33</v>
      </c>
      <c r="J1313" t="s">
        <v>25</v>
      </c>
      <c r="K1313">
        <v>1484.11</v>
      </c>
    </row>
    <row r="1314" spans="1:11">
      <c r="A1314">
        <v>1313</v>
      </c>
      <c r="B1314" t="s">
        <v>58</v>
      </c>
      <c r="C1314" s="1">
        <v>34700</v>
      </c>
      <c r="D1314">
        <v>31</v>
      </c>
      <c r="E1314" t="s">
        <v>15</v>
      </c>
      <c r="F1314" t="s">
        <v>32</v>
      </c>
      <c r="G1314" s="1">
        <v>45141</v>
      </c>
      <c r="H1314" s="1">
        <v>45395</v>
      </c>
      <c r="I1314">
        <v>-2</v>
      </c>
      <c r="J1314" t="s">
        <v>19</v>
      </c>
      <c r="K1314">
        <v>10890.79</v>
      </c>
    </row>
    <row r="1315" spans="1:11">
      <c r="A1315">
        <v>1314</v>
      </c>
      <c r="B1315" t="s">
        <v>111</v>
      </c>
      <c r="D1315">
        <v>45</v>
      </c>
      <c r="E1315" t="s">
        <v>12</v>
      </c>
      <c r="G1315" s="1">
        <v>45484</v>
      </c>
      <c r="H1315" s="1">
        <v>45440</v>
      </c>
      <c r="I1315">
        <v>24</v>
      </c>
      <c r="J1315" t="s">
        <v>23</v>
      </c>
      <c r="K1315">
        <v>15439.34</v>
      </c>
    </row>
    <row r="1316" spans="1:11">
      <c r="A1316">
        <v>1315</v>
      </c>
      <c r="B1316" t="s">
        <v>83</v>
      </c>
      <c r="C1316" s="1">
        <v>40544</v>
      </c>
      <c r="D1316">
        <v>15</v>
      </c>
      <c r="E1316" t="s">
        <v>15</v>
      </c>
      <c r="F1316" t="s">
        <v>18</v>
      </c>
      <c r="G1316" s="1">
        <v>45115</v>
      </c>
      <c r="H1316" s="1">
        <v>45391</v>
      </c>
      <c r="I1316">
        <v>37</v>
      </c>
      <c r="J1316" t="s">
        <v>23</v>
      </c>
      <c r="K1316">
        <v>18996.2</v>
      </c>
    </row>
    <row r="1317" spans="1:11">
      <c r="A1317">
        <v>1316</v>
      </c>
      <c r="B1317" t="s">
        <v>95</v>
      </c>
      <c r="C1317" s="1">
        <v>21551</v>
      </c>
      <c r="D1317">
        <v>67</v>
      </c>
      <c r="E1317" t="s">
        <v>15</v>
      </c>
      <c r="F1317" t="s">
        <v>18</v>
      </c>
      <c r="G1317" s="1">
        <v>45509</v>
      </c>
      <c r="H1317" s="1">
        <v>45804</v>
      </c>
      <c r="I1317">
        <v>35</v>
      </c>
      <c r="J1317" t="s">
        <v>23</v>
      </c>
      <c r="K1317">
        <v>13940.4</v>
      </c>
    </row>
    <row r="1318" spans="1:11">
      <c r="A1318">
        <v>1317</v>
      </c>
      <c r="B1318" t="s">
        <v>122</v>
      </c>
      <c r="C1318" s="1">
        <v>32873</v>
      </c>
      <c r="D1318">
        <v>36</v>
      </c>
      <c r="E1318" t="s">
        <v>12</v>
      </c>
      <c r="F1318" t="s">
        <v>13</v>
      </c>
      <c r="G1318" s="1">
        <v>45526</v>
      </c>
      <c r="H1318" s="1">
        <v>45777</v>
      </c>
      <c r="I1318">
        <v>26</v>
      </c>
      <c r="K1318">
        <v>1899.78</v>
      </c>
    </row>
    <row r="1319" spans="1:11">
      <c r="A1319">
        <v>1318</v>
      </c>
      <c r="B1319" t="s">
        <v>58</v>
      </c>
      <c r="D1319">
        <v>53</v>
      </c>
      <c r="E1319" t="s">
        <v>15</v>
      </c>
      <c r="F1319" t="s">
        <v>16</v>
      </c>
      <c r="G1319" s="1">
        <v>45187</v>
      </c>
      <c r="H1319" s="1">
        <v>45321</v>
      </c>
      <c r="I1319">
        <v>37</v>
      </c>
      <c r="K1319">
        <v>1679.26</v>
      </c>
    </row>
    <row r="1320" spans="1:11">
      <c r="A1320">
        <v>1319</v>
      </c>
      <c r="B1320" t="s">
        <v>133</v>
      </c>
      <c r="C1320" s="1">
        <v>15341</v>
      </c>
      <c r="D1320">
        <v>84</v>
      </c>
      <c r="E1320" t="s">
        <v>12</v>
      </c>
      <c r="F1320" t="s">
        <v>32</v>
      </c>
      <c r="G1320" s="1">
        <v>45108</v>
      </c>
      <c r="H1320" s="1">
        <v>45713</v>
      </c>
      <c r="I1320">
        <v>16</v>
      </c>
      <c r="J1320" t="s">
        <v>23</v>
      </c>
      <c r="K1320">
        <v>14605.12</v>
      </c>
    </row>
    <row r="1321" spans="1:11">
      <c r="A1321">
        <v>1320</v>
      </c>
      <c r="B1321" t="s">
        <v>162</v>
      </c>
      <c r="C1321" s="1">
        <v>41274</v>
      </c>
      <c r="D1321">
        <v>13</v>
      </c>
      <c r="E1321" t="s">
        <v>12</v>
      </c>
      <c r="F1321" t="s">
        <v>32</v>
      </c>
      <c r="G1321" s="1">
        <v>45431</v>
      </c>
      <c r="H1321" s="1">
        <v>45680</v>
      </c>
      <c r="I1321">
        <v>21</v>
      </c>
      <c r="J1321" t="s">
        <v>25</v>
      </c>
      <c r="K1321">
        <v>4228.12</v>
      </c>
    </row>
    <row r="1322" spans="1:11">
      <c r="A1322">
        <v>1321</v>
      </c>
      <c r="B1322" t="s">
        <v>136</v>
      </c>
      <c r="C1322" s="1">
        <v>11689</v>
      </c>
      <c r="D1322">
        <v>94</v>
      </c>
      <c r="E1322" t="s">
        <v>15</v>
      </c>
      <c r="G1322" s="1">
        <v>45268</v>
      </c>
      <c r="H1322" s="1">
        <v>44985</v>
      </c>
      <c r="I1322">
        <v>-2</v>
      </c>
      <c r="J1322" t="s">
        <v>19</v>
      </c>
      <c r="K1322">
        <v>8889.51</v>
      </c>
    </row>
    <row r="1323" spans="1:11">
      <c r="A1323">
        <v>1322</v>
      </c>
      <c r="B1323" t="s">
        <v>171</v>
      </c>
      <c r="C1323" s="1">
        <v>26299</v>
      </c>
      <c r="D1323">
        <v>54</v>
      </c>
      <c r="E1323" t="s">
        <v>12</v>
      </c>
      <c r="F1323" t="s">
        <v>13</v>
      </c>
      <c r="G1323" s="1">
        <v>44948</v>
      </c>
      <c r="H1323" s="1">
        <v>45053</v>
      </c>
      <c r="I1323">
        <v>33</v>
      </c>
      <c r="K1323">
        <v>19530.080000000002</v>
      </c>
    </row>
    <row r="1324" spans="1:11">
      <c r="A1324">
        <v>1323</v>
      </c>
      <c r="B1324" t="s">
        <v>49</v>
      </c>
      <c r="C1324" s="1">
        <v>28856</v>
      </c>
      <c r="D1324">
        <v>47</v>
      </c>
      <c r="E1324" t="s">
        <v>12</v>
      </c>
      <c r="F1324" t="s">
        <v>32</v>
      </c>
      <c r="G1324" s="1">
        <v>45000</v>
      </c>
      <c r="H1324" s="1">
        <v>45768</v>
      </c>
      <c r="I1324">
        <v>20</v>
      </c>
      <c r="J1324" t="s">
        <v>19</v>
      </c>
      <c r="K1324">
        <v>16380.13</v>
      </c>
    </row>
    <row r="1325" spans="1:11">
      <c r="A1325">
        <v>1324</v>
      </c>
      <c r="B1325" t="s">
        <v>33</v>
      </c>
      <c r="C1325" s="1">
        <v>16437</v>
      </c>
      <c r="D1325">
        <v>81</v>
      </c>
      <c r="E1325" t="s">
        <v>15</v>
      </c>
      <c r="G1325" s="1">
        <v>45528</v>
      </c>
      <c r="H1325" s="1">
        <v>45805</v>
      </c>
      <c r="I1325">
        <v>10</v>
      </c>
      <c r="J1325" t="s">
        <v>23</v>
      </c>
      <c r="K1325">
        <v>16916.53</v>
      </c>
    </row>
    <row r="1326" spans="1:11">
      <c r="A1326">
        <v>1325</v>
      </c>
      <c r="B1326" t="s">
        <v>135</v>
      </c>
      <c r="D1326">
        <v>6</v>
      </c>
      <c r="E1326" t="s">
        <v>15</v>
      </c>
      <c r="F1326" t="s">
        <v>45</v>
      </c>
      <c r="G1326" s="1">
        <v>45092</v>
      </c>
      <c r="H1326" s="1">
        <v>45388</v>
      </c>
      <c r="I1326">
        <v>27</v>
      </c>
      <c r="K1326">
        <v>17201.48</v>
      </c>
    </row>
    <row r="1327" spans="1:11">
      <c r="A1327">
        <v>1326</v>
      </c>
      <c r="B1327" t="s">
        <v>157</v>
      </c>
      <c r="C1327" s="1">
        <v>19359</v>
      </c>
      <c r="D1327">
        <v>73</v>
      </c>
      <c r="E1327" t="s">
        <v>15</v>
      </c>
      <c r="F1327" t="s">
        <v>18</v>
      </c>
      <c r="G1327" s="1">
        <v>45160</v>
      </c>
      <c r="H1327" s="1">
        <v>44979</v>
      </c>
      <c r="I1327">
        <v>34</v>
      </c>
      <c r="J1327" t="s">
        <v>19</v>
      </c>
      <c r="K1327">
        <v>12352.86</v>
      </c>
    </row>
    <row r="1328" spans="1:11">
      <c r="A1328">
        <v>1327</v>
      </c>
      <c r="B1328" t="s">
        <v>150</v>
      </c>
      <c r="C1328" s="1">
        <v>43831</v>
      </c>
      <c r="D1328">
        <v>6</v>
      </c>
      <c r="E1328" t="s">
        <v>15</v>
      </c>
      <c r="F1328" t="s">
        <v>18</v>
      </c>
      <c r="G1328" s="1">
        <v>45301</v>
      </c>
      <c r="H1328" s="1">
        <v>45662</v>
      </c>
      <c r="I1328">
        <v>8</v>
      </c>
      <c r="J1328" t="s">
        <v>23</v>
      </c>
      <c r="K1328">
        <v>14853.07</v>
      </c>
    </row>
    <row r="1329" spans="1:11">
      <c r="A1329">
        <v>1328</v>
      </c>
      <c r="B1329" t="s">
        <v>144</v>
      </c>
      <c r="C1329" s="1">
        <v>34334</v>
      </c>
      <c r="D1329">
        <v>32</v>
      </c>
      <c r="E1329" t="s">
        <v>15</v>
      </c>
      <c r="F1329" t="s">
        <v>16</v>
      </c>
      <c r="G1329" s="1">
        <v>45359</v>
      </c>
      <c r="H1329" s="1">
        <v>45741</v>
      </c>
      <c r="I1329">
        <v>4</v>
      </c>
      <c r="K1329">
        <v>7115.11</v>
      </c>
    </row>
    <row r="1330" spans="1:11">
      <c r="A1330">
        <v>1329</v>
      </c>
      <c r="B1330" t="s">
        <v>162</v>
      </c>
      <c r="D1330">
        <v>22</v>
      </c>
      <c r="E1330" t="s">
        <v>15</v>
      </c>
      <c r="F1330" t="s">
        <v>18</v>
      </c>
      <c r="G1330" s="1">
        <v>45567</v>
      </c>
      <c r="H1330" s="1">
        <v>45802</v>
      </c>
      <c r="I1330">
        <v>32</v>
      </c>
      <c r="J1330" t="s">
        <v>23</v>
      </c>
      <c r="K1330">
        <v>19968.77</v>
      </c>
    </row>
    <row r="1331" spans="1:11">
      <c r="A1331">
        <v>1330</v>
      </c>
      <c r="B1331" t="s">
        <v>133</v>
      </c>
      <c r="C1331" s="1">
        <v>15341</v>
      </c>
      <c r="D1331">
        <v>84</v>
      </c>
      <c r="E1331" t="s">
        <v>15</v>
      </c>
      <c r="F1331" t="s">
        <v>21</v>
      </c>
      <c r="G1331" s="1">
        <v>45260</v>
      </c>
      <c r="H1331" s="1">
        <v>45196</v>
      </c>
      <c r="I1331">
        <v>8</v>
      </c>
      <c r="K1331">
        <v>5520.41</v>
      </c>
    </row>
    <row r="1332" spans="1:11">
      <c r="A1332">
        <v>1331</v>
      </c>
      <c r="B1332" t="s">
        <v>57</v>
      </c>
      <c r="C1332" s="1">
        <v>39448</v>
      </c>
      <c r="D1332">
        <v>18</v>
      </c>
      <c r="E1332" t="s">
        <v>12</v>
      </c>
      <c r="F1332" t="s">
        <v>45</v>
      </c>
      <c r="G1332" s="1">
        <v>45533</v>
      </c>
      <c r="H1332" s="1">
        <v>45023</v>
      </c>
      <c r="I1332">
        <v>37</v>
      </c>
      <c r="J1332" t="s">
        <v>19</v>
      </c>
      <c r="K1332">
        <v>11759.15</v>
      </c>
    </row>
    <row r="1333" spans="1:11">
      <c r="A1333">
        <v>1332</v>
      </c>
      <c r="B1333" t="s">
        <v>120</v>
      </c>
      <c r="C1333" s="1">
        <v>39448</v>
      </c>
      <c r="D1333">
        <v>18</v>
      </c>
      <c r="E1333" t="s">
        <v>15</v>
      </c>
      <c r="F1333" t="s">
        <v>45</v>
      </c>
      <c r="G1333" s="1">
        <v>45466</v>
      </c>
      <c r="H1333" s="1">
        <v>45200</v>
      </c>
      <c r="I1333">
        <v>18</v>
      </c>
      <c r="J1333" t="s">
        <v>19</v>
      </c>
      <c r="K1333">
        <v>5569.44</v>
      </c>
    </row>
    <row r="1334" spans="1:11">
      <c r="A1334">
        <v>1333</v>
      </c>
      <c r="B1334" t="s">
        <v>63</v>
      </c>
      <c r="D1334">
        <v>35</v>
      </c>
      <c r="E1334" t="s">
        <v>12</v>
      </c>
      <c r="F1334" t="s">
        <v>13</v>
      </c>
      <c r="G1334" s="1">
        <v>44961</v>
      </c>
      <c r="H1334" s="1">
        <v>45250</v>
      </c>
      <c r="I1334">
        <v>0</v>
      </c>
      <c r="K1334">
        <v>2152.63</v>
      </c>
    </row>
    <row r="1335" spans="1:11">
      <c r="A1335">
        <v>1334</v>
      </c>
      <c r="B1335" t="s">
        <v>33</v>
      </c>
      <c r="C1335" s="1">
        <v>35795</v>
      </c>
      <c r="D1335">
        <v>28</v>
      </c>
      <c r="E1335" t="s">
        <v>12</v>
      </c>
      <c r="F1335" t="s">
        <v>21</v>
      </c>
      <c r="G1335" s="1">
        <v>45370</v>
      </c>
      <c r="H1335" s="1">
        <v>45500</v>
      </c>
      <c r="I1335">
        <v>27</v>
      </c>
      <c r="J1335" t="s">
        <v>25</v>
      </c>
      <c r="K1335">
        <v>11308.47</v>
      </c>
    </row>
    <row r="1336" spans="1:11">
      <c r="A1336">
        <v>1335</v>
      </c>
      <c r="B1336" t="s">
        <v>38</v>
      </c>
      <c r="C1336" s="1">
        <v>24473</v>
      </c>
      <c r="D1336">
        <v>59</v>
      </c>
      <c r="E1336" t="s">
        <v>12</v>
      </c>
      <c r="F1336" t="s">
        <v>32</v>
      </c>
      <c r="G1336" s="1">
        <v>45157</v>
      </c>
      <c r="H1336" s="1">
        <v>45760</v>
      </c>
      <c r="I1336">
        <v>21</v>
      </c>
      <c r="J1336" t="s">
        <v>23</v>
      </c>
      <c r="K1336">
        <v>7002.31</v>
      </c>
    </row>
    <row r="1337" spans="1:11">
      <c r="A1337">
        <v>1336</v>
      </c>
      <c r="B1337" t="s">
        <v>124</v>
      </c>
      <c r="C1337" s="1">
        <v>16437</v>
      </c>
      <c r="D1337">
        <v>81</v>
      </c>
      <c r="E1337" t="s">
        <v>15</v>
      </c>
      <c r="F1337" t="s">
        <v>16</v>
      </c>
      <c r="G1337" s="1">
        <v>45244</v>
      </c>
      <c r="H1337" s="1">
        <v>45620</v>
      </c>
      <c r="I1337">
        <v>35</v>
      </c>
      <c r="J1337" t="s">
        <v>19</v>
      </c>
      <c r="K1337">
        <v>11622.71</v>
      </c>
    </row>
    <row r="1338" spans="1:11">
      <c r="A1338">
        <v>1337</v>
      </c>
      <c r="B1338" t="s">
        <v>55</v>
      </c>
      <c r="C1338" s="1">
        <v>45657</v>
      </c>
      <c r="D1338">
        <v>1</v>
      </c>
      <c r="E1338" t="s">
        <v>12</v>
      </c>
      <c r="F1338" t="s">
        <v>45</v>
      </c>
      <c r="G1338" s="1">
        <v>45269</v>
      </c>
      <c r="H1338" s="1">
        <v>45060</v>
      </c>
      <c r="I1338">
        <v>0</v>
      </c>
      <c r="J1338" t="s">
        <v>25</v>
      </c>
      <c r="K1338">
        <v>11129.44</v>
      </c>
    </row>
    <row r="1339" spans="1:11">
      <c r="A1339">
        <v>1338</v>
      </c>
      <c r="B1339" t="s">
        <v>39</v>
      </c>
      <c r="C1339" s="1">
        <v>46022</v>
      </c>
      <c r="E1339" t="s">
        <v>12</v>
      </c>
      <c r="F1339" t="s">
        <v>21</v>
      </c>
      <c r="G1339" s="1">
        <v>45356</v>
      </c>
      <c r="H1339" s="1">
        <v>45016</v>
      </c>
      <c r="I1339">
        <v>34</v>
      </c>
      <c r="K1339">
        <v>10799.36</v>
      </c>
    </row>
    <row r="1340" spans="1:11">
      <c r="A1340">
        <v>1339</v>
      </c>
      <c r="B1340" t="s">
        <v>82</v>
      </c>
      <c r="C1340" s="1">
        <v>29221</v>
      </c>
      <c r="D1340">
        <v>46</v>
      </c>
      <c r="E1340" t="s">
        <v>12</v>
      </c>
      <c r="F1340" t="s">
        <v>21</v>
      </c>
      <c r="G1340" s="1">
        <v>45563</v>
      </c>
      <c r="H1340" s="1">
        <v>45612</v>
      </c>
      <c r="I1340">
        <v>30</v>
      </c>
      <c r="J1340" t="s">
        <v>19</v>
      </c>
      <c r="K1340">
        <v>2378.35</v>
      </c>
    </row>
    <row r="1341" spans="1:11">
      <c r="A1341">
        <v>1340</v>
      </c>
      <c r="B1341" t="s">
        <v>130</v>
      </c>
      <c r="C1341" s="1">
        <v>21185</v>
      </c>
      <c r="D1341">
        <v>68</v>
      </c>
      <c r="E1341" t="s">
        <v>15</v>
      </c>
      <c r="G1341" s="1">
        <v>45392</v>
      </c>
      <c r="H1341" s="1">
        <v>45751</v>
      </c>
      <c r="I1341">
        <v>19</v>
      </c>
      <c r="J1341" t="s">
        <v>19</v>
      </c>
      <c r="K1341">
        <v>8747.6299999999992</v>
      </c>
    </row>
    <row r="1342" spans="1:11">
      <c r="A1342">
        <v>1341</v>
      </c>
      <c r="B1342" t="s">
        <v>65</v>
      </c>
      <c r="C1342" s="1">
        <v>39083</v>
      </c>
      <c r="D1342">
        <v>19</v>
      </c>
      <c r="E1342" t="s">
        <v>15</v>
      </c>
      <c r="F1342" t="s">
        <v>45</v>
      </c>
      <c r="G1342" s="1">
        <v>45005</v>
      </c>
      <c r="H1342" s="1">
        <v>44932</v>
      </c>
      <c r="I1342">
        <v>28</v>
      </c>
      <c r="J1342" t="s">
        <v>23</v>
      </c>
      <c r="K1342">
        <v>16221.28</v>
      </c>
    </row>
    <row r="1343" spans="1:11">
      <c r="A1343">
        <v>1342</v>
      </c>
      <c r="B1343" t="s">
        <v>78</v>
      </c>
      <c r="C1343" s="1">
        <v>42370</v>
      </c>
      <c r="D1343">
        <v>10</v>
      </c>
      <c r="E1343" t="s">
        <v>12</v>
      </c>
      <c r="G1343" s="1">
        <v>45499</v>
      </c>
      <c r="H1343" s="1">
        <v>45284</v>
      </c>
      <c r="I1343">
        <v>9</v>
      </c>
      <c r="J1343" t="s">
        <v>25</v>
      </c>
      <c r="K1343">
        <v>6234.38</v>
      </c>
    </row>
    <row r="1344" spans="1:11">
      <c r="A1344">
        <v>1343</v>
      </c>
      <c r="B1344" t="s">
        <v>46</v>
      </c>
      <c r="C1344" s="1">
        <v>45657</v>
      </c>
      <c r="D1344">
        <v>1</v>
      </c>
      <c r="E1344" t="s">
        <v>15</v>
      </c>
      <c r="F1344" t="s">
        <v>13</v>
      </c>
      <c r="G1344" s="1">
        <v>45375</v>
      </c>
      <c r="H1344" s="1">
        <v>45270</v>
      </c>
      <c r="I1344">
        <v>11</v>
      </c>
      <c r="J1344" t="s">
        <v>23</v>
      </c>
      <c r="K1344">
        <v>8821.01</v>
      </c>
    </row>
    <row r="1345" spans="1:11">
      <c r="A1345">
        <v>1344</v>
      </c>
      <c r="B1345" t="s">
        <v>28</v>
      </c>
      <c r="C1345" s="1">
        <v>21916</v>
      </c>
      <c r="D1345">
        <v>66</v>
      </c>
      <c r="E1345" t="s">
        <v>15</v>
      </c>
      <c r="F1345" t="s">
        <v>21</v>
      </c>
      <c r="G1345" s="1">
        <v>45655</v>
      </c>
      <c r="H1345" s="1">
        <v>45131</v>
      </c>
      <c r="I1345">
        <v>9</v>
      </c>
      <c r="K1345">
        <v>9826.01</v>
      </c>
    </row>
    <row r="1346" spans="1:11">
      <c r="A1346">
        <v>1345</v>
      </c>
      <c r="B1346" t="s">
        <v>35</v>
      </c>
      <c r="C1346" s="1">
        <v>14611</v>
      </c>
      <c r="D1346">
        <v>86</v>
      </c>
      <c r="E1346" t="s">
        <v>15</v>
      </c>
      <c r="F1346" t="s">
        <v>18</v>
      </c>
      <c r="G1346" s="1">
        <v>45208</v>
      </c>
      <c r="H1346" s="1">
        <v>45601</v>
      </c>
      <c r="I1346">
        <v>24</v>
      </c>
      <c r="J1346" t="s">
        <v>19</v>
      </c>
      <c r="K1346">
        <v>17240.900000000001</v>
      </c>
    </row>
    <row r="1347" spans="1:11">
      <c r="A1347">
        <v>1346</v>
      </c>
      <c r="B1347" t="s">
        <v>131</v>
      </c>
      <c r="C1347" s="1">
        <v>42005</v>
      </c>
      <c r="D1347">
        <v>11</v>
      </c>
      <c r="E1347" t="s">
        <v>12</v>
      </c>
      <c r="F1347" t="s">
        <v>21</v>
      </c>
      <c r="G1347" s="1">
        <v>45601</v>
      </c>
      <c r="H1347" s="1">
        <v>45500</v>
      </c>
      <c r="I1347">
        <v>10</v>
      </c>
      <c r="J1347" t="s">
        <v>25</v>
      </c>
      <c r="K1347">
        <v>13077.56</v>
      </c>
    </row>
    <row r="1348" spans="1:11">
      <c r="A1348">
        <v>1347</v>
      </c>
      <c r="B1348" t="s">
        <v>161</v>
      </c>
      <c r="C1348" s="1">
        <v>39083</v>
      </c>
      <c r="D1348">
        <v>19</v>
      </c>
      <c r="F1348" t="s">
        <v>32</v>
      </c>
      <c r="G1348" s="1">
        <v>44983</v>
      </c>
      <c r="H1348" s="1">
        <v>45398</v>
      </c>
      <c r="I1348">
        <v>21</v>
      </c>
      <c r="J1348" t="s">
        <v>23</v>
      </c>
      <c r="K1348">
        <v>1914.07</v>
      </c>
    </row>
    <row r="1349" spans="1:11">
      <c r="A1349">
        <v>1348</v>
      </c>
      <c r="B1349" t="s">
        <v>164</v>
      </c>
      <c r="C1349" s="1">
        <v>44561</v>
      </c>
      <c r="D1349">
        <v>4</v>
      </c>
      <c r="E1349" t="s">
        <v>15</v>
      </c>
      <c r="F1349" t="s">
        <v>45</v>
      </c>
      <c r="G1349" s="1">
        <v>45117</v>
      </c>
      <c r="H1349" s="1">
        <v>45391</v>
      </c>
      <c r="I1349">
        <v>35</v>
      </c>
      <c r="J1349" t="s">
        <v>25</v>
      </c>
      <c r="K1349">
        <v>17289.939999999999</v>
      </c>
    </row>
    <row r="1350" spans="1:11">
      <c r="A1350">
        <v>1349</v>
      </c>
      <c r="B1350" t="s">
        <v>78</v>
      </c>
      <c r="C1350" s="1">
        <v>32873</v>
      </c>
      <c r="E1350" t="s">
        <v>12</v>
      </c>
      <c r="F1350" t="s">
        <v>32</v>
      </c>
      <c r="G1350" s="1">
        <v>45570</v>
      </c>
      <c r="H1350" s="1">
        <v>45424</v>
      </c>
      <c r="I1350">
        <v>6</v>
      </c>
      <c r="K1350">
        <v>16624.53</v>
      </c>
    </row>
    <row r="1351" spans="1:11">
      <c r="A1351">
        <v>1350</v>
      </c>
      <c r="B1351" t="s">
        <v>82</v>
      </c>
      <c r="C1351" s="1">
        <v>32508</v>
      </c>
      <c r="D1351">
        <v>37</v>
      </c>
      <c r="E1351" t="s">
        <v>12</v>
      </c>
      <c r="F1351" t="s">
        <v>13</v>
      </c>
      <c r="G1351" s="1">
        <v>45389</v>
      </c>
      <c r="H1351" s="1">
        <v>45629</v>
      </c>
      <c r="I1351">
        <v>5</v>
      </c>
      <c r="J1351" t="s">
        <v>19</v>
      </c>
      <c r="K1351">
        <v>15048.28</v>
      </c>
    </row>
    <row r="1352" spans="1:11">
      <c r="A1352">
        <v>1351</v>
      </c>
      <c r="B1352" t="s">
        <v>56</v>
      </c>
      <c r="C1352" s="1">
        <v>12054</v>
      </c>
      <c r="D1352">
        <v>93</v>
      </c>
      <c r="E1352" t="s">
        <v>12</v>
      </c>
      <c r="F1352" t="s">
        <v>16</v>
      </c>
      <c r="G1352" s="1">
        <v>44968</v>
      </c>
      <c r="H1352" s="1">
        <v>45764</v>
      </c>
      <c r="I1352">
        <v>34</v>
      </c>
      <c r="J1352" t="s">
        <v>25</v>
      </c>
      <c r="K1352">
        <v>9267.77</v>
      </c>
    </row>
    <row r="1353" spans="1:11">
      <c r="A1353">
        <v>1352</v>
      </c>
      <c r="B1353" t="s">
        <v>93</v>
      </c>
      <c r="C1353" s="1">
        <v>43100</v>
      </c>
      <c r="D1353">
        <v>8</v>
      </c>
      <c r="E1353" t="s">
        <v>12</v>
      </c>
      <c r="F1353" t="s">
        <v>18</v>
      </c>
      <c r="G1353" s="1">
        <v>45412</v>
      </c>
      <c r="H1353" s="1">
        <v>44990</v>
      </c>
      <c r="I1353">
        <v>12</v>
      </c>
      <c r="K1353">
        <v>15126.66</v>
      </c>
    </row>
    <row r="1354" spans="1:11">
      <c r="A1354">
        <v>1353</v>
      </c>
      <c r="B1354" t="s">
        <v>141</v>
      </c>
      <c r="C1354" s="1">
        <v>27029</v>
      </c>
      <c r="D1354">
        <v>52</v>
      </c>
      <c r="E1354" t="s">
        <v>12</v>
      </c>
      <c r="F1354" t="s">
        <v>45</v>
      </c>
      <c r="G1354" s="1">
        <v>45099</v>
      </c>
      <c r="H1354" s="1">
        <v>45483</v>
      </c>
      <c r="I1354">
        <v>4</v>
      </c>
      <c r="K1354">
        <v>9522.7199999999993</v>
      </c>
    </row>
    <row r="1355" spans="1:11">
      <c r="A1355">
        <v>1354</v>
      </c>
      <c r="B1355" t="s">
        <v>55</v>
      </c>
      <c r="C1355" s="1">
        <v>30317</v>
      </c>
      <c r="D1355">
        <v>43</v>
      </c>
      <c r="E1355" t="s">
        <v>12</v>
      </c>
      <c r="F1355" t="s">
        <v>21</v>
      </c>
      <c r="G1355" s="1">
        <v>45605</v>
      </c>
      <c r="H1355" s="1">
        <v>45166</v>
      </c>
      <c r="I1355">
        <v>21</v>
      </c>
      <c r="J1355" t="s">
        <v>19</v>
      </c>
      <c r="K1355">
        <v>14706.13</v>
      </c>
    </row>
    <row r="1356" spans="1:11">
      <c r="A1356">
        <v>1355</v>
      </c>
      <c r="B1356" t="s">
        <v>26</v>
      </c>
      <c r="C1356" s="1">
        <v>14976</v>
      </c>
      <c r="D1356">
        <v>85</v>
      </c>
      <c r="E1356" t="s">
        <v>15</v>
      </c>
      <c r="F1356" t="s">
        <v>18</v>
      </c>
      <c r="G1356" s="1">
        <v>45176</v>
      </c>
      <c r="H1356" s="1">
        <v>45467</v>
      </c>
      <c r="I1356">
        <v>13</v>
      </c>
      <c r="J1356" t="s">
        <v>23</v>
      </c>
      <c r="K1356">
        <v>17590.21</v>
      </c>
    </row>
    <row r="1357" spans="1:11">
      <c r="A1357">
        <v>1356</v>
      </c>
      <c r="B1357" t="s">
        <v>58</v>
      </c>
      <c r="C1357" s="1">
        <v>37622</v>
      </c>
      <c r="D1357">
        <v>23</v>
      </c>
      <c r="E1357" t="s">
        <v>12</v>
      </c>
      <c r="F1357" t="s">
        <v>21</v>
      </c>
      <c r="G1357" s="1">
        <v>45436</v>
      </c>
      <c r="H1357" s="1">
        <v>45125</v>
      </c>
      <c r="I1357">
        <v>21</v>
      </c>
      <c r="J1357" t="s">
        <v>19</v>
      </c>
      <c r="K1357">
        <v>17799.89</v>
      </c>
    </row>
    <row r="1358" spans="1:11">
      <c r="A1358">
        <v>1357</v>
      </c>
      <c r="B1358" t="s">
        <v>165</v>
      </c>
      <c r="C1358" s="1">
        <v>16802</v>
      </c>
      <c r="D1358">
        <v>80</v>
      </c>
      <c r="E1358" t="s">
        <v>15</v>
      </c>
      <c r="F1358" t="s">
        <v>13</v>
      </c>
      <c r="G1358" s="1">
        <v>45428</v>
      </c>
      <c r="H1358" s="1">
        <v>45708</v>
      </c>
      <c r="I1358">
        <v>4</v>
      </c>
      <c r="J1358" t="s">
        <v>19</v>
      </c>
      <c r="K1358">
        <v>9037.0300000000007</v>
      </c>
    </row>
    <row r="1359" spans="1:11">
      <c r="A1359">
        <v>1358</v>
      </c>
      <c r="B1359" t="s">
        <v>121</v>
      </c>
      <c r="C1359" s="1">
        <v>19359</v>
      </c>
      <c r="D1359">
        <v>73</v>
      </c>
      <c r="E1359" t="s">
        <v>15</v>
      </c>
      <c r="F1359" t="s">
        <v>16</v>
      </c>
      <c r="G1359" s="1">
        <v>45119</v>
      </c>
      <c r="H1359" s="1">
        <v>45610</v>
      </c>
      <c r="I1359">
        <v>25</v>
      </c>
      <c r="J1359" t="s">
        <v>25</v>
      </c>
      <c r="K1359">
        <v>17172.79</v>
      </c>
    </row>
    <row r="1360" spans="1:11">
      <c r="A1360">
        <v>1359</v>
      </c>
      <c r="B1360" t="s">
        <v>69</v>
      </c>
      <c r="C1360" s="1">
        <v>35430</v>
      </c>
      <c r="D1360">
        <v>29</v>
      </c>
      <c r="E1360" t="s">
        <v>12</v>
      </c>
      <c r="F1360" t="s">
        <v>45</v>
      </c>
      <c r="G1360" s="1">
        <v>45091</v>
      </c>
      <c r="H1360" s="1">
        <v>44957</v>
      </c>
      <c r="I1360">
        <v>-1</v>
      </c>
      <c r="J1360" t="s">
        <v>25</v>
      </c>
      <c r="K1360">
        <v>1939.29</v>
      </c>
    </row>
    <row r="1361" spans="1:11">
      <c r="A1361">
        <v>1360</v>
      </c>
      <c r="B1361" t="s">
        <v>75</v>
      </c>
      <c r="C1361" s="1">
        <v>24838</v>
      </c>
      <c r="E1361" t="s">
        <v>12</v>
      </c>
      <c r="F1361" t="s">
        <v>13</v>
      </c>
      <c r="G1361" s="1">
        <v>45016</v>
      </c>
      <c r="H1361" s="1">
        <v>45593</v>
      </c>
      <c r="I1361">
        <v>31</v>
      </c>
      <c r="J1361" t="s">
        <v>23</v>
      </c>
      <c r="K1361">
        <v>1946.57</v>
      </c>
    </row>
    <row r="1362" spans="1:11">
      <c r="A1362">
        <v>1361</v>
      </c>
      <c r="B1362" t="s">
        <v>14</v>
      </c>
      <c r="C1362" s="1">
        <v>14611</v>
      </c>
      <c r="D1362">
        <v>86</v>
      </c>
      <c r="E1362" t="s">
        <v>12</v>
      </c>
      <c r="F1362" t="s">
        <v>13</v>
      </c>
      <c r="G1362" s="1">
        <v>45617</v>
      </c>
      <c r="H1362" s="1">
        <v>45136</v>
      </c>
      <c r="I1362">
        <v>35</v>
      </c>
      <c r="K1362">
        <v>10920.17</v>
      </c>
    </row>
    <row r="1363" spans="1:11">
      <c r="A1363">
        <v>1362</v>
      </c>
      <c r="B1363" t="s">
        <v>112</v>
      </c>
      <c r="C1363" s="1">
        <v>16802</v>
      </c>
      <c r="D1363">
        <v>80</v>
      </c>
      <c r="E1363" t="s">
        <v>15</v>
      </c>
      <c r="F1363" t="s">
        <v>16</v>
      </c>
      <c r="G1363" s="1">
        <v>44984</v>
      </c>
      <c r="H1363" s="1">
        <v>44990</v>
      </c>
      <c r="I1363">
        <v>0</v>
      </c>
      <c r="J1363" t="s">
        <v>25</v>
      </c>
      <c r="K1363">
        <v>13002.08</v>
      </c>
    </row>
    <row r="1364" spans="1:11">
      <c r="A1364">
        <v>1363</v>
      </c>
      <c r="B1364" t="s">
        <v>59</v>
      </c>
      <c r="C1364" s="1">
        <v>16802</v>
      </c>
      <c r="D1364">
        <v>80</v>
      </c>
      <c r="E1364" t="s">
        <v>15</v>
      </c>
      <c r="F1364" t="s">
        <v>13</v>
      </c>
      <c r="G1364" s="1">
        <v>45189</v>
      </c>
      <c r="H1364" s="1">
        <v>45768</v>
      </c>
      <c r="I1364">
        <v>-2</v>
      </c>
      <c r="J1364" t="s">
        <v>23</v>
      </c>
      <c r="K1364">
        <v>2975.17</v>
      </c>
    </row>
    <row r="1365" spans="1:11">
      <c r="A1365">
        <v>1364</v>
      </c>
      <c r="B1365" t="s">
        <v>91</v>
      </c>
      <c r="C1365" s="1">
        <v>41274</v>
      </c>
      <c r="D1365">
        <v>13</v>
      </c>
      <c r="E1365" t="s">
        <v>12</v>
      </c>
      <c r="F1365" t="s">
        <v>13</v>
      </c>
      <c r="G1365" s="1">
        <v>45574</v>
      </c>
      <c r="H1365" s="1">
        <v>44984</v>
      </c>
      <c r="I1365">
        <v>28</v>
      </c>
      <c r="J1365" t="s">
        <v>19</v>
      </c>
      <c r="K1365">
        <v>9390.82</v>
      </c>
    </row>
    <row r="1366" spans="1:11">
      <c r="A1366">
        <v>1365</v>
      </c>
      <c r="B1366" t="s">
        <v>52</v>
      </c>
      <c r="C1366" s="1">
        <v>43100</v>
      </c>
      <c r="E1366" t="s">
        <v>15</v>
      </c>
      <c r="F1366" t="s">
        <v>21</v>
      </c>
      <c r="G1366" s="1">
        <v>45169</v>
      </c>
      <c r="H1366" s="1">
        <v>45759</v>
      </c>
      <c r="I1366">
        <v>20</v>
      </c>
      <c r="K1366">
        <v>1796.69</v>
      </c>
    </row>
    <row r="1367" spans="1:11">
      <c r="A1367">
        <v>1366</v>
      </c>
      <c r="B1367" t="s">
        <v>133</v>
      </c>
      <c r="C1367" s="1">
        <v>31778</v>
      </c>
      <c r="D1367">
        <v>39</v>
      </c>
      <c r="E1367" t="s">
        <v>12</v>
      </c>
      <c r="G1367" s="1">
        <v>45589</v>
      </c>
      <c r="H1367" s="1">
        <v>45647</v>
      </c>
      <c r="I1367">
        <v>17</v>
      </c>
      <c r="J1367" t="s">
        <v>19</v>
      </c>
      <c r="K1367">
        <v>12002.2</v>
      </c>
    </row>
    <row r="1368" spans="1:11">
      <c r="A1368">
        <v>1367</v>
      </c>
      <c r="B1368" t="s">
        <v>115</v>
      </c>
      <c r="C1368" s="1">
        <v>22281</v>
      </c>
      <c r="D1368">
        <v>65</v>
      </c>
      <c r="E1368" t="s">
        <v>15</v>
      </c>
      <c r="F1368" t="s">
        <v>32</v>
      </c>
      <c r="G1368" s="1">
        <v>45145</v>
      </c>
      <c r="H1368" s="1">
        <v>45360</v>
      </c>
      <c r="I1368">
        <v>13</v>
      </c>
      <c r="K1368">
        <v>17087.39</v>
      </c>
    </row>
    <row r="1369" spans="1:11">
      <c r="A1369">
        <v>1368</v>
      </c>
      <c r="B1369" t="s">
        <v>151</v>
      </c>
      <c r="C1369" s="1">
        <v>37256</v>
      </c>
      <c r="D1369">
        <v>24</v>
      </c>
      <c r="E1369" t="s">
        <v>15</v>
      </c>
      <c r="F1369" t="s">
        <v>21</v>
      </c>
      <c r="G1369" s="1">
        <v>44935</v>
      </c>
      <c r="H1369" s="1">
        <v>45235</v>
      </c>
      <c r="I1369">
        <v>29</v>
      </c>
      <c r="J1369" t="s">
        <v>25</v>
      </c>
      <c r="K1369">
        <v>14726.54</v>
      </c>
    </row>
    <row r="1370" spans="1:11">
      <c r="A1370">
        <v>1369</v>
      </c>
      <c r="B1370" t="s">
        <v>148</v>
      </c>
      <c r="C1370" s="1">
        <v>19724</v>
      </c>
      <c r="D1370">
        <v>72</v>
      </c>
      <c r="F1370" t="s">
        <v>16</v>
      </c>
      <c r="G1370" s="1">
        <v>45356</v>
      </c>
      <c r="H1370" s="1">
        <v>45502</v>
      </c>
      <c r="I1370">
        <v>14</v>
      </c>
      <c r="J1370" t="s">
        <v>19</v>
      </c>
      <c r="K1370">
        <v>7503.66</v>
      </c>
    </row>
    <row r="1371" spans="1:11">
      <c r="A1371">
        <v>1370</v>
      </c>
      <c r="B1371" t="s">
        <v>138</v>
      </c>
      <c r="C1371" s="1">
        <v>38352</v>
      </c>
      <c r="D1371">
        <v>21</v>
      </c>
      <c r="E1371" t="s">
        <v>15</v>
      </c>
      <c r="F1371" t="s">
        <v>18</v>
      </c>
      <c r="G1371" s="1">
        <v>44939</v>
      </c>
      <c r="H1371" s="1">
        <v>45687</v>
      </c>
      <c r="I1371">
        <v>15</v>
      </c>
      <c r="J1371" t="s">
        <v>19</v>
      </c>
      <c r="K1371">
        <v>19875.259999999998</v>
      </c>
    </row>
    <row r="1372" spans="1:11">
      <c r="A1372">
        <v>1371</v>
      </c>
      <c r="B1372" t="s">
        <v>114</v>
      </c>
      <c r="C1372" s="1">
        <v>44927</v>
      </c>
      <c r="D1372">
        <v>3</v>
      </c>
      <c r="E1372" t="s">
        <v>15</v>
      </c>
      <c r="F1372" t="s">
        <v>16</v>
      </c>
      <c r="G1372" s="1">
        <v>45151</v>
      </c>
      <c r="H1372" s="1">
        <v>45393</v>
      </c>
      <c r="I1372">
        <v>1</v>
      </c>
      <c r="K1372">
        <v>13224.99</v>
      </c>
    </row>
    <row r="1373" spans="1:11">
      <c r="A1373">
        <v>1372</v>
      </c>
      <c r="B1373" t="s">
        <v>106</v>
      </c>
      <c r="C1373" s="1">
        <v>36891</v>
      </c>
      <c r="D1373">
        <v>25</v>
      </c>
      <c r="E1373" t="s">
        <v>15</v>
      </c>
      <c r="F1373" t="s">
        <v>16</v>
      </c>
      <c r="G1373" s="1">
        <v>45616</v>
      </c>
      <c r="H1373" s="1">
        <v>45580</v>
      </c>
      <c r="I1373">
        <v>32</v>
      </c>
      <c r="J1373" t="s">
        <v>23</v>
      </c>
      <c r="K1373">
        <v>16286.49</v>
      </c>
    </row>
    <row r="1374" spans="1:11">
      <c r="A1374">
        <v>1373</v>
      </c>
      <c r="B1374" t="s">
        <v>49</v>
      </c>
      <c r="C1374" s="1">
        <v>25203</v>
      </c>
      <c r="E1374" t="s">
        <v>12</v>
      </c>
      <c r="F1374" t="s">
        <v>16</v>
      </c>
      <c r="G1374" s="1">
        <v>44993</v>
      </c>
      <c r="H1374" s="1">
        <v>45532</v>
      </c>
      <c r="I1374">
        <v>37</v>
      </c>
      <c r="K1374">
        <v>13360.92</v>
      </c>
    </row>
    <row r="1375" spans="1:11">
      <c r="A1375">
        <v>1374</v>
      </c>
      <c r="B1375" t="s">
        <v>163</v>
      </c>
      <c r="C1375" s="1">
        <v>35795</v>
      </c>
      <c r="D1375">
        <v>28</v>
      </c>
      <c r="E1375" t="s">
        <v>12</v>
      </c>
      <c r="F1375" t="s">
        <v>16</v>
      </c>
      <c r="G1375" s="1">
        <v>45595</v>
      </c>
      <c r="H1375" s="1">
        <v>45034</v>
      </c>
      <c r="I1375">
        <v>33</v>
      </c>
      <c r="J1375" t="s">
        <v>25</v>
      </c>
      <c r="K1375">
        <v>19787.27</v>
      </c>
    </row>
    <row r="1376" spans="1:11">
      <c r="A1376">
        <v>1375</v>
      </c>
      <c r="B1376" t="s">
        <v>171</v>
      </c>
      <c r="C1376" s="1">
        <v>14611</v>
      </c>
      <c r="D1376">
        <v>86</v>
      </c>
      <c r="E1376" t="s">
        <v>15</v>
      </c>
      <c r="F1376" t="s">
        <v>13</v>
      </c>
      <c r="G1376" s="1">
        <v>45603</v>
      </c>
      <c r="H1376" s="1">
        <v>45804</v>
      </c>
      <c r="I1376">
        <v>20</v>
      </c>
      <c r="J1376" t="s">
        <v>23</v>
      </c>
      <c r="K1376">
        <v>16409.330000000002</v>
      </c>
    </row>
    <row r="1377" spans="1:11">
      <c r="A1377">
        <v>1376</v>
      </c>
      <c r="B1377" t="s">
        <v>87</v>
      </c>
      <c r="C1377" s="1">
        <v>32873</v>
      </c>
      <c r="D1377">
        <v>36</v>
      </c>
      <c r="E1377" t="s">
        <v>15</v>
      </c>
      <c r="F1377" t="s">
        <v>16</v>
      </c>
      <c r="G1377" s="1">
        <v>45429</v>
      </c>
      <c r="H1377" s="1">
        <v>45527</v>
      </c>
      <c r="I1377">
        <v>12</v>
      </c>
      <c r="J1377" t="s">
        <v>19</v>
      </c>
      <c r="K1377">
        <v>10340.41</v>
      </c>
    </row>
    <row r="1378" spans="1:11">
      <c r="A1378">
        <v>1377</v>
      </c>
      <c r="B1378" t="s">
        <v>111</v>
      </c>
      <c r="C1378" s="1">
        <v>18994</v>
      </c>
      <c r="D1378">
        <v>74</v>
      </c>
      <c r="E1378" t="s">
        <v>12</v>
      </c>
      <c r="F1378" t="s">
        <v>18</v>
      </c>
      <c r="G1378" s="1">
        <v>45110</v>
      </c>
      <c r="H1378" s="1">
        <v>45228</v>
      </c>
      <c r="I1378">
        <v>10</v>
      </c>
      <c r="J1378" t="s">
        <v>19</v>
      </c>
      <c r="K1378">
        <v>7274.28</v>
      </c>
    </row>
    <row r="1379" spans="1:11">
      <c r="A1379">
        <v>1378</v>
      </c>
      <c r="B1379" t="s">
        <v>72</v>
      </c>
      <c r="C1379" s="1">
        <v>20820</v>
      </c>
      <c r="D1379">
        <v>69</v>
      </c>
      <c r="E1379" t="s">
        <v>15</v>
      </c>
      <c r="F1379" t="s">
        <v>16</v>
      </c>
      <c r="G1379" s="1">
        <v>45134</v>
      </c>
      <c r="H1379" s="1">
        <v>45547</v>
      </c>
      <c r="I1379">
        <v>11</v>
      </c>
      <c r="J1379" t="s">
        <v>19</v>
      </c>
      <c r="K1379">
        <v>13611.31</v>
      </c>
    </row>
    <row r="1380" spans="1:11">
      <c r="A1380">
        <v>1379</v>
      </c>
      <c r="B1380" t="s">
        <v>146</v>
      </c>
      <c r="C1380" s="1">
        <v>39813</v>
      </c>
      <c r="D1380">
        <v>17</v>
      </c>
      <c r="E1380" t="s">
        <v>12</v>
      </c>
      <c r="F1380" t="s">
        <v>21</v>
      </c>
      <c r="G1380" s="1">
        <v>45454</v>
      </c>
      <c r="H1380" s="1">
        <v>44973</v>
      </c>
      <c r="I1380">
        <v>11</v>
      </c>
      <c r="J1380" t="s">
        <v>25</v>
      </c>
      <c r="K1380">
        <v>11763.46</v>
      </c>
    </row>
    <row r="1381" spans="1:11">
      <c r="A1381">
        <v>1380</v>
      </c>
      <c r="B1381" t="s">
        <v>143</v>
      </c>
      <c r="C1381" s="1">
        <v>15341</v>
      </c>
      <c r="E1381" t="s">
        <v>15</v>
      </c>
      <c r="F1381" t="s">
        <v>13</v>
      </c>
      <c r="G1381" s="1">
        <v>45226</v>
      </c>
      <c r="H1381" s="1">
        <v>45004</v>
      </c>
      <c r="I1381">
        <v>34</v>
      </c>
      <c r="J1381" t="s">
        <v>19</v>
      </c>
      <c r="K1381">
        <v>12549.95</v>
      </c>
    </row>
    <row r="1382" spans="1:11">
      <c r="A1382">
        <v>1381</v>
      </c>
      <c r="B1382" t="s">
        <v>87</v>
      </c>
      <c r="C1382" s="1">
        <v>31047</v>
      </c>
      <c r="D1382">
        <v>41</v>
      </c>
      <c r="E1382" t="s">
        <v>15</v>
      </c>
      <c r="F1382" t="s">
        <v>21</v>
      </c>
      <c r="G1382" s="1">
        <v>45167</v>
      </c>
      <c r="H1382" s="1">
        <v>45656</v>
      </c>
      <c r="I1382">
        <v>2</v>
      </c>
      <c r="J1382" t="s">
        <v>19</v>
      </c>
      <c r="K1382">
        <v>6794.54</v>
      </c>
    </row>
    <row r="1383" spans="1:11">
      <c r="A1383">
        <v>1382</v>
      </c>
      <c r="B1383" t="s">
        <v>79</v>
      </c>
      <c r="C1383" s="1">
        <v>31412</v>
      </c>
      <c r="D1383">
        <v>40</v>
      </c>
      <c r="E1383" t="s">
        <v>12</v>
      </c>
      <c r="F1383" t="s">
        <v>13</v>
      </c>
      <c r="G1383" s="1">
        <v>45381</v>
      </c>
      <c r="H1383" s="1">
        <v>45096</v>
      </c>
      <c r="I1383">
        <v>19</v>
      </c>
      <c r="J1383" t="s">
        <v>23</v>
      </c>
      <c r="K1383">
        <v>8517.44</v>
      </c>
    </row>
    <row r="1384" spans="1:11">
      <c r="A1384">
        <v>1383</v>
      </c>
      <c r="B1384" t="s">
        <v>11</v>
      </c>
      <c r="C1384" s="1">
        <v>32508</v>
      </c>
      <c r="D1384">
        <v>37</v>
      </c>
      <c r="E1384" t="s">
        <v>15</v>
      </c>
      <c r="F1384" t="s">
        <v>21</v>
      </c>
      <c r="G1384" s="1">
        <v>45456</v>
      </c>
      <c r="H1384" s="1">
        <v>45741</v>
      </c>
      <c r="I1384">
        <v>25</v>
      </c>
      <c r="J1384" t="s">
        <v>25</v>
      </c>
      <c r="K1384">
        <v>11117.74</v>
      </c>
    </row>
    <row r="1385" spans="1:11">
      <c r="A1385">
        <v>1384</v>
      </c>
      <c r="B1385" t="s">
        <v>20</v>
      </c>
      <c r="C1385" s="1">
        <v>33969</v>
      </c>
      <c r="D1385">
        <v>33</v>
      </c>
      <c r="E1385" t="s">
        <v>12</v>
      </c>
      <c r="F1385" t="s">
        <v>45</v>
      </c>
      <c r="G1385" s="1">
        <v>45585</v>
      </c>
      <c r="H1385" s="1">
        <v>45056</v>
      </c>
      <c r="I1385">
        <v>1</v>
      </c>
      <c r="J1385" t="s">
        <v>19</v>
      </c>
      <c r="K1385">
        <v>16769.599999999999</v>
      </c>
    </row>
    <row r="1386" spans="1:11">
      <c r="A1386">
        <v>1385</v>
      </c>
      <c r="B1386" t="s">
        <v>67</v>
      </c>
      <c r="C1386" s="1">
        <v>40178</v>
      </c>
      <c r="D1386">
        <v>16</v>
      </c>
      <c r="E1386" t="s">
        <v>15</v>
      </c>
      <c r="F1386" t="s">
        <v>32</v>
      </c>
      <c r="G1386" s="1">
        <v>45170</v>
      </c>
      <c r="H1386" s="1">
        <v>45640</v>
      </c>
      <c r="I1386">
        <v>35</v>
      </c>
      <c r="J1386" t="s">
        <v>23</v>
      </c>
      <c r="K1386">
        <v>15234.47</v>
      </c>
    </row>
    <row r="1387" spans="1:11">
      <c r="A1387">
        <v>1386</v>
      </c>
      <c r="B1387" t="s">
        <v>48</v>
      </c>
      <c r="C1387" s="1">
        <v>32873</v>
      </c>
      <c r="D1387">
        <v>36</v>
      </c>
      <c r="E1387" t="s">
        <v>15</v>
      </c>
      <c r="F1387" t="s">
        <v>32</v>
      </c>
      <c r="G1387" s="1">
        <v>45489</v>
      </c>
      <c r="H1387" s="1">
        <v>45635</v>
      </c>
      <c r="I1387">
        <v>26</v>
      </c>
      <c r="J1387" t="s">
        <v>19</v>
      </c>
      <c r="K1387">
        <v>2284.98</v>
      </c>
    </row>
    <row r="1388" spans="1:11">
      <c r="A1388">
        <v>1387</v>
      </c>
      <c r="B1388" t="s">
        <v>148</v>
      </c>
      <c r="C1388" s="1">
        <v>37256</v>
      </c>
      <c r="D1388">
        <v>24</v>
      </c>
      <c r="F1388" t="s">
        <v>13</v>
      </c>
      <c r="G1388" s="1">
        <v>45164</v>
      </c>
      <c r="H1388" s="1">
        <v>45787</v>
      </c>
      <c r="I1388">
        <v>34</v>
      </c>
      <c r="J1388" t="s">
        <v>23</v>
      </c>
      <c r="K1388">
        <v>4835.6400000000003</v>
      </c>
    </row>
    <row r="1389" spans="1:11">
      <c r="A1389">
        <v>1388</v>
      </c>
      <c r="B1389" t="s">
        <v>72</v>
      </c>
      <c r="C1389" s="1">
        <v>18629</v>
      </c>
      <c r="D1389">
        <v>75</v>
      </c>
      <c r="E1389" t="s">
        <v>15</v>
      </c>
      <c r="F1389" t="s">
        <v>45</v>
      </c>
      <c r="G1389" s="1">
        <v>45172</v>
      </c>
      <c r="H1389" s="1">
        <v>45195</v>
      </c>
      <c r="I1389">
        <v>32</v>
      </c>
      <c r="J1389" t="s">
        <v>19</v>
      </c>
      <c r="K1389">
        <v>435.82</v>
      </c>
    </row>
    <row r="1390" spans="1:11">
      <c r="A1390">
        <v>1389</v>
      </c>
      <c r="B1390" t="s">
        <v>33</v>
      </c>
      <c r="C1390" s="1">
        <v>14611</v>
      </c>
      <c r="D1390">
        <v>86</v>
      </c>
      <c r="E1390" t="s">
        <v>12</v>
      </c>
      <c r="F1390" t="s">
        <v>18</v>
      </c>
      <c r="G1390" s="1">
        <v>45271</v>
      </c>
      <c r="H1390" s="1">
        <v>45527</v>
      </c>
      <c r="I1390">
        <v>17</v>
      </c>
      <c r="J1390" t="s">
        <v>25</v>
      </c>
      <c r="K1390">
        <v>60.01</v>
      </c>
    </row>
    <row r="1391" spans="1:11">
      <c r="A1391">
        <v>1390</v>
      </c>
      <c r="B1391" t="s">
        <v>119</v>
      </c>
      <c r="C1391" s="1">
        <v>14976</v>
      </c>
      <c r="D1391">
        <v>85</v>
      </c>
      <c r="E1391" t="s">
        <v>15</v>
      </c>
      <c r="F1391" t="s">
        <v>45</v>
      </c>
      <c r="G1391" s="1">
        <v>45410</v>
      </c>
      <c r="H1391" s="1">
        <v>45692</v>
      </c>
      <c r="I1391">
        <v>32</v>
      </c>
      <c r="K1391">
        <v>4409.95</v>
      </c>
    </row>
    <row r="1392" spans="1:11">
      <c r="A1392">
        <v>1391</v>
      </c>
      <c r="B1392" t="s">
        <v>142</v>
      </c>
      <c r="C1392" s="1">
        <v>15341</v>
      </c>
      <c r="D1392">
        <v>84</v>
      </c>
      <c r="E1392" t="s">
        <v>12</v>
      </c>
      <c r="G1392" s="1">
        <v>45236</v>
      </c>
      <c r="H1392" s="1">
        <v>45677</v>
      </c>
      <c r="I1392">
        <v>32</v>
      </c>
      <c r="J1392" t="s">
        <v>25</v>
      </c>
      <c r="K1392">
        <v>15966.35</v>
      </c>
    </row>
    <row r="1393" spans="1:11">
      <c r="A1393">
        <v>1392</v>
      </c>
      <c r="B1393" t="s">
        <v>56</v>
      </c>
      <c r="C1393" s="1">
        <v>36526</v>
      </c>
      <c r="D1393">
        <v>26</v>
      </c>
      <c r="E1393" t="s">
        <v>12</v>
      </c>
      <c r="F1393" t="s">
        <v>13</v>
      </c>
      <c r="G1393" s="1">
        <v>45487</v>
      </c>
      <c r="H1393" s="1">
        <v>45512</v>
      </c>
      <c r="I1393">
        <v>17</v>
      </c>
      <c r="J1393" t="s">
        <v>23</v>
      </c>
      <c r="K1393">
        <v>18085.43</v>
      </c>
    </row>
    <row r="1394" spans="1:11">
      <c r="A1394">
        <v>1393</v>
      </c>
      <c r="B1394" t="s">
        <v>61</v>
      </c>
      <c r="C1394" s="1">
        <v>25568</v>
      </c>
      <c r="D1394">
        <v>56</v>
      </c>
      <c r="E1394" t="s">
        <v>15</v>
      </c>
      <c r="F1394" t="s">
        <v>45</v>
      </c>
      <c r="G1394" s="1">
        <v>45210</v>
      </c>
      <c r="H1394" s="1">
        <v>45346</v>
      </c>
      <c r="I1394">
        <v>-1</v>
      </c>
      <c r="J1394" t="s">
        <v>19</v>
      </c>
      <c r="K1394">
        <v>7774.54</v>
      </c>
    </row>
    <row r="1395" spans="1:11">
      <c r="A1395">
        <v>1394</v>
      </c>
      <c r="B1395" t="s">
        <v>138</v>
      </c>
      <c r="C1395" s="1">
        <v>35065</v>
      </c>
      <c r="D1395">
        <v>30</v>
      </c>
      <c r="E1395" t="s">
        <v>12</v>
      </c>
      <c r="F1395" t="s">
        <v>18</v>
      </c>
      <c r="G1395" s="1">
        <v>44964</v>
      </c>
      <c r="H1395" s="1">
        <v>45797</v>
      </c>
      <c r="I1395">
        <v>15</v>
      </c>
      <c r="J1395" t="s">
        <v>25</v>
      </c>
      <c r="K1395">
        <v>11220.29</v>
      </c>
    </row>
    <row r="1396" spans="1:11">
      <c r="A1396">
        <v>1395</v>
      </c>
      <c r="B1396" t="s">
        <v>94</v>
      </c>
      <c r="C1396" s="1">
        <v>44196</v>
      </c>
      <c r="D1396">
        <v>5</v>
      </c>
      <c r="E1396" t="s">
        <v>12</v>
      </c>
      <c r="F1396" t="s">
        <v>13</v>
      </c>
      <c r="G1396" s="1">
        <v>44958</v>
      </c>
      <c r="H1396" s="1">
        <v>45794</v>
      </c>
      <c r="I1396">
        <v>27</v>
      </c>
      <c r="J1396" t="s">
        <v>19</v>
      </c>
      <c r="K1396">
        <v>14091.66</v>
      </c>
    </row>
    <row r="1397" spans="1:11">
      <c r="A1397">
        <v>1396</v>
      </c>
      <c r="B1397" t="s">
        <v>44</v>
      </c>
      <c r="C1397" s="1">
        <v>13150</v>
      </c>
      <c r="D1397">
        <v>90</v>
      </c>
      <c r="E1397" t="s">
        <v>15</v>
      </c>
      <c r="F1397" t="s">
        <v>32</v>
      </c>
      <c r="G1397" s="1">
        <v>45169</v>
      </c>
      <c r="H1397" s="1">
        <v>45088</v>
      </c>
      <c r="I1397">
        <v>39</v>
      </c>
      <c r="J1397" t="s">
        <v>25</v>
      </c>
      <c r="K1397">
        <v>19054.03</v>
      </c>
    </row>
    <row r="1398" spans="1:11">
      <c r="A1398">
        <v>1397</v>
      </c>
      <c r="B1398" t="s">
        <v>153</v>
      </c>
      <c r="C1398" s="1">
        <v>31778</v>
      </c>
      <c r="D1398">
        <v>39</v>
      </c>
      <c r="E1398" t="s">
        <v>12</v>
      </c>
      <c r="F1398" t="s">
        <v>16</v>
      </c>
      <c r="G1398" s="1">
        <v>45479</v>
      </c>
      <c r="H1398" s="1">
        <v>44985</v>
      </c>
      <c r="I1398">
        <v>26</v>
      </c>
      <c r="J1398" t="s">
        <v>23</v>
      </c>
      <c r="K1398">
        <v>18249.939999999999</v>
      </c>
    </row>
    <row r="1399" spans="1:11">
      <c r="A1399">
        <v>1398</v>
      </c>
      <c r="B1399" t="s">
        <v>117</v>
      </c>
      <c r="C1399" s="1">
        <v>42005</v>
      </c>
      <c r="D1399">
        <v>11</v>
      </c>
      <c r="E1399" t="s">
        <v>12</v>
      </c>
      <c r="F1399" t="s">
        <v>45</v>
      </c>
      <c r="G1399" s="1">
        <v>45218</v>
      </c>
      <c r="H1399" s="1">
        <v>45311</v>
      </c>
      <c r="I1399">
        <v>36</v>
      </c>
      <c r="K1399">
        <v>1049.57</v>
      </c>
    </row>
    <row r="1400" spans="1:11">
      <c r="A1400">
        <v>1399</v>
      </c>
      <c r="B1400" t="s">
        <v>99</v>
      </c>
      <c r="C1400" s="1">
        <v>27029</v>
      </c>
      <c r="D1400">
        <v>52</v>
      </c>
      <c r="E1400" t="s">
        <v>15</v>
      </c>
      <c r="F1400" t="s">
        <v>32</v>
      </c>
      <c r="G1400" s="1">
        <v>45541</v>
      </c>
      <c r="H1400" s="1">
        <v>45812</v>
      </c>
      <c r="I1400">
        <v>19</v>
      </c>
      <c r="J1400" t="s">
        <v>25</v>
      </c>
      <c r="K1400">
        <v>4888.13</v>
      </c>
    </row>
    <row r="1401" spans="1:11">
      <c r="A1401">
        <v>1400</v>
      </c>
      <c r="B1401" t="s">
        <v>97</v>
      </c>
      <c r="C1401" s="1">
        <v>20455</v>
      </c>
      <c r="E1401" t="s">
        <v>15</v>
      </c>
      <c r="F1401" t="s">
        <v>32</v>
      </c>
      <c r="G1401" s="1">
        <v>45218</v>
      </c>
      <c r="H1401" s="1">
        <v>45730</v>
      </c>
      <c r="I1401">
        <v>26</v>
      </c>
      <c r="J1401" t="s">
        <v>19</v>
      </c>
      <c r="K1401">
        <v>887.81</v>
      </c>
    </row>
    <row r="1402" spans="1:11">
      <c r="A1402">
        <v>1401</v>
      </c>
      <c r="B1402" t="s">
        <v>95</v>
      </c>
      <c r="C1402" s="1">
        <v>42735</v>
      </c>
      <c r="D1402">
        <v>9</v>
      </c>
      <c r="E1402" t="s">
        <v>15</v>
      </c>
      <c r="F1402" t="s">
        <v>21</v>
      </c>
      <c r="G1402" s="1">
        <v>45545</v>
      </c>
      <c r="H1402" s="1">
        <v>45437</v>
      </c>
      <c r="I1402">
        <v>7</v>
      </c>
      <c r="J1402" t="s">
        <v>19</v>
      </c>
      <c r="K1402">
        <v>12292.5</v>
      </c>
    </row>
    <row r="1403" spans="1:11">
      <c r="A1403">
        <v>1402</v>
      </c>
      <c r="B1403" t="s">
        <v>140</v>
      </c>
      <c r="C1403" s="1">
        <v>29951</v>
      </c>
      <c r="E1403" t="s">
        <v>15</v>
      </c>
      <c r="F1403" t="s">
        <v>18</v>
      </c>
      <c r="G1403" s="1">
        <v>45308</v>
      </c>
      <c r="H1403" s="1">
        <v>45357</v>
      </c>
      <c r="I1403">
        <v>17</v>
      </c>
      <c r="J1403" t="s">
        <v>19</v>
      </c>
      <c r="K1403">
        <v>14180.92</v>
      </c>
    </row>
    <row r="1404" spans="1:11">
      <c r="A1404">
        <v>1403</v>
      </c>
      <c r="B1404" t="s">
        <v>116</v>
      </c>
      <c r="C1404" s="1">
        <v>40178</v>
      </c>
      <c r="D1404">
        <v>16</v>
      </c>
      <c r="E1404" t="s">
        <v>12</v>
      </c>
      <c r="G1404" s="1">
        <v>45525</v>
      </c>
      <c r="H1404" s="1">
        <v>45267</v>
      </c>
      <c r="I1404">
        <v>13</v>
      </c>
      <c r="J1404" t="s">
        <v>23</v>
      </c>
      <c r="K1404">
        <v>6096.5</v>
      </c>
    </row>
    <row r="1405" spans="1:11">
      <c r="A1405">
        <v>1404</v>
      </c>
      <c r="B1405" t="s">
        <v>11</v>
      </c>
      <c r="C1405" s="1">
        <v>36891</v>
      </c>
      <c r="E1405" t="s">
        <v>12</v>
      </c>
      <c r="F1405" t="s">
        <v>16</v>
      </c>
      <c r="G1405" s="1">
        <v>45504</v>
      </c>
      <c r="H1405" s="1">
        <v>45505</v>
      </c>
      <c r="I1405">
        <v>3</v>
      </c>
      <c r="J1405" t="s">
        <v>23</v>
      </c>
      <c r="K1405">
        <v>17062.419999999998</v>
      </c>
    </row>
    <row r="1406" spans="1:11">
      <c r="A1406">
        <v>1405</v>
      </c>
      <c r="B1406" t="s">
        <v>167</v>
      </c>
      <c r="C1406" s="1">
        <v>15341</v>
      </c>
      <c r="D1406">
        <v>84</v>
      </c>
      <c r="E1406" t="s">
        <v>12</v>
      </c>
      <c r="F1406" t="s">
        <v>45</v>
      </c>
      <c r="G1406" s="1">
        <v>45064</v>
      </c>
      <c r="H1406" s="1">
        <v>44953</v>
      </c>
      <c r="I1406">
        <v>14</v>
      </c>
      <c r="K1406">
        <v>9001.5400000000009</v>
      </c>
    </row>
    <row r="1407" spans="1:11">
      <c r="A1407">
        <v>1406</v>
      </c>
      <c r="B1407" t="s">
        <v>92</v>
      </c>
      <c r="C1407" s="1">
        <v>12785</v>
      </c>
      <c r="D1407">
        <v>91</v>
      </c>
      <c r="E1407" t="s">
        <v>15</v>
      </c>
      <c r="F1407" t="s">
        <v>32</v>
      </c>
      <c r="G1407" s="1">
        <v>45126</v>
      </c>
      <c r="H1407" s="1">
        <v>45737</v>
      </c>
      <c r="I1407">
        <v>3</v>
      </c>
      <c r="J1407" t="s">
        <v>19</v>
      </c>
      <c r="K1407">
        <v>19967.47</v>
      </c>
    </row>
    <row r="1408" spans="1:11">
      <c r="A1408">
        <v>1407</v>
      </c>
      <c r="B1408" t="s">
        <v>65</v>
      </c>
      <c r="C1408" s="1">
        <v>23742</v>
      </c>
      <c r="D1408">
        <v>61</v>
      </c>
      <c r="E1408" t="s">
        <v>15</v>
      </c>
      <c r="F1408" t="s">
        <v>32</v>
      </c>
      <c r="G1408" s="1">
        <v>45261</v>
      </c>
      <c r="H1408" s="1">
        <v>45516</v>
      </c>
      <c r="I1408">
        <v>19</v>
      </c>
      <c r="K1408">
        <v>-91.97</v>
      </c>
    </row>
    <row r="1409" spans="1:11">
      <c r="A1409">
        <v>1408</v>
      </c>
      <c r="B1409" t="s">
        <v>82</v>
      </c>
      <c r="C1409" s="1">
        <v>29586</v>
      </c>
      <c r="D1409">
        <v>45</v>
      </c>
      <c r="E1409" t="s">
        <v>12</v>
      </c>
      <c r="G1409" s="1">
        <v>45531</v>
      </c>
      <c r="H1409" s="1">
        <v>45725</v>
      </c>
      <c r="I1409">
        <v>15</v>
      </c>
      <c r="J1409" t="s">
        <v>19</v>
      </c>
      <c r="K1409">
        <v>2100.7399999999998</v>
      </c>
    </row>
    <row r="1410" spans="1:11">
      <c r="A1410">
        <v>1409</v>
      </c>
      <c r="B1410" t="s">
        <v>158</v>
      </c>
      <c r="C1410" s="1">
        <v>23012</v>
      </c>
      <c r="D1410">
        <v>63</v>
      </c>
      <c r="E1410" t="s">
        <v>12</v>
      </c>
      <c r="F1410" t="s">
        <v>18</v>
      </c>
      <c r="G1410" s="1">
        <v>45373</v>
      </c>
      <c r="H1410" s="1">
        <v>45299</v>
      </c>
      <c r="I1410">
        <v>29</v>
      </c>
      <c r="J1410" t="s">
        <v>25</v>
      </c>
      <c r="K1410">
        <v>5966.04</v>
      </c>
    </row>
    <row r="1411" spans="1:11">
      <c r="A1411">
        <v>1410</v>
      </c>
      <c r="B1411" t="s">
        <v>165</v>
      </c>
      <c r="C1411" s="1">
        <v>45657</v>
      </c>
      <c r="D1411">
        <v>1</v>
      </c>
      <c r="E1411" t="s">
        <v>12</v>
      </c>
      <c r="F1411" t="s">
        <v>16</v>
      </c>
      <c r="G1411" s="1">
        <v>45274</v>
      </c>
      <c r="H1411" s="1">
        <v>44963</v>
      </c>
      <c r="I1411">
        <v>25</v>
      </c>
      <c r="J1411" t="s">
        <v>25</v>
      </c>
      <c r="K1411">
        <v>412.7</v>
      </c>
    </row>
    <row r="1412" spans="1:11">
      <c r="A1412">
        <v>1411</v>
      </c>
      <c r="B1412" t="s">
        <v>29</v>
      </c>
      <c r="C1412" s="1">
        <v>26664</v>
      </c>
      <c r="D1412">
        <v>53</v>
      </c>
      <c r="E1412" t="s">
        <v>15</v>
      </c>
      <c r="F1412" t="s">
        <v>16</v>
      </c>
      <c r="G1412" s="1">
        <v>45204</v>
      </c>
      <c r="H1412" s="1">
        <v>45458</v>
      </c>
      <c r="I1412">
        <v>39</v>
      </c>
      <c r="J1412" t="s">
        <v>25</v>
      </c>
      <c r="K1412">
        <v>15625.02</v>
      </c>
    </row>
    <row r="1413" spans="1:11">
      <c r="A1413">
        <v>1412</v>
      </c>
      <c r="B1413" t="s">
        <v>94</v>
      </c>
      <c r="C1413" s="1">
        <v>22646</v>
      </c>
      <c r="D1413">
        <v>64</v>
      </c>
      <c r="E1413" t="s">
        <v>15</v>
      </c>
      <c r="G1413" s="1">
        <v>45458</v>
      </c>
      <c r="H1413" s="1">
        <v>45717</v>
      </c>
      <c r="I1413">
        <v>7</v>
      </c>
      <c r="J1413" t="s">
        <v>19</v>
      </c>
      <c r="K1413">
        <v>960.71</v>
      </c>
    </row>
    <row r="1414" spans="1:11">
      <c r="A1414">
        <v>1413</v>
      </c>
      <c r="B1414" t="s">
        <v>88</v>
      </c>
      <c r="C1414" s="1">
        <v>27760</v>
      </c>
      <c r="D1414">
        <v>50</v>
      </c>
      <c r="E1414" t="s">
        <v>15</v>
      </c>
      <c r="F1414" t="s">
        <v>32</v>
      </c>
      <c r="G1414" s="1">
        <v>45325</v>
      </c>
      <c r="H1414" s="1">
        <v>45760</v>
      </c>
      <c r="I1414">
        <v>38</v>
      </c>
      <c r="J1414" t="s">
        <v>25</v>
      </c>
      <c r="K1414">
        <v>14954.49</v>
      </c>
    </row>
    <row r="1415" spans="1:11">
      <c r="A1415">
        <v>1414</v>
      </c>
      <c r="B1415" t="s">
        <v>53</v>
      </c>
      <c r="C1415" s="1">
        <v>27029</v>
      </c>
      <c r="D1415">
        <v>52</v>
      </c>
      <c r="F1415" t="s">
        <v>32</v>
      </c>
      <c r="G1415" s="1">
        <v>45317</v>
      </c>
      <c r="H1415" s="1">
        <v>45752</v>
      </c>
      <c r="I1415">
        <v>19</v>
      </c>
      <c r="J1415" t="s">
        <v>19</v>
      </c>
      <c r="K1415">
        <v>956.63</v>
      </c>
    </row>
    <row r="1416" spans="1:11">
      <c r="A1416">
        <v>1415</v>
      </c>
      <c r="B1416" t="s">
        <v>131</v>
      </c>
      <c r="C1416" s="1">
        <v>33239</v>
      </c>
      <c r="D1416">
        <v>35</v>
      </c>
      <c r="E1416" t="s">
        <v>15</v>
      </c>
      <c r="F1416" t="s">
        <v>32</v>
      </c>
      <c r="G1416" s="1">
        <v>45528</v>
      </c>
      <c r="H1416" s="1">
        <v>45194</v>
      </c>
      <c r="I1416">
        <v>25</v>
      </c>
      <c r="K1416">
        <v>4979.82</v>
      </c>
    </row>
    <row r="1417" spans="1:11">
      <c r="A1417">
        <v>1416</v>
      </c>
      <c r="B1417" t="s">
        <v>166</v>
      </c>
      <c r="C1417" s="1">
        <v>36891</v>
      </c>
      <c r="D1417">
        <v>25</v>
      </c>
      <c r="E1417" t="s">
        <v>12</v>
      </c>
      <c r="F1417" t="s">
        <v>32</v>
      </c>
      <c r="G1417" s="1">
        <v>45488</v>
      </c>
      <c r="H1417" s="1">
        <v>45721</v>
      </c>
      <c r="I1417">
        <v>12</v>
      </c>
      <c r="J1417" t="s">
        <v>23</v>
      </c>
      <c r="K1417">
        <v>16809.66</v>
      </c>
    </row>
    <row r="1418" spans="1:11">
      <c r="A1418">
        <v>1417</v>
      </c>
      <c r="B1418" t="s">
        <v>75</v>
      </c>
      <c r="C1418" s="1">
        <v>35795</v>
      </c>
      <c r="D1418">
        <v>28</v>
      </c>
      <c r="E1418" t="s">
        <v>12</v>
      </c>
      <c r="F1418" t="s">
        <v>21</v>
      </c>
      <c r="G1418" s="1">
        <v>44936</v>
      </c>
      <c r="H1418" s="1">
        <v>45359</v>
      </c>
      <c r="I1418">
        <v>26</v>
      </c>
      <c r="J1418" t="s">
        <v>25</v>
      </c>
      <c r="K1418">
        <v>19017.02</v>
      </c>
    </row>
    <row r="1419" spans="1:11">
      <c r="A1419">
        <v>1418</v>
      </c>
      <c r="B1419" t="s">
        <v>158</v>
      </c>
      <c r="C1419" s="1">
        <v>38717</v>
      </c>
      <c r="D1419">
        <v>20</v>
      </c>
      <c r="E1419" t="s">
        <v>15</v>
      </c>
      <c r="F1419" t="s">
        <v>21</v>
      </c>
      <c r="G1419" s="1">
        <v>45517</v>
      </c>
      <c r="H1419" s="1">
        <v>44946</v>
      </c>
      <c r="I1419">
        <v>4</v>
      </c>
      <c r="J1419" t="s">
        <v>19</v>
      </c>
      <c r="K1419">
        <v>8231.98</v>
      </c>
    </row>
    <row r="1420" spans="1:11">
      <c r="A1420">
        <v>1419</v>
      </c>
      <c r="B1420" t="s">
        <v>111</v>
      </c>
      <c r="C1420" s="1">
        <v>42370</v>
      </c>
      <c r="D1420">
        <v>10</v>
      </c>
      <c r="E1420" t="s">
        <v>12</v>
      </c>
      <c r="G1420" s="1">
        <v>45475</v>
      </c>
      <c r="H1420" s="1">
        <v>45266</v>
      </c>
      <c r="I1420">
        <v>31</v>
      </c>
      <c r="J1420" t="s">
        <v>19</v>
      </c>
      <c r="K1420">
        <v>19395.77</v>
      </c>
    </row>
    <row r="1421" spans="1:11">
      <c r="A1421">
        <v>1420</v>
      </c>
      <c r="B1421" t="s">
        <v>55</v>
      </c>
      <c r="C1421" s="1">
        <v>31778</v>
      </c>
      <c r="D1421">
        <v>39</v>
      </c>
      <c r="E1421" t="s">
        <v>12</v>
      </c>
      <c r="F1421" t="s">
        <v>16</v>
      </c>
      <c r="G1421" s="1">
        <v>44985</v>
      </c>
      <c r="H1421" s="1">
        <v>45067</v>
      </c>
      <c r="I1421">
        <v>29</v>
      </c>
      <c r="K1421">
        <v>12500.31</v>
      </c>
    </row>
    <row r="1422" spans="1:11">
      <c r="A1422">
        <v>1421</v>
      </c>
      <c r="B1422" t="s">
        <v>131</v>
      </c>
      <c r="C1422" s="1">
        <v>42370</v>
      </c>
      <c r="D1422">
        <v>10</v>
      </c>
      <c r="E1422" t="s">
        <v>12</v>
      </c>
      <c r="F1422" t="s">
        <v>13</v>
      </c>
      <c r="G1422" s="1">
        <v>45014</v>
      </c>
      <c r="H1422" s="1">
        <v>44994</v>
      </c>
      <c r="I1422">
        <v>-1</v>
      </c>
      <c r="K1422">
        <v>8258.2900000000009</v>
      </c>
    </row>
    <row r="1423" spans="1:11">
      <c r="A1423">
        <v>1422</v>
      </c>
      <c r="B1423" t="s">
        <v>105</v>
      </c>
      <c r="C1423" s="1">
        <v>33239</v>
      </c>
      <c r="D1423">
        <v>35</v>
      </c>
      <c r="E1423" t="s">
        <v>15</v>
      </c>
      <c r="F1423" t="s">
        <v>45</v>
      </c>
      <c r="G1423" s="1">
        <v>45385</v>
      </c>
      <c r="H1423" s="1">
        <v>45751</v>
      </c>
      <c r="I1423">
        <v>23</v>
      </c>
      <c r="J1423" t="s">
        <v>23</v>
      </c>
      <c r="K1423">
        <v>16036.31</v>
      </c>
    </row>
    <row r="1424" spans="1:11">
      <c r="A1424">
        <v>1423</v>
      </c>
      <c r="B1424" t="s">
        <v>161</v>
      </c>
      <c r="C1424" s="1">
        <v>24838</v>
      </c>
      <c r="D1424">
        <v>58</v>
      </c>
      <c r="E1424" t="s">
        <v>15</v>
      </c>
      <c r="F1424" t="s">
        <v>18</v>
      </c>
      <c r="G1424" s="1">
        <v>45030</v>
      </c>
      <c r="H1424" s="1">
        <v>45457</v>
      </c>
      <c r="I1424">
        <v>8</v>
      </c>
      <c r="K1424">
        <v>5836.1</v>
      </c>
    </row>
    <row r="1425" spans="1:11">
      <c r="A1425">
        <v>1424</v>
      </c>
      <c r="B1425" t="s">
        <v>121</v>
      </c>
      <c r="D1425">
        <v>38</v>
      </c>
      <c r="E1425" t="s">
        <v>15</v>
      </c>
      <c r="F1425" t="s">
        <v>13</v>
      </c>
      <c r="G1425" s="1">
        <v>45030</v>
      </c>
      <c r="H1425" s="1">
        <v>45296</v>
      </c>
      <c r="I1425">
        <v>22</v>
      </c>
      <c r="J1425" t="s">
        <v>23</v>
      </c>
      <c r="K1425">
        <v>5242.5</v>
      </c>
    </row>
    <row r="1426" spans="1:11">
      <c r="A1426">
        <v>1425</v>
      </c>
      <c r="B1426" t="s">
        <v>140</v>
      </c>
      <c r="C1426" s="1">
        <v>26664</v>
      </c>
      <c r="D1426">
        <v>53</v>
      </c>
      <c r="E1426" t="s">
        <v>15</v>
      </c>
      <c r="F1426" t="s">
        <v>21</v>
      </c>
      <c r="G1426" s="1">
        <v>45180</v>
      </c>
      <c r="H1426" s="1">
        <v>45188</v>
      </c>
      <c r="I1426">
        <v>16</v>
      </c>
      <c r="J1426" t="s">
        <v>23</v>
      </c>
      <c r="K1426">
        <v>13096.61</v>
      </c>
    </row>
    <row r="1427" spans="1:11">
      <c r="A1427">
        <v>1426</v>
      </c>
      <c r="B1427" t="s">
        <v>110</v>
      </c>
      <c r="C1427" s="1">
        <v>26299</v>
      </c>
      <c r="D1427">
        <v>54</v>
      </c>
      <c r="E1427" t="s">
        <v>12</v>
      </c>
      <c r="F1427" t="s">
        <v>21</v>
      </c>
      <c r="G1427" s="1">
        <v>45261</v>
      </c>
      <c r="H1427" s="1">
        <v>45551</v>
      </c>
      <c r="I1427">
        <v>17</v>
      </c>
      <c r="K1427">
        <v>7748.8</v>
      </c>
    </row>
    <row r="1428" spans="1:11">
      <c r="A1428">
        <v>1427</v>
      </c>
      <c r="B1428" t="s">
        <v>57</v>
      </c>
      <c r="C1428" s="1">
        <v>37622</v>
      </c>
      <c r="D1428">
        <v>23</v>
      </c>
      <c r="E1428" t="s">
        <v>12</v>
      </c>
      <c r="F1428" t="s">
        <v>21</v>
      </c>
      <c r="G1428" s="1">
        <v>45389</v>
      </c>
      <c r="H1428" s="1">
        <v>45554</v>
      </c>
      <c r="I1428">
        <v>30</v>
      </c>
      <c r="J1428" t="s">
        <v>23</v>
      </c>
      <c r="K1428">
        <v>2631.95</v>
      </c>
    </row>
    <row r="1429" spans="1:11">
      <c r="A1429">
        <v>1428</v>
      </c>
      <c r="B1429" t="s">
        <v>134</v>
      </c>
      <c r="C1429" s="1">
        <v>38352</v>
      </c>
      <c r="D1429">
        <v>21</v>
      </c>
      <c r="E1429" t="s">
        <v>15</v>
      </c>
      <c r="F1429" t="s">
        <v>13</v>
      </c>
      <c r="G1429" s="1">
        <v>45475</v>
      </c>
      <c r="H1429" s="1">
        <v>45605</v>
      </c>
      <c r="I1429">
        <v>14</v>
      </c>
      <c r="J1429" t="s">
        <v>25</v>
      </c>
      <c r="K1429">
        <v>1245.98</v>
      </c>
    </row>
    <row r="1430" spans="1:11">
      <c r="A1430">
        <v>1429</v>
      </c>
      <c r="B1430" t="s">
        <v>152</v>
      </c>
      <c r="C1430" s="1">
        <v>21185</v>
      </c>
      <c r="D1430">
        <v>68</v>
      </c>
      <c r="E1430" t="s">
        <v>12</v>
      </c>
      <c r="F1430" t="s">
        <v>21</v>
      </c>
      <c r="G1430" s="1">
        <v>45227</v>
      </c>
      <c r="H1430" s="1">
        <v>45506</v>
      </c>
      <c r="I1430">
        <v>27</v>
      </c>
      <c r="J1430" t="s">
        <v>23</v>
      </c>
      <c r="K1430">
        <v>15735.64</v>
      </c>
    </row>
    <row r="1431" spans="1:11">
      <c r="A1431">
        <v>1430</v>
      </c>
      <c r="B1431" t="s">
        <v>24</v>
      </c>
      <c r="C1431" s="1">
        <v>25934</v>
      </c>
      <c r="D1431">
        <v>55</v>
      </c>
      <c r="E1431" t="s">
        <v>12</v>
      </c>
      <c r="F1431" t="s">
        <v>13</v>
      </c>
      <c r="G1431" s="1">
        <v>45580</v>
      </c>
      <c r="H1431" s="1">
        <v>45694</v>
      </c>
      <c r="I1431">
        <v>15</v>
      </c>
      <c r="J1431" t="s">
        <v>19</v>
      </c>
      <c r="K1431">
        <v>13485.81</v>
      </c>
    </row>
    <row r="1432" spans="1:11">
      <c r="A1432">
        <v>1431</v>
      </c>
      <c r="B1432" t="s">
        <v>55</v>
      </c>
      <c r="C1432" s="1">
        <v>34334</v>
      </c>
      <c r="D1432">
        <v>32</v>
      </c>
      <c r="E1432" t="s">
        <v>15</v>
      </c>
      <c r="F1432" t="s">
        <v>21</v>
      </c>
      <c r="G1432" s="1">
        <v>45481</v>
      </c>
      <c r="H1432" s="1">
        <v>45509</v>
      </c>
      <c r="I1432">
        <v>29</v>
      </c>
      <c r="J1432" t="s">
        <v>19</v>
      </c>
      <c r="K1432">
        <v>8177.14</v>
      </c>
    </row>
    <row r="1433" spans="1:11">
      <c r="A1433">
        <v>1432</v>
      </c>
      <c r="B1433" t="s">
        <v>94</v>
      </c>
      <c r="C1433" s="1">
        <v>33239</v>
      </c>
      <c r="D1433">
        <v>35</v>
      </c>
      <c r="E1433" t="s">
        <v>15</v>
      </c>
      <c r="F1433" t="s">
        <v>32</v>
      </c>
      <c r="G1433" s="1">
        <v>45554</v>
      </c>
      <c r="H1433" s="1">
        <v>45747</v>
      </c>
      <c r="I1433">
        <v>37</v>
      </c>
      <c r="J1433" t="s">
        <v>19</v>
      </c>
      <c r="K1433">
        <v>17914.18</v>
      </c>
    </row>
    <row r="1434" spans="1:11">
      <c r="A1434">
        <v>1433</v>
      </c>
      <c r="B1434" t="s">
        <v>86</v>
      </c>
      <c r="C1434" s="1">
        <v>39083</v>
      </c>
      <c r="D1434">
        <v>19</v>
      </c>
      <c r="E1434" t="s">
        <v>12</v>
      </c>
      <c r="F1434" t="s">
        <v>32</v>
      </c>
      <c r="G1434" s="1">
        <v>45267</v>
      </c>
      <c r="H1434" s="1">
        <v>45130</v>
      </c>
      <c r="I1434">
        <v>1</v>
      </c>
      <c r="K1434">
        <v>8158.22</v>
      </c>
    </row>
    <row r="1435" spans="1:11">
      <c r="A1435">
        <v>1434</v>
      </c>
      <c r="B1435" t="s">
        <v>121</v>
      </c>
      <c r="C1435" s="1">
        <v>16072</v>
      </c>
      <c r="D1435">
        <v>82</v>
      </c>
      <c r="E1435" t="s">
        <v>12</v>
      </c>
      <c r="F1435" t="s">
        <v>45</v>
      </c>
      <c r="G1435" s="1">
        <v>45418</v>
      </c>
      <c r="H1435" s="1">
        <v>45566</v>
      </c>
      <c r="I1435">
        <v>29</v>
      </c>
      <c r="J1435" t="s">
        <v>19</v>
      </c>
      <c r="K1435">
        <v>14176.94</v>
      </c>
    </row>
    <row r="1436" spans="1:11">
      <c r="A1436">
        <v>1435</v>
      </c>
      <c r="B1436" t="s">
        <v>75</v>
      </c>
      <c r="C1436" s="1">
        <v>16802</v>
      </c>
      <c r="D1436">
        <v>80</v>
      </c>
      <c r="E1436" t="s">
        <v>12</v>
      </c>
      <c r="F1436" t="s">
        <v>21</v>
      </c>
      <c r="G1436" s="1">
        <v>45010</v>
      </c>
      <c r="H1436" s="1">
        <v>45337</v>
      </c>
      <c r="I1436">
        <v>16</v>
      </c>
      <c r="K1436">
        <v>18173.22</v>
      </c>
    </row>
    <row r="1437" spans="1:11">
      <c r="A1437">
        <v>1436</v>
      </c>
      <c r="B1437" t="s">
        <v>72</v>
      </c>
      <c r="C1437" s="1">
        <v>23742</v>
      </c>
      <c r="E1437" t="s">
        <v>15</v>
      </c>
      <c r="G1437" s="1">
        <v>45185</v>
      </c>
      <c r="H1437" s="1">
        <v>45760</v>
      </c>
      <c r="I1437">
        <v>0</v>
      </c>
      <c r="J1437" t="s">
        <v>19</v>
      </c>
      <c r="K1437">
        <v>16798.38</v>
      </c>
    </row>
    <row r="1438" spans="1:11">
      <c r="A1438">
        <v>1437</v>
      </c>
      <c r="B1438" t="s">
        <v>110</v>
      </c>
      <c r="C1438" s="1">
        <v>19724</v>
      </c>
      <c r="D1438">
        <v>72</v>
      </c>
      <c r="E1438" t="s">
        <v>15</v>
      </c>
      <c r="F1438" t="s">
        <v>45</v>
      </c>
      <c r="G1438" s="1">
        <v>45286</v>
      </c>
      <c r="H1438" s="1">
        <v>45007</v>
      </c>
      <c r="I1438">
        <v>35</v>
      </c>
      <c r="J1438" t="s">
        <v>23</v>
      </c>
      <c r="K1438">
        <v>10173.209999999999</v>
      </c>
    </row>
    <row r="1439" spans="1:11">
      <c r="A1439">
        <v>1438</v>
      </c>
      <c r="B1439" t="s">
        <v>116</v>
      </c>
      <c r="C1439" s="1">
        <v>36891</v>
      </c>
      <c r="D1439">
        <v>25</v>
      </c>
      <c r="E1439" t="s">
        <v>15</v>
      </c>
      <c r="F1439" t="s">
        <v>13</v>
      </c>
      <c r="G1439" s="1">
        <v>45013</v>
      </c>
      <c r="H1439" s="1">
        <v>45615</v>
      </c>
      <c r="I1439">
        <v>25</v>
      </c>
      <c r="K1439">
        <v>13580.79</v>
      </c>
    </row>
    <row r="1440" spans="1:11">
      <c r="A1440">
        <v>1439</v>
      </c>
      <c r="B1440" t="s">
        <v>39</v>
      </c>
      <c r="C1440" s="1">
        <v>22281</v>
      </c>
      <c r="D1440">
        <v>65</v>
      </c>
      <c r="E1440" t="s">
        <v>12</v>
      </c>
      <c r="F1440" t="s">
        <v>45</v>
      </c>
      <c r="G1440" s="1">
        <v>45354</v>
      </c>
      <c r="H1440" s="1">
        <v>45040</v>
      </c>
      <c r="I1440">
        <v>35</v>
      </c>
      <c r="J1440" t="s">
        <v>19</v>
      </c>
      <c r="K1440">
        <v>8214.68</v>
      </c>
    </row>
    <row r="1441" spans="1:11">
      <c r="A1441">
        <v>1440</v>
      </c>
      <c r="B1441" t="s">
        <v>26</v>
      </c>
      <c r="C1441" s="1">
        <v>19724</v>
      </c>
      <c r="D1441">
        <v>72</v>
      </c>
      <c r="E1441" t="s">
        <v>12</v>
      </c>
      <c r="F1441" t="s">
        <v>21</v>
      </c>
      <c r="G1441" s="1">
        <v>45293</v>
      </c>
      <c r="H1441" s="1">
        <v>45550</v>
      </c>
      <c r="I1441">
        <v>3</v>
      </c>
      <c r="J1441" t="s">
        <v>23</v>
      </c>
      <c r="K1441">
        <v>12908.66</v>
      </c>
    </row>
    <row r="1442" spans="1:11">
      <c r="A1442">
        <v>1441</v>
      </c>
      <c r="B1442" t="s">
        <v>139</v>
      </c>
      <c r="C1442" s="1">
        <v>19724</v>
      </c>
      <c r="D1442">
        <v>72</v>
      </c>
      <c r="E1442" t="s">
        <v>15</v>
      </c>
      <c r="F1442" t="s">
        <v>13</v>
      </c>
      <c r="G1442" s="1">
        <v>45269</v>
      </c>
      <c r="H1442" s="1">
        <v>45748</v>
      </c>
      <c r="I1442">
        <v>37</v>
      </c>
      <c r="K1442">
        <v>5076.8</v>
      </c>
    </row>
    <row r="1443" spans="1:11">
      <c r="A1443">
        <v>1442</v>
      </c>
      <c r="B1443" t="s">
        <v>111</v>
      </c>
      <c r="C1443" s="1">
        <v>31778</v>
      </c>
      <c r="D1443">
        <v>39</v>
      </c>
      <c r="E1443" t="s">
        <v>12</v>
      </c>
      <c r="G1443" s="1">
        <v>45273</v>
      </c>
      <c r="H1443" s="1">
        <v>45064</v>
      </c>
      <c r="I1443">
        <v>14</v>
      </c>
      <c r="J1443" t="s">
        <v>23</v>
      </c>
      <c r="K1443">
        <v>8638.32</v>
      </c>
    </row>
    <row r="1444" spans="1:11">
      <c r="A1444">
        <v>1443</v>
      </c>
      <c r="B1444" t="s">
        <v>43</v>
      </c>
      <c r="C1444" s="1">
        <v>40178</v>
      </c>
      <c r="D1444">
        <v>16</v>
      </c>
      <c r="E1444" t="s">
        <v>12</v>
      </c>
      <c r="F1444" t="s">
        <v>13</v>
      </c>
      <c r="G1444" s="1">
        <v>45022</v>
      </c>
      <c r="H1444" s="1">
        <v>45572</v>
      </c>
      <c r="I1444">
        <v>39</v>
      </c>
      <c r="J1444" t="s">
        <v>23</v>
      </c>
      <c r="K1444">
        <v>4111.87</v>
      </c>
    </row>
    <row r="1445" spans="1:11">
      <c r="A1445">
        <v>1444</v>
      </c>
      <c r="B1445" t="s">
        <v>22</v>
      </c>
      <c r="C1445" s="1">
        <v>46022</v>
      </c>
      <c r="D1445">
        <v>0</v>
      </c>
      <c r="E1445" t="s">
        <v>12</v>
      </c>
      <c r="F1445" t="s">
        <v>32</v>
      </c>
      <c r="G1445" s="1">
        <v>45181</v>
      </c>
      <c r="H1445" s="1">
        <v>45811</v>
      </c>
      <c r="I1445">
        <v>2</v>
      </c>
      <c r="J1445" t="s">
        <v>23</v>
      </c>
      <c r="K1445">
        <v>667.52</v>
      </c>
    </row>
    <row r="1446" spans="1:11">
      <c r="A1446">
        <v>1445</v>
      </c>
      <c r="B1446" t="s">
        <v>132</v>
      </c>
      <c r="C1446" s="1">
        <v>13880</v>
      </c>
      <c r="D1446">
        <v>88</v>
      </c>
      <c r="F1446" t="s">
        <v>13</v>
      </c>
      <c r="G1446" s="1">
        <v>45062</v>
      </c>
      <c r="H1446" s="1">
        <v>45767</v>
      </c>
      <c r="I1446">
        <v>16</v>
      </c>
      <c r="K1446">
        <v>11729.65</v>
      </c>
    </row>
    <row r="1447" spans="1:11">
      <c r="A1447">
        <v>1446</v>
      </c>
      <c r="B1447" t="s">
        <v>88</v>
      </c>
      <c r="C1447" s="1">
        <v>24107</v>
      </c>
      <c r="D1447">
        <v>60</v>
      </c>
      <c r="E1447" t="s">
        <v>15</v>
      </c>
      <c r="F1447" t="s">
        <v>13</v>
      </c>
      <c r="G1447" s="1">
        <v>45174</v>
      </c>
      <c r="H1447" s="1">
        <v>45116</v>
      </c>
      <c r="I1447">
        <v>39</v>
      </c>
      <c r="K1447">
        <v>17275.03</v>
      </c>
    </row>
    <row r="1448" spans="1:11">
      <c r="A1448">
        <v>1447</v>
      </c>
      <c r="B1448" t="s">
        <v>37</v>
      </c>
      <c r="C1448" s="1">
        <v>30682</v>
      </c>
      <c r="D1448">
        <v>42</v>
      </c>
      <c r="E1448" t="s">
        <v>12</v>
      </c>
      <c r="F1448" t="s">
        <v>45</v>
      </c>
      <c r="G1448" s="1">
        <v>45425</v>
      </c>
      <c r="H1448" s="1">
        <v>45204</v>
      </c>
      <c r="I1448">
        <v>32</v>
      </c>
      <c r="J1448" t="s">
        <v>25</v>
      </c>
      <c r="K1448">
        <v>414.12</v>
      </c>
    </row>
    <row r="1449" spans="1:11">
      <c r="A1449">
        <v>1448</v>
      </c>
      <c r="B1449" t="s">
        <v>166</v>
      </c>
      <c r="C1449" s="1">
        <v>31047</v>
      </c>
      <c r="D1449">
        <v>41</v>
      </c>
      <c r="E1449" t="s">
        <v>15</v>
      </c>
      <c r="G1449" s="1">
        <v>45412</v>
      </c>
      <c r="H1449" s="1">
        <v>45664</v>
      </c>
      <c r="I1449">
        <v>19</v>
      </c>
      <c r="J1449" t="s">
        <v>25</v>
      </c>
      <c r="K1449">
        <v>3840.2</v>
      </c>
    </row>
    <row r="1450" spans="1:11">
      <c r="A1450">
        <v>1449</v>
      </c>
      <c r="B1450" t="s">
        <v>124</v>
      </c>
      <c r="C1450" s="1">
        <v>37256</v>
      </c>
      <c r="D1450">
        <v>24</v>
      </c>
      <c r="E1450" t="s">
        <v>15</v>
      </c>
      <c r="F1450" t="s">
        <v>16</v>
      </c>
      <c r="G1450" s="1">
        <v>45328</v>
      </c>
      <c r="H1450" s="1">
        <v>45030</v>
      </c>
      <c r="I1450">
        <v>21</v>
      </c>
      <c r="J1450" t="s">
        <v>25</v>
      </c>
      <c r="K1450">
        <v>9149.7199999999993</v>
      </c>
    </row>
    <row r="1451" spans="1:11">
      <c r="A1451">
        <v>1450</v>
      </c>
      <c r="B1451" t="s">
        <v>101</v>
      </c>
      <c r="C1451" s="1">
        <v>32143</v>
      </c>
      <c r="D1451">
        <v>38</v>
      </c>
      <c r="E1451" t="s">
        <v>12</v>
      </c>
      <c r="F1451" t="s">
        <v>13</v>
      </c>
      <c r="G1451" s="1">
        <v>45530</v>
      </c>
      <c r="H1451" s="1">
        <v>45034</v>
      </c>
      <c r="I1451">
        <v>7</v>
      </c>
      <c r="J1451" t="s">
        <v>25</v>
      </c>
      <c r="K1451">
        <v>13284.53</v>
      </c>
    </row>
    <row r="1452" spans="1:11">
      <c r="A1452">
        <v>1451</v>
      </c>
      <c r="B1452" t="s">
        <v>118</v>
      </c>
      <c r="C1452" s="1">
        <v>33604</v>
      </c>
      <c r="D1452">
        <v>34</v>
      </c>
      <c r="E1452" t="s">
        <v>12</v>
      </c>
      <c r="F1452" t="s">
        <v>18</v>
      </c>
      <c r="G1452" s="1">
        <v>45338</v>
      </c>
      <c r="H1452" s="1">
        <v>45502</v>
      </c>
      <c r="I1452">
        <v>-1</v>
      </c>
      <c r="K1452">
        <v>3341.71</v>
      </c>
    </row>
    <row r="1453" spans="1:11">
      <c r="A1453">
        <v>1452</v>
      </c>
      <c r="B1453" t="s">
        <v>110</v>
      </c>
      <c r="C1453" s="1">
        <v>45292</v>
      </c>
      <c r="D1453">
        <v>2</v>
      </c>
      <c r="E1453" t="s">
        <v>12</v>
      </c>
      <c r="F1453" t="s">
        <v>16</v>
      </c>
      <c r="G1453" s="1">
        <v>45374</v>
      </c>
      <c r="H1453" s="1">
        <v>45684</v>
      </c>
      <c r="I1453">
        <v>25</v>
      </c>
      <c r="J1453" t="s">
        <v>25</v>
      </c>
      <c r="K1453">
        <v>1039.57</v>
      </c>
    </row>
    <row r="1454" spans="1:11">
      <c r="A1454">
        <v>1453</v>
      </c>
      <c r="B1454" t="s">
        <v>165</v>
      </c>
      <c r="C1454" s="1">
        <v>30317</v>
      </c>
      <c r="D1454">
        <v>43</v>
      </c>
      <c r="E1454" t="s">
        <v>12</v>
      </c>
      <c r="F1454" t="s">
        <v>32</v>
      </c>
      <c r="G1454" s="1">
        <v>45173</v>
      </c>
      <c r="H1454" s="1">
        <v>45100</v>
      </c>
      <c r="I1454">
        <v>38</v>
      </c>
      <c r="J1454" t="s">
        <v>19</v>
      </c>
      <c r="K1454">
        <v>10332.879999999999</v>
      </c>
    </row>
    <row r="1455" spans="1:11">
      <c r="A1455">
        <v>1454</v>
      </c>
      <c r="B1455" t="s">
        <v>17</v>
      </c>
      <c r="C1455" s="1">
        <v>27760</v>
      </c>
      <c r="D1455">
        <v>50</v>
      </c>
      <c r="E1455" t="s">
        <v>12</v>
      </c>
      <c r="G1455" s="1">
        <v>45625</v>
      </c>
      <c r="H1455" s="1">
        <v>45772</v>
      </c>
      <c r="I1455">
        <v>34</v>
      </c>
      <c r="J1455" t="s">
        <v>25</v>
      </c>
      <c r="K1455">
        <v>16356.07</v>
      </c>
    </row>
    <row r="1456" spans="1:11">
      <c r="A1456">
        <v>1455</v>
      </c>
      <c r="B1456" t="s">
        <v>52</v>
      </c>
      <c r="C1456" s="1">
        <v>12054</v>
      </c>
      <c r="D1456">
        <v>93</v>
      </c>
      <c r="E1456" t="s">
        <v>12</v>
      </c>
      <c r="G1456" s="1">
        <v>45347</v>
      </c>
      <c r="H1456" s="1">
        <v>45258</v>
      </c>
      <c r="I1456">
        <v>14</v>
      </c>
      <c r="J1456" t="s">
        <v>19</v>
      </c>
      <c r="K1456">
        <v>608.22</v>
      </c>
    </row>
    <row r="1457" spans="1:11">
      <c r="A1457">
        <v>1456</v>
      </c>
      <c r="B1457" t="s">
        <v>135</v>
      </c>
      <c r="C1457" s="1">
        <v>42005</v>
      </c>
      <c r="D1457">
        <v>11</v>
      </c>
      <c r="E1457" t="s">
        <v>15</v>
      </c>
      <c r="F1457" t="s">
        <v>32</v>
      </c>
      <c r="G1457" s="1">
        <v>45050</v>
      </c>
      <c r="H1457" s="1">
        <v>45649</v>
      </c>
      <c r="I1457">
        <v>3</v>
      </c>
      <c r="J1457" t="s">
        <v>19</v>
      </c>
      <c r="K1457">
        <v>6922.33</v>
      </c>
    </row>
    <row r="1458" spans="1:11">
      <c r="A1458">
        <v>1457</v>
      </c>
      <c r="B1458" t="s">
        <v>68</v>
      </c>
      <c r="C1458" s="1">
        <v>39448</v>
      </c>
      <c r="D1458">
        <v>18</v>
      </c>
      <c r="E1458" t="s">
        <v>12</v>
      </c>
      <c r="F1458" t="s">
        <v>13</v>
      </c>
      <c r="G1458" s="1">
        <v>45186</v>
      </c>
      <c r="H1458" s="1">
        <v>45118</v>
      </c>
      <c r="I1458">
        <v>2</v>
      </c>
      <c r="J1458" t="s">
        <v>23</v>
      </c>
      <c r="K1458">
        <v>13236.65</v>
      </c>
    </row>
    <row r="1459" spans="1:11">
      <c r="A1459">
        <v>1458</v>
      </c>
      <c r="B1459" t="s">
        <v>131</v>
      </c>
      <c r="C1459" s="1">
        <v>30317</v>
      </c>
      <c r="D1459">
        <v>43</v>
      </c>
      <c r="E1459" t="s">
        <v>12</v>
      </c>
      <c r="F1459" t="s">
        <v>45</v>
      </c>
      <c r="G1459" s="1">
        <v>45095</v>
      </c>
      <c r="H1459" s="1">
        <v>45597</v>
      </c>
      <c r="I1459">
        <v>36</v>
      </c>
      <c r="J1459" t="s">
        <v>23</v>
      </c>
      <c r="K1459">
        <v>2527.91</v>
      </c>
    </row>
    <row r="1460" spans="1:11">
      <c r="A1460">
        <v>1459</v>
      </c>
      <c r="B1460" t="s">
        <v>88</v>
      </c>
      <c r="C1460" s="1">
        <v>24838</v>
      </c>
      <c r="D1460">
        <v>58</v>
      </c>
      <c r="E1460" t="s">
        <v>15</v>
      </c>
      <c r="F1460" t="s">
        <v>16</v>
      </c>
      <c r="G1460" s="1">
        <v>45037</v>
      </c>
      <c r="H1460" s="1">
        <v>45758</v>
      </c>
      <c r="I1460">
        <v>4</v>
      </c>
      <c r="J1460" t="s">
        <v>23</v>
      </c>
      <c r="K1460">
        <v>4642.53</v>
      </c>
    </row>
    <row r="1461" spans="1:11">
      <c r="A1461">
        <v>1460</v>
      </c>
      <c r="B1461" t="s">
        <v>59</v>
      </c>
      <c r="C1461" s="1">
        <v>28490</v>
      </c>
      <c r="D1461">
        <v>48</v>
      </c>
      <c r="E1461" t="s">
        <v>15</v>
      </c>
      <c r="F1461" t="s">
        <v>32</v>
      </c>
      <c r="G1461" s="1">
        <v>45216</v>
      </c>
      <c r="H1461" s="1">
        <v>45152</v>
      </c>
      <c r="I1461">
        <v>29</v>
      </c>
      <c r="J1461" t="s">
        <v>25</v>
      </c>
      <c r="K1461">
        <v>10663.4</v>
      </c>
    </row>
    <row r="1462" spans="1:11">
      <c r="A1462">
        <v>1461</v>
      </c>
      <c r="B1462" t="s">
        <v>140</v>
      </c>
      <c r="C1462" s="1">
        <v>24107</v>
      </c>
      <c r="E1462" t="s">
        <v>12</v>
      </c>
      <c r="F1462" t="s">
        <v>32</v>
      </c>
      <c r="G1462" s="1">
        <v>45525</v>
      </c>
      <c r="H1462" s="1">
        <v>45611</v>
      </c>
      <c r="I1462">
        <v>1</v>
      </c>
      <c r="K1462">
        <v>19059.96</v>
      </c>
    </row>
    <row r="1463" spans="1:11">
      <c r="A1463">
        <v>1462</v>
      </c>
      <c r="B1463" t="s">
        <v>89</v>
      </c>
      <c r="C1463" s="1">
        <v>40178</v>
      </c>
      <c r="D1463">
        <v>16</v>
      </c>
      <c r="E1463" t="s">
        <v>12</v>
      </c>
      <c r="F1463" t="s">
        <v>18</v>
      </c>
      <c r="G1463" s="1">
        <v>44939</v>
      </c>
      <c r="H1463" s="1">
        <v>45250</v>
      </c>
      <c r="I1463">
        <v>18</v>
      </c>
      <c r="J1463" t="s">
        <v>19</v>
      </c>
      <c r="K1463">
        <v>5675.59</v>
      </c>
    </row>
    <row r="1464" spans="1:11">
      <c r="A1464">
        <v>1463</v>
      </c>
      <c r="B1464" t="s">
        <v>121</v>
      </c>
      <c r="C1464" s="1">
        <v>19359</v>
      </c>
      <c r="D1464">
        <v>73</v>
      </c>
      <c r="E1464" t="s">
        <v>12</v>
      </c>
      <c r="F1464" t="s">
        <v>13</v>
      </c>
      <c r="G1464" s="1">
        <v>45189</v>
      </c>
      <c r="H1464" s="1">
        <v>45435</v>
      </c>
      <c r="I1464">
        <v>39</v>
      </c>
      <c r="K1464">
        <v>9699.2999999999993</v>
      </c>
    </row>
    <row r="1465" spans="1:11">
      <c r="A1465">
        <v>1464</v>
      </c>
      <c r="B1465" t="s">
        <v>82</v>
      </c>
      <c r="C1465" s="1">
        <v>25568</v>
      </c>
      <c r="D1465">
        <v>56</v>
      </c>
      <c r="E1465" t="s">
        <v>12</v>
      </c>
      <c r="F1465" t="s">
        <v>16</v>
      </c>
      <c r="G1465" s="1">
        <v>44949</v>
      </c>
      <c r="H1465" s="1">
        <v>45475</v>
      </c>
      <c r="I1465">
        <v>29</v>
      </c>
      <c r="K1465">
        <v>7938.61</v>
      </c>
    </row>
    <row r="1466" spans="1:11">
      <c r="A1466">
        <v>1465</v>
      </c>
      <c r="B1466" t="s">
        <v>66</v>
      </c>
      <c r="C1466" s="1">
        <v>26299</v>
      </c>
      <c r="D1466">
        <v>54</v>
      </c>
      <c r="E1466" t="s">
        <v>15</v>
      </c>
      <c r="F1466" t="s">
        <v>32</v>
      </c>
      <c r="G1466" s="1">
        <v>45126</v>
      </c>
      <c r="H1466" s="1">
        <v>45061</v>
      </c>
      <c r="I1466">
        <v>15</v>
      </c>
      <c r="J1466" t="s">
        <v>25</v>
      </c>
      <c r="K1466">
        <v>17937.669999999998</v>
      </c>
    </row>
    <row r="1467" spans="1:11">
      <c r="A1467">
        <v>1466</v>
      </c>
      <c r="B1467" t="s">
        <v>169</v>
      </c>
      <c r="C1467" s="1">
        <v>29221</v>
      </c>
      <c r="D1467">
        <v>46</v>
      </c>
      <c r="E1467" t="s">
        <v>12</v>
      </c>
      <c r="G1467" s="1">
        <v>45168</v>
      </c>
      <c r="H1467" s="1">
        <v>44964</v>
      </c>
      <c r="I1467">
        <v>30</v>
      </c>
      <c r="K1467">
        <v>1344.99</v>
      </c>
    </row>
    <row r="1468" spans="1:11">
      <c r="A1468">
        <v>1467</v>
      </c>
      <c r="B1468" t="s">
        <v>40</v>
      </c>
      <c r="C1468" s="1">
        <v>42005</v>
      </c>
      <c r="D1468">
        <v>11</v>
      </c>
      <c r="E1468" t="s">
        <v>12</v>
      </c>
      <c r="F1468" t="s">
        <v>32</v>
      </c>
      <c r="G1468" s="1">
        <v>45165</v>
      </c>
      <c r="H1468" s="1">
        <v>45020</v>
      </c>
      <c r="I1468">
        <v>11</v>
      </c>
      <c r="K1468">
        <v>11279.57</v>
      </c>
    </row>
    <row r="1469" spans="1:11">
      <c r="A1469">
        <v>1468</v>
      </c>
      <c r="B1469" t="s">
        <v>33</v>
      </c>
      <c r="C1469" s="1">
        <v>23742</v>
      </c>
      <c r="D1469">
        <v>61</v>
      </c>
      <c r="E1469" t="s">
        <v>12</v>
      </c>
      <c r="F1469" t="s">
        <v>32</v>
      </c>
      <c r="G1469" s="1">
        <v>45229</v>
      </c>
      <c r="H1469" s="1">
        <v>45002</v>
      </c>
      <c r="I1469">
        <v>3</v>
      </c>
      <c r="J1469" t="s">
        <v>23</v>
      </c>
      <c r="K1469">
        <v>16907.009999999998</v>
      </c>
    </row>
    <row r="1470" spans="1:11">
      <c r="A1470">
        <v>1469</v>
      </c>
      <c r="B1470" t="s">
        <v>108</v>
      </c>
      <c r="C1470" s="1">
        <v>17168</v>
      </c>
      <c r="D1470">
        <v>79</v>
      </c>
      <c r="E1470" t="s">
        <v>12</v>
      </c>
      <c r="F1470" t="s">
        <v>32</v>
      </c>
      <c r="G1470" s="1">
        <v>45091</v>
      </c>
      <c r="H1470" s="1">
        <v>45683</v>
      </c>
      <c r="I1470">
        <v>8</v>
      </c>
      <c r="J1470" t="s">
        <v>23</v>
      </c>
      <c r="K1470">
        <v>19761.16</v>
      </c>
    </row>
    <row r="1471" spans="1:11">
      <c r="A1471">
        <v>1470</v>
      </c>
      <c r="B1471" t="s">
        <v>129</v>
      </c>
      <c r="C1471" s="1">
        <v>14246</v>
      </c>
      <c r="D1471">
        <v>87</v>
      </c>
      <c r="E1471" t="s">
        <v>12</v>
      </c>
      <c r="F1471" t="s">
        <v>45</v>
      </c>
      <c r="G1471" s="1">
        <v>45102</v>
      </c>
      <c r="H1471" s="1">
        <v>45110</v>
      </c>
      <c r="I1471">
        <v>17</v>
      </c>
      <c r="J1471" t="s">
        <v>19</v>
      </c>
      <c r="K1471">
        <v>13944.38</v>
      </c>
    </row>
    <row r="1472" spans="1:11">
      <c r="A1472">
        <v>1471</v>
      </c>
      <c r="B1472" t="s">
        <v>139</v>
      </c>
      <c r="C1472" s="1">
        <v>16072</v>
      </c>
      <c r="D1472">
        <v>82</v>
      </c>
      <c r="E1472" t="s">
        <v>12</v>
      </c>
      <c r="F1472" t="s">
        <v>21</v>
      </c>
      <c r="G1472" s="1">
        <v>44955</v>
      </c>
      <c r="H1472" s="1">
        <v>45644</v>
      </c>
      <c r="I1472">
        <v>26</v>
      </c>
      <c r="J1472" t="s">
        <v>19</v>
      </c>
      <c r="K1472">
        <v>7536.7</v>
      </c>
    </row>
    <row r="1473" spans="1:11">
      <c r="A1473">
        <v>1472</v>
      </c>
      <c r="B1473" t="s">
        <v>54</v>
      </c>
      <c r="C1473" s="1">
        <v>43466</v>
      </c>
      <c r="D1473">
        <v>7</v>
      </c>
      <c r="E1473" t="s">
        <v>12</v>
      </c>
      <c r="F1473" t="s">
        <v>18</v>
      </c>
      <c r="G1473" s="1">
        <v>45603</v>
      </c>
      <c r="H1473" s="1">
        <v>45386</v>
      </c>
      <c r="I1473">
        <v>32</v>
      </c>
      <c r="J1473" t="s">
        <v>23</v>
      </c>
      <c r="K1473">
        <v>8177.67</v>
      </c>
    </row>
    <row r="1474" spans="1:11">
      <c r="A1474">
        <v>1473</v>
      </c>
      <c r="B1474" t="s">
        <v>157</v>
      </c>
      <c r="C1474" s="1">
        <v>11689</v>
      </c>
      <c r="D1474">
        <v>94</v>
      </c>
      <c r="E1474" t="s">
        <v>15</v>
      </c>
      <c r="G1474" s="1">
        <v>45461</v>
      </c>
      <c r="H1474" s="1">
        <v>45626</v>
      </c>
      <c r="I1474">
        <v>13</v>
      </c>
      <c r="J1474" t="s">
        <v>25</v>
      </c>
      <c r="K1474">
        <v>6968.81</v>
      </c>
    </row>
    <row r="1475" spans="1:11">
      <c r="A1475">
        <v>1474</v>
      </c>
      <c r="B1475" t="s">
        <v>70</v>
      </c>
      <c r="C1475" s="1">
        <v>38717</v>
      </c>
      <c r="D1475">
        <v>20</v>
      </c>
      <c r="E1475" t="s">
        <v>12</v>
      </c>
      <c r="F1475" t="s">
        <v>45</v>
      </c>
      <c r="G1475" s="1">
        <v>45220</v>
      </c>
      <c r="H1475" s="1">
        <v>45605</v>
      </c>
      <c r="I1475">
        <v>4</v>
      </c>
      <c r="J1475" t="s">
        <v>25</v>
      </c>
      <c r="K1475">
        <v>12032.62</v>
      </c>
    </row>
    <row r="1476" spans="1:11">
      <c r="A1476">
        <v>1475</v>
      </c>
      <c r="B1476" t="s">
        <v>96</v>
      </c>
      <c r="C1476" s="1">
        <v>16802</v>
      </c>
      <c r="D1476">
        <v>80</v>
      </c>
      <c r="E1476" t="s">
        <v>15</v>
      </c>
      <c r="F1476" t="s">
        <v>18</v>
      </c>
      <c r="G1476" s="1">
        <v>45403</v>
      </c>
      <c r="H1476" s="1">
        <v>45554</v>
      </c>
      <c r="I1476">
        <v>37</v>
      </c>
      <c r="J1476" t="s">
        <v>19</v>
      </c>
      <c r="K1476">
        <v>14762.06</v>
      </c>
    </row>
    <row r="1477" spans="1:11">
      <c r="A1477">
        <v>1476</v>
      </c>
      <c r="B1477" t="s">
        <v>158</v>
      </c>
      <c r="C1477" s="1">
        <v>14611</v>
      </c>
      <c r="D1477">
        <v>86</v>
      </c>
      <c r="E1477" t="s">
        <v>15</v>
      </c>
      <c r="F1477" t="s">
        <v>32</v>
      </c>
      <c r="G1477" s="1">
        <v>45309</v>
      </c>
      <c r="H1477" s="1">
        <v>45336</v>
      </c>
      <c r="I1477">
        <v>33</v>
      </c>
      <c r="J1477" t="s">
        <v>23</v>
      </c>
      <c r="K1477">
        <v>16371.3</v>
      </c>
    </row>
    <row r="1478" spans="1:11">
      <c r="A1478">
        <v>1477</v>
      </c>
      <c r="B1478" t="s">
        <v>143</v>
      </c>
      <c r="C1478" s="1">
        <v>17168</v>
      </c>
      <c r="D1478">
        <v>79</v>
      </c>
      <c r="E1478" t="s">
        <v>12</v>
      </c>
      <c r="F1478" t="s">
        <v>18</v>
      </c>
      <c r="G1478" s="1">
        <v>45482</v>
      </c>
      <c r="H1478" s="1">
        <v>45134</v>
      </c>
      <c r="I1478">
        <v>28</v>
      </c>
      <c r="J1478" t="s">
        <v>25</v>
      </c>
      <c r="K1478">
        <v>8273.52</v>
      </c>
    </row>
    <row r="1479" spans="1:11">
      <c r="A1479">
        <v>1478</v>
      </c>
      <c r="B1479" t="s">
        <v>76</v>
      </c>
      <c r="C1479" s="1">
        <v>20820</v>
      </c>
      <c r="D1479">
        <v>69</v>
      </c>
      <c r="E1479" t="s">
        <v>15</v>
      </c>
      <c r="F1479" t="s">
        <v>13</v>
      </c>
      <c r="G1479" s="1">
        <v>45618</v>
      </c>
      <c r="H1479" s="1">
        <v>45172</v>
      </c>
      <c r="I1479">
        <v>39</v>
      </c>
      <c r="K1479">
        <v>14305.84</v>
      </c>
    </row>
    <row r="1480" spans="1:11">
      <c r="A1480">
        <v>1479</v>
      </c>
      <c r="B1480" t="s">
        <v>85</v>
      </c>
      <c r="C1480" s="1">
        <v>20090</v>
      </c>
      <c r="D1480">
        <v>71</v>
      </c>
      <c r="E1480" t="s">
        <v>12</v>
      </c>
      <c r="F1480" t="s">
        <v>13</v>
      </c>
      <c r="G1480" s="1">
        <v>45222</v>
      </c>
      <c r="H1480" s="1">
        <v>45260</v>
      </c>
      <c r="I1480">
        <v>3</v>
      </c>
      <c r="J1480" t="s">
        <v>19</v>
      </c>
      <c r="K1480">
        <v>18316.07</v>
      </c>
    </row>
    <row r="1481" spans="1:11">
      <c r="A1481">
        <v>1480</v>
      </c>
      <c r="B1481" t="s">
        <v>159</v>
      </c>
      <c r="C1481" s="1">
        <v>37256</v>
      </c>
      <c r="D1481">
        <v>24</v>
      </c>
      <c r="E1481" t="s">
        <v>15</v>
      </c>
      <c r="F1481" t="s">
        <v>21</v>
      </c>
      <c r="G1481" s="1">
        <v>45577</v>
      </c>
      <c r="H1481" s="1">
        <v>45600</v>
      </c>
      <c r="I1481">
        <v>26</v>
      </c>
      <c r="J1481" t="s">
        <v>19</v>
      </c>
      <c r="K1481">
        <v>18408.580000000002</v>
      </c>
    </row>
    <row r="1482" spans="1:11">
      <c r="A1482">
        <v>1481</v>
      </c>
      <c r="B1482" t="s">
        <v>30</v>
      </c>
      <c r="C1482" s="1">
        <v>16437</v>
      </c>
      <c r="D1482">
        <v>81</v>
      </c>
      <c r="E1482" t="s">
        <v>15</v>
      </c>
      <c r="F1482" t="s">
        <v>21</v>
      </c>
      <c r="G1482" s="1">
        <v>45260</v>
      </c>
      <c r="H1482" s="1">
        <v>45452</v>
      </c>
      <c r="I1482">
        <v>24</v>
      </c>
      <c r="K1482">
        <v>14050.98</v>
      </c>
    </row>
    <row r="1483" spans="1:11">
      <c r="A1483">
        <v>1482</v>
      </c>
      <c r="B1483" t="s">
        <v>167</v>
      </c>
      <c r="C1483" s="1">
        <v>13880</v>
      </c>
      <c r="D1483">
        <v>88</v>
      </c>
      <c r="E1483" t="s">
        <v>12</v>
      </c>
      <c r="F1483" t="s">
        <v>18</v>
      </c>
      <c r="G1483" s="1">
        <v>45174</v>
      </c>
      <c r="H1483" s="1">
        <v>45221</v>
      </c>
      <c r="I1483">
        <v>-1</v>
      </c>
      <c r="K1483">
        <v>12701.73</v>
      </c>
    </row>
    <row r="1484" spans="1:11">
      <c r="A1484">
        <v>1483</v>
      </c>
      <c r="B1484" t="s">
        <v>122</v>
      </c>
      <c r="C1484" s="1">
        <v>42005</v>
      </c>
      <c r="D1484">
        <v>11</v>
      </c>
      <c r="E1484" t="s">
        <v>15</v>
      </c>
      <c r="F1484" t="s">
        <v>45</v>
      </c>
      <c r="G1484" s="1">
        <v>45167</v>
      </c>
      <c r="H1484" s="1">
        <v>45675</v>
      </c>
      <c r="I1484">
        <v>19</v>
      </c>
      <c r="J1484" t="s">
        <v>19</v>
      </c>
      <c r="K1484">
        <v>10583.67</v>
      </c>
    </row>
    <row r="1485" spans="1:11">
      <c r="A1485">
        <v>1484</v>
      </c>
      <c r="B1485" t="s">
        <v>53</v>
      </c>
      <c r="C1485" s="1">
        <v>40909</v>
      </c>
      <c r="D1485">
        <v>14</v>
      </c>
      <c r="E1485" t="s">
        <v>12</v>
      </c>
      <c r="F1485" t="s">
        <v>45</v>
      </c>
      <c r="G1485" s="1">
        <v>45032</v>
      </c>
      <c r="H1485" s="1">
        <v>45200</v>
      </c>
      <c r="I1485">
        <v>6</v>
      </c>
      <c r="K1485">
        <v>3582.27</v>
      </c>
    </row>
    <row r="1486" spans="1:11">
      <c r="A1486">
        <v>1485</v>
      </c>
      <c r="B1486" t="s">
        <v>124</v>
      </c>
      <c r="C1486" s="1">
        <v>24838</v>
      </c>
      <c r="D1486">
        <v>58</v>
      </c>
      <c r="E1486" t="s">
        <v>15</v>
      </c>
      <c r="F1486" t="s">
        <v>32</v>
      </c>
      <c r="G1486" s="1">
        <v>45611</v>
      </c>
      <c r="H1486" s="1">
        <v>45306</v>
      </c>
      <c r="I1486">
        <v>8</v>
      </c>
      <c r="J1486" t="s">
        <v>25</v>
      </c>
      <c r="K1486">
        <v>2384.96</v>
      </c>
    </row>
    <row r="1487" spans="1:11">
      <c r="A1487">
        <v>1486</v>
      </c>
      <c r="B1487" t="s">
        <v>155</v>
      </c>
      <c r="C1487" s="1">
        <v>36891</v>
      </c>
      <c r="D1487">
        <v>25</v>
      </c>
      <c r="E1487" t="s">
        <v>15</v>
      </c>
      <c r="F1487" t="s">
        <v>45</v>
      </c>
      <c r="G1487" s="1">
        <v>45487</v>
      </c>
      <c r="H1487" s="1">
        <v>45553</v>
      </c>
      <c r="I1487">
        <v>13</v>
      </c>
      <c r="J1487" t="s">
        <v>19</v>
      </c>
      <c r="K1487">
        <v>9662.7900000000009</v>
      </c>
    </row>
    <row r="1488" spans="1:11">
      <c r="A1488">
        <v>1487</v>
      </c>
      <c r="B1488" t="s">
        <v>118</v>
      </c>
      <c r="C1488" s="1">
        <v>36891</v>
      </c>
      <c r="D1488">
        <v>25</v>
      </c>
      <c r="E1488" t="s">
        <v>15</v>
      </c>
      <c r="F1488" t="s">
        <v>21</v>
      </c>
      <c r="G1488" s="1">
        <v>45049</v>
      </c>
      <c r="H1488" s="1">
        <v>45591</v>
      </c>
      <c r="I1488">
        <v>10</v>
      </c>
      <c r="J1488" t="s">
        <v>25</v>
      </c>
      <c r="K1488">
        <v>3104.83</v>
      </c>
    </row>
    <row r="1489" spans="1:11">
      <c r="A1489">
        <v>1488</v>
      </c>
      <c r="B1489" t="s">
        <v>59</v>
      </c>
      <c r="C1489" s="1">
        <v>29221</v>
      </c>
      <c r="D1489">
        <v>46</v>
      </c>
      <c r="E1489" t="s">
        <v>15</v>
      </c>
      <c r="F1489" t="s">
        <v>45</v>
      </c>
      <c r="G1489" s="1">
        <v>44961</v>
      </c>
      <c r="H1489" s="1">
        <v>44953</v>
      </c>
      <c r="I1489">
        <v>15</v>
      </c>
      <c r="J1489" t="s">
        <v>19</v>
      </c>
      <c r="K1489">
        <v>11497.7</v>
      </c>
    </row>
    <row r="1490" spans="1:11">
      <c r="A1490">
        <v>1489</v>
      </c>
      <c r="B1490" t="s">
        <v>72</v>
      </c>
      <c r="C1490" s="1">
        <v>34700</v>
      </c>
      <c r="D1490">
        <v>31</v>
      </c>
      <c r="E1490" t="s">
        <v>12</v>
      </c>
      <c r="F1490" t="s">
        <v>32</v>
      </c>
      <c r="G1490" s="1">
        <v>45544</v>
      </c>
      <c r="H1490" s="1">
        <v>45607</v>
      </c>
      <c r="I1490">
        <v>22</v>
      </c>
      <c r="J1490" t="s">
        <v>25</v>
      </c>
      <c r="K1490">
        <v>12878.62</v>
      </c>
    </row>
    <row r="1491" spans="1:11">
      <c r="A1491">
        <v>1490</v>
      </c>
      <c r="B1491" t="s">
        <v>170</v>
      </c>
      <c r="C1491" s="1">
        <v>42735</v>
      </c>
      <c r="D1491">
        <v>9</v>
      </c>
      <c r="E1491" t="s">
        <v>15</v>
      </c>
      <c r="F1491" t="s">
        <v>13</v>
      </c>
      <c r="G1491" s="1">
        <v>45342</v>
      </c>
      <c r="H1491" s="1">
        <v>45471</v>
      </c>
      <c r="I1491">
        <v>30</v>
      </c>
      <c r="J1491" t="s">
        <v>23</v>
      </c>
      <c r="K1491">
        <v>10464.870000000001</v>
      </c>
    </row>
    <row r="1492" spans="1:11">
      <c r="A1492">
        <v>1491</v>
      </c>
      <c r="B1492" t="s">
        <v>104</v>
      </c>
      <c r="C1492" s="1">
        <v>40544</v>
      </c>
      <c r="D1492">
        <v>15</v>
      </c>
      <c r="E1492" t="s">
        <v>12</v>
      </c>
      <c r="F1492" t="s">
        <v>45</v>
      </c>
      <c r="G1492" s="1">
        <v>45634</v>
      </c>
      <c r="H1492" s="1">
        <v>45660</v>
      </c>
      <c r="I1492">
        <v>7</v>
      </c>
      <c r="J1492" t="s">
        <v>25</v>
      </c>
      <c r="K1492">
        <v>632.17999999999995</v>
      </c>
    </row>
    <row r="1493" spans="1:11">
      <c r="A1493">
        <v>1492</v>
      </c>
      <c r="B1493" t="s">
        <v>152</v>
      </c>
      <c r="C1493" s="1">
        <v>20455</v>
      </c>
      <c r="D1493">
        <v>70</v>
      </c>
      <c r="E1493" t="s">
        <v>12</v>
      </c>
      <c r="F1493" t="s">
        <v>45</v>
      </c>
      <c r="G1493" s="1">
        <v>45547</v>
      </c>
      <c r="H1493" s="1">
        <v>45645</v>
      </c>
      <c r="I1493">
        <v>27</v>
      </c>
      <c r="K1493">
        <v>1060.33</v>
      </c>
    </row>
    <row r="1494" spans="1:11">
      <c r="A1494">
        <v>1493</v>
      </c>
      <c r="B1494" t="s">
        <v>107</v>
      </c>
      <c r="C1494" s="1">
        <v>40178</v>
      </c>
      <c r="D1494">
        <v>16</v>
      </c>
      <c r="E1494" t="s">
        <v>12</v>
      </c>
      <c r="F1494" t="s">
        <v>21</v>
      </c>
      <c r="G1494" s="1">
        <v>45563</v>
      </c>
      <c r="H1494" s="1">
        <v>45781</v>
      </c>
      <c r="I1494">
        <v>-2</v>
      </c>
      <c r="J1494" t="s">
        <v>23</v>
      </c>
      <c r="K1494">
        <v>2178.16</v>
      </c>
    </row>
    <row r="1495" spans="1:11">
      <c r="A1495">
        <v>1494</v>
      </c>
      <c r="B1495" t="s">
        <v>125</v>
      </c>
      <c r="C1495" s="1">
        <v>37987</v>
      </c>
      <c r="D1495">
        <v>22</v>
      </c>
      <c r="E1495" t="s">
        <v>12</v>
      </c>
      <c r="F1495" t="s">
        <v>18</v>
      </c>
      <c r="G1495" s="1">
        <v>45253</v>
      </c>
      <c r="H1495" s="1">
        <v>45537</v>
      </c>
      <c r="I1495">
        <v>30</v>
      </c>
      <c r="J1495" t="s">
        <v>19</v>
      </c>
      <c r="K1495">
        <v>2988.28</v>
      </c>
    </row>
    <row r="1496" spans="1:11">
      <c r="A1496">
        <v>1495</v>
      </c>
      <c r="B1496" t="s">
        <v>121</v>
      </c>
      <c r="C1496" s="1">
        <v>36891</v>
      </c>
      <c r="D1496">
        <v>25</v>
      </c>
      <c r="E1496" t="s">
        <v>15</v>
      </c>
      <c r="F1496" t="s">
        <v>13</v>
      </c>
      <c r="G1496" s="1">
        <v>45221</v>
      </c>
      <c r="H1496" s="1">
        <v>45018</v>
      </c>
      <c r="I1496">
        <v>12</v>
      </c>
      <c r="J1496" t="s">
        <v>25</v>
      </c>
      <c r="K1496">
        <v>19796.64</v>
      </c>
    </row>
    <row r="1497" spans="1:11">
      <c r="A1497">
        <v>1496</v>
      </c>
      <c r="B1497" t="s">
        <v>159</v>
      </c>
      <c r="C1497" s="1">
        <v>15341</v>
      </c>
      <c r="D1497">
        <v>84</v>
      </c>
      <c r="E1497" t="s">
        <v>15</v>
      </c>
      <c r="F1497" t="s">
        <v>18</v>
      </c>
      <c r="G1497" s="1">
        <v>45358</v>
      </c>
      <c r="H1497" s="1">
        <v>45403</v>
      </c>
      <c r="I1497">
        <v>26</v>
      </c>
      <c r="J1497" t="s">
        <v>19</v>
      </c>
      <c r="K1497">
        <v>6824.35</v>
      </c>
    </row>
    <row r="1498" spans="1:11">
      <c r="A1498">
        <v>1497</v>
      </c>
      <c r="B1498" t="s">
        <v>24</v>
      </c>
      <c r="D1498">
        <v>85</v>
      </c>
      <c r="E1498" t="s">
        <v>12</v>
      </c>
      <c r="F1498" t="s">
        <v>32</v>
      </c>
      <c r="G1498" s="1">
        <v>45273</v>
      </c>
      <c r="H1498" s="1">
        <v>45816</v>
      </c>
      <c r="I1498">
        <v>-1</v>
      </c>
      <c r="J1498" t="s">
        <v>23</v>
      </c>
      <c r="K1498">
        <v>5768.66</v>
      </c>
    </row>
    <row r="1499" spans="1:11">
      <c r="A1499">
        <v>1498</v>
      </c>
      <c r="B1499" t="s">
        <v>110</v>
      </c>
      <c r="C1499" s="1">
        <v>43831</v>
      </c>
      <c r="D1499">
        <v>6</v>
      </c>
      <c r="E1499" t="s">
        <v>12</v>
      </c>
      <c r="F1499" t="s">
        <v>32</v>
      </c>
      <c r="G1499" s="1">
        <v>44963</v>
      </c>
      <c r="H1499" s="1">
        <v>45653</v>
      </c>
      <c r="I1499">
        <v>8</v>
      </c>
      <c r="K1499">
        <v>950.56</v>
      </c>
    </row>
    <row r="1500" spans="1:11">
      <c r="A1500">
        <v>1499</v>
      </c>
      <c r="B1500" t="s">
        <v>168</v>
      </c>
      <c r="C1500" s="1">
        <v>41274</v>
      </c>
      <c r="D1500">
        <v>13</v>
      </c>
      <c r="E1500" t="s">
        <v>12</v>
      </c>
      <c r="F1500" t="s">
        <v>18</v>
      </c>
      <c r="G1500" s="1">
        <v>45626</v>
      </c>
      <c r="H1500" s="1">
        <v>45115</v>
      </c>
      <c r="I1500">
        <v>31</v>
      </c>
      <c r="K1500">
        <v>12669.94</v>
      </c>
    </row>
    <row r="1501" spans="1:11">
      <c r="A1501">
        <v>1500</v>
      </c>
      <c r="B1501" t="s">
        <v>73</v>
      </c>
      <c r="C1501" s="1">
        <v>17533</v>
      </c>
      <c r="D1501">
        <v>78</v>
      </c>
      <c r="E1501" t="s">
        <v>12</v>
      </c>
      <c r="F1501" t="s">
        <v>21</v>
      </c>
      <c r="G1501" s="1">
        <v>45438</v>
      </c>
      <c r="H1501" s="1">
        <v>45496</v>
      </c>
      <c r="I1501">
        <v>38</v>
      </c>
      <c r="K1501">
        <v>13009.03</v>
      </c>
    </row>
    <row r="1502" spans="1:11">
      <c r="A1502">
        <v>1501</v>
      </c>
      <c r="B1502" t="s">
        <v>35</v>
      </c>
      <c r="C1502" s="1">
        <v>43831</v>
      </c>
      <c r="D1502">
        <v>6</v>
      </c>
      <c r="E1502" t="s">
        <v>15</v>
      </c>
      <c r="F1502" t="s">
        <v>16</v>
      </c>
      <c r="G1502" s="1">
        <v>45461</v>
      </c>
      <c r="H1502" s="1">
        <v>45546</v>
      </c>
      <c r="I1502">
        <v>16</v>
      </c>
      <c r="J1502" t="s">
        <v>19</v>
      </c>
      <c r="K1502">
        <v>3426.52</v>
      </c>
    </row>
    <row r="1503" spans="1:11">
      <c r="A1503">
        <v>1502</v>
      </c>
      <c r="B1503" t="s">
        <v>63</v>
      </c>
      <c r="C1503" s="1">
        <v>43100</v>
      </c>
      <c r="D1503">
        <v>8</v>
      </c>
      <c r="E1503" t="s">
        <v>15</v>
      </c>
      <c r="F1503" t="s">
        <v>21</v>
      </c>
      <c r="G1503" s="1">
        <v>45632</v>
      </c>
      <c r="H1503" s="1">
        <v>45122</v>
      </c>
      <c r="I1503">
        <v>-1</v>
      </c>
      <c r="K1503">
        <v>18376.75</v>
      </c>
    </row>
    <row r="1504" spans="1:11">
      <c r="A1504">
        <v>1503</v>
      </c>
      <c r="B1504" t="s">
        <v>169</v>
      </c>
      <c r="C1504" s="1">
        <v>28856</v>
      </c>
      <c r="D1504">
        <v>47</v>
      </c>
      <c r="E1504" t="s">
        <v>12</v>
      </c>
      <c r="F1504" t="s">
        <v>16</v>
      </c>
      <c r="G1504" s="1">
        <v>45590</v>
      </c>
      <c r="H1504" s="1">
        <v>45461</v>
      </c>
      <c r="I1504">
        <v>17</v>
      </c>
      <c r="K1504">
        <v>15989.92</v>
      </c>
    </row>
    <row r="1505" spans="1:11">
      <c r="A1505">
        <v>1504</v>
      </c>
      <c r="B1505" t="s">
        <v>22</v>
      </c>
      <c r="C1505" s="1">
        <v>20090</v>
      </c>
      <c r="D1505">
        <v>71</v>
      </c>
      <c r="E1505" t="s">
        <v>12</v>
      </c>
      <c r="F1505" t="s">
        <v>16</v>
      </c>
      <c r="G1505" s="1">
        <v>44944</v>
      </c>
      <c r="H1505" s="1">
        <v>45625</v>
      </c>
      <c r="I1505">
        <v>38</v>
      </c>
      <c r="J1505" t="s">
        <v>19</v>
      </c>
      <c r="K1505">
        <v>4529.42</v>
      </c>
    </row>
    <row r="1506" spans="1:11">
      <c r="A1506">
        <v>1505</v>
      </c>
      <c r="B1506" t="s">
        <v>64</v>
      </c>
      <c r="C1506" s="1">
        <v>24838</v>
      </c>
      <c r="D1506">
        <v>58</v>
      </c>
      <c r="E1506" t="s">
        <v>15</v>
      </c>
      <c r="F1506" t="s">
        <v>21</v>
      </c>
      <c r="G1506" s="1">
        <v>44953</v>
      </c>
      <c r="H1506" s="1">
        <v>45807</v>
      </c>
      <c r="I1506">
        <v>28</v>
      </c>
      <c r="J1506" t="s">
        <v>19</v>
      </c>
      <c r="K1506">
        <v>9665.58</v>
      </c>
    </row>
    <row r="1507" spans="1:11">
      <c r="A1507">
        <v>1506</v>
      </c>
      <c r="B1507" t="s">
        <v>71</v>
      </c>
      <c r="C1507" s="1">
        <v>14611</v>
      </c>
      <c r="D1507">
        <v>86</v>
      </c>
      <c r="E1507" t="s">
        <v>12</v>
      </c>
      <c r="F1507" t="s">
        <v>16</v>
      </c>
      <c r="G1507" s="1">
        <v>45462</v>
      </c>
      <c r="H1507" s="1">
        <v>45012</v>
      </c>
      <c r="I1507">
        <v>1</v>
      </c>
      <c r="J1507" t="s">
        <v>23</v>
      </c>
      <c r="K1507">
        <v>9113.66</v>
      </c>
    </row>
    <row r="1508" spans="1:11">
      <c r="A1508">
        <v>1507</v>
      </c>
      <c r="B1508" t="s">
        <v>101</v>
      </c>
      <c r="C1508" s="1">
        <v>12419</v>
      </c>
      <c r="D1508">
        <v>92</v>
      </c>
      <c r="E1508" t="s">
        <v>15</v>
      </c>
      <c r="F1508" t="s">
        <v>16</v>
      </c>
      <c r="G1508" s="1">
        <v>44955</v>
      </c>
      <c r="H1508" s="1">
        <v>45519</v>
      </c>
      <c r="I1508">
        <v>26</v>
      </c>
      <c r="K1508">
        <v>6905.26</v>
      </c>
    </row>
    <row r="1509" spans="1:11">
      <c r="A1509">
        <v>1508</v>
      </c>
      <c r="B1509" t="s">
        <v>67</v>
      </c>
      <c r="C1509" s="1">
        <v>16437</v>
      </c>
      <c r="D1509">
        <v>81</v>
      </c>
      <c r="E1509" t="s">
        <v>15</v>
      </c>
      <c r="F1509" t="s">
        <v>16</v>
      </c>
      <c r="G1509" s="1">
        <v>45577</v>
      </c>
      <c r="H1509" s="1">
        <v>45768</v>
      </c>
      <c r="I1509">
        <v>27</v>
      </c>
      <c r="J1509" t="s">
        <v>23</v>
      </c>
      <c r="K1509">
        <v>16334.46</v>
      </c>
    </row>
    <row r="1510" spans="1:11">
      <c r="A1510">
        <v>1509</v>
      </c>
      <c r="B1510" t="s">
        <v>67</v>
      </c>
      <c r="C1510" s="1">
        <v>11689</v>
      </c>
      <c r="D1510">
        <v>94</v>
      </c>
      <c r="E1510" t="s">
        <v>12</v>
      </c>
      <c r="F1510" t="s">
        <v>13</v>
      </c>
      <c r="G1510" s="1">
        <v>45584</v>
      </c>
      <c r="H1510" s="1">
        <v>45004</v>
      </c>
      <c r="I1510">
        <v>10</v>
      </c>
      <c r="J1510" t="s">
        <v>25</v>
      </c>
      <c r="K1510">
        <v>2096.2199999999998</v>
      </c>
    </row>
    <row r="1511" spans="1:11">
      <c r="A1511">
        <v>1510</v>
      </c>
      <c r="B1511" t="s">
        <v>119</v>
      </c>
      <c r="C1511" s="1">
        <v>12054</v>
      </c>
      <c r="D1511">
        <v>93</v>
      </c>
      <c r="E1511" t="s">
        <v>12</v>
      </c>
      <c r="F1511" t="s">
        <v>32</v>
      </c>
      <c r="G1511" s="1">
        <v>45561</v>
      </c>
      <c r="H1511" s="1">
        <v>45257</v>
      </c>
      <c r="I1511">
        <v>12</v>
      </c>
      <c r="J1511" t="s">
        <v>25</v>
      </c>
      <c r="K1511">
        <v>8247.82</v>
      </c>
    </row>
    <row r="1512" spans="1:11">
      <c r="A1512">
        <v>1511</v>
      </c>
      <c r="B1512" t="s">
        <v>147</v>
      </c>
      <c r="C1512" s="1">
        <v>32143</v>
      </c>
      <c r="D1512">
        <v>38</v>
      </c>
      <c r="E1512" t="s">
        <v>12</v>
      </c>
      <c r="F1512" t="s">
        <v>16</v>
      </c>
      <c r="G1512" s="1">
        <v>45566</v>
      </c>
      <c r="H1512" s="1">
        <v>45310</v>
      </c>
      <c r="I1512">
        <v>17</v>
      </c>
      <c r="J1512" t="s">
        <v>25</v>
      </c>
      <c r="K1512">
        <v>8503.43</v>
      </c>
    </row>
    <row r="1513" spans="1:11">
      <c r="A1513">
        <v>1512</v>
      </c>
      <c r="B1513" t="s">
        <v>142</v>
      </c>
      <c r="C1513" s="1">
        <v>39813</v>
      </c>
      <c r="E1513" t="s">
        <v>15</v>
      </c>
      <c r="F1513" t="s">
        <v>32</v>
      </c>
      <c r="G1513" s="1">
        <v>45043</v>
      </c>
      <c r="H1513" s="1">
        <v>45360</v>
      </c>
      <c r="I1513">
        <v>31</v>
      </c>
      <c r="J1513" t="s">
        <v>25</v>
      </c>
      <c r="K1513">
        <v>9321.3799999999992</v>
      </c>
    </row>
    <row r="1514" spans="1:11">
      <c r="A1514">
        <v>1513</v>
      </c>
      <c r="B1514" t="s">
        <v>167</v>
      </c>
      <c r="C1514" s="1">
        <v>24838</v>
      </c>
      <c r="D1514">
        <v>58</v>
      </c>
      <c r="E1514" t="s">
        <v>15</v>
      </c>
      <c r="G1514" s="1">
        <v>45058</v>
      </c>
      <c r="H1514" s="1">
        <v>45304</v>
      </c>
      <c r="I1514">
        <v>25</v>
      </c>
      <c r="J1514" t="s">
        <v>19</v>
      </c>
      <c r="K1514">
        <v>17213.13</v>
      </c>
    </row>
    <row r="1515" spans="1:11">
      <c r="A1515">
        <v>1514</v>
      </c>
      <c r="B1515" t="s">
        <v>71</v>
      </c>
      <c r="C1515" s="1">
        <v>40178</v>
      </c>
      <c r="D1515">
        <v>16</v>
      </c>
      <c r="E1515" t="s">
        <v>12</v>
      </c>
      <c r="F1515" t="s">
        <v>32</v>
      </c>
      <c r="G1515" s="1">
        <v>45215</v>
      </c>
      <c r="H1515" s="1">
        <v>45268</v>
      </c>
      <c r="I1515">
        <v>17</v>
      </c>
      <c r="J1515" t="s">
        <v>23</v>
      </c>
      <c r="K1515">
        <v>4285.1499999999996</v>
      </c>
    </row>
    <row r="1516" spans="1:11">
      <c r="A1516">
        <v>1515</v>
      </c>
      <c r="B1516" t="s">
        <v>62</v>
      </c>
      <c r="C1516" s="1">
        <v>41274</v>
      </c>
      <c r="D1516">
        <v>13</v>
      </c>
      <c r="E1516" t="s">
        <v>15</v>
      </c>
      <c r="G1516" s="1">
        <v>45644</v>
      </c>
      <c r="H1516" s="1">
        <v>45104</v>
      </c>
      <c r="I1516">
        <v>22</v>
      </c>
      <c r="J1516" t="s">
        <v>23</v>
      </c>
      <c r="K1516">
        <v>1968.76</v>
      </c>
    </row>
    <row r="1517" spans="1:11">
      <c r="A1517">
        <v>1516</v>
      </c>
      <c r="B1517" t="s">
        <v>84</v>
      </c>
      <c r="C1517" s="1">
        <v>35065</v>
      </c>
      <c r="D1517">
        <v>30</v>
      </c>
      <c r="E1517" t="s">
        <v>12</v>
      </c>
      <c r="F1517" t="s">
        <v>13</v>
      </c>
      <c r="G1517" s="1">
        <v>45162</v>
      </c>
      <c r="H1517" s="1">
        <v>45353</v>
      </c>
      <c r="I1517">
        <v>24</v>
      </c>
      <c r="J1517" t="s">
        <v>19</v>
      </c>
      <c r="K1517">
        <v>12317.95</v>
      </c>
    </row>
    <row r="1518" spans="1:11">
      <c r="A1518">
        <v>1517</v>
      </c>
      <c r="B1518" t="s">
        <v>92</v>
      </c>
      <c r="C1518" s="1">
        <v>37622</v>
      </c>
      <c r="D1518">
        <v>23</v>
      </c>
      <c r="E1518" t="s">
        <v>12</v>
      </c>
      <c r="F1518" t="s">
        <v>32</v>
      </c>
      <c r="G1518" s="1">
        <v>44968</v>
      </c>
      <c r="H1518" s="1">
        <v>45351</v>
      </c>
      <c r="I1518">
        <v>27</v>
      </c>
      <c r="J1518" t="s">
        <v>25</v>
      </c>
      <c r="K1518">
        <v>3394.07</v>
      </c>
    </row>
    <row r="1519" spans="1:11">
      <c r="A1519">
        <v>1518</v>
      </c>
      <c r="B1519" t="s">
        <v>60</v>
      </c>
      <c r="C1519" s="1">
        <v>24473</v>
      </c>
      <c r="D1519">
        <v>59</v>
      </c>
      <c r="E1519" t="s">
        <v>12</v>
      </c>
      <c r="F1519" t="s">
        <v>18</v>
      </c>
      <c r="G1519" s="1">
        <v>45086</v>
      </c>
      <c r="H1519" s="1">
        <v>45101</v>
      </c>
      <c r="I1519">
        <v>38</v>
      </c>
      <c r="J1519" t="s">
        <v>23</v>
      </c>
      <c r="K1519">
        <v>1406.13</v>
      </c>
    </row>
    <row r="1520" spans="1:11">
      <c r="A1520">
        <v>1519</v>
      </c>
      <c r="B1520" t="s">
        <v>71</v>
      </c>
      <c r="C1520" s="1">
        <v>29951</v>
      </c>
      <c r="D1520">
        <v>44</v>
      </c>
      <c r="E1520" t="s">
        <v>15</v>
      </c>
      <c r="F1520" t="s">
        <v>45</v>
      </c>
      <c r="G1520" s="1">
        <v>45617</v>
      </c>
      <c r="H1520" s="1">
        <v>45333</v>
      </c>
      <c r="I1520">
        <v>17</v>
      </c>
      <c r="K1520">
        <v>8475.65</v>
      </c>
    </row>
    <row r="1521" spans="1:11">
      <c r="A1521">
        <v>1520</v>
      </c>
      <c r="B1521" t="s">
        <v>107</v>
      </c>
      <c r="C1521" s="1">
        <v>45292</v>
      </c>
      <c r="D1521">
        <v>2</v>
      </c>
      <c r="E1521" t="s">
        <v>12</v>
      </c>
      <c r="F1521" t="s">
        <v>13</v>
      </c>
      <c r="G1521" s="1">
        <v>45051</v>
      </c>
      <c r="H1521" s="1">
        <v>45009</v>
      </c>
      <c r="I1521">
        <v>-2</v>
      </c>
      <c r="J1521" t="s">
        <v>19</v>
      </c>
      <c r="K1521">
        <v>4314.8900000000003</v>
      </c>
    </row>
    <row r="1522" spans="1:11">
      <c r="A1522">
        <v>1521</v>
      </c>
      <c r="B1522" t="s">
        <v>139</v>
      </c>
      <c r="C1522" s="1">
        <v>32873</v>
      </c>
      <c r="D1522">
        <v>36</v>
      </c>
      <c r="E1522" t="s">
        <v>15</v>
      </c>
      <c r="F1522" t="s">
        <v>45</v>
      </c>
      <c r="G1522" s="1">
        <v>45186</v>
      </c>
      <c r="H1522" s="1">
        <v>44948</v>
      </c>
      <c r="I1522">
        <v>32</v>
      </c>
      <c r="J1522" t="s">
        <v>19</v>
      </c>
      <c r="K1522">
        <v>7160.45</v>
      </c>
    </row>
    <row r="1523" spans="1:11">
      <c r="A1523">
        <v>1522</v>
      </c>
      <c r="B1523" t="s">
        <v>66</v>
      </c>
      <c r="C1523" s="1">
        <v>30682</v>
      </c>
      <c r="D1523">
        <v>42</v>
      </c>
      <c r="E1523" t="s">
        <v>15</v>
      </c>
      <c r="F1523" t="s">
        <v>18</v>
      </c>
      <c r="G1523" s="1">
        <v>45202</v>
      </c>
      <c r="H1523" s="1">
        <v>45618</v>
      </c>
      <c r="I1523">
        <v>21</v>
      </c>
      <c r="K1523">
        <v>5120.1899999999996</v>
      </c>
    </row>
    <row r="1524" spans="1:11">
      <c r="A1524">
        <v>1523</v>
      </c>
      <c r="B1524" t="s">
        <v>49</v>
      </c>
      <c r="C1524" s="1">
        <v>31778</v>
      </c>
      <c r="D1524">
        <v>39</v>
      </c>
      <c r="E1524" t="s">
        <v>15</v>
      </c>
      <c r="F1524" t="s">
        <v>21</v>
      </c>
      <c r="G1524" s="1">
        <v>45139</v>
      </c>
      <c r="H1524" s="1">
        <v>45325</v>
      </c>
      <c r="I1524">
        <v>22</v>
      </c>
      <c r="J1524" t="s">
        <v>25</v>
      </c>
      <c r="K1524">
        <v>1761.99</v>
      </c>
    </row>
    <row r="1525" spans="1:11">
      <c r="A1525">
        <v>1524</v>
      </c>
      <c r="B1525" t="s">
        <v>171</v>
      </c>
      <c r="C1525" s="1">
        <v>13515</v>
      </c>
      <c r="D1525">
        <v>89</v>
      </c>
      <c r="E1525" t="s">
        <v>15</v>
      </c>
      <c r="F1525" t="s">
        <v>21</v>
      </c>
      <c r="G1525" s="1">
        <v>45399</v>
      </c>
      <c r="H1525" s="1">
        <v>45257</v>
      </c>
      <c r="I1525">
        <v>37</v>
      </c>
      <c r="J1525" t="s">
        <v>25</v>
      </c>
      <c r="K1525">
        <v>11162.98</v>
      </c>
    </row>
    <row r="1526" spans="1:11">
      <c r="A1526">
        <v>1525</v>
      </c>
      <c r="B1526" t="s">
        <v>69</v>
      </c>
      <c r="C1526" s="1">
        <v>26299</v>
      </c>
      <c r="D1526">
        <v>54</v>
      </c>
      <c r="E1526" t="s">
        <v>12</v>
      </c>
      <c r="F1526" t="s">
        <v>16</v>
      </c>
      <c r="G1526" s="1">
        <v>45628</v>
      </c>
      <c r="H1526" s="1">
        <v>45152</v>
      </c>
      <c r="I1526">
        <v>9</v>
      </c>
      <c r="J1526" t="s">
        <v>23</v>
      </c>
      <c r="K1526">
        <v>443.07</v>
      </c>
    </row>
    <row r="1527" spans="1:11">
      <c r="A1527">
        <v>1526</v>
      </c>
      <c r="B1527" t="s">
        <v>95</v>
      </c>
      <c r="C1527" s="1">
        <v>14611</v>
      </c>
      <c r="D1527">
        <v>86</v>
      </c>
      <c r="E1527" t="s">
        <v>15</v>
      </c>
      <c r="F1527" t="s">
        <v>21</v>
      </c>
      <c r="G1527" s="1">
        <v>45496</v>
      </c>
      <c r="H1527" s="1">
        <v>45704</v>
      </c>
      <c r="I1527">
        <v>8</v>
      </c>
      <c r="K1527">
        <v>19324.14</v>
      </c>
    </row>
    <row r="1528" spans="1:11">
      <c r="A1528">
        <v>1527</v>
      </c>
      <c r="B1528" t="s">
        <v>35</v>
      </c>
      <c r="C1528" s="1">
        <v>32143</v>
      </c>
      <c r="D1528">
        <v>38</v>
      </c>
      <c r="E1528" t="s">
        <v>15</v>
      </c>
      <c r="F1528" t="s">
        <v>13</v>
      </c>
      <c r="G1528" s="1">
        <v>45357</v>
      </c>
      <c r="H1528" s="1">
        <v>45329</v>
      </c>
      <c r="I1528">
        <v>27</v>
      </c>
      <c r="J1528" t="s">
        <v>23</v>
      </c>
      <c r="K1528">
        <v>6760.74</v>
      </c>
    </row>
    <row r="1529" spans="1:11">
      <c r="A1529">
        <v>1528</v>
      </c>
      <c r="B1529" t="s">
        <v>161</v>
      </c>
      <c r="C1529" s="1">
        <v>40909</v>
      </c>
      <c r="D1529">
        <v>14</v>
      </c>
      <c r="F1529" t="s">
        <v>21</v>
      </c>
      <c r="G1529" s="1">
        <v>45641</v>
      </c>
      <c r="H1529" s="1">
        <v>45708</v>
      </c>
      <c r="I1529">
        <v>10</v>
      </c>
      <c r="J1529" t="s">
        <v>25</v>
      </c>
      <c r="K1529">
        <v>13872.67</v>
      </c>
    </row>
    <row r="1530" spans="1:11">
      <c r="A1530">
        <v>1529</v>
      </c>
      <c r="B1530" t="s">
        <v>144</v>
      </c>
      <c r="C1530" s="1">
        <v>44927</v>
      </c>
      <c r="D1530">
        <v>3</v>
      </c>
      <c r="E1530" t="s">
        <v>15</v>
      </c>
      <c r="F1530" t="s">
        <v>13</v>
      </c>
      <c r="G1530" s="1">
        <v>45006</v>
      </c>
      <c r="H1530" s="1">
        <v>45690</v>
      </c>
      <c r="I1530">
        <v>22</v>
      </c>
      <c r="J1530" t="s">
        <v>23</v>
      </c>
      <c r="K1530">
        <v>16188.29</v>
      </c>
    </row>
    <row r="1531" spans="1:11">
      <c r="A1531">
        <v>1530</v>
      </c>
      <c r="B1531" t="s">
        <v>66</v>
      </c>
      <c r="C1531" s="1">
        <v>12419</v>
      </c>
      <c r="D1531">
        <v>92</v>
      </c>
      <c r="E1531" t="s">
        <v>12</v>
      </c>
      <c r="F1531" t="s">
        <v>13</v>
      </c>
      <c r="G1531" s="1">
        <v>45154</v>
      </c>
      <c r="H1531" s="1">
        <v>45712</v>
      </c>
      <c r="I1531">
        <v>22</v>
      </c>
      <c r="K1531">
        <v>5510.01</v>
      </c>
    </row>
    <row r="1532" spans="1:11">
      <c r="A1532">
        <v>1531</v>
      </c>
      <c r="B1532" t="s">
        <v>147</v>
      </c>
      <c r="C1532" s="1">
        <v>14976</v>
      </c>
      <c r="D1532">
        <v>85</v>
      </c>
      <c r="E1532" t="s">
        <v>15</v>
      </c>
      <c r="F1532" t="s">
        <v>45</v>
      </c>
      <c r="G1532" s="1">
        <v>45021</v>
      </c>
      <c r="H1532" s="1">
        <v>45821</v>
      </c>
      <c r="I1532">
        <v>14</v>
      </c>
      <c r="K1532">
        <v>14949.65</v>
      </c>
    </row>
    <row r="1533" spans="1:11">
      <c r="A1533">
        <v>1532</v>
      </c>
      <c r="B1533" t="s">
        <v>95</v>
      </c>
      <c r="C1533" s="1">
        <v>37256</v>
      </c>
      <c r="D1533">
        <v>24</v>
      </c>
      <c r="E1533" t="s">
        <v>15</v>
      </c>
      <c r="F1533" t="s">
        <v>21</v>
      </c>
      <c r="G1533" s="1">
        <v>45350</v>
      </c>
      <c r="H1533" s="1">
        <v>45782</v>
      </c>
      <c r="I1533">
        <v>9</v>
      </c>
      <c r="K1533">
        <v>16631.66</v>
      </c>
    </row>
    <row r="1534" spans="1:11">
      <c r="A1534">
        <v>1533</v>
      </c>
      <c r="B1534" t="s">
        <v>89</v>
      </c>
      <c r="C1534" s="1">
        <v>41639</v>
      </c>
      <c r="D1534">
        <v>12</v>
      </c>
      <c r="E1534" t="s">
        <v>12</v>
      </c>
      <c r="F1534" t="s">
        <v>32</v>
      </c>
      <c r="G1534" s="1">
        <v>45442</v>
      </c>
      <c r="H1534" s="1">
        <v>45365</v>
      </c>
      <c r="I1534">
        <v>8</v>
      </c>
      <c r="J1534" t="s">
        <v>25</v>
      </c>
      <c r="K1534">
        <v>4750.4799999999996</v>
      </c>
    </row>
    <row r="1535" spans="1:11">
      <c r="A1535">
        <v>1534</v>
      </c>
      <c r="B1535" t="s">
        <v>101</v>
      </c>
      <c r="C1535" s="1">
        <v>16437</v>
      </c>
      <c r="D1535">
        <v>81</v>
      </c>
      <c r="E1535" t="s">
        <v>15</v>
      </c>
      <c r="G1535" s="1">
        <v>45091</v>
      </c>
      <c r="H1535" s="1">
        <v>45199</v>
      </c>
      <c r="I1535">
        <v>7</v>
      </c>
      <c r="J1535" t="s">
        <v>19</v>
      </c>
      <c r="K1535">
        <v>19849.14</v>
      </c>
    </row>
    <row r="1536" spans="1:11">
      <c r="A1536">
        <v>1535</v>
      </c>
      <c r="B1536" t="s">
        <v>101</v>
      </c>
      <c r="C1536" s="1">
        <v>34334</v>
      </c>
      <c r="D1536">
        <v>32</v>
      </c>
      <c r="E1536" t="s">
        <v>12</v>
      </c>
      <c r="F1536" t="s">
        <v>21</v>
      </c>
      <c r="G1536" s="1">
        <v>45352</v>
      </c>
      <c r="H1536" s="1">
        <v>45207</v>
      </c>
      <c r="I1536">
        <v>14</v>
      </c>
      <c r="J1536" t="s">
        <v>19</v>
      </c>
      <c r="K1536">
        <v>315.83999999999997</v>
      </c>
    </row>
    <row r="1537" spans="1:11">
      <c r="A1537">
        <v>1536</v>
      </c>
      <c r="B1537" t="s">
        <v>51</v>
      </c>
      <c r="C1537" s="1">
        <v>40544</v>
      </c>
      <c r="D1537">
        <v>15</v>
      </c>
      <c r="E1537" t="s">
        <v>15</v>
      </c>
      <c r="F1537" t="s">
        <v>21</v>
      </c>
      <c r="G1537" s="1">
        <v>44968</v>
      </c>
      <c r="H1537" s="1">
        <v>45150</v>
      </c>
      <c r="I1537">
        <v>13</v>
      </c>
      <c r="J1537" t="s">
        <v>19</v>
      </c>
      <c r="K1537">
        <v>4261.71</v>
      </c>
    </row>
    <row r="1538" spans="1:11">
      <c r="A1538">
        <v>1537</v>
      </c>
      <c r="B1538" t="s">
        <v>142</v>
      </c>
      <c r="C1538" s="1">
        <v>31047</v>
      </c>
      <c r="D1538">
        <v>41</v>
      </c>
      <c r="E1538" t="s">
        <v>15</v>
      </c>
      <c r="F1538" t="s">
        <v>21</v>
      </c>
      <c r="G1538" s="1">
        <v>45329</v>
      </c>
      <c r="H1538" s="1">
        <v>45514</v>
      </c>
      <c r="I1538">
        <v>17</v>
      </c>
      <c r="J1538" t="s">
        <v>23</v>
      </c>
      <c r="K1538">
        <v>15578.42</v>
      </c>
    </row>
    <row r="1539" spans="1:11">
      <c r="A1539">
        <v>1538</v>
      </c>
      <c r="B1539" t="s">
        <v>73</v>
      </c>
      <c r="C1539" s="1">
        <v>22281</v>
      </c>
      <c r="D1539">
        <v>65</v>
      </c>
      <c r="E1539" t="s">
        <v>15</v>
      </c>
      <c r="F1539" t="s">
        <v>16</v>
      </c>
      <c r="G1539" s="1">
        <v>45650</v>
      </c>
      <c r="H1539" s="1">
        <v>45590</v>
      </c>
      <c r="I1539">
        <v>2</v>
      </c>
      <c r="K1539">
        <v>3802.03</v>
      </c>
    </row>
    <row r="1540" spans="1:11">
      <c r="A1540">
        <v>1539</v>
      </c>
      <c r="B1540" t="s">
        <v>158</v>
      </c>
      <c r="C1540" s="1">
        <v>26299</v>
      </c>
      <c r="D1540">
        <v>54</v>
      </c>
      <c r="E1540" t="s">
        <v>15</v>
      </c>
      <c r="F1540" t="s">
        <v>32</v>
      </c>
      <c r="G1540" s="1">
        <v>45342</v>
      </c>
      <c r="H1540" s="1">
        <v>45798</v>
      </c>
      <c r="I1540">
        <v>38</v>
      </c>
      <c r="J1540" t="s">
        <v>25</v>
      </c>
      <c r="K1540">
        <v>13935.02</v>
      </c>
    </row>
    <row r="1541" spans="1:11">
      <c r="A1541">
        <v>1540</v>
      </c>
      <c r="B1541" t="s">
        <v>115</v>
      </c>
      <c r="D1541">
        <v>41</v>
      </c>
      <c r="E1541" t="s">
        <v>15</v>
      </c>
      <c r="F1541" t="s">
        <v>32</v>
      </c>
      <c r="G1541" s="1">
        <v>45226</v>
      </c>
      <c r="H1541" s="1">
        <v>45436</v>
      </c>
      <c r="I1541">
        <v>29</v>
      </c>
      <c r="J1541" t="s">
        <v>19</v>
      </c>
      <c r="K1541">
        <v>17096.16</v>
      </c>
    </row>
    <row r="1542" spans="1:11">
      <c r="A1542">
        <v>1541</v>
      </c>
      <c r="B1542" t="s">
        <v>44</v>
      </c>
      <c r="C1542" s="1">
        <v>33969</v>
      </c>
      <c r="D1542">
        <v>33</v>
      </c>
      <c r="E1542" t="s">
        <v>12</v>
      </c>
      <c r="F1542" t="s">
        <v>13</v>
      </c>
      <c r="G1542" s="1">
        <v>44981</v>
      </c>
      <c r="H1542" s="1">
        <v>45269</v>
      </c>
      <c r="I1542">
        <v>24</v>
      </c>
      <c r="J1542" t="s">
        <v>19</v>
      </c>
      <c r="K1542">
        <v>19180.21</v>
      </c>
    </row>
    <row r="1543" spans="1:11">
      <c r="A1543">
        <v>1542</v>
      </c>
      <c r="B1543" t="s">
        <v>108</v>
      </c>
      <c r="C1543" s="1">
        <v>35430</v>
      </c>
      <c r="D1543">
        <v>29</v>
      </c>
      <c r="E1543" t="s">
        <v>12</v>
      </c>
      <c r="F1543" t="s">
        <v>32</v>
      </c>
      <c r="G1543" s="1">
        <v>45262</v>
      </c>
      <c r="H1543" s="1">
        <v>45544</v>
      </c>
      <c r="I1543">
        <v>1</v>
      </c>
      <c r="J1543" t="s">
        <v>23</v>
      </c>
      <c r="K1543">
        <v>9432.3799999999992</v>
      </c>
    </row>
    <row r="1544" spans="1:11">
      <c r="A1544">
        <v>1543</v>
      </c>
      <c r="B1544" t="s">
        <v>40</v>
      </c>
      <c r="C1544" s="1">
        <v>41639</v>
      </c>
      <c r="E1544" t="s">
        <v>15</v>
      </c>
      <c r="F1544" t="s">
        <v>13</v>
      </c>
      <c r="G1544" s="1">
        <v>45356</v>
      </c>
      <c r="H1544" s="1">
        <v>44969</v>
      </c>
      <c r="I1544">
        <v>38</v>
      </c>
      <c r="J1544" t="s">
        <v>23</v>
      </c>
      <c r="K1544">
        <v>19419.29</v>
      </c>
    </row>
    <row r="1545" spans="1:11">
      <c r="A1545">
        <v>1544</v>
      </c>
      <c r="B1545" t="s">
        <v>120</v>
      </c>
      <c r="C1545" s="1">
        <v>41639</v>
      </c>
      <c r="D1545">
        <v>12</v>
      </c>
      <c r="E1545" t="s">
        <v>15</v>
      </c>
      <c r="G1545" s="1">
        <v>45611</v>
      </c>
      <c r="H1545" s="1">
        <v>45103</v>
      </c>
      <c r="I1545">
        <v>4</v>
      </c>
      <c r="J1545" t="s">
        <v>19</v>
      </c>
      <c r="K1545">
        <v>8173.61</v>
      </c>
    </row>
    <row r="1546" spans="1:11">
      <c r="A1546">
        <v>1545</v>
      </c>
      <c r="B1546" t="s">
        <v>56</v>
      </c>
      <c r="C1546" s="1">
        <v>39813</v>
      </c>
      <c r="D1546">
        <v>17</v>
      </c>
      <c r="E1546" t="s">
        <v>12</v>
      </c>
      <c r="F1546" t="s">
        <v>45</v>
      </c>
      <c r="G1546" s="1">
        <v>45260</v>
      </c>
      <c r="H1546" s="1">
        <v>45172</v>
      </c>
      <c r="I1546">
        <v>11</v>
      </c>
      <c r="K1546">
        <v>4284.37</v>
      </c>
    </row>
    <row r="1547" spans="1:11">
      <c r="A1547">
        <v>1546</v>
      </c>
      <c r="B1547" t="s">
        <v>100</v>
      </c>
      <c r="C1547" s="1">
        <v>34700</v>
      </c>
      <c r="D1547">
        <v>31</v>
      </c>
      <c r="E1547" t="s">
        <v>12</v>
      </c>
      <c r="F1547" t="s">
        <v>13</v>
      </c>
      <c r="G1547" s="1">
        <v>45332</v>
      </c>
      <c r="H1547" s="1">
        <v>45180</v>
      </c>
      <c r="I1547">
        <v>36</v>
      </c>
      <c r="K1547">
        <v>10229.83</v>
      </c>
    </row>
    <row r="1548" spans="1:11">
      <c r="A1548">
        <v>1547</v>
      </c>
      <c r="B1548" t="s">
        <v>168</v>
      </c>
      <c r="C1548" s="1">
        <v>32143</v>
      </c>
      <c r="D1548">
        <v>38</v>
      </c>
      <c r="E1548" t="s">
        <v>12</v>
      </c>
      <c r="F1548" t="s">
        <v>21</v>
      </c>
      <c r="G1548" s="1">
        <v>44956</v>
      </c>
      <c r="H1548" s="1">
        <v>45201</v>
      </c>
      <c r="I1548">
        <v>21</v>
      </c>
      <c r="J1548" t="s">
        <v>23</v>
      </c>
      <c r="K1548">
        <v>12961.45</v>
      </c>
    </row>
    <row r="1549" spans="1:11">
      <c r="A1549">
        <v>1548</v>
      </c>
      <c r="B1549" t="s">
        <v>36</v>
      </c>
      <c r="C1549" s="1">
        <v>29586</v>
      </c>
      <c r="D1549">
        <v>45</v>
      </c>
      <c r="E1549" t="s">
        <v>12</v>
      </c>
      <c r="F1549" t="s">
        <v>18</v>
      </c>
      <c r="G1549" s="1">
        <v>45461</v>
      </c>
      <c r="H1549" s="1">
        <v>45261</v>
      </c>
      <c r="I1549">
        <v>15</v>
      </c>
      <c r="J1549" t="s">
        <v>23</v>
      </c>
      <c r="K1549">
        <v>9105.06</v>
      </c>
    </row>
    <row r="1550" spans="1:11">
      <c r="A1550">
        <v>1549</v>
      </c>
      <c r="B1550" t="s">
        <v>60</v>
      </c>
      <c r="C1550" s="1">
        <v>35795</v>
      </c>
      <c r="D1550">
        <v>28</v>
      </c>
      <c r="E1550" t="s">
        <v>15</v>
      </c>
      <c r="F1550" t="s">
        <v>18</v>
      </c>
      <c r="G1550" s="1">
        <v>45443</v>
      </c>
      <c r="H1550" s="1">
        <v>45531</v>
      </c>
      <c r="I1550">
        <v>35</v>
      </c>
      <c r="K1550">
        <v>11296.15</v>
      </c>
    </row>
    <row r="1551" spans="1:11">
      <c r="A1551">
        <v>1550</v>
      </c>
      <c r="B1551" t="s">
        <v>28</v>
      </c>
      <c r="C1551" s="1">
        <v>23742</v>
      </c>
      <c r="D1551">
        <v>61</v>
      </c>
      <c r="E1551" t="s">
        <v>15</v>
      </c>
      <c r="F1551" t="s">
        <v>16</v>
      </c>
      <c r="G1551" s="1">
        <v>45501</v>
      </c>
      <c r="H1551" s="1">
        <v>44938</v>
      </c>
      <c r="I1551">
        <v>36</v>
      </c>
      <c r="J1551" t="s">
        <v>23</v>
      </c>
      <c r="K1551">
        <v>8269.82</v>
      </c>
    </row>
    <row r="1552" spans="1:11">
      <c r="A1552">
        <v>1551</v>
      </c>
      <c r="B1552" t="s">
        <v>55</v>
      </c>
      <c r="C1552" s="1">
        <v>12419</v>
      </c>
      <c r="D1552">
        <v>92</v>
      </c>
      <c r="E1552" t="s">
        <v>12</v>
      </c>
      <c r="F1552" t="s">
        <v>21</v>
      </c>
      <c r="G1552" s="1">
        <v>45147</v>
      </c>
      <c r="H1552" s="1">
        <v>45079</v>
      </c>
      <c r="I1552">
        <v>37</v>
      </c>
      <c r="J1552" t="s">
        <v>23</v>
      </c>
      <c r="K1552">
        <v>10447.719999999999</v>
      </c>
    </row>
    <row r="1553" spans="1:11">
      <c r="A1553">
        <v>1552</v>
      </c>
      <c r="B1553" t="s">
        <v>170</v>
      </c>
      <c r="C1553" s="1">
        <v>23742</v>
      </c>
      <c r="D1553">
        <v>61</v>
      </c>
      <c r="E1553" t="s">
        <v>12</v>
      </c>
      <c r="F1553" t="s">
        <v>13</v>
      </c>
      <c r="G1553" s="1">
        <v>45520</v>
      </c>
      <c r="H1553" s="1">
        <v>45116</v>
      </c>
      <c r="I1553">
        <v>-2</v>
      </c>
      <c r="K1553">
        <v>19047.169999999998</v>
      </c>
    </row>
    <row r="1554" spans="1:11">
      <c r="A1554">
        <v>1553</v>
      </c>
      <c r="B1554" t="s">
        <v>140</v>
      </c>
      <c r="C1554" s="1">
        <v>25568</v>
      </c>
      <c r="D1554">
        <v>56</v>
      </c>
      <c r="E1554" t="s">
        <v>12</v>
      </c>
      <c r="F1554" t="s">
        <v>21</v>
      </c>
      <c r="G1554" s="1">
        <v>45420</v>
      </c>
      <c r="H1554" s="1">
        <v>45603</v>
      </c>
      <c r="I1554">
        <v>14</v>
      </c>
      <c r="K1554">
        <v>9946.61</v>
      </c>
    </row>
    <row r="1555" spans="1:11">
      <c r="A1555">
        <v>1554</v>
      </c>
      <c r="B1555" t="s">
        <v>78</v>
      </c>
      <c r="C1555" s="1">
        <v>40544</v>
      </c>
      <c r="D1555">
        <v>15</v>
      </c>
      <c r="E1555" t="s">
        <v>15</v>
      </c>
      <c r="F1555" t="s">
        <v>16</v>
      </c>
      <c r="G1555" s="1">
        <v>45179</v>
      </c>
      <c r="H1555" s="1">
        <v>45565</v>
      </c>
      <c r="I1555">
        <v>23</v>
      </c>
      <c r="J1555" t="s">
        <v>25</v>
      </c>
      <c r="K1555">
        <v>4988.91</v>
      </c>
    </row>
    <row r="1556" spans="1:11">
      <c r="A1556">
        <v>1555</v>
      </c>
      <c r="B1556" t="s">
        <v>135</v>
      </c>
      <c r="C1556" s="1">
        <v>25934</v>
      </c>
      <c r="D1556">
        <v>55</v>
      </c>
      <c r="F1556" t="s">
        <v>32</v>
      </c>
      <c r="G1556" s="1">
        <v>45490</v>
      </c>
      <c r="H1556" s="1">
        <v>45138</v>
      </c>
      <c r="I1556">
        <v>19</v>
      </c>
      <c r="J1556" t="s">
        <v>23</v>
      </c>
      <c r="K1556">
        <v>15150.81</v>
      </c>
    </row>
    <row r="1557" spans="1:11">
      <c r="A1557">
        <v>1556</v>
      </c>
      <c r="B1557" t="s">
        <v>42</v>
      </c>
      <c r="C1557" s="1">
        <v>42735</v>
      </c>
      <c r="D1557">
        <v>9</v>
      </c>
      <c r="E1557" t="s">
        <v>12</v>
      </c>
      <c r="F1557" t="s">
        <v>13</v>
      </c>
      <c r="G1557" s="1">
        <v>45247</v>
      </c>
      <c r="H1557" s="1">
        <v>45024</v>
      </c>
      <c r="I1557">
        <v>36</v>
      </c>
      <c r="J1557" t="s">
        <v>23</v>
      </c>
      <c r="K1557">
        <v>6685.45</v>
      </c>
    </row>
    <row r="1558" spans="1:11">
      <c r="A1558">
        <v>1557</v>
      </c>
      <c r="B1558" t="s">
        <v>166</v>
      </c>
      <c r="C1558" s="1">
        <v>35430</v>
      </c>
      <c r="D1558">
        <v>29</v>
      </c>
      <c r="E1558" t="s">
        <v>15</v>
      </c>
      <c r="G1558" s="1">
        <v>44965</v>
      </c>
      <c r="H1558" s="1">
        <v>45748</v>
      </c>
      <c r="I1558">
        <v>15</v>
      </c>
      <c r="J1558" t="s">
        <v>25</v>
      </c>
      <c r="K1558">
        <v>16305.76</v>
      </c>
    </row>
    <row r="1559" spans="1:11">
      <c r="A1559">
        <v>1558</v>
      </c>
      <c r="B1559" t="s">
        <v>34</v>
      </c>
      <c r="C1559" s="1">
        <v>37256</v>
      </c>
      <c r="D1559">
        <v>24</v>
      </c>
      <c r="E1559" t="s">
        <v>12</v>
      </c>
      <c r="F1559" t="s">
        <v>21</v>
      </c>
      <c r="G1559" s="1">
        <v>45391</v>
      </c>
      <c r="H1559" s="1">
        <v>45266</v>
      </c>
      <c r="I1559">
        <v>35</v>
      </c>
      <c r="J1559" t="s">
        <v>23</v>
      </c>
      <c r="K1559">
        <v>1042.52</v>
      </c>
    </row>
    <row r="1560" spans="1:11">
      <c r="A1560">
        <v>1559</v>
      </c>
      <c r="B1560" t="s">
        <v>80</v>
      </c>
      <c r="C1560" s="1">
        <v>15707</v>
      </c>
      <c r="D1560">
        <v>83</v>
      </c>
      <c r="E1560" t="s">
        <v>15</v>
      </c>
      <c r="F1560" t="s">
        <v>32</v>
      </c>
      <c r="G1560" s="1">
        <v>45337</v>
      </c>
      <c r="H1560" s="1">
        <v>44974</v>
      </c>
      <c r="I1560">
        <v>25</v>
      </c>
      <c r="J1560" t="s">
        <v>23</v>
      </c>
      <c r="K1560">
        <v>6576.78</v>
      </c>
    </row>
    <row r="1561" spans="1:11">
      <c r="A1561">
        <v>1560</v>
      </c>
      <c r="B1561" t="s">
        <v>130</v>
      </c>
      <c r="C1561" s="1">
        <v>44561</v>
      </c>
      <c r="D1561">
        <v>4</v>
      </c>
      <c r="E1561" t="s">
        <v>15</v>
      </c>
      <c r="F1561" t="s">
        <v>16</v>
      </c>
      <c r="G1561" s="1">
        <v>45338</v>
      </c>
      <c r="H1561" s="1">
        <v>45747</v>
      </c>
      <c r="I1561">
        <v>18</v>
      </c>
      <c r="J1561" t="s">
        <v>19</v>
      </c>
      <c r="K1561">
        <v>1796.63</v>
      </c>
    </row>
    <row r="1562" spans="1:11">
      <c r="A1562">
        <v>1561</v>
      </c>
      <c r="B1562" t="s">
        <v>14</v>
      </c>
      <c r="C1562" s="1">
        <v>22646</v>
      </c>
      <c r="E1562" t="s">
        <v>15</v>
      </c>
      <c r="F1562" t="s">
        <v>32</v>
      </c>
      <c r="G1562" s="1">
        <v>45418</v>
      </c>
      <c r="H1562" s="1">
        <v>45663</v>
      </c>
      <c r="I1562">
        <v>35</v>
      </c>
      <c r="J1562" t="s">
        <v>19</v>
      </c>
      <c r="K1562">
        <v>1614.89</v>
      </c>
    </row>
    <row r="1563" spans="1:11">
      <c r="A1563">
        <v>1562</v>
      </c>
      <c r="B1563" t="s">
        <v>79</v>
      </c>
      <c r="C1563" s="1">
        <v>12054</v>
      </c>
      <c r="D1563">
        <v>93</v>
      </c>
      <c r="E1563" t="s">
        <v>15</v>
      </c>
      <c r="F1563" t="s">
        <v>13</v>
      </c>
      <c r="G1563" s="1">
        <v>45364</v>
      </c>
      <c r="H1563" s="1">
        <v>44984</v>
      </c>
      <c r="I1563">
        <v>30</v>
      </c>
      <c r="J1563" t="s">
        <v>19</v>
      </c>
      <c r="K1563">
        <v>13133.63</v>
      </c>
    </row>
    <row r="1564" spans="1:11">
      <c r="A1564">
        <v>1563</v>
      </c>
      <c r="B1564" t="s">
        <v>144</v>
      </c>
      <c r="C1564" s="1">
        <v>28490</v>
      </c>
      <c r="D1564">
        <v>48</v>
      </c>
      <c r="E1564" t="s">
        <v>15</v>
      </c>
      <c r="F1564" t="s">
        <v>16</v>
      </c>
      <c r="G1564" s="1">
        <v>45405</v>
      </c>
      <c r="H1564" s="1">
        <v>45002</v>
      </c>
      <c r="I1564">
        <v>27</v>
      </c>
      <c r="J1564" t="s">
        <v>25</v>
      </c>
      <c r="K1564">
        <v>7645.23</v>
      </c>
    </row>
    <row r="1565" spans="1:11">
      <c r="A1565">
        <v>1564</v>
      </c>
      <c r="B1565" t="s">
        <v>36</v>
      </c>
      <c r="C1565" s="1">
        <v>45292</v>
      </c>
      <c r="D1565">
        <v>2</v>
      </c>
      <c r="E1565" t="s">
        <v>12</v>
      </c>
      <c r="F1565" t="s">
        <v>16</v>
      </c>
      <c r="G1565" s="1">
        <v>44998</v>
      </c>
      <c r="H1565" s="1">
        <v>45181</v>
      </c>
      <c r="I1565">
        <v>39</v>
      </c>
      <c r="J1565" t="s">
        <v>23</v>
      </c>
      <c r="K1565">
        <v>17416.73</v>
      </c>
    </row>
    <row r="1566" spans="1:11">
      <c r="A1566">
        <v>1565</v>
      </c>
      <c r="B1566" t="s">
        <v>70</v>
      </c>
      <c r="C1566" s="1">
        <v>29951</v>
      </c>
      <c r="D1566">
        <v>44</v>
      </c>
      <c r="E1566" t="s">
        <v>15</v>
      </c>
      <c r="F1566" t="s">
        <v>16</v>
      </c>
      <c r="G1566" s="1">
        <v>45508</v>
      </c>
      <c r="H1566" s="1">
        <v>45590</v>
      </c>
      <c r="I1566">
        <v>5</v>
      </c>
      <c r="J1566" t="s">
        <v>25</v>
      </c>
      <c r="K1566">
        <v>10279.74</v>
      </c>
    </row>
    <row r="1567" spans="1:11">
      <c r="A1567">
        <v>1566</v>
      </c>
      <c r="B1567" t="s">
        <v>62</v>
      </c>
      <c r="C1567" s="1">
        <v>41274</v>
      </c>
      <c r="D1567">
        <v>13</v>
      </c>
      <c r="E1567" t="s">
        <v>12</v>
      </c>
      <c r="F1567" t="s">
        <v>45</v>
      </c>
      <c r="G1567" s="1">
        <v>45146</v>
      </c>
      <c r="H1567" s="1">
        <v>45498</v>
      </c>
      <c r="I1567">
        <v>27</v>
      </c>
      <c r="J1567" t="s">
        <v>25</v>
      </c>
      <c r="K1567">
        <v>5836.4</v>
      </c>
    </row>
    <row r="1568" spans="1:11">
      <c r="A1568">
        <v>1567</v>
      </c>
      <c r="B1568" t="s">
        <v>138</v>
      </c>
      <c r="C1568" s="1">
        <v>35430</v>
      </c>
      <c r="D1568">
        <v>29</v>
      </c>
      <c r="E1568" t="s">
        <v>15</v>
      </c>
      <c r="F1568" t="s">
        <v>16</v>
      </c>
      <c r="G1568" s="1">
        <v>44930</v>
      </c>
      <c r="H1568" s="1">
        <v>45764</v>
      </c>
      <c r="I1568">
        <v>36</v>
      </c>
      <c r="J1568" t="s">
        <v>23</v>
      </c>
      <c r="K1568">
        <v>14389.87</v>
      </c>
    </row>
    <row r="1569" spans="1:11">
      <c r="A1569">
        <v>1568</v>
      </c>
      <c r="B1569" t="s">
        <v>100</v>
      </c>
      <c r="C1569" s="1">
        <v>21551</v>
      </c>
      <c r="D1569">
        <v>67</v>
      </c>
      <c r="E1569" t="s">
        <v>15</v>
      </c>
      <c r="F1569" t="s">
        <v>45</v>
      </c>
      <c r="G1569" s="1">
        <v>45216</v>
      </c>
      <c r="H1569" s="1">
        <v>45525</v>
      </c>
      <c r="I1569">
        <v>6</v>
      </c>
      <c r="K1569">
        <v>12442.74</v>
      </c>
    </row>
    <row r="1570" spans="1:11">
      <c r="A1570">
        <v>1569</v>
      </c>
      <c r="B1570" t="s">
        <v>39</v>
      </c>
      <c r="C1570" s="1">
        <v>39813</v>
      </c>
      <c r="D1570">
        <v>17</v>
      </c>
      <c r="E1570" t="s">
        <v>12</v>
      </c>
      <c r="F1570" t="s">
        <v>32</v>
      </c>
      <c r="G1570" s="1">
        <v>45306</v>
      </c>
      <c r="H1570" s="1">
        <v>45097</v>
      </c>
      <c r="I1570">
        <v>30</v>
      </c>
      <c r="K1570">
        <v>15971.85</v>
      </c>
    </row>
    <row r="1571" spans="1:11">
      <c r="A1571">
        <v>1570</v>
      </c>
      <c r="B1571" t="s">
        <v>143</v>
      </c>
      <c r="C1571" s="1">
        <v>23742</v>
      </c>
      <c r="D1571">
        <v>61</v>
      </c>
      <c r="E1571" t="s">
        <v>12</v>
      </c>
      <c r="G1571" s="1">
        <v>45281</v>
      </c>
      <c r="H1571" s="1">
        <v>45073</v>
      </c>
      <c r="I1571">
        <v>26</v>
      </c>
      <c r="J1571" t="s">
        <v>23</v>
      </c>
      <c r="K1571">
        <v>12836.12</v>
      </c>
    </row>
    <row r="1572" spans="1:11">
      <c r="A1572">
        <v>1571</v>
      </c>
      <c r="B1572" t="s">
        <v>40</v>
      </c>
      <c r="C1572" s="1">
        <v>32873</v>
      </c>
      <c r="D1572">
        <v>36</v>
      </c>
      <c r="E1572" t="s">
        <v>12</v>
      </c>
      <c r="F1572" t="s">
        <v>45</v>
      </c>
      <c r="G1572" s="1">
        <v>45006</v>
      </c>
      <c r="H1572" s="1">
        <v>45766</v>
      </c>
      <c r="I1572">
        <v>28</v>
      </c>
      <c r="K1572">
        <v>3256.97</v>
      </c>
    </row>
    <row r="1573" spans="1:11">
      <c r="A1573">
        <v>1572</v>
      </c>
      <c r="B1573" t="s">
        <v>39</v>
      </c>
      <c r="C1573" s="1">
        <v>37256</v>
      </c>
      <c r="D1573">
        <v>24</v>
      </c>
      <c r="F1573" t="s">
        <v>32</v>
      </c>
      <c r="G1573" s="1">
        <v>44992</v>
      </c>
      <c r="H1573" s="1">
        <v>44960</v>
      </c>
      <c r="I1573">
        <v>0</v>
      </c>
      <c r="J1573" t="s">
        <v>19</v>
      </c>
      <c r="K1573">
        <v>13373.23</v>
      </c>
    </row>
    <row r="1574" spans="1:11">
      <c r="A1574">
        <v>1573</v>
      </c>
      <c r="B1574" t="s">
        <v>22</v>
      </c>
      <c r="C1574" s="1">
        <v>28856</v>
      </c>
      <c r="D1574">
        <v>47</v>
      </c>
      <c r="E1574" t="s">
        <v>15</v>
      </c>
      <c r="F1574" t="s">
        <v>45</v>
      </c>
      <c r="G1574" s="1">
        <v>45062</v>
      </c>
      <c r="H1574" s="1">
        <v>45442</v>
      </c>
      <c r="I1574">
        <v>35</v>
      </c>
      <c r="J1574" t="s">
        <v>23</v>
      </c>
      <c r="K1574">
        <v>7770.14</v>
      </c>
    </row>
    <row r="1575" spans="1:11">
      <c r="A1575">
        <v>1574</v>
      </c>
      <c r="B1575" t="s">
        <v>167</v>
      </c>
      <c r="C1575" s="1">
        <v>22646</v>
      </c>
      <c r="D1575">
        <v>64</v>
      </c>
      <c r="E1575" t="s">
        <v>15</v>
      </c>
      <c r="F1575" t="s">
        <v>32</v>
      </c>
      <c r="G1575" s="1">
        <v>45325</v>
      </c>
      <c r="H1575" s="1">
        <v>45723</v>
      </c>
      <c r="I1575">
        <v>8</v>
      </c>
      <c r="J1575" t="s">
        <v>25</v>
      </c>
      <c r="K1575">
        <v>9209.17</v>
      </c>
    </row>
    <row r="1576" spans="1:11">
      <c r="A1576">
        <v>1575</v>
      </c>
      <c r="B1576" t="s">
        <v>89</v>
      </c>
      <c r="C1576" s="1">
        <v>27029</v>
      </c>
      <c r="D1576">
        <v>52</v>
      </c>
      <c r="E1576" t="s">
        <v>12</v>
      </c>
      <c r="F1576" t="s">
        <v>32</v>
      </c>
      <c r="G1576" s="1">
        <v>45629</v>
      </c>
      <c r="H1576" s="1">
        <v>45184</v>
      </c>
      <c r="I1576">
        <v>2</v>
      </c>
      <c r="J1576" t="s">
        <v>19</v>
      </c>
      <c r="K1576">
        <v>18423.45</v>
      </c>
    </row>
    <row r="1577" spans="1:11">
      <c r="A1577">
        <v>1576</v>
      </c>
      <c r="B1577" t="s">
        <v>114</v>
      </c>
      <c r="C1577" s="1">
        <v>17533</v>
      </c>
      <c r="D1577">
        <v>78</v>
      </c>
      <c r="G1577" s="1">
        <v>45273</v>
      </c>
      <c r="H1577" s="1">
        <v>45053</v>
      </c>
      <c r="I1577">
        <v>28</v>
      </c>
      <c r="J1577" t="s">
        <v>25</v>
      </c>
      <c r="K1577">
        <v>7135.28</v>
      </c>
    </row>
    <row r="1578" spans="1:11">
      <c r="A1578">
        <v>1577</v>
      </c>
      <c r="B1578" t="s">
        <v>166</v>
      </c>
      <c r="C1578" s="1">
        <v>19724</v>
      </c>
      <c r="D1578">
        <v>72</v>
      </c>
      <c r="E1578" t="s">
        <v>12</v>
      </c>
      <c r="F1578" t="s">
        <v>16</v>
      </c>
      <c r="G1578" s="1">
        <v>44985</v>
      </c>
      <c r="H1578" s="1">
        <v>45040</v>
      </c>
      <c r="I1578">
        <v>17</v>
      </c>
      <c r="K1578">
        <v>12200.38</v>
      </c>
    </row>
    <row r="1579" spans="1:11">
      <c r="A1579">
        <v>1578</v>
      </c>
      <c r="B1579" t="s">
        <v>86</v>
      </c>
      <c r="C1579" s="1">
        <v>40909</v>
      </c>
      <c r="D1579">
        <v>14</v>
      </c>
      <c r="E1579" t="s">
        <v>12</v>
      </c>
      <c r="G1579" s="1">
        <v>45445</v>
      </c>
      <c r="H1579" s="1">
        <v>45742</v>
      </c>
      <c r="I1579">
        <v>1</v>
      </c>
      <c r="J1579" t="s">
        <v>23</v>
      </c>
      <c r="K1579">
        <v>7205.98</v>
      </c>
    </row>
    <row r="1580" spans="1:11">
      <c r="A1580">
        <v>1579</v>
      </c>
      <c r="B1580" t="s">
        <v>87</v>
      </c>
      <c r="C1580" s="1">
        <v>28490</v>
      </c>
      <c r="D1580">
        <v>48</v>
      </c>
      <c r="E1580" t="s">
        <v>12</v>
      </c>
      <c r="G1580" s="1">
        <v>45640</v>
      </c>
      <c r="H1580" s="1">
        <v>45732</v>
      </c>
      <c r="I1580">
        <v>5</v>
      </c>
      <c r="J1580" t="s">
        <v>19</v>
      </c>
      <c r="K1580">
        <v>1804.02</v>
      </c>
    </row>
    <row r="1581" spans="1:11">
      <c r="A1581">
        <v>1580</v>
      </c>
      <c r="B1581" t="s">
        <v>93</v>
      </c>
      <c r="C1581" s="1">
        <v>14246</v>
      </c>
      <c r="D1581">
        <v>87</v>
      </c>
      <c r="E1581" t="s">
        <v>15</v>
      </c>
      <c r="F1581" t="s">
        <v>16</v>
      </c>
      <c r="G1581" s="1">
        <v>45163</v>
      </c>
      <c r="H1581" s="1">
        <v>45269</v>
      </c>
      <c r="I1581">
        <v>39</v>
      </c>
      <c r="J1581" t="s">
        <v>23</v>
      </c>
      <c r="K1581">
        <v>9015.86</v>
      </c>
    </row>
    <row r="1582" spans="1:11">
      <c r="A1582">
        <v>1581</v>
      </c>
      <c r="B1582" t="s">
        <v>121</v>
      </c>
      <c r="C1582" s="1">
        <v>21551</v>
      </c>
      <c r="D1582">
        <v>67</v>
      </c>
      <c r="E1582" t="s">
        <v>12</v>
      </c>
      <c r="F1582" t="s">
        <v>32</v>
      </c>
      <c r="G1582" s="1">
        <v>45005</v>
      </c>
      <c r="H1582" s="1">
        <v>44975</v>
      </c>
      <c r="I1582">
        <v>32</v>
      </c>
      <c r="J1582" t="s">
        <v>19</v>
      </c>
      <c r="K1582">
        <v>11900.94</v>
      </c>
    </row>
    <row r="1583" spans="1:11">
      <c r="A1583">
        <v>1582</v>
      </c>
      <c r="B1583" t="s">
        <v>80</v>
      </c>
      <c r="C1583" s="1">
        <v>42005</v>
      </c>
      <c r="D1583">
        <v>11</v>
      </c>
      <c r="E1583" t="s">
        <v>12</v>
      </c>
      <c r="F1583" t="s">
        <v>16</v>
      </c>
      <c r="G1583" s="1">
        <v>45484</v>
      </c>
      <c r="H1583" s="1">
        <v>45291</v>
      </c>
      <c r="I1583">
        <v>10</v>
      </c>
      <c r="J1583" t="s">
        <v>19</v>
      </c>
      <c r="K1583">
        <v>8090.82</v>
      </c>
    </row>
    <row r="1584" spans="1:11">
      <c r="A1584">
        <v>1583</v>
      </c>
      <c r="B1584" t="s">
        <v>105</v>
      </c>
      <c r="C1584" s="1">
        <v>24838</v>
      </c>
      <c r="D1584">
        <v>58</v>
      </c>
      <c r="E1584" t="s">
        <v>12</v>
      </c>
      <c r="F1584" t="s">
        <v>32</v>
      </c>
      <c r="G1584" s="1">
        <v>45598</v>
      </c>
      <c r="H1584" s="1">
        <v>45714</v>
      </c>
      <c r="I1584">
        <v>2</v>
      </c>
      <c r="J1584" t="s">
        <v>19</v>
      </c>
      <c r="K1584">
        <v>7752.39</v>
      </c>
    </row>
    <row r="1585" spans="1:11">
      <c r="A1585">
        <v>1584</v>
      </c>
      <c r="B1585" t="s">
        <v>63</v>
      </c>
      <c r="C1585" s="1">
        <v>32873</v>
      </c>
      <c r="E1585" t="s">
        <v>15</v>
      </c>
      <c r="F1585" t="s">
        <v>16</v>
      </c>
      <c r="G1585" s="1">
        <v>45041</v>
      </c>
      <c r="H1585" s="1">
        <v>45325</v>
      </c>
      <c r="I1585">
        <v>37</v>
      </c>
      <c r="J1585" t="s">
        <v>23</v>
      </c>
      <c r="K1585">
        <v>16389.61</v>
      </c>
    </row>
    <row r="1586" spans="1:11">
      <c r="A1586">
        <v>1585</v>
      </c>
      <c r="B1586" t="s">
        <v>140</v>
      </c>
      <c r="C1586" s="1">
        <v>24107</v>
      </c>
      <c r="D1586">
        <v>60</v>
      </c>
      <c r="E1586" t="s">
        <v>15</v>
      </c>
      <c r="F1586" t="s">
        <v>18</v>
      </c>
      <c r="G1586" s="1">
        <v>45388</v>
      </c>
      <c r="H1586" s="1">
        <v>45122</v>
      </c>
      <c r="I1586">
        <v>16</v>
      </c>
      <c r="J1586" t="s">
        <v>19</v>
      </c>
      <c r="K1586">
        <v>496.67</v>
      </c>
    </row>
    <row r="1587" spans="1:11">
      <c r="A1587">
        <v>1586</v>
      </c>
      <c r="B1587" t="s">
        <v>161</v>
      </c>
      <c r="C1587" s="1">
        <v>30682</v>
      </c>
      <c r="E1587" t="s">
        <v>15</v>
      </c>
      <c r="F1587" t="s">
        <v>45</v>
      </c>
      <c r="G1587" s="1">
        <v>45552</v>
      </c>
      <c r="H1587" s="1">
        <v>45778</v>
      </c>
      <c r="I1587">
        <v>15</v>
      </c>
      <c r="J1587" t="s">
        <v>19</v>
      </c>
      <c r="K1587">
        <v>5841.27</v>
      </c>
    </row>
    <row r="1588" spans="1:11">
      <c r="A1588">
        <v>1587</v>
      </c>
      <c r="B1588" t="s">
        <v>75</v>
      </c>
      <c r="C1588" s="1">
        <v>20820</v>
      </c>
      <c r="D1588">
        <v>69</v>
      </c>
      <c r="E1588" t="s">
        <v>15</v>
      </c>
      <c r="G1588" s="1">
        <v>45052</v>
      </c>
      <c r="H1588" s="1">
        <v>45664</v>
      </c>
      <c r="I1588">
        <v>30</v>
      </c>
      <c r="J1588" t="s">
        <v>23</v>
      </c>
      <c r="K1588">
        <v>16216.32</v>
      </c>
    </row>
    <row r="1589" spans="1:11">
      <c r="A1589">
        <v>1588</v>
      </c>
      <c r="B1589" t="s">
        <v>80</v>
      </c>
      <c r="C1589" s="1">
        <v>32143</v>
      </c>
      <c r="D1589">
        <v>38</v>
      </c>
      <c r="E1589" t="s">
        <v>12</v>
      </c>
      <c r="F1589" t="s">
        <v>32</v>
      </c>
      <c r="G1589" s="1">
        <v>45528</v>
      </c>
      <c r="H1589" s="1">
        <v>45652</v>
      </c>
      <c r="I1589">
        <v>1</v>
      </c>
      <c r="J1589" t="s">
        <v>25</v>
      </c>
      <c r="K1589">
        <v>18402.66</v>
      </c>
    </row>
    <row r="1590" spans="1:11">
      <c r="A1590">
        <v>1589</v>
      </c>
      <c r="B1590" t="s">
        <v>92</v>
      </c>
      <c r="C1590" s="1">
        <v>25934</v>
      </c>
      <c r="D1590">
        <v>55</v>
      </c>
      <c r="E1590" t="s">
        <v>15</v>
      </c>
      <c r="F1590" t="s">
        <v>21</v>
      </c>
      <c r="G1590" s="1">
        <v>45499</v>
      </c>
      <c r="H1590" s="1">
        <v>45248</v>
      </c>
      <c r="I1590">
        <v>15</v>
      </c>
      <c r="K1590">
        <v>8187.22</v>
      </c>
    </row>
    <row r="1591" spans="1:11">
      <c r="A1591">
        <v>1590</v>
      </c>
      <c r="B1591" t="s">
        <v>74</v>
      </c>
      <c r="C1591" s="1">
        <v>23377</v>
      </c>
      <c r="D1591">
        <v>62</v>
      </c>
      <c r="E1591" t="s">
        <v>15</v>
      </c>
      <c r="F1591" t="s">
        <v>16</v>
      </c>
      <c r="G1591" s="1">
        <v>45426</v>
      </c>
      <c r="H1591" s="1">
        <v>45721</v>
      </c>
      <c r="I1591">
        <v>21</v>
      </c>
      <c r="J1591" t="s">
        <v>23</v>
      </c>
      <c r="K1591">
        <v>17764.759999999998</v>
      </c>
    </row>
    <row r="1592" spans="1:11">
      <c r="A1592">
        <v>1591</v>
      </c>
      <c r="B1592" t="s">
        <v>30</v>
      </c>
      <c r="C1592" s="1">
        <v>29586</v>
      </c>
      <c r="D1592">
        <v>45</v>
      </c>
      <c r="E1592" t="s">
        <v>15</v>
      </c>
      <c r="F1592" t="s">
        <v>16</v>
      </c>
      <c r="G1592" s="1">
        <v>45028</v>
      </c>
      <c r="H1592" s="1">
        <v>45065</v>
      </c>
      <c r="I1592">
        <v>26</v>
      </c>
      <c r="J1592" t="s">
        <v>23</v>
      </c>
      <c r="K1592">
        <v>3898.5</v>
      </c>
    </row>
    <row r="1593" spans="1:11">
      <c r="A1593">
        <v>1592</v>
      </c>
      <c r="B1593" t="s">
        <v>157</v>
      </c>
      <c r="C1593" s="1">
        <v>14246</v>
      </c>
      <c r="D1593">
        <v>87</v>
      </c>
      <c r="E1593" t="s">
        <v>12</v>
      </c>
      <c r="F1593" t="s">
        <v>13</v>
      </c>
      <c r="G1593" s="1">
        <v>45552</v>
      </c>
      <c r="H1593" s="1">
        <v>45282</v>
      </c>
      <c r="I1593">
        <v>28</v>
      </c>
      <c r="J1593" t="s">
        <v>19</v>
      </c>
      <c r="K1593">
        <v>4350.68</v>
      </c>
    </row>
    <row r="1594" spans="1:11">
      <c r="A1594">
        <v>1593</v>
      </c>
      <c r="B1594" t="s">
        <v>62</v>
      </c>
      <c r="D1594">
        <v>10</v>
      </c>
      <c r="E1594" t="s">
        <v>12</v>
      </c>
      <c r="F1594" t="s">
        <v>21</v>
      </c>
      <c r="G1594" s="1">
        <v>45100</v>
      </c>
      <c r="H1594" s="1">
        <v>45772</v>
      </c>
      <c r="I1594">
        <v>25</v>
      </c>
      <c r="J1594" t="s">
        <v>23</v>
      </c>
      <c r="K1594">
        <v>16908.45</v>
      </c>
    </row>
    <row r="1595" spans="1:11">
      <c r="A1595">
        <v>1594</v>
      </c>
      <c r="B1595" t="s">
        <v>117</v>
      </c>
      <c r="C1595" s="1">
        <v>23742</v>
      </c>
      <c r="D1595">
        <v>61</v>
      </c>
      <c r="E1595" t="s">
        <v>15</v>
      </c>
      <c r="F1595" t="s">
        <v>21</v>
      </c>
      <c r="G1595" s="1">
        <v>45378</v>
      </c>
      <c r="H1595" s="1">
        <v>44997</v>
      </c>
      <c r="I1595">
        <v>6</v>
      </c>
      <c r="J1595" t="s">
        <v>23</v>
      </c>
      <c r="K1595">
        <v>18055.48</v>
      </c>
    </row>
    <row r="1596" spans="1:11">
      <c r="A1596">
        <v>1595</v>
      </c>
      <c r="B1596" t="s">
        <v>95</v>
      </c>
      <c r="C1596" s="1">
        <v>18263</v>
      </c>
      <c r="D1596">
        <v>76</v>
      </c>
      <c r="E1596" t="s">
        <v>15</v>
      </c>
      <c r="G1596" s="1">
        <v>45018</v>
      </c>
      <c r="H1596" s="1">
        <v>45738</v>
      </c>
      <c r="I1596">
        <v>23</v>
      </c>
      <c r="K1596">
        <v>4378.3999999999996</v>
      </c>
    </row>
    <row r="1597" spans="1:11">
      <c r="A1597">
        <v>1596</v>
      </c>
      <c r="B1597" t="s">
        <v>104</v>
      </c>
      <c r="C1597" s="1">
        <v>37256</v>
      </c>
      <c r="D1597">
        <v>24</v>
      </c>
      <c r="E1597" t="s">
        <v>15</v>
      </c>
      <c r="F1597" t="s">
        <v>18</v>
      </c>
      <c r="G1597" s="1">
        <v>45621</v>
      </c>
      <c r="H1597" s="1">
        <v>45509</v>
      </c>
      <c r="I1597">
        <v>-1</v>
      </c>
      <c r="J1597" t="s">
        <v>23</v>
      </c>
      <c r="K1597">
        <v>1092.42</v>
      </c>
    </row>
    <row r="1598" spans="1:11">
      <c r="A1598">
        <v>1597</v>
      </c>
      <c r="B1598" t="s">
        <v>123</v>
      </c>
      <c r="C1598" s="1">
        <v>20455</v>
      </c>
      <c r="D1598">
        <v>70</v>
      </c>
      <c r="E1598" t="s">
        <v>12</v>
      </c>
      <c r="F1598" t="s">
        <v>45</v>
      </c>
      <c r="G1598" s="1">
        <v>45311</v>
      </c>
      <c r="H1598" s="1">
        <v>45410</v>
      </c>
      <c r="I1598">
        <v>3</v>
      </c>
      <c r="J1598" t="s">
        <v>19</v>
      </c>
      <c r="K1598">
        <v>1715.52</v>
      </c>
    </row>
    <row r="1599" spans="1:11">
      <c r="A1599">
        <v>1598</v>
      </c>
      <c r="B1599" t="s">
        <v>131</v>
      </c>
      <c r="C1599" s="1">
        <v>27395</v>
      </c>
      <c r="D1599">
        <v>51</v>
      </c>
      <c r="E1599" t="s">
        <v>15</v>
      </c>
      <c r="F1599" t="s">
        <v>18</v>
      </c>
      <c r="G1599" s="1">
        <v>45131</v>
      </c>
      <c r="H1599" s="1">
        <v>45647</v>
      </c>
      <c r="I1599">
        <v>26</v>
      </c>
      <c r="K1599">
        <v>5153.75</v>
      </c>
    </row>
    <row r="1600" spans="1:11">
      <c r="A1600">
        <v>1599</v>
      </c>
      <c r="B1600" t="s">
        <v>84</v>
      </c>
      <c r="C1600" s="1">
        <v>44927</v>
      </c>
      <c r="D1600">
        <v>3</v>
      </c>
      <c r="E1600" t="s">
        <v>12</v>
      </c>
      <c r="F1600" t="s">
        <v>45</v>
      </c>
      <c r="G1600" s="1">
        <v>45289</v>
      </c>
      <c r="H1600" s="1">
        <v>45639</v>
      </c>
      <c r="I1600">
        <v>23</v>
      </c>
      <c r="J1600" t="s">
        <v>23</v>
      </c>
      <c r="K1600">
        <v>15205.13</v>
      </c>
    </row>
    <row r="1601" spans="1:11">
      <c r="A1601">
        <v>1600</v>
      </c>
      <c r="B1601" t="s">
        <v>64</v>
      </c>
      <c r="C1601" s="1">
        <v>24838</v>
      </c>
      <c r="D1601">
        <v>58</v>
      </c>
      <c r="E1601" t="s">
        <v>15</v>
      </c>
      <c r="F1601" t="s">
        <v>32</v>
      </c>
      <c r="G1601" s="1">
        <v>45633</v>
      </c>
      <c r="H1601" s="1">
        <v>44986</v>
      </c>
      <c r="I1601">
        <v>25</v>
      </c>
      <c r="J1601" t="s">
        <v>19</v>
      </c>
      <c r="K1601">
        <v>10150.84</v>
      </c>
    </row>
    <row r="1602" spans="1:11">
      <c r="A1602">
        <v>1601</v>
      </c>
      <c r="B1602" t="s">
        <v>78</v>
      </c>
      <c r="C1602" s="1">
        <v>20090</v>
      </c>
      <c r="D1602">
        <v>71</v>
      </c>
      <c r="E1602" t="s">
        <v>15</v>
      </c>
      <c r="G1602" s="1">
        <v>45424</v>
      </c>
      <c r="H1602" s="1">
        <v>45698</v>
      </c>
      <c r="I1602">
        <v>4</v>
      </c>
      <c r="K1602">
        <v>9057.34</v>
      </c>
    </row>
    <row r="1603" spans="1:11">
      <c r="A1603">
        <v>1602</v>
      </c>
      <c r="B1603" t="s">
        <v>139</v>
      </c>
      <c r="C1603" s="1">
        <v>39083</v>
      </c>
      <c r="D1603">
        <v>19</v>
      </c>
      <c r="E1603" t="s">
        <v>12</v>
      </c>
      <c r="F1603" t="s">
        <v>18</v>
      </c>
      <c r="G1603" s="1">
        <v>45463</v>
      </c>
      <c r="H1603" s="1">
        <v>45316</v>
      </c>
      <c r="I1603">
        <v>31</v>
      </c>
      <c r="J1603" t="s">
        <v>23</v>
      </c>
      <c r="K1603">
        <v>11641.21</v>
      </c>
    </row>
    <row r="1604" spans="1:11">
      <c r="A1604">
        <v>1603</v>
      </c>
      <c r="B1604" t="s">
        <v>86</v>
      </c>
      <c r="C1604" s="1">
        <v>12419</v>
      </c>
      <c r="D1604">
        <v>92</v>
      </c>
      <c r="E1604" t="s">
        <v>15</v>
      </c>
      <c r="F1604" t="s">
        <v>13</v>
      </c>
      <c r="G1604" s="1">
        <v>45160</v>
      </c>
      <c r="H1604" s="1">
        <v>45780</v>
      </c>
      <c r="I1604">
        <v>7</v>
      </c>
      <c r="J1604" t="s">
        <v>19</v>
      </c>
      <c r="K1604">
        <v>17793.48</v>
      </c>
    </row>
    <row r="1605" spans="1:11">
      <c r="A1605">
        <v>1604</v>
      </c>
      <c r="B1605" t="s">
        <v>82</v>
      </c>
      <c r="C1605" s="1">
        <v>23377</v>
      </c>
      <c r="D1605">
        <v>62</v>
      </c>
      <c r="E1605" t="s">
        <v>12</v>
      </c>
      <c r="F1605" t="s">
        <v>45</v>
      </c>
      <c r="G1605" s="1">
        <v>44942</v>
      </c>
      <c r="H1605" s="1">
        <v>45278</v>
      </c>
      <c r="I1605">
        <v>38</v>
      </c>
      <c r="K1605">
        <v>1717.65</v>
      </c>
    </row>
    <row r="1606" spans="1:11">
      <c r="A1606">
        <v>1605</v>
      </c>
      <c r="B1606" t="s">
        <v>20</v>
      </c>
      <c r="C1606" s="1">
        <v>26664</v>
      </c>
      <c r="D1606">
        <v>53</v>
      </c>
      <c r="E1606" t="s">
        <v>15</v>
      </c>
      <c r="F1606" t="s">
        <v>18</v>
      </c>
      <c r="G1606" s="1">
        <v>45067</v>
      </c>
      <c r="H1606" s="1">
        <v>45773</v>
      </c>
      <c r="I1606">
        <v>37</v>
      </c>
      <c r="J1606" t="s">
        <v>19</v>
      </c>
      <c r="K1606">
        <v>13863.95</v>
      </c>
    </row>
    <row r="1607" spans="1:11">
      <c r="A1607">
        <v>1606</v>
      </c>
      <c r="B1607" t="s">
        <v>64</v>
      </c>
      <c r="C1607" s="1">
        <v>19359</v>
      </c>
      <c r="D1607">
        <v>73</v>
      </c>
      <c r="E1607" t="s">
        <v>12</v>
      </c>
      <c r="G1607" s="1">
        <v>45546</v>
      </c>
      <c r="H1607" s="1">
        <v>45796</v>
      </c>
      <c r="I1607">
        <v>19</v>
      </c>
      <c r="K1607">
        <v>18528.5</v>
      </c>
    </row>
    <row r="1608" spans="1:11">
      <c r="A1608">
        <v>1607</v>
      </c>
      <c r="B1608" t="s">
        <v>58</v>
      </c>
      <c r="C1608" s="1">
        <v>25568</v>
      </c>
      <c r="E1608" t="s">
        <v>12</v>
      </c>
      <c r="F1608" t="s">
        <v>13</v>
      </c>
      <c r="G1608" s="1">
        <v>45346</v>
      </c>
      <c r="H1608" s="1">
        <v>45266</v>
      </c>
      <c r="I1608">
        <v>24</v>
      </c>
      <c r="J1608" t="s">
        <v>23</v>
      </c>
      <c r="K1608">
        <v>4188.34</v>
      </c>
    </row>
    <row r="1609" spans="1:11">
      <c r="A1609">
        <v>1608</v>
      </c>
      <c r="B1609" t="s">
        <v>148</v>
      </c>
      <c r="C1609" s="1">
        <v>13515</v>
      </c>
      <c r="D1609">
        <v>89</v>
      </c>
      <c r="E1609" t="s">
        <v>12</v>
      </c>
      <c r="G1609" s="1">
        <v>45382</v>
      </c>
      <c r="H1609" s="1">
        <v>45604</v>
      </c>
      <c r="I1609">
        <v>36</v>
      </c>
      <c r="J1609" t="s">
        <v>25</v>
      </c>
      <c r="K1609">
        <v>16739.22</v>
      </c>
    </row>
    <row r="1610" spans="1:11">
      <c r="A1610">
        <v>1609</v>
      </c>
      <c r="B1610" t="s">
        <v>37</v>
      </c>
      <c r="C1610" s="1">
        <v>31412</v>
      </c>
      <c r="D1610">
        <v>40</v>
      </c>
      <c r="E1610" t="s">
        <v>15</v>
      </c>
      <c r="F1610" t="s">
        <v>21</v>
      </c>
      <c r="G1610" s="1">
        <v>45226</v>
      </c>
      <c r="H1610" s="1">
        <v>45684</v>
      </c>
      <c r="I1610">
        <v>19</v>
      </c>
      <c r="K1610">
        <v>13930.3</v>
      </c>
    </row>
    <row r="1611" spans="1:11">
      <c r="A1611">
        <v>1610</v>
      </c>
      <c r="B1611" t="s">
        <v>50</v>
      </c>
      <c r="C1611" s="1">
        <v>45292</v>
      </c>
      <c r="D1611">
        <v>2</v>
      </c>
      <c r="E1611" t="s">
        <v>15</v>
      </c>
      <c r="F1611" t="s">
        <v>16</v>
      </c>
      <c r="G1611" s="1">
        <v>45265</v>
      </c>
      <c r="H1611" s="1">
        <v>45523</v>
      </c>
      <c r="I1611">
        <v>16</v>
      </c>
      <c r="J1611" t="s">
        <v>23</v>
      </c>
      <c r="K1611">
        <v>190.82</v>
      </c>
    </row>
    <row r="1612" spans="1:11">
      <c r="A1612">
        <v>1611</v>
      </c>
      <c r="B1612" t="s">
        <v>98</v>
      </c>
      <c r="C1612" s="1">
        <v>44196</v>
      </c>
      <c r="D1612">
        <v>5</v>
      </c>
      <c r="E1612" t="s">
        <v>15</v>
      </c>
      <c r="F1612" t="s">
        <v>32</v>
      </c>
      <c r="G1612" s="1">
        <v>45229</v>
      </c>
      <c r="H1612" s="1">
        <v>45363</v>
      </c>
      <c r="I1612">
        <v>33</v>
      </c>
      <c r="K1612">
        <v>4555.3900000000003</v>
      </c>
    </row>
    <row r="1613" spans="1:11">
      <c r="A1613">
        <v>1612</v>
      </c>
      <c r="B1613" t="s">
        <v>49</v>
      </c>
      <c r="C1613" s="1">
        <v>44561</v>
      </c>
      <c r="D1613">
        <v>4</v>
      </c>
      <c r="E1613" t="s">
        <v>12</v>
      </c>
      <c r="G1613" s="1">
        <v>45518</v>
      </c>
      <c r="H1613" s="1">
        <v>45377</v>
      </c>
      <c r="I1613">
        <v>6</v>
      </c>
      <c r="J1613" t="s">
        <v>25</v>
      </c>
      <c r="K1613">
        <v>12077.48</v>
      </c>
    </row>
    <row r="1614" spans="1:11">
      <c r="A1614">
        <v>1613</v>
      </c>
      <c r="B1614" t="s">
        <v>49</v>
      </c>
      <c r="C1614" s="1">
        <v>44561</v>
      </c>
      <c r="D1614">
        <v>4</v>
      </c>
      <c r="E1614" t="s">
        <v>12</v>
      </c>
      <c r="F1614" t="s">
        <v>32</v>
      </c>
      <c r="G1614" s="1">
        <v>45002</v>
      </c>
      <c r="H1614" s="1">
        <v>45304</v>
      </c>
      <c r="I1614">
        <v>16</v>
      </c>
      <c r="J1614" t="s">
        <v>19</v>
      </c>
      <c r="K1614">
        <v>9998.25</v>
      </c>
    </row>
    <row r="1615" spans="1:11">
      <c r="A1615">
        <v>1614</v>
      </c>
      <c r="B1615" t="s">
        <v>54</v>
      </c>
      <c r="C1615" s="1">
        <v>26664</v>
      </c>
      <c r="D1615">
        <v>53</v>
      </c>
      <c r="E1615" t="s">
        <v>15</v>
      </c>
      <c r="G1615" s="1">
        <v>45550</v>
      </c>
      <c r="H1615" s="1">
        <v>45318</v>
      </c>
      <c r="I1615">
        <v>-1</v>
      </c>
      <c r="J1615" t="s">
        <v>25</v>
      </c>
      <c r="K1615">
        <v>10511.52</v>
      </c>
    </row>
    <row r="1616" spans="1:11">
      <c r="A1616">
        <v>1615</v>
      </c>
      <c r="B1616" t="s">
        <v>104</v>
      </c>
      <c r="C1616" s="1">
        <v>29221</v>
      </c>
      <c r="D1616">
        <v>46</v>
      </c>
      <c r="E1616" t="s">
        <v>15</v>
      </c>
      <c r="F1616" t="s">
        <v>21</v>
      </c>
      <c r="G1616" s="1">
        <v>45242</v>
      </c>
      <c r="H1616" s="1">
        <v>45408</v>
      </c>
      <c r="I1616">
        <v>25</v>
      </c>
      <c r="J1616" t="s">
        <v>25</v>
      </c>
      <c r="K1616">
        <v>4561.8</v>
      </c>
    </row>
    <row r="1617" spans="1:11">
      <c r="A1617">
        <v>1616</v>
      </c>
      <c r="B1617" t="s">
        <v>37</v>
      </c>
      <c r="C1617" s="1">
        <v>14611</v>
      </c>
      <c r="D1617">
        <v>86</v>
      </c>
      <c r="E1617" t="s">
        <v>12</v>
      </c>
      <c r="G1617" s="1">
        <v>45426</v>
      </c>
      <c r="H1617" s="1">
        <v>45748</v>
      </c>
      <c r="I1617">
        <v>36</v>
      </c>
      <c r="J1617" t="s">
        <v>19</v>
      </c>
      <c r="K1617">
        <v>13467.57</v>
      </c>
    </row>
    <row r="1618" spans="1:11">
      <c r="A1618">
        <v>1617</v>
      </c>
      <c r="B1618" t="s">
        <v>142</v>
      </c>
      <c r="C1618" s="1">
        <v>28490</v>
      </c>
      <c r="D1618">
        <v>48</v>
      </c>
      <c r="E1618" t="s">
        <v>15</v>
      </c>
      <c r="G1618" s="1">
        <v>45001</v>
      </c>
      <c r="H1618" s="1">
        <v>45041</v>
      </c>
      <c r="I1618">
        <v>19</v>
      </c>
      <c r="J1618" t="s">
        <v>25</v>
      </c>
      <c r="K1618">
        <v>5255.01</v>
      </c>
    </row>
    <row r="1619" spans="1:11">
      <c r="A1619">
        <v>1618</v>
      </c>
      <c r="B1619" t="s">
        <v>59</v>
      </c>
      <c r="C1619" s="1">
        <v>43100</v>
      </c>
      <c r="D1619">
        <v>8</v>
      </c>
      <c r="E1619" t="s">
        <v>15</v>
      </c>
      <c r="F1619" t="s">
        <v>18</v>
      </c>
      <c r="G1619" s="1">
        <v>45652</v>
      </c>
      <c r="H1619" s="1">
        <v>45673</v>
      </c>
      <c r="I1619">
        <v>3</v>
      </c>
      <c r="J1619" t="s">
        <v>23</v>
      </c>
      <c r="K1619">
        <v>7727.64</v>
      </c>
    </row>
    <row r="1620" spans="1:11">
      <c r="A1620">
        <v>1619</v>
      </c>
      <c r="B1620" t="s">
        <v>151</v>
      </c>
      <c r="C1620" s="1">
        <v>39083</v>
      </c>
      <c r="D1620">
        <v>19</v>
      </c>
      <c r="E1620" t="s">
        <v>15</v>
      </c>
      <c r="F1620" t="s">
        <v>16</v>
      </c>
      <c r="G1620" s="1">
        <v>45292</v>
      </c>
      <c r="H1620" s="1">
        <v>45701</v>
      </c>
      <c r="I1620">
        <v>4</v>
      </c>
      <c r="K1620">
        <v>7315.21</v>
      </c>
    </row>
    <row r="1621" spans="1:11">
      <c r="A1621">
        <v>1620</v>
      </c>
      <c r="B1621" t="s">
        <v>43</v>
      </c>
      <c r="C1621" s="1">
        <v>24107</v>
      </c>
      <c r="D1621">
        <v>60</v>
      </c>
      <c r="E1621" t="s">
        <v>12</v>
      </c>
      <c r="F1621" t="s">
        <v>21</v>
      </c>
      <c r="G1621" s="1">
        <v>45472</v>
      </c>
      <c r="H1621" s="1">
        <v>45099</v>
      </c>
      <c r="I1621">
        <v>3</v>
      </c>
      <c r="J1621" t="s">
        <v>25</v>
      </c>
      <c r="K1621">
        <v>13407.7</v>
      </c>
    </row>
    <row r="1622" spans="1:11">
      <c r="A1622">
        <v>1621</v>
      </c>
      <c r="B1622" t="s">
        <v>57</v>
      </c>
      <c r="C1622" s="1">
        <v>33604</v>
      </c>
      <c r="D1622">
        <v>34</v>
      </c>
      <c r="E1622" t="s">
        <v>12</v>
      </c>
      <c r="F1622" t="s">
        <v>13</v>
      </c>
      <c r="G1622" s="1">
        <v>45579</v>
      </c>
      <c r="H1622" s="1">
        <v>44945</v>
      </c>
      <c r="I1622">
        <v>30</v>
      </c>
      <c r="K1622">
        <v>1714.08</v>
      </c>
    </row>
    <row r="1623" spans="1:11">
      <c r="A1623">
        <v>1622</v>
      </c>
      <c r="B1623" t="s">
        <v>71</v>
      </c>
      <c r="C1623" s="1">
        <v>28125</v>
      </c>
      <c r="D1623">
        <v>49</v>
      </c>
      <c r="F1623" t="s">
        <v>16</v>
      </c>
      <c r="G1623" s="1">
        <v>45604</v>
      </c>
      <c r="H1623" s="1">
        <v>45162</v>
      </c>
      <c r="I1623">
        <v>11</v>
      </c>
      <c r="K1623">
        <v>4031.39</v>
      </c>
    </row>
    <row r="1624" spans="1:11">
      <c r="A1624">
        <v>1623</v>
      </c>
      <c r="B1624" t="s">
        <v>102</v>
      </c>
      <c r="C1624" s="1">
        <v>16437</v>
      </c>
      <c r="D1624">
        <v>81</v>
      </c>
      <c r="E1624" t="s">
        <v>15</v>
      </c>
      <c r="F1624" t="s">
        <v>45</v>
      </c>
      <c r="G1624" s="1">
        <v>45322</v>
      </c>
      <c r="H1624" s="1">
        <v>45237</v>
      </c>
      <c r="I1624">
        <v>-2</v>
      </c>
      <c r="J1624" t="s">
        <v>19</v>
      </c>
      <c r="K1624">
        <v>3929.99</v>
      </c>
    </row>
    <row r="1625" spans="1:11">
      <c r="A1625">
        <v>1624</v>
      </c>
      <c r="B1625" t="s">
        <v>51</v>
      </c>
      <c r="C1625" s="1">
        <v>23742</v>
      </c>
      <c r="D1625">
        <v>61</v>
      </c>
      <c r="E1625" t="s">
        <v>12</v>
      </c>
      <c r="F1625" t="s">
        <v>18</v>
      </c>
      <c r="G1625" s="1">
        <v>45157</v>
      </c>
      <c r="H1625" s="1">
        <v>45822</v>
      </c>
      <c r="I1625">
        <v>22</v>
      </c>
      <c r="J1625" t="s">
        <v>25</v>
      </c>
      <c r="K1625">
        <v>2079.34</v>
      </c>
    </row>
    <row r="1626" spans="1:11">
      <c r="A1626">
        <v>1625</v>
      </c>
      <c r="B1626" t="s">
        <v>111</v>
      </c>
      <c r="C1626" s="1">
        <v>40178</v>
      </c>
      <c r="D1626">
        <v>16</v>
      </c>
      <c r="E1626" t="s">
        <v>12</v>
      </c>
      <c r="F1626" t="s">
        <v>16</v>
      </c>
      <c r="G1626" s="1">
        <v>44954</v>
      </c>
      <c r="H1626" s="1">
        <v>45596</v>
      </c>
      <c r="I1626">
        <v>3</v>
      </c>
      <c r="J1626" t="s">
        <v>19</v>
      </c>
      <c r="K1626">
        <v>4072.66</v>
      </c>
    </row>
    <row r="1627" spans="1:11">
      <c r="A1627">
        <v>1626</v>
      </c>
      <c r="B1627" t="s">
        <v>58</v>
      </c>
      <c r="C1627" s="1">
        <v>14246</v>
      </c>
      <c r="D1627">
        <v>87</v>
      </c>
      <c r="E1627" t="s">
        <v>15</v>
      </c>
      <c r="F1627" t="s">
        <v>45</v>
      </c>
      <c r="G1627" s="1">
        <v>45401</v>
      </c>
      <c r="H1627" s="1">
        <v>45650</v>
      </c>
      <c r="I1627">
        <v>25</v>
      </c>
      <c r="J1627" t="s">
        <v>19</v>
      </c>
      <c r="K1627">
        <v>12101.91</v>
      </c>
    </row>
    <row r="1628" spans="1:11">
      <c r="A1628">
        <v>1627</v>
      </c>
      <c r="B1628" t="s">
        <v>84</v>
      </c>
      <c r="C1628" s="1">
        <v>45292</v>
      </c>
      <c r="D1628">
        <v>2</v>
      </c>
      <c r="E1628" t="s">
        <v>12</v>
      </c>
      <c r="F1628" t="s">
        <v>21</v>
      </c>
      <c r="G1628" s="1">
        <v>45221</v>
      </c>
      <c r="H1628" s="1">
        <v>45208</v>
      </c>
      <c r="I1628">
        <v>15</v>
      </c>
      <c r="K1628">
        <v>14616.58</v>
      </c>
    </row>
    <row r="1629" spans="1:11">
      <c r="A1629">
        <v>1628</v>
      </c>
      <c r="B1629" t="s">
        <v>96</v>
      </c>
      <c r="C1629" s="1">
        <v>34700</v>
      </c>
      <c r="D1629">
        <v>31</v>
      </c>
      <c r="E1629" t="s">
        <v>15</v>
      </c>
      <c r="G1629" s="1">
        <v>45353</v>
      </c>
      <c r="H1629" s="1">
        <v>45758</v>
      </c>
      <c r="I1629">
        <v>24</v>
      </c>
      <c r="J1629" t="s">
        <v>23</v>
      </c>
      <c r="K1629">
        <v>13172.1</v>
      </c>
    </row>
    <row r="1630" spans="1:11">
      <c r="A1630">
        <v>1629</v>
      </c>
      <c r="B1630" t="s">
        <v>59</v>
      </c>
      <c r="C1630" s="1">
        <v>41639</v>
      </c>
      <c r="D1630">
        <v>12</v>
      </c>
      <c r="E1630" t="s">
        <v>15</v>
      </c>
      <c r="F1630" t="s">
        <v>32</v>
      </c>
      <c r="G1630" s="1">
        <v>45017</v>
      </c>
      <c r="H1630" s="1">
        <v>45123</v>
      </c>
      <c r="I1630">
        <v>-1</v>
      </c>
      <c r="K1630">
        <v>9451.2800000000007</v>
      </c>
    </row>
    <row r="1631" spans="1:11">
      <c r="A1631">
        <v>1630</v>
      </c>
      <c r="B1631" t="s">
        <v>105</v>
      </c>
      <c r="C1631" s="1">
        <v>13880</v>
      </c>
      <c r="D1631">
        <v>88</v>
      </c>
      <c r="E1631" t="s">
        <v>15</v>
      </c>
      <c r="F1631" t="s">
        <v>16</v>
      </c>
      <c r="G1631" s="1">
        <v>45041</v>
      </c>
      <c r="H1631" s="1">
        <v>45042</v>
      </c>
      <c r="I1631">
        <v>37</v>
      </c>
      <c r="J1631" t="s">
        <v>19</v>
      </c>
      <c r="K1631">
        <v>953.93</v>
      </c>
    </row>
    <row r="1632" spans="1:11">
      <c r="A1632">
        <v>1631</v>
      </c>
      <c r="B1632" t="s">
        <v>147</v>
      </c>
      <c r="C1632" s="1">
        <v>19724</v>
      </c>
      <c r="D1632">
        <v>72</v>
      </c>
      <c r="E1632" t="s">
        <v>15</v>
      </c>
      <c r="F1632" t="s">
        <v>16</v>
      </c>
      <c r="G1632" s="1">
        <v>45085</v>
      </c>
      <c r="H1632" s="1">
        <v>45324</v>
      </c>
      <c r="I1632">
        <v>18</v>
      </c>
      <c r="J1632" t="s">
        <v>25</v>
      </c>
      <c r="K1632">
        <v>19176.04</v>
      </c>
    </row>
    <row r="1633" spans="1:11">
      <c r="A1633">
        <v>1632</v>
      </c>
      <c r="B1633" t="s">
        <v>68</v>
      </c>
      <c r="C1633" s="1">
        <v>21551</v>
      </c>
      <c r="D1633">
        <v>67</v>
      </c>
      <c r="E1633" t="s">
        <v>12</v>
      </c>
      <c r="F1633" t="s">
        <v>45</v>
      </c>
      <c r="G1633" s="1">
        <v>45184</v>
      </c>
      <c r="H1633" s="1">
        <v>45599</v>
      </c>
      <c r="I1633">
        <v>20</v>
      </c>
      <c r="J1633" t="s">
        <v>23</v>
      </c>
      <c r="K1633">
        <v>3278.34</v>
      </c>
    </row>
    <row r="1634" spans="1:11">
      <c r="A1634">
        <v>1633</v>
      </c>
      <c r="B1634" t="s">
        <v>51</v>
      </c>
      <c r="C1634" s="1">
        <v>41274</v>
      </c>
      <c r="D1634">
        <v>13</v>
      </c>
      <c r="E1634" t="s">
        <v>15</v>
      </c>
      <c r="F1634" t="s">
        <v>45</v>
      </c>
      <c r="G1634" s="1">
        <v>45299</v>
      </c>
      <c r="H1634" s="1">
        <v>45594</v>
      </c>
      <c r="I1634">
        <v>-1</v>
      </c>
      <c r="J1634" t="s">
        <v>23</v>
      </c>
      <c r="K1634">
        <v>13335.27</v>
      </c>
    </row>
    <row r="1635" spans="1:11">
      <c r="A1635">
        <v>1634</v>
      </c>
      <c r="B1635" t="s">
        <v>109</v>
      </c>
      <c r="C1635" s="1">
        <v>42370</v>
      </c>
      <c r="D1635">
        <v>10</v>
      </c>
      <c r="E1635" t="s">
        <v>15</v>
      </c>
      <c r="F1635" t="s">
        <v>32</v>
      </c>
      <c r="G1635" s="1">
        <v>45016</v>
      </c>
      <c r="H1635" s="1">
        <v>45490</v>
      </c>
      <c r="I1635">
        <v>13</v>
      </c>
      <c r="J1635" t="s">
        <v>25</v>
      </c>
      <c r="K1635">
        <v>18249.099999999999</v>
      </c>
    </row>
    <row r="1636" spans="1:11">
      <c r="A1636">
        <v>1635</v>
      </c>
      <c r="B1636" t="s">
        <v>53</v>
      </c>
      <c r="C1636" s="1">
        <v>25934</v>
      </c>
      <c r="D1636">
        <v>55</v>
      </c>
      <c r="E1636" t="s">
        <v>15</v>
      </c>
      <c r="F1636" t="s">
        <v>45</v>
      </c>
      <c r="G1636" s="1">
        <v>45224</v>
      </c>
      <c r="H1636" s="1">
        <v>45345</v>
      </c>
      <c r="I1636">
        <v>1</v>
      </c>
      <c r="J1636" t="s">
        <v>25</v>
      </c>
      <c r="K1636">
        <v>13925.32</v>
      </c>
    </row>
    <row r="1637" spans="1:11">
      <c r="A1637">
        <v>1636</v>
      </c>
      <c r="B1637" t="s">
        <v>14</v>
      </c>
      <c r="C1637" s="1">
        <v>21916</v>
      </c>
      <c r="D1637">
        <v>66</v>
      </c>
      <c r="E1637" t="s">
        <v>12</v>
      </c>
      <c r="F1637" t="s">
        <v>45</v>
      </c>
      <c r="G1637" s="1">
        <v>44957</v>
      </c>
      <c r="H1637" s="1">
        <v>45211</v>
      </c>
      <c r="I1637">
        <v>31</v>
      </c>
      <c r="J1637" t="s">
        <v>23</v>
      </c>
      <c r="K1637">
        <v>4282.8</v>
      </c>
    </row>
    <row r="1638" spans="1:11">
      <c r="A1638">
        <v>1637</v>
      </c>
      <c r="B1638" t="s">
        <v>127</v>
      </c>
      <c r="C1638" s="1">
        <v>12785</v>
      </c>
      <c r="D1638">
        <v>91</v>
      </c>
      <c r="E1638" t="s">
        <v>12</v>
      </c>
      <c r="F1638" t="s">
        <v>16</v>
      </c>
      <c r="G1638" s="1">
        <v>45284</v>
      </c>
      <c r="H1638" s="1">
        <v>45512</v>
      </c>
      <c r="I1638">
        <v>2</v>
      </c>
      <c r="J1638" t="s">
        <v>19</v>
      </c>
      <c r="K1638">
        <v>6247.51</v>
      </c>
    </row>
    <row r="1639" spans="1:11">
      <c r="A1639">
        <v>1638</v>
      </c>
      <c r="B1639" t="s">
        <v>108</v>
      </c>
      <c r="C1639" s="1">
        <v>35795</v>
      </c>
      <c r="D1639">
        <v>28</v>
      </c>
      <c r="E1639" t="s">
        <v>12</v>
      </c>
      <c r="F1639" t="s">
        <v>32</v>
      </c>
      <c r="G1639" s="1">
        <v>45396</v>
      </c>
      <c r="H1639" s="1">
        <v>45255</v>
      </c>
      <c r="I1639">
        <v>31</v>
      </c>
      <c r="J1639" t="s">
        <v>23</v>
      </c>
      <c r="K1639">
        <v>507.14</v>
      </c>
    </row>
    <row r="1640" spans="1:11">
      <c r="A1640">
        <v>1639</v>
      </c>
      <c r="B1640" t="s">
        <v>127</v>
      </c>
      <c r="C1640" s="1">
        <v>43100</v>
      </c>
      <c r="D1640">
        <v>8</v>
      </c>
      <c r="E1640" t="s">
        <v>12</v>
      </c>
      <c r="F1640" t="s">
        <v>32</v>
      </c>
      <c r="G1640" s="1">
        <v>45054</v>
      </c>
      <c r="H1640" s="1">
        <v>45268</v>
      </c>
      <c r="I1640">
        <v>19</v>
      </c>
      <c r="J1640" t="s">
        <v>23</v>
      </c>
      <c r="K1640">
        <v>12216.44</v>
      </c>
    </row>
    <row r="1641" spans="1:11">
      <c r="A1641">
        <v>1640</v>
      </c>
      <c r="B1641" t="s">
        <v>96</v>
      </c>
      <c r="C1641" s="1">
        <v>21916</v>
      </c>
      <c r="D1641">
        <v>66</v>
      </c>
      <c r="E1641" t="s">
        <v>15</v>
      </c>
      <c r="G1641" s="1">
        <v>45196</v>
      </c>
      <c r="H1641" s="1">
        <v>45549</v>
      </c>
      <c r="I1641">
        <v>17</v>
      </c>
      <c r="J1641" t="s">
        <v>23</v>
      </c>
      <c r="K1641">
        <v>12221.16</v>
      </c>
    </row>
    <row r="1642" spans="1:11">
      <c r="A1642">
        <v>1641</v>
      </c>
      <c r="B1642" t="s">
        <v>26</v>
      </c>
      <c r="C1642" s="1">
        <v>37256</v>
      </c>
      <c r="D1642">
        <v>24</v>
      </c>
      <c r="E1642" t="s">
        <v>15</v>
      </c>
      <c r="F1642" t="s">
        <v>16</v>
      </c>
      <c r="G1642" s="1">
        <v>45424</v>
      </c>
      <c r="H1642" s="1">
        <v>45725</v>
      </c>
      <c r="I1642">
        <v>36</v>
      </c>
      <c r="J1642" t="s">
        <v>19</v>
      </c>
      <c r="K1642">
        <v>14482.56</v>
      </c>
    </row>
    <row r="1643" spans="1:11">
      <c r="A1643">
        <v>1642</v>
      </c>
      <c r="B1643" t="s">
        <v>29</v>
      </c>
      <c r="C1643" s="1">
        <v>18629</v>
      </c>
      <c r="D1643">
        <v>75</v>
      </c>
      <c r="E1643" t="s">
        <v>12</v>
      </c>
      <c r="G1643" s="1">
        <v>45339</v>
      </c>
      <c r="H1643" s="1">
        <v>45148</v>
      </c>
      <c r="I1643">
        <v>10</v>
      </c>
      <c r="J1643" t="s">
        <v>25</v>
      </c>
      <c r="K1643">
        <v>121.03</v>
      </c>
    </row>
    <row r="1644" spans="1:11">
      <c r="A1644">
        <v>1643</v>
      </c>
      <c r="B1644" t="s">
        <v>38</v>
      </c>
      <c r="C1644" s="1">
        <v>31047</v>
      </c>
      <c r="D1644">
        <v>41</v>
      </c>
      <c r="E1644" t="s">
        <v>15</v>
      </c>
      <c r="F1644" t="s">
        <v>21</v>
      </c>
      <c r="G1644" s="1">
        <v>45135</v>
      </c>
      <c r="H1644" s="1">
        <v>44936</v>
      </c>
      <c r="I1644">
        <v>31</v>
      </c>
      <c r="J1644" t="s">
        <v>25</v>
      </c>
      <c r="K1644">
        <v>16338.61</v>
      </c>
    </row>
    <row r="1645" spans="1:11">
      <c r="A1645">
        <v>1644</v>
      </c>
      <c r="B1645" t="s">
        <v>54</v>
      </c>
      <c r="C1645" s="1">
        <v>43100</v>
      </c>
      <c r="D1645">
        <v>8</v>
      </c>
      <c r="E1645" t="s">
        <v>15</v>
      </c>
      <c r="F1645" t="s">
        <v>21</v>
      </c>
      <c r="G1645" s="1">
        <v>45616</v>
      </c>
      <c r="H1645" s="1">
        <v>45009</v>
      </c>
      <c r="I1645">
        <v>3</v>
      </c>
      <c r="J1645" t="s">
        <v>25</v>
      </c>
      <c r="K1645">
        <v>14748.09</v>
      </c>
    </row>
    <row r="1646" spans="1:11">
      <c r="A1646">
        <v>1645</v>
      </c>
      <c r="B1646" t="s">
        <v>127</v>
      </c>
      <c r="C1646" s="1">
        <v>17533</v>
      </c>
      <c r="D1646">
        <v>78</v>
      </c>
      <c r="E1646" t="s">
        <v>12</v>
      </c>
      <c r="F1646" t="s">
        <v>16</v>
      </c>
      <c r="G1646" s="1">
        <v>45232</v>
      </c>
      <c r="H1646" s="1">
        <v>45759</v>
      </c>
      <c r="I1646">
        <v>26</v>
      </c>
      <c r="J1646" t="s">
        <v>19</v>
      </c>
      <c r="K1646">
        <v>2731.82</v>
      </c>
    </row>
    <row r="1647" spans="1:11">
      <c r="A1647">
        <v>1646</v>
      </c>
      <c r="B1647" t="s">
        <v>147</v>
      </c>
      <c r="C1647" s="1">
        <v>31778</v>
      </c>
      <c r="D1647">
        <v>39</v>
      </c>
      <c r="E1647" t="s">
        <v>15</v>
      </c>
      <c r="F1647" t="s">
        <v>45</v>
      </c>
      <c r="G1647" s="1">
        <v>45117</v>
      </c>
      <c r="H1647" s="1">
        <v>45221</v>
      </c>
      <c r="I1647">
        <v>30</v>
      </c>
      <c r="J1647" t="s">
        <v>19</v>
      </c>
      <c r="K1647">
        <v>6887.29</v>
      </c>
    </row>
    <row r="1648" spans="1:11">
      <c r="A1648">
        <v>1647</v>
      </c>
      <c r="B1648" t="s">
        <v>109</v>
      </c>
      <c r="C1648" s="1">
        <v>37256</v>
      </c>
      <c r="D1648">
        <v>24</v>
      </c>
      <c r="E1648" t="s">
        <v>15</v>
      </c>
      <c r="F1648" t="s">
        <v>18</v>
      </c>
      <c r="G1648" s="1">
        <v>45283</v>
      </c>
      <c r="H1648" s="1">
        <v>45302</v>
      </c>
      <c r="I1648">
        <v>-2</v>
      </c>
      <c r="J1648" t="s">
        <v>25</v>
      </c>
      <c r="K1648">
        <v>12734.35</v>
      </c>
    </row>
    <row r="1649" spans="1:11">
      <c r="A1649">
        <v>1648</v>
      </c>
      <c r="B1649" t="s">
        <v>152</v>
      </c>
      <c r="C1649" s="1">
        <v>44561</v>
      </c>
      <c r="D1649">
        <v>4</v>
      </c>
      <c r="E1649" t="s">
        <v>15</v>
      </c>
      <c r="F1649" t="s">
        <v>21</v>
      </c>
      <c r="G1649" s="1">
        <v>45383</v>
      </c>
      <c r="H1649" s="1">
        <v>45461</v>
      </c>
      <c r="I1649">
        <v>4</v>
      </c>
      <c r="K1649">
        <v>9865.52</v>
      </c>
    </row>
    <row r="1650" spans="1:11">
      <c r="A1650">
        <v>1649</v>
      </c>
      <c r="B1650" t="s">
        <v>84</v>
      </c>
      <c r="C1650" s="1">
        <v>42370</v>
      </c>
      <c r="D1650">
        <v>10</v>
      </c>
      <c r="E1650" t="s">
        <v>15</v>
      </c>
      <c r="F1650" t="s">
        <v>21</v>
      </c>
      <c r="G1650" s="1">
        <v>45375</v>
      </c>
      <c r="H1650" s="1">
        <v>45342</v>
      </c>
      <c r="I1650">
        <v>19</v>
      </c>
      <c r="K1650">
        <v>2213.39</v>
      </c>
    </row>
    <row r="1651" spans="1:11">
      <c r="A1651">
        <v>1650</v>
      </c>
      <c r="B1651" t="s">
        <v>53</v>
      </c>
      <c r="C1651" s="1">
        <v>24838</v>
      </c>
      <c r="D1651">
        <v>58</v>
      </c>
      <c r="E1651" t="s">
        <v>12</v>
      </c>
      <c r="F1651" t="s">
        <v>16</v>
      </c>
      <c r="G1651" s="1">
        <v>44994</v>
      </c>
      <c r="H1651" s="1">
        <v>45026</v>
      </c>
      <c r="I1651">
        <v>29</v>
      </c>
      <c r="J1651" t="s">
        <v>25</v>
      </c>
      <c r="K1651">
        <v>1655.64</v>
      </c>
    </row>
    <row r="1652" spans="1:11">
      <c r="A1652">
        <v>1651</v>
      </c>
      <c r="B1652" t="s">
        <v>147</v>
      </c>
      <c r="C1652" s="1">
        <v>14246</v>
      </c>
      <c r="D1652">
        <v>87</v>
      </c>
      <c r="E1652" t="s">
        <v>12</v>
      </c>
      <c r="G1652" s="1">
        <v>45393</v>
      </c>
      <c r="H1652" s="1">
        <v>45609</v>
      </c>
      <c r="I1652">
        <v>11</v>
      </c>
      <c r="K1652">
        <v>15607.27</v>
      </c>
    </row>
    <row r="1653" spans="1:11">
      <c r="A1653">
        <v>1652</v>
      </c>
      <c r="B1653" t="s">
        <v>35</v>
      </c>
      <c r="C1653" s="1">
        <v>17533</v>
      </c>
      <c r="D1653">
        <v>78</v>
      </c>
      <c r="E1653" t="s">
        <v>12</v>
      </c>
      <c r="F1653" t="s">
        <v>16</v>
      </c>
      <c r="G1653" s="1">
        <v>45286</v>
      </c>
      <c r="H1653" s="1">
        <v>45629</v>
      </c>
      <c r="I1653">
        <v>21</v>
      </c>
      <c r="K1653">
        <v>3034.94</v>
      </c>
    </row>
    <row r="1654" spans="1:11">
      <c r="A1654">
        <v>1653</v>
      </c>
      <c r="B1654" t="s">
        <v>164</v>
      </c>
      <c r="C1654" s="1">
        <v>32508</v>
      </c>
      <c r="D1654">
        <v>37</v>
      </c>
      <c r="E1654" t="s">
        <v>12</v>
      </c>
      <c r="F1654" t="s">
        <v>18</v>
      </c>
      <c r="G1654" s="1">
        <v>45313</v>
      </c>
      <c r="H1654" s="1">
        <v>45545</v>
      </c>
      <c r="I1654">
        <v>16</v>
      </c>
      <c r="J1654" t="s">
        <v>25</v>
      </c>
      <c r="K1654">
        <v>3359.06</v>
      </c>
    </row>
    <row r="1655" spans="1:11">
      <c r="A1655">
        <v>1654</v>
      </c>
      <c r="B1655" t="s">
        <v>103</v>
      </c>
      <c r="C1655" s="1">
        <v>20090</v>
      </c>
      <c r="D1655">
        <v>71</v>
      </c>
      <c r="E1655" t="s">
        <v>15</v>
      </c>
      <c r="F1655" t="s">
        <v>18</v>
      </c>
      <c r="G1655" s="1">
        <v>45054</v>
      </c>
      <c r="H1655" s="1">
        <v>45759</v>
      </c>
      <c r="I1655">
        <v>24</v>
      </c>
      <c r="J1655" t="s">
        <v>25</v>
      </c>
      <c r="K1655">
        <v>16601.55</v>
      </c>
    </row>
    <row r="1656" spans="1:11">
      <c r="A1656">
        <v>1655</v>
      </c>
      <c r="B1656" t="s">
        <v>35</v>
      </c>
      <c r="C1656" s="1">
        <v>44561</v>
      </c>
      <c r="D1656">
        <v>4</v>
      </c>
      <c r="E1656" t="s">
        <v>15</v>
      </c>
      <c r="F1656" t="s">
        <v>32</v>
      </c>
      <c r="G1656" s="1">
        <v>45411</v>
      </c>
      <c r="H1656" s="1">
        <v>45704</v>
      </c>
      <c r="I1656">
        <v>20</v>
      </c>
      <c r="J1656" t="s">
        <v>19</v>
      </c>
      <c r="K1656">
        <v>12204.01</v>
      </c>
    </row>
    <row r="1657" spans="1:11">
      <c r="A1657">
        <v>1656</v>
      </c>
      <c r="B1657" t="s">
        <v>73</v>
      </c>
      <c r="C1657" s="1">
        <v>28856</v>
      </c>
      <c r="D1657">
        <v>47</v>
      </c>
      <c r="E1657" t="s">
        <v>15</v>
      </c>
      <c r="F1657" t="s">
        <v>16</v>
      </c>
      <c r="G1657" s="1">
        <v>45170</v>
      </c>
      <c r="H1657" s="1">
        <v>45309</v>
      </c>
      <c r="I1657">
        <v>18</v>
      </c>
      <c r="K1657">
        <v>12054.78</v>
      </c>
    </row>
    <row r="1658" spans="1:11">
      <c r="A1658">
        <v>1657</v>
      </c>
      <c r="B1658" t="s">
        <v>51</v>
      </c>
      <c r="C1658" s="1">
        <v>13515</v>
      </c>
      <c r="D1658">
        <v>89</v>
      </c>
      <c r="E1658" t="s">
        <v>15</v>
      </c>
      <c r="F1658" t="s">
        <v>21</v>
      </c>
      <c r="G1658" s="1">
        <v>44945</v>
      </c>
      <c r="H1658" s="1">
        <v>45790</v>
      </c>
      <c r="I1658">
        <v>26</v>
      </c>
      <c r="K1658">
        <v>9534.85</v>
      </c>
    </row>
    <row r="1659" spans="1:11">
      <c r="A1659">
        <v>1658</v>
      </c>
      <c r="B1659" t="s">
        <v>100</v>
      </c>
      <c r="C1659" s="1">
        <v>39813</v>
      </c>
      <c r="D1659">
        <v>17</v>
      </c>
      <c r="G1659" s="1">
        <v>45322</v>
      </c>
      <c r="H1659" s="1">
        <v>45431</v>
      </c>
      <c r="I1659">
        <v>-2</v>
      </c>
      <c r="J1659" t="s">
        <v>25</v>
      </c>
      <c r="K1659">
        <v>11336.8</v>
      </c>
    </row>
    <row r="1660" spans="1:11">
      <c r="A1660">
        <v>1659</v>
      </c>
      <c r="B1660" t="s">
        <v>27</v>
      </c>
      <c r="C1660" s="1">
        <v>20820</v>
      </c>
      <c r="D1660">
        <v>69</v>
      </c>
      <c r="E1660" t="s">
        <v>12</v>
      </c>
      <c r="G1660" s="1">
        <v>45593</v>
      </c>
      <c r="H1660" s="1">
        <v>45374</v>
      </c>
      <c r="I1660">
        <v>28</v>
      </c>
      <c r="J1660" t="s">
        <v>23</v>
      </c>
      <c r="K1660">
        <v>11995.57</v>
      </c>
    </row>
    <row r="1661" spans="1:11">
      <c r="A1661">
        <v>1660</v>
      </c>
      <c r="B1661" t="s">
        <v>153</v>
      </c>
      <c r="C1661" s="1">
        <v>32873</v>
      </c>
      <c r="E1661" t="s">
        <v>15</v>
      </c>
      <c r="F1661" t="s">
        <v>13</v>
      </c>
      <c r="G1661" s="1">
        <v>45155</v>
      </c>
      <c r="H1661" s="1">
        <v>45607</v>
      </c>
      <c r="I1661">
        <v>24</v>
      </c>
      <c r="J1661" t="s">
        <v>25</v>
      </c>
      <c r="K1661">
        <v>19353.310000000001</v>
      </c>
    </row>
    <row r="1662" spans="1:11">
      <c r="A1662">
        <v>1661</v>
      </c>
      <c r="B1662" t="s">
        <v>156</v>
      </c>
      <c r="C1662" s="1">
        <v>24473</v>
      </c>
      <c r="D1662">
        <v>59</v>
      </c>
      <c r="E1662" t="s">
        <v>15</v>
      </c>
      <c r="F1662" t="s">
        <v>13</v>
      </c>
      <c r="G1662" s="1">
        <v>45294</v>
      </c>
      <c r="H1662" s="1">
        <v>45271</v>
      </c>
      <c r="I1662">
        <v>33</v>
      </c>
      <c r="J1662" t="s">
        <v>19</v>
      </c>
      <c r="K1662">
        <v>4381.76</v>
      </c>
    </row>
    <row r="1663" spans="1:11">
      <c r="A1663">
        <v>1662</v>
      </c>
      <c r="B1663" t="s">
        <v>17</v>
      </c>
      <c r="C1663" s="1">
        <v>28856</v>
      </c>
      <c r="D1663">
        <v>47</v>
      </c>
      <c r="E1663" t="s">
        <v>15</v>
      </c>
      <c r="F1663" t="s">
        <v>45</v>
      </c>
      <c r="G1663" s="1">
        <v>44984</v>
      </c>
      <c r="H1663" s="1">
        <v>45352</v>
      </c>
      <c r="I1663">
        <v>24</v>
      </c>
      <c r="J1663" t="s">
        <v>23</v>
      </c>
      <c r="K1663">
        <v>4212.7</v>
      </c>
    </row>
    <row r="1664" spans="1:11">
      <c r="A1664">
        <v>1663</v>
      </c>
      <c r="B1664" t="s">
        <v>164</v>
      </c>
      <c r="C1664" s="1">
        <v>18263</v>
      </c>
      <c r="D1664">
        <v>76</v>
      </c>
      <c r="E1664" t="s">
        <v>15</v>
      </c>
      <c r="F1664" t="s">
        <v>21</v>
      </c>
      <c r="G1664" s="1">
        <v>45207</v>
      </c>
      <c r="H1664" s="1">
        <v>45552</v>
      </c>
      <c r="I1664">
        <v>12</v>
      </c>
      <c r="J1664" t="s">
        <v>23</v>
      </c>
      <c r="K1664">
        <v>1050.0899999999999</v>
      </c>
    </row>
    <row r="1665" spans="1:11">
      <c r="A1665">
        <v>1664</v>
      </c>
      <c r="B1665" t="s">
        <v>133</v>
      </c>
      <c r="C1665" s="1">
        <v>36161</v>
      </c>
      <c r="D1665">
        <v>27</v>
      </c>
      <c r="E1665" t="s">
        <v>15</v>
      </c>
      <c r="F1665" t="s">
        <v>13</v>
      </c>
      <c r="G1665" s="1">
        <v>45483</v>
      </c>
      <c r="H1665" s="1">
        <v>45767</v>
      </c>
      <c r="I1665">
        <v>22</v>
      </c>
      <c r="J1665" t="s">
        <v>23</v>
      </c>
      <c r="K1665">
        <v>13129.8</v>
      </c>
    </row>
    <row r="1666" spans="1:11">
      <c r="A1666">
        <v>1665</v>
      </c>
      <c r="B1666" t="s">
        <v>51</v>
      </c>
      <c r="C1666" s="1">
        <v>21185</v>
      </c>
      <c r="D1666">
        <v>68</v>
      </c>
      <c r="E1666" t="s">
        <v>12</v>
      </c>
      <c r="G1666" s="1">
        <v>45028</v>
      </c>
      <c r="H1666" s="1">
        <v>45233</v>
      </c>
      <c r="I1666">
        <v>12</v>
      </c>
      <c r="J1666" t="s">
        <v>19</v>
      </c>
      <c r="K1666">
        <v>10935.75</v>
      </c>
    </row>
    <row r="1667" spans="1:11">
      <c r="A1667">
        <v>1666</v>
      </c>
      <c r="B1667" t="s">
        <v>108</v>
      </c>
      <c r="C1667" s="1">
        <v>18263</v>
      </c>
      <c r="D1667">
        <v>76</v>
      </c>
      <c r="E1667" t="s">
        <v>12</v>
      </c>
      <c r="F1667" t="s">
        <v>21</v>
      </c>
      <c r="G1667" s="1">
        <v>44974</v>
      </c>
      <c r="H1667" s="1">
        <v>45075</v>
      </c>
      <c r="I1667">
        <v>37</v>
      </c>
      <c r="K1667">
        <v>2135.91</v>
      </c>
    </row>
    <row r="1668" spans="1:11">
      <c r="A1668">
        <v>1667</v>
      </c>
      <c r="B1668" t="s">
        <v>124</v>
      </c>
      <c r="C1668" s="1">
        <v>16802</v>
      </c>
      <c r="D1668">
        <v>80</v>
      </c>
      <c r="E1668" t="s">
        <v>12</v>
      </c>
      <c r="F1668" t="s">
        <v>16</v>
      </c>
      <c r="G1668" s="1">
        <v>45488</v>
      </c>
      <c r="H1668" s="1">
        <v>45776</v>
      </c>
      <c r="I1668">
        <v>16</v>
      </c>
      <c r="J1668" t="s">
        <v>25</v>
      </c>
      <c r="K1668">
        <v>7227.23</v>
      </c>
    </row>
    <row r="1669" spans="1:11">
      <c r="A1669">
        <v>1668</v>
      </c>
      <c r="B1669" t="s">
        <v>137</v>
      </c>
      <c r="C1669" s="1">
        <v>31778</v>
      </c>
      <c r="D1669">
        <v>39</v>
      </c>
      <c r="E1669" t="s">
        <v>15</v>
      </c>
      <c r="F1669" t="s">
        <v>21</v>
      </c>
      <c r="G1669" s="1">
        <v>45519</v>
      </c>
      <c r="H1669" s="1">
        <v>45659</v>
      </c>
      <c r="I1669">
        <v>8</v>
      </c>
      <c r="J1669" t="s">
        <v>19</v>
      </c>
      <c r="K1669">
        <v>3491.13</v>
      </c>
    </row>
    <row r="1670" spans="1:11">
      <c r="A1670">
        <v>1669</v>
      </c>
      <c r="B1670" t="s">
        <v>141</v>
      </c>
      <c r="C1670" s="1">
        <v>29951</v>
      </c>
      <c r="D1670">
        <v>44</v>
      </c>
      <c r="E1670" t="s">
        <v>15</v>
      </c>
      <c r="F1670" t="s">
        <v>13</v>
      </c>
      <c r="G1670" s="1">
        <v>44985</v>
      </c>
      <c r="H1670" s="1">
        <v>45381</v>
      </c>
      <c r="I1670">
        <v>38</v>
      </c>
      <c r="J1670" t="s">
        <v>19</v>
      </c>
      <c r="K1670">
        <v>6562.78</v>
      </c>
    </row>
    <row r="1671" spans="1:11">
      <c r="A1671">
        <v>1670</v>
      </c>
      <c r="B1671" t="s">
        <v>85</v>
      </c>
      <c r="C1671" s="1">
        <v>23742</v>
      </c>
      <c r="D1671">
        <v>61</v>
      </c>
      <c r="E1671" t="s">
        <v>12</v>
      </c>
      <c r="G1671" s="1">
        <v>45087</v>
      </c>
      <c r="H1671" s="1">
        <v>44960</v>
      </c>
      <c r="I1671">
        <v>30</v>
      </c>
      <c r="J1671" t="s">
        <v>23</v>
      </c>
      <c r="K1671">
        <v>19020.41</v>
      </c>
    </row>
    <row r="1672" spans="1:11">
      <c r="A1672">
        <v>1671</v>
      </c>
      <c r="B1672" t="s">
        <v>57</v>
      </c>
      <c r="C1672" s="1">
        <v>12419</v>
      </c>
      <c r="E1672" t="s">
        <v>12</v>
      </c>
      <c r="F1672" t="s">
        <v>21</v>
      </c>
      <c r="G1672" s="1">
        <v>45029</v>
      </c>
      <c r="H1672" s="1">
        <v>45659</v>
      </c>
      <c r="I1672">
        <v>38</v>
      </c>
      <c r="J1672" t="s">
        <v>23</v>
      </c>
      <c r="K1672">
        <v>13634.71</v>
      </c>
    </row>
    <row r="1673" spans="1:11">
      <c r="A1673">
        <v>1672</v>
      </c>
      <c r="B1673" t="s">
        <v>101</v>
      </c>
      <c r="C1673" s="1">
        <v>25203</v>
      </c>
      <c r="D1673">
        <v>57</v>
      </c>
      <c r="E1673" t="s">
        <v>12</v>
      </c>
      <c r="F1673" t="s">
        <v>18</v>
      </c>
      <c r="G1673" s="1">
        <v>45338</v>
      </c>
      <c r="H1673" s="1">
        <v>45428</v>
      </c>
      <c r="I1673">
        <v>20</v>
      </c>
      <c r="J1673" t="s">
        <v>19</v>
      </c>
      <c r="K1673">
        <v>52.14</v>
      </c>
    </row>
    <row r="1674" spans="1:11">
      <c r="A1674">
        <v>1673</v>
      </c>
      <c r="B1674" t="s">
        <v>84</v>
      </c>
      <c r="C1674" s="1">
        <v>21916</v>
      </c>
      <c r="D1674">
        <v>66</v>
      </c>
      <c r="E1674" t="s">
        <v>12</v>
      </c>
      <c r="F1674" t="s">
        <v>45</v>
      </c>
      <c r="G1674" s="1">
        <v>45109</v>
      </c>
      <c r="H1674" s="1">
        <v>45246</v>
      </c>
      <c r="I1674">
        <v>9</v>
      </c>
      <c r="K1674">
        <v>4975.41</v>
      </c>
    </row>
    <row r="1675" spans="1:11">
      <c r="A1675">
        <v>1674</v>
      </c>
      <c r="B1675" t="s">
        <v>161</v>
      </c>
      <c r="C1675" s="1">
        <v>25934</v>
      </c>
      <c r="E1675" t="s">
        <v>12</v>
      </c>
      <c r="F1675" t="s">
        <v>32</v>
      </c>
      <c r="G1675" s="1">
        <v>45343</v>
      </c>
      <c r="H1675" s="1">
        <v>45624</v>
      </c>
      <c r="I1675">
        <v>-1</v>
      </c>
      <c r="J1675" t="s">
        <v>23</v>
      </c>
      <c r="K1675">
        <v>108.27</v>
      </c>
    </row>
    <row r="1676" spans="1:11">
      <c r="A1676">
        <v>1675</v>
      </c>
      <c r="B1676" t="s">
        <v>79</v>
      </c>
      <c r="C1676" s="1">
        <v>31778</v>
      </c>
      <c r="D1676">
        <v>39</v>
      </c>
      <c r="E1676" t="s">
        <v>12</v>
      </c>
      <c r="G1676" s="1">
        <v>45042</v>
      </c>
      <c r="H1676" s="1">
        <v>45120</v>
      </c>
      <c r="I1676">
        <v>18</v>
      </c>
      <c r="J1676" t="s">
        <v>19</v>
      </c>
      <c r="K1676">
        <v>14268.86</v>
      </c>
    </row>
    <row r="1677" spans="1:11">
      <c r="A1677">
        <v>1676</v>
      </c>
      <c r="B1677" t="s">
        <v>151</v>
      </c>
      <c r="C1677" s="1">
        <v>31778</v>
      </c>
      <c r="D1677">
        <v>39</v>
      </c>
      <c r="E1677" t="s">
        <v>15</v>
      </c>
      <c r="F1677" t="s">
        <v>13</v>
      </c>
      <c r="G1677" s="1">
        <v>45325</v>
      </c>
      <c r="H1677" s="1">
        <v>45800</v>
      </c>
      <c r="I1677">
        <v>11</v>
      </c>
      <c r="J1677" t="s">
        <v>23</v>
      </c>
      <c r="K1677">
        <v>9335.3799999999992</v>
      </c>
    </row>
    <row r="1678" spans="1:11">
      <c r="A1678">
        <v>1677</v>
      </c>
      <c r="B1678" t="s">
        <v>77</v>
      </c>
      <c r="C1678" s="1">
        <v>13150</v>
      </c>
      <c r="D1678">
        <v>90</v>
      </c>
      <c r="E1678" t="s">
        <v>12</v>
      </c>
      <c r="F1678" t="s">
        <v>16</v>
      </c>
      <c r="G1678" s="1">
        <v>45602</v>
      </c>
      <c r="H1678" s="1">
        <v>45107</v>
      </c>
      <c r="I1678">
        <v>31</v>
      </c>
      <c r="J1678" t="s">
        <v>25</v>
      </c>
      <c r="K1678">
        <v>19879.78</v>
      </c>
    </row>
    <row r="1679" spans="1:11">
      <c r="A1679">
        <v>1678</v>
      </c>
      <c r="B1679" t="s">
        <v>36</v>
      </c>
      <c r="C1679" s="1">
        <v>18263</v>
      </c>
      <c r="E1679" t="s">
        <v>15</v>
      </c>
      <c r="F1679" t="s">
        <v>32</v>
      </c>
      <c r="G1679" s="1">
        <v>45581</v>
      </c>
      <c r="H1679" s="1">
        <v>45794</v>
      </c>
      <c r="I1679">
        <v>12</v>
      </c>
      <c r="J1679" t="s">
        <v>25</v>
      </c>
      <c r="K1679">
        <v>14645.02</v>
      </c>
    </row>
    <row r="1680" spans="1:11">
      <c r="A1680">
        <v>1679</v>
      </c>
      <c r="B1680" t="s">
        <v>96</v>
      </c>
      <c r="C1680" s="1">
        <v>34334</v>
      </c>
      <c r="D1680">
        <v>32</v>
      </c>
      <c r="E1680" t="s">
        <v>15</v>
      </c>
      <c r="F1680" t="s">
        <v>45</v>
      </c>
      <c r="G1680" s="1">
        <v>45363</v>
      </c>
      <c r="H1680" s="1">
        <v>45445</v>
      </c>
      <c r="I1680">
        <v>18</v>
      </c>
      <c r="J1680" t="s">
        <v>25</v>
      </c>
      <c r="K1680">
        <v>10310.049999999999</v>
      </c>
    </row>
    <row r="1681" spans="1:11">
      <c r="A1681">
        <v>1680</v>
      </c>
      <c r="B1681" t="s">
        <v>27</v>
      </c>
      <c r="C1681" s="1">
        <v>44196</v>
      </c>
      <c r="D1681">
        <v>5</v>
      </c>
      <c r="E1681" t="s">
        <v>12</v>
      </c>
      <c r="G1681" s="1">
        <v>45244</v>
      </c>
      <c r="H1681" s="1">
        <v>45318</v>
      </c>
      <c r="I1681">
        <v>20</v>
      </c>
      <c r="J1681" t="s">
        <v>23</v>
      </c>
      <c r="K1681">
        <v>16074.58</v>
      </c>
    </row>
    <row r="1682" spans="1:11">
      <c r="A1682">
        <v>1681</v>
      </c>
      <c r="B1682" t="s">
        <v>135</v>
      </c>
      <c r="C1682" s="1">
        <v>14246</v>
      </c>
      <c r="D1682">
        <v>87</v>
      </c>
      <c r="E1682" t="s">
        <v>15</v>
      </c>
      <c r="G1682" s="1">
        <v>45532</v>
      </c>
      <c r="H1682" s="1">
        <v>45448</v>
      </c>
      <c r="I1682">
        <v>18</v>
      </c>
      <c r="J1682" t="s">
        <v>23</v>
      </c>
      <c r="K1682">
        <v>14066.55</v>
      </c>
    </row>
    <row r="1683" spans="1:11">
      <c r="A1683">
        <v>1682</v>
      </c>
      <c r="B1683" t="s">
        <v>27</v>
      </c>
      <c r="C1683" s="1">
        <v>39448</v>
      </c>
      <c r="D1683">
        <v>18</v>
      </c>
      <c r="E1683" t="s">
        <v>15</v>
      </c>
      <c r="F1683" t="s">
        <v>18</v>
      </c>
      <c r="G1683" s="1">
        <v>45176</v>
      </c>
      <c r="H1683" s="1">
        <v>45284</v>
      </c>
      <c r="I1683">
        <v>11</v>
      </c>
      <c r="K1683">
        <v>4799.8999999999996</v>
      </c>
    </row>
    <row r="1684" spans="1:11">
      <c r="A1684">
        <v>1683</v>
      </c>
      <c r="B1684" t="s">
        <v>14</v>
      </c>
      <c r="D1684">
        <v>79</v>
      </c>
      <c r="E1684" t="s">
        <v>15</v>
      </c>
      <c r="F1684" t="s">
        <v>18</v>
      </c>
      <c r="G1684" s="1">
        <v>45373</v>
      </c>
      <c r="H1684" s="1">
        <v>45500</v>
      </c>
      <c r="I1684">
        <v>18</v>
      </c>
      <c r="J1684" t="s">
        <v>25</v>
      </c>
      <c r="K1684">
        <v>10558.19</v>
      </c>
    </row>
    <row r="1685" spans="1:11">
      <c r="A1685">
        <v>1684</v>
      </c>
      <c r="B1685" t="s">
        <v>102</v>
      </c>
      <c r="C1685" s="1">
        <v>31778</v>
      </c>
      <c r="D1685">
        <v>39</v>
      </c>
      <c r="E1685" t="s">
        <v>15</v>
      </c>
      <c r="F1685" t="s">
        <v>18</v>
      </c>
      <c r="G1685" s="1">
        <v>45423</v>
      </c>
      <c r="H1685" s="1">
        <v>45391</v>
      </c>
      <c r="I1685">
        <v>9</v>
      </c>
      <c r="K1685">
        <v>11075.57</v>
      </c>
    </row>
    <row r="1686" spans="1:11">
      <c r="A1686">
        <v>1685</v>
      </c>
      <c r="B1686" t="s">
        <v>29</v>
      </c>
      <c r="C1686" s="1">
        <v>12785</v>
      </c>
      <c r="D1686">
        <v>91</v>
      </c>
      <c r="E1686" t="s">
        <v>15</v>
      </c>
      <c r="F1686" t="s">
        <v>18</v>
      </c>
      <c r="G1686" s="1">
        <v>45269</v>
      </c>
      <c r="H1686" s="1">
        <v>45602</v>
      </c>
      <c r="I1686">
        <v>39</v>
      </c>
      <c r="J1686" t="s">
        <v>19</v>
      </c>
      <c r="K1686">
        <v>8969.76</v>
      </c>
    </row>
    <row r="1687" spans="1:11">
      <c r="A1687">
        <v>1686</v>
      </c>
      <c r="B1687" t="s">
        <v>128</v>
      </c>
      <c r="C1687" s="1">
        <v>24838</v>
      </c>
      <c r="D1687">
        <v>58</v>
      </c>
      <c r="E1687" t="s">
        <v>15</v>
      </c>
      <c r="F1687" t="s">
        <v>13</v>
      </c>
      <c r="G1687" s="1">
        <v>45353</v>
      </c>
      <c r="H1687" s="1">
        <v>45026</v>
      </c>
      <c r="I1687">
        <v>2</v>
      </c>
      <c r="J1687" t="s">
        <v>19</v>
      </c>
      <c r="K1687">
        <v>3501.77</v>
      </c>
    </row>
    <row r="1688" spans="1:11">
      <c r="A1688">
        <v>1687</v>
      </c>
      <c r="B1688" t="s">
        <v>49</v>
      </c>
      <c r="C1688" s="1">
        <v>24838</v>
      </c>
      <c r="D1688">
        <v>58</v>
      </c>
      <c r="E1688" t="s">
        <v>15</v>
      </c>
      <c r="G1688" s="1">
        <v>45166</v>
      </c>
      <c r="H1688" s="1">
        <v>45075</v>
      </c>
      <c r="I1688">
        <v>-1</v>
      </c>
      <c r="J1688" t="s">
        <v>25</v>
      </c>
      <c r="K1688">
        <v>4389.72</v>
      </c>
    </row>
    <row r="1689" spans="1:11">
      <c r="A1689">
        <v>1688</v>
      </c>
      <c r="B1689" t="s">
        <v>69</v>
      </c>
      <c r="C1689" s="1">
        <v>28856</v>
      </c>
      <c r="D1689">
        <v>47</v>
      </c>
      <c r="E1689" t="s">
        <v>15</v>
      </c>
      <c r="F1689" t="s">
        <v>13</v>
      </c>
      <c r="G1689" s="1">
        <v>44985</v>
      </c>
      <c r="H1689" s="1">
        <v>45497</v>
      </c>
      <c r="I1689">
        <v>19</v>
      </c>
      <c r="K1689">
        <v>5549.05</v>
      </c>
    </row>
    <row r="1690" spans="1:11">
      <c r="A1690">
        <v>1689</v>
      </c>
      <c r="B1690" t="s">
        <v>88</v>
      </c>
      <c r="C1690" s="1">
        <v>31412</v>
      </c>
      <c r="D1690">
        <v>40</v>
      </c>
      <c r="F1690" t="s">
        <v>21</v>
      </c>
      <c r="G1690" s="1">
        <v>45453</v>
      </c>
      <c r="H1690" s="1">
        <v>45654</v>
      </c>
      <c r="I1690">
        <v>3</v>
      </c>
      <c r="J1690" t="s">
        <v>23</v>
      </c>
      <c r="K1690">
        <v>106.13</v>
      </c>
    </row>
    <row r="1691" spans="1:11">
      <c r="A1691">
        <v>1690</v>
      </c>
      <c r="B1691" t="s">
        <v>123</v>
      </c>
      <c r="C1691" s="1">
        <v>41639</v>
      </c>
      <c r="D1691">
        <v>12</v>
      </c>
      <c r="E1691" t="s">
        <v>15</v>
      </c>
      <c r="F1691" t="s">
        <v>16</v>
      </c>
      <c r="G1691" s="1">
        <v>45129</v>
      </c>
      <c r="H1691" s="1">
        <v>45243</v>
      </c>
      <c r="I1691">
        <v>-1</v>
      </c>
      <c r="K1691">
        <v>18330.57</v>
      </c>
    </row>
    <row r="1692" spans="1:11">
      <c r="A1692">
        <v>1691</v>
      </c>
      <c r="B1692" t="s">
        <v>150</v>
      </c>
      <c r="C1692" s="1">
        <v>29951</v>
      </c>
      <c r="D1692">
        <v>44</v>
      </c>
      <c r="E1692" t="s">
        <v>15</v>
      </c>
      <c r="F1692" t="s">
        <v>21</v>
      </c>
      <c r="G1692" s="1">
        <v>45392</v>
      </c>
      <c r="H1692" s="1">
        <v>45109</v>
      </c>
      <c r="I1692">
        <v>26</v>
      </c>
      <c r="J1692" t="s">
        <v>19</v>
      </c>
      <c r="K1692">
        <v>13690.53</v>
      </c>
    </row>
    <row r="1693" spans="1:11">
      <c r="A1693">
        <v>1692</v>
      </c>
      <c r="B1693" t="s">
        <v>89</v>
      </c>
      <c r="C1693" s="1">
        <v>13880</v>
      </c>
      <c r="D1693">
        <v>88</v>
      </c>
      <c r="E1693" t="s">
        <v>12</v>
      </c>
      <c r="F1693" t="s">
        <v>16</v>
      </c>
      <c r="G1693" s="1">
        <v>45222</v>
      </c>
      <c r="H1693" s="1">
        <v>45474</v>
      </c>
      <c r="I1693">
        <v>33</v>
      </c>
      <c r="K1693">
        <v>13761.31</v>
      </c>
    </row>
    <row r="1694" spans="1:11">
      <c r="A1694">
        <v>1693</v>
      </c>
      <c r="B1694" t="s">
        <v>93</v>
      </c>
      <c r="C1694" s="1">
        <v>27029</v>
      </c>
      <c r="D1694">
        <v>52</v>
      </c>
      <c r="E1694" t="s">
        <v>12</v>
      </c>
      <c r="F1694" t="s">
        <v>45</v>
      </c>
      <c r="G1694" s="1">
        <v>45213</v>
      </c>
      <c r="H1694" s="1">
        <v>45230</v>
      </c>
      <c r="I1694">
        <v>4</v>
      </c>
      <c r="J1694" t="s">
        <v>19</v>
      </c>
      <c r="K1694">
        <v>11403.85</v>
      </c>
    </row>
    <row r="1695" spans="1:11">
      <c r="A1695">
        <v>1694</v>
      </c>
      <c r="B1695" t="s">
        <v>123</v>
      </c>
      <c r="C1695" s="1">
        <v>31047</v>
      </c>
      <c r="D1695">
        <v>41</v>
      </c>
      <c r="E1695" t="s">
        <v>12</v>
      </c>
      <c r="F1695" t="s">
        <v>21</v>
      </c>
      <c r="G1695" s="1">
        <v>44999</v>
      </c>
      <c r="H1695" s="1">
        <v>45485</v>
      </c>
      <c r="I1695">
        <v>13</v>
      </c>
      <c r="J1695" t="s">
        <v>19</v>
      </c>
      <c r="K1695">
        <v>13755.15</v>
      </c>
    </row>
    <row r="1696" spans="1:11">
      <c r="A1696">
        <v>1695</v>
      </c>
      <c r="B1696" t="s">
        <v>73</v>
      </c>
      <c r="C1696" s="1">
        <v>23377</v>
      </c>
      <c r="D1696">
        <v>62</v>
      </c>
      <c r="E1696" t="s">
        <v>15</v>
      </c>
      <c r="F1696" t="s">
        <v>45</v>
      </c>
      <c r="G1696" s="1">
        <v>45652</v>
      </c>
      <c r="H1696" s="1">
        <v>45526</v>
      </c>
      <c r="I1696">
        <v>30</v>
      </c>
      <c r="K1696">
        <v>19635.439999999999</v>
      </c>
    </row>
    <row r="1697" spans="1:11">
      <c r="A1697">
        <v>1696</v>
      </c>
      <c r="B1697" t="s">
        <v>58</v>
      </c>
      <c r="C1697" s="1">
        <v>36526</v>
      </c>
      <c r="D1697">
        <v>26</v>
      </c>
      <c r="E1697" t="s">
        <v>12</v>
      </c>
      <c r="F1697" t="s">
        <v>45</v>
      </c>
      <c r="G1697" s="1">
        <v>45449</v>
      </c>
      <c r="H1697" s="1">
        <v>44931</v>
      </c>
      <c r="I1697">
        <v>30</v>
      </c>
      <c r="J1697" t="s">
        <v>23</v>
      </c>
      <c r="K1697">
        <v>7641.72</v>
      </c>
    </row>
    <row r="1698" spans="1:11">
      <c r="A1698">
        <v>1697</v>
      </c>
      <c r="B1698" t="s">
        <v>152</v>
      </c>
      <c r="C1698" s="1">
        <v>32508</v>
      </c>
      <c r="D1698">
        <v>37</v>
      </c>
      <c r="E1698" t="s">
        <v>12</v>
      </c>
      <c r="F1698" t="s">
        <v>45</v>
      </c>
      <c r="G1698" s="1">
        <v>45263</v>
      </c>
      <c r="H1698" s="1">
        <v>45705</v>
      </c>
      <c r="I1698">
        <v>11</v>
      </c>
      <c r="J1698" t="s">
        <v>19</v>
      </c>
      <c r="K1698">
        <v>14221.76</v>
      </c>
    </row>
    <row r="1699" spans="1:11">
      <c r="A1699">
        <v>1698</v>
      </c>
      <c r="B1699" t="s">
        <v>128</v>
      </c>
      <c r="C1699" s="1">
        <v>24473</v>
      </c>
      <c r="D1699">
        <v>59</v>
      </c>
      <c r="E1699" t="s">
        <v>12</v>
      </c>
      <c r="F1699" t="s">
        <v>18</v>
      </c>
      <c r="G1699" s="1">
        <v>45244</v>
      </c>
      <c r="H1699" s="1">
        <v>45034</v>
      </c>
      <c r="I1699">
        <v>9</v>
      </c>
      <c r="K1699">
        <v>7126.53</v>
      </c>
    </row>
    <row r="1700" spans="1:11">
      <c r="A1700">
        <v>1699</v>
      </c>
      <c r="B1700" t="s">
        <v>107</v>
      </c>
      <c r="C1700" s="1">
        <v>43831</v>
      </c>
      <c r="D1700">
        <v>6</v>
      </c>
      <c r="E1700" t="s">
        <v>12</v>
      </c>
      <c r="F1700" t="s">
        <v>32</v>
      </c>
      <c r="G1700" s="1">
        <v>45129</v>
      </c>
      <c r="H1700" s="1">
        <v>45002</v>
      </c>
      <c r="I1700">
        <v>3</v>
      </c>
      <c r="J1700" t="s">
        <v>19</v>
      </c>
      <c r="K1700">
        <v>17071.2</v>
      </c>
    </row>
    <row r="1701" spans="1:11">
      <c r="A1701">
        <v>1700</v>
      </c>
      <c r="B1701" t="s">
        <v>51</v>
      </c>
      <c r="C1701" s="1">
        <v>44561</v>
      </c>
      <c r="D1701">
        <v>4</v>
      </c>
      <c r="E1701" t="s">
        <v>12</v>
      </c>
      <c r="F1701" t="s">
        <v>32</v>
      </c>
      <c r="G1701" s="1">
        <v>45157</v>
      </c>
      <c r="H1701" s="1">
        <v>44967</v>
      </c>
      <c r="I1701">
        <v>9</v>
      </c>
      <c r="J1701" t="s">
        <v>25</v>
      </c>
      <c r="K1701">
        <v>17146.37</v>
      </c>
    </row>
    <row r="1702" spans="1:11">
      <c r="A1702">
        <v>1701</v>
      </c>
      <c r="B1702" t="s">
        <v>165</v>
      </c>
      <c r="C1702" s="1">
        <v>29951</v>
      </c>
      <c r="D1702">
        <v>44</v>
      </c>
      <c r="E1702" t="s">
        <v>12</v>
      </c>
      <c r="F1702" t="s">
        <v>13</v>
      </c>
      <c r="G1702" s="1">
        <v>45489</v>
      </c>
      <c r="H1702" s="1">
        <v>45566</v>
      </c>
      <c r="I1702">
        <v>28</v>
      </c>
      <c r="J1702" t="s">
        <v>23</v>
      </c>
      <c r="K1702">
        <v>18035.560000000001</v>
      </c>
    </row>
    <row r="1703" spans="1:11">
      <c r="A1703">
        <v>1702</v>
      </c>
      <c r="B1703" t="s">
        <v>72</v>
      </c>
      <c r="C1703" s="1">
        <v>25203</v>
      </c>
      <c r="D1703">
        <v>57</v>
      </c>
      <c r="E1703" t="s">
        <v>12</v>
      </c>
      <c r="F1703" t="s">
        <v>45</v>
      </c>
      <c r="G1703" s="1">
        <v>44983</v>
      </c>
      <c r="H1703" s="1">
        <v>45622</v>
      </c>
      <c r="I1703">
        <v>9</v>
      </c>
      <c r="J1703" t="s">
        <v>25</v>
      </c>
      <c r="K1703">
        <v>9.81</v>
      </c>
    </row>
    <row r="1704" spans="1:11">
      <c r="A1704">
        <v>1703</v>
      </c>
      <c r="B1704" t="s">
        <v>57</v>
      </c>
      <c r="C1704" s="1">
        <v>35065</v>
      </c>
      <c r="D1704">
        <v>30</v>
      </c>
      <c r="E1704" t="s">
        <v>15</v>
      </c>
      <c r="F1704" t="s">
        <v>18</v>
      </c>
      <c r="G1704" s="1">
        <v>45570</v>
      </c>
      <c r="H1704" s="1">
        <v>45046</v>
      </c>
      <c r="I1704">
        <v>7</v>
      </c>
      <c r="J1704" t="s">
        <v>19</v>
      </c>
      <c r="K1704">
        <v>5893.65</v>
      </c>
    </row>
    <row r="1705" spans="1:11">
      <c r="A1705">
        <v>1704</v>
      </c>
      <c r="B1705" t="s">
        <v>168</v>
      </c>
      <c r="C1705" s="1">
        <v>37987</v>
      </c>
      <c r="D1705">
        <v>22</v>
      </c>
      <c r="E1705" t="s">
        <v>12</v>
      </c>
      <c r="F1705" t="s">
        <v>21</v>
      </c>
      <c r="G1705" s="1">
        <v>45346</v>
      </c>
      <c r="H1705" s="1">
        <v>45000</v>
      </c>
      <c r="I1705">
        <v>37</v>
      </c>
      <c r="J1705" t="s">
        <v>23</v>
      </c>
      <c r="K1705">
        <v>2591.88</v>
      </c>
    </row>
    <row r="1706" spans="1:11">
      <c r="A1706">
        <v>1705</v>
      </c>
      <c r="B1706" t="s">
        <v>129</v>
      </c>
      <c r="C1706" s="1">
        <v>31047</v>
      </c>
      <c r="D1706">
        <v>41</v>
      </c>
      <c r="E1706" t="s">
        <v>12</v>
      </c>
      <c r="F1706" t="s">
        <v>21</v>
      </c>
      <c r="G1706" s="1">
        <v>45206</v>
      </c>
      <c r="H1706" s="1">
        <v>45479</v>
      </c>
      <c r="I1706">
        <v>24</v>
      </c>
      <c r="K1706">
        <v>9025.1200000000008</v>
      </c>
    </row>
    <row r="1707" spans="1:11">
      <c r="A1707">
        <v>1706</v>
      </c>
      <c r="B1707" t="s">
        <v>149</v>
      </c>
      <c r="C1707" s="1">
        <v>42735</v>
      </c>
      <c r="D1707">
        <v>9</v>
      </c>
      <c r="E1707" t="s">
        <v>15</v>
      </c>
      <c r="F1707" t="s">
        <v>13</v>
      </c>
      <c r="G1707" s="1">
        <v>45231</v>
      </c>
      <c r="H1707" s="1">
        <v>45131</v>
      </c>
      <c r="I1707">
        <v>4</v>
      </c>
      <c r="K1707">
        <v>9858.5400000000009</v>
      </c>
    </row>
    <row r="1708" spans="1:11">
      <c r="A1708">
        <v>1707</v>
      </c>
      <c r="B1708" t="s">
        <v>29</v>
      </c>
      <c r="C1708" s="1">
        <v>34700</v>
      </c>
      <c r="D1708">
        <v>31</v>
      </c>
      <c r="F1708" t="s">
        <v>13</v>
      </c>
      <c r="G1708" s="1">
        <v>45392</v>
      </c>
      <c r="H1708" s="1">
        <v>45023</v>
      </c>
      <c r="I1708">
        <v>33</v>
      </c>
      <c r="J1708" t="s">
        <v>23</v>
      </c>
      <c r="K1708">
        <v>5043.67</v>
      </c>
    </row>
    <row r="1709" spans="1:11">
      <c r="A1709">
        <v>1708</v>
      </c>
      <c r="B1709" t="s">
        <v>128</v>
      </c>
      <c r="C1709" s="1">
        <v>27029</v>
      </c>
      <c r="D1709">
        <v>52</v>
      </c>
      <c r="E1709" t="s">
        <v>15</v>
      </c>
      <c r="F1709" t="s">
        <v>45</v>
      </c>
      <c r="G1709" s="1">
        <v>45100</v>
      </c>
      <c r="H1709" s="1">
        <v>45206</v>
      </c>
      <c r="I1709">
        <v>30</v>
      </c>
      <c r="J1709" t="s">
        <v>25</v>
      </c>
      <c r="K1709">
        <v>14441.27</v>
      </c>
    </row>
    <row r="1710" spans="1:11">
      <c r="A1710">
        <v>1709</v>
      </c>
      <c r="B1710" t="s">
        <v>82</v>
      </c>
      <c r="C1710" s="1">
        <v>35430</v>
      </c>
      <c r="D1710">
        <v>29</v>
      </c>
      <c r="E1710" t="s">
        <v>15</v>
      </c>
      <c r="F1710" t="s">
        <v>45</v>
      </c>
      <c r="G1710" s="1">
        <v>45192</v>
      </c>
      <c r="H1710" s="1">
        <v>45070</v>
      </c>
      <c r="I1710">
        <v>24</v>
      </c>
      <c r="J1710" t="s">
        <v>25</v>
      </c>
      <c r="K1710">
        <v>5322.37</v>
      </c>
    </row>
    <row r="1711" spans="1:11">
      <c r="A1711">
        <v>1710</v>
      </c>
      <c r="B1711" t="s">
        <v>111</v>
      </c>
      <c r="C1711" s="1">
        <v>32143</v>
      </c>
      <c r="D1711">
        <v>38</v>
      </c>
      <c r="E1711" t="s">
        <v>12</v>
      </c>
      <c r="F1711" t="s">
        <v>21</v>
      </c>
      <c r="G1711" s="1">
        <v>45173</v>
      </c>
      <c r="H1711" s="1">
        <v>45042</v>
      </c>
      <c r="I1711">
        <v>5</v>
      </c>
      <c r="J1711" t="s">
        <v>23</v>
      </c>
      <c r="K1711">
        <v>17063.22</v>
      </c>
    </row>
    <row r="1712" spans="1:11">
      <c r="A1712">
        <v>1711</v>
      </c>
      <c r="B1712" t="s">
        <v>129</v>
      </c>
      <c r="C1712" s="1">
        <v>35065</v>
      </c>
      <c r="D1712">
        <v>30</v>
      </c>
      <c r="E1712" t="s">
        <v>15</v>
      </c>
      <c r="F1712" t="s">
        <v>21</v>
      </c>
      <c r="G1712" s="1">
        <v>45004</v>
      </c>
      <c r="H1712" s="1">
        <v>45403</v>
      </c>
      <c r="I1712">
        <v>2</v>
      </c>
      <c r="K1712">
        <v>3470.95</v>
      </c>
    </row>
    <row r="1713" spans="1:11">
      <c r="A1713">
        <v>1712</v>
      </c>
      <c r="B1713" t="s">
        <v>68</v>
      </c>
      <c r="C1713" s="1">
        <v>16437</v>
      </c>
      <c r="D1713">
        <v>81</v>
      </c>
      <c r="E1713" t="s">
        <v>15</v>
      </c>
      <c r="F1713" t="s">
        <v>21</v>
      </c>
      <c r="G1713" s="1">
        <v>45573</v>
      </c>
      <c r="H1713" s="1">
        <v>45811</v>
      </c>
      <c r="I1713">
        <v>5</v>
      </c>
      <c r="J1713" t="s">
        <v>23</v>
      </c>
      <c r="K1713">
        <v>7281.43</v>
      </c>
    </row>
    <row r="1714" spans="1:11">
      <c r="A1714">
        <v>1713</v>
      </c>
      <c r="B1714" t="s">
        <v>165</v>
      </c>
      <c r="C1714" s="1">
        <v>45657</v>
      </c>
      <c r="D1714">
        <v>1</v>
      </c>
      <c r="E1714" t="s">
        <v>15</v>
      </c>
      <c r="F1714" t="s">
        <v>21</v>
      </c>
      <c r="G1714" s="1">
        <v>45578</v>
      </c>
      <c r="H1714" s="1">
        <v>45060</v>
      </c>
      <c r="I1714">
        <v>37</v>
      </c>
      <c r="J1714" t="s">
        <v>25</v>
      </c>
      <c r="K1714">
        <v>12406.98</v>
      </c>
    </row>
    <row r="1715" spans="1:11">
      <c r="A1715">
        <v>1714</v>
      </c>
      <c r="B1715" t="s">
        <v>108</v>
      </c>
      <c r="C1715" s="1">
        <v>17898</v>
      </c>
      <c r="E1715" t="s">
        <v>15</v>
      </c>
      <c r="F1715" t="s">
        <v>32</v>
      </c>
      <c r="G1715" s="1">
        <v>45179</v>
      </c>
      <c r="H1715" s="1">
        <v>45095</v>
      </c>
      <c r="I1715">
        <v>18</v>
      </c>
      <c r="J1715" t="s">
        <v>19</v>
      </c>
      <c r="K1715">
        <v>12067.23</v>
      </c>
    </row>
    <row r="1716" spans="1:11">
      <c r="A1716">
        <v>1715</v>
      </c>
      <c r="B1716" t="s">
        <v>27</v>
      </c>
      <c r="C1716" s="1">
        <v>18263</v>
      </c>
      <c r="D1716">
        <v>76</v>
      </c>
      <c r="E1716" t="s">
        <v>15</v>
      </c>
      <c r="F1716" t="s">
        <v>45</v>
      </c>
      <c r="G1716" s="1">
        <v>45401</v>
      </c>
      <c r="H1716" s="1">
        <v>45172</v>
      </c>
      <c r="I1716">
        <v>21</v>
      </c>
      <c r="K1716">
        <v>1468.39</v>
      </c>
    </row>
    <row r="1717" spans="1:11">
      <c r="A1717">
        <v>1716</v>
      </c>
      <c r="B1717" t="s">
        <v>155</v>
      </c>
      <c r="C1717" s="1">
        <v>12419</v>
      </c>
      <c r="E1717" t="s">
        <v>15</v>
      </c>
      <c r="F1717" t="s">
        <v>45</v>
      </c>
      <c r="G1717" s="1">
        <v>45102</v>
      </c>
      <c r="H1717" s="1">
        <v>45204</v>
      </c>
      <c r="I1717">
        <v>4</v>
      </c>
      <c r="J1717" t="s">
        <v>23</v>
      </c>
      <c r="K1717">
        <v>16909.8</v>
      </c>
    </row>
    <row r="1718" spans="1:11">
      <c r="A1718">
        <v>1717</v>
      </c>
      <c r="B1718" t="s">
        <v>81</v>
      </c>
      <c r="C1718" s="1">
        <v>42005</v>
      </c>
      <c r="E1718" t="s">
        <v>15</v>
      </c>
      <c r="F1718" t="s">
        <v>21</v>
      </c>
      <c r="G1718" s="1">
        <v>45347</v>
      </c>
      <c r="H1718" s="1">
        <v>45186</v>
      </c>
      <c r="I1718">
        <v>16</v>
      </c>
      <c r="J1718" t="s">
        <v>19</v>
      </c>
      <c r="K1718">
        <v>11921.11</v>
      </c>
    </row>
    <row r="1719" spans="1:11">
      <c r="A1719">
        <v>1718</v>
      </c>
      <c r="B1719" t="s">
        <v>148</v>
      </c>
      <c r="C1719" s="1">
        <v>32143</v>
      </c>
      <c r="D1719">
        <v>38</v>
      </c>
      <c r="F1719" t="s">
        <v>18</v>
      </c>
      <c r="G1719" s="1">
        <v>45498</v>
      </c>
      <c r="H1719" s="1">
        <v>44973</v>
      </c>
      <c r="I1719">
        <v>28</v>
      </c>
      <c r="J1719" t="s">
        <v>25</v>
      </c>
      <c r="K1719">
        <v>17384.18</v>
      </c>
    </row>
    <row r="1720" spans="1:11">
      <c r="A1720">
        <v>1719</v>
      </c>
      <c r="B1720" t="s">
        <v>73</v>
      </c>
      <c r="C1720" s="1">
        <v>22281</v>
      </c>
      <c r="D1720">
        <v>65</v>
      </c>
      <c r="F1720" t="s">
        <v>21</v>
      </c>
      <c r="G1720" s="1">
        <v>45387</v>
      </c>
      <c r="H1720" s="1">
        <v>45273</v>
      </c>
      <c r="I1720">
        <v>33</v>
      </c>
      <c r="K1720">
        <v>17339.48</v>
      </c>
    </row>
    <row r="1721" spans="1:11">
      <c r="A1721">
        <v>1720</v>
      </c>
      <c r="B1721" t="s">
        <v>167</v>
      </c>
      <c r="C1721" s="1">
        <v>41639</v>
      </c>
      <c r="D1721">
        <v>12</v>
      </c>
      <c r="E1721" t="s">
        <v>15</v>
      </c>
      <c r="F1721" t="s">
        <v>16</v>
      </c>
      <c r="G1721" s="1">
        <v>45180</v>
      </c>
      <c r="H1721" s="1">
        <v>45774</v>
      </c>
      <c r="I1721">
        <v>24</v>
      </c>
      <c r="J1721" t="s">
        <v>23</v>
      </c>
      <c r="K1721">
        <v>10872.97</v>
      </c>
    </row>
    <row r="1722" spans="1:11">
      <c r="A1722">
        <v>1721</v>
      </c>
      <c r="B1722" t="s">
        <v>56</v>
      </c>
      <c r="C1722" s="1">
        <v>29586</v>
      </c>
      <c r="D1722">
        <v>45</v>
      </c>
      <c r="E1722" t="s">
        <v>12</v>
      </c>
      <c r="G1722" s="1">
        <v>45446</v>
      </c>
      <c r="H1722" s="1">
        <v>45822</v>
      </c>
      <c r="I1722">
        <v>26</v>
      </c>
      <c r="J1722" t="s">
        <v>25</v>
      </c>
      <c r="K1722">
        <v>18206.71</v>
      </c>
    </row>
    <row r="1723" spans="1:11">
      <c r="A1723">
        <v>1722</v>
      </c>
      <c r="B1723" t="s">
        <v>20</v>
      </c>
      <c r="C1723" s="1">
        <v>36526</v>
      </c>
      <c r="D1723">
        <v>26</v>
      </c>
      <c r="E1723" t="s">
        <v>15</v>
      </c>
      <c r="G1723" s="1">
        <v>45033</v>
      </c>
      <c r="H1723" s="1">
        <v>45164</v>
      </c>
      <c r="I1723">
        <v>20</v>
      </c>
      <c r="J1723" t="s">
        <v>23</v>
      </c>
      <c r="K1723">
        <v>16953</v>
      </c>
    </row>
    <row r="1724" spans="1:11">
      <c r="A1724">
        <v>1723</v>
      </c>
      <c r="B1724" t="s">
        <v>110</v>
      </c>
      <c r="C1724" s="1">
        <v>40178</v>
      </c>
      <c r="D1724">
        <v>16</v>
      </c>
      <c r="E1724" t="s">
        <v>15</v>
      </c>
      <c r="F1724" t="s">
        <v>13</v>
      </c>
      <c r="G1724" s="1">
        <v>45097</v>
      </c>
      <c r="H1724" s="1">
        <v>44980</v>
      </c>
      <c r="I1724">
        <v>17</v>
      </c>
      <c r="J1724" t="s">
        <v>23</v>
      </c>
      <c r="K1724">
        <v>19158.27</v>
      </c>
    </row>
    <row r="1725" spans="1:11">
      <c r="A1725">
        <v>1724</v>
      </c>
      <c r="B1725" t="s">
        <v>127</v>
      </c>
      <c r="C1725" s="1">
        <v>11689</v>
      </c>
      <c r="D1725">
        <v>94</v>
      </c>
      <c r="E1725" t="s">
        <v>15</v>
      </c>
      <c r="F1725" t="s">
        <v>16</v>
      </c>
      <c r="G1725" s="1">
        <v>44984</v>
      </c>
      <c r="H1725" s="1">
        <v>45075</v>
      </c>
      <c r="I1725">
        <v>3</v>
      </c>
      <c r="K1725">
        <v>16995.02</v>
      </c>
    </row>
    <row r="1726" spans="1:11">
      <c r="A1726">
        <v>1725</v>
      </c>
      <c r="B1726" t="s">
        <v>167</v>
      </c>
      <c r="C1726" s="1">
        <v>24473</v>
      </c>
      <c r="F1726" t="s">
        <v>18</v>
      </c>
      <c r="G1726" s="1">
        <v>45263</v>
      </c>
      <c r="H1726" s="1">
        <v>45626</v>
      </c>
      <c r="I1726">
        <v>9</v>
      </c>
      <c r="J1726" t="s">
        <v>25</v>
      </c>
      <c r="K1726">
        <v>16406.2</v>
      </c>
    </row>
    <row r="1727" spans="1:11">
      <c r="A1727">
        <v>1726</v>
      </c>
      <c r="B1727" t="s">
        <v>114</v>
      </c>
      <c r="C1727" s="1">
        <v>23012</v>
      </c>
      <c r="D1727">
        <v>63</v>
      </c>
      <c r="E1727" t="s">
        <v>12</v>
      </c>
      <c r="F1727" t="s">
        <v>13</v>
      </c>
      <c r="G1727" s="1">
        <v>45268</v>
      </c>
      <c r="H1727" s="1">
        <v>45460</v>
      </c>
      <c r="I1727">
        <v>9</v>
      </c>
      <c r="J1727" t="s">
        <v>25</v>
      </c>
      <c r="K1727">
        <v>9334.15</v>
      </c>
    </row>
    <row r="1728" spans="1:11">
      <c r="A1728">
        <v>1727</v>
      </c>
      <c r="B1728" t="s">
        <v>147</v>
      </c>
      <c r="C1728" s="1">
        <v>14246</v>
      </c>
      <c r="D1728">
        <v>87</v>
      </c>
      <c r="E1728" t="s">
        <v>15</v>
      </c>
      <c r="G1728" s="1">
        <v>45216</v>
      </c>
      <c r="H1728" s="1">
        <v>45017</v>
      </c>
      <c r="I1728">
        <v>0</v>
      </c>
      <c r="J1728" t="s">
        <v>19</v>
      </c>
      <c r="K1728">
        <v>4161.82</v>
      </c>
    </row>
    <row r="1729" spans="1:11">
      <c r="A1729">
        <v>1728</v>
      </c>
      <c r="B1729" t="s">
        <v>132</v>
      </c>
      <c r="C1729" s="1">
        <v>33604</v>
      </c>
      <c r="D1729">
        <v>34</v>
      </c>
      <c r="E1729" t="s">
        <v>15</v>
      </c>
      <c r="F1729" t="s">
        <v>18</v>
      </c>
      <c r="G1729" s="1">
        <v>45010</v>
      </c>
      <c r="H1729" s="1">
        <v>45160</v>
      </c>
      <c r="I1729">
        <v>39</v>
      </c>
      <c r="J1729" t="s">
        <v>25</v>
      </c>
      <c r="K1729">
        <v>18205.25</v>
      </c>
    </row>
    <row r="1730" spans="1:11">
      <c r="A1730">
        <v>1729</v>
      </c>
      <c r="B1730" t="s">
        <v>77</v>
      </c>
      <c r="C1730" s="1">
        <v>20820</v>
      </c>
      <c r="D1730">
        <v>69</v>
      </c>
      <c r="E1730" t="s">
        <v>15</v>
      </c>
      <c r="F1730" t="s">
        <v>13</v>
      </c>
      <c r="G1730" s="1">
        <v>45043</v>
      </c>
      <c r="H1730" s="1">
        <v>45654</v>
      </c>
      <c r="I1730">
        <v>36</v>
      </c>
      <c r="J1730" t="s">
        <v>25</v>
      </c>
      <c r="K1730">
        <v>14423.24</v>
      </c>
    </row>
    <row r="1731" spans="1:11">
      <c r="A1731">
        <v>1730</v>
      </c>
      <c r="B1731" t="s">
        <v>108</v>
      </c>
      <c r="C1731" s="1">
        <v>16072</v>
      </c>
      <c r="D1731">
        <v>82</v>
      </c>
      <c r="E1731" t="s">
        <v>12</v>
      </c>
      <c r="F1731" t="s">
        <v>21</v>
      </c>
      <c r="G1731" s="1">
        <v>45638</v>
      </c>
      <c r="H1731" s="1">
        <v>45808</v>
      </c>
      <c r="I1731">
        <v>32</v>
      </c>
      <c r="K1731">
        <v>5563.13</v>
      </c>
    </row>
    <row r="1732" spans="1:11">
      <c r="A1732">
        <v>1731</v>
      </c>
      <c r="B1732" t="s">
        <v>120</v>
      </c>
      <c r="C1732" s="1">
        <v>35430</v>
      </c>
      <c r="D1732">
        <v>29</v>
      </c>
      <c r="E1732" t="s">
        <v>12</v>
      </c>
      <c r="F1732" t="s">
        <v>21</v>
      </c>
      <c r="G1732" s="1">
        <v>45460</v>
      </c>
      <c r="H1732" s="1">
        <v>44978</v>
      </c>
      <c r="I1732">
        <v>16</v>
      </c>
      <c r="J1732" t="s">
        <v>19</v>
      </c>
      <c r="K1732">
        <v>6754.01</v>
      </c>
    </row>
    <row r="1733" spans="1:11">
      <c r="A1733">
        <v>1732</v>
      </c>
      <c r="B1733" t="s">
        <v>102</v>
      </c>
      <c r="C1733" s="1">
        <v>20455</v>
      </c>
      <c r="D1733">
        <v>70</v>
      </c>
      <c r="E1733" t="s">
        <v>15</v>
      </c>
      <c r="F1733" t="s">
        <v>18</v>
      </c>
      <c r="G1733" s="1">
        <v>45145</v>
      </c>
      <c r="H1733" s="1">
        <v>45592</v>
      </c>
      <c r="I1733">
        <v>1</v>
      </c>
      <c r="K1733">
        <v>13690.18</v>
      </c>
    </row>
    <row r="1734" spans="1:11">
      <c r="A1734">
        <v>1733</v>
      </c>
      <c r="B1734" t="s">
        <v>80</v>
      </c>
      <c r="C1734" s="1">
        <v>19359</v>
      </c>
      <c r="D1734">
        <v>73</v>
      </c>
      <c r="E1734" t="s">
        <v>12</v>
      </c>
      <c r="F1734" t="s">
        <v>13</v>
      </c>
      <c r="G1734" s="1">
        <v>45028</v>
      </c>
      <c r="H1734" s="1">
        <v>45763</v>
      </c>
      <c r="I1734">
        <v>28</v>
      </c>
      <c r="J1734" t="s">
        <v>25</v>
      </c>
      <c r="K1734">
        <v>9504.1299999999992</v>
      </c>
    </row>
    <row r="1735" spans="1:11">
      <c r="A1735">
        <v>1734</v>
      </c>
      <c r="B1735" t="s">
        <v>163</v>
      </c>
      <c r="C1735" s="1">
        <v>23377</v>
      </c>
      <c r="D1735">
        <v>62</v>
      </c>
      <c r="E1735" t="s">
        <v>15</v>
      </c>
      <c r="F1735" t="s">
        <v>32</v>
      </c>
      <c r="G1735" s="1">
        <v>45583</v>
      </c>
      <c r="H1735" s="1">
        <v>45555</v>
      </c>
      <c r="I1735">
        <v>39</v>
      </c>
      <c r="J1735" t="s">
        <v>19</v>
      </c>
      <c r="K1735">
        <v>1537.8</v>
      </c>
    </row>
    <row r="1736" spans="1:11">
      <c r="A1736">
        <v>1735</v>
      </c>
      <c r="B1736" t="s">
        <v>36</v>
      </c>
      <c r="C1736" s="1">
        <v>36161</v>
      </c>
      <c r="D1736">
        <v>27</v>
      </c>
      <c r="E1736" t="s">
        <v>12</v>
      </c>
      <c r="F1736" t="s">
        <v>18</v>
      </c>
      <c r="G1736" s="1">
        <v>45382</v>
      </c>
      <c r="H1736" s="1">
        <v>45321</v>
      </c>
      <c r="I1736">
        <v>35</v>
      </c>
      <c r="K1736">
        <v>2743.1</v>
      </c>
    </row>
    <row r="1737" spans="1:11">
      <c r="A1737">
        <v>1736</v>
      </c>
      <c r="B1737" t="s">
        <v>44</v>
      </c>
      <c r="C1737" s="1">
        <v>24473</v>
      </c>
      <c r="D1737">
        <v>59</v>
      </c>
      <c r="E1737" t="s">
        <v>12</v>
      </c>
      <c r="F1737" t="s">
        <v>18</v>
      </c>
      <c r="G1737" s="1">
        <v>45585</v>
      </c>
      <c r="H1737" s="1">
        <v>45141</v>
      </c>
      <c r="I1737">
        <v>30</v>
      </c>
      <c r="J1737" t="s">
        <v>19</v>
      </c>
      <c r="K1737">
        <v>14887.54</v>
      </c>
    </row>
    <row r="1738" spans="1:11">
      <c r="A1738">
        <v>1737</v>
      </c>
      <c r="B1738" t="s">
        <v>90</v>
      </c>
      <c r="C1738" s="1">
        <v>17533</v>
      </c>
      <c r="D1738">
        <v>78</v>
      </c>
      <c r="E1738" t="s">
        <v>15</v>
      </c>
      <c r="F1738" t="s">
        <v>16</v>
      </c>
      <c r="G1738" s="1">
        <v>45452</v>
      </c>
      <c r="H1738" s="1">
        <v>45378</v>
      </c>
      <c r="I1738">
        <v>3</v>
      </c>
      <c r="J1738" t="s">
        <v>25</v>
      </c>
      <c r="K1738">
        <v>6504.25</v>
      </c>
    </row>
    <row r="1739" spans="1:11">
      <c r="A1739">
        <v>1738</v>
      </c>
      <c r="B1739" t="s">
        <v>47</v>
      </c>
      <c r="C1739" s="1">
        <v>12054</v>
      </c>
      <c r="D1739">
        <v>93</v>
      </c>
      <c r="E1739" t="s">
        <v>12</v>
      </c>
      <c r="F1739" t="s">
        <v>45</v>
      </c>
      <c r="G1739" s="1">
        <v>45192</v>
      </c>
      <c r="H1739" s="1">
        <v>45266</v>
      </c>
      <c r="I1739">
        <v>5</v>
      </c>
      <c r="J1739" t="s">
        <v>19</v>
      </c>
      <c r="K1739">
        <v>10103.75</v>
      </c>
    </row>
    <row r="1740" spans="1:11">
      <c r="A1740">
        <v>1739</v>
      </c>
      <c r="B1740" t="s">
        <v>49</v>
      </c>
      <c r="C1740" s="1">
        <v>32873</v>
      </c>
      <c r="D1740">
        <v>36</v>
      </c>
      <c r="E1740" t="s">
        <v>12</v>
      </c>
      <c r="F1740" t="s">
        <v>18</v>
      </c>
      <c r="G1740" s="1">
        <v>45213</v>
      </c>
      <c r="H1740" s="1">
        <v>45278</v>
      </c>
      <c r="I1740">
        <v>25</v>
      </c>
      <c r="J1740" t="s">
        <v>19</v>
      </c>
      <c r="K1740">
        <v>15309.09</v>
      </c>
    </row>
    <row r="1741" spans="1:11">
      <c r="A1741">
        <v>1740</v>
      </c>
      <c r="B1741" t="s">
        <v>42</v>
      </c>
      <c r="C1741" s="1">
        <v>12419</v>
      </c>
      <c r="D1741">
        <v>92</v>
      </c>
      <c r="E1741" t="s">
        <v>15</v>
      </c>
      <c r="F1741" t="s">
        <v>32</v>
      </c>
      <c r="G1741" s="1">
        <v>45067</v>
      </c>
      <c r="H1741" s="1">
        <v>45576</v>
      </c>
      <c r="I1741">
        <v>12</v>
      </c>
      <c r="J1741" t="s">
        <v>19</v>
      </c>
      <c r="K1741">
        <v>14998.63</v>
      </c>
    </row>
    <row r="1742" spans="1:11">
      <c r="A1742">
        <v>1741</v>
      </c>
      <c r="B1742" t="s">
        <v>43</v>
      </c>
      <c r="C1742" s="1">
        <v>38352</v>
      </c>
      <c r="D1742">
        <v>21</v>
      </c>
      <c r="E1742" t="s">
        <v>15</v>
      </c>
      <c r="F1742" t="s">
        <v>21</v>
      </c>
      <c r="G1742" s="1">
        <v>45332</v>
      </c>
      <c r="H1742" s="1">
        <v>45212</v>
      </c>
      <c r="I1742">
        <v>28</v>
      </c>
      <c r="J1742" t="s">
        <v>25</v>
      </c>
      <c r="K1742">
        <v>3257</v>
      </c>
    </row>
    <row r="1743" spans="1:11">
      <c r="A1743">
        <v>1742</v>
      </c>
      <c r="B1743" t="s">
        <v>146</v>
      </c>
      <c r="C1743" s="1">
        <v>21551</v>
      </c>
      <c r="D1743">
        <v>67</v>
      </c>
      <c r="E1743" t="s">
        <v>12</v>
      </c>
      <c r="F1743" t="s">
        <v>13</v>
      </c>
      <c r="G1743" s="1">
        <v>45219</v>
      </c>
      <c r="H1743" s="1">
        <v>45805</v>
      </c>
      <c r="I1743">
        <v>5</v>
      </c>
      <c r="J1743" t="s">
        <v>25</v>
      </c>
      <c r="K1743">
        <v>1877.72</v>
      </c>
    </row>
    <row r="1744" spans="1:11">
      <c r="A1744">
        <v>1743</v>
      </c>
      <c r="B1744" t="s">
        <v>54</v>
      </c>
      <c r="C1744" s="1">
        <v>39083</v>
      </c>
      <c r="D1744">
        <v>19</v>
      </c>
      <c r="E1744" t="s">
        <v>15</v>
      </c>
      <c r="F1744" t="s">
        <v>45</v>
      </c>
      <c r="G1744" s="1">
        <v>44957</v>
      </c>
      <c r="H1744" s="1">
        <v>45510</v>
      </c>
      <c r="I1744">
        <v>3</v>
      </c>
      <c r="J1744" t="s">
        <v>19</v>
      </c>
      <c r="K1744">
        <v>11782.16</v>
      </c>
    </row>
    <row r="1745" spans="1:11">
      <c r="A1745">
        <v>1744</v>
      </c>
      <c r="B1745" t="s">
        <v>99</v>
      </c>
      <c r="C1745" s="1">
        <v>21551</v>
      </c>
      <c r="D1745">
        <v>67</v>
      </c>
      <c r="E1745" t="s">
        <v>15</v>
      </c>
      <c r="F1745" t="s">
        <v>13</v>
      </c>
      <c r="G1745" s="1">
        <v>45097</v>
      </c>
      <c r="H1745" s="1">
        <v>45172</v>
      </c>
      <c r="I1745">
        <v>26</v>
      </c>
      <c r="K1745">
        <v>14806.82</v>
      </c>
    </row>
    <row r="1746" spans="1:11">
      <c r="A1746">
        <v>1745</v>
      </c>
      <c r="B1746" t="s">
        <v>149</v>
      </c>
      <c r="C1746" s="1">
        <v>13150</v>
      </c>
      <c r="D1746">
        <v>90</v>
      </c>
      <c r="E1746" t="s">
        <v>15</v>
      </c>
      <c r="F1746" t="s">
        <v>21</v>
      </c>
      <c r="G1746" s="1">
        <v>45281</v>
      </c>
      <c r="H1746" s="1">
        <v>45477</v>
      </c>
      <c r="I1746">
        <v>31</v>
      </c>
      <c r="K1746">
        <v>2895.7</v>
      </c>
    </row>
    <row r="1747" spans="1:11">
      <c r="A1747">
        <v>1746</v>
      </c>
      <c r="B1747" t="s">
        <v>99</v>
      </c>
      <c r="C1747" s="1">
        <v>23012</v>
      </c>
      <c r="D1747">
        <v>63</v>
      </c>
      <c r="E1747" t="s">
        <v>12</v>
      </c>
      <c r="F1747" t="s">
        <v>18</v>
      </c>
      <c r="G1747" s="1">
        <v>45131</v>
      </c>
      <c r="H1747" s="1">
        <v>45655</v>
      </c>
      <c r="I1747">
        <v>4</v>
      </c>
      <c r="J1747" t="s">
        <v>25</v>
      </c>
      <c r="K1747">
        <v>7376.3</v>
      </c>
    </row>
    <row r="1748" spans="1:11">
      <c r="A1748">
        <v>1747</v>
      </c>
      <c r="B1748" t="s">
        <v>89</v>
      </c>
      <c r="C1748" s="1">
        <v>40178</v>
      </c>
      <c r="D1748">
        <v>16</v>
      </c>
      <c r="E1748" t="s">
        <v>12</v>
      </c>
      <c r="F1748" t="s">
        <v>16</v>
      </c>
      <c r="G1748" s="1">
        <v>45404</v>
      </c>
      <c r="H1748" s="1">
        <v>45566</v>
      </c>
      <c r="I1748">
        <v>37</v>
      </c>
      <c r="J1748" t="s">
        <v>23</v>
      </c>
      <c r="K1748">
        <v>17392.59</v>
      </c>
    </row>
    <row r="1749" spans="1:11">
      <c r="A1749">
        <v>1748</v>
      </c>
      <c r="B1749" t="s">
        <v>109</v>
      </c>
      <c r="C1749" s="1">
        <v>42005</v>
      </c>
      <c r="D1749">
        <v>11</v>
      </c>
      <c r="E1749" t="s">
        <v>12</v>
      </c>
      <c r="F1749" t="s">
        <v>32</v>
      </c>
      <c r="G1749" s="1">
        <v>45217</v>
      </c>
      <c r="H1749" s="1">
        <v>45511</v>
      </c>
      <c r="I1749">
        <v>7</v>
      </c>
      <c r="K1749">
        <v>18878.89</v>
      </c>
    </row>
    <row r="1750" spans="1:11">
      <c r="A1750">
        <v>1749</v>
      </c>
      <c r="B1750" t="s">
        <v>61</v>
      </c>
      <c r="C1750" s="1">
        <v>38352</v>
      </c>
      <c r="D1750">
        <v>21</v>
      </c>
      <c r="E1750" t="s">
        <v>12</v>
      </c>
      <c r="F1750" t="s">
        <v>45</v>
      </c>
      <c r="G1750" s="1">
        <v>45037</v>
      </c>
      <c r="H1750" s="1">
        <v>45153</v>
      </c>
      <c r="I1750">
        <v>10</v>
      </c>
      <c r="J1750" t="s">
        <v>19</v>
      </c>
      <c r="K1750">
        <v>9026.7999999999993</v>
      </c>
    </row>
    <row r="1751" spans="1:11">
      <c r="A1751">
        <v>1750</v>
      </c>
      <c r="B1751" t="s">
        <v>24</v>
      </c>
      <c r="C1751" s="1">
        <v>40178</v>
      </c>
      <c r="D1751">
        <v>16</v>
      </c>
      <c r="E1751" t="s">
        <v>15</v>
      </c>
      <c r="F1751" t="s">
        <v>32</v>
      </c>
      <c r="G1751" s="1">
        <v>44994</v>
      </c>
      <c r="H1751" s="1">
        <v>45754</v>
      </c>
      <c r="I1751">
        <v>19</v>
      </c>
      <c r="J1751" t="s">
        <v>23</v>
      </c>
      <c r="K1751">
        <v>1498.27</v>
      </c>
    </row>
    <row r="1752" spans="1:11">
      <c r="A1752">
        <v>1751</v>
      </c>
      <c r="B1752" t="s">
        <v>106</v>
      </c>
      <c r="C1752" s="1">
        <v>42735</v>
      </c>
      <c r="D1752">
        <v>9</v>
      </c>
      <c r="E1752" t="s">
        <v>12</v>
      </c>
      <c r="G1752" s="1">
        <v>45621</v>
      </c>
      <c r="H1752" s="1">
        <v>45368</v>
      </c>
      <c r="I1752">
        <v>18</v>
      </c>
      <c r="J1752" t="s">
        <v>25</v>
      </c>
      <c r="K1752">
        <v>5079.7</v>
      </c>
    </row>
    <row r="1753" spans="1:11">
      <c r="A1753">
        <v>1752</v>
      </c>
      <c r="B1753" t="s">
        <v>112</v>
      </c>
      <c r="C1753" s="1">
        <v>22646</v>
      </c>
      <c r="D1753">
        <v>64</v>
      </c>
      <c r="E1753" t="s">
        <v>12</v>
      </c>
      <c r="F1753" t="s">
        <v>32</v>
      </c>
      <c r="G1753" s="1">
        <v>45299</v>
      </c>
      <c r="H1753" s="1">
        <v>45401</v>
      </c>
      <c r="I1753">
        <v>-2</v>
      </c>
      <c r="K1753">
        <v>4582.7</v>
      </c>
    </row>
    <row r="1754" spans="1:11">
      <c r="A1754">
        <v>1753</v>
      </c>
      <c r="B1754" t="s">
        <v>88</v>
      </c>
      <c r="C1754" s="1">
        <v>38352</v>
      </c>
      <c r="D1754">
        <v>21</v>
      </c>
      <c r="E1754" t="s">
        <v>15</v>
      </c>
      <c r="F1754" t="s">
        <v>32</v>
      </c>
      <c r="G1754" s="1">
        <v>45122</v>
      </c>
      <c r="H1754" s="1">
        <v>45371</v>
      </c>
      <c r="I1754">
        <v>38</v>
      </c>
      <c r="J1754" t="s">
        <v>23</v>
      </c>
      <c r="K1754">
        <v>4703.17</v>
      </c>
    </row>
    <row r="1755" spans="1:11">
      <c r="A1755">
        <v>1754</v>
      </c>
      <c r="B1755" t="s">
        <v>158</v>
      </c>
      <c r="C1755" s="1">
        <v>13515</v>
      </c>
      <c r="D1755">
        <v>89</v>
      </c>
      <c r="E1755" t="s">
        <v>15</v>
      </c>
      <c r="F1755" t="s">
        <v>32</v>
      </c>
      <c r="G1755" s="1">
        <v>45052</v>
      </c>
      <c r="H1755" s="1">
        <v>45723</v>
      </c>
      <c r="I1755">
        <v>39</v>
      </c>
      <c r="J1755" t="s">
        <v>25</v>
      </c>
      <c r="K1755">
        <v>9827.02</v>
      </c>
    </row>
    <row r="1756" spans="1:11">
      <c r="A1756">
        <v>1755</v>
      </c>
      <c r="B1756" t="s">
        <v>20</v>
      </c>
      <c r="C1756" s="1">
        <v>16437</v>
      </c>
      <c r="D1756">
        <v>81</v>
      </c>
      <c r="E1756" t="s">
        <v>15</v>
      </c>
      <c r="F1756" t="s">
        <v>21</v>
      </c>
      <c r="G1756" s="1">
        <v>45613</v>
      </c>
      <c r="H1756" s="1">
        <v>45339</v>
      </c>
      <c r="I1756">
        <v>-1</v>
      </c>
      <c r="J1756" t="s">
        <v>25</v>
      </c>
      <c r="K1756">
        <v>11622.84</v>
      </c>
    </row>
    <row r="1757" spans="1:11">
      <c r="A1757">
        <v>1756</v>
      </c>
      <c r="B1757" t="s">
        <v>22</v>
      </c>
      <c r="C1757" s="1">
        <v>28125</v>
      </c>
      <c r="D1757">
        <v>49</v>
      </c>
      <c r="E1757" t="s">
        <v>12</v>
      </c>
      <c r="F1757" t="s">
        <v>32</v>
      </c>
      <c r="G1757" s="1">
        <v>45188</v>
      </c>
      <c r="H1757" s="1">
        <v>45741</v>
      </c>
      <c r="I1757">
        <v>26</v>
      </c>
      <c r="J1757" t="s">
        <v>19</v>
      </c>
      <c r="K1757">
        <v>2362.44</v>
      </c>
    </row>
    <row r="1758" spans="1:11">
      <c r="A1758">
        <v>1757</v>
      </c>
      <c r="B1758" t="s">
        <v>44</v>
      </c>
      <c r="C1758" s="1">
        <v>41274</v>
      </c>
      <c r="D1758">
        <v>13</v>
      </c>
      <c r="E1758" t="s">
        <v>12</v>
      </c>
      <c r="F1758" t="s">
        <v>16</v>
      </c>
      <c r="G1758" s="1">
        <v>45081</v>
      </c>
      <c r="H1758" s="1">
        <v>45173</v>
      </c>
      <c r="I1758">
        <v>8</v>
      </c>
      <c r="K1758">
        <v>17776.060000000001</v>
      </c>
    </row>
    <row r="1759" spans="1:11">
      <c r="A1759">
        <v>1758</v>
      </c>
      <c r="B1759" t="s">
        <v>136</v>
      </c>
      <c r="C1759" s="1">
        <v>23012</v>
      </c>
      <c r="D1759">
        <v>63</v>
      </c>
      <c r="E1759" t="s">
        <v>12</v>
      </c>
      <c r="F1759" t="s">
        <v>32</v>
      </c>
      <c r="G1759" s="1">
        <v>45507</v>
      </c>
      <c r="H1759" s="1">
        <v>45510</v>
      </c>
      <c r="I1759">
        <v>34</v>
      </c>
      <c r="J1759" t="s">
        <v>23</v>
      </c>
      <c r="K1759">
        <v>12361.47</v>
      </c>
    </row>
    <row r="1760" spans="1:11">
      <c r="A1760">
        <v>1759</v>
      </c>
      <c r="B1760" t="s">
        <v>66</v>
      </c>
      <c r="C1760" s="1">
        <v>29221</v>
      </c>
      <c r="D1760">
        <v>46</v>
      </c>
      <c r="F1760" t="s">
        <v>21</v>
      </c>
      <c r="G1760" s="1">
        <v>45034</v>
      </c>
      <c r="H1760" s="1">
        <v>45634</v>
      </c>
      <c r="I1760">
        <v>4</v>
      </c>
      <c r="J1760" t="s">
        <v>19</v>
      </c>
      <c r="K1760">
        <v>11904.76</v>
      </c>
    </row>
    <row r="1761" spans="1:11">
      <c r="A1761">
        <v>1760</v>
      </c>
      <c r="B1761" t="s">
        <v>126</v>
      </c>
      <c r="C1761" s="1">
        <v>35795</v>
      </c>
      <c r="D1761">
        <v>28</v>
      </c>
      <c r="E1761" t="s">
        <v>15</v>
      </c>
      <c r="F1761" t="s">
        <v>13</v>
      </c>
      <c r="G1761" s="1">
        <v>45349</v>
      </c>
      <c r="H1761" s="1">
        <v>45427</v>
      </c>
      <c r="I1761">
        <v>32</v>
      </c>
      <c r="K1761">
        <v>19744.310000000001</v>
      </c>
    </row>
    <row r="1762" spans="1:11">
      <c r="A1762">
        <v>1761</v>
      </c>
      <c r="B1762" t="s">
        <v>24</v>
      </c>
      <c r="C1762" s="1">
        <v>18629</v>
      </c>
      <c r="D1762">
        <v>75</v>
      </c>
      <c r="E1762" t="s">
        <v>12</v>
      </c>
      <c r="F1762" t="s">
        <v>21</v>
      </c>
      <c r="G1762" s="1">
        <v>44961</v>
      </c>
      <c r="H1762" s="1">
        <v>45477</v>
      </c>
      <c r="I1762">
        <v>27</v>
      </c>
      <c r="J1762" t="s">
        <v>23</v>
      </c>
      <c r="K1762">
        <v>12525.69</v>
      </c>
    </row>
    <row r="1763" spans="1:11">
      <c r="A1763">
        <v>1762</v>
      </c>
      <c r="B1763" t="s">
        <v>44</v>
      </c>
      <c r="C1763" s="1">
        <v>33239</v>
      </c>
      <c r="D1763">
        <v>35</v>
      </c>
      <c r="E1763" t="s">
        <v>12</v>
      </c>
      <c r="G1763" s="1">
        <v>44970</v>
      </c>
      <c r="H1763" s="1">
        <v>45044</v>
      </c>
      <c r="I1763">
        <v>13</v>
      </c>
      <c r="J1763" t="s">
        <v>25</v>
      </c>
      <c r="K1763">
        <v>18572.080000000002</v>
      </c>
    </row>
    <row r="1764" spans="1:11">
      <c r="A1764">
        <v>1763</v>
      </c>
      <c r="B1764" t="s">
        <v>14</v>
      </c>
      <c r="C1764" s="1">
        <v>27395</v>
      </c>
      <c r="D1764">
        <v>51</v>
      </c>
      <c r="E1764" t="s">
        <v>15</v>
      </c>
      <c r="G1764" s="1">
        <v>45581</v>
      </c>
      <c r="H1764" s="1">
        <v>45677</v>
      </c>
      <c r="I1764">
        <v>12</v>
      </c>
      <c r="J1764" t="s">
        <v>25</v>
      </c>
      <c r="K1764">
        <v>5653.77</v>
      </c>
    </row>
    <row r="1765" spans="1:11">
      <c r="A1765">
        <v>1764</v>
      </c>
      <c r="B1765" t="s">
        <v>50</v>
      </c>
      <c r="C1765" s="1">
        <v>18629</v>
      </c>
      <c r="D1765">
        <v>75</v>
      </c>
      <c r="F1765" t="s">
        <v>16</v>
      </c>
      <c r="G1765" s="1">
        <v>45649</v>
      </c>
      <c r="H1765" s="1">
        <v>45291</v>
      </c>
      <c r="I1765">
        <v>37</v>
      </c>
      <c r="K1765">
        <v>4726.6000000000004</v>
      </c>
    </row>
    <row r="1766" spans="1:11">
      <c r="A1766">
        <v>1765</v>
      </c>
      <c r="B1766" t="s">
        <v>88</v>
      </c>
      <c r="C1766" s="1">
        <v>43831</v>
      </c>
      <c r="D1766">
        <v>6</v>
      </c>
      <c r="E1766" t="s">
        <v>15</v>
      </c>
      <c r="F1766" t="s">
        <v>16</v>
      </c>
      <c r="G1766" s="1">
        <v>45342</v>
      </c>
      <c r="H1766" s="1">
        <v>45131</v>
      </c>
      <c r="I1766">
        <v>17</v>
      </c>
      <c r="J1766" t="s">
        <v>19</v>
      </c>
      <c r="K1766">
        <v>10282.030000000001</v>
      </c>
    </row>
    <row r="1767" spans="1:11">
      <c r="A1767">
        <v>1766</v>
      </c>
      <c r="B1767" t="s">
        <v>88</v>
      </c>
      <c r="C1767" s="1">
        <v>35795</v>
      </c>
      <c r="D1767">
        <v>28</v>
      </c>
      <c r="E1767" t="s">
        <v>12</v>
      </c>
      <c r="F1767" t="s">
        <v>18</v>
      </c>
      <c r="G1767" s="1">
        <v>45211</v>
      </c>
      <c r="H1767" s="1">
        <v>45278</v>
      </c>
      <c r="I1767">
        <v>25</v>
      </c>
      <c r="J1767" t="s">
        <v>23</v>
      </c>
      <c r="K1767">
        <v>10123.040000000001</v>
      </c>
    </row>
    <row r="1768" spans="1:11">
      <c r="A1768">
        <v>1767</v>
      </c>
      <c r="B1768" t="s">
        <v>91</v>
      </c>
      <c r="C1768" s="1">
        <v>42370</v>
      </c>
      <c r="E1768" t="s">
        <v>12</v>
      </c>
      <c r="F1768" t="s">
        <v>21</v>
      </c>
      <c r="G1768" s="1">
        <v>45373</v>
      </c>
      <c r="H1768" s="1">
        <v>45246</v>
      </c>
      <c r="I1768">
        <v>34</v>
      </c>
      <c r="J1768" t="s">
        <v>23</v>
      </c>
      <c r="K1768">
        <v>4452.32</v>
      </c>
    </row>
    <row r="1769" spans="1:11">
      <c r="A1769">
        <v>1768</v>
      </c>
      <c r="B1769" t="s">
        <v>35</v>
      </c>
      <c r="C1769" s="1">
        <v>34334</v>
      </c>
      <c r="D1769">
        <v>32</v>
      </c>
      <c r="E1769" t="s">
        <v>12</v>
      </c>
      <c r="F1769" t="s">
        <v>13</v>
      </c>
      <c r="G1769" s="1">
        <v>45444</v>
      </c>
      <c r="H1769" s="1">
        <v>45286</v>
      </c>
      <c r="I1769">
        <v>0</v>
      </c>
      <c r="J1769" t="s">
        <v>25</v>
      </c>
      <c r="K1769">
        <v>13963.08</v>
      </c>
    </row>
    <row r="1770" spans="1:11">
      <c r="A1770">
        <v>1769</v>
      </c>
      <c r="B1770" t="s">
        <v>62</v>
      </c>
      <c r="C1770" s="1">
        <v>44196</v>
      </c>
      <c r="D1770">
        <v>5</v>
      </c>
      <c r="E1770" t="s">
        <v>12</v>
      </c>
      <c r="F1770" t="s">
        <v>18</v>
      </c>
      <c r="G1770" s="1">
        <v>45656</v>
      </c>
      <c r="H1770" s="1">
        <v>45444</v>
      </c>
      <c r="I1770">
        <v>26</v>
      </c>
      <c r="K1770">
        <v>495.64</v>
      </c>
    </row>
    <row r="1771" spans="1:11">
      <c r="A1771">
        <v>1770</v>
      </c>
      <c r="B1771" t="s">
        <v>64</v>
      </c>
      <c r="C1771" s="1">
        <v>17533</v>
      </c>
      <c r="D1771">
        <v>78</v>
      </c>
      <c r="E1771" t="s">
        <v>15</v>
      </c>
      <c r="F1771" t="s">
        <v>18</v>
      </c>
      <c r="G1771" s="1">
        <v>44953</v>
      </c>
      <c r="H1771" s="1">
        <v>45416</v>
      </c>
      <c r="I1771">
        <v>34</v>
      </c>
      <c r="J1771" t="s">
        <v>19</v>
      </c>
      <c r="K1771">
        <v>13781.67</v>
      </c>
    </row>
    <row r="1772" spans="1:11">
      <c r="A1772">
        <v>1771</v>
      </c>
      <c r="B1772" t="s">
        <v>167</v>
      </c>
      <c r="C1772" s="1">
        <v>34700</v>
      </c>
      <c r="D1772">
        <v>31</v>
      </c>
      <c r="E1772" t="s">
        <v>12</v>
      </c>
      <c r="F1772" t="s">
        <v>45</v>
      </c>
      <c r="G1772" s="1">
        <v>45153</v>
      </c>
      <c r="H1772" s="1">
        <v>45596</v>
      </c>
      <c r="I1772">
        <v>6</v>
      </c>
      <c r="J1772" t="s">
        <v>25</v>
      </c>
      <c r="K1772">
        <v>9089.2800000000007</v>
      </c>
    </row>
    <row r="1773" spans="1:11">
      <c r="A1773">
        <v>1772</v>
      </c>
      <c r="B1773" t="s">
        <v>95</v>
      </c>
      <c r="C1773" s="1">
        <v>27760</v>
      </c>
      <c r="D1773">
        <v>50</v>
      </c>
      <c r="E1773" t="s">
        <v>15</v>
      </c>
      <c r="F1773" t="s">
        <v>32</v>
      </c>
      <c r="G1773" s="1">
        <v>45351</v>
      </c>
      <c r="H1773" s="1">
        <v>45034</v>
      </c>
      <c r="I1773">
        <v>24</v>
      </c>
      <c r="J1773" t="s">
        <v>25</v>
      </c>
      <c r="K1773">
        <v>13749.05</v>
      </c>
    </row>
    <row r="1774" spans="1:11">
      <c r="A1774">
        <v>1773</v>
      </c>
      <c r="B1774" t="s">
        <v>92</v>
      </c>
      <c r="C1774" s="1">
        <v>18994</v>
      </c>
      <c r="D1774">
        <v>74</v>
      </c>
      <c r="E1774" t="s">
        <v>12</v>
      </c>
      <c r="F1774" t="s">
        <v>18</v>
      </c>
      <c r="G1774" s="1">
        <v>45494</v>
      </c>
      <c r="H1774" s="1">
        <v>45667</v>
      </c>
      <c r="I1774">
        <v>29</v>
      </c>
      <c r="J1774" t="s">
        <v>19</v>
      </c>
      <c r="K1774">
        <v>9489.32</v>
      </c>
    </row>
    <row r="1775" spans="1:11">
      <c r="A1775">
        <v>1774</v>
      </c>
      <c r="B1775" t="s">
        <v>123</v>
      </c>
      <c r="C1775" s="1">
        <v>25203</v>
      </c>
      <c r="D1775">
        <v>57</v>
      </c>
      <c r="E1775" t="s">
        <v>12</v>
      </c>
      <c r="F1775" t="s">
        <v>18</v>
      </c>
      <c r="G1775" s="1">
        <v>45294</v>
      </c>
      <c r="H1775" s="1">
        <v>45581</v>
      </c>
      <c r="I1775">
        <v>36</v>
      </c>
      <c r="J1775" t="s">
        <v>23</v>
      </c>
      <c r="K1775">
        <v>19544.41</v>
      </c>
    </row>
    <row r="1776" spans="1:11">
      <c r="A1776">
        <v>1775</v>
      </c>
      <c r="B1776" t="s">
        <v>17</v>
      </c>
      <c r="C1776" s="1">
        <v>14611</v>
      </c>
      <c r="D1776">
        <v>86</v>
      </c>
      <c r="E1776" t="s">
        <v>12</v>
      </c>
      <c r="F1776" t="s">
        <v>16</v>
      </c>
      <c r="G1776" s="1">
        <v>45236</v>
      </c>
      <c r="H1776" s="1">
        <v>45753</v>
      </c>
      <c r="I1776">
        <v>28</v>
      </c>
      <c r="J1776" t="s">
        <v>23</v>
      </c>
      <c r="K1776">
        <v>6627.17</v>
      </c>
    </row>
    <row r="1777" spans="1:11">
      <c r="A1777">
        <v>1776</v>
      </c>
      <c r="B1777" t="s">
        <v>156</v>
      </c>
      <c r="C1777" s="1">
        <v>36891</v>
      </c>
      <c r="D1777">
        <v>25</v>
      </c>
      <c r="E1777" t="s">
        <v>15</v>
      </c>
      <c r="F1777" t="s">
        <v>13</v>
      </c>
      <c r="G1777" s="1">
        <v>45031</v>
      </c>
      <c r="H1777" s="1">
        <v>45099</v>
      </c>
      <c r="I1777">
        <v>23</v>
      </c>
      <c r="K1777">
        <v>19649.72</v>
      </c>
    </row>
    <row r="1778" spans="1:11">
      <c r="A1778">
        <v>1777</v>
      </c>
      <c r="B1778" t="s">
        <v>139</v>
      </c>
      <c r="C1778" s="1">
        <v>29586</v>
      </c>
      <c r="D1778">
        <v>45</v>
      </c>
      <c r="E1778" t="s">
        <v>12</v>
      </c>
      <c r="F1778" t="s">
        <v>18</v>
      </c>
      <c r="G1778" s="1">
        <v>44944</v>
      </c>
      <c r="H1778" s="1">
        <v>45585</v>
      </c>
      <c r="I1778">
        <v>37</v>
      </c>
      <c r="J1778" t="s">
        <v>25</v>
      </c>
      <c r="K1778">
        <v>1205.98</v>
      </c>
    </row>
    <row r="1779" spans="1:11">
      <c r="A1779">
        <v>1778</v>
      </c>
      <c r="B1779" t="s">
        <v>171</v>
      </c>
      <c r="C1779" s="1">
        <v>35795</v>
      </c>
      <c r="D1779">
        <v>28</v>
      </c>
      <c r="E1779" t="s">
        <v>12</v>
      </c>
      <c r="G1779" s="1">
        <v>45131</v>
      </c>
      <c r="H1779" s="1">
        <v>45446</v>
      </c>
      <c r="I1779">
        <v>0</v>
      </c>
      <c r="K1779">
        <v>13643.59</v>
      </c>
    </row>
    <row r="1780" spans="1:11">
      <c r="A1780">
        <v>1779</v>
      </c>
      <c r="B1780" t="s">
        <v>20</v>
      </c>
      <c r="C1780" s="1">
        <v>44927</v>
      </c>
      <c r="E1780" t="s">
        <v>12</v>
      </c>
      <c r="F1780" t="s">
        <v>13</v>
      </c>
      <c r="G1780" s="1">
        <v>44969</v>
      </c>
      <c r="H1780" s="1">
        <v>45782</v>
      </c>
      <c r="I1780">
        <v>8</v>
      </c>
      <c r="J1780" t="s">
        <v>23</v>
      </c>
      <c r="K1780">
        <v>9029.81</v>
      </c>
    </row>
    <row r="1781" spans="1:11">
      <c r="A1781">
        <v>1780</v>
      </c>
      <c r="B1781" t="s">
        <v>146</v>
      </c>
      <c r="C1781" s="1">
        <v>16802</v>
      </c>
      <c r="D1781">
        <v>80</v>
      </c>
      <c r="E1781" t="s">
        <v>15</v>
      </c>
      <c r="F1781" t="s">
        <v>32</v>
      </c>
      <c r="G1781" s="1">
        <v>45015</v>
      </c>
      <c r="H1781" s="1">
        <v>45792</v>
      </c>
      <c r="I1781">
        <v>26</v>
      </c>
      <c r="J1781" t="s">
        <v>19</v>
      </c>
      <c r="K1781">
        <v>16424.97</v>
      </c>
    </row>
    <row r="1782" spans="1:11">
      <c r="A1782">
        <v>1781</v>
      </c>
      <c r="B1782" t="s">
        <v>111</v>
      </c>
      <c r="C1782" s="1">
        <v>41639</v>
      </c>
      <c r="D1782">
        <v>12</v>
      </c>
      <c r="E1782" t="s">
        <v>15</v>
      </c>
      <c r="G1782" s="1">
        <v>45512</v>
      </c>
      <c r="H1782" s="1">
        <v>45740</v>
      </c>
      <c r="I1782">
        <v>24</v>
      </c>
      <c r="J1782" t="s">
        <v>23</v>
      </c>
      <c r="K1782">
        <v>15771.28</v>
      </c>
    </row>
    <row r="1783" spans="1:11">
      <c r="A1783">
        <v>1782</v>
      </c>
      <c r="B1783" t="s">
        <v>147</v>
      </c>
      <c r="C1783" s="1">
        <v>32143</v>
      </c>
      <c r="D1783">
        <v>38</v>
      </c>
      <c r="E1783" t="s">
        <v>15</v>
      </c>
      <c r="F1783" t="s">
        <v>16</v>
      </c>
      <c r="G1783" s="1">
        <v>45083</v>
      </c>
      <c r="H1783" s="1">
        <v>45455</v>
      </c>
      <c r="I1783">
        <v>7</v>
      </c>
      <c r="J1783" t="s">
        <v>23</v>
      </c>
      <c r="K1783">
        <v>15984.22</v>
      </c>
    </row>
    <row r="1784" spans="1:11">
      <c r="A1784">
        <v>1783</v>
      </c>
      <c r="B1784" t="s">
        <v>75</v>
      </c>
      <c r="C1784" s="1">
        <v>40909</v>
      </c>
      <c r="D1784">
        <v>14</v>
      </c>
      <c r="E1784" t="s">
        <v>12</v>
      </c>
      <c r="G1784" s="1">
        <v>45192</v>
      </c>
      <c r="H1784" s="1">
        <v>45247</v>
      </c>
      <c r="I1784">
        <v>32</v>
      </c>
      <c r="J1784" t="s">
        <v>25</v>
      </c>
      <c r="K1784">
        <v>1804.25</v>
      </c>
    </row>
    <row r="1785" spans="1:11">
      <c r="A1785">
        <v>1784</v>
      </c>
      <c r="B1785" t="s">
        <v>52</v>
      </c>
      <c r="C1785" s="1">
        <v>35795</v>
      </c>
      <c r="D1785">
        <v>28</v>
      </c>
      <c r="E1785" t="s">
        <v>12</v>
      </c>
      <c r="F1785" t="s">
        <v>45</v>
      </c>
      <c r="G1785" s="1">
        <v>45060</v>
      </c>
      <c r="H1785" s="1">
        <v>44964</v>
      </c>
      <c r="I1785">
        <v>20</v>
      </c>
      <c r="J1785" t="s">
        <v>23</v>
      </c>
      <c r="K1785">
        <v>16429.55</v>
      </c>
    </row>
    <row r="1786" spans="1:11">
      <c r="A1786">
        <v>1785</v>
      </c>
      <c r="B1786" t="s">
        <v>28</v>
      </c>
      <c r="C1786" s="1">
        <v>35795</v>
      </c>
      <c r="D1786">
        <v>28</v>
      </c>
      <c r="F1786" t="s">
        <v>45</v>
      </c>
      <c r="G1786" s="1">
        <v>45390</v>
      </c>
      <c r="H1786" s="1">
        <v>45426</v>
      </c>
      <c r="I1786">
        <v>3</v>
      </c>
      <c r="K1786">
        <v>4202.21</v>
      </c>
    </row>
    <row r="1787" spans="1:11">
      <c r="A1787">
        <v>1786</v>
      </c>
      <c r="B1787" t="s">
        <v>100</v>
      </c>
      <c r="C1787" s="1">
        <v>18994</v>
      </c>
      <c r="D1787">
        <v>74</v>
      </c>
      <c r="E1787" t="s">
        <v>15</v>
      </c>
      <c r="F1787" t="s">
        <v>32</v>
      </c>
      <c r="G1787" s="1">
        <v>45527</v>
      </c>
      <c r="H1787" s="1">
        <v>45592</v>
      </c>
      <c r="I1787">
        <v>8</v>
      </c>
      <c r="J1787" t="s">
        <v>19</v>
      </c>
      <c r="K1787">
        <v>416.17</v>
      </c>
    </row>
    <row r="1788" spans="1:11">
      <c r="A1788">
        <v>1787</v>
      </c>
      <c r="B1788" t="s">
        <v>95</v>
      </c>
      <c r="C1788" s="1">
        <v>34700</v>
      </c>
      <c r="D1788">
        <v>31</v>
      </c>
      <c r="E1788" t="s">
        <v>15</v>
      </c>
      <c r="F1788" t="s">
        <v>32</v>
      </c>
      <c r="G1788" s="1">
        <v>45058</v>
      </c>
      <c r="H1788" s="1">
        <v>45192</v>
      </c>
      <c r="I1788">
        <v>24</v>
      </c>
      <c r="J1788" t="s">
        <v>25</v>
      </c>
      <c r="K1788">
        <v>4276.55</v>
      </c>
    </row>
    <row r="1789" spans="1:11">
      <c r="A1789">
        <v>1788</v>
      </c>
      <c r="B1789" t="s">
        <v>132</v>
      </c>
      <c r="D1789">
        <v>1</v>
      </c>
      <c r="E1789" t="s">
        <v>12</v>
      </c>
      <c r="G1789" s="1">
        <v>44960</v>
      </c>
      <c r="H1789" s="1">
        <v>45622</v>
      </c>
      <c r="I1789">
        <v>28</v>
      </c>
      <c r="J1789" t="s">
        <v>19</v>
      </c>
      <c r="K1789">
        <v>9533.6299999999992</v>
      </c>
    </row>
    <row r="1790" spans="1:11">
      <c r="A1790">
        <v>1789</v>
      </c>
      <c r="B1790" t="s">
        <v>125</v>
      </c>
      <c r="C1790" s="1">
        <v>29221</v>
      </c>
      <c r="D1790">
        <v>46</v>
      </c>
      <c r="E1790" t="s">
        <v>12</v>
      </c>
      <c r="F1790" t="s">
        <v>16</v>
      </c>
      <c r="G1790" s="1">
        <v>45009</v>
      </c>
      <c r="H1790" s="1">
        <v>45595</v>
      </c>
      <c r="I1790">
        <v>27</v>
      </c>
      <c r="K1790">
        <v>14816.44</v>
      </c>
    </row>
    <row r="1791" spans="1:11">
      <c r="A1791">
        <v>1790</v>
      </c>
      <c r="B1791" t="s">
        <v>82</v>
      </c>
      <c r="C1791" s="1">
        <v>17898</v>
      </c>
      <c r="D1791">
        <v>77</v>
      </c>
      <c r="E1791" t="s">
        <v>12</v>
      </c>
      <c r="F1791" t="s">
        <v>16</v>
      </c>
      <c r="G1791" s="1">
        <v>45058</v>
      </c>
      <c r="H1791" s="1">
        <v>45576</v>
      </c>
      <c r="I1791">
        <v>0</v>
      </c>
      <c r="K1791">
        <v>4294.51</v>
      </c>
    </row>
    <row r="1792" spans="1:11">
      <c r="A1792">
        <v>1791</v>
      </c>
      <c r="B1792" t="s">
        <v>161</v>
      </c>
      <c r="C1792" s="1">
        <v>15707</v>
      </c>
      <c r="D1792">
        <v>83</v>
      </c>
      <c r="E1792" t="s">
        <v>12</v>
      </c>
      <c r="F1792" t="s">
        <v>21</v>
      </c>
      <c r="G1792" s="1">
        <v>45354</v>
      </c>
      <c r="H1792" s="1">
        <v>45329</v>
      </c>
      <c r="I1792">
        <v>10</v>
      </c>
      <c r="J1792" t="s">
        <v>23</v>
      </c>
      <c r="K1792">
        <v>2171.4499999999998</v>
      </c>
    </row>
    <row r="1793" spans="1:11">
      <c r="A1793">
        <v>1792</v>
      </c>
      <c r="B1793" t="s">
        <v>87</v>
      </c>
      <c r="C1793" s="1">
        <v>38352</v>
      </c>
      <c r="D1793">
        <v>21</v>
      </c>
      <c r="E1793" t="s">
        <v>15</v>
      </c>
      <c r="F1793" t="s">
        <v>18</v>
      </c>
      <c r="G1793" s="1">
        <v>45130</v>
      </c>
      <c r="H1793" s="1">
        <v>45529</v>
      </c>
      <c r="I1793">
        <v>37</v>
      </c>
      <c r="K1793">
        <v>12883.94</v>
      </c>
    </row>
    <row r="1794" spans="1:11">
      <c r="A1794">
        <v>1793</v>
      </c>
      <c r="B1794" t="s">
        <v>105</v>
      </c>
      <c r="D1794">
        <v>74</v>
      </c>
      <c r="E1794" t="s">
        <v>12</v>
      </c>
      <c r="F1794" t="s">
        <v>18</v>
      </c>
      <c r="G1794" s="1">
        <v>45262</v>
      </c>
      <c r="H1794" s="1">
        <v>45145</v>
      </c>
      <c r="I1794">
        <v>18</v>
      </c>
      <c r="J1794" t="s">
        <v>23</v>
      </c>
      <c r="K1794">
        <v>19676.349999999999</v>
      </c>
    </row>
    <row r="1795" spans="1:11">
      <c r="A1795">
        <v>1794</v>
      </c>
      <c r="B1795" t="s">
        <v>139</v>
      </c>
      <c r="C1795" s="1">
        <v>36526</v>
      </c>
      <c r="D1795">
        <v>26</v>
      </c>
      <c r="E1795" t="s">
        <v>12</v>
      </c>
      <c r="F1795" t="s">
        <v>18</v>
      </c>
      <c r="G1795" s="1">
        <v>45423</v>
      </c>
      <c r="H1795" s="1">
        <v>45257</v>
      </c>
      <c r="I1795">
        <v>8</v>
      </c>
      <c r="J1795" t="s">
        <v>25</v>
      </c>
      <c r="K1795">
        <v>11977.49</v>
      </c>
    </row>
    <row r="1796" spans="1:11">
      <c r="A1796">
        <v>1795</v>
      </c>
      <c r="B1796" t="s">
        <v>144</v>
      </c>
      <c r="C1796" s="1">
        <v>21916</v>
      </c>
      <c r="D1796">
        <v>66</v>
      </c>
      <c r="E1796" t="s">
        <v>12</v>
      </c>
      <c r="F1796" t="s">
        <v>13</v>
      </c>
      <c r="G1796" s="1">
        <v>45368</v>
      </c>
      <c r="H1796" s="1">
        <v>45113</v>
      </c>
      <c r="I1796">
        <v>0</v>
      </c>
      <c r="J1796" t="s">
        <v>19</v>
      </c>
      <c r="K1796">
        <v>13790.25</v>
      </c>
    </row>
    <row r="1797" spans="1:11">
      <c r="A1797">
        <v>1796</v>
      </c>
      <c r="B1797" t="s">
        <v>75</v>
      </c>
      <c r="C1797" s="1">
        <v>16802</v>
      </c>
      <c r="D1797">
        <v>80</v>
      </c>
      <c r="E1797" t="s">
        <v>15</v>
      </c>
      <c r="F1797" t="s">
        <v>21</v>
      </c>
      <c r="G1797" s="1">
        <v>45184</v>
      </c>
      <c r="H1797" s="1">
        <v>45308</v>
      </c>
      <c r="I1797">
        <v>35</v>
      </c>
      <c r="J1797" t="s">
        <v>23</v>
      </c>
      <c r="K1797">
        <v>11179.47</v>
      </c>
    </row>
    <row r="1798" spans="1:11">
      <c r="A1798">
        <v>1797</v>
      </c>
      <c r="B1798" t="s">
        <v>128</v>
      </c>
      <c r="C1798" s="1">
        <v>25934</v>
      </c>
      <c r="D1798">
        <v>55</v>
      </c>
      <c r="E1798" t="s">
        <v>15</v>
      </c>
      <c r="G1798" s="1">
        <v>45218</v>
      </c>
      <c r="H1798" s="1">
        <v>45136</v>
      </c>
      <c r="I1798">
        <v>28</v>
      </c>
      <c r="J1798" t="s">
        <v>23</v>
      </c>
      <c r="K1798">
        <v>15625.2</v>
      </c>
    </row>
    <row r="1799" spans="1:11">
      <c r="A1799">
        <v>1798</v>
      </c>
      <c r="B1799" t="s">
        <v>74</v>
      </c>
      <c r="C1799" s="1">
        <v>12785</v>
      </c>
      <c r="D1799">
        <v>91</v>
      </c>
      <c r="E1799" t="s">
        <v>15</v>
      </c>
      <c r="F1799" t="s">
        <v>18</v>
      </c>
      <c r="G1799" s="1">
        <v>45051</v>
      </c>
      <c r="H1799" s="1">
        <v>45490</v>
      </c>
      <c r="I1799">
        <v>21</v>
      </c>
      <c r="J1799" t="s">
        <v>25</v>
      </c>
      <c r="K1799">
        <v>19513.669999999998</v>
      </c>
    </row>
    <row r="1800" spans="1:11">
      <c r="A1800">
        <v>1799</v>
      </c>
      <c r="B1800" t="s">
        <v>151</v>
      </c>
      <c r="C1800" s="1">
        <v>12419</v>
      </c>
      <c r="D1800">
        <v>92</v>
      </c>
      <c r="E1800" t="s">
        <v>12</v>
      </c>
      <c r="F1800" t="s">
        <v>13</v>
      </c>
      <c r="G1800" s="1">
        <v>45589</v>
      </c>
      <c r="H1800" s="1">
        <v>45215</v>
      </c>
      <c r="I1800">
        <v>39</v>
      </c>
      <c r="K1800">
        <v>10837</v>
      </c>
    </row>
    <row r="1801" spans="1:11">
      <c r="A1801">
        <v>1800</v>
      </c>
      <c r="B1801" t="s">
        <v>26</v>
      </c>
      <c r="C1801" s="1">
        <v>38717</v>
      </c>
      <c r="D1801">
        <v>20</v>
      </c>
      <c r="E1801" t="s">
        <v>15</v>
      </c>
      <c r="F1801" t="s">
        <v>13</v>
      </c>
      <c r="G1801" s="1">
        <v>45101</v>
      </c>
      <c r="H1801" s="1">
        <v>45015</v>
      </c>
      <c r="I1801">
        <v>9</v>
      </c>
      <c r="J1801" t="s">
        <v>23</v>
      </c>
      <c r="K1801">
        <v>8277.49</v>
      </c>
    </row>
    <row r="1802" spans="1:11">
      <c r="A1802">
        <v>1801</v>
      </c>
      <c r="B1802" t="s">
        <v>102</v>
      </c>
      <c r="C1802" s="1">
        <v>29221</v>
      </c>
      <c r="D1802">
        <v>46</v>
      </c>
      <c r="E1802" t="s">
        <v>15</v>
      </c>
      <c r="F1802" t="s">
        <v>45</v>
      </c>
      <c r="G1802" s="1">
        <v>45418</v>
      </c>
      <c r="H1802" s="1">
        <v>45063</v>
      </c>
      <c r="I1802">
        <v>24</v>
      </c>
      <c r="K1802">
        <v>17192.900000000001</v>
      </c>
    </row>
    <row r="1803" spans="1:11">
      <c r="A1803">
        <v>1802</v>
      </c>
      <c r="B1803" t="s">
        <v>159</v>
      </c>
      <c r="C1803" s="1">
        <v>17168</v>
      </c>
      <c r="D1803">
        <v>79</v>
      </c>
      <c r="E1803" t="s">
        <v>15</v>
      </c>
      <c r="F1803" t="s">
        <v>13</v>
      </c>
      <c r="G1803" s="1">
        <v>45006</v>
      </c>
      <c r="H1803" s="1">
        <v>45085</v>
      </c>
      <c r="I1803">
        <v>18</v>
      </c>
      <c r="J1803" t="s">
        <v>23</v>
      </c>
      <c r="K1803">
        <v>19391.54</v>
      </c>
    </row>
    <row r="1804" spans="1:11">
      <c r="A1804">
        <v>1803</v>
      </c>
      <c r="B1804" t="s">
        <v>35</v>
      </c>
      <c r="E1804" t="s">
        <v>12</v>
      </c>
      <c r="F1804" t="s">
        <v>32</v>
      </c>
      <c r="G1804" s="1">
        <v>45545</v>
      </c>
      <c r="H1804" s="1">
        <v>45721</v>
      </c>
      <c r="I1804">
        <v>22</v>
      </c>
      <c r="K1804">
        <v>2496.5500000000002</v>
      </c>
    </row>
    <row r="1805" spans="1:11">
      <c r="A1805">
        <v>1804</v>
      </c>
      <c r="B1805" t="s">
        <v>139</v>
      </c>
      <c r="C1805" s="1">
        <v>15707</v>
      </c>
      <c r="D1805">
        <v>83</v>
      </c>
      <c r="E1805" t="s">
        <v>15</v>
      </c>
      <c r="F1805" t="s">
        <v>16</v>
      </c>
      <c r="G1805" s="1">
        <v>45231</v>
      </c>
      <c r="H1805" s="1">
        <v>45082</v>
      </c>
      <c r="I1805">
        <v>27</v>
      </c>
      <c r="J1805" t="s">
        <v>23</v>
      </c>
      <c r="K1805">
        <v>11521.24</v>
      </c>
    </row>
    <row r="1806" spans="1:11">
      <c r="A1806">
        <v>1805</v>
      </c>
      <c r="B1806" t="s">
        <v>95</v>
      </c>
      <c r="C1806" s="1">
        <v>44196</v>
      </c>
      <c r="D1806">
        <v>5</v>
      </c>
      <c r="E1806" t="s">
        <v>12</v>
      </c>
      <c r="F1806" t="s">
        <v>13</v>
      </c>
      <c r="G1806" s="1">
        <v>45436</v>
      </c>
      <c r="H1806" s="1">
        <v>45390</v>
      </c>
      <c r="I1806">
        <v>27</v>
      </c>
      <c r="J1806" t="s">
        <v>19</v>
      </c>
      <c r="K1806">
        <v>15828.45</v>
      </c>
    </row>
    <row r="1807" spans="1:11">
      <c r="A1807">
        <v>1806</v>
      </c>
      <c r="B1807" t="s">
        <v>170</v>
      </c>
      <c r="C1807" s="1">
        <v>39448</v>
      </c>
      <c r="D1807">
        <v>18</v>
      </c>
      <c r="E1807" t="s">
        <v>15</v>
      </c>
      <c r="F1807" t="s">
        <v>32</v>
      </c>
      <c r="G1807" s="1">
        <v>45270</v>
      </c>
      <c r="H1807" s="1">
        <v>45147</v>
      </c>
      <c r="I1807">
        <v>7</v>
      </c>
      <c r="J1807" t="s">
        <v>19</v>
      </c>
      <c r="K1807">
        <v>10620.12</v>
      </c>
    </row>
    <row r="1808" spans="1:11">
      <c r="A1808">
        <v>1807</v>
      </c>
      <c r="B1808" t="s">
        <v>142</v>
      </c>
      <c r="D1808">
        <v>56</v>
      </c>
      <c r="E1808" t="s">
        <v>15</v>
      </c>
      <c r="F1808" t="s">
        <v>32</v>
      </c>
      <c r="G1808" s="1">
        <v>45496</v>
      </c>
      <c r="H1808" s="1">
        <v>45386</v>
      </c>
      <c r="I1808">
        <v>0</v>
      </c>
      <c r="J1808" t="s">
        <v>19</v>
      </c>
      <c r="K1808">
        <v>8124.86</v>
      </c>
    </row>
    <row r="1809" spans="1:11">
      <c r="A1809">
        <v>1808</v>
      </c>
      <c r="B1809" t="s">
        <v>164</v>
      </c>
      <c r="C1809" s="1">
        <v>21185</v>
      </c>
      <c r="D1809">
        <v>68</v>
      </c>
      <c r="E1809" t="s">
        <v>12</v>
      </c>
      <c r="F1809" t="s">
        <v>45</v>
      </c>
      <c r="G1809" s="1">
        <v>45017</v>
      </c>
      <c r="H1809" s="1">
        <v>45094</v>
      </c>
      <c r="I1809">
        <v>10</v>
      </c>
      <c r="J1809" t="s">
        <v>23</v>
      </c>
      <c r="K1809">
        <v>13070.12</v>
      </c>
    </row>
    <row r="1810" spans="1:11">
      <c r="A1810">
        <v>1809</v>
      </c>
      <c r="B1810" t="s">
        <v>108</v>
      </c>
      <c r="C1810" s="1">
        <v>45292</v>
      </c>
      <c r="D1810">
        <v>2</v>
      </c>
      <c r="E1810" t="s">
        <v>15</v>
      </c>
      <c r="G1810" s="1">
        <v>45573</v>
      </c>
      <c r="H1810" s="1">
        <v>45249</v>
      </c>
      <c r="I1810">
        <v>24</v>
      </c>
      <c r="K1810">
        <v>5329.57</v>
      </c>
    </row>
    <row r="1811" spans="1:11">
      <c r="A1811">
        <v>1810</v>
      </c>
      <c r="B1811" t="s">
        <v>155</v>
      </c>
      <c r="C1811" s="1">
        <v>46022</v>
      </c>
      <c r="D1811">
        <v>0</v>
      </c>
      <c r="E1811" t="s">
        <v>15</v>
      </c>
      <c r="F1811" t="s">
        <v>45</v>
      </c>
      <c r="G1811" s="1">
        <v>45095</v>
      </c>
      <c r="H1811" s="1">
        <v>45618</v>
      </c>
      <c r="I1811">
        <v>15</v>
      </c>
      <c r="J1811" t="s">
        <v>25</v>
      </c>
      <c r="K1811">
        <v>6917.59</v>
      </c>
    </row>
    <row r="1812" spans="1:11">
      <c r="A1812">
        <v>1811</v>
      </c>
      <c r="B1812" t="s">
        <v>157</v>
      </c>
      <c r="C1812" s="1">
        <v>25203</v>
      </c>
      <c r="D1812">
        <v>57</v>
      </c>
      <c r="E1812" t="s">
        <v>15</v>
      </c>
      <c r="F1812" t="s">
        <v>13</v>
      </c>
      <c r="G1812" s="1">
        <v>45260</v>
      </c>
      <c r="H1812" s="1">
        <v>45768</v>
      </c>
      <c r="I1812">
        <v>21</v>
      </c>
      <c r="J1812" t="s">
        <v>25</v>
      </c>
      <c r="K1812">
        <v>19844.759999999998</v>
      </c>
    </row>
    <row r="1813" spans="1:11">
      <c r="A1813">
        <v>1812</v>
      </c>
      <c r="B1813" t="s">
        <v>55</v>
      </c>
      <c r="C1813" s="1">
        <v>32508</v>
      </c>
      <c r="D1813">
        <v>37</v>
      </c>
      <c r="E1813" t="s">
        <v>12</v>
      </c>
      <c r="F1813" t="s">
        <v>45</v>
      </c>
      <c r="G1813" s="1">
        <v>45560</v>
      </c>
      <c r="H1813" s="1">
        <v>45489</v>
      </c>
      <c r="I1813">
        <v>11</v>
      </c>
      <c r="J1813" t="s">
        <v>25</v>
      </c>
      <c r="K1813">
        <v>12692.95</v>
      </c>
    </row>
    <row r="1814" spans="1:11">
      <c r="A1814">
        <v>1813</v>
      </c>
      <c r="B1814" t="s">
        <v>68</v>
      </c>
      <c r="C1814" s="1">
        <v>40909</v>
      </c>
      <c r="D1814">
        <v>14</v>
      </c>
      <c r="E1814" t="s">
        <v>12</v>
      </c>
      <c r="F1814" t="s">
        <v>45</v>
      </c>
      <c r="G1814" s="1">
        <v>45162</v>
      </c>
      <c r="H1814" s="1">
        <v>45740</v>
      </c>
      <c r="I1814">
        <v>36</v>
      </c>
      <c r="J1814" t="s">
        <v>19</v>
      </c>
      <c r="K1814">
        <v>17445.84</v>
      </c>
    </row>
    <row r="1815" spans="1:11">
      <c r="A1815">
        <v>1814</v>
      </c>
      <c r="B1815" t="s">
        <v>159</v>
      </c>
      <c r="C1815" s="1">
        <v>33969</v>
      </c>
      <c r="E1815" t="s">
        <v>15</v>
      </c>
      <c r="G1815" s="1">
        <v>45325</v>
      </c>
      <c r="H1815" s="1">
        <v>45439</v>
      </c>
      <c r="I1815">
        <v>1</v>
      </c>
      <c r="J1815" t="s">
        <v>19</v>
      </c>
      <c r="K1815">
        <v>16136.15</v>
      </c>
    </row>
    <row r="1816" spans="1:11">
      <c r="A1816">
        <v>1815</v>
      </c>
      <c r="B1816" t="s">
        <v>104</v>
      </c>
      <c r="C1816" s="1">
        <v>24107</v>
      </c>
      <c r="D1816">
        <v>60</v>
      </c>
      <c r="E1816" t="s">
        <v>15</v>
      </c>
      <c r="F1816" t="s">
        <v>16</v>
      </c>
      <c r="G1816" s="1">
        <v>45514</v>
      </c>
      <c r="H1816" s="1">
        <v>45014</v>
      </c>
      <c r="I1816">
        <v>13</v>
      </c>
      <c r="J1816" t="s">
        <v>19</v>
      </c>
      <c r="K1816">
        <v>13010.68</v>
      </c>
    </row>
    <row r="1817" spans="1:11">
      <c r="A1817">
        <v>1816</v>
      </c>
      <c r="B1817" t="s">
        <v>163</v>
      </c>
      <c r="C1817" s="1">
        <v>33604</v>
      </c>
      <c r="D1817">
        <v>34</v>
      </c>
      <c r="F1817" t="s">
        <v>18</v>
      </c>
      <c r="G1817" s="1">
        <v>45403</v>
      </c>
      <c r="H1817" s="1">
        <v>45472</v>
      </c>
      <c r="I1817">
        <v>7</v>
      </c>
      <c r="K1817">
        <v>16798.650000000001</v>
      </c>
    </row>
    <row r="1818" spans="1:11">
      <c r="A1818">
        <v>1817</v>
      </c>
      <c r="B1818" t="s">
        <v>140</v>
      </c>
      <c r="C1818" s="1">
        <v>23012</v>
      </c>
      <c r="D1818">
        <v>63</v>
      </c>
      <c r="E1818" t="s">
        <v>12</v>
      </c>
      <c r="F1818" t="s">
        <v>13</v>
      </c>
      <c r="G1818" s="1">
        <v>45461</v>
      </c>
      <c r="H1818" s="1">
        <v>45202</v>
      </c>
      <c r="I1818">
        <v>34</v>
      </c>
      <c r="J1818" t="s">
        <v>19</v>
      </c>
      <c r="K1818">
        <v>5671.89</v>
      </c>
    </row>
    <row r="1819" spans="1:11">
      <c r="A1819">
        <v>1818</v>
      </c>
      <c r="B1819" t="s">
        <v>59</v>
      </c>
      <c r="C1819" s="1">
        <v>37256</v>
      </c>
      <c r="D1819">
        <v>24</v>
      </c>
      <c r="E1819" t="s">
        <v>15</v>
      </c>
      <c r="G1819" s="1">
        <v>45511</v>
      </c>
      <c r="H1819" s="1">
        <v>45068</v>
      </c>
      <c r="I1819">
        <v>24</v>
      </c>
      <c r="K1819">
        <v>12706.04</v>
      </c>
    </row>
    <row r="1820" spans="1:11">
      <c r="A1820">
        <v>1819</v>
      </c>
      <c r="B1820" t="s">
        <v>65</v>
      </c>
      <c r="C1820" s="1">
        <v>37622</v>
      </c>
      <c r="E1820" t="s">
        <v>12</v>
      </c>
      <c r="F1820" t="s">
        <v>13</v>
      </c>
      <c r="G1820" s="1">
        <v>45014</v>
      </c>
      <c r="H1820" s="1">
        <v>45645</v>
      </c>
      <c r="I1820">
        <v>-2</v>
      </c>
      <c r="K1820">
        <v>11771.13</v>
      </c>
    </row>
    <row r="1821" spans="1:11">
      <c r="A1821">
        <v>1820</v>
      </c>
      <c r="B1821" t="s">
        <v>27</v>
      </c>
      <c r="C1821" s="1">
        <v>42005</v>
      </c>
      <c r="D1821">
        <v>11</v>
      </c>
      <c r="E1821" t="s">
        <v>12</v>
      </c>
      <c r="F1821" t="s">
        <v>13</v>
      </c>
      <c r="G1821" s="1">
        <v>45541</v>
      </c>
      <c r="H1821" s="1">
        <v>45663</v>
      </c>
      <c r="I1821">
        <v>2</v>
      </c>
      <c r="K1821">
        <v>12410.63</v>
      </c>
    </row>
    <row r="1822" spans="1:11">
      <c r="A1822">
        <v>1821</v>
      </c>
      <c r="B1822" t="s">
        <v>90</v>
      </c>
      <c r="C1822" s="1">
        <v>39813</v>
      </c>
      <c r="D1822">
        <v>17</v>
      </c>
      <c r="E1822" t="s">
        <v>12</v>
      </c>
      <c r="F1822" t="s">
        <v>45</v>
      </c>
      <c r="G1822" s="1">
        <v>45532</v>
      </c>
      <c r="H1822" s="1">
        <v>45552</v>
      </c>
      <c r="I1822">
        <v>10</v>
      </c>
      <c r="J1822" t="s">
        <v>23</v>
      </c>
      <c r="K1822">
        <v>3289.5</v>
      </c>
    </row>
    <row r="1823" spans="1:11">
      <c r="A1823">
        <v>1822</v>
      </c>
      <c r="B1823" t="s">
        <v>87</v>
      </c>
      <c r="C1823" s="1">
        <v>40909</v>
      </c>
      <c r="D1823">
        <v>14</v>
      </c>
      <c r="E1823" t="s">
        <v>15</v>
      </c>
      <c r="F1823" t="s">
        <v>16</v>
      </c>
      <c r="G1823" s="1">
        <v>45179</v>
      </c>
      <c r="H1823" s="1">
        <v>45717</v>
      </c>
      <c r="I1823">
        <v>0</v>
      </c>
      <c r="J1823" t="s">
        <v>25</v>
      </c>
      <c r="K1823">
        <v>5472.59</v>
      </c>
    </row>
    <row r="1824" spans="1:11">
      <c r="A1824">
        <v>1823</v>
      </c>
      <c r="B1824" t="s">
        <v>98</v>
      </c>
      <c r="C1824" s="1">
        <v>17168</v>
      </c>
      <c r="D1824">
        <v>79</v>
      </c>
      <c r="E1824" t="s">
        <v>15</v>
      </c>
      <c r="F1824" t="s">
        <v>45</v>
      </c>
      <c r="G1824" s="1">
        <v>45284</v>
      </c>
      <c r="H1824" s="1">
        <v>45280</v>
      </c>
      <c r="I1824">
        <v>14</v>
      </c>
      <c r="K1824">
        <v>5661.83</v>
      </c>
    </row>
    <row r="1825" spans="1:11">
      <c r="A1825">
        <v>1824</v>
      </c>
      <c r="B1825" t="s">
        <v>29</v>
      </c>
      <c r="C1825" s="1">
        <v>36526</v>
      </c>
      <c r="D1825">
        <v>26</v>
      </c>
      <c r="E1825" t="s">
        <v>15</v>
      </c>
      <c r="F1825" t="s">
        <v>32</v>
      </c>
      <c r="G1825" s="1">
        <v>44984</v>
      </c>
      <c r="H1825" s="1">
        <v>44932</v>
      </c>
      <c r="I1825">
        <v>16</v>
      </c>
      <c r="J1825" t="s">
        <v>25</v>
      </c>
      <c r="K1825">
        <v>11999.12</v>
      </c>
    </row>
    <row r="1826" spans="1:11">
      <c r="A1826">
        <v>1825</v>
      </c>
      <c r="B1826" t="s">
        <v>125</v>
      </c>
      <c r="C1826" s="1">
        <v>20090</v>
      </c>
      <c r="D1826">
        <v>71</v>
      </c>
      <c r="E1826" t="s">
        <v>12</v>
      </c>
      <c r="F1826" t="s">
        <v>21</v>
      </c>
      <c r="G1826" s="1">
        <v>45325</v>
      </c>
      <c r="H1826" s="1">
        <v>45309</v>
      </c>
      <c r="I1826">
        <v>34</v>
      </c>
      <c r="K1826">
        <v>19448.189999999999</v>
      </c>
    </row>
    <row r="1827" spans="1:11">
      <c r="A1827">
        <v>1826</v>
      </c>
      <c r="B1827" t="s">
        <v>55</v>
      </c>
      <c r="C1827" s="1">
        <v>24473</v>
      </c>
      <c r="D1827">
        <v>59</v>
      </c>
      <c r="E1827" t="s">
        <v>12</v>
      </c>
      <c r="F1827" t="s">
        <v>21</v>
      </c>
      <c r="G1827" s="1">
        <v>45447</v>
      </c>
      <c r="H1827" s="1">
        <v>45651</v>
      </c>
      <c r="I1827">
        <v>2</v>
      </c>
      <c r="K1827">
        <v>19076.759999999998</v>
      </c>
    </row>
    <row r="1828" spans="1:11">
      <c r="A1828">
        <v>1827</v>
      </c>
      <c r="B1828" t="s">
        <v>114</v>
      </c>
      <c r="C1828" s="1">
        <v>29586</v>
      </c>
      <c r="D1828">
        <v>45</v>
      </c>
      <c r="E1828" t="s">
        <v>15</v>
      </c>
      <c r="G1828" s="1">
        <v>45451</v>
      </c>
      <c r="H1828" s="1">
        <v>45695</v>
      </c>
      <c r="I1828">
        <v>39</v>
      </c>
      <c r="J1828" t="s">
        <v>19</v>
      </c>
      <c r="K1828">
        <v>4466.51</v>
      </c>
    </row>
    <row r="1829" spans="1:11">
      <c r="A1829">
        <v>1828</v>
      </c>
      <c r="B1829" t="s">
        <v>81</v>
      </c>
      <c r="C1829" s="1">
        <v>13880</v>
      </c>
      <c r="D1829">
        <v>88</v>
      </c>
      <c r="E1829" t="s">
        <v>12</v>
      </c>
      <c r="F1829" t="s">
        <v>21</v>
      </c>
      <c r="G1829" s="1">
        <v>45343</v>
      </c>
      <c r="H1829" s="1">
        <v>45261</v>
      </c>
      <c r="I1829">
        <v>21</v>
      </c>
      <c r="J1829" t="s">
        <v>25</v>
      </c>
      <c r="K1829">
        <v>6027.39</v>
      </c>
    </row>
    <row r="1830" spans="1:11">
      <c r="A1830">
        <v>1829</v>
      </c>
      <c r="B1830" t="s">
        <v>98</v>
      </c>
      <c r="C1830" s="1">
        <v>40178</v>
      </c>
      <c r="D1830">
        <v>16</v>
      </c>
      <c r="E1830" t="s">
        <v>12</v>
      </c>
      <c r="G1830" s="1">
        <v>45319</v>
      </c>
      <c r="H1830" s="1">
        <v>45402</v>
      </c>
      <c r="I1830">
        <v>30</v>
      </c>
      <c r="K1830">
        <v>624.84</v>
      </c>
    </row>
    <row r="1831" spans="1:11">
      <c r="A1831">
        <v>1830</v>
      </c>
      <c r="B1831" t="s">
        <v>94</v>
      </c>
      <c r="C1831" s="1">
        <v>12419</v>
      </c>
      <c r="D1831">
        <v>92</v>
      </c>
      <c r="F1831" t="s">
        <v>18</v>
      </c>
      <c r="G1831" s="1">
        <v>45569</v>
      </c>
      <c r="H1831" s="1">
        <v>44957</v>
      </c>
      <c r="I1831">
        <v>18</v>
      </c>
      <c r="J1831" t="s">
        <v>25</v>
      </c>
      <c r="K1831">
        <v>7916.19</v>
      </c>
    </row>
    <row r="1832" spans="1:11">
      <c r="A1832">
        <v>1831</v>
      </c>
      <c r="B1832" t="s">
        <v>118</v>
      </c>
      <c r="C1832" s="1">
        <v>27029</v>
      </c>
      <c r="D1832">
        <v>52</v>
      </c>
      <c r="E1832" t="s">
        <v>12</v>
      </c>
      <c r="F1832" t="s">
        <v>45</v>
      </c>
      <c r="G1832" s="1">
        <v>45148</v>
      </c>
      <c r="H1832" s="1">
        <v>45274</v>
      </c>
      <c r="I1832">
        <v>0</v>
      </c>
      <c r="J1832" t="s">
        <v>19</v>
      </c>
      <c r="K1832">
        <v>16676.95</v>
      </c>
    </row>
    <row r="1833" spans="1:11">
      <c r="A1833">
        <v>1832</v>
      </c>
      <c r="B1833" t="s">
        <v>131</v>
      </c>
      <c r="C1833" s="1">
        <v>43466</v>
      </c>
      <c r="F1833" t="s">
        <v>32</v>
      </c>
      <c r="G1833" s="1">
        <v>45255</v>
      </c>
      <c r="H1833" s="1">
        <v>45521</v>
      </c>
      <c r="I1833">
        <v>1</v>
      </c>
      <c r="K1833">
        <v>18306.61</v>
      </c>
    </row>
    <row r="1834" spans="1:11">
      <c r="A1834">
        <v>1833</v>
      </c>
      <c r="B1834" t="s">
        <v>125</v>
      </c>
      <c r="C1834" s="1">
        <v>17533</v>
      </c>
      <c r="D1834">
        <v>78</v>
      </c>
      <c r="E1834" t="s">
        <v>15</v>
      </c>
      <c r="F1834" t="s">
        <v>32</v>
      </c>
      <c r="G1834" s="1">
        <v>45298</v>
      </c>
      <c r="H1834" s="1">
        <v>45420</v>
      </c>
      <c r="I1834">
        <v>29</v>
      </c>
      <c r="J1834" t="s">
        <v>19</v>
      </c>
      <c r="K1834">
        <v>4653.58</v>
      </c>
    </row>
    <row r="1835" spans="1:11">
      <c r="A1835">
        <v>1834</v>
      </c>
      <c r="B1835" t="s">
        <v>89</v>
      </c>
      <c r="C1835" s="1">
        <v>36526</v>
      </c>
      <c r="D1835">
        <v>26</v>
      </c>
      <c r="E1835" t="s">
        <v>12</v>
      </c>
      <c r="F1835" t="s">
        <v>21</v>
      </c>
      <c r="G1835" s="1">
        <v>45437</v>
      </c>
      <c r="H1835" s="1">
        <v>45675</v>
      </c>
      <c r="I1835">
        <v>21</v>
      </c>
      <c r="K1835">
        <v>5242.47</v>
      </c>
    </row>
    <row r="1836" spans="1:11">
      <c r="A1836">
        <v>1835</v>
      </c>
      <c r="B1836" t="s">
        <v>62</v>
      </c>
      <c r="C1836" s="1">
        <v>29586</v>
      </c>
      <c r="D1836">
        <v>45</v>
      </c>
      <c r="E1836" t="s">
        <v>12</v>
      </c>
      <c r="F1836" t="s">
        <v>16</v>
      </c>
      <c r="G1836" s="1">
        <v>45079</v>
      </c>
      <c r="H1836" s="1">
        <v>45422</v>
      </c>
      <c r="I1836">
        <v>32</v>
      </c>
      <c r="J1836" t="s">
        <v>19</v>
      </c>
      <c r="K1836">
        <v>4339.08</v>
      </c>
    </row>
    <row r="1837" spans="1:11">
      <c r="A1837">
        <v>1836</v>
      </c>
      <c r="B1837" t="s">
        <v>123</v>
      </c>
      <c r="C1837" s="1">
        <v>28125</v>
      </c>
      <c r="D1837">
        <v>49</v>
      </c>
      <c r="E1837" t="s">
        <v>15</v>
      </c>
      <c r="F1837" t="s">
        <v>18</v>
      </c>
      <c r="G1837" s="1">
        <v>45406</v>
      </c>
      <c r="H1837" s="1">
        <v>45783</v>
      </c>
      <c r="I1837">
        <v>15</v>
      </c>
      <c r="J1837" t="s">
        <v>19</v>
      </c>
      <c r="K1837">
        <v>6937.08</v>
      </c>
    </row>
    <row r="1838" spans="1:11">
      <c r="A1838">
        <v>1837</v>
      </c>
      <c r="B1838" t="s">
        <v>62</v>
      </c>
      <c r="C1838" s="1">
        <v>20455</v>
      </c>
      <c r="D1838">
        <v>70</v>
      </c>
      <c r="E1838" t="s">
        <v>15</v>
      </c>
      <c r="G1838" s="1">
        <v>45509</v>
      </c>
      <c r="H1838" s="1">
        <v>45315</v>
      </c>
      <c r="I1838">
        <v>0</v>
      </c>
      <c r="J1838" t="s">
        <v>23</v>
      </c>
      <c r="K1838">
        <v>16075.66</v>
      </c>
    </row>
    <row r="1839" spans="1:11">
      <c r="A1839">
        <v>1838</v>
      </c>
      <c r="B1839" t="s">
        <v>158</v>
      </c>
      <c r="C1839" s="1">
        <v>45292</v>
      </c>
      <c r="D1839">
        <v>2</v>
      </c>
      <c r="F1839" t="s">
        <v>18</v>
      </c>
      <c r="G1839" s="1">
        <v>44946</v>
      </c>
      <c r="H1839" s="1">
        <v>45800</v>
      </c>
      <c r="I1839">
        <v>36</v>
      </c>
      <c r="K1839">
        <v>12901.84</v>
      </c>
    </row>
    <row r="1840" spans="1:11">
      <c r="A1840">
        <v>1839</v>
      </c>
      <c r="B1840" t="s">
        <v>161</v>
      </c>
      <c r="C1840" s="1">
        <v>12419</v>
      </c>
      <c r="D1840">
        <v>92</v>
      </c>
      <c r="E1840" t="s">
        <v>15</v>
      </c>
      <c r="F1840" t="s">
        <v>21</v>
      </c>
      <c r="G1840" s="1">
        <v>45519</v>
      </c>
      <c r="H1840" s="1">
        <v>45762</v>
      </c>
      <c r="I1840">
        <v>23</v>
      </c>
      <c r="K1840">
        <v>15697.41</v>
      </c>
    </row>
    <row r="1841" spans="1:11">
      <c r="A1841">
        <v>1840</v>
      </c>
      <c r="B1841" t="s">
        <v>39</v>
      </c>
      <c r="C1841" s="1">
        <v>23012</v>
      </c>
      <c r="D1841">
        <v>63</v>
      </c>
      <c r="E1841" t="s">
        <v>12</v>
      </c>
      <c r="G1841" s="1">
        <v>45154</v>
      </c>
      <c r="H1841" s="1">
        <v>45180</v>
      </c>
      <c r="I1841">
        <v>21</v>
      </c>
      <c r="K1841">
        <v>11618.93</v>
      </c>
    </row>
    <row r="1842" spans="1:11">
      <c r="A1842">
        <v>1841</v>
      </c>
      <c r="B1842" t="s">
        <v>122</v>
      </c>
      <c r="C1842" s="1">
        <v>30317</v>
      </c>
      <c r="D1842">
        <v>43</v>
      </c>
      <c r="E1842" t="s">
        <v>15</v>
      </c>
      <c r="G1842" s="1">
        <v>45272</v>
      </c>
      <c r="H1842" s="1">
        <v>45557</v>
      </c>
      <c r="I1842">
        <v>-2</v>
      </c>
      <c r="J1842" t="s">
        <v>25</v>
      </c>
      <c r="K1842">
        <v>5080.43</v>
      </c>
    </row>
    <row r="1843" spans="1:11">
      <c r="A1843">
        <v>1842</v>
      </c>
      <c r="B1843" t="s">
        <v>158</v>
      </c>
      <c r="C1843" s="1">
        <v>27029</v>
      </c>
      <c r="D1843">
        <v>52</v>
      </c>
      <c r="E1843" t="s">
        <v>15</v>
      </c>
      <c r="F1843" t="s">
        <v>21</v>
      </c>
      <c r="G1843" s="1">
        <v>44945</v>
      </c>
      <c r="H1843" s="1">
        <v>44957</v>
      </c>
      <c r="I1843">
        <v>31</v>
      </c>
      <c r="J1843" t="s">
        <v>23</v>
      </c>
      <c r="K1843">
        <v>4482.68</v>
      </c>
    </row>
    <row r="1844" spans="1:11">
      <c r="A1844">
        <v>1843</v>
      </c>
      <c r="B1844" t="s">
        <v>132</v>
      </c>
      <c r="C1844" s="1">
        <v>37622</v>
      </c>
      <c r="E1844" t="s">
        <v>15</v>
      </c>
      <c r="F1844" t="s">
        <v>45</v>
      </c>
      <c r="G1844" s="1">
        <v>45370</v>
      </c>
      <c r="H1844" s="1">
        <v>45550</v>
      </c>
      <c r="I1844">
        <v>9</v>
      </c>
      <c r="J1844" t="s">
        <v>25</v>
      </c>
      <c r="K1844">
        <v>80.91</v>
      </c>
    </row>
    <row r="1845" spans="1:11">
      <c r="A1845">
        <v>1844</v>
      </c>
      <c r="B1845" t="s">
        <v>26</v>
      </c>
      <c r="C1845" s="1">
        <v>24473</v>
      </c>
      <c r="D1845">
        <v>59</v>
      </c>
      <c r="E1845" t="s">
        <v>15</v>
      </c>
      <c r="F1845" t="s">
        <v>16</v>
      </c>
      <c r="G1845" s="1">
        <v>45603</v>
      </c>
      <c r="H1845" s="1">
        <v>45693</v>
      </c>
      <c r="I1845">
        <v>14</v>
      </c>
      <c r="K1845">
        <v>15597.74</v>
      </c>
    </row>
    <row r="1846" spans="1:11">
      <c r="A1846">
        <v>1845</v>
      </c>
      <c r="B1846" t="s">
        <v>143</v>
      </c>
      <c r="C1846" s="1">
        <v>45292</v>
      </c>
      <c r="D1846">
        <v>2</v>
      </c>
      <c r="E1846" t="s">
        <v>12</v>
      </c>
      <c r="F1846" t="s">
        <v>18</v>
      </c>
      <c r="G1846" s="1">
        <v>45294</v>
      </c>
      <c r="H1846" s="1">
        <v>45638</v>
      </c>
      <c r="I1846">
        <v>18</v>
      </c>
      <c r="J1846" t="s">
        <v>23</v>
      </c>
      <c r="K1846">
        <v>16927.14</v>
      </c>
    </row>
    <row r="1847" spans="1:11">
      <c r="A1847">
        <v>1846</v>
      </c>
      <c r="B1847" t="s">
        <v>40</v>
      </c>
      <c r="D1847">
        <v>19</v>
      </c>
      <c r="E1847" t="s">
        <v>12</v>
      </c>
      <c r="F1847" t="s">
        <v>32</v>
      </c>
      <c r="G1847" s="1">
        <v>45545</v>
      </c>
      <c r="H1847" s="1">
        <v>45734</v>
      </c>
      <c r="I1847">
        <v>18</v>
      </c>
      <c r="J1847" t="s">
        <v>19</v>
      </c>
      <c r="K1847">
        <v>15342.48</v>
      </c>
    </row>
    <row r="1848" spans="1:11">
      <c r="A1848">
        <v>1847</v>
      </c>
      <c r="B1848" t="s">
        <v>55</v>
      </c>
      <c r="C1848" s="1">
        <v>29586</v>
      </c>
      <c r="D1848">
        <v>45</v>
      </c>
      <c r="E1848" t="s">
        <v>15</v>
      </c>
      <c r="F1848" t="s">
        <v>21</v>
      </c>
      <c r="G1848" s="1">
        <v>45652</v>
      </c>
      <c r="H1848" s="1">
        <v>45269</v>
      </c>
      <c r="I1848">
        <v>0</v>
      </c>
      <c r="J1848" t="s">
        <v>23</v>
      </c>
      <c r="K1848">
        <v>1395.48</v>
      </c>
    </row>
    <row r="1849" spans="1:11">
      <c r="A1849">
        <v>1848</v>
      </c>
      <c r="B1849" t="s">
        <v>119</v>
      </c>
      <c r="C1849" s="1">
        <v>40909</v>
      </c>
      <c r="D1849">
        <v>14</v>
      </c>
      <c r="E1849" t="s">
        <v>15</v>
      </c>
      <c r="F1849" t="s">
        <v>45</v>
      </c>
      <c r="G1849" s="1">
        <v>45073</v>
      </c>
      <c r="H1849" s="1">
        <v>45736</v>
      </c>
      <c r="I1849">
        <v>25</v>
      </c>
      <c r="J1849" t="s">
        <v>19</v>
      </c>
      <c r="K1849">
        <v>15220.65</v>
      </c>
    </row>
    <row r="1850" spans="1:11">
      <c r="A1850">
        <v>1849</v>
      </c>
      <c r="B1850" t="s">
        <v>150</v>
      </c>
      <c r="C1850" s="1">
        <v>37256</v>
      </c>
      <c r="D1850">
        <v>24</v>
      </c>
      <c r="E1850" t="s">
        <v>15</v>
      </c>
      <c r="F1850" t="s">
        <v>32</v>
      </c>
      <c r="G1850" s="1">
        <v>45619</v>
      </c>
      <c r="H1850" s="1">
        <v>45214</v>
      </c>
      <c r="I1850">
        <v>22</v>
      </c>
      <c r="K1850">
        <v>819.93</v>
      </c>
    </row>
    <row r="1851" spans="1:11">
      <c r="A1851">
        <v>1850</v>
      </c>
      <c r="B1851" t="s">
        <v>162</v>
      </c>
      <c r="C1851" s="1">
        <v>12054</v>
      </c>
      <c r="D1851">
        <v>93</v>
      </c>
      <c r="E1851" t="s">
        <v>15</v>
      </c>
      <c r="F1851" t="s">
        <v>18</v>
      </c>
      <c r="G1851" s="1">
        <v>45430</v>
      </c>
      <c r="H1851" s="1">
        <v>45324</v>
      </c>
      <c r="I1851">
        <v>3</v>
      </c>
      <c r="K1851">
        <v>2022.42</v>
      </c>
    </row>
    <row r="1852" spans="1:11">
      <c r="A1852">
        <v>1851</v>
      </c>
      <c r="B1852" t="s">
        <v>61</v>
      </c>
      <c r="C1852" s="1">
        <v>17898</v>
      </c>
      <c r="D1852">
        <v>77</v>
      </c>
      <c r="E1852" t="s">
        <v>12</v>
      </c>
      <c r="F1852" t="s">
        <v>21</v>
      </c>
      <c r="G1852" s="1">
        <v>45356</v>
      </c>
      <c r="H1852" s="1">
        <v>45436</v>
      </c>
      <c r="I1852">
        <v>39</v>
      </c>
      <c r="J1852" t="s">
        <v>19</v>
      </c>
      <c r="K1852">
        <v>8753.5499999999993</v>
      </c>
    </row>
    <row r="1853" spans="1:11">
      <c r="A1853">
        <v>1852</v>
      </c>
      <c r="B1853" t="s">
        <v>97</v>
      </c>
      <c r="C1853" s="1">
        <v>20455</v>
      </c>
      <c r="D1853">
        <v>70</v>
      </c>
      <c r="E1853" t="s">
        <v>15</v>
      </c>
      <c r="G1853" s="1">
        <v>45366</v>
      </c>
      <c r="H1853" s="1">
        <v>45171</v>
      </c>
      <c r="I1853">
        <v>27</v>
      </c>
      <c r="J1853" t="s">
        <v>23</v>
      </c>
      <c r="K1853">
        <v>9470.5499999999993</v>
      </c>
    </row>
    <row r="1854" spans="1:11">
      <c r="A1854">
        <v>1853</v>
      </c>
      <c r="B1854" t="s">
        <v>75</v>
      </c>
      <c r="C1854" s="1">
        <v>40178</v>
      </c>
      <c r="E1854" t="s">
        <v>15</v>
      </c>
      <c r="F1854" t="s">
        <v>16</v>
      </c>
      <c r="G1854" s="1">
        <v>45124</v>
      </c>
      <c r="H1854" s="1">
        <v>45148</v>
      </c>
      <c r="I1854">
        <v>29</v>
      </c>
      <c r="J1854" t="s">
        <v>25</v>
      </c>
      <c r="K1854">
        <v>16303.98</v>
      </c>
    </row>
    <row r="1855" spans="1:11">
      <c r="A1855">
        <v>1854</v>
      </c>
      <c r="B1855" t="s">
        <v>63</v>
      </c>
      <c r="C1855" s="1">
        <v>15707</v>
      </c>
      <c r="D1855">
        <v>83</v>
      </c>
      <c r="E1855" t="s">
        <v>12</v>
      </c>
      <c r="F1855" t="s">
        <v>21</v>
      </c>
      <c r="G1855" s="1">
        <v>45213</v>
      </c>
      <c r="H1855" s="1">
        <v>45083</v>
      </c>
      <c r="I1855">
        <v>19</v>
      </c>
      <c r="J1855" t="s">
        <v>23</v>
      </c>
      <c r="K1855">
        <v>13558.49</v>
      </c>
    </row>
    <row r="1856" spans="1:11">
      <c r="A1856">
        <v>1855</v>
      </c>
      <c r="B1856" t="s">
        <v>155</v>
      </c>
      <c r="D1856">
        <v>8</v>
      </c>
      <c r="E1856" t="s">
        <v>15</v>
      </c>
      <c r="F1856" t="s">
        <v>16</v>
      </c>
      <c r="G1856" s="1">
        <v>45491</v>
      </c>
      <c r="H1856" s="1">
        <v>45310</v>
      </c>
      <c r="I1856">
        <v>35</v>
      </c>
      <c r="J1856" t="s">
        <v>19</v>
      </c>
      <c r="K1856">
        <v>2981.74</v>
      </c>
    </row>
    <row r="1857" spans="1:11">
      <c r="A1857">
        <v>1856</v>
      </c>
      <c r="B1857" t="s">
        <v>158</v>
      </c>
      <c r="C1857" s="1">
        <v>32508</v>
      </c>
      <c r="D1857">
        <v>37</v>
      </c>
      <c r="E1857" t="s">
        <v>15</v>
      </c>
      <c r="F1857" t="s">
        <v>45</v>
      </c>
      <c r="G1857" s="1">
        <v>45295</v>
      </c>
      <c r="H1857" s="1">
        <v>45675</v>
      </c>
      <c r="I1857">
        <v>11</v>
      </c>
      <c r="J1857" t="s">
        <v>19</v>
      </c>
      <c r="K1857">
        <v>4445.55</v>
      </c>
    </row>
    <row r="1858" spans="1:11">
      <c r="A1858">
        <v>1857</v>
      </c>
      <c r="B1858" t="s">
        <v>85</v>
      </c>
      <c r="C1858" s="1">
        <v>28856</v>
      </c>
      <c r="D1858">
        <v>47</v>
      </c>
      <c r="E1858" t="s">
        <v>15</v>
      </c>
      <c r="F1858" t="s">
        <v>45</v>
      </c>
      <c r="G1858" s="1">
        <v>45166</v>
      </c>
      <c r="H1858" s="1">
        <v>45247</v>
      </c>
      <c r="I1858">
        <v>31</v>
      </c>
      <c r="J1858" t="s">
        <v>25</v>
      </c>
      <c r="K1858">
        <v>5642.07</v>
      </c>
    </row>
    <row r="1859" spans="1:11">
      <c r="A1859">
        <v>1858</v>
      </c>
      <c r="B1859" t="s">
        <v>60</v>
      </c>
      <c r="C1859" s="1">
        <v>24473</v>
      </c>
      <c r="D1859">
        <v>59</v>
      </c>
      <c r="E1859" t="s">
        <v>12</v>
      </c>
      <c r="F1859" t="s">
        <v>18</v>
      </c>
      <c r="G1859" s="1">
        <v>45213</v>
      </c>
      <c r="H1859" s="1">
        <v>45300</v>
      </c>
      <c r="I1859">
        <v>23</v>
      </c>
      <c r="J1859" t="s">
        <v>25</v>
      </c>
      <c r="K1859">
        <v>2385.8200000000002</v>
      </c>
    </row>
    <row r="1860" spans="1:11">
      <c r="A1860">
        <v>1859</v>
      </c>
      <c r="B1860" t="s">
        <v>171</v>
      </c>
      <c r="C1860" s="1">
        <v>23377</v>
      </c>
      <c r="D1860">
        <v>62</v>
      </c>
      <c r="E1860" t="s">
        <v>12</v>
      </c>
      <c r="F1860" t="s">
        <v>16</v>
      </c>
      <c r="G1860" s="1">
        <v>45626</v>
      </c>
      <c r="H1860" s="1">
        <v>45458</v>
      </c>
      <c r="I1860">
        <v>37</v>
      </c>
      <c r="J1860" t="s">
        <v>25</v>
      </c>
      <c r="K1860">
        <v>5681.66</v>
      </c>
    </row>
    <row r="1861" spans="1:11">
      <c r="A1861">
        <v>1860</v>
      </c>
      <c r="B1861" t="s">
        <v>77</v>
      </c>
      <c r="C1861" s="1">
        <v>14976</v>
      </c>
      <c r="D1861">
        <v>85</v>
      </c>
      <c r="E1861" t="s">
        <v>12</v>
      </c>
      <c r="F1861" t="s">
        <v>21</v>
      </c>
      <c r="G1861" s="1">
        <v>45321</v>
      </c>
      <c r="H1861" s="1">
        <v>45142</v>
      </c>
      <c r="I1861">
        <v>10</v>
      </c>
      <c r="J1861" t="s">
        <v>19</v>
      </c>
      <c r="K1861">
        <v>14544.82</v>
      </c>
    </row>
    <row r="1862" spans="1:11">
      <c r="A1862">
        <v>1861</v>
      </c>
      <c r="B1862" t="s">
        <v>117</v>
      </c>
      <c r="C1862" s="1">
        <v>45657</v>
      </c>
      <c r="D1862">
        <v>1</v>
      </c>
      <c r="E1862" t="s">
        <v>15</v>
      </c>
      <c r="F1862" t="s">
        <v>45</v>
      </c>
      <c r="G1862" s="1">
        <v>45444</v>
      </c>
      <c r="H1862" s="1">
        <v>45294</v>
      </c>
      <c r="I1862">
        <v>27</v>
      </c>
      <c r="K1862">
        <v>4752.17</v>
      </c>
    </row>
    <row r="1863" spans="1:11">
      <c r="A1863">
        <v>1862</v>
      </c>
      <c r="B1863" t="s">
        <v>90</v>
      </c>
      <c r="C1863" s="1">
        <v>14246</v>
      </c>
      <c r="D1863">
        <v>87</v>
      </c>
      <c r="E1863" t="s">
        <v>15</v>
      </c>
      <c r="F1863" t="s">
        <v>21</v>
      </c>
      <c r="G1863" s="1">
        <v>45487</v>
      </c>
      <c r="H1863" s="1">
        <v>45041</v>
      </c>
      <c r="I1863">
        <v>16</v>
      </c>
      <c r="J1863" t="s">
        <v>23</v>
      </c>
      <c r="K1863">
        <v>16690.73</v>
      </c>
    </row>
    <row r="1864" spans="1:11">
      <c r="A1864">
        <v>1863</v>
      </c>
      <c r="B1864" t="s">
        <v>42</v>
      </c>
      <c r="C1864" s="1">
        <v>20090</v>
      </c>
      <c r="D1864">
        <v>71</v>
      </c>
      <c r="E1864" t="s">
        <v>12</v>
      </c>
      <c r="F1864" t="s">
        <v>18</v>
      </c>
      <c r="G1864" s="1">
        <v>45638</v>
      </c>
      <c r="H1864" s="1">
        <v>45127</v>
      </c>
      <c r="I1864">
        <v>39</v>
      </c>
      <c r="J1864" t="s">
        <v>25</v>
      </c>
      <c r="K1864">
        <v>9337.2900000000009</v>
      </c>
    </row>
    <row r="1865" spans="1:11">
      <c r="A1865">
        <v>1864</v>
      </c>
      <c r="B1865" t="s">
        <v>122</v>
      </c>
      <c r="C1865" s="1">
        <v>42370</v>
      </c>
      <c r="D1865">
        <v>10</v>
      </c>
      <c r="E1865" t="s">
        <v>12</v>
      </c>
      <c r="F1865" t="s">
        <v>16</v>
      </c>
      <c r="G1865" s="1">
        <v>44986</v>
      </c>
      <c r="H1865" s="1">
        <v>44952</v>
      </c>
      <c r="I1865">
        <v>38</v>
      </c>
      <c r="J1865" t="s">
        <v>19</v>
      </c>
      <c r="K1865">
        <v>6391.01</v>
      </c>
    </row>
    <row r="1866" spans="1:11">
      <c r="A1866">
        <v>1865</v>
      </c>
      <c r="B1866" t="s">
        <v>28</v>
      </c>
      <c r="C1866" s="1">
        <v>23012</v>
      </c>
      <c r="D1866">
        <v>63</v>
      </c>
      <c r="F1866" t="s">
        <v>21</v>
      </c>
      <c r="G1866" s="1">
        <v>45471</v>
      </c>
      <c r="H1866" s="1">
        <v>45048</v>
      </c>
      <c r="I1866">
        <v>36</v>
      </c>
      <c r="J1866" t="s">
        <v>23</v>
      </c>
      <c r="K1866">
        <v>8189.6</v>
      </c>
    </row>
    <row r="1867" spans="1:11">
      <c r="A1867">
        <v>1866</v>
      </c>
      <c r="B1867" t="s">
        <v>77</v>
      </c>
      <c r="C1867" s="1">
        <v>18263</v>
      </c>
      <c r="D1867">
        <v>76</v>
      </c>
      <c r="E1867" t="s">
        <v>15</v>
      </c>
      <c r="F1867" t="s">
        <v>32</v>
      </c>
      <c r="G1867" s="1">
        <v>45229</v>
      </c>
      <c r="H1867" s="1">
        <v>45669</v>
      </c>
      <c r="I1867">
        <v>0</v>
      </c>
      <c r="J1867" t="s">
        <v>25</v>
      </c>
      <c r="K1867">
        <v>14160.88</v>
      </c>
    </row>
    <row r="1868" spans="1:11">
      <c r="A1868">
        <v>1867</v>
      </c>
      <c r="B1868" t="s">
        <v>109</v>
      </c>
      <c r="C1868" s="1">
        <v>16802</v>
      </c>
      <c r="D1868">
        <v>80</v>
      </c>
      <c r="E1868" t="s">
        <v>15</v>
      </c>
      <c r="F1868" t="s">
        <v>21</v>
      </c>
      <c r="G1868" s="1">
        <v>45170</v>
      </c>
      <c r="H1868" s="1">
        <v>45538</v>
      </c>
      <c r="I1868">
        <v>28</v>
      </c>
      <c r="K1868">
        <v>10287.530000000001</v>
      </c>
    </row>
    <row r="1869" spans="1:11">
      <c r="A1869">
        <v>1868</v>
      </c>
      <c r="B1869" t="s">
        <v>77</v>
      </c>
      <c r="C1869" s="1">
        <v>20090</v>
      </c>
      <c r="D1869">
        <v>71</v>
      </c>
      <c r="E1869" t="s">
        <v>12</v>
      </c>
      <c r="F1869" t="s">
        <v>13</v>
      </c>
      <c r="G1869" s="1">
        <v>45610</v>
      </c>
      <c r="H1869" s="1">
        <v>45785</v>
      </c>
      <c r="I1869">
        <v>9</v>
      </c>
      <c r="J1869" t="s">
        <v>23</v>
      </c>
      <c r="K1869">
        <v>46.3</v>
      </c>
    </row>
    <row r="1870" spans="1:11">
      <c r="A1870">
        <v>1869</v>
      </c>
      <c r="B1870" t="s">
        <v>126</v>
      </c>
      <c r="C1870" s="1">
        <v>38717</v>
      </c>
      <c r="D1870">
        <v>20</v>
      </c>
      <c r="E1870" t="s">
        <v>12</v>
      </c>
      <c r="F1870" t="s">
        <v>13</v>
      </c>
      <c r="G1870" s="1">
        <v>45133</v>
      </c>
      <c r="H1870" s="1">
        <v>44930</v>
      </c>
      <c r="I1870">
        <v>12</v>
      </c>
      <c r="J1870" t="s">
        <v>23</v>
      </c>
      <c r="K1870">
        <v>18438.71</v>
      </c>
    </row>
    <row r="1871" spans="1:11">
      <c r="A1871">
        <v>1870</v>
      </c>
      <c r="B1871" t="s">
        <v>155</v>
      </c>
      <c r="C1871" s="1">
        <v>39813</v>
      </c>
      <c r="D1871">
        <v>17</v>
      </c>
      <c r="E1871" t="s">
        <v>12</v>
      </c>
      <c r="G1871" s="1">
        <v>45301</v>
      </c>
      <c r="H1871" s="1">
        <v>45825</v>
      </c>
      <c r="I1871">
        <v>35</v>
      </c>
      <c r="J1871" t="s">
        <v>19</v>
      </c>
      <c r="K1871">
        <v>1226.52</v>
      </c>
    </row>
    <row r="1872" spans="1:11">
      <c r="A1872">
        <v>1871</v>
      </c>
      <c r="B1872" t="s">
        <v>131</v>
      </c>
      <c r="C1872" s="1">
        <v>12054</v>
      </c>
      <c r="D1872">
        <v>93</v>
      </c>
      <c r="E1872" t="s">
        <v>12</v>
      </c>
      <c r="F1872" t="s">
        <v>18</v>
      </c>
      <c r="G1872" s="1">
        <v>45209</v>
      </c>
      <c r="H1872" s="1">
        <v>45700</v>
      </c>
      <c r="I1872">
        <v>37</v>
      </c>
      <c r="J1872" t="s">
        <v>19</v>
      </c>
      <c r="K1872">
        <v>18766.29</v>
      </c>
    </row>
    <row r="1873" spans="1:11">
      <c r="A1873">
        <v>1872</v>
      </c>
      <c r="B1873" t="s">
        <v>130</v>
      </c>
      <c r="C1873" s="1">
        <v>23012</v>
      </c>
      <c r="D1873">
        <v>63</v>
      </c>
      <c r="E1873" t="s">
        <v>12</v>
      </c>
      <c r="F1873" t="s">
        <v>18</v>
      </c>
      <c r="G1873" s="1">
        <v>45404</v>
      </c>
      <c r="H1873" s="1">
        <v>45372</v>
      </c>
      <c r="I1873">
        <v>11</v>
      </c>
      <c r="J1873" t="s">
        <v>19</v>
      </c>
      <c r="K1873">
        <v>465.87</v>
      </c>
    </row>
    <row r="1874" spans="1:11">
      <c r="A1874">
        <v>1873</v>
      </c>
      <c r="B1874" t="s">
        <v>156</v>
      </c>
      <c r="C1874" s="1">
        <v>16437</v>
      </c>
      <c r="D1874">
        <v>81</v>
      </c>
      <c r="E1874" t="s">
        <v>12</v>
      </c>
      <c r="F1874" t="s">
        <v>18</v>
      </c>
      <c r="G1874" s="1">
        <v>44948</v>
      </c>
      <c r="H1874" s="1">
        <v>45181</v>
      </c>
      <c r="I1874">
        <v>32</v>
      </c>
      <c r="K1874">
        <v>15396.68</v>
      </c>
    </row>
    <row r="1875" spans="1:11">
      <c r="A1875">
        <v>1874</v>
      </c>
      <c r="B1875" t="s">
        <v>141</v>
      </c>
      <c r="C1875" s="1">
        <v>11689</v>
      </c>
      <c r="D1875">
        <v>94</v>
      </c>
      <c r="E1875" t="s">
        <v>12</v>
      </c>
      <c r="F1875" t="s">
        <v>32</v>
      </c>
      <c r="G1875" s="1">
        <v>45485</v>
      </c>
      <c r="H1875" s="1">
        <v>44947</v>
      </c>
      <c r="I1875">
        <v>13</v>
      </c>
      <c r="J1875" t="s">
        <v>23</v>
      </c>
      <c r="K1875">
        <v>10646.96</v>
      </c>
    </row>
    <row r="1876" spans="1:11">
      <c r="A1876">
        <v>1875</v>
      </c>
      <c r="B1876" t="s">
        <v>76</v>
      </c>
      <c r="C1876" s="1">
        <v>32508</v>
      </c>
      <c r="D1876">
        <v>37</v>
      </c>
      <c r="F1876" t="s">
        <v>16</v>
      </c>
      <c r="G1876" s="1">
        <v>45275</v>
      </c>
      <c r="H1876" s="1">
        <v>45131</v>
      </c>
      <c r="I1876">
        <v>21</v>
      </c>
      <c r="J1876" t="s">
        <v>25</v>
      </c>
      <c r="K1876">
        <v>10065.1</v>
      </c>
    </row>
    <row r="1877" spans="1:11">
      <c r="A1877">
        <v>1876</v>
      </c>
      <c r="B1877" t="s">
        <v>111</v>
      </c>
      <c r="C1877" s="1">
        <v>34700</v>
      </c>
      <c r="D1877">
        <v>31</v>
      </c>
      <c r="E1877" t="s">
        <v>12</v>
      </c>
      <c r="F1877" t="s">
        <v>32</v>
      </c>
      <c r="G1877" s="1">
        <v>45415</v>
      </c>
      <c r="H1877" s="1">
        <v>45733</v>
      </c>
      <c r="I1877">
        <v>14</v>
      </c>
      <c r="K1877">
        <v>1362.85</v>
      </c>
    </row>
    <row r="1878" spans="1:11">
      <c r="A1878">
        <v>1877</v>
      </c>
      <c r="B1878" t="s">
        <v>22</v>
      </c>
      <c r="C1878" s="1">
        <v>42370</v>
      </c>
      <c r="D1878">
        <v>10</v>
      </c>
      <c r="E1878" t="s">
        <v>15</v>
      </c>
      <c r="G1878" s="1">
        <v>45596</v>
      </c>
      <c r="H1878" s="1">
        <v>45284</v>
      </c>
      <c r="I1878">
        <v>15</v>
      </c>
      <c r="J1878" t="s">
        <v>25</v>
      </c>
      <c r="K1878">
        <v>4698.7700000000004</v>
      </c>
    </row>
    <row r="1879" spans="1:11">
      <c r="A1879">
        <v>1878</v>
      </c>
      <c r="B1879" t="s">
        <v>105</v>
      </c>
      <c r="C1879" s="1">
        <v>29951</v>
      </c>
      <c r="D1879">
        <v>44</v>
      </c>
      <c r="E1879" t="s">
        <v>15</v>
      </c>
      <c r="F1879" t="s">
        <v>21</v>
      </c>
      <c r="G1879" s="1">
        <v>45184</v>
      </c>
      <c r="H1879" s="1">
        <v>45055</v>
      </c>
      <c r="I1879">
        <v>39</v>
      </c>
      <c r="J1879" t="s">
        <v>25</v>
      </c>
      <c r="K1879">
        <v>15528.7</v>
      </c>
    </row>
    <row r="1880" spans="1:11">
      <c r="A1880">
        <v>1879</v>
      </c>
      <c r="B1880" t="s">
        <v>65</v>
      </c>
      <c r="C1880" s="1">
        <v>13880</v>
      </c>
      <c r="D1880">
        <v>88</v>
      </c>
      <c r="E1880" t="s">
        <v>12</v>
      </c>
      <c r="F1880" t="s">
        <v>45</v>
      </c>
      <c r="G1880" s="1">
        <v>45581</v>
      </c>
      <c r="H1880" s="1">
        <v>45285</v>
      </c>
      <c r="I1880">
        <v>14</v>
      </c>
      <c r="J1880" t="s">
        <v>19</v>
      </c>
      <c r="K1880">
        <v>17814.32</v>
      </c>
    </row>
    <row r="1881" spans="1:11">
      <c r="A1881">
        <v>1880</v>
      </c>
      <c r="B1881" t="s">
        <v>82</v>
      </c>
      <c r="C1881" s="1">
        <v>34334</v>
      </c>
      <c r="D1881">
        <v>32</v>
      </c>
      <c r="E1881" t="s">
        <v>15</v>
      </c>
      <c r="F1881" t="s">
        <v>16</v>
      </c>
      <c r="G1881" s="1">
        <v>44973</v>
      </c>
      <c r="H1881" s="1">
        <v>45219</v>
      </c>
      <c r="I1881">
        <v>13</v>
      </c>
      <c r="J1881" t="s">
        <v>25</v>
      </c>
      <c r="K1881">
        <v>10535.29</v>
      </c>
    </row>
    <row r="1882" spans="1:11">
      <c r="A1882">
        <v>1881</v>
      </c>
      <c r="B1882" t="s">
        <v>17</v>
      </c>
      <c r="C1882" s="1">
        <v>31412</v>
      </c>
      <c r="D1882">
        <v>40</v>
      </c>
      <c r="E1882" t="s">
        <v>12</v>
      </c>
      <c r="F1882" t="s">
        <v>13</v>
      </c>
      <c r="G1882" s="1">
        <v>44953</v>
      </c>
      <c r="H1882" s="1">
        <v>45101</v>
      </c>
      <c r="I1882">
        <v>18</v>
      </c>
      <c r="J1882" t="s">
        <v>25</v>
      </c>
      <c r="K1882">
        <v>7002.2</v>
      </c>
    </row>
    <row r="1883" spans="1:11">
      <c r="A1883">
        <v>1882</v>
      </c>
      <c r="B1883" t="s">
        <v>154</v>
      </c>
      <c r="C1883" s="1">
        <v>43466</v>
      </c>
      <c r="D1883">
        <v>7</v>
      </c>
      <c r="E1883" t="s">
        <v>15</v>
      </c>
      <c r="F1883" t="s">
        <v>13</v>
      </c>
      <c r="G1883" s="1">
        <v>44953</v>
      </c>
      <c r="H1883" s="1">
        <v>45660</v>
      </c>
      <c r="I1883">
        <v>21</v>
      </c>
      <c r="K1883">
        <v>1104.8599999999999</v>
      </c>
    </row>
    <row r="1884" spans="1:11">
      <c r="A1884">
        <v>1883</v>
      </c>
      <c r="B1884" t="s">
        <v>63</v>
      </c>
      <c r="C1884" s="1">
        <v>42370</v>
      </c>
      <c r="D1884">
        <v>10</v>
      </c>
      <c r="E1884" t="s">
        <v>15</v>
      </c>
      <c r="G1884" s="1">
        <v>45323</v>
      </c>
      <c r="H1884" s="1">
        <v>45282</v>
      </c>
      <c r="I1884">
        <v>31</v>
      </c>
      <c r="J1884" t="s">
        <v>19</v>
      </c>
      <c r="K1884">
        <v>13611.79</v>
      </c>
    </row>
    <row r="1885" spans="1:11">
      <c r="A1885">
        <v>1884</v>
      </c>
      <c r="B1885" t="s">
        <v>169</v>
      </c>
      <c r="C1885" s="1">
        <v>14976</v>
      </c>
      <c r="D1885">
        <v>85</v>
      </c>
      <c r="E1885" t="s">
        <v>12</v>
      </c>
      <c r="F1885" t="s">
        <v>13</v>
      </c>
      <c r="G1885" s="1">
        <v>45071</v>
      </c>
      <c r="H1885" s="1">
        <v>45808</v>
      </c>
      <c r="I1885">
        <v>33</v>
      </c>
      <c r="J1885" t="s">
        <v>25</v>
      </c>
      <c r="K1885">
        <v>5496.78</v>
      </c>
    </row>
    <row r="1886" spans="1:11">
      <c r="A1886">
        <v>1885</v>
      </c>
      <c r="B1886" t="s">
        <v>158</v>
      </c>
      <c r="C1886" s="1">
        <v>27760</v>
      </c>
      <c r="D1886">
        <v>50</v>
      </c>
      <c r="E1886" t="s">
        <v>15</v>
      </c>
      <c r="G1886" s="1">
        <v>45513</v>
      </c>
      <c r="H1886" s="1">
        <v>44964</v>
      </c>
      <c r="I1886">
        <v>24</v>
      </c>
      <c r="J1886" t="s">
        <v>25</v>
      </c>
      <c r="K1886">
        <v>1005.78</v>
      </c>
    </row>
    <row r="1887" spans="1:11">
      <c r="A1887">
        <v>1886</v>
      </c>
      <c r="B1887" t="s">
        <v>164</v>
      </c>
      <c r="C1887" s="1">
        <v>14246</v>
      </c>
      <c r="D1887">
        <v>87</v>
      </c>
      <c r="E1887" t="s">
        <v>15</v>
      </c>
      <c r="F1887" t="s">
        <v>21</v>
      </c>
      <c r="G1887" s="1">
        <v>45625</v>
      </c>
      <c r="H1887" s="1">
        <v>45237</v>
      </c>
      <c r="I1887">
        <v>36</v>
      </c>
      <c r="J1887" t="s">
        <v>25</v>
      </c>
      <c r="K1887">
        <v>13283.62</v>
      </c>
    </row>
    <row r="1888" spans="1:11">
      <c r="A1888">
        <v>1887</v>
      </c>
      <c r="B1888" t="s">
        <v>131</v>
      </c>
      <c r="C1888" s="1">
        <v>31412</v>
      </c>
      <c r="D1888">
        <v>40</v>
      </c>
      <c r="E1888" t="s">
        <v>15</v>
      </c>
      <c r="F1888" t="s">
        <v>21</v>
      </c>
      <c r="G1888" s="1">
        <v>45448</v>
      </c>
      <c r="H1888" s="1">
        <v>45588</v>
      </c>
      <c r="I1888">
        <v>14</v>
      </c>
      <c r="J1888" t="s">
        <v>23</v>
      </c>
      <c r="K1888">
        <v>9662.9699999999993</v>
      </c>
    </row>
    <row r="1889" spans="1:11">
      <c r="A1889">
        <v>1888</v>
      </c>
      <c r="B1889" t="s">
        <v>61</v>
      </c>
      <c r="C1889" s="1">
        <v>40178</v>
      </c>
      <c r="D1889">
        <v>16</v>
      </c>
      <c r="E1889" t="s">
        <v>12</v>
      </c>
      <c r="F1889" t="s">
        <v>18</v>
      </c>
      <c r="G1889" s="1">
        <v>45047</v>
      </c>
      <c r="H1889" s="1">
        <v>45531</v>
      </c>
      <c r="I1889">
        <v>22</v>
      </c>
      <c r="J1889" t="s">
        <v>23</v>
      </c>
      <c r="K1889">
        <v>140.44</v>
      </c>
    </row>
    <row r="1890" spans="1:11">
      <c r="A1890">
        <v>1889</v>
      </c>
      <c r="B1890" t="s">
        <v>110</v>
      </c>
      <c r="C1890" s="1">
        <v>18629</v>
      </c>
      <c r="D1890">
        <v>75</v>
      </c>
      <c r="E1890" t="s">
        <v>15</v>
      </c>
      <c r="F1890" t="s">
        <v>45</v>
      </c>
      <c r="G1890" s="1">
        <v>45388</v>
      </c>
      <c r="H1890" s="1">
        <v>45509</v>
      </c>
      <c r="I1890">
        <v>35</v>
      </c>
      <c r="J1890" t="s">
        <v>19</v>
      </c>
      <c r="K1890">
        <v>2129.5700000000002</v>
      </c>
    </row>
    <row r="1891" spans="1:11">
      <c r="A1891">
        <v>1890</v>
      </c>
      <c r="B1891" t="s">
        <v>64</v>
      </c>
      <c r="C1891" s="1">
        <v>29586</v>
      </c>
      <c r="D1891">
        <v>45</v>
      </c>
      <c r="E1891" t="s">
        <v>12</v>
      </c>
      <c r="F1891" t="s">
        <v>18</v>
      </c>
      <c r="G1891" s="1">
        <v>45603</v>
      </c>
      <c r="H1891" s="1">
        <v>45011</v>
      </c>
      <c r="I1891">
        <v>39</v>
      </c>
      <c r="K1891">
        <v>13953.96</v>
      </c>
    </row>
    <row r="1892" spans="1:11">
      <c r="A1892">
        <v>1891</v>
      </c>
      <c r="B1892" t="s">
        <v>153</v>
      </c>
      <c r="C1892" s="1">
        <v>34700</v>
      </c>
      <c r="D1892">
        <v>31</v>
      </c>
      <c r="E1892" t="s">
        <v>15</v>
      </c>
      <c r="F1892" t="s">
        <v>21</v>
      </c>
      <c r="G1892" s="1">
        <v>45308</v>
      </c>
      <c r="H1892" s="1">
        <v>45437</v>
      </c>
      <c r="I1892">
        <v>18</v>
      </c>
      <c r="J1892" t="s">
        <v>19</v>
      </c>
      <c r="K1892">
        <v>1179.79</v>
      </c>
    </row>
    <row r="1893" spans="1:11">
      <c r="A1893">
        <v>1892</v>
      </c>
      <c r="B1893" t="s">
        <v>29</v>
      </c>
      <c r="C1893" s="1">
        <v>17533</v>
      </c>
      <c r="D1893">
        <v>78</v>
      </c>
      <c r="E1893" t="s">
        <v>12</v>
      </c>
      <c r="F1893" t="s">
        <v>32</v>
      </c>
      <c r="G1893" s="1">
        <v>45599</v>
      </c>
      <c r="H1893" s="1">
        <v>45371</v>
      </c>
      <c r="I1893">
        <v>1</v>
      </c>
      <c r="J1893" t="s">
        <v>23</v>
      </c>
      <c r="K1893">
        <v>17305.86</v>
      </c>
    </row>
    <row r="1894" spans="1:11">
      <c r="A1894">
        <v>1893</v>
      </c>
      <c r="B1894" t="s">
        <v>108</v>
      </c>
      <c r="C1894" s="1">
        <v>17168</v>
      </c>
      <c r="D1894">
        <v>79</v>
      </c>
      <c r="E1894" t="s">
        <v>15</v>
      </c>
      <c r="F1894" t="s">
        <v>18</v>
      </c>
      <c r="G1894" s="1">
        <v>45344</v>
      </c>
      <c r="H1894" s="1">
        <v>45347</v>
      </c>
      <c r="I1894">
        <v>22</v>
      </c>
      <c r="J1894" t="s">
        <v>19</v>
      </c>
      <c r="K1894">
        <v>6157.66</v>
      </c>
    </row>
    <row r="1895" spans="1:11">
      <c r="A1895">
        <v>1894</v>
      </c>
      <c r="B1895" t="s">
        <v>113</v>
      </c>
      <c r="C1895" s="1">
        <v>26664</v>
      </c>
      <c r="D1895">
        <v>53</v>
      </c>
      <c r="E1895" t="s">
        <v>15</v>
      </c>
      <c r="F1895" t="s">
        <v>16</v>
      </c>
      <c r="G1895" s="1">
        <v>45253</v>
      </c>
      <c r="H1895" s="1">
        <v>45132</v>
      </c>
      <c r="I1895">
        <v>27</v>
      </c>
      <c r="K1895">
        <v>1682.2</v>
      </c>
    </row>
    <row r="1896" spans="1:11">
      <c r="A1896">
        <v>1895</v>
      </c>
      <c r="B1896" t="s">
        <v>67</v>
      </c>
      <c r="C1896" s="1">
        <v>14976</v>
      </c>
      <c r="D1896">
        <v>85</v>
      </c>
      <c r="E1896" t="s">
        <v>15</v>
      </c>
      <c r="F1896" t="s">
        <v>21</v>
      </c>
      <c r="G1896" s="1">
        <v>45317</v>
      </c>
      <c r="H1896" s="1">
        <v>45415</v>
      </c>
      <c r="I1896">
        <v>30</v>
      </c>
      <c r="J1896" t="s">
        <v>19</v>
      </c>
      <c r="K1896">
        <v>15171.12</v>
      </c>
    </row>
    <row r="1897" spans="1:11">
      <c r="A1897">
        <v>1896</v>
      </c>
      <c r="B1897" t="s">
        <v>102</v>
      </c>
      <c r="C1897" s="1">
        <v>12785</v>
      </c>
      <c r="D1897">
        <v>91</v>
      </c>
      <c r="E1897" t="s">
        <v>15</v>
      </c>
      <c r="F1897" t="s">
        <v>21</v>
      </c>
      <c r="G1897" s="1">
        <v>45223</v>
      </c>
      <c r="H1897" s="1">
        <v>45706</v>
      </c>
      <c r="I1897">
        <v>36</v>
      </c>
      <c r="J1897" t="s">
        <v>25</v>
      </c>
      <c r="K1897">
        <v>10440.99</v>
      </c>
    </row>
    <row r="1898" spans="1:11">
      <c r="A1898">
        <v>1897</v>
      </c>
      <c r="B1898" t="s">
        <v>76</v>
      </c>
      <c r="C1898" s="1">
        <v>39083</v>
      </c>
      <c r="D1898">
        <v>19</v>
      </c>
      <c r="E1898" t="s">
        <v>12</v>
      </c>
      <c r="F1898" t="s">
        <v>32</v>
      </c>
      <c r="G1898" s="1">
        <v>45556</v>
      </c>
      <c r="H1898" s="1">
        <v>45015</v>
      </c>
      <c r="I1898">
        <v>23</v>
      </c>
      <c r="K1898">
        <v>6063.46</v>
      </c>
    </row>
    <row r="1899" spans="1:11">
      <c r="A1899">
        <v>1898</v>
      </c>
      <c r="B1899" t="s">
        <v>164</v>
      </c>
      <c r="C1899" s="1">
        <v>34334</v>
      </c>
      <c r="D1899">
        <v>32</v>
      </c>
      <c r="E1899" t="s">
        <v>15</v>
      </c>
      <c r="F1899" t="s">
        <v>32</v>
      </c>
      <c r="G1899" s="1">
        <v>45010</v>
      </c>
      <c r="H1899" s="1">
        <v>45179</v>
      </c>
      <c r="I1899">
        <v>22</v>
      </c>
      <c r="K1899">
        <v>8062.58</v>
      </c>
    </row>
    <row r="1900" spans="1:11">
      <c r="A1900">
        <v>1899</v>
      </c>
      <c r="B1900" t="s">
        <v>37</v>
      </c>
      <c r="C1900" s="1">
        <v>19359</v>
      </c>
      <c r="D1900">
        <v>73</v>
      </c>
      <c r="E1900" t="s">
        <v>15</v>
      </c>
      <c r="F1900" t="s">
        <v>32</v>
      </c>
      <c r="G1900" s="1">
        <v>45072</v>
      </c>
      <c r="H1900" s="1">
        <v>45650</v>
      </c>
      <c r="I1900">
        <v>13</v>
      </c>
      <c r="K1900">
        <v>330.39</v>
      </c>
    </row>
    <row r="1901" spans="1:11">
      <c r="A1901">
        <v>1900</v>
      </c>
      <c r="B1901" t="s">
        <v>37</v>
      </c>
      <c r="C1901" s="1">
        <v>31778</v>
      </c>
      <c r="D1901">
        <v>39</v>
      </c>
      <c r="E1901" t="s">
        <v>12</v>
      </c>
      <c r="F1901" t="s">
        <v>45</v>
      </c>
      <c r="G1901" s="1">
        <v>45097</v>
      </c>
      <c r="H1901" s="1">
        <v>45782</v>
      </c>
      <c r="I1901">
        <v>21</v>
      </c>
      <c r="J1901" t="s">
        <v>19</v>
      </c>
      <c r="K1901">
        <v>13220.24</v>
      </c>
    </row>
    <row r="1902" spans="1:11">
      <c r="A1902">
        <v>1901</v>
      </c>
      <c r="B1902" t="s">
        <v>168</v>
      </c>
      <c r="C1902" s="1">
        <v>34700</v>
      </c>
      <c r="D1902">
        <v>31</v>
      </c>
      <c r="E1902" t="s">
        <v>15</v>
      </c>
      <c r="F1902" t="s">
        <v>16</v>
      </c>
      <c r="G1902" s="1">
        <v>45260</v>
      </c>
      <c r="H1902" s="1">
        <v>44958</v>
      </c>
      <c r="I1902">
        <v>2</v>
      </c>
      <c r="J1902" t="s">
        <v>19</v>
      </c>
      <c r="K1902">
        <v>7252.05</v>
      </c>
    </row>
    <row r="1903" spans="1:11">
      <c r="A1903">
        <v>1902</v>
      </c>
      <c r="B1903" t="s">
        <v>125</v>
      </c>
      <c r="C1903" s="1">
        <v>45657</v>
      </c>
      <c r="D1903">
        <v>1</v>
      </c>
      <c r="E1903" t="s">
        <v>15</v>
      </c>
      <c r="F1903" t="s">
        <v>21</v>
      </c>
      <c r="G1903" s="1">
        <v>45350</v>
      </c>
      <c r="H1903" s="1">
        <v>45796</v>
      </c>
      <c r="I1903">
        <v>39</v>
      </c>
      <c r="J1903" t="s">
        <v>25</v>
      </c>
      <c r="K1903">
        <v>14252.16</v>
      </c>
    </row>
    <row r="1904" spans="1:11">
      <c r="A1904">
        <v>1903</v>
      </c>
      <c r="B1904" t="s">
        <v>79</v>
      </c>
      <c r="C1904" s="1">
        <v>34334</v>
      </c>
      <c r="D1904">
        <v>32</v>
      </c>
      <c r="E1904" t="s">
        <v>12</v>
      </c>
      <c r="F1904" t="s">
        <v>32</v>
      </c>
      <c r="G1904" s="1">
        <v>45235</v>
      </c>
      <c r="H1904" s="1">
        <v>45348</v>
      </c>
      <c r="I1904">
        <v>36</v>
      </c>
      <c r="K1904">
        <v>12526.24</v>
      </c>
    </row>
    <row r="1905" spans="1:11">
      <c r="A1905">
        <v>1904</v>
      </c>
      <c r="B1905" t="s">
        <v>109</v>
      </c>
      <c r="C1905" s="1">
        <v>18263</v>
      </c>
      <c r="D1905">
        <v>76</v>
      </c>
      <c r="E1905" t="s">
        <v>12</v>
      </c>
      <c r="F1905" t="s">
        <v>45</v>
      </c>
      <c r="G1905" s="1">
        <v>45452</v>
      </c>
      <c r="H1905" s="1">
        <v>45755</v>
      </c>
      <c r="I1905">
        <v>10</v>
      </c>
      <c r="J1905" t="s">
        <v>25</v>
      </c>
      <c r="K1905">
        <v>12990.21</v>
      </c>
    </row>
    <row r="1906" spans="1:11">
      <c r="A1906">
        <v>1905</v>
      </c>
      <c r="B1906" t="s">
        <v>56</v>
      </c>
      <c r="C1906" s="1">
        <v>35430</v>
      </c>
      <c r="D1906">
        <v>29</v>
      </c>
      <c r="E1906" t="s">
        <v>15</v>
      </c>
      <c r="F1906" t="s">
        <v>13</v>
      </c>
      <c r="G1906" s="1">
        <v>45587</v>
      </c>
      <c r="H1906" s="1">
        <v>44988</v>
      </c>
      <c r="I1906">
        <v>27</v>
      </c>
      <c r="K1906">
        <v>15837.14</v>
      </c>
    </row>
    <row r="1907" spans="1:11">
      <c r="A1907">
        <v>1906</v>
      </c>
      <c r="B1907" t="s">
        <v>117</v>
      </c>
      <c r="C1907" s="1">
        <v>34334</v>
      </c>
      <c r="D1907">
        <v>32</v>
      </c>
      <c r="E1907" t="s">
        <v>15</v>
      </c>
      <c r="F1907" t="s">
        <v>16</v>
      </c>
      <c r="G1907" s="1">
        <v>45495</v>
      </c>
      <c r="H1907" s="1">
        <v>45506</v>
      </c>
      <c r="I1907">
        <v>4</v>
      </c>
      <c r="J1907" t="s">
        <v>23</v>
      </c>
      <c r="K1907">
        <v>12586.28</v>
      </c>
    </row>
    <row r="1908" spans="1:11">
      <c r="A1908">
        <v>1907</v>
      </c>
      <c r="B1908" t="s">
        <v>133</v>
      </c>
      <c r="C1908" s="1">
        <v>18263</v>
      </c>
      <c r="G1908" s="1">
        <v>45273</v>
      </c>
      <c r="H1908" s="1">
        <v>45153</v>
      </c>
      <c r="I1908">
        <v>14</v>
      </c>
      <c r="J1908" t="s">
        <v>19</v>
      </c>
      <c r="K1908">
        <v>8316.39</v>
      </c>
    </row>
    <row r="1909" spans="1:11">
      <c r="A1909">
        <v>1908</v>
      </c>
      <c r="B1909" t="s">
        <v>149</v>
      </c>
      <c r="C1909" s="1">
        <v>36891</v>
      </c>
      <c r="D1909">
        <v>25</v>
      </c>
      <c r="E1909" t="s">
        <v>15</v>
      </c>
      <c r="G1909" s="1">
        <v>45228</v>
      </c>
      <c r="H1909" s="1">
        <v>45262</v>
      </c>
      <c r="I1909">
        <v>24</v>
      </c>
      <c r="J1909" t="s">
        <v>25</v>
      </c>
      <c r="K1909">
        <v>7737.54</v>
      </c>
    </row>
    <row r="1910" spans="1:11">
      <c r="A1910">
        <v>1909</v>
      </c>
      <c r="B1910" t="s">
        <v>96</v>
      </c>
      <c r="C1910" s="1">
        <v>38352</v>
      </c>
      <c r="D1910">
        <v>21</v>
      </c>
      <c r="F1910" t="s">
        <v>13</v>
      </c>
      <c r="G1910" s="1">
        <v>45273</v>
      </c>
      <c r="H1910" s="1">
        <v>45766</v>
      </c>
      <c r="I1910">
        <v>32</v>
      </c>
      <c r="J1910" t="s">
        <v>19</v>
      </c>
      <c r="K1910">
        <v>2303.6</v>
      </c>
    </row>
    <row r="1911" spans="1:11">
      <c r="A1911">
        <v>1910</v>
      </c>
      <c r="B1911" t="s">
        <v>67</v>
      </c>
      <c r="C1911" s="1">
        <v>22281</v>
      </c>
      <c r="D1911">
        <v>65</v>
      </c>
      <c r="E1911" t="s">
        <v>15</v>
      </c>
      <c r="F1911" t="s">
        <v>13</v>
      </c>
      <c r="G1911" s="1">
        <v>45334</v>
      </c>
      <c r="H1911" s="1">
        <v>45506</v>
      </c>
      <c r="I1911">
        <v>2</v>
      </c>
      <c r="J1911" t="s">
        <v>19</v>
      </c>
      <c r="K1911">
        <v>15566.81</v>
      </c>
    </row>
    <row r="1912" spans="1:11">
      <c r="A1912">
        <v>1911</v>
      </c>
      <c r="B1912" t="s">
        <v>157</v>
      </c>
      <c r="C1912" s="1">
        <v>32508</v>
      </c>
      <c r="D1912">
        <v>37</v>
      </c>
      <c r="E1912" t="s">
        <v>12</v>
      </c>
      <c r="F1912" t="s">
        <v>21</v>
      </c>
      <c r="G1912" s="1">
        <v>45059</v>
      </c>
      <c r="H1912" s="1">
        <v>45567</v>
      </c>
      <c r="I1912">
        <v>39</v>
      </c>
      <c r="J1912" t="s">
        <v>23</v>
      </c>
      <c r="K1912">
        <v>15198.28</v>
      </c>
    </row>
    <row r="1913" spans="1:11">
      <c r="A1913">
        <v>1912</v>
      </c>
      <c r="B1913" t="s">
        <v>117</v>
      </c>
      <c r="C1913" s="1">
        <v>13515</v>
      </c>
      <c r="D1913">
        <v>89</v>
      </c>
      <c r="E1913" t="s">
        <v>15</v>
      </c>
      <c r="F1913" t="s">
        <v>45</v>
      </c>
      <c r="G1913" s="1">
        <v>45608</v>
      </c>
      <c r="H1913" s="1">
        <v>45038</v>
      </c>
      <c r="I1913">
        <v>2</v>
      </c>
      <c r="J1913" t="s">
        <v>23</v>
      </c>
      <c r="K1913">
        <v>4850.6000000000004</v>
      </c>
    </row>
    <row r="1914" spans="1:11">
      <c r="A1914">
        <v>1913</v>
      </c>
      <c r="B1914" t="s">
        <v>74</v>
      </c>
      <c r="C1914" s="1">
        <v>29586</v>
      </c>
      <c r="D1914">
        <v>45</v>
      </c>
      <c r="E1914" t="s">
        <v>12</v>
      </c>
      <c r="F1914" t="s">
        <v>45</v>
      </c>
      <c r="G1914" s="1">
        <v>45540</v>
      </c>
      <c r="H1914" s="1">
        <v>45418</v>
      </c>
      <c r="I1914">
        <v>21</v>
      </c>
      <c r="K1914">
        <v>17239.91</v>
      </c>
    </row>
    <row r="1915" spans="1:11">
      <c r="A1915">
        <v>1914</v>
      </c>
      <c r="B1915" t="s">
        <v>146</v>
      </c>
      <c r="C1915" s="1">
        <v>40909</v>
      </c>
      <c r="D1915">
        <v>14</v>
      </c>
      <c r="E1915" t="s">
        <v>15</v>
      </c>
      <c r="F1915" t="s">
        <v>13</v>
      </c>
      <c r="G1915" s="1">
        <v>45032</v>
      </c>
      <c r="H1915" s="1">
        <v>45199</v>
      </c>
      <c r="I1915">
        <v>4</v>
      </c>
      <c r="J1915" t="s">
        <v>23</v>
      </c>
      <c r="K1915">
        <v>11738.97</v>
      </c>
    </row>
    <row r="1916" spans="1:11">
      <c r="A1916">
        <v>1915</v>
      </c>
      <c r="B1916" t="s">
        <v>115</v>
      </c>
      <c r="C1916" s="1">
        <v>30317</v>
      </c>
      <c r="D1916">
        <v>43</v>
      </c>
      <c r="E1916" t="s">
        <v>12</v>
      </c>
      <c r="F1916" t="s">
        <v>16</v>
      </c>
      <c r="G1916" s="1">
        <v>45097</v>
      </c>
      <c r="H1916" s="1">
        <v>45740</v>
      </c>
      <c r="I1916">
        <v>4</v>
      </c>
      <c r="K1916">
        <v>9521.61</v>
      </c>
    </row>
    <row r="1917" spans="1:11">
      <c r="A1917">
        <v>1916</v>
      </c>
      <c r="B1917" t="s">
        <v>121</v>
      </c>
      <c r="C1917" s="1">
        <v>28490</v>
      </c>
      <c r="D1917">
        <v>48</v>
      </c>
      <c r="E1917" t="s">
        <v>15</v>
      </c>
      <c r="F1917" t="s">
        <v>18</v>
      </c>
      <c r="G1917" s="1">
        <v>45566</v>
      </c>
      <c r="H1917" s="1">
        <v>44961</v>
      </c>
      <c r="I1917">
        <v>11</v>
      </c>
      <c r="J1917" t="s">
        <v>23</v>
      </c>
      <c r="K1917">
        <v>251.68</v>
      </c>
    </row>
    <row r="1918" spans="1:11">
      <c r="A1918">
        <v>1917</v>
      </c>
      <c r="B1918" t="s">
        <v>49</v>
      </c>
      <c r="D1918">
        <v>74</v>
      </c>
      <c r="E1918" t="s">
        <v>15</v>
      </c>
      <c r="F1918" t="s">
        <v>13</v>
      </c>
      <c r="G1918" s="1">
        <v>45176</v>
      </c>
      <c r="H1918" s="1">
        <v>45139</v>
      </c>
      <c r="I1918">
        <v>12</v>
      </c>
      <c r="J1918" t="s">
        <v>23</v>
      </c>
      <c r="K1918">
        <v>7593.1</v>
      </c>
    </row>
    <row r="1919" spans="1:11">
      <c r="A1919">
        <v>1918</v>
      </c>
      <c r="B1919" t="s">
        <v>34</v>
      </c>
      <c r="C1919" s="1">
        <v>24107</v>
      </c>
      <c r="D1919">
        <v>60</v>
      </c>
      <c r="E1919" t="s">
        <v>12</v>
      </c>
      <c r="F1919" t="s">
        <v>21</v>
      </c>
      <c r="G1919" s="1">
        <v>45470</v>
      </c>
      <c r="H1919" s="1">
        <v>45227</v>
      </c>
      <c r="I1919">
        <v>2</v>
      </c>
      <c r="J1919" t="s">
        <v>25</v>
      </c>
      <c r="K1919">
        <v>12777.48</v>
      </c>
    </row>
    <row r="1920" spans="1:11">
      <c r="A1920">
        <v>1919</v>
      </c>
      <c r="B1920" t="s">
        <v>104</v>
      </c>
      <c r="C1920" s="1">
        <v>21916</v>
      </c>
      <c r="D1920">
        <v>66</v>
      </c>
      <c r="E1920" t="s">
        <v>12</v>
      </c>
      <c r="F1920" t="s">
        <v>13</v>
      </c>
      <c r="G1920" s="1">
        <v>45654</v>
      </c>
      <c r="H1920" s="1">
        <v>45300</v>
      </c>
      <c r="I1920">
        <v>34</v>
      </c>
      <c r="J1920" t="s">
        <v>23</v>
      </c>
      <c r="K1920">
        <v>1703.93</v>
      </c>
    </row>
    <row r="1921" spans="1:11">
      <c r="A1921">
        <v>1920</v>
      </c>
      <c r="B1921" t="s">
        <v>40</v>
      </c>
      <c r="C1921" s="1">
        <v>44196</v>
      </c>
      <c r="D1921">
        <v>5</v>
      </c>
      <c r="E1921" t="s">
        <v>12</v>
      </c>
      <c r="F1921" t="s">
        <v>16</v>
      </c>
      <c r="G1921" s="1">
        <v>45188</v>
      </c>
      <c r="H1921" s="1">
        <v>45052</v>
      </c>
      <c r="I1921">
        <v>1</v>
      </c>
      <c r="J1921" t="s">
        <v>25</v>
      </c>
      <c r="K1921">
        <v>9137.2999999999993</v>
      </c>
    </row>
    <row r="1922" spans="1:11">
      <c r="A1922">
        <v>1921</v>
      </c>
      <c r="B1922" t="s">
        <v>99</v>
      </c>
      <c r="C1922" s="1">
        <v>43100</v>
      </c>
      <c r="D1922">
        <v>8</v>
      </c>
      <c r="E1922" t="s">
        <v>15</v>
      </c>
      <c r="F1922" t="s">
        <v>16</v>
      </c>
      <c r="G1922" s="1">
        <v>45420</v>
      </c>
      <c r="H1922" s="1">
        <v>45030</v>
      </c>
      <c r="I1922">
        <v>27</v>
      </c>
      <c r="J1922" t="s">
        <v>23</v>
      </c>
      <c r="K1922">
        <v>19868.060000000001</v>
      </c>
    </row>
    <row r="1923" spans="1:11">
      <c r="A1923">
        <v>1922</v>
      </c>
      <c r="B1923" t="s">
        <v>138</v>
      </c>
      <c r="C1923" s="1">
        <v>44196</v>
      </c>
      <c r="D1923">
        <v>5</v>
      </c>
      <c r="E1923" t="s">
        <v>12</v>
      </c>
      <c r="F1923" t="s">
        <v>13</v>
      </c>
      <c r="G1923" s="1">
        <v>45170</v>
      </c>
      <c r="H1923" s="1">
        <v>45645</v>
      </c>
      <c r="I1923">
        <v>17</v>
      </c>
      <c r="J1923" t="s">
        <v>25</v>
      </c>
      <c r="K1923">
        <v>14302.43</v>
      </c>
    </row>
    <row r="1924" spans="1:11">
      <c r="A1924">
        <v>1923</v>
      </c>
      <c r="B1924" t="s">
        <v>65</v>
      </c>
      <c r="C1924" s="1">
        <v>19724</v>
      </c>
      <c r="D1924">
        <v>72</v>
      </c>
      <c r="E1924" t="s">
        <v>15</v>
      </c>
      <c r="F1924" t="s">
        <v>45</v>
      </c>
      <c r="G1924" s="1">
        <v>45377</v>
      </c>
      <c r="H1924" s="1">
        <v>45047</v>
      </c>
      <c r="I1924">
        <v>23</v>
      </c>
      <c r="J1924" t="s">
        <v>19</v>
      </c>
      <c r="K1924">
        <v>10892.1</v>
      </c>
    </row>
    <row r="1925" spans="1:11">
      <c r="A1925">
        <v>1924</v>
      </c>
      <c r="B1925" t="s">
        <v>52</v>
      </c>
      <c r="C1925" s="1">
        <v>11689</v>
      </c>
      <c r="D1925">
        <v>94</v>
      </c>
      <c r="F1925" t="s">
        <v>13</v>
      </c>
      <c r="G1925" s="1">
        <v>45216</v>
      </c>
      <c r="H1925" s="1">
        <v>45609</v>
      </c>
      <c r="I1925">
        <v>6</v>
      </c>
      <c r="K1925">
        <v>10613.96</v>
      </c>
    </row>
    <row r="1926" spans="1:11">
      <c r="A1926">
        <v>1925</v>
      </c>
      <c r="B1926" t="s">
        <v>94</v>
      </c>
      <c r="C1926" s="1">
        <v>34700</v>
      </c>
      <c r="D1926">
        <v>31</v>
      </c>
      <c r="E1926" t="s">
        <v>12</v>
      </c>
      <c r="F1926" t="s">
        <v>32</v>
      </c>
      <c r="G1926" s="1">
        <v>45189</v>
      </c>
      <c r="H1926" s="1">
        <v>45474</v>
      </c>
      <c r="I1926">
        <v>27</v>
      </c>
      <c r="J1926" t="s">
        <v>23</v>
      </c>
      <c r="K1926">
        <v>779.68</v>
      </c>
    </row>
    <row r="1927" spans="1:11">
      <c r="A1927">
        <v>1926</v>
      </c>
      <c r="B1927" t="s">
        <v>82</v>
      </c>
      <c r="C1927" s="1">
        <v>31412</v>
      </c>
      <c r="D1927">
        <v>40</v>
      </c>
      <c r="E1927" t="s">
        <v>15</v>
      </c>
      <c r="F1927" t="s">
        <v>32</v>
      </c>
      <c r="G1927" s="1">
        <v>45240</v>
      </c>
      <c r="H1927" s="1">
        <v>45821</v>
      </c>
      <c r="I1927">
        <v>19</v>
      </c>
      <c r="J1927" t="s">
        <v>25</v>
      </c>
      <c r="K1927">
        <v>19142.02</v>
      </c>
    </row>
    <row r="1928" spans="1:11">
      <c r="A1928">
        <v>1927</v>
      </c>
      <c r="B1928" t="s">
        <v>54</v>
      </c>
      <c r="C1928" s="1">
        <v>18629</v>
      </c>
      <c r="D1928">
        <v>75</v>
      </c>
      <c r="E1928" t="s">
        <v>12</v>
      </c>
      <c r="F1928" t="s">
        <v>18</v>
      </c>
      <c r="G1928" s="1">
        <v>45011</v>
      </c>
      <c r="H1928" s="1">
        <v>45258</v>
      </c>
      <c r="I1928">
        <v>37</v>
      </c>
      <c r="J1928" t="s">
        <v>23</v>
      </c>
      <c r="K1928">
        <v>18556.37</v>
      </c>
    </row>
    <row r="1929" spans="1:11">
      <c r="A1929">
        <v>1928</v>
      </c>
      <c r="B1929" t="s">
        <v>130</v>
      </c>
      <c r="C1929" s="1">
        <v>43466</v>
      </c>
      <c r="D1929">
        <v>7</v>
      </c>
      <c r="E1929" t="s">
        <v>12</v>
      </c>
      <c r="F1929" t="s">
        <v>21</v>
      </c>
      <c r="G1929" s="1">
        <v>45341</v>
      </c>
      <c r="H1929" s="1">
        <v>45685</v>
      </c>
      <c r="I1929">
        <v>38</v>
      </c>
      <c r="J1929" t="s">
        <v>25</v>
      </c>
      <c r="K1929">
        <v>13616.33</v>
      </c>
    </row>
    <row r="1930" spans="1:11">
      <c r="A1930">
        <v>1929</v>
      </c>
      <c r="B1930" t="s">
        <v>158</v>
      </c>
      <c r="C1930" s="1">
        <v>20090</v>
      </c>
      <c r="D1930">
        <v>71</v>
      </c>
      <c r="E1930" t="s">
        <v>15</v>
      </c>
      <c r="F1930" t="s">
        <v>21</v>
      </c>
      <c r="G1930" s="1">
        <v>45255</v>
      </c>
      <c r="H1930" s="1">
        <v>45779</v>
      </c>
      <c r="I1930">
        <v>27</v>
      </c>
      <c r="J1930" t="s">
        <v>25</v>
      </c>
      <c r="K1930">
        <v>1890.13</v>
      </c>
    </row>
    <row r="1931" spans="1:11">
      <c r="A1931">
        <v>1930</v>
      </c>
      <c r="B1931" t="s">
        <v>86</v>
      </c>
      <c r="C1931" s="1">
        <v>28125</v>
      </c>
      <c r="D1931">
        <v>49</v>
      </c>
      <c r="E1931" t="s">
        <v>12</v>
      </c>
      <c r="G1931" s="1">
        <v>44971</v>
      </c>
      <c r="H1931" s="1">
        <v>45236</v>
      </c>
      <c r="I1931">
        <v>17</v>
      </c>
      <c r="J1931" t="s">
        <v>23</v>
      </c>
      <c r="K1931">
        <v>4077.46</v>
      </c>
    </row>
    <row r="1932" spans="1:11">
      <c r="A1932">
        <v>1931</v>
      </c>
      <c r="B1932" t="s">
        <v>44</v>
      </c>
      <c r="C1932" s="1">
        <v>12785</v>
      </c>
      <c r="D1932">
        <v>91</v>
      </c>
      <c r="E1932" t="s">
        <v>15</v>
      </c>
      <c r="F1932" t="s">
        <v>45</v>
      </c>
      <c r="G1932" s="1">
        <v>45259</v>
      </c>
      <c r="H1932" s="1">
        <v>45497</v>
      </c>
      <c r="I1932">
        <v>25</v>
      </c>
      <c r="K1932">
        <v>3596.58</v>
      </c>
    </row>
    <row r="1933" spans="1:11">
      <c r="A1933">
        <v>1932</v>
      </c>
      <c r="B1933" t="s">
        <v>48</v>
      </c>
      <c r="C1933" s="1">
        <v>23742</v>
      </c>
      <c r="D1933">
        <v>61</v>
      </c>
      <c r="E1933" t="s">
        <v>12</v>
      </c>
      <c r="F1933" t="s">
        <v>21</v>
      </c>
      <c r="G1933" s="1">
        <v>45391</v>
      </c>
      <c r="H1933" s="1">
        <v>45339</v>
      </c>
      <c r="I1933">
        <v>4</v>
      </c>
      <c r="J1933" t="s">
        <v>25</v>
      </c>
      <c r="K1933">
        <v>10343.530000000001</v>
      </c>
    </row>
    <row r="1934" spans="1:11">
      <c r="A1934">
        <v>1933</v>
      </c>
      <c r="B1934" t="s">
        <v>126</v>
      </c>
      <c r="C1934" s="1">
        <v>15707</v>
      </c>
      <c r="D1934">
        <v>83</v>
      </c>
      <c r="E1934" t="s">
        <v>15</v>
      </c>
      <c r="F1934" t="s">
        <v>18</v>
      </c>
      <c r="G1934" s="1">
        <v>45126</v>
      </c>
      <c r="H1934" s="1">
        <v>45326</v>
      </c>
      <c r="I1934">
        <v>1</v>
      </c>
      <c r="J1934" t="s">
        <v>19</v>
      </c>
      <c r="K1934">
        <v>4076.86</v>
      </c>
    </row>
    <row r="1935" spans="1:11">
      <c r="A1935">
        <v>1934</v>
      </c>
      <c r="B1935" t="s">
        <v>108</v>
      </c>
      <c r="C1935" s="1">
        <v>23742</v>
      </c>
      <c r="D1935">
        <v>61</v>
      </c>
      <c r="E1935" t="s">
        <v>15</v>
      </c>
      <c r="F1935" t="s">
        <v>32</v>
      </c>
      <c r="G1935" s="1">
        <v>45127</v>
      </c>
      <c r="H1935" s="1">
        <v>45233</v>
      </c>
      <c r="I1935">
        <v>25</v>
      </c>
      <c r="J1935" t="s">
        <v>23</v>
      </c>
      <c r="K1935">
        <v>13885.59</v>
      </c>
    </row>
    <row r="1936" spans="1:11">
      <c r="A1936">
        <v>1935</v>
      </c>
      <c r="B1936" t="s">
        <v>149</v>
      </c>
      <c r="C1936" s="1">
        <v>43831</v>
      </c>
      <c r="D1936">
        <v>6</v>
      </c>
      <c r="E1936" t="s">
        <v>15</v>
      </c>
      <c r="F1936" t="s">
        <v>45</v>
      </c>
      <c r="G1936" s="1">
        <v>45255</v>
      </c>
      <c r="H1936" s="1">
        <v>45580</v>
      </c>
      <c r="I1936">
        <v>32</v>
      </c>
      <c r="J1936" t="s">
        <v>19</v>
      </c>
      <c r="K1936">
        <v>10859.12</v>
      </c>
    </row>
    <row r="1937" spans="1:11">
      <c r="A1937">
        <v>1936</v>
      </c>
      <c r="B1937" t="s">
        <v>156</v>
      </c>
      <c r="C1937" s="1">
        <v>18994</v>
      </c>
      <c r="E1937" t="s">
        <v>12</v>
      </c>
      <c r="F1937" t="s">
        <v>16</v>
      </c>
      <c r="G1937" s="1">
        <v>45606</v>
      </c>
      <c r="H1937" s="1">
        <v>45550</v>
      </c>
      <c r="I1937">
        <v>30</v>
      </c>
      <c r="J1937" t="s">
        <v>25</v>
      </c>
      <c r="K1937">
        <v>254.93</v>
      </c>
    </row>
    <row r="1938" spans="1:11">
      <c r="A1938">
        <v>1937</v>
      </c>
      <c r="B1938" t="s">
        <v>160</v>
      </c>
      <c r="C1938" s="1">
        <v>15707</v>
      </c>
      <c r="D1938">
        <v>83</v>
      </c>
      <c r="E1938" t="s">
        <v>12</v>
      </c>
      <c r="F1938" t="s">
        <v>32</v>
      </c>
      <c r="G1938" s="1">
        <v>45166</v>
      </c>
      <c r="H1938" s="1">
        <v>45090</v>
      </c>
      <c r="I1938">
        <v>4</v>
      </c>
      <c r="J1938" t="s">
        <v>25</v>
      </c>
      <c r="K1938">
        <v>14855.55</v>
      </c>
    </row>
    <row r="1939" spans="1:11">
      <c r="A1939">
        <v>1938</v>
      </c>
      <c r="B1939" t="s">
        <v>148</v>
      </c>
      <c r="C1939" s="1">
        <v>17168</v>
      </c>
      <c r="D1939">
        <v>79</v>
      </c>
      <c r="F1939" t="s">
        <v>18</v>
      </c>
      <c r="G1939" s="1">
        <v>45628</v>
      </c>
      <c r="H1939" s="1">
        <v>45550</v>
      </c>
      <c r="I1939">
        <v>6</v>
      </c>
      <c r="J1939" t="s">
        <v>23</v>
      </c>
      <c r="K1939">
        <v>3695.46</v>
      </c>
    </row>
    <row r="1940" spans="1:11">
      <c r="A1940">
        <v>1939</v>
      </c>
      <c r="B1940" t="s">
        <v>121</v>
      </c>
      <c r="C1940" s="1">
        <v>44927</v>
      </c>
      <c r="D1940">
        <v>3</v>
      </c>
      <c r="E1940" t="s">
        <v>15</v>
      </c>
      <c r="F1940" t="s">
        <v>45</v>
      </c>
      <c r="G1940" s="1">
        <v>45509</v>
      </c>
      <c r="H1940" s="1">
        <v>45591</v>
      </c>
      <c r="I1940">
        <v>31</v>
      </c>
      <c r="K1940">
        <v>16480.189999999999</v>
      </c>
    </row>
    <row r="1941" spans="1:11">
      <c r="A1941">
        <v>1940</v>
      </c>
      <c r="B1941" t="s">
        <v>102</v>
      </c>
      <c r="C1941" s="1">
        <v>44196</v>
      </c>
      <c r="D1941">
        <v>5</v>
      </c>
      <c r="E1941" t="s">
        <v>15</v>
      </c>
      <c r="F1941" t="s">
        <v>13</v>
      </c>
      <c r="G1941" s="1">
        <v>45583</v>
      </c>
      <c r="H1941" s="1">
        <v>45815</v>
      </c>
      <c r="I1941">
        <v>36</v>
      </c>
      <c r="J1941" t="s">
        <v>19</v>
      </c>
      <c r="K1941">
        <v>7036.41</v>
      </c>
    </row>
    <row r="1942" spans="1:11">
      <c r="A1942">
        <v>1941</v>
      </c>
      <c r="B1942" t="s">
        <v>165</v>
      </c>
      <c r="C1942" s="1">
        <v>25203</v>
      </c>
      <c r="D1942">
        <v>57</v>
      </c>
      <c r="E1942" t="s">
        <v>12</v>
      </c>
      <c r="F1942" t="s">
        <v>21</v>
      </c>
      <c r="G1942" s="1">
        <v>45285</v>
      </c>
      <c r="H1942" s="1">
        <v>44992</v>
      </c>
      <c r="I1942">
        <v>39</v>
      </c>
      <c r="K1942">
        <v>6706.26</v>
      </c>
    </row>
    <row r="1943" spans="1:11">
      <c r="A1943">
        <v>1942</v>
      </c>
      <c r="B1943" t="s">
        <v>55</v>
      </c>
      <c r="C1943" s="1">
        <v>38352</v>
      </c>
      <c r="D1943">
        <v>21</v>
      </c>
      <c r="E1943" t="s">
        <v>12</v>
      </c>
      <c r="F1943" t="s">
        <v>18</v>
      </c>
      <c r="G1943" s="1">
        <v>45647</v>
      </c>
      <c r="H1943" s="1">
        <v>45545</v>
      </c>
      <c r="I1943">
        <v>31</v>
      </c>
      <c r="J1943" t="s">
        <v>19</v>
      </c>
      <c r="K1943">
        <v>137.53</v>
      </c>
    </row>
    <row r="1944" spans="1:11">
      <c r="A1944">
        <v>1943</v>
      </c>
      <c r="B1944" t="s">
        <v>24</v>
      </c>
      <c r="C1944" s="1">
        <v>36891</v>
      </c>
      <c r="D1944">
        <v>25</v>
      </c>
      <c r="E1944" t="s">
        <v>15</v>
      </c>
      <c r="F1944" t="s">
        <v>45</v>
      </c>
      <c r="G1944" s="1">
        <v>45286</v>
      </c>
      <c r="H1944" s="1">
        <v>45143</v>
      </c>
      <c r="I1944">
        <v>10</v>
      </c>
      <c r="K1944">
        <v>19753.349999999999</v>
      </c>
    </row>
    <row r="1945" spans="1:11">
      <c r="A1945">
        <v>1944</v>
      </c>
      <c r="B1945" t="s">
        <v>44</v>
      </c>
      <c r="C1945" s="1">
        <v>45292</v>
      </c>
      <c r="D1945">
        <v>2</v>
      </c>
      <c r="E1945" t="s">
        <v>15</v>
      </c>
      <c r="F1945" t="s">
        <v>32</v>
      </c>
      <c r="G1945" s="1">
        <v>45304</v>
      </c>
      <c r="H1945" s="1">
        <v>45530</v>
      </c>
      <c r="I1945">
        <v>26</v>
      </c>
      <c r="J1945" t="s">
        <v>23</v>
      </c>
      <c r="K1945">
        <v>12201.29</v>
      </c>
    </row>
    <row r="1946" spans="1:11">
      <c r="A1946">
        <v>1945</v>
      </c>
      <c r="B1946" t="s">
        <v>81</v>
      </c>
      <c r="C1946" s="1">
        <v>31412</v>
      </c>
      <c r="D1946">
        <v>40</v>
      </c>
      <c r="E1946" t="s">
        <v>12</v>
      </c>
      <c r="F1946" t="s">
        <v>45</v>
      </c>
      <c r="G1946" s="1">
        <v>45311</v>
      </c>
      <c r="H1946" s="1">
        <v>44953</v>
      </c>
      <c r="I1946">
        <v>32</v>
      </c>
      <c r="J1946" t="s">
        <v>19</v>
      </c>
      <c r="K1946">
        <v>8396.8799999999992</v>
      </c>
    </row>
    <row r="1947" spans="1:11">
      <c r="A1947">
        <v>1946</v>
      </c>
      <c r="B1947" t="s">
        <v>68</v>
      </c>
      <c r="C1947" s="1">
        <v>24473</v>
      </c>
      <c r="D1947">
        <v>59</v>
      </c>
      <c r="E1947" t="s">
        <v>15</v>
      </c>
      <c r="F1947" t="s">
        <v>13</v>
      </c>
      <c r="G1947" s="1">
        <v>45646</v>
      </c>
      <c r="H1947" s="1">
        <v>45596</v>
      </c>
      <c r="I1947">
        <v>7</v>
      </c>
      <c r="J1947" t="s">
        <v>23</v>
      </c>
      <c r="K1947">
        <v>1842.09</v>
      </c>
    </row>
    <row r="1948" spans="1:11">
      <c r="A1948">
        <v>1947</v>
      </c>
      <c r="B1948" t="s">
        <v>57</v>
      </c>
      <c r="C1948" s="1">
        <v>41274</v>
      </c>
      <c r="D1948">
        <v>13</v>
      </c>
      <c r="E1948" t="s">
        <v>12</v>
      </c>
      <c r="F1948" t="s">
        <v>18</v>
      </c>
      <c r="G1948" s="1">
        <v>45391</v>
      </c>
      <c r="H1948" s="1">
        <v>45511</v>
      </c>
      <c r="I1948">
        <v>27</v>
      </c>
      <c r="K1948">
        <v>13952.88</v>
      </c>
    </row>
    <row r="1949" spans="1:11">
      <c r="A1949">
        <v>1948</v>
      </c>
      <c r="B1949" t="s">
        <v>139</v>
      </c>
      <c r="C1949" s="1">
        <v>18994</v>
      </c>
      <c r="D1949">
        <v>74</v>
      </c>
      <c r="E1949" t="s">
        <v>12</v>
      </c>
      <c r="F1949" t="s">
        <v>45</v>
      </c>
      <c r="G1949" s="1">
        <v>45148</v>
      </c>
      <c r="H1949" s="1">
        <v>44971</v>
      </c>
      <c r="I1949">
        <v>23</v>
      </c>
      <c r="K1949">
        <v>5582.88</v>
      </c>
    </row>
    <row r="1950" spans="1:11">
      <c r="A1950">
        <v>1949</v>
      </c>
      <c r="B1950" t="s">
        <v>105</v>
      </c>
      <c r="C1950" s="1">
        <v>16437</v>
      </c>
      <c r="D1950">
        <v>81</v>
      </c>
      <c r="E1950" t="s">
        <v>12</v>
      </c>
      <c r="F1950" t="s">
        <v>16</v>
      </c>
      <c r="G1950" s="1">
        <v>45601</v>
      </c>
      <c r="H1950" s="1">
        <v>45017</v>
      </c>
      <c r="I1950">
        <v>32</v>
      </c>
      <c r="K1950">
        <v>19764.439999999999</v>
      </c>
    </row>
    <row r="1951" spans="1:11">
      <c r="A1951">
        <v>1950</v>
      </c>
      <c r="B1951" t="s">
        <v>84</v>
      </c>
      <c r="C1951" s="1">
        <v>42005</v>
      </c>
      <c r="E1951" t="s">
        <v>12</v>
      </c>
      <c r="F1951" t="s">
        <v>18</v>
      </c>
      <c r="G1951" s="1">
        <v>45291</v>
      </c>
      <c r="H1951" s="1">
        <v>45060</v>
      </c>
      <c r="I1951">
        <v>25</v>
      </c>
      <c r="J1951" t="s">
        <v>23</v>
      </c>
      <c r="K1951">
        <v>19006</v>
      </c>
    </row>
    <row r="1952" spans="1:11">
      <c r="A1952">
        <v>1951</v>
      </c>
      <c r="B1952" t="s">
        <v>71</v>
      </c>
      <c r="C1952" s="1">
        <v>14611</v>
      </c>
      <c r="E1952" t="s">
        <v>15</v>
      </c>
      <c r="F1952" t="s">
        <v>18</v>
      </c>
      <c r="G1952" s="1">
        <v>44998</v>
      </c>
      <c r="H1952" s="1">
        <v>45088</v>
      </c>
      <c r="I1952">
        <v>26</v>
      </c>
      <c r="J1952" t="s">
        <v>25</v>
      </c>
      <c r="K1952">
        <v>14679.46</v>
      </c>
    </row>
    <row r="1953" spans="1:11">
      <c r="A1953">
        <v>1952</v>
      </c>
      <c r="B1953" t="s">
        <v>97</v>
      </c>
      <c r="C1953" s="1">
        <v>42005</v>
      </c>
      <c r="D1953">
        <v>11</v>
      </c>
      <c r="E1953" t="s">
        <v>12</v>
      </c>
      <c r="F1953" t="s">
        <v>32</v>
      </c>
      <c r="G1953" s="1">
        <v>45166</v>
      </c>
      <c r="H1953" s="1">
        <v>45671</v>
      </c>
      <c r="I1953">
        <v>3</v>
      </c>
      <c r="J1953" t="s">
        <v>25</v>
      </c>
      <c r="K1953">
        <v>19418.55</v>
      </c>
    </row>
    <row r="1954" spans="1:11">
      <c r="A1954">
        <v>1953</v>
      </c>
      <c r="B1954" t="s">
        <v>107</v>
      </c>
      <c r="C1954" s="1">
        <v>41639</v>
      </c>
      <c r="D1954">
        <v>12</v>
      </c>
      <c r="E1954" t="s">
        <v>12</v>
      </c>
      <c r="G1954" s="1">
        <v>45430</v>
      </c>
      <c r="H1954" s="1">
        <v>45307</v>
      </c>
      <c r="I1954">
        <v>0</v>
      </c>
      <c r="J1954" t="s">
        <v>19</v>
      </c>
      <c r="K1954">
        <v>2023.24</v>
      </c>
    </row>
    <row r="1955" spans="1:11">
      <c r="A1955">
        <v>1954</v>
      </c>
      <c r="B1955" t="s">
        <v>129</v>
      </c>
      <c r="C1955" s="1">
        <v>37256</v>
      </c>
      <c r="D1955">
        <v>24</v>
      </c>
      <c r="E1955" t="s">
        <v>15</v>
      </c>
      <c r="F1955" t="s">
        <v>21</v>
      </c>
      <c r="G1955" s="1">
        <v>45340</v>
      </c>
      <c r="H1955" s="1">
        <v>45188</v>
      </c>
      <c r="I1955">
        <v>26</v>
      </c>
      <c r="J1955" t="s">
        <v>23</v>
      </c>
      <c r="K1955">
        <v>5526.3</v>
      </c>
    </row>
    <row r="1956" spans="1:11">
      <c r="A1956">
        <v>1955</v>
      </c>
      <c r="B1956" t="s">
        <v>109</v>
      </c>
      <c r="C1956" s="1">
        <v>29951</v>
      </c>
      <c r="D1956">
        <v>44</v>
      </c>
      <c r="E1956" t="s">
        <v>12</v>
      </c>
      <c r="G1956" s="1">
        <v>45053</v>
      </c>
      <c r="H1956" s="1">
        <v>45310</v>
      </c>
      <c r="I1956">
        <v>-1</v>
      </c>
      <c r="J1956" t="s">
        <v>23</v>
      </c>
      <c r="K1956">
        <v>4990.1899999999996</v>
      </c>
    </row>
    <row r="1957" spans="1:11">
      <c r="A1957">
        <v>1956</v>
      </c>
      <c r="B1957" t="s">
        <v>59</v>
      </c>
      <c r="C1957" s="1">
        <v>39448</v>
      </c>
      <c r="D1957">
        <v>18</v>
      </c>
      <c r="E1957" t="s">
        <v>15</v>
      </c>
      <c r="F1957" t="s">
        <v>16</v>
      </c>
      <c r="G1957" s="1">
        <v>45413</v>
      </c>
      <c r="H1957" s="1">
        <v>45296</v>
      </c>
      <c r="I1957">
        <v>19</v>
      </c>
      <c r="J1957" t="s">
        <v>23</v>
      </c>
      <c r="K1957">
        <v>1347.45</v>
      </c>
    </row>
    <row r="1958" spans="1:11">
      <c r="A1958">
        <v>1957</v>
      </c>
      <c r="B1958" t="s">
        <v>34</v>
      </c>
      <c r="C1958" s="1">
        <v>26299</v>
      </c>
      <c r="D1958">
        <v>54</v>
      </c>
      <c r="E1958" t="s">
        <v>12</v>
      </c>
      <c r="F1958" t="s">
        <v>13</v>
      </c>
      <c r="G1958" s="1">
        <v>45523</v>
      </c>
      <c r="H1958" s="1">
        <v>45038</v>
      </c>
      <c r="I1958">
        <v>24</v>
      </c>
      <c r="K1958">
        <v>19441.75</v>
      </c>
    </row>
    <row r="1959" spans="1:11">
      <c r="A1959">
        <v>1958</v>
      </c>
      <c r="B1959" t="s">
        <v>57</v>
      </c>
      <c r="C1959" s="1">
        <v>29951</v>
      </c>
      <c r="D1959">
        <v>44</v>
      </c>
      <c r="E1959" t="s">
        <v>15</v>
      </c>
      <c r="F1959" t="s">
        <v>45</v>
      </c>
      <c r="G1959" s="1">
        <v>45453</v>
      </c>
      <c r="H1959" s="1">
        <v>45603</v>
      </c>
      <c r="I1959">
        <v>19</v>
      </c>
      <c r="J1959" t="s">
        <v>23</v>
      </c>
      <c r="K1959">
        <v>1105.48</v>
      </c>
    </row>
    <row r="1960" spans="1:11">
      <c r="A1960">
        <v>1959</v>
      </c>
      <c r="B1960" t="s">
        <v>166</v>
      </c>
      <c r="C1960" s="1">
        <v>43466</v>
      </c>
      <c r="D1960">
        <v>7</v>
      </c>
      <c r="E1960" t="s">
        <v>12</v>
      </c>
      <c r="G1960" s="1">
        <v>45174</v>
      </c>
      <c r="H1960" s="1">
        <v>45004</v>
      </c>
      <c r="I1960">
        <v>7</v>
      </c>
      <c r="J1960" t="s">
        <v>25</v>
      </c>
      <c r="K1960">
        <v>17119.45</v>
      </c>
    </row>
    <row r="1961" spans="1:11">
      <c r="A1961">
        <v>1960</v>
      </c>
      <c r="B1961" t="s">
        <v>43</v>
      </c>
      <c r="C1961" s="1">
        <v>12419</v>
      </c>
      <c r="D1961">
        <v>92</v>
      </c>
      <c r="E1961" t="s">
        <v>15</v>
      </c>
      <c r="F1961" t="s">
        <v>21</v>
      </c>
      <c r="G1961" s="1">
        <v>45408</v>
      </c>
      <c r="H1961" s="1">
        <v>45136</v>
      </c>
      <c r="I1961">
        <v>16</v>
      </c>
      <c r="J1961" t="s">
        <v>19</v>
      </c>
      <c r="K1961">
        <v>15340.04</v>
      </c>
    </row>
    <row r="1962" spans="1:11">
      <c r="A1962">
        <v>1961</v>
      </c>
      <c r="B1962" t="s">
        <v>70</v>
      </c>
      <c r="D1962">
        <v>52</v>
      </c>
      <c r="E1962" t="s">
        <v>15</v>
      </c>
      <c r="F1962" t="s">
        <v>32</v>
      </c>
      <c r="G1962" s="1">
        <v>45238</v>
      </c>
      <c r="H1962" s="1">
        <v>44940</v>
      </c>
      <c r="I1962">
        <v>21</v>
      </c>
      <c r="J1962" t="s">
        <v>25</v>
      </c>
      <c r="K1962">
        <v>7454.93</v>
      </c>
    </row>
    <row r="1963" spans="1:11">
      <c r="A1963">
        <v>1962</v>
      </c>
      <c r="B1963" t="s">
        <v>160</v>
      </c>
      <c r="C1963" s="1">
        <v>26299</v>
      </c>
      <c r="D1963">
        <v>54</v>
      </c>
      <c r="F1963" t="s">
        <v>21</v>
      </c>
      <c r="G1963" s="1">
        <v>45370</v>
      </c>
      <c r="H1963" s="1">
        <v>45497</v>
      </c>
      <c r="I1963">
        <v>24</v>
      </c>
      <c r="J1963" t="s">
        <v>23</v>
      </c>
      <c r="K1963">
        <v>278.02999999999997</v>
      </c>
    </row>
    <row r="1964" spans="1:11">
      <c r="A1964">
        <v>1963</v>
      </c>
      <c r="B1964" t="s">
        <v>41</v>
      </c>
      <c r="C1964" s="1">
        <v>34700</v>
      </c>
      <c r="D1964">
        <v>31</v>
      </c>
      <c r="E1964" t="s">
        <v>12</v>
      </c>
      <c r="F1964" t="s">
        <v>18</v>
      </c>
      <c r="G1964" s="1">
        <v>45209</v>
      </c>
      <c r="H1964" s="1">
        <v>45825</v>
      </c>
      <c r="I1964">
        <v>33</v>
      </c>
      <c r="J1964" t="s">
        <v>19</v>
      </c>
      <c r="K1964">
        <v>22.53</v>
      </c>
    </row>
    <row r="1965" spans="1:11">
      <c r="A1965">
        <v>1964</v>
      </c>
      <c r="B1965" t="s">
        <v>57</v>
      </c>
      <c r="C1965" s="1">
        <v>27760</v>
      </c>
      <c r="D1965">
        <v>50</v>
      </c>
      <c r="E1965" t="s">
        <v>15</v>
      </c>
      <c r="F1965" t="s">
        <v>18</v>
      </c>
      <c r="G1965" s="1">
        <v>44928</v>
      </c>
      <c r="H1965" s="1">
        <v>45783</v>
      </c>
      <c r="I1965">
        <v>14</v>
      </c>
      <c r="J1965" t="s">
        <v>19</v>
      </c>
      <c r="K1965">
        <v>4000.28</v>
      </c>
    </row>
    <row r="1966" spans="1:11">
      <c r="A1966">
        <v>1965</v>
      </c>
      <c r="B1966" t="s">
        <v>109</v>
      </c>
      <c r="C1966" s="1">
        <v>30317</v>
      </c>
      <c r="D1966">
        <v>43</v>
      </c>
      <c r="E1966" t="s">
        <v>15</v>
      </c>
      <c r="F1966" t="s">
        <v>13</v>
      </c>
      <c r="G1966" s="1">
        <v>45000</v>
      </c>
      <c r="H1966" s="1">
        <v>45475</v>
      </c>
      <c r="I1966">
        <v>7</v>
      </c>
      <c r="J1966" t="s">
        <v>23</v>
      </c>
      <c r="K1966">
        <v>9826.92</v>
      </c>
    </row>
    <row r="1967" spans="1:11">
      <c r="A1967">
        <v>1966</v>
      </c>
      <c r="B1967" t="s">
        <v>62</v>
      </c>
      <c r="C1967" s="1">
        <v>16437</v>
      </c>
      <c r="D1967">
        <v>81</v>
      </c>
      <c r="E1967" t="s">
        <v>15</v>
      </c>
      <c r="F1967" t="s">
        <v>16</v>
      </c>
      <c r="G1967" s="1">
        <v>44990</v>
      </c>
      <c r="H1967" s="1">
        <v>44952</v>
      </c>
      <c r="I1967">
        <v>14</v>
      </c>
      <c r="J1967" t="s">
        <v>23</v>
      </c>
      <c r="K1967">
        <v>9103.99</v>
      </c>
    </row>
    <row r="1968" spans="1:11">
      <c r="A1968">
        <v>1967</v>
      </c>
      <c r="B1968" t="s">
        <v>122</v>
      </c>
      <c r="C1968" s="1">
        <v>20820</v>
      </c>
      <c r="D1968">
        <v>69</v>
      </c>
      <c r="E1968" t="s">
        <v>12</v>
      </c>
      <c r="F1968" t="s">
        <v>45</v>
      </c>
      <c r="G1968" s="1">
        <v>45273</v>
      </c>
      <c r="H1968" s="1">
        <v>45473</v>
      </c>
      <c r="I1968">
        <v>7</v>
      </c>
      <c r="J1968" t="s">
        <v>25</v>
      </c>
      <c r="K1968">
        <v>11664.38</v>
      </c>
    </row>
    <row r="1969" spans="1:11">
      <c r="A1969">
        <v>1968</v>
      </c>
      <c r="B1969" t="s">
        <v>170</v>
      </c>
      <c r="C1969" s="1">
        <v>39813</v>
      </c>
      <c r="D1969">
        <v>17</v>
      </c>
      <c r="E1969" t="s">
        <v>12</v>
      </c>
      <c r="F1969" t="s">
        <v>45</v>
      </c>
      <c r="G1969" s="1">
        <v>45250</v>
      </c>
      <c r="H1969" s="1">
        <v>45067</v>
      </c>
      <c r="I1969">
        <v>7</v>
      </c>
      <c r="J1969" t="s">
        <v>25</v>
      </c>
      <c r="K1969">
        <v>15416.38</v>
      </c>
    </row>
    <row r="1970" spans="1:11">
      <c r="A1970">
        <v>1969</v>
      </c>
      <c r="B1970" t="s">
        <v>99</v>
      </c>
      <c r="C1970" s="1">
        <v>16072</v>
      </c>
      <c r="D1970">
        <v>82</v>
      </c>
      <c r="E1970" t="s">
        <v>12</v>
      </c>
      <c r="F1970" t="s">
        <v>32</v>
      </c>
      <c r="G1970" s="1">
        <v>45165</v>
      </c>
      <c r="H1970" s="1">
        <v>45202</v>
      </c>
      <c r="I1970">
        <v>35</v>
      </c>
      <c r="K1970">
        <v>7484.83</v>
      </c>
    </row>
    <row r="1971" spans="1:11">
      <c r="A1971">
        <v>1970</v>
      </c>
      <c r="B1971" t="s">
        <v>50</v>
      </c>
      <c r="C1971" s="1">
        <v>38352</v>
      </c>
      <c r="D1971">
        <v>21</v>
      </c>
      <c r="E1971" t="s">
        <v>12</v>
      </c>
      <c r="F1971" t="s">
        <v>13</v>
      </c>
      <c r="G1971" s="1">
        <v>45323</v>
      </c>
      <c r="H1971" s="1">
        <v>45297</v>
      </c>
      <c r="I1971">
        <v>14</v>
      </c>
      <c r="K1971">
        <v>3123.31</v>
      </c>
    </row>
    <row r="1972" spans="1:11">
      <c r="A1972">
        <v>1971</v>
      </c>
      <c r="B1972" t="s">
        <v>17</v>
      </c>
      <c r="C1972" s="1">
        <v>32873</v>
      </c>
      <c r="D1972">
        <v>36</v>
      </c>
      <c r="E1972" t="s">
        <v>12</v>
      </c>
      <c r="F1972" t="s">
        <v>45</v>
      </c>
      <c r="G1972" s="1">
        <v>45263</v>
      </c>
      <c r="H1972" s="1">
        <v>45801</v>
      </c>
      <c r="I1972">
        <v>23</v>
      </c>
      <c r="K1972">
        <v>15980.98</v>
      </c>
    </row>
    <row r="1973" spans="1:11">
      <c r="A1973">
        <v>1972</v>
      </c>
      <c r="B1973" t="s">
        <v>91</v>
      </c>
      <c r="C1973" s="1">
        <v>25934</v>
      </c>
      <c r="D1973">
        <v>55</v>
      </c>
      <c r="E1973" t="s">
        <v>15</v>
      </c>
      <c r="F1973" t="s">
        <v>16</v>
      </c>
      <c r="G1973" s="1">
        <v>45267</v>
      </c>
      <c r="H1973" s="1">
        <v>45149</v>
      </c>
      <c r="I1973">
        <v>23</v>
      </c>
      <c r="J1973" t="s">
        <v>23</v>
      </c>
      <c r="K1973">
        <v>6587.08</v>
      </c>
    </row>
    <row r="1974" spans="1:11">
      <c r="A1974">
        <v>1973</v>
      </c>
      <c r="B1974" t="s">
        <v>159</v>
      </c>
      <c r="C1974" s="1">
        <v>24838</v>
      </c>
      <c r="D1974">
        <v>58</v>
      </c>
      <c r="E1974" t="s">
        <v>15</v>
      </c>
      <c r="F1974" t="s">
        <v>18</v>
      </c>
      <c r="G1974" s="1">
        <v>45205</v>
      </c>
      <c r="H1974" s="1">
        <v>44964</v>
      </c>
      <c r="I1974">
        <v>31</v>
      </c>
      <c r="J1974" t="s">
        <v>23</v>
      </c>
      <c r="K1974">
        <v>5666.33</v>
      </c>
    </row>
    <row r="1975" spans="1:11">
      <c r="A1975">
        <v>1974</v>
      </c>
      <c r="B1975" t="s">
        <v>26</v>
      </c>
      <c r="C1975" s="1">
        <v>45292</v>
      </c>
      <c r="D1975">
        <v>2</v>
      </c>
      <c r="E1975" t="s">
        <v>12</v>
      </c>
      <c r="F1975" t="s">
        <v>13</v>
      </c>
      <c r="G1975" s="1">
        <v>45279</v>
      </c>
      <c r="H1975" s="1">
        <v>45802</v>
      </c>
      <c r="I1975">
        <v>1</v>
      </c>
      <c r="K1975">
        <v>15262.67</v>
      </c>
    </row>
    <row r="1976" spans="1:11">
      <c r="A1976">
        <v>1975</v>
      </c>
      <c r="B1976" t="s">
        <v>75</v>
      </c>
      <c r="C1976" s="1">
        <v>36161</v>
      </c>
      <c r="D1976">
        <v>27</v>
      </c>
      <c r="E1976" t="s">
        <v>12</v>
      </c>
      <c r="F1976" t="s">
        <v>21</v>
      </c>
      <c r="G1976" s="1">
        <v>45389</v>
      </c>
      <c r="H1976" s="1">
        <v>45056</v>
      </c>
      <c r="I1976">
        <v>24</v>
      </c>
      <c r="K1976">
        <v>18676.2</v>
      </c>
    </row>
    <row r="1977" spans="1:11">
      <c r="A1977">
        <v>1976</v>
      </c>
      <c r="B1977" t="s">
        <v>62</v>
      </c>
      <c r="C1977" s="1">
        <v>19359</v>
      </c>
      <c r="D1977">
        <v>73</v>
      </c>
      <c r="E1977" t="s">
        <v>12</v>
      </c>
      <c r="G1977" s="1">
        <v>45388</v>
      </c>
      <c r="H1977" s="1">
        <v>45243</v>
      </c>
      <c r="I1977">
        <v>18</v>
      </c>
      <c r="J1977" t="s">
        <v>25</v>
      </c>
      <c r="K1977">
        <v>18290.72</v>
      </c>
    </row>
    <row r="1978" spans="1:11">
      <c r="A1978">
        <v>1977</v>
      </c>
      <c r="B1978" t="s">
        <v>149</v>
      </c>
      <c r="C1978" s="1">
        <v>33604</v>
      </c>
      <c r="D1978">
        <v>34</v>
      </c>
      <c r="E1978" t="s">
        <v>12</v>
      </c>
      <c r="G1978" s="1">
        <v>45639</v>
      </c>
      <c r="H1978" s="1">
        <v>45250</v>
      </c>
      <c r="I1978">
        <v>33</v>
      </c>
      <c r="K1978">
        <v>2662.59</v>
      </c>
    </row>
    <row r="1979" spans="1:11">
      <c r="A1979">
        <v>1978</v>
      </c>
      <c r="B1979" t="s">
        <v>30</v>
      </c>
      <c r="C1979" s="1">
        <v>24107</v>
      </c>
      <c r="D1979">
        <v>60</v>
      </c>
      <c r="E1979" t="s">
        <v>12</v>
      </c>
      <c r="F1979" t="s">
        <v>13</v>
      </c>
      <c r="G1979" s="1">
        <v>45219</v>
      </c>
      <c r="H1979" s="1">
        <v>45360</v>
      </c>
      <c r="I1979">
        <v>35</v>
      </c>
      <c r="K1979">
        <v>10013.48</v>
      </c>
    </row>
    <row r="1980" spans="1:11">
      <c r="A1980">
        <v>1979</v>
      </c>
      <c r="B1980" t="s">
        <v>118</v>
      </c>
      <c r="C1980" s="1">
        <v>12419</v>
      </c>
      <c r="D1980">
        <v>92</v>
      </c>
      <c r="E1980" t="s">
        <v>12</v>
      </c>
      <c r="F1980" t="s">
        <v>13</v>
      </c>
      <c r="G1980" s="1">
        <v>45333</v>
      </c>
      <c r="H1980" s="1">
        <v>45145</v>
      </c>
      <c r="I1980">
        <v>28</v>
      </c>
      <c r="J1980" t="s">
        <v>19</v>
      </c>
      <c r="K1980">
        <v>1766.69</v>
      </c>
    </row>
    <row r="1981" spans="1:11">
      <c r="A1981">
        <v>1980</v>
      </c>
      <c r="B1981" t="s">
        <v>110</v>
      </c>
      <c r="C1981" s="1">
        <v>26664</v>
      </c>
      <c r="D1981">
        <v>53</v>
      </c>
      <c r="E1981" t="s">
        <v>15</v>
      </c>
      <c r="F1981" t="s">
        <v>16</v>
      </c>
      <c r="G1981" s="1">
        <v>45088</v>
      </c>
      <c r="H1981" s="1">
        <v>45774</v>
      </c>
      <c r="I1981">
        <v>4</v>
      </c>
      <c r="K1981">
        <v>19215.62</v>
      </c>
    </row>
    <row r="1982" spans="1:11">
      <c r="A1982">
        <v>1981</v>
      </c>
      <c r="B1982" t="s">
        <v>28</v>
      </c>
      <c r="C1982" s="1">
        <v>23377</v>
      </c>
      <c r="D1982">
        <v>62</v>
      </c>
      <c r="E1982" t="s">
        <v>15</v>
      </c>
      <c r="F1982" t="s">
        <v>16</v>
      </c>
      <c r="G1982" s="1">
        <v>45429</v>
      </c>
      <c r="H1982" s="1">
        <v>45175</v>
      </c>
      <c r="I1982">
        <v>31</v>
      </c>
      <c r="J1982" t="s">
        <v>19</v>
      </c>
      <c r="K1982">
        <v>4226.08</v>
      </c>
    </row>
    <row r="1983" spans="1:11">
      <c r="A1983">
        <v>1982</v>
      </c>
      <c r="B1983" t="s">
        <v>165</v>
      </c>
      <c r="C1983" s="1">
        <v>17533</v>
      </c>
      <c r="D1983">
        <v>78</v>
      </c>
      <c r="F1983" t="s">
        <v>45</v>
      </c>
      <c r="G1983" s="1">
        <v>45374</v>
      </c>
      <c r="H1983" s="1">
        <v>45038</v>
      </c>
      <c r="I1983">
        <v>15</v>
      </c>
      <c r="K1983">
        <v>3868.33</v>
      </c>
    </row>
    <row r="1984" spans="1:11">
      <c r="A1984">
        <v>1983</v>
      </c>
      <c r="B1984" t="s">
        <v>130</v>
      </c>
      <c r="C1984" s="1">
        <v>43831</v>
      </c>
      <c r="D1984">
        <v>6</v>
      </c>
      <c r="E1984" t="s">
        <v>12</v>
      </c>
      <c r="G1984" s="1">
        <v>45621</v>
      </c>
      <c r="H1984" s="1">
        <v>45743</v>
      </c>
      <c r="I1984">
        <v>21</v>
      </c>
      <c r="J1984" t="s">
        <v>19</v>
      </c>
      <c r="K1984">
        <v>17766.599999999999</v>
      </c>
    </row>
    <row r="1985" spans="1:11">
      <c r="A1985">
        <v>1984</v>
      </c>
      <c r="B1985" t="s">
        <v>118</v>
      </c>
      <c r="C1985" s="1">
        <v>18629</v>
      </c>
      <c r="D1985">
        <v>75</v>
      </c>
      <c r="E1985" t="s">
        <v>15</v>
      </c>
      <c r="F1985" t="s">
        <v>32</v>
      </c>
      <c r="G1985" s="1">
        <v>45381</v>
      </c>
      <c r="H1985" s="1">
        <v>45659</v>
      </c>
      <c r="I1985">
        <v>10</v>
      </c>
      <c r="K1985">
        <v>19353.8</v>
      </c>
    </row>
    <row r="1986" spans="1:11">
      <c r="A1986">
        <v>1985</v>
      </c>
      <c r="B1986" t="s">
        <v>28</v>
      </c>
      <c r="D1986">
        <v>48</v>
      </c>
      <c r="E1986" t="s">
        <v>15</v>
      </c>
      <c r="F1986" t="s">
        <v>32</v>
      </c>
      <c r="G1986" s="1">
        <v>45191</v>
      </c>
      <c r="H1986" s="1">
        <v>45635</v>
      </c>
      <c r="I1986">
        <v>10</v>
      </c>
      <c r="J1986" t="s">
        <v>25</v>
      </c>
      <c r="K1986">
        <v>13922.41</v>
      </c>
    </row>
    <row r="1987" spans="1:11">
      <c r="A1987">
        <v>1986</v>
      </c>
      <c r="B1987" t="s">
        <v>101</v>
      </c>
      <c r="C1987" s="1">
        <v>12054</v>
      </c>
      <c r="D1987">
        <v>93</v>
      </c>
      <c r="E1987" t="s">
        <v>15</v>
      </c>
      <c r="F1987" t="s">
        <v>16</v>
      </c>
      <c r="G1987" s="1">
        <v>45058</v>
      </c>
      <c r="H1987" s="1">
        <v>45074</v>
      </c>
      <c r="I1987">
        <v>22</v>
      </c>
      <c r="J1987" t="s">
        <v>23</v>
      </c>
      <c r="K1987">
        <v>2332.1999999999998</v>
      </c>
    </row>
    <row r="1988" spans="1:11">
      <c r="A1988">
        <v>1987</v>
      </c>
      <c r="B1988" t="s">
        <v>66</v>
      </c>
      <c r="C1988" s="1">
        <v>15341</v>
      </c>
      <c r="D1988">
        <v>84</v>
      </c>
      <c r="E1988" t="s">
        <v>15</v>
      </c>
      <c r="F1988" t="s">
        <v>45</v>
      </c>
      <c r="G1988" s="1">
        <v>45046</v>
      </c>
      <c r="H1988" s="1">
        <v>45271</v>
      </c>
      <c r="I1988">
        <v>2</v>
      </c>
      <c r="J1988" t="s">
        <v>19</v>
      </c>
      <c r="K1988">
        <v>9665.7000000000007</v>
      </c>
    </row>
    <row r="1989" spans="1:11">
      <c r="A1989">
        <v>1988</v>
      </c>
      <c r="B1989" t="s">
        <v>26</v>
      </c>
      <c r="C1989" s="1">
        <v>35065</v>
      </c>
      <c r="D1989">
        <v>30</v>
      </c>
      <c r="E1989" t="s">
        <v>12</v>
      </c>
      <c r="F1989" t="s">
        <v>45</v>
      </c>
      <c r="G1989" s="1">
        <v>45145</v>
      </c>
      <c r="H1989" s="1">
        <v>45436</v>
      </c>
      <c r="I1989">
        <v>36</v>
      </c>
      <c r="J1989" t="s">
        <v>23</v>
      </c>
      <c r="K1989">
        <v>16313.76</v>
      </c>
    </row>
    <row r="1990" spans="1:11">
      <c r="A1990">
        <v>1989</v>
      </c>
      <c r="B1990" t="s">
        <v>28</v>
      </c>
      <c r="C1990" s="1">
        <v>25203</v>
      </c>
      <c r="D1990">
        <v>57</v>
      </c>
      <c r="E1990" t="s">
        <v>15</v>
      </c>
      <c r="F1990" t="s">
        <v>45</v>
      </c>
      <c r="G1990" s="1">
        <v>45343</v>
      </c>
      <c r="H1990" s="1">
        <v>45432</v>
      </c>
      <c r="I1990">
        <v>26</v>
      </c>
      <c r="J1990" t="s">
        <v>25</v>
      </c>
      <c r="K1990">
        <v>11406.79</v>
      </c>
    </row>
    <row r="1991" spans="1:11">
      <c r="A1991">
        <v>1990</v>
      </c>
      <c r="B1991" t="s">
        <v>91</v>
      </c>
      <c r="C1991" s="1">
        <v>24107</v>
      </c>
      <c r="D1991">
        <v>60</v>
      </c>
      <c r="E1991" t="s">
        <v>12</v>
      </c>
      <c r="F1991" t="s">
        <v>16</v>
      </c>
      <c r="G1991" s="1">
        <v>45598</v>
      </c>
      <c r="H1991" s="1">
        <v>45479</v>
      </c>
      <c r="I1991">
        <v>30</v>
      </c>
      <c r="K1991">
        <v>2565.16</v>
      </c>
    </row>
    <row r="1992" spans="1:11">
      <c r="A1992">
        <v>1991</v>
      </c>
      <c r="B1992" t="s">
        <v>31</v>
      </c>
      <c r="C1992" s="1">
        <v>37622</v>
      </c>
      <c r="D1992">
        <v>23</v>
      </c>
      <c r="E1992" t="s">
        <v>15</v>
      </c>
      <c r="F1992" t="s">
        <v>32</v>
      </c>
      <c r="G1992" s="1">
        <v>45431</v>
      </c>
      <c r="H1992" s="1">
        <v>45061</v>
      </c>
      <c r="I1992">
        <v>21</v>
      </c>
      <c r="K1992">
        <v>3354.94</v>
      </c>
    </row>
    <row r="1993" spans="1:11">
      <c r="A1993">
        <v>1992</v>
      </c>
      <c r="B1993" t="s">
        <v>154</v>
      </c>
      <c r="C1993" s="1">
        <v>39083</v>
      </c>
      <c r="D1993">
        <v>19</v>
      </c>
      <c r="E1993" t="s">
        <v>12</v>
      </c>
      <c r="F1993" t="s">
        <v>45</v>
      </c>
      <c r="G1993" s="1">
        <v>45226</v>
      </c>
      <c r="H1993" s="1">
        <v>45391</v>
      </c>
      <c r="I1993">
        <v>7</v>
      </c>
      <c r="J1993" t="s">
        <v>25</v>
      </c>
      <c r="K1993">
        <v>17269.25</v>
      </c>
    </row>
    <row r="1994" spans="1:11">
      <c r="A1994">
        <v>1993</v>
      </c>
      <c r="B1994" t="s">
        <v>31</v>
      </c>
      <c r="C1994" s="1">
        <v>32873</v>
      </c>
      <c r="D1994">
        <v>36</v>
      </c>
      <c r="E1994" t="s">
        <v>15</v>
      </c>
      <c r="F1994" t="s">
        <v>16</v>
      </c>
      <c r="G1994" s="1">
        <v>45035</v>
      </c>
      <c r="H1994" s="1">
        <v>45791</v>
      </c>
      <c r="I1994">
        <v>22</v>
      </c>
      <c r="J1994" t="s">
        <v>23</v>
      </c>
      <c r="K1994">
        <v>10493.29</v>
      </c>
    </row>
    <row r="1995" spans="1:11">
      <c r="A1995">
        <v>1994</v>
      </c>
      <c r="B1995" t="s">
        <v>100</v>
      </c>
      <c r="C1995" s="1">
        <v>44927</v>
      </c>
      <c r="D1995">
        <v>3</v>
      </c>
      <c r="E1995" t="s">
        <v>12</v>
      </c>
      <c r="F1995" t="s">
        <v>21</v>
      </c>
      <c r="G1995" s="1">
        <v>45164</v>
      </c>
      <c r="H1995" s="1">
        <v>45118</v>
      </c>
      <c r="I1995">
        <v>38</v>
      </c>
      <c r="J1995" t="s">
        <v>23</v>
      </c>
      <c r="K1995">
        <v>14087.32</v>
      </c>
    </row>
    <row r="1996" spans="1:11">
      <c r="A1996">
        <v>1995</v>
      </c>
      <c r="B1996" t="s">
        <v>59</v>
      </c>
      <c r="C1996" s="1">
        <v>12785</v>
      </c>
      <c r="D1996">
        <v>91</v>
      </c>
      <c r="E1996" t="s">
        <v>12</v>
      </c>
      <c r="F1996" t="s">
        <v>21</v>
      </c>
      <c r="G1996" s="1">
        <v>45219</v>
      </c>
      <c r="H1996" s="1">
        <v>45090</v>
      </c>
      <c r="I1996">
        <v>7</v>
      </c>
      <c r="J1996" t="s">
        <v>23</v>
      </c>
      <c r="K1996">
        <v>7398.56</v>
      </c>
    </row>
    <row r="1997" spans="1:11">
      <c r="A1997">
        <v>1996</v>
      </c>
      <c r="B1997" t="s">
        <v>116</v>
      </c>
      <c r="C1997" s="1">
        <v>39083</v>
      </c>
      <c r="D1997">
        <v>19</v>
      </c>
      <c r="E1997" t="s">
        <v>12</v>
      </c>
      <c r="F1997" t="s">
        <v>18</v>
      </c>
      <c r="G1997" s="1">
        <v>45505</v>
      </c>
      <c r="H1997" s="1">
        <v>45383</v>
      </c>
      <c r="I1997">
        <v>36</v>
      </c>
      <c r="J1997" t="s">
        <v>23</v>
      </c>
      <c r="K1997">
        <v>10602.96</v>
      </c>
    </row>
    <row r="1998" spans="1:11">
      <c r="A1998">
        <v>1997</v>
      </c>
      <c r="B1998" t="s">
        <v>66</v>
      </c>
      <c r="C1998" s="1">
        <v>24473</v>
      </c>
      <c r="D1998">
        <v>59</v>
      </c>
      <c r="E1998" t="s">
        <v>15</v>
      </c>
      <c r="F1998" t="s">
        <v>21</v>
      </c>
      <c r="G1998" s="1">
        <v>45113</v>
      </c>
      <c r="H1998" s="1">
        <v>44988</v>
      </c>
      <c r="I1998">
        <v>13</v>
      </c>
      <c r="J1998" t="s">
        <v>19</v>
      </c>
      <c r="K1998">
        <v>19539.77</v>
      </c>
    </row>
    <row r="1999" spans="1:11">
      <c r="A1999">
        <v>1998</v>
      </c>
      <c r="B1999" t="s">
        <v>119</v>
      </c>
      <c r="C1999" s="1">
        <v>37622</v>
      </c>
      <c r="D1999">
        <v>23</v>
      </c>
      <c r="E1999" t="s">
        <v>15</v>
      </c>
      <c r="F1999" t="s">
        <v>13</v>
      </c>
      <c r="G1999" s="1">
        <v>44962</v>
      </c>
      <c r="H1999" s="1">
        <v>44932</v>
      </c>
      <c r="I1999">
        <v>25</v>
      </c>
      <c r="J1999" t="s">
        <v>23</v>
      </c>
      <c r="K1999">
        <v>6527.03</v>
      </c>
    </row>
    <row r="2000" spans="1:11">
      <c r="A2000">
        <v>1999</v>
      </c>
      <c r="B2000" t="s">
        <v>90</v>
      </c>
      <c r="C2000" s="1">
        <v>28125</v>
      </c>
      <c r="D2000">
        <v>49</v>
      </c>
      <c r="E2000" t="s">
        <v>15</v>
      </c>
      <c r="F2000" t="s">
        <v>18</v>
      </c>
      <c r="G2000" s="1">
        <v>45487</v>
      </c>
      <c r="H2000" s="1">
        <v>44964</v>
      </c>
      <c r="I2000">
        <v>9</v>
      </c>
      <c r="J2000" t="s">
        <v>19</v>
      </c>
      <c r="K2000">
        <v>13463.25</v>
      </c>
    </row>
    <row r="2001" spans="1:11">
      <c r="A2001">
        <v>2000</v>
      </c>
      <c r="B2001" t="s">
        <v>113</v>
      </c>
      <c r="C2001" s="1">
        <v>28490</v>
      </c>
      <c r="D2001">
        <v>48</v>
      </c>
      <c r="E2001" t="s">
        <v>15</v>
      </c>
      <c r="F2001" t="s">
        <v>21</v>
      </c>
      <c r="G2001" s="1">
        <v>45182</v>
      </c>
      <c r="H2001" s="1">
        <v>45387</v>
      </c>
      <c r="I2001">
        <v>29</v>
      </c>
      <c r="J2001" t="s">
        <v>25</v>
      </c>
      <c r="K2001">
        <v>3367.36</v>
      </c>
    </row>
    <row r="2002" spans="1:11">
      <c r="A2002">
        <v>2001</v>
      </c>
      <c r="B2002" t="s">
        <v>148</v>
      </c>
      <c r="C2002" s="1">
        <v>27760</v>
      </c>
      <c r="D2002">
        <v>50</v>
      </c>
      <c r="E2002" t="s">
        <v>12</v>
      </c>
      <c r="F2002" t="s">
        <v>13</v>
      </c>
      <c r="G2002" s="1">
        <v>45361</v>
      </c>
      <c r="H2002" s="1">
        <v>45144</v>
      </c>
      <c r="I2002">
        <v>26</v>
      </c>
      <c r="K2002">
        <v>2346.9699999999998</v>
      </c>
    </row>
    <row r="2003" spans="1:11">
      <c r="A2003">
        <v>2002</v>
      </c>
      <c r="B2003" t="s">
        <v>74</v>
      </c>
      <c r="C2003" s="1">
        <v>33239</v>
      </c>
      <c r="D2003">
        <v>35</v>
      </c>
      <c r="E2003" t="s">
        <v>12</v>
      </c>
      <c r="F2003" t="s">
        <v>21</v>
      </c>
      <c r="G2003" s="1">
        <v>45545</v>
      </c>
      <c r="H2003" s="1">
        <v>45664</v>
      </c>
      <c r="I2003">
        <v>24</v>
      </c>
      <c r="J2003" t="s">
        <v>19</v>
      </c>
      <c r="K2003">
        <v>15651.17</v>
      </c>
    </row>
    <row r="2004" spans="1:11">
      <c r="A2004">
        <v>2003</v>
      </c>
      <c r="B2004" t="s">
        <v>157</v>
      </c>
      <c r="C2004" s="1">
        <v>22281</v>
      </c>
      <c r="D2004">
        <v>65</v>
      </c>
      <c r="E2004" t="s">
        <v>12</v>
      </c>
      <c r="F2004" t="s">
        <v>16</v>
      </c>
      <c r="G2004" s="1">
        <v>44934</v>
      </c>
      <c r="H2004" s="1">
        <v>45655</v>
      </c>
      <c r="I2004">
        <v>23</v>
      </c>
      <c r="J2004" t="s">
        <v>23</v>
      </c>
      <c r="K2004">
        <v>16866.580000000002</v>
      </c>
    </row>
    <row r="2005" spans="1:11">
      <c r="A2005">
        <v>2004</v>
      </c>
      <c r="B2005" t="s">
        <v>24</v>
      </c>
      <c r="C2005" s="1">
        <v>17533</v>
      </c>
      <c r="D2005">
        <v>78</v>
      </c>
      <c r="E2005" t="s">
        <v>12</v>
      </c>
      <c r="G2005" s="1">
        <v>45104</v>
      </c>
      <c r="H2005" s="1">
        <v>45066</v>
      </c>
      <c r="I2005">
        <v>0</v>
      </c>
      <c r="K2005">
        <v>13333.07</v>
      </c>
    </row>
    <row r="2006" spans="1:11">
      <c r="A2006">
        <v>2005</v>
      </c>
      <c r="B2006" t="s">
        <v>30</v>
      </c>
      <c r="C2006" s="1">
        <v>33969</v>
      </c>
      <c r="D2006">
        <v>33</v>
      </c>
      <c r="E2006" t="s">
        <v>15</v>
      </c>
      <c r="F2006" t="s">
        <v>13</v>
      </c>
      <c r="G2006" s="1">
        <v>45168</v>
      </c>
      <c r="H2006" s="1">
        <v>45545</v>
      </c>
      <c r="I2006">
        <v>23</v>
      </c>
      <c r="J2006" t="s">
        <v>19</v>
      </c>
      <c r="K2006">
        <v>3079.74</v>
      </c>
    </row>
    <row r="2007" spans="1:11">
      <c r="A2007">
        <v>2006</v>
      </c>
      <c r="B2007" t="s">
        <v>83</v>
      </c>
      <c r="C2007" s="1">
        <v>33239</v>
      </c>
      <c r="D2007">
        <v>35</v>
      </c>
      <c r="E2007" t="s">
        <v>15</v>
      </c>
      <c r="F2007" t="s">
        <v>45</v>
      </c>
      <c r="G2007" s="1">
        <v>44967</v>
      </c>
      <c r="H2007" s="1">
        <v>45026</v>
      </c>
      <c r="I2007">
        <v>36</v>
      </c>
      <c r="K2007">
        <v>4735.82</v>
      </c>
    </row>
    <row r="2008" spans="1:11">
      <c r="A2008">
        <v>2007</v>
      </c>
      <c r="B2008" t="s">
        <v>47</v>
      </c>
      <c r="C2008" s="1">
        <v>44196</v>
      </c>
      <c r="D2008">
        <v>5</v>
      </c>
      <c r="E2008" t="s">
        <v>15</v>
      </c>
      <c r="F2008" t="s">
        <v>16</v>
      </c>
      <c r="G2008" s="1">
        <v>45283</v>
      </c>
      <c r="H2008" s="1">
        <v>45607</v>
      </c>
      <c r="I2008">
        <v>-2</v>
      </c>
      <c r="J2008" t="s">
        <v>25</v>
      </c>
      <c r="K2008">
        <v>18214.63</v>
      </c>
    </row>
    <row r="2009" spans="1:11">
      <c r="A2009">
        <v>2008</v>
      </c>
      <c r="B2009" t="s">
        <v>99</v>
      </c>
      <c r="C2009" s="1">
        <v>32143</v>
      </c>
      <c r="D2009">
        <v>38</v>
      </c>
      <c r="E2009" t="s">
        <v>12</v>
      </c>
      <c r="G2009" s="1">
        <v>45039</v>
      </c>
      <c r="H2009" s="1">
        <v>45191</v>
      </c>
      <c r="I2009">
        <v>32</v>
      </c>
      <c r="J2009" t="s">
        <v>23</v>
      </c>
      <c r="K2009">
        <v>5702.95</v>
      </c>
    </row>
    <row r="2010" spans="1:11">
      <c r="A2010">
        <v>2009</v>
      </c>
      <c r="B2010" t="s">
        <v>116</v>
      </c>
      <c r="C2010" s="1">
        <v>31047</v>
      </c>
      <c r="D2010">
        <v>41</v>
      </c>
      <c r="E2010" t="s">
        <v>12</v>
      </c>
      <c r="F2010" t="s">
        <v>13</v>
      </c>
      <c r="G2010" s="1">
        <v>45092</v>
      </c>
      <c r="H2010" s="1">
        <v>45526</v>
      </c>
      <c r="I2010">
        <v>24</v>
      </c>
      <c r="J2010" t="s">
        <v>25</v>
      </c>
      <c r="K2010">
        <v>16359.1</v>
      </c>
    </row>
    <row r="2011" spans="1:11">
      <c r="A2011">
        <v>2010</v>
      </c>
      <c r="B2011" t="s">
        <v>96</v>
      </c>
      <c r="C2011" s="1">
        <v>25203</v>
      </c>
      <c r="D2011">
        <v>57</v>
      </c>
      <c r="E2011" t="s">
        <v>15</v>
      </c>
      <c r="F2011" t="s">
        <v>16</v>
      </c>
      <c r="G2011" s="1">
        <v>45430</v>
      </c>
      <c r="H2011" s="1">
        <v>45523</v>
      </c>
      <c r="I2011">
        <v>1</v>
      </c>
      <c r="K2011">
        <v>5647.34</v>
      </c>
    </row>
    <row r="2012" spans="1:11">
      <c r="A2012">
        <v>2011</v>
      </c>
      <c r="B2012" t="s">
        <v>146</v>
      </c>
      <c r="C2012" s="1">
        <v>42005</v>
      </c>
      <c r="D2012">
        <v>11</v>
      </c>
      <c r="E2012" t="s">
        <v>15</v>
      </c>
      <c r="F2012" t="s">
        <v>45</v>
      </c>
      <c r="G2012" s="1">
        <v>45004</v>
      </c>
      <c r="H2012" s="1">
        <v>45151</v>
      </c>
      <c r="I2012">
        <v>16</v>
      </c>
      <c r="J2012" t="s">
        <v>25</v>
      </c>
      <c r="K2012">
        <v>18783.2</v>
      </c>
    </row>
    <row r="2013" spans="1:11">
      <c r="A2013">
        <v>2012</v>
      </c>
      <c r="B2013" t="s">
        <v>99</v>
      </c>
      <c r="C2013" s="1">
        <v>45292</v>
      </c>
      <c r="D2013">
        <v>2</v>
      </c>
      <c r="E2013" t="s">
        <v>12</v>
      </c>
      <c r="F2013" t="s">
        <v>13</v>
      </c>
      <c r="G2013" s="1">
        <v>45645</v>
      </c>
      <c r="H2013" s="1">
        <v>44938</v>
      </c>
      <c r="I2013">
        <v>19</v>
      </c>
      <c r="J2013" t="s">
        <v>23</v>
      </c>
      <c r="K2013">
        <v>18280.5</v>
      </c>
    </row>
    <row r="2014" spans="1:11">
      <c r="A2014">
        <v>2013</v>
      </c>
      <c r="B2014" t="s">
        <v>82</v>
      </c>
      <c r="C2014" s="1">
        <v>39813</v>
      </c>
      <c r="D2014">
        <v>17</v>
      </c>
      <c r="E2014" t="s">
        <v>12</v>
      </c>
      <c r="F2014" t="s">
        <v>13</v>
      </c>
      <c r="G2014" s="1">
        <v>45122</v>
      </c>
      <c r="H2014" s="1">
        <v>45254</v>
      </c>
      <c r="I2014">
        <v>3</v>
      </c>
      <c r="J2014" t="s">
        <v>19</v>
      </c>
      <c r="K2014">
        <v>769.59</v>
      </c>
    </row>
    <row r="2015" spans="1:11">
      <c r="A2015">
        <v>2014</v>
      </c>
      <c r="B2015" t="s">
        <v>152</v>
      </c>
      <c r="C2015" s="1">
        <v>31778</v>
      </c>
      <c r="D2015">
        <v>39</v>
      </c>
      <c r="E2015" t="s">
        <v>12</v>
      </c>
      <c r="G2015" s="1">
        <v>45328</v>
      </c>
      <c r="H2015" s="1">
        <v>45625</v>
      </c>
      <c r="I2015">
        <v>6</v>
      </c>
      <c r="J2015" t="s">
        <v>25</v>
      </c>
      <c r="K2015">
        <v>15385.32</v>
      </c>
    </row>
    <row r="2016" spans="1:11">
      <c r="A2016">
        <v>2015</v>
      </c>
      <c r="B2016" t="s">
        <v>82</v>
      </c>
      <c r="C2016" s="1">
        <v>38717</v>
      </c>
      <c r="D2016">
        <v>20</v>
      </c>
      <c r="E2016" t="s">
        <v>15</v>
      </c>
      <c r="F2016" t="s">
        <v>16</v>
      </c>
      <c r="G2016" s="1">
        <v>44990</v>
      </c>
      <c r="H2016" s="1">
        <v>45277</v>
      </c>
      <c r="I2016">
        <v>8</v>
      </c>
      <c r="J2016" t="s">
        <v>23</v>
      </c>
      <c r="K2016">
        <v>3306.18</v>
      </c>
    </row>
    <row r="2017" spans="1:11">
      <c r="A2017">
        <v>2016</v>
      </c>
      <c r="B2017" t="s">
        <v>66</v>
      </c>
      <c r="C2017" s="1">
        <v>40909</v>
      </c>
      <c r="D2017">
        <v>14</v>
      </c>
      <c r="E2017" t="s">
        <v>15</v>
      </c>
      <c r="F2017" t="s">
        <v>21</v>
      </c>
      <c r="G2017" s="1">
        <v>45578</v>
      </c>
      <c r="H2017" s="1">
        <v>45306</v>
      </c>
      <c r="I2017">
        <v>19</v>
      </c>
      <c r="K2017">
        <v>4226.96</v>
      </c>
    </row>
    <row r="2018" spans="1:11">
      <c r="A2018">
        <v>2017</v>
      </c>
      <c r="B2018" t="s">
        <v>127</v>
      </c>
      <c r="C2018" s="1">
        <v>36891</v>
      </c>
      <c r="D2018">
        <v>25</v>
      </c>
      <c r="F2018" t="s">
        <v>13</v>
      </c>
      <c r="G2018" s="1">
        <v>45351</v>
      </c>
      <c r="H2018" s="1">
        <v>45158</v>
      </c>
      <c r="I2018">
        <v>6</v>
      </c>
      <c r="J2018" t="s">
        <v>25</v>
      </c>
      <c r="K2018">
        <v>9142.89</v>
      </c>
    </row>
    <row r="2019" spans="1:11">
      <c r="A2019">
        <v>2018</v>
      </c>
      <c r="B2019" t="s">
        <v>129</v>
      </c>
      <c r="C2019" s="1">
        <v>43466</v>
      </c>
      <c r="D2019">
        <v>7</v>
      </c>
      <c r="E2019" t="s">
        <v>12</v>
      </c>
      <c r="F2019" t="s">
        <v>21</v>
      </c>
      <c r="G2019" s="1">
        <v>44968</v>
      </c>
      <c r="H2019" s="1">
        <v>45068</v>
      </c>
      <c r="I2019">
        <v>26</v>
      </c>
      <c r="J2019" t="s">
        <v>19</v>
      </c>
      <c r="K2019">
        <v>11483.99</v>
      </c>
    </row>
    <row r="2020" spans="1:11">
      <c r="A2020">
        <v>2019</v>
      </c>
      <c r="B2020" t="s">
        <v>98</v>
      </c>
      <c r="D2020">
        <v>93</v>
      </c>
      <c r="E2020" t="s">
        <v>15</v>
      </c>
      <c r="F2020" t="s">
        <v>13</v>
      </c>
      <c r="G2020" s="1">
        <v>45299</v>
      </c>
      <c r="H2020" s="1">
        <v>45545</v>
      </c>
      <c r="I2020">
        <v>7</v>
      </c>
      <c r="J2020" t="s">
        <v>25</v>
      </c>
      <c r="K2020">
        <v>6448.57</v>
      </c>
    </row>
    <row r="2021" spans="1:11">
      <c r="A2021">
        <v>2020</v>
      </c>
      <c r="B2021" t="s">
        <v>96</v>
      </c>
      <c r="C2021" s="1">
        <v>14611</v>
      </c>
      <c r="D2021">
        <v>86</v>
      </c>
      <c r="E2021" t="s">
        <v>12</v>
      </c>
      <c r="F2021" t="s">
        <v>32</v>
      </c>
      <c r="G2021" s="1">
        <v>45232</v>
      </c>
      <c r="H2021" s="1">
        <v>45692</v>
      </c>
      <c r="I2021">
        <v>31</v>
      </c>
      <c r="K2021">
        <v>11465.21</v>
      </c>
    </row>
    <row r="2022" spans="1:11">
      <c r="A2022">
        <v>2021</v>
      </c>
      <c r="B2022" t="s">
        <v>113</v>
      </c>
      <c r="C2022" s="1">
        <v>31047</v>
      </c>
      <c r="D2022">
        <v>41</v>
      </c>
      <c r="E2022" t="s">
        <v>12</v>
      </c>
      <c r="F2022" t="s">
        <v>18</v>
      </c>
      <c r="G2022" s="1">
        <v>45135</v>
      </c>
      <c r="H2022" s="1">
        <v>44976</v>
      </c>
      <c r="I2022">
        <v>28</v>
      </c>
      <c r="K2022">
        <v>3330.23</v>
      </c>
    </row>
    <row r="2023" spans="1:11">
      <c r="A2023">
        <v>2022</v>
      </c>
      <c r="B2023" t="s">
        <v>104</v>
      </c>
      <c r="C2023" s="1">
        <v>30317</v>
      </c>
      <c r="D2023">
        <v>43</v>
      </c>
      <c r="E2023" t="s">
        <v>15</v>
      </c>
      <c r="F2023" t="s">
        <v>21</v>
      </c>
      <c r="G2023" s="1">
        <v>45393</v>
      </c>
      <c r="H2023" s="1">
        <v>45378</v>
      </c>
      <c r="I2023">
        <v>19</v>
      </c>
      <c r="K2023">
        <v>348.99</v>
      </c>
    </row>
    <row r="2024" spans="1:11">
      <c r="A2024">
        <v>2023</v>
      </c>
      <c r="B2024" t="s">
        <v>56</v>
      </c>
      <c r="C2024" s="1">
        <v>41274</v>
      </c>
      <c r="D2024">
        <v>13</v>
      </c>
      <c r="E2024" t="s">
        <v>15</v>
      </c>
      <c r="F2024" t="s">
        <v>21</v>
      </c>
      <c r="G2024" s="1">
        <v>45230</v>
      </c>
      <c r="H2024" s="1">
        <v>45702</v>
      </c>
      <c r="I2024">
        <v>1</v>
      </c>
      <c r="J2024" t="s">
        <v>25</v>
      </c>
      <c r="K2024">
        <v>11381.61</v>
      </c>
    </row>
    <row r="2025" spans="1:11">
      <c r="A2025">
        <v>2024</v>
      </c>
      <c r="B2025" t="s">
        <v>117</v>
      </c>
      <c r="C2025" s="1">
        <v>17898</v>
      </c>
      <c r="D2025">
        <v>77</v>
      </c>
      <c r="E2025" t="s">
        <v>15</v>
      </c>
      <c r="G2025" s="1">
        <v>45511</v>
      </c>
      <c r="H2025" s="1">
        <v>45418</v>
      </c>
      <c r="I2025">
        <v>-1</v>
      </c>
      <c r="J2025" t="s">
        <v>25</v>
      </c>
      <c r="K2025">
        <v>10300.049999999999</v>
      </c>
    </row>
    <row r="2026" spans="1:11">
      <c r="A2026">
        <v>2025</v>
      </c>
      <c r="B2026" t="s">
        <v>153</v>
      </c>
      <c r="C2026" s="1">
        <v>45657</v>
      </c>
      <c r="D2026">
        <v>1</v>
      </c>
      <c r="E2026" t="s">
        <v>15</v>
      </c>
      <c r="F2026" t="s">
        <v>45</v>
      </c>
      <c r="G2026" s="1">
        <v>45318</v>
      </c>
      <c r="H2026" s="1">
        <v>45132</v>
      </c>
      <c r="I2026">
        <v>2</v>
      </c>
      <c r="J2026" t="s">
        <v>25</v>
      </c>
      <c r="K2026">
        <v>13762.04</v>
      </c>
    </row>
    <row r="2027" spans="1:11">
      <c r="A2027">
        <v>2026</v>
      </c>
      <c r="B2027" t="s">
        <v>156</v>
      </c>
      <c r="C2027" s="1">
        <v>32873</v>
      </c>
      <c r="D2027">
        <v>36</v>
      </c>
      <c r="E2027" t="s">
        <v>12</v>
      </c>
      <c r="F2027" t="s">
        <v>32</v>
      </c>
      <c r="G2027" s="1">
        <v>45079</v>
      </c>
      <c r="H2027" s="1">
        <v>45796</v>
      </c>
      <c r="I2027">
        <v>12</v>
      </c>
      <c r="J2027" t="s">
        <v>19</v>
      </c>
      <c r="K2027">
        <v>12961.42</v>
      </c>
    </row>
    <row r="2028" spans="1:11">
      <c r="A2028">
        <v>2027</v>
      </c>
      <c r="B2028" t="s">
        <v>84</v>
      </c>
      <c r="C2028" s="1">
        <v>21185</v>
      </c>
      <c r="D2028">
        <v>68</v>
      </c>
      <c r="E2028" t="s">
        <v>15</v>
      </c>
      <c r="F2028" t="s">
        <v>45</v>
      </c>
      <c r="G2028" s="1">
        <v>45573</v>
      </c>
      <c r="H2028" s="1">
        <v>45336</v>
      </c>
      <c r="I2028">
        <v>16</v>
      </c>
      <c r="J2028" t="s">
        <v>23</v>
      </c>
      <c r="K2028">
        <v>17939.48</v>
      </c>
    </row>
    <row r="2029" spans="1:11">
      <c r="A2029">
        <v>2028</v>
      </c>
      <c r="B2029" t="s">
        <v>80</v>
      </c>
      <c r="D2029">
        <v>37</v>
      </c>
      <c r="E2029" t="s">
        <v>12</v>
      </c>
      <c r="F2029" t="s">
        <v>32</v>
      </c>
      <c r="G2029" s="1">
        <v>45288</v>
      </c>
      <c r="H2029" s="1">
        <v>45334</v>
      </c>
      <c r="I2029">
        <v>35</v>
      </c>
      <c r="J2029" t="s">
        <v>25</v>
      </c>
      <c r="K2029">
        <v>9135.32</v>
      </c>
    </row>
    <row r="2030" spans="1:11">
      <c r="A2030">
        <v>2029</v>
      </c>
      <c r="B2030" t="s">
        <v>171</v>
      </c>
      <c r="C2030" s="1">
        <v>31412</v>
      </c>
      <c r="D2030">
        <v>40</v>
      </c>
      <c r="F2030" t="s">
        <v>32</v>
      </c>
      <c r="G2030" s="1">
        <v>45190</v>
      </c>
      <c r="H2030" s="1">
        <v>44978</v>
      </c>
      <c r="I2030">
        <v>12</v>
      </c>
      <c r="J2030" t="s">
        <v>19</v>
      </c>
      <c r="K2030">
        <v>68.23</v>
      </c>
    </row>
    <row r="2031" spans="1:11">
      <c r="A2031">
        <v>2030</v>
      </c>
      <c r="B2031" t="s">
        <v>136</v>
      </c>
      <c r="C2031" s="1">
        <v>23742</v>
      </c>
      <c r="D2031">
        <v>61</v>
      </c>
      <c r="E2031" t="s">
        <v>15</v>
      </c>
      <c r="F2031" t="s">
        <v>16</v>
      </c>
      <c r="G2031" s="1">
        <v>45142</v>
      </c>
      <c r="H2031" s="1">
        <v>45102</v>
      </c>
      <c r="I2031">
        <v>5</v>
      </c>
      <c r="K2031">
        <v>12576.12</v>
      </c>
    </row>
    <row r="2032" spans="1:11">
      <c r="A2032">
        <v>2031</v>
      </c>
      <c r="B2032" t="s">
        <v>116</v>
      </c>
      <c r="C2032" s="1">
        <v>24473</v>
      </c>
      <c r="D2032">
        <v>59</v>
      </c>
      <c r="E2032" t="s">
        <v>15</v>
      </c>
      <c r="F2032" t="s">
        <v>16</v>
      </c>
      <c r="G2032" s="1">
        <v>45647</v>
      </c>
      <c r="H2032" s="1">
        <v>45664</v>
      </c>
      <c r="I2032">
        <v>17</v>
      </c>
      <c r="J2032" t="s">
        <v>25</v>
      </c>
      <c r="K2032">
        <v>13470.16</v>
      </c>
    </row>
    <row r="2033" spans="1:11">
      <c r="A2033">
        <v>2032</v>
      </c>
      <c r="B2033" t="s">
        <v>83</v>
      </c>
      <c r="C2033" s="1">
        <v>41274</v>
      </c>
      <c r="D2033">
        <v>13</v>
      </c>
      <c r="E2033" t="s">
        <v>12</v>
      </c>
      <c r="F2033" t="s">
        <v>16</v>
      </c>
      <c r="G2033" s="1">
        <v>45642</v>
      </c>
      <c r="H2033" s="1">
        <v>45188</v>
      </c>
      <c r="I2033">
        <v>9</v>
      </c>
      <c r="J2033" t="s">
        <v>25</v>
      </c>
      <c r="K2033">
        <v>10382.049999999999</v>
      </c>
    </row>
    <row r="2034" spans="1:11">
      <c r="A2034">
        <v>2033</v>
      </c>
      <c r="B2034" t="s">
        <v>105</v>
      </c>
      <c r="C2034" s="1">
        <v>13880</v>
      </c>
      <c r="E2034" t="s">
        <v>12</v>
      </c>
      <c r="F2034" t="s">
        <v>13</v>
      </c>
      <c r="G2034" s="1">
        <v>45548</v>
      </c>
      <c r="H2034" s="1">
        <v>45407</v>
      </c>
      <c r="I2034">
        <v>1</v>
      </c>
      <c r="J2034" t="s">
        <v>25</v>
      </c>
      <c r="K2034">
        <v>13755.03</v>
      </c>
    </row>
    <row r="2035" spans="1:11">
      <c r="A2035">
        <v>2034</v>
      </c>
      <c r="B2035" t="s">
        <v>120</v>
      </c>
      <c r="C2035" s="1">
        <v>15707</v>
      </c>
      <c r="D2035">
        <v>83</v>
      </c>
      <c r="E2035" t="s">
        <v>12</v>
      </c>
      <c r="G2035" s="1">
        <v>45469</v>
      </c>
      <c r="H2035" s="1">
        <v>45661</v>
      </c>
      <c r="I2035">
        <v>35</v>
      </c>
      <c r="J2035" t="s">
        <v>19</v>
      </c>
      <c r="K2035">
        <v>6404.03</v>
      </c>
    </row>
    <row r="2036" spans="1:11">
      <c r="A2036">
        <v>2035</v>
      </c>
      <c r="B2036" t="s">
        <v>145</v>
      </c>
      <c r="C2036" s="1">
        <v>45657</v>
      </c>
      <c r="D2036">
        <v>1</v>
      </c>
      <c r="E2036" t="s">
        <v>15</v>
      </c>
      <c r="F2036" t="s">
        <v>45</v>
      </c>
      <c r="G2036" s="1">
        <v>45450</v>
      </c>
      <c r="H2036" s="1">
        <v>45150</v>
      </c>
      <c r="I2036">
        <v>36</v>
      </c>
      <c r="J2036" t="s">
        <v>25</v>
      </c>
      <c r="K2036">
        <v>2891.05</v>
      </c>
    </row>
    <row r="2037" spans="1:11">
      <c r="A2037">
        <v>2036</v>
      </c>
      <c r="B2037" t="s">
        <v>83</v>
      </c>
      <c r="C2037" s="1">
        <v>20820</v>
      </c>
      <c r="D2037">
        <v>69</v>
      </c>
      <c r="E2037" t="s">
        <v>15</v>
      </c>
      <c r="F2037" t="s">
        <v>18</v>
      </c>
      <c r="G2037" s="1">
        <v>45565</v>
      </c>
      <c r="H2037" s="1">
        <v>45196</v>
      </c>
      <c r="I2037">
        <v>33</v>
      </c>
      <c r="J2037" t="s">
        <v>25</v>
      </c>
      <c r="K2037">
        <v>13257.53</v>
      </c>
    </row>
    <row r="2038" spans="1:11">
      <c r="A2038">
        <v>2037</v>
      </c>
      <c r="B2038" t="s">
        <v>98</v>
      </c>
      <c r="C2038" s="1">
        <v>40178</v>
      </c>
      <c r="D2038">
        <v>16</v>
      </c>
      <c r="E2038" t="s">
        <v>12</v>
      </c>
      <c r="F2038" t="s">
        <v>32</v>
      </c>
      <c r="G2038" s="1">
        <v>45120</v>
      </c>
      <c r="H2038" s="1">
        <v>45737</v>
      </c>
      <c r="I2038">
        <v>12</v>
      </c>
      <c r="J2038" t="s">
        <v>23</v>
      </c>
      <c r="K2038">
        <v>4828.25</v>
      </c>
    </row>
    <row r="2039" spans="1:11">
      <c r="A2039">
        <v>2038</v>
      </c>
      <c r="B2039" t="s">
        <v>24</v>
      </c>
      <c r="C2039" s="1">
        <v>13880</v>
      </c>
      <c r="D2039">
        <v>88</v>
      </c>
      <c r="F2039" t="s">
        <v>32</v>
      </c>
      <c r="G2039" s="1">
        <v>45578</v>
      </c>
      <c r="H2039" s="1">
        <v>45820</v>
      </c>
      <c r="I2039">
        <v>-2</v>
      </c>
      <c r="J2039" t="s">
        <v>19</v>
      </c>
      <c r="K2039">
        <v>9071.9500000000007</v>
      </c>
    </row>
    <row r="2040" spans="1:11">
      <c r="A2040">
        <v>2039</v>
      </c>
      <c r="B2040" t="s">
        <v>100</v>
      </c>
      <c r="C2040" s="1">
        <v>36161</v>
      </c>
      <c r="D2040">
        <v>27</v>
      </c>
      <c r="E2040" t="s">
        <v>15</v>
      </c>
      <c r="G2040" s="1">
        <v>44953</v>
      </c>
      <c r="H2040" s="1">
        <v>45245</v>
      </c>
      <c r="I2040">
        <v>28</v>
      </c>
      <c r="J2040" t="s">
        <v>23</v>
      </c>
      <c r="K2040">
        <v>9781.6200000000008</v>
      </c>
    </row>
    <row r="2041" spans="1:11">
      <c r="A2041">
        <v>2040</v>
      </c>
      <c r="B2041" t="s">
        <v>152</v>
      </c>
      <c r="C2041" s="1">
        <v>22281</v>
      </c>
      <c r="D2041">
        <v>65</v>
      </c>
      <c r="E2041" t="s">
        <v>12</v>
      </c>
      <c r="F2041" t="s">
        <v>21</v>
      </c>
      <c r="G2041" s="1">
        <v>44972</v>
      </c>
      <c r="H2041" s="1">
        <v>45312</v>
      </c>
      <c r="I2041">
        <v>6</v>
      </c>
      <c r="J2041" t="s">
        <v>23</v>
      </c>
      <c r="K2041">
        <v>9491.7099999999991</v>
      </c>
    </row>
    <row r="2042" spans="1:11">
      <c r="A2042">
        <v>2041</v>
      </c>
      <c r="B2042" t="s">
        <v>46</v>
      </c>
      <c r="C2042" s="1">
        <v>33604</v>
      </c>
      <c r="E2042" t="s">
        <v>15</v>
      </c>
      <c r="F2042" t="s">
        <v>13</v>
      </c>
      <c r="G2042" s="1">
        <v>45573</v>
      </c>
      <c r="H2042" s="1">
        <v>45513</v>
      </c>
      <c r="I2042">
        <v>20</v>
      </c>
      <c r="J2042" t="s">
        <v>23</v>
      </c>
      <c r="K2042">
        <v>11928.83</v>
      </c>
    </row>
    <row r="2043" spans="1:11">
      <c r="A2043">
        <v>2042</v>
      </c>
      <c r="B2043" t="s">
        <v>38</v>
      </c>
      <c r="C2043" s="1">
        <v>44561</v>
      </c>
      <c r="D2043">
        <v>4</v>
      </c>
      <c r="F2043" t="s">
        <v>18</v>
      </c>
      <c r="G2043" s="1">
        <v>44984</v>
      </c>
      <c r="H2043" s="1">
        <v>45553</v>
      </c>
      <c r="I2043">
        <v>23</v>
      </c>
      <c r="J2043" t="s">
        <v>23</v>
      </c>
      <c r="K2043">
        <v>492.02</v>
      </c>
    </row>
    <row r="2044" spans="1:11">
      <c r="A2044">
        <v>2043</v>
      </c>
      <c r="B2044" t="s">
        <v>62</v>
      </c>
      <c r="C2044" s="1">
        <v>22646</v>
      </c>
      <c r="D2044">
        <v>64</v>
      </c>
      <c r="E2044" t="s">
        <v>12</v>
      </c>
      <c r="F2044" t="s">
        <v>16</v>
      </c>
      <c r="G2044" s="1">
        <v>44939</v>
      </c>
      <c r="H2044" s="1">
        <v>45146</v>
      </c>
      <c r="I2044">
        <v>37</v>
      </c>
      <c r="K2044">
        <v>19792.62</v>
      </c>
    </row>
    <row r="2045" spans="1:11">
      <c r="A2045">
        <v>2044</v>
      </c>
      <c r="B2045" t="s">
        <v>166</v>
      </c>
      <c r="C2045" s="1">
        <v>31778</v>
      </c>
      <c r="D2045">
        <v>39</v>
      </c>
      <c r="E2045" t="s">
        <v>15</v>
      </c>
      <c r="F2045" t="s">
        <v>32</v>
      </c>
      <c r="G2045" s="1">
        <v>45538</v>
      </c>
      <c r="H2045" s="1">
        <v>44981</v>
      </c>
      <c r="I2045">
        <v>36</v>
      </c>
      <c r="J2045" t="s">
        <v>25</v>
      </c>
      <c r="K2045">
        <v>14297.84</v>
      </c>
    </row>
    <row r="2046" spans="1:11">
      <c r="A2046">
        <v>2045</v>
      </c>
      <c r="B2046" t="s">
        <v>123</v>
      </c>
      <c r="C2046" s="1">
        <v>18629</v>
      </c>
      <c r="D2046">
        <v>75</v>
      </c>
      <c r="E2046" t="s">
        <v>12</v>
      </c>
      <c r="F2046" t="s">
        <v>21</v>
      </c>
      <c r="G2046" s="1">
        <v>44975</v>
      </c>
      <c r="H2046" s="1">
        <v>45127</v>
      </c>
      <c r="I2046">
        <v>15</v>
      </c>
      <c r="J2046" t="s">
        <v>23</v>
      </c>
      <c r="K2046">
        <v>8450.2900000000009</v>
      </c>
    </row>
    <row r="2047" spans="1:11">
      <c r="A2047">
        <v>2046</v>
      </c>
      <c r="B2047" t="s">
        <v>42</v>
      </c>
      <c r="C2047" s="1">
        <v>25934</v>
      </c>
      <c r="D2047">
        <v>55</v>
      </c>
      <c r="E2047" t="s">
        <v>15</v>
      </c>
      <c r="F2047" t="s">
        <v>45</v>
      </c>
      <c r="G2047" s="1">
        <v>45020</v>
      </c>
      <c r="H2047" s="1">
        <v>45811</v>
      </c>
      <c r="I2047">
        <v>30</v>
      </c>
      <c r="J2047" t="s">
        <v>19</v>
      </c>
      <c r="K2047">
        <v>3745.73</v>
      </c>
    </row>
    <row r="2048" spans="1:11">
      <c r="A2048">
        <v>2047</v>
      </c>
      <c r="B2048" t="s">
        <v>143</v>
      </c>
      <c r="C2048" s="1">
        <v>33239</v>
      </c>
      <c r="D2048">
        <v>35</v>
      </c>
      <c r="E2048" t="s">
        <v>15</v>
      </c>
      <c r="F2048" t="s">
        <v>32</v>
      </c>
      <c r="G2048" s="1">
        <v>45533</v>
      </c>
      <c r="H2048" s="1">
        <v>45570</v>
      </c>
      <c r="I2048">
        <v>38</v>
      </c>
      <c r="J2048" t="s">
        <v>25</v>
      </c>
      <c r="K2048">
        <v>1511.56</v>
      </c>
    </row>
    <row r="2049" spans="1:11">
      <c r="A2049">
        <v>2048</v>
      </c>
      <c r="B2049" t="s">
        <v>76</v>
      </c>
      <c r="C2049" s="1">
        <v>29951</v>
      </c>
      <c r="D2049">
        <v>44</v>
      </c>
      <c r="E2049" t="s">
        <v>15</v>
      </c>
      <c r="F2049" t="s">
        <v>21</v>
      </c>
      <c r="G2049" s="1">
        <v>45583</v>
      </c>
      <c r="H2049" s="1">
        <v>45266</v>
      </c>
      <c r="I2049">
        <v>36</v>
      </c>
      <c r="J2049" t="s">
        <v>23</v>
      </c>
      <c r="K2049">
        <v>13411.03</v>
      </c>
    </row>
    <row r="2050" spans="1:11">
      <c r="A2050">
        <v>2049</v>
      </c>
      <c r="B2050" t="s">
        <v>24</v>
      </c>
      <c r="C2050" s="1">
        <v>37987</v>
      </c>
      <c r="D2050">
        <v>22</v>
      </c>
      <c r="E2050" t="s">
        <v>15</v>
      </c>
      <c r="F2050" t="s">
        <v>45</v>
      </c>
      <c r="G2050" s="1">
        <v>45510</v>
      </c>
      <c r="H2050" s="1">
        <v>45631</v>
      </c>
      <c r="I2050">
        <v>11</v>
      </c>
      <c r="J2050" t="s">
        <v>23</v>
      </c>
      <c r="K2050">
        <v>6270.81</v>
      </c>
    </row>
    <row r="2051" spans="1:11">
      <c r="A2051">
        <v>2050</v>
      </c>
      <c r="B2051" t="s">
        <v>64</v>
      </c>
      <c r="C2051" s="1">
        <v>29221</v>
      </c>
      <c r="D2051">
        <v>46</v>
      </c>
      <c r="E2051" t="s">
        <v>15</v>
      </c>
      <c r="F2051" t="s">
        <v>13</v>
      </c>
      <c r="G2051" s="1">
        <v>45377</v>
      </c>
      <c r="H2051" s="1">
        <v>45618</v>
      </c>
      <c r="I2051">
        <v>-2</v>
      </c>
      <c r="J2051" t="s">
        <v>19</v>
      </c>
      <c r="K2051">
        <v>4512.5200000000004</v>
      </c>
    </row>
    <row r="2052" spans="1:11">
      <c r="A2052">
        <v>2051</v>
      </c>
      <c r="B2052" t="s">
        <v>49</v>
      </c>
      <c r="C2052" s="1">
        <v>35065</v>
      </c>
      <c r="D2052">
        <v>30</v>
      </c>
      <c r="E2052" t="s">
        <v>12</v>
      </c>
      <c r="F2052" t="s">
        <v>16</v>
      </c>
      <c r="G2052" s="1">
        <v>45305</v>
      </c>
      <c r="H2052" s="1">
        <v>45825</v>
      </c>
      <c r="I2052">
        <v>10</v>
      </c>
      <c r="K2052">
        <v>7537.08</v>
      </c>
    </row>
    <row r="2053" spans="1:11">
      <c r="A2053">
        <v>2052</v>
      </c>
      <c r="B2053" t="s">
        <v>149</v>
      </c>
      <c r="C2053" s="1">
        <v>42370</v>
      </c>
      <c r="D2053">
        <v>10</v>
      </c>
      <c r="E2053" t="s">
        <v>12</v>
      </c>
      <c r="G2053" s="1">
        <v>44936</v>
      </c>
      <c r="H2053" s="1">
        <v>45232</v>
      </c>
      <c r="I2053">
        <v>12</v>
      </c>
      <c r="J2053" t="s">
        <v>19</v>
      </c>
      <c r="K2053">
        <v>11817.75</v>
      </c>
    </row>
    <row r="2054" spans="1:11">
      <c r="A2054">
        <v>2053</v>
      </c>
      <c r="B2054" t="s">
        <v>143</v>
      </c>
      <c r="C2054" s="1">
        <v>42735</v>
      </c>
      <c r="D2054">
        <v>9</v>
      </c>
      <c r="E2054" t="s">
        <v>15</v>
      </c>
      <c r="F2054" t="s">
        <v>45</v>
      </c>
      <c r="G2054" s="1">
        <v>45600</v>
      </c>
      <c r="H2054" s="1">
        <v>45726</v>
      </c>
      <c r="I2054">
        <v>34</v>
      </c>
      <c r="K2054">
        <v>13401.27</v>
      </c>
    </row>
    <row r="2055" spans="1:11">
      <c r="A2055">
        <v>2054</v>
      </c>
      <c r="B2055" t="s">
        <v>164</v>
      </c>
      <c r="C2055" s="1">
        <v>21916</v>
      </c>
      <c r="D2055">
        <v>66</v>
      </c>
      <c r="E2055" t="s">
        <v>12</v>
      </c>
      <c r="F2055" t="s">
        <v>32</v>
      </c>
      <c r="G2055" s="1">
        <v>45652</v>
      </c>
      <c r="H2055" s="1">
        <v>45679</v>
      </c>
      <c r="I2055">
        <v>2</v>
      </c>
      <c r="K2055">
        <v>12867.92</v>
      </c>
    </row>
    <row r="2056" spans="1:11">
      <c r="A2056">
        <v>2055</v>
      </c>
      <c r="B2056" t="s">
        <v>107</v>
      </c>
      <c r="C2056" s="1">
        <v>41274</v>
      </c>
      <c r="E2056" t="s">
        <v>12</v>
      </c>
      <c r="F2056" t="s">
        <v>18</v>
      </c>
      <c r="G2056" s="1">
        <v>45442</v>
      </c>
      <c r="H2056" s="1">
        <v>45172</v>
      </c>
      <c r="I2056">
        <v>11</v>
      </c>
      <c r="K2056">
        <v>17251.64</v>
      </c>
    </row>
    <row r="2057" spans="1:11">
      <c r="A2057">
        <v>2056</v>
      </c>
      <c r="B2057" t="s">
        <v>162</v>
      </c>
      <c r="C2057" s="1">
        <v>17168</v>
      </c>
      <c r="D2057">
        <v>79</v>
      </c>
      <c r="F2057" t="s">
        <v>45</v>
      </c>
      <c r="G2057" s="1">
        <v>45150</v>
      </c>
      <c r="H2057" s="1">
        <v>45769</v>
      </c>
      <c r="I2057">
        <v>11</v>
      </c>
      <c r="J2057" t="s">
        <v>23</v>
      </c>
      <c r="K2057">
        <v>4297.0200000000004</v>
      </c>
    </row>
    <row r="2058" spans="1:11">
      <c r="A2058">
        <v>2057</v>
      </c>
      <c r="B2058" t="s">
        <v>72</v>
      </c>
      <c r="C2058" s="1">
        <v>19359</v>
      </c>
      <c r="D2058">
        <v>73</v>
      </c>
      <c r="E2058" t="s">
        <v>12</v>
      </c>
      <c r="F2058" t="s">
        <v>18</v>
      </c>
      <c r="G2058" s="1">
        <v>45307</v>
      </c>
      <c r="H2058" s="1">
        <v>45556</v>
      </c>
      <c r="I2058">
        <v>2</v>
      </c>
      <c r="J2058" t="s">
        <v>23</v>
      </c>
      <c r="K2058">
        <v>12698.6</v>
      </c>
    </row>
    <row r="2059" spans="1:11">
      <c r="A2059">
        <v>2058</v>
      </c>
      <c r="B2059" t="s">
        <v>116</v>
      </c>
      <c r="C2059" s="1">
        <v>12419</v>
      </c>
      <c r="D2059">
        <v>92</v>
      </c>
      <c r="E2059" t="s">
        <v>15</v>
      </c>
      <c r="F2059" t="s">
        <v>18</v>
      </c>
      <c r="G2059" s="1">
        <v>45467</v>
      </c>
      <c r="H2059" s="1">
        <v>45135</v>
      </c>
      <c r="I2059">
        <v>8</v>
      </c>
      <c r="K2059">
        <v>1932.4</v>
      </c>
    </row>
    <row r="2060" spans="1:11">
      <c r="A2060">
        <v>2059</v>
      </c>
      <c r="B2060" t="s">
        <v>34</v>
      </c>
      <c r="C2060" s="1">
        <v>42735</v>
      </c>
      <c r="D2060">
        <v>9</v>
      </c>
      <c r="E2060" t="s">
        <v>15</v>
      </c>
      <c r="F2060" t="s">
        <v>45</v>
      </c>
      <c r="G2060" s="1">
        <v>45228</v>
      </c>
      <c r="H2060" s="1">
        <v>45651</v>
      </c>
      <c r="I2060">
        <v>29</v>
      </c>
      <c r="K2060">
        <v>10913.49</v>
      </c>
    </row>
    <row r="2061" spans="1:11">
      <c r="A2061">
        <v>2060</v>
      </c>
      <c r="B2061" t="s">
        <v>67</v>
      </c>
      <c r="C2061" s="1">
        <v>18629</v>
      </c>
      <c r="D2061">
        <v>75</v>
      </c>
      <c r="E2061" t="s">
        <v>12</v>
      </c>
      <c r="G2061" s="1">
        <v>45129</v>
      </c>
      <c r="H2061" s="1">
        <v>45438</v>
      </c>
      <c r="I2061">
        <v>2</v>
      </c>
      <c r="J2061" t="s">
        <v>23</v>
      </c>
      <c r="K2061">
        <v>11637.56</v>
      </c>
    </row>
    <row r="2062" spans="1:11">
      <c r="A2062">
        <v>2061</v>
      </c>
      <c r="B2062" t="s">
        <v>38</v>
      </c>
      <c r="C2062" s="1">
        <v>12054</v>
      </c>
      <c r="D2062">
        <v>93</v>
      </c>
      <c r="E2062" t="s">
        <v>15</v>
      </c>
      <c r="G2062" s="1">
        <v>45515</v>
      </c>
      <c r="H2062" s="1">
        <v>45186</v>
      </c>
      <c r="I2062">
        <v>33</v>
      </c>
      <c r="K2062">
        <v>4246.37</v>
      </c>
    </row>
    <row r="2063" spans="1:11">
      <c r="A2063">
        <v>2062</v>
      </c>
      <c r="B2063" t="s">
        <v>35</v>
      </c>
      <c r="C2063" s="1">
        <v>46022</v>
      </c>
      <c r="D2063">
        <v>0</v>
      </c>
      <c r="E2063" t="s">
        <v>15</v>
      </c>
      <c r="F2063" t="s">
        <v>13</v>
      </c>
      <c r="G2063" s="1">
        <v>45497</v>
      </c>
      <c r="H2063" s="1">
        <v>45307</v>
      </c>
      <c r="I2063">
        <v>12</v>
      </c>
      <c r="J2063" t="s">
        <v>23</v>
      </c>
      <c r="K2063">
        <v>7773.03</v>
      </c>
    </row>
    <row r="2064" spans="1:11">
      <c r="A2064">
        <v>2063</v>
      </c>
      <c r="B2064" t="s">
        <v>105</v>
      </c>
      <c r="C2064" s="1">
        <v>44561</v>
      </c>
      <c r="D2064">
        <v>4</v>
      </c>
      <c r="E2064" t="s">
        <v>15</v>
      </c>
      <c r="G2064" s="1">
        <v>45122</v>
      </c>
      <c r="H2064" s="1">
        <v>45090</v>
      </c>
      <c r="I2064">
        <v>4</v>
      </c>
      <c r="K2064">
        <v>16526.580000000002</v>
      </c>
    </row>
    <row r="2065" spans="1:11">
      <c r="A2065">
        <v>2064</v>
      </c>
      <c r="B2065" t="s">
        <v>118</v>
      </c>
      <c r="C2065" s="1">
        <v>39083</v>
      </c>
      <c r="D2065">
        <v>19</v>
      </c>
      <c r="E2065" t="s">
        <v>15</v>
      </c>
      <c r="F2065" t="s">
        <v>45</v>
      </c>
      <c r="G2065" s="1">
        <v>45248</v>
      </c>
      <c r="H2065" s="1">
        <v>45665</v>
      </c>
      <c r="I2065">
        <v>2</v>
      </c>
      <c r="J2065" t="s">
        <v>23</v>
      </c>
      <c r="K2065">
        <v>2883.02</v>
      </c>
    </row>
    <row r="2066" spans="1:11">
      <c r="A2066">
        <v>2065</v>
      </c>
      <c r="B2066" t="s">
        <v>14</v>
      </c>
      <c r="C2066" s="1">
        <v>43466</v>
      </c>
      <c r="D2066">
        <v>7</v>
      </c>
      <c r="E2066" t="s">
        <v>15</v>
      </c>
      <c r="G2066" s="1">
        <v>45344</v>
      </c>
      <c r="H2066" s="1">
        <v>45268</v>
      </c>
      <c r="I2066">
        <v>27</v>
      </c>
      <c r="J2066" t="s">
        <v>19</v>
      </c>
      <c r="K2066">
        <v>8633.57</v>
      </c>
    </row>
    <row r="2067" spans="1:11">
      <c r="A2067">
        <v>2066</v>
      </c>
      <c r="B2067" t="s">
        <v>108</v>
      </c>
      <c r="C2067" s="1">
        <v>30682</v>
      </c>
      <c r="D2067">
        <v>42</v>
      </c>
      <c r="E2067" t="s">
        <v>12</v>
      </c>
      <c r="F2067" t="s">
        <v>21</v>
      </c>
      <c r="G2067" s="1">
        <v>45545</v>
      </c>
      <c r="H2067" s="1">
        <v>45503</v>
      </c>
      <c r="I2067">
        <v>12</v>
      </c>
      <c r="K2067">
        <v>18647.93</v>
      </c>
    </row>
    <row r="2068" spans="1:11">
      <c r="A2068">
        <v>2067</v>
      </c>
      <c r="B2068" t="s">
        <v>121</v>
      </c>
      <c r="C2068" s="1">
        <v>18629</v>
      </c>
      <c r="D2068">
        <v>75</v>
      </c>
      <c r="E2068" t="s">
        <v>15</v>
      </c>
      <c r="F2068" t="s">
        <v>16</v>
      </c>
      <c r="G2068" s="1">
        <v>45268</v>
      </c>
      <c r="H2068" s="1">
        <v>45685</v>
      </c>
      <c r="I2068">
        <v>27</v>
      </c>
      <c r="K2068">
        <v>10032.59</v>
      </c>
    </row>
    <row r="2069" spans="1:11">
      <c r="A2069">
        <v>2068</v>
      </c>
      <c r="B2069" t="s">
        <v>134</v>
      </c>
      <c r="C2069" s="1">
        <v>46022</v>
      </c>
      <c r="D2069">
        <v>0</v>
      </c>
      <c r="E2069" t="s">
        <v>12</v>
      </c>
      <c r="F2069" t="s">
        <v>18</v>
      </c>
      <c r="G2069" s="1">
        <v>45315</v>
      </c>
      <c r="H2069" s="1">
        <v>45457</v>
      </c>
      <c r="I2069">
        <v>11</v>
      </c>
      <c r="J2069" t="s">
        <v>19</v>
      </c>
      <c r="K2069">
        <v>14475.19</v>
      </c>
    </row>
    <row r="2070" spans="1:11">
      <c r="A2070">
        <v>2069</v>
      </c>
      <c r="B2070" t="s">
        <v>125</v>
      </c>
      <c r="C2070" s="1">
        <v>25568</v>
      </c>
      <c r="D2070">
        <v>56</v>
      </c>
      <c r="E2070" t="s">
        <v>12</v>
      </c>
      <c r="F2070" t="s">
        <v>16</v>
      </c>
      <c r="G2070" s="1">
        <v>44935</v>
      </c>
      <c r="H2070" s="1">
        <v>44961</v>
      </c>
      <c r="I2070">
        <v>21</v>
      </c>
      <c r="J2070" t="s">
        <v>25</v>
      </c>
      <c r="K2070">
        <v>16520.009999999998</v>
      </c>
    </row>
    <row r="2071" spans="1:11">
      <c r="A2071">
        <v>2070</v>
      </c>
      <c r="B2071" t="s">
        <v>127</v>
      </c>
      <c r="C2071" s="1">
        <v>23012</v>
      </c>
      <c r="E2071" t="s">
        <v>15</v>
      </c>
      <c r="F2071" t="s">
        <v>32</v>
      </c>
      <c r="G2071" s="1">
        <v>45458</v>
      </c>
      <c r="H2071" s="1">
        <v>45751</v>
      </c>
      <c r="I2071">
        <v>21</v>
      </c>
      <c r="K2071">
        <v>3995.86</v>
      </c>
    </row>
    <row r="2072" spans="1:11">
      <c r="A2072">
        <v>2071</v>
      </c>
      <c r="B2072" t="s">
        <v>71</v>
      </c>
      <c r="C2072" s="1">
        <v>15707</v>
      </c>
      <c r="D2072">
        <v>83</v>
      </c>
      <c r="E2072" t="s">
        <v>15</v>
      </c>
      <c r="F2072" t="s">
        <v>18</v>
      </c>
      <c r="G2072" s="1">
        <v>45075</v>
      </c>
      <c r="H2072" s="1">
        <v>45250</v>
      </c>
      <c r="I2072">
        <v>32</v>
      </c>
      <c r="J2072" t="s">
        <v>25</v>
      </c>
      <c r="K2072">
        <v>4286.17</v>
      </c>
    </row>
    <row r="2073" spans="1:11">
      <c r="A2073">
        <v>2072</v>
      </c>
      <c r="B2073" t="s">
        <v>132</v>
      </c>
      <c r="C2073" s="1">
        <v>36161</v>
      </c>
      <c r="D2073">
        <v>27</v>
      </c>
      <c r="E2073" t="s">
        <v>15</v>
      </c>
      <c r="F2073" t="s">
        <v>32</v>
      </c>
      <c r="G2073" s="1">
        <v>45309</v>
      </c>
      <c r="H2073" s="1">
        <v>45108</v>
      </c>
      <c r="I2073">
        <v>2</v>
      </c>
      <c r="J2073" t="s">
        <v>19</v>
      </c>
      <c r="K2073">
        <v>15147.69</v>
      </c>
    </row>
    <row r="2074" spans="1:11">
      <c r="A2074">
        <v>2073</v>
      </c>
      <c r="B2074" t="s">
        <v>28</v>
      </c>
      <c r="C2074" s="1">
        <v>32873</v>
      </c>
      <c r="D2074">
        <v>36</v>
      </c>
      <c r="E2074" t="s">
        <v>15</v>
      </c>
      <c r="F2074" t="s">
        <v>21</v>
      </c>
      <c r="G2074" s="1">
        <v>45455</v>
      </c>
      <c r="H2074" s="1">
        <v>45274</v>
      </c>
      <c r="I2074">
        <v>9</v>
      </c>
      <c r="K2074">
        <v>15041.47</v>
      </c>
    </row>
    <row r="2075" spans="1:11">
      <c r="A2075">
        <v>2074</v>
      </c>
      <c r="B2075" t="s">
        <v>171</v>
      </c>
      <c r="C2075" s="1">
        <v>29221</v>
      </c>
      <c r="D2075">
        <v>46</v>
      </c>
      <c r="E2075" t="s">
        <v>15</v>
      </c>
      <c r="F2075" t="s">
        <v>21</v>
      </c>
      <c r="G2075" s="1">
        <v>44938</v>
      </c>
      <c r="H2075" s="1">
        <v>45633</v>
      </c>
      <c r="I2075">
        <v>17</v>
      </c>
      <c r="J2075" t="s">
        <v>25</v>
      </c>
      <c r="K2075">
        <v>1109.68</v>
      </c>
    </row>
    <row r="2076" spans="1:11">
      <c r="A2076">
        <v>2075</v>
      </c>
      <c r="B2076" t="s">
        <v>162</v>
      </c>
      <c r="C2076" s="1">
        <v>18629</v>
      </c>
      <c r="D2076">
        <v>75</v>
      </c>
      <c r="E2076" t="s">
        <v>15</v>
      </c>
      <c r="F2076" t="s">
        <v>16</v>
      </c>
      <c r="G2076" s="1">
        <v>45402</v>
      </c>
      <c r="H2076" s="1">
        <v>45119</v>
      </c>
      <c r="I2076">
        <v>2</v>
      </c>
      <c r="K2076">
        <v>6382.21</v>
      </c>
    </row>
    <row r="2077" spans="1:11">
      <c r="A2077">
        <v>2076</v>
      </c>
      <c r="B2077" t="s">
        <v>59</v>
      </c>
      <c r="C2077" s="1">
        <v>32873</v>
      </c>
      <c r="D2077">
        <v>36</v>
      </c>
      <c r="E2077" t="s">
        <v>12</v>
      </c>
      <c r="F2077" t="s">
        <v>21</v>
      </c>
      <c r="G2077" s="1">
        <v>45520</v>
      </c>
      <c r="H2077" s="1">
        <v>45506</v>
      </c>
      <c r="I2077">
        <v>33</v>
      </c>
      <c r="K2077">
        <v>7910.5</v>
      </c>
    </row>
    <row r="2078" spans="1:11">
      <c r="A2078">
        <v>2077</v>
      </c>
      <c r="B2078" t="s">
        <v>88</v>
      </c>
      <c r="C2078" s="1">
        <v>28490</v>
      </c>
      <c r="D2078">
        <v>48</v>
      </c>
      <c r="E2078" t="s">
        <v>12</v>
      </c>
      <c r="F2078" t="s">
        <v>45</v>
      </c>
      <c r="G2078" s="1">
        <v>45505</v>
      </c>
      <c r="H2078" s="1">
        <v>45648</v>
      </c>
      <c r="I2078">
        <v>18</v>
      </c>
      <c r="J2078" t="s">
        <v>23</v>
      </c>
      <c r="K2078">
        <v>16563.71</v>
      </c>
    </row>
    <row r="2079" spans="1:11">
      <c r="A2079">
        <v>2078</v>
      </c>
      <c r="B2079" t="s">
        <v>60</v>
      </c>
      <c r="C2079" s="1">
        <v>30317</v>
      </c>
      <c r="D2079">
        <v>43</v>
      </c>
      <c r="E2079" t="s">
        <v>15</v>
      </c>
      <c r="F2079" t="s">
        <v>18</v>
      </c>
      <c r="G2079" s="1">
        <v>45571</v>
      </c>
      <c r="H2079" s="1">
        <v>45805</v>
      </c>
      <c r="I2079">
        <v>36</v>
      </c>
      <c r="J2079" t="s">
        <v>25</v>
      </c>
      <c r="K2079">
        <v>8379.43</v>
      </c>
    </row>
    <row r="2080" spans="1:11">
      <c r="A2080">
        <v>2079</v>
      </c>
      <c r="B2080" t="s">
        <v>101</v>
      </c>
      <c r="C2080" s="1">
        <v>25934</v>
      </c>
      <c r="D2080">
        <v>55</v>
      </c>
      <c r="E2080" t="s">
        <v>15</v>
      </c>
      <c r="F2080" t="s">
        <v>32</v>
      </c>
      <c r="G2080" s="1">
        <v>44979</v>
      </c>
      <c r="H2080" s="1">
        <v>45606</v>
      </c>
      <c r="I2080">
        <v>0</v>
      </c>
      <c r="J2080" t="s">
        <v>23</v>
      </c>
      <c r="K2080">
        <v>18511.169999999998</v>
      </c>
    </row>
    <row r="2081" spans="1:11">
      <c r="A2081">
        <v>2080</v>
      </c>
      <c r="B2081" t="s">
        <v>111</v>
      </c>
      <c r="C2081" s="1">
        <v>36161</v>
      </c>
      <c r="D2081">
        <v>27</v>
      </c>
      <c r="E2081" t="s">
        <v>12</v>
      </c>
      <c r="G2081" s="1">
        <v>45362</v>
      </c>
      <c r="H2081" s="1">
        <v>45173</v>
      </c>
      <c r="I2081">
        <v>26</v>
      </c>
      <c r="J2081" t="s">
        <v>23</v>
      </c>
      <c r="K2081">
        <v>19931.82</v>
      </c>
    </row>
    <row r="2082" spans="1:11">
      <c r="A2082">
        <v>2081</v>
      </c>
      <c r="B2082" t="s">
        <v>80</v>
      </c>
      <c r="C2082" s="1">
        <v>17533</v>
      </c>
      <c r="D2082">
        <v>78</v>
      </c>
      <c r="E2082" t="s">
        <v>12</v>
      </c>
      <c r="F2082" t="s">
        <v>16</v>
      </c>
      <c r="G2082" s="1">
        <v>45132</v>
      </c>
      <c r="H2082" s="1">
        <v>45172</v>
      </c>
      <c r="I2082">
        <v>22</v>
      </c>
      <c r="J2082" t="s">
        <v>25</v>
      </c>
      <c r="K2082">
        <v>15592.6</v>
      </c>
    </row>
    <row r="2083" spans="1:11">
      <c r="A2083">
        <v>2082</v>
      </c>
      <c r="B2083" t="s">
        <v>160</v>
      </c>
      <c r="C2083" s="1">
        <v>44196</v>
      </c>
      <c r="D2083">
        <v>5</v>
      </c>
      <c r="E2083" t="s">
        <v>12</v>
      </c>
      <c r="F2083" t="s">
        <v>16</v>
      </c>
      <c r="G2083" s="1">
        <v>44980</v>
      </c>
      <c r="H2083" s="1">
        <v>45605</v>
      </c>
      <c r="I2083">
        <v>24</v>
      </c>
      <c r="J2083" t="s">
        <v>25</v>
      </c>
      <c r="K2083">
        <v>13294.37</v>
      </c>
    </row>
    <row r="2084" spans="1:11">
      <c r="A2084">
        <v>2083</v>
      </c>
      <c r="B2084" t="s">
        <v>133</v>
      </c>
      <c r="C2084" s="1">
        <v>24107</v>
      </c>
      <c r="D2084">
        <v>60</v>
      </c>
      <c r="E2084" t="s">
        <v>12</v>
      </c>
      <c r="F2084" t="s">
        <v>21</v>
      </c>
      <c r="G2084" s="1">
        <v>45506</v>
      </c>
      <c r="H2084" s="1">
        <v>45735</v>
      </c>
      <c r="I2084">
        <v>33</v>
      </c>
      <c r="J2084" t="s">
        <v>23</v>
      </c>
      <c r="K2084">
        <v>7777.13</v>
      </c>
    </row>
    <row r="2085" spans="1:11">
      <c r="A2085">
        <v>2084</v>
      </c>
      <c r="B2085" t="s">
        <v>99</v>
      </c>
      <c r="C2085" s="1">
        <v>39083</v>
      </c>
      <c r="D2085">
        <v>19</v>
      </c>
      <c r="E2085" t="s">
        <v>15</v>
      </c>
      <c r="F2085" t="s">
        <v>21</v>
      </c>
      <c r="G2085" s="1">
        <v>45416</v>
      </c>
      <c r="H2085" s="1">
        <v>45650</v>
      </c>
      <c r="I2085">
        <v>19</v>
      </c>
      <c r="K2085">
        <v>1247.49</v>
      </c>
    </row>
    <row r="2086" spans="1:11">
      <c r="A2086">
        <v>2085</v>
      </c>
      <c r="B2086" t="s">
        <v>29</v>
      </c>
      <c r="C2086" s="1">
        <v>17898</v>
      </c>
      <c r="D2086">
        <v>77</v>
      </c>
      <c r="E2086" t="s">
        <v>15</v>
      </c>
      <c r="F2086" t="s">
        <v>32</v>
      </c>
      <c r="G2086" s="1">
        <v>45270</v>
      </c>
      <c r="H2086" s="1">
        <v>45060</v>
      </c>
      <c r="I2086">
        <v>35</v>
      </c>
      <c r="K2086">
        <v>11420.09</v>
      </c>
    </row>
    <row r="2087" spans="1:11">
      <c r="A2087">
        <v>2086</v>
      </c>
      <c r="B2087" t="s">
        <v>79</v>
      </c>
      <c r="C2087" s="1">
        <v>45657</v>
      </c>
      <c r="D2087">
        <v>1</v>
      </c>
      <c r="E2087" t="s">
        <v>12</v>
      </c>
      <c r="F2087" t="s">
        <v>18</v>
      </c>
      <c r="G2087" s="1">
        <v>45095</v>
      </c>
      <c r="H2087" s="1">
        <v>45124</v>
      </c>
      <c r="I2087">
        <v>32</v>
      </c>
      <c r="J2087" t="s">
        <v>19</v>
      </c>
      <c r="K2087">
        <v>7170.27</v>
      </c>
    </row>
    <row r="2088" spans="1:11">
      <c r="A2088">
        <v>2087</v>
      </c>
      <c r="B2088" t="s">
        <v>126</v>
      </c>
      <c r="C2088" s="1">
        <v>19724</v>
      </c>
      <c r="D2088">
        <v>72</v>
      </c>
      <c r="E2088" t="s">
        <v>15</v>
      </c>
      <c r="F2088" t="s">
        <v>18</v>
      </c>
      <c r="G2088" s="1">
        <v>45087</v>
      </c>
      <c r="H2088" s="1">
        <v>45274</v>
      </c>
      <c r="I2088">
        <v>-2</v>
      </c>
      <c r="K2088">
        <v>6953.05</v>
      </c>
    </row>
    <row r="2089" spans="1:11">
      <c r="A2089">
        <v>2088</v>
      </c>
      <c r="B2089" t="s">
        <v>118</v>
      </c>
      <c r="C2089" s="1">
        <v>32873</v>
      </c>
      <c r="D2089">
        <v>36</v>
      </c>
      <c r="F2089" t="s">
        <v>16</v>
      </c>
      <c r="G2089" s="1">
        <v>45453</v>
      </c>
      <c r="H2089" s="1">
        <v>44976</v>
      </c>
      <c r="I2089">
        <v>0</v>
      </c>
      <c r="J2089" t="s">
        <v>25</v>
      </c>
      <c r="K2089">
        <v>13722.96</v>
      </c>
    </row>
    <row r="2090" spans="1:11">
      <c r="A2090">
        <v>2089</v>
      </c>
      <c r="B2090" t="s">
        <v>170</v>
      </c>
      <c r="C2090" s="1">
        <v>39083</v>
      </c>
      <c r="D2090">
        <v>19</v>
      </c>
      <c r="E2090" t="s">
        <v>12</v>
      </c>
      <c r="F2090" t="s">
        <v>32</v>
      </c>
      <c r="G2090" s="1">
        <v>45629</v>
      </c>
      <c r="H2090" s="1">
        <v>44991</v>
      </c>
      <c r="I2090">
        <v>21</v>
      </c>
      <c r="J2090" t="s">
        <v>25</v>
      </c>
      <c r="K2090">
        <v>9219.15</v>
      </c>
    </row>
    <row r="2091" spans="1:11">
      <c r="A2091">
        <v>2090</v>
      </c>
      <c r="B2091" t="s">
        <v>96</v>
      </c>
      <c r="C2091" s="1">
        <v>36891</v>
      </c>
      <c r="D2091">
        <v>25</v>
      </c>
      <c r="E2091" t="s">
        <v>12</v>
      </c>
      <c r="F2091" t="s">
        <v>16</v>
      </c>
      <c r="G2091" s="1">
        <v>45453</v>
      </c>
      <c r="H2091" s="1">
        <v>45551</v>
      </c>
      <c r="I2091">
        <v>5</v>
      </c>
      <c r="J2091" t="s">
        <v>19</v>
      </c>
      <c r="K2091">
        <v>15017.09</v>
      </c>
    </row>
    <row r="2092" spans="1:11">
      <c r="A2092">
        <v>2091</v>
      </c>
      <c r="B2092" t="s">
        <v>119</v>
      </c>
      <c r="C2092" s="1">
        <v>35795</v>
      </c>
      <c r="D2092">
        <v>28</v>
      </c>
      <c r="E2092" t="s">
        <v>15</v>
      </c>
      <c r="G2092" s="1">
        <v>45213</v>
      </c>
      <c r="H2092" s="1">
        <v>45795</v>
      </c>
      <c r="I2092">
        <v>36</v>
      </c>
      <c r="J2092" t="s">
        <v>25</v>
      </c>
      <c r="K2092">
        <v>7903.28</v>
      </c>
    </row>
    <row r="2093" spans="1:11">
      <c r="A2093">
        <v>2092</v>
      </c>
      <c r="B2093" t="s">
        <v>95</v>
      </c>
      <c r="C2093" s="1">
        <v>46022</v>
      </c>
      <c r="D2093">
        <v>0</v>
      </c>
      <c r="E2093" t="s">
        <v>12</v>
      </c>
      <c r="F2093" t="s">
        <v>13</v>
      </c>
      <c r="G2093" s="1">
        <v>45338</v>
      </c>
      <c r="H2093" s="1">
        <v>45624</v>
      </c>
      <c r="I2093">
        <v>15</v>
      </c>
      <c r="J2093" t="s">
        <v>23</v>
      </c>
      <c r="K2093">
        <v>2932.35</v>
      </c>
    </row>
    <row r="2094" spans="1:11">
      <c r="A2094">
        <v>2093</v>
      </c>
      <c r="B2094" t="s">
        <v>166</v>
      </c>
      <c r="C2094" s="1">
        <v>33604</v>
      </c>
      <c r="D2094">
        <v>34</v>
      </c>
      <c r="E2094" t="s">
        <v>12</v>
      </c>
      <c r="F2094" t="s">
        <v>18</v>
      </c>
      <c r="G2094" s="1">
        <v>45448</v>
      </c>
      <c r="H2094" s="1">
        <v>45031</v>
      </c>
      <c r="I2094">
        <v>38</v>
      </c>
      <c r="J2094" t="s">
        <v>19</v>
      </c>
      <c r="K2094">
        <v>9173.09</v>
      </c>
    </row>
    <row r="2095" spans="1:11">
      <c r="A2095">
        <v>2094</v>
      </c>
      <c r="B2095" t="s">
        <v>126</v>
      </c>
      <c r="C2095" s="1">
        <v>20820</v>
      </c>
      <c r="D2095">
        <v>69</v>
      </c>
      <c r="E2095" t="s">
        <v>15</v>
      </c>
      <c r="F2095" t="s">
        <v>32</v>
      </c>
      <c r="G2095" s="1">
        <v>45495</v>
      </c>
      <c r="H2095" s="1">
        <v>45140</v>
      </c>
      <c r="I2095">
        <v>0</v>
      </c>
      <c r="J2095" t="s">
        <v>19</v>
      </c>
      <c r="K2095">
        <v>19015.349999999999</v>
      </c>
    </row>
    <row r="2096" spans="1:11">
      <c r="A2096">
        <v>2095</v>
      </c>
      <c r="B2096" t="s">
        <v>27</v>
      </c>
      <c r="C2096" s="1">
        <v>24838</v>
      </c>
      <c r="D2096">
        <v>58</v>
      </c>
      <c r="E2096" t="s">
        <v>15</v>
      </c>
      <c r="G2096" s="1">
        <v>45125</v>
      </c>
      <c r="H2096" s="1">
        <v>45444</v>
      </c>
      <c r="I2096">
        <v>15</v>
      </c>
      <c r="K2096">
        <v>16010.65</v>
      </c>
    </row>
    <row r="2097" spans="1:11">
      <c r="A2097">
        <v>2096</v>
      </c>
      <c r="B2097" t="s">
        <v>163</v>
      </c>
      <c r="C2097" s="1">
        <v>21185</v>
      </c>
      <c r="D2097">
        <v>68</v>
      </c>
      <c r="E2097" t="s">
        <v>12</v>
      </c>
      <c r="F2097" t="s">
        <v>32</v>
      </c>
      <c r="G2097" s="1">
        <v>45087</v>
      </c>
      <c r="H2097" s="1">
        <v>45046</v>
      </c>
      <c r="I2097">
        <v>13</v>
      </c>
      <c r="K2097">
        <v>4035.56</v>
      </c>
    </row>
    <row r="2098" spans="1:11">
      <c r="A2098">
        <v>2097</v>
      </c>
      <c r="B2098" t="s">
        <v>59</v>
      </c>
      <c r="C2098" s="1">
        <v>34334</v>
      </c>
      <c r="D2098">
        <v>32</v>
      </c>
      <c r="E2098" t="s">
        <v>12</v>
      </c>
      <c r="F2098" t="s">
        <v>16</v>
      </c>
      <c r="G2098" s="1">
        <v>45315</v>
      </c>
      <c r="H2098" s="1">
        <v>45783</v>
      </c>
      <c r="I2098">
        <v>29</v>
      </c>
      <c r="J2098" t="s">
        <v>23</v>
      </c>
      <c r="K2098">
        <v>7765.14</v>
      </c>
    </row>
    <row r="2099" spans="1:11">
      <c r="A2099">
        <v>2098</v>
      </c>
      <c r="B2099" t="s">
        <v>57</v>
      </c>
      <c r="C2099" s="1">
        <v>27760</v>
      </c>
      <c r="D2099">
        <v>50</v>
      </c>
      <c r="E2099" t="s">
        <v>15</v>
      </c>
      <c r="F2099" t="s">
        <v>21</v>
      </c>
      <c r="G2099" s="1">
        <v>45400</v>
      </c>
      <c r="H2099" s="1">
        <v>45688</v>
      </c>
      <c r="I2099">
        <v>-2</v>
      </c>
      <c r="J2099" t="s">
        <v>23</v>
      </c>
      <c r="K2099">
        <v>18548.62</v>
      </c>
    </row>
    <row r="2100" spans="1:11">
      <c r="A2100">
        <v>2099</v>
      </c>
      <c r="B2100" t="s">
        <v>85</v>
      </c>
      <c r="C2100" s="1">
        <v>17898</v>
      </c>
      <c r="D2100">
        <v>77</v>
      </c>
      <c r="E2100" t="s">
        <v>15</v>
      </c>
      <c r="F2100" t="s">
        <v>32</v>
      </c>
      <c r="G2100" s="1">
        <v>45307</v>
      </c>
      <c r="H2100" s="1">
        <v>45606</v>
      </c>
      <c r="I2100">
        <v>23</v>
      </c>
      <c r="K2100">
        <v>2386.35</v>
      </c>
    </row>
    <row r="2101" spans="1:11">
      <c r="A2101">
        <v>2100</v>
      </c>
      <c r="B2101" t="s">
        <v>128</v>
      </c>
      <c r="C2101" s="1">
        <v>42005</v>
      </c>
      <c r="D2101">
        <v>11</v>
      </c>
      <c r="E2101" t="s">
        <v>12</v>
      </c>
      <c r="F2101" t="s">
        <v>16</v>
      </c>
      <c r="G2101" s="1">
        <v>45557</v>
      </c>
      <c r="H2101" s="1">
        <v>45822</v>
      </c>
      <c r="I2101">
        <v>9</v>
      </c>
      <c r="K2101">
        <v>5004.3999999999996</v>
      </c>
    </row>
    <row r="2102" spans="1:11">
      <c r="A2102">
        <v>2101</v>
      </c>
      <c r="B2102" t="s">
        <v>40</v>
      </c>
      <c r="C2102" s="1">
        <v>39083</v>
      </c>
      <c r="D2102">
        <v>19</v>
      </c>
      <c r="E2102" t="s">
        <v>12</v>
      </c>
      <c r="F2102" t="s">
        <v>45</v>
      </c>
      <c r="G2102" s="1">
        <v>45518</v>
      </c>
      <c r="H2102" s="1">
        <v>45169</v>
      </c>
      <c r="I2102">
        <v>35</v>
      </c>
      <c r="J2102" t="s">
        <v>23</v>
      </c>
      <c r="K2102">
        <v>5170.68</v>
      </c>
    </row>
    <row r="2103" spans="1:11">
      <c r="A2103">
        <v>2102</v>
      </c>
      <c r="B2103" t="s">
        <v>50</v>
      </c>
      <c r="C2103" s="1">
        <v>27029</v>
      </c>
      <c r="D2103">
        <v>52</v>
      </c>
      <c r="E2103" t="s">
        <v>12</v>
      </c>
      <c r="F2103" t="s">
        <v>21</v>
      </c>
      <c r="G2103" s="1">
        <v>45050</v>
      </c>
      <c r="H2103" s="1">
        <v>45207</v>
      </c>
      <c r="I2103">
        <v>18</v>
      </c>
      <c r="K2103">
        <v>11375.75</v>
      </c>
    </row>
    <row r="2104" spans="1:11">
      <c r="A2104">
        <v>2103</v>
      </c>
      <c r="B2104" t="s">
        <v>81</v>
      </c>
      <c r="C2104" s="1">
        <v>14246</v>
      </c>
      <c r="D2104">
        <v>87</v>
      </c>
      <c r="E2104" t="s">
        <v>12</v>
      </c>
      <c r="F2104" t="s">
        <v>21</v>
      </c>
      <c r="G2104" s="1">
        <v>44998</v>
      </c>
      <c r="H2104" s="1">
        <v>45351</v>
      </c>
      <c r="I2104">
        <v>38</v>
      </c>
      <c r="J2104" t="s">
        <v>19</v>
      </c>
      <c r="K2104">
        <v>8155.74</v>
      </c>
    </row>
    <row r="2105" spans="1:11">
      <c r="A2105">
        <v>2104</v>
      </c>
      <c r="B2105" t="s">
        <v>72</v>
      </c>
      <c r="C2105" s="1">
        <v>30682</v>
      </c>
      <c r="D2105">
        <v>42</v>
      </c>
      <c r="E2105" t="s">
        <v>15</v>
      </c>
      <c r="F2105" t="s">
        <v>18</v>
      </c>
      <c r="G2105" s="1">
        <v>45094</v>
      </c>
      <c r="H2105" s="1">
        <v>45290</v>
      </c>
      <c r="I2105">
        <v>10</v>
      </c>
      <c r="J2105" t="s">
        <v>23</v>
      </c>
      <c r="K2105">
        <v>1505.4</v>
      </c>
    </row>
    <row r="2106" spans="1:11">
      <c r="A2106">
        <v>2105</v>
      </c>
      <c r="B2106" t="s">
        <v>70</v>
      </c>
      <c r="C2106" s="1">
        <v>13880</v>
      </c>
      <c r="D2106">
        <v>88</v>
      </c>
      <c r="E2106" t="s">
        <v>12</v>
      </c>
      <c r="F2106" t="s">
        <v>13</v>
      </c>
      <c r="G2106" s="1">
        <v>45210</v>
      </c>
      <c r="H2106" s="1">
        <v>45677</v>
      </c>
      <c r="I2106">
        <v>9</v>
      </c>
      <c r="K2106">
        <v>12546.55</v>
      </c>
    </row>
    <row r="2107" spans="1:11">
      <c r="A2107">
        <v>2106</v>
      </c>
      <c r="B2107" t="s">
        <v>169</v>
      </c>
      <c r="C2107" s="1">
        <v>28125</v>
      </c>
      <c r="D2107">
        <v>49</v>
      </c>
      <c r="E2107" t="s">
        <v>15</v>
      </c>
      <c r="F2107" t="s">
        <v>18</v>
      </c>
      <c r="G2107" s="1">
        <v>45420</v>
      </c>
      <c r="H2107" s="1">
        <v>45233</v>
      </c>
      <c r="I2107">
        <v>10</v>
      </c>
      <c r="J2107" t="s">
        <v>25</v>
      </c>
      <c r="K2107">
        <v>1891.47</v>
      </c>
    </row>
    <row r="2108" spans="1:11">
      <c r="A2108">
        <v>2107</v>
      </c>
      <c r="B2108" t="s">
        <v>37</v>
      </c>
      <c r="C2108" s="1">
        <v>35795</v>
      </c>
      <c r="D2108">
        <v>28</v>
      </c>
      <c r="E2108" t="s">
        <v>12</v>
      </c>
      <c r="F2108" t="s">
        <v>45</v>
      </c>
      <c r="G2108" s="1">
        <v>44962</v>
      </c>
      <c r="H2108" s="1">
        <v>45644</v>
      </c>
      <c r="I2108">
        <v>15</v>
      </c>
      <c r="J2108" t="s">
        <v>25</v>
      </c>
      <c r="K2108">
        <v>12088.94</v>
      </c>
    </row>
    <row r="2109" spans="1:11">
      <c r="A2109">
        <v>2108</v>
      </c>
      <c r="B2109" t="s">
        <v>98</v>
      </c>
      <c r="C2109" s="1">
        <v>25568</v>
      </c>
      <c r="D2109">
        <v>56</v>
      </c>
      <c r="E2109" t="s">
        <v>12</v>
      </c>
      <c r="F2109" t="s">
        <v>16</v>
      </c>
      <c r="G2109" s="1">
        <v>45101</v>
      </c>
      <c r="H2109" s="1">
        <v>45413</v>
      </c>
      <c r="I2109">
        <v>16</v>
      </c>
      <c r="J2109" t="s">
        <v>23</v>
      </c>
      <c r="K2109">
        <v>10090.870000000001</v>
      </c>
    </row>
    <row r="2110" spans="1:11">
      <c r="A2110">
        <v>2109</v>
      </c>
      <c r="B2110" t="s">
        <v>163</v>
      </c>
      <c r="C2110" s="1">
        <v>32143</v>
      </c>
      <c r="D2110">
        <v>38</v>
      </c>
      <c r="E2110" t="s">
        <v>15</v>
      </c>
      <c r="F2110" t="s">
        <v>21</v>
      </c>
      <c r="G2110" s="1">
        <v>45125</v>
      </c>
      <c r="H2110" s="1">
        <v>45241</v>
      </c>
      <c r="I2110">
        <v>16</v>
      </c>
      <c r="J2110" t="s">
        <v>25</v>
      </c>
      <c r="K2110">
        <v>9822.74</v>
      </c>
    </row>
    <row r="2111" spans="1:11">
      <c r="A2111">
        <v>2110</v>
      </c>
      <c r="B2111" t="s">
        <v>59</v>
      </c>
      <c r="C2111" s="1">
        <v>11689</v>
      </c>
      <c r="D2111">
        <v>94</v>
      </c>
      <c r="E2111" t="s">
        <v>15</v>
      </c>
      <c r="F2111" t="s">
        <v>21</v>
      </c>
      <c r="G2111" s="1">
        <v>45042</v>
      </c>
      <c r="H2111" s="1">
        <v>45440</v>
      </c>
      <c r="I2111">
        <v>3</v>
      </c>
      <c r="J2111" t="s">
        <v>25</v>
      </c>
      <c r="K2111">
        <v>1256.67</v>
      </c>
    </row>
    <row r="2112" spans="1:11">
      <c r="A2112">
        <v>2111</v>
      </c>
      <c r="B2112" t="s">
        <v>99</v>
      </c>
      <c r="C2112" s="1">
        <v>25934</v>
      </c>
      <c r="D2112">
        <v>55</v>
      </c>
      <c r="E2112" t="s">
        <v>12</v>
      </c>
      <c r="G2112" s="1">
        <v>45241</v>
      </c>
      <c r="H2112" s="1">
        <v>45610</v>
      </c>
      <c r="I2112">
        <v>4</v>
      </c>
      <c r="J2112" t="s">
        <v>19</v>
      </c>
      <c r="K2112">
        <v>12748.33</v>
      </c>
    </row>
    <row r="2113" spans="1:11">
      <c r="A2113">
        <v>2112</v>
      </c>
      <c r="B2113" t="s">
        <v>120</v>
      </c>
      <c r="C2113" s="1">
        <v>30682</v>
      </c>
      <c r="D2113">
        <v>42</v>
      </c>
      <c r="E2113" t="s">
        <v>15</v>
      </c>
      <c r="F2113" t="s">
        <v>32</v>
      </c>
      <c r="G2113" s="1">
        <v>45146</v>
      </c>
      <c r="H2113" s="1">
        <v>45094</v>
      </c>
      <c r="I2113">
        <v>4</v>
      </c>
      <c r="J2113" t="s">
        <v>23</v>
      </c>
      <c r="K2113">
        <v>8569.5400000000009</v>
      </c>
    </row>
    <row r="2114" spans="1:11">
      <c r="A2114">
        <v>2113</v>
      </c>
      <c r="B2114" t="s">
        <v>104</v>
      </c>
      <c r="C2114" s="1">
        <v>28125</v>
      </c>
      <c r="D2114">
        <v>49</v>
      </c>
      <c r="E2114" t="s">
        <v>15</v>
      </c>
      <c r="F2114" t="s">
        <v>13</v>
      </c>
      <c r="G2114" s="1">
        <v>45504</v>
      </c>
      <c r="H2114" s="1">
        <v>45321</v>
      </c>
      <c r="I2114">
        <v>25</v>
      </c>
      <c r="J2114" t="s">
        <v>25</v>
      </c>
      <c r="K2114">
        <v>8163.23</v>
      </c>
    </row>
    <row r="2115" spans="1:11">
      <c r="A2115">
        <v>2114</v>
      </c>
      <c r="B2115" t="s">
        <v>79</v>
      </c>
      <c r="C2115" s="1">
        <v>37987</v>
      </c>
      <c r="D2115">
        <v>22</v>
      </c>
      <c r="E2115" t="s">
        <v>12</v>
      </c>
      <c r="F2115" t="s">
        <v>13</v>
      </c>
      <c r="G2115" s="1">
        <v>45060</v>
      </c>
      <c r="H2115" s="1">
        <v>45697</v>
      </c>
      <c r="I2115">
        <v>25</v>
      </c>
      <c r="K2115">
        <v>11888.67</v>
      </c>
    </row>
    <row r="2116" spans="1:11">
      <c r="A2116">
        <v>2115</v>
      </c>
      <c r="B2116" t="s">
        <v>80</v>
      </c>
      <c r="C2116" s="1">
        <v>30317</v>
      </c>
      <c r="D2116">
        <v>43</v>
      </c>
      <c r="E2116" t="s">
        <v>15</v>
      </c>
      <c r="F2116" t="s">
        <v>32</v>
      </c>
      <c r="G2116" s="1">
        <v>45557</v>
      </c>
      <c r="H2116" s="1">
        <v>44990</v>
      </c>
      <c r="I2116">
        <v>16</v>
      </c>
      <c r="J2116" t="s">
        <v>23</v>
      </c>
      <c r="K2116">
        <v>12085.59</v>
      </c>
    </row>
    <row r="2117" spans="1:11">
      <c r="A2117">
        <v>2116</v>
      </c>
      <c r="B2117" t="s">
        <v>64</v>
      </c>
      <c r="C2117" s="1">
        <v>32508</v>
      </c>
      <c r="D2117">
        <v>37</v>
      </c>
      <c r="E2117" t="s">
        <v>12</v>
      </c>
      <c r="F2117" t="s">
        <v>45</v>
      </c>
      <c r="G2117" s="1">
        <v>45048</v>
      </c>
      <c r="H2117" s="1">
        <v>45199</v>
      </c>
      <c r="I2117">
        <v>13</v>
      </c>
      <c r="J2117" t="s">
        <v>23</v>
      </c>
      <c r="K2117">
        <v>202.17</v>
      </c>
    </row>
    <row r="2118" spans="1:11">
      <c r="A2118">
        <v>2117</v>
      </c>
      <c r="B2118" t="s">
        <v>124</v>
      </c>
      <c r="C2118" s="1">
        <v>15707</v>
      </c>
      <c r="D2118">
        <v>83</v>
      </c>
      <c r="E2118" t="s">
        <v>15</v>
      </c>
      <c r="F2118" t="s">
        <v>13</v>
      </c>
      <c r="G2118" s="1">
        <v>45347</v>
      </c>
      <c r="H2118" s="1">
        <v>44964</v>
      </c>
      <c r="I2118">
        <v>14</v>
      </c>
      <c r="J2118" t="s">
        <v>25</v>
      </c>
      <c r="K2118">
        <v>2417.04</v>
      </c>
    </row>
    <row r="2119" spans="1:11">
      <c r="A2119">
        <v>2118</v>
      </c>
      <c r="B2119" t="s">
        <v>31</v>
      </c>
      <c r="C2119" s="1">
        <v>37987</v>
      </c>
      <c r="D2119">
        <v>22</v>
      </c>
      <c r="E2119" t="s">
        <v>12</v>
      </c>
      <c r="F2119" t="s">
        <v>21</v>
      </c>
      <c r="G2119" s="1">
        <v>45418</v>
      </c>
      <c r="H2119" s="1">
        <v>44943</v>
      </c>
      <c r="I2119">
        <v>19</v>
      </c>
      <c r="J2119" t="s">
        <v>25</v>
      </c>
      <c r="K2119">
        <v>4654.0200000000004</v>
      </c>
    </row>
    <row r="2120" spans="1:11">
      <c r="A2120">
        <v>2119</v>
      </c>
      <c r="B2120" t="s">
        <v>64</v>
      </c>
      <c r="C2120" s="1">
        <v>29951</v>
      </c>
      <c r="D2120">
        <v>44</v>
      </c>
      <c r="E2120" t="s">
        <v>15</v>
      </c>
      <c r="F2120" t="s">
        <v>45</v>
      </c>
      <c r="G2120" s="1">
        <v>45525</v>
      </c>
      <c r="H2120" s="1">
        <v>45693</v>
      </c>
      <c r="I2120">
        <v>16</v>
      </c>
      <c r="J2120" t="s">
        <v>19</v>
      </c>
      <c r="K2120">
        <v>13527.34</v>
      </c>
    </row>
    <row r="2121" spans="1:11">
      <c r="A2121">
        <v>2120</v>
      </c>
      <c r="B2121" t="s">
        <v>34</v>
      </c>
      <c r="C2121" s="1">
        <v>27395</v>
      </c>
      <c r="D2121">
        <v>51</v>
      </c>
      <c r="E2121" t="s">
        <v>15</v>
      </c>
      <c r="F2121" t="s">
        <v>18</v>
      </c>
      <c r="G2121" s="1">
        <v>45215</v>
      </c>
      <c r="H2121" s="1">
        <v>45270</v>
      </c>
      <c r="I2121">
        <v>26</v>
      </c>
      <c r="K2121">
        <v>11492.5</v>
      </c>
    </row>
    <row r="2122" spans="1:11">
      <c r="A2122">
        <v>2121</v>
      </c>
      <c r="B2122" t="s">
        <v>46</v>
      </c>
      <c r="C2122" s="1">
        <v>17168</v>
      </c>
      <c r="D2122">
        <v>79</v>
      </c>
      <c r="E2122" t="s">
        <v>12</v>
      </c>
      <c r="F2122" t="s">
        <v>18</v>
      </c>
      <c r="G2122" s="1">
        <v>45575</v>
      </c>
      <c r="H2122" s="1">
        <v>45273</v>
      </c>
      <c r="I2122">
        <v>16</v>
      </c>
      <c r="J2122" t="s">
        <v>19</v>
      </c>
      <c r="K2122">
        <v>15128.35</v>
      </c>
    </row>
    <row r="2123" spans="1:11">
      <c r="A2123">
        <v>2122</v>
      </c>
      <c r="B2123" t="s">
        <v>169</v>
      </c>
      <c r="C2123" s="1">
        <v>28125</v>
      </c>
      <c r="D2123">
        <v>49</v>
      </c>
      <c r="E2123" t="s">
        <v>12</v>
      </c>
      <c r="F2123" t="s">
        <v>45</v>
      </c>
      <c r="G2123" s="1">
        <v>44979</v>
      </c>
      <c r="H2123" s="1">
        <v>45775</v>
      </c>
      <c r="I2123">
        <v>32</v>
      </c>
      <c r="J2123" t="s">
        <v>19</v>
      </c>
      <c r="K2123">
        <v>14786.22</v>
      </c>
    </row>
    <row r="2124" spans="1:11">
      <c r="A2124">
        <v>2123</v>
      </c>
      <c r="B2124" t="s">
        <v>130</v>
      </c>
      <c r="C2124" s="1">
        <v>43466</v>
      </c>
      <c r="D2124">
        <v>7</v>
      </c>
      <c r="E2124" t="s">
        <v>15</v>
      </c>
      <c r="F2124" t="s">
        <v>21</v>
      </c>
      <c r="G2124" s="1">
        <v>45131</v>
      </c>
      <c r="H2124" s="1">
        <v>45466</v>
      </c>
      <c r="I2124">
        <v>22</v>
      </c>
      <c r="K2124">
        <v>17048.98</v>
      </c>
    </row>
    <row r="2125" spans="1:11">
      <c r="A2125">
        <v>2124</v>
      </c>
      <c r="B2125" t="s">
        <v>77</v>
      </c>
      <c r="C2125" s="1">
        <v>15341</v>
      </c>
      <c r="D2125">
        <v>84</v>
      </c>
      <c r="E2125" t="s">
        <v>15</v>
      </c>
      <c r="G2125" s="1">
        <v>45274</v>
      </c>
      <c r="H2125" s="1">
        <v>45550</v>
      </c>
      <c r="I2125">
        <v>17</v>
      </c>
      <c r="J2125" t="s">
        <v>25</v>
      </c>
      <c r="K2125">
        <v>7473.98</v>
      </c>
    </row>
    <row r="2126" spans="1:11">
      <c r="A2126">
        <v>2125</v>
      </c>
      <c r="B2126" t="s">
        <v>95</v>
      </c>
      <c r="C2126" s="1">
        <v>46022</v>
      </c>
      <c r="D2126">
        <v>0</v>
      </c>
      <c r="E2126" t="s">
        <v>12</v>
      </c>
      <c r="F2126" t="s">
        <v>18</v>
      </c>
      <c r="G2126" s="1">
        <v>44977</v>
      </c>
      <c r="H2126" s="1">
        <v>45160</v>
      </c>
      <c r="I2126">
        <v>34</v>
      </c>
      <c r="J2126" t="s">
        <v>19</v>
      </c>
      <c r="K2126">
        <v>6835.78</v>
      </c>
    </row>
    <row r="2127" spans="1:11">
      <c r="A2127">
        <v>2126</v>
      </c>
      <c r="B2127" t="s">
        <v>57</v>
      </c>
      <c r="C2127" s="1">
        <v>43466</v>
      </c>
      <c r="D2127">
        <v>7</v>
      </c>
      <c r="E2127" t="s">
        <v>12</v>
      </c>
      <c r="F2127" t="s">
        <v>16</v>
      </c>
      <c r="G2127" s="1">
        <v>44966</v>
      </c>
      <c r="H2127" s="1">
        <v>45503</v>
      </c>
      <c r="I2127">
        <v>16</v>
      </c>
      <c r="J2127" t="s">
        <v>23</v>
      </c>
      <c r="K2127">
        <v>16603.41</v>
      </c>
    </row>
    <row r="2128" spans="1:11">
      <c r="A2128">
        <v>2127</v>
      </c>
      <c r="B2128" t="s">
        <v>101</v>
      </c>
      <c r="C2128" s="1">
        <v>35795</v>
      </c>
      <c r="F2128" t="s">
        <v>21</v>
      </c>
      <c r="G2128" s="1">
        <v>45176</v>
      </c>
      <c r="H2128" s="1">
        <v>45536</v>
      </c>
      <c r="I2128">
        <v>39</v>
      </c>
      <c r="J2128" t="s">
        <v>19</v>
      </c>
      <c r="K2128">
        <v>4675.79</v>
      </c>
    </row>
    <row r="2129" spans="1:11">
      <c r="A2129">
        <v>2128</v>
      </c>
      <c r="B2129" t="s">
        <v>126</v>
      </c>
      <c r="C2129" s="1">
        <v>44561</v>
      </c>
      <c r="F2129" t="s">
        <v>32</v>
      </c>
      <c r="G2129" s="1">
        <v>45144</v>
      </c>
      <c r="H2129" s="1">
        <v>45343</v>
      </c>
      <c r="I2129">
        <v>10</v>
      </c>
      <c r="K2129">
        <v>9169.56</v>
      </c>
    </row>
    <row r="2130" spans="1:11">
      <c r="A2130">
        <v>2129</v>
      </c>
      <c r="B2130" t="s">
        <v>116</v>
      </c>
      <c r="C2130" s="1">
        <v>14976</v>
      </c>
      <c r="D2130">
        <v>85</v>
      </c>
      <c r="E2130" t="s">
        <v>12</v>
      </c>
      <c r="F2130" t="s">
        <v>13</v>
      </c>
      <c r="G2130" s="1">
        <v>45105</v>
      </c>
      <c r="H2130" s="1">
        <v>45194</v>
      </c>
      <c r="I2130">
        <v>9</v>
      </c>
      <c r="J2130" t="s">
        <v>19</v>
      </c>
      <c r="K2130">
        <v>3805.95</v>
      </c>
    </row>
    <row r="2131" spans="1:11">
      <c r="A2131">
        <v>2130</v>
      </c>
      <c r="B2131" t="s">
        <v>59</v>
      </c>
      <c r="C2131" s="1">
        <v>29221</v>
      </c>
      <c r="D2131">
        <v>46</v>
      </c>
      <c r="E2131" t="s">
        <v>15</v>
      </c>
      <c r="G2131" s="1">
        <v>45477</v>
      </c>
      <c r="H2131" s="1">
        <v>45253</v>
      </c>
      <c r="I2131">
        <v>12</v>
      </c>
      <c r="J2131" t="s">
        <v>19</v>
      </c>
      <c r="K2131">
        <v>18268.2</v>
      </c>
    </row>
    <row r="2132" spans="1:11">
      <c r="A2132">
        <v>2131</v>
      </c>
      <c r="B2132" t="s">
        <v>29</v>
      </c>
      <c r="C2132" s="1">
        <v>33969</v>
      </c>
      <c r="D2132">
        <v>33</v>
      </c>
      <c r="E2132" t="s">
        <v>12</v>
      </c>
      <c r="G2132" s="1">
        <v>45109</v>
      </c>
      <c r="H2132" s="1">
        <v>45671</v>
      </c>
      <c r="I2132">
        <v>1</v>
      </c>
      <c r="J2132" t="s">
        <v>23</v>
      </c>
      <c r="K2132">
        <v>8096.84</v>
      </c>
    </row>
    <row r="2133" spans="1:11">
      <c r="A2133">
        <v>2132</v>
      </c>
      <c r="B2133" t="s">
        <v>22</v>
      </c>
      <c r="C2133" s="1">
        <v>22646</v>
      </c>
      <c r="D2133">
        <v>64</v>
      </c>
      <c r="E2133" t="s">
        <v>12</v>
      </c>
      <c r="F2133" t="s">
        <v>45</v>
      </c>
      <c r="G2133" s="1">
        <v>45090</v>
      </c>
      <c r="H2133" s="1">
        <v>45370</v>
      </c>
      <c r="I2133">
        <v>12</v>
      </c>
      <c r="K2133">
        <v>4170.99</v>
      </c>
    </row>
    <row r="2134" spans="1:11">
      <c r="A2134">
        <v>2133</v>
      </c>
      <c r="B2134" t="s">
        <v>102</v>
      </c>
      <c r="C2134" s="1">
        <v>26299</v>
      </c>
      <c r="D2134">
        <v>54</v>
      </c>
      <c r="E2134" t="s">
        <v>15</v>
      </c>
      <c r="F2134" t="s">
        <v>13</v>
      </c>
      <c r="G2134" s="1">
        <v>45303</v>
      </c>
      <c r="H2134" s="1">
        <v>45487</v>
      </c>
      <c r="I2134">
        <v>14</v>
      </c>
      <c r="J2134" t="s">
        <v>23</v>
      </c>
      <c r="K2134">
        <v>13809.47</v>
      </c>
    </row>
    <row r="2135" spans="1:11">
      <c r="A2135">
        <v>2134</v>
      </c>
      <c r="B2135" t="s">
        <v>27</v>
      </c>
      <c r="C2135" s="1">
        <v>13515</v>
      </c>
      <c r="D2135">
        <v>89</v>
      </c>
      <c r="E2135" t="s">
        <v>15</v>
      </c>
      <c r="F2135" t="s">
        <v>32</v>
      </c>
      <c r="G2135" s="1">
        <v>45631</v>
      </c>
      <c r="H2135" s="1">
        <v>45789</v>
      </c>
      <c r="I2135">
        <v>24</v>
      </c>
      <c r="J2135" t="s">
        <v>25</v>
      </c>
      <c r="K2135">
        <v>4817.3599999999997</v>
      </c>
    </row>
    <row r="2136" spans="1:11">
      <c r="A2136">
        <v>2135</v>
      </c>
      <c r="B2136" t="s">
        <v>14</v>
      </c>
      <c r="C2136" s="1">
        <v>30682</v>
      </c>
      <c r="D2136">
        <v>42</v>
      </c>
      <c r="E2136" t="s">
        <v>15</v>
      </c>
      <c r="F2136" t="s">
        <v>18</v>
      </c>
      <c r="G2136" s="1">
        <v>45423</v>
      </c>
      <c r="H2136" s="1">
        <v>45649</v>
      </c>
      <c r="I2136">
        <v>8</v>
      </c>
      <c r="K2136">
        <v>18864.419999999998</v>
      </c>
    </row>
    <row r="2137" spans="1:11">
      <c r="A2137">
        <v>2136</v>
      </c>
      <c r="B2137" t="s">
        <v>38</v>
      </c>
      <c r="C2137" s="1">
        <v>19359</v>
      </c>
      <c r="D2137">
        <v>73</v>
      </c>
      <c r="E2137" t="s">
        <v>15</v>
      </c>
      <c r="G2137" s="1">
        <v>45523</v>
      </c>
      <c r="H2137" s="1">
        <v>45003</v>
      </c>
      <c r="I2137">
        <v>20</v>
      </c>
      <c r="J2137" t="s">
        <v>19</v>
      </c>
      <c r="K2137">
        <v>7289.1</v>
      </c>
    </row>
    <row r="2138" spans="1:11">
      <c r="A2138">
        <v>2137</v>
      </c>
      <c r="B2138" t="s">
        <v>82</v>
      </c>
      <c r="C2138" s="1">
        <v>35430</v>
      </c>
      <c r="D2138">
        <v>29</v>
      </c>
      <c r="E2138" t="s">
        <v>15</v>
      </c>
      <c r="F2138" t="s">
        <v>16</v>
      </c>
      <c r="G2138" s="1">
        <v>45387</v>
      </c>
      <c r="H2138" s="1">
        <v>45174</v>
      </c>
      <c r="I2138">
        <v>12</v>
      </c>
      <c r="J2138" t="s">
        <v>23</v>
      </c>
      <c r="K2138">
        <v>13259.28</v>
      </c>
    </row>
    <row r="2139" spans="1:11">
      <c r="A2139">
        <v>2138</v>
      </c>
      <c r="B2139" t="s">
        <v>169</v>
      </c>
      <c r="C2139" s="1">
        <v>16437</v>
      </c>
      <c r="D2139">
        <v>81</v>
      </c>
      <c r="E2139" t="s">
        <v>12</v>
      </c>
      <c r="F2139" t="s">
        <v>21</v>
      </c>
      <c r="G2139" s="1">
        <v>45400</v>
      </c>
      <c r="H2139" s="1">
        <v>45755</v>
      </c>
      <c r="I2139">
        <v>28</v>
      </c>
      <c r="J2139" t="s">
        <v>23</v>
      </c>
      <c r="K2139">
        <v>6839.42</v>
      </c>
    </row>
    <row r="2140" spans="1:11">
      <c r="A2140">
        <v>2139</v>
      </c>
      <c r="B2140" t="s">
        <v>119</v>
      </c>
      <c r="C2140" s="1">
        <v>40178</v>
      </c>
      <c r="D2140">
        <v>16</v>
      </c>
      <c r="E2140" t="s">
        <v>12</v>
      </c>
      <c r="G2140" s="1">
        <v>45611</v>
      </c>
      <c r="H2140" s="1">
        <v>45507</v>
      </c>
      <c r="I2140">
        <v>23</v>
      </c>
      <c r="K2140">
        <v>16125.64</v>
      </c>
    </row>
    <row r="2141" spans="1:11">
      <c r="A2141">
        <v>2140</v>
      </c>
      <c r="B2141" t="s">
        <v>111</v>
      </c>
      <c r="C2141" s="1">
        <v>36891</v>
      </c>
      <c r="D2141">
        <v>25</v>
      </c>
      <c r="E2141" t="s">
        <v>12</v>
      </c>
      <c r="G2141" s="1">
        <v>44963</v>
      </c>
      <c r="H2141" s="1">
        <v>45240</v>
      </c>
      <c r="I2141">
        <v>4</v>
      </c>
      <c r="J2141" t="s">
        <v>23</v>
      </c>
      <c r="K2141">
        <v>17928.150000000001</v>
      </c>
    </row>
    <row r="2142" spans="1:11">
      <c r="A2142">
        <v>2141</v>
      </c>
      <c r="B2142" t="s">
        <v>166</v>
      </c>
      <c r="C2142" s="1">
        <v>43466</v>
      </c>
      <c r="D2142">
        <v>7</v>
      </c>
      <c r="E2142" t="s">
        <v>15</v>
      </c>
      <c r="F2142" t="s">
        <v>21</v>
      </c>
      <c r="G2142" s="1">
        <v>45525</v>
      </c>
      <c r="H2142" s="1">
        <v>45503</v>
      </c>
      <c r="I2142">
        <v>10</v>
      </c>
      <c r="K2142">
        <v>15737.16</v>
      </c>
    </row>
    <row r="2143" spans="1:11">
      <c r="A2143">
        <v>2142</v>
      </c>
      <c r="B2143" t="s">
        <v>99</v>
      </c>
      <c r="C2143" s="1">
        <v>29221</v>
      </c>
      <c r="D2143">
        <v>46</v>
      </c>
      <c r="E2143" t="s">
        <v>15</v>
      </c>
      <c r="F2143" t="s">
        <v>32</v>
      </c>
      <c r="G2143" s="1">
        <v>45567</v>
      </c>
      <c r="H2143" s="1">
        <v>45621</v>
      </c>
      <c r="I2143">
        <v>10</v>
      </c>
      <c r="J2143" t="s">
        <v>25</v>
      </c>
      <c r="K2143">
        <v>16954.830000000002</v>
      </c>
    </row>
    <row r="2144" spans="1:11">
      <c r="A2144">
        <v>2143</v>
      </c>
      <c r="B2144" t="s">
        <v>107</v>
      </c>
      <c r="C2144" s="1">
        <v>18629</v>
      </c>
      <c r="D2144">
        <v>75</v>
      </c>
      <c r="E2144" t="s">
        <v>12</v>
      </c>
      <c r="F2144" t="s">
        <v>45</v>
      </c>
      <c r="G2144" s="1">
        <v>45632</v>
      </c>
      <c r="H2144" s="1">
        <v>45519</v>
      </c>
      <c r="I2144">
        <v>17</v>
      </c>
      <c r="K2144">
        <v>1947.8</v>
      </c>
    </row>
    <row r="2145" spans="1:11">
      <c r="A2145">
        <v>2144</v>
      </c>
      <c r="B2145" t="s">
        <v>95</v>
      </c>
      <c r="C2145" s="1">
        <v>13150</v>
      </c>
      <c r="D2145">
        <v>90</v>
      </c>
      <c r="E2145" t="s">
        <v>15</v>
      </c>
      <c r="G2145" s="1">
        <v>45245</v>
      </c>
      <c r="H2145" s="1">
        <v>45270</v>
      </c>
      <c r="I2145">
        <v>31</v>
      </c>
      <c r="K2145">
        <v>18473.7</v>
      </c>
    </row>
    <row r="2146" spans="1:11">
      <c r="A2146">
        <v>2145</v>
      </c>
      <c r="B2146" t="s">
        <v>132</v>
      </c>
      <c r="C2146" s="1">
        <v>20090</v>
      </c>
      <c r="D2146">
        <v>71</v>
      </c>
      <c r="E2146" t="s">
        <v>12</v>
      </c>
      <c r="G2146" s="1">
        <v>45481</v>
      </c>
      <c r="H2146" s="1">
        <v>45642</v>
      </c>
      <c r="I2146">
        <v>7</v>
      </c>
      <c r="J2146" t="s">
        <v>25</v>
      </c>
      <c r="K2146">
        <v>12448.44</v>
      </c>
    </row>
    <row r="2147" spans="1:11">
      <c r="A2147">
        <v>2146</v>
      </c>
      <c r="B2147" t="s">
        <v>65</v>
      </c>
      <c r="C2147" s="1">
        <v>13880</v>
      </c>
      <c r="D2147">
        <v>88</v>
      </c>
      <c r="F2147" t="s">
        <v>13</v>
      </c>
      <c r="G2147" s="1">
        <v>45338</v>
      </c>
      <c r="H2147" s="1">
        <v>45109</v>
      </c>
      <c r="I2147">
        <v>34</v>
      </c>
      <c r="J2147" t="s">
        <v>25</v>
      </c>
      <c r="K2147">
        <v>17371.27</v>
      </c>
    </row>
    <row r="2148" spans="1:11">
      <c r="A2148">
        <v>2147</v>
      </c>
      <c r="B2148" t="s">
        <v>101</v>
      </c>
      <c r="C2148" s="1">
        <v>29586</v>
      </c>
      <c r="D2148">
        <v>45</v>
      </c>
      <c r="E2148" t="s">
        <v>15</v>
      </c>
      <c r="F2148" t="s">
        <v>16</v>
      </c>
      <c r="G2148" s="1">
        <v>45282</v>
      </c>
      <c r="H2148" s="1">
        <v>45653</v>
      </c>
      <c r="I2148">
        <v>24</v>
      </c>
      <c r="J2148" t="s">
        <v>19</v>
      </c>
      <c r="K2148">
        <v>13657.18</v>
      </c>
    </row>
    <row r="2149" spans="1:11">
      <c r="A2149">
        <v>2148</v>
      </c>
      <c r="B2149" t="s">
        <v>116</v>
      </c>
      <c r="C2149" s="1">
        <v>21551</v>
      </c>
      <c r="D2149">
        <v>67</v>
      </c>
      <c r="E2149" t="s">
        <v>15</v>
      </c>
      <c r="F2149" t="s">
        <v>18</v>
      </c>
      <c r="G2149" s="1">
        <v>45597</v>
      </c>
      <c r="H2149" s="1">
        <v>45559</v>
      </c>
      <c r="I2149">
        <v>31</v>
      </c>
      <c r="J2149" t="s">
        <v>23</v>
      </c>
      <c r="K2149">
        <v>3957.14</v>
      </c>
    </row>
    <row r="2150" spans="1:11">
      <c r="A2150">
        <v>2149</v>
      </c>
      <c r="B2150" t="s">
        <v>117</v>
      </c>
      <c r="C2150" s="1">
        <v>34334</v>
      </c>
      <c r="D2150">
        <v>32</v>
      </c>
      <c r="E2150" t="s">
        <v>15</v>
      </c>
      <c r="F2150" t="s">
        <v>45</v>
      </c>
      <c r="G2150" s="1">
        <v>45543</v>
      </c>
      <c r="H2150" s="1">
        <v>45326</v>
      </c>
      <c r="I2150">
        <v>33</v>
      </c>
      <c r="J2150" t="s">
        <v>25</v>
      </c>
      <c r="K2150">
        <v>12152.06</v>
      </c>
    </row>
    <row r="2151" spans="1:11">
      <c r="A2151">
        <v>2150</v>
      </c>
      <c r="B2151" t="s">
        <v>11</v>
      </c>
      <c r="C2151" s="1">
        <v>46022</v>
      </c>
      <c r="D2151">
        <v>0</v>
      </c>
      <c r="F2151" t="s">
        <v>16</v>
      </c>
      <c r="G2151" s="1">
        <v>45155</v>
      </c>
      <c r="H2151" s="1">
        <v>45168</v>
      </c>
      <c r="I2151">
        <v>13</v>
      </c>
      <c r="J2151" t="s">
        <v>25</v>
      </c>
      <c r="K2151">
        <v>1728.02</v>
      </c>
    </row>
    <row r="2152" spans="1:11">
      <c r="A2152">
        <v>2151</v>
      </c>
      <c r="B2152" t="s">
        <v>65</v>
      </c>
      <c r="C2152" s="1">
        <v>39448</v>
      </c>
      <c r="D2152">
        <v>18</v>
      </c>
      <c r="E2152" t="s">
        <v>12</v>
      </c>
      <c r="F2152" t="s">
        <v>16</v>
      </c>
      <c r="G2152" s="1">
        <v>45655</v>
      </c>
      <c r="H2152" s="1">
        <v>45774</v>
      </c>
      <c r="I2152">
        <v>18</v>
      </c>
      <c r="J2152" t="s">
        <v>23</v>
      </c>
      <c r="K2152">
        <v>13884.03</v>
      </c>
    </row>
    <row r="2153" spans="1:11">
      <c r="A2153">
        <v>2152</v>
      </c>
      <c r="B2153" t="s">
        <v>146</v>
      </c>
      <c r="C2153" s="1">
        <v>35065</v>
      </c>
      <c r="D2153">
        <v>30</v>
      </c>
      <c r="E2153" t="s">
        <v>12</v>
      </c>
      <c r="F2153" t="s">
        <v>32</v>
      </c>
      <c r="G2153" s="1">
        <v>45190</v>
      </c>
      <c r="H2153" s="1">
        <v>45641</v>
      </c>
      <c r="I2153">
        <v>13</v>
      </c>
      <c r="J2153" t="s">
        <v>23</v>
      </c>
      <c r="K2153">
        <v>8120.92</v>
      </c>
    </row>
    <row r="2154" spans="1:11">
      <c r="A2154">
        <v>2153</v>
      </c>
      <c r="B2154" t="s">
        <v>129</v>
      </c>
      <c r="C2154" s="1">
        <v>17168</v>
      </c>
      <c r="D2154">
        <v>79</v>
      </c>
      <c r="E2154" t="s">
        <v>15</v>
      </c>
      <c r="F2154" t="s">
        <v>32</v>
      </c>
      <c r="G2154" s="1">
        <v>45413</v>
      </c>
      <c r="H2154" s="1">
        <v>45219</v>
      </c>
      <c r="I2154">
        <v>14</v>
      </c>
      <c r="J2154" t="s">
        <v>19</v>
      </c>
      <c r="K2154">
        <v>2949.84</v>
      </c>
    </row>
    <row r="2155" spans="1:11">
      <c r="A2155">
        <v>2154</v>
      </c>
      <c r="B2155" t="s">
        <v>80</v>
      </c>
      <c r="C2155" s="1">
        <v>41274</v>
      </c>
      <c r="D2155">
        <v>13</v>
      </c>
      <c r="F2155" t="s">
        <v>21</v>
      </c>
      <c r="G2155" s="1">
        <v>45487</v>
      </c>
      <c r="H2155" s="1">
        <v>44981</v>
      </c>
      <c r="I2155">
        <v>12</v>
      </c>
      <c r="J2155" t="s">
        <v>19</v>
      </c>
      <c r="K2155">
        <v>19582.52</v>
      </c>
    </row>
    <row r="2156" spans="1:11">
      <c r="A2156">
        <v>2155</v>
      </c>
      <c r="B2156" t="s">
        <v>109</v>
      </c>
      <c r="C2156" s="1">
        <v>27029</v>
      </c>
      <c r="E2156" t="s">
        <v>15</v>
      </c>
      <c r="F2156" t="s">
        <v>18</v>
      </c>
      <c r="G2156" s="1">
        <v>45278</v>
      </c>
      <c r="H2156" s="1">
        <v>45072</v>
      </c>
      <c r="I2156">
        <v>10</v>
      </c>
      <c r="K2156">
        <v>18011.8</v>
      </c>
    </row>
    <row r="2157" spans="1:11">
      <c r="A2157">
        <v>2156</v>
      </c>
      <c r="B2157" t="s">
        <v>89</v>
      </c>
      <c r="C2157" s="1">
        <v>28856</v>
      </c>
      <c r="D2157">
        <v>47</v>
      </c>
      <c r="E2157" t="s">
        <v>15</v>
      </c>
      <c r="F2157" t="s">
        <v>45</v>
      </c>
      <c r="G2157" s="1">
        <v>45368</v>
      </c>
      <c r="H2157" s="1">
        <v>45283</v>
      </c>
      <c r="I2157">
        <v>30</v>
      </c>
      <c r="J2157" t="s">
        <v>19</v>
      </c>
      <c r="K2157">
        <v>17860.23</v>
      </c>
    </row>
    <row r="2158" spans="1:11">
      <c r="A2158">
        <v>2157</v>
      </c>
      <c r="B2158" t="s">
        <v>131</v>
      </c>
      <c r="C2158" s="1">
        <v>21185</v>
      </c>
      <c r="D2158">
        <v>68</v>
      </c>
      <c r="E2158" t="s">
        <v>12</v>
      </c>
      <c r="F2158" t="s">
        <v>21</v>
      </c>
      <c r="G2158" s="1">
        <v>45561</v>
      </c>
      <c r="H2158" s="1">
        <v>45525</v>
      </c>
      <c r="I2158">
        <v>2</v>
      </c>
      <c r="J2158" t="s">
        <v>25</v>
      </c>
      <c r="K2158">
        <v>15755.29</v>
      </c>
    </row>
    <row r="2159" spans="1:11">
      <c r="A2159">
        <v>2158</v>
      </c>
      <c r="B2159" t="s">
        <v>29</v>
      </c>
      <c r="C2159" s="1">
        <v>13515</v>
      </c>
      <c r="D2159">
        <v>89</v>
      </c>
      <c r="E2159" t="s">
        <v>12</v>
      </c>
      <c r="G2159" s="1">
        <v>45385</v>
      </c>
      <c r="H2159" s="1">
        <v>45404</v>
      </c>
      <c r="I2159">
        <v>24</v>
      </c>
      <c r="J2159" t="s">
        <v>25</v>
      </c>
      <c r="K2159">
        <v>13808.82</v>
      </c>
    </row>
    <row r="2160" spans="1:11">
      <c r="A2160">
        <v>2159</v>
      </c>
      <c r="B2160" t="s">
        <v>126</v>
      </c>
      <c r="C2160" s="1">
        <v>23742</v>
      </c>
      <c r="D2160">
        <v>61</v>
      </c>
      <c r="E2160" t="s">
        <v>15</v>
      </c>
      <c r="F2160" t="s">
        <v>18</v>
      </c>
      <c r="G2160" s="1">
        <v>44951</v>
      </c>
      <c r="H2160" s="1">
        <v>44949</v>
      </c>
      <c r="I2160">
        <v>-2</v>
      </c>
      <c r="J2160" t="s">
        <v>23</v>
      </c>
      <c r="K2160">
        <v>13067.1</v>
      </c>
    </row>
    <row r="2161" spans="1:11">
      <c r="A2161">
        <v>2160</v>
      </c>
      <c r="B2161" t="s">
        <v>55</v>
      </c>
      <c r="C2161" s="1">
        <v>12785</v>
      </c>
      <c r="D2161">
        <v>91</v>
      </c>
      <c r="E2161" t="s">
        <v>15</v>
      </c>
      <c r="F2161" t="s">
        <v>13</v>
      </c>
      <c r="G2161" s="1">
        <v>45057</v>
      </c>
      <c r="H2161" s="1">
        <v>45258</v>
      </c>
      <c r="I2161">
        <v>27</v>
      </c>
      <c r="J2161" t="s">
        <v>19</v>
      </c>
      <c r="K2161">
        <v>2032.49</v>
      </c>
    </row>
    <row r="2162" spans="1:11">
      <c r="A2162">
        <v>2161</v>
      </c>
      <c r="B2162" t="s">
        <v>142</v>
      </c>
      <c r="C2162" s="1">
        <v>22281</v>
      </c>
      <c r="D2162">
        <v>65</v>
      </c>
      <c r="E2162" t="s">
        <v>15</v>
      </c>
      <c r="F2162" t="s">
        <v>13</v>
      </c>
      <c r="G2162" s="1">
        <v>45296</v>
      </c>
      <c r="H2162" s="1">
        <v>45219</v>
      </c>
      <c r="I2162">
        <v>20</v>
      </c>
      <c r="K2162">
        <v>18001.38</v>
      </c>
    </row>
    <row r="2163" spans="1:11">
      <c r="A2163">
        <v>2162</v>
      </c>
      <c r="B2163" t="s">
        <v>149</v>
      </c>
      <c r="C2163" s="1">
        <v>23012</v>
      </c>
      <c r="D2163">
        <v>63</v>
      </c>
      <c r="E2163" t="s">
        <v>15</v>
      </c>
      <c r="F2163" t="s">
        <v>21</v>
      </c>
      <c r="G2163" s="1">
        <v>45362</v>
      </c>
      <c r="H2163" s="1">
        <v>45163</v>
      </c>
      <c r="I2163">
        <v>12</v>
      </c>
      <c r="K2163">
        <v>17610.68</v>
      </c>
    </row>
    <row r="2164" spans="1:11">
      <c r="A2164">
        <v>2163</v>
      </c>
      <c r="B2164" t="s">
        <v>138</v>
      </c>
      <c r="C2164" s="1">
        <v>20820</v>
      </c>
      <c r="D2164">
        <v>69</v>
      </c>
      <c r="E2164" t="s">
        <v>15</v>
      </c>
      <c r="F2164" t="s">
        <v>45</v>
      </c>
      <c r="G2164" s="1">
        <v>45150</v>
      </c>
      <c r="H2164" s="1">
        <v>44956</v>
      </c>
      <c r="I2164">
        <v>33</v>
      </c>
      <c r="K2164">
        <v>14931.84</v>
      </c>
    </row>
    <row r="2165" spans="1:11">
      <c r="A2165">
        <v>2164</v>
      </c>
      <c r="B2165" t="s">
        <v>151</v>
      </c>
      <c r="C2165" s="1">
        <v>23377</v>
      </c>
      <c r="D2165">
        <v>62</v>
      </c>
      <c r="F2165" t="s">
        <v>18</v>
      </c>
      <c r="G2165" s="1">
        <v>45537</v>
      </c>
      <c r="H2165" s="1">
        <v>45622</v>
      </c>
      <c r="I2165">
        <v>16</v>
      </c>
      <c r="K2165">
        <v>18539.03</v>
      </c>
    </row>
    <row r="2166" spans="1:11">
      <c r="A2166">
        <v>2165</v>
      </c>
      <c r="B2166" t="s">
        <v>109</v>
      </c>
      <c r="C2166" s="1">
        <v>19724</v>
      </c>
      <c r="D2166">
        <v>72</v>
      </c>
      <c r="E2166" t="s">
        <v>12</v>
      </c>
      <c r="F2166" t="s">
        <v>13</v>
      </c>
      <c r="G2166" s="1">
        <v>45278</v>
      </c>
      <c r="H2166" s="1">
        <v>45087</v>
      </c>
      <c r="I2166">
        <v>27</v>
      </c>
      <c r="J2166" t="s">
        <v>23</v>
      </c>
      <c r="K2166">
        <v>11016.98</v>
      </c>
    </row>
    <row r="2167" spans="1:11">
      <c r="A2167">
        <v>2166</v>
      </c>
      <c r="B2167" t="s">
        <v>56</v>
      </c>
      <c r="C2167" s="1">
        <v>34334</v>
      </c>
      <c r="D2167">
        <v>32</v>
      </c>
      <c r="E2167" t="s">
        <v>12</v>
      </c>
      <c r="F2167" t="s">
        <v>13</v>
      </c>
      <c r="G2167" s="1">
        <v>45411</v>
      </c>
      <c r="H2167" s="1">
        <v>45457</v>
      </c>
      <c r="I2167">
        <v>13</v>
      </c>
      <c r="J2167" t="s">
        <v>19</v>
      </c>
      <c r="K2167">
        <v>8897.61</v>
      </c>
    </row>
    <row r="2168" spans="1:11">
      <c r="A2168">
        <v>2167</v>
      </c>
      <c r="B2168" t="s">
        <v>129</v>
      </c>
      <c r="C2168" s="1">
        <v>31412</v>
      </c>
      <c r="D2168">
        <v>40</v>
      </c>
      <c r="E2168" t="s">
        <v>12</v>
      </c>
      <c r="F2168" t="s">
        <v>45</v>
      </c>
      <c r="G2168" s="1">
        <v>45123</v>
      </c>
      <c r="H2168" s="1">
        <v>45477</v>
      </c>
      <c r="I2168">
        <v>15</v>
      </c>
      <c r="J2168" t="s">
        <v>19</v>
      </c>
      <c r="K2168">
        <v>19355.740000000002</v>
      </c>
    </row>
    <row r="2169" spans="1:11">
      <c r="A2169">
        <v>2168</v>
      </c>
      <c r="B2169" t="s">
        <v>40</v>
      </c>
      <c r="C2169" s="1">
        <v>13880</v>
      </c>
      <c r="D2169">
        <v>88</v>
      </c>
      <c r="E2169" t="s">
        <v>12</v>
      </c>
      <c r="F2169" t="s">
        <v>21</v>
      </c>
      <c r="G2169" s="1">
        <v>45035</v>
      </c>
      <c r="H2169" s="1">
        <v>45028</v>
      </c>
      <c r="I2169">
        <v>23</v>
      </c>
      <c r="J2169" t="s">
        <v>19</v>
      </c>
      <c r="K2169">
        <v>9229.0400000000009</v>
      </c>
    </row>
    <row r="2170" spans="1:11">
      <c r="A2170">
        <v>2169</v>
      </c>
      <c r="B2170" t="s">
        <v>58</v>
      </c>
      <c r="C2170" s="1">
        <v>28856</v>
      </c>
      <c r="D2170">
        <v>47</v>
      </c>
      <c r="E2170" t="s">
        <v>12</v>
      </c>
      <c r="F2170" t="s">
        <v>32</v>
      </c>
      <c r="G2170" s="1">
        <v>45146</v>
      </c>
      <c r="H2170" s="1">
        <v>45217</v>
      </c>
      <c r="I2170">
        <v>14</v>
      </c>
      <c r="J2170" t="s">
        <v>19</v>
      </c>
      <c r="K2170">
        <v>12790.62</v>
      </c>
    </row>
    <row r="2171" spans="1:11">
      <c r="A2171">
        <v>2170</v>
      </c>
      <c r="B2171" t="s">
        <v>127</v>
      </c>
      <c r="C2171" s="1">
        <v>41639</v>
      </c>
      <c r="D2171">
        <v>12</v>
      </c>
      <c r="E2171" t="s">
        <v>12</v>
      </c>
      <c r="G2171" s="1">
        <v>45646</v>
      </c>
      <c r="H2171" s="1">
        <v>45304</v>
      </c>
      <c r="I2171">
        <v>8</v>
      </c>
      <c r="K2171">
        <v>7398.55</v>
      </c>
    </row>
    <row r="2172" spans="1:11">
      <c r="A2172">
        <v>2171</v>
      </c>
      <c r="B2172" t="s">
        <v>126</v>
      </c>
      <c r="C2172" s="1">
        <v>19724</v>
      </c>
      <c r="D2172">
        <v>72</v>
      </c>
      <c r="E2172" t="s">
        <v>15</v>
      </c>
      <c r="F2172" t="s">
        <v>16</v>
      </c>
      <c r="G2172" s="1">
        <v>45245</v>
      </c>
      <c r="H2172" s="1">
        <v>45100</v>
      </c>
      <c r="I2172">
        <v>26</v>
      </c>
      <c r="K2172">
        <v>12690.16</v>
      </c>
    </row>
    <row r="2173" spans="1:11">
      <c r="A2173">
        <v>2172</v>
      </c>
      <c r="B2173" t="s">
        <v>79</v>
      </c>
      <c r="C2173" s="1">
        <v>18263</v>
      </c>
      <c r="D2173">
        <v>76</v>
      </c>
      <c r="E2173" t="s">
        <v>12</v>
      </c>
      <c r="G2173" s="1">
        <v>45008</v>
      </c>
      <c r="H2173" s="1">
        <v>45270</v>
      </c>
      <c r="I2173">
        <v>6</v>
      </c>
      <c r="J2173" t="s">
        <v>23</v>
      </c>
      <c r="K2173">
        <v>14373.99</v>
      </c>
    </row>
    <row r="2174" spans="1:11">
      <c r="A2174">
        <v>2173</v>
      </c>
      <c r="B2174" t="s">
        <v>28</v>
      </c>
      <c r="C2174" s="1">
        <v>35065</v>
      </c>
      <c r="D2174">
        <v>30</v>
      </c>
      <c r="E2174" t="s">
        <v>12</v>
      </c>
      <c r="F2174" t="s">
        <v>18</v>
      </c>
      <c r="G2174" s="1">
        <v>45463</v>
      </c>
      <c r="H2174" s="1">
        <v>45805</v>
      </c>
      <c r="I2174">
        <v>14</v>
      </c>
      <c r="J2174" t="s">
        <v>23</v>
      </c>
      <c r="K2174">
        <v>12455.58</v>
      </c>
    </row>
    <row r="2175" spans="1:11">
      <c r="A2175">
        <v>2174</v>
      </c>
      <c r="B2175" t="s">
        <v>62</v>
      </c>
      <c r="C2175" s="1">
        <v>18994</v>
      </c>
      <c r="D2175">
        <v>74</v>
      </c>
      <c r="E2175" t="s">
        <v>12</v>
      </c>
      <c r="F2175" t="s">
        <v>13</v>
      </c>
      <c r="G2175" s="1">
        <v>45624</v>
      </c>
      <c r="H2175" s="1">
        <v>45506</v>
      </c>
      <c r="I2175">
        <v>24</v>
      </c>
      <c r="K2175">
        <v>10242.719999999999</v>
      </c>
    </row>
    <row r="2176" spans="1:11">
      <c r="A2176">
        <v>2175</v>
      </c>
      <c r="B2176" t="s">
        <v>54</v>
      </c>
      <c r="C2176" s="1">
        <v>21551</v>
      </c>
      <c r="D2176">
        <v>67</v>
      </c>
      <c r="F2176" t="s">
        <v>16</v>
      </c>
      <c r="G2176" s="1">
        <v>45358</v>
      </c>
      <c r="H2176" s="1">
        <v>45118</v>
      </c>
      <c r="I2176">
        <v>34</v>
      </c>
      <c r="J2176" t="s">
        <v>25</v>
      </c>
      <c r="K2176">
        <v>5932.23</v>
      </c>
    </row>
    <row r="2177" spans="1:11">
      <c r="A2177">
        <v>2176</v>
      </c>
      <c r="B2177" t="s">
        <v>73</v>
      </c>
      <c r="C2177" s="1">
        <v>44927</v>
      </c>
      <c r="D2177">
        <v>3</v>
      </c>
      <c r="E2177" t="s">
        <v>15</v>
      </c>
      <c r="F2177" t="s">
        <v>16</v>
      </c>
      <c r="G2177" s="1">
        <v>44934</v>
      </c>
      <c r="H2177" s="1">
        <v>45366</v>
      </c>
      <c r="I2177">
        <v>19</v>
      </c>
      <c r="J2177" t="s">
        <v>19</v>
      </c>
      <c r="K2177">
        <v>12841.3</v>
      </c>
    </row>
    <row r="2178" spans="1:11">
      <c r="A2178">
        <v>2177</v>
      </c>
      <c r="B2178" t="s">
        <v>46</v>
      </c>
      <c r="C2178" s="1">
        <v>39448</v>
      </c>
      <c r="D2178">
        <v>18</v>
      </c>
      <c r="E2178" t="s">
        <v>12</v>
      </c>
      <c r="F2178" t="s">
        <v>32</v>
      </c>
      <c r="G2178" s="1">
        <v>45562</v>
      </c>
      <c r="H2178" s="1">
        <v>45482</v>
      </c>
      <c r="I2178">
        <v>5</v>
      </c>
      <c r="J2178" t="s">
        <v>23</v>
      </c>
      <c r="K2178">
        <v>18159.419999999998</v>
      </c>
    </row>
    <row r="2179" spans="1:11">
      <c r="A2179">
        <v>2178</v>
      </c>
      <c r="B2179" t="s">
        <v>59</v>
      </c>
      <c r="C2179" s="1">
        <v>20820</v>
      </c>
      <c r="D2179">
        <v>69</v>
      </c>
      <c r="E2179" t="s">
        <v>15</v>
      </c>
      <c r="F2179" t="s">
        <v>16</v>
      </c>
      <c r="G2179" s="1">
        <v>45075</v>
      </c>
      <c r="H2179" s="1">
        <v>45562</v>
      </c>
      <c r="I2179">
        <v>0</v>
      </c>
      <c r="K2179">
        <v>38.94</v>
      </c>
    </row>
    <row r="2180" spans="1:11">
      <c r="A2180">
        <v>2179</v>
      </c>
      <c r="B2180" t="s">
        <v>62</v>
      </c>
      <c r="C2180" s="1">
        <v>16437</v>
      </c>
      <c r="D2180">
        <v>81</v>
      </c>
      <c r="E2180" t="s">
        <v>12</v>
      </c>
      <c r="F2180" t="s">
        <v>45</v>
      </c>
      <c r="G2180" s="1">
        <v>45024</v>
      </c>
      <c r="H2180" s="1">
        <v>45717</v>
      </c>
      <c r="I2180">
        <v>35</v>
      </c>
      <c r="J2180" t="s">
        <v>19</v>
      </c>
      <c r="K2180">
        <v>2591.9699999999998</v>
      </c>
    </row>
    <row r="2181" spans="1:11">
      <c r="A2181">
        <v>2180</v>
      </c>
      <c r="B2181" t="s">
        <v>120</v>
      </c>
      <c r="C2181" s="1">
        <v>41639</v>
      </c>
      <c r="D2181">
        <v>12</v>
      </c>
      <c r="E2181" t="s">
        <v>15</v>
      </c>
      <c r="F2181" t="s">
        <v>21</v>
      </c>
      <c r="G2181" s="1">
        <v>45654</v>
      </c>
      <c r="H2181" s="1">
        <v>45270</v>
      </c>
      <c r="I2181">
        <v>32</v>
      </c>
      <c r="J2181" t="s">
        <v>19</v>
      </c>
      <c r="K2181">
        <v>2307.44</v>
      </c>
    </row>
    <row r="2182" spans="1:11">
      <c r="A2182">
        <v>2181</v>
      </c>
      <c r="B2182" t="s">
        <v>81</v>
      </c>
      <c r="C2182" s="1">
        <v>37987</v>
      </c>
      <c r="D2182">
        <v>22</v>
      </c>
      <c r="E2182" t="s">
        <v>15</v>
      </c>
      <c r="F2182" t="s">
        <v>18</v>
      </c>
      <c r="G2182" s="1">
        <v>45027</v>
      </c>
      <c r="H2182" s="1">
        <v>45635</v>
      </c>
      <c r="I2182">
        <v>29</v>
      </c>
      <c r="K2182">
        <v>18456.43</v>
      </c>
    </row>
    <row r="2183" spans="1:11">
      <c r="A2183">
        <v>2182</v>
      </c>
      <c r="B2183" t="s">
        <v>95</v>
      </c>
      <c r="C2183" s="1">
        <v>16072</v>
      </c>
      <c r="D2183">
        <v>82</v>
      </c>
      <c r="E2183" t="s">
        <v>15</v>
      </c>
      <c r="F2183" t="s">
        <v>45</v>
      </c>
      <c r="G2183" s="1">
        <v>45656</v>
      </c>
      <c r="H2183" s="1">
        <v>45772</v>
      </c>
      <c r="I2183">
        <v>5</v>
      </c>
      <c r="J2183" t="s">
        <v>25</v>
      </c>
      <c r="K2183">
        <v>13221.23</v>
      </c>
    </row>
    <row r="2184" spans="1:11">
      <c r="A2184">
        <v>2183</v>
      </c>
      <c r="B2184" t="s">
        <v>124</v>
      </c>
      <c r="C2184" s="1">
        <v>18994</v>
      </c>
      <c r="D2184">
        <v>74</v>
      </c>
      <c r="E2184" t="s">
        <v>12</v>
      </c>
      <c r="F2184" t="s">
        <v>21</v>
      </c>
      <c r="G2184" s="1">
        <v>45293</v>
      </c>
      <c r="H2184" s="1">
        <v>45052</v>
      </c>
      <c r="I2184">
        <v>24</v>
      </c>
      <c r="J2184" t="s">
        <v>25</v>
      </c>
      <c r="K2184">
        <v>19030.939999999999</v>
      </c>
    </row>
    <row r="2185" spans="1:11">
      <c r="A2185">
        <v>2184</v>
      </c>
      <c r="B2185" t="s">
        <v>154</v>
      </c>
      <c r="C2185" s="1">
        <v>46022</v>
      </c>
      <c r="D2185">
        <v>0</v>
      </c>
      <c r="E2185" t="s">
        <v>15</v>
      </c>
      <c r="F2185" t="s">
        <v>45</v>
      </c>
      <c r="G2185" s="1">
        <v>45388</v>
      </c>
      <c r="H2185" s="1">
        <v>45535</v>
      </c>
      <c r="I2185">
        <v>29</v>
      </c>
      <c r="J2185" t="s">
        <v>23</v>
      </c>
      <c r="K2185">
        <v>11614.55</v>
      </c>
    </row>
    <row r="2186" spans="1:11">
      <c r="A2186">
        <v>2185</v>
      </c>
      <c r="B2186" t="s">
        <v>26</v>
      </c>
      <c r="C2186" s="1">
        <v>14246</v>
      </c>
      <c r="D2186">
        <v>87</v>
      </c>
      <c r="E2186" t="s">
        <v>12</v>
      </c>
      <c r="F2186" t="s">
        <v>13</v>
      </c>
      <c r="G2186" s="1">
        <v>45340</v>
      </c>
      <c r="H2186" s="1">
        <v>45817</v>
      </c>
      <c r="I2186">
        <v>33</v>
      </c>
      <c r="K2186">
        <v>9180.83</v>
      </c>
    </row>
    <row r="2187" spans="1:11">
      <c r="A2187">
        <v>2186</v>
      </c>
      <c r="B2187" t="s">
        <v>22</v>
      </c>
      <c r="C2187" s="1">
        <v>26664</v>
      </c>
      <c r="D2187">
        <v>53</v>
      </c>
      <c r="E2187" t="s">
        <v>15</v>
      </c>
      <c r="F2187" t="s">
        <v>13</v>
      </c>
      <c r="G2187" s="1">
        <v>45185</v>
      </c>
      <c r="H2187" s="1">
        <v>45596</v>
      </c>
      <c r="I2187">
        <v>31</v>
      </c>
      <c r="J2187" t="s">
        <v>23</v>
      </c>
      <c r="K2187">
        <v>15826.09</v>
      </c>
    </row>
    <row r="2188" spans="1:11">
      <c r="A2188">
        <v>2187</v>
      </c>
      <c r="B2188" t="s">
        <v>165</v>
      </c>
      <c r="C2188" s="1">
        <v>20455</v>
      </c>
      <c r="D2188">
        <v>70</v>
      </c>
      <c r="E2188" t="s">
        <v>12</v>
      </c>
      <c r="F2188" t="s">
        <v>32</v>
      </c>
      <c r="G2188" s="1">
        <v>45282</v>
      </c>
      <c r="H2188" s="1">
        <v>45479</v>
      </c>
      <c r="I2188">
        <v>22</v>
      </c>
      <c r="J2188" t="s">
        <v>25</v>
      </c>
      <c r="K2188">
        <v>3134.94</v>
      </c>
    </row>
    <row r="2189" spans="1:11">
      <c r="A2189">
        <v>2188</v>
      </c>
      <c r="B2189" t="s">
        <v>127</v>
      </c>
      <c r="C2189" s="1">
        <v>13880</v>
      </c>
      <c r="D2189">
        <v>88</v>
      </c>
      <c r="E2189" t="s">
        <v>12</v>
      </c>
      <c r="F2189" t="s">
        <v>45</v>
      </c>
      <c r="G2189" s="1">
        <v>44937</v>
      </c>
      <c r="H2189" s="1">
        <v>45287</v>
      </c>
      <c r="I2189">
        <v>28</v>
      </c>
      <c r="J2189" t="s">
        <v>23</v>
      </c>
      <c r="K2189">
        <v>7564.9</v>
      </c>
    </row>
    <row r="2190" spans="1:11">
      <c r="A2190">
        <v>2189</v>
      </c>
      <c r="B2190" t="s">
        <v>38</v>
      </c>
      <c r="C2190" s="1">
        <v>15341</v>
      </c>
      <c r="D2190">
        <v>84</v>
      </c>
      <c r="E2190" t="s">
        <v>15</v>
      </c>
      <c r="G2190" s="1">
        <v>45342</v>
      </c>
      <c r="H2190" s="1">
        <v>45430</v>
      </c>
      <c r="I2190">
        <v>39</v>
      </c>
      <c r="J2190" t="s">
        <v>23</v>
      </c>
      <c r="K2190">
        <v>9272.11</v>
      </c>
    </row>
    <row r="2191" spans="1:11">
      <c r="A2191">
        <v>2190</v>
      </c>
      <c r="B2191" t="s">
        <v>72</v>
      </c>
      <c r="C2191" s="1">
        <v>40909</v>
      </c>
      <c r="D2191">
        <v>14</v>
      </c>
      <c r="E2191" t="s">
        <v>15</v>
      </c>
      <c r="F2191" t="s">
        <v>16</v>
      </c>
      <c r="G2191" s="1">
        <v>45497</v>
      </c>
      <c r="H2191" s="1">
        <v>45100</v>
      </c>
      <c r="I2191">
        <v>10</v>
      </c>
      <c r="J2191" t="s">
        <v>25</v>
      </c>
      <c r="K2191">
        <v>5899.01</v>
      </c>
    </row>
    <row r="2192" spans="1:11">
      <c r="A2192">
        <v>2191</v>
      </c>
      <c r="B2192" t="s">
        <v>82</v>
      </c>
      <c r="C2192" s="1">
        <v>22646</v>
      </c>
      <c r="D2192">
        <v>64</v>
      </c>
      <c r="E2192" t="s">
        <v>12</v>
      </c>
      <c r="F2192" t="s">
        <v>13</v>
      </c>
      <c r="G2192" s="1">
        <v>45176</v>
      </c>
      <c r="H2192" s="1">
        <v>45814</v>
      </c>
      <c r="I2192">
        <v>12</v>
      </c>
      <c r="J2192" t="s">
        <v>19</v>
      </c>
      <c r="K2192">
        <v>7362.84</v>
      </c>
    </row>
    <row r="2193" spans="1:11">
      <c r="A2193">
        <v>2192</v>
      </c>
      <c r="B2193" t="s">
        <v>119</v>
      </c>
      <c r="C2193" s="1">
        <v>18629</v>
      </c>
      <c r="D2193">
        <v>75</v>
      </c>
      <c r="E2193" t="s">
        <v>12</v>
      </c>
      <c r="F2193" t="s">
        <v>21</v>
      </c>
      <c r="G2193" s="1">
        <v>45578</v>
      </c>
      <c r="H2193" s="1">
        <v>45321</v>
      </c>
      <c r="I2193">
        <v>10</v>
      </c>
      <c r="J2193" t="s">
        <v>19</v>
      </c>
      <c r="K2193">
        <v>1469.91</v>
      </c>
    </row>
    <row r="2194" spans="1:11">
      <c r="A2194">
        <v>2193</v>
      </c>
      <c r="B2194" t="s">
        <v>149</v>
      </c>
      <c r="C2194" s="1">
        <v>20455</v>
      </c>
      <c r="D2194">
        <v>70</v>
      </c>
      <c r="E2194" t="s">
        <v>12</v>
      </c>
      <c r="F2194" t="s">
        <v>32</v>
      </c>
      <c r="G2194" s="1">
        <v>45476</v>
      </c>
      <c r="H2194" s="1">
        <v>45388</v>
      </c>
      <c r="I2194">
        <v>30</v>
      </c>
      <c r="J2194" t="s">
        <v>25</v>
      </c>
      <c r="K2194">
        <v>3879.47</v>
      </c>
    </row>
    <row r="2195" spans="1:11">
      <c r="A2195">
        <v>2194</v>
      </c>
      <c r="B2195" t="s">
        <v>117</v>
      </c>
      <c r="C2195" s="1">
        <v>40909</v>
      </c>
      <c r="D2195">
        <v>14</v>
      </c>
      <c r="E2195" t="s">
        <v>15</v>
      </c>
      <c r="F2195" t="s">
        <v>16</v>
      </c>
      <c r="G2195" s="1">
        <v>45048</v>
      </c>
      <c r="H2195" s="1">
        <v>45612</v>
      </c>
      <c r="I2195">
        <v>28</v>
      </c>
      <c r="J2195" t="s">
        <v>19</v>
      </c>
      <c r="K2195">
        <v>6643.48</v>
      </c>
    </row>
    <row r="2196" spans="1:11">
      <c r="A2196">
        <v>2195</v>
      </c>
      <c r="B2196" t="s">
        <v>33</v>
      </c>
      <c r="C2196" s="1">
        <v>38717</v>
      </c>
      <c r="D2196">
        <v>20</v>
      </c>
      <c r="E2196" t="s">
        <v>12</v>
      </c>
      <c r="F2196" t="s">
        <v>18</v>
      </c>
      <c r="G2196" s="1">
        <v>44991</v>
      </c>
      <c r="H2196" s="1">
        <v>45047</v>
      </c>
      <c r="I2196">
        <v>22</v>
      </c>
      <c r="K2196">
        <v>15897.4</v>
      </c>
    </row>
    <row r="2197" spans="1:11">
      <c r="A2197">
        <v>2196</v>
      </c>
      <c r="B2197" t="s">
        <v>142</v>
      </c>
      <c r="C2197" s="1">
        <v>39448</v>
      </c>
      <c r="D2197">
        <v>18</v>
      </c>
      <c r="F2197" t="s">
        <v>45</v>
      </c>
      <c r="G2197" s="1">
        <v>45584</v>
      </c>
      <c r="H2197" s="1">
        <v>45200</v>
      </c>
      <c r="I2197">
        <v>37</v>
      </c>
      <c r="J2197" t="s">
        <v>19</v>
      </c>
      <c r="K2197">
        <v>3568.2</v>
      </c>
    </row>
    <row r="2198" spans="1:11">
      <c r="A2198">
        <v>2197</v>
      </c>
      <c r="B2198" t="s">
        <v>57</v>
      </c>
      <c r="C2198" s="1">
        <v>24473</v>
      </c>
      <c r="D2198">
        <v>59</v>
      </c>
      <c r="E2198" t="s">
        <v>15</v>
      </c>
      <c r="G2198" s="1">
        <v>45228</v>
      </c>
      <c r="H2198" s="1">
        <v>45285</v>
      </c>
      <c r="I2198">
        <v>20</v>
      </c>
      <c r="J2198" t="s">
        <v>25</v>
      </c>
      <c r="K2198">
        <v>6867.47</v>
      </c>
    </row>
    <row r="2199" spans="1:11">
      <c r="A2199">
        <v>2198</v>
      </c>
      <c r="B2199" t="s">
        <v>78</v>
      </c>
      <c r="C2199" s="1">
        <v>12419</v>
      </c>
      <c r="D2199">
        <v>92</v>
      </c>
      <c r="E2199" t="s">
        <v>15</v>
      </c>
      <c r="F2199" t="s">
        <v>13</v>
      </c>
      <c r="G2199" s="1">
        <v>45051</v>
      </c>
      <c r="H2199" s="1">
        <v>45313</v>
      </c>
      <c r="I2199">
        <v>35</v>
      </c>
      <c r="K2199">
        <v>1204.9000000000001</v>
      </c>
    </row>
    <row r="2200" spans="1:11">
      <c r="A2200">
        <v>2199</v>
      </c>
      <c r="B2200" t="s">
        <v>117</v>
      </c>
      <c r="C2200" s="1">
        <v>13880</v>
      </c>
      <c r="D2200">
        <v>88</v>
      </c>
      <c r="E2200" t="s">
        <v>15</v>
      </c>
      <c r="G2200" s="1">
        <v>45238</v>
      </c>
      <c r="H2200" s="1">
        <v>45803</v>
      </c>
      <c r="I2200">
        <v>0</v>
      </c>
      <c r="J2200" t="s">
        <v>23</v>
      </c>
      <c r="K2200">
        <v>11097.8</v>
      </c>
    </row>
    <row r="2201" spans="1:11">
      <c r="A2201">
        <v>2200</v>
      </c>
      <c r="B2201" t="s">
        <v>109</v>
      </c>
      <c r="C2201" s="1">
        <v>34334</v>
      </c>
      <c r="D2201">
        <v>32</v>
      </c>
      <c r="E2201" t="s">
        <v>12</v>
      </c>
      <c r="F2201" t="s">
        <v>16</v>
      </c>
      <c r="G2201" s="1">
        <v>45117</v>
      </c>
      <c r="H2201" s="1">
        <v>45785</v>
      </c>
      <c r="I2201">
        <v>13</v>
      </c>
      <c r="J2201" t="s">
        <v>25</v>
      </c>
      <c r="K2201">
        <v>12186.14</v>
      </c>
    </row>
    <row r="2202" spans="1:11">
      <c r="A2202">
        <v>2201</v>
      </c>
      <c r="B2202" t="s">
        <v>119</v>
      </c>
      <c r="C2202" s="1">
        <v>28490</v>
      </c>
      <c r="D2202">
        <v>48</v>
      </c>
      <c r="E2202" t="s">
        <v>12</v>
      </c>
      <c r="F2202" t="s">
        <v>21</v>
      </c>
      <c r="G2202" s="1">
        <v>45376</v>
      </c>
      <c r="H2202" s="1">
        <v>45814</v>
      </c>
      <c r="I2202">
        <v>-1</v>
      </c>
      <c r="J2202" t="s">
        <v>25</v>
      </c>
      <c r="K2202">
        <v>17296.88</v>
      </c>
    </row>
    <row r="2203" spans="1:11">
      <c r="A2203">
        <v>2202</v>
      </c>
      <c r="B2203" t="s">
        <v>101</v>
      </c>
      <c r="C2203" s="1">
        <v>33604</v>
      </c>
      <c r="D2203">
        <v>34</v>
      </c>
      <c r="E2203" t="s">
        <v>15</v>
      </c>
      <c r="F2203" t="s">
        <v>45</v>
      </c>
      <c r="G2203" s="1">
        <v>45620</v>
      </c>
      <c r="H2203" s="1">
        <v>45246</v>
      </c>
      <c r="I2203">
        <v>20</v>
      </c>
      <c r="J2203" t="s">
        <v>19</v>
      </c>
      <c r="K2203">
        <v>16364.23</v>
      </c>
    </row>
    <row r="2204" spans="1:11">
      <c r="A2204">
        <v>2203</v>
      </c>
      <c r="B2204" t="s">
        <v>77</v>
      </c>
      <c r="C2204" s="1">
        <v>30317</v>
      </c>
      <c r="D2204">
        <v>43</v>
      </c>
      <c r="E2204" t="s">
        <v>15</v>
      </c>
      <c r="G2204" s="1">
        <v>45085</v>
      </c>
      <c r="H2204" s="1">
        <v>45188</v>
      </c>
      <c r="I2204">
        <v>31</v>
      </c>
      <c r="K2204">
        <v>5636.1</v>
      </c>
    </row>
    <row r="2205" spans="1:11">
      <c r="A2205">
        <v>2204</v>
      </c>
      <c r="B2205" t="s">
        <v>145</v>
      </c>
      <c r="C2205" s="1">
        <v>13515</v>
      </c>
      <c r="D2205">
        <v>89</v>
      </c>
      <c r="E2205" t="s">
        <v>15</v>
      </c>
      <c r="F2205" t="s">
        <v>21</v>
      </c>
      <c r="G2205" s="1">
        <v>45279</v>
      </c>
      <c r="H2205" s="1">
        <v>45208</v>
      </c>
      <c r="I2205">
        <v>27</v>
      </c>
      <c r="J2205" t="s">
        <v>25</v>
      </c>
      <c r="K2205">
        <v>2652.77</v>
      </c>
    </row>
    <row r="2206" spans="1:11">
      <c r="A2206">
        <v>2205</v>
      </c>
      <c r="B2206" t="s">
        <v>153</v>
      </c>
      <c r="C2206" s="1">
        <v>42370</v>
      </c>
      <c r="D2206">
        <v>10</v>
      </c>
      <c r="E2206" t="s">
        <v>15</v>
      </c>
      <c r="F2206" t="s">
        <v>32</v>
      </c>
      <c r="G2206" s="1">
        <v>45600</v>
      </c>
      <c r="H2206" s="1">
        <v>45256</v>
      </c>
      <c r="I2206">
        <v>7</v>
      </c>
      <c r="K2206">
        <v>3037.27</v>
      </c>
    </row>
    <row r="2207" spans="1:11">
      <c r="A2207">
        <v>2206</v>
      </c>
      <c r="B2207" t="s">
        <v>34</v>
      </c>
      <c r="C2207" s="1">
        <v>20090</v>
      </c>
      <c r="D2207">
        <v>71</v>
      </c>
      <c r="E2207" t="s">
        <v>15</v>
      </c>
      <c r="F2207" t="s">
        <v>13</v>
      </c>
      <c r="G2207" s="1">
        <v>45189</v>
      </c>
      <c r="H2207" s="1">
        <v>45051</v>
      </c>
      <c r="I2207">
        <v>-2</v>
      </c>
      <c r="K2207">
        <v>19376.18</v>
      </c>
    </row>
    <row r="2208" spans="1:11">
      <c r="A2208">
        <v>2207</v>
      </c>
      <c r="B2208" t="s">
        <v>140</v>
      </c>
      <c r="C2208" s="1">
        <v>17898</v>
      </c>
      <c r="D2208">
        <v>77</v>
      </c>
      <c r="F2208" t="s">
        <v>13</v>
      </c>
      <c r="G2208" s="1">
        <v>45655</v>
      </c>
      <c r="H2208" s="1">
        <v>45403</v>
      </c>
      <c r="I2208">
        <v>19</v>
      </c>
      <c r="J2208" t="s">
        <v>19</v>
      </c>
      <c r="K2208">
        <v>13431.84</v>
      </c>
    </row>
    <row r="2209" spans="1:11">
      <c r="A2209">
        <v>2208</v>
      </c>
      <c r="B2209" t="s">
        <v>47</v>
      </c>
      <c r="C2209" s="1">
        <v>19359</v>
      </c>
      <c r="D2209">
        <v>73</v>
      </c>
      <c r="E2209" t="s">
        <v>15</v>
      </c>
      <c r="F2209" t="s">
        <v>32</v>
      </c>
      <c r="G2209" s="1">
        <v>45332</v>
      </c>
      <c r="H2209" s="1">
        <v>45205</v>
      </c>
      <c r="I2209">
        <v>30</v>
      </c>
      <c r="J2209" t="s">
        <v>25</v>
      </c>
      <c r="K2209">
        <v>755.67</v>
      </c>
    </row>
    <row r="2210" spans="1:11">
      <c r="A2210">
        <v>2209</v>
      </c>
      <c r="B2210" t="s">
        <v>144</v>
      </c>
      <c r="C2210" s="1">
        <v>22281</v>
      </c>
      <c r="D2210">
        <v>65</v>
      </c>
      <c r="E2210" t="s">
        <v>15</v>
      </c>
      <c r="F2210" t="s">
        <v>21</v>
      </c>
      <c r="G2210" s="1">
        <v>45619</v>
      </c>
      <c r="H2210" s="1">
        <v>45020</v>
      </c>
      <c r="I2210">
        <v>22</v>
      </c>
      <c r="K2210">
        <v>2649.26</v>
      </c>
    </row>
    <row r="2211" spans="1:11">
      <c r="A2211">
        <v>2210</v>
      </c>
      <c r="B2211" t="s">
        <v>30</v>
      </c>
      <c r="C2211" s="1">
        <v>29586</v>
      </c>
      <c r="D2211">
        <v>45</v>
      </c>
      <c r="E2211" t="s">
        <v>12</v>
      </c>
      <c r="G2211" s="1">
        <v>45529</v>
      </c>
      <c r="H2211" s="1">
        <v>45474</v>
      </c>
      <c r="I2211">
        <v>19</v>
      </c>
      <c r="K2211">
        <v>9664.58</v>
      </c>
    </row>
    <row r="2212" spans="1:11">
      <c r="A2212">
        <v>2211</v>
      </c>
      <c r="B2212" t="s">
        <v>110</v>
      </c>
      <c r="C2212" s="1">
        <v>43100</v>
      </c>
      <c r="D2212">
        <v>8</v>
      </c>
      <c r="E2212" t="s">
        <v>12</v>
      </c>
      <c r="F2212" t="s">
        <v>45</v>
      </c>
      <c r="G2212" s="1">
        <v>44943</v>
      </c>
      <c r="H2212" s="1">
        <v>45750</v>
      </c>
      <c r="I2212">
        <v>13</v>
      </c>
      <c r="J2212" t="s">
        <v>23</v>
      </c>
      <c r="K2212">
        <v>4077.36</v>
      </c>
    </row>
    <row r="2213" spans="1:11">
      <c r="A2213">
        <v>2212</v>
      </c>
      <c r="B2213" t="s">
        <v>133</v>
      </c>
      <c r="C2213" s="1">
        <v>45292</v>
      </c>
      <c r="D2213">
        <v>2</v>
      </c>
      <c r="E2213" t="s">
        <v>12</v>
      </c>
      <c r="F2213" t="s">
        <v>21</v>
      </c>
      <c r="G2213" s="1">
        <v>45563</v>
      </c>
      <c r="H2213" s="1">
        <v>45055</v>
      </c>
      <c r="I2213">
        <v>27</v>
      </c>
      <c r="J2213" t="s">
        <v>19</v>
      </c>
      <c r="K2213">
        <v>16053.55</v>
      </c>
    </row>
    <row r="2214" spans="1:11">
      <c r="A2214">
        <v>2213</v>
      </c>
      <c r="B2214" t="s">
        <v>17</v>
      </c>
      <c r="C2214" s="1">
        <v>15341</v>
      </c>
      <c r="D2214">
        <v>84</v>
      </c>
      <c r="E2214" t="s">
        <v>15</v>
      </c>
      <c r="F2214" t="s">
        <v>45</v>
      </c>
      <c r="G2214" s="1">
        <v>45186</v>
      </c>
      <c r="H2214" s="1">
        <v>45459</v>
      </c>
      <c r="I2214">
        <v>15</v>
      </c>
      <c r="J2214" t="s">
        <v>25</v>
      </c>
      <c r="K2214">
        <v>11421.66</v>
      </c>
    </row>
    <row r="2215" spans="1:11">
      <c r="A2215">
        <v>2214</v>
      </c>
      <c r="B2215" t="s">
        <v>105</v>
      </c>
      <c r="C2215" s="1">
        <v>36891</v>
      </c>
      <c r="D2215">
        <v>25</v>
      </c>
      <c r="E2215" t="s">
        <v>15</v>
      </c>
      <c r="F2215" t="s">
        <v>16</v>
      </c>
      <c r="G2215" s="1">
        <v>45281</v>
      </c>
      <c r="H2215" s="1">
        <v>45700</v>
      </c>
      <c r="I2215">
        <v>21</v>
      </c>
      <c r="K2215">
        <v>12213.91</v>
      </c>
    </row>
    <row r="2216" spans="1:11">
      <c r="A2216">
        <v>2215</v>
      </c>
      <c r="B2216" t="s">
        <v>46</v>
      </c>
      <c r="C2216" s="1">
        <v>20090</v>
      </c>
      <c r="D2216">
        <v>71</v>
      </c>
      <c r="E2216" t="s">
        <v>12</v>
      </c>
      <c r="F2216" t="s">
        <v>32</v>
      </c>
      <c r="G2216" s="1">
        <v>45415</v>
      </c>
      <c r="H2216" s="1">
        <v>45094</v>
      </c>
      <c r="I2216">
        <v>2</v>
      </c>
      <c r="J2216" t="s">
        <v>19</v>
      </c>
      <c r="K2216">
        <v>9202.7900000000009</v>
      </c>
    </row>
    <row r="2217" spans="1:11">
      <c r="A2217">
        <v>2216</v>
      </c>
      <c r="B2217" t="s">
        <v>52</v>
      </c>
      <c r="C2217" s="1">
        <v>28856</v>
      </c>
      <c r="D2217">
        <v>47</v>
      </c>
      <c r="E2217" t="s">
        <v>12</v>
      </c>
      <c r="F2217" t="s">
        <v>18</v>
      </c>
      <c r="G2217" s="1">
        <v>45140</v>
      </c>
      <c r="H2217" s="1">
        <v>45758</v>
      </c>
      <c r="I2217">
        <v>34</v>
      </c>
      <c r="J2217" t="s">
        <v>25</v>
      </c>
      <c r="K2217">
        <v>5046.8599999999997</v>
      </c>
    </row>
    <row r="2218" spans="1:11">
      <c r="A2218">
        <v>2217</v>
      </c>
      <c r="B2218" t="s">
        <v>120</v>
      </c>
      <c r="C2218" s="1">
        <v>22281</v>
      </c>
      <c r="D2218">
        <v>65</v>
      </c>
      <c r="E2218" t="s">
        <v>15</v>
      </c>
      <c r="F2218" t="s">
        <v>45</v>
      </c>
      <c r="G2218" s="1">
        <v>45165</v>
      </c>
      <c r="H2218" s="1">
        <v>45163</v>
      </c>
      <c r="I2218">
        <v>20</v>
      </c>
      <c r="K2218">
        <v>11747.01</v>
      </c>
    </row>
    <row r="2219" spans="1:11">
      <c r="A2219">
        <v>2218</v>
      </c>
      <c r="B2219" t="s">
        <v>136</v>
      </c>
      <c r="C2219" s="1">
        <v>20820</v>
      </c>
      <c r="D2219">
        <v>69</v>
      </c>
      <c r="E2219" t="s">
        <v>12</v>
      </c>
      <c r="F2219" t="s">
        <v>13</v>
      </c>
      <c r="G2219" s="1">
        <v>45106</v>
      </c>
      <c r="H2219" s="1">
        <v>44959</v>
      </c>
      <c r="I2219">
        <v>39</v>
      </c>
      <c r="J2219" t="s">
        <v>25</v>
      </c>
      <c r="K2219">
        <v>14311.1</v>
      </c>
    </row>
    <row r="2220" spans="1:11">
      <c r="A2220">
        <v>2219</v>
      </c>
      <c r="B2220" t="s">
        <v>107</v>
      </c>
      <c r="C2220" s="1">
        <v>36161</v>
      </c>
      <c r="D2220">
        <v>27</v>
      </c>
      <c r="E2220" t="s">
        <v>12</v>
      </c>
      <c r="F2220" t="s">
        <v>16</v>
      </c>
      <c r="G2220" s="1">
        <v>45345</v>
      </c>
      <c r="H2220" s="1">
        <v>45158</v>
      </c>
      <c r="I2220">
        <v>24</v>
      </c>
      <c r="J2220" t="s">
        <v>25</v>
      </c>
      <c r="K2220">
        <v>7356.06</v>
      </c>
    </row>
    <row r="2221" spans="1:11">
      <c r="A2221">
        <v>2220</v>
      </c>
      <c r="B2221" t="s">
        <v>55</v>
      </c>
      <c r="C2221" s="1">
        <v>12419</v>
      </c>
      <c r="D2221">
        <v>92</v>
      </c>
      <c r="E2221" t="s">
        <v>15</v>
      </c>
      <c r="F2221" t="s">
        <v>13</v>
      </c>
      <c r="G2221" s="1">
        <v>45610</v>
      </c>
      <c r="H2221" s="1">
        <v>45118</v>
      </c>
      <c r="I2221">
        <v>9</v>
      </c>
      <c r="J2221" t="s">
        <v>19</v>
      </c>
      <c r="K2221">
        <v>10049.370000000001</v>
      </c>
    </row>
    <row r="2222" spans="1:11">
      <c r="A2222">
        <v>2221</v>
      </c>
      <c r="B2222" t="s">
        <v>152</v>
      </c>
      <c r="C2222" s="1">
        <v>36891</v>
      </c>
      <c r="D2222">
        <v>25</v>
      </c>
      <c r="E2222" t="s">
        <v>12</v>
      </c>
      <c r="F2222" t="s">
        <v>16</v>
      </c>
      <c r="G2222" s="1">
        <v>45069</v>
      </c>
      <c r="H2222" s="1">
        <v>45769</v>
      </c>
      <c r="I2222">
        <v>7</v>
      </c>
      <c r="J2222" t="s">
        <v>19</v>
      </c>
      <c r="K2222">
        <v>16777.650000000001</v>
      </c>
    </row>
    <row r="2223" spans="1:11">
      <c r="A2223">
        <v>2222</v>
      </c>
      <c r="B2223" t="s">
        <v>146</v>
      </c>
      <c r="C2223" s="1">
        <v>37256</v>
      </c>
      <c r="D2223">
        <v>24</v>
      </c>
      <c r="E2223" t="s">
        <v>12</v>
      </c>
      <c r="F2223" t="s">
        <v>13</v>
      </c>
      <c r="G2223" s="1">
        <v>45243</v>
      </c>
      <c r="H2223" s="1">
        <v>45584</v>
      </c>
      <c r="I2223">
        <v>31</v>
      </c>
      <c r="J2223" t="s">
        <v>23</v>
      </c>
      <c r="K2223">
        <v>2888.5</v>
      </c>
    </row>
    <row r="2224" spans="1:11">
      <c r="A2224">
        <v>2223</v>
      </c>
      <c r="B2224" t="s">
        <v>139</v>
      </c>
      <c r="C2224" s="1">
        <v>42005</v>
      </c>
      <c r="D2224">
        <v>11</v>
      </c>
      <c r="E2224" t="s">
        <v>15</v>
      </c>
      <c r="F2224" t="s">
        <v>21</v>
      </c>
      <c r="G2224" s="1">
        <v>45170</v>
      </c>
      <c r="H2224" s="1">
        <v>45540</v>
      </c>
      <c r="I2224">
        <v>30</v>
      </c>
      <c r="J2224" t="s">
        <v>23</v>
      </c>
      <c r="K2224">
        <v>10859.01</v>
      </c>
    </row>
    <row r="2225" spans="1:11">
      <c r="A2225">
        <v>2224</v>
      </c>
      <c r="B2225" t="s">
        <v>152</v>
      </c>
      <c r="C2225" s="1">
        <v>44561</v>
      </c>
      <c r="D2225">
        <v>4</v>
      </c>
      <c r="E2225" t="s">
        <v>12</v>
      </c>
      <c r="G2225" s="1">
        <v>45158</v>
      </c>
      <c r="H2225" s="1">
        <v>45518</v>
      </c>
      <c r="I2225">
        <v>13</v>
      </c>
      <c r="J2225" t="s">
        <v>23</v>
      </c>
      <c r="K2225">
        <v>6903.09</v>
      </c>
    </row>
    <row r="2226" spans="1:11">
      <c r="A2226">
        <v>2225</v>
      </c>
      <c r="B2226" t="s">
        <v>84</v>
      </c>
      <c r="C2226" s="1">
        <v>28856</v>
      </c>
      <c r="D2226">
        <v>47</v>
      </c>
      <c r="E2226" t="s">
        <v>12</v>
      </c>
      <c r="F2226" t="s">
        <v>21</v>
      </c>
      <c r="G2226" s="1">
        <v>45610</v>
      </c>
      <c r="H2226" s="1">
        <v>45435</v>
      </c>
      <c r="I2226">
        <v>26</v>
      </c>
      <c r="K2226">
        <v>14026.17</v>
      </c>
    </row>
    <row r="2227" spans="1:11">
      <c r="A2227">
        <v>2226</v>
      </c>
      <c r="B2227" t="s">
        <v>48</v>
      </c>
      <c r="C2227" s="1">
        <v>32873</v>
      </c>
      <c r="D2227">
        <v>36</v>
      </c>
      <c r="E2227" t="s">
        <v>12</v>
      </c>
      <c r="F2227" t="s">
        <v>21</v>
      </c>
      <c r="G2227" s="1">
        <v>45515</v>
      </c>
      <c r="H2227" s="1">
        <v>45384</v>
      </c>
      <c r="I2227">
        <v>15</v>
      </c>
      <c r="J2227" t="s">
        <v>23</v>
      </c>
      <c r="K2227">
        <v>278.08999999999997</v>
      </c>
    </row>
    <row r="2228" spans="1:11">
      <c r="A2228">
        <v>2227</v>
      </c>
      <c r="B2228" t="s">
        <v>105</v>
      </c>
      <c r="C2228" s="1">
        <v>17533</v>
      </c>
      <c r="D2228">
        <v>78</v>
      </c>
      <c r="E2228" t="s">
        <v>15</v>
      </c>
      <c r="G2228" s="1">
        <v>45229</v>
      </c>
      <c r="H2228" s="1">
        <v>45599</v>
      </c>
      <c r="I2228">
        <v>24</v>
      </c>
      <c r="J2228" t="s">
        <v>25</v>
      </c>
      <c r="K2228">
        <v>13376.51</v>
      </c>
    </row>
    <row r="2229" spans="1:11">
      <c r="A2229">
        <v>2228</v>
      </c>
      <c r="B2229" t="s">
        <v>132</v>
      </c>
      <c r="C2229" s="1">
        <v>30317</v>
      </c>
      <c r="D2229">
        <v>43</v>
      </c>
      <c r="E2229" t="s">
        <v>15</v>
      </c>
      <c r="F2229" t="s">
        <v>16</v>
      </c>
      <c r="G2229" s="1">
        <v>45257</v>
      </c>
      <c r="H2229" s="1">
        <v>45182</v>
      </c>
      <c r="I2229">
        <v>4</v>
      </c>
      <c r="J2229" t="s">
        <v>19</v>
      </c>
      <c r="K2229">
        <v>1968.24</v>
      </c>
    </row>
    <row r="2230" spans="1:11">
      <c r="A2230">
        <v>2229</v>
      </c>
      <c r="B2230" t="s">
        <v>31</v>
      </c>
      <c r="C2230" s="1">
        <v>40909</v>
      </c>
      <c r="D2230">
        <v>14</v>
      </c>
      <c r="E2230" t="s">
        <v>12</v>
      </c>
      <c r="F2230" t="s">
        <v>16</v>
      </c>
      <c r="G2230" s="1">
        <v>45487</v>
      </c>
      <c r="H2230" s="1">
        <v>45206</v>
      </c>
      <c r="I2230">
        <v>33</v>
      </c>
      <c r="J2230" t="s">
        <v>25</v>
      </c>
      <c r="K2230">
        <v>1201.83</v>
      </c>
    </row>
    <row r="2231" spans="1:11">
      <c r="A2231">
        <v>2230</v>
      </c>
      <c r="B2231" t="s">
        <v>72</v>
      </c>
      <c r="C2231" s="1">
        <v>30682</v>
      </c>
      <c r="D2231">
        <v>42</v>
      </c>
      <c r="E2231" t="s">
        <v>15</v>
      </c>
      <c r="G2231" s="1">
        <v>45174</v>
      </c>
      <c r="H2231" s="1">
        <v>45627</v>
      </c>
      <c r="I2231">
        <v>24</v>
      </c>
      <c r="J2231" t="s">
        <v>19</v>
      </c>
      <c r="K2231">
        <v>14464.93</v>
      </c>
    </row>
    <row r="2232" spans="1:11">
      <c r="A2232">
        <v>2231</v>
      </c>
      <c r="B2232" t="s">
        <v>78</v>
      </c>
      <c r="C2232" s="1">
        <v>28856</v>
      </c>
      <c r="D2232">
        <v>47</v>
      </c>
      <c r="E2232" t="s">
        <v>15</v>
      </c>
      <c r="F2232" t="s">
        <v>13</v>
      </c>
      <c r="G2232" s="1">
        <v>45209</v>
      </c>
      <c r="H2232" s="1">
        <v>45649</v>
      </c>
      <c r="I2232">
        <v>7</v>
      </c>
      <c r="J2232" t="s">
        <v>19</v>
      </c>
      <c r="K2232">
        <v>12770.88</v>
      </c>
    </row>
    <row r="2233" spans="1:11">
      <c r="A2233">
        <v>2232</v>
      </c>
      <c r="B2233" t="s">
        <v>86</v>
      </c>
      <c r="C2233" s="1">
        <v>14611</v>
      </c>
      <c r="D2233">
        <v>86</v>
      </c>
      <c r="E2233" t="s">
        <v>15</v>
      </c>
      <c r="F2233" t="s">
        <v>45</v>
      </c>
      <c r="G2233" s="1">
        <v>45213</v>
      </c>
      <c r="H2233" s="1">
        <v>45680</v>
      </c>
      <c r="I2233">
        <v>7</v>
      </c>
      <c r="J2233" t="s">
        <v>25</v>
      </c>
      <c r="K2233">
        <v>17888.21</v>
      </c>
    </row>
    <row r="2234" spans="1:11">
      <c r="A2234">
        <v>2233</v>
      </c>
      <c r="B2234" t="s">
        <v>42</v>
      </c>
      <c r="C2234" s="1">
        <v>20820</v>
      </c>
      <c r="D2234">
        <v>69</v>
      </c>
      <c r="E2234" t="s">
        <v>15</v>
      </c>
      <c r="F2234" t="s">
        <v>16</v>
      </c>
      <c r="G2234" s="1">
        <v>44958</v>
      </c>
      <c r="H2234" s="1">
        <v>44983</v>
      </c>
      <c r="I2234">
        <v>8</v>
      </c>
      <c r="J2234" t="s">
        <v>25</v>
      </c>
      <c r="K2234">
        <v>10345.06</v>
      </c>
    </row>
    <row r="2235" spans="1:11">
      <c r="A2235">
        <v>2234</v>
      </c>
      <c r="B2235" t="s">
        <v>26</v>
      </c>
      <c r="C2235" s="1">
        <v>29586</v>
      </c>
      <c r="D2235">
        <v>45</v>
      </c>
      <c r="F2235" t="s">
        <v>13</v>
      </c>
      <c r="G2235" s="1">
        <v>45426</v>
      </c>
      <c r="H2235" s="1">
        <v>45576</v>
      </c>
      <c r="I2235">
        <v>27</v>
      </c>
      <c r="K2235">
        <v>10553.49</v>
      </c>
    </row>
    <row r="2236" spans="1:11">
      <c r="A2236">
        <v>2235</v>
      </c>
      <c r="B2236" t="s">
        <v>63</v>
      </c>
      <c r="C2236" s="1">
        <v>30682</v>
      </c>
      <c r="D2236">
        <v>42</v>
      </c>
      <c r="E2236" t="s">
        <v>15</v>
      </c>
      <c r="F2236" t="s">
        <v>45</v>
      </c>
      <c r="G2236" s="1">
        <v>45596</v>
      </c>
      <c r="H2236" s="1">
        <v>45033</v>
      </c>
      <c r="I2236">
        <v>0</v>
      </c>
      <c r="J2236" t="s">
        <v>19</v>
      </c>
      <c r="K2236">
        <v>14111.06</v>
      </c>
    </row>
    <row r="2237" spans="1:11">
      <c r="A2237">
        <v>2236</v>
      </c>
      <c r="B2237" t="s">
        <v>88</v>
      </c>
      <c r="C2237" s="1">
        <v>38717</v>
      </c>
      <c r="D2237">
        <v>20</v>
      </c>
      <c r="G2237" s="1">
        <v>45456</v>
      </c>
      <c r="H2237" s="1">
        <v>45508</v>
      </c>
      <c r="I2237">
        <v>26</v>
      </c>
      <c r="J2237" t="s">
        <v>23</v>
      </c>
      <c r="K2237">
        <v>6400.29</v>
      </c>
    </row>
    <row r="2238" spans="1:11">
      <c r="A2238">
        <v>2237</v>
      </c>
      <c r="B2238" t="s">
        <v>11</v>
      </c>
      <c r="C2238" s="1">
        <v>37987</v>
      </c>
      <c r="D2238">
        <v>22</v>
      </c>
      <c r="E2238" t="s">
        <v>15</v>
      </c>
      <c r="F2238" t="s">
        <v>21</v>
      </c>
      <c r="G2238" s="1">
        <v>45307</v>
      </c>
      <c r="H2238" s="1">
        <v>45629</v>
      </c>
      <c r="I2238">
        <v>11</v>
      </c>
      <c r="K2238">
        <v>641.94000000000005</v>
      </c>
    </row>
    <row r="2239" spans="1:11">
      <c r="A2239">
        <v>2238</v>
      </c>
      <c r="B2239" t="s">
        <v>86</v>
      </c>
      <c r="C2239" s="1">
        <v>17168</v>
      </c>
      <c r="D2239">
        <v>79</v>
      </c>
      <c r="E2239" t="s">
        <v>12</v>
      </c>
      <c r="F2239" t="s">
        <v>16</v>
      </c>
      <c r="G2239" s="1">
        <v>44989</v>
      </c>
      <c r="H2239" s="1">
        <v>45119</v>
      </c>
      <c r="I2239">
        <v>10</v>
      </c>
      <c r="J2239" t="s">
        <v>23</v>
      </c>
      <c r="K2239">
        <v>4523.92</v>
      </c>
    </row>
    <row r="2240" spans="1:11">
      <c r="A2240">
        <v>2239</v>
      </c>
      <c r="B2240" t="s">
        <v>61</v>
      </c>
      <c r="C2240" s="1">
        <v>29221</v>
      </c>
      <c r="D2240">
        <v>46</v>
      </c>
      <c r="E2240" t="s">
        <v>15</v>
      </c>
      <c r="F2240" t="s">
        <v>18</v>
      </c>
      <c r="G2240" s="1">
        <v>45054</v>
      </c>
      <c r="H2240" s="1">
        <v>45205</v>
      </c>
      <c r="I2240">
        <v>16</v>
      </c>
      <c r="K2240">
        <v>4684.07</v>
      </c>
    </row>
    <row r="2241" spans="1:11">
      <c r="A2241">
        <v>2240</v>
      </c>
      <c r="B2241" t="s">
        <v>131</v>
      </c>
      <c r="C2241" s="1">
        <v>40909</v>
      </c>
      <c r="D2241">
        <v>14</v>
      </c>
      <c r="E2241" t="s">
        <v>12</v>
      </c>
      <c r="F2241" t="s">
        <v>21</v>
      </c>
      <c r="G2241" s="1">
        <v>45454</v>
      </c>
      <c r="H2241" s="1">
        <v>45471</v>
      </c>
      <c r="I2241">
        <v>22</v>
      </c>
      <c r="J2241" t="s">
        <v>19</v>
      </c>
      <c r="K2241">
        <v>6646.74</v>
      </c>
    </row>
    <row r="2242" spans="1:11">
      <c r="A2242">
        <v>2241</v>
      </c>
      <c r="B2242" t="s">
        <v>95</v>
      </c>
      <c r="C2242" s="1">
        <v>37256</v>
      </c>
      <c r="D2242">
        <v>24</v>
      </c>
      <c r="E2242" t="s">
        <v>12</v>
      </c>
      <c r="F2242" t="s">
        <v>32</v>
      </c>
      <c r="G2242" s="1">
        <v>45089</v>
      </c>
      <c r="H2242" s="1">
        <v>45102</v>
      </c>
      <c r="I2242">
        <v>7</v>
      </c>
      <c r="J2242" t="s">
        <v>25</v>
      </c>
      <c r="K2242">
        <v>18863.599999999999</v>
      </c>
    </row>
    <row r="2243" spans="1:11">
      <c r="A2243">
        <v>2242</v>
      </c>
      <c r="B2243" t="s">
        <v>63</v>
      </c>
      <c r="C2243" s="1">
        <v>33239</v>
      </c>
      <c r="D2243">
        <v>35</v>
      </c>
      <c r="E2243" t="s">
        <v>15</v>
      </c>
      <c r="F2243" t="s">
        <v>45</v>
      </c>
      <c r="G2243" s="1">
        <v>45177</v>
      </c>
      <c r="H2243" s="1">
        <v>45697</v>
      </c>
      <c r="I2243">
        <v>12</v>
      </c>
      <c r="J2243" t="s">
        <v>25</v>
      </c>
      <c r="K2243">
        <v>16077.34</v>
      </c>
    </row>
    <row r="2244" spans="1:11">
      <c r="A2244">
        <v>2243</v>
      </c>
      <c r="B2244" t="s">
        <v>111</v>
      </c>
      <c r="C2244" s="1">
        <v>18994</v>
      </c>
      <c r="D2244">
        <v>74</v>
      </c>
      <c r="E2244" t="s">
        <v>12</v>
      </c>
      <c r="F2244" t="s">
        <v>18</v>
      </c>
      <c r="G2244" s="1">
        <v>45575</v>
      </c>
      <c r="H2244" s="1">
        <v>45562</v>
      </c>
      <c r="I2244">
        <v>25</v>
      </c>
      <c r="J2244" t="s">
        <v>19</v>
      </c>
      <c r="K2244">
        <v>18712.72</v>
      </c>
    </row>
    <row r="2245" spans="1:11">
      <c r="A2245">
        <v>2244</v>
      </c>
      <c r="B2245" t="s">
        <v>164</v>
      </c>
      <c r="C2245" s="1">
        <v>27760</v>
      </c>
      <c r="D2245">
        <v>50</v>
      </c>
      <c r="E2245" t="s">
        <v>15</v>
      </c>
      <c r="F2245" t="s">
        <v>21</v>
      </c>
      <c r="G2245" s="1">
        <v>45221</v>
      </c>
      <c r="H2245" s="1">
        <v>45012</v>
      </c>
      <c r="I2245">
        <v>37</v>
      </c>
      <c r="J2245" t="s">
        <v>25</v>
      </c>
      <c r="K2245">
        <v>19972.05</v>
      </c>
    </row>
    <row r="2246" spans="1:11">
      <c r="A2246">
        <v>2245</v>
      </c>
      <c r="B2246" t="s">
        <v>122</v>
      </c>
      <c r="C2246" s="1">
        <v>40909</v>
      </c>
      <c r="D2246">
        <v>14</v>
      </c>
      <c r="E2246" t="s">
        <v>12</v>
      </c>
      <c r="F2246" t="s">
        <v>16</v>
      </c>
      <c r="G2246" s="1">
        <v>45105</v>
      </c>
      <c r="H2246" s="1">
        <v>45655</v>
      </c>
      <c r="I2246">
        <v>35</v>
      </c>
      <c r="J2246" t="s">
        <v>19</v>
      </c>
      <c r="K2246">
        <v>8618.9599999999991</v>
      </c>
    </row>
    <row r="2247" spans="1:11">
      <c r="A2247">
        <v>2246</v>
      </c>
      <c r="B2247" t="s">
        <v>62</v>
      </c>
      <c r="D2247">
        <v>67</v>
      </c>
      <c r="F2247" t="s">
        <v>18</v>
      </c>
      <c r="G2247" s="1">
        <v>45155</v>
      </c>
      <c r="H2247" s="1">
        <v>45143</v>
      </c>
      <c r="I2247">
        <v>4</v>
      </c>
      <c r="J2247" t="s">
        <v>19</v>
      </c>
      <c r="K2247">
        <v>4464.17</v>
      </c>
    </row>
    <row r="2248" spans="1:11">
      <c r="A2248">
        <v>2247</v>
      </c>
      <c r="B2248" t="s">
        <v>131</v>
      </c>
      <c r="C2248" s="1">
        <v>38717</v>
      </c>
      <c r="D2248">
        <v>20</v>
      </c>
      <c r="E2248" t="s">
        <v>12</v>
      </c>
      <c r="F2248" t="s">
        <v>13</v>
      </c>
      <c r="G2248" s="1">
        <v>45320</v>
      </c>
      <c r="H2248" s="1">
        <v>44941</v>
      </c>
      <c r="I2248">
        <v>11</v>
      </c>
      <c r="J2248" t="s">
        <v>19</v>
      </c>
      <c r="K2248">
        <v>11156.08</v>
      </c>
    </row>
    <row r="2249" spans="1:11">
      <c r="A2249">
        <v>2248</v>
      </c>
      <c r="B2249" t="s">
        <v>71</v>
      </c>
      <c r="C2249" s="1">
        <v>41639</v>
      </c>
      <c r="D2249">
        <v>12</v>
      </c>
      <c r="E2249" t="s">
        <v>12</v>
      </c>
      <c r="F2249" t="s">
        <v>45</v>
      </c>
      <c r="G2249" s="1">
        <v>45618</v>
      </c>
      <c r="H2249" s="1">
        <v>44964</v>
      </c>
      <c r="I2249">
        <v>27</v>
      </c>
      <c r="K2249">
        <v>17610.8</v>
      </c>
    </row>
    <row r="2250" spans="1:11">
      <c r="A2250">
        <v>2249</v>
      </c>
      <c r="B2250" t="s">
        <v>93</v>
      </c>
      <c r="C2250" s="1">
        <v>14976</v>
      </c>
      <c r="D2250">
        <v>85</v>
      </c>
      <c r="E2250" t="s">
        <v>15</v>
      </c>
      <c r="F2250" t="s">
        <v>32</v>
      </c>
      <c r="G2250" s="1">
        <v>45322</v>
      </c>
      <c r="H2250" s="1">
        <v>44954</v>
      </c>
      <c r="I2250">
        <v>37</v>
      </c>
      <c r="J2250" t="s">
        <v>25</v>
      </c>
      <c r="K2250">
        <v>9261.2099999999991</v>
      </c>
    </row>
    <row r="2251" spans="1:11">
      <c r="A2251">
        <v>2250</v>
      </c>
      <c r="B2251" t="s">
        <v>97</v>
      </c>
      <c r="C2251" s="1">
        <v>39448</v>
      </c>
      <c r="D2251">
        <v>18</v>
      </c>
      <c r="E2251" t="s">
        <v>15</v>
      </c>
      <c r="F2251" t="s">
        <v>13</v>
      </c>
      <c r="G2251" s="1">
        <v>44998</v>
      </c>
      <c r="H2251" s="1">
        <v>45591</v>
      </c>
      <c r="I2251">
        <v>9</v>
      </c>
      <c r="K2251">
        <v>10058.530000000001</v>
      </c>
    </row>
    <row r="2252" spans="1:11">
      <c r="A2252">
        <v>2251</v>
      </c>
      <c r="B2252" t="s">
        <v>35</v>
      </c>
      <c r="C2252" s="1">
        <v>33969</v>
      </c>
      <c r="D2252">
        <v>33</v>
      </c>
      <c r="E2252" t="s">
        <v>15</v>
      </c>
      <c r="F2252" t="s">
        <v>18</v>
      </c>
      <c r="G2252" s="1">
        <v>45244</v>
      </c>
      <c r="H2252" s="1">
        <v>45503</v>
      </c>
      <c r="I2252">
        <v>25</v>
      </c>
      <c r="J2252" t="s">
        <v>23</v>
      </c>
      <c r="K2252">
        <v>2602.23</v>
      </c>
    </row>
    <row r="2253" spans="1:11">
      <c r="A2253">
        <v>2252</v>
      </c>
      <c r="B2253" t="s">
        <v>22</v>
      </c>
      <c r="C2253" s="1">
        <v>17898</v>
      </c>
      <c r="D2253">
        <v>77</v>
      </c>
      <c r="E2253" t="s">
        <v>12</v>
      </c>
      <c r="F2253" t="s">
        <v>21</v>
      </c>
      <c r="G2253" s="1">
        <v>45521</v>
      </c>
      <c r="H2253" s="1">
        <v>44997</v>
      </c>
      <c r="I2253">
        <v>11</v>
      </c>
      <c r="J2253" t="s">
        <v>19</v>
      </c>
      <c r="K2253">
        <v>8351.16</v>
      </c>
    </row>
    <row r="2254" spans="1:11">
      <c r="A2254">
        <v>2253</v>
      </c>
      <c r="B2254" t="s">
        <v>41</v>
      </c>
      <c r="C2254" s="1">
        <v>21551</v>
      </c>
      <c r="D2254">
        <v>67</v>
      </c>
      <c r="E2254" t="s">
        <v>12</v>
      </c>
      <c r="F2254" t="s">
        <v>45</v>
      </c>
      <c r="G2254" s="1">
        <v>45305</v>
      </c>
      <c r="H2254" s="1">
        <v>45081</v>
      </c>
      <c r="I2254">
        <v>-2</v>
      </c>
      <c r="J2254" t="s">
        <v>25</v>
      </c>
      <c r="K2254">
        <v>7678.6</v>
      </c>
    </row>
    <row r="2255" spans="1:11">
      <c r="A2255">
        <v>2254</v>
      </c>
      <c r="B2255" t="s">
        <v>116</v>
      </c>
      <c r="C2255" s="1">
        <v>27395</v>
      </c>
      <c r="D2255">
        <v>51</v>
      </c>
      <c r="E2255" t="s">
        <v>15</v>
      </c>
      <c r="F2255" t="s">
        <v>16</v>
      </c>
      <c r="G2255" s="1">
        <v>45062</v>
      </c>
      <c r="H2255" s="1">
        <v>45365</v>
      </c>
      <c r="I2255">
        <v>1</v>
      </c>
      <c r="J2255" t="s">
        <v>23</v>
      </c>
      <c r="K2255">
        <v>6968.94</v>
      </c>
    </row>
    <row r="2256" spans="1:11">
      <c r="A2256">
        <v>2255</v>
      </c>
      <c r="B2256" t="s">
        <v>65</v>
      </c>
      <c r="C2256" s="1">
        <v>36526</v>
      </c>
      <c r="D2256">
        <v>26</v>
      </c>
      <c r="E2256" t="s">
        <v>12</v>
      </c>
      <c r="F2256" t="s">
        <v>32</v>
      </c>
      <c r="G2256" s="1">
        <v>45656</v>
      </c>
      <c r="H2256" s="1">
        <v>45692</v>
      </c>
      <c r="I2256">
        <v>15</v>
      </c>
      <c r="J2256" t="s">
        <v>19</v>
      </c>
      <c r="K2256">
        <v>17734.7</v>
      </c>
    </row>
    <row r="2257" spans="1:11">
      <c r="A2257">
        <v>2256</v>
      </c>
      <c r="B2257" t="s">
        <v>112</v>
      </c>
      <c r="C2257" s="1">
        <v>35795</v>
      </c>
      <c r="D2257">
        <v>28</v>
      </c>
      <c r="E2257" t="s">
        <v>15</v>
      </c>
      <c r="F2257" t="s">
        <v>21</v>
      </c>
      <c r="G2257" s="1">
        <v>45547</v>
      </c>
      <c r="H2257" s="1">
        <v>45198</v>
      </c>
      <c r="I2257">
        <v>33</v>
      </c>
      <c r="J2257" t="s">
        <v>23</v>
      </c>
      <c r="K2257">
        <v>1091.96</v>
      </c>
    </row>
    <row r="2258" spans="1:11">
      <c r="A2258">
        <v>2257</v>
      </c>
      <c r="B2258" t="s">
        <v>122</v>
      </c>
      <c r="C2258" s="1">
        <v>36161</v>
      </c>
      <c r="D2258">
        <v>27</v>
      </c>
      <c r="E2258" t="s">
        <v>15</v>
      </c>
      <c r="F2258" t="s">
        <v>32</v>
      </c>
      <c r="G2258" s="1">
        <v>45304</v>
      </c>
      <c r="H2258" s="1">
        <v>45468</v>
      </c>
      <c r="I2258">
        <v>29</v>
      </c>
      <c r="K2258">
        <v>19440.16</v>
      </c>
    </row>
    <row r="2259" spans="1:11">
      <c r="A2259">
        <v>2258</v>
      </c>
      <c r="B2259" t="s">
        <v>131</v>
      </c>
      <c r="C2259" s="1">
        <v>33604</v>
      </c>
      <c r="D2259">
        <v>34</v>
      </c>
      <c r="E2259" t="s">
        <v>12</v>
      </c>
      <c r="F2259" t="s">
        <v>16</v>
      </c>
      <c r="G2259" s="1">
        <v>45045</v>
      </c>
      <c r="H2259" s="1">
        <v>45001</v>
      </c>
      <c r="I2259">
        <v>25</v>
      </c>
      <c r="K2259">
        <v>65.760000000000005</v>
      </c>
    </row>
    <row r="2260" spans="1:11">
      <c r="A2260">
        <v>2259</v>
      </c>
      <c r="B2260" t="s">
        <v>50</v>
      </c>
      <c r="C2260" s="1">
        <v>43466</v>
      </c>
      <c r="D2260">
        <v>7</v>
      </c>
      <c r="E2260" t="s">
        <v>15</v>
      </c>
      <c r="G2260" s="1">
        <v>45456</v>
      </c>
      <c r="H2260" s="1">
        <v>45723</v>
      </c>
      <c r="I2260">
        <v>25</v>
      </c>
      <c r="J2260" t="s">
        <v>25</v>
      </c>
      <c r="K2260">
        <v>18906.439999999999</v>
      </c>
    </row>
    <row r="2261" spans="1:11">
      <c r="A2261">
        <v>2260</v>
      </c>
      <c r="B2261" t="s">
        <v>69</v>
      </c>
      <c r="C2261" s="1">
        <v>40544</v>
      </c>
      <c r="D2261">
        <v>15</v>
      </c>
      <c r="E2261" t="s">
        <v>12</v>
      </c>
      <c r="F2261" t="s">
        <v>45</v>
      </c>
      <c r="G2261" s="1">
        <v>45592</v>
      </c>
      <c r="H2261" s="1">
        <v>45498</v>
      </c>
      <c r="I2261">
        <v>35</v>
      </c>
      <c r="J2261" t="s">
        <v>23</v>
      </c>
      <c r="K2261">
        <v>10915.75</v>
      </c>
    </row>
    <row r="2262" spans="1:11">
      <c r="A2262">
        <v>2261</v>
      </c>
      <c r="B2262" t="s">
        <v>103</v>
      </c>
      <c r="C2262" s="1">
        <v>33239</v>
      </c>
      <c r="D2262">
        <v>35</v>
      </c>
      <c r="E2262" t="s">
        <v>15</v>
      </c>
      <c r="F2262" t="s">
        <v>18</v>
      </c>
      <c r="G2262" s="1">
        <v>45449</v>
      </c>
      <c r="H2262" s="1">
        <v>45682</v>
      </c>
      <c r="I2262">
        <v>29</v>
      </c>
      <c r="J2262" t="s">
        <v>23</v>
      </c>
      <c r="K2262">
        <v>14019.15</v>
      </c>
    </row>
    <row r="2263" spans="1:11">
      <c r="A2263">
        <v>2262</v>
      </c>
      <c r="B2263" t="s">
        <v>40</v>
      </c>
      <c r="C2263" s="1">
        <v>35430</v>
      </c>
      <c r="D2263">
        <v>29</v>
      </c>
      <c r="E2263" t="s">
        <v>12</v>
      </c>
      <c r="F2263" t="s">
        <v>32</v>
      </c>
      <c r="G2263" s="1">
        <v>45576</v>
      </c>
      <c r="H2263" s="1">
        <v>45768</v>
      </c>
      <c r="I2263">
        <v>5</v>
      </c>
      <c r="K2263">
        <v>3661.37</v>
      </c>
    </row>
    <row r="2264" spans="1:11">
      <c r="A2264">
        <v>2263</v>
      </c>
      <c r="B2264" t="s">
        <v>92</v>
      </c>
      <c r="C2264" s="1">
        <v>39813</v>
      </c>
      <c r="D2264">
        <v>17</v>
      </c>
      <c r="E2264" t="s">
        <v>15</v>
      </c>
      <c r="F2264" t="s">
        <v>45</v>
      </c>
      <c r="G2264" s="1">
        <v>45313</v>
      </c>
      <c r="H2264" s="1">
        <v>45076</v>
      </c>
      <c r="I2264">
        <v>22</v>
      </c>
      <c r="K2264">
        <v>13049.65</v>
      </c>
    </row>
    <row r="2265" spans="1:11">
      <c r="A2265">
        <v>2264</v>
      </c>
      <c r="B2265" t="s">
        <v>11</v>
      </c>
      <c r="C2265" s="1">
        <v>45657</v>
      </c>
      <c r="D2265">
        <v>1</v>
      </c>
      <c r="E2265" t="s">
        <v>15</v>
      </c>
      <c r="F2265" t="s">
        <v>32</v>
      </c>
      <c r="G2265" s="1">
        <v>45500</v>
      </c>
      <c r="H2265" s="1">
        <v>45433</v>
      </c>
      <c r="I2265">
        <v>17</v>
      </c>
      <c r="J2265" t="s">
        <v>25</v>
      </c>
      <c r="K2265">
        <v>17627.349999999999</v>
      </c>
    </row>
    <row r="2266" spans="1:11">
      <c r="A2266">
        <v>2265</v>
      </c>
      <c r="B2266" t="s">
        <v>109</v>
      </c>
      <c r="C2266" s="1">
        <v>28490</v>
      </c>
      <c r="D2266">
        <v>48</v>
      </c>
      <c r="E2266" t="s">
        <v>12</v>
      </c>
      <c r="F2266" t="s">
        <v>21</v>
      </c>
      <c r="G2266" s="1">
        <v>45509</v>
      </c>
      <c r="H2266" s="1">
        <v>44937</v>
      </c>
      <c r="I2266">
        <v>30</v>
      </c>
      <c r="J2266" t="s">
        <v>19</v>
      </c>
      <c r="K2266">
        <v>2703.55</v>
      </c>
    </row>
    <row r="2267" spans="1:11">
      <c r="A2267">
        <v>2266</v>
      </c>
      <c r="B2267" t="s">
        <v>96</v>
      </c>
      <c r="C2267" s="1">
        <v>18263</v>
      </c>
      <c r="D2267">
        <v>76</v>
      </c>
      <c r="E2267" t="s">
        <v>12</v>
      </c>
      <c r="F2267" t="s">
        <v>32</v>
      </c>
      <c r="G2267" s="1">
        <v>45499</v>
      </c>
      <c r="H2267" s="1">
        <v>45571</v>
      </c>
      <c r="I2267">
        <v>27</v>
      </c>
      <c r="J2267" t="s">
        <v>25</v>
      </c>
      <c r="K2267">
        <v>2454.34</v>
      </c>
    </row>
    <row r="2268" spans="1:11">
      <c r="A2268">
        <v>2267</v>
      </c>
      <c r="B2268" t="s">
        <v>101</v>
      </c>
      <c r="C2268" s="1">
        <v>44927</v>
      </c>
      <c r="D2268">
        <v>3</v>
      </c>
      <c r="E2268" t="s">
        <v>15</v>
      </c>
      <c r="G2268" s="1">
        <v>45570</v>
      </c>
      <c r="H2268" s="1">
        <v>45429</v>
      </c>
      <c r="I2268">
        <v>34</v>
      </c>
      <c r="K2268">
        <v>6009.96</v>
      </c>
    </row>
    <row r="2269" spans="1:11">
      <c r="A2269">
        <v>2268</v>
      </c>
      <c r="B2269" t="s">
        <v>119</v>
      </c>
      <c r="C2269" s="1">
        <v>13515</v>
      </c>
      <c r="D2269">
        <v>89</v>
      </c>
      <c r="E2269" t="s">
        <v>15</v>
      </c>
      <c r="F2269" t="s">
        <v>21</v>
      </c>
      <c r="G2269" s="1">
        <v>45499</v>
      </c>
      <c r="H2269" s="1">
        <v>44989</v>
      </c>
      <c r="I2269">
        <v>13</v>
      </c>
      <c r="J2269" t="s">
        <v>25</v>
      </c>
      <c r="K2269">
        <v>3150.69</v>
      </c>
    </row>
    <row r="2270" spans="1:11">
      <c r="A2270">
        <v>2269</v>
      </c>
      <c r="B2270" t="s">
        <v>144</v>
      </c>
      <c r="C2270" s="1">
        <v>13880</v>
      </c>
      <c r="D2270">
        <v>88</v>
      </c>
      <c r="E2270" t="s">
        <v>12</v>
      </c>
      <c r="F2270" t="s">
        <v>21</v>
      </c>
      <c r="G2270" s="1">
        <v>45195</v>
      </c>
      <c r="H2270" s="1">
        <v>45315</v>
      </c>
      <c r="I2270">
        <v>22</v>
      </c>
      <c r="J2270" t="s">
        <v>19</v>
      </c>
      <c r="K2270">
        <v>2123.98</v>
      </c>
    </row>
    <row r="2271" spans="1:11">
      <c r="A2271">
        <v>2270</v>
      </c>
      <c r="B2271" t="s">
        <v>127</v>
      </c>
      <c r="C2271" s="1">
        <v>12054</v>
      </c>
      <c r="D2271">
        <v>93</v>
      </c>
      <c r="E2271" t="s">
        <v>15</v>
      </c>
      <c r="F2271" t="s">
        <v>45</v>
      </c>
      <c r="G2271" s="1">
        <v>45450</v>
      </c>
      <c r="H2271" s="1">
        <v>45822</v>
      </c>
      <c r="I2271">
        <v>35</v>
      </c>
      <c r="K2271">
        <v>13534.21</v>
      </c>
    </row>
    <row r="2272" spans="1:11">
      <c r="A2272">
        <v>2271</v>
      </c>
      <c r="B2272" t="s">
        <v>137</v>
      </c>
      <c r="C2272" s="1">
        <v>18994</v>
      </c>
      <c r="D2272">
        <v>74</v>
      </c>
      <c r="E2272" t="s">
        <v>12</v>
      </c>
      <c r="F2272" t="s">
        <v>13</v>
      </c>
      <c r="G2272" s="1">
        <v>45473</v>
      </c>
      <c r="H2272" s="1">
        <v>45701</v>
      </c>
      <c r="I2272">
        <v>39</v>
      </c>
      <c r="J2272" t="s">
        <v>19</v>
      </c>
      <c r="K2272">
        <v>4197.91</v>
      </c>
    </row>
    <row r="2273" spans="1:11">
      <c r="A2273">
        <v>2272</v>
      </c>
      <c r="B2273" t="s">
        <v>83</v>
      </c>
      <c r="C2273" s="1">
        <v>43831</v>
      </c>
      <c r="D2273">
        <v>6</v>
      </c>
      <c r="E2273" t="s">
        <v>12</v>
      </c>
      <c r="F2273" t="s">
        <v>16</v>
      </c>
      <c r="G2273" s="1">
        <v>45412</v>
      </c>
      <c r="H2273" s="1">
        <v>45657</v>
      </c>
      <c r="I2273">
        <v>7</v>
      </c>
      <c r="J2273" t="s">
        <v>25</v>
      </c>
      <c r="K2273">
        <v>13307</v>
      </c>
    </row>
    <row r="2274" spans="1:11">
      <c r="A2274">
        <v>2273</v>
      </c>
      <c r="B2274" t="s">
        <v>111</v>
      </c>
      <c r="C2274" s="1">
        <v>11689</v>
      </c>
      <c r="D2274">
        <v>94</v>
      </c>
      <c r="E2274" t="s">
        <v>15</v>
      </c>
      <c r="F2274" t="s">
        <v>32</v>
      </c>
      <c r="G2274" s="1">
        <v>45364</v>
      </c>
      <c r="H2274" s="1">
        <v>45159</v>
      </c>
      <c r="I2274">
        <v>2</v>
      </c>
      <c r="J2274" t="s">
        <v>19</v>
      </c>
      <c r="K2274">
        <v>17224.78</v>
      </c>
    </row>
    <row r="2275" spans="1:11">
      <c r="A2275">
        <v>2274</v>
      </c>
      <c r="B2275" t="s">
        <v>120</v>
      </c>
      <c r="C2275" s="1">
        <v>19359</v>
      </c>
      <c r="D2275">
        <v>73</v>
      </c>
      <c r="E2275" t="s">
        <v>15</v>
      </c>
      <c r="F2275" t="s">
        <v>18</v>
      </c>
      <c r="G2275" s="1">
        <v>45489</v>
      </c>
      <c r="H2275" s="1">
        <v>45775</v>
      </c>
      <c r="I2275">
        <v>5</v>
      </c>
      <c r="K2275">
        <v>13005.7</v>
      </c>
    </row>
    <row r="2276" spans="1:11">
      <c r="A2276">
        <v>2275</v>
      </c>
      <c r="B2276" t="s">
        <v>54</v>
      </c>
      <c r="C2276" s="1">
        <v>32143</v>
      </c>
      <c r="D2276">
        <v>38</v>
      </c>
      <c r="E2276" t="s">
        <v>12</v>
      </c>
      <c r="F2276" t="s">
        <v>21</v>
      </c>
      <c r="G2276" s="1">
        <v>45481</v>
      </c>
      <c r="H2276" s="1">
        <v>45511</v>
      </c>
      <c r="I2276">
        <v>30</v>
      </c>
      <c r="K2276">
        <v>2299.2800000000002</v>
      </c>
    </row>
    <row r="2277" spans="1:11">
      <c r="A2277">
        <v>2276</v>
      </c>
      <c r="B2277" t="s">
        <v>20</v>
      </c>
      <c r="C2277" s="1">
        <v>41639</v>
      </c>
      <c r="D2277">
        <v>12</v>
      </c>
      <c r="E2277" t="s">
        <v>15</v>
      </c>
      <c r="F2277" t="s">
        <v>13</v>
      </c>
      <c r="G2277" s="1">
        <v>45037</v>
      </c>
      <c r="H2277" s="1">
        <v>45455</v>
      </c>
      <c r="I2277">
        <v>34</v>
      </c>
      <c r="J2277" t="s">
        <v>19</v>
      </c>
      <c r="K2277">
        <v>11428.91</v>
      </c>
    </row>
    <row r="2278" spans="1:11">
      <c r="A2278">
        <v>2277</v>
      </c>
      <c r="B2278" t="s">
        <v>80</v>
      </c>
      <c r="C2278" s="1">
        <v>35065</v>
      </c>
      <c r="D2278">
        <v>30</v>
      </c>
      <c r="E2278" t="s">
        <v>12</v>
      </c>
      <c r="F2278" t="s">
        <v>21</v>
      </c>
      <c r="G2278" s="1">
        <v>45248</v>
      </c>
      <c r="H2278" s="1">
        <v>45477</v>
      </c>
      <c r="I2278">
        <v>-2</v>
      </c>
      <c r="J2278" t="s">
        <v>25</v>
      </c>
      <c r="K2278">
        <v>7811.94</v>
      </c>
    </row>
    <row r="2279" spans="1:11">
      <c r="A2279">
        <v>2278</v>
      </c>
      <c r="B2279" t="s">
        <v>31</v>
      </c>
      <c r="C2279" s="1">
        <v>20455</v>
      </c>
      <c r="D2279">
        <v>70</v>
      </c>
      <c r="E2279" t="s">
        <v>15</v>
      </c>
      <c r="F2279" t="s">
        <v>13</v>
      </c>
      <c r="G2279" s="1">
        <v>45453</v>
      </c>
      <c r="H2279" s="1">
        <v>45616</v>
      </c>
      <c r="I2279">
        <v>28</v>
      </c>
      <c r="J2279" t="s">
        <v>25</v>
      </c>
      <c r="K2279">
        <v>6801.76</v>
      </c>
    </row>
    <row r="2280" spans="1:11">
      <c r="A2280">
        <v>2279</v>
      </c>
      <c r="B2280" t="s">
        <v>37</v>
      </c>
      <c r="C2280" s="1">
        <v>23377</v>
      </c>
      <c r="D2280">
        <v>62</v>
      </c>
      <c r="E2280" t="s">
        <v>12</v>
      </c>
      <c r="F2280" t="s">
        <v>13</v>
      </c>
      <c r="G2280" s="1">
        <v>45103</v>
      </c>
      <c r="H2280" s="1">
        <v>45372</v>
      </c>
      <c r="I2280">
        <v>4</v>
      </c>
      <c r="J2280" t="s">
        <v>25</v>
      </c>
      <c r="K2280">
        <v>6302.48</v>
      </c>
    </row>
    <row r="2281" spans="1:11">
      <c r="A2281">
        <v>2280</v>
      </c>
      <c r="B2281" t="s">
        <v>103</v>
      </c>
      <c r="C2281" s="1">
        <v>25934</v>
      </c>
      <c r="D2281">
        <v>55</v>
      </c>
      <c r="E2281" t="s">
        <v>15</v>
      </c>
      <c r="F2281" t="s">
        <v>18</v>
      </c>
      <c r="G2281" s="1">
        <v>45600</v>
      </c>
      <c r="H2281" s="1">
        <v>45248</v>
      </c>
      <c r="I2281">
        <v>20</v>
      </c>
      <c r="J2281" t="s">
        <v>25</v>
      </c>
      <c r="K2281">
        <v>18581.59</v>
      </c>
    </row>
    <row r="2282" spans="1:11">
      <c r="A2282">
        <v>2281</v>
      </c>
      <c r="B2282" t="s">
        <v>116</v>
      </c>
      <c r="C2282" s="1">
        <v>31047</v>
      </c>
      <c r="D2282">
        <v>41</v>
      </c>
      <c r="E2282" t="s">
        <v>12</v>
      </c>
      <c r="F2282" t="s">
        <v>13</v>
      </c>
      <c r="G2282" s="1">
        <v>45477</v>
      </c>
      <c r="H2282" s="1">
        <v>45821</v>
      </c>
      <c r="I2282">
        <v>21</v>
      </c>
      <c r="J2282" t="s">
        <v>23</v>
      </c>
      <c r="K2282">
        <v>14824.4</v>
      </c>
    </row>
    <row r="2283" spans="1:11">
      <c r="A2283">
        <v>2282</v>
      </c>
      <c r="B2283" t="s">
        <v>92</v>
      </c>
      <c r="C2283" s="1">
        <v>24107</v>
      </c>
      <c r="D2283">
        <v>60</v>
      </c>
      <c r="E2283" t="s">
        <v>15</v>
      </c>
      <c r="F2283" t="s">
        <v>18</v>
      </c>
      <c r="G2283" s="1">
        <v>45464</v>
      </c>
      <c r="H2283" s="1">
        <v>45010</v>
      </c>
      <c r="I2283">
        <v>11</v>
      </c>
      <c r="J2283" t="s">
        <v>23</v>
      </c>
      <c r="K2283">
        <v>2590.36</v>
      </c>
    </row>
    <row r="2284" spans="1:11">
      <c r="A2284">
        <v>2283</v>
      </c>
      <c r="B2284" t="s">
        <v>152</v>
      </c>
      <c r="C2284" s="1">
        <v>31047</v>
      </c>
      <c r="D2284">
        <v>41</v>
      </c>
      <c r="E2284" t="s">
        <v>15</v>
      </c>
      <c r="F2284" t="s">
        <v>45</v>
      </c>
      <c r="G2284" s="1">
        <v>45550</v>
      </c>
      <c r="H2284" s="1">
        <v>45361</v>
      </c>
      <c r="I2284">
        <v>20</v>
      </c>
      <c r="J2284" t="s">
        <v>19</v>
      </c>
      <c r="K2284">
        <v>9467.7099999999991</v>
      </c>
    </row>
    <row r="2285" spans="1:11">
      <c r="A2285">
        <v>2284</v>
      </c>
      <c r="B2285" t="s">
        <v>111</v>
      </c>
      <c r="C2285" s="1">
        <v>25934</v>
      </c>
      <c r="D2285">
        <v>55</v>
      </c>
      <c r="E2285" t="s">
        <v>12</v>
      </c>
      <c r="F2285" t="s">
        <v>21</v>
      </c>
      <c r="G2285" s="1">
        <v>45399</v>
      </c>
      <c r="H2285" s="1">
        <v>44944</v>
      </c>
      <c r="I2285">
        <v>6</v>
      </c>
      <c r="J2285" t="s">
        <v>23</v>
      </c>
      <c r="K2285">
        <v>6296.28</v>
      </c>
    </row>
    <row r="2286" spans="1:11">
      <c r="A2286">
        <v>2285</v>
      </c>
      <c r="B2286" t="s">
        <v>130</v>
      </c>
      <c r="C2286" s="1">
        <v>33239</v>
      </c>
      <c r="D2286">
        <v>35</v>
      </c>
      <c r="E2286" t="s">
        <v>15</v>
      </c>
      <c r="F2286" t="s">
        <v>18</v>
      </c>
      <c r="G2286" s="1">
        <v>45489</v>
      </c>
      <c r="H2286" s="1">
        <v>45296</v>
      </c>
      <c r="I2286">
        <v>5</v>
      </c>
      <c r="J2286" t="s">
        <v>23</v>
      </c>
      <c r="K2286">
        <v>19556.560000000001</v>
      </c>
    </row>
    <row r="2287" spans="1:11">
      <c r="A2287">
        <v>2286</v>
      </c>
      <c r="B2287" t="s">
        <v>148</v>
      </c>
      <c r="C2287" s="1">
        <v>15707</v>
      </c>
      <c r="D2287">
        <v>83</v>
      </c>
      <c r="E2287" t="s">
        <v>15</v>
      </c>
      <c r="F2287" t="s">
        <v>16</v>
      </c>
      <c r="G2287" s="1">
        <v>45314</v>
      </c>
      <c r="H2287" s="1">
        <v>45595</v>
      </c>
      <c r="I2287">
        <v>5</v>
      </c>
      <c r="J2287" t="s">
        <v>23</v>
      </c>
      <c r="K2287">
        <v>19558.38</v>
      </c>
    </row>
    <row r="2288" spans="1:11">
      <c r="A2288">
        <v>2287</v>
      </c>
      <c r="B2288" t="s">
        <v>26</v>
      </c>
      <c r="C2288" s="1">
        <v>21551</v>
      </c>
      <c r="D2288">
        <v>67</v>
      </c>
      <c r="E2288" t="s">
        <v>15</v>
      </c>
      <c r="G2288" s="1">
        <v>45024</v>
      </c>
      <c r="H2288" s="1">
        <v>45611</v>
      </c>
      <c r="I2288">
        <v>0</v>
      </c>
      <c r="J2288" t="s">
        <v>19</v>
      </c>
      <c r="K2288">
        <v>6322.64</v>
      </c>
    </row>
    <row r="2289" spans="1:11">
      <c r="A2289">
        <v>2288</v>
      </c>
      <c r="B2289" t="s">
        <v>129</v>
      </c>
      <c r="C2289" s="1">
        <v>43831</v>
      </c>
      <c r="D2289">
        <v>6</v>
      </c>
      <c r="E2289" t="s">
        <v>15</v>
      </c>
      <c r="F2289" t="s">
        <v>21</v>
      </c>
      <c r="G2289" s="1">
        <v>45337</v>
      </c>
      <c r="H2289" s="1">
        <v>45509</v>
      </c>
      <c r="I2289">
        <v>29</v>
      </c>
      <c r="J2289" t="s">
        <v>23</v>
      </c>
      <c r="K2289">
        <v>6977.47</v>
      </c>
    </row>
    <row r="2290" spans="1:11">
      <c r="A2290">
        <v>2289</v>
      </c>
      <c r="B2290" t="s">
        <v>142</v>
      </c>
      <c r="C2290" s="1">
        <v>26664</v>
      </c>
      <c r="D2290">
        <v>53</v>
      </c>
      <c r="E2290" t="s">
        <v>12</v>
      </c>
      <c r="G2290" s="1">
        <v>45301</v>
      </c>
      <c r="H2290" s="1">
        <v>45510</v>
      </c>
      <c r="I2290">
        <v>1</v>
      </c>
      <c r="J2290" t="s">
        <v>25</v>
      </c>
      <c r="K2290">
        <v>11948.23</v>
      </c>
    </row>
    <row r="2291" spans="1:11">
      <c r="A2291">
        <v>2290</v>
      </c>
      <c r="B2291" t="s">
        <v>46</v>
      </c>
      <c r="C2291" s="1">
        <v>46022</v>
      </c>
      <c r="D2291">
        <v>0</v>
      </c>
      <c r="E2291" t="s">
        <v>12</v>
      </c>
      <c r="F2291" t="s">
        <v>16</v>
      </c>
      <c r="G2291" s="1">
        <v>45096</v>
      </c>
      <c r="H2291" s="1">
        <v>45182</v>
      </c>
      <c r="I2291">
        <v>35</v>
      </c>
      <c r="J2291" t="s">
        <v>25</v>
      </c>
      <c r="K2291">
        <v>9534.07</v>
      </c>
    </row>
    <row r="2292" spans="1:11">
      <c r="A2292">
        <v>2291</v>
      </c>
      <c r="B2292" t="s">
        <v>30</v>
      </c>
      <c r="C2292" s="1">
        <v>30317</v>
      </c>
      <c r="D2292">
        <v>43</v>
      </c>
      <c r="E2292" t="s">
        <v>15</v>
      </c>
      <c r="F2292" t="s">
        <v>32</v>
      </c>
      <c r="G2292" s="1">
        <v>44982</v>
      </c>
      <c r="H2292" s="1">
        <v>45383</v>
      </c>
      <c r="I2292">
        <v>-1</v>
      </c>
      <c r="J2292" t="s">
        <v>19</v>
      </c>
      <c r="K2292">
        <v>4183.33</v>
      </c>
    </row>
    <row r="2293" spans="1:11">
      <c r="A2293">
        <v>2292</v>
      </c>
      <c r="B2293" t="s">
        <v>134</v>
      </c>
      <c r="C2293" s="1">
        <v>29951</v>
      </c>
      <c r="D2293">
        <v>44</v>
      </c>
      <c r="E2293" t="s">
        <v>12</v>
      </c>
      <c r="F2293" t="s">
        <v>16</v>
      </c>
      <c r="G2293" s="1">
        <v>45251</v>
      </c>
      <c r="H2293" s="1">
        <v>45570</v>
      </c>
      <c r="I2293">
        <v>6</v>
      </c>
      <c r="J2293" t="s">
        <v>19</v>
      </c>
      <c r="K2293">
        <v>13174.28</v>
      </c>
    </row>
    <row r="2294" spans="1:11">
      <c r="A2294">
        <v>2293</v>
      </c>
      <c r="B2294" t="s">
        <v>160</v>
      </c>
      <c r="C2294" s="1">
        <v>29221</v>
      </c>
      <c r="D2294">
        <v>46</v>
      </c>
      <c r="E2294" t="s">
        <v>12</v>
      </c>
      <c r="F2294" t="s">
        <v>45</v>
      </c>
      <c r="G2294" s="1">
        <v>45584</v>
      </c>
      <c r="H2294" s="1">
        <v>45488</v>
      </c>
      <c r="I2294">
        <v>-2</v>
      </c>
      <c r="J2294" t="s">
        <v>19</v>
      </c>
      <c r="K2294">
        <v>6615.99</v>
      </c>
    </row>
    <row r="2295" spans="1:11">
      <c r="A2295">
        <v>2294</v>
      </c>
      <c r="B2295" t="s">
        <v>149</v>
      </c>
      <c r="E2295" t="s">
        <v>12</v>
      </c>
      <c r="F2295" t="s">
        <v>32</v>
      </c>
      <c r="G2295" s="1">
        <v>45186</v>
      </c>
      <c r="H2295" s="1">
        <v>45460</v>
      </c>
      <c r="I2295">
        <v>8</v>
      </c>
      <c r="K2295">
        <v>13039.7</v>
      </c>
    </row>
    <row r="2296" spans="1:11">
      <c r="A2296">
        <v>2295</v>
      </c>
      <c r="B2296" t="s">
        <v>60</v>
      </c>
      <c r="C2296" s="1">
        <v>38352</v>
      </c>
      <c r="D2296">
        <v>21</v>
      </c>
      <c r="E2296" t="s">
        <v>15</v>
      </c>
      <c r="F2296" t="s">
        <v>32</v>
      </c>
      <c r="G2296" s="1">
        <v>45567</v>
      </c>
      <c r="H2296" s="1">
        <v>45319</v>
      </c>
      <c r="I2296">
        <v>26</v>
      </c>
      <c r="J2296" t="s">
        <v>23</v>
      </c>
      <c r="K2296">
        <v>7612</v>
      </c>
    </row>
    <row r="2297" spans="1:11">
      <c r="A2297">
        <v>2296</v>
      </c>
      <c r="B2297" t="s">
        <v>49</v>
      </c>
      <c r="C2297" s="1">
        <v>38717</v>
      </c>
      <c r="D2297">
        <v>20</v>
      </c>
      <c r="E2297" t="s">
        <v>12</v>
      </c>
      <c r="F2297" t="s">
        <v>13</v>
      </c>
      <c r="G2297" s="1">
        <v>45488</v>
      </c>
      <c r="H2297" s="1">
        <v>45247</v>
      </c>
      <c r="I2297">
        <v>23</v>
      </c>
      <c r="J2297" t="s">
        <v>19</v>
      </c>
      <c r="K2297">
        <v>13974.22</v>
      </c>
    </row>
    <row r="2298" spans="1:11">
      <c r="A2298">
        <v>2297</v>
      </c>
      <c r="B2298" t="s">
        <v>122</v>
      </c>
      <c r="C2298" s="1">
        <v>14976</v>
      </c>
      <c r="D2298">
        <v>85</v>
      </c>
      <c r="E2298" t="s">
        <v>12</v>
      </c>
      <c r="F2298" t="s">
        <v>16</v>
      </c>
      <c r="G2298" s="1">
        <v>45266</v>
      </c>
      <c r="H2298" s="1">
        <v>45147</v>
      </c>
      <c r="I2298">
        <v>24</v>
      </c>
      <c r="J2298" t="s">
        <v>19</v>
      </c>
      <c r="K2298">
        <v>13322.77</v>
      </c>
    </row>
    <row r="2299" spans="1:11">
      <c r="A2299">
        <v>2298</v>
      </c>
      <c r="B2299" t="s">
        <v>65</v>
      </c>
      <c r="C2299" s="1">
        <v>12785</v>
      </c>
      <c r="D2299">
        <v>91</v>
      </c>
      <c r="E2299" t="s">
        <v>12</v>
      </c>
      <c r="F2299" t="s">
        <v>13</v>
      </c>
      <c r="G2299" s="1">
        <v>45330</v>
      </c>
      <c r="H2299" s="1">
        <v>45626</v>
      </c>
      <c r="I2299">
        <v>35</v>
      </c>
      <c r="J2299" t="s">
        <v>19</v>
      </c>
      <c r="K2299">
        <v>10127.14</v>
      </c>
    </row>
    <row r="2300" spans="1:11">
      <c r="A2300">
        <v>2299</v>
      </c>
      <c r="B2300" t="s">
        <v>73</v>
      </c>
      <c r="C2300" s="1">
        <v>43100</v>
      </c>
      <c r="D2300">
        <v>8</v>
      </c>
      <c r="E2300" t="s">
        <v>15</v>
      </c>
      <c r="F2300" t="s">
        <v>16</v>
      </c>
      <c r="G2300" s="1">
        <v>45458</v>
      </c>
      <c r="H2300" s="1">
        <v>45341</v>
      </c>
      <c r="I2300">
        <v>26</v>
      </c>
      <c r="J2300" t="s">
        <v>25</v>
      </c>
      <c r="K2300">
        <v>14065.27</v>
      </c>
    </row>
    <row r="2301" spans="1:11">
      <c r="A2301">
        <v>2300</v>
      </c>
      <c r="B2301" t="s">
        <v>38</v>
      </c>
      <c r="C2301" s="1">
        <v>36891</v>
      </c>
      <c r="E2301" t="s">
        <v>15</v>
      </c>
      <c r="F2301" t="s">
        <v>32</v>
      </c>
      <c r="G2301" s="1">
        <v>45100</v>
      </c>
      <c r="H2301" s="1">
        <v>44959</v>
      </c>
      <c r="I2301">
        <v>30</v>
      </c>
      <c r="J2301" t="s">
        <v>19</v>
      </c>
      <c r="K2301">
        <v>9165.41</v>
      </c>
    </row>
    <row r="2302" spans="1:11">
      <c r="A2302">
        <v>2301</v>
      </c>
      <c r="B2302" t="s">
        <v>96</v>
      </c>
      <c r="C2302" s="1">
        <v>43100</v>
      </c>
      <c r="D2302">
        <v>8</v>
      </c>
      <c r="E2302" t="s">
        <v>12</v>
      </c>
      <c r="F2302" t="s">
        <v>13</v>
      </c>
      <c r="G2302" s="1">
        <v>45464</v>
      </c>
      <c r="H2302" s="1">
        <v>45642</v>
      </c>
      <c r="I2302">
        <v>25</v>
      </c>
      <c r="J2302" t="s">
        <v>25</v>
      </c>
      <c r="K2302">
        <v>2234.38</v>
      </c>
    </row>
    <row r="2303" spans="1:11">
      <c r="A2303">
        <v>2302</v>
      </c>
      <c r="B2303" t="s">
        <v>149</v>
      </c>
      <c r="C2303" s="1">
        <v>40909</v>
      </c>
      <c r="D2303">
        <v>14</v>
      </c>
      <c r="E2303" t="s">
        <v>15</v>
      </c>
      <c r="G2303" s="1">
        <v>45086</v>
      </c>
      <c r="H2303" s="1">
        <v>45715</v>
      </c>
      <c r="I2303">
        <v>28</v>
      </c>
      <c r="J2303" t="s">
        <v>25</v>
      </c>
      <c r="K2303">
        <v>3560.34</v>
      </c>
    </row>
    <row r="2304" spans="1:11">
      <c r="A2304">
        <v>2303</v>
      </c>
      <c r="B2304" t="s">
        <v>84</v>
      </c>
      <c r="C2304" s="1">
        <v>42735</v>
      </c>
      <c r="D2304">
        <v>9</v>
      </c>
      <c r="E2304" t="s">
        <v>12</v>
      </c>
      <c r="F2304" t="s">
        <v>21</v>
      </c>
      <c r="G2304" s="1">
        <v>44936</v>
      </c>
      <c r="H2304" s="1">
        <v>45681</v>
      </c>
      <c r="I2304">
        <v>16</v>
      </c>
      <c r="K2304">
        <v>4844.46</v>
      </c>
    </row>
    <row r="2305" spans="1:11">
      <c r="A2305">
        <v>2304</v>
      </c>
      <c r="B2305" t="s">
        <v>79</v>
      </c>
      <c r="C2305" s="1">
        <v>14246</v>
      </c>
      <c r="D2305">
        <v>87</v>
      </c>
      <c r="E2305" t="s">
        <v>15</v>
      </c>
      <c r="F2305" t="s">
        <v>16</v>
      </c>
      <c r="G2305" s="1">
        <v>45520</v>
      </c>
      <c r="H2305" s="1">
        <v>44943</v>
      </c>
      <c r="I2305">
        <v>23</v>
      </c>
      <c r="J2305" t="s">
        <v>19</v>
      </c>
      <c r="K2305">
        <v>1170.9000000000001</v>
      </c>
    </row>
    <row r="2306" spans="1:11">
      <c r="A2306">
        <v>2305</v>
      </c>
      <c r="B2306" t="s">
        <v>14</v>
      </c>
      <c r="C2306" s="1">
        <v>31047</v>
      </c>
      <c r="D2306">
        <v>41</v>
      </c>
      <c r="E2306" t="s">
        <v>12</v>
      </c>
      <c r="F2306" t="s">
        <v>16</v>
      </c>
      <c r="G2306" s="1">
        <v>45182</v>
      </c>
      <c r="H2306" s="1">
        <v>45336</v>
      </c>
      <c r="I2306">
        <v>26</v>
      </c>
      <c r="K2306">
        <v>14198.76</v>
      </c>
    </row>
    <row r="2307" spans="1:11">
      <c r="A2307">
        <v>2306</v>
      </c>
      <c r="B2307" t="s">
        <v>109</v>
      </c>
      <c r="C2307" s="1">
        <v>20090</v>
      </c>
      <c r="D2307">
        <v>71</v>
      </c>
      <c r="E2307" t="s">
        <v>12</v>
      </c>
      <c r="F2307" t="s">
        <v>13</v>
      </c>
      <c r="G2307" s="1">
        <v>45543</v>
      </c>
      <c r="H2307" s="1">
        <v>45755</v>
      </c>
      <c r="I2307">
        <v>8</v>
      </c>
      <c r="J2307" t="s">
        <v>19</v>
      </c>
      <c r="K2307">
        <v>7284.54</v>
      </c>
    </row>
    <row r="2308" spans="1:11">
      <c r="A2308">
        <v>2307</v>
      </c>
      <c r="B2308" t="s">
        <v>171</v>
      </c>
      <c r="C2308" s="1">
        <v>37622</v>
      </c>
      <c r="D2308">
        <v>23</v>
      </c>
      <c r="E2308" t="s">
        <v>12</v>
      </c>
      <c r="F2308" t="s">
        <v>16</v>
      </c>
      <c r="G2308" s="1">
        <v>45578</v>
      </c>
      <c r="H2308" s="1">
        <v>45100</v>
      </c>
      <c r="I2308">
        <v>38</v>
      </c>
      <c r="J2308" t="s">
        <v>23</v>
      </c>
      <c r="K2308">
        <v>1779.82</v>
      </c>
    </row>
    <row r="2309" spans="1:11">
      <c r="A2309">
        <v>2308</v>
      </c>
      <c r="B2309" t="s">
        <v>101</v>
      </c>
      <c r="C2309" s="1">
        <v>17168</v>
      </c>
      <c r="D2309">
        <v>79</v>
      </c>
      <c r="E2309" t="s">
        <v>12</v>
      </c>
      <c r="F2309" t="s">
        <v>32</v>
      </c>
      <c r="G2309" s="1">
        <v>45640</v>
      </c>
      <c r="H2309" s="1">
        <v>45576</v>
      </c>
      <c r="I2309">
        <v>29</v>
      </c>
      <c r="J2309" t="s">
        <v>19</v>
      </c>
      <c r="K2309">
        <v>16381.16</v>
      </c>
    </row>
    <row r="2310" spans="1:11">
      <c r="A2310">
        <v>2309</v>
      </c>
      <c r="B2310" t="s">
        <v>36</v>
      </c>
      <c r="C2310" s="1">
        <v>28490</v>
      </c>
      <c r="D2310">
        <v>48</v>
      </c>
      <c r="E2310" t="s">
        <v>12</v>
      </c>
      <c r="F2310" t="s">
        <v>13</v>
      </c>
      <c r="G2310" s="1">
        <v>45270</v>
      </c>
      <c r="H2310" s="1">
        <v>45106</v>
      </c>
      <c r="I2310">
        <v>18</v>
      </c>
      <c r="J2310" t="s">
        <v>19</v>
      </c>
      <c r="K2310">
        <v>13641.45</v>
      </c>
    </row>
    <row r="2311" spans="1:11">
      <c r="A2311">
        <v>2310</v>
      </c>
      <c r="B2311" t="s">
        <v>26</v>
      </c>
      <c r="C2311" s="1">
        <v>36891</v>
      </c>
      <c r="D2311">
        <v>25</v>
      </c>
      <c r="E2311" t="s">
        <v>15</v>
      </c>
      <c r="F2311" t="s">
        <v>13</v>
      </c>
      <c r="G2311" s="1">
        <v>45462</v>
      </c>
      <c r="H2311" s="1">
        <v>45798</v>
      </c>
      <c r="I2311">
        <v>35</v>
      </c>
      <c r="J2311" t="s">
        <v>19</v>
      </c>
      <c r="K2311">
        <v>8989.7099999999991</v>
      </c>
    </row>
    <row r="2312" spans="1:11">
      <c r="A2312">
        <v>2311</v>
      </c>
      <c r="B2312" t="s">
        <v>59</v>
      </c>
      <c r="C2312" s="1">
        <v>13150</v>
      </c>
      <c r="D2312">
        <v>90</v>
      </c>
      <c r="E2312" t="s">
        <v>12</v>
      </c>
      <c r="F2312" t="s">
        <v>18</v>
      </c>
      <c r="G2312" s="1">
        <v>45299</v>
      </c>
      <c r="H2312" s="1">
        <v>45500</v>
      </c>
      <c r="I2312">
        <v>31</v>
      </c>
      <c r="J2312" t="s">
        <v>19</v>
      </c>
      <c r="K2312">
        <v>4873.25</v>
      </c>
    </row>
    <row r="2313" spans="1:11">
      <c r="A2313">
        <v>2312</v>
      </c>
      <c r="B2313" t="s">
        <v>99</v>
      </c>
      <c r="C2313" s="1">
        <v>32873</v>
      </c>
      <c r="D2313">
        <v>36</v>
      </c>
      <c r="E2313" t="s">
        <v>15</v>
      </c>
      <c r="G2313" s="1">
        <v>45361</v>
      </c>
      <c r="H2313" s="1">
        <v>45424</v>
      </c>
      <c r="I2313">
        <v>37</v>
      </c>
      <c r="J2313" t="s">
        <v>19</v>
      </c>
      <c r="K2313">
        <v>2950.09</v>
      </c>
    </row>
    <row r="2314" spans="1:11">
      <c r="A2314">
        <v>2313</v>
      </c>
      <c r="B2314" t="s">
        <v>87</v>
      </c>
      <c r="C2314" s="1">
        <v>21551</v>
      </c>
      <c r="D2314">
        <v>67</v>
      </c>
      <c r="E2314" t="s">
        <v>12</v>
      </c>
      <c r="G2314" s="1">
        <v>44972</v>
      </c>
      <c r="H2314" s="1">
        <v>45031</v>
      </c>
      <c r="I2314">
        <v>19</v>
      </c>
      <c r="J2314" t="s">
        <v>19</v>
      </c>
      <c r="K2314">
        <v>9113.32</v>
      </c>
    </row>
    <row r="2315" spans="1:11">
      <c r="A2315">
        <v>2314</v>
      </c>
      <c r="B2315" t="s">
        <v>143</v>
      </c>
      <c r="C2315" s="1">
        <v>28125</v>
      </c>
      <c r="D2315">
        <v>49</v>
      </c>
      <c r="E2315" t="s">
        <v>15</v>
      </c>
      <c r="F2315" t="s">
        <v>18</v>
      </c>
      <c r="G2315" s="1">
        <v>45655</v>
      </c>
      <c r="H2315" s="1">
        <v>45244</v>
      </c>
      <c r="I2315">
        <v>24</v>
      </c>
      <c r="K2315">
        <v>17693.439999999999</v>
      </c>
    </row>
    <row r="2316" spans="1:11">
      <c r="A2316">
        <v>2315</v>
      </c>
      <c r="B2316" t="s">
        <v>119</v>
      </c>
      <c r="C2316" s="1">
        <v>37622</v>
      </c>
      <c r="D2316">
        <v>23</v>
      </c>
      <c r="E2316" t="s">
        <v>12</v>
      </c>
      <c r="F2316" t="s">
        <v>32</v>
      </c>
      <c r="G2316" s="1">
        <v>44981</v>
      </c>
      <c r="H2316" s="1">
        <v>45634</v>
      </c>
      <c r="I2316">
        <v>5</v>
      </c>
      <c r="J2316" t="s">
        <v>23</v>
      </c>
      <c r="K2316">
        <v>3686.75</v>
      </c>
    </row>
    <row r="2317" spans="1:11">
      <c r="A2317">
        <v>2316</v>
      </c>
      <c r="B2317" t="s">
        <v>11</v>
      </c>
      <c r="C2317" s="1">
        <v>39448</v>
      </c>
      <c r="D2317">
        <v>18</v>
      </c>
      <c r="E2317" t="s">
        <v>12</v>
      </c>
      <c r="F2317" t="s">
        <v>21</v>
      </c>
      <c r="G2317" s="1">
        <v>45004</v>
      </c>
      <c r="H2317" s="1">
        <v>45695</v>
      </c>
      <c r="I2317">
        <v>37</v>
      </c>
      <c r="K2317">
        <v>11330.05</v>
      </c>
    </row>
    <row r="2318" spans="1:11">
      <c r="A2318">
        <v>2317</v>
      </c>
      <c r="B2318" t="s">
        <v>118</v>
      </c>
      <c r="C2318" s="1">
        <v>24473</v>
      </c>
      <c r="D2318">
        <v>59</v>
      </c>
      <c r="E2318" t="s">
        <v>15</v>
      </c>
      <c r="F2318" t="s">
        <v>16</v>
      </c>
      <c r="G2318" s="1">
        <v>45417</v>
      </c>
      <c r="H2318" s="1">
        <v>45515</v>
      </c>
      <c r="I2318">
        <v>28</v>
      </c>
      <c r="J2318" t="s">
        <v>23</v>
      </c>
      <c r="K2318">
        <v>19229.89</v>
      </c>
    </row>
    <row r="2319" spans="1:11">
      <c r="A2319">
        <v>2318</v>
      </c>
      <c r="B2319" t="s">
        <v>84</v>
      </c>
      <c r="C2319" s="1">
        <v>32143</v>
      </c>
      <c r="D2319">
        <v>38</v>
      </c>
      <c r="E2319" t="s">
        <v>15</v>
      </c>
      <c r="F2319" t="s">
        <v>45</v>
      </c>
      <c r="G2319" s="1">
        <v>45597</v>
      </c>
      <c r="H2319" s="1">
        <v>45710</v>
      </c>
      <c r="I2319">
        <v>-2</v>
      </c>
      <c r="K2319">
        <v>12706.04</v>
      </c>
    </row>
    <row r="2320" spans="1:11">
      <c r="A2320">
        <v>2319</v>
      </c>
      <c r="B2320" t="s">
        <v>75</v>
      </c>
      <c r="C2320" s="1">
        <v>19359</v>
      </c>
      <c r="D2320">
        <v>73</v>
      </c>
      <c r="F2320" t="s">
        <v>16</v>
      </c>
      <c r="G2320" s="1">
        <v>45198</v>
      </c>
      <c r="H2320" s="1">
        <v>45108</v>
      </c>
      <c r="I2320">
        <v>36</v>
      </c>
      <c r="K2320">
        <v>8743.2900000000009</v>
      </c>
    </row>
    <row r="2321" spans="1:11">
      <c r="A2321">
        <v>2320</v>
      </c>
      <c r="B2321" t="s">
        <v>110</v>
      </c>
      <c r="C2321" s="1">
        <v>13880</v>
      </c>
      <c r="D2321">
        <v>88</v>
      </c>
      <c r="E2321" t="s">
        <v>15</v>
      </c>
      <c r="F2321" t="s">
        <v>45</v>
      </c>
      <c r="G2321" s="1">
        <v>45586</v>
      </c>
      <c r="H2321" s="1">
        <v>45059</v>
      </c>
      <c r="I2321">
        <v>31</v>
      </c>
      <c r="J2321" t="s">
        <v>19</v>
      </c>
      <c r="K2321">
        <v>14299.1</v>
      </c>
    </row>
    <row r="2322" spans="1:11">
      <c r="A2322">
        <v>2321</v>
      </c>
      <c r="B2322" t="s">
        <v>162</v>
      </c>
      <c r="C2322" s="1">
        <v>39813</v>
      </c>
      <c r="D2322">
        <v>17</v>
      </c>
      <c r="E2322" t="s">
        <v>15</v>
      </c>
      <c r="G2322" s="1">
        <v>45476</v>
      </c>
      <c r="H2322" s="1">
        <v>45590</v>
      </c>
      <c r="I2322">
        <v>21</v>
      </c>
      <c r="K2322">
        <v>16474.02</v>
      </c>
    </row>
    <row r="2323" spans="1:11">
      <c r="A2323">
        <v>2322</v>
      </c>
      <c r="B2323" t="s">
        <v>42</v>
      </c>
      <c r="C2323" s="1">
        <v>39448</v>
      </c>
      <c r="D2323">
        <v>18</v>
      </c>
      <c r="E2323" t="s">
        <v>15</v>
      </c>
      <c r="F2323" t="s">
        <v>32</v>
      </c>
      <c r="G2323" s="1">
        <v>45037</v>
      </c>
      <c r="H2323" s="1">
        <v>45082</v>
      </c>
      <c r="I2323">
        <v>25</v>
      </c>
      <c r="J2323" t="s">
        <v>23</v>
      </c>
      <c r="K2323">
        <v>11769.38</v>
      </c>
    </row>
    <row r="2324" spans="1:11">
      <c r="A2324">
        <v>2323</v>
      </c>
      <c r="B2324" t="s">
        <v>47</v>
      </c>
      <c r="C2324" s="1">
        <v>33239</v>
      </c>
      <c r="D2324">
        <v>35</v>
      </c>
      <c r="F2324" t="s">
        <v>21</v>
      </c>
      <c r="G2324" s="1">
        <v>44941</v>
      </c>
      <c r="H2324" s="1">
        <v>45286</v>
      </c>
      <c r="I2324">
        <v>1</v>
      </c>
      <c r="J2324" t="s">
        <v>25</v>
      </c>
      <c r="K2324">
        <v>17423.830000000002</v>
      </c>
    </row>
    <row r="2325" spans="1:11">
      <c r="A2325">
        <v>2324</v>
      </c>
      <c r="B2325" t="s">
        <v>48</v>
      </c>
      <c r="C2325" s="1">
        <v>19359</v>
      </c>
      <c r="D2325">
        <v>73</v>
      </c>
      <c r="F2325" t="s">
        <v>21</v>
      </c>
      <c r="G2325" s="1">
        <v>45004</v>
      </c>
      <c r="H2325" s="1">
        <v>45162</v>
      </c>
      <c r="I2325">
        <v>15</v>
      </c>
      <c r="J2325" t="s">
        <v>23</v>
      </c>
      <c r="K2325">
        <v>10243.290000000001</v>
      </c>
    </row>
    <row r="2326" spans="1:11">
      <c r="A2326">
        <v>2325</v>
      </c>
      <c r="B2326" t="s">
        <v>69</v>
      </c>
      <c r="C2326" s="1">
        <v>26299</v>
      </c>
      <c r="D2326">
        <v>54</v>
      </c>
      <c r="E2326" t="s">
        <v>12</v>
      </c>
      <c r="F2326" t="s">
        <v>21</v>
      </c>
      <c r="G2326" s="1">
        <v>45427</v>
      </c>
      <c r="H2326" s="1">
        <v>45687</v>
      </c>
      <c r="I2326">
        <v>26</v>
      </c>
      <c r="K2326">
        <v>16583.580000000002</v>
      </c>
    </row>
    <row r="2327" spans="1:11">
      <c r="A2327">
        <v>2326</v>
      </c>
      <c r="B2327" t="s">
        <v>30</v>
      </c>
      <c r="C2327" s="1">
        <v>21185</v>
      </c>
      <c r="D2327">
        <v>68</v>
      </c>
      <c r="E2327" t="s">
        <v>12</v>
      </c>
      <c r="F2327" t="s">
        <v>18</v>
      </c>
      <c r="G2327" s="1">
        <v>45514</v>
      </c>
      <c r="H2327" s="1">
        <v>45092</v>
      </c>
      <c r="I2327">
        <v>20</v>
      </c>
      <c r="J2327" t="s">
        <v>25</v>
      </c>
      <c r="K2327">
        <v>19035.59</v>
      </c>
    </row>
    <row r="2328" spans="1:11">
      <c r="A2328">
        <v>2327</v>
      </c>
      <c r="B2328" t="s">
        <v>29</v>
      </c>
      <c r="C2328" s="1">
        <v>29221</v>
      </c>
      <c r="D2328">
        <v>46</v>
      </c>
      <c r="E2328" t="s">
        <v>15</v>
      </c>
      <c r="F2328" t="s">
        <v>32</v>
      </c>
      <c r="G2328" s="1">
        <v>45344</v>
      </c>
      <c r="H2328" s="1">
        <v>45644</v>
      </c>
      <c r="I2328">
        <v>34</v>
      </c>
      <c r="J2328" t="s">
        <v>19</v>
      </c>
      <c r="K2328">
        <v>9974.99</v>
      </c>
    </row>
    <row r="2329" spans="1:11">
      <c r="A2329">
        <v>2328</v>
      </c>
      <c r="B2329" t="s">
        <v>91</v>
      </c>
      <c r="C2329" s="1">
        <v>28490</v>
      </c>
      <c r="D2329">
        <v>48</v>
      </c>
      <c r="F2329" t="s">
        <v>45</v>
      </c>
      <c r="G2329" s="1">
        <v>45201</v>
      </c>
      <c r="H2329" s="1">
        <v>45354</v>
      </c>
      <c r="I2329">
        <v>24</v>
      </c>
      <c r="J2329" t="s">
        <v>25</v>
      </c>
      <c r="K2329">
        <v>12060.53</v>
      </c>
    </row>
    <row r="2330" spans="1:11">
      <c r="A2330">
        <v>2329</v>
      </c>
      <c r="B2330" t="s">
        <v>72</v>
      </c>
      <c r="C2330" s="1">
        <v>34334</v>
      </c>
      <c r="D2330">
        <v>32</v>
      </c>
      <c r="E2330" t="s">
        <v>15</v>
      </c>
      <c r="F2330" t="s">
        <v>21</v>
      </c>
      <c r="G2330" s="1">
        <v>45420</v>
      </c>
      <c r="H2330" s="1">
        <v>45604</v>
      </c>
      <c r="I2330">
        <v>13</v>
      </c>
      <c r="J2330" t="s">
        <v>19</v>
      </c>
      <c r="K2330">
        <v>12150.3</v>
      </c>
    </row>
    <row r="2331" spans="1:11">
      <c r="A2331">
        <v>2330</v>
      </c>
      <c r="B2331" t="s">
        <v>34</v>
      </c>
      <c r="C2331" s="1">
        <v>38717</v>
      </c>
      <c r="D2331">
        <v>20</v>
      </c>
      <c r="E2331" t="s">
        <v>15</v>
      </c>
      <c r="F2331" t="s">
        <v>32</v>
      </c>
      <c r="G2331" s="1">
        <v>45123</v>
      </c>
      <c r="H2331" s="1">
        <v>45415</v>
      </c>
      <c r="I2331">
        <v>24</v>
      </c>
      <c r="J2331" t="s">
        <v>23</v>
      </c>
      <c r="K2331">
        <v>15606.84</v>
      </c>
    </row>
    <row r="2332" spans="1:11">
      <c r="A2332">
        <v>2331</v>
      </c>
      <c r="B2332" t="s">
        <v>65</v>
      </c>
      <c r="C2332" s="1">
        <v>16802</v>
      </c>
      <c r="D2332">
        <v>80</v>
      </c>
      <c r="E2332" t="s">
        <v>15</v>
      </c>
      <c r="F2332" t="s">
        <v>16</v>
      </c>
      <c r="G2332" s="1">
        <v>45302</v>
      </c>
      <c r="H2332" s="1">
        <v>45140</v>
      </c>
      <c r="I2332">
        <v>6</v>
      </c>
      <c r="J2332" t="s">
        <v>25</v>
      </c>
      <c r="K2332">
        <v>16441.61</v>
      </c>
    </row>
    <row r="2333" spans="1:11">
      <c r="A2333">
        <v>2332</v>
      </c>
      <c r="B2333" t="s">
        <v>135</v>
      </c>
      <c r="C2333" s="1">
        <v>38352</v>
      </c>
      <c r="E2333" t="s">
        <v>12</v>
      </c>
      <c r="F2333" t="s">
        <v>45</v>
      </c>
      <c r="G2333" s="1">
        <v>44989</v>
      </c>
      <c r="H2333" s="1">
        <v>45693</v>
      </c>
      <c r="I2333">
        <v>2</v>
      </c>
      <c r="J2333" t="s">
        <v>25</v>
      </c>
      <c r="K2333">
        <v>447.31</v>
      </c>
    </row>
    <row r="2334" spans="1:11">
      <c r="A2334">
        <v>2333</v>
      </c>
      <c r="B2334" t="s">
        <v>142</v>
      </c>
      <c r="C2334" s="1">
        <v>28856</v>
      </c>
      <c r="D2334">
        <v>47</v>
      </c>
      <c r="E2334" t="s">
        <v>12</v>
      </c>
      <c r="G2334" s="1">
        <v>45287</v>
      </c>
      <c r="H2334" s="1">
        <v>45084</v>
      </c>
      <c r="I2334">
        <v>5</v>
      </c>
      <c r="J2334" t="s">
        <v>25</v>
      </c>
      <c r="K2334">
        <v>14640.53</v>
      </c>
    </row>
    <row r="2335" spans="1:11">
      <c r="A2335">
        <v>2334</v>
      </c>
      <c r="B2335" t="s">
        <v>141</v>
      </c>
      <c r="C2335" s="1">
        <v>32873</v>
      </c>
      <c r="D2335">
        <v>36</v>
      </c>
      <c r="E2335" t="s">
        <v>15</v>
      </c>
      <c r="F2335" t="s">
        <v>18</v>
      </c>
      <c r="G2335" s="1">
        <v>45470</v>
      </c>
      <c r="H2335" s="1">
        <v>45616</v>
      </c>
      <c r="I2335">
        <v>15</v>
      </c>
      <c r="J2335" t="s">
        <v>19</v>
      </c>
      <c r="K2335">
        <v>15654.69</v>
      </c>
    </row>
    <row r="2336" spans="1:11">
      <c r="A2336">
        <v>2335</v>
      </c>
      <c r="B2336" t="s">
        <v>44</v>
      </c>
      <c r="C2336" s="1">
        <v>40909</v>
      </c>
      <c r="D2336">
        <v>14</v>
      </c>
      <c r="F2336" t="s">
        <v>13</v>
      </c>
      <c r="G2336" s="1">
        <v>45036</v>
      </c>
      <c r="H2336" s="1">
        <v>45002</v>
      </c>
      <c r="I2336">
        <v>32</v>
      </c>
      <c r="J2336" t="s">
        <v>19</v>
      </c>
      <c r="K2336">
        <v>13978.63</v>
      </c>
    </row>
    <row r="2337" spans="1:11">
      <c r="A2337">
        <v>2336</v>
      </c>
      <c r="B2337" t="s">
        <v>113</v>
      </c>
      <c r="C2337" s="1">
        <v>33604</v>
      </c>
      <c r="D2337">
        <v>34</v>
      </c>
      <c r="E2337" t="s">
        <v>15</v>
      </c>
      <c r="F2337" t="s">
        <v>45</v>
      </c>
      <c r="G2337" s="1">
        <v>45603</v>
      </c>
      <c r="H2337" s="1">
        <v>45362</v>
      </c>
      <c r="I2337">
        <v>3</v>
      </c>
      <c r="J2337" t="s">
        <v>23</v>
      </c>
      <c r="K2337">
        <v>14245.28</v>
      </c>
    </row>
    <row r="2338" spans="1:11">
      <c r="A2338">
        <v>2337</v>
      </c>
      <c r="B2338" t="s">
        <v>48</v>
      </c>
      <c r="C2338" s="1">
        <v>12785</v>
      </c>
      <c r="D2338">
        <v>91</v>
      </c>
      <c r="E2338" t="s">
        <v>15</v>
      </c>
      <c r="G2338" s="1">
        <v>45120</v>
      </c>
      <c r="H2338" s="1">
        <v>45105</v>
      </c>
      <c r="I2338">
        <v>20</v>
      </c>
      <c r="J2338" t="s">
        <v>23</v>
      </c>
      <c r="K2338">
        <v>732.2</v>
      </c>
    </row>
    <row r="2339" spans="1:11">
      <c r="A2339">
        <v>2338</v>
      </c>
      <c r="B2339" t="s">
        <v>110</v>
      </c>
      <c r="C2339" s="1">
        <v>20455</v>
      </c>
      <c r="D2339">
        <v>70</v>
      </c>
      <c r="E2339" t="s">
        <v>15</v>
      </c>
      <c r="G2339" s="1">
        <v>45445</v>
      </c>
      <c r="H2339" s="1">
        <v>45723</v>
      </c>
      <c r="I2339">
        <v>23</v>
      </c>
      <c r="K2339">
        <v>8784.98</v>
      </c>
    </row>
    <row r="2340" spans="1:11">
      <c r="A2340">
        <v>2339</v>
      </c>
      <c r="B2340" t="s">
        <v>39</v>
      </c>
      <c r="C2340" s="1">
        <v>34700</v>
      </c>
      <c r="D2340">
        <v>31</v>
      </c>
      <c r="E2340" t="s">
        <v>12</v>
      </c>
      <c r="G2340" s="1">
        <v>45577</v>
      </c>
      <c r="H2340" s="1">
        <v>45769</v>
      </c>
      <c r="I2340">
        <v>36</v>
      </c>
      <c r="J2340" t="s">
        <v>19</v>
      </c>
      <c r="K2340">
        <v>16345.41</v>
      </c>
    </row>
    <row r="2341" spans="1:11">
      <c r="A2341">
        <v>2340</v>
      </c>
      <c r="B2341" t="s">
        <v>89</v>
      </c>
      <c r="C2341" s="1">
        <v>42370</v>
      </c>
      <c r="D2341">
        <v>10</v>
      </c>
      <c r="E2341" t="s">
        <v>12</v>
      </c>
      <c r="F2341" t="s">
        <v>16</v>
      </c>
      <c r="G2341" s="1">
        <v>45385</v>
      </c>
      <c r="H2341" s="1">
        <v>45572</v>
      </c>
      <c r="I2341">
        <v>21</v>
      </c>
      <c r="J2341" t="s">
        <v>23</v>
      </c>
      <c r="K2341">
        <v>18673.54</v>
      </c>
    </row>
    <row r="2342" spans="1:11">
      <c r="A2342">
        <v>2341</v>
      </c>
      <c r="B2342" t="s">
        <v>110</v>
      </c>
      <c r="C2342" s="1">
        <v>42735</v>
      </c>
      <c r="D2342">
        <v>9</v>
      </c>
      <c r="E2342" t="s">
        <v>15</v>
      </c>
      <c r="F2342" t="s">
        <v>45</v>
      </c>
      <c r="G2342" s="1">
        <v>45227</v>
      </c>
      <c r="H2342" s="1">
        <v>45564</v>
      </c>
      <c r="I2342">
        <v>7</v>
      </c>
      <c r="J2342" t="s">
        <v>25</v>
      </c>
      <c r="K2342">
        <v>4512.3100000000004</v>
      </c>
    </row>
    <row r="2343" spans="1:11">
      <c r="A2343">
        <v>2342</v>
      </c>
      <c r="B2343" t="s">
        <v>91</v>
      </c>
      <c r="C2343" s="1">
        <v>19724</v>
      </c>
      <c r="D2343">
        <v>72</v>
      </c>
      <c r="E2343" t="s">
        <v>12</v>
      </c>
      <c r="F2343" t="s">
        <v>45</v>
      </c>
      <c r="G2343" s="1">
        <v>45494</v>
      </c>
      <c r="H2343" s="1">
        <v>45239</v>
      </c>
      <c r="I2343">
        <v>12</v>
      </c>
      <c r="J2343" t="s">
        <v>25</v>
      </c>
      <c r="K2343">
        <v>11541.82</v>
      </c>
    </row>
    <row r="2344" spans="1:11">
      <c r="A2344">
        <v>2343</v>
      </c>
      <c r="B2344" t="s">
        <v>167</v>
      </c>
      <c r="C2344" s="1">
        <v>17898</v>
      </c>
      <c r="D2344">
        <v>77</v>
      </c>
      <c r="E2344" t="s">
        <v>15</v>
      </c>
      <c r="F2344" t="s">
        <v>13</v>
      </c>
      <c r="G2344" s="1">
        <v>45598</v>
      </c>
      <c r="H2344" s="1">
        <v>45759</v>
      </c>
      <c r="I2344">
        <v>35</v>
      </c>
      <c r="J2344" t="s">
        <v>25</v>
      </c>
      <c r="K2344">
        <v>16067.04</v>
      </c>
    </row>
    <row r="2345" spans="1:11">
      <c r="A2345">
        <v>2344</v>
      </c>
      <c r="B2345" t="s">
        <v>33</v>
      </c>
      <c r="C2345" s="1">
        <v>18263</v>
      </c>
      <c r="D2345">
        <v>76</v>
      </c>
      <c r="E2345" t="s">
        <v>12</v>
      </c>
      <c r="F2345" t="s">
        <v>21</v>
      </c>
      <c r="G2345" s="1">
        <v>45422</v>
      </c>
      <c r="H2345" s="1">
        <v>45054</v>
      </c>
      <c r="I2345">
        <v>17</v>
      </c>
      <c r="J2345" t="s">
        <v>23</v>
      </c>
      <c r="K2345">
        <v>15023.39</v>
      </c>
    </row>
    <row r="2346" spans="1:11">
      <c r="A2346">
        <v>2345</v>
      </c>
      <c r="B2346" t="s">
        <v>112</v>
      </c>
      <c r="C2346" s="1">
        <v>25568</v>
      </c>
      <c r="D2346">
        <v>56</v>
      </c>
      <c r="F2346" t="s">
        <v>16</v>
      </c>
      <c r="G2346" s="1">
        <v>45075</v>
      </c>
      <c r="H2346" s="1">
        <v>45304</v>
      </c>
      <c r="I2346">
        <v>26</v>
      </c>
      <c r="J2346" t="s">
        <v>25</v>
      </c>
      <c r="K2346">
        <v>12339.69</v>
      </c>
    </row>
    <row r="2347" spans="1:11">
      <c r="A2347">
        <v>2346</v>
      </c>
      <c r="B2347" t="s">
        <v>49</v>
      </c>
      <c r="C2347" s="1">
        <v>37256</v>
      </c>
      <c r="D2347">
        <v>24</v>
      </c>
      <c r="E2347" t="s">
        <v>15</v>
      </c>
      <c r="G2347" s="1">
        <v>45387</v>
      </c>
      <c r="H2347" s="1">
        <v>45272</v>
      </c>
      <c r="I2347">
        <v>3</v>
      </c>
      <c r="J2347" t="s">
        <v>25</v>
      </c>
      <c r="K2347">
        <v>275.69</v>
      </c>
    </row>
    <row r="2348" spans="1:11">
      <c r="A2348">
        <v>2347</v>
      </c>
      <c r="B2348" t="s">
        <v>76</v>
      </c>
      <c r="C2348" s="1">
        <v>45657</v>
      </c>
      <c r="D2348">
        <v>1</v>
      </c>
      <c r="E2348" t="s">
        <v>12</v>
      </c>
      <c r="F2348" t="s">
        <v>13</v>
      </c>
      <c r="G2348" s="1">
        <v>45065</v>
      </c>
      <c r="H2348" s="1">
        <v>45152</v>
      </c>
      <c r="I2348">
        <v>6</v>
      </c>
      <c r="J2348" t="s">
        <v>19</v>
      </c>
      <c r="K2348">
        <v>14450.11</v>
      </c>
    </row>
    <row r="2349" spans="1:11">
      <c r="A2349">
        <v>2348</v>
      </c>
      <c r="B2349" t="s">
        <v>76</v>
      </c>
      <c r="C2349" s="1">
        <v>23012</v>
      </c>
      <c r="D2349">
        <v>63</v>
      </c>
      <c r="E2349" t="s">
        <v>12</v>
      </c>
      <c r="F2349" t="s">
        <v>45</v>
      </c>
      <c r="G2349" s="1">
        <v>45218</v>
      </c>
      <c r="H2349" s="1">
        <v>44944</v>
      </c>
      <c r="I2349">
        <v>2</v>
      </c>
      <c r="J2349" t="s">
        <v>19</v>
      </c>
      <c r="K2349">
        <v>15442.17</v>
      </c>
    </row>
    <row r="2350" spans="1:11">
      <c r="A2350">
        <v>2349</v>
      </c>
      <c r="B2350" t="s">
        <v>83</v>
      </c>
      <c r="C2350" s="1">
        <v>33604</v>
      </c>
      <c r="D2350">
        <v>34</v>
      </c>
      <c r="E2350" t="s">
        <v>15</v>
      </c>
      <c r="F2350" t="s">
        <v>16</v>
      </c>
      <c r="G2350" s="1">
        <v>45261</v>
      </c>
      <c r="H2350" s="1">
        <v>45424</v>
      </c>
      <c r="I2350">
        <v>36</v>
      </c>
      <c r="J2350" t="s">
        <v>23</v>
      </c>
      <c r="K2350">
        <v>14429.28</v>
      </c>
    </row>
    <row r="2351" spans="1:11">
      <c r="A2351">
        <v>2350</v>
      </c>
      <c r="B2351" t="s">
        <v>67</v>
      </c>
      <c r="C2351" s="1">
        <v>43831</v>
      </c>
      <c r="D2351">
        <v>6</v>
      </c>
      <c r="E2351" t="s">
        <v>12</v>
      </c>
      <c r="F2351" t="s">
        <v>18</v>
      </c>
      <c r="G2351" s="1">
        <v>45625</v>
      </c>
      <c r="H2351" s="1">
        <v>45400</v>
      </c>
      <c r="I2351">
        <v>16</v>
      </c>
      <c r="J2351" t="s">
        <v>19</v>
      </c>
      <c r="K2351">
        <v>15292.76</v>
      </c>
    </row>
    <row r="2352" spans="1:11">
      <c r="A2352">
        <v>2351</v>
      </c>
      <c r="B2352" t="s">
        <v>125</v>
      </c>
      <c r="C2352" s="1">
        <v>15341</v>
      </c>
      <c r="D2352">
        <v>84</v>
      </c>
      <c r="E2352" t="s">
        <v>12</v>
      </c>
      <c r="F2352" t="s">
        <v>45</v>
      </c>
      <c r="G2352" s="1">
        <v>45110</v>
      </c>
      <c r="H2352" s="1">
        <v>45792</v>
      </c>
      <c r="I2352">
        <v>2</v>
      </c>
      <c r="K2352">
        <v>8561.39</v>
      </c>
    </row>
    <row r="2353" spans="1:11">
      <c r="A2353">
        <v>2352</v>
      </c>
      <c r="B2353" t="s">
        <v>157</v>
      </c>
      <c r="C2353" s="1">
        <v>39813</v>
      </c>
      <c r="D2353">
        <v>17</v>
      </c>
      <c r="E2353" t="s">
        <v>15</v>
      </c>
      <c r="F2353" t="s">
        <v>18</v>
      </c>
      <c r="G2353" s="1">
        <v>45233</v>
      </c>
      <c r="H2353" s="1">
        <v>45238</v>
      </c>
      <c r="I2353">
        <v>17</v>
      </c>
      <c r="J2353" t="s">
        <v>23</v>
      </c>
      <c r="K2353">
        <v>19874.419999999998</v>
      </c>
    </row>
    <row r="2354" spans="1:11">
      <c r="A2354">
        <v>2353</v>
      </c>
      <c r="B2354" t="s">
        <v>136</v>
      </c>
      <c r="C2354" s="1">
        <v>21916</v>
      </c>
      <c r="D2354">
        <v>66</v>
      </c>
      <c r="E2354" t="s">
        <v>15</v>
      </c>
      <c r="F2354" t="s">
        <v>32</v>
      </c>
      <c r="G2354" s="1">
        <v>45188</v>
      </c>
      <c r="H2354" s="1">
        <v>45685</v>
      </c>
      <c r="I2354">
        <v>8</v>
      </c>
      <c r="K2354">
        <v>15392.82</v>
      </c>
    </row>
    <row r="2355" spans="1:11">
      <c r="A2355">
        <v>2354</v>
      </c>
      <c r="B2355" t="s">
        <v>131</v>
      </c>
      <c r="C2355" s="1">
        <v>31047</v>
      </c>
      <c r="D2355">
        <v>41</v>
      </c>
      <c r="E2355" t="s">
        <v>15</v>
      </c>
      <c r="F2355" t="s">
        <v>18</v>
      </c>
      <c r="G2355" s="1">
        <v>45236</v>
      </c>
      <c r="H2355" s="1">
        <v>45064</v>
      </c>
      <c r="I2355">
        <v>24</v>
      </c>
      <c r="K2355">
        <v>11531.47</v>
      </c>
    </row>
    <row r="2356" spans="1:11">
      <c r="A2356">
        <v>2355</v>
      </c>
      <c r="B2356" t="s">
        <v>146</v>
      </c>
      <c r="C2356" s="1">
        <v>32143</v>
      </c>
      <c r="D2356">
        <v>38</v>
      </c>
      <c r="E2356" t="s">
        <v>12</v>
      </c>
      <c r="F2356" t="s">
        <v>45</v>
      </c>
      <c r="G2356" s="1">
        <v>45270</v>
      </c>
      <c r="H2356" s="1">
        <v>45402</v>
      </c>
      <c r="I2356">
        <v>26</v>
      </c>
      <c r="J2356" t="s">
        <v>23</v>
      </c>
      <c r="K2356">
        <v>18677.240000000002</v>
      </c>
    </row>
    <row r="2357" spans="1:11">
      <c r="A2357">
        <v>2356</v>
      </c>
      <c r="B2357" t="s">
        <v>96</v>
      </c>
      <c r="C2357" s="1">
        <v>31412</v>
      </c>
      <c r="D2357">
        <v>40</v>
      </c>
      <c r="E2357" t="s">
        <v>12</v>
      </c>
      <c r="F2357" t="s">
        <v>13</v>
      </c>
      <c r="G2357" s="1">
        <v>45350</v>
      </c>
      <c r="H2357" s="1">
        <v>45144</v>
      </c>
      <c r="I2357">
        <v>4</v>
      </c>
      <c r="J2357" t="s">
        <v>19</v>
      </c>
      <c r="K2357">
        <v>18154.79</v>
      </c>
    </row>
    <row r="2358" spans="1:11">
      <c r="A2358">
        <v>2357</v>
      </c>
      <c r="B2358" t="s">
        <v>36</v>
      </c>
      <c r="C2358" s="1">
        <v>18994</v>
      </c>
      <c r="D2358">
        <v>74</v>
      </c>
      <c r="E2358" t="s">
        <v>12</v>
      </c>
      <c r="F2358" t="s">
        <v>45</v>
      </c>
      <c r="G2358" s="1">
        <v>45583</v>
      </c>
      <c r="H2358" s="1">
        <v>45123</v>
      </c>
      <c r="I2358">
        <v>0</v>
      </c>
      <c r="J2358" t="s">
        <v>19</v>
      </c>
      <c r="K2358">
        <v>16272.8</v>
      </c>
    </row>
    <row r="2359" spans="1:11">
      <c r="A2359">
        <v>2358</v>
      </c>
      <c r="B2359" t="s">
        <v>59</v>
      </c>
      <c r="C2359" s="1">
        <v>37622</v>
      </c>
      <c r="D2359">
        <v>23</v>
      </c>
      <c r="E2359" t="s">
        <v>15</v>
      </c>
      <c r="F2359" t="s">
        <v>45</v>
      </c>
      <c r="G2359" s="1">
        <v>45440</v>
      </c>
      <c r="H2359" s="1">
        <v>45128</v>
      </c>
      <c r="I2359">
        <v>2</v>
      </c>
      <c r="J2359" t="s">
        <v>23</v>
      </c>
      <c r="K2359">
        <v>11230.27</v>
      </c>
    </row>
    <row r="2360" spans="1:11">
      <c r="A2360">
        <v>2359</v>
      </c>
      <c r="B2360" t="s">
        <v>148</v>
      </c>
      <c r="C2360" s="1">
        <v>24473</v>
      </c>
      <c r="E2360" t="s">
        <v>15</v>
      </c>
      <c r="F2360" t="s">
        <v>32</v>
      </c>
      <c r="G2360" s="1">
        <v>45450</v>
      </c>
      <c r="H2360" s="1">
        <v>45293</v>
      </c>
      <c r="I2360">
        <v>10</v>
      </c>
      <c r="K2360">
        <v>10494.73</v>
      </c>
    </row>
    <row r="2361" spans="1:11">
      <c r="A2361">
        <v>2360</v>
      </c>
      <c r="B2361" t="s">
        <v>66</v>
      </c>
      <c r="C2361" s="1">
        <v>29586</v>
      </c>
      <c r="D2361">
        <v>45</v>
      </c>
      <c r="E2361" t="s">
        <v>15</v>
      </c>
      <c r="G2361" s="1">
        <v>45187</v>
      </c>
      <c r="H2361" s="1">
        <v>45646</v>
      </c>
      <c r="I2361">
        <v>13</v>
      </c>
      <c r="J2361" t="s">
        <v>23</v>
      </c>
      <c r="K2361">
        <v>6507.03</v>
      </c>
    </row>
    <row r="2362" spans="1:11">
      <c r="A2362">
        <v>2361</v>
      </c>
      <c r="B2362" t="s">
        <v>54</v>
      </c>
      <c r="C2362" s="1">
        <v>39448</v>
      </c>
      <c r="D2362">
        <v>18</v>
      </c>
      <c r="E2362" t="s">
        <v>12</v>
      </c>
      <c r="F2362" t="s">
        <v>21</v>
      </c>
      <c r="G2362" s="1">
        <v>45288</v>
      </c>
      <c r="H2362" s="1">
        <v>45455</v>
      </c>
      <c r="I2362">
        <v>9</v>
      </c>
      <c r="J2362" t="s">
        <v>23</v>
      </c>
      <c r="K2362">
        <v>4942.6499999999996</v>
      </c>
    </row>
    <row r="2363" spans="1:11">
      <c r="A2363">
        <v>2362</v>
      </c>
      <c r="B2363" t="s">
        <v>71</v>
      </c>
      <c r="C2363" s="1">
        <v>21551</v>
      </c>
      <c r="D2363">
        <v>67</v>
      </c>
      <c r="F2363" t="s">
        <v>45</v>
      </c>
      <c r="G2363" s="1">
        <v>45095</v>
      </c>
      <c r="H2363" s="1">
        <v>45327</v>
      </c>
      <c r="I2363">
        <v>36</v>
      </c>
      <c r="J2363" t="s">
        <v>25</v>
      </c>
      <c r="K2363">
        <v>10198.43</v>
      </c>
    </row>
    <row r="2364" spans="1:11">
      <c r="A2364">
        <v>2363</v>
      </c>
      <c r="B2364" t="s">
        <v>54</v>
      </c>
      <c r="C2364" s="1">
        <v>13515</v>
      </c>
      <c r="D2364">
        <v>89</v>
      </c>
      <c r="E2364" t="s">
        <v>12</v>
      </c>
      <c r="F2364" t="s">
        <v>32</v>
      </c>
      <c r="G2364" s="1">
        <v>45586</v>
      </c>
      <c r="H2364" s="1">
        <v>45452</v>
      </c>
      <c r="I2364">
        <v>24</v>
      </c>
      <c r="J2364" t="s">
        <v>25</v>
      </c>
      <c r="K2364">
        <v>11513.41</v>
      </c>
    </row>
    <row r="2365" spans="1:11">
      <c r="A2365">
        <v>2364</v>
      </c>
      <c r="B2365" t="s">
        <v>131</v>
      </c>
      <c r="C2365" s="1">
        <v>31047</v>
      </c>
      <c r="D2365">
        <v>41</v>
      </c>
      <c r="E2365" t="s">
        <v>15</v>
      </c>
      <c r="F2365" t="s">
        <v>13</v>
      </c>
      <c r="G2365" s="1">
        <v>45126</v>
      </c>
      <c r="H2365" s="1">
        <v>45517</v>
      </c>
      <c r="I2365">
        <v>30</v>
      </c>
      <c r="K2365">
        <v>4814.9799999999996</v>
      </c>
    </row>
    <row r="2366" spans="1:11">
      <c r="A2366">
        <v>2365</v>
      </c>
      <c r="B2366" t="s">
        <v>133</v>
      </c>
      <c r="C2366" s="1">
        <v>34700</v>
      </c>
      <c r="D2366">
        <v>31</v>
      </c>
      <c r="E2366" t="s">
        <v>12</v>
      </c>
      <c r="F2366" t="s">
        <v>32</v>
      </c>
      <c r="G2366" s="1">
        <v>45311</v>
      </c>
      <c r="H2366" s="1">
        <v>45141</v>
      </c>
      <c r="I2366">
        <v>12</v>
      </c>
      <c r="J2366" t="s">
        <v>19</v>
      </c>
      <c r="K2366">
        <v>18444.28</v>
      </c>
    </row>
    <row r="2367" spans="1:11">
      <c r="A2367">
        <v>2366</v>
      </c>
      <c r="B2367" t="s">
        <v>24</v>
      </c>
      <c r="C2367" s="1">
        <v>32143</v>
      </c>
      <c r="D2367">
        <v>38</v>
      </c>
      <c r="E2367" t="s">
        <v>12</v>
      </c>
      <c r="F2367" t="s">
        <v>32</v>
      </c>
      <c r="G2367" s="1">
        <v>45238</v>
      </c>
      <c r="H2367" s="1">
        <v>45268</v>
      </c>
      <c r="I2367">
        <v>18</v>
      </c>
      <c r="J2367" t="s">
        <v>25</v>
      </c>
      <c r="K2367">
        <v>11101.21</v>
      </c>
    </row>
    <row r="2368" spans="1:11">
      <c r="A2368">
        <v>2367</v>
      </c>
      <c r="B2368" t="s">
        <v>125</v>
      </c>
      <c r="C2368" s="1">
        <v>33239</v>
      </c>
      <c r="D2368">
        <v>35</v>
      </c>
      <c r="E2368" t="s">
        <v>15</v>
      </c>
      <c r="F2368" t="s">
        <v>18</v>
      </c>
      <c r="G2368" s="1">
        <v>45508</v>
      </c>
      <c r="H2368" s="1">
        <v>45256</v>
      </c>
      <c r="I2368">
        <v>14</v>
      </c>
      <c r="J2368" t="s">
        <v>25</v>
      </c>
      <c r="K2368">
        <v>10482.76</v>
      </c>
    </row>
    <row r="2369" spans="1:11">
      <c r="A2369">
        <v>2368</v>
      </c>
      <c r="B2369" t="s">
        <v>11</v>
      </c>
      <c r="C2369" s="1">
        <v>33239</v>
      </c>
      <c r="D2369">
        <v>35</v>
      </c>
      <c r="E2369" t="s">
        <v>12</v>
      </c>
      <c r="F2369" t="s">
        <v>21</v>
      </c>
      <c r="G2369" s="1">
        <v>45238</v>
      </c>
      <c r="H2369" s="1">
        <v>45046</v>
      </c>
      <c r="I2369">
        <v>34</v>
      </c>
      <c r="K2369">
        <v>8656.33</v>
      </c>
    </row>
    <row r="2370" spans="1:11">
      <c r="A2370">
        <v>2369</v>
      </c>
      <c r="B2370" t="s">
        <v>124</v>
      </c>
      <c r="C2370" s="1">
        <v>45292</v>
      </c>
      <c r="D2370">
        <v>2</v>
      </c>
      <c r="E2370" t="s">
        <v>15</v>
      </c>
      <c r="F2370" t="s">
        <v>21</v>
      </c>
      <c r="G2370" s="1">
        <v>45492</v>
      </c>
      <c r="H2370" s="1">
        <v>45352</v>
      </c>
      <c r="I2370">
        <v>12</v>
      </c>
      <c r="J2370" t="s">
        <v>23</v>
      </c>
      <c r="K2370">
        <v>1067.23</v>
      </c>
    </row>
    <row r="2371" spans="1:11">
      <c r="A2371">
        <v>2370</v>
      </c>
      <c r="B2371" t="s">
        <v>117</v>
      </c>
      <c r="C2371" s="1">
        <v>19724</v>
      </c>
      <c r="D2371">
        <v>72</v>
      </c>
      <c r="E2371" t="s">
        <v>15</v>
      </c>
      <c r="F2371" t="s">
        <v>16</v>
      </c>
      <c r="G2371" s="1">
        <v>45321</v>
      </c>
      <c r="H2371" s="1">
        <v>45620</v>
      </c>
      <c r="I2371">
        <v>17</v>
      </c>
      <c r="J2371" t="s">
        <v>25</v>
      </c>
      <c r="K2371">
        <v>17636.27</v>
      </c>
    </row>
    <row r="2372" spans="1:11">
      <c r="A2372">
        <v>2371</v>
      </c>
      <c r="B2372" t="s">
        <v>119</v>
      </c>
      <c r="C2372" s="1">
        <v>43466</v>
      </c>
      <c r="D2372">
        <v>7</v>
      </c>
      <c r="E2372" t="s">
        <v>15</v>
      </c>
      <c r="G2372" s="1">
        <v>45277</v>
      </c>
      <c r="H2372" s="1">
        <v>45763</v>
      </c>
      <c r="I2372">
        <v>16</v>
      </c>
      <c r="J2372" t="s">
        <v>19</v>
      </c>
      <c r="K2372">
        <v>6271.58</v>
      </c>
    </row>
    <row r="2373" spans="1:11">
      <c r="A2373">
        <v>2372</v>
      </c>
      <c r="B2373" t="s">
        <v>108</v>
      </c>
      <c r="C2373" s="1">
        <v>20820</v>
      </c>
      <c r="D2373">
        <v>69</v>
      </c>
      <c r="E2373" t="s">
        <v>15</v>
      </c>
      <c r="F2373" t="s">
        <v>13</v>
      </c>
      <c r="G2373" s="1">
        <v>44954</v>
      </c>
      <c r="H2373" s="1">
        <v>45769</v>
      </c>
      <c r="I2373">
        <v>-2</v>
      </c>
      <c r="K2373">
        <v>12813.45</v>
      </c>
    </row>
    <row r="2374" spans="1:11">
      <c r="A2374">
        <v>2373</v>
      </c>
      <c r="B2374" t="s">
        <v>66</v>
      </c>
      <c r="C2374" s="1">
        <v>31412</v>
      </c>
      <c r="D2374">
        <v>40</v>
      </c>
      <c r="E2374" t="s">
        <v>15</v>
      </c>
      <c r="F2374" t="s">
        <v>16</v>
      </c>
      <c r="G2374" s="1">
        <v>45558</v>
      </c>
      <c r="H2374" s="1">
        <v>45794</v>
      </c>
      <c r="I2374">
        <v>1</v>
      </c>
      <c r="J2374" t="s">
        <v>25</v>
      </c>
      <c r="K2374">
        <v>12109.41</v>
      </c>
    </row>
    <row r="2375" spans="1:11">
      <c r="A2375">
        <v>2374</v>
      </c>
      <c r="B2375" t="s">
        <v>145</v>
      </c>
      <c r="C2375" s="1">
        <v>21551</v>
      </c>
      <c r="E2375" t="s">
        <v>15</v>
      </c>
      <c r="G2375" s="1">
        <v>45059</v>
      </c>
      <c r="H2375" s="1">
        <v>45300</v>
      </c>
      <c r="I2375">
        <v>0</v>
      </c>
      <c r="K2375">
        <v>11648.19</v>
      </c>
    </row>
    <row r="2376" spans="1:11">
      <c r="A2376">
        <v>2375</v>
      </c>
      <c r="B2376" t="s">
        <v>143</v>
      </c>
      <c r="C2376" s="1">
        <v>41639</v>
      </c>
      <c r="D2376">
        <v>12</v>
      </c>
      <c r="E2376" t="s">
        <v>15</v>
      </c>
      <c r="G2376" s="1">
        <v>45306</v>
      </c>
      <c r="H2376" s="1">
        <v>45576</v>
      </c>
      <c r="I2376">
        <v>5</v>
      </c>
      <c r="J2376" t="s">
        <v>25</v>
      </c>
      <c r="K2376">
        <v>10466.82</v>
      </c>
    </row>
    <row r="2377" spans="1:11">
      <c r="A2377">
        <v>2376</v>
      </c>
      <c r="B2377" t="s">
        <v>115</v>
      </c>
      <c r="C2377" s="1">
        <v>28490</v>
      </c>
      <c r="D2377">
        <v>48</v>
      </c>
      <c r="E2377" t="s">
        <v>12</v>
      </c>
      <c r="F2377" t="s">
        <v>32</v>
      </c>
      <c r="G2377" s="1">
        <v>45528</v>
      </c>
      <c r="H2377" s="1">
        <v>45106</v>
      </c>
      <c r="I2377">
        <v>38</v>
      </c>
      <c r="J2377" t="s">
        <v>25</v>
      </c>
      <c r="K2377">
        <v>3546.94</v>
      </c>
    </row>
    <row r="2378" spans="1:11">
      <c r="A2378">
        <v>2377</v>
      </c>
      <c r="B2378" t="s">
        <v>116</v>
      </c>
      <c r="C2378" s="1">
        <v>24473</v>
      </c>
      <c r="F2378" t="s">
        <v>13</v>
      </c>
      <c r="G2378" s="1">
        <v>45454</v>
      </c>
      <c r="H2378" s="1">
        <v>45359</v>
      </c>
      <c r="I2378">
        <v>2</v>
      </c>
      <c r="K2378">
        <v>5540.18</v>
      </c>
    </row>
    <row r="2379" spans="1:11">
      <c r="A2379">
        <v>2378</v>
      </c>
      <c r="B2379" t="s">
        <v>154</v>
      </c>
      <c r="C2379" s="1">
        <v>45657</v>
      </c>
      <c r="D2379">
        <v>1</v>
      </c>
      <c r="E2379" t="s">
        <v>12</v>
      </c>
      <c r="G2379" s="1">
        <v>45213</v>
      </c>
      <c r="H2379" s="1">
        <v>45647</v>
      </c>
      <c r="I2379">
        <v>6</v>
      </c>
      <c r="J2379" t="s">
        <v>19</v>
      </c>
      <c r="K2379">
        <v>10436.18</v>
      </c>
    </row>
    <row r="2380" spans="1:11">
      <c r="A2380">
        <v>2379</v>
      </c>
      <c r="B2380" t="s">
        <v>166</v>
      </c>
      <c r="C2380" s="1">
        <v>24473</v>
      </c>
      <c r="D2380">
        <v>59</v>
      </c>
      <c r="E2380" t="s">
        <v>15</v>
      </c>
      <c r="F2380" t="s">
        <v>13</v>
      </c>
      <c r="G2380" s="1">
        <v>45210</v>
      </c>
      <c r="H2380" s="1">
        <v>45329</v>
      </c>
      <c r="I2380">
        <v>-2</v>
      </c>
      <c r="J2380" t="s">
        <v>19</v>
      </c>
      <c r="K2380">
        <v>15765.78</v>
      </c>
    </row>
    <row r="2381" spans="1:11">
      <c r="A2381">
        <v>2380</v>
      </c>
      <c r="B2381" t="s">
        <v>131</v>
      </c>
      <c r="C2381" s="1">
        <v>44561</v>
      </c>
      <c r="D2381">
        <v>4</v>
      </c>
      <c r="E2381" t="s">
        <v>15</v>
      </c>
      <c r="F2381" t="s">
        <v>21</v>
      </c>
      <c r="G2381" s="1">
        <v>45575</v>
      </c>
      <c r="H2381" s="1">
        <v>45321</v>
      </c>
      <c r="I2381">
        <v>27</v>
      </c>
      <c r="J2381" t="s">
        <v>23</v>
      </c>
      <c r="K2381">
        <v>8582.98</v>
      </c>
    </row>
    <row r="2382" spans="1:11">
      <c r="A2382">
        <v>2381</v>
      </c>
      <c r="B2382" t="s">
        <v>128</v>
      </c>
      <c r="C2382" s="1">
        <v>30317</v>
      </c>
      <c r="D2382">
        <v>43</v>
      </c>
      <c r="E2382" t="s">
        <v>15</v>
      </c>
      <c r="F2382" t="s">
        <v>21</v>
      </c>
      <c r="G2382" s="1">
        <v>45153</v>
      </c>
      <c r="H2382" s="1">
        <v>45810</v>
      </c>
      <c r="I2382">
        <v>4</v>
      </c>
      <c r="J2382" t="s">
        <v>25</v>
      </c>
      <c r="K2382">
        <v>3998.84</v>
      </c>
    </row>
    <row r="2383" spans="1:11">
      <c r="A2383">
        <v>2382</v>
      </c>
      <c r="B2383" t="s">
        <v>110</v>
      </c>
      <c r="C2383" s="1">
        <v>36526</v>
      </c>
      <c r="D2383">
        <v>26</v>
      </c>
      <c r="E2383" t="s">
        <v>15</v>
      </c>
      <c r="F2383" t="s">
        <v>21</v>
      </c>
      <c r="G2383" s="1">
        <v>45353</v>
      </c>
      <c r="H2383" s="1">
        <v>45493</v>
      </c>
      <c r="I2383">
        <v>19</v>
      </c>
      <c r="J2383" t="s">
        <v>23</v>
      </c>
      <c r="K2383">
        <v>1667.68</v>
      </c>
    </row>
    <row r="2384" spans="1:11">
      <c r="A2384">
        <v>2383</v>
      </c>
      <c r="B2384" t="s">
        <v>44</v>
      </c>
      <c r="C2384" s="1">
        <v>34700</v>
      </c>
      <c r="D2384">
        <v>31</v>
      </c>
      <c r="E2384" t="s">
        <v>12</v>
      </c>
      <c r="F2384" t="s">
        <v>45</v>
      </c>
      <c r="G2384" s="1">
        <v>44953</v>
      </c>
      <c r="H2384" s="1">
        <v>45006</v>
      </c>
      <c r="I2384">
        <v>17</v>
      </c>
      <c r="K2384">
        <v>13226.52</v>
      </c>
    </row>
    <row r="2385" spans="1:11">
      <c r="A2385">
        <v>2384</v>
      </c>
      <c r="B2385" t="s">
        <v>155</v>
      </c>
      <c r="C2385" s="1">
        <v>38717</v>
      </c>
      <c r="D2385">
        <v>20</v>
      </c>
      <c r="E2385" t="s">
        <v>12</v>
      </c>
      <c r="F2385" t="s">
        <v>32</v>
      </c>
      <c r="G2385" s="1">
        <v>45258</v>
      </c>
      <c r="H2385" s="1">
        <v>45710</v>
      </c>
      <c r="I2385">
        <v>26</v>
      </c>
      <c r="J2385" t="s">
        <v>23</v>
      </c>
      <c r="K2385">
        <v>8409.1299999999992</v>
      </c>
    </row>
    <row r="2386" spans="1:11">
      <c r="A2386">
        <v>2385</v>
      </c>
      <c r="B2386" t="s">
        <v>97</v>
      </c>
      <c r="C2386" s="1">
        <v>43466</v>
      </c>
      <c r="D2386">
        <v>7</v>
      </c>
      <c r="E2386" t="s">
        <v>12</v>
      </c>
      <c r="F2386" t="s">
        <v>13</v>
      </c>
      <c r="G2386" s="1">
        <v>45043</v>
      </c>
      <c r="H2386" s="1">
        <v>45351</v>
      </c>
      <c r="I2386">
        <v>24</v>
      </c>
      <c r="K2386">
        <v>2419.9499999999998</v>
      </c>
    </row>
    <row r="2387" spans="1:11">
      <c r="A2387">
        <v>2386</v>
      </c>
      <c r="B2387" t="s">
        <v>24</v>
      </c>
      <c r="C2387" s="1">
        <v>20090</v>
      </c>
      <c r="D2387">
        <v>71</v>
      </c>
      <c r="E2387" t="s">
        <v>12</v>
      </c>
      <c r="F2387" t="s">
        <v>32</v>
      </c>
      <c r="G2387" s="1">
        <v>45015</v>
      </c>
      <c r="H2387" s="1">
        <v>45045</v>
      </c>
      <c r="I2387">
        <v>22</v>
      </c>
      <c r="J2387" t="s">
        <v>19</v>
      </c>
      <c r="K2387">
        <v>13456.78</v>
      </c>
    </row>
    <row r="2388" spans="1:11">
      <c r="A2388">
        <v>2387</v>
      </c>
      <c r="B2388" t="s">
        <v>20</v>
      </c>
      <c r="C2388" s="1">
        <v>28125</v>
      </c>
      <c r="D2388">
        <v>49</v>
      </c>
      <c r="E2388" t="s">
        <v>15</v>
      </c>
      <c r="G2388" s="1">
        <v>45545</v>
      </c>
      <c r="H2388" s="1">
        <v>45295</v>
      </c>
      <c r="I2388">
        <v>32</v>
      </c>
      <c r="K2388">
        <v>4072.33</v>
      </c>
    </row>
    <row r="2389" spans="1:11">
      <c r="A2389">
        <v>2388</v>
      </c>
      <c r="B2389" t="s">
        <v>53</v>
      </c>
      <c r="C2389" s="1">
        <v>21916</v>
      </c>
      <c r="D2389">
        <v>66</v>
      </c>
      <c r="E2389" t="s">
        <v>15</v>
      </c>
      <c r="F2389" t="s">
        <v>13</v>
      </c>
      <c r="G2389" s="1">
        <v>45048</v>
      </c>
      <c r="H2389" s="1">
        <v>45033</v>
      </c>
      <c r="I2389">
        <v>24</v>
      </c>
      <c r="K2389">
        <v>10131.219999999999</v>
      </c>
    </row>
    <row r="2390" spans="1:11">
      <c r="A2390">
        <v>2389</v>
      </c>
      <c r="B2390" t="s">
        <v>117</v>
      </c>
      <c r="C2390" s="1">
        <v>30317</v>
      </c>
      <c r="D2390">
        <v>43</v>
      </c>
      <c r="E2390" t="s">
        <v>12</v>
      </c>
      <c r="F2390" t="s">
        <v>13</v>
      </c>
      <c r="G2390" s="1">
        <v>44959</v>
      </c>
      <c r="H2390" s="1">
        <v>45032</v>
      </c>
      <c r="I2390">
        <v>8</v>
      </c>
      <c r="J2390" t="s">
        <v>23</v>
      </c>
      <c r="K2390">
        <v>6054.38</v>
      </c>
    </row>
    <row r="2391" spans="1:11">
      <c r="A2391">
        <v>2390</v>
      </c>
      <c r="B2391" t="s">
        <v>137</v>
      </c>
      <c r="C2391" s="1">
        <v>25203</v>
      </c>
      <c r="D2391">
        <v>57</v>
      </c>
      <c r="E2391" t="s">
        <v>15</v>
      </c>
      <c r="F2391" t="s">
        <v>16</v>
      </c>
      <c r="G2391" s="1">
        <v>45529</v>
      </c>
      <c r="H2391" s="1">
        <v>45230</v>
      </c>
      <c r="I2391">
        <v>14</v>
      </c>
      <c r="J2391" t="s">
        <v>25</v>
      </c>
      <c r="K2391">
        <v>18626.97</v>
      </c>
    </row>
    <row r="2392" spans="1:11">
      <c r="A2392">
        <v>2391</v>
      </c>
      <c r="B2392" t="s">
        <v>71</v>
      </c>
      <c r="C2392" s="1">
        <v>45292</v>
      </c>
      <c r="D2392">
        <v>2</v>
      </c>
      <c r="E2392" t="s">
        <v>15</v>
      </c>
      <c r="F2392" t="s">
        <v>13</v>
      </c>
      <c r="G2392" s="1">
        <v>45622</v>
      </c>
      <c r="H2392" s="1">
        <v>45557</v>
      </c>
      <c r="I2392">
        <v>28</v>
      </c>
      <c r="J2392" t="s">
        <v>23</v>
      </c>
      <c r="K2392">
        <v>4488.59</v>
      </c>
    </row>
    <row r="2393" spans="1:11">
      <c r="A2393">
        <v>2392</v>
      </c>
      <c r="B2393" t="s">
        <v>105</v>
      </c>
      <c r="C2393" s="1">
        <v>14976</v>
      </c>
      <c r="D2393">
        <v>85</v>
      </c>
      <c r="E2393" t="s">
        <v>15</v>
      </c>
      <c r="F2393" t="s">
        <v>13</v>
      </c>
      <c r="G2393" s="1">
        <v>45324</v>
      </c>
      <c r="H2393" s="1">
        <v>45821</v>
      </c>
      <c r="I2393">
        <v>15</v>
      </c>
      <c r="J2393" t="s">
        <v>19</v>
      </c>
      <c r="K2393">
        <v>8340.36</v>
      </c>
    </row>
    <row r="2394" spans="1:11">
      <c r="A2394">
        <v>2393</v>
      </c>
      <c r="B2394" t="s">
        <v>82</v>
      </c>
      <c r="C2394" s="1">
        <v>20820</v>
      </c>
      <c r="D2394">
        <v>69</v>
      </c>
      <c r="E2394" t="s">
        <v>15</v>
      </c>
      <c r="F2394" t="s">
        <v>18</v>
      </c>
      <c r="G2394" s="1">
        <v>45451</v>
      </c>
      <c r="H2394" s="1">
        <v>45668</v>
      </c>
      <c r="I2394">
        <v>16</v>
      </c>
      <c r="J2394" t="s">
        <v>19</v>
      </c>
      <c r="K2394">
        <v>19185.82</v>
      </c>
    </row>
    <row r="2395" spans="1:11">
      <c r="A2395">
        <v>2394</v>
      </c>
      <c r="B2395" t="s">
        <v>30</v>
      </c>
      <c r="C2395" s="1">
        <v>45657</v>
      </c>
      <c r="D2395">
        <v>1</v>
      </c>
      <c r="E2395" t="s">
        <v>15</v>
      </c>
      <c r="F2395" t="s">
        <v>18</v>
      </c>
      <c r="G2395" s="1">
        <v>44950</v>
      </c>
      <c r="H2395" s="1">
        <v>45075</v>
      </c>
      <c r="I2395">
        <v>35</v>
      </c>
      <c r="J2395" t="s">
        <v>19</v>
      </c>
      <c r="K2395">
        <v>6306.38</v>
      </c>
    </row>
    <row r="2396" spans="1:11">
      <c r="A2396">
        <v>2395</v>
      </c>
      <c r="B2396" t="s">
        <v>99</v>
      </c>
      <c r="C2396" s="1">
        <v>14611</v>
      </c>
      <c r="D2396">
        <v>86</v>
      </c>
      <c r="E2396" t="s">
        <v>12</v>
      </c>
      <c r="F2396" t="s">
        <v>16</v>
      </c>
      <c r="G2396" s="1">
        <v>45251</v>
      </c>
      <c r="H2396" s="1">
        <v>45793</v>
      </c>
      <c r="I2396">
        <v>26</v>
      </c>
      <c r="J2396" t="s">
        <v>25</v>
      </c>
      <c r="K2396">
        <v>12856.32</v>
      </c>
    </row>
    <row r="2397" spans="1:11">
      <c r="A2397">
        <v>2396</v>
      </c>
      <c r="B2397" t="s">
        <v>27</v>
      </c>
      <c r="C2397" s="1">
        <v>30317</v>
      </c>
      <c r="D2397">
        <v>43</v>
      </c>
      <c r="E2397" t="s">
        <v>12</v>
      </c>
      <c r="F2397" t="s">
        <v>45</v>
      </c>
      <c r="G2397" s="1">
        <v>44960</v>
      </c>
      <c r="H2397" s="1">
        <v>45077</v>
      </c>
      <c r="I2397">
        <v>12</v>
      </c>
      <c r="J2397" t="s">
        <v>23</v>
      </c>
      <c r="K2397">
        <v>6266.21</v>
      </c>
    </row>
    <row r="2398" spans="1:11">
      <c r="A2398">
        <v>2397</v>
      </c>
      <c r="B2398" t="s">
        <v>88</v>
      </c>
      <c r="D2398">
        <v>1</v>
      </c>
      <c r="E2398" t="s">
        <v>15</v>
      </c>
      <c r="F2398" t="s">
        <v>21</v>
      </c>
      <c r="G2398" s="1">
        <v>45173</v>
      </c>
      <c r="H2398" s="1">
        <v>45743</v>
      </c>
      <c r="I2398">
        <v>4</v>
      </c>
      <c r="K2398">
        <v>2124.5700000000002</v>
      </c>
    </row>
    <row r="2399" spans="1:11">
      <c r="A2399">
        <v>2398</v>
      </c>
      <c r="B2399" t="s">
        <v>78</v>
      </c>
      <c r="C2399" s="1">
        <v>16802</v>
      </c>
      <c r="D2399">
        <v>80</v>
      </c>
      <c r="E2399" t="s">
        <v>15</v>
      </c>
      <c r="G2399" s="1">
        <v>44945</v>
      </c>
      <c r="H2399" s="1">
        <v>45183</v>
      </c>
      <c r="I2399">
        <v>34</v>
      </c>
      <c r="K2399">
        <v>12513.7</v>
      </c>
    </row>
    <row r="2400" spans="1:11">
      <c r="A2400">
        <v>2399</v>
      </c>
      <c r="B2400" t="s">
        <v>150</v>
      </c>
      <c r="C2400" s="1">
        <v>33604</v>
      </c>
      <c r="D2400">
        <v>34</v>
      </c>
      <c r="E2400" t="s">
        <v>12</v>
      </c>
      <c r="G2400" s="1">
        <v>44956</v>
      </c>
      <c r="H2400" s="1">
        <v>45009</v>
      </c>
      <c r="I2400">
        <v>34</v>
      </c>
      <c r="J2400" t="s">
        <v>25</v>
      </c>
      <c r="K2400">
        <v>18312.23</v>
      </c>
    </row>
    <row r="2401" spans="1:11">
      <c r="A2401">
        <v>2400</v>
      </c>
      <c r="B2401" t="s">
        <v>96</v>
      </c>
      <c r="D2401">
        <v>86</v>
      </c>
      <c r="E2401" t="s">
        <v>15</v>
      </c>
      <c r="F2401" t="s">
        <v>13</v>
      </c>
      <c r="G2401" s="1">
        <v>44975</v>
      </c>
      <c r="H2401" s="1">
        <v>44943</v>
      </c>
      <c r="I2401">
        <v>4</v>
      </c>
      <c r="J2401" t="s">
        <v>19</v>
      </c>
      <c r="K2401">
        <v>8996.5499999999993</v>
      </c>
    </row>
    <row r="2402" spans="1:11">
      <c r="A2402">
        <v>2401</v>
      </c>
      <c r="B2402" t="s">
        <v>149</v>
      </c>
      <c r="C2402" s="1">
        <v>35430</v>
      </c>
      <c r="D2402">
        <v>29</v>
      </c>
      <c r="E2402" t="s">
        <v>15</v>
      </c>
      <c r="F2402" t="s">
        <v>32</v>
      </c>
      <c r="G2402" s="1">
        <v>45106</v>
      </c>
      <c r="H2402" s="1">
        <v>45120</v>
      </c>
      <c r="I2402">
        <v>19</v>
      </c>
      <c r="J2402" t="s">
        <v>25</v>
      </c>
      <c r="K2402">
        <v>12486.15</v>
      </c>
    </row>
    <row r="2403" spans="1:11">
      <c r="A2403">
        <v>2402</v>
      </c>
      <c r="B2403" t="s">
        <v>89</v>
      </c>
      <c r="C2403" s="1">
        <v>43466</v>
      </c>
      <c r="D2403">
        <v>7</v>
      </c>
      <c r="E2403" t="s">
        <v>15</v>
      </c>
      <c r="G2403" s="1">
        <v>45296</v>
      </c>
      <c r="H2403" s="1">
        <v>45650</v>
      </c>
      <c r="I2403">
        <v>9</v>
      </c>
      <c r="K2403">
        <v>12138.86</v>
      </c>
    </row>
    <row r="2404" spans="1:11">
      <c r="A2404">
        <v>2403</v>
      </c>
      <c r="B2404" t="s">
        <v>20</v>
      </c>
      <c r="C2404" s="1">
        <v>38352</v>
      </c>
      <c r="D2404">
        <v>21</v>
      </c>
      <c r="E2404" t="s">
        <v>15</v>
      </c>
      <c r="F2404" t="s">
        <v>18</v>
      </c>
      <c r="G2404" s="1">
        <v>45321</v>
      </c>
      <c r="H2404" s="1">
        <v>45001</v>
      </c>
      <c r="I2404">
        <v>5</v>
      </c>
      <c r="J2404" t="s">
        <v>19</v>
      </c>
      <c r="K2404">
        <v>8243.2999999999993</v>
      </c>
    </row>
    <row r="2405" spans="1:11">
      <c r="A2405">
        <v>2404</v>
      </c>
      <c r="B2405" t="s">
        <v>119</v>
      </c>
      <c r="C2405" s="1">
        <v>30317</v>
      </c>
      <c r="D2405">
        <v>43</v>
      </c>
      <c r="E2405" t="s">
        <v>12</v>
      </c>
      <c r="F2405" t="s">
        <v>21</v>
      </c>
      <c r="G2405" s="1">
        <v>45516</v>
      </c>
      <c r="H2405" s="1">
        <v>45204</v>
      </c>
      <c r="I2405">
        <v>15</v>
      </c>
      <c r="J2405" t="s">
        <v>25</v>
      </c>
      <c r="K2405">
        <v>12259.42</v>
      </c>
    </row>
    <row r="2406" spans="1:11">
      <c r="A2406">
        <v>2405</v>
      </c>
      <c r="B2406" t="s">
        <v>20</v>
      </c>
      <c r="C2406" s="1">
        <v>25203</v>
      </c>
      <c r="D2406">
        <v>57</v>
      </c>
      <c r="E2406" t="s">
        <v>12</v>
      </c>
      <c r="F2406" t="s">
        <v>45</v>
      </c>
      <c r="G2406" s="1">
        <v>45422</v>
      </c>
      <c r="H2406" s="1">
        <v>44988</v>
      </c>
      <c r="I2406">
        <v>25</v>
      </c>
      <c r="K2406">
        <v>5112.29</v>
      </c>
    </row>
    <row r="2407" spans="1:11">
      <c r="A2407">
        <v>2406</v>
      </c>
      <c r="B2407" t="s">
        <v>140</v>
      </c>
      <c r="C2407" s="1">
        <v>33239</v>
      </c>
      <c r="D2407">
        <v>35</v>
      </c>
      <c r="E2407" t="s">
        <v>15</v>
      </c>
      <c r="F2407" t="s">
        <v>21</v>
      </c>
      <c r="G2407" s="1">
        <v>45357</v>
      </c>
      <c r="H2407" s="1">
        <v>45463</v>
      </c>
      <c r="I2407">
        <v>15</v>
      </c>
      <c r="K2407">
        <v>7498.56</v>
      </c>
    </row>
    <row r="2408" spans="1:11">
      <c r="A2408">
        <v>2407</v>
      </c>
      <c r="B2408" t="s">
        <v>85</v>
      </c>
      <c r="C2408" s="1">
        <v>21185</v>
      </c>
      <c r="D2408">
        <v>68</v>
      </c>
      <c r="E2408" t="s">
        <v>15</v>
      </c>
      <c r="F2408" t="s">
        <v>13</v>
      </c>
      <c r="G2408" s="1">
        <v>45133</v>
      </c>
      <c r="H2408" s="1">
        <v>45462</v>
      </c>
      <c r="I2408">
        <v>28</v>
      </c>
      <c r="J2408" t="s">
        <v>25</v>
      </c>
      <c r="K2408">
        <v>8790.61</v>
      </c>
    </row>
    <row r="2409" spans="1:11">
      <c r="A2409">
        <v>2408</v>
      </c>
      <c r="B2409" t="s">
        <v>135</v>
      </c>
      <c r="C2409" s="1">
        <v>18263</v>
      </c>
      <c r="D2409">
        <v>76</v>
      </c>
      <c r="E2409" t="s">
        <v>15</v>
      </c>
      <c r="F2409" t="s">
        <v>21</v>
      </c>
      <c r="G2409" s="1">
        <v>44961</v>
      </c>
      <c r="H2409" s="1">
        <v>45270</v>
      </c>
      <c r="I2409">
        <v>14</v>
      </c>
      <c r="K2409">
        <v>17266.57</v>
      </c>
    </row>
    <row r="2410" spans="1:11">
      <c r="A2410">
        <v>2409</v>
      </c>
      <c r="B2410" t="s">
        <v>118</v>
      </c>
      <c r="C2410" s="1">
        <v>12419</v>
      </c>
      <c r="D2410">
        <v>92</v>
      </c>
      <c r="E2410" t="s">
        <v>15</v>
      </c>
      <c r="F2410" t="s">
        <v>13</v>
      </c>
      <c r="G2410" s="1">
        <v>45509</v>
      </c>
      <c r="H2410" s="1">
        <v>45322</v>
      </c>
      <c r="I2410">
        <v>20</v>
      </c>
      <c r="J2410" t="s">
        <v>23</v>
      </c>
      <c r="K2410">
        <v>6901.49</v>
      </c>
    </row>
    <row r="2411" spans="1:11">
      <c r="A2411">
        <v>2410</v>
      </c>
      <c r="B2411" t="s">
        <v>169</v>
      </c>
      <c r="D2411">
        <v>30</v>
      </c>
      <c r="F2411" t="s">
        <v>16</v>
      </c>
      <c r="G2411" s="1">
        <v>45339</v>
      </c>
      <c r="H2411" s="1">
        <v>45185</v>
      </c>
      <c r="I2411">
        <v>8</v>
      </c>
      <c r="J2411" t="s">
        <v>23</v>
      </c>
      <c r="K2411">
        <v>12666.25</v>
      </c>
    </row>
    <row r="2412" spans="1:11">
      <c r="A2412">
        <v>2411</v>
      </c>
      <c r="B2412" t="s">
        <v>26</v>
      </c>
      <c r="C2412" s="1">
        <v>29221</v>
      </c>
      <c r="D2412">
        <v>46</v>
      </c>
      <c r="E2412" t="s">
        <v>12</v>
      </c>
      <c r="F2412" t="s">
        <v>18</v>
      </c>
      <c r="G2412" s="1">
        <v>45290</v>
      </c>
      <c r="H2412" s="1">
        <v>45125</v>
      </c>
      <c r="I2412">
        <v>12</v>
      </c>
      <c r="J2412" t="s">
        <v>19</v>
      </c>
      <c r="K2412">
        <v>4189.42</v>
      </c>
    </row>
    <row r="2413" spans="1:11">
      <c r="A2413">
        <v>2412</v>
      </c>
      <c r="B2413" t="s">
        <v>39</v>
      </c>
      <c r="C2413" s="1">
        <v>26299</v>
      </c>
      <c r="E2413" t="s">
        <v>12</v>
      </c>
      <c r="F2413" t="s">
        <v>18</v>
      </c>
      <c r="G2413" s="1">
        <v>45236</v>
      </c>
      <c r="H2413" s="1">
        <v>44980</v>
      </c>
      <c r="I2413">
        <v>27</v>
      </c>
      <c r="J2413" t="s">
        <v>23</v>
      </c>
      <c r="K2413">
        <v>4976.6499999999996</v>
      </c>
    </row>
    <row r="2414" spans="1:11">
      <c r="A2414">
        <v>2413</v>
      </c>
      <c r="B2414" t="s">
        <v>101</v>
      </c>
      <c r="C2414" s="1">
        <v>17168</v>
      </c>
      <c r="D2414">
        <v>79</v>
      </c>
      <c r="E2414" t="s">
        <v>12</v>
      </c>
      <c r="F2414" t="s">
        <v>13</v>
      </c>
      <c r="G2414" s="1">
        <v>45205</v>
      </c>
      <c r="H2414" s="1">
        <v>45578</v>
      </c>
      <c r="I2414">
        <v>28</v>
      </c>
      <c r="J2414" t="s">
        <v>23</v>
      </c>
      <c r="K2414">
        <v>12933.42</v>
      </c>
    </row>
    <row r="2415" spans="1:11">
      <c r="A2415">
        <v>2414</v>
      </c>
      <c r="B2415" t="s">
        <v>137</v>
      </c>
      <c r="C2415" s="1">
        <v>23742</v>
      </c>
      <c r="D2415">
        <v>61</v>
      </c>
      <c r="E2415" t="s">
        <v>12</v>
      </c>
      <c r="F2415" t="s">
        <v>32</v>
      </c>
      <c r="G2415" s="1">
        <v>45078</v>
      </c>
      <c r="H2415" s="1">
        <v>45198</v>
      </c>
      <c r="I2415">
        <v>3</v>
      </c>
      <c r="J2415" t="s">
        <v>25</v>
      </c>
      <c r="K2415">
        <v>15222.43</v>
      </c>
    </row>
    <row r="2416" spans="1:11">
      <c r="A2416">
        <v>2415</v>
      </c>
      <c r="B2416" t="s">
        <v>127</v>
      </c>
      <c r="C2416" s="1">
        <v>35430</v>
      </c>
      <c r="D2416">
        <v>29</v>
      </c>
      <c r="E2416" t="s">
        <v>12</v>
      </c>
      <c r="F2416" t="s">
        <v>18</v>
      </c>
      <c r="G2416" s="1">
        <v>45153</v>
      </c>
      <c r="H2416" s="1">
        <v>45128</v>
      </c>
      <c r="I2416">
        <v>9</v>
      </c>
      <c r="J2416" t="s">
        <v>19</v>
      </c>
      <c r="K2416">
        <v>9188.56</v>
      </c>
    </row>
    <row r="2417" spans="1:11">
      <c r="A2417">
        <v>2416</v>
      </c>
      <c r="B2417" t="s">
        <v>105</v>
      </c>
      <c r="C2417" s="1">
        <v>26299</v>
      </c>
      <c r="D2417">
        <v>54</v>
      </c>
      <c r="E2417" t="s">
        <v>15</v>
      </c>
      <c r="F2417" t="s">
        <v>32</v>
      </c>
      <c r="G2417" s="1">
        <v>45169</v>
      </c>
      <c r="H2417" s="1">
        <v>45323</v>
      </c>
      <c r="I2417">
        <v>20</v>
      </c>
      <c r="J2417" t="s">
        <v>25</v>
      </c>
      <c r="K2417">
        <v>6635.5</v>
      </c>
    </row>
    <row r="2418" spans="1:11">
      <c r="A2418">
        <v>2417</v>
      </c>
      <c r="B2418" t="s">
        <v>114</v>
      </c>
      <c r="C2418" s="1">
        <v>40544</v>
      </c>
      <c r="D2418">
        <v>15</v>
      </c>
      <c r="E2418" t="s">
        <v>15</v>
      </c>
      <c r="F2418" t="s">
        <v>13</v>
      </c>
      <c r="G2418" s="1">
        <v>44936</v>
      </c>
      <c r="H2418" s="1">
        <v>45305</v>
      </c>
      <c r="I2418">
        <v>36</v>
      </c>
      <c r="J2418" t="s">
        <v>25</v>
      </c>
      <c r="K2418">
        <v>18196.46</v>
      </c>
    </row>
    <row r="2419" spans="1:11">
      <c r="A2419">
        <v>2418</v>
      </c>
      <c r="B2419" t="s">
        <v>119</v>
      </c>
      <c r="C2419" s="1">
        <v>42005</v>
      </c>
      <c r="D2419">
        <v>11</v>
      </c>
      <c r="E2419" t="s">
        <v>12</v>
      </c>
      <c r="F2419" t="s">
        <v>16</v>
      </c>
      <c r="G2419" s="1">
        <v>45318</v>
      </c>
      <c r="H2419" s="1">
        <v>45818</v>
      </c>
      <c r="I2419">
        <v>37</v>
      </c>
      <c r="J2419" t="s">
        <v>23</v>
      </c>
      <c r="K2419">
        <v>2629.74</v>
      </c>
    </row>
    <row r="2420" spans="1:11">
      <c r="A2420">
        <v>2419</v>
      </c>
      <c r="B2420" t="s">
        <v>40</v>
      </c>
      <c r="C2420" s="1">
        <v>40178</v>
      </c>
      <c r="D2420">
        <v>16</v>
      </c>
      <c r="E2420" t="s">
        <v>15</v>
      </c>
      <c r="F2420" t="s">
        <v>13</v>
      </c>
      <c r="G2420" s="1">
        <v>44974</v>
      </c>
      <c r="H2420" s="1">
        <v>45603</v>
      </c>
      <c r="I2420">
        <v>33</v>
      </c>
      <c r="J2420" t="s">
        <v>23</v>
      </c>
      <c r="K2420">
        <v>14386.36</v>
      </c>
    </row>
    <row r="2421" spans="1:11">
      <c r="A2421">
        <v>2420</v>
      </c>
      <c r="B2421" t="s">
        <v>41</v>
      </c>
      <c r="C2421" s="1">
        <v>40544</v>
      </c>
      <c r="D2421">
        <v>15</v>
      </c>
      <c r="F2421" t="s">
        <v>16</v>
      </c>
      <c r="G2421" s="1">
        <v>45550</v>
      </c>
      <c r="H2421" s="1">
        <v>45531</v>
      </c>
      <c r="I2421">
        <v>32</v>
      </c>
      <c r="K2421">
        <v>13772.43</v>
      </c>
    </row>
    <row r="2422" spans="1:11">
      <c r="A2422">
        <v>2421</v>
      </c>
      <c r="B2422" t="s">
        <v>98</v>
      </c>
      <c r="C2422" s="1">
        <v>42005</v>
      </c>
      <c r="D2422">
        <v>11</v>
      </c>
      <c r="E2422" t="s">
        <v>12</v>
      </c>
      <c r="G2422" s="1">
        <v>45130</v>
      </c>
      <c r="H2422" s="1">
        <v>45462</v>
      </c>
      <c r="I2422">
        <v>0</v>
      </c>
      <c r="K2422">
        <v>13773.93</v>
      </c>
    </row>
    <row r="2423" spans="1:11">
      <c r="A2423">
        <v>2422</v>
      </c>
      <c r="B2423" t="s">
        <v>41</v>
      </c>
      <c r="C2423" s="1">
        <v>43466</v>
      </c>
      <c r="D2423">
        <v>7</v>
      </c>
      <c r="E2423" t="s">
        <v>12</v>
      </c>
      <c r="F2423" t="s">
        <v>18</v>
      </c>
      <c r="G2423" s="1">
        <v>45083</v>
      </c>
      <c r="H2423" s="1">
        <v>45015</v>
      </c>
      <c r="I2423">
        <v>39</v>
      </c>
      <c r="J2423" t="s">
        <v>19</v>
      </c>
      <c r="K2423">
        <v>18701.95</v>
      </c>
    </row>
    <row r="2424" spans="1:11">
      <c r="A2424">
        <v>2423</v>
      </c>
      <c r="B2424" t="s">
        <v>36</v>
      </c>
      <c r="C2424" s="1">
        <v>15707</v>
      </c>
      <c r="D2424">
        <v>83</v>
      </c>
      <c r="E2424" t="s">
        <v>15</v>
      </c>
      <c r="F2424" t="s">
        <v>32</v>
      </c>
      <c r="G2424" s="1">
        <v>44952</v>
      </c>
      <c r="H2424" s="1">
        <v>45325</v>
      </c>
      <c r="I2424">
        <v>25</v>
      </c>
      <c r="J2424" t="s">
        <v>23</v>
      </c>
      <c r="K2424">
        <v>14536.63</v>
      </c>
    </row>
    <row r="2425" spans="1:11">
      <c r="A2425">
        <v>2424</v>
      </c>
      <c r="B2425" t="s">
        <v>103</v>
      </c>
      <c r="C2425" s="1">
        <v>45292</v>
      </c>
      <c r="D2425">
        <v>2</v>
      </c>
      <c r="E2425" t="s">
        <v>12</v>
      </c>
      <c r="F2425" t="s">
        <v>13</v>
      </c>
      <c r="G2425" s="1">
        <v>45347</v>
      </c>
      <c r="H2425" s="1">
        <v>45109</v>
      </c>
      <c r="I2425">
        <v>12</v>
      </c>
      <c r="K2425">
        <v>5961.46</v>
      </c>
    </row>
    <row r="2426" spans="1:11">
      <c r="A2426">
        <v>2425</v>
      </c>
      <c r="B2426" t="s">
        <v>71</v>
      </c>
      <c r="C2426" s="1">
        <v>40544</v>
      </c>
      <c r="D2426">
        <v>15</v>
      </c>
      <c r="E2426" t="s">
        <v>15</v>
      </c>
      <c r="G2426" s="1">
        <v>45604</v>
      </c>
      <c r="H2426" s="1">
        <v>45794</v>
      </c>
      <c r="I2426">
        <v>10</v>
      </c>
      <c r="J2426" t="s">
        <v>25</v>
      </c>
      <c r="K2426">
        <v>7003.53</v>
      </c>
    </row>
    <row r="2427" spans="1:11">
      <c r="A2427">
        <v>2426</v>
      </c>
      <c r="B2427" t="s">
        <v>67</v>
      </c>
      <c r="C2427" s="1">
        <v>35430</v>
      </c>
      <c r="D2427">
        <v>29</v>
      </c>
      <c r="F2427" t="s">
        <v>18</v>
      </c>
      <c r="G2427" s="1">
        <v>45190</v>
      </c>
      <c r="H2427" s="1">
        <v>45210</v>
      </c>
      <c r="I2427">
        <v>16</v>
      </c>
      <c r="J2427" t="s">
        <v>23</v>
      </c>
      <c r="K2427">
        <v>7761.33</v>
      </c>
    </row>
    <row r="2428" spans="1:11">
      <c r="A2428">
        <v>2427</v>
      </c>
      <c r="B2428" t="s">
        <v>62</v>
      </c>
      <c r="C2428" s="1">
        <v>37987</v>
      </c>
      <c r="D2428">
        <v>22</v>
      </c>
      <c r="E2428" t="s">
        <v>15</v>
      </c>
      <c r="G2428" s="1">
        <v>45455</v>
      </c>
      <c r="H2428" s="1">
        <v>45460</v>
      </c>
      <c r="I2428">
        <v>37</v>
      </c>
      <c r="J2428" t="s">
        <v>19</v>
      </c>
      <c r="K2428">
        <v>519.25</v>
      </c>
    </row>
    <row r="2429" spans="1:11">
      <c r="A2429">
        <v>2428</v>
      </c>
      <c r="B2429" t="s">
        <v>161</v>
      </c>
      <c r="C2429" s="1">
        <v>12785</v>
      </c>
      <c r="D2429">
        <v>91</v>
      </c>
      <c r="E2429" t="s">
        <v>12</v>
      </c>
      <c r="F2429" t="s">
        <v>16</v>
      </c>
      <c r="G2429" s="1">
        <v>45514</v>
      </c>
      <c r="H2429" s="1">
        <v>45488</v>
      </c>
      <c r="I2429">
        <v>15</v>
      </c>
      <c r="J2429" t="s">
        <v>19</v>
      </c>
      <c r="K2429">
        <v>18261.560000000001</v>
      </c>
    </row>
    <row r="2430" spans="1:11">
      <c r="A2430">
        <v>2429</v>
      </c>
      <c r="B2430" t="s">
        <v>84</v>
      </c>
      <c r="C2430" s="1">
        <v>44561</v>
      </c>
      <c r="D2430">
        <v>4</v>
      </c>
      <c r="E2430" t="s">
        <v>12</v>
      </c>
      <c r="F2430" t="s">
        <v>13</v>
      </c>
      <c r="G2430" s="1">
        <v>45396</v>
      </c>
      <c r="H2430" s="1">
        <v>45117</v>
      </c>
      <c r="I2430">
        <v>28</v>
      </c>
      <c r="J2430" t="s">
        <v>25</v>
      </c>
      <c r="K2430">
        <v>1378.41</v>
      </c>
    </row>
    <row r="2431" spans="1:11">
      <c r="A2431">
        <v>2430</v>
      </c>
      <c r="B2431" t="s">
        <v>85</v>
      </c>
      <c r="C2431" s="1">
        <v>15707</v>
      </c>
      <c r="D2431">
        <v>83</v>
      </c>
      <c r="E2431" t="s">
        <v>15</v>
      </c>
      <c r="G2431" s="1">
        <v>45180</v>
      </c>
      <c r="H2431" s="1">
        <v>45132</v>
      </c>
      <c r="I2431">
        <v>34</v>
      </c>
      <c r="K2431">
        <v>13965.87</v>
      </c>
    </row>
    <row r="2432" spans="1:11">
      <c r="A2432">
        <v>2431</v>
      </c>
      <c r="B2432" t="s">
        <v>95</v>
      </c>
      <c r="C2432" s="1">
        <v>22646</v>
      </c>
      <c r="E2432" t="s">
        <v>15</v>
      </c>
      <c r="G2432" s="1">
        <v>45644</v>
      </c>
      <c r="H2432" s="1">
        <v>44971</v>
      </c>
      <c r="I2432">
        <v>18</v>
      </c>
      <c r="J2432" t="s">
        <v>25</v>
      </c>
      <c r="K2432">
        <v>14576.24</v>
      </c>
    </row>
    <row r="2433" spans="1:11">
      <c r="A2433">
        <v>2432</v>
      </c>
      <c r="B2433" t="s">
        <v>111</v>
      </c>
      <c r="C2433" s="1">
        <v>35430</v>
      </c>
      <c r="D2433">
        <v>29</v>
      </c>
      <c r="F2433" t="s">
        <v>16</v>
      </c>
      <c r="G2433" s="1">
        <v>45472</v>
      </c>
      <c r="H2433" s="1">
        <v>45227</v>
      </c>
      <c r="I2433">
        <v>36</v>
      </c>
      <c r="K2433">
        <v>16858.669999999998</v>
      </c>
    </row>
    <row r="2434" spans="1:11">
      <c r="A2434">
        <v>2433</v>
      </c>
      <c r="B2434" t="s">
        <v>166</v>
      </c>
      <c r="C2434" s="1">
        <v>38717</v>
      </c>
      <c r="D2434">
        <v>20</v>
      </c>
      <c r="E2434" t="s">
        <v>15</v>
      </c>
      <c r="F2434" t="s">
        <v>21</v>
      </c>
      <c r="G2434" s="1">
        <v>45073</v>
      </c>
      <c r="H2434" s="1">
        <v>45567</v>
      </c>
      <c r="I2434">
        <v>2</v>
      </c>
      <c r="J2434" t="s">
        <v>23</v>
      </c>
      <c r="K2434">
        <v>11022.58</v>
      </c>
    </row>
    <row r="2435" spans="1:11">
      <c r="A2435">
        <v>2434</v>
      </c>
      <c r="B2435" t="s">
        <v>154</v>
      </c>
      <c r="C2435" s="1">
        <v>15707</v>
      </c>
      <c r="D2435">
        <v>83</v>
      </c>
      <c r="E2435" t="s">
        <v>12</v>
      </c>
      <c r="F2435" t="s">
        <v>16</v>
      </c>
      <c r="G2435" s="1">
        <v>45252</v>
      </c>
      <c r="H2435" s="1">
        <v>45628</v>
      </c>
      <c r="I2435">
        <v>14</v>
      </c>
      <c r="J2435" t="s">
        <v>19</v>
      </c>
      <c r="K2435">
        <v>14477.81</v>
      </c>
    </row>
    <row r="2436" spans="1:11">
      <c r="A2436">
        <v>2435</v>
      </c>
      <c r="B2436" t="s">
        <v>64</v>
      </c>
      <c r="C2436" s="1">
        <v>20820</v>
      </c>
      <c r="D2436">
        <v>69</v>
      </c>
      <c r="E2436" t="s">
        <v>15</v>
      </c>
      <c r="F2436" t="s">
        <v>21</v>
      </c>
      <c r="G2436" s="1">
        <v>45264</v>
      </c>
      <c r="H2436" s="1">
        <v>45609</v>
      </c>
      <c r="I2436">
        <v>16</v>
      </c>
      <c r="K2436">
        <v>5984.73</v>
      </c>
    </row>
    <row r="2437" spans="1:11">
      <c r="A2437">
        <v>2436</v>
      </c>
      <c r="B2437" t="s">
        <v>30</v>
      </c>
      <c r="C2437" s="1">
        <v>38352</v>
      </c>
      <c r="E2437" t="s">
        <v>12</v>
      </c>
      <c r="F2437" t="s">
        <v>18</v>
      </c>
      <c r="G2437" s="1">
        <v>45044</v>
      </c>
      <c r="H2437" s="1">
        <v>45206</v>
      </c>
      <c r="I2437">
        <v>1</v>
      </c>
      <c r="J2437" t="s">
        <v>25</v>
      </c>
      <c r="K2437">
        <v>14886.24</v>
      </c>
    </row>
    <row r="2438" spans="1:11">
      <c r="A2438">
        <v>2437</v>
      </c>
      <c r="B2438" t="s">
        <v>122</v>
      </c>
      <c r="C2438" s="1">
        <v>16437</v>
      </c>
      <c r="D2438">
        <v>81</v>
      </c>
      <c r="E2438" t="s">
        <v>12</v>
      </c>
      <c r="F2438" t="s">
        <v>13</v>
      </c>
      <c r="G2438" s="1">
        <v>45091</v>
      </c>
      <c r="H2438" s="1">
        <v>45640</v>
      </c>
      <c r="I2438">
        <v>23</v>
      </c>
      <c r="J2438" t="s">
        <v>23</v>
      </c>
      <c r="K2438">
        <v>6802.66</v>
      </c>
    </row>
    <row r="2439" spans="1:11">
      <c r="A2439">
        <v>2438</v>
      </c>
      <c r="B2439" t="s">
        <v>51</v>
      </c>
      <c r="C2439" s="1">
        <v>20090</v>
      </c>
      <c r="D2439">
        <v>71</v>
      </c>
      <c r="E2439" t="s">
        <v>15</v>
      </c>
      <c r="G2439" s="1">
        <v>45476</v>
      </c>
      <c r="H2439" s="1">
        <v>45312</v>
      </c>
      <c r="I2439">
        <v>21</v>
      </c>
      <c r="K2439">
        <v>18047.05</v>
      </c>
    </row>
    <row r="2440" spans="1:11">
      <c r="A2440">
        <v>2439</v>
      </c>
      <c r="B2440" t="s">
        <v>135</v>
      </c>
      <c r="C2440" s="1">
        <v>34700</v>
      </c>
      <c r="D2440">
        <v>31</v>
      </c>
      <c r="E2440" t="s">
        <v>15</v>
      </c>
      <c r="F2440" t="s">
        <v>18</v>
      </c>
      <c r="G2440" s="1">
        <v>45575</v>
      </c>
      <c r="H2440" s="1">
        <v>45564</v>
      </c>
      <c r="I2440">
        <v>36</v>
      </c>
      <c r="J2440" t="s">
        <v>23</v>
      </c>
      <c r="K2440">
        <v>3183.97</v>
      </c>
    </row>
    <row r="2441" spans="1:11">
      <c r="A2441">
        <v>2440</v>
      </c>
      <c r="B2441" t="s">
        <v>34</v>
      </c>
      <c r="C2441" s="1">
        <v>34334</v>
      </c>
      <c r="D2441">
        <v>32</v>
      </c>
      <c r="E2441" t="s">
        <v>12</v>
      </c>
      <c r="F2441" t="s">
        <v>45</v>
      </c>
      <c r="G2441" s="1">
        <v>45124</v>
      </c>
      <c r="H2441" s="1">
        <v>45731</v>
      </c>
      <c r="I2441">
        <v>35</v>
      </c>
      <c r="J2441" t="s">
        <v>23</v>
      </c>
      <c r="K2441">
        <v>6246.72</v>
      </c>
    </row>
    <row r="2442" spans="1:11">
      <c r="A2442">
        <v>2441</v>
      </c>
      <c r="B2442" t="s">
        <v>123</v>
      </c>
      <c r="C2442" s="1">
        <v>40544</v>
      </c>
      <c r="D2442">
        <v>15</v>
      </c>
      <c r="E2442" t="s">
        <v>15</v>
      </c>
      <c r="F2442" t="s">
        <v>16</v>
      </c>
      <c r="G2442" s="1">
        <v>45300</v>
      </c>
      <c r="H2442" s="1">
        <v>45238</v>
      </c>
      <c r="I2442">
        <v>16</v>
      </c>
      <c r="J2442" t="s">
        <v>25</v>
      </c>
      <c r="K2442">
        <v>9925.27</v>
      </c>
    </row>
    <row r="2443" spans="1:11">
      <c r="A2443">
        <v>2442</v>
      </c>
      <c r="B2443" t="s">
        <v>121</v>
      </c>
      <c r="C2443" s="1">
        <v>18629</v>
      </c>
      <c r="D2443">
        <v>75</v>
      </c>
      <c r="E2443" t="s">
        <v>15</v>
      </c>
      <c r="F2443" t="s">
        <v>18</v>
      </c>
      <c r="G2443" s="1">
        <v>45504</v>
      </c>
      <c r="H2443" s="1">
        <v>45805</v>
      </c>
      <c r="I2443">
        <v>27</v>
      </c>
      <c r="J2443" t="s">
        <v>25</v>
      </c>
      <c r="K2443">
        <v>15494.6</v>
      </c>
    </row>
    <row r="2444" spans="1:11">
      <c r="A2444">
        <v>2443</v>
      </c>
      <c r="B2444" t="s">
        <v>87</v>
      </c>
      <c r="C2444" s="1">
        <v>32508</v>
      </c>
      <c r="D2444">
        <v>37</v>
      </c>
      <c r="E2444" t="s">
        <v>12</v>
      </c>
      <c r="F2444" t="s">
        <v>18</v>
      </c>
      <c r="G2444" s="1">
        <v>45518</v>
      </c>
      <c r="H2444" s="1">
        <v>45455</v>
      </c>
      <c r="I2444">
        <v>23</v>
      </c>
      <c r="J2444" t="s">
        <v>23</v>
      </c>
      <c r="K2444">
        <v>14950.86</v>
      </c>
    </row>
    <row r="2445" spans="1:11">
      <c r="A2445">
        <v>2444</v>
      </c>
      <c r="B2445" t="s">
        <v>163</v>
      </c>
      <c r="C2445" s="1">
        <v>41274</v>
      </c>
      <c r="D2445">
        <v>13</v>
      </c>
      <c r="E2445" t="s">
        <v>15</v>
      </c>
      <c r="G2445" s="1">
        <v>45490</v>
      </c>
      <c r="H2445" s="1">
        <v>45784</v>
      </c>
      <c r="I2445">
        <v>8</v>
      </c>
      <c r="J2445" t="s">
        <v>23</v>
      </c>
      <c r="K2445">
        <v>4135.41</v>
      </c>
    </row>
    <row r="2446" spans="1:11">
      <c r="A2446">
        <v>2445</v>
      </c>
      <c r="B2446" t="s">
        <v>69</v>
      </c>
      <c r="C2446" s="1">
        <v>33239</v>
      </c>
      <c r="D2446">
        <v>35</v>
      </c>
      <c r="E2446" t="s">
        <v>15</v>
      </c>
      <c r="F2446" t="s">
        <v>21</v>
      </c>
      <c r="G2446" s="1">
        <v>45055</v>
      </c>
      <c r="H2446" s="1">
        <v>45201</v>
      </c>
      <c r="I2446">
        <v>36</v>
      </c>
      <c r="K2446">
        <v>2799.14</v>
      </c>
    </row>
    <row r="2447" spans="1:11">
      <c r="A2447">
        <v>2446</v>
      </c>
      <c r="B2447" t="s">
        <v>162</v>
      </c>
      <c r="C2447" s="1">
        <v>37987</v>
      </c>
      <c r="D2447">
        <v>22</v>
      </c>
      <c r="E2447" t="s">
        <v>12</v>
      </c>
      <c r="F2447" t="s">
        <v>16</v>
      </c>
      <c r="G2447" s="1">
        <v>45340</v>
      </c>
      <c r="H2447" s="1">
        <v>45409</v>
      </c>
      <c r="I2447">
        <v>0</v>
      </c>
      <c r="J2447" t="s">
        <v>25</v>
      </c>
      <c r="K2447">
        <v>6009.79</v>
      </c>
    </row>
    <row r="2448" spans="1:11">
      <c r="A2448">
        <v>2447</v>
      </c>
      <c r="B2448" t="s">
        <v>99</v>
      </c>
      <c r="C2448" s="1">
        <v>22281</v>
      </c>
      <c r="D2448">
        <v>65</v>
      </c>
      <c r="E2448" t="s">
        <v>15</v>
      </c>
      <c r="F2448" t="s">
        <v>21</v>
      </c>
      <c r="G2448" s="1">
        <v>45306</v>
      </c>
      <c r="H2448" s="1">
        <v>45733</v>
      </c>
      <c r="I2448">
        <v>19</v>
      </c>
      <c r="K2448">
        <v>9623.4599999999991</v>
      </c>
    </row>
    <row r="2449" spans="1:11">
      <c r="A2449">
        <v>2448</v>
      </c>
      <c r="B2449" t="s">
        <v>71</v>
      </c>
      <c r="C2449" s="1">
        <v>15341</v>
      </c>
      <c r="D2449">
        <v>84</v>
      </c>
      <c r="E2449" t="s">
        <v>15</v>
      </c>
      <c r="F2449" t="s">
        <v>13</v>
      </c>
      <c r="G2449" s="1">
        <v>44927</v>
      </c>
      <c r="H2449" s="1">
        <v>45378</v>
      </c>
      <c r="I2449">
        <v>14</v>
      </c>
      <c r="J2449" t="s">
        <v>19</v>
      </c>
      <c r="K2449">
        <v>10734</v>
      </c>
    </row>
    <row r="2450" spans="1:11">
      <c r="A2450">
        <v>2449</v>
      </c>
      <c r="B2450" t="s">
        <v>20</v>
      </c>
      <c r="C2450" s="1">
        <v>45657</v>
      </c>
      <c r="D2450">
        <v>1</v>
      </c>
      <c r="E2450" t="s">
        <v>15</v>
      </c>
      <c r="F2450" t="s">
        <v>18</v>
      </c>
      <c r="G2450" s="1">
        <v>45093</v>
      </c>
      <c r="H2450" s="1">
        <v>45459</v>
      </c>
      <c r="I2450">
        <v>8</v>
      </c>
      <c r="K2450">
        <v>8525.67</v>
      </c>
    </row>
    <row r="2451" spans="1:11">
      <c r="A2451">
        <v>2450</v>
      </c>
      <c r="B2451" t="s">
        <v>74</v>
      </c>
      <c r="C2451" s="1">
        <v>13150</v>
      </c>
      <c r="D2451">
        <v>90</v>
      </c>
      <c r="E2451" t="s">
        <v>12</v>
      </c>
      <c r="F2451" t="s">
        <v>16</v>
      </c>
      <c r="G2451" s="1">
        <v>44942</v>
      </c>
      <c r="H2451" s="1">
        <v>45458</v>
      </c>
      <c r="I2451">
        <v>36</v>
      </c>
      <c r="J2451" t="s">
        <v>23</v>
      </c>
      <c r="K2451">
        <v>13228.11</v>
      </c>
    </row>
    <row r="2452" spans="1:11">
      <c r="A2452">
        <v>2451</v>
      </c>
      <c r="B2452" t="s">
        <v>149</v>
      </c>
      <c r="C2452" s="1">
        <v>19724</v>
      </c>
      <c r="D2452">
        <v>72</v>
      </c>
      <c r="E2452" t="s">
        <v>12</v>
      </c>
      <c r="F2452" t="s">
        <v>18</v>
      </c>
      <c r="G2452" s="1">
        <v>45583</v>
      </c>
      <c r="H2452" s="1">
        <v>45452</v>
      </c>
      <c r="I2452">
        <v>24</v>
      </c>
      <c r="J2452" t="s">
        <v>19</v>
      </c>
      <c r="K2452">
        <v>8493.93</v>
      </c>
    </row>
    <row r="2453" spans="1:11">
      <c r="A2453">
        <v>2452</v>
      </c>
      <c r="B2453" t="s">
        <v>31</v>
      </c>
      <c r="C2453" s="1">
        <v>22646</v>
      </c>
      <c r="D2453">
        <v>64</v>
      </c>
      <c r="E2453" t="s">
        <v>12</v>
      </c>
      <c r="F2453" t="s">
        <v>13</v>
      </c>
      <c r="G2453" s="1">
        <v>45038</v>
      </c>
      <c r="H2453" s="1">
        <v>44944</v>
      </c>
      <c r="I2453">
        <v>26</v>
      </c>
      <c r="K2453">
        <v>18921.21</v>
      </c>
    </row>
    <row r="2454" spans="1:11">
      <c r="A2454">
        <v>2453</v>
      </c>
      <c r="B2454" t="s">
        <v>112</v>
      </c>
      <c r="C2454" s="1">
        <v>18994</v>
      </c>
      <c r="D2454">
        <v>74</v>
      </c>
      <c r="E2454" t="s">
        <v>15</v>
      </c>
      <c r="F2454" t="s">
        <v>32</v>
      </c>
      <c r="G2454" s="1">
        <v>45294</v>
      </c>
      <c r="H2454" s="1">
        <v>45645</v>
      </c>
      <c r="I2454">
        <v>9</v>
      </c>
      <c r="J2454" t="s">
        <v>19</v>
      </c>
      <c r="K2454">
        <v>5145.47</v>
      </c>
    </row>
    <row r="2455" spans="1:11">
      <c r="A2455">
        <v>2454</v>
      </c>
      <c r="B2455" t="s">
        <v>114</v>
      </c>
      <c r="C2455" s="1">
        <v>21916</v>
      </c>
      <c r="D2455">
        <v>66</v>
      </c>
      <c r="E2455" t="s">
        <v>15</v>
      </c>
      <c r="F2455" t="s">
        <v>13</v>
      </c>
      <c r="G2455" s="1">
        <v>45028</v>
      </c>
      <c r="H2455" s="1">
        <v>44957</v>
      </c>
      <c r="I2455">
        <v>10</v>
      </c>
      <c r="J2455" t="s">
        <v>25</v>
      </c>
      <c r="K2455">
        <v>12510.18</v>
      </c>
    </row>
    <row r="2456" spans="1:11">
      <c r="A2456">
        <v>2455</v>
      </c>
      <c r="B2456" t="s">
        <v>81</v>
      </c>
      <c r="C2456" s="1">
        <v>27395</v>
      </c>
      <c r="E2456" t="s">
        <v>15</v>
      </c>
      <c r="F2456" t="s">
        <v>21</v>
      </c>
      <c r="G2456" s="1">
        <v>45520</v>
      </c>
      <c r="H2456" s="1">
        <v>45397</v>
      </c>
      <c r="I2456">
        <v>8</v>
      </c>
      <c r="K2456">
        <v>12188.7</v>
      </c>
    </row>
    <row r="2457" spans="1:11">
      <c r="A2457">
        <v>2456</v>
      </c>
      <c r="B2457" t="s">
        <v>121</v>
      </c>
      <c r="C2457" s="1">
        <v>23742</v>
      </c>
      <c r="D2457">
        <v>61</v>
      </c>
      <c r="E2457" t="s">
        <v>15</v>
      </c>
      <c r="F2457" t="s">
        <v>21</v>
      </c>
      <c r="G2457" s="1">
        <v>45332</v>
      </c>
      <c r="H2457" s="1">
        <v>45738</v>
      </c>
      <c r="I2457">
        <v>28</v>
      </c>
      <c r="K2457">
        <v>5559.65</v>
      </c>
    </row>
    <row r="2458" spans="1:11">
      <c r="A2458">
        <v>2457</v>
      </c>
      <c r="B2458" t="s">
        <v>84</v>
      </c>
      <c r="C2458" s="1">
        <v>37987</v>
      </c>
      <c r="D2458">
        <v>22</v>
      </c>
      <c r="E2458" t="s">
        <v>12</v>
      </c>
      <c r="F2458" t="s">
        <v>18</v>
      </c>
      <c r="G2458" s="1">
        <v>45433</v>
      </c>
      <c r="H2458" s="1">
        <v>45231</v>
      </c>
      <c r="I2458">
        <v>8</v>
      </c>
      <c r="J2458" t="s">
        <v>25</v>
      </c>
      <c r="K2458">
        <v>8174.92</v>
      </c>
    </row>
    <row r="2459" spans="1:11">
      <c r="A2459">
        <v>2458</v>
      </c>
      <c r="B2459" t="s">
        <v>80</v>
      </c>
      <c r="C2459" s="1">
        <v>36891</v>
      </c>
      <c r="E2459" t="s">
        <v>15</v>
      </c>
      <c r="F2459" t="s">
        <v>21</v>
      </c>
      <c r="G2459" s="1">
        <v>45537</v>
      </c>
      <c r="H2459" s="1">
        <v>45482</v>
      </c>
      <c r="I2459">
        <v>38</v>
      </c>
      <c r="K2459">
        <v>7246.02</v>
      </c>
    </row>
    <row r="2460" spans="1:11">
      <c r="A2460">
        <v>2459</v>
      </c>
      <c r="B2460" t="s">
        <v>157</v>
      </c>
      <c r="C2460" s="1">
        <v>21551</v>
      </c>
      <c r="D2460">
        <v>67</v>
      </c>
      <c r="E2460" t="s">
        <v>15</v>
      </c>
      <c r="F2460" t="s">
        <v>16</v>
      </c>
      <c r="G2460" s="1">
        <v>45597</v>
      </c>
      <c r="H2460" s="1">
        <v>45020</v>
      </c>
      <c r="I2460">
        <v>33</v>
      </c>
      <c r="J2460" t="s">
        <v>19</v>
      </c>
      <c r="K2460">
        <v>3367.23</v>
      </c>
    </row>
    <row r="2461" spans="1:11">
      <c r="A2461">
        <v>2460</v>
      </c>
      <c r="B2461" t="s">
        <v>39</v>
      </c>
      <c r="C2461" s="1">
        <v>16437</v>
      </c>
      <c r="E2461" t="s">
        <v>15</v>
      </c>
      <c r="F2461" t="s">
        <v>13</v>
      </c>
      <c r="G2461" s="1">
        <v>44966</v>
      </c>
      <c r="H2461" s="1">
        <v>45809</v>
      </c>
      <c r="I2461">
        <v>-1</v>
      </c>
      <c r="J2461" t="s">
        <v>25</v>
      </c>
      <c r="K2461">
        <v>9493.6299999999992</v>
      </c>
    </row>
    <row r="2462" spans="1:11">
      <c r="A2462">
        <v>2461</v>
      </c>
      <c r="B2462" t="s">
        <v>30</v>
      </c>
      <c r="C2462" s="1">
        <v>26299</v>
      </c>
      <c r="D2462">
        <v>54</v>
      </c>
      <c r="E2462" t="s">
        <v>12</v>
      </c>
      <c r="F2462" t="s">
        <v>18</v>
      </c>
      <c r="G2462" s="1">
        <v>45593</v>
      </c>
      <c r="H2462" s="1">
        <v>45505</v>
      </c>
      <c r="I2462">
        <v>20</v>
      </c>
      <c r="J2462" t="s">
        <v>19</v>
      </c>
      <c r="K2462">
        <v>7671.91</v>
      </c>
    </row>
    <row r="2463" spans="1:11">
      <c r="A2463">
        <v>2462</v>
      </c>
      <c r="B2463" t="s">
        <v>35</v>
      </c>
      <c r="C2463" s="1">
        <v>44196</v>
      </c>
      <c r="D2463">
        <v>5</v>
      </c>
      <c r="E2463" t="s">
        <v>12</v>
      </c>
      <c r="F2463" t="s">
        <v>13</v>
      </c>
      <c r="G2463" s="1">
        <v>45474</v>
      </c>
      <c r="H2463" s="1">
        <v>45558</v>
      </c>
      <c r="I2463">
        <v>33</v>
      </c>
      <c r="K2463">
        <v>3484.18</v>
      </c>
    </row>
    <row r="2464" spans="1:11">
      <c r="A2464">
        <v>2463</v>
      </c>
      <c r="B2464" t="s">
        <v>148</v>
      </c>
      <c r="C2464" s="1">
        <v>33604</v>
      </c>
      <c r="D2464">
        <v>34</v>
      </c>
      <c r="E2464" t="s">
        <v>12</v>
      </c>
      <c r="F2464" t="s">
        <v>13</v>
      </c>
      <c r="G2464" s="1">
        <v>45307</v>
      </c>
      <c r="H2464" s="1">
        <v>45748</v>
      </c>
      <c r="I2464">
        <v>11</v>
      </c>
      <c r="K2464">
        <v>8942.59</v>
      </c>
    </row>
    <row r="2465" spans="1:11">
      <c r="A2465">
        <v>2464</v>
      </c>
      <c r="B2465" t="s">
        <v>100</v>
      </c>
      <c r="C2465" s="1">
        <v>38352</v>
      </c>
      <c r="D2465">
        <v>21</v>
      </c>
      <c r="E2465" t="s">
        <v>12</v>
      </c>
      <c r="F2465" t="s">
        <v>18</v>
      </c>
      <c r="G2465" s="1">
        <v>45442</v>
      </c>
      <c r="H2465" s="1">
        <v>45511</v>
      </c>
      <c r="I2465">
        <v>34</v>
      </c>
      <c r="K2465">
        <v>8379.06</v>
      </c>
    </row>
    <row r="2466" spans="1:11">
      <c r="A2466">
        <v>2465</v>
      </c>
      <c r="B2466" t="s">
        <v>93</v>
      </c>
      <c r="C2466" s="1">
        <v>30682</v>
      </c>
      <c r="D2466">
        <v>42</v>
      </c>
      <c r="E2466" t="s">
        <v>12</v>
      </c>
      <c r="G2466" s="1">
        <v>45423</v>
      </c>
      <c r="H2466" s="1">
        <v>45773</v>
      </c>
      <c r="I2466">
        <v>24</v>
      </c>
      <c r="K2466">
        <v>2540.4499999999998</v>
      </c>
    </row>
    <row r="2467" spans="1:11">
      <c r="A2467">
        <v>2466</v>
      </c>
      <c r="B2467" t="s">
        <v>160</v>
      </c>
      <c r="C2467" s="1">
        <v>40909</v>
      </c>
      <c r="D2467">
        <v>14</v>
      </c>
      <c r="E2467" t="s">
        <v>15</v>
      </c>
      <c r="F2467" t="s">
        <v>32</v>
      </c>
      <c r="G2467" s="1">
        <v>45207</v>
      </c>
      <c r="H2467" s="1">
        <v>45089</v>
      </c>
      <c r="I2467">
        <v>9</v>
      </c>
      <c r="J2467" t="s">
        <v>19</v>
      </c>
      <c r="K2467">
        <v>2536.87</v>
      </c>
    </row>
    <row r="2468" spans="1:11">
      <c r="A2468">
        <v>2467</v>
      </c>
      <c r="B2468" t="s">
        <v>75</v>
      </c>
      <c r="C2468" s="1">
        <v>14976</v>
      </c>
      <c r="D2468">
        <v>85</v>
      </c>
      <c r="E2468" t="s">
        <v>15</v>
      </c>
      <c r="G2468" s="1">
        <v>45277</v>
      </c>
      <c r="H2468" s="1">
        <v>45769</v>
      </c>
      <c r="I2468">
        <v>26</v>
      </c>
      <c r="K2468">
        <v>12914.9</v>
      </c>
    </row>
    <row r="2469" spans="1:11">
      <c r="A2469">
        <v>2468</v>
      </c>
      <c r="B2469" t="s">
        <v>162</v>
      </c>
      <c r="C2469" s="1">
        <v>24473</v>
      </c>
      <c r="D2469">
        <v>59</v>
      </c>
      <c r="E2469" t="s">
        <v>12</v>
      </c>
      <c r="F2469" t="s">
        <v>21</v>
      </c>
      <c r="G2469" s="1">
        <v>45260</v>
      </c>
      <c r="H2469" s="1">
        <v>45255</v>
      </c>
      <c r="I2469">
        <v>3</v>
      </c>
      <c r="J2469" t="s">
        <v>25</v>
      </c>
      <c r="K2469">
        <v>14102.27</v>
      </c>
    </row>
    <row r="2470" spans="1:11">
      <c r="A2470">
        <v>2469</v>
      </c>
      <c r="B2470" t="s">
        <v>11</v>
      </c>
      <c r="C2470" s="1">
        <v>42005</v>
      </c>
      <c r="D2470">
        <v>11</v>
      </c>
      <c r="E2470" t="s">
        <v>12</v>
      </c>
      <c r="F2470" t="s">
        <v>45</v>
      </c>
      <c r="G2470" s="1">
        <v>45450</v>
      </c>
      <c r="H2470" s="1">
        <v>45708</v>
      </c>
      <c r="I2470">
        <v>20</v>
      </c>
      <c r="J2470" t="s">
        <v>25</v>
      </c>
      <c r="K2470">
        <v>18817.73</v>
      </c>
    </row>
    <row r="2471" spans="1:11">
      <c r="A2471">
        <v>2470</v>
      </c>
      <c r="B2471" t="s">
        <v>164</v>
      </c>
      <c r="C2471" s="1">
        <v>28490</v>
      </c>
      <c r="D2471">
        <v>48</v>
      </c>
      <c r="E2471" t="s">
        <v>12</v>
      </c>
      <c r="G2471" s="1">
        <v>45209</v>
      </c>
      <c r="H2471" s="1">
        <v>45657</v>
      </c>
      <c r="I2471">
        <v>7</v>
      </c>
      <c r="J2471" t="s">
        <v>23</v>
      </c>
      <c r="K2471">
        <v>1648.79</v>
      </c>
    </row>
    <row r="2472" spans="1:11">
      <c r="A2472">
        <v>2471</v>
      </c>
      <c r="B2472" t="s">
        <v>82</v>
      </c>
      <c r="C2472" s="1">
        <v>31047</v>
      </c>
      <c r="D2472">
        <v>41</v>
      </c>
      <c r="E2472" t="s">
        <v>12</v>
      </c>
      <c r="F2472" t="s">
        <v>45</v>
      </c>
      <c r="G2472" s="1">
        <v>45654</v>
      </c>
      <c r="H2472" s="1">
        <v>45181</v>
      </c>
      <c r="I2472">
        <v>31</v>
      </c>
      <c r="J2472" t="s">
        <v>25</v>
      </c>
      <c r="K2472">
        <v>2269.02</v>
      </c>
    </row>
    <row r="2473" spans="1:11">
      <c r="A2473">
        <v>2472</v>
      </c>
      <c r="B2473" t="s">
        <v>160</v>
      </c>
      <c r="C2473" s="1">
        <v>32508</v>
      </c>
      <c r="D2473">
        <v>37</v>
      </c>
      <c r="E2473" t="s">
        <v>12</v>
      </c>
      <c r="F2473" t="s">
        <v>45</v>
      </c>
      <c r="G2473" s="1">
        <v>45245</v>
      </c>
      <c r="H2473" s="1">
        <v>45367</v>
      </c>
      <c r="I2473">
        <v>9</v>
      </c>
      <c r="J2473" t="s">
        <v>23</v>
      </c>
      <c r="K2473">
        <v>941.54</v>
      </c>
    </row>
    <row r="2474" spans="1:11">
      <c r="A2474">
        <v>2473</v>
      </c>
      <c r="B2474" t="s">
        <v>156</v>
      </c>
      <c r="C2474" s="1">
        <v>16437</v>
      </c>
      <c r="D2474">
        <v>81</v>
      </c>
      <c r="E2474" t="s">
        <v>12</v>
      </c>
      <c r="F2474" t="s">
        <v>21</v>
      </c>
      <c r="G2474" s="1">
        <v>45340</v>
      </c>
      <c r="H2474" s="1">
        <v>45498</v>
      </c>
      <c r="I2474">
        <v>29</v>
      </c>
      <c r="J2474" t="s">
        <v>25</v>
      </c>
      <c r="K2474">
        <v>10597.79</v>
      </c>
    </row>
    <row r="2475" spans="1:11">
      <c r="A2475">
        <v>2474</v>
      </c>
      <c r="B2475" t="s">
        <v>158</v>
      </c>
      <c r="C2475" s="1">
        <v>29951</v>
      </c>
      <c r="D2475">
        <v>44</v>
      </c>
      <c r="E2475" t="s">
        <v>12</v>
      </c>
      <c r="F2475" t="s">
        <v>32</v>
      </c>
      <c r="G2475" s="1">
        <v>45520</v>
      </c>
      <c r="H2475" s="1">
        <v>45471</v>
      </c>
      <c r="I2475">
        <v>23</v>
      </c>
      <c r="J2475" t="s">
        <v>25</v>
      </c>
      <c r="K2475">
        <v>12417.21</v>
      </c>
    </row>
    <row r="2476" spans="1:11">
      <c r="A2476">
        <v>2475</v>
      </c>
      <c r="B2476" t="s">
        <v>48</v>
      </c>
      <c r="C2476" s="1">
        <v>33604</v>
      </c>
      <c r="D2476">
        <v>34</v>
      </c>
      <c r="E2476" t="s">
        <v>12</v>
      </c>
      <c r="F2476" t="s">
        <v>13</v>
      </c>
      <c r="G2476" s="1">
        <v>44940</v>
      </c>
      <c r="H2476" s="1">
        <v>45778</v>
      </c>
      <c r="I2476">
        <v>4</v>
      </c>
      <c r="K2476">
        <v>8010.82</v>
      </c>
    </row>
    <row r="2477" spans="1:11">
      <c r="A2477">
        <v>2476</v>
      </c>
      <c r="B2477" t="s">
        <v>140</v>
      </c>
      <c r="C2477" s="1">
        <v>35430</v>
      </c>
      <c r="D2477">
        <v>29</v>
      </c>
      <c r="E2477" t="s">
        <v>15</v>
      </c>
      <c r="F2477" t="s">
        <v>18</v>
      </c>
      <c r="G2477" s="1">
        <v>44982</v>
      </c>
      <c r="H2477" s="1">
        <v>45047</v>
      </c>
      <c r="I2477">
        <v>29</v>
      </c>
      <c r="J2477" t="s">
        <v>25</v>
      </c>
      <c r="K2477">
        <v>15937.83</v>
      </c>
    </row>
    <row r="2478" spans="1:11">
      <c r="A2478">
        <v>2477</v>
      </c>
      <c r="B2478" t="s">
        <v>60</v>
      </c>
      <c r="C2478" s="1">
        <v>14246</v>
      </c>
      <c r="D2478">
        <v>87</v>
      </c>
      <c r="E2478" t="s">
        <v>12</v>
      </c>
      <c r="F2478" t="s">
        <v>32</v>
      </c>
      <c r="G2478" s="1">
        <v>45329</v>
      </c>
      <c r="H2478" s="1">
        <v>45749</v>
      </c>
      <c r="I2478">
        <v>30</v>
      </c>
      <c r="K2478">
        <v>13702.66</v>
      </c>
    </row>
    <row r="2479" spans="1:11">
      <c r="A2479">
        <v>2478</v>
      </c>
      <c r="B2479" t="s">
        <v>75</v>
      </c>
      <c r="C2479" s="1">
        <v>35430</v>
      </c>
      <c r="D2479">
        <v>29</v>
      </c>
      <c r="E2479" t="s">
        <v>12</v>
      </c>
      <c r="F2479" t="s">
        <v>45</v>
      </c>
      <c r="G2479" s="1">
        <v>45268</v>
      </c>
      <c r="H2479" s="1">
        <v>45441</v>
      </c>
      <c r="I2479">
        <v>15</v>
      </c>
      <c r="K2479">
        <v>19715.39</v>
      </c>
    </row>
    <row r="2480" spans="1:11">
      <c r="A2480">
        <v>2479</v>
      </c>
      <c r="B2480" t="s">
        <v>110</v>
      </c>
      <c r="C2480" s="1">
        <v>17898</v>
      </c>
      <c r="D2480">
        <v>77</v>
      </c>
      <c r="E2480" t="s">
        <v>15</v>
      </c>
      <c r="F2480" t="s">
        <v>16</v>
      </c>
      <c r="G2480" s="1">
        <v>45125</v>
      </c>
      <c r="H2480" s="1">
        <v>45557</v>
      </c>
      <c r="I2480">
        <v>32</v>
      </c>
      <c r="J2480" t="s">
        <v>25</v>
      </c>
      <c r="K2480">
        <v>2671.69</v>
      </c>
    </row>
    <row r="2481" spans="1:11">
      <c r="A2481">
        <v>2480</v>
      </c>
      <c r="B2481" t="s">
        <v>14</v>
      </c>
      <c r="C2481" s="1">
        <v>44196</v>
      </c>
      <c r="D2481">
        <v>5</v>
      </c>
      <c r="E2481" t="s">
        <v>12</v>
      </c>
      <c r="F2481" t="s">
        <v>21</v>
      </c>
      <c r="G2481" s="1">
        <v>45604</v>
      </c>
      <c r="H2481" s="1">
        <v>45476</v>
      </c>
      <c r="I2481">
        <v>17</v>
      </c>
      <c r="J2481" t="s">
        <v>19</v>
      </c>
      <c r="K2481">
        <v>1072.1400000000001</v>
      </c>
    </row>
    <row r="2482" spans="1:11">
      <c r="A2482">
        <v>2481</v>
      </c>
      <c r="B2482" t="s">
        <v>140</v>
      </c>
      <c r="C2482" s="1">
        <v>21916</v>
      </c>
      <c r="D2482">
        <v>66</v>
      </c>
      <c r="E2482" t="s">
        <v>12</v>
      </c>
      <c r="G2482" s="1">
        <v>45218</v>
      </c>
      <c r="H2482" s="1">
        <v>45024</v>
      </c>
      <c r="I2482">
        <v>28</v>
      </c>
      <c r="K2482">
        <v>5423.55</v>
      </c>
    </row>
    <row r="2483" spans="1:11">
      <c r="A2483">
        <v>2482</v>
      </c>
      <c r="B2483" t="s">
        <v>95</v>
      </c>
      <c r="C2483" s="1">
        <v>17168</v>
      </c>
      <c r="D2483">
        <v>79</v>
      </c>
      <c r="E2483" t="s">
        <v>15</v>
      </c>
      <c r="F2483" t="s">
        <v>21</v>
      </c>
      <c r="G2483" s="1">
        <v>45584</v>
      </c>
      <c r="H2483" s="1">
        <v>45798</v>
      </c>
      <c r="I2483">
        <v>2</v>
      </c>
      <c r="J2483" t="s">
        <v>25</v>
      </c>
      <c r="K2483">
        <v>282.91000000000003</v>
      </c>
    </row>
    <row r="2484" spans="1:11">
      <c r="A2484">
        <v>2483</v>
      </c>
      <c r="B2484" t="s">
        <v>86</v>
      </c>
      <c r="C2484" s="1">
        <v>43831</v>
      </c>
      <c r="D2484">
        <v>6</v>
      </c>
      <c r="E2484" t="s">
        <v>12</v>
      </c>
      <c r="G2484" s="1">
        <v>45367</v>
      </c>
      <c r="H2484" s="1">
        <v>45297</v>
      </c>
      <c r="I2484">
        <v>29</v>
      </c>
      <c r="J2484" t="s">
        <v>19</v>
      </c>
      <c r="K2484">
        <v>18645.490000000002</v>
      </c>
    </row>
    <row r="2485" spans="1:11">
      <c r="A2485">
        <v>2484</v>
      </c>
      <c r="B2485" t="s">
        <v>86</v>
      </c>
      <c r="C2485" s="1">
        <v>27395</v>
      </c>
      <c r="D2485">
        <v>51</v>
      </c>
      <c r="E2485" t="s">
        <v>15</v>
      </c>
      <c r="F2485" t="s">
        <v>18</v>
      </c>
      <c r="G2485" s="1">
        <v>45004</v>
      </c>
      <c r="H2485" s="1">
        <v>45344</v>
      </c>
      <c r="I2485">
        <v>39</v>
      </c>
      <c r="J2485" t="s">
        <v>25</v>
      </c>
      <c r="K2485">
        <v>6009.43</v>
      </c>
    </row>
    <row r="2486" spans="1:11">
      <c r="A2486">
        <v>2485</v>
      </c>
      <c r="B2486" t="s">
        <v>108</v>
      </c>
      <c r="C2486" s="1">
        <v>41274</v>
      </c>
      <c r="D2486">
        <v>13</v>
      </c>
      <c r="F2486" t="s">
        <v>16</v>
      </c>
      <c r="G2486" s="1">
        <v>45038</v>
      </c>
      <c r="H2486" s="1">
        <v>45184</v>
      </c>
      <c r="I2486">
        <v>16</v>
      </c>
      <c r="J2486" t="s">
        <v>25</v>
      </c>
      <c r="K2486">
        <v>11003.85</v>
      </c>
    </row>
    <row r="2487" spans="1:11">
      <c r="A2487">
        <v>2486</v>
      </c>
      <c r="B2487" t="s">
        <v>101</v>
      </c>
      <c r="C2487" s="1">
        <v>19724</v>
      </c>
      <c r="D2487">
        <v>72</v>
      </c>
      <c r="E2487" t="s">
        <v>12</v>
      </c>
      <c r="F2487" t="s">
        <v>13</v>
      </c>
      <c r="G2487" s="1">
        <v>45461</v>
      </c>
      <c r="H2487" s="1">
        <v>45055</v>
      </c>
      <c r="I2487">
        <v>-2</v>
      </c>
      <c r="J2487" t="s">
        <v>19</v>
      </c>
      <c r="K2487">
        <v>6293.2</v>
      </c>
    </row>
    <row r="2488" spans="1:11">
      <c r="A2488">
        <v>2487</v>
      </c>
      <c r="B2488" t="s">
        <v>137</v>
      </c>
      <c r="C2488" s="1">
        <v>40909</v>
      </c>
      <c r="D2488">
        <v>14</v>
      </c>
      <c r="E2488" t="s">
        <v>15</v>
      </c>
      <c r="F2488" t="s">
        <v>32</v>
      </c>
      <c r="G2488" s="1">
        <v>45301</v>
      </c>
      <c r="H2488" s="1">
        <v>45286</v>
      </c>
      <c r="I2488">
        <v>4</v>
      </c>
      <c r="J2488" t="s">
        <v>25</v>
      </c>
      <c r="K2488">
        <v>4840.75</v>
      </c>
    </row>
    <row r="2489" spans="1:11">
      <c r="A2489">
        <v>2488</v>
      </c>
      <c r="B2489" t="s">
        <v>156</v>
      </c>
      <c r="C2489" s="1">
        <v>38717</v>
      </c>
      <c r="D2489">
        <v>20</v>
      </c>
      <c r="E2489" t="s">
        <v>15</v>
      </c>
      <c r="F2489" t="s">
        <v>16</v>
      </c>
      <c r="G2489" s="1">
        <v>45042</v>
      </c>
      <c r="H2489" s="1">
        <v>45083</v>
      </c>
      <c r="I2489">
        <v>19</v>
      </c>
      <c r="K2489">
        <v>2962.53</v>
      </c>
    </row>
    <row r="2490" spans="1:11">
      <c r="A2490">
        <v>2489</v>
      </c>
      <c r="B2490" t="s">
        <v>28</v>
      </c>
      <c r="C2490" s="1">
        <v>33604</v>
      </c>
      <c r="D2490">
        <v>34</v>
      </c>
      <c r="E2490" t="s">
        <v>12</v>
      </c>
      <c r="F2490" t="s">
        <v>32</v>
      </c>
      <c r="G2490" s="1">
        <v>45068</v>
      </c>
      <c r="H2490" s="1">
        <v>45584</v>
      </c>
      <c r="I2490">
        <v>31</v>
      </c>
      <c r="J2490" t="s">
        <v>23</v>
      </c>
      <c r="K2490">
        <v>6339.35</v>
      </c>
    </row>
    <row r="2491" spans="1:11">
      <c r="A2491">
        <v>2490</v>
      </c>
      <c r="B2491" t="s">
        <v>61</v>
      </c>
      <c r="C2491" s="1">
        <v>22281</v>
      </c>
      <c r="D2491">
        <v>65</v>
      </c>
      <c r="E2491" t="s">
        <v>15</v>
      </c>
      <c r="F2491" t="s">
        <v>32</v>
      </c>
      <c r="G2491" s="1">
        <v>45123</v>
      </c>
      <c r="H2491" s="1">
        <v>44984</v>
      </c>
      <c r="I2491">
        <v>7</v>
      </c>
      <c r="J2491" t="s">
        <v>23</v>
      </c>
      <c r="K2491">
        <v>12269.92</v>
      </c>
    </row>
    <row r="2492" spans="1:11">
      <c r="A2492">
        <v>2491</v>
      </c>
      <c r="B2492" t="s">
        <v>143</v>
      </c>
      <c r="C2492" s="1">
        <v>13150</v>
      </c>
      <c r="D2492">
        <v>90</v>
      </c>
      <c r="E2492" t="s">
        <v>15</v>
      </c>
      <c r="F2492" t="s">
        <v>13</v>
      </c>
      <c r="G2492" s="1">
        <v>45466</v>
      </c>
      <c r="H2492" s="1">
        <v>45509</v>
      </c>
      <c r="I2492">
        <v>39</v>
      </c>
      <c r="J2492" t="s">
        <v>25</v>
      </c>
      <c r="K2492">
        <v>19429.59</v>
      </c>
    </row>
    <row r="2493" spans="1:11">
      <c r="A2493">
        <v>2492</v>
      </c>
      <c r="B2493" t="s">
        <v>126</v>
      </c>
      <c r="C2493" s="1">
        <v>45657</v>
      </c>
      <c r="D2493">
        <v>1</v>
      </c>
      <c r="E2493" t="s">
        <v>12</v>
      </c>
      <c r="F2493" t="s">
        <v>13</v>
      </c>
      <c r="G2493" s="1">
        <v>45225</v>
      </c>
      <c r="H2493" s="1">
        <v>45483</v>
      </c>
      <c r="I2493">
        <v>23</v>
      </c>
      <c r="J2493" t="s">
        <v>23</v>
      </c>
      <c r="K2493">
        <v>11117.65</v>
      </c>
    </row>
    <row r="2494" spans="1:11">
      <c r="A2494">
        <v>2493</v>
      </c>
      <c r="B2494" t="s">
        <v>116</v>
      </c>
      <c r="C2494" s="1">
        <v>33604</v>
      </c>
      <c r="D2494">
        <v>34</v>
      </c>
      <c r="E2494" t="s">
        <v>15</v>
      </c>
      <c r="G2494" s="1">
        <v>45002</v>
      </c>
      <c r="H2494" s="1">
        <v>45651</v>
      </c>
      <c r="I2494">
        <v>29</v>
      </c>
      <c r="J2494" t="s">
        <v>23</v>
      </c>
      <c r="K2494">
        <v>10607.45</v>
      </c>
    </row>
    <row r="2495" spans="1:11">
      <c r="A2495">
        <v>2494</v>
      </c>
      <c r="B2495" t="s">
        <v>162</v>
      </c>
      <c r="C2495" s="1">
        <v>16437</v>
      </c>
      <c r="D2495">
        <v>81</v>
      </c>
      <c r="E2495" t="s">
        <v>15</v>
      </c>
      <c r="F2495" t="s">
        <v>13</v>
      </c>
      <c r="G2495" s="1">
        <v>45456</v>
      </c>
      <c r="H2495" s="1">
        <v>45614</v>
      </c>
      <c r="I2495">
        <v>39</v>
      </c>
      <c r="J2495" t="s">
        <v>23</v>
      </c>
      <c r="K2495">
        <v>608.79</v>
      </c>
    </row>
    <row r="2496" spans="1:11">
      <c r="A2496">
        <v>2495</v>
      </c>
      <c r="B2496" t="s">
        <v>164</v>
      </c>
      <c r="C2496" s="1">
        <v>17898</v>
      </c>
      <c r="D2496">
        <v>77</v>
      </c>
      <c r="E2496" t="s">
        <v>12</v>
      </c>
      <c r="F2496" t="s">
        <v>18</v>
      </c>
      <c r="G2496" s="1">
        <v>45026</v>
      </c>
      <c r="H2496" s="1">
        <v>45580</v>
      </c>
      <c r="I2496">
        <v>24</v>
      </c>
      <c r="K2496">
        <v>16785.990000000002</v>
      </c>
    </row>
    <row r="2497" spans="1:11">
      <c r="A2497">
        <v>2496</v>
      </c>
      <c r="B2497" t="s">
        <v>164</v>
      </c>
      <c r="C2497" s="1">
        <v>39083</v>
      </c>
      <c r="D2497">
        <v>19</v>
      </c>
      <c r="E2497" t="s">
        <v>12</v>
      </c>
      <c r="F2497" t="s">
        <v>21</v>
      </c>
      <c r="G2497" s="1">
        <v>45405</v>
      </c>
      <c r="H2497" s="1">
        <v>45003</v>
      </c>
      <c r="I2497">
        <v>9</v>
      </c>
      <c r="K2497">
        <v>801.31</v>
      </c>
    </row>
    <row r="2498" spans="1:11">
      <c r="A2498">
        <v>2497</v>
      </c>
      <c r="B2498" t="s">
        <v>126</v>
      </c>
      <c r="C2498" s="1">
        <v>16437</v>
      </c>
      <c r="D2498">
        <v>81</v>
      </c>
      <c r="E2498" t="s">
        <v>12</v>
      </c>
      <c r="F2498" t="s">
        <v>45</v>
      </c>
      <c r="G2498" s="1">
        <v>45394</v>
      </c>
      <c r="H2498" s="1">
        <v>45085</v>
      </c>
      <c r="I2498">
        <v>37</v>
      </c>
      <c r="J2498" t="s">
        <v>23</v>
      </c>
      <c r="K2498">
        <v>18115.27</v>
      </c>
    </row>
    <row r="2499" spans="1:11">
      <c r="A2499">
        <v>2498</v>
      </c>
      <c r="B2499" t="s">
        <v>72</v>
      </c>
      <c r="C2499" s="1">
        <v>42735</v>
      </c>
      <c r="D2499">
        <v>9</v>
      </c>
      <c r="E2499" t="s">
        <v>12</v>
      </c>
      <c r="F2499" t="s">
        <v>13</v>
      </c>
      <c r="G2499" s="1">
        <v>45562</v>
      </c>
      <c r="H2499" s="1">
        <v>45012</v>
      </c>
      <c r="I2499">
        <v>20</v>
      </c>
      <c r="J2499" t="s">
        <v>19</v>
      </c>
      <c r="K2499">
        <v>10727.3</v>
      </c>
    </row>
    <row r="2500" spans="1:11">
      <c r="A2500">
        <v>2499</v>
      </c>
      <c r="B2500" t="s">
        <v>51</v>
      </c>
      <c r="C2500" s="1">
        <v>37256</v>
      </c>
      <c r="D2500">
        <v>24</v>
      </c>
      <c r="E2500" t="s">
        <v>15</v>
      </c>
      <c r="F2500" t="s">
        <v>21</v>
      </c>
      <c r="G2500" s="1">
        <v>45218</v>
      </c>
      <c r="H2500" s="1">
        <v>45249</v>
      </c>
      <c r="I2500">
        <v>11</v>
      </c>
      <c r="J2500" t="s">
        <v>19</v>
      </c>
      <c r="K2500">
        <v>3286.18</v>
      </c>
    </row>
    <row r="2501" spans="1:11">
      <c r="A2501">
        <v>2500</v>
      </c>
      <c r="B2501" t="s">
        <v>81</v>
      </c>
      <c r="C2501" s="1">
        <v>22281</v>
      </c>
      <c r="D2501">
        <v>65</v>
      </c>
      <c r="E2501" t="s">
        <v>15</v>
      </c>
      <c r="G2501" s="1">
        <v>45051</v>
      </c>
      <c r="H2501" s="1">
        <v>45236</v>
      </c>
      <c r="I2501">
        <v>31</v>
      </c>
      <c r="J2501" t="s">
        <v>19</v>
      </c>
      <c r="K2501">
        <v>8979.32</v>
      </c>
    </row>
    <row r="2502" spans="1:11">
      <c r="A2502">
        <v>2501</v>
      </c>
      <c r="B2502" t="s">
        <v>72</v>
      </c>
      <c r="C2502" s="1">
        <v>37256</v>
      </c>
      <c r="D2502">
        <v>24</v>
      </c>
      <c r="E2502" t="s">
        <v>15</v>
      </c>
      <c r="F2502" t="s">
        <v>13</v>
      </c>
      <c r="G2502" s="1">
        <v>45445</v>
      </c>
      <c r="H2502" s="1">
        <v>45457</v>
      </c>
      <c r="I2502">
        <v>14</v>
      </c>
      <c r="K2502">
        <v>19899.189999999999</v>
      </c>
    </row>
    <row r="2503" spans="1:11">
      <c r="A2503">
        <v>2502</v>
      </c>
      <c r="B2503" t="s">
        <v>89</v>
      </c>
      <c r="C2503" s="1">
        <v>26664</v>
      </c>
      <c r="D2503">
        <v>53</v>
      </c>
      <c r="E2503" t="s">
        <v>12</v>
      </c>
      <c r="F2503" t="s">
        <v>45</v>
      </c>
      <c r="G2503" s="1">
        <v>44949</v>
      </c>
      <c r="H2503" s="1">
        <v>45211</v>
      </c>
      <c r="I2503">
        <v>3</v>
      </c>
      <c r="K2503">
        <v>6032.17</v>
      </c>
    </row>
    <row r="2504" spans="1:11">
      <c r="A2504">
        <v>2503</v>
      </c>
      <c r="B2504" t="s">
        <v>136</v>
      </c>
      <c r="C2504" s="1">
        <v>34334</v>
      </c>
      <c r="D2504">
        <v>32</v>
      </c>
      <c r="E2504" t="s">
        <v>12</v>
      </c>
      <c r="F2504" t="s">
        <v>16</v>
      </c>
      <c r="G2504" s="1">
        <v>45088</v>
      </c>
      <c r="H2504" s="1">
        <v>44969</v>
      </c>
      <c r="I2504">
        <v>24</v>
      </c>
      <c r="K2504">
        <v>5316.14</v>
      </c>
    </row>
    <row r="2505" spans="1:11">
      <c r="A2505">
        <v>2504</v>
      </c>
      <c r="B2505" t="s">
        <v>64</v>
      </c>
      <c r="C2505" s="1">
        <v>33239</v>
      </c>
      <c r="E2505" t="s">
        <v>12</v>
      </c>
      <c r="F2505" t="s">
        <v>13</v>
      </c>
      <c r="G2505" s="1">
        <v>45555</v>
      </c>
      <c r="H2505" s="1">
        <v>45821</v>
      </c>
      <c r="I2505">
        <v>5</v>
      </c>
      <c r="K2505">
        <v>2271.92</v>
      </c>
    </row>
    <row r="2506" spans="1:11">
      <c r="A2506">
        <v>2505</v>
      </c>
      <c r="B2506" t="s">
        <v>137</v>
      </c>
      <c r="C2506" s="1">
        <v>11689</v>
      </c>
      <c r="D2506">
        <v>94</v>
      </c>
      <c r="E2506" t="s">
        <v>12</v>
      </c>
      <c r="F2506" t="s">
        <v>21</v>
      </c>
      <c r="G2506" s="1">
        <v>45432</v>
      </c>
      <c r="H2506" s="1">
        <v>45812</v>
      </c>
      <c r="I2506">
        <v>30</v>
      </c>
      <c r="J2506" t="s">
        <v>23</v>
      </c>
      <c r="K2506">
        <v>11902.56</v>
      </c>
    </row>
    <row r="2507" spans="1:11">
      <c r="A2507">
        <v>2506</v>
      </c>
      <c r="B2507" t="s">
        <v>152</v>
      </c>
      <c r="C2507" s="1">
        <v>41274</v>
      </c>
      <c r="D2507">
        <v>13</v>
      </c>
      <c r="E2507" t="s">
        <v>12</v>
      </c>
      <c r="G2507" s="1">
        <v>44947</v>
      </c>
      <c r="H2507" s="1">
        <v>45061</v>
      </c>
      <c r="I2507">
        <v>32</v>
      </c>
      <c r="K2507">
        <v>1693.46</v>
      </c>
    </row>
    <row r="2508" spans="1:11">
      <c r="A2508">
        <v>2507</v>
      </c>
      <c r="B2508" t="s">
        <v>91</v>
      </c>
      <c r="C2508" s="1">
        <v>22646</v>
      </c>
      <c r="D2508">
        <v>64</v>
      </c>
      <c r="E2508" t="s">
        <v>15</v>
      </c>
      <c r="G2508" s="1">
        <v>45390</v>
      </c>
      <c r="H2508" s="1">
        <v>45541</v>
      </c>
      <c r="I2508">
        <v>14</v>
      </c>
      <c r="J2508" t="s">
        <v>23</v>
      </c>
      <c r="K2508">
        <v>15296.76</v>
      </c>
    </row>
    <row r="2509" spans="1:11">
      <c r="A2509">
        <v>2508</v>
      </c>
      <c r="B2509" t="s">
        <v>42</v>
      </c>
      <c r="C2509" s="1">
        <v>17168</v>
      </c>
      <c r="D2509">
        <v>79</v>
      </c>
      <c r="E2509" t="s">
        <v>15</v>
      </c>
      <c r="F2509" t="s">
        <v>18</v>
      </c>
      <c r="G2509" s="1">
        <v>45409</v>
      </c>
      <c r="H2509" s="1">
        <v>45576</v>
      </c>
      <c r="I2509">
        <v>23</v>
      </c>
      <c r="J2509" t="s">
        <v>19</v>
      </c>
      <c r="K2509">
        <v>18376.39</v>
      </c>
    </row>
    <row r="2510" spans="1:11">
      <c r="A2510">
        <v>2509</v>
      </c>
      <c r="B2510" t="s">
        <v>22</v>
      </c>
      <c r="C2510" s="1">
        <v>26664</v>
      </c>
      <c r="D2510">
        <v>53</v>
      </c>
      <c r="E2510" t="s">
        <v>15</v>
      </c>
      <c r="G2510" s="1">
        <v>45428</v>
      </c>
      <c r="H2510" s="1">
        <v>45331</v>
      </c>
      <c r="I2510">
        <v>4</v>
      </c>
      <c r="J2510" t="s">
        <v>23</v>
      </c>
      <c r="K2510">
        <v>18630.61</v>
      </c>
    </row>
    <row r="2511" spans="1:11">
      <c r="A2511">
        <v>2510</v>
      </c>
      <c r="B2511" t="s">
        <v>159</v>
      </c>
      <c r="C2511" s="1">
        <v>27395</v>
      </c>
      <c r="D2511">
        <v>51</v>
      </c>
      <c r="E2511" t="s">
        <v>15</v>
      </c>
      <c r="F2511" t="s">
        <v>16</v>
      </c>
      <c r="G2511" s="1">
        <v>45235</v>
      </c>
      <c r="H2511" s="1">
        <v>45420</v>
      </c>
      <c r="I2511">
        <v>21</v>
      </c>
      <c r="J2511" t="s">
        <v>19</v>
      </c>
      <c r="K2511">
        <v>2069.12</v>
      </c>
    </row>
    <row r="2512" spans="1:11">
      <c r="A2512">
        <v>2511</v>
      </c>
      <c r="B2512" t="s">
        <v>128</v>
      </c>
      <c r="C2512" s="1">
        <v>45292</v>
      </c>
      <c r="D2512">
        <v>2</v>
      </c>
      <c r="E2512" t="s">
        <v>12</v>
      </c>
      <c r="G2512" s="1">
        <v>45522</v>
      </c>
      <c r="H2512" s="1">
        <v>45149</v>
      </c>
      <c r="I2512">
        <v>22</v>
      </c>
      <c r="K2512">
        <v>11121.08</v>
      </c>
    </row>
    <row r="2513" spans="1:11">
      <c r="A2513">
        <v>2512</v>
      </c>
      <c r="B2513" t="s">
        <v>64</v>
      </c>
      <c r="C2513" s="1">
        <v>31412</v>
      </c>
      <c r="D2513">
        <v>40</v>
      </c>
      <c r="E2513" t="s">
        <v>15</v>
      </c>
      <c r="G2513" s="1">
        <v>45479</v>
      </c>
      <c r="H2513" s="1">
        <v>45156</v>
      </c>
      <c r="I2513">
        <v>32</v>
      </c>
      <c r="J2513" t="s">
        <v>19</v>
      </c>
      <c r="K2513">
        <v>1851.91</v>
      </c>
    </row>
    <row r="2514" spans="1:11">
      <c r="A2514">
        <v>2513</v>
      </c>
      <c r="B2514" t="s">
        <v>39</v>
      </c>
      <c r="C2514" s="1">
        <v>44196</v>
      </c>
      <c r="D2514">
        <v>5</v>
      </c>
      <c r="E2514" t="s">
        <v>12</v>
      </c>
      <c r="F2514" t="s">
        <v>16</v>
      </c>
      <c r="G2514" s="1">
        <v>45129</v>
      </c>
      <c r="H2514" s="1">
        <v>45733</v>
      </c>
      <c r="I2514">
        <v>23</v>
      </c>
      <c r="J2514" t="s">
        <v>19</v>
      </c>
      <c r="K2514">
        <v>11397.52</v>
      </c>
    </row>
    <row r="2515" spans="1:11">
      <c r="A2515">
        <v>2514</v>
      </c>
      <c r="B2515" t="s">
        <v>63</v>
      </c>
      <c r="C2515" s="1">
        <v>37256</v>
      </c>
      <c r="D2515">
        <v>24</v>
      </c>
      <c r="E2515" t="s">
        <v>12</v>
      </c>
      <c r="F2515" t="s">
        <v>16</v>
      </c>
      <c r="G2515" s="1">
        <v>45342</v>
      </c>
      <c r="H2515" s="1">
        <v>45379</v>
      </c>
      <c r="I2515">
        <v>2</v>
      </c>
      <c r="J2515" t="s">
        <v>23</v>
      </c>
      <c r="K2515">
        <v>16281.11</v>
      </c>
    </row>
    <row r="2516" spans="1:11">
      <c r="A2516">
        <v>2515</v>
      </c>
      <c r="B2516" t="s">
        <v>68</v>
      </c>
      <c r="C2516" s="1">
        <v>41639</v>
      </c>
      <c r="D2516">
        <v>12</v>
      </c>
      <c r="E2516" t="s">
        <v>15</v>
      </c>
      <c r="F2516" t="s">
        <v>45</v>
      </c>
      <c r="G2516" s="1">
        <v>45566</v>
      </c>
      <c r="H2516" s="1">
        <v>45233</v>
      </c>
      <c r="I2516">
        <v>35</v>
      </c>
      <c r="J2516" t="s">
        <v>19</v>
      </c>
      <c r="K2516">
        <v>10709.58</v>
      </c>
    </row>
    <row r="2517" spans="1:11">
      <c r="A2517">
        <v>2516</v>
      </c>
      <c r="B2517" t="s">
        <v>109</v>
      </c>
      <c r="C2517" s="1">
        <v>43466</v>
      </c>
      <c r="D2517">
        <v>7</v>
      </c>
      <c r="E2517" t="s">
        <v>15</v>
      </c>
      <c r="F2517" t="s">
        <v>21</v>
      </c>
      <c r="G2517" s="1">
        <v>45068</v>
      </c>
      <c r="H2517" s="1">
        <v>45755</v>
      </c>
      <c r="I2517">
        <v>32</v>
      </c>
      <c r="J2517" t="s">
        <v>25</v>
      </c>
      <c r="K2517">
        <v>17428.28</v>
      </c>
    </row>
    <row r="2518" spans="1:11">
      <c r="A2518">
        <v>2517</v>
      </c>
      <c r="B2518" t="s">
        <v>82</v>
      </c>
      <c r="C2518" s="1">
        <v>38717</v>
      </c>
      <c r="E2518" t="s">
        <v>15</v>
      </c>
      <c r="F2518" t="s">
        <v>32</v>
      </c>
      <c r="G2518" s="1">
        <v>45541</v>
      </c>
      <c r="H2518" s="1">
        <v>45046</v>
      </c>
      <c r="I2518">
        <v>27</v>
      </c>
      <c r="J2518" t="s">
        <v>19</v>
      </c>
      <c r="K2518">
        <v>16013.65</v>
      </c>
    </row>
    <row r="2519" spans="1:11">
      <c r="A2519">
        <v>2518</v>
      </c>
      <c r="B2519" t="s">
        <v>28</v>
      </c>
      <c r="C2519" s="1">
        <v>21551</v>
      </c>
      <c r="D2519">
        <v>67</v>
      </c>
      <c r="E2519" t="s">
        <v>15</v>
      </c>
      <c r="G2519" s="1">
        <v>45033</v>
      </c>
      <c r="H2519" s="1">
        <v>45538</v>
      </c>
      <c r="I2519">
        <v>22</v>
      </c>
      <c r="K2519">
        <v>5458.62</v>
      </c>
    </row>
    <row r="2520" spans="1:11">
      <c r="A2520">
        <v>2519</v>
      </c>
      <c r="B2520" t="s">
        <v>145</v>
      </c>
      <c r="C2520" s="1">
        <v>37256</v>
      </c>
      <c r="D2520">
        <v>24</v>
      </c>
      <c r="E2520" t="s">
        <v>12</v>
      </c>
      <c r="F2520" t="s">
        <v>32</v>
      </c>
      <c r="G2520" s="1">
        <v>45455</v>
      </c>
      <c r="H2520" s="1">
        <v>45789</v>
      </c>
      <c r="I2520">
        <v>21</v>
      </c>
      <c r="J2520" t="s">
        <v>19</v>
      </c>
      <c r="K2520">
        <v>12565.06</v>
      </c>
    </row>
    <row r="2521" spans="1:11">
      <c r="A2521">
        <v>2520</v>
      </c>
      <c r="B2521" t="s">
        <v>27</v>
      </c>
      <c r="C2521" s="1">
        <v>17533</v>
      </c>
      <c r="D2521">
        <v>78</v>
      </c>
      <c r="E2521" t="s">
        <v>15</v>
      </c>
      <c r="F2521" t="s">
        <v>32</v>
      </c>
      <c r="G2521" s="1">
        <v>45463</v>
      </c>
      <c r="H2521" s="1">
        <v>45251</v>
      </c>
      <c r="I2521">
        <v>27</v>
      </c>
      <c r="J2521" t="s">
        <v>25</v>
      </c>
      <c r="K2521">
        <v>48.98</v>
      </c>
    </row>
    <row r="2522" spans="1:11">
      <c r="A2522">
        <v>2521</v>
      </c>
      <c r="B2522" t="s">
        <v>120</v>
      </c>
      <c r="C2522" s="1">
        <v>21551</v>
      </c>
      <c r="D2522">
        <v>67</v>
      </c>
      <c r="E2522" t="s">
        <v>12</v>
      </c>
      <c r="F2522" t="s">
        <v>18</v>
      </c>
      <c r="G2522" s="1">
        <v>45502</v>
      </c>
      <c r="H2522" s="1">
        <v>45086</v>
      </c>
      <c r="I2522">
        <v>17</v>
      </c>
      <c r="J2522" t="s">
        <v>23</v>
      </c>
      <c r="K2522">
        <v>7860.44</v>
      </c>
    </row>
    <row r="2523" spans="1:11">
      <c r="A2523">
        <v>2522</v>
      </c>
      <c r="B2523" t="s">
        <v>69</v>
      </c>
      <c r="C2523" s="1">
        <v>29951</v>
      </c>
      <c r="D2523">
        <v>44</v>
      </c>
      <c r="E2523" t="s">
        <v>12</v>
      </c>
      <c r="F2523" t="s">
        <v>13</v>
      </c>
      <c r="G2523" s="1">
        <v>45614</v>
      </c>
      <c r="H2523" s="1">
        <v>45166</v>
      </c>
      <c r="I2523">
        <v>0</v>
      </c>
      <c r="J2523" t="s">
        <v>19</v>
      </c>
      <c r="K2523">
        <v>4683</v>
      </c>
    </row>
    <row r="2524" spans="1:11">
      <c r="A2524">
        <v>2523</v>
      </c>
      <c r="B2524" t="s">
        <v>119</v>
      </c>
      <c r="C2524" s="1">
        <v>24473</v>
      </c>
      <c r="E2524" t="s">
        <v>12</v>
      </c>
      <c r="G2524" s="1">
        <v>45217</v>
      </c>
      <c r="H2524" s="1">
        <v>45323</v>
      </c>
      <c r="I2524">
        <v>29</v>
      </c>
      <c r="J2524" t="s">
        <v>25</v>
      </c>
      <c r="K2524">
        <v>18736.04</v>
      </c>
    </row>
    <row r="2525" spans="1:11">
      <c r="A2525">
        <v>2524</v>
      </c>
      <c r="B2525" t="s">
        <v>120</v>
      </c>
      <c r="C2525" s="1">
        <v>42005</v>
      </c>
      <c r="D2525">
        <v>11</v>
      </c>
      <c r="E2525" t="s">
        <v>12</v>
      </c>
      <c r="F2525" t="s">
        <v>13</v>
      </c>
      <c r="G2525" s="1">
        <v>45237</v>
      </c>
      <c r="H2525" s="1">
        <v>45247</v>
      </c>
      <c r="I2525">
        <v>5</v>
      </c>
      <c r="K2525">
        <v>8048.32</v>
      </c>
    </row>
    <row r="2526" spans="1:11">
      <c r="A2526">
        <v>2525</v>
      </c>
      <c r="B2526" t="s">
        <v>100</v>
      </c>
      <c r="C2526" s="1">
        <v>34700</v>
      </c>
      <c r="D2526">
        <v>31</v>
      </c>
      <c r="E2526" t="s">
        <v>15</v>
      </c>
      <c r="F2526" t="s">
        <v>13</v>
      </c>
      <c r="G2526" s="1">
        <v>45594</v>
      </c>
      <c r="H2526" s="1">
        <v>45774</v>
      </c>
      <c r="I2526">
        <v>20</v>
      </c>
      <c r="K2526">
        <v>13046.7</v>
      </c>
    </row>
    <row r="2527" spans="1:11">
      <c r="A2527">
        <v>2526</v>
      </c>
      <c r="B2527" t="s">
        <v>59</v>
      </c>
      <c r="C2527" s="1">
        <v>12785</v>
      </c>
      <c r="D2527">
        <v>91</v>
      </c>
      <c r="E2527" t="s">
        <v>15</v>
      </c>
      <c r="F2527" t="s">
        <v>18</v>
      </c>
      <c r="G2527" s="1">
        <v>45311</v>
      </c>
      <c r="H2527" s="1">
        <v>45116</v>
      </c>
      <c r="I2527">
        <v>13</v>
      </c>
      <c r="J2527" t="s">
        <v>23</v>
      </c>
      <c r="K2527">
        <v>14612.83</v>
      </c>
    </row>
    <row r="2528" spans="1:11">
      <c r="A2528">
        <v>2527</v>
      </c>
      <c r="B2528" t="s">
        <v>67</v>
      </c>
      <c r="C2528" s="1">
        <v>41639</v>
      </c>
      <c r="D2528">
        <v>12</v>
      </c>
      <c r="E2528" t="s">
        <v>15</v>
      </c>
      <c r="F2528" t="s">
        <v>32</v>
      </c>
      <c r="G2528" s="1">
        <v>44979</v>
      </c>
      <c r="H2528" s="1">
        <v>45236</v>
      </c>
      <c r="I2528">
        <v>32</v>
      </c>
      <c r="K2528">
        <v>15441.57</v>
      </c>
    </row>
    <row r="2529" spans="1:11">
      <c r="A2529">
        <v>2528</v>
      </c>
      <c r="B2529" t="s">
        <v>83</v>
      </c>
      <c r="D2529">
        <v>30</v>
      </c>
      <c r="E2529" t="s">
        <v>15</v>
      </c>
      <c r="F2529" t="s">
        <v>16</v>
      </c>
      <c r="G2529" s="1">
        <v>45511</v>
      </c>
      <c r="H2529" s="1">
        <v>45176</v>
      </c>
      <c r="I2529">
        <v>22</v>
      </c>
      <c r="J2529" t="s">
        <v>25</v>
      </c>
      <c r="K2529">
        <v>14689.08</v>
      </c>
    </row>
    <row r="2530" spans="1:11">
      <c r="A2530">
        <v>2529</v>
      </c>
      <c r="B2530" t="s">
        <v>14</v>
      </c>
      <c r="C2530" s="1">
        <v>17898</v>
      </c>
      <c r="D2530">
        <v>77</v>
      </c>
      <c r="E2530" t="s">
        <v>12</v>
      </c>
      <c r="F2530" t="s">
        <v>13</v>
      </c>
      <c r="G2530" s="1">
        <v>45109</v>
      </c>
      <c r="H2530" s="1">
        <v>45465</v>
      </c>
      <c r="I2530">
        <v>12</v>
      </c>
      <c r="J2530" t="s">
        <v>19</v>
      </c>
      <c r="K2530">
        <v>5712.22</v>
      </c>
    </row>
    <row r="2531" spans="1:11">
      <c r="A2531">
        <v>2530</v>
      </c>
      <c r="B2531" t="s">
        <v>167</v>
      </c>
      <c r="C2531" s="1">
        <v>39083</v>
      </c>
      <c r="D2531">
        <v>19</v>
      </c>
      <c r="E2531" t="s">
        <v>12</v>
      </c>
      <c r="F2531" t="s">
        <v>16</v>
      </c>
      <c r="G2531" s="1">
        <v>45295</v>
      </c>
      <c r="H2531" s="1">
        <v>45628</v>
      </c>
      <c r="I2531">
        <v>5</v>
      </c>
      <c r="J2531" t="s">
        <v>25</v>
      </c>
      <c r="K2531">
        <v>13689.96</v>
      </c>
    </row>
    <row r="2532" spans="1:11">
      <c r="A2532">
        <v>2531</v>
      </c>
      <c r="B2532" t="s">
        <v>114</v>
      </c>
      <c r="C2532" s="1">
        <v>39813</v>
      </c>
      <c r="D2532">
        <v>17</v>
      </c>
      <c r="E2532" t="s">
        <v>15</v>
      </c>
      <c r="F2532" t="s">
        <v>16</v>
      </c>
      <c r="G2532" s="1">
        <v>45627</v>
      </c>
      <c r="H2532" s="1">
        <v>45433</v>
      </c>
      <c r="I2532">
        <v>31</v>
      </c>
      <c r="J2532" t="s">
        <v>23</v>
      </c>
      <c r="K2532">
        <v>10935.09</v>
      </c>
    </row>
    <row r="2533" spans="1:11">
      <c r="A2533">
        <v>2532</v>
      </c>
      <c r="B2533" t="s">
        <v>74</v>
      </c>
      <c r="C2533" s="1">
        <v>12419</v>
      </c>
      <c r="D2533">
        <v>92</v>
      </c>
      <c r="E2533" t="s">
        <v>15</v>
      </c>
      <c r="F2533" t="s">
        <v>18</v>
      </c>
      <c r="G2533" s="1">
        <v>44939</v>
      </c>
      <c r="H2533" s="1">
        <v>45321</v>
      </c>
      <c r="I2533">
        <v>22</v>
      </c>
      <c r="J2533" t="s">
        <v>19</v>
      </c>
      <c r="K2533">
        <v>11907.19</v>
      </c>
    </row>
    <row r="2534" spans="1:11">
      <c r="A2534">
        <v>2533</v>
      </c>
      <c r="B2534" t="s">
        <v>86</v>
      </c>
      <c r="C2534" s="1">
        <v>24473</v>
      </c>
      <c r="D2534">
        <v>59</v>
      </c>
      <c r="E2534" t="s">
        <v>15</v>
      </c>
      <c r="F2534" t="s">
        <v>18</v>
      </c>
      <c r="G2534" s="1">
        <v>45485</v>
      </c>
      <c r="H2534" s="1">
        <v>45579</v>
      </c>
      <c r="I2534">
        <v>16</v>
      </c>
      <c r="J2534" t="s">
        <v>25</v>
      </c>
      <c r="K2534">
        <v>-83.63</v>
      </c>
    </row>
    <row r="2535" spans="1:11">
      <c r="A2535">
        <v>2534</v>
      </c>
      <c r="B2535" t="s">
        <v>47</v>
      </c>
      <c r="C2535" s="1">
        <v>23377</v>
      </c>
      <c r="D2535">
        <v>62</v>
      </c>
      <c r="E2535" t="s">
        <v>12</v>
      </c>
      <c r="F2535" t="s">
        <v>21</v>
      </c>
      <c r="G2535" s="1">
        <v>45086</v>
      </c>
      <c r="H2535" s="1">
        <v>45333</v>
      </c>
      <c r="I2535">
        <v>10</v>
      </c>
      <c r="J2535" t="s">
        <v>23</v>
      </c>
      <c r="K2535">
        <v>5090.9799999999996</v>
      </c>
    </row>
    <row r="2536" spans="1:11">
      <c r="A2536">
        <v>2535</v>
      </c>
      <c r="B2536" t="s">
        <v>126</v>
      </c>
      <c r="C2536" s="1">
        <v>44196</v>
      </c>
      <c r="D2536">
        <v>5</v>
      </c>
      <c r="E2536" t="s">
        <v>12</v>
      </c>
      <c r="G2536" s="1">
        <v>45210</v>
      </c>
      <c r="H2536" s="1">
        <v>45108</v>
      </c>
      <c r="I2536">
        <v>9</v>
      </c>
      <c r="J2536" t="s">
        <v>23</v>
      </c>
      <c r="K2536">
        <v>18606.740000000002</v>
      </c>
    </row>
    <row r="2537" spans="1:11">
      <c r="A2537">
        <v>2536</v>
      </c>
      <c r="B2537" t="s">
        <v>118</v>
      </c>
      <c r="C2537" s="1">
        <v>34700</v>
      </c>
      <c r="D2537">
        <v>31</v>
      </c>
      <c r="E2537" t="s">
        <v>12</v>
      </c>
      <c r="F2537" t="s">
        <v>13</v>
      </c>
      <c r="G2537" s="1">
        <v>45491</v>
      </c>
      <c r="H2537" s="1">
        <v>44948</v>
      </c>
      <c r="I2537">
        <v>12</v>
      </c>
      <c r="J2537" t="s">
        <v>19</v>
      </c>
      <c r="K2537">
        <v>5730.53</v>
      </c>
    </row>
    <row r="2538" spans="1:11">
      <c r="A2538">
        <v>2537</v>
      </c>
      <c r="B2538" t="s">
        <v>112</v>
      </c>
      <c r="C2538" s="1">
        <v>12419</v>
      </c>
      <c r="E2538" t="s">
        <v>12</v>
      </c>
      <c r="F2538" t="s">
        <v>32</v>
      </c>
      <c r="G2538" s="1">
        <v>45213</v>
      </c>
      <c r="H2538" s="1">
        <v>45602</v>
      </c>
      <c r="I2538">
        <v>20</v>
      </c>
      <c r="J2538" t="s">
        <v>19</v>
      </c>
      <c r="K2538">
        <v>8704.11</v>
      </c>
    </row>
    <row r="2539" spans="1:11">
      <c r="A2539">
        <v>2538</v>
      </c>
      <c r="B2539" t="s">
        <v>51</v>
      </c>
      <c r="C2539" s="1">
        <v>30682</v>
      </c>
      <c r="D2539">
        <v>42</v>
      </c>
      <c r="E2539" t="s">
        <v>15</v>
      </c>
      <c r="F2539" t="s">
        <v>45</v>
      </c>
      <c r="G2539" s="1">
        <v>44934</v>
      </c>
      <c r="H2539" s="1">
        <v>45510</v>
      </c>
      <c r="I2539">
        <v>37</v>
      </c>
      <c r="K2539">
        <v>3652.15</v>
      </c>
    </row>
    <row r="2540" spans="1:11">
      <c r="A2540">
        <v>2539</v>
      </c>
      <c r="B2540" t="s">
        <v>61</v>
      </c>
      <c r="C2540" s="1">
        <v>45657</v>
      </c>
      <c r="D2540">
        <v>1</v>
      </c>
      <c r="E2540" t="s">
        <v>15</v>
      </c>
      <c r="F2540" t="s">
        <v>18</v>
      </c>
      <c r="G2540" s="1">
        <v>44998</v>
      </c>
      <c r="H2540" s="1">
        <v>45521</v>
      </c>
      <c r="I2540">
        <v>-1</v>
      </c>
      <c r="K2540">
        <v>2685.91</v>
      </c>
    </row>
    <row r="2541" spans="1:11">
      <c r="A2541">
        <v>2540</v>
      </c>
      <c r="B2541" t="s">
        <v>103</v>
      </c>
      <c r="C2541" s="1">
        <v>24473</v>
      </c>
      <c r="D2541">
        <v>59</v>
      </c>
      <c r="E2541" t="s">
        <v>15</v>
      </c>
      <c r="F2541" t="s">
        <v>16</v>
      </c>
      <c r="G2541" s="1">
        <v>45024</v>
      </c>
      <c r="H2541" s="1">
        <v>45082</v>
      </c>
      <c r="I2541">
        <v>37</v>
      </c>
      <c r="J2541" t="s">
        <v>19</v>
      </c>
      <c r="K2541">
        <v>4094.25</v>
      </c>
    </row>
    <row r="2542" spans="1:11">
      <c r="A2542">
        <v>2541</v>
      </c>
      <c r="B2542" t="s">
        <v>125</v>
      </c>
      <c r="C2542" s="1">
        <v>37987</v>
      </c>
      <c r="D2542">
        <v>22</v>
      </c>
      <c r="E2542" t="s">
        <v>15</v>
      </c>
      <c r="F2542" t="s">
        <v>21</v>
      </c>
      <c r="G2542" s="1">
        <v>45013</v>
      </c>
      <c r="H2542" s="1">
        <v>45755</v>
      </c>
      <c r="I2542">
        <v>20</v>
      </c>
      <c r="K2542">
        <v>11028.31</v>
      </c>
    </row>
    <row r="2543" spans="1:11">
      <c r="A2543">
        <v>2542</v>
      </c>
      <c r="B2543" t="s">
        <v>166</v>
      </c>
      <c r="C2543" s="1">
        <v>16072</v>
      </c>
      <c r="D2543">
        <v>82</v>
      </c>
      <c r="E2543" t="s">
        <v>12</v>
      </c>
      <c r="F2543" t="s">
        <v>45</v>
      </c>
      <c r="G2543" s="1">
        <v>45027</v>
      </c>
      <c r="H2543" s="1">
        <v>45794</v>
      </c>
      <c r="I2543">
        <v>2</v>
      </c>
      <c r="J2543" t="s">
        <v>19</v>
      </c>
      <c r="K2543">
        <v>18372.48</v>
      </c>
    </row>
    <row r="2544" spans="1:11">
      <c r="A2544">
        <v>2543</v>
      </c>
      <c r="B2544" t="s">
        <v>149</v>
      </c>
      <c r="C2544" s="1">
        <v>35065</v>
      </c>
      <c r="D2544">
        <v>30</v>
      </c>
      <c r="E2544" t="s">
        <v>12</v>
      </c>
      <c r="F2544" t="s">
        <v>18</v>
      </c>
      <c r="G2544" s="1">
        <v>45207</v>
      </c>
      <c r="H2544" s="1">
        <v>45486</v>
      </c>
      <c r="I2544">
        <v>31</v>
      </c>
      <c r="K2544">
        <v>6456.6</v>
      </c>
    </row>
    <row r="2545" spans="1:11">
      <c r="A2545">
        <v>2544</v>
      </c>
      <c r="B2545" t="s">
        <v>30</v>
      </c>
      <c r="C2545" s="1">
        <v>44561</v>
      </c>
      <c r="D2545">
        <v>4</v>
      </c>
      <c r="E2545" t="s">
        <v>12</v>
      </c>
      <c r="F2545" t="s">
        <v>21</v>
      </c>
      <c r="G2545" s="1">
        <v>45215</v>
      </c>
      <c r="H2545" s="1">
        <v>45121</v>
      </c>
      <c r="I2545">
        <v>7</v>
      </c>
      <c r="J2545" t="s">
        <v>25</v>
      </c>
      <c r="K2545">
        <v>6400.5</v>
      </c>
    </row>
    <row r="2546" spans="1:11">
      <c r="A2546">
        <v>2545</v>
      </c>
      <c r="B2546" t="s">
        <v>89</v>
      </c>
      <c r="C2546" s="1">
        <v>16072</v>
      </c>
      <c r="D2546">
        <v>82</v>
      </c>
      <c r="E2546" t="s">
        <v>12</v>
      </c>
      <c r="F2546" t="s">
        <v>16</v>
      </c>
      <c r="G2546" s="1">
        <v>45122</v>
      </c>
      <c r="H2546" s="1">
        <v>45151</v>
      </c>
      <c r="I2546">
        <v>24</v>
      </c>
      <c r="J2546" t="s">
        <v>23</v>
      </c>
      <c r="K2546">
        <v>11239.23</v>
      </c>
    </row>
    <row r="2547" spans="1:11">
      <c r="A2547">
        <v>2546</v>
      </c>
      <c r="B2547" t="s">
        <v>33</v>
      </c>
      <c r="C2547" s="1">
        <v>33969</v>
      </c>
      <c r="D2547">
        <v>33</v>
      </c>
      <c r="E2547" t="s">
        <v>15</v>
      </c>
      <c r="F2547" t="s">
        <v>13</v>
      </c>
      <c r="G2547" s="1">
        <v>45317</v>
      </c>
      <c r="H2547" s="1">
        <v>45326</v>
      </c>
      <c r="I2547">
        <v>39</v>
      </c>
      <c r="J2547" t="s">
        <v>19</v>
      </c>
      <c r="K2547">
        <v>7070.53</v>
      </c>
    </row>
    <row r="2548" spans="1:11">
      <c r="A2548">
        <v>2547</v>
      </c>
      <c r="B2548" t="s">
        <v>130</v>
      </c>
      <c r="C2548" s="1">
        <v>42735</v>
      </c>
      <c r="D2548">
        <v>9</v>
      </c>
      <c r="E2548" t="s">
        <v>15</v>
      </c>
      <c r="G2548" s="1">
        <v>45535</v>
      </c>
      <c r="H2548" s="1">
        <v>45676</v>
      </c>
      <c r="I2548">
        <v>1</v>
      </c>
      <c r="J2548" t="s">
        <v>19</v>
      </c>
      <c r="K2548">
        <v>18199.36</v>
      </c>
    </row>
    <row r="2549" spans="1:11">
      <c r="A2549">
        <v>2548</v>
      </c>
      <c r="B2549" t="s">
        <v>67</v>
      </c>
      <c r="C2549" s="1">
        <v>13880</v>
      </c>
      <c r="D2549">
        <v>88</v>
      </c>
      <c r="E2549" t="s">
        <v>12</v>
      </c>
      <c r="G2549" s="1">
        <v>45376</v>
      </c>
      <c r="H2549" s="1">
        <v>45207</v>
      </c>
      <c r="I2549">
        <v>1</v>
      </c>
      <c r="J2549" t="s">
        <v>19</v>
      </c>
      <c r="K2549">
        <v>7494.75</v>
      </c>
    </row>
    <row r="2550" spans="1:11">
      <c r="A2550">
        <v>2549</v>
      </c>
      <c r="B2550" t="s">
        <v>143</v>
      </c>
      <c r="C2550" s="1">
        <v>45657</v>
      </c>
      <c r="D2550">
        <v>1</v>
      </c>
      <c r="E2550" t="s">
        <v>12</v>
      </c>
      <c r="F2550" t="s">
        <v>21</v>
      </c>
      <c r="G2550" s="1">
        <v>45294</v>
      </c>
      <c r="H2550" s="1">
        <v>44937</v>
      </c>
      <c r="I2550">
        <v>5</v>
      </c>
      <c r="J2550" t="s">
        <v>25</v>
      </c>
      <c r="K2550">
        <v>9757.89</v>
      </c>
    </row>
    <row r="2551" spans="1:11">
      <c r="A2551">
        <v>2550</v>
      </c>
      <c r="B2551" t="s">
        <v>117</v>
      </c>
      <c r="C2551" s="1">
        <v>42370</v>
      </c>
      <c r="E2551" t="s">
        <v>15</v>
      </c>
      <c r="F2551" t="s">
        <v>18</v>
      </c>
      <c r="G2551" s="1">
        <v>45356</v>
      </c>
      <c r="H2551" s="1">
        <v>45303</v>
      </c>
      <c r="I2551">
        <v>3</v>
      </c>
      <c r="J2551" t="s">
        <v>23</v>
      </c>
      <c r="K2551">
        <v>10621.12</v>
      </c>
    </row>
    <row r="2552" spans="1:11">
      <c r="A2552">
        <v>2551</v>
      </c>
      <c r="B2552" t="s">
        <v>97</v>
      </c>
      <c r="C2552" s="1">
        <v>28125</v>
      </c>
      <c r="D2552">
        <v>49</v>
      </c>
      <c r="E2552" t="s">
        <v>12</v>
      </c>
      <c r="G2552" s="1">
        <v>45022</v>
      </c>
      <c r="H2552" s="1">
        <v>45399</v>
      </c>
      <c r="I2552">
        <v>22</v>
      </c>
      <c r="K2552">
        <v>15619.56</v>
      </c>
    </row>
    <row r="2553" spans="1:11">
      <c r="A2553">
        <v>2552</v>
      </c>
      <c r="B2553" t="s">
        <v>156</v>
      </c>
      <c r="C2553" s="1">
        <v>35065</v>
      </c>
      <c r="D2553">
        <v>30</v>
      </c>
      <c r="E2553" t="s">
        <v>12</v>
      </c>
      <c r="G2553" s="1">
        <v>45187</v>
      </c>
      <c r="H2553" s="1">
        <v>45079</v>
      </c>
      <c r="I2553">
        <v>24</v>
      </c>
      <c r="K2553">
        <v>11234.51</v>
      </c>
    </row>
    <row r="2554" spans="1:11">
      <c r="A2554">
        <v>2553</v>
      </c>
      <c r="B2554" t="s">
        <v>73</v>
      </c>
      <c r="C2554" s="1">
        <v>25934</v>
      </c>
      <c r="D2554">
        <v>55</v>
      </c>
      <c r="E2554" t="s">
        <v>15</v>
      </c>
      <c r="F2554" t="s">
        <v>13</v>
      </c>
      <c r="G2554" s="1">
        <v>45438</v>
      </c>
      <c r="H2554" s="1">
        <v>45783</v>
      </c>
      <c r="I2554">
        <v>37</v>
      </c>
      <c r="J2554" t="s">
        <v>23</v>
      </c>
      <c r="K2554">
        <v>4707.0200000000004</v>
      </c>
    </row>
    <row r="2555" spans="1:11">
      <c r="A2555">
        <v>2554</v>
      </c>
      <c r="B2555" t="s">
        <v>171</v>
      </c>
      <c r="C2555" s="1">
        <v>17533</v>
      </c>
      <c r="D2555">
        <v>78</v>
      </c>
      <c r="E2555" t="s">
        <v>12</v>
      </c>
      <c r="F2555" t="s">
        <v>16</v>
      </c>
      <c r="G2555" s="1">
        <v>45047</v>
      </c>
      <c r="H2555" s="1">
        <v>45543</v>
      </c>
      <c r="I2555">
        <v>17</v>
      </c>
      <c r="K2555">
        <v>2392.14</v>
      </c>
    </row>
    <row r="2556" spans="1:11">
      <c r="A2556">
        <v>2555</v>
      </c>
      <c r="B2556" t="s">
        <v>149</v>
      </c>
      <c r="C2556" s="1">
        <v>19724</v>
      </c>
      <c r="D2556">
        <v>72</v>
      </c>
      <c r="E2556" t="s">
        <v>15</v>
      </c>
      <c r="F2556" t="s">
        <v>32</v>
      </c>
      <c r="G2556" s="1">
        <v>45292</v>
      </c>
      <c r="H2556" s="1">
        <v>45051</v>
      </c>
      <c r="I2556">
        <v>24</v>
      </c>
      <c r="J2556" t="s">
        <v>19</v>
      </c>
      <c r="K2556">
        <v>18749.27</v>
      </c>
    </row>
    <row r="2557" spans="1:11">
      <c r="A2557">
        <v>2556</v>
      </c>
      <c r="B2557" t="s">
        <v>94</v>
      </c>
      <c r="C2557" s="1">
        <v>14611</v>
      </c>
      <c r="D2557">
        <v>86</v>
      </c>
      <c r="E2557" t="s">
        <v>12</v>
      </c>
      <c r="G2557" s="1">
        <v>45258</v>
      </c>
      <c r="H2557" s="1">
        <v>45624</v>
      </c>
      <c r="I2557">
        <v>4</v>
      </c>
      <c r="J2557" t="s">
        <v>23</v>
      </c>
      <c r="K2557">
        <v>16011.42</v>
      </c>
    </row>
    <row r="2558" spans="1:11">
      <c r="A2558">
        <v>2557</v>
      </c>
      <c r="B2558" t="s">
        <v>91</v>
      </c>
      <c r="D2558">
        <v>82</v>
      </c>
      <c r="E2558" t="s">
        <v>12</v>
      </c>
      <c r="F2558" t="s">
        <v>21</v>
      </c>
      <c r="G2558" s="1">
        <v>44978</v>
      </c>
      <c r="H2558" s="1">
        <v>45729</v>
      </c>
      <c r="I2558">
        <v>20</v>
      </c>
      <c r="J2558" t="s">
        <v>25</v>
      </c>
      <c r="K2558">
        <v>361.6</v>
      </c>
    </row>
    <row r="2559" spans="1:11">
      <c r="A2559">
        <v>2558</v>
      </c>
      <c r="B2559" t="s">
        <v>107</v>
      </c>
      <c r="D2559">
        <v>8</v>
      </c>
      <c r="F2559" t="s">
        <v>45</v>
      </c>
      <c r="G2559" s="1">
        <v>45322</v>
      </c>
      <c r="H2559" s="1">
        <v>45480</v>
      </c>
      <c r="I2559">
        <v>17</v>
      </c>
      <c r="J2559" t="s">
        <v>23</v>
      </c>
      <c r="K2559">
        <v>16412.73</v>
      </c>
    </row>
    <row r="2560" spans="1:11">
      <c r="A2560">
        <v>2559</v>
      </c>
      <c r="B2560" t="s">
        <v>129</v>
      </c>
      <c r="C2560" s="1">
        <v>38717</v>
      </c>
      <c r="D2560">
        <v>20</v>
      </c>
      <c r="E2560" t="s">
        <v>15</v>
      </c>
      <c r="F2560" t="s">
        <v>16</v>
      </c>
      <c r="G2560" s="1">
        <v>45244</v>
      </c>
      <c r="H2560" s="1">
        <v>45351</v>
      </c>
      <c r="I2560">
        <v>31</v>
      </c>
      <c r="J2560" t="s">
        <v>19</v>
      </c>
      <c r="K2560">
        <v>11771.02</v>
      </c>
    </row>
    <row r="2561" spans="1:11">
      <c r="A2561">
        <v>2560</v>
      </c>
      <c r="B2561" t="s">
        <v>167</v>
      </c>
      <c r="C2561" s="1">
        <v>19724</v>
      </c>
      <c r="D2561">
        <v>72</v>
      </c>
      <c r="E2561" t="s">
        <v>15</v>
      </c>
      <c r="F2561" t="s">
        <v>13</v>
      </c>
      <c r="G2561" s="1">
        <v>45601</v>
      </c>
      <c r="H2561" s="1">
        <v>45450</v>
      </c>
      <c r="I2561">
        <v>26</v>
      </c>
      <c r="J2561" t="s">
        <v>23</v>
      </c>
      <c r="K2561">
        <v>10329.77</v>
      </c>
    </row>
    <row r="2562" spans="1:11">
      <c r="A2562">
        <v>2561</v>
      </c>
      <c r="B2562" t="s">
        <v>79</v>
      </c>
      <c r="C2562" s="1">
        <v>36161</v>
      </c>
      <c r="D2562">
        <v>27</v>
      </c>
      <c r="E2562" t="s">
        <v>15</v>
      </c>
      <c r="F2562" t="s">
        <v>16</v>
      </c>
      <c r="G2562" s="1">
        <v>45628</v>
      </c>
      <c r="H2562" s="1">
        <v>45657</v>
      </c>
      <c r="I2562">
        <v>2</v>
      </c>
      <c r="J2562" t="s">
        <v>25</v>
      </c>
      <c r="K2562">
        <v>145.81</v>
      </c>
    </row>
    <row r="2563" spans="1:11">
      <c r="A2563">
        <v>2562</v>
      </c>
      <c r="B2563" t="s">
        <v>125</v>
      </c>
      <c r="C2563" s="1">
        <v>23742</v>
      </c>
      <c r="D2563">
        <v>61</v>
      </c>
      <c r="E2563" t="s">
        <v>15</v>
      </c>
      <c r="F2563" t="s">
        <v>13</v>
      </c>
      <c r="G2563" s="1">
        <v>45203</v>
      </c>
      <c r="H2563" s="1">
        <v>45440</v>
      </c>
      <c r="I2563">
        <v>24</v>
      </c>
      <c r="J2563" t="s">
        <v>25</v>
      </c>
      <c r="K2563">
        <v>15595.37</v>
      </c>
    </row>
    <row r="2564" spans="1:11">
      <c r="A2564">
        <v>2563</v>
      </c>
      <c r="B2564" t="s">
        <v>34</v>
      </c>
      <c r="C2564" s="1">
        <v>43831</v>
      </c>
      <c r="D2564">
        <v>6</v>
      </c>
      <c r="E2564" t="s">
        <v>12</v>
      </c>
      <c r="F2564" t="s">
        <v>16</v>
      </c>
      <c r="G2564" s="1">
        <v>45523</v>
      </c>
      <c r="H2564" s="1">
        <v>45098</v>
      </c>
      <c r="I2564">
        <v>9</v>
      </c>
      <c r="J2564" t="s">
        <v>23</v>
      </c>
      <c r="K2564">
        <v>3881.11</v>
      </c>
    </row>
    <row r="2565" spans="1:11">
      <c r="A2565">
        <v>2564</v>
      </c>
      <c r="B2565" t="s">
        <v>17</v>
      </c>
      <c r="C2565" s="1">
        <v>17168</v>
      </c>
      <c r="D2565">
        <v>79</v>
      </c>
      <c r="E2565" t="s">
        <v>12</v>
      </c>
      <c r="F2565" t="s">
        <v>32</v>
      </c>
      <c r="G2565" s="1">
        <v>45120</v>
      </c>
      <c r="H2565" s="1">
        <v>45777</v>
      </c>
      <c r="I2565">
        <v>14</v>
      </c>
      <c r="J2565" t="s">
        <v>23</v>
      </c>
      <c r="K2565">
        <v>14532.42</v>
      </c>
    </row>
    <row r="2566" spans="1:11">
      <c r="A2566">
        <v>2565</v>
      </c>
      <c r="B2566" t="s">
        <v>74</v>
      </c>
      <c r="C2566" s="1">
        <v>40544</v>
      </c>
      <c r="D2566">
        <v>15</v>
      </c>
      <c r="E2566" t="s">
        <v>15</v>
      </c>
      <c r="F2566" t="s">
        <v>21</v>
      </c>
      <c r="G2566" s="1">
        <v>45619</v>
      </c>
      <c r="H2566" s="1">
        <v>45721</v>
      </c>
      <c r="I2566">
        <v>34</v>
      </c>
      <c r="K2566">
        <v>218.95</v>
      </c>
    </row>
    <row r="2567" spans="1:11">
      <c r="A2567">
        <v>2566</v>
      </c>
      <c r="B2567" t="s">
        <v>161</v>
      </c>
      <c r="C2567" s="1">
        <v>44927</v>
      </c>
      <c r="D2567">
        <v>3</v>
      </c>
      <c r="E2567" t="s">
        <v>15</v>
      </c>
      <c r="F2567" t="s">
        <v>45</v>
      </c>
      <c r="G2567" s="1">
        <v>44947</v>
      </c>
      <c r="H2567" s="1">
        <v>45492</v>
      </c>
      <c r="I2567">
        <v>31</v>
      </c>
      <c r="K2567">
        <v>15906.71</v>
      </c>
    </row>
    <row r="2568" spans="1:11">
      <c r="A2568">
        <v>2567</v>
      </c>
      <c r="B2568" t="s">
        <v>148</v>
      </c>
      <c r="C2568" s="1">
        <v>44927</v>
      </c>
      <c r="D2568">
        <v>3</v>
      </c>
      <c r="E2568" t="s">
        <v>15</v>
      </c>
      <c r="G2568" s="1">
        <v>45325</v>
      </c>
      <c r="H2568" s="1">
        <v>45052</v>
      </c>
      <c r="I2568">
        <v>27</v>
      </c>
      <c r="J2568" t="s">
        <v>19</v>
      </c>
      <c r="K2568">
        <v>363.09</v>
      </c>
    </row>
    <row r="2569" spans="1:11">
      <c r="A2569">
        <v>2568</v>
      </c>
      <c r="B2569" t="s">
        <v>76</v>
      </c>
      <c r="C2569" s="1">
        <v>31778</v>
      </c>
      <c r="D2569">
        <v>39</v>
      </c>
      <c r="E2569" t="s">
        <v>15</v>
      </c>
      <c r="F2569" t="s">
        <v>32</v>
      </c>
      <c r="G2569" s="1">
        <v>45641</v>
      </c>
      <c r="H2569" s="1">
        <v>45102</v>
      </c>
      <c r="I2569">
        <v>33</v>
      </c>
      <c r="K2569">
        <v>4641.45</v>
      </c>
    </row>
    <row r="2570" spans="1:11">
      <c r="A2570">
        <v>2569</v>
      </c>
      <c r="B2570" t="s">
        <v>82</v>
      </c>
      <c r="C2570" s="1">
        <v>40178</v>
      </c>
      <c r="E2570" t="s">
        <v>15</v>
      </c>
      <c r="F2570" t="s">
        <v>21</v>
      </c>
      <c r="G2570" s="1">
        <v>45128</v>
      </c>
      <c r="H2570" s="1">
        <v>45431</v>
      </c>
      <c r="I2570">
        <v>3</v>
      </c>
      <c r="J2570" t="s">
        <v>19</v>
      </c>
      <c r="K2570">
        <v>5292.39</v>
      </c>
    </row>
    <row r="2571" spans="1:11">
      <c r="A2571">
        <v>2570</v>
      </c>
      <c r="B2571" t="s">
        <v>157</v>
      </c>
      <c r="C2571" s="1">
        <v>27395</v>
      </c>
      <c r="D2571">
        <v>51</v>
      </c>
      <c r="E2571" t="s">
        <v>15</v>
      </c>
      <c r="F2571" t="s">
        <v>45</v>
      </c>
      <c r="G2571" s="1">
        <v>45392</v>
      </c>
      <c r="H2571" s="1">
        <v>45704</v>
      </c>
      <c r="I2571">
        <v>29</v>
      </c>
      <c r="J2571" t="s">
        <v>19</v>
      </c>
      <c r="K2571">
        <v>3065.92</v>
      </c>
    </row>
    <row r="2572" spans="1:11">
      <c r="A2572">
        <v>2571</v>
      </c>
      <c r="B2572" t="s">
        <v>163</v>
      </c>
      <c r="C2572" s="1">
        <v>12419</v>
      </c>
      <c r="D2572">
        <v>92</v>
      </c>
      <c r="E2572" t="s">
        <v>12</v>
      </c>
      <c r="F2572" t="s">
        <v>16</v>
      </c>
      <c r="G2572" s="1">
        <v>45077</v>
      </c>
      <c r="H2572" s="1">
        <v>45704</v>
      </c>
      <c r="I2572">
        <v>29</v>
      </c>
      <c r="J2572" t="s">
        <v>23</v>
      </c>
      <c r="K2572">
        <v>9569.27</v>
      </c>
    </row>
    <row r="2573" spans="1:11">
      <c r="A2573">
        <v>2572</v>
      </c>
      <c r="B2573" t="s">
        <v>168</v>
      </c>
      <c r="C2573" s="1">
        <v>27395</v>
      </c>
      <c r="D2573">
        <v>51</v>
      </c>
      <c r="E2573" t="s">
        <v>15</v>
      </c>
      <c r="G2573" s="1">
        <v>45085</v>
      </c>
      <c r="H2573" s="1">
        <v>45312</v>
      </c>
      <c r="I2573">
        <v>6</v>
      </c>
      <c r="K2573">
        <v>5602.13</v>
      </c>
    </row>
    <row r="2574" spans="1:11">
      <c r="A2574">
        <v>2573</v>
      </c>
      <c r="B2574" t="s">
        <v>62</v>
      </c>
      <c r="C2574" s="1">
        <v>33239</v>
      </c>
      <c r="D2574">
        <v>35</v>
      </c>
      <c r="E2574" t="s">
        <v>12</v>
      </c>
      <c r="F2574" t="s">
        <v>45</v>
      </c>
      <c r="G2574" s="1">
        <v>45236</v>
      </c>
      <c r="H2574" s="1">
        <v>45638</v>
      </c>
      <c r="I2574">
        <v>19</v>
      </c>
      <c r="J2574" t="s">
        <v>25</v>
      </c>
      <c r="K2574">
        <v>19865.09</v>
      </c>
    </row>
    <row r="2575" spans="1:11">
      <c r="A2575">
        <v>2574</v>
      </c>
      <c r="B2575" t="s">
        <v>97</v>
      </c>
      <c r="C2575" s="1">
        <v>32508</v>
      </c>
      <c r="D2575">
        <v>37</v>
      </c>
      <c r="E2575" t="s">
        <v>12</v>
      </c>
      <c r="F2575" t="s">
        <v>18</v>
      </c>
      <c r="G2575" s="1">
        <v>45430</v>
      </c>
      <c r="H2575" s="1">
        <v>45695</v>
      </c>
      <c r="I2575">
        <v>7</v>
      </c>
      <c r="J2575" t="s">
        <v>25</v>
      </c>
      <c r="K2575">
        <v>11557.37</v>
      </c>
    </row>
    <row r="2576" spans="1:11">
      <c r="A2576">
        <v>2575</v>
      </c>
      <c r="B2576" t="s">
        <v>99</v>
      </c>
      <c r="C2576" s="1">
        <v>28125</v>
      </c>
      <c r="D2576">
        <v>49</v>
      </c>
      <c r="E2576" t="s">
        <v>15</v>
      </c>
      <c r="F2576" t="s">
        <v>45</v>
      </c>
      <c r="G2576" s="1">
        <v>44952</v>
      </c>
      <c r="H2576" s="1">
        <v>45611</v>
      </c>
      <c r="I2576">
        <v>26</v>
      </c>
      <c r="J2576" t="s">
        <v>23</v>
      </c>
      <c r="K2576">
        <v>11286.2</v>
      </c>
    </row>
    <row r="2577" spans="1:11">
      <c r="A2577">
        <v>2576</v>
      </c>
      <c r="B2577" t="s">
        <v>51</v>
      </c>
      <c r="C2577" s="1">
        <v>23377</v>
      </c>
      <c r="D2577">
        <v>62</v>
      </c>
      <c r="E2577" t="s">
        <v>12</v>
      </c>
      <c r="F2577" t="s">
        <v>21</v>
      </c>
      <c r="G2577" s="1">
        <v>44992</v>
      </c>
      <c r="H2577" s="1">
        <v>45498</v>
      </c>
      <c r="I2577">
        <v>8</v>
      </c>
      <c r="J2577" t="s">
        <v>25</v>
      </c>
      <c r="K2577">
        <v>4339.4799999999996</v>
      </c>
    </row>
    <row r="2578" spans="1:11">
      <c r="A2578">
        <v>2577</v>
      </c>
      <c r="B2578" t="s">
        <v>78</v>
      </c>
      <c r="C2578" s="1">
        <v>23377</v>
      </c>
      <c r="D2578">
        <v>62</v>
      </c>
      <c r="E2578" t="s">
        <v>12</v>
      </c>
      <c r="F2578" t="s">
        <v>32</v>
      </c>
      <c r="G2578" s="1">
        <v>45189</v>
      </c>
      <c r="H2578" s="1">
        <v>45033</v>
      </c>
      <c r="I2578">
        <v>25</v>
      </c>
      <c r="J2578" t="s">
        <v>25</v>
      </c>
      <c r="K2578">
        <v>8114.66</v>
      </c>
    </row>
    <row r="2579" spans="1:11">
      <c r="A2579">
        <v>2578</v>
      </c>
      <c r="B2579" t="s">
        <v>110</v>
      </c>
      <c r="C2579" s="1">
        <v>23742</v>
      </c>
      <c r="D2579">
        <v>61</v>
      </c>
      <c r="E2579" t="s">
        <v>12</v>
      </c>
      <c r="G2579" s="1">
        <v>45398</v>
      </c>
      <c r="H2579" s="1">
        <v>45564</v>
      </c>
      <c r="I2579">
        <v>-1</v>
      </c>
      <c r="J2579" t="s">
        <v>23</v>
      </c>
      <c r="K2579">
        <v>2391.96</v>
      </c>
    </row>
    <row r="2580" spans="1:11">
      <c r="A2580">
        <v>2579</v>
      </c>
      <c r="B2580" t="s">
        <v>82</v>
      </c>
      <c r="C2580" s="1">
        <v>43831</v>
      </c>
      <c r="D2580">
        <v>6</v>
      </c>
      <c r="E2580" t="s">
        <v>15</v>
      </c>
      <c r="F2580" t="s">
        <v>32</v>
      </c>
      <c r="G2580" s="1">
        <v>45093</v>
      </c>
      <c r="H2580" s="1">
        <v>45455</v>
      </c>
      <c r="I2580">
        <v>18</v>
      </c>
      <c r="J2580" t="s">
        <v>25</v>
      </c>
      <c r="K2580">
        <v>15226.84</v>
      </c>
    </row>
    <row r="2581" spans="1:11">
      <c r="A2581">
        <v>2580</v>
      </c>
      <c r="B2581" t="s">
        <v>95</v>
      </c>
      <c r="C2581" s="1">
        <v>36526</v>
      </c>
      <c r="D2581">
        <v>26</v>
      </c>
      <c r="E2581" t="s">
        <v>15</v>
      </c>
      <c r="G2581" s="1">
        <v>45080</v>
      </c>
      <c r="H2581" s="1">
        <v>44965</v>
      </c>
      <c r="I2581">
        <v>28</v>
      </c>
      <c r="J2581" t="s">
        <v>23</v>
      </c>
      <c r="K2581">
        <v>6556.3</v>
      </c>
    </row>
    <row r="2582" spans="1:11">
      <c r="A2582">
        <v>2581</v>
      </c>
      <c r="B2582" t="s">
        <v>120</v>
      </c>
      <c r="C2582" s="1">
        <v>12785</v>
      </c>
      <c r="D2582">
        <v>91</v>
      </c>
      <c r="E2582" t="s">
        <v>12</v>
      </c>
      <c r="F2582" t="s">
        <v>18</v>
      </c>
      <c r="G2582" s="1">
        <v>45269</v>
      </c>
      <c r="H2582" s="1">
        <v>45322</v>
      </c>
      <c r="I2582">
        <v>38</v>
      </c>
      <c r="J2582" t="s">
        <v>19</v>
      </c>
      <c r="K2582">
        <v>15014.51</v>
      </c>
    </row>
    <row r="2583" spans="1:11">
      <c r="A2583">
        <v>2582</v>
      </c>
      <c r="B2583" t="s">
        <v>169</v>
      </c>
      <c r="C2583" s="1">
        <v>14976</v>
      </c>
      <c r="D2583">
        <v>85</v>
      </c>
      <c r="E2583" t="s">
        <v>12</v>
      </c>
      <c r="F2583" t="s">
        <v>21</v>
      </c>
      <c r="G2583" s="1">
        <v>45644</v>
      </c>
      <c r="H2583" s="1">
        <v>45682</v>
      </c>
      <c r="I2583">
        <v>14</v>
      </c>
      <c r="K2583">
        <v>7371.09</v>
      </c>
    </row>
    <row r="2584" spans="1:11">
      <c r="A2584">
        <v>2583</v>
      </c>
      <c r="B2584" t="s">
        <v>51</v>
      </c>
      <c r="C2584" s="1">
        <v>41274</v>
      </c>
      <c r="D2584">
        <v>13</v>
      </c>
      <c r="E2584" t="s">
        <v>15</v>
      </c>
      <c r="F2584" t="s">
        <v>45</v>
      </c>
      <c r="G2584" s="1">
        <v>45339</v>
      </c>
      <c r="H2584" s="1">
        <v>45404</v>
      </c>
      <c r="I2584">
        <v>24</v>
      </c>
      <c r="J2584" t="s">
        <v>25</v>
      </c>
      <c r="K2584">
        <v>19774.02</v>
      </c>
    </row>
    <row r="2585" spans="1:11">
      <c r="A2585">
        <v>2584</v>
      </c>
      <c r="B2585" t="s">
        <v>70</v>
      </c>
      <c r="C2585" s="1">
        <v>20455</v>
      </c>
      <c r="E2585" t="s">
        <v>15</v>
      </c>
      <c r="F2585" t="s">
        <v>18</v>
      </c>
      <c r="G2585" s="1">
        <v>45591</v>
      </c>
      <c r="H2585" s="1">
        <v>45394</v>
      </c>
      <c r="I2585">
        <v>27</v>
      </c>
      <c r="J2585" t="s">
        <v>23</v>
      </c>
      <c r="K2585">
        <v>3339.54</v>
      </c>
    </row>
    <row r="2586" spans="1:11">
      <c r="A2586">
        <v>2585</v>
      </c>
      <c r="B2586" t="s">
        <v>90</v>
      </c>
      <c r="C2586" s="1">
        <v>14976</v>
      </c>
      <c r="D2586">
        <v>85</v>
      </c>
      <c r="E2586" t="s">
        <v>15</v>
      </c>
      <c r="F2586" t="s">
        <v>16</v>
      </c>
      <c r="G2586" s="1">
        <v>45110</v>
      </c>
      <c r="H2586" s="1">
        <v>45649</v>
      </c>
      <c r="I2586">
        <v>38</v>
      </c>
      <c r="J2586" t="s">
        <v>25</v>
      </c>
      <c r="K2586">
        <v>-69.37</v>
      </c>
    </row>
    <row r="2587" spans="1:11">
      <c r="A2587">
        <v>2586</v>
      </c>
      <c r="B2587" t="s">
        <v>83</v>
      </c>
      <c r="C2587" s="1">
        <v>44561</v>
      </c>
      <c r="E2587" t="s">
        <v>15</v>
      </c>
      <c r="F2587" t="s">
        <v>13</v>
      </c>
      <c r="G2587" s="1">
        <v>45597</v>
      </c>
      <c r="H2587" s="1">
        <v>45432</v>
      </c>
      <c r="I2587">
        <v>5</v>
      </c>
      <c r="K2587">
        <v>11855.99</v>
      </c>
    </row>
    <row r="2588" spans="1:11">
      <c r="A2588">
        <v>2587</v>
      </c>
      <c r="B2588" t="s">
        <v>171</v>
      </c>
      <c r="C2588" s="1">
        <v>26299</v>
      </c>
      <c r="D2588">
        <v>54</v>
      </c>
      <c r="E2588" t="s">
        <v>12</v>
      </c>
      <c r="F2588" t="s">
        <v>16</v>
      </c>
      <c r="G2588" s="1">
        <v>45120</v>
      </c>
      <c r="H2588" s="1">
        <v>45242</v>
      </c>
      <c r="I2588">
        <v>34</v>
      </c>
      <c r="J2588" t="s">
        <v>25</v>
      </c>
      <c r="K2588">
        <v>19054.36</v>
      </c>
    </row>
    <row r="2589" spans="1:11">
      <c r="A2589">
        <v>2588</v>
      </c>
      <c r="B2589" t="s">
        <v>150</v>
      </c>
      <c r="C2589" s="1">
        <v>45657</v>
      </c>
      <c r="D2589">
        <v>1</v>
      </c>
      <c r="E2589" t="s">
        <v>15</v>
      </c>
      <c r="F2589" t="s">
        <v>21</v>
      </c>
      <c r="G2589" s="1">
        <v>44928</v>
      </c>
      <c r="H2589" s="1">
        <v>45212</v>
      </c>
      <c r="I2589">
        <v>2</v>
      </c>
      <c r="J2589" t="s">
        <v>19</v>
      </c>
      <c r="K2589">
        <v>12905.79</v>
      </c>
    </row>
    <row r="2590" spans="1:11">
      <c r="A2590">
        <v>2589</v>
      </c>
      <c r="B2590" t="s">
        <v>137</v>
      </c>
      <c r="C2590" s="1">
        <v>23742</v>
      </c>
      <c r="D2590">
        <v>61</v>
      </c>
      <c r="E2590" t="s">
        <v>15</v>
      </c>
      <c r="F2590" t="s">
        <v>18</v>
      </c>
      <c r="G2590" s="1">
        <v>45141</v>
      </c>
      <c r="H2590" s="1">
        <v>45391</v>
      </c>
      <c r="I2590">
        <v>23</v>
      </c>
      <c r="J2590" t="s">
        <v>23</v>
      </c>
      <c r="K2590">
        <v>1623.04</v>
      </c>
    </row>
    <row r="2591" spans="1:11">
      <c r="A2591">
        <v>2590</v>
      </c>
      <c r="B2591" t="s">
        <v>38</v>
      </c>
      <c r="C2591" s="1">
        <v>13150</v>
      </c>
      <c r="D2591">
        <v>90</v>
      </c>
      <c r="E2591" t="s">
        <v>12</v>
      </c>
      <c r="F2591" t="s">
        <v>32</v>
      </c>
      <c r="G2591" s="1">
        <v>45613</v>
      </c>
      <c r="H2591" s="1">
        <v>45607</v>
      </c>
      <c r="I2591">
        <v>3</v>
      </c>
      <c r="K2591">
        <v>10763.66</v>
      </c>
    </row>
    <row r="2592" spans="1:11">
      <c r="A2592">
        <v>2591</v>
      </c>
      <c r="B2592" t="s">
        <v>62</v>
      </c>
      <c r="C2592" s="1">
        <v>38717</v>
      </c>
      <c r="D2592">
        <v>20</v>
      </c>
      <c r="E2592" t="s">
        <v>15</v>
      </c>
      <c r="F2592" t="s">
        <v>18</v>
      </c>
      <c r="G2592" s="1">
        <v>45513</v>
      </c>
      <c r="H2592" s="1">
        <v>45191</v>
      </c>
      <c r="I2592">
        <v>13</v>
      </c>
      <c r="J2592" t="s">
        <v>19</v>
      </c>
      <c r="K2592">
        <v>18180.689999999999</v>
      </c>
    </row>
    <row r="2593" spans="1:11">
      <c r="A2593">
        <v>2592</v>
      </c>
      <c r="B2593" t="s">
        <v>82</v>
      </c>
      <c r="C2593" s="1">
        <v>17533</v>
      </c>
      <c r="D2593">
        <v>78</v>
      </c>
      <c r="E2593" t="s">
        <v>12</v>
      </c>
      <c r="F2593" t="s">
        <v>13</v>
      </c>
      <c r="G2593" s="1">
        <v>45565</v>
      </c>
      <c r="H2593" s="1">
        <v>45537</v>
      </c>
      <c r="I2593">
        <v>-2</v>
      </c>
      <c r="J2593" t="s">
        <v>25</v>
      </c>
      <c r="K2593">
        <v>30.77</v>
      </c>
    </row>
    <row r="2594" spans="1:11">
      <c r="A2594">
        <v>2593</v>
      </c>
      <c r="B2594" t="s">
        <v>88</v>
      </c>
      <c r="C2594" s="1">
        <v>38717</v>
      </c>
      <c r="E2594" t="s">
        <v>12</v>
      </c>
      <c r="F2594" t="s">
        <v>21</v>
      </c>
      <c r="G2594" s="1">
        <v>45409</v>
      </c>
      <c r="H2594" s="1">
        <v>45573</v>
      </c>
      <c r="I2594">
        <v>6</v>
      </c>
      <c r="J2594" t="s">
        <v>25</v>
      </c>
      <c r="K2594">
        <v>3254.94</v>
      </c>
    </row>
    <row r="2595" spans="1:11">
      <c r="A2595">
        <v>2594</v>
      </c>
      <c r="B2595" t="s">
        <v>108</v>
      </c>
      <c r="C2595" s="1">
        <v>42735</v>
      </c>
      <c r="D2595">
        <v>9</v>
      </c>
      <c r="E2595" t="s">
        <v>15</v>
      </c>
      <c r="F2595" t="s">
        <v>18</v>
      </c>
      <c r="G2595" s="1">
        <v>45487</v>
      </c>
      <c r="H2595" s="1">
        <v>45356</v>
      </c>
      <c r="I2595">
        <v>18</v>
      </c>
      <c r="J2595" t="s">
        <v>25</v>
      </c>
      <c r="K2595">
        <v>16272.69</v>
      </c>
    </row>
    <row r="2596" spans="1:11">
      <c r="A2596">
        <v>2595</v>
      </c>
      <c r="B2596" t="s">
        <v>118</v>
      </c>
      <c r="C2596" s="1">
        <v>14611</v>
      </c>
      <c r="D2596">
        <v>86</v>
      </c>
      <c r="E2596" t="s">
        <v>12</v>
      </c>
      <c r="G2596" s="1">
        <v>44958</v>
      </c>
      <c r="H2596" s="1">
        <v>45292</v>
      </c>
      <c r="I2596">
        <v>4</v>
      </c>
      <c r="K2596">
        <v>17867.53</v>
      </c>
    </row>
    <row r="2597" spans="1:11">
      <c r="A2597">
        <v>2596</v>
      </c>
      <c r="B2597" t="s">
        <v>68</v>
      </c>
      <c r="C2597" s="1">
        <v>25203</v>
      </c>
      <c r="D2597">
        <v>57</v>
      </c>
      <c r="E2597" t="s">
        <v>12</v>
      </c>
      <c r="F2597" t="s">
        <v>16</v>
      </c>
      <c r="G2597" s="1">
        <v>45596</v>
      </c>
      <c r="H2597" s="1">
        <v>45108</v>
      </c>
      <c r="I2597">
        <v>12</v>
      </c>
      <c r="J2597" t="s">
        <v>23</v>
      </c>
      <c r="K2597">
        <v>14113.93</v>
      </c>
    </row>
    <row r="2598" spans="1:11">
      <c r="A2598">
        <v>2597</v>
      </c>
      <c r="B2598" t="s">
        <v>111</v>
      </c>
      <c r="C2598" s="1">
        <v>32143</v>
      </c>
      <c r="D2598">
        <v>38</v>
      </c>
      <c r="E2598" t="s">
        <v>15</v>
      </c>
      <c r="F2598" t="s">
        <v>45</v>
      </c>
      <c r="G2598" s="1">
        <v>44941</v>
      </c>
      <c r="H2598" s="1">
        <v>45661</v>
      </c>
      <c r="I2598">
        <v>21</v>
      </c>
      <c r="K2598">
        <v>19830.36</v>
      </c>
    </row>
    <row r="2599" spans="1:11">
      <c r="A2599">
        <v>2598</v>
      </c>
      <c r="B2599" t="s">
        <v>155</v>
      </c>
      <c r="C2599" s="1">
        <v>44561</v>
      </c>
      <c r="D2599">
        <v>4</v>
      </c>
      <c r="E2599" t="s">
        <v>15</v>
      </c>
      <c r="F2599" t="s">
        <v>16</v>
      </c>
      <c r="G2599" s="1">
        <v>45244</v>
      </c>
      <c r="H2599" s="1">
        <v>45803</v>
      </c>
      <c r="I2599">
        <v>2</v>
      </c>
      <c r="J2599" t="s">
        <v>19</v>
      </c>
      <c r="K2599">
        <v>1713.34</v>
      </c>
    </row>
    <row r="2600" spans="1:11">
      <c r="A2600">
        <v>2599</v>
      </c>
      <c r="B2600" t="s">
        <v>79</v>
      </c>
      <c r="C2600" s="1">
        <v>22646</v>
      </c>
      <c r="D2600">
        <v>64</v>
      </c>
      <c r="E2600" t="s">
        <v>12</v>
      </c>
      <c r="F2600" t="s">
        <v>21</v>
      </c>
      <c r="G2600" s="1">
        <v>45169</v>
      </c>
      <c r="H2600" s="1">
        <v>45588</v>
      </c>
      <c r="I2600">
        <v>35</v>
      </c>
      <c r="J2600" t="s">
        <v>23</v>
      </c>
      <c r="K2600">
        <v>10868.1</v>
      </c>
    </row>
    <row r="2601" spans="1:11">
      <c r="A2601">
        <v>2600</v>
      </c>
      <c r="B2601" t="s">
        <v>64</v>
      </c>
      <c r="C2601" s="1">
        <v>41639</v>
      </c>
      <c r="D2601">
        <v>12</v>
      </c>
      <c r="E2601" t="s">
        <v>12</v>
      </c>
      <c r="F2601" t="s">
        <v>18</v>
      </c>
      <c r="G2601" s="1">
        <v>44943</v>
      </c>
      <c r="H2601" s="1">
        <v>45171</v>
      </c>
      <c r="I2601">
        <v>26</v>
      </c>
      <c r="K2601">
        <v>13668.39</v>
      </c>
    </row>
    <row r="2602" spans="1:11">
      <c r="A2602">
        <v>2601</v>
      </c>
      <c r="B2602" t="s">
        <v>35</v>
      </c>
      <c r="C2602" s="1">
        <v>15341</v>
      </c>
      <c r="D2602">
        <v>84</v>
      </c>
      <c r="E2602" t="s">
        <v>12</v>
      </c>
      <c r="F2602" t="s">
        <v>16</v>
      </c>
      <c r="G2602" s="1">
        <v>45460</v>
      </c>
      <c r="H2602" s="1">
        <v>45240</v>
      </c>
      <c r="I2602">
        <v>8</v>
      </c>
      <c r="J2602" t="s">
        <v>25</v>
      </c>
      <c r="K2602">
        <v>14023.16</v>
      </c>
    </row>
    <row r="2603" spans="1:11">
      <c r="A2603">
        <v>2602</v>
      </c>
      <c r="B2603" t="s">
        <v>87</v>
      </c>
      <c r="C2603" s="1">
        <v>13515</v>
      </c>
      <c r="D2603">
        <v>89</v>
      </c>
      <c r="E2603" t="s">
        <v>15</v>
      </c>
      <c r="F2603" t="s">
        <v>18</v>
      </c>
      <c r="G2603" s="1">
        <v>45007</v>
      </c>
      <c r="H2603" s="1">
        <v>45003</v>
      </c>
      <c r="I2603">
        <v>1</v>
      </c>
      <c r="J2603" t="s">
        <v>19</v>
      </c>
      <c r="K2603">
        <v>15849.04</v>
      </c>
    </row>
    <row r="2604" spans="1:11">
      <c r="A2604">
        <v>2603</v>
      </c>
      <c r="B2604" t="s">
        <v>140</v>
      </c>
      <c r="C2604" s="1">
        <v>15341</v>
      </c>
      <c r="D2604">
        <v>84</v>
      </c>
      <c r="E2604" t="s">
        <v>12</v>
      </c>
      <c r="F2604" t="s">
        <v>16</v>
      </c>
      <c r="G2604" s="1">
        <v>45582</v>
      </c>
      <c r="H2604" s="1">
        <v>45808</v>
      </c>
      <c r="I2604">
        <v>7</v>
      </c>
      <c r="J2604" t="s">
        <v>25</v>
      </c>
      <c r="K2604">
        <v>18344.28</v>
      </c>
    </row>
    <row r="2605" spans="1:11">
      <c r="A2605">
        <v>2604</v>
      </c>
      <c r="B2605" t="s">
        <v>158</v>
      </c>
      <c r="C2605" s="1">
        <v>27029</v>
      </c>
      <c r="D2605">
        <v>52</v>
      </c>
      <c r="E2605" t="s">
        <v>15</v>
      </c>
      <c r="F2605" t="s">
        <v>21</v>
      </c>
      <c r="G2605" s="1">
        <v>45362</v>
      </c>
      <c r="H2605" s="1">
        <v>45189</v>
      </c>
      <c r="I2605">
        <v>31</v>
      </c>
      <c r="K2605">
        <v>7168.99</v>
      </c>
    </row>
    <row r="2606" spans="1:11">
      <c r="A2606">
        <v>2605</v>
      </c>
      <c r="B2606" t="s">
        <v>22</v>
      </c>
      <c r="C2606" s="1">
        <v>16437</v>
      </c>
      <c r="D2606">
        <v>81</v>
      </c>
      <c r="E2606" t="s">
        <v>12</v>
      </c>
      <c r="F2606" t="s">
        <v>32</v>
      </c>
      <c r="G2606" s="1">
        <v>44934</v>
      </c>
      <c r="H2606" s="1">
        <v>45158</v>
      </c>
      <c r="I2606">
        <v>1</v>
      </c>
      <c r="J2606" t="s">
        <v>19</v>
      </c>
      <c r="K2606">
        <v>763.56</v>
      </c>
    </row>
    <row r="2607" spans="1:11">
      <c r="A2607">
        <v>2606</v>
      </c>
      <c r="B2607" t="s">
        <v>17</v>
      </c>
      <c r="C2607" s="1">
        <v>29951</v>
      </c>
      <c r="D2607">
        <v>44</v>
      </c>
      <c r="E2607" t="s">
        <v>12</v>
      </c>
      <c r="F2607" t="s">
        <v>16</v>
      </c>
      <c r="G2607" s="1">
        <v>45605</v>
      </c>
      <c r="H2607" s="1">
        <v>45630</v>
      </c>
      <c r="I2607">
        <v>7</v>
      </c>
      <c r="J2607" t="s">
        <v>23</v>
      </c>
      <c r="K2607">
        <v>7185.08</v>
      </c>
    </row>
    <row r="2608" spans="1:11">
      <c r="A2608">
        <v>2607</v>
      </c>
      <c r="B2608" t="s">
        <v>115</v>
      </c>
      <c r="C2608" s="1">
        <v>34700</v>
      </c>
      <c r="D2608">
        <v>31</v>
      </c>
      <c r="E2608" t="s">
        <v>12</v>
      </c>
      <c r="F2608" t="s">
        <v>45</v>
      </c>
      <c r="G2608" s="1">
        <v>45213</v>
      </c>
      <c r="H2608" s="1">
        <v>45307</v>
      </c>
      <c r="I2608">
        <v>30</v>
      </c>
      <c r="J2608" t="s">
        <v>23</v>
      </c>
      <c r="K2608">
        <v>13399.46</v>
      </c>
    </row>
    <row r="2609" spans="1:11">
      <c r="A2609">
        <v>2608</v>
      </c>
      <c r="B2609" t="s">
        <v>26</v>
      </c>
      <c r="C2609" s="1">
        <v>33239</v>
      </c>
      <c r="D2609">
        <v>35</v>
      </c>
      <c r="E2609" t="s">
        <v>12</v>
      </c>
      <c r="F2609" t="s">
        <v>16</v>
      </c>
      <c r="G2609" s="1">
        <v>45112</v>
      </c>
      <c r="H2609" s="1">
        <v>45573</v>
      </c>
      <c r="I2609">
        <v>15</v>
      </c>
      <c r="K2609">
        <v>4190.47</v>
      </c>
    </row>
    <row r="2610" spans="1:11">
      <c r="A2610">
        <v>2609</v>
      </c>
      <c r="B2610" t="s">
        <v>43</v>
      </c>
      <c r="C2610" s="1">
        <v>16802</v>
      </c>
      <c r="D2610">
        <v>80</v>
      </c>
      <c r="E2610" t="s">
        <v>12</v>
      </c>
      <c r="F2610" t="s">
        <v>21</v>
      </c>
      <c r="G2610" s="1">
        <v>45450</v>
      </c>
      <c r="H2610" s="1">
        <v>45236</v>
      </c>
      <c r="I2610">
        <v>9</v>
      </c>
      <c r="K2610">
        <v>16180.46</v>
      </c>
    </row>
    <row r="2611" spans="1:11">
      <c r="A2611">
        <v>2610</v>
      </c>
      <c r="B2611" t="s">
        <v>38</v>
      </c>
      <c r="C2611" s="1">
        <v>24473</v>
      </c>
      <c r="D2611">
        <v>59</v>
      </c>
      <c r="E2611" t="s">
        <v>12</v>
      </c>
      <c r="F2611" t="s">
        <v>16</v>
      </c>
      <c r="G2611" s="1">
        <v>45348</v>
      </c>
      <c r="H2611" s="1">
        <v>45691</v>
      </c>
      <c r="I2611">
        <v>20</v>
      </c>
      <c r="J2611" t="s">
        <v>23</v>
      </c>
      <c r="K2611">
        <v>4317.2700000000004</v>
      </c>
    </row>
    <row r="2612" spans="1:11">
      <c r="A2612">
        <v>2611</v>
      </c>
      <c r="B2612" t="s">
        <v>91</v>
      </c>
      <c r="C2612" s="1">
        <v>42370</v>
      </c>
      <c r="D2612">
        <v>10</v>
      </c>
      <c r="E2612" t="s">
        <v>15</v>
      </c>
      <c r="F2612" t="s">
        <v>45</v>
      </c>
      <c r="G2612" s="1">
        <v>45392</v>
      </c>
      <c r="H2612" s="1">
        <v>45315</v>
      </c>
      <c r="I2612">
        <v>22</v>
      </c>
      <c r="J2612" t="s">
        <v>23</v>
      </c>
      <c r="K2612">
        <v>102.27</v>
      </c>
    </row>
    <row r="2613" spans="1:11">
      <c r="A2613">
        <v>2612</v>
      </c>
      <c r="B2613" t="s">
        <v>117</v>
      </c>
      <c r="C2613" s="1">
        <v>23377</v>
      </c>
      <c r="E2613" t="s">
        <v>12</v>
      </c>
      <c r="G2613" s="1">
        <v>45009</v>
      </c>
      <c r="H2613" s="1">
        <v>45684</v>
      </c>
      <c r="I2613">
        <v>34</v>
      </c>
      <c r="K2613">
        <v>10112.42</v>
      </c>
    </row>
    <row r="2614" spans="1:11">
      <c r="A2614">
        <v>2613</v>
      </c>
      <c r="B2614" t="s">
        <v>155</v>
      </c>
      <c r="C2614" s="1">
        <v>38717</v>
      </c>
      <c r="D2614">
        <v>20</v>
      </c>
      <c r="E2614" t="s">
        <v>12</v>
      </c>
      <c r="F2614" t="s">
        <v>45</v>
      </c>
      <c r="G2614" s="1">
        <v>45493</v>
      </c>
      <c r="H2614" s="1">
        <v>45704</v>
      </c>
      <c r="I2614">
        <v>1</v>
      </c>
      <c r="J2614" t="s">
        <v>23</v>
      </c>
      <c r="K2614">
        <v>14501.88</v>
      </c>
    </row>
    <row r="2615" spans="1:11">
      <c r="A2615">
        <v>2614</v>
      </c>
      <c r="B2615" t="s">
        <v>155</v>
      </c>
      <c r="C2615" s="1">
        <v>27395</v>
      </c>
      <c r="D2615">
        <v>51</v>
      </c>
      <c r="E2615" t="s">
        <v>15</v>
      </c>
      <c r="F2615" t="s">
        <v>21</v>
      </c>
      <c r="G2615" s="1">
        <v>45569</v>
      </c>
      <c r="H2615" s="1">
        <v>45252</v>
      </c>
      <c r="I2615">
        <v>10</v>
      </c>
      <c r="J2615" t="s">
        <v>19</v>
      </c>
      <c r="K2615">
        <v>6928.07</v>
      </c>
    </row>
    <row r="2616" spans="1:11">
      <c r="A2616">
        <v>2615</v>
      </c>
      <c r="B2616" t="s">
        <v>151</v>
      </c>
      <c r="C2616" s="1">
        <v>26299</v>
      </c>
      <c r="D2616">
        <v>54</v>
      </c>
      <c r="E2616" t="s">
        <v>12</v>
      </c>
      <c r="F2616" t="s">
        <v>18</v>
      </c>
      <c r="G2616" s="1">
        <v>45563</v>
      </c>
      <c r="H2616" s="1">
        <v>45769</v>
      </c>
      <c r="I2616">
        <v>15</v>
      </c>
      <c r="K2616">
        <v>14952.81</v>
      </c>
    </row>
    <row r="2617" spans="1:11">
      <c r="A2617">
        <v>2616</v>
      </c>
      <c r="B2617" t="s">
        <v>98</v>
      </c>
      <c r="C2617" s="1">
        <v>36891</v>
      </c>
      <c r="D2617">
        <v>25</v>
      </c>
      <c r="E2617" t="s">
        <v>15</v>
      </c>
      <c r="F2617" t="s">
        <v>16</v>
      </c>
      <c r="G2617" s="1">
        <v>45409</v>
      </c>
      <c r="H2617" s="1">
        <v>45806</v>
      </c>
      <c r="I2617">
        <v>26</v>
      </c>
      <c r="J2617" t="s">
        <v>19</v>
      </c>
      <c r="K2617">
        <v>8711.93</v>
      </c>
    </row>
    <row r="2618" spans="1:11">
      <c r="A2618">
        <v>2617</v>
      </c>
      <c r="B2618" t="s">
        <v>49</v>
      </c>
      <c r="C2618" s="1">
        <v>21551</v>
      </c>
      <c r="D2618">
        <v>67</v>
      </c>
      <c r="E2618" t="s">
        <v>12</v>
      </c>
      <c r="F2618" t="s">
        <v>32</v>
      </c>
      <c r="G2618" s="1">
        <v>45251</v>
      </c>
      <c r="H2618" s="1">
        <v>45383</v>
      </c>
      <c r="I2618">
        <v>27</v>
      </c>
      <c r="J2618" t="s">
        <v>25</v>
      </c>
      <c r="K2618">
        <v>3351.46</v>
      </c>
    </row>
    <row r="2619" spans="1:11">
      <c r="A2619">
        <v>2618</v>
      </c>
      <c r="B2619" t="s">
        <v>71</v>
      </c>
      <c r="C2619" s="1">
        <v>33969</v>
      </c>
      <c r="D2619">
        <v>33</v>
      </c>
      <c r="E2619" t="s">
        <v>12</v>
      </c>
      <c r="F2619" t="s">
        <v>45</v>
      </c>
      <c r="G2619" s="1">
        <v>45345</v>
      </c>
      <c r="H2619" s="1">
        <v>45439</v>
      </c>
      <c r="I2619">
        <v>35</v>
      </c>
      <c r="J2619" t="s">
        <v>19</v>
      </c>
      <c r="K2619">
        <v>1720.22</v>
      </c>
    </row>
    <row r="2620" spans="1:11">
      <c r="A2620">
        <v>2619</v>
      </c>
      <c r="B2620" t="s">
        <v>123</v>
      </c>
      <c r="C2620" s="1">
        <v>27395</v>
      </c>
      <c r="D2620">
        <v>51</v>
      </c>
      <c r="E2620" t="s">
        <v>15</v>
      </c>
      <c r="G2620" s="1">
        <v>44977</v>
      </c>
      <c r="H2620" s="1">
        <v>45270</v>
      </c>
      <c r="I2620">
        <v>25</v>
      </c>
      <c r="K2620">
        <v>14182.8</v>
      </c>
    </row>
    <row r="2621" spans="1:11">
      <c r="A2621">
        <v>2620</v>
      </c>
      <c r="B2621" t="s">
        <v>94</v>
      </c>
      <c r="C2621" s="1">
        <v>16437</v>
      </c>
      <c r="D2621">
        <v>81</v>
      </c>
      <c r="E2621" t="s">
        <v>12</v>
      </c>
      <c r="F2621" t="s">
        <v>45</v>
      </c>
      <c r="G2621" s="1">
        <v>44953</v>
      </c>
      <c r="H2621" s="1">
        <v>45443</v>
      </c>
      <c r="I2621">
        <v>4</v>
      </c>
      <c r="J2621" t="s">
        <v>25</v>
      </c>
      <c r="K2621">
        <v>7652.87</v>
      </c>
    </row>
    <row r="2622" spans="1:11">
      <c r="A2622">
        <v>2621</v>
      </c>
      <c r="B2622" t="s">
        <v>168</v>
      </c>
      <c r="C2622" s="1">
        <v>12419</v>
      </c>
      <c r="D2622">
        <v>92</v>
      </c>
      <c r="E2622" t="s">
        <v>15</v>
      </c>
      <c r="F2622" t="s">
        <v>16</v>
      </c>
      <c r="G2622" s="1">
        <v>45603</v>
      </c>
      <c r="H2622" s="1">
        <v>45369</v>
      </c>
      <c r="I2622">
        <v>21</v>
      </c>
      <c r="J2622" t="s">
        <v>23</v>
      </c>
      <c r="K2622">
        <v>18246.75</v>
      </c>
    </row>
    <row r="2623" spans="1:11">
      <c r="A2623">
        <v>2622</v>
      </c>
      <c r="B2623" t="s">
        <v>156</v>
      </c>
      <c r="C2623" s="1">
        <v>27395</v>
      </c>
      <c r="D2623">
        <v>51</v>
      </c>
      <c r="E2623" t="s">
        <v>12</v>
      </c>
      <c r="F2623" t="s">
        <v>18</v>
      </c>
      <c r="G2623" s="1">
        <v>45471</v>
      </c>
      <c r="H2623" s="1">
        <v>45476</v>
      </c>
      <c r="I2623">
        <v>38</v>
      </c>
      <c r="J2623" t="s">
        <v>19</v>
      </c>
      <c r="K2623">
        <v>10759.13</v>
      </c>
    </row>
    <row r="2624" spans="1:11">
      <c r="A2624">
        <v>2623</v>
      </c>
      <c r="B2624" t="s">
        <v>165</v>
      </c>
      <c r="C2624" s="1">
        <v>35795</v>
      </c>
      <c r="D2624">
        <v>28</v>
      </c>
      <c r="E2624" t="s">
        <v>15</v>
      </c>
      <c r="F2624" t="s">
        <v>16</v>
      </c>
      <c r="G2624" s="1">
        <v>44988</v>
      </c>
      <c r="H2624" s="1">
        <v>45510</v>
      </c>
      <c r="I2624">
        <v>7</v>
      </c>
      <c r="J2624" t="s">
        <v>19</v>
      </c>
      <c r="K2624">
        <v>6903.49</v>
      </c>
    </row>
    <row r="2625" spans="1:11">
      <c r="A2625">
        <v>2624</v>
      </c>
      <c r="B2625" t="s">
        <v>153</v>
      </c>
      <c r="C2625" s="1">
        <v>32508</v>
      </c>
      <c r="D2625">
        <v>37</v>
      </c>
      <c r="E2625" t="s">
        <v>15</v>
      </c>
      <c r="G2625" s="1">
        <v>45583</v>
      </c>
      <c r="H2625" s="1">
        <v>45189</v>
      </c>
      <c r="I2625">
        <v>34</v>
      </c>
      <c r="K2625">
        <v>6914.72</v>
      </c>
    </row>
    <row r="2626" spans="1:11">
      <c r="A2626">
        <v>2625</v>
      </c>
      <c r="B2626" t="s">
        <v>90</v>
      </c>
      <c r="C2626" s="1">
        <v>31047</v>
      </c>
      <c r="D2626">
        <v>41</v>
      </c>
      <c r="E2626" t="s">
        <v>15</v>
      </c>
      <c r="G2626" s="1">
        <v>45097</v>
      </c>
      <c r="H2626" s="1">
        <v>45676</v>
      </c>
      <c r="I2626">
        <v>24</v>
      </c>
      <c r="J2626" t="s">
        <v>23</v>
      </c>
      <c r="K2626">
        <v>2541.9</v>
      </c>
    </row>
    <row r="2627" spans="1:11">
      <c r="A2627">
        <v>2626</v>
      </c>
      <c r="B2627" t="s">
        <v>33</v>
      </c>
      <c r="C2627" s="1">
        <v>38717</v>
      </c>
      <c r="D2627">
        <v>20</v>
      </c>
      <c r="E2627" t="s">
        <v>15</v>
      </c>
      <c r="F2627" t="s">
        <v>21</v>
      </c>
      <c r="G2627" s="1">
        <v>45212</v>
      </c>
      <c r="H2627" s="1">
        <v>45746</v>
      </c>
      <c r="I2627">
        <v>18</v>
      </c>
      <c r="K2627">
        <v>11835.16</v>
      </c>
    </row>
    <row r="2628" spans="1:11">
      <c r="A2628">
        <v>2627</v>
      </c>
      <c r="B2628" t="s">
        <v>83</v>
      </c>
      <c r="C2628" s="1">
        <v>31047</v>
      </c>
      <c r="D2628">
        <v>41</v>
      </c>
      <c r="E2628" t="s">
        <v>12</v>
      </c>
      <c r="F2628" t="s">
        <v>32</v>
      </c>
      <c r="G2628" s="1">
        <v>45043</v>
      </c>
      <c r="H2628" s="1">
        <v>45390</v>
      </c>
      <c r="I2628">
        <v>33</v>
      </c>
      <c r="J2628" t="s">
        <v>23</v>
      </c>
      <c r="K2628">
        <v>11601.56</v>
      </c>
    </row>
    <row r="2629" spans="1:11">
      <c r="A2629">
        <v>2628</v>
      </c>
      <c r="B2629" t="s">
        <v>30</v>
      </c>
      <c r="C2629" s="1">
        <v>41639</v>
      </c>
      <c r="D2629">
        <v>12</v>
      </c>
      <c r="E2629" t="s">
        <v>12</v>
      </c>
      <c r="F2629" t="s">
        <v>16</v>
      </c>
      <c r="G2629" s="1">
        <v>44930</v>
      </c>
      <c r="H2629" s="1">
        <v>45794</v>
      </c>
      <c r="I2629">
        <v>26</v>
      </c>
      <c r="K2629">
        <v>15979.87</v>
      </c>
    </row>
    <row r="2630" spans="1:11">
      <c r="A2630">
        <v>2629</v>
      </c>
      <c r="B2630" t="s">
        <v>146</v>
      </c>
      <c r="C2630" s="1">
        <v>23012</v>
      </c>
      <c r="D2630">
        <v>63</v>
      </c>
      <c r="E2630" t="s">
        <v>15</v>
      </c>
      <c r="F2630" t="s">
        <v>45</v>
      </c>
      <c r="G2630" s="1">
        <v>44992</v>
      </c>
      <c r="H2630" s="1">
        <v>45617</v>
      </c>
      <c r="I2630">
        <v>4</v>
      </c>
      <c r="J2630" t="s">
        <v>23</v>
      </c>
      <c r="K2630">
        <v>3944.06</v>
      </c>
    </row>
    <row r="2631" spans="1:11">
      <c r="A2631">
        <v>2630</v>
      </c>
      <c r="B2631" t="s">
        <v>55</v>
      </c>
      <c r="C2631" s="1">
        <v>40178</v>
      </c>
      <c r="D2631">
        <v>16</v>
      </c>
      <c r="E2631" t="s">
        <v>15</v>
      </c>
      <c r="F2631" t="s">
        <v>45</v>
      </c>
      <c r="G2631" s="1">
        <v>44986</v>
      </c>
      <c r="H2631" s="1">
        <v>45535</v>
      </c>
      <c r="I2631">
        <v>10</v>
      </c>
      <c r="J2631" t="s">
        <v>25</v>
      </c>
      <c r="K2631">
        <v>5744.87</v>
      </c>
    </row>
    <row r="2632" spans="1:11">
      <c r="A2632">
        <v>2631</v>
      </c>
      <c r="B2632" t="s">
        <v>48</v>
      </c>
      <c r="D2632">
        <v>8</v>
      </c>
      <c r="E2632" t="s">
        <v>15</v>
      </c>
      <c r="F2632" t="s">
        <v>21</v>
      </c>
      <c r="G2632" s="1">
        <v>45428</v>
      </c>
      <c r="H2632" s="1">
        <v>45154</v>
      </c>
      <c r="I2632">
        <v>20</v>
      </c>
      <c r="K2632">
        <v>1854.48</v>
      </c>
    </row>
    <row r="2633" spans="1:11">
      <c r="A2633">
        <v>2632</v>
      </c>
      <c r="B2633" t="s">
        <v>90</v>
      </c>
      <c r="D2633">
        <v>40</v>
      </c>
      <c r="E2633" t="s">
        <v>12</v>
      </c>
      <c r="F2633" t="s">
        <v>18</v>
      </c>
      <c r="G2633" s="1">
        <v>45155</v>
      </c>
      <c r="H2633" s="1">
        <v>45450</v>
      </c>
      <c r="I2633">
        <v>22</v>
      </c>
      <c r="J2633" t="s">
        <v>25</v>
      </c>
      <c r="K2633">
        <v>5836.38</v>
      </c>
    </row>
    <row r="2634" spans="1:11">
      <c r="A2634">
        <v>2633</v>
      </c>
      <c r="B2634" t="s">
        <v>35</v>
      </c>
      <c r="C2634" s="1">
        <v>46022</v>
      </c>
      <c r="D2634">
        <v>0</v>
      </c>
      <c r="E2634" t="s">
        <v>12</v>
      </c>
      <c r="F2634" t="s">
        <v>16</v>
      </c>
      <c r="G2634" s="1">
        <v>45026</v>
      </c>
      <c r="H2634" s="1">
        <v>45705</v>
      </c>
      <c r="I2634">
        <v>38</v>
      </c>
      <c r="K2634">
        <v>8504.85</v>
      </c>
    </row>
    <row r="2635" spans="1:11">
      <c r="A2635">
        <v>2634</v>
      </c>
      <c r="B2635" t="s">
        <v>118</v>
      </c>
      <c r="C2635" s="1">
        <v>45657</v>
      </c>
      <c r="E2635" t="s">
        <v>15</v>
      </c>
      <c r="F2635" t="s">
        <v>13</v>
      </c>
      <c r="G2635" s="1">
        <v>45045</v>
      </c>
      <c r="H2635" s="1">
        <v>45116</v>
      </c>
      <c r="I2635">
        <v>10</v>
      </c>
      <c r="K2635">
        <v>19276.97</v>
      </c>
    </row>
    <row r="2636" spans="1:11">
      <c r="A2636">
        <v>2635</v>
      </c>
      <c r="B2636" t="s">
        <v>166</v>
      </c>
      <c r="C2636" s="1">
        <v>24473</v>
      </c>
      <c r="E2636" t="s">
        <v>12</v>
      </c>
      <c r="F2636" t="s">
        <v>18</v>
      </c>
      <c r="G2636" s="1">
        <v>44995</v>
      </c>
      <c r="H2636" s="1">
        <v>45136</v>
      </c>
      <c r="I2636">
        <v>34</v>
      </c>
      <c r="K2636">
        <v>13026.63</v>
      </c>
    </row>
    <row r="2637" spans="1:11">
      <c r="A2637">
        <v>2636</v>
      </c>
      <c r="B2637" t="s">
        <v>64</v>
      </c>
      <c r="C2637" s="1">
        <v>28856</v>
      </c>
      <c r="D2637">
        <v>47</v>
      </c>
      <c r="E2637" t="s">
        <v>15</v>
      </c>
      <c r="F2637" t="s">
        <v>45</v>
      </c>
      <c r="G2637" s="1">
        <v>45590</v>
      </c>
      <c r="H2637" s="1">
        <v>44940</v>
      </c>
      <c r="I2637">
        <v>27</v>
      </c>
      <c r="J2637" t="s">
        <v>19</v>
      </c>
      <c r="K2637">
        <v>15635.77</v>
      </c>
    </row>
    <row r="2638" spans="1:11">
      <c r="A2638">
        <v>2637</v>
      </c>
      <c r="B2638" t="s">
        <v>122</v>
      </c>
      <c r="C2638" s="1">
        <v>35795</v>
      </c>
      <c r="D2638">
        <v>28</v>
      </c>
      <c r="E2638" t="s">
        <v>12</v>
      </c>
      <c r="G2638" s="1">
        <v>45147</v>
      </c>
      <c r="H2638" s="1">
        <v>45816</v>
      </c>
      <c r="I2638">
        <v>23</v>
      </c>
      <c r="K2638">
        <v>6442.75</v>
      </c>
    </row>
    <row r="2639" spans="1:11">
      <c r="A2639">
        <v>2638</v>
      </c>
      <c r="B2639" t="s">
        <v>101</v>
      </c>
      <c r="C2639" s="1">
        <v>42735</v>
      </c>
      <c r="D2639">
        <v>9</v>
      </c>
      <c r="E2639" t="s">
        <v>12</v>
      </c>
      <c r="F2639" t="s">
        <v>16</v>
      </c>
      <c r="G2639" s="1">
        <v>45149</v>
      </c>
      <c r="H2639" s="1">
        <v>45089</v>
      </c>
      <c r="I2639">
        <v>9</v>
      </c>
      <c r="J2639" t="s">
        <v>23</v>
      </c>
      <c r="K2639">
        <v>2804.71</v>
      </c>
    </row>
    <row r="2640" spans="1:11">
      <c r="A2640">
        <v>2639</v>
      </c>
      <c r="B2640" t="s">
        <v>46</v>
      </c>
      <c r="C2640" s="1">
        <v>25203</v>
      </c>
      <c r="D2640">
        <v>57</v>
      </c>
      <c r="E2640" t="s">
        <v>12</v>
      </c>
      <c r="G2640" s="1">
        <v>45603</v>
      </c>
      <c r="H2640" s="1">
        <v>45499</v>
      </c>
      <c r="I2640">
        <v>-2</v>
      </c>
      <c r="J2640" t="s">
        <v>19</v>
      </c>
      <c r="K2640">
        <v>5060.07</v>
      </c>
    </row>
    <row r="2641" spans="1:11">
      <c r="A2641">
        <v>2640</v>
      </c>
      <c r="B2641" t="s">
        <v>17</v>
      </c>
      <c r="C2641" s="1">
        <v>24473</v>
      </c>
      <c r="D2641">
        <v>59</v>
      </c>
      <c r="E2641" t="s">
        <v>12</v>
      </c>
      <c r="F2641" t="s">
        <v>45</v>
      </c>
      <c r="G2641" s="1">
        <v>45430</v>
      </c>
      <c r="H2641" s="1">
        <v>45420</v>
      </c>
      <c r="I2641">
        <v>15</v>
      </c>
      <c r="J2641" t="s">
        <v>23</v>
      </c>
      <c r="K2641">
        <v>5055</v>
      </c>
    </row>
    <row r="2642" spans="1:11">
      <c r="A2642">
        <v>2641</v>
      </c>
      <c r="B2642" t="s">
        <v>139</v>
      </c>
      <c r="C2642" s="1">
        <v>38717</v>
      </c>
      <c r="D2642">
        <v>20</v>
      </c>
      <c r="E2642" t="s">
        <v>12</v>
      </c>
      <c r="F2642" t="s">
        <v>32</v>
      </c>
      <c r="G2642" s="1">
        <v>45137</v>
      </c>
      <c r="H2642" s="1">
        <v>45362</v>
      </c>
      <c r="I2642">
        <v>18</v>
      </c>
      <c r="J2642" t="s">
        <v>23</v>
      </c>
      <c r="K2642">
        <v>11620.62</v>
      </c>
    </row>
    <row r="2643" spans="1:11">
      <c r="A2643">
        <v>2642</v>
      </c>
      <c r="B2643" t="s">
        <v>149</v>
      </c>
      <c r="E2643" t="s">
        <v>12</v>
      </c>
      <c r="F2643" t="s">
        <v>18</v>
      </c>
      <c r="G2643" s="1">
        <v>45501</v>
      </c>
      <c r="H2643" s="1">
        <v>44932</v>
      </c>
      <c r="I2643">
        <v>21</v>
      </c>
      <c r="J2643" t="s">
        <v>23</v>
      </c>
      <c r="K2643">
        <v>6763.57</v>
      </c>
    </row>
    <row r="2644" spans="1:11">
      <c r="A2644">
        <v>2643</v>
      </c>
      <c r="B2644" t="s">
        <v>71</v>
      </c>
      <c r="C2644" s="1">
        <v>18994</v>
      </c>
      <c r="D2644">
        <v>74</v>
      </c>
      <c r="E2644" t="s">
        <v>12</v>
      </c>
      <c r="F2644" t="s">
        <v>13</v>
      </c>
      <c r="G2644" s="1">
        <v>45188</v>
      </c>
      <c r="H2644" s="1">
        <v>45129</v>
      </c>
      <c r="I2644">
        <v>14</v>
      </c>
      <c r="J2644" t="s">
        <v>23</v>
      </c>
      <c r="K2644">
        <v>17133.72</v>
      </c>
    </row>
    <row r="2645" spans="1:11">
      <c r="A2645">
        <v>2644</v>
      </c>
      <c r="B2645" t="s">
        <v>146</v>
      </c>
      <c r="C2645" s="1">
        <v>33969</v>
      </c>
      <c r="D2645">
        <v>33</v>
      </c>
      <c r="E2645" t="s">
        <v>15</v>
      </c>
      <c r="F2645" t="s">
        <v>32</v>
      </c>
      <c r="G2645" s="1">
        <v>45444</v>
      </c>
      <c r="H2645" s="1">
        <v>45343</v>
      </c>
      <c r="I2645">
        <v>39</v>
      </c>
      <c r="J2645" t="s">
        <v>23</v>
      </c>
      <c r="K2645">
        <v>19769.740000000002</v>
      </c>
    </row>
    <row r="2646" spans="1:11">
      <c r="A2646">
        <v>2645</v>
      </c>
      <c r="B2646" t="s">
        <v>26</v>
      </c>
      <c r="C2646" s="1">
        <v>43466</v>
      </c>
      <c r="D2646">
        <v>7</v>
      </c>
      <c r="E2646" t="s">
        <v>15</v>
      </c>
      <c r="F2646" t="s">
        <v>13</v>
      </c>
      <c r="G2646" s="1">
        <v>45174</v>
      </c>
      <c r="H2646" s="1">
        <v>44939</v>
      </c>
      <c r="I2646">
        <v>6</v>
      </c>
      <c r="J2646" t="s">
        <v>25</v>
      </c>
      <c r="K2646">
        <v>6800.3</v>
      </c>
    </row>
    <row r="2647" spans="1:11">
      <c r="A2647">
        <v>2646</v>
      </c>
      <c r="B2647" t="s">
        <v>97</v>
      </c>
      <c r="C2647" s="1">
        <v>24838</v>
      </c>
      <c r="D2647">
        <v>58</v>
      </c>
      <c r="E2647" t="s">
        <v>15</v>
      </c>
      <c r="F2647" t="s">
        <v>32</v>
      </c>
      <c r="G2647" s="1">
        <v>45183</v>
      </c>
      <c r="H2647" s="1">
        <v>45324</v>
      </c>
      <c r="I2647">
        <v>37</v>
      </c>
      <c r="J2647" t="s">
        <v>19</v>
      </c>
      <c r="K2647">
        <v>14071.71</v>
      </c>
    </row>
    <row r="2648" spans="1:11">
      <c r="A2648">
        <v>2647</v>
      </c>
      <c r="B2648" t="s">
        <v>142</v>
      </c>
      <c r="C2648" s="1">
        <v>14976</v>
      </c>
      <c r="D2648">
        <v>85</v>
      </c>
      <c r="E2648" t="s">
        <v>12</v>
      </c>
      <c r="F2648" t="s">
        <v>18</v>
      </c>
      <c r="G2648" s="1">
        <v>44989</v>
      </c>
      <c r="H2648" s="1">
        <v>45268</v>
      </c>
      <c r="I2648">
        <v>25</v>
      </c>
      <c r="J2648" t="s">
        <v>23</v>
      </c>
      <c r="K2648">
        <v>13115.48</v>
      </c>
    </row>
    <row r="2649" spans="1:11">
      <c r="A2649">
        <v>2648</v>
      </c>
      <c r="B2649" t="s">
        <v>67</v>
      </c>
      <c r="C2649" s="1">
        <v>20090</v>
      </c>
      <c r="D2649">
        <v>71</v>
      </c>
      <c r="E2649" t="s">
        <v>15</v>
      </c>
      <c r="F2649" t="s">
        <v>45</v>
      </c>
      <c r="G2649" s="1">
        <v>45318</v>
      </c>
      <c r="H2649" s="1">
        <v>45679</v>
      </c>
      <c r="I2649">
        <v>12</v>
      </c>
      <c r="J2649" t="s">
        <v>25</v>
      </c>
      <c r="K2649">
        <v>3808.7</v>
      </c>
    </row>
    <row r="2650" spans="1:11">
      <c r="A2650">
        <v>2649</v>
      </c>
      <c r="B2650" t="s">
        <v>142</v>
      </c>
      <c r="C2650" s="1">
        <v>28490</v>
      </c>
      <c r="D2650">
        <v>48</v>
      </c>
      <c r="E2650" t="s">
        <v>15</v>
      </c>
      <c r="F2650" t="s">
        <v>13</v>
      </c>
      <c r="G2650" s="1">
        <v>45466</v>
      </c>
      <c r="H2650" s="1">
        <v>45300</v>
      </c>
      <c r="I2650">
        <v>10</v>
      </c>
      <c r="J2650" t="s">
        <v>25</v>
      </c>
      <c r="K2650">
        <v>18351.97</v>
      </c>
    </row>
    <row r="2651" spans="1:11">
      <c r="A2651">
        <v>2650</v>
      </c>
      <c r="B2651" t="s">
        <v>75</v>
      </c>
      <c r="C2651" s="1">
        <v>17533</v>
      </c>
      <c r="D2651">
        <v>78</v>
      </c>
      <c r="E2651" t="s">
        <v>15</v>
      </c>
      <c r="F2651" t="s">
        <v>18</v>
      </c>
      <c r="G2651" s="1">
        <v>45343</v>
      </c>
      <c r="H2651" s="1">
        <v>45305</v>
      </c>
      <c r="I2651">
        <v>25</v>
      </c>
      <c r="J2651" t="s">
        <v>23</v>
      </c>
      <c r="K2651">
        <v>3908.8</v>
      </c>
    </row>
    <row r="2652" spans="1:11">
      <c r="A2652">
        <v>2651</v>
      </c>
      <c r="B2652" t="s">
        <v>153</v>
      </c>
      <c r="C2652" s="1">
        <v>40178</v>
      </c>
      <c r="D2652">
        <v>16</v>
      </c>
      <c r="E2652" t="s">
        <v>15</v>
      </c>
      <c r="F2652" t="s">
        <v>13</v>
      </c>
      <c r="G2652" s="1">
        <v>44979</v>
      </c>
      <c r="H2652" s="1">
        <v>45152</v>
      </c>
      <c r="I2652">
        <v>14</v>
      </c>
      <c r="K2652">
        <v>14712.84</v>
      </c>
    </row>
    <row r="2653" spans="1:11">
      <c r="A2653">
        <v>2652</v>
      </c>
      <c r="B2653" t="s">
        <v>49</v>
      </c>
      <c r="C2653" s="1">
        <v>24473</v>
      </c>
      <c r="D2653">
        <v>59</v>
      </c>
      <c r="E2653" t="s">
        <v>12</v>
      </c>
      <c r="F2653" t="s">
        <v>18</v>
      </c>
      <c r="G2653" s="1">
        <v>44964</v>
      </c>
      <c r="H2653" s="1">
        <v>45109</v>
      </c>
      <c r="I2653">
        <v>6</v>
      </c>
      <c r="J2653" t="s">
        <v>23</v>
      </c>
      <c r="K2653">
        <v>6886.95</v>
      </c>
    </row>
    <row r="2654" spans="1:11">
      <c r="A2654">
        <v>2653</v>
      </c>
      <c r="B2654" t="s">
        <v>102</v>
      </c>
      <c r="C2654" s="1">
        <v>14611</v>
      </c>
      <c r="D2654">
        <v>86</v>
      </c>
      <c r="E2654" t="s">
        <v>12</v>
      </c>
      <c r="F2654" t="s">
        <v>32</v>
      </c>
      <c r="G2654" s="1">
        <v>45234</v>
      </c>
      <c r="H2654" s="1">
        <v>45224</v>
      </c>
      <c r="I2654">
        <v>18</v>
      </c>
      <c r="J2654" t="s">
        <v>25</v>
      </c>
      <c r="K2654">
        <v>7278.34</v>
      </c>
    </row>
    <row r="2655" spans="1:11">
      <c r="A2655">
        <v>2654</v>
      </c>
      <c r="B2655" t="s">
        <v>81</v>
      </c>
      <c r="C2655" s="1">
        <v>14246</v>
      </c>
      <c r="D2655">
        <v>87</v>
      </c>
      <c r="E2655" t="s">
        <v>12</v>
      </c>
      <c r="F2655" t="s">
        <v>18</v>
      </c>
      <c r="G2655" s="1">
        <v>45577</v>
      </c>
      <c r="H2655" s="1">
        <v>45743</v>
      </c>
      <c r="I2655">
        <v>27</v>
      </c>
      <c r="J2655" t="s">
        <v>23</v>
      </c>
      <c r="K2655">
        <v>9054.5300000000007</v>
      </c>
    </row>
    <row r="2656" spans="1:11">
      <c r="A2656">
        <v>2655</v>
      </c>
      <c r="B2656" t="s">
        <v>151</v>
      </c>
      <c r="C2656" s="1">
        <v>29951</v>
      </c>
      <c r="D2656">
        <v>44</v>
      </c>
      <c r="E2656" t="s">
        <v>12</v>
      </c>
      <c r="F2656" t="s">
        <v>32</v>
      </c>
      <c r="G2656" s="1">
        <v>44979</v>
      </c>
      <c r="H2656" s="1">
        <v>45234</v>
      </c>
      <c r="I2656">
        <v>8</v>
      </c>
      <c r="J2656" t="s">
        <v>25</v>
      </c>
      <c r="K2656">
        <v>17276.61</v>
      </c>
    </row>
    <row r="2657" spans="1:11">
      <c r="A2657">
        <v>2656</v>
      </c>
      <c r="B2657" t="s">
        <v>147</v>
      </c>
      <c r="C2657" s="1">
        <v>16072</v>
      </c>
      <c r="D2657">
        <v>82</v>
      </c>
      <c r="E2657" t="s">
        <v>12</v>
      </c>
      <c r="F2657" t="s">
        <v>45</v>
      </c>
      <c r="G2657" s="1">
        <v>45532</v>
      </c>
      <c r="H2657" s="1">
        <v>45358</v>
      </c>
      <c r="I2657">
        <v>27</v>
      </c>
      <c r="J2657" t="s">
        <v>23</v>
      </c>
      <c r="K2657">
        <v>2719.06</v>
      </c>
    </row>
    <row r="2658" spans="1:11">
      <c r="A2658">
        <v>2657</v>
      </c>
      <c r="B2658" t="s">
        <v>31</v>
      </c>
      <c r="C2658" s="1">
        <v>21185</v>
      </c>
      <c r="D2658">
        <v>68</v>
      </c>
      <c r="E2658" t="s">
        <v>12</v>
      </c>
      <c r="F2658" t="s">
        <v>32</v>
      </c>
      <c r="G2658" s="1">
        <v>45532</v>
      </c>
      <c r="H2658" s="1">
        <v>45617</v>
      </c>
      <c r="I2658">
        <v>33</v>
      </c>
      <c r="J2658" t="s">
        <v>25</v>
      </c>
      <c r="K2658">
        <v>996.85</v>
      </c>
    </row>
    <row r="2659" spans="1:11">
      <c r="A2659">
        <v>2658</v>
      </c>
      <c r="B2659" t="s">
        <v>147</v>
      </c>
      <c r="C2659" s="1">
        <v>34700</v>
      </c>
      <c r="D2659">
        <v>31</v>
      </c>
      <c r="E2659" t="s">
        <v>15</v>
      </c>
      <c r="F2659" t="s">
        <v>21</v>
      </c>
      <c r="G2659" s="1">
        <v>45378</v>
      </c>
      <c r="H2659" s="1">
        <v>45045</v>
      </c>
      <c r="I2659">
        <v>22</v>
      </c>
      <c r="J2659" t="s">
        <v>23</v>
      </c>
      <c r="K2659">
        <v>7981.02</v>
      </c>
    </row>
    <row r="2660" spans="1:11">
      <c r="A2660">
        <v>2659</v>
      </c>
      <c r="B2660" t="s">
        <v>44</v>
      </c>
      <c r="C2660" s="1">
        <v>30317</v>
      </c>
      <c r="D2660">
        <v>43</v>
      </c>
      <c r="E2660" t="s">
        <v>12</v>
      </c>
      <c r="F2660" t="s">
        <v>45</v>
      </c>
      <c r="G2660" s="1">
        <v>45387</v>
      </c>
      <c r="H2660" s="1">
        <v>45279</v>
      </c>
      <c r="I2660">
        <v>4</v>
      </c>
      <c r="K2660">
        <v>1017.26</v>
      </c>
    </row>
    <row r="2661" spans="1:11">
      <c r="A2661">
        <v>2660</v>
      </c>
      <c r="B2661" t="s">
        <v>144</v>
      </c>
      <c r="C2661" s="1">
        <v>22646</v>
      </c>
      <c r="D2661">
        <v>64</v>
      </c>
      <c r="E2661" t="s">
        <v>15</v>
      </c>
      <c r="G2661" s="1">
        <v>45412</v>
      </c>
      <c r="H2661" s="1">
        <v>45515</v>
      </c>
      <c r="I2661">
        <v>17</v>
      </c>
      <c r="K2661">
        <v>13720.78</v>
      </c>
    </row>
    <row r="2662" spans="1:11">
      <c r="A2662">
        <v>2661</v>
      </c>
      <c r="B2662" t="s">
        <v>156</v>
      </c>
      <c r="C2662" s="1">
        <v>14611</v>
      </c>
      <c r="D2662">
        <v>86</v>
      </c>
      <c r="E2662" t="s">
        <v>15</v>
      </c>
      <c r="G2662" s="1">
        <v>45063</v>
      </c>
      <c r="H2662" s="1">
        <v>44973</v>
      </c>
      <c r="I2662">
        <v>32</v>
      </c>
      <c r="J2662" t="s">
        <v>25</v>
      </c>
      <c r="K2662">
        <v>15182.53</v>
      </c>
    </row>
    <row r="2663" spans="1:11">
      <c r="A2663">
        <v>2662</v>
      </c>
      <c r="B2663" t="s">
        <v>166</v>
      </c>
      <c r="C2663" s="1">
        <v>43466</v>
      </c>
      <c r="D2663">
        <v>7</v>
      </c>
      <c r="E2663" t="s">
        <v>12</v>
      </c>
      <c r="G2663" s="1">
        <v>45298</v>
      </c>
      <c r="H2663" s="1">
        <v>45154</v>
      </c>
      <c r="I2663">
        <v>7</v>
      </c>
      <c r="K2663">
        <v>17079.72</v>
      </c>
    </row>
    <row r="2664" spans="1:11">
      <c r="A2664">
        <v>2663</v>
      </c>
      <c r="B2664" t="s">
        <v>65</v>
      </c>
      <c r="C2664" s="1">
        <v>18263</v>
      </c>
      <c r="D2664">
        <v>76</v>
      </c>
      <c r="E2664" t="s">
        <v>15</v>
      </c>
      <c r="F2664" t="s">
        <v>16</v>
      </c>
      <c r="G2664" s="1">
        <v>45182</v>
      </c>
      <c r="H2664" s="1">
        <v>45283</v>
      </c>
      <c r="I2664">
        <v>32</v>
      </c>
      <c r="K2664">
        <v>14851.23</v>
      </c>
    </row>
    <row r="2665" spans="1:11">
      <c r="A2665">
        <v>2664</v>
      </c>
      <c r="B2665" t="s">
        <v>38</v>
      </c>
      <c r="C2665" s="1">
        <v>20090</v>
      </c>
      <c r="E2665" t="s">
        <v>15</v>
      </c>
      <c r="F2665" t="s">
        <v>16</v>
      </c>
      <c r="G2665" s="1">
        <v>45321</v>
      </c>
      <c r="H2665" s="1">
        <v>45221</v>
      </c>
      <c r="I2665">
        <v>-2</v>
      </c>
      <c r="J2665" t="s">
        <v>19</v>
      </c>
      <c r="K2665">
        <v>18318.66</v>
      </c>
    </row>
    <row r="2666" spans="1:11">
      <c r="A2666">
        <v>2665</v>
      </c>
      <c r="B2666" t="s">
        <v>28</v>
      </c>
      <c r="C2666" s="1">
        <v>14611</v>
      </c>
      <c r="D2666">
        <v>86</v>
      </c>
      <c r="E2666" t="s">
        <v>15</v>
      </c>
      <c r="F2666" t="s">
        <v>18</v>
      </c>
      <c r="G2666" s="1">
        <v>44963</v>
      </c>
      <c r="H2666" s="1">
        <v>45167</v>
      </c>
      <c r="I2666">
        <v>11</v>
      </c>
      <c r="J2666" t="s">
        <v>23</v>
      </c>
      <c r="K2666">
        <v>14940.85</v>
      </c>
    </row>
    <row r="2667" spans="1:11">
      <c r="A2667">
        <v>2666</v>
      </c>
      <c r="B2667" t="s">
        <v>157</v>
      </c>
      <c r="C2667" s="1">
        <v>30682</v>
      </c>
      <c r="D2667">
        <v>42</v>
      </c>
      <c r="E2667" t="s">
        <v>15</v>
      </c>
      <c r="F2667" t="s">
        <v>18</v>
      </c>
      <c r="G2667" s="1">
        <v>45580</v>
      </c>
      <c r="H2667" s="1">
        <v>45275</v>
      </c>
      <c r="I2667">
        <v>2</v>
      </c>
      <c r="J2667" t="s">
        <v>23</v>
      </c>
      <c r="K2667">
        <v>18715.12</v>
      </c>
    </row>
    <row r="2668" spans="1:11">
      <c r="A2668">
        <v>2667</v>
      </c>
      <c r="B2668" t="s">
        <v>14</v>
      </c>
      <c r="C2668" s="1">
        <v>46022</v>
      </c>
      <c r="D2668">
        <v>0</v>
      </c>
      <c r="E2668" t="s">
        <v>15</v>
      </c>
      <c r="F2668" t="s">
        <v>21</v>
      </c>
      <c r="G2668" s="1">
        <v>45073</v>
      </c>
      <c r="H2668" s="1">
        <v>45068</v>
      </c>
      <c r="I2668">
        <v>37</v>
      </c>
      <c r="K2668">
        <v>3781.53</v>
      </c>
    </row>
    <row r="2669" spans="1:11">
      <c r="A2669">
        <v>2668</v>
      </c>
      <c r="B2669" t="s">
        <v>77</v>
      </c>
      <c r="C2669" s="1">
        <v>27760</v>
      </c>
      <c r="D2669">
        <v>50</v>
      </c>
      <c r="E2669" t="s">
        <v>15</v>
      </c>
      <c r="F2669" t="s">
        <v>18</v>
      </c>
      <c r="G2669" s="1">
        <v>44934</v>
      </c>
      <c r="H2669" s="1">
        <v>45131</v>
      </c>
      <c r="I2669">
        <v>35</v>
      </c>
      <c r="K2669">
        <v>9947.25</v>
      </c>
    </row>
    <row r="2670" spans="1:11">
      <c r="A2670">
        <v>2669</v>
      </c>
      <c r="B2670" t="s">
        <v>27</v>
      </c>
      <c r="C2670" s="1">
        <v>37622</v>
      </c>
      <c r="D2670">
        <v>23</v>
      </c>
      <c r="E2670" t="s">
        <v>12</v>
      </c>
      <c r="F2670" t="s">
        <v>45</v>
      </c>
      <c r="G2670" s="1">
        <v>45177</v>
      </c>
      <c r="H2670" s="1">
        <v>45589</v>
      </c>
      <c r="I2670">
        <v>31</v>
      </c>
      <c r="J2670" t="s">
        <v>25</v>
      </c>
      <c r="K2670">
        <v>19878.009999999998</v>
      </c>
    </row>
    <row r="2671" spans="1:11">
      <c r="A2671">
        <v>2670</v>
      </c>
      <c r="B2671" t="s">
        <v>88</v>
      </c>
      <c r="C2671" s="1">
        <v>37622</v>
      </c>
      <c r="E2671" t="s">
        <v>12</v>
      </c>
      <c r="F2671" t="s">
        <v>45</v>
      </c>
      <c r="G2671" s="1">
        <v>45573</v>
      </c>
      <c r="H2671" s="1">
        <v>45569</v>
      </c>
      <c r="I2671">
        <v>21</v>
      </c>
      <c r="J2671" t="s">
        <v>23</v>
      </c>
      <c r="K2671">
        <v>13599.72</v>
      </c>
    </row>
    <row r="2672" spans="1:11">
      <c r="A2672">
        <v>2671</v>
      </c>
      <c r="B2672" t="s">
        <v>163</v>
      </c>
      <c r="C2672" s="1">
        <v>40178</v>
      </c>
      <c r="D2672">
        <v>16</v>
      </c>
      <c r="E2672" t="s">
        <v>15</v>
      </c>
      <c r="G2672" s="1">
        <v>45497</v>
      </c>
      <c r="H2672" s="1">
        <v>45788</v>
      </c>
      <c r="I2672">
        <v>1</v>
      </c>
      <c r="J2672" t="s">
        <v>19</v>
      </c>
      <c r="K2672">
        <v>17560.689999999999</v>
      </c>
    </row>
    <row r="2673" spans="1:11">
      <c r="A2673">
        <v>2672</v>
      </c>
      <c r="B2673" t="s">
        <v>67</v>
      </c>
      <c r="C2673" s="1">
        <v>44561</v>
      </c>
      <c r="D2673">
        <v>4</v>
      </c>
      <c r="E2673" t="s">
        <v>12</v>
      </c>
      <c r="F2673" t="s">
        <v>32</v>
      </c>
      <c r="G2673" s="1">
        <v>45561</v>
      </c>
      <c r="H2673" s="1">
        <v>45772</v>
      </c>
      <c r="I2673">
        <v>24</v>
      </c>
      <c r="J2673" t="s">
        <v>19</v>
      </c>
      <c r="K2673">
        <v>510.92</v>
      </c>
    </row>
    <row r="2674" spans="1:11">
      <c r="A2674">
        <v>2673</v>
      </c>
      <c r="B2674" t="s">
        <v>136</v>
      </c>
      <c r="C2674" s="1">
        <v>39083</v>
      </c>
      <c r="D2674">
        <v>19</v>
      </c>
      <c r="E2674" t="s">
        <v>15</v>
      </c>
      <c r="F2674" t="s">
        <v>13</v>
      </c>
      <c r="G2674" s="1">
        <v>45373</v>
      </c>
      <c r="H2674" s="1">
        <v>45196</v>
      </c>
      <c r="I2674">
        <v>2</v>
      </c>
      <c r="K2674">
        <v>17422.330000000002</v>
      </c>
    </row>
    <row r="2675" spans="1:11">
      <c r="A2675">
        <v>2674</v>
      </c>
      <c r="B2675" t="s">
        <v>51</v>
      </c>
      <c r="C2675" s="1">
        <v>38717</v>
      </c>
      <c r="D2675">
        <v>20</v>
      </c>
      <c r="E2675" t="s">
        <v>15</v>
      </c>
      <c r="F2675" t="s">
        <v>18</v>
      </c>
      <c r="G2675" s="1">
        <v>45189</v>
      </c>
      <c r="H2675" s="1">
        <v>45240</v>
      </c>
      <c r="I2675">
        <v>10</v>
      </c>
      <c r="J2675" t="s">
        <v>25</v>
      </c>
      <c r="K2675">
        <v>13924.04</v>
      </c>
    </row>
    <row r="2676" spans="1:11">
      <c r="A2676">
        <v>2675</v>
      </c>
      <c r="B2676" t="s">
        <v>108</v>
      </c>
      <c r="C2676" s="1">
        <v>25203</v>
      </c>
      <c r="D2676">
        <v>57</v>
      </c>
      <c r="E2676" t="s">
        <v>15</v>
      </c>
      <c r="F2676" t="s">
        <v>21</v>
      </c>
      <c r="G2676" s="1">
        <v>45558</v>
      </c>
      <c r="H2676" s="1">
        <v>45345</v>
      </c>
      <c r="I2676">
        <v>37</v>
      </c>
      <c r="J2676" t="s">
        <v>25</v>
      </c>
      <c r="K2676">
        <v>3332.18</v>
      </c>
    </row>
    <row r="2677" spans="1:11">
      <c r="A2677">
        <v>2676</v>
      </c>
      <c r="B2677" t="s">
        <v>131</v>
      </c>
      <c r="C2677" s="1">
        <v>35065</v>
      </c>
      <c r="D2677">
        <v>30</v>
      </c>
      <c r="E2677" t="s">
        <v>12</v>
      </c>
      <c r="G2677" s="1">
        <v>45365</v>
      </c>
      <c r="H2677" s="1">
        <v>45064</v>
      </c>
      <c r="I2677">
        <v>18</v>
      </c>
      <c r="J2677" t="s">
        <v>23</v>
      </c>
      <c r="K2677">
        <v>416.19</v>
      </c>
    </row>
    <row r="2678" spans="1:11">
      <c r="A2678">
        <v>2677</v>
      </c>
      <c r="B2678" t="s">
        <v>39</v>
      </c>
      <c r="C2678" s="1">
        <v>42370</v>
      </c>
      <c r="D2678">
        <v>10</v>
      </c>
      <c r="E2678" t="s">
        <v>15</v>
      </c>
      <c r="F2678" t="s">
        <v>16</v>
      </c>
      <c r="G2678" s="1">
        <v>45185</v>
      </c>
      <c r="H2678" s="1">
        <v>45555</v>
      </c>
      <c r="I2678">
        <v>34</v>
      </c>
      <c r="K2678">
        <v>5124.5200000000004</v>
      </c>
    </row>
    <row r="2679" spans="1:11">
      <c r="A2679">
        <v>2678</v>
      </c>
      <c r="B2679" t="s">
        <v>80</v>
      </c>
      <c r="C2679" s="1">
        <v>27395</v>
      </c>
      <c r="D2679">
        <v>51</v>
      </c>
      <c r="E2679" t="s">
        <v>12</v>
      </c>
      <c r="F2679" t="s">
        <v>45</v>
      </c>
      <c r="G2679" s="1">
        <v>45249</v>
      </c>
      <c r="H2679" s="1">
        <v>45278</v>
      </c>
      <c r="I2679">
        <v>29</v>
      </c>
      <c r="K2679">
        <v>18307.04</v>
      </c>
    </row>
    <row r="2680" spans="1:11">
      <c r="A2680">
        <v>2679</v>
      </c>
      <c r="B2680" t="s">
        <v>70</v>
      </c>
      <c r="C2680" s="1">
        <v>40909</v>
      </c>
      <c r="D2680">
        <v>14</v>
      </c>
      <c r="E2680" t="s">
        <v>12</v>
      </c>
      <c r="F2680" t="s">
        <v>45</v>
      </c>
      <c r="G2680" s="1">
        <v>45456</v>
      </c>
      <c r="H2680" s="1">
        <v>45088</v>
      </c>
      <c r="I2680">
        <v>35</v>
      </c>
      <c r="J2680" t="s">
        <v>25</v>
      </c>
      <c r="K2680">
        <v>13329.47</v>
      </c>
    </row>
    <row r="2681" spans="1:11">
      <c r="A2681">
        <v>2680</v>
      </c>
      <c r="B2681" t="s">
        <v>51</v>
      </c>
      <c r="C2681" s="1">
        <v>16072</v>
      </c>
      <c r="D2681">
        <v>82</v>
      </c>
      <c r="E2681" t="s">
        <v>12</v>
      </c>
      <c r="F2681" t="s">
        <v>45</v>
      </c>
      <c r="G2681" s="1">
        <v>45227</v>
      </c>
      <c r="H2681" s="1">
        <v>45594</v>
      </c>
      <c r="I2681">
        <v>28</v>
      </c>
      <c r="J2681" t="s">
        <v>19</v>
      </c>
      <c r="K2681">
        <v>18381.330000000002</v>
      </c>
    </row>
    <row r="2682" spans="1:11">
      <c r="A2682">
        <v>2681</v>
      </c>
      <c r="B2682" t="s">
        <v>65</v>
      </c>
      <c r="C2682" s="1">
        <v>43831</v>
      </c>
      <c r="D2682">
        <v>6</v>
      </c>
      <c r="E2682" t="s">
        <v>12</v>
      </c>
      <c r="F2682" t="s">
        <v>13</v>
      </c>
      <c r="G2682" s="1">
        <v>45411</v>
      </c>
      <c r="H2682" s="1">
        <v>45100</v>
      </c>
      <c r="I2682">
        <v>29</v>
      </c>
      <c r="J2682" t="s">
        <v>19</v>
      </c>
      <c r="K2682">
        <v>8867.6299999999992</v>
      </c>
    </row>
    <row r="2683" spans="1:11">
      <c r="A2683">
        <v>2682</v>
      </c>
      <c r="B2683" t="s">
        <v>155</v>
      </c>
      <c r="C2683" s="1">
        <v>36161</v>
      </c>
      <c r="D2683">
        <v>27</v>
      </c>
      <c r="E2683" t="s">
        <v>12</v>
      </c>
      <c r="F2683" t="s">
        <v>13</v>
      </c>
      <c r="G2683" s="1">
        <v>45018</v>
      </c>
      <c r="H2683" s="1">
        <v>45057</v>
      </c>
      <c r="I2683">
        <v>12</v>
      </c>
      <c r="J2683" t="s">
        <v>23</v>
      </c>
      <c r="K2683">
        <v>18726.2</v>
      </c>
    </row>
    <row r="2684" spans="1:11">
      <c r="A2684">
        <v>2683</v>
      </c>
      <c r="B2684" t="s">
        <v>79</v>
      </c>
      <c r="C2684" s="1">
        <v>27760</v>
      </c>
      <c r="D2684">
        <v>50</v>
      </c>
      <c r="E2684" t="s">
        <v>15</v>
      </c>
      <c r="F2684" t="s">
        <v>18</v>
      </c>
      <c r="G2684" s="1">
        <v>45090</v>
      </c>
      <c r="H2684" s="1">
        <v>45006</v>
      </c>
      <c r="I2684">
        <v>27</v>
      </c>
      <c r="K2684">
        <v>9205.49</v>
      </c>
    </row>
    <row r="2685" spans="1:11">
      <c r="A2685">
        <v>2684</v>
      </c>
      <c r="B2685" t="s">
        <v>51</v>
      </c>
      <c r="C2685" s="1">
        <v>25203</v>
      </c>
      <c r="D2685">
        <v>57</v>
      </c>
      <c r="E2685" t="s">
        <v>15</v>
      </c>
      <c r="F2685" t="s">
        <v>16</v>
      </c>
      <c r="G2685" s="1">
        <v>45582</v>
      </c>
      <c r="H2685" s="1">
        <v>45496</v>
      </c>
      <c r="I2685">
        <v>4</v>
      </c>
      <c r="K2685">
        <v>4005.52</v>
      </c>
    </row>
    <row r="2686" spans="1:11">
      <c r="A2686">
        <v>2685</v>
      </c>
      <c r="B2686" t="s">
        <v>139</v>
      </c>
      <c r="C2686" s="1">
        <v>44561</v>
      </c>
      <c r="D2686">
        <v>4</v>
      </c>
      <c r="E2686" t="s">
        <v>12</v>
      </c>
      <c r="F2686" t="s">
        <v>21</v>
      </c>
      <c r="G2686" s="1">
        <v>45261</v>
      </c>
      <c r="H2686" s="1">
        <v>45790</v>
      </c>
      <c r="I2686">
        <v>35</v>
      </c>
      <c r="J2686" t="s">
        <v>19</v>
      </c>
      <c r="K2686">
        <v>2943.01</v>
      </c>
    </row>
    <row r="2687" spans="1:11">
      <c r="A2687">
        <v>2686</v>
      </c>
      <c r="B2687" t="s">
        <v>94</v>
      </c>
      <c r="C2687" s="1">
        <v>44561</v>
      </c>
      <c r="D2687">
        <v>4</v>
      </c>
      <c r="E2687" t="s">
        <v>12</v>
      </c>
      <c r="F2687" t="s">
        <v>13</v>
      </c>
      <c r="G2687" s="1">
        <v>45241</v>
      </c>
      <c r="H2687" s="1">
        <v>44984</v>
      </c>
      <c r="I2687">
        <v>28</v>
      </c>
      <c r="K2687">
        <v>19875.62</v>
      </c>
    </row>
    <row r="2688" spans="1:11">
      <c r="A2688">
        <v>2687</v>
      </c>
      <c r="B2688" t="s">
        <v>41</v>
      </c>
      <c r="C2688" s="1">
        <v>12054</v>
      </c>
      <c r="D2688">
        <v>93</v>
      </c>
      <c r="E2688" t="s">
        <v>15</v>
      </c>
      <c r="F2688" t="s">
        <v>32</v>
      </c>
      <c r="G2688" s="1">
        <v>45164</v>
      </c>
      <c r="H2688" s="1">
        <v>45327</v>
      </c>
      <c r="I2688">
        <v>23</v>
      </c>
      <c r="K2688">
        <v>6610.64</v>
      </c>
    </row>
    <row r="2689" spans="1:11">
      <c r="A2689">
        <v>2688</v>
      </c>
      <c r="B2689" t="s">
        <v>72</v>
      </c>
      <c r="C2689" s="1">
        <v>43466</v>
      </c>
      <c r="D2689">
        <v>7</v>
      </c>
      <c r="E2689" t="s">
        <v>15</v>
      </c>
      <c r="F2689" t="s">
        <v>13</v>
      </c>
      <c r="G2689" s="1">
        <v>45612</v>
      </c>
      <c r="H2689" s="1">
        <v>45290</v>
      </c>
      <c r="I2689">
        <v>33</v>
      </c>
      <c r="J2689" t="s">
        <v>25</v>
      </c>
      <c r="K2689">
        <v>3117.07</v>
      </c>
    </row>
    <row r="2690" spans="1:11">
      <c r="A2690">
        <v>2689</v>
      </c>
      <c r="B2690" t="s">
        <v>29</v>
      </c>
      <c r="C2690" s="1">
        <v>23012</v>
      </c>
      <c r="D2690">
        <v>63</v>
      </c>
      <c r="E2690" t="s">
        <v>15</v>
      </c>
      <c r="F2690" t="s">
        <v>45</v>
      </c>
      <c r="G2690" s="1">
        <v>45009</v>
      </c>
      <c r="H2690" s="1">
        <v>45262</v>
      </c>
      <c r="I2690">
        <v>23</v>
      </c>
      <c r="J2690" t="s">
        <v>23</v>
      </c>
      <c r="K2690">
        <v>69.010000000000005</v>
      </c>
    </row>
    <row r="2691" spans="1:11">
      <c r="A2691">
        <v>2690</v>
      </c>
      <c r="B2691" t="s">
        <v>72</v>
      </c>
      <c r="C2691" s="1">
        <v>42735</v>
      </c>
      <c r="D2691">
        <v>9</v>
      </c>
      <c r="E2691" t="s">
        <v>15</v>
      </c>
      <c r="F2691" t="s">
        <v>21</v>
      </c>
      <c r="G2691" s="1">
        <v>45595</v>
      </c>
      <c r="H2691" s="1">
        <v>45061</v>
      </c>
      <c r="I2691">
        <v>-1</v>
      </c>
      <c r="J2691" t="s">
        <v>23</v>
      </c>
      <c r="K2691">
        <v>5639.95</v>
      </c>
    </row>
    <row r="2692" spans="1:11">
      <c r="A2692">
        <v>2691</v>
      </c>
      <c r="B2692" t="s">
        <v>53</v>
      </c>
      <c r="C2692" s="1">
        <v>32508</v>
      </c>
      <c r="D2692">
        <v>37</v>
      </c>
      <c r="E2692" t="s">
        <v>15</v>
      </c>
      <c r="F2692" t="s">
        <v>18</v>
      </c>
      <c r="G2692" s="1">
        <v>45035</v>
      </c>
      <c r="H2692" s="1">
        <v>44941</v>
      </c>
      <c r="I2692">
        <v>6</v>
      </c>
      <c r="J2692" t="s">
        <v>23</v>
      </c>
      <c r="K2692">
        <v>17771.23</v>
      </c>
    </row>
    <row r="2693" spans="1:11">
      <c r="A2693">
        <v>2692</v>
      </c>
      <c r="B2693" t="s">
        <v>159</v>
      </c>
      <c r="C2693" s="1">
        <v>12785</v>
      </c>
      <c r="D2693">
        <v>91</v>
      </c>
      <c r="E2693" t="s">
        <v>12</v>
      </c>
      <c r="F2693" t="s">
        <v>13</v>
      </c>
      <c r="G2693" s="1">
        <v>45104</v>
      </c>
      <c r="H2693" s="1">
        <v>45210</v>
      </c>
      <c r="I2693">
        <v>2</v>
      </c>
      <c r="J2693" t="s">
        <v>25</v>
      </c>
      <c r="K2693">
        <v>10633.59</v>
      </c>
    </row>
    <row r="2694" spans="1:11">
      <c r="A2694">
        <v>2693</v>
      </c>
      <c r="B2694" t="s">
        <v>134</v>
      </c>
      <c r="C2694" s="1">
        <v>16802</v>
      </c>
      <c r="D2694">
        <v>80</v>
      </c>
      <c r="E2694" t="s">
        <v>12</v>
      </c>
      <c r="F2694" t="s">
        <v>45</v>
      </c>
      <c r="G2694" s="1">
        <v>45176</v>
      </c>
      <c r="H2694" s="1">
        <v>45733</v>
      </c>
      <c r="I2694">
        <v>24</v>
      </c>
      <c r="J2694" t="s">
        <v>23</v>
      </c>
      <c r="K2694">
        <v>12611.94</v>
      </c>
    </row>
    <row r="2695" spans="1:11">
      <c r="A2695">
        <v>2694</v>
      </c>
      <c r="B2695" t="s">
        <v>110</v>
      </c>
      <c r="C2695" s="1">
        <v>11689</v>
      </c>
      <c r="D2695">
        <v>94</v>
      </c>
      <c r="E2695" t="s">
        <v>12</v>
      </c>
      <c r="G2695" s="1">
        <v>45493</v>
      </c>
      <c r="H2695" s="1">
        <v>45586</v>
      </c>
      <c r="I2695">
        <v>9</v>
      </c>
      <c r="J2695" t="s">
        <v>23</v>
      </c>
      <c r="K2695">
        <v>18440.060000000001</v>
      </c>
    </row>
    <row r="2696" spans="1:11">
      <c r="A2696">
        <v>2695</v>
      </c>
      <c r="B2696" t="s">
        <v>44</v>
      </c>
      <c r="C2696" s="1">
        <v>43466</v>
      </c>
      <c r="D2696">
        <v>7</v>
      </c>
      <c r="E2696" t="s">
        <v>12</v>
      </c>
      <c r="F2696" t="s">
        <v>32</v>
      </c>
      <c r="G2696" s="1">
        <v>45593</v>
      </c>
      <c r="H2696" s="1">
        <v>45348</v>
      </c>
      <c r="I2696">
        <v>32</v>
      </c>
      <c r="J2696" t="s">
        <v>19</v>
      </c>
      <c r="K2696">
        <v>10208.08</v>
      </c>
    </row>
    <row r="2697" spans="1:11">
      <c r="A2697">
        <v>2696</v>
      </c>
      <c r="B2697" t="s">
        <v>169</v>
      </c>
      <c r="C2697" s="1">
        <v>37256</v>
      </c>
      <c r="D2697">
        <v>24</v>
      </c>
      <c r="E2697" t="s">
        <v>12</v>
      </c>
      <c r="F2697" t="s">
        <v>32</v>
      </c>
      <c r="G2697" s="1">
        <v>45017</v>
      </c>
      <c r="H2697" s="1">
        <v>45054</v>
      </c>
      <c r="I2697">
        <v>26</v>
      </c>
      <c r="J2697" t="s">
        <v>19</v>
      </c>
      <c r="K2697">
        <v>16749.419999999998</v>
      </c>
    </row>
    <row r="2698" spans="1:11">
      <c r="A2698">
        <v>2697</v>
      </c>
      <c r="B2698" t="s">
        <v>92</v>
      </c>
      <c r="C2698" s="1">
        <v>19724</v>
      </c>
      <c r="D2698">
        <v>72</v>
      </c>
      <c r="E2698" t="s">
        <v>15</v>
      </c>
      <c r="G2698" s="1">
        <v>45265</v>
      </c>
      <c r="H2698" s="1">
        <v>45699</v>
      </c>
      <c r="I2698">
        <v>13</v>
      </c>
      <c r="J2698" t="s">
        <v>23</v>
      </c>
      <c r="K2698">
        <v>6409.05</v>
      </c>
    </row>
    <row r="2699" spans="1:11">
      <c r="A2699">
        <v>2698</v>
      </c>
      <c r="B2699" t="s">
        <v>137</v>
      </c>
      <c r="C2699" s="1">
        <v>22281</v>
      </c>
      <c r="D2699">
        <v>65</v>
      </c>
      <c r="E2699" t="s">
        <v>15</v>
      </c>
      <c r="F2699" t="s">
        <v>18</v>
      </c>
      <c r="G2699" s="1">
        <v>45564</v>
      </c>
      <c r="H2699" s="1">
        <v>45753</v>
      </c>
      <c r="I2699">
        <v>16</v>
      </c>
      <c r="J2699" t="s">
        <v>25</v>
      </c>
      <c r="K2699">
        <v>19539.75</v>
      </c>
    </row>
    <row r="2700" spans="1:11">
      <c r="A2700">
        <v>2699</v>
      </c>
      <c r="B2700" t="s">
        <v>131</v>
      </c>
      <c r="C2700" s="1">
        <v>17533</v>
      </c>
      <c r="D2700">
        <v>78</v>
      </c>
      <c r="E2700" t="s">
        <v>12</v>
      </c>
      <c r="F2700" t="s">
        <v>18</v>
      </c>
      <c r="G2700" s="1">
        <v>45095</v>
      </c>
      <c r="H2700" s="1">
        <v>45145</v>
      </c>
      <c r="I2700">
        <v>24</v>
      </c>
      <c r="J2700" t="s">
        <v>25</v>
      </c>
      <c r="K2700">
        <v>1484.16</v>
      </c>
    </row>
    <row r="2701" spans="1:11">
      <c r="A2701">
        <v>2700</v>
      </c>
      <c r="B2701" t="s">
        <v>157</v>
      </c>
      <c r="C2701" s="1">
        <v>28125</v>
      </c>
      <c r="D2701">
        <v>49</v>
      </c>
      <c r="E2701" t="s">
        <v>12</v>
      </c>
      <c r="F2701" t="s">
        <v>13</v>
      </c>
      <c r="G2701" s="1">
        <v>45065</v>
      </c>
      <c r="H2701" s="1">
        <v>45672</v>
      </c>
      <c r="I2701">
        <v>15</v>
      </c>
      <c r="J2701" t="s">
        <v>25</v>
      </c>
      <c r="K2701">
        <v>14469.07</v>
      </c>
    </row>
    <row r="2702" spans="1:11">
      <c r="A2702">
        <v>2701</v>
      </c>
      <c r="B2702" t="s">
        <v>69</v>
      </c>
      <c r="C2702" s="1">
        <v>21916</v>
      </c>
      <c r="D2702">
        <v>66</v>
      </c>
      <c r="E2702" t="s">
        <v>15</v>
      </c>
      <c r="F2702" t="s">
        <v>18</v>
      </c>
      <c r="G2702" s="1">
        <v>45443</v>
      </c>
      <c r="H2702" s="1">
        <v>45808</v>
      </c>
      <c r="I2702">
        <v>38</v>
      </c>
      <c r="K2702">
        <v>13177.38</v>
      </c>
    </row>
    <row r="2703" spans="1:11">
      <c r="A2703">
        <v>2702</v>
      </c>
      <c r="B2703" t="s">
        <v>119</v>
      </c>
      <c r="C2703" s="1">
        <v>28490</v>
      </c>
      <c r="D2703">
        <v>48</v>
      </c>
      <c r="F2703" t="s">
        <v>16</v>
      </c>
      <c r="G2703" s="1">
        <v>45504</v>
      </c>
      <c r="H2703" s="1">
        <v>45607</v>
      </c>
      <c r="I2703">
        <v>10</v>
      </c>
      <c r="K2703">
        <v>3752.6</v>
      </c>
    </row>
    <row r="2704" spans="1:11">
      <c r="A2704">
        <v>2703</v>
      </c>
      <c r="B2704" t="s">
        <v>68</v>
      </c>
      <c r="C2704" s="1">
        <v>33239</v>
      </c>
      <c r="D2704">
        <v>35</v>
      </c>
      <c r="E2704" t="s">
        <v>15</v>
      </c>
      <c r="F2704" t="s">
        <v>16</v>
      </c>
      <c r="G2704" s="1">
        <v>45549</v>
      </c>
      <c r="H2704" s="1">
        <v>45582</v>
      </c>
      <c r="I2704">
        <v>27</v>
      </c>
      <c r="J2704" t="s">
        <v>25</v>
      </c>
      <c r="K2704">
        <v>7715.76</v>
      </c>
    </row>
    <row r="2705" spans="1:11">
      <c r="A2705">
        <v>2704</v>
      </c>
      <c r="B2705" t="s">
        <v>130</v>
      </c>
      <c r="C2705" s="1">
        <v>21551</v>
      </c>
      <c r="D2705">
        <v>67</v>
      </c>
      <c r="E2705" t="s">
        <v>15</v>
      </c>
      <c r="F2705" t="s">
        <v>45</v>
      </c>
      <c r="G2705" s="1">
        <v>45110</v>
      </c>
      <c r="H2705" s="1">
        <v>45416</v>
      </c>
      <c r="I2705">
        <v>23</v>
      </c>
      <c r="J2705" t="s">
        <v>19</v>
      </c>
      <c r="K2705">
        <v>6187.87</v>
      </c>
    </row>
    <row r="2706" spans="1:11">
      <c r="A2706">
        <v>2705</v>
      </c>
      <c r="B2706" t="s">
        <v>60</v>
      </c>
      <c r="C2706" s="1">
        <v>17898</v>
      </c>
      <c r="D2706">
        <v>77</v>
      </c>
      <c r="E2706" t="s">
        <v>15</v>
      </c>
      <c r="F2706" t="s">
        <v>45</v>
      </c>
      <c r="G2706" s="1">
        <v>45096</v>
      </c>
      <c r="H2706" s="1">
        <v>45187</v>
      </c>
      <c r="I2706">
        <v>3</v>
      </c>
      <c r="K2706">
        <v>1799.31</v>
      </c>
    </row>
    <row r="2707" spans="1:11">
      <c r="A2707">
        <v>2706</v>
      </c>
      <c r="B2707" t="s">
        <v>122</v>
      </c>
      <c r="C2707" s="1">
        <v>31412</v>
      </c>
      <c r="D2707">
        <v>40</v>
      </c>
      <c r="E2707" t="s">
        <v>15</v>
      </c>
      <c r="F2707" t="s">
        <v>45</v>
      </c>
      <c r="G2707" s="1">
        <v>45288</v>
      </c>
      <c r="H2707" s="1">
        <v>45145</v>
      </c>
      <c r="I2707">
        <v>0</v>
      </c>
      <c r="J2707" t="s">
        <v>25</v>
      </c>
      <c r="K2707">
        <v>11654.24</v>
      </c>
    </row>
    <row r="2708" spans="1:11">
      <c r="A2708">
        <v>2707</v>
      </c>
      <c r="B2708" t="s">
        <v>142</v>
      </c>
      <c r="C2708" s="1">
        <v>13880</v>
      </c>
      <c r="D2708">
        <v>88</v>
      </c>
      <c r="E2708" t="s">
        <v>12</v>
      </c>
      <c r="F2708" t="s">
        <v>16</v>
      </c>
      <c r="G2708" s="1">
        <v>45170</v>
      </c>
      <c r="H2708" s="1">
        <v>45747</v>
      </c>
      <c r="I2708">
        <v>20</v>
      </c>
      <c r="K2708">
        <v>19872.759999999998</v>
      </c>
    </row>
    <row r="2709" spans="1:11">
      <c r="A2709">
        <v>2708</v>
      </c>
      <c r="B2709" t="s">
        <v>78</v>
      </c>
      <c r="C2709" s="1">
        <v>23742</v>
      </c>
      <c r="D2709">
        <v>61</v>
      </c>
      <c r="E2709" t="s">
        <v>12</v>
      </c>
      <c r="F2709" t="s">
        <v>13</v>
      </c>
      <c r="G2709" s="1">
        <v>45064</v>
      </c>
      <c r="H2709" s="1">
        <v>45585</v>
      </c>
      <c r="I2709">
        <v>9</v>
      </c>
      <c r="K2709">
        <v>11147.72</v>
      </c>
    </row>
    <row r="2710" spans="1:11">
      <c r="A2710">
        <v>2709</v>
      </c>
      <c r="B2710" t="s">
        <v>72</v>
      </c>
      <c r="C2710" s="1">
        <v>42735</v>
      </c>
      <c r="D2710">
        <v>9</v>
      </c>
      <c r="E2710" t="s">
        <v>15</v>
      </c>
      <c r="F2710" t="s">
        <v>13</v>
      </c>
      <c r="G2710" s="1">
        <v>44954</v>
      </c>
      <c r="H2710" s="1">
        <v>45416</v>
      </c>
      <c r="I2710">
        <v>38</v>
      </c>
      <c r="K2710">
        <v>10859.72</v>
      </c>
    </row>
    <row r="2711" spans="1:11">
      <c r="A2711">
        <v>2710</v>
      </c>
      <c r="B2711" t="s">
        <v>128</v>
      </c>
      <c r="C2711" s="1">
        <v>38717</v>
      </c>
      <c r="D2711">
        <v>20</v>
      </c>
      <c r="E2711" t="s">
        <v>12</v>
      </c>
      <c r="F2711" t="s">
        <v>18</v>
      </c>
      <c r="G2711" s="1">
        <v>45445</v>
      </c>
      <c r="H2711" s="1">
        <v>45370</v>
      </c>
      <c r="I2711">
        <v>38</v>
      </c>
      <c r="K2711">
        <v>710.31</v>
      </c>
    </row>
    <row r="2712" spans="1:11">
      <c r="A2712">
        <v>2711</v>
      </c>
      <c r="B2712" t="s">
        <v>117</v>
      </c>
      <c r="C2712" s="1">
        <v>33239</v>
      </c>
      <c r="D2712">
        <v>35</v>
      </c>
      <c r="E2712" t="s">
        <v>12</v>
      </c>
      <c r="F2712" t="s">
        <v>13</v>
      </c>
      <c r="G2712" s="1">
        <v>45324</v>
      </c>
      <c r="H2712" s="1">
        <v>45026</v>
      </c>
      <c r="I2712">
        <v>12</v>
      </c>
      <c r="J2712" t="s">
        <v>25</v>
      </c>
      <c r="K2712">
        <v>2698.33</v>
      </c>
    </row>
    <row r="2713" spans="1:11">
      <c r="A2713">
        <v>2712</v>
      </c>
      <c r="B2713" t="s">
        <v>57</v>
      </c>
      <c r="C2713" s="1">
        <v>42005</v>
      </c>
      <c r="D2713">
        <v>11</v>
      </c>
      <c r="E2713" t="s">
        <v>12</v>
      </c>
      <c r="F2713" t="s">
        <v>45</v>
      </c>
      <c r="G2713" s="1">
        <v>45259</v>
      </c>
      <c r="H2713" s="1">
        <v>45109</v>
      </c>
      <c r="I2713">
        <v>-2</v>
      </c>
      <c r="K2713">
        <v>10215.700000000001</v>
      </c>
    </row>
    <row r="2714" spans="1:11">
      <c r="A2714">
        <v>2713</v>
      </c>
      <c r="B2714" t="s">
        <v>66</v>
      </c>
      <c r="C2714" s="1">
        <v>13150</v>
      </c>
      <c r="E2714" t="s">
        <v>12</v>
      </c>
      <c r="F2714" t="s">
        <v>21</v>
      </c>
      <c r="G2714" s="1">
        <v>45243</v>
      </c>
      <c r="H2714" s="1">
        <v>45096</v>
      </c>
      <c r="I2714">
        <v>5</v>
      </c>
      <c r="J2714" t="s">
        <v>23</v>
      </c>
      <c r="K2714">
        <v>19702.09</v>
      </c>
    </row>
    <row r="2715" spans="1:11">
      <c r="A2715">
        <v>2714</v>
      </c>
      <c r="B2715" t="s">
        <v>34</v>
      </c>
      <c r="C2715" s="1">
        <v>45657</v>
      </c>
      <c r="D2715">
        <v>1</v>
      </c>
      <c r="E2715" t="s">
        <v>15</v>
      </c>
      <c r="F2715" t="s">
        <v>45</v>
      </c>
      <c r="G2715" s="1">
        <v>45489</v>
      </c>
      <c r="H2715" s="1">
        <v>45160</v>
      </c>
      <c r="I2715">
        <v>28</v>
      </c>
      <c r="J2715" t="s">
        <v>25</v>
      </c>
      <c r="K2715">
        <v>17519.82</v>
      </c>
    </row>
    <row r="2716" spans="1:11">
      <c r="A2716">
        <v>2715</v>
      </c>
      <c r="B2716" t="s">
        <v>159</v>
      </c>
      <c r="C2716" s="1">
        <v>41639</v>
      </c>
      <c r="D2716">
        <v>12</v>
      </c>
      <c r="E2716" t="s">
        <v>12</v>
      </c>
      <c r="F2716" t="s">
        <v>16</v>
      </c>
      <c r="G2716" s="1">
        <v>45352</v>
      </c>
      <c r="H2716" s="1">
        <v>45020</v>
      </c>
      <c r="I2716">
        <v>8</v>
      </c>
      <c r="J2716" t="s">
        <v>25</v>
      </c>
      <c r="K2716">
        <v>6738.2</v>
      </c>
    </row>
    <row r="2717" spans="1:11">
      <c r="A2717">
        <v>2716</v>
      </c>
      <c r="B2717" t="s">
        <v>120</v>
      </c>
      <c r="C2717" s="1">
        <v>27029</v>
      </c>
      <c r="D2717">
        <v>52</v>
      </c>
      <c r="E2717" t="s">
        <v>15</v>
      </c>
      <c r="G2717" s="1">
        <v>45062</v>
      </c>
      <c r="H2717" s="1">
        <v>45556</v>
      </c>
      <c r="I2717">
        <v>14</v>
      </c>
      <c r="J2717" t="s">
        <v>25</v>
      </c>
      <c r="K2717">
        <v>10814.39</v>
      </c>
    </row>
    <row r="2718" spans="1:11">
      <c r="A2718">
        <v>2717</v>
      </c>
      <c r="B2718" t="s">
        <v>121</v>
      </c>
      <c r="C2718" s="1">
        <v>34700</v>
      </c>
      <c r="E2718" t="s">
        <v>12</v>
      </c>
      <c r="F2718" t="s">
        <v>21</v>
      </c>
      <c r="G2718" s="1">
        <v>45616</v>
      </c>
      <c r="H2718" s="1">
        <v>45399</v>
      </c>
      <c r="I2718">
        <v>24</v>
      </c>
      <c r="K2718">
        <v>11009.31</v>
      </c>
    </row>
    <row r="2719" spans="1:11">
      <c r="A2719">
        <v>2718</v>
      </c>
      <c r="B2719" t="s">
        <v>37</v>
      </c>
      <c r="C2719" s="1">
        <v>11689</v>
      </c>
      <c r="D2719">
        <v>94</v>
      </c>
      <c r="E2719" t="s">
        <v>15</v>
      </c>
      <c r="F2719" t="s">
        <v>18</v>
      </c>
      <c r="G2719" s="1">
        <v>45567</v>
      </c>
      <c r="H2719" s="1">
        <v>45443</v>
      </c>
      <c r="I2719">
        <v>28</v>
      </c>
      <c r="J2719" t="s">
        <v>25</v>
      </c>
      <c r="K2719">
        <v>13675.75</v>
      </c>
    </row>
    <row r="2720" spans="1:11">
      <c r="A2720">
        <v>2719</v>
      </c>
      <c r="B2720" t="s">
        <v>94</v>
      </c>
      <c r="C2720" s="1">
        <v>40544</v>
      </c>
      <c r="D2720">
        <v>15</v>
      </c>
      <c r="E2720" t="s">
        <v>12</v>
      </c>
      <c r="F2720" t="s">
        <v>32</v>
      </c>
      <c r="G2720" s="1">
        <v>45635</v>
      </c>
      <c r="H2720" s="1">
        <v>45012</v>
      </c>
      <c r="I2720">
        <v>24</v>
      </c>
      <c r="J2720" t="s">
        <v>19</v>
      </c>
      <c r="K2720">
        <v>13724.42</v>
      </c>
    </row>
    <row r="2721" spans="1:11">
      <c r="A2721">
        <v>2720</v>
      </c>
      <c r="B2721" t="s">
        <v>117</v>
      </c>
      <c r="C2721" s="1">
        <v>34700</v>
      </c>
      <c r="D2721">
        <v>31</v>
      </c>
      <c r="E2721" t="s">
        <v>12</v>
      </c>
      <c r="G2721" s="1">
        <v>45193</v>
      </c>
      <c r="H2721" s="1">
        <v>45606</v>
      </c>
      <c r="I2721">
        <v>11</v>
      </c>
      <c r="J2721" t="s">
        <v>23</v>
      </c>
      <c r="K2721">
        <v>15774.83</v>
      </c>
    </row>
    <row r="2722" spans="1:11">
      <c r="A2722">
        <v>2721</v>
      </c>
      <c r="B2722" t="s">
        <v>115</v>
      </c>
      <c r="C2722" s="1">
        <v>34700</v>
      </c>
      <c r="D2722">
        <v>31</v>
      </c>
      <c r="E2722" t="s">
        <v>15</v>
      </c>
      <c r="F2722" t="s">
        <v>13</v>
      </c>
      <c r="G2722" s="1">
        <v>45033</v>
      </c>
      <c r="H2722" s="1">
        <v>45446</v>
      </c>
      <c r="I2722">
        <v>20</v>
      </c>
      <c r="J2722" t="s">
        <v>19</v>
      </c>
      <c r="K2722">
        <v>401.92</v>
      </c>
    </row>
    <row r="2723" spans="1:11">
      <c r="A2723">
        <v>2722</v>
      </c>
      <c r="B2723" t="s">
        <v>87</v>
      </c>
      <c r="C2723" s="1">
        <v>42370</v>
      </c>
      <c r="D2723">
        <v>10</v>
      </c>
      <c r="E2723" t="s">
        <v>15</v>
      </c>
      <c r="F2723" t="s">
        <v>13</v>
      </c>
      <c r="G2723" s="1">
        <v>45486</v>
      </c>
      <c r="H2723" s="1">
        <v>45308</v>
      </c>
      <c r="I2723">
        <v>2</v>
      </c>
      <c r="J2723" t="s">
        <v>23</v>
      </c>
      <c r="K2723">
        <v>18867.97</v>
      </c>
    </row>
    <row r="2724" spans="1:11">
      <c r="A2724">
        <v>2723</v>
      </c>
      <c r="B2724" t="s">
        <v>104</v>
      </c>
      <c r="D2724">
        <v>9</v>
      </c>
      <c r="E2724" t="s">
        <v>12</v>
      </c>
      <c r="F2724" t="s">
        <v>16</v>
      </c>
      <c r="G2724" s="1">
        <v>45064</v>
      </c>
      <c r="H2724" s="1">
        <v>45334</v>
      </c>
      <c r="I2724">
        <v>27</v>
      </c>
      <c r="J2724" t="s">
        <v>23</v>
      </c>
      <c r="K2724">
        <v>1308.25</v>
      </c>
    </row>
    <row r="2725" spans="1:11">
      <c r="A2725">
        <v>2724</v>
      </c>
      <c r="B2725" t="s">
        <v>67</v>
      </c>
      <c r="C2725" s="1">
        <v>40909</v>
      </c>
      <c r="D2725">
        <v>14</v>
      </c>
      <c r="E2725" t="s">
        <v>12</v>
      </c>
      <c r="F2725" t="s">
        <v>45</v>
      </c>
      <c r="G2725" s="1">
        <v>45541</v>
      </c>
      <c r="H2725" s="1">
        <v>45159</v>
      </c>
      <c r="I2725">
        <v>31</v>
      </c>
      <c r="K2725">
        <v>9470.82</v>
      </c>
    </row>
    <row r="2726" spans="1:11">
      <c r="A2726">
        <v>2725</v>
      </c>
      <c r="B2726" t="s">
        <v>127</v>
      </c>
      <c r="C2726" s="1">
        <v>40178</v>
      </c>
      <c r="D2726">
        <v>16</v>
      </c>
      <c r="E2726" t="s">
        <v>15</v>
      </c>
      <c r="F2726" t="s">
        <v>45</v>
      </c>
      <c r="G2726" s="1">
        <v>44973</v>
      </c>
      <c r="H2726" s="1">
        <v>45178</v>
      </c>
      <c r="I2726">
        <v>16</v>
      </c>
      <c r="J2726" t="s">
        <v>23</v>
      </c>
      <c r="K2726">
        <v>18383.54</v>
      </c>
    </row>
    <row r="2727" spans="1:11">
      <c r="A2727">
        <v>2726</v>
      </c>
      <c r="B2727" t="s">
        <v>96</v>
      </c>
      <c r="C2727" s="1">
        <v>31778</v>
      </c>
      <c r="D2727">
        <v>39</v>
      </c>
      <c r="E2727" t="s">
        <v>12</v>
      </c>
      <c r="F2727" t="s">
        <v>21</v>
      </c>
      <c r="G2727" s="1">
        <v>45591</v>
      </c>
      <c r="H2727" s="1">
        <v>45012</v>
      </c>
      <c r="I2727">
        <v>28</v>
      </c>
      <c r="J2727" t="s">
        <v>23</v>
      </c>
      <c r="K2727">
        <v>9702.14</v>
      </c>
    </row>
    <row r="2728" spans="1:11">
      <c r="A2728">
        <v>2727</v>
      </c>
      <c r="B2728" t="s">
        <v>52</v>
      </c>
      <c r="C2728" s="1">
        <v>39813</v>
      </c>
      <c r="D2728">
        <v>17</v>
      </c>
      <c r="E2728" t="s">
        <v>15</v>
      </c>
      <c r="F2728" t="s">
        <v>13</v>
      </c>
      <c r="G2728" s="1">
        <v>45294</v>
      </c>
      <c r="H2728" s="1">
        <v>45246</v>
      </c>
      <c r="I2728">
        <v>13</v>
      </c>
      <c r="J2728" t="s">
        <v>19</v>
      </c>
      <c r="K2728">
        <v>1179.0999999999999</v>
      </c>
    </row>
    <row r="2729" spans="1:11">
      <c r="A2729">
        <v>2728</v>
      </c>
      <c r="B2729" t="s">
        <v>135</v>
      </c>
      <c r="C2729" s="1">
        <v>26299</v>
      </c>
      <c r="E2729" t="s">
        <v>15</v>
      </c>
      <c r="G2729" s="1">
        <v>44932</v>
      </c>
      <c r="H2729" s="1">
        <v>45120</v>
      </c>
      <c r="I2729">
        <v>24</v>
      </c>
      <c r="J2729" t="s">
        <v>23</v>
      </c>
      <c r="K2729">
        <v>4507.72</v>
      </c>
    </row>
    <row r="2730" spans="1:11">
      <c r="A2730">
        <v>2729</v>
      </c>
      <c r="B2730" t="s">
        <v>58</v>
      </c>
      <c r="C2730" s="1">
        <v>19724</v>
      </c>
      <c r="D2730">
        <v>72</v>
      </c>
      <c r="E2730" t="s">
        <v>15</v>
      </c>
      <c r="F2730" t="s">
        <v>16</v>
      </c>
      <c r="G2730" s="1">
        <v>45449</v>
      </c>
      <c r="H2730" s="1">
        <v>45562</v>
      </c>
      <c r="I2730">
        <v>23</v>
      </c>
      <c r="J2730" t="s">
        <v>25</v>
      </c>
      <c r="K2730">
        <v>11531.2</v>
      </c>
    </row>
    <row r="2731" spans="1:11">
      <c r="A2731">
        <v>2730</v>
      </c>
      <c r="B2731" t="s">
        <v>71</v>
      </c>
      <c r="C2731" s="1">
        <v>37256</v>
      </c>
      <c r="D2731">
        <v>24</v>
      </c>
      <c r="E2731" t="s">
        <v>15</v>
      </c>
      <c r="G2731" s="1">
        <v>45455</v>
      </c>
      <c r="H2731" s="1">
        <v>45528</v>
      </c>
      <c r="I2731">
        <v>36</v>
      </c>
      <c r="J2731" t="s">
        <v>25</v>
      </c>
      <c r="K2731">
        <v>1666.02</v>
      </c>
    </row>
    <row r="2732" spans="1:11">
      <c r="A2732">
        <v>2731</v>
      </c>
      <c r="B2732" t="s">
        <v>141</v>
      </c>
      <c r="C2732" s="1">
        <v>24838</v>
      </c>
      <c r="D2732">
        <v>58</v>
      </c>
      <c r="E2732" t="s">
        <v>12</v>
      </c>
      <c r="F2732" t="s">
        <v>18</v>
      </c>
      <c r="G2732" s="1">
        <v>45581</v>
      </c>
      <c r="H2732" s="1">
        <v>45534</v>
      </c>
      <c r="I2732">
        <v>26</v>
      </c>
      <c r="J2732" t="s">
        <v>23</v>
      </c>
      <c r="K2732">
        <v>8415.93</v>
      </c>
    </row>
    <row r="2733" spans="1:11">
      <c r="A2733">
        <v>2732</v>
      </c>
      <c r="B2733" t="s">
        <v>149</v>
      </c>
      <c r="C2733" s="1">
        <v>17898</v>
      </c>
      <c r="D2733">
        <v>77</v>
      </c>
      <c r="F2733" t="s">
        <v>45</v>
      </c>
      <c r="G2733" s="1">
        <v>45198</v>
      </c>
      <c r="H2733" s="1">
        <v>45814</v>
      </c>
      <c r="I2733">
        <v>36</v>
      </c>
      <c r="J2733" t="s">
        <v>25</v>
      </c>
      <c r="K2733">
        <v>6514.77</v>
      </c>
    </row>
    <row r="2734" spans="1:11">
      <c r="A2734">
        <v>2733</v>
      </c>
      <c r="B2734" t="s">
        <v>112</v>
      </c>
      <c r="C2734" s="1">
        <v>13880</v>
      </c>
      <c r="D2734">
        <v>88</v>
      </c>
      <c r="E2734" t="s">
        <v>15</v>
      </c>
      <c r="G2734" s="1">
        <v>44992</v>
      </c>
      <c r="H2734" s="1">
        <v>45227</v>
      </c>
      <c r="I2734">
        <v>26</v>
      </c>
      <c r="K2734">
        <v>16285.67</v>
      </c>
    </row>
    <row r="2735" spans="1:11">
      <c r="A2735">
        <v>2734</v>
      </c>
      <c r="B2735" t="s">
        <v>81</v>
      </c>
      <c r="C2735" s="1">
        <v>38352</v>
      </c>
      <c r="D2735">
        <v>21</v>
      </c>
      <c r="E2735" t="s">
        <v>12</v>
      </c>
      <c r="F2735" t="s">
        <v>13</v>
      </c>
      <c r="G2735" s="1">
        <v>45346</v>
      </c>
      <c r="H2735" s="1">
        <v>45285</v>
      </c>
      <c r="I2735">
        <v>28</v>
      </c>
      <c r="J2735" t="s">
        <v>25</v>
      </c>
      <c r="K2735">
        <v>2113.65</v>
      </c>
    </row>
    <row r="2736" spans="1:11">
      <c r="A2736">
        <v>2735</v>
      </c>
      <c r="B2736" t="s">
        <v>89</v>
      </c>
      <c r="C2736" s="1">
        <v>35430</v>
      </c>
      <c r="D2736">
        <v>29</v>
      </c>
      <c r="E2736" t="s">
        <v>15</v>
      </c>
      <c r="F2736" t="s">
        <v>32</v>
      </c>
      <c r="G2736" s="1">
        <v>45265</v>
      </c>
      <c r="H2736" s="1">
        <v>45484</v>
      </c>
      <c r="I2736">
        <v>-1</v>
      </c>
      <c r="K2736">
        <v>13624.25</v>
      </c>
    </row>
    <row r="2737" spans="1:11">
      <c r="A2737">
        <v>2736</v>
      </c>
      <c r="B2737" t="s">
        <v>43</v>
      </c>
      <c r="C2737" s="1">
        <v>15707</v>
      </c>
      <c r="D2737">
        <v>83</v>
      </c>
      <c r="E2737" t="s">
        <v>12</v>
      </c>
      <c r="F2737" t="s">
        <v>16</v>
      </c>
      <c r="G2737" s="1">
        <v>45424</v>
      </c>
      <c r="H2737" s="1">
        <v>45692</v>
      </c>
      <c r="I2737">
        <v>3</v>
      </c>
      <c r="J2737" t="s">
        <v>23</v>
      </c>
      <c r="K2737">
        <v>8072.44</v>
      </c>
    </row>
    <row r="2738" spans="1:11">
      <c r="A2738">
        <v>2737</v>
      </c>
      <c r="B2738" t="s">
        <v>118</v>
      </c>
      <c r="C2738" s="1">
        <v>15341</v>
      </c>
      <c r="D2738">
        <v>84</v>
      </c>
      <c r="E2738" t="s">
        <v>15</v>
      </c>
      <c r="F2738" t="s">
        <v>21</v>
      </c>
      <c r="G2738" s="1">
        <v>45395</v>
      </c>
      <c r="H2738" s="1">
        <v>45380</v>
      </c>
      <c r="I2738">
        <v>6</v>
      </c>
      <c r="K2738">
        <v>11713.79</v>
      </c>
    </row>
    <row r="2739" spans="1:11">
      <c r="A2739">
        <v>2738</v>
      </c>
      <c r="B2739" t="s">
        <v>20</v>
      </c>
      <c r="C2739" s="1">
        <v>30317</v>
      </c>
      <c r="D2739">
        <v>43</v>
      </c>
      <c r="E2739" t="s">
        <v>12</v>
      </c>
      <c r="F2739" t="s">
        <v>45</v>
      </c>
      <c r="G2739" s="1">
        <v>45257</v>
      </c>
      <c r="H2739" s="1">
        <v>45812</v>
      </c>
      <c r="I2739">
        <v>12</v>
      </c>
      <c r="K2739">
        <v>4031.19</v>
      </c>
    </row>
    <row r="2740" spans="1:11">
      <c r="A2740">
        <v>2739</v>
      </c>
      <c r="B2740" t="s">
        <v>78</v>
      </c>
      <c r="C2740" s="1">
        <v>34700</v>
      </c>
      <c r="D2740">
        <v>31</v>
      </c>
      <c r="E2740" t="s">
        <v>12</v>
      </c>
      <c r="F2740" t="s">
        <v>45</v>
      </c>
      <c r="G2740" s="1">
        <v>45565</v>
      </c>
      <c r="H2740" s="1">
        <v>45490</v>
      </c>
      <c r="I2740">
        <v>17</v>
      </c>
      <c r="J2740" t="s">
        <v>23</v>
      </c>
      <c r="K2740">
        <v>12155.04</v>
      </c>
    </row>
    <row r="2741" spans="1:11">
      <c r="A2741">
        <v>2740</v>
      </c>
      <c r="B2741" t="s">
        <v>169</v>
      </c>
      <c r="C2741" s="1">
        <v>27760</v>
      </c>
      <c r="D2741">
        <v>50</v>
      </c>
      <c r="E2741" t="s">
        <v>15</v>
      </c>
      <c r="F2741" t="s">
        <v>18</v>
      </c>
      <c r="G2741" s="1">
        <v>45057</v>
      </c>
      <c r="H2741" s="1">
        <v>45433</v>
      </c>
      <c r="I2741">
        <v>-1</v>
      </c>
      <c r="J2741" t="s">
        <v>23</v>
      </c>
      <c r="K2741">
        <v>13446.95</v>
      </c>
    </row>
    <row r="2742" spans="1:11">
      <c r="A2742">
        <v>2741</v>
      </c>
      <c r="B2742" t="s">
        <v>147</v>
      </c>
      <c r="C2742" s="1">
        <v>29586</v>
      </c>
      <c r="D2742">
        <v>45</v>
      </c>
      <c r="E2742" t="s">
        <v>12</v>
      </c>
      <c r="F2742" t="s">
        <v>45</v>
      </c>
      <c r="G2742" s="1">
        <v>45456</v>
      </c>
      <c r="H2742" s="1">
        <v>44992</v>
      </c>
      <c r="I2742">
        <v>0</v>
      </c>
      <c r="K2742">
        <v>1311.65</v>
      </c>
    </row>
    <row r="2743" spans="1:11">
      <c r="A2743">
        <v>2742</v>
      </c>
      <c r="B2743" t="s">
        <v>93</v>
      </c>
      <c r="C2743" s="1">
        <v>38717</v>
      </c>
      <c r="D2743">
        <v>20</v>
      </c>
      <c r="E2743" t="s">
        <v>15</v>
      </c>
      <c r="F2743" t="s">
        <v>16</v>
      </c>
      <c r="G2743" s="1">
        <v>45645</v>
      </c>
      <c r="H2743" s="1">
        <v>45493</v>
      </c>
      <c r="I2743">
        <v>27</v>
      </c>
      <c r="J2743" t="s">
        <v>19</v>
      </c>
      <c r="K2743">
        <v>16469.32</v>
      </c>
    </row>
    <row r="2744" spans="1:11">
      <c r="A2744">
        <v>2743</v>
      </c>
      <c r="B2744" t="s">
        <v>71</v>
      </c>
      <c r="C2744" s="1">
        <v>34700</v>
      </c>
      <c r="D2744">
        <v>31</v>
      </c>
      <c r="E2744" t="s">
        <v>15</v>
      </c>
      <c r="F2744" t="s">
        <v>13</v>
      </c>
      <c r="G2744" s="1">
        <v>45527</v>
      </c>
      <c r="H2744" s="1">
        <v>45149</v>
      </c>
      <c r="I2744">
        <v>5</v>
      </c>
      <c r="J2744" t="s">
        <v>23</v>
      </c>
      <c r="K2744">
        <v>17211.21</v>
      </c>
    </row>
    <row r="2745" spans="1:11">
      <c r="A2745">
        <v>2744</v>
      </c>
      <c r="B2745" t="s">
        <v>72</v>
      </c>
      <c r="D2745">
        <v>93</v>
      </c>
      <c r="E2745" t="s">
        <v>15</v>
      </c>
      <c r="F2745" t="s">
        <v>13</v>
      </c>
      <c r="G2745" s="1">
        <v>45364</v>
      </c>
      <c r="H2745" s="1">
        <v>45393</v>
      </c>
      <c r="I2745">
        <v>37</v>
      </c>
      <c r="J2745" t="s">
        <v>23</v>
      </c>
      <c r="K2745">
        <v>1177.44</v>
      </c>
    </row>
    <row r="2746" spans="1:11">
      <c r="A2746">
        <v>2745</v>
      </c>
      <c r="B2746" t="s">
        <v>53</v>
      </c>
      <c r="C2746" s="1">
        <v>32143</v>
      </c>
      <c r="D2746">
        <v>38</v>
      </c>
      <c r="E2746" t="s">
        <v>15</v>
      </c>
      <c r="F2746" t="s">
        <v>13</v>
      </c>
      <c r="G2746" s="1">
        <v>45169</v>
      </c>
      <c r="H2746" s="1">
        <v>44999</v>
      </c>
      <c r="I2746">
        <v>18</v>
      </c>
      <c r="J2746" t="s">
        <v>19</v>
      </c>
      <c r="K2746">
        <v>12024.07</v>
      </c>
    </row>
    <row r="2747" spans="1:11">
      <c r="A2747">
        <v>2746</v>
      </c>
      <c r="B2747" t="s">
        <v>149</v>
      </c>
      <c r="C2747" s="1">
        <v>42005</v>
      </c>
      <c r="D2747">
        <v>11</v>
      </c>
      <c r="E2747" t="s">
        <v>15</v>
      </c>
      <c r="F2747" t="s">
        <v>32</v>
      </c>
      <c r="G2747" s="1">
        <v>45389</v>
      </c>
      <c r="H2747" s="1">
        <v>45815</v>
      </c>
      <c r="I2747">
        <v>36</v>
      </c>
      <c r="J2747" t="s">
        <v>25</v>
      </c>
      <c r="K2747">
        <v>11839.63</v>
      </c>
    </row>
    <row r="2748" spans="1:11">
      <c r="A2748">
        <v>2747</v>
      </c>
      <c r="B2748" t="s">
        <v>88</v>
      </c>
      <c r="C2748" s="1">
        <v>29221</v>
      </c>
      <c r="D2748">
        <v>46</v>
      </c>
      <c r="E2748" t="s">
        <v>15</v>
      </c>
      <c r="F2748" t="s">
        <v>32</v>
      </c>
      <c r="G2748" s="1">
        <v>45276</v>
      </c>
      <c r="H2748" s="1">
        <v>45401</v>
      </c>
      <c r="I2748">
        <v>10</v>
      </c>
      <c r="J2748" t="s">
        <v>19</v>
      </c>
      <c r="K2748">
        <v>150.41</v>
      </c>
    </row>
    <row r="2749" spans="1:11">
      <c r="A2749">
        <v>2748</v>
      </c>
      <c r="B2749" t="s">
        <v>151</v>
      </c>
      <c r="D2749">
        <v>17</v>
      </c>
      <c r="E2749" t="s">
        <v>15</v>
      </c>
      <c r="F2749" t="s">
        <v>45</v>
      </c>
      <c r="G2749" s="1">
        <v>44943</v>
      </c>
      <c r="H2749" s="1">
        <v>45607</v>
      </c>
      <c r="I2749">
        <v>37</v>
      </c>
      <c r="J2749" t="s">
        <v>25</v>
      </c>
      <c r="K2749">
        <v>6781.16</v>
      </c>
    </row>
    <row r="2750" spans="1:11">
      <c r="A2750">
        <v>2749</v>
      </c>
      <c r="B2750" t="s">
        <v>74</v>
      </c>
      <c r="C2750" s="1">
        <v>38717</v>
      </c>
      <c r="D2750">
        <v>20</v>
      </c>
      <c r="E2750" t="s">
        <v>15</v>
      </c>
      <c r="G2750" s="1">
        <v>45392</v>
      </c>
      <c r="H2750" s="1">
        <v>45625</v>
      </c>
      <c r="I2750">
        <v>38</v>
      </c>
      <c r="J2750" t="s">
        <v>19</v>
      </c>
      <c r="K2750">
        <v>19375.41</v>
      </c>
    </row>
    <row r="2751" spans="1:11">
      <c r="A2751">
        <v>2750</v>
      </c>
      <c r="B2751" t="s">
        <v>134</v>
      </c>
      <c r="C2751" s="1">
        <v>41639</v>
      </c>
      <c r="D2751">
        <v>12</v>
      </c>
      <c r="E2751" t="s">
        <v>12</v>
      </c>
      <c r="F2751" t="s">
        <v>32</v>
      </c>
      <c r="G2751" s="1">
        <v>45289</v>
      </c>
      <c r="H2751" s="1">
        <v>45582</v>
      </c>
      <c r="I2751">
        <v>34</v>
      </c>
      <c r="K2751">
        <v>11064.56</v>
      </c>
    </row>
    <row r="2752" spans="1:11">
      <c r="A2752">
        <v>2751</v>
      </c>
      <c r="B2752" t="s">
        <v>157</v>
      </c>
      <c r="C2752" s="1">
        <v>38717</v>
      </c>
      <c r="D2752">
        <v>20</v>
      </c>
      <c r="E2752" t="s">
        <v>12</v>
      </c>
      <c r="G2752" s="1">
        <v>45136</v>
      </c>
      <c r="H2752" s="1">
        <v>44946</v>
      </c>
      <c r="I2752">
        <v>29</v>
      </c>
      <c r="J2752" t="s">
        <v>23</v>
      </c>
      <c r="K2752">
        <v>18657.560000000001</v>
      </c>
    </row>
    <row r="2753" spans="1:11">
      <c r="A2753">
        <v>2752</v>
      </c>
      <c r="B2753" t="s">
        <v>166</v>
      </c>
      <c r="C2753" s="1">
        <v>43466</v>
      </c>
      <c r="D2753">
        <v>7</v>
      </c>
      <c r="E2753" t="s">
        <v>15</v>
      </c>
      <c r="G2753" s="1">
        <v>45537</v>
      </c>
      <c r="H2753" s="1">
        <v>45449</v>
      </c>
      <c r="I2753">
        <v>11</v>
      </c>
      <c r="J2753" t="s">
        <v>19</v>
      </c>
      <c r="K2753">
        <v>13480.46</v>
      </c>
    </row>
    <row r="2754" spans="1:11">
      <c r="A2754">
        <v>2753</v>
      </c>
      <c r="B2754" t="s">
        <v>128</v>
      </c>
      <c r="C2754" s="1">
        <v>29586</v>
      </c>
      <c r="D2754">
        <v>45</v>
      </c>
      <c r="E2754" t="s">
        <v>15</v>
      </c>
      <c r="F2754" t="s">
        <v>32</v>
      </c>
      <c r="G2754" s="1">
        <v>45451</v>
      </c>
      <c r="H2754" s="1">
        <v>45711</v>
      </c>
      <c r="I2754">
        <v>-2</v>
      </c>
      <c r="J2754" t="s">
        <v>23</v>
      </c>
      <c r="K2754">
        <v>470.65</v>
      </c>
    </row>
    <row r="2755" spans="1:11">
      <c r="A2755">
        <v>2754</v>
      </c>
      <c r="B2755" t="s">
        <v>29</v>
      </c>
      <c r="C2755" s="1">
        <v>43831</v>
      </c>
      <c r="D2755">
        <v>6</v>
      </c>
      <c r="E2755" t="s">
        <v>15</v>
      </c>
      <c r="F2755" t="s">
        <v>18</v>
      </c>
      <c r="G2755" s="1">
        <v>45625</v>
      </c>
      <c r="H2755" s="1">
        <v>45610</v>
      </c>
      <c r="I2755">
        <v>24</v>
      </c>
      <c r="J2755" t="s">
        <v>25</v>
      </c>
      <c r="K2755">
        <v>1462.04</v>
      </c>
    </row>
    <row r="2756" spans="1:11">
      <c r="A2756">
        <v>2755</v>
      </c>
      <c r="B2756" t="s">
        <v>151</v>
      </c>
      <c r="C2756" s="1">
        <v>37987</v>
      </c>
      <c r="E2756" t="s">
        <v>12</v>
      </c>
      <c r="F2756" t="s">
        <v>32</v>
      </c>
      <c r="G2756" s="1">
        <v>45346</v>
      </c>
      <c r="H2756" s="1">
        <v>45342</v>
      </c>
      <c r="I2756">
        <v>21</v>
      </c>
      <c r="K2756">
        <v>14415.8</v>
      </c>
    </row>
    <row r="2757" spans="1:11">
      <c r="A2757">
        <v>2756</v>
      </c>
      <c r="B2757" t="s">
        <v>42</v>
      </c>
      <c r="C2757" s="1">
        <v>18994</v>
      </c>
      <c r="D2757">
        <v>74</v>
      </c>
      <c r="E2757" t="s">
        <v>12</v>
      </c>
      <c r="F2757" t="s">
        <v>21</v>
      </c>
      <c r="G2757" s="1">
        <v>45059</v>
      </c>
      <c r="H2757" s="1">
        <v>45291</v>
      </c>
      <c r="I2757">
        <v>19</v>
      </c>
      <c r="J2757" t="s">
        <v>23</v>
      </c>
      <c r="K2757">
        <v>11046.81</v>
      </c>
    </row>
    <row r="2758" spans="1:11">
      <c r="A2758">
        <v>2757</v>
      </c>
      <c r="B2758" t="s">
        <v>110</v>
      </c>
      <c r="C2758" s="1">
        <v>14976</v>
      </c>
      <c r="D2758">
        <v>85</v>
      </c>
      <c r="E2758" t="s">
        <v>15</v>
      </c>
      <c r="F2758" t="s">
        <v>21</v>
      </c>
      <c r="G2758" s="1">
        <v>44940</v>
      </c>
      <c r="H2758" s="1">
        <v>45455</v>
      </c>
      <c r="I2758">
        <v>11</v>
      </c>
      <c r="J2758" t="s">
        <v>19</v>
      </c>
      <c r="K2758">
        <v>2455.75</v>
      </c>
    </row>
    <row r="2759" spans="1:11">
      <c r="A2759">
        <v>2758</v>
      </c>
      <c r="B2759" t="s">
        <v>152</v>
      </c>
      <c r="C2759" s="1">
        <v>38352</v>
      </c>
      <c r="D2759">
        <v>21</v>
      </c>
      <c r="E2759" t="s">
        <v>15</v>
      </c>
      <c r="G2759" s="1">
        <v>44970</v>
      </c>
      <c r="H2759" s="1">
        <v>45007</v>
      </c>
      <c r="I2759">
        <v>5</v>
      </c>
      <c r="J2759" t="s">
        <v>19</v>
      </c>
      <c r="K2759">
        <v>12242.66</v>
      </c>
    </row>
    <row r="2760" spans="1:11">
      <c r="A2760">
        <v>2759</v>
      </c>
      <c r="B2760" t="s">
        <v>77</v>
      </c>
      <c r="C2760" s="1">
        <v>13880</v>
      </c>
      <c r="D2760">
        <v>88</v>
      </c>
      <c r="E2760" t="s">
        <v>15</v>
      </c>
      <c r="F2760" t="s">
        <v>21</v>
      </c>
      <c r="G2760" s="1">
        <v>45303</v>
      </c>
      <c r="H2760" s="1">
        <v>45723</v>
      </c>
      <c r="I2760">
        <v>24</v>
      </c>
      <c r="K2760">
        <v>16186.78</v>
      </c>
    </row>
    <row r="2761" spans="1:11">
      <c r="A2761">
        <v>2760</v>
      </c>
      <c r="B2761" t="s">
        <v>50</v>
      </c>
      <c r="D2761">
        <v>21</v>
      </c>
      <c r="E2761" t="s">
        <v>15</v>
      </c>
      <c r="F2761" t="s">
        <v>45</v>
      </c>
      <c r="G2761" s="1">
        <v>45221</v>
      </c>
      <c r="H2761" s="1">
        <v>45117</v>
      </c>
      <c r="I2761">
        <v>0</v>
      </c>
      <c r="J2761" t="s">
        <v>25</v>
      </c>
      <c r="K2761">
        <v>15034.95</v>
      </c>
    </row>
    <row r="2762" spans="1:11">
      <c r="A2762">
        <v>2761</v>
      </c>
      <c r="B2762" t="s">
        <v>118</v>
      </c>
      <c r="C2762" s="1">
        <v>12785</v>
      </c>
      <c r="D2762">
        <v>91</v>
      </c>
      <c r="E2762" t="s">
        <v>12</v>
      </c>
      <c r="F2762" t="s">
        <v>13</v>
      </c>
      <c r="G2762" s="1">
        <v>45322</v>
      </c>
      <c r="H2762" s="1">
        <v>45075</v>
      </c>
      <c r="I2762">
        <v>30</v>
      </c>
      <c r="K2762">
        <v>4847.87</v>
      </c>
    </row>
    <row r="2763" spans="1:11">
      <c r="A2763">
        <v>2762</v>
      </c>
      <c r="B2763" t="s">
        <v>109</v>
      </c>
      <c r="C2763" s="1">
        <v>35795</v>
      </c>
      <c r="D2763">
        <v>28</v>
      </c>
      <c r="E2763" t="s">
        <v>12</v>
      </c>
      <c r="F2763" t="s">
        <v>18</v>
      </c>
      <c r="G2763" s="1">
        <v>45030</v>
      </c>
      <c r="H2763" s="1">
        <v>45602</v>
      </c>
      <c r="I2763">
        <v>18</v>
      </c>
      <c r="K2763">
        <v>5089.72</v>
      </c>
    </row>
    <row r="2764" spans="1:11">
      <c r="A2764">
        <v>2763</v>
      </c>
      <c r="B2764" t="s">
        <v>68</v>
      </c>
      <c r="C2764" s="1">
        <v>41639</v>
      </c>
      <c r="D2764">
        <v>12</v>
      </c>
      <c r="E2764" t="s">
        <v>15</v>
      </c>
      <c r="F2764" t="s">
        <v>45</v>
      </c>
      <c r="G2764" s="1">
        <v>45371</v>
      </c>
      <c r="H2764" s="1">
        <v>45370</v>
      </c>
      <c r="I2764">
        <v>29</v>
      </c>
      <c r="J2764" t="s">
        <v>23</v>
      </c>
      <c r="K2764">
        <v>19353.54</v>
      </c>
    </row>
    <row r="2765" spans="1:11">
      <c r="A2765">
        <v>2764</v>
      </c>
      <c r="B2765" t="s">
        <v>29</v>
      </c>
      <c r="C2765" s="1">
        <v>16437</v>
      </c>
      <c r="D2765">
        <v>81</v>
      </c>
      <c r="E2765" t="s">
        <v>12</v>
      </c>
      <c r="F2765" t="s">
        <v>13</v>
      </c>
      <c r="G2765" s="1">
        <v>44988</v>
      </c>
      <c r="H2765" s="1">
        <v>45192</v>
      </c>
      <c r="I2765">
        <v>37</v>
      </c>
      <c r="J2765" t="s">
        <v>25</v>
      </c>
      <c r="K2765">
        <v>17736.84</v>
      </c>
    </row>
    <row r="2766" spans="1:11">
      <c r="A2766">
        <v>2765</v>
      </c>
      <c r="B2766" t="s">
        <v>169</v>
      </c>
      <c r="C2766" s="1">
        <v>45657</v>
      </c>
      <c r="D2766">
        <v>1</v>
      </c>
      <c r="E2766" t="s">
        <v>15</v>
      </c>
      <c r="F2766" t="s">
        <v>18</v>
      </c>
      <c r="G2766" s="1">
        <v>45491</v>
      </c>
      <c r="H2766" s="1">
        <v>45799</v>
      </c>
      <c r="I2766">
        <v>38</v>
      </c>
      <c r="K2766">
        <v>6298.58</v>
      </c>
    </row>
    <row r="2767" spans="1:11">
      <c r="A2767">
        <v>2766</v>
      </c>
      <c r="B2767" t="s">
        <v>137</v>
      </c>
      <c r="C2767" s="1">
        <v>35795</v>
      </c>
      <c r="D2767">
        <v>28</v>
      </c>
      <c r="E2767" t="s">
        <v>15</v>
      </c>
      <c r="G2767" s="1">
        <v>45338</v>
      </c>
      <c r="H2767" s="1">
        <v>45577</v>
      </c>
      <c r="I2767">
        <v>38</v>
      </c>
      <c r="J2767" t="s">
        <v>23</v>
      </c>
      <c r="K2767">
        <v>16463.5</v>
      </c>
    </row>
    <row r="2768" spans="1:11">
      <c r="A2768">
        <v>2767</v>
      </c>
      <c r="B2768" t="s">
        <v>161</v>
      </c>
      <c r="C2768" s="1">
        <v>15341</v>
      </c>
      <c r="D2768">
        <v>84</v>
      </c>
      <c r="E2768" t="s">
        <v>12</v>
      </c>
      <c r="F2768" t="s">
        <v>18</v>
      </c>
      <c r="G2768" s="1">
        <v>45556</v>
      </c>
      <c r="H2768" s="1">
        <v>45436</v>
      </c>
      <c r="I2768">
        <v>29</v>
      </c>
      <c r="J2768" t="s">
        <v>23</v>
      </c>
      <c r="K2768">
        <v>3150.94</v>
      </c>
    </row>
    <row r="2769" spans="1:11">
      <c r="A2769">
        <v>2768</v>
      </c>
      <c r="B2769" t="s">
        <v>149</v>
      </c>
      <c r="C2769" s="1">
        <v>17533</v>
      </c>
      <c r="D2769">
        <v>78</v>
      </c>
      <c r="E2769" t="s">
        <v>12</v>
      </c>
      <c r="F2769" t="s">
        <v>18</v>
      </c>
      <c r="G2769" s="1">
        <v>45247</v>
      </c>
      <c r="H2769" s="1">
        <v>45228</v>
      </c>
      <c r="I2769">
        <v>21</v>
      </c>
      <c r="J2769" t="s">
        <v>25</v>
      </c>
      <c r="K2769">
        <v>3856.51</v>
      </c>
    </row>
    <row r="2770" spans="1:11">
      <c r="A2770">
        <v>2769</v>
      </c>
      <c r="B2770" t="s">
        <v>107</v>
      </c>
      <c r="C2770" s="1">
        <v>27395</v>
      </c>
      <c r="D2770">
        <v>51</v>
      </c>
      <c r="E2770" t="s">
        <v>15</v>
      </c>
      <c r="F2770" t="s">
        <v>21</v>
      </c>
      <c r="G2770" s="1">
        <v>45057</v>
      </c>
      <c r="H2770" s="1">
        <v>45393</v>
      </c>
      <c r="I2770">
        <v>8</v>
      </c>
      <c r="J2770" t="s">
        <v>25</v>
      </c>
      <c r="K2770">
        <v>3542.04</v>
      </c>
    </row>
    <row r="2771" spans="1:11">
      <c r="A2771">
        <v>2770</v>
      </c>
      <c r="B2771" t="s">
        <v>92</v>
      </c>
      <c r="C2771" s="1">
        <v>36526</v>
      </c>
      <c r="D2771">
        <v>26</v>
      </c>
      <c r="E2771" t="s">
        <v>15</v>
      </c>
      <c r="F2771" t="s">
        <v>21</v>
      </c>
      <c r="G2771" s="1">
        <v>45125</v>
      </c>
      <c r="H2771" s="1">
        <v>45292</v>
      </c>
      <c r="I2771">
        <v>34</v>
      </c>
      <c r="J2771" t="s">
        <v>23</v>
      </c>
      <c r="K2771">
        <v>1663.19</v>
      </c>
    </row>
    <row r="2772" spans="1:11">
      <c r="A2772">
        <v>2771</v>
      </c>
      <c r="B2772" t="s">
        <v>147</v>
      </c>
      <c r="C2772" s="1">
        <v>28125</v>
      </c>
      <c r="D2772">
        <v>49</v>
      </c>
      <c r="E2772" t="s">
        <v>12</v>
      </c>
      <c r="F2772" t="s">
        <v>21</v>
      </c>
      <c r="G2772" s="1">
        <v>44962</v>
      </c>
      <c r="H2772" s="1">
        <v>45326</v>
      </c>
      <c r="I2772">
        <v>18</v>
      </c>
      <c r="J2772" t="s">
        <v>25</v>
      </c>
      <c r="K2772">
        <v>17079.03</v>
      </c>
    </row>
    <row r="2773" spans="1:11">
      <c r="A2773">
        <v>2772</v>
      </c>
      <c r="B2773" t="s">
        <v>113</v>
      </c>
      <c r="C2773" s="1">
        <v>11689</v>
      </c>
      <c r="D2773">
        <v>94</v>
      </c>
      <c r="E2773" t="s">
        <v>12</v>
      </c>
      <c r="F2773" t="s">
        <v>18</v>
      </c>
      <c r="G2773" s="1">
        <v>45142</v>
      </c>
      <c r="H2773" s="1">
        <v>45420</v>
      </c>
      <c r="I2773">
        <v>15</v>
      </c>
      <c r="J2773" t="s">
        <v>23</v>
      </c>
      <c r="K2773">
        <v>11534.02</v>
      </c>
    </row>
    <row r="2774" spans="1:11">
      <c r="A2774">
        <v>2773</v>
      </c>
      <c r="B2774" t="s">
        <v>155</v>
      </c>
      <c r="C2774" s="1">
        <v>17533</v>
      </c>
      <c r="D2774">
        <v>78</v>
      </c>
      <c r="E2774" t="s">
        <v>15</v>
      </c>
      <c r="F2774" t="s">
        <v>16</v>
      </c>
      <c r="G2774" s="1">
        <v>45512</v>
      </c>
      <c r="H2774" s="1">
        <v>45469</v>
      </c>
      <c r="I2774">
        <v>8</v>
      </c>
      <c r="J2774" t="s">
        <v>25</v>
      </c>
      <c r="K2774">
        <v>5105.0200000000004</v>
      </c>
    </row>
    <row r="2775" spans="1:11">
      <c r="A2775">
        <v>2774</v>
      </c>
      <c r="B2775" t="s">
        <v>109</v>
      </c>
      <c r="C2775" s="1">
        <v>37987</v>
      </c>
      <c r="D2775">
        <v>22</v>
      </c>
      <c r="E2775" t="s">
        <v>15</v>
      </c>
      <c r="F2775" t="s">
        <v>18</v>
      </c>
      <c r="G2775" s="1">
        <v>45232</v>
      </c>
      <c r="H2775" s="1">
        <v>45743</v>
      </c>
      <c r="I2775">
        <v>24</v>
      </c>
      <c r="J2775" t="s">
        <v>25</v>
      </c>
      <c r="K2775">
        <v>16957.97</v>
      </c>
    </row>
    <row r="2776" spans="1:11">
      <c r="A2776">
        <v>2775</v>
      </c>
      <c r="B2776" t="s">
        <v>72</v>
      </c>
      <c r="C2776" s="1">
        <v>14246</v>
      </c>
      <c r="D2776">
        <v>87</v>
      </c>
      <c r="E2776" t="s">
        <v>15</v>
      </c>
      <c r="F2776" t="s">
        <v>21</v>
      </c>
      <c r="G2776" s="1">
        <v>45493</v>
      </c>
      <c r="H2776" s="1">
        <v>45407</v>
      </c>
      <c r="I2776">
        <v>35</v>
      </c>
      <c r="J2776" t="s">
        <v>25</v>
      </c>
      <c r="K2776">
        <v>16033.2</v>
      </c>
    </row>
    <row r="2777" spans="1:11">
      <c r="A2777">
        <v>2776</v>
      </c>
      <c r="B2777" t="s">
        <v>95</v>
      </c>
      <c r="C2777" s="1">
        <v>30317</v>
      </c>
      <c r="D2777">
        <v>43</v>
      </c>
      <c r="E2777" t="s">
        <v>12</v>
      </c>
      <c r="F2777" t="s">
        <v>18</v>
      </c>
      <c r="G2777" s="1">
        <v>44938</v>
      </c>
      <c r="H2777" s="1">
        <v>45095</v>
      </c>
      <c r="I2777">
        <v>-2</v>
      </c>
      <c r="J2777" t="s">
        <v>19</v>
      </c>
      <c r="K2777">
        <v>1929.13</v>
      </c>
    </row>
    <row r="2778" spans="1:11">
      <c r="A2778">
        <v>2777</v>
      </c>
      <c r="B2778" t="s">
        <v>91</v>
      </c>
      <c r="C2778" s="1">
        <v>18263</v>
      </c>
      <c r="D2778">
        <v>76</v>
      </c>
      <c r="E2778" t="s">
        <v>12</v>
      </c>
      <c r="F2778" t="s">
        <v>21</v>
      </c>
      <c r="G2778" s="1">
        <v>45009</v>
      </c>
      <c r="H2778" s="1">
        <v>45530</v>
      </c>
      <c r="I2778">
        <v>26</v>
      </c>
      <c r="J2778" t="s">
        <v>25</v>
      </c>
      <c r="K2778">
        <v>12847.2</v>
      </c>
    </row>
    <row r="2779" spans="1:11">
      <c r="A2779">
        <v>2778</v>
      </c>
      <c r="B2779" t="s">
        <v>87</v>
      </c>
      <c r="C2779" s="1">
        <v>38352</v>
      </c>
      <c r="D2779">
        <v>21</v>
      </c>
      <c r="E2779" t="s">
        <v>15</v>
      </c>
      <c r="F2779" t="s">
        <v>21</v>
      </c>
      <c r="G2779" s="1">
        <v>44958</v>
      </c>
      <c r="H2779" s="1">
        <v>45018</v>
      </c>
      <c r="I2779">
        <v>18</v>
      </c>
      <c r="J2779" t="s">
        <v>19</v>
      </c>
      <c r="K2779">
        <v>14408.86</v>
      </c>
    </row>
    <row r="2780" spans="1:11">
      <c r="A2780">
        <v>2779</v>
      </c>
      <c r="B2780" t="s">
        <v>20</v>
      </c>
      <c r="C2780" s="1">
        <v>30682</v>
      </c>
      <c r="D2780">
        <v>42</v>
      </c>
      <c r="E2780" t="s">
        <v>12</v>
      </c>
      <c r="F2780" t="s">
        <v>21</v>
      </c>
      <c r="G2780" s="1">
        <v>45334</v>
      </c>
      <c r="H2780" s="1">
        <v>45650</v>
      </c>
      <c r="I2780">
        <v>26</v>
      </c>
      <c r="J2780" t="s">
        <v>23</v>
      </c>
      <c r="K2780">
        <v>14288.13</v>
      </c>
    </row>
    <row r="2781" spans="1:11">
      <c r="A2781">
        <v>2780</v>
      </c>
      <c r="B2781" t="s">
        <v>61</v>
      </c>
      <c r="C2781" s="1">
        <v>32873</v>
      </c>
      <c r="E2781" t="s">
        <v>12</v>
      </c>
      <c r="G2781" s="1">
        <v>45012</v>
      </c>
      <c r="H2781" s="1">
        <v>45769</v>
      </c>
      <c r="I2781">
        <v>6</v>
      </c>
      <c r="K2781">
        <v>14435.17</v>
      </c>
    </row>
    <row r="2782" spans="1:11">
      <c r="A2782">
        <v>2781</v>
      </c>
      <c r="B2782" t="s">
        <v>76</v>
      </c>
      <c r="C2782" s="1">
        <v>24107</v>
      </c>
      <c r="D2782">
        <v>60</v>
      </c>
      <c r="E2782" t="s">
        <v>15</v>
      </c>
      <c r="G2782" s="1">
        <v>45337</v>
      </c>
      <c r="H2782" s="1">
        <v>45227</v>
      </c>
      <c r="I2782">
        <v>4</v>
      </c>
      <c r="K2782">
        <v>3306.1</v>
      </c>
    </row>
    <row r="2783" spans="1:11">
      <c r="A2783">
        <v>2782</v>
      </c>
      <c r="B2783" t="s">
        <v>71</v>
      </c>
      <c r="C2783" s="1">
        <v>25934</v>
      </c>
      <c r="D2783">
        <v>55</v>
      </c>
      <c r="E2783" t="s">
        <v>15</v>
      </c>
      <c r="F2783" t="s">
        <v>16</v>
      </c>
      <c r="G2783" s="1">
        <v>45639</v>
      </c>
      <c r="H2783" s="1">
        <v>45101</v>
      </c>
      <c r="I2783">
        <v>35</v>
      </c>
      <c r="K2783">
        <v>6233.24</v>
      </c>
    </row>
    <row r="2784" spans="1:11">
      <c r="A2784">
        <v>2783</v>
      </c>
      <c r="B2784" t="s">
        <v>106</v>
      </c>
      <c r="C2784" s="1">
        <v>45292</v>
      </c>
      <c r="D2784">
        <v>2</v>
      </c>
      <c r="E2784" t="s">
        <v>12</v>
      </c>
      <c r="F2784" t="s">
        <v>13</v>
      </c>
      <c r="G2784" s="1">
        <v>45489</v>
      </c>
      <c r="H2784" s="1">
        <v>45573</v>
      </c>
      <c r="I2784">
        <v>28</v>
      </c>
      <c r="J2784" t="s">
        <v>23</v>
      </c>
      <c r="K2784">
        <v>16867.990000000002</v>
      </c>
    </row>
    <row r="2785" spans="1:11">
      <c r="A2785">
        <v>2784</v>
      </c>
      <c r="B2785" t="s">
        <v>125</v>
      </c>
      <c r="C2785" s="1">
        <v>23377</v>
      </c>
      <c r="D2785">
        <v>62</v>
      </c>
      <c r="E2785" t="s">
        <v>12</v>
      </c>
      <c r="F2785" t="s">
        <v>18</v>
      </c>
      <c r="G2785" s="1">
        <v>45182</v>
      </c>
      <c r="H2785" s="1">
        <v>45300</v>
      </c>
      <c r="I2785">
        <v>24</v>
      </c>
      <c r="J2785" t="s">
        <v>25</v>
      </c>
      <c r="K2785">
        <v>17957.669999999998</v>
      </c>
    </row>
    <row r="2786" spans="1:11">
      <c r="A2786">
        <v>2785</v>
      </c>
      <c r="B2786" t="s">
        <v>31</v>
      </c>
      <c r="C2786" s="1">
        <v>39448</v>
      </c>
      <c r="D2786">
        <v>18</v>
      </c>
      <c r="E2786" t="s">
        <v>12</v>
      </c>
      <c r="F2786" t="s">
        <v>45</v>
      </c>
      <c r="G2786" s="1">
        <v>45167</v>
      </c>
      <c r="H2786" s="1">
        <v>44951</v>
      </c>
      <c r="I2786">
        <v>39</v>
      </c>
      <c r="J2786" t="s">
        <v>19</v>
      </c>
      <c r="K2786">
        <v>5511.7</v>
      </c>
    </row>
    <row r="2787" spans="1:11">
      <c r="A2787">
        <v>2786</v>
      </c>
      <c r="B2787" t="s">
        <v>84</v>
      </c>
      <c r="C2787" s="1">
        <v>37987</v>
      </c>
      <c r="D2787">
        <v>22</v>
      </c>
      <c r="E2787" t="s">
        <v>12</v>
      </c>
      <c r="F2787" t="s">
        <v>21</v>
      </c>
      <c r="G2787" s="1">
        <v>45643</v>
      </c>
      <c r="H2787" s="1">
        <v>45128</v>
      </c>
      <c r="I2787">
        <v>29</v>
      </c>
      <c r="J2787" t="s">
        <v>23</v>
      </c>
      <c r="K2787">
        <v>362.69</v>
      </c>
    </row>
    <row r="2788" spans="1:11">
      <c r="A2788">
        <v>2787</v>
      </c>
      <c r="B2788" t="s">
        <v>49</v>
      </c>
      <c r="C2788" s="1">
        <v>35795</v>
      </c>
      <c r="D2788">
        <v>28</v>
      </c>
      <c r="E2788" t="s">
        <v>15</v>
      </c>
      <c r="F2788" t="s">
        <v>16</v>
      </c>
      <c r="G2788" s="1">
        <v>45634</v>
      </c>
      <c r="H2788" s="1">
        <v>45658</v>
      </c>
      <c r="I2788">
        <v>2</v>
      </c>
      <c r="K2788">
        <v>17181.32</v>
      </c>
    </row>
    <row r="2789" spans="1:11">
      <c r="A2789">
        <v>2788</v>
      </c>
      <c r="B2789" t="s">
        <v>128</v>
      </c>
      <c r="C2789" s="1">
        <v>35430</v>
      </c>
      <c r="D2789">
        <v>29</v>
      </c>
      <c r="E2789" t="s">
        <v>15</v>
      </c>
      <c r="F2789" t="s">
        <v>45</v>
      </c>
      <c r="G2789" s="1">
        <v>45378</v>
      </c>
      <c r="H2789" s="1">
        <v>44934</v>
      </c>
      <c r="I2789">
        <v>30</v>
      </c>
      <c r="K2789">
        <v>7479.55</v>
      </c>
    </row>
    <row r="2790" spans="1:11">
      <c r="A2790">
        <v>2789</v>
      </c>
      <c r="B2790" t="s">
        <v>20</v>
      </c>
      <c r="C2790" s="1">
        <v>32143</v>
      </c>
      <c r="D2790">
        <v>38</v>
      </c>
      <c r="E2790" t="s">
        <v>12</v>
      </c>
      <c r="G2790" s="1">
        <v>44927</v>
      </c>
      <c r="H2790" s="1">
        <v>44933</v>
      </c>
      <c r="I2790">
        <v>12</v>
      </c>
      <c r="K2790">
        <v>6522.22</v>
      </c>
    </row>
    <row r="2791" spans="1:11">
      <c r="A2791">
        <v>2790</v>
      </c>
      <c r="B2791" t="s">
        <v>61</v>
      </c>
      <c r="C2791" s="1">
        <v>37256</v>
      </c>
      <c r="D2791">
        <v>24</v>
      </c>
      <c r="E2791" t="s">
        <v>15</v>
      </c>
      <c r="F2791" t="s">
        <v>13</v>
      </c>
      <c r="G2791" s="1">
        <v>45527</v>
      </c>
      <c r="H2791" s="1">
        <v>45557</v>
      </c>
      <c r="I2791">
        <v>2</v>
      </c>
      <c r="K2791">
        <v>6874.69</v>
      </c>
    </row>
    <row r="2792" spans="1:11">
      <c r="A2792">
        <v>2791</v>
      </c>
      <c r="B2792" t="s">
        <v>58</v>
      </c>
      <c r="C2792" s="1">
        <v>43466</v>
      </c>
      <c r="D2792">
        <v>7</v>
      </c>
      <c r="E2792" t="s">
        <v>12</v>
      </c>
      <c r="F2792" t="s">
        <v>18</v>
      </c>
      <c r="G2792" s="1">
        <v>45208</v>
      </c>
      <c r="H2792" s="1">
        <v>45088</v>
      </c>
      <c r="I2792">
        <v>17</v>
      </c>
      <c r="J2792" t="s">
        <v>19</v>
      </c>
      <c r="K2792">
        <v>8255.5</v>
      </c>
    </row>
    <row r="2793" spans="1:11">
      <c r="A2793">
        <v>2792</v>
      </c>
      <c r="B2793" t="s">
        <v>29</v>
      </c>
      <c r="C2793" s="1">
        <v>25203</v>
      </c>
      <c r="D2793">
        <v>57</v>
      </c>
      <c r="E2793" t="s">
        <v>12</v>
      </c>
      <c r="G2793" s="1">
        <v>45577</v>
      </c>
      <c r="H2793" s="1">
        <v>45524</v>
      </c>
      <c r="I2793">
        <v>35</v>
      </c>
      <c r="K2793">
        <v>7503.16</v>
      </c>
    </row>
    <row r="2794" spans="1:11">
      <c r="A2794">
        <v>2793</v>
      </c>
      <c r="B2794" t="s">
        <v>26</v>
      </c>
      <c r="C2794" s="1">
        <v>40544</v>
      </c>
      <c r="D2794">
        <v>15</v>
      </c>
      <c r="E2794" t="s">
        <v>12</v>
      </c>
      <c r="F2794" t="s">
        <v>16</v>
      </c>
      <c r="G2794" s="1">
        <v>45525</v>
      </c>
      <c r="H2794" s="1">
        <v>45805</v>
      </c>
      <c r="I2794">
        <v>34</v>
      </c>
      <c r="J2794" t="s">
        <v>19</v>
      </c>
      <c r="K2794">
        <v>11285.26</v>
      </c>
    </row>
    <row r="2795" spans="1:11">
      <c r="A2795">
        <v>2794</v>
      </c>
      <c r="B2795" t="s">
        <v>104</v>
      </c>
      <c r="C2795" s="1">
        <v>20090</v>
      </c>
      <c r="D2795">
        <v>71</v>
      </c>
      <c r="E2795" t="s">
        <v>15</v>
      </c>
      <c r="F2795" t="s">
        <v>21</v>
      </c>
      <c r="G2795" s="1">
        <v>45440</v>
      </c>
      <c r="H2795" s="1">
        <v>45175</v>
      </c>
      <c r="I2795">
        <v>14</v>
      </c>
      <c r="K2795">
        <v>1486.7</v>
      </c>
    </row>
    <row r="2796" spans="1:11">
      <c r="A2796">
        <v>2795</v>
      </c>
      <c r="B2796" t="s">
        <v>46</v>
      </c>
      <c r="C2796" s="1">
        <v>46022</v>
      </c>
      <c r="E2796" t="s">
        <v>12</v>
      </c>
      <c r="F2796" t="s">
        <v>21</v>
      </c>
      <c r="G2796" s="1">
        <v>45606</v>
      </c>
      <c r="H2796" s="1">
        <v>45093</v>
      </c>
      <c r="I2796">
        <v>1</v>
      </c>
      <c r="J2796" t="s">
        <v>23</v>
      </c>
      <c r="K2796">
        <v>19427.96</v>
      </c>
    </row>
    <row r="2797" spans="1:11">
      <c r="A2797">
        <v>2796</v>
      </c>
      <c r="B2797" t="s">
        <v>65</v>
      </c>
      <c r="C2797" s="1">
        <v>44561</v>
      </c>
      <c r="D2797">
        <v>4</v>
      </c>
      <c r="E2797" t="s">
        <v>12</v>
      </c>
      <c r="F2797" t="s">
        <v>21</v>
      </c>
      <c r="G2797" s="1">
        <v>45045</v>
      </c>
      <c r="H2797" s="1">
        <v>45355</v>
      </c>
      <c r="I2797">
        <v>18</v>
      </c>
      <c r="J2797" t="s">
        <v>19</v>
      </c>
      <c r="K2797">
        <v>18722.669999999998</v>
      </c>
    </row>
    <row r="2798" spans="1:11">
      <c r="A2798">
        <v>2797</v>
      </c>
      <c r="B2798" t="s">
        <v>132</v>
      </c>
      <c r="C2798" s="1">
        <v>45292</v>
      </c>
      <c r="D2798">
        <v>2</v>
      </c>
      <c r="E2798" t="s">
        <v>12</v>
      </c>
      <c r="F2798" t="s">
        <v>16</v>
      </c>
      <c r="G2798" s="1">
        <v>45431</v>
      </c>
      <c r="H2798" s="1">
        <v>45072</v>
      </c>
      <c r="I2798">
        <v>31</v>
      </c>
      <c r="J2798" t="s">
        <v>19</v>
      </c>
      <c r="K2798">
        <v>18681.57</v>
      </c>
    </row>
    <row r="2799" spans="1:11">
      <c r="A2799">
        <v>2798</v>
      </c>
      <c r="B2799" t="s">
        <v>69</v>
      </c>
      <c r="C2799" s="1">
        <v>22646</v>
      </c>
      <c r="D2799">
        <v>64</v>
      </c>
      <c r="E2799" t="s">
        <v>12</v>
      </c>
      <c r="G2799" s="1">
        <v>45006</v>
      </c>
      <c r="H2799" s="1">
        <v>45438</v>
      </c>
      <c r="I2799">
        <v>37</v>
      </c>
      <c r="J2799" t="s">
        <v>23</v>
      </c>
      <c r="K2799">
        <v>17573.48</v>
      </c>
    </row>
    <row r="2800" spans="1:11">
      <c r="A2800">
        <v>2799</v>
      </c>
      <c r="B2800" t="s">
        <v>48</v>
      </c>
      <c r="C2800" s="1">
        <v>44927</v>
      </c>
      <c r="D2800">
        <v>3</v>
      </c>
      <c r="E2800" t="s">
        <v>15</v>
      </c>
      <c r="F2800" t="s">
        <v>45</v>
      </c>
      <c r="G2800" s="1">
        <v>45549</v>
      </c>
      <c r="H2800" s="1">
        <v>45470</v>
      </c>
      <c r="I2800">
        <v>2</v>
      </c>
      <c r="K2800">
        <v>13172.56</v>
      </c>
    </row>
    <row r="2801" spans="1:11">
      <c r="A2801">
        <v>2800</v>
      </c>
      <c r="B2801" t="s">
        <v>55</v>
      </c>
      <c r="C2801" s="1">
        <v>23012</v>
      </c>
      <c r="D2801">
        <v>63</v>
      </c>
      <c r="E2801" t="s">
        <v>15</v>
      </c>
      <c r="F2801" t="s">
        <v>13</v>
      </c>
      <c r="G2801" s="1">
        <v>45603</v>
      </c>
      <c r="H2801" s="1">
        <v>45436</v>
      </c>
      <c r="I2801">
        <v>1</v>
      </c>
      <c r="K2801">
        <v>4344.28</v>
      </c>
    </row>
    <row r="2802" spans="1:11">
      <c r="A2802">
        <v>2801</v>
      </c>
      <c r="B2802" t="s">
        <v>161</v>
      </c>
      <c r="C2802" s="1">
        <v>13880</v>
      </c>
      <c r="D2802">
        <v>88</v>
      </c>
      <c r="E2802" t="s">
        <v>15</v>
      </c>
      <c r="F2802" t="s">
        <v>18</v>
      </c>
      <c r="G2802" s="1">
        <v>45145</v>
      </c>
      <c r="H2802" s="1">
        <v>45147</v>
      </c>
      <c r="I2802">
        <v>19</v>
      </c>
      <c r="J2802" t="s">
        <v>25</v>
      </c>
      <c r="K2802">
        <v>894.62</v>
      </c>
    </row>
    <row r="2803" spans="1:11">
      <c r="A2803">
        <v>2802</v>
      </c>
      <c r="B2803" t="s">
        <v>131</v>
      </c>
      <c r="C2803" s="1">
        <v>42735</v>
      </c>
      <c r="D2803">
        <v>9</v>
      </c>
      <c r="E2803" t="s">
        <v>15</v>
      </c>
      <c r="F2803" t="s">
        <v>13</v>
      </c>
      <c r="G2803" s="1">
        <v>45443</v>
      </c>
      <c r="H2803" s="1">
        <v>45572</v>
      </c>
      <c r="I2803">
        <v>11</v>
      </c>
      <c r="J2803" t="s">
        <v>25</v>
      </c>
      <c r="K2803">
        <v>1896.35</v>
      </c>
    </row>
    <row r="2804" spans="1:11">
      <c r="A2804">
        <v>2803</v>
      </c>
      <c r="B2804" t="s">
        <v>65</v>
      </c>
      <c r="C2804" s="1">
        <v>38717</v>
      </c>
      <c r="D2804">
        <v>20</v>
      </c>
      <c r="E2804" t="s">
        <v>12</v>
      </c>
      <c r="G2804" s="1">
        <v>45653</v>
      </c>
      <c r="H2804" s="1">
        <v>45503</v>
      </c>
      <c r="I2804">
        <v>1</v>
      </c>
      <c r="J2804" t="s">
        <v>19</v>
      </c>
      <c r="K2804">
        <v>6412.25</v>
      </c>
    </row>
    <row r="2805" spans="1:11">
      <c r="A2805">
        <v>2804</v>
      </c>
      <c r="B2805" t="s">
        <v>145</v>
      </c>
      <c r="C2805" s="1">
        <v>29586</v>
      </c>
      <c r="D2805">
        <v>45</v>
      </c>
      <c r="E2805" t="s">
        <v>12</v>
      </c>
      <c r="F2805" t="s">
        <v>21</v>
      </c>
      <c r="G2805" s="1">
        <v>45633</v>
      </c>
      <c r="H2805" s="1">
        <v>45003</v>
      </c>
      <c r="I2805">
        <v>5</v>
      </c>
      <c r="J2805" t="s">
        <v>25</v>
      </c>
      <c r="K2805">
        <v>10028.049999999999</v>
      </c>
    </row>
    <row r="2806" spans="1:11">
      <c r="A2806">
        <v>2805</v>
      </c>
      <c r="B2806" t="s">
        <v>158</v>
      </c>
      <c r="C2806" s="1">
        <v>13150</v>
      </c>
      <c r="D2806">
        <v>90</v>
      </c>
      <c r="E2806" t="s">
        <v>12</v>
      </c>
      <c r="F2806" t="s">
        <v>13</v>
      </c>
      <c r="G2806" s="1">
        <v>45392</v>
      </c>
      <c r="H2806" s="1">
        <v>45570</v>
      </c>
      <c r="I2806">
        <v>0</v>
      </c>
      <c r="J2806" t="s">
        <v>23</v>
      </c>
      <c r="K2806">
        <v>19864.39</v>
      </c>
    </row>
    <row r="2807" spans="1:11">
      <c r="A2807">
        <v>2806</v>
      </c>
      <c r="B2807" t="s">
        <v>91</v>
      </c>
      <c r="C2807" s="1">
        <v>36526</v>
      </c>
      <c r="D2807">
        <v>26</v>
      </c>
      <c r="E2807" t="s">
        <v>12</v>
      </c>
      <c r="F2807" t="s">
        <v>45</v>
      </c>
      <c r="G2807" s="1">
        <v>45444</v>
      </c>
      <c r="H2807" s="1">
        <v>45751</v>
      </c>
      <c r="I2807">
        <v>26</v>
      </c>
      <c r="J2807" t="s">
        <v>23</v>
      </c>
      <c r="K2807">
        <v>8652.41</v>
      </c>
    </row>
    <row r="2808" spans="1:11">
      <c r="A2808">
        <v>2807</v>
      </c>
      <c r="B2808" t="s">
        <v>14</v>
      </c>
      <c r="C2808" s="1">
        <v>22281</v>
      </c>
      <c r="D2808">
        <v>65</v>
      </c>
      <c r="E2808" t="s">
        <v>15</v>
      </c>
      <c r="F2808" t="s">
        <v>32</v>
      </c>
      <c r="G2808" s="1">
        <v>45428</v>
      </c>
      <c r="H2808" s="1">
        <v>45246</v>
      </c>
      <c r="I2808">
        <v>23</v>
      </c>
      <c r="J2808" t="s">
        <v>23</v>
      </c>
      <c r="K2808">
        <v>10445.39</v>
      </c>
    </row>
    <row r="2809" spans="1:11">
      <c r="A2809">
        <v>2808</v>
      </c>
      <c r="B2809" t="s">
        <v>90</v>
      </c>
      <c r="C2809" s="1">
        <v>31412</v>
      </c>
      <c r="D2809">
        <v>40</v>
      </c>
      <c r="G2809" s="1">
        <v>44984</v>
      </c>
      <c r="H2809" s="1">
        <v>45800</v>
      </c>
      <c r="I2809">
        <v>27</v>
      </c>
      <c r="J2809" t="s">
        <v>19</v>
      </c>
      <c r="K2809">
        <v>13872.66</v>
      </c>
    </row>
    <row r="2810" spans="1:11">
      <c r="A2810">
        <v>2809</v>
      </c>
      <c r="B2810" t="s">
        <v>111</v>
      </c>
      <c r="C2810" s="1">
        <v>41639</v>
      </c>
      <c r="D2810">
        <v>12</v>
      </c>
      <c r="E2810" t="s">
        <v>15</v>
      </c>
      <c r="F2810" t="s">
        <v>32</v>
      </c>
      <c r="G2810" s="1">
        <v>45263</v>
      </c>
      <c r="H2810" s="1">
        <v>44965</v>
      </c>
      <c r="I2810">
        <v>9</v>
      </c>
      <c r="J2810" t="s">
        <v>23</v>
      </c>
      <c r="K2810">
        <v>3532.75</v>
      </c>
    </row>
    <row r="2811" spans="1:11">
      <c r="A2811">
        <v>2810</v>
      </c>
      <c r="B2811" t="s">
        <v>131</v>
      </c>
      <c r="C2811" s="1">
        <v>43100</v>
      </c>
      <c r="D2811">
        <v>8</v>
      </c>
      <c r="E2811" t="s">
        <v>15</v>
      </c>
      <c r="F2811" t="s">
        <v>18</v>
      </c>
      <c r="G2811" s="1">
        <v>45436</v>
      </c>
      <c r="H2811" s="1">
        <v>45493</v>
      </c>
      <c r="I2811">
        <v>12</v>
      </c>
      <c r="J2811" t="s">
        <v>19</v>
      </c>
      <c r="K2811">
        <v>18649.82</v>
      </c>
    </row>
    <row r="2812" spans="1:11">
      <c r="A2812">
        <v>2811</v>
      </c>
      <c r="B2812" t="s">
        <v>107</v>
      </c>
      <c r="C2812" s="1">
        <v>33239</v>
      </c>
      <c r="D2812">
        <v>35</v>
      </c>
      <c r="E2812" t="s">
        <v>12</v>
      </c>
      <c r="F2812" t="s">
        <v>18</v>
      </c>
      <c r="G2812" s="1">
        <v>45540</v>
      </c>
      <c r="H2812" s="1">
        <v>45569</v>
      </c>
      <c r="I2812">
        <v>38</v>
      </c>
      <c r="J2812" t="s">
        <v>19</v>
      </c>
      <c r="K2812">
        <v>10533.6</v>
      </c>
    </row>
    <row r="2813" spans="1:11">
      <c r="A2813">
        <v>2812</v>
      </c>
      <c r="B2813" t="s">
        <v>73</v>
      </c>
      <c r="C2813" s="1">
        <v>14976</v>
      </c>
      <c r="D2813">
        <v>85</v>
      </c>
      <c r="E2813" t="s">
        <v>12</v>
      </c>
      <c r="F2813" t="s">
        <v>13</v>
      </c>
      <c r="G2813" s="1">
        <v>45352</v>
      </c>
      <c r="H2813" s="1">
        <v>45657</v>
      </c>
      <c r="I2813">
        <v>-1</v>
      </c>
      <c r="J2813" t="s">
        <v>23</v>
      </c>
      <c r="K2813">
        <v>5452.75</v>
      </c>
    </row>
    <row r="2814" spans="1:11">
      <c r="A2814">
        <v>2813</v>
      </c>
      <c r="B2814" t="s">
        <v>135</v>
      </c>
      <c r="C2814" s="1">
        <v>13515</v>
      </c>
      <c r="D2814">
        <v>89</v>
      </c>
      <c r="E2814" t="s">
        <v>12</v>
      </c>
      <c r="F2814" t="s">
        <v>18</v>
      </c>
      <c r="G2814" s="1">
        <v>45486</v>
      </c>
      <c r="H2814" s="1">
        <v>45441</v>
      </c>
      <c r="I2814">
        <v>-2</v>
      </c>
      <c r="J2814" t="s">
        <v>23</v>
      </c>
      <c r="K2814">
        <v>18695.689999999999</v>
      </c>
    </row>
    <row r="2815" spans="1:11">
      <c r="A2815">
        <v>2814</v>
      </c>
      <c r="B2815" t="s">
        <v>161</v>
      </c>
      <c r="D2815">
        <v>57</v>
      </c>
      <c r="E2815" t="s">
        <v>15</v>
      </c>
      <c r="G2815" s="1">
        <v>45296</v>
      </c>
      <c r="H2815" s="1">
        <v>45173</v>
      </c>
      <c r="I2815">
        <v>25</v>
      </c>
      <c r="J2815" t="s">
        <v>19</v>
      </c>
      <c r="K2815">
        <v>12471.56</v>
      </c>
    </row>
    <row r="2816" spans="1:11">
      <c r="A2816">
        <v>2815</v>
      </c>
      <c r="B2816" t="s">
        <v>137</v>
      </c>
      <c r="C2816" s="1">
        <v>26664</v>
      </c>
      <c r="D2816">
        <v>53</v>
      </c>
      <c r="E2816" t="s">
        <v>12</v>
      </c>
      <c r="F2816" t="s">
        <v>16</v>
      </c>
      <c r="G2816" s="1">
        <v>45337</v>
      </c>
      <c r="H2816" s="1">
        <v>45067</v>
      </c>
      <c r="I2816">
        <v>37</v>
      </c>
      <c r="J2816" t="s">
        <v>23</v>
      </c>
      <c r="K2816">
        <v>9622.16</v>
      </c>
    </row>
    <row r="2817" spans="1:11">
      <c r="A2817">
        <v>2816</v>
      </c>
      <c r="B2817" t="s">
        <v>154</v>
      </c>
      <c r="C2817" s="1">
        <v>42005</v>
      </c>
      <c r="D2817">
        <v>11</v>
      </c>
      <c r="E2817" t="s">
        <v>15</v>
      </c>
      <c r="F2817" t="s">
        <v>45</v>
      </c>
      <c r="G2817" s="1">
        <v>45601</v>
      </c>
      <c r="H2817" s="1">
        <v>45735</v>
      </c>
      <c r="I2817">
        <v>32</v>
      </c>
      <c r="J2817" t="s">
        <v>25</v>
      </c>
      <c r="K2817">
        <v>11561.13</v>
      </c>
    </row>
    <row r="2818" spans="1:11">
      <c r="A2818">
        <v>2817</v>
      </c>
      <c r="B2818" t="s">
        <v>62</v>
      </c>
      <c r="C2818" s="1">
        <v>16802</v>
      </c>
      <c r="D2818">
        <v>80</v>
      </c>
      <c r="E2818" t="s">
        <v>15</v>
      </c>
      <c r="F2818" t="s">
        <v>21</v>
      </c>
      <c r="G2818" s="1">
        <v>45358</v>
      </c>
      <c r="H2818" s="1">
        <v>45185</v>
      </c>
      <c r="I2818">
        <v>31</v>
      </c>
      <c r="J2818" t="s">
        <v>19</v>
      </c>
      <c r="K2818">
        <v>14940.87</v>
      </c>
    </row>
    <row r="2819" spans="1:11">
      <c r="A2819">
        <v>2818</v>
      </c>
      <c r="B2819" t="s">
        <v>54</v>
      </c>
      <c r="C2819" s="1">
        <v>17898</v>
      </c>
      <c r="D2819">
        <v>77</v>
      </c>
      <c r="E2819" t="s">
        <v>12</v>
      </c>
      <c r="F2819" t="s">
        <v>21</v>
      </c>
      <c r="G2819" s="1">
        <v>45122</v>
      </c>
      <c r="H2819" s="1">
        <v>45544</v>
      </c>
      <c r="I2819">
        <v>1</v>
      </c>
      <c r="K2819">
        <v>3006.21</v>
      </c>
    </row>
    <row r="2820" spans="1:11">
      <c r="A2820">
        <v>2819</v>
      </c>
      <c r="B2820" t="s">
        <v>148</v>
      </c>
      <c r="C2820" s="1">
        <v>41274</v>
      </c>
      <c r="D2820">
        <v>13</v>
      </c>
      <c r="E2820" t="s">
        <v>12</v>
      </c>
      <c r="F2820" t="s">
        <v>13</v>
      </c>
      <c r="G2820" s="1">
        <v>45303</v>
      </c>
      <c r="H2820" s="1">
        <v>45308</v>
      </c>
      <c r="I2820">
        <v>15</v>
      </c>
      <c r="J2820" t="s">
        <v>19</v>
      </c>
      <c r="K2820">
        <v>17283.09</v>
      </c>
    </row>
    <row r="2821" spans="1:11">
      <c r="A2821">
        <v>2820</v>
      </c>
      <c r="B2821" t="s">
        <v>83</v>
      </c>
      <c r="C2821" s="1">
        <v>33969</v>
      </c>
      <c r="D2821">
        <v>33</v>
      </c>
      <c r="E2821" t="s">
        <v>12</v>
      </c>
      <c r="F2821" t="s">
        <v>21</v>
      </c>
      <c r="G2821" s="1">
        <v>45291</v>
      </c>
      <c r="H2821" s="1">
        <v>45775</v>
      </c>
      <c r="I2821">
        <v>9</v>
      </c>
      <c r="J2821" t="s">
        <v>23</v>
      </c>
      <c r="K2821">
        <v>19186.09</v>
      </c>
    </row>
    <row r="2822" spans="1:11">
      <c r="A2822">
        <v>2821</v>
      </c>
      <c r="B2822" t="s">
        <v>143</v>
      </c>
      <c r="C2822" s="1">
        <v>27029</v>
      </c>
      <c r="D2822">
        <v>52</v>
      </c>
      <c r="E2822" t="s">
        <v>12</v>
      </c>
      <c r="F2822" t="s">
        <v>13</v>
      </c>
      <c r="G2822" s="1">
        <v>45570</v>
      </c>
      <c r="H2822" s="1">
        <v>45405</v>
      </c>
      <c r="I2822">
        <v>18</v>
      </c>
      <c r="J2822" t="s">
        <v>23</v>
      </c>
      <c r="K2822">
        <v>11296.69</v>
      </c>
    </row>
    <row r="2823" spans="1:11">
      <c r="A2823">
        <v>2822</v>
      </c>
      <c r="B2823" t="s">
        <v>11</v>
      </c>
      <c r="C2823" s="1">
        <v>39083</v>
      </c>
      <c r="D2823">
        <v>19</v>
      </c>
      <c r="E2823" t="s">
        <v>12</v>
      </c>
      <c r="F2823" t="s">
        <v>18</v>
      </c>
      <c r="G2823" s="1">
        <v>45331</v>
      </c>
      <c r="H2823" s="1">
        <v>45112</v>
      </c>
      <c r="I2823">
        <v>7</v>
      </c>
      <c r="J2823" t="s">
        <v>19</v>
      </c>
      <c r="K2823">
        <v>13613.64</v>
      </c>
    </row>
    <row r="2824" spans="1:11">
      <c r="A2824">
        <v>2823</v>
      </c>
      <c r="B2824" t="s">
        <v>55</v>
      </c>
      <c r="C2824" s="1">
        <v>18994</v>
      </c>
      <c r="E2824" t="s">
        <v>12</v>
      </c>
      <c r="F2824" t="s">
        <v>18</v>
      </c>
      <c r="G2824" s="1">
        <v>45418</v>
      </c>
      <c r="H2824" s="1">
        <v>45230</v>
      </c>
      <c r="I2824">
        <v>18</v>
      </c>
      <c r="J2824" t="s">
        <v>19</v>
      </c>
      <c r="K2824">
        <v>17182.650000000001</v>
      </c>
    </row>
    <row r="2825" spans="1:11">
      <c r="A2825">
        <v>2824</v>
      </c>
      <c r="B2825" t="s">
        <v>114</v>
      </c>
      <c r="C2825" s="1">
        <v>40544</v>
      </c>
      <c r="D2825">
        <v>15</v>
      </c>
      <c r="E2825" t="s">
        <v>12</v>
      </c>
      <c r="F2825" t="s">
        <v>16</v>
      </c>
      <c r="G2825" s="1">
        <v>44992</v>
      </c>
      <c r="H2825" s="1">
        <v>45421</v>
      </c>
      <c r="I2825">
        <v>37</v>
      </c>
      <c r="K2825">
        <v>7433.69</v>
      </c>
    </row>
    <row r="2826" spans="1:11">
      <c r="A2826">
        <v>2825</v>
      </c>
      <c r="B2826" t="s">
        <v>92</v>
      </c>
      <c r="C2826" s="1">
        <v>11689</v>
      </c>
      <c r="D2826">
        <v>94</v>
      </c>
      <c r="E2826" t="s">
        <v>12</v>
      </c>
      <c r="F2826" t="s">
        <v>16</v>
      </c>
      <c r="G2826" s="1">
        <v>45317</v>
      </c>
      <c r="H2826" s="1">
        <v>45683</v>
      </c>
      <c r="I2826">
        <v>22</v>
      </c>
      <c r="K2826">
        <v>19855.919999999998</v>
      </c>
    </row>
    <row r="2827" spans="1:11">
      <c r="A2827">
        <v>2826</v>
      </c>
      <c r="B2827" t="s">
        <v>149</v>
      </c>
      <c r="C2827" s="1">
        <v>20820</v>
      </c>
      <c r="D2827">
        <v>69</v>
      </c>
      <c r="F2827" t="s">
        <v>45</v>
      </c>
      <c r="G2827" s="1">
        <v>45009</v>
      </c>
      <c r="H2827" s="1">
        <v>45091</v>
      </c>
      <c r="I2827">
        <v>14</v>
      </c>
      <c r="J2827" t="s">
        <v>19</v>
      </c>
      <c r="K2827">
        <v>13578.08</v>
      </c>
    </row>
    <row r="2828" spans="1:11">
      <c r="A2828">
        <v>2827</v>
      </c>
      <c r="B2828" t="s">
        <v>40</v>
      </c>
      <c r="C2828" s="1">
        <v>25934</v>
      </c>
      <c r="D2828">
        <v>55</v>
      </c>
      <c r="F2828" t="s">
        <v>21</v>
      </c>
      <c r="G2828" s="1">
        <v>45407</v>
      </c>
      <c r="H2828" s="1">
        <v>45571</v>
      </c>
      <c r="I2828">
        <v>3</v>
      </c>
      <c r="J2828" t="s">
        <v>23</v>
      </c>
      <c r="K2828">
        <v>8422.3700000000008</v>
      </c>
    </row>
    <row r="2829" spans="1:11">
      <c r="A2829">
        <v>2828</v>
      </c>
      <c r="B2829" t="s">
        <v>24</v>
      </c>
      <c r="C2829" s="1">
        <v>16072</v>
      </c>
      <c r="D2829">
        <v>82</v>
      </c>
      <c r="E2829" t="s">
        <v>15</v>
      </c>
      <c r="G2829" s="1">
        <v>45155</v>
      </c>
      <c r="H2829" s="1">
        <v>45130</v>
      </c>
      <c r="I2829">
        <v>11</v>
      </c>
      <c r="J2829" t="s">
        <v>19</v>
      </c>
      <c r="K2829">
        <v>13514.49</v>
      </c>
    </row>
    <row r="2830" spans="1:11">
      <c r="A2830">
        <v>2829</v>
      </c>
      <c r="B2830" t="s">
        <v>157</v>
      </c>
      <c r="C2830" s="1">
        <v>25203</v>
      </c>
      <c r="D2830">
        <v>57</v>
      </c>
      <c r="E2830" t="s">
        <v>12</v>
      </c>
      <c r="F2830" t="s">
        <v>16</v>
      </c>
      <c r="G2830" s="1">
        <v>45151</v>
      </c>
      <c r="H2830" s="1">
        <v>45335</v>
      </c>
      <c r="I2830">
        <v>34</v>
      </c>
      <c r="J2830" t="s">
        <v>25</v>
      </c>
      <c r="K2830">
        <v>10385.77</v>
      </c>
    </row>
    <row r="2831" spans="1:11">
      <c r="A2831">
        <v>2830</v>
      </c>
      <c r="B2831" t="s">
        <v>117</v>
      </c>
      <c r="C2831" s="1">
        <v>44927</v>
      </c>
      <c r="D2831">
        <v>3</v>
      </c>
      <c r="E2831" t="s">
        <v>12</v>
      </c>
      <c r="F2831" t="s">
        <v>45</v>
      </c>
      <c r="G2831" s="1">
        <v>45039</v>
      </c>
      <c r="H2831" s="1">
        <v>45137</v>
      </c>
      <c r="I2831">
        <v>37</v>
      </c>
      <c r="J2831" t="s">
        <v>25</v>
      </c>
      <c r="K2831">
        <v>2144</v>
      </c>
    </row>
    <row r="2832" spans="1:11">
      <c r="A2832">
        <v>2831</v>
      </c>
      <c r="B2832" t="s">
        <v>80</v>
      </c>
      <c r="C2832" s="1">
        <v>44927</v>
      </c>
      <c r="D2832">
        <v>3</v>
      </c>
      <c r="E2832" t="s">
        <v>15</v>
      </c>
      <c r="F2832" t="s">
        <v>32</v>
      </c>
      <c r="G2832" s="1">
        <v>45578</v>
      </c>
      <c r="H2832" s="1">
        <v>45786</v>
      </c>
      <c r="I2832">
        <v>37</v>
      </c>
      <c r="J2832" t="s">
        <v>23</v>
      </c>
      <c r="K2832">
        <v>15896.89</v>
      </c>
    </row>
    <row r="2833" spans="1:11">
      <c r="A2833">
        <v>2832</v>
      </c>
      <c r="B2833" t="s">
        <v>27</v>
      </c>
      <c r="C2833" s="1">
        <v>39083</v>
      </c>
      <c r="D2833">
        <v>19</v>
      </c>
      <c r="E2833" t="s">
        <v>12</v>
      </c>
      <c r="F2833" t="s">
        <v>16</v>
      </c>
      <c r="G2833" s="1">
        <v>45111</v>
      </c>
      <c r="H2833" s="1">
        <v>45028</v>
      </c>
      <c r="I2833">
        <v>15</v>
      </c>
      <c r="J2833" t="s">
        <v>19</v>
      </c>
      <c r="K2833">
        <v>11243.95</v>
      </c>
    </row>
    <row r="2834" spans="1:11">
      <c r="A2834">
        <v>2833</v>
      </c>
      <c r="B2834" t="s">
        <v>144</v>
      </c>
      <c r="C2834" s="1">
        <v>42735</v>
      </c>
      <c r="D2834">
        <v>9</v>
      </c>
      <c r="E2834" t="s">
        <v>15</v>
      </c>
      <c r="F2834" t="s">
        <v>45</v>
      </c>
      <c r="G2834" s="1">
        <v>45438</v>
      </c>
      <c r="H2834" s="1">
        <v>45373</v>
      </c>
      <c r="I2834">
        <v>27</v>
      </c>
      <c r="J2834" t="s">
        <v>19</v>
      </c>
      <c r="K2834">
        <v>15896.5</v>
      </c>
    </row>
    <row r="2835" spans="1:11">
      <c r="A2835">
        <v>2834</v>
      </c>
      <c r="B2835" t="s">
        <v>70</v>
      </c>
      <c r="C2835" s="1">
        <v>37622</v>
      </c>
      <c r="D2835">
        <v>23</v>
      </c>
      <c r="E2835" t="s">
        <v>12</v>
      </c>
      <c r="F2835" t="s">
        <v>13</v>
      </c>
      <c r="G2835" s="1">
        <v>45099</v>
      </c>
      <c r="H2835" s="1">
        <v>45825</v>
      </c>
      <c r="I2835">
        <v>6</v>
      </c>
      <c r="J2835" t="s">
        <v>25</v>
      </c>
      <c r="K2835">
        <v>3013.73</v>
      </c>
    </row>
    <row r="2836" spans="1:11">
      <c r="A2836">
        <v>2835</v>
      </c>
      <c r="B2836" t="s">
        <v>65</v>
      </c>
      <c r="C2836" s="1">
        <v>36891</v>
      </c>
      <c r="D2836">
        <v>25</v>
      </c>
      <c r="E2836" t="s">
        <v>12</v>
      </c>
      <c r="F2836" t="s">
        <v>13</v>
      </c>
      <c r="G2836" s="1">
        <v>45449</v>
      </c>
      <c r="H2836" s="1">
        <v>45710</v>
      </c>
      <c r="I2836">
        <v>11</v>
      </c>
      <c r="J2836" t="s">
        <v>19</v>
      </c>
      <c r="K2836">
        <v>10720.98</v>
      </c>
    </row>
    <row r="2837" spans="1:11">
      <c r="A2837">
        <v>2836</v>
      </c>
      <c r="B2837" t="s">
        <v>64</v>
      </c>
      <c r="C2837" s="1">
        <v>32873</v>
      </c>
      <c r="D2837">
        <v>36</v>
      </c>
      <c r="E2837" t="s">
        <v>15</v>
      </c>
      <c r="F2837" t="s">
        <v>45</v>
      </c>
      <c r="G2837" s="1">
        <v>45597</v>
      </c>
      <c r="H2837" s="1">
        <v>45488</v>
      </c>
      <c r="I2837">
        <v>14</v>
      </c>
      <c r="J2837" t="s">
        <v>23</v>
      </c>
      <c r="K2837">
        <v>15309.15</v>
      </c>
    </row>
    <row r="2838" spans="1:11">
      <c r="A2838">
        <v>2837</v>
      </c>
      <c r="B2838" t="s">
        <v>147</v>
      </c>
      <c r="C2838" s="1">
        <v>15341</v>
      </c>
      <c r="D2838">
        <v>84</v>
      </c>
      <c r="E2838" t="s">
        <v>15</v>
      </c>
      <c r="F2838" t="s">
        <v>18</v>
      </c>
      <c r="G2838" s="1">
        <v>45131</v>
      </c>
      <c r="H2838" s="1">
        <v>45295</v>
      </c>
      <c r="I2838">
        <v>31</v>
      </c>
      <c r="J2838" t="s">
        <v>23</v>
      </c>
      <c r="K2838">
        <v>19764.919999999998</v>
      </c>
    </row>
    <row r="2839" spans="1:11">
      <c r="A2839">
        <v>2838</v>
      </c>
      <c r="B2839" t="s">
        <v>84</v>
      </c>
      <c r="C2839" s="1">
        <v>26664</v>
      </c>
      <c r="E2839" t="s">
        <v>12</v>
      </c>
      <c r="F2839" t="s">
        <v>32</v>
      </c>
      <c r="G2839" s="1">
        <v>45464</v>
      </c>
      <c r="H2839" s="1">
        <v>45166</v>
      </c>
      <c r="I2839">
        <v>19</v>
      </c>
      <c r="K2839">
        <v>17676.39</v>
      </c>
    </row>
    <row r="2840" spans="1:11">
      <c r="A2840">
        <v>2839</v>
      </c>
      <c r="B2840" t="s">
        <v>136</v>
      </c>
      <c r="C2840" s="1">
        <v>38717</v>
      </c>
      <c r="D2840">
        <v>20</v>
      </c>
      <c r="E2840" t="s">
        <v>15</v>
      </c>
      <c r="F2840" t="s">
        <v>45</v>
      </c>
      <c r="G2840" s="1">
        <v>45245</v>
      </c>
      <c r="H2840" s="1">
        <v>45654</v>
      </c>
      <c r="I2840">
        <v>29</v>
      </c>
      <c r="J2840" t="s">
        <v>23</v>
      </c>
      <c r="K2840">
        <v>17273.43</v>
      </c>
    </row>
    <row r="2841" spans="1:11">
      <c r="A2841">
        <v>2840</v>
      </c>
      <c r="B2841" t="s">
        <v>167</v>
      </c>
      <c r="C2841" s="1">
        <v>19359</v>
      </c>
      <c r="D2841">
        <v>73</v>
      </c>
      <c r="E2841" t="s">
        <v>15</v>
      </c>
      <c r="F2841" t="s">
        <v>16</v>
      </c>
      <c r="G2841" s="1">
        <v>45085</v>
      </c>
      <c r="H2841" s="1">
        <v>45218</v>
      </c>
      <c r="I2841">
        <v>9</v>
      </c>
      <c r="J2841" t="s">
        <v>19</v>
      </c>
      <c r="K2841">
        <v>4873.95</v>
      </c>
    </row>
    <row r="2842" spans="1:11">
      <c r="A2842">
        <v>2841</v>
      </c>
      <c r="B2842" t="s">
        <v>101</v>
      </c>
      <c r="C2842" s="1">
        <v>32508</v>
      </c>
      <c r="D2842">
        <v>37</v>
      </c>
      <c r="E2842" t="s">
        <v>15</v>
      </c>
      <c r="F2842" t="s">
        <v>18</v>
      </c>
      <c r="G2842" s="1">
        <v>45204</v>
      </c>
      <c r="H2842" s="1">
        <v>45299</v>
      </c>
      <c r="I2842">
        <v>13</v>
      </c>
      <c r="J2842" t="s">
        <v>19</v>
      </c>
      <c r="K2842">
        <v>16743.490000000002</v>
      </c>
    </row>
    <row r="2843" spans="1:11">
      <c r="A2843">
        <v>2842</v>
      </c>
      <c r="B2843" t="s">
        <v>81</v>
      </c>
      <c r="C2843" s="1">
        <v>29586</v>
      </c>
      <c r="D2843">
        <v>45</v>
      </c>
      <c r="E2843" t="s">
        <v>12</v>
      </c>
      <c r="F2843" t="s">
        <v>45</v>
      </c>
      <c r="G2843" s="1">
        <v>45074</v>
      </c>
      <c r="H2843" s="1">
        <v>45789</v>
      </c>
      <c r="I2843">
        <v>19</v>
      </c>
      <c r="J2843" t="s">
        <v>25</v>
      </c>
      <c r="K2843">
        <v>3302.55</v>
      </c>
    </row>
    <row r="2844" spans="1:11">
      <c r="A2844">
        <v>2843</v>
      </c>
      <c r="B2844" t="s">
        <v>95</v>
      </c>
      <c r="C2844" s="1">
        <v>44927</v>
      </c>
      <c r="D2844">
        <v>3</v>
      </c>
      <c r="E2844" t="s">
        <v>12</v>
      </c>
      <c r="F2844" t="s">
        <v>21</v>
      </c>
      <c r="G2844" s="1">
        <v>45009</v>
      </c>
      <c r="H2844" s="1">
        <v>45358</v>
      </c>
      <c r="I2844">
        <v>35</v>
      </c>
      <c r="J2844" t="s">
        <v>25</v>
      </c>
      <c r="K2844">
        <v>3881.96</v>
      </c>
    </row>
    <row r="2845" spans="1:11">
      <c r="A2845">
        <v>2844</v>
      </c>
      <c r="B2845" t="s">
        <v>52</v>
      </c>
      <c r="C2845" s="1">
        <v>24473</v>
      </c>
      <c r="D2845">
        <v>59</v>
      </c>
      <c r="E2845" t="s">
        <v>12</v>
      </c>
      <c r="F2845" t="s">
        <v>16</v>
      </c>
      <c r="G2845" s="1">
        <v>45345</v>
      </c>
      <c r="H2845" s="1">
        <v>45207</v>
      </c>
      <c r="I2845">
        <v>36</v>
      </c>
      <c r="J2845" t="s">
        <v>23</v>
      </c>
      <c r="K2845">
        <v>2113.35</v>
      </c>
    </row>
    <row r="2846" spans="1:11">
      <c r="A2846">
        <v>2845</v>
      </c>
      <c r="B2846" t="s">
        <v>43</v>
      </c>
      <c r="C2846" s="1">
        <v>25568</v>
      </c>
      <c r="D2846">
        <v>56</v>
      </c>
      <c r="E2846" t="s">
        <v>15</v>
      </c>
      <c r="F2846" t="s">
        <v>16</v>
      </c>
      <c r="G2846" s="1">
        <v>45464</v>
      </c>
      <c r="H2846" s="1">
        <v>45394</v>
      </c>
      <c r="I2846">
        <v>-1</v>
      </c>
      <c r="K2846">
        <v>17137.689999999999</v>
      </c>
    </row>
    <row r="2847" spans="1:11">
      <c r="A2847">
        <v>2846</v>
      </c>
      <c r="B2847" t="s">
        <v>34</v>
      </c>
      <c r="C2847" s="1">
        <v>29951</v>
      </c>
      <c r="D2847">
        <v>44</v>
      </c>
      <c r="E2847" t="s">
        <v>12</v>
      </c>
      <c r="F2847" t="s">
        <v>13</v>
      </c>
      <c r="G2847" s="1">
        <v>45509</v>
      </c>
      <c r="H2847" s="1">
        <v>45243</v>
      </c>
      <c r="I2847">
        <v>5</v>
      </c>
      <c r="J2847" t="s">
        <v>19</v>
      </c>
      <c r="K2847">
        <v>2075.92</v>
      </c>
    </row>
    <row r="2848" spans="1:11">
      <c r="A2848">
        <v>2847</v>
      </c>
      <c r="B2848" t="s">
        <v>164</v>
      </c>
      <c r="C2848" s="1">
        <v>39083</v>
      </c>
      <c r="E2848" t="s">
        <v>12</v>
      </c>
      <c r="F2848" t="s">
        <v>21</v>
      </c>
      <c r="G2848" s="1">
        <v>45475</v>
      </c>
      <c r="H2848" s="1">
        <v>45004</v>
      </c>
      <c r="I2848">
        <v>-2</v>
      </c>
      <c r="K2848">
        <v>2676.04</v>
      </c>
    </row>
    <row r="2849" spans="1:11">
      <c r="A2849">
        <v>2848</v>
      </c>
      <c r="B2849" t="s">
        <v>135</v>
      </c>
      <c r="C2849" s="1">
        <v>40178</v>
      </c>
      <c r="D2849">
        <v>16</v>
      </c>
      <c r="E2849" t="s">
        <v>15</v>
      </c>
      <c r="F2849" t="s">
        <v>21</v>
      </c>
      <c r="G2849" s="1">
        <v>45318</v>
      </c>
      <c r="H2849" s="1">
        <v>45743</v>
      </c>
      <c r="I2849">
        <v>38</v>
      </c>
      <c r="J2849" t="s">
        <v>19</v>
      </c>
      <c r="K2849">
        <v>4842.33</v>
      </c>
    </row>
    <row r="2850" spans="1:11">
      <c r="A2850">
        <v>2849</v>
      </c>
      <c r="B2850" t="s">
        <v>28</v>
      </c>
      <c r="C2850" s="1">
        <v>20455</v>
      </c>
      <c r="D2850">
        <v>70</v>
      </c>
      <c r="E2850" t="s">
        <v>12</v>
      </c>
      <c r="F2850" t="s">
        <v>16</v>
      </c>
      <c r="G2850" s="1">
        <v>45059</v>
      </c>
      <c r="H2850" s="1">
        <v>45078</v>
      </c>
      <c r="I2850">
        <v>37</v>
      </c>
      <c r="J2850" t="s">
        <v>23</v>
      </c>
      <c r="K2850">
        <v>11410.51</v>
      </c>
    </row>
    <row r="2851" spans="1:11">
      <c r="A2851">
        <v>2850</v>
      </c>
      <c r="B2851" t="s">
        <v>162</v>
      </c>
      <c r="C2851" s="1">
        <v>44927</v>
      </c>
      <c r="D2851">
        <v>3</v>
      </c>
      <c r="E2851" t="s">
        <v>12</v>
      </c>
      <c r="F2851" t="s">
        <v>32</v>
      </c>
      <c r="G2851" s="1">
        <v>45564</v>
      </c>
      <c r="H2851" s="1">
        <v>45323</v>
      </c>
      <c r="I2851">
        <v>38</v>
      </c>
      <c r="J2851" t="s">
        <v>23</v>
      </c>
      <c r="K2851">
        <v>17591.62</v>
      </c>
    </row>
    <row r="2852" spans="1:11">
      <c r="A2852">
        <v>2851</v>
      </c>
      <c r="B2852" t="s">
        <v>80</v>
      </c>
      <c r="C2852" s="1">
        <v>12419</v>
      </c>
      <c r="D2852">
        <v>92</v>
      </c>
      <c r="E2852" t="s">
        <v>12</v>
      </c>
      <c r="G2852" s="1">
        <v>45553</v>
      </c>
      <c r="H2852" s="1">
        <v>45423</v>
      </c>
      <c r="I2852">
        <v>2</v>
      </c>
      <c r="J2852" t="s">
        <v>25</v>
      </c>
      <c r="K2852">
        <v>8306.39</v>
      </c>
    </row>
    <row r="2853" spans="1:11">
      <c r="A2853">
        <v>2852</v>
      </c>
      <c r="B2853" t="s">
        <v>83</v>
      </c>
      <c r="C2853" s="1">
        <v>41274</v>
      </c>
      <c r="D2853">
        <v>13</v>
      </c>
      <c r="E2853" t="s">
        <v>15</v>
      </c>
      <c r="F2853" t="s">
        <v>18</v>
      </c>
      <c r="G2853" s="1">
        <v>45530</v>
      </c>
      <c r="H2853" s="1">
        <v>45224</v>
      </c>
      <c r="I2853">
        <v>33</v>
      </c>
      <c r="K2853">
        <v>10880.35</v>
      </c>
    </row>
    <row r="2854" spans="1:11">
      <c r="A2854">
        <v>2853</v>
      </c>
      <c r="B2854" t="s">
        <v>100</v>
      </c>
      <c r="C2854" s="1">
        <v>45292</v>
      </c>
      <c r="D2854">
        <v>2</v>
      </c>
      <c r="E2854" t="s">
        <v>15</v>
      </c>
      <c r="F2854" t="s">
        <v>13</v>
      </c>
      <c r="G2854" s="1">
        <v>45168</v>
      </c>
      <c r="H2854" s="1">
        <v>45596</v>
      </c>
      <c r="I2854">
        <v>14</v>
      </c>
      <c r="J2854" t="s">
        <v>25</v>
      </c>
      <c r="K2854">
        <v>3246.44</v>
      </c>
    </row>
    <row r="2855" spans="1:11">
      <c r="A2855">
        <v>2854</v>
      </c>
      <c r="B2855" t="s">
        <v>87</v>
      </c>
      <c r="C2855" s="1">
        <v>14246</v>
      </c>
      <c r="D2855">
        <v>87</v>
      </c>
      <c r="E2855" t="s">
        <v>15</v>
      </c>
      <c r="F2855" t="s">
        <v>21</v>
      </c>
      <c r="G2855" s="1">
        <v>45377</v>
      </c>
      <c r="H2855" s="1">
        <v>45637</v>
      </c>
      <c r="I2855">
        <v>38</v>
      </c>
      <c r="J2855" t="s">
        <v>23</v>
      </c>
      <c r="K2855">
        <v>5245.51</v>
      </c>
    </row>
    <row r="2856" spans="1:11">
      <c r="A2856">
        <v>2855</v>
      </c>
      <c r="B2856" t="s">
        <v>88</v>
      </c>
      <c r="C2856" s="1">
        <v>17168</v>
      </c>
      <c r="D2856">
        <v>79</v>
      </c>
      <c r="E2856" t="s">
        <v>15</v>
      </c>
      <c r="F2856" t="s">
        <v>13</v>
      </c>
      <c r="G2856" s="1">
        <v>45126</v>
      </c>
      <c r="H2856" s="1">
        <v>45823</v>
      </c>
      <c r="I2856">
        <v>27</v>
      </c>
      <c r="K2856">
        <v>2591.91</v>
      </c>
    </row>
    <row r="2857" spans="1:11">
      <c r="A2857">
        <v>2856</v>
      </c>
      <c r="B2857" t="s">
        <v>55</v>
      </c>
      <c r="C2857" s="1">
        <v>25203</v>
      </c>
      <c r="D2857">
        <v>57</v>
      </c>
      <c r="E2857" t="s">
        <v>12</v>
      </c>
      <c r="F2857" t="s">
        <v>16</v>
      </c>
      <c r="G2857" s="1">
        <v>45645</v>
      </c>
      <c r="H2857" s="1">
        <v>45334</v>
      </c>
      <c r="I2857">
        <v>12</v>
      </c>
      <c r="J2857" t="s">
        <v>19</v>
      </c>
      <c r="K2857">
        <v>8139.37</v>
      </c>
    </row>
    <row r="2858" spans="1:11">
      <c r="A2858">
        <v>2857</v>
      </c>
      <c r="B2858" t="s">
        <v>147</v>
      </c>
      <c r="C2858" s="1">
        <v>26299</v>
      </c>
      <c r="D2858">
        <v>54</v>
      </c>
      <c r="E2858" t="s">
        <v>15</v>
      </c>
      <c r="F2858" t="s">
        <v>18</v>
      </c>
      <c r="G2858" s="1">
        <v>45043</v>
      </c>
      <c r="H2858" s="1">
        <v>45214</v>
      </c>
      <c r="I2858">
        <v>17</v>
      </c>
      <c r="J2858" t="s">
        <v>25</v>
      </c>
      <c r="K2858">
        <v>11765.75</v>
      </c>
    </row>
    <row r="2859" spans="1:11">
      <c r="A2859">
        <v>2858</v>
      </c>
      <c r="B2859" t="s">
        <v>106</v>
      </c>
      <c r="C2859" s="1">
        <v>44927</v>
      </c>
      <c r="D2859">
        <v>3</v>
      </c>
      <c r="E2859" t="s">
        <v>12</v>
      </c>
      <c r="F2859" t="s">
        <v>45</v>
      </c>
      <c r="G2859" s="1">
        <v>45145</v>
      </c>
      <c r="H2859" s="1">
        <v>45420</v>
      </c>
      <c r="I2859">
        <v>33</v>
      </c>
      <c r="J2859" t="s">
        <v>23</v>
      </c>
      <c r="K2859">
        <v>5608.79</v>
      </c>
    </row>
    <row r="2860" spans="1:11">
      <c r="A2860">
        <v>2859</v>
      </c>
      <c r="B2860" t="s">
        <v>128</v>
      </c>
      <c r="C2860" s="1">
        <v>37622</v>
      </c>
      <c r="D2860">
        <v>23</v>
      </c>
      <c r="E2860" t="s">
        <v>15</v>
      </c>
      <c r="F2860" t="s">
        <v>21</v>
      </c>
      <c r="G2860" s="1">
        <v>45231</v>
      </c>
      <c r="H2860" s="1">
        <v>45463</v>
      </c>
      <c r="I2860">
        <v>-1</v>
      </c>
      <c r="J2860" t="s">
        <v>19</v>
      </c>
      <c r="K2860">
        <v>16904.52</v>
      </c>
    </row>
    <row r="2861" spans="1:11">
      <c r="A2861">
        <v>2860</v>
      </c>
      <c r="B2861" t="s">
        <v>153</v>
      </c>
      <c r="C2861" s="1">
        <v>33969</v>
      </c>
      <c r="D2861">
        <v>33</v>
      </c>
      <c r="E2861" t="s">
        <v>15</v>
      </c>
      <c r="F2861" t="s">
        <v>18</v>
      </c>
      <c r="G2861" s="1">
        <v>45169</v>
      </c>
      <c r="H2861" s="1">
        <v>45383</v>
      </c>
      <c r="I2861">
        <v>1</v>
      </c>
      <c r="J2861" t="s">
        <v>23</v>
      </c>
      <c r="K2861">
        <v>19622.89</v>
      </c>
    </row>
    <row r="2862" spans="1:11">
      <c r="A2862">
        <v>2861</v>
      </c>
      <c r="B2862" t="s">
        <v>83</v>
      </c>
      <c r="C2862" s="1">
        <v>35430</v>
      </c>
      <c r="D2862">
        <v>29</v>
      </c>
      <c r="E2862" t="s">
        <v>12</v>
      </c>
      <c r="G2862" s="1">
        <v>45218</v>
      </c>
      <c r="H2862" s="1">
        <v>45419</v>
      </c>
      <c r="I2862">
        <v>21</v>
      </c>
      <c r="J2862" t="s">
        <v>19</v>
      </c>
      <c r="K2862">
        <v>2315.11</v>
      </c>
    </row>
    <row r="2863" spans="1:11">
      <c r="A2863">
        <v>2862</v>
      </c>
      <c r="B2863" t="s">
        <v>52</v>
      </c>
      <c r="C2863" s="1">
        <v>16437</v>
      </c>
      <c r="D2863">
        <v>81</v>
      </c>
      <c r="E2863" t="s">
        <v>15</v>
      </c>
      <c r="F2863" t="s">
        <v>13</v>
      </c>
      <c r="G2863" s="1">
        <v>45227</v>
      </c>
      <c r="H2863" s="1">
        <v>44936</v>
      </c>
      <c r="I2863">
        <v>39</v>
      </c>
      <c r="J2863" t="s">
        <v>25</v>
      </c>
      <c r="K2863">
        <v>258.99</v>
      </c>
    </row>
    <row r="2864" spans="1:11">
      <c r="A2864">
        <v>2863</v>
      </c>
      <c r="B2864" t="s">
        <v>101</v>
      </c>
      <c r="C2864" s="1">
        <v>39448</v>
      </c>
      <c r="D2864">
        <v>18</v>
      </c>
      <c r="E2864" t="s">
        <v>12</v>
      </c>
      <c r="F2864" t="s">
        <v>16</v>
      </c>
      <c r="G2864" s="1">
        <v>45610</v>
      </c>
      <c r="H2864" s="1">
        <v>45059</v>
      </c>
      <c r="I2864">
        <v>-1</v>
      </c>
      <c r="J2864" t="s">
        <v>19</v>
      </c>
      <c r="K2864">
        <v>15774.52</v>
      </c>
    </row>
    <row r="2865" spans="1:11">
      <c r="A2865">
        <v>2864</v>
      </c>
      <c r="B2865" t="s">
        <v>76</v>
      </c>
      <c r="C2865" s="1">
        <v>35065</v>
      </c>
      <c r="D2865">
        <v>30</v>
      </c>
      <c r="E2865" t="s">
        <v>15</v>
      </c>
      <c r="F2865" t="s">
        <v>18</v>
      </c>
      <c r="G2865" s="1">
        <v>45314</v>
      </c>
      <c r="H2865" s="1">
        <v>45004</v>
      </c>
      <c r="I2865">
        <v>-1</v>
      </c>
      <c r="K2865">
        <v>3731.92</v>
      </c>
    </row>
    <row r="2866" spans="1:11">
      <c r="A2866">
        <v>2865</v>
      </c>
      <c r="B2866" t="s">
        <v>109</v>
      </c>
      <c r="C2866" s="1">
        <v>24473</v>
      </c>
      <c r="D2866">
        <v>59</v>
      </c>
      <c r="E2866" t="s">
        <v>15</v>
      </c>
      <c r="F2866" t="s">
        <v>45</v>
      </c>
      <c r="G2866" s="1">
        <v>45514</v>
      </c>
      <c r="H2866" s="1">
        <v>45665</v>
      </c>
      <c r="I2866">
        <v>-2</v>
      </c>
      <c r="J2866" t="s">
        <v>19</v>
      </c>
      <c r="K2866">
        <v>6998.25</v>
      </c>
    </row>
    <row r="2867" spans="1:11">
      <c r="A2867">
        <v>2866</v>
      </c>
      <c r="B2867" t="s">
        <v>136</v>
      </c>
      <c r="C2867" s="1">
        <v>24473</v>
      </c>
      <c r="D2867">
        <v>59</v>
      </c>
      <c r="E2867" t="s">
        <v>12</v>
      </c>
      <c r="F2867" t="s">
        <v>18</v>
      </c>
      <c r="G2867" s="1">
        <v>45135</v>
      </c>
      <c r="H2867" s="1">
        <v>45058</v>
      </c>
      <c r="I2867">
        <v>10</v>
      </c>
      <c r="J2867" t="s">
        <v>23</v>
      </c>
      <c r="K2867">
        <v>7824.05</v>
      </c>
    </row>
    <row r="2868" spans="1:11">
      <c r="A2868">
        <v>2867</v>
      </c>
      <c r="B2868" t="s">
        <v>141</v>
      </c>
      <c r="C2868" s="1">
        <v>39448</v>
      </c>
      <c r="D2868">
        <v>18</v>
      </c>
      <c r="E2868" t="s">
        <v>12</v>
      </c>
      <c r="F2868" t="s">
        <v>16</v>
      </c>
      <c r="G2868" s="1">
        <v>45240</v>
      </c>
      <c r="H2868" s="1">
        <v>45815</v>
      </c>
      <c r="I2868">
        <v>3</v>
      </c>
      <c r="J2868" t="s">
        <v>19</v>
      </c>
      <c r="K2868">
        <v>18323.650000000001</v>
      </c>
    </row>
    <row r="2869" spans="1:11">
      <c r="A2869">
        <v>2868</v>
      </c>
      <c r="B2869" t="s">
        <v>107</v>
      </c>
      <c r="C2869" s="1">
        <v>28490</v>
      </c>
      <c r="D2869">
        <v>48</v>
      </c>
      <c r="E2869" t="s">
        <v>15</v>
      </c>
      <c r="F2869" t="s">
        <v>13</v>
      </c>
      <c r="G2869" s="1">
        <v>45543</v>
      </c>
      <c r="H2869" s="1">
        <v>45339</v>
      </c>
      <c r="I2869">
        <v>19</v>
      </c>
      <c r="J2869" t="s">
        <v>25</v>
      </c>
      <c r="K2869">
        <v>13142.65</v>
      </c>
    </row>
    <row r="2870" spans="1:11">
      <c r="A2870">
        <v>2869</v>
      </c>
      <c r="B2870" t="s">
        <v>64</v>
      </c>
      <c r="C2870" s="1">
        <v>23377</v>
      </c>
      <c r="D2870">
        <v>62</v>
      </c>
      <c r="E2870" t="s">
        <v>15</v>
      </c>
      <c r="F2870" t="s">
        <v>21</v>
      </c>
      <c r="G2870" s="1">
        <v>44952</v>
      </c>
      <c r="H2870" s="1">
        <v>45017</v>
      </c>
      <c r="I2870">
        <v>14</v>
      </c>
      <c r="J2870" t="s">
        <v>23</v>
      </c>
      <c r="K2870">
        <v>716.25</v>
      </c>
    </row>
    <row r="2871" spans="1:11">
      <c r="A2871">
        <v>2870</v>
      </c>
      <c r="B2871" t="s">
        <v>80</v>
      </c>
      <c r="C2871" s="1">
        <v>16072</v>
      </c>
      <c r="D2871">
        <v>82</v>
      </c>
      <c r="E2871" t="s">
        <v>12</v>
      </c>
      <c r="G2871" s="1">
        <v>45005</v>
      </c>
      <c r="H2871" s="1">
        <v>45425</v>
      </c>
      <c r="I2871">
        <v>19</v>
      </c>
      <c r="J2871" t="s">
        <v>23</v>
      </c>
      <c r="K2871">
        <v>197.69</v>
      </c>
    </row>
    <row r="2872" spans="1:11">
      <c r="A2872">
        <v>2871</v>
      </c>
      <c r="B2872" t="s">
        <v>49</v>
      </c>
      <c r="C2872" s="1">
        <v>38352</v>
      </c>
      <c r="G2872" s="1">
        <v>45054</v>
      </c>
      <c r="H2872" s="1">
        <v>45556</v>
      </c>
      <c r="I2872">
        <v>3</v>
      </c>
      <c r="J2872" t="s">
        <v>23</v>
      </c>
      <c r="K2872">
        <v>3911.32</v>
      </c>
    </row>
    <row r="2873" spans="1:11">
      <c r="A2873">
        <v>2872</v>
      </c>
      <c r="B2873" t="s">
        <v>111</v>
      </c>
      <c r="C2873" s="1">
        <v>37622</v>
      </c>
      <c r="D2873">
        <v>23</v>
      </c>
      <c r="E2873" t="s">
        <v>12</v>
      </c>
      <c r="F2873" t="s">
        <v>21</v>
      </c>
      <c r="G2873" s="1">
        <v>45339</v>
      </c>
      <c r="H2873" s="1">
        <v>45549</v>
      </c>
      <c r="I2873">
        <v>0</v>
      </c>
      <c r="J2873" t="s">
        <v>23</v>
      </c>
      <c r="K2873">
        <v>6295.26</v>
      </c>
    </row>
    <row r="2874" spans="1:11">
      <c r="A2874">
        <v>2873</v>
      </c>
      <c r="B2874" t="s">
        <v>154</v>
      </c>
      <c r="C2874" s="1">
        <v>18629</v>
      </c>
      <c r="D2874">
        <v>75</v>
      </c>
      <c r="E2874" t="s">
        <v>15</v>
      </c>
      <c r="F2874" t="s">
        <v>32</v>
      </c>
      <c r="G2874" s="1">
        <v>45063</v>
      </c>
      <c r="H2874" s="1">
        <v>45816</v>
      </c>
      <c r="I2874">
        <v>3</v>
      </c>
      <c r="K2874">
        <v>9638.93</v>
      </c>
    </row>
    <row r="2875" spans="1:11">
      <c r="A2875">
        <v>2874</v>
      </c>
      <c r="B2875" t="s">
        <v>118</v>
      </c>
      <c r="C2875" s="1">
        <v>35430</v>
      </c>
      <c r="D2875">
        <v>29</v>
      </c>
      <c r="F2875" t="s">
        <v>13</v>
      </c>
      <c r="G2875" s="1">
        <v>45260</v>
      </c>
      <c r="H2875" s="1">
        <v>45281</v>
      </c>
      <c r="I2875">
        <v>14</v>
      </c>
      <c r="J2875" t="s">
        <v>23</v>
      </c>
      <c r="K2875">
        <v>16740.57</v>
      </c>
    </row>
    <row r="2876" spans="1:11">
      <c r="A2876">
        <v>2875</v>
      </c>
      <c r="B2876" t="s">
        <v>134</v>
      </c>
      <c r="C2876" s="1">
        <v>25203</v>
      </c>
      <c r="D2876">
        <v>57</v>
      </c>
      <c r="E2876" t="s">
        <v>15</v>
      </c>
      <c r="G2876" s="1">
        <v>45474</v>
      </c>
      <c r="H2876" s="1">
        <v>45198</v>
      </c>
      <c r="I2876">
        <v>32</v>
      </c>
      <c r="J2876" t="s">
        <v>23</v>
      </c>
      <c r="K2876">
        <v>6227.84</v>
      </c>
    </row>
    <row r="2877" spans="1:11">
      <c r="A2877">
        <v>2876</v>
      </c>
      <c r="B2877" t="s">
        <v>89</v>
      </c>
      <c r="C2877" s="1">
        <v>35065</v>
      </c>
      <c r="D2877">
        <v>30</v>
      </c>
      <c r="E2877" t="s">
        <v>15</v>
      </c>
      <c r="F2877" t="s">
        <v>32</v>
      </c>
      <c r="G2877" s="1">
        <v>45314</v>
      </c>
      <c r="H2877" s="1">
        <v>45319</v>
      </c>
      <c r="I2877">
        <v>34</v>
      </c>
      <c r="J2877" t="s">
        <v>23</v>
      </c>
      <c r="K2877">
        <v>7468.4</v>
      </c>
    </row>
    <row r="2878" spans="1:11">
      <c r="A2878">
        <v>2877</v>
      </c>
      <c r="B2878" t="s">
        <v>42</v>
      </c>
      <c r="C2878" s="1">
        <v>23012</v>
      </c>
      <c r="D2878">
        <v>63</v>
      </c>
      <c r="E2878" t="s">
        <v>12</v>
      </c>
      <c r="F2878" t="s">
        <v>32</v>
      </c>
      <c r="G2878" s="1">
        <v>45497</v>
      </c>
      <c r="H2878" s="1">
        <v>45359</v>
      </c>
      <c r="I2878">
        <v>32</v>
      </c>
      <c r="J2878" t="s">
        <v>25</v>
      </c>
      <c r="K2878">
        <v>6519.69</v>
      </c>
    </row>
    <row r="2879" spans="1:11">
      <c r="A2879">
        <v>2878</v>
      </c>
      <c r="B2879" t="s">
        <v>168</v>
      </c>
      <c r="C2879" s="1">
        <v>39448</v>
      </c>
      <c r="D2879">
        <v>18</v>
      </c>
      <c r="E2879" t="s">
        <v>15</v>
      </c>
      <c r="F2879" t="s">
        <v>16</v>
      </c>
      <c r="G2879" s="1">
        <v>45156</v>
      </c>
      <c r="H2879" s="1">
        <v>45666</v>
      </c>
      <c r="I2879">
        <v>20</v>
      </c>
      <c r="J2879" t="s">
        <v>25</v>
      </c>
      <c r="K2879">
        <v>80.2</v>
      </c>
    </row>
    <row r="2880" spans="1:11">
      <c r="A2880">
        <v>2879</v>
      </c>
      <c r="B2880" t="s">
        <v>113</v>
      </c>
      <c r="C2880" s="1">
        <v>28856</v>
      </c>
      <c r="D2880">
        <v>47</v>
      </c>
      <c r="E2880" t="s">
        <v>15</v>
      </c>
      <c r="F2880" t="s">
        <v>16</v>
      </c>
      <c r="G2880" s="1">
        <v>45347</v>
      </c>
      <c r="H2880" s="1">
        <v>45399</v>
      </c>
      <c r="I2880">
        <v>5</v>
      </c>
      <c r="J2880" t="s">
        <v>23</v>
      </c>
      <c r="K2880">
        <v>19099.55</v>
      </c>
    </row>
    <row r="2881" spans="1:11">
      <c r="A2881">
        <v>2880</v>
      </c>
      <c r="B2881" t="s">
        <v>112</v>
      </c>
      <c r="C2881" s="1">
        <v>29951</v>
      </c>
      <c r="D2881">
        <v>44</v>
      </c>
      <c r="E2881" t="s">
        <v>15</v>
      </c>
      <c r="F2881" t="s">
        <v>16</v>
      </c>
      <c r="G2881" s="1">
        <v>45050</v>
      </c>
      <c r="H2881" s="1">
        <v>45683</v>
      </c>
      <c r="I2881">
        <v>4</v>
      </c>
      <c r="K2881">
        <v>2693.82</v>
      </c>
    </row>
    <row r="2882" spans="1:11">
      <c r="A2882">
        <v>2881</v>
      </c>
      <c r="B2882" t="s">
        <v>86</v>
      </c>
      <c r="C2882" s="1">
        <v>12054</v>
      </c>
      <c r="D2882">
        <v>93</v>
      </c>
      <c r="E2882" t="s">
        <v>15</v>
      </c>
      <c r="F2882" t="s">
        <v>45</v>
      </c>
      <c r="G2882" s="1">
        <v>45014</v>
      </c>
      <c r="H2882" s="1">
        <v>45235</v>
      </c>
      <c r="I2882">
        <v>7</v>
      </c>
      <c r="J2882" t="s">
        <v>19</v>
      </c>
      <c r="K2882">
        <v>5682.12</v>
      </c>
    </row>
    <row r="2883" spans="1:11">
      <c r="A2883">
        <v>2882</v>
      </c>
      <c r="B2883" t="s">
        <v>37</v>
      </c>
      <c r="C2883" s="1">
        <v>26299</v>
      </c>
      <c r="D2883">
        <v>54</v>
      </c>
      <c r="E2883" t="s">
        <v>12</v>
      </c>
      <c r="F2883" t="s">
        <v>13</v>
      </c>
      <c r="G2883" s="1">
        <v>45067</v>
      </c>
      <c r="H2883" s="1">
        <v>45435</v>
      </c>
      <c r="I2883">
        <v>23</v>
      </c>
      <c r="K2883">
        <v>2499</v>
      </c>
    </row>
    <row r="2884" spans="1:11">
      <c r="A2884">
        <v>2883</v>
      </c>
      <c r="B2884" t="s">
        <v>138</v>
      </c>
      <c r="C2884" s="1">
        <v>26299</v>
      </c>
      <c r="D2884">
        <v>54</v>
      </c>
      <c r="E2884" t="s">
        <v>12</v>
      </c>
      <c r="F2884" t="s">
        <v>21</v>
      </c>
      <c r="G2884" s="1">
        <v>44977</v>
      </c>
      <c r="H2884" s="1">
        <v>44982</v>
      </c>
      <c r="I2884">
        <v>7</v>
      </c>
      <c r="J2884" t="s">
        <v>23</v>
      </c>
      <c r="K2884">
        <v>9759.92</v>
      </c>
    </row>
    <row r="2885" spans="1:11">
      <c r="A2885">
        <v>2884</v>
      </c>
      <c r="B2885" t="s">
        <v>43</v>
      </c>
      <c r="C2885" s="1">
        <v>39813</v>
      </c>
      <c r="E2885" t="s">
        <v>15</v>
      </c>
      <c r="F2885" t="s">
        <v>13</v>
      </c>
      <c r="G2885" s="1">
        <v>45493</v>
      </c>
      <c r="H2885" s="1">
        <v>44964</v>
      </c>
      <c r="I2885">
        <v>16</v>
      </c>
      <c r="J2885" t="s">
        <v>23</v>
      </c>
      <c r="K2885">
        <v>18636.54</v>
      </c>
    </row>
    <row r="2886" spans="1:11">
      <c r="A2886">
        <v>2885</v>
      </c>
      <c r="B2886" t="s">
        <v>139</v>
      </c>
      <c r="C2886" s="1">
        <v>23377</v>
      </c>
      <c r="D2886">
        <v>62</v>
      </c>
      <c r="E2886" t="s">
        <v>12</v>
      </c>
      <c r="F2886" t="s">
        <v>16</v>
      </c>
      <c r="G2886" s="1">
        <v>45331</v>
      </c>
      <c r="H2886" s="1">
        <v>44982</v>
      </c>
      <c r="I2886">
        <v>20</v>
      </c>
      <c r="K2886">
        <v>1924.08</v>
      </c>
    </row>
    <row r="2887" spans="1:11">
      <c r="A2887">
        <v>2886</v>
      </c>
      <c r="B2887" t="s">
        <v>48</v>
      </c>
      <c r="C2887" s="1">
        <v>12785</v>
      </c>
      <c r="D2887">
        <v>91</v>
      </c>
      <c r="E2887" t="s">
        <v>12</v>
      </c>
      <c r="F2887" t="s">
        <v>45</v>
      </c>
      <c r="G2887" s="1">
        <v>45263</v>
      </c>
      <c r="H2887" s="1">
        <v>45451</v>
      </c>
      <c r="I2887">
        <v>28</v>
      </c>
      <c r="J2887" t="s">
        <v>23</v>
      </c>
      <c r="K2887">
        <v>8762.0300000000007</v>
      </c>
    </row>
    <row r="2888" spans="1:11">
      <c r="A2888">
        <v>2887</v>
      </c>
      <c r="B2888" t="s">
        <v>67</v>
      </c>
      <c r="C2888" s="1">
        <v>29221</v>
      </c>
      <c r="D2888">
        <v>46</v>
      </c>
      <c r="E2888" t="s">
        <v>12</v>
      </c>
      <c r="F2888" t="s">
        <v>13</v>
      </c>
      <c r="G2888" s="1">
        <v>45588</v>
      </c>
      <c r="H2888" s="1">
        <v>45390</v>
      </c>
      <c r="I2888">
        <v>30</v>
      </c>
      <c r="J2888" t="s">
        <v>19</v>
      </c>
      <c r="K2888">
        <v>349.73</v>
      </c>
    </row>
    <row r="2889" spans="1:11">
      <c r="A2889">
        <v>2888</v>
      </c>
      <c r="B2889" t="s">
        <v>49</v>
      </c>
      <c r="C2889" s="1">
        <v>18994</v>
      </c>
      <c r="D2889">
        <v>74</v>
      </c>
      <c r="E2889" t="s">
        <v>15</v>
      </c>
      <c r="F2889" t="s">
        <v>13</v>
      </c>
      <c r="G2889" s="1">
        <v>45591</v>
      </c>
      <c r="H2889" s="1">
        <v>45624</v>
      </c>
      <c r="I2889">
        <v>-1</v>
      </c>
      <c r="J2889" t="s">
        <v>25</v>
      </c>
      <c r="K2889">
        <v>15395.05</v>
      </c>
    </row>
    <row r="2890" spans="1:11">
      <c r="A2890">
        <v>2889</v>
      </c>
      <c r="B2890" t="s">
        <v>46</v>
      </c>
      <c r="C2890" s="1">
        <v>25568</v>
      </c>
      <c r="D2890">
        <v>56</v>
      </c>
      <c r="F2890" t="s">
        <v>32</v>
      </c>
      <c r="G2890" s="1">
        <v>45292</v>
      </c>
      <c r="H2890" s="1">
        <v>45405</v>
      </c>
      <c r="I2890">
        <v>25</v>
      </c>
      <c r="J2890" t="s">
        <v>19</v>
      </c>
      <c r="K2890">
        <v>12788.65</v>
      </c>
    </row>
    <row r="2891" spans="1:11">
      <c r="A2891">
        <v>2890</v>
      </c>
      <c r="B2891" t="s">
        <v>114</v>
      </c>
      <c r="C2891" s="1">
        <v>29951</v>
      </c>
      <c r="D2891">
        <v>44</v>
      </c>
      <c r="E2891" t="s">
        <v>12</v>
      </c>
      <c r="F2891" t="s">
        <v>13</v>
      </c>
      <c r="G2891" s="1">
        <v>45184</v>
      </c>
      <c r="H2891" s="1">
        <v>45676</v>
      </c>
      <c r="I2891">
        <v>29</v>
      </c>
      <c r="J2891" t="s">
        <v>19</v>
      </c>
      <c r="K2891">
        <v>13963.94</v>
      </c>
    </row>
    <row r="2892" spans="1:11">
      <c r="A2892">
        <v>2891</v>
      </c>
      <c r="B2892" t="s">
        <v>129</v>
      </c>
      <c r="C2892" s="1">
        <v>34334</v>
      </c>
      <c r="D2892">
        <v>32</v>
      </c>
      <c r="E2892" t="s">
        <v>15</v>
      </c>
      <c r="F2892" t="s">
        <v>32</v>
      </c>
      <c r="G2892" s="1">
        <v>45314</v>
      </c>
      <c r="H2892" s="1">
        <v>45732</v>
      </c>
      <c r="I2892">
        <v>30</v>
      </c>
      <c r="J2892" t="s">
        <v>19</v>
      </c>
      <c r="K2892">
        <v>9393.9599999999991</v>
      </c>
    </row>
    <row r="2893" spans="1:11">
      <c r="A2893">
        <v>2892</v>
      </c>
      <c r="B2893" t="s">
        <v>72</v>
      </c>
      <c r="C2893" s="1">
        <v>40178</v>
      </c>
      <c r="D2893">
        <v>16</v>
      </c>
      <c r="E2893" t="s">
        <v>15</v>
      </c>
      <c r="F2893" t="s">
        <v>32</v>
      </c>
      <c r="G2893" s="1">
        <v>44971</v>
      </c>
      <c r="H2893" s="1">
        <v>45643</v>
      </c>
      <c r="I2893">
        <v>6</v>
      </c>
      <c r="K2893">
        <v>18143.419999999998</v>
      </c>
    </row>
    <row r="2894" spans="1:11">
      <c r="A2894">
        <v>2893</v>
      </c>
      <c r="B2894" t="s">
        <v>47</v>
      </c>
      <c r="C2894" s="1">
        <v>20820</v>
      </c>
      <c r="D2894">
        <v>69</v>
      </c>
      <c r="E2894" t="s">
        <v>15</v>
      </c>
      <c r="F2894" t="s">
        <v>18</v>
      </c>
      <c r="G2894" s="1">
        <v>45195</v>
      </c>
      <c r="H2894" s="1">
        <v>45138</v>
      </c>
      <c r="I2894">
        <v>26</v>
      </c>
      <c r="K2894">
        <v>8132.1</v>
      </c>
    </row>
    <row r="2895" spans="1:11">
      <c r="A2895">
        <v>2894</v>
      </c>
      <c r="B2895" t="s">
        <v>131</v>
      </c>
      <c r="C2895" s="1">
        <v>44927</v>
      </c>
      <c r="D2895">
        <v>3</v>
      </c>
      <c r="E2895" t="s">
        <v>12</v>
      </c>
      <c r="F2895" t="s">
        <v>16</v>
      </c>
      <c r="G2895" s="1">
        <v>45237</v>
      </c>
      <c r="H2895" s="1">
        <v>45153</v>
      </c>
      <c r="I2895">
        <v>12</v>
      </c>
      <c r="J2895" t="s">
        <v>19</v>
      </c>
      <c r="K2895">
        <v>10233.11</v>
      </c>
    </row>
    <row r="2896" spans="1:11">
      <c r="A2896">
        <v>2895</v>
      </c>
      <c r="B2896" t="s">
        <v>39</v>
      </c>
      <c r="C2896" s="1">
        <v>39083</v>
      </c>
      <c r="D2896">
        <v>19</v>
      </c>
      <c r="E2896" t="s">
        <v>15</v>
      </c>
      <c r="G2896" s="1">
        <v>45598</v>
      </c>
      <c r="H2896" s="1">
        <v>44934</v>
      </c>
      <c r="I2896">
        <v>15</v>
      </c>
      <c r="K2896">
        <v>13875.31</v>
      </c>
    </row>
    <row r="2897" spans="1:11">
      <c r="A2897">
        <v>2896</v>
      </c>
      <c r="B2897" t="s">
        <v>128</v>
      </c>
      <c r="C2897" s="1">
        <v>29221</v>
      </c>
      <c r="E2897" t="s">
        <v>12</v>
      </c>
      <c r="F2897" t="s">
        <v>45</v>
      </c>
      <c r="G2897" s="1">
        <v>45204</v>
      </c>
      <c r="H2897" s="1">
        <v>45659</v>
      </c>
      <c r="I2897">
        <v>15</v>
      </c>
      <c r="J2897" t="s">
        <v>23</v>
      </c>
      <c r="K2897">
        <v>10363.27</v>
      </c>
    </row>
    <row r="2898" spans="1:11">
      <c r="A2898">
        <v>2897</v>
      </c>
      <c r="B2898" t="s">
        <v>44</v>
      </c>
      <c r="C2898" s="1">
        <v>13150</v>
      </c>
      <c r="D2898">
        <v>90</v>
      </c>
      <c r="E2898" t="s">
        <v>15</v>
      </c>
      <c r="F2898" t="s">
        <v>32</v>
      </c>
      <c r="G2898" s="1">
        <v>45401</v>
      </c>
      <c r="H2898" s="1">
        <v>45750</v>
      </c>
      <c r="I2898">
        <v>4</v>
      </c>
      <c r="J2898" t="s">
        <v>25</v>
      </c>
      <c r="K2898">
        <v>3705.65</v>
      </c>
    </row>
    <row r="2899" spans="1:11">
      <c r="A2899">
        <v>2898</v>
      </c>
      <c r="B2899" t="s">
        <v>111</v>
      </c>
      <c r="D2899">
        <v>14</v>
      </c>
      <c r="E2899" t="s">
        <v>12</v>
      </c>
      <c r="F2899" t="s">
        <v>13</v>
      </c>
      <c r="G2899" s="1">
        <v>45493</v>
      </c>
      <c r="H2899" s="1">
        <v>45467</v>
      </c>
      <c r="I2899">
        <v>11</v>
      </c>
      <c r="K2899">
        <v>6273.12</v>
      </c>
    </row>
    <row r="2900" spans="1:11">
      <c r="A2900">
        <v>2899</v>
      </c>
      <c r="B2900" t="s">
        <v>62</v>
      </c>
      <c r="D2900">
        <v>69</v>
      </c>
      <c r="E2900" t="s">
        <v>15</v>
      </c>
      <c r="F2900" t="s">
        <v>32</v>
      </c>
      <c r="G2900" s="1">
        <v>45071</v>
      </c>
      <c r="H2900" s="1">
        <v>45732</v>
      </c>
      <c r="I2900">
        <v>26</v>
      </c>
      <c r="K2900">
        <v>1755.12</v>
      </c>
    </row>
    <row r="2901" spans="1:11">
      <c r="A2901">
        <v>2900</v>
      </c>
      <c r="B2901" t="s">
        <v>33</v>
      </c>
      <c r="C2901" s="1">
        <v>29221</v>
      </c>
      <c r="D2901">
        <v>46</v>
      </c>
      <c r="E2901" t="s">
        <v>12</v>
      </c>
      <c r="F2901" t="s">
        <v>32</v>
      </c>
      <c r="G2901" s="1">
        <v>45161</v>
      </c>
      <c r="H2901" s="1">
        <v>45139</v>
      </c>
      <c r="I2901">
        <v>16</v>
      </c>
      <c r="J2901" t="s">
        <v>19</v>
      </c>
      <c r="K2901">
        <v>8595.5300000000007</v>
      </c>
    </row>
    <row r="2902" spans="1:11">
      <c r="A2902">
        <v>2901</v>
      </c>
      <c r="B2902" t="s">
        <v>75</v>
      </c>
      <c r="C2902" s="1">
        <v>17898</v>
      </c>
      <c r="D2902">
        <v>77</v>
      </c>
      <c r="E2902" t="s">
        <v>12</v>
      </c>
      <c r="F2902" t="s">
        <v>32</v>
      </c>
      <c r="G2902" s="1">
        <v>45617</v>
      </c>
      <c r="H2902" s="1">
        <v>45116</v>
      </c>
      <c r="I2902">
        <v>2</v>
      </c>
      <c r="J2902" t="s">
        <v>25</v>
      </c>
      <c r="K2902">
        <v>12148.78</v>
      </c>
    </row>
    <row r="2903" spans="1:11">
      <c r="A2903">
        <v>2902</v>
      </c>
      <c r="B2903" t="s">
        <v>124</v>
      </c>
      <c r="C2903" s="1">
        <v>18994</v>
      </c>
      <c r="D2903">
        <v>74</v>
      </c>
      <c r="E2903" t="s">
        <v>15</v>
      </c>
      <c r="F2903" t="s">
        <v>21</v>
      </c>
      <c r="G2903" s="1">
        <v>45646</v>
      </c>
      <c r="H2903" s="1">
        <v>45002</v>
      </c>
      <c r="I2903">
        <v>38</v>
      </c>
      <c r="J2903" t="s">
        <v>23</v>
      </c>
      <c r="K2903">
        <v>2282.4499999999998</v>
      </c>
    </row>
    <row r="2904" spans="1:11">
      <c r="A2904">
        <v>2903</v>
      </c>
      <c r="B2904" t="s">
        <v>143</v>
      </c>
      <c r="C2904" s="1">
        <v>43100</v>
      </c>
      <c r="D2904">
        <v>8</v>
      </c>
      <c r="E2904" t="s">
        <v>15</v>
      </c>
      <c r="G2904" s="1">
        <v>45062</v>
      </c>
      <c r="H2904" s="1">
        <v>45681</v>
      </c>
      <c r="I2904">
        <v>2</v>
      </c>
      <c r="J2904" t="s">
        <v>23</v>
      </c>
      <c r="K2904">
        <v>12574.8</v>
      </c>
    </row>
    <row r="2905" spans="1:11">
      <c r="A2905">
        <v>2904</v>
      </c>
      <c r="B2905" t="s">
        <v>49</v>
      </c>
      <c r="C2905" s="1">
        <v>13515</v>
      </c>
      <c r="D2905">
        <v>89</v>
      </c>
      <c r="E2905" t="s">
        <v>15</v>
      </c>
      <c r="G2905" s="1">
        <v>45371</v>
      </c>
      <c r="H2905" s="1">
        <v>45041</v>
      </c>
      <c r="I2905">
        <v>12</v>
      </c>
      <c r="J2905" t="s">
        <v>25</v>
      </c>
      <c r="K2905">
        <v>17846.73</v>
      </c>
    </row>
    <row r="2906" spans="1:11">
      <c r="A2906">
        <v>2905</v>
      </c>
      <c r="B2906" t="s">
        <v>72</v>
      </c>
      <c r="C2906" s="1">
        <v>40544</v>
      </c>
      <c r="D2906">
        <v>15</v>
      </c>
      <c r="E2906" t="s">
        <v>12</v>
      </c>
      <c r="F2906" t="s">
        <v>21</v>
      </c>
      <c r="G2906" s="1">
        <v>45279</v>
      </c>
      <c r="H2906" s="1">
        <v>45606</v>
      </c>
      <c r="I2906">
        <v>23</v>
      </c>
      <c r="J2906" t="s">
        <v>23</v>
      </c>
      <c r="K2906">
        <v>6688.25</v>
      </c>
    </row>
    <row r="2907" spans="1:11">
      <c r="A2907">
        <v>2906</v>
      </c>
      <c r="B2907" t="s">
        <v>136</v>
      </c>
      <c r="C2907" s="1">
        <v>21185</v>
      </c>
      <c r="D2907">
        <v>68</v>
      </c>
      <c r="E2907" t="s">
        <v>12</v>
      </c>
      <c r="F2907" t="s">
        <v>21</v>
      </c>
      <c r="G2907" s="1">
        <v>45320</v>
      </c>
      <c r="H2907" s="1">
        <v>45545</v>
      </c>
      <c r="I2907">
        <v>21</v>
      </c>
      <c r="J2907" t="s">
        <v>25</v>
      </c>
      <c r="K2907">
        <v>4362.87</v>
      </c>
    </row>
    <row r="2908" spans="1:11">
      <c r="A2908">
        <v>2907</v>
      </c>
      <c r="B2908" t="s">
        <v>169</v>
      </c>
      <c r="C2908" s="1">
        <v>24107</v>
      </c>
      <c r="D2908">
        <v>60</v>
      </c>
      <c r="E2908" t="s">
        <v>15</v>
      </c>
      <c r="F2908" t="s">
        <v>21</v>
      </c>
      <c r="G2908" s="1">
        <v>45201</v>
      </c>
      <c r="H2908" s="1">
        <v>45078</v>
      </c>
      <c r="I2908">
        <v>16</v>
      </c>
      <c r="J2908" t="s">
        <v>19</v>
      </c>
      <c r="K2908">
        <v>17849.419999999998</v>
      </c>
    </row>
    <row r="2909" spans="1:11">
      <c r="A2909">
        <v>2908</v>
      </c>
      <c r="B2909" t="s">
        <v>79</v>
      </c>
      <c r="C2909" s="1">
        <v>42735</v>
      </c>
      <c r="D2909">
        <v>9</v>
      </c>
      <c r="E2909" t="s">
        <v>15</v>
      </c>
      <c r="G2909" s="1">
        <v>45310</v>
      </c>
      <c r="H2909" s="1">
        <v>45363</v>
      </c>
      <c r="I2909">
        <v>17</v>
      </c>
      <c r="J2909" t="s">
        <v>23</v>
      </c>
      <c r="K2909">
        <v>13808.1</v>
      </c>
    </row>
    <row r="2910" spans="1:11">
      <c r="A2910">
        <v>2909</v>
      </c>
      <c r="B2910" t="s">
        <v>162</v>
      </c>
      <c r="C2910" s="1">
        <v>28125</v>
      </c>
      <c r="D2910">
        <v>49</v>
      </c>
      <c r="E2910" t="s">
        <v>15</v>
      </c>
      <c r="F2910" t="s">
        <v>18</v>
      </c>
      <c r="G2910" s="1">
        <v>45249</v>
      </c>
      <c r="H2910" s="1">
        <v>45805</v>
      </c>
      <c r="I2910">
        <v>6</v>
      </c>
      <c r="J2910" t="s">
        <v>23</v>
      </c>
      <c r="K2910">
        <v>2018.44</v>
      </c>
    </row>
    <row r="2911" spans="1:11">
      <c r="A2911">
        <v>2910</v>
      </c>
      <c r="B2911" t="s">
        <v>127</v>
      </c>
      <c r="C2911" s="1">
        <v>45292</v>
      </c>
      <c r="E2911" t="s">
        <v>12</v>
      </c>
      <c r="F2911" t="s">
        <v>32</v>
      </c>
      <c r="G2911" s="1">
        <v>45109</v>
      </c>
      <c r="H2911" s="1">
        <v>45011</v>
      </c>
      <c r="I2911">
        <v>25</v>
      </c>
      <c r="J2911" t="s">
        <v>25</v>
      </c>
      <c r="K2911">
        <v>8103.05</v>
      </c>
    </row>
    <row r="2912" spans="1:11">
      <c r="A2912">
        <v>2911</v>
      </c>
      <c r="B2912" t="s">
        <v>85</v>
      </c>
      <c r="C2912" s="1">
        <v>18263</v>
      </c>
      <c r="D2912">
        <v>76</v>
      </c>
      <c r="E2912" t="s">
        <v>12</v>
      </c>
      <c r="F2912" t="s">
        <v>18</v>
      </c>
      <c r="G2912" s="1">
        <v>45499</v>
      </c>
      <c r="H2912" s="1">
        <v>45139</v>
      </c>
      <c r="I2912">
        <v>13</v>
      </c>
      <c r="J2912" t="s">
        <v>23</v>
      </c>
      <c r="K2912">
        <v>13449.2</v>
      </c>
    </row>
    <row r="2913" spans="1:11">
      <c r="A2913">
        <v>2912</v>
      </c>
      <c r="B2913" t="s">
        <v>49</v>
      </c>
      <c r="C2913" s="1">
        <v>12054</v>
      </c>
      <c r="D2913">
        <v>93</v>
      </c>
      <c r="E2913" t="s">
        <v>12</v>
      </c>
      <c r="F2913" t="s">
        <v>13</v>
      </c>
      <c r="G2913" s="1">
        <v>45366</v>
      </c>
      <c r="H2913" s="1">
        <v>45706</v>
      </c>
      <c r="I2913">
        <v>8</v>
      </c>
      <c r="K2913">
        <v>11445.12</v>
      </c>
    </row>
    <row r="2914" spans="1:11">
      <c r="A2914">
        <v>2913</v>
      </c>
      <c r="B2914" t="s">
        <v>103</v>
      </c>
      <c r="C2914" s="1">
        <v>20820</v>
      </c>
      <c r="D2914">
        <v>69</v>
      </c>
      <c r="E2914" t="s">
        <v>15</v>
      </c>
      <c r="G2914" s="1">
        <v>44989</v>
      </c>
      <c r="H2914" s="1">
        <v>45761</v>
      </c>
      <c r="I2914">
        <v>31</v>
      </c>
      <c r="J2914" t="s">
        <v>19</v>
      </c>
      <c r="K2914">
        <v>12332.8</v>
      </c>
    </row>
    <row r="2915" spans="1:11">
      <c r="A2915">
        <v>2914</v>
      </c>
      <c r="B2915" t="s">
        <v>84</v>
      </c>
      <c r="C2915" s="1">
        <v>16802</v>
      </c>
      <c r="E2915" t="s">
        <v>15</v>
      </c>
      <c r="F2915" t="s">
        <v>16</v>
      </c>
      <c r="G2915" s="1">
        <v>45653</v>
      </c>
      <c r="H2915" s="1">
        <v>45708</v>
      </c>
      <c r="I2915">
        <v>22</v>
      </c>
      <c r="J2915" t="s">
        <v>23</v>
      </c>
      <c r="K2915">
        <v>11299.42</v>
      </c>
    </row>
    <row r="2916" spans="1:11">
      <c r="A2916">
        <v>2915</v>
      </c>
      <c r="B2916" t="s">
        <v>153</v>
      </c>
      <c r="C2916" s="1">
        <v>27760</v>
      </c>
      <c r="D2916">
        <v>50</v>
      </c>
      <c r="G2916" s="1">
        <v>45577</v>
      </c>
      <c r="H2916" s="1">
        <v>45388</v>
      </c>
      <c r="I2916">
        <v>37</v>
      </c>
      <c r="J2916" t="s">
        <v>23</v>
      </c>
      <c r="K2916">
        <v>15941.03</v>
      </c>
    </row>
    <row r="2917" spans="1:11">
      <c r="A2917">
        <v>2916</v>
      </c>
      <c r="B2917" t="s">
        <v>37</v>
      </c>
      <c r="C2917" s="1">
        <v>39448</v>
      </c>
      <c r="D2917">
        <v>18</v>
      </c>
      <c r="E2917" t="s">
        <v>15</v>
      </c>
      <c r="F2917" t="s">
        <v>45</v>
      </c>
      <c r="G2917" s="1">
        <v>45572</v>
      </c>
      <c r="H2917" s="1">
        <v>45104</v>
      </c>
      <c r="I2917">
        <v>18</v>
      </c>
      <c r="J2917" t="s">
        <v>23</v>
      </c>
      <c r="K2917">
        <v>6340.58</v>
      </c>
    </row>
    <row r="2918" spans="1:11">
      <c r="A2918">
        <v>2917</v>
      </c>
      <c r="B2918" t="s">
        <v>34</v>
      </c>
      <c r="C2918" s="1">
        <v>31047</v>
      </c>
      <c r="D2918">
        <v>41</v>
      </c>
      <c r="E2918" t="s">
        <v>12</v>
      </c>
      <c r="F2918" t="s">
        <v>18</v>
      </c>
      <c r="G2918" s="1">
        <v>44960</v>
      </c>
      <c r="H2918" s="1">
        <v>45710</v>
      </c>
      <c r="I2918">
        <v>2</v>
      </c>
      <c r="J2918" t="s">
        <v>25</v>
      </c>
      <c r="K2918">
        <v>14140.09</v>
      </c>
    </row>
    <row r="2919" spans="1:11">
      <c r="A2919">
        <v>2918</v>
      </c>
      <c r="B2919" t="s">
        <v>171</v>
      </c>
      <c r="C2919" s="1">
        <v>33604</v>
      </c>
      <c r="D2919">
        <v>34</v>
      </c>
      <c r="E2919" t="s">
        <v>15</v>
      </c>
      <c r="F2919" t="s">
        <v>21</v>
      </c>
      <c r="G2919" s="1">
        <v>45631</v>
      </c>
      <c r="H2919" s="1">
        <v>45239</v>
      </c>
      <c r="I2919">
        <v>8</v>
      </c>
      <c r="J2919" t="s">
        <v>19</v>
      </c>
      <c r="K2919">
        <v>19820.7</v>
      </c>
    </row>
    <row r="2920" spans="1:11">
      <c r="A2920">
        <v>2919</v>
      </c>
      <c r="B2920" t="s">
        <v>116</v>
      </c>
      <c r="C2920" s="1">
        <v>29586</v>
      </c>
      <c r="D2920">
        <v>45</v>
      </c>
      <c r="E2920" t="s">
        <v>15</v>
      </c>
      <c r="F2920" t="s">
        <v>21</v>
      </c>
      <c r="G2920" s="1">
        <v>45403</v>
      </c>
      <c r="H2920" s="1">
        <v>45621</v>
      </c>
      <c r="I2920">
        <v>6</v>
      </c>
      <c r="J2920" t="s">
        <v>19</v>
      </c>
      <c r="K2920">
        <v>7738.17</v>
      </c>
    </row>
    <row r="2921" spans="1:11">
      <c r="A2921">
        <v>2920</v>
      </c>
      <c r="B2921" t="s">
        <v>105</v>
      </c>
      <c r="C2921" s="1">
        <v>36891</v>
      </c>
      <c r="D2921">
        <v>25</v>
      </c>
      <c r="E2921" t="s">
        <v>12</v>
      </c>
      <c r="F2921" t="s">
        <v>13</v>
      </c>
      <c r="G2921" s="1">
        <v>45013</v>
      </c>
      <c r="H2921" s="1">
        <v>45086</v>
      </c>
      <c r="I2921">
        <v>8</v>
      </c>
      <c r="J2921" t="s">
        <v>23</v>
      </c>
      <c r="K2921">
        <v>15800.07</v>
      </c>
    </row>
    <row r="2922" spans="1:11">
      <c r="A2922">
        <v>2921</v>
      </c>
      <c r="B2922" t="s">
        <v>75</v>
      </c>
      <c r="D2922">
        <v>68</v>
      </c>
      <c r="F2922" t="s">
        <v>32</v>
      </c>
      <c r="G2922" s="1">
        <v>45136</v>
      </c>
      <c r="H2922" s="1">
        <v>45628</v>
      </c>
      <c r="I2922">
        <v>34</v>
      </c>
      <c r="J2922" t="s">
        <v>23</v>
      </c>
      <c r="K2922">
        <v>4846.8</v>
      </c>
    </row>
    <row r="2923" spans="1:11">
      <c r="A2923">
        <v>2922</v>
      </c>
      <c r="B2923" t="s">
        <v>111</v>
      </c>
      <c r="C2923" s="1">
        <v>12419</v>
      </c>
      <c r="D2923">
        <v>92</v>
      </c>
      <c r="F2923" t="s">
        <v>45</v>
      </c>
      <c r="G2923" s="1">
        <v>45388</v>
      </c>
      <c r="H2923" s="1">
        <v>45113</v>
      </c>
      <c r="I2923">
        <v>38</v>
      </c>
      <c r="J2923" t="s">
        <v>25</v>
      </c>
      <c r="K2923">
        <v>5566.12</v>
      </c>
    </row>
    <row r="2924" spans="1:11">
      <c r="A2924">
        <v>2923</v>
      </c>
      <c r="B2924" t="s">
        <v>81</v>
      </c>
      <c r="C2924" s="1">
        <v>23012</v>
      </c>
      <c r="D2924">
        <v>63</v>
      </c>
      <c r="E2924" t="s">
        <v>15</v>
      </c>
      <c r="F2924" t="s">
        <v>18</v>
      </c>
      <c r="G2924" s="1">
        <v>45007</v>
      </c>
      <c r="H2924" s="1">
        <v>45398</v>
      </c>
      <c r="I2924">
        <v>-2</v>
      </c>
      <c r="J2924" t="s">
        <v>19</v>
      </c>
      <c r="K2924">
        <v>18690.759999999998</v>
      </c>
    </row>
    <row r="2925" spans="1:11">
      <c r="A2925">
        <v>2924</v>
      </c>
      <c r="B2925" t="s">
        <v>24</v>
      </c>
      <c r="C2925" s="1">
        <v>32873</v>
      </c>
      <c r="E2925" t="s">
        <v>15</v>
      </c>
      <c r="F2925" t="s">
        <v>32</v>
      </c>
      <c r="G2925" s="1">
        <v>45248</v>
      </c>
      <c r="H2925" s="1">
        <v>45236</v>
      </c>
      <c r="I2925">
        <v>23</v>
      </c>
      <c r="K2925">
        <v>421.36</v>
      </c>
    </row>
    <row r="2926" spans="1:11">
      <c r="A2926">
        <v>2925</v>
      </c>
      <c r="B2926" t="s">
        <v>97</v>
      </c>
      <c r="C2926" s="1">
        <v>15707</v>
      </c>
      <c r="D2926">
        <v>83</v>
      </c>
      <c r="E2926" t="s">
        <v>12</v>
      </c>
      <c r="F2926" t="s">
        <v>32</v>
      </c>
      <c r="G2926" s="1">
        <v>45341</v>
      </c>
      <c r="H2926" s="1">
        <v>45173</v>
      </c>
      <c r="I2926">
        <v>7</v>
      </c>
      <c r="J2926" t="s">
        <v>23</v>
      </c>
      <c r="K2926">
        <v>4270.29</v>
      </c>
    </row>
    <row r="2927" spans="1:11">
      <c r="A2927">
        <v>2926</v>
      </c>
      <c r="B2927" t="s">
        <v>110</v>
      </c>
      <c r="C2927" s="1">
        <v>28490</v>
      </c>
      <c r="D2927">
        <v>48</v>
      </c>
      <c r="E2927" t="s">
        <v>12</v>
      </c>
      <c r="F2927" t="s">
        <v>16</v>
      </c>
      <c r="G2927" s="1">
        <v>45116</v>
      </c>
      <c r="H2927" s="1">
        <v>45756</v>
      </c>
      <c r="I2927">
        <v>37</v>
      </c>
      <c r="K2927">
        <v>9606.7099999999991</v>
      </c>
    </row>
    <row r="2928" spans="1:11">
      <c r="A2928">
        <v>2927</v>
      </c>
      <c r="B2928" t="s">
        <v>30</v>
      </c>
      <c r="C2928" s="1">
        <v>38717</v>
      </c>
      <c r="D2928">
        <v>20</v>
      </c>
      <c r="E2928" t="s">
        <v>12</v>
      </c>
      <c r="F2928" t="s">
        <v>16</v>
      </c>
      <c r="G2928" s="1">
        <v>45159</v>
      </c>
      <c r="H2928" s="1">
        <v>45311</v>
      </c>
      <c r="I2928">
        <v>16</v>
      </c>
      <c r="K2928">
        <v>7977.14</v>
      </c>
    </row>
    <row r="2929" spans="1:11">
      <c r="A2929">
        <v>2928</v>
      </c>
      <c r="B2929" t="s">
        <v>87</v>
      </c>
      <c r="C2929" s="1">
        <v>19359</v>
      </c>
      <c r="D2929">
        <v>73</v>
      </c>
      <c r="E2929" t="s">
        <v>15</v>
      </c>
      <c r="F2929" t="s">
        <v>18</v>
      </c>
      <c r="G2929" s="1">
        <v>45318</v>
      </c>
      <c r="H2929" s="1">
        <v>44969</v>
      </c>
      <c r="I2929">
        <v>13</v>
      </c>
      <c r="J2929" t="s">
        <v>19</v>
      </c>
      <c r="K2929">
        <v>12546.31</v>
      </c>
    </row>
    <row r="2930" spans="1:11">
      <c r="A2930">
        <v>2929</v>
      </c>
      <c r="B2930" t="s">
        <v>103</v>
      </c>
      <c r="C2930" s="1">
        <v>23012</v>
      </c>
      <c r="D2930">
        <v>63</v>
      </c>
      <c r="E2930" t="s">
        <v>12</v>
      </c>
      <c r="F2930" t="s">
        <v>18</v>
      </c>
      <c r="G2930" s="1">
        <v>45095</v>
      </c>
      <c r="H2930" s="1">
        <v>45212</v>
      </c>
      <c r="I2930">
        <v>34</v>
      </c>
      <c r="K2930">
        <v>3773.71</v>
      </c>
    </row>
    <row r="2931" spans="1:11">
      <c r="A2931">
        <v>2930</v>
      </c>
      <c r="B2931" t="s">
        <v>151</v>
      </c>
      <c r="C2931" s="1">
        <v>44561</v>
      </c>
      <c r="D2931">
        <v>4</v>
      </c>
      <c r="E2931" t="s">
        <v>12</v>
      </c>
      <c r="F2931" t="s">
        <v>18</v>
      </c>
      <c r="G2931" s="1">
        <v>45369</v>
      </c>
      <c r="H2931" s="1">
        <v>45227</v>
      </c>
      <c r="I2931">
        <v>38</v>
      </c>
      <c r="J2931" t="s">
        <v>23</v>
      </c>
      <c r="K2931">
        <v>1317.99</v>
      </c>
    </row>
    <row r="2932" spans="1:11">
      <c r="A2932">
        <v>2931</v>
      </c>
      <c r="B2932" t="s">
        <v>72</v>
      </c>
      <c r="C2932" s="1">
        <v>20820</v>
      </c>
      <c r="D2932">
        <v>69</v>
      </c>
      <c r="E2932" t="s">
        <v>12</v>
      </c>
      <c r="F2932" t="s">
        <v>18</v>
      </c>
      <c r="G2932" s="1">
        <v>45094</v>
      </c>
      <c r="H2932" s="1">
        <v>45363</v>
      </c>
      <c r="I2932">
        <v>1</v>
      </c>
      <c r="J2932" t="s">
        <v>23</v>
      </c>
      <c r="K2932">
        <v>7323.6</v>
      </c>
    </row>
    <row r="2933" spans="1:11">
      <c r="A2933">
        <v>2932</v>
      </c>
      <c r="B2933" t="s">
        <v>72</v>
      </c>
      <c r="C2933" s="1">
        <v>13515</v>
      </c>
      <c r="D2933">
        <v>89</v>
      </c>
      <c r="E2933" t="s">
        <v>12</v>
      </c>
      <c r="F2933" t="s">
        <v>21</v>
      </c>
      <c r="G2933" s="1">
        <v>45157</v>
      </c>
      <c r="H2933" s="1">
        <v>45296</v>
      </c>
      <c r="I2933">
        <v>11</v>
      </c>
      <c r="J2933" t="s">
        <v>25</v>
      </c>
      <c r="K2933">
        <v>10439.540000000001</v>
      </c>
    </row>
    <row r="2934" spans="1:11">
      <c r="A2934">
        <v>2933</v>
      </c>
      <c r="B2934" t="s">
        <v>24</v>
      </c>
      <c r="C2934" s="1">
        <v>44927</v>
      </c>
      <c r="D2934">
        <v>3</v>
      </c>
      <c r="E2934" t="s">
        <v>15</v>
      </c>
      <c r="G2934" s="1">
        <v>45076</v>
      </c>
      <c r="H2934" s="1">
        <v>45801</v>
      </c>
      <c r="I2934">
        <v>27</v>
      </c>
      <c r="J2934" t="s">
        <v>19</v>
      </c>
      <c r="K2934">
        <v>11196.24</v>
      </c>
    </row>
    <row r="2935" spans="1:11">
      <c r="A2935">
        <v>2934</v>
      </c>
      <c r="B2935" t="s">
        <v>34</v>
      </c>
      <c r="C2935" s="1">
        <v>32143</v>
      </c>
      <c r="D2935">
        <v>38</v>
      </c>
      <c r="G2935" s="1">
        <v>45590</v>
      </c>
      <c r="H2935" s="1">
        <v>45413</v>
      </c>
      <c r="I2935">
        <v>4</v>
      </c>
      <c r="J2935" t="s">
        <v>19</v>
      </c>
      <c r="K2935">
        <v>11990.02</v>
      </c>
    </row>
    <row r="2936" spans="1:11">
      <c r="A2936">
        <v>2935</v>
      </c>
      <c r="B2936" t="s">
        <v>139</v>
      </c>
      <c r="C2936" s="1">
        <v>33604</v>
      </c>
      <c r="D2936">
        <v>34</v>
      </c>
      <c r="E2936" t="s">
        <v>12</v>
      </c>
      <c r="F2936" t="s">
        <v>32</v>
      </c>
      <c r="G2936" s="1">
        <v>45476</v>
      </c>
      <c r="H2936" s="1">
        <v>45363</v>
      </c>
      <c r="I2936">
        <v>9</v>
      </c>
      <c r="K2936">
        <v>10928.11</v>
      </c>
    </row>
    <row r="2937" spans="1:11">
      <c r="A2937">
        <v>2936</v>
      </c>
      <c r="B2937" t="s">
        <v>139</v>
      </c>
      <c r="C2937" s="1">
        <v>46022</v>
      </c>
      <c r="D2937">
        <v>0</v>
      </c>
      <c r="E2937" t="s">
        <v>12</v>
      </c>
      <c r="G2937" s="1">
        <v>45312</v>
      </c>
      <c r="H2937" s="1">
        <v>45733</v>
      </c>
      <c r="I2937">
        <v>21</v>
      </c>
      <c r="J2937" t="s">
        <v>23</v>
      </c>
      <c r="K2937">
        <v>4839.6099999999997</v>
      </c>
    </row>
    <row r="2938" spans="1:11">
      <c r="A2938">
        <v>2937</v>
      </c>
      <c r="B2938" t="s">
        <v>161</v>
      </c>
      <c r="C2938" s="1">
        <v>37622</v>
      </c>
      <c r="D2938">
        <v>23</v>
      </c>
      <c r="E2938" t="s">
        <v>12</v>
      </c>
      <c r="F2938" t="s">
        <v>32</v>
      </c>
      <c r="G2938" s="1">
        <v>45307</v>
      </c>
      <c r="H2938" s="1">
        <v>45355</v>
      </c>
      <c r="I2938">
        <v>36</v>
      </c>
      <c r="J2938" t="s">
        <v>23</v>
      </c>
      <c r="K2938">
        <v>15267.45</v>
      </c>
    </row>
    <row r="2939" spans="1:11">
      <c r="A2939">
        <v>2938</v>
      </c>
      <c r="B2939" t="s">
        <v>70</v>
      </c>
      <c r="C2939" s="1">
        <v>25568</v>
      </c>
      <c r="D2939">
        <v>56</v>
      </c>
      <c r="E2939" t="s">
        <v>12</v>
      </c>
      <c r="F2939" t="s">
        <v>21</v>
      </c>
      <c r="G2939" s="1">
        <v>45201</v>
      </c>
      <c r="H2939" s="1">
        <v>45108</v>
      </c>
      <c r="I2939">
        <v>19</v>
      </c>
      <c r="J2939" t="s">
        <v>25</v>
      </c>
      <c r="K2939">
        <v>1664.38</v>
      </c>
    </row>
    <row r="2940" spans="1:11">
      <c r="A2940">
        <v>2939</v>
      </c>
      <c r="B2940" t="s">
        <v>142</v>
      </c>
      <c r="C2940" s="1">
        <v>20820</v>
      </c>
      <c r="D2940">
        <v>69</v>
      </c>
      <c r="E2940" t="s">
        <v>12</v>
      </c>
      <c r="G2940" s="1">
        <v>45543</v>
      </c>
      <c r="H2940" s="1">
        <v>45810</v>
      </c>
      <c r="I2940">
        <v>27</v>
      </c>
      <c r="K2940">
        <v>3886.91</v>
      </c>
    </row>
    <row r="2941" spans="1:11">
      <c r="A2941">
        <v>2940</v>
      </c>
      <c r="B2941" t="s">
        <v>117</v>
      </c>
      <c r="C2941" s="1">
        <v>31412</v>
      </c>
      <c r="D2941">
        <v>40</v>
      </c>
      <c r="E2941" t="s">
        <v>15</v>
      </c>
      <c r="F2941" t="s">
        <v>32</v>
      </c>
      <c r="G2941" s="1">
        <v>44988</v>
      </c>
      <c r="H2941" s="1">
        <v>45825</v>
      </c>
      <c r="I2941">
        <v>36</v>
      </c>
      <c r="J2941" t="s">
        <v>23</v>
      </c>
      <c r="K2941">
        <v>14761.5</v>
      </c>
    </row>
    <row r="2942" spans="1:11">
      <c r="A2942">
        <v>2941</v>
      </c>
      <c r="B2942" t="s">
        <v>36</v>
      </c>
      <c r="C2942" s="1">
        <v>26664</v>
      </c>
      <c r="D2942">
        <v>53</v>
      </c>
      <c r="E2942" t="s">
        <v>15</v>
      </c>
      <c r="F2942" t="s">
        <v>18</v>
      </c>
      <c r="G2942" s="1">
        <v>45393</v>
      </c>
      <c r="H2942" s="1">
        <v>45804</v>
      </c>
      <c r="I2942">
        <v>17</v>
      </c>
      <c r="J2942" t="s">
        <v>19</v>
      </c>
      <c r="K2942">
        <v>5522.5</v>
      </c>
    </row>
    <row r="2943" spans="1:11">
      <c r="A2943">
        <v>2942</v>
      </c>
      <c r="B2943" t="s">
        <v>163</v>
      </c>
      <c r="C2943" s="1">
        <v>29586</v>
      </c>
      <c r="D2943">
        <v>45</v>
      </c>
      <c r="E2943" t="s">
        <v>15</v>
      </c>
      <c r="F2943" t="s">
        <v>45</v>
      </c>
      <c r="G2943" s="1">
        <v>45454</v>
      </c>
      <c r="H2943" s="1">
        <v>45621</v>
      </c>
      <c r="I2943">
        <v>23</v>
      </c>
      <c r="J2943" t="s">
        <v>25</v>
      </c>
      <c r="K2943">
        <v>9818.82</v>
      </c>
    </row>
    <row r="2944" spans="1:11">
      <c r="A2944">
        <v>2943</v>
      </c>
      <c r="B2944" t="s">
        <v>120</v>
      </c>
      <c r="C2944" s="1">
        <v>24473</v>
      </c>
      <c r="D2944">
        <v>59</v>
      </c>
      <c r="E2944" t="s">
        <v>15</v>
      </c>
      <c r="G2944" s="1">
        <v>45076</v>
      </c>
      <c r="H2944" s="1">
        <v>45267</v>
      </c>
      <c r="I2944">
        <v>2</v>
      </c>
      <c r="J2944" t="s">
        <v>19</v>
      </c>
      <c r="K2944">
        <v>6476.67</v>
      </c>
    </row>
    <row r="2945" spans="1:11">
      <c r="A2945">
        <v>2944</v>
      </c>
      <c r="B2945" t="s">
        <v>144</v>
      </c>
      <c r="C2945" s="1">
        <v>24473</v>
      </c>
      <c r="E2945" t="s">
        <v>15</v>
      </c>
      <c r="F2945" t="s">
        <v>16</v>
      </c>
      <c r="G2945" s="1">
        <v>45068</v>
      </c>
      <c r="H2945" s="1">
        <v>45418</v>
      </c>
      <c r="I2945">
        <v>37</v>
      </c>
      <c r="J2945" t="s">
        <v>25</v>
      </c>
      <c r="K2945">
        <v>10090.32</v>
      </c>
    </row>
    <row r="2946" spans="1:11">
      <c r="A2946">
        <v>2945</v>
      </c>
      <c r="B2946" t="s">
        <v>115</v>
      </c>
      <c r="C2946" s="1">
        <v>25568</v>
      </c>
      <c r="D2946">
        <v>56</v>
      </c>
      <c r="E2946" t="s">
        <v>15</v>
      </c>
      <c r="F2946" t="s">
        <v>16</v>
      </c>
      <c r="G2946" s="1">
        <v>45042</v>
      </c>
      <c r="H2946" s="1">
        <v>45422</v>
      </c>
      <c r="I2946">
        <v>39</v>
      </c>
      <c r="J2946" t="s">
        <v>19</v>
      </c>
      <c r="K2946">
        <v>6867.78</v>
      </c>
    </row>
    <row r="2947" spans="1:11">
      <c r="A2947">
        <v>2946</v>
      </c>
      <c r="B2947" t="s">
        <v>67</v>
      </c>
      <c r="C2947" s="1">
        <v>35065</v>
      </c>
      <c r="D2947">
        <v>30</v>
      </c>
      <c r="E2947" t="s">
        <v>15</v>
      </c>
      <c r="F2947" t="s">
        <v>32</v>
      </c>
      <c r="G2947" s="1">
        <v>44991</v>
      </c>
      <c r="H2947" s="1">
        <v>45657</v>
      </c>
      <c r="I2947">
        <v>3</v>
      </c>
      <c r="K2947">
        <v>19883.580000000002</v>
      </c>
    </row>
    <row r="2948" spans="1:11">
      <c r="A2948">
        <v>2947</v>
      </c>
      <c r="B2948" t="s">
        <v>100</v>
      </c>
      <c r="C2948" s="1">
        <v>15707</v>
      </c>
      <c r="D2948">
        <v>83</v>
      </c>
      <c r="E2948" t="s">
        <v>15</v>
      </c>
      <c r="F2948" t="s">
        <v>45</v>
      </c>
      <c r="G2948" s="1">
        <v>45355</v>
      </c>
      <c r="H2948" s="1">
        <v>45090</v>
      </c>
      <c r="I2948">
        <v>31</v>
      </c>
      <c r="J2948" t="s">
        <v>23</v>
      </c>
      <c r="K2948">
        <v>7085.3</v>
      </c>
    </row>
    <row r="2949" spans="1:11">
      <c r="A2949">
        <v>2948</v>
      </c>
      <c r="B2949" t="s">
        <v>169</v>
      </c>
      <c r="C2949" s="1">
        <v>37622</v>
      </c>
      <c r="D2949">
        <v>23</v>
      </c>
      <c r="E2949" t="s">
        <v>15</v>
      </c>
      <c r="F2949" t="s">
        <v>16</v>
      </c>
      <c r="G2949" s="1">
        <v>45236</v>
      </c>
      <c r="H2949" s="1">
        <v>45485</v>
      </c>
      <c r="I2949">
        <v>2</v>
      </c>
      <c r="J2949" t="s">
        <v>19</v>
      </c>
      <c r="K2949">
        <v>12503.69</v>
      </c>
    </row>
    <row r="2950" spans="1:11">
      <c r="A2950">
        <v>2949</v>
      </c>
      <c r="B2950" t="s">
        <v>105</v>
      </c>
      <c r="C2950" s="1">
        <v>13880</v>
      </c>
      <c r="D2950">
        <v>88</v>
      </c>
      <c r="E2950" t="s">
        <v>15</v>
      </c>
      <c r="G2950" s="1">
        <v>45632</v>
      </c>
      <c r="H2950" s="1">
        <v>45383</v>
      </c>
      <c r="I2950">
        <v>7</v>
      </c>
      <c r="K2950">
        <v>17755.7</v>
      </c>
    </row>
    <row r="2951" spans="1:11">
      <c r="A2951">
        <v>2950</v>
      </c>
      <c r="B2951" t="s">
        <v>41</v>
      </c>
      <c r="C2951" s="1">
        <v>33239</v>
      </c>
      <c r="D2951">
        <v>35</v>
      </c>
      <c r="E2951" t="s">
        <v>12</v>
      </c>
      <c r="F2951" t="s">
        <v>45</v>
      </c>
      <c r="G2951" s="1">
        <v>45356</v>
      </c>
      <c r="H2951" s="1">
        <v>45019</v>
      </c>
      <c r="I2951">
        <v>25</v>
      </c>
      <c r="J2951" t="s">
        <v>19</v>
      </c>
      <c r="K2951">
        <v>12722.49</v>
      </c>
    </row>
    <row r="2952" spans="1:11">
      <c r="A2952">
        <v>2951</v>
      </c>
      <c r="B2952" t="s">
        <v>63</v>
      </c>
      <c r="C2952" s="1">
        <v>15341</v>
      </c>
      <c r="D2952">
        <v>84</v>
      </c>
      <c r="E2952" t="s">
        <v>12</v>
      </c>
      <c r="F2952" t="s">
        <v>21</v>
      </c>
      <c r="G2952" s="1">
        <v>45087</v>
      </c>
      <c r="H2952" s="1">
        <v>45032</v>
      </c>
      <c r="I2952">
        <v>0</v>
      </c>
      <c r="K2952">
        <v>11273.73</v>
      </c>
    </row>
    <row r="2953" spans="1:11">
      <c r="A2953">
        <v>2952</v>
      </c>
      <c r="B2953" t="s">
        <v>60</v>
      </c>
      <c r="C2953" s="1">
        <v>35430</v>
      </c>
      <c r="D2953">
        <v>29</v>
      </c>
      <c r="E2953" t="s">
        <v>15</v>
      </c>
      <c r="F2953" t="s">
        <v>13</v>
      </c>
      <c r="G2953" s="1">
        <v>45232</v>
      </c>
      <c r="H2953" s="1">
        <v>45646</v>
      </c>
      <c r="I2953">
        <v>10</v>
      </c>
      <c r="J2953" t="s">
        <v>25</v>
      </c>
      <c r="K2953">
        <v>11341.51</v>
      </c>
    </row>
    <row r="2954" spans="1:11">
      <c r="A2954">
        <v>2953</v>
      </c>
      <c r="B2954" t="s">
        <v>34</v>
      </c>
      <c r="C2954" s="1">
        <v>37622</v>
      </c>
      <c r="D2954">
        <v>23</v>
      </c>
      <c r="E2954" t="s">
        <v>12</v>
      </c>
      <c r="F2954" t="s">
        <v>32</v>
      </c>
      <c r="G2954" s="1">
        <v>45287</v>
      </c>
      <c r="H2954" s="1">
        <v>45366</v>
      </c>
      <c r="I2954">
        <v>-1</v>
      </c>
      <c r="K2954">
        <v>9878.86</v>
      </c>
    </row>
    <row r="2955" spans="1:11">
      <c r="A2955">
        <v>2954</v>
      </c>
      <c r="B2955" t="s">
        <v>29</v>
      </c>
      <c r="C2955" s="1">
        <v>35430</v>
      </c>
      <c r="D2955">
        <v>29</v>
      </c>
      <c r="E2955" t="s">
        <v>12</v>
      </c>
      <c r="F2955" t="s">
        <v>21</v>
      </c>
      <c r="G2955" s="1">
        <v>45204</v>
      </c>
      <c r="H2955" s="1">
        <v>45425</v>
      </c>
      <c r="I2955">
        <v>32</v>
      </c>
      <c r="J2955" t="s">
        <v>19</v>
      </c>
      <c r="K2955">
        <v>16132.37</v>
      </c>
    </row>
    <row r="2956" spans="1:11">
      <c r="A2956">
        <v>2955</v>
      </c>
      <c r="B2956" t="s">
        <v>72</v>
      </c>
      <c r="C2956" s="1">
        <v>14976</v>
      </c>
      <c r="D2956">
        <v>85</v>
      </c>
      <c r="E2956" t="s">
        <v>15</v>
      </c>
      <c r="F2956" t="s">
        <v>21</v>
      </c>
      <c r="G2956" s="1">
        <v>45222</v>
      </c>
      <c r="H2956" s="1">
        <v>45255</v>
      </c>
      <c r="I2956">
        <v>25</v>
      </c>
      <c r="J2956" t="s">
        <v>23</v>
      </c>
      <c r="K2956">
        <v>913.52</v>
      </c>
    </row>
    <row r="2957" spans="1:11">
      <c r="A2957">
        <v>2956</v>
      </c>
      <c r="B2957" t="s">
        <v>122</v>
      </c>
      <c r="C2957" s="1">
        <v>12785</v>
      </c>
      <c r="D2957">
        <v>91</v>
      </c>
      <c r="E2957" t="s">
        <v>12</v>
      </c>
      <c r="F2957" t="s">
        <v>45</v>
      </c>
      <c r="G2957" s="1">
        <v>45477</v>
      </c>
      <c r="H2957" s="1">
        <v>45578</v>
      </c>
      <c r="I2957">
        <v>34</v>
      </c>
      <c r="J2957" t="s">
        <v>25</v>
      </c>
      <c r="K2957">
        <v>17691.11</v>
      </c>
    </row>
    <row r="2958" spans="1:11">
      <c r="A2958">
        <v>2957</v>
      </c>
      <c r="B2958" t="s">
        <v>154</v>
      </c>
      <c r="C2958" s="1">
        <v>43831</v>
      </c>
      <c r="D2958">
        <v>6</v>
      </c>
      <c r="E2958" t="s">
        <v>12</v>
      </c>
      <c r="F2958" t="s">
        <v>32</v>
      </c>
      <c r="G2958" s="1">
        <v>45095</v>
      </c>
      <c r="H2958" s="1">
        <v>45468</v>
      </c>
      <c r="I2958">
        <v>20</v>
      </c>
      <c r="J2958" t="s">
        <v>25</v>
      </c>
      <c r="K2958">
        <v>11684.47</v>
      </c>
    </row>
    <row r="2959" spans="1:11">
      <c r="A2959">
        <v>2958</v>
      </c>
      <c r="B2959" t="s">
        <v>151</v>
      </c>
      <c r="C2959" s="1">
        <v>33604</v>
      </c>
      <c r="D2959">
        <v>34</v>
      </c>
      <c r="E2959" t="s">
        <v>12</v>
      </c>
      <c r="F2959" t="s">
        <v>21</v>
      </c>
      <c r="G2959" s="1">
        <v>45385</v>
      </c>
      <c r="H2959" s="1">
        <v>45436</v>
      </c>
      <c r="I2959">
        <v>20</v>
      </c>
      <c r="K2959">
        <v>16962.349999999999</v>
      </c>
    </row>
    <row r="2960" spans="1:11">
      <c r="A2960">
        <v>2959</v>
      </c>
      <c r="B2960" t="s">
        <v>125</v>
      </c>
      <c r="D2960">
        <v>54</v>
      </c>
      <c r="E2960" t="s">
        <v>15</v>
      </c>
      <c r="F2960" t="s">
        <v>18</v>
      </c>
      <c r="G2960" s="1">
        <v>45506</v>
      </c>
      <c r="H2960" s="1">
        <v>45178</v>
      </c>
      <c r="I2960">
        <v>32</v>
      </c>
      <c r="J2960" t="s">
        <v>19</v>
      </c>
      <c r="K2960">
        <v>108.89</v>
      </c>
    </row>
    <row r="2961" spans="1:11">
      <c r="A2961">
        <v>2960</v>
      </c>
      <c r="B2961" t="s">
        <v>84</v>
      </c>
      <c r="C2961" s="1">
        <v>12785</v>
      </c>
      <c r="D2961">
        <v>91</v>
      </c>
      <c r="E2961" t="s">
        <v>12</v>
      </c>
      <c r="F2961" t="s">
        <v>21</v>
      </c>
      <c r="G2961" s="1">
        <v>44933</v>
      </c>
      <c r="H2961" s="1">
        <v>45118</v>
      </c>
      <c r="I2961">
        <v>38</v>
      </c>
      <c r="K2961">
        <v>17372.46</v>
      </c>
    </row>
    <row r="2962" spans="1:11">
      <c r="A2962">
        <v>2961</v>
      </c>
      <c r="B2962" t="s">
        <v>161</v>
      </c>
      <c r="C2962" s="1">
        <v>41274</v>
      </c>
      <c r="D2962">
        <v>13</v>
      </c>
      <c r="E2962" t="s">
        <v>15</v>
      </c>
      <c r="F2962" t="s">
        <v>18</v>
      </c>
      <c r="G2962" s="1">
        <v>45523</v>
      </c>
      <c r="H2962" s="1">
        <v>44974</v>
      </c>
      <c r="I2962">
        <v>36</v>
      </c>
      <c r="J2962" t="s">
        <v>25</v>
      </c>
      <c r="K2962">
        <v>2314.7600000000002</v>
      </c>
    </row>
    <row r="2963" spans="1:11">
      <c r="A2963">
        <v>2962</v>
      </c>
      <c r="B2963" t="s">
        <v>90</v>
      </c>
      <c r="C2963" s="1">
        <v>42735</v>
      </c>
      <c r="D2963">
        <v>9</v>
      </c>
      <c r="E2963" t="s">
        <v>12</v>
      </c>
      <c r="F2963" t="s">
        <v>13</v>
      </c>
      <c r="G2963" s="1">
        <v>45637</v>
      </c>
      <c r="H2963" s="1">
        <v>45806</v>
      </c>
      <c r="I2963">
        <v>29</v>
      </c>
      <c r="J2963" t="s">
        <v>23</v>
      </c>
      <c r="K2963">
        <v>14396.48</v>
      </c>
    </row>
    <row r="2964" spans="1:11">
      <c r="A2964">
        <v>2963</v>
      </c>
      <c r="B2964" t="s">
        <v>170</v>
      </c>
      <c r="C2964" s="1">
        <v>17168</v>
      </c>
      <c r="D2964">
        <v>79</v>
      </c>
      <c r="F2964" t="s">
        <v>18</v>
      </c>
      <c r="G2964" s="1">
        <v>45058</v>
      </c>
      <c r="H2964" s="1">
        <v>45178</v>
      </c>
      <c r="I2964">
        <v>-1</v>
      </c>
      <c r="K2964">
        <v>8272.08</v>
      </c>
    </row>
    <row r="2965" spans="1:11">
      <c r="A2965">
        <v>2964</v>
      </c>
      <c r="B2965" t="s">
        <v>50</v>
      </c>
      <c r="C2965" s="1">
        <v>40544</v>
      </c>
      <c r="D2965">
        <v>15</v>
      </c>
      <c r="E2965" t="s">
        <v>12</v>
      </c>
      <c r="F2965" t="s">
        <v>18</v>
      </c>
      <c r="G2965" s="1">
        <v>45514</v>
      </c>
      <c r="H2965" s="1">
        <v>45702</v>
      </c>
      <c r="I2965">
        <v>13</v>
      </c>
      <c r="J2965" t="s">
        <v>19</v>
      </c>
      <c r="K2965">
        <v>13589.56</v>
      </c>
    </row>
    <row r="2966" spans="1:11">
      <c r="A2966">
        <v>2965</v>
      </c>
      <c r="B2966" t="s">
        <v>168</v>
      </c>
      <c r="C2966" s="1">
        <v>26664</v>
      </c>
      <c r="D2966">
        <v>53</v>
      </c>
      <c r="E2966" t="s">
        <v>12</v>
      </c>
      <c r="F2966" t="s">
        <v>45</v>
      </c>
      <c r="G2966" s="1">
        <v>45273</v>
      </c>
      <c r="H2966" s="1">
        <v>45812</v>
      </c>
      <c r="I2966">
        <v>13</v>
      </c>
      <c r="K2966">
        <v>12526.61</v>
      </c>
    </row>
    <row r="2967" spans="1:11">
      <c r="A2967">
        <v>2966</v>
      </c>
      <c r="B2967" t="s">
        <v>88</v>
      </c>
      <c r="C2967" s="1">
        <v>11689</v>
      </c>
      <c r="D2967">
        <v>94</v>
      </c>
      <c r="E2967" t="s">
        <v>15</v>
      </c>
      <c r="F2967" t="s">
        <v>21</v>
      </c>
      <c r="G2967" s="1">
        <v>45647</v>
      </c>
      <c r="H2967" s="1">
        <v>44991</v>
      </c>
      <c r="I2967">
        <v>0</v>
      </c>
      <c r="K2967">
        <v>3184.27</v>
      </c>
    </row>
    <row r="2968" spans="1:11">
      <c r="A2968">
        <v>2967</v>
      </c>
      <c r="B2968" t="s">
        <v>66</v>
      </c>
      <c r="C2968" s="1">
        <v>13880</v>
      </c>
      <c r="D2968">
        <v>88</v>
      </c>
      <c r="F2968" t="s">
        <v>13</v>
      </c>
      <c r="G2968" s="1">
        <v>45522</v>
      </c>
      <c r="H2968" s="1">
        <v>45777</v>
      </c>
      <c r="I2968">
        <v>25</v>
      </c>
      <c r="K2968">
        <v>10243.74</v>
      </c>
    </row>
    <row r="2969" spans="1:11">
      <c r="A2969">
        <v>2968</v>
      </c>
      <c r="B2969" t="s">
        <v>157</v>
      </c>
      <c r="C2969" s="1">
        <v>18263</v>
      </c>
      <c r="D2969">
        <v>76</v>
      </c>
      <c r="E2969" t="s">
        <v>12</v>
      </c>
      <c r="F2969" t="s">
        <v>21</v>
      </c>
      <c r="G2969" s="1">
        <v>45179</v>
      </c>
      <c r="H2969" s="1">
        <v>45247</v>
      </c>
      <c r="I2969">
        <v>26</v>
      </c>
      <c r="J2969" t="s">
        <v>23</v>
      </c>
      <c r="K2969">
        <v>5472.33</v>
      </c>
    </row>
    <row r="2970" spans="1:11">
      <c r="A2970">
        <v>2969</v>
      </c>
      <c r="B2970" t="s">
        <v>60</v>
      </c>
      <c r="C2970" s="1">
        <v>20820</v>
      </c>
      <c r="D2970">
        <v>69</v>
      </c>
      <c r="E2970" t="s">
        <v>15</v>
      </c>
      <c r="G2970" s="1">
        <v>45336</v>
      </c>
      <c r="H2970" s="1">
        <v>45787</v>
      </c>
      <c r="I2970">
        <v>17</v>
      </c>
      <c r="J2970" t="s">
        <v>19</v>
      </c>
      <c r="K2970">
        <v>11164.78</v>
      </c>
    </row>
    <row r="2971" spans="1:11">
      <c r="A2971">
        <v>2970</v>
      </c>
      <c r="B2971" t="s">
        <v>143</v>
      </c>
      <c r="C2971" s="1">
        <v>30317</v>
      </c>
      <c r="D2971">
        <v>43</v>
      </c>
      <c r="E2971" t="s">
        <v>12</v>
      </c>
      <c r="G2971" s="1">
        <v>45469</v>
      </c>
      <c r="H2971" s="1">
        <v>45707</v>
      </c>
      <c r="I2971">
        <v>33</v>
      </c>
      <c r="J2971" t="s">
        <v>19</v>
      </c>
      <c r="K2971">
        <v>14733.87</v>
      </c>
    </row>
    <row r="2972" spans="1:11">
      <c r="A2972">
        <v>2971</v>
      </c>
      <c r="B2972" t="s">
        <v>41</v>
      </c>
      <c r="C2972" s="1">
        <v>19724</v>
      </c>
      <c r="D2972">
        <v>72</v>
      </c>
      <c r="E2972" t="s">
        <v>15</v>
      </c>
      <c r="F2972" t="s">
        <v>18</v>
      </c>
      <c r="G2972" s="1">
        <v>45281</v>
      </c>
      <c r="H2972" s="1">
        <v>45451</v>
      </c>
      <c r="I2972">
        <v>30</v>
      </c>
      <c r="J2972" t="s">
        <v>25</v>
      </c>
      <c r="K2972">
        <v>1533.29</v>
      </c>
    </row>
    <row r="2973" spans="1:11">
      <c r="A2973">
        <v>2972</v>
      </c>
      <c r="B2973" t="s">
        <v>165</v>
      </c>
      <c r="C2973" s="1">
        <v>29951</v>
      </c>
      <c r="D2973">
        <v>44</v>
      </c>
      <c r="E2973" t="s">
        <v>15</v>
      </c>
      <c r="F2973" t="s">
        <v>16</v>
      </c>
      <c r="G2973" s="1">
        <v>45639</v>
      </c>
      <c r="H2973" s="1">
        <v>45219</v>
      </c>
      <c r="I2973">
        <v>19</v>
      </c>
      <c r="J2973" t="s">
        <v>25</v>
      </c>
      <c r="K2973">
        <v>10266.82</v>
      </c>
    </row>
    <row r="2974" spans="1:11">
      <c r="A2974">
        <v>2973</v>
      </c>
      <c r="B2974" t="s">
        <v>68</v>
      </c>
      <c r="C2974" s="1">
        <v>25934</v>
      </c>
      <c r="D2974">
        <v>55</v>
      </c>
      <c r="E2974" t="s">
        <v>12</v>
      </c>
      <c r="F2974" t="s">
        <v>18</v>
      </c>
      <c r="G2974" s="1">
        <v>45490</v>
      </c>
      <c r="H2974" s="1">
        <v>44956</v>
      </c>
      <c r="I2974">
        <v>5</v>
      </c>
      <c r="K2974">
        <v>12314.36</v>
      </c>
    </row>
    <row r="2975" spans="1:11">
      <c r="A2975">
        <v>2974</v>
      </c>
      <c r="B2975" t="s">
        <v>27</v>
      </c>
      <c r="C2975" s="1">
        <v>15707</v>
      </c>
      <c r="D2975">
        <v>83</v>
      </c>
      <c r="E2975" t="s">
        <v>15</v>
      </c>
      <c r="F2975" t="s">
        <v>21</v>
      </c>
      <c r="G2975" s="1">
        <v>45294</v>
      </c>
      <c r="H2975" s="1">
        <v>45578</v>
      </c>
      <c r="I2975">
        <v>21</v>
      </c>
      <c r="J2975" t="s">
        <v>25</v>
      </c>
      <c r="K2975">
        <v>5836.89</v>
      </c>
    </row>
    <row r="2976" spans="1:11">
      <c r="A2976">
        <v>2975</v>
      </c>
      <c r="B2976" t="s">
        <v>170</v>
      </c>
      <c r="C2976" s="1">
        <v>16437</v>
      </c>
      <c r="D2976">
        <v>81</v>
      </c>
      <c r="E2976" t="s">
        <v>12</v>
      </c>
      <c r="F2976" t="s">
        <v>13</v>
      </c>
      <c r="G2976" s="1">
        <v>45510</v>
      </c>
      <c r="H2976" s="1">
        <v>45364</v>
      </c>
      <c r="I2976">
        <v>34</v>
      </c>
      <c r="J2976" t="s">
        <v>19</v>
      </c>
      <c r="K2976">
        <v>19055.37</v>
      </c>
    </row>
    <row r="2977" spans="1:11">
      <c r="A2977">
        <v>2976</v>
      </c>
      <c r="B2977" t="s">
        <v>43</v>
      </c>
      <c r="C2977" s="1">
        <v>25568</v>
      </c>
      <c r="D2977">
        <v>56</v>
      </c>
      <c r="E2977" t="s">
        <v>15</v>
      </c>
      <c r="F2977" t="s">
        <v>16</v>
      </c>
      <c r="G2977" s="1">
        <v>45437</v>
      </c>
      <c r="H2977" s="1">
        <v>45524</v>
      </c>
      <c r="I2977">
        <v>17</v>
      </c>
      <c r="K2977">
        <v>10358.09</v>
      </c>
    </row>
    <row r="2978" spans="1:11">
      <c r="A2978">
        <v>2977</v>
      </c>
      <c r="B2978" t="s">
        <v>137</v>
      </c>
      <c r="C2978" s="1">
        <v>38717</v>
      </c>
      <c r="D2978">
        <v>20</v>
      </c>
      <c r="E2978" t="s">
        <v>15</v>
      </c>
      <c r="F2978" t="s">
        <v>13</v>
      </c>
      <c r="G2978" s="1">
        <v>45459</v>
      </c>
      <c r="H2978" s="1">
        <v>45513</v>
      </c>
      <c r="I2978">
        <v>9</v>
      </c>
      <c r="J2978" t="s">
        <v>25</v>
      </c>
      <c r="K2978">
        <v>3568.59</v>
      </c>
    </row>
    <row r="2979" spans="1:11">
      <c r="A2979">
        <v>2978</v>
      </c>
      <c r="B2979" t="s">
        <v>42</v>
      </c>
      <c r="C2979" s="1">
        <v>21551</v>
      </c>
      <c r="D2979">
        <v>67</v>
      </c>
      <c r="F2979" t="s">
        <v>45</v>
      </c>
      <c r="G2979" s="1">
        <v>45454</v>
      </c>
      <c r="H2979" s="1">
        <v>45690</v>
      </c>
      <c r="I2979">
        <v>17</v>
      </c>
      <c r="J2979" t="s">
        <v>23</v>
      </c>
      <c r="K2979">
        <v>2066.54</v>
      </c>
    </row>
    <row r="2980" spans="1:11">
      <c r="A2980">
        <v>2979</v>
      </c>
      <c r="B2980" t="s">
        <v>105</v>
      </c>
      <c r="C2980" s="1">
        <v>28125</v>
      </c>
      <c r="E2980" t="s">
        <v>15</v>
      </c>
      <c r="F2980" t="s">
        <v>18</v>
      </c>
      <c r="G2980" s="1">
        <v>45454</v>
      </c>
      <c r="H2980" s="1">
        <v>45663</v>
      </c>
      <c r="I2980">
        <v>17</v>
      </c>
      <c r="J2980" t="s">
        <v>25</v>
      </c>
      <c r="K2980">
        <v>10787.36</v>
      </c>
    </row>
    <row r="2981" spans="1:11">
      <c r="A2981">
        <v>2980</v>
      </c>
      <c r="B2981" t="s">
        <v>138</v>
      </c>
      <c r="C2981" s="1">
        <v>34334</v>
      </c>
      <c r="D2981">
        <v>32</v>
      </c>
      <c r="E2981" t="s">
        <v>12</v>
      </c>
      <c r="F2981" t="s">
        <v>18</v>
      </c>
      <c r="G2981" s="1">
        <v>45328</v>
      </c>
      <c r="H2981" s="1">
        <v>44974</v>
      </c>
      <c r="I2981">
        <v>1</v>
      </c>
      <c r="J2981" t="s">
        <v>23</v>
      </c>
      <c r="K2981">
        <v>7442.29</v>
      </c>
    </row>
    <row r="2982" spans="1:11">
      <c r="A2982">
        <v>2981</v>
      </c>
      <c r="B2982" t="s">
        <v>146</v>
      </c>
      <c r="C2982" s="1">
        <v>13150</v>
      </c>
      <c r="D2982">
        <v>90</v>
      </c>
      <c r="E2982" t="s">
        <v>12</v>
      </c>
      <c r="G2982" s="1">
        <v>45101</v>
      </c>
      <c r="H2982" s="1">
        <v>45344</v>
      </c>
      <c r="I2982">
        <v>27</v>
      </c>
      <c r="J2982" t="s">
        <v>25</v>
      </c>
      <c r="K2982">
        <v>3770.2</v>
      </c>
    </row>
    <row r="2983" spans="1:11">
      <c r="A2983">
        <v>2982</v>
      </c>
      <c r="B2983" t="s">
        <v>61</v>
      </c>
      <c r="C2983" s="1">
        <v>43831</v>
      </c>
      <c r="D2983">
        <v>6</v>
      </c>
      <c r="E2983" t="s">
        <v>12</v>
      </c>
      <c r="F2983" t="s">
        <v>45</v>
      </c>
      <c r="G2983" s="1">
        <v>45004</v>
      </c>
      <c r="H2983" s="1">
        <v>45520</v>
      </c>
      <c r="I2983">
        <v>28</v>
      </c>
      <c r="J2983" t="s">
        <v>19</v>
      </c>
      <c r="K2983">
        <v>517.04</v>
      </c>
    </row>
    <row r="2984" spans="1:11">
      <c r="A2984">
        <v>2983</v>
      </c>
      <c r="B2984" t="s">
        <v>143</v>
      </c>
      <c r="D2984">
        <v>69</v>
      </c>
      <c r="E2984" t="s">
        <v>12</v>
      </c>
      <c r="G2984" s="1">
        <v>45366</v>
      </c>
      <c r="H2984" s="1">
        <v>45378</v>
      </c>
      <c r="I2984">
        <v>19</v>
      </c>
      <c r="J2984" t="s">
        <v>25</v>
      </c>
      <c r="K2984">
        <v>11288.66</v>
      </c>
    </row>
    <row r="2985" spans="1:11">
      <c r="A2985">
        <v>2984</v>
      </c>
      <c r="B2985" t="s">
        <v>83</v>
      </c>
      <c r="C2985" s="1">
        <v>40909</v>
      </c>
      <c r="E2985" t="s">
        <v>12</v>
      </c>
      <c r="F2985" t="s">
        <v>21</v>
      </c>
      <c r="G2985" s="1">
        <v>45475</v>
      </c>
      <c r="H2985" s="1">
        <v>45560</v>
      </c>
      <c r="I2985">
        <v>12</v>
      </c>
      <c r="J2985" t="s">
        <v>23</v>
      </c>
      <c r="K2985">
        <v>11931.86</v>
      </c>
    </row>
    <row r="2986" spans="1:11">
      <c r="A2986">
        <v>2985</v>
      </c>
      <c r="B2986" t="s">
        <v>97</v>
      </c>
      <c r="C2986" s="1">
        <v>16437</v>
      </c>
      <c r="D2986">
        <v>81</v>
      </c>
      <c r="E2986" t="s">
        <v>15</v>
      </c>
      <c r="F2986" t="s">
        <v>18</v>
      </c>
      <c r="G2986" s="1">
        <v>45158</v>
      </c>
      <c r="H2986" s="1">
        <v>45482</v>
      </c>
      <c r="I2986">
        <v>35</v>
      </c>
      <c r="J2986" t="s">
        <v>23</v>
      </c>
      <c r="K2986">
        <v>2750.23</v>
      </c>
    </row>
    <row r="2987" spans="1:11">
      <c r="A2987">
        <v>2986</v>
      </c>
      <c r="B2987" t="s">
        <v>163</v>
      </c>
      <c r="C2987" s="1">
        <v>34700</v>
      </c>
      <c r="D2987">
        <v>31</v>
      </c>
      <c r="E2987" t="s">
        <v>12</v>
      </c>
      <c r="F2987" t="s">
        <v>21</v>
      </c>
      <c r="G2987" s="1">
        <v>45326</v>
      </c>
      <c r="H2987" s="1">
        <v>45585</v>
      </c>
      <c r="I2987">
        <v>34</v>
      </c>
      <c r="J2987" t="s">
        <v>25</v>
      </c>
      <c r="K2987">
        <v>11994.93</v>
      </c>
    </row>
    <row r="2988" spans="1:11">
      <c r="A2988">
        <v>2987</v>
      </c>
      <c r="B2988" t="s">
        <v>43</v>
      </c>
      <c r="C2988" s="1">
        <v>18994</v>
      </c>
      <c r="D2988">
        <v>74</v>
      </c>
      <c r="E2988" t="s">
        <v>15</v>
      </c>
      <c r="F2988" t="s">
        <v>13</v>
      </c>
      <c r="G2988" s="1">
        <v>45139</v>
      </c>
      <c r="H2988" s="1">
        <v>45001</v>
      </c>
      <c r="I2988">
        <v>25</v>
      </c>
      <c r="K2988">
        <v>19034.650000000001</v>
      </c>
    </row>
    <row r="2989" spans="1:11">
      <c r="A2989">
        <v>2988</v>
      </c>
      <c r="B2989" t="s">
        <v>47</v>
      </c>
      <c r="C2989" s="1">
        <v>39083</v>
      </c>
      <c r="D2989">
        <v>19</v>
      </c>
      <c r="E2989" t="s">
        <v>12</v>
      </c>
      <c r="F2989" t="s">
        <v>16</v>
      </c>
      <c r="G2989" s="1">
        <v>45119</v>
      </c>
      <c r="H2989" s="1">
        <v>44980</v>
      </c>
      <c r="I2989">
        <v>8</v>
      </c>
      <c r="J2989" t="s">
        <v>23</v>
      </c>
      <c r="K2989">
        <v>19563.740000000002</v>
      </c>
    </row>
    <row r="2990" spans="1:11">
      <c r="A2990">
        <v>2989</v>
      </c>
      <c r="B2990" t="s">
        <v>34</v>
      </c>
      <c r="C2990" s="1">
        <v>14246</v>
      </c>
      <c r="D2990">
        <v>87</v>
      </c>
      <c r="E2990" t="s">
        <v>12</v>
      </c>
      <c r="F2990" t="s">
        <v>16</v>
      </c>
      <c r="G2990" s="1">
        <v>45498</v>
      </c>
      <c r="H2990" s="1">
        <v>45160</v>
      </c>
      <c r="I2990">
        <v>11</v>
      </c>
      <c r="J2990" t="s">
        <v>19</v>
      </c>
      <c r="K2990">
        <v>17758.71</v>
      </c>
    </row>
    <row r="2991" spans="1:11">
      <c r="A2991">
        <v>2990</v>
      </c>
      <c r="B2991" t="s">
        <v>103</v>
      </c>
      <c r="C2991" s="1">
        <v>40909</v>
      </c>
      <c r="D2991">
        <v>14</v>
      </c>
      <c r="E2991" t="s">
        <v>12</v>
      </c>
      <c r="F2991" t="s">
        <v>16</v>
      </c>
      <c r="G2991" s="1">
        <v>45627</v>
      </c>
      <c r="H2991" s="1">
        <v>45734</v>
      </c>
      <c r="I2991">
        <v>8</v>
      </c>
      <c r="J2991" t="s">
        <v>25</v>
      </c>
      <c r="K2991">
        <v>16122.28</v>
      </c>
    </row>
    <row r="2992" spans="1:11">
      <c r="A2992">
        <v>2991</v>
      </c>
      <c r="B2992" t="s">
        <v>74</v>
      </c>
      <c r="C2992" s="1">
        <v>28856</v>
      </c>
      <c r="E2992" t="s">
        <v>12</v>
      </c>
      <c r="G2992" s="1">
        <v>45193</v>
      </c>
      <c r="H2992" s="1">
        <v>45802</v>
      </c>
      <c r="I2992">
        <v>6</v>
      </c>
      <c r="J2992" t="s">
        <v>23</v>
      </c>
      <c r="K2992">
        <v>4108.29</v>
      </c>
    </row>
    <row r="2993" spans="1:11">
      <c r="A2993">
        <v>2992</v>
      </c>
      <c r="B2993" t="s">
        <v>83</v>
      </c>
      <c r="C2993" s="1">
        <v>20455</v>
      </c>
      <c r="E2993" t="s">
        <v>12</v>
      </c>
      <c r="F2993" t="s">
        <v>32</v>
      </c>
      <c r="G2993" s="1">
        <v>45052</v>
      </c>
      <c r="H2993" s="1">
        <v>45127</v>
      </c>
      <c r="I2993">
        <v>21</v>
      </c>
      <c r="J2993" t="s">
        <v>25</v>
      </c>
      <c r="K2993">
        <v>3044.35</v>
      </c>
    </row>
    <row r="2994" spans="1:11">
      <c r="A2994">
        <v>2993</v>
      </c>
      <c r="B2994" t="s">
        <v>162</v>
      </c>
      <c r="C2994" s="1">
        <v>38717</v>
      </c>
      <c r="D2994">
        <v>20</v>
      </c>
      <c r="E2994" t="s">
        <v>12</v>
      </c>
      <c r="F2994" t="s">
        <v>45</v>
      </c>
      <c r="G2994" s="1">
        <v>45641</v>
      </c>
      <c r="H2994" s="1">
        <v>45601</v>
      </c>
      <c r="I2994">
        <v>7</v>
      </c>
      <c r="J2994" t="s">
        <v>25</v>
      </c>
      <c r="K2994">
        <v>8843.4500000000007</v>
      </c>
    </row>
    <row r="2995" spans="1:11">
      <c r="A2995">
        <v>2994</v>
      </c>
      <c r="B2995" t="s">
        <v>114</v>
      </c>
      <c r="C2995" s="1">
        <v>31047</v>
      </c>
      <c r="D2995">
        <v>41</v>
      </c>
      <c r="E2995" t="s">
        <v>12</v>
      </c>
      <c r="F2995" t="s">
        <v>16</v>
      </c>
      <c r="G2995" s="1">
        <v>45308</v>
      </c>
      <c r="H2995" s="1">
        <v>45476</v>
      </c>
      <c r="I2995">
        <v>35</v>
      </c>
      <c r="K2995">
        <v>12354.6</v>
      </c>
    </row>
    <row r="2996" spans="1:11">
      <c r="A2996">
        <v>2995</v>
      </c>
      <c r="B2996" t="s">
        <v>76</v>
      </c>
      <c r="C2996" s="1">
        <v>36891</v>
      </c>
      <c r="D2996">
        <v>25</v>
      </c>
      <c r="E2996" t="s">
        <v>15</v>
      </c>
      <c r="F2996" t="s">
        <v>18</v>
      </c>
      <c r="G2996" s="1">
        <v>45470</v>
      </c>
      <c r="H2996" s="1">
        <v>45024</v>
      </c>
      <c r="I2996">
        <v>38</v>
      </c>
      <c r="J2996" t="s">
        <v>25</v>
      </c>
      <c r="K2996">
        <v>16998.64</v>
      </c>
    </row>
    <row r="2997" spans="1:11">
      <c r="A2997">
        <v>2996</v>
      </c>
      <c r="B2997" t="s">
        <v>135</v>
      </c>
      <c r="C2997" s="1">
        <v>41274</v>
      </c>
      <c r="D2997">
        <v>13</v>
      </c>
      <c r="E2997" t="s">
        <v>15</v>
      </c>
      <c r="F2997" t="s">
        <v>45</v>
      </c>
      <c r="G2997" s="1">
        <v>45428</v>
      </c>
      <c r="H2997" s="1">
        <v>44976</v>
      </c>
      <c r="I2997">
        <v>34</v>
      </c>
      <c r="J2997" t="s">
        <v>25</v>
      </c>
      <c r="K2997">
        <v>4562.46</v>
      </c>
    </row>
    <row r="2998" spans="1:11">
      <c r="A2998">
        <v>2997</v>
      </c>
      <c r="B2998" t="s">
        <v>94</v>
      </c>
      <c r="C2998" s="1">
        <v>25568</v>
      </c>
      <c r="D2998">
        <v>56</v>
      </c>
      <c r="E2998" t="s">
        <v>12</v>
      </c>
      <c r="F2998" t="s">
        <v>13</v>
      </c>
      <c r="G2998" s="1">
        <v>45329</v>
      </c>
      <c r="H2998" s="1">
        <v>45823</v>
      </c>
      <c r="I2998">
        <v>39</v>
      </c>
      <c r="J2998" t="s">
        <v>25</v>
      </c>
      <c r="K2998">
        <v>9540.92</v>
      </c>
    </row>
    <row r="2999" spans="1:11">
      <c r="A2999">
        <v>2998</v>
      </c>
      <c r="B2999" t="s">
        <v>165</v>
      </c>
      <c r="C2999" s="1">
        <v>32873</v>
      </c>
      <c r="D2999">
        <v>36</v>
      </c>
      <c r="E2999" t="s">
        <v>12</v>
      </c>
      <c r="F2999" t="s">
        <v>13</v>
      </c>
      <c r="G2999" s="1">
        <v>45187</v>
      </c>
      <c r="H2999" s="1">
        <v>45449</v>
      </c>
      <c r="I2999">
        <v>29</v>
      </c>
      <c r="J2999" t="s">
        <v>19</v>
      </c>
      <c r="K2999">
        <v>12913.55</v>
      </c>
    </row>
    <row r="3000" spans="1:11">
      <c r="A3000">
        <v>2999</v>
      </c>
      <c r="B3000" t="s">
        <v>66</v>
      </c>
      <c r="C3000" s="1">
        <v>25203</v>
      </c>
      <c r="D3000">
        <v>57</v>
      </c>
      <c r="E3000" t="s">
        <v>15</v>
      </c>
      <c r="G3000" s="1">
        <v>45313</v>
      </c>
      <c r="H3000" s="1">
        <v>44967</v>
      </c>
      <c r="I3000">
        <v>17</v>
      </c>
      <c r="J3000" t="s">
        <v>25</v>
      </c>
      <c r="K3000">
        <v>8856.44</v>
      </c>
    </row>
    <row r="3001" spans="1:11">
      <c r="A3001">
        <v>3000</v>
      </c>
      <c r="B3001" t="s">
        <v>44</v>
      </c>
      <c r="C3001" s="1">
        <v>38717</v>
      </c>
      <c r="D3001">
        <v>20</v>
      </c>
      <c r="E3001" t="s">
        <v>15</v>
      </c>
      <c r="F3001" t="s">
        <v>13</v>
      </c>
      <c r="G3001" s="1">
        <v>45338</v>
      </c>
      <c r="H3001" s="1">
        <v>45080</v>
      </c>
      <c r="I3001">
        <v>11</v>
      </c>
      <c r="J3001" t="s">
        <v>19</v>
      </c>
      <c r="K3001">
        <v>9029.2900000000009</v>
      </c>
    </row>
    <row r="3002" spans="1:11">
      <c r="A3002">
        <v>3001</v>
      </c>
      <c r="B3002" t="s">
        <v>34</v>
      </c>
      <c r="C3002" s="1">
        <v>16437</v>
      </c>
      <c r="D3002">
        <v>81</v>
      </c>
      <c r="E3002" t="s">
        <v>15</v>
      </c>
      <c r="F3002" t="s">
        <v>13</v>
      </c>
      <c r="G3002" s="1">
        <v>45272</v>
      </c>
      <c r="H3002" s="1">
        <v>45033</v>
      </c>
      <c r="I3002">
        <v>35</v>
      </c>
      <c r="J3002" t="s">
        <v>25</v>
      </c>
      <c r="K3002">
        <v>4424.8500000000004</v>
      </c>
    </row>
    <row r="3003" spans="1:11">
      <c r="A3003">
        <v>3002</v>
      </c>
      <c r="B3003" t="s">
        <v>99</v>
      </c>
      <c r="C3003" s="1">
        <v>21185</v>
      </c>
      <c r="D3003">
        <v>68</v>
      </c>
      <c r="F3003" t="s">
        <v>32</v>
      </c>
      <c r="G3003" s="1">
        <v>45020</v>
      </c>
      <c r="H3003" s="1">
        <v>45480</v>
      </c>
      <c r="I3003">
        <v>1</v>
      </c>
      <c r="K3003">
        <v>19731.88</v>
      </c>
    </row>
    <row r="3004" spans="1:11">
      <c r="A3004">
        <v>3003</v>
      </c>
      <c r="B3004" t="s">
        <v>35</v>
      </c>
      <c r="C3004" s="1">
        <v>45292</v>
      </c>
      <c r="D3004">
        <v>2</v>
      </c>
      <c r="E3004" t="s">
        <v>12</v>
      </c>
      <c r="F3004" t="s">
        <v>21</v>
      </c>
      <c r="G3004" s="1">
        <v>45254</v>
      </c>
      <c r="H3004" s="1">
        <v>45603</v>
      </c>
      <c r="I3004">
        <v>21</v>
      </c>
      <c r="K3004">
        <v>9451.3799999999992</v>
      </c>
    </row>
    <row r="3005" spans="1:11">
      <c r="A3005">
        <v>3004</v>
      </c>
      <c r="B3005" t="s">
        <v>47</v>
      </c>
      <c r="C3005" s="1">
        <v>14611</v>
      </c>
      <c r="D3005">
        <v>86</v>
      </c>
      <c r="E3005" t="s">
        <v>15</v>
      </c>
      <c r="F3005" t="s">
        <v>21</v>
      </c>
      <c r="G3005" s="1">
        <v>45026</v>
      </c>
      <c r="H3005" s="1">
        <v>45697</v>
      </c>
      <c r="I3005">
        <v>29</v>
      </c>
      <c r="J3005" t="s">
        <v>23</v>
      </c>
      <c r="K3005">
        <v>10608.11</v>
      </c>
    </row>
    <row r="3006" spans="1:11">
      <c r="A3006">
        <v>3005</v>
      </c>
      <c r="B3006" t="s">
        <v>137</v>
      </c>
      <c r="C3006" s="1">
        <v>13515</v>
      </c>
      <c r="D3006">
        <v>89</v>
      </c>
      <c r="E3006" t="s">
        <v>15</v>
      </c>
      <c r="F3006" t="s">
        <v>16</v>
      </c>
      <c r="G3006" s="1">
        <v>45387</v>
      </c>
      <c r="H3006" s="1">
        <v>45138</v>
      </c>
      <c r="I3006">
        <v>7</v>
      </c>
      <c r="J3006" t="s">
        <v>25</v>
      </c>
      <c r="K3006">
        <v>4293.04</v>
      </c>
    </row>
    <row r="3007" spans="1:11">
      <c r="A3007">
        <v>3006</v>
      </c>
      <c r="B3007" t="s">
        <v>132</v>
      </c>
      <c r="C3007" s="1">
        <v>32873</v>
      </c>
      <c r="D3007">
        <v>36</v>
      </c>
      <c r="E3007" t="s">
        <v>15</v>
      </c>
      <c r="F3007" t="s">
        <v>32</v>
      </c>
      <c r="G3007" s="1">
        <v>45241</v>
      </c>
      <c r="H3007" s="1">
        <v>45129</v>
      </c>
      <c r="I3007">
        <v>13</v>
      </c>
      <c r="K3007">
        <v>10234.15</v>
      </c>
    </row>
    <row r="3008" spans="1:11">
      <c r="A3008">
        <v>3007</v>
      </c>
      <c r="B3008" t="s">
        <v>58</v>
      </c>
      <c r="C3008" s="1">
        <v>14246</v>
      </c>
      <c r="D3008">
        <v>87</v>
      </c>
      <c r="E3008" t="s">
        <v>15</v>
      </c>
      <c r="G3008" s="1">
        <v>44951</v>
      </c>
      <c r="H3008" s="1">
        <v>45360</v>
      </c>
      <c r="I3008">
        <v>36</v>
      </c>
      <c r="K3008">
        <v>5032.53</v>
      </c>
    </row>
    <row r="3009" spans="1:11">
      <c r="A3009">
        <v>3008</v>
      </c>
      <c r="B3009" t="s">
        <v>170</v>
      </c>
      <c r="C3009" s="1">
        <v>28490</v>
      </c>
      <c r="D3009">
        <v>48</v>
      </c>
      <c r="E3009" t="s">
        <v>15</v>
      </c>
      <c r="F3009" t="s">
        <v>21</v>
      </c>
      <c r="G3009" s="1">
        <v>45420</v>
      </c>
      <c r="H3009" s="1">
        <v>45634</v>
      </c>
      <c r="I3009">
        <v>29</v>
      </c>
      <c r="J3009" t="s">
        <v>25</v>
      </c>
      <c r="K3009">
        <v>3966.96</v>
      </c>
    </row>
    <row r="3010" spans="1:11">
      <c r="A3010">
        <v>3009</v>
      </c>
      <c r="B3010" t="s">
        <v>61</v>
      </c>
      <c r="C3010" s="1">
        <v>39448</v>
      </c>
      <c r="D3010">
        <v>18</v>
      </c>
      <c r="E3010" t="s">
        <v>12</v>
      </c>
      <c r="G3010" s="1">
        <v>45279</v>
      </c>
      <c r="H3010" s="1">
        <v>45492</v>
      </c>
      <c r="I3010">
        <v>15</v>
      </c>
      <c r="J3010" t="s">
        <v>23</v>
      </c>
      <c r="K3010">
        <v>5442.02</v>
      </c>
    </row>
    <row r="3011" spans="1:11">
      <c r="A3011">
        <v>3010</v>
      </c>
      <c r="B3011" t="s">
        <v>154</v>
      </c>
      <c r="C3011" s="1">
        <v>13880</v>
      </c>
      <c r="D3011">
        <v>88</v>
      </c>
      <c r="G3011" s="1">
        <v>45043</v>
      </c>
      <c r="H3011" s="1">
        <v>45074</v>
      </c>
      <c r="I3011">
        <v>22</v>
      </c>
      <c r="J3011" t="s">
        <v>19</v>
      </c>
      <c r="K3011">
        <v>-44.53</v>
      </c>
    </row>
    <row r="3012" spans="1:11">
      <c r="A3012">
        <v>3011</v>
      </c>
      <c r="B3012" t="s">
        <v>62</v>
      </c>
      <c r="C3012" s="1">
        <v>15341</v>
      </c>
      <c r="D3012">
        <v>84</v>
      </c>
      <c r="E3012" t="s">
        <v>15</v>
      </c>
      <c r="F3012" t="s">
        <v>13</v>
      </c>
      <c r="G3012" s="1">
        <v>45125</v>
      </c>
      <c r="H3012" s="1">
        <v>45426</v>
      </c>
      <c r="I3012">
        <v>4</v>
      </c>
      <c r="K3012">
        <v>11360.04</v>
      </c>
    </row>
    <row r="3013" spans="1:11">
      <c r="A3013">
        <v>3012</v>
      </c>
      <c r="B3013" t="s">
        <v>76</v>
      </c>
      <c r="C3013" s="1">
        <v>42005</v>
      </c>
      <c r="D3013">
        <v>11</v>
      </c>
      <c r="E3013" t="s">
        <v>15</v>
      </c>
      <c r="F3013" t="s">
        <v>21</v>
      </c>
      <c r="G3013" s="1">
        <v>45205</v>
      </c>
      <c r="H3013" s="1">
        <v>45209</v>
      </c>
      <c r="I3013">
        <v>15</v>
      </c>
      <c r="K3013">
        <v>7688.35</v>
      </c>
    </row>
    <row r="3014" spans="1:11">
      <c r="A3014">
        <v>3013</v>
      </c>
      <c r="B3014" t="s">
        <v>37</v>
      </c>
      <c r="C3014" s="1">
        <v>24107</v>
      </c>
      <c r="D3014">
        <v>60</v>
      </c>
      <c r="E3014" t="s">
        <v>15</v>
      </c>
      <c r="F3014" t="s">
        <v>45</v>
      </c>
      <c r="G3014" s="1">
        <v>45508</v>
      </c>
      <c r="H3014" s="1">
        <v>45237</v>
      </c>
      <c r="I3014">
        <v>15</v>
      </c>
      <c r="J3014" t="s">
        <v>19</v>
      </c>
      <c r="K3014">
        <v>17963.650000000001</v>
      </c>
    </row>
    <row r="3015" spans="1:11">
      <c r="A3015">
        <v>3014</v>
      </c>
      <c r="B3015" t="s">
        <v>134</v>
      </c>
      <c r="C3015" s="1">
        <v>31412</v>
      </c>
      <c r="D3015">
        <v>40</v>
      </c>
      <c r="E3015" t="s">
        <v>15</v>
      </c>
      <c r="F3015" t="s">
        <v>16</v>
      </c>
      <c r="G3015" s="1">
        <v>45005</v>
      </c>
      <c r="H3015" s="1">
        <v>45682</v>
      </c>
      <c r="I3015">
        <v>0</v>
      </c>
      <c r="K3015">
        <v>718.21</v>
      </c>
    </row>
    <row r="3016" spans="1:11">
      <c r="A3016">
        <v>3015</v>
      </c>
      <c r="B3016" t="s">
        <v>38</v>
      </c>
      <c r="C3016" s="1">
        <v>34334</v>
      </c>
      <c r="D3016">
        <v>32</v>
      </c>
      <c r="E3016" t="s">
        <v>15</v>
      </c>
      <c r="F3016" t="s">
        <v>21</v>
      </c>
      <c r="G3016" s="1">
        <v>45350</v>
      </c>
      <c r="H3016" s="1">
        <v>44978</v>
      </c>
      <c r="I3016">
        <v>-2</v>
      </c>
      <c r="J3016" t="s">
        <v>19</v>
      </c>
      <c r="K3016">
        <v>768.33</v>
      </c>
    </row>
    <row r="3017" spans="1:11">
      <c r="A3017">
        <v>3016</v>
      </c>
      <c r="B3017" t="s">
        <v>38</v>
      </c>
      <c r="C3017" s="1">
        <v>28125</v>
      </c>
      <c r="D3017">
        <v>49</v>
      </c>
      <c r="E3017" t="s">
        <v>15</v>
      </c>
      <c r="F3017" t="s">
        <v>45</v>
      </c>
      <c r="G3017" s="1">
        <v>45280</v>
      </c>
      <c r="H3017" s="1">
        <v>45422</v>
      </c>
      <c r="I3017">
        <v>30</v>
      </c>
      <c r="J3017" t="s">
        <v>19</v>
      </c>
      <c r="K3017">
        <v>17706.060000000001</v>
      </c>
    </row>
    <row r="3018" spans="1:11">
      <c r="A3018">
        <v>3017</v>
      </c>
      <c r="B3018" t="s">
        <v>146</v>
      </c>
      <c r="C3018" s="1">
        <v>21551</v>
      </c>
      <c r="D3018">
        <v>67</v>
      </c>
      <c r="E3018" t="s">
        <v>15</v>
      </c>
      <c r="F3018" t="s">
        <v>18</v>
      </c>
      <c r="G3018" s="1">
        <v>45452</v>
      </c>
      <c r="H3018" s="1">
        <v>45336</v>
      </c>
      <c r="I3018">
        <v>4</v>
      </c>
      <c r="J3018" t="s">
        <v>23</v>
      </c>
      <c r="K3018">
        <v>2445.56</v>
      </c>
    </row>
    <row r="3019" spans="1:11">
      <c r="A3019">
        <v>3018</v>
      </c>
      <c r="B3019" t="s">
        <v>33</v>
      </c>
      <c r="C3019" s="1">
        <v>20455</v>
      </c>
      <c r="D3019">
        <v>70</v>
      </c>
      <c r="E3019" t="s">
        <v>12</v>
      </c>
      <c r="F3019" t="s">
        <v>45</v>
      </c>
      <c r="G3019" s="1">
        <v>45467</v>
      </c>
      <c r="H3019" s="1">
        <v>45553</v>
      </c>
      <c r="I3019">
        <v>7</v>
      </c>
      <c r="J3019" t="s">
        <v>19</v>
      </c>
      <c r="K3019">
        <v>-56.58</v>
      </c>
    </row>
    <row r="3020" spans="1:11">
      <c r="A3020">
        <v>3019</v>
      </c>
      <c r="B3020" t="s">
        <v>139</v>
      </c>
      <c r="C3020" s="1">
        <v>14976</v>
      </c>
      <c r="E3020" t="s">
        <v>12</v>
      </c>
      <c r="F3020" t="s">
        <v>45</v>
      </c>
      <c r="G3020" s="1">
        <v>45582</v>
      </c>
      <c r="H3020" s="1">
        <v>45200</v>
      </c>
      <c r="I3020">
        <v>5</v>
      </c>
      <c r="J3020" t="s">
        <v>19</v>
      </c>
      <c r="K3020">
        <v>3496.17</v>
      </c>
    </row>
    <row r="3021" spans="1:11">
      <c r="A3021">
        <v>3020</v>
      </c>
      <c r="B3021" t="s">
        <v>111</v>
      </c>
      <c r="C3021" s="1">
        <v>34334</v>
      </c>
      <c r="D3021">
        <v>32</v>
      </c>
      <c r="E3021" t="s">
        <v>12</v>
      </c>
      <c r="F3021" t="s">
        <v>13</v>
      </c>
      <c r="G3021" s="1">
        <v>45403</v>
      </c>
      <c r="H3021" s="1">
        <v>45385</v>
      </c>
      <c r="I3021">
        <v>29</v>
      </c>
      <c r="J3021" t="s">
        <v>19</v>
      </c>
      <c r="K3021">
        <v>16459.91</v>
      </c>
    </row>
    <row r="3022" spans="1:11">
      <c r="A3022">
        <v>3021</v>
      </c>
      <c r="B3022" t="s">
        <v>48</v>
      </c>
      <c r="C3022" s="1">
        <v>16802</v>
      </c>
      <c r="D3022">
        <v>80</v>
      </c>
      <c r="E3022" t="s">
        <v>15</v>
      </c>
      <c r="F3022" t="s">
        <v>13</v>
      </c>
      <c r="G3022" s="1">
        <v>44936</v>
      </c>
      <c r="H3022" s="1">
        <v>45047</v>
      </c>
      <c r="I3022">
        <v>20</v>
      </c>
      <c r="J3022" t="s">
        <v>19</v>
      </c>
      <c r="K3022">
        <v>16034.55</v>
      </c>
    </row>
    <row r="3023" spans="1:11">
      <c r="A3023">
        <v>3022</v>
      </c>
      <c r="B3023" t="s">
        <v>120</v>
      </c>
      <c r="C3023" s="1">
        <v>37622</v>
      </c>
      <c r="D3023">
        <v>23</v>
      </c>
      <c r="E3023" t="s">
        <v>12</v>
      </c>
      <c r="F3023" t="s">
        <v>16</v>
      </c>
      <c r="G3023" s="1">
        <v>45485</v>
      </c>
      <c r="H3023" s="1">
        <v>45628</v>
      </c>
      <c r="I3023">
        <v>14</v>
      </c>
      <c r="K3023">
        <v>6736.66</v>
      </c>
    </row>
    <row r="3024" spans="1:11">
      <c r="A3024">
        <v>3023</v>
      </c>
      <c r="B3024" t="s">
        <v>141</v>
      </c>
      <c r="C3024" s="1">
        <v>24107</v>
      </c>
      <c r="D3024">
        <v>60</v>
      </c>
      <c r="F3024" t="s">
        <v>13</v>
      </c>
      <c r="G3024" s="1">
        <v>45429</v>
      </c>
      <c r="H3024" s="1">
        <v>44973</v>
      </c>
      <c r="I3024">
        <v>11</v>
      </c>
      <c r="J3024" t="s">
        <v>19</v>
      </c>
      <c r="K3024">
        <v>13327.42</v>
      </c>
    </row>
    <row r="3025" spans="1:11">
      <c r="A3025">
        <v>3024</v>
      </c>
      <c r="B3025" t="s">
        <v>167</v>
      </c>
      <c r="C3025" s="1">
        <v>24107</v>
      </c>
      <c r="D3025">
        <v>60</v>
      </c>
      <c r="E3025" t="s">
        <v>15</v>
      </c>
      <c r="F3025" t="s">
        <v>45</v>
      </c>
      <c r="G3025" s="1">
        <v>45186</v>
      </c>
      <c r="H3025" s="1">
        <v>45170</v>
      </c>
      <c r="I3025">
        <v>14</v>
      </c>
      <c r="K3025">
        <v>10095.719999999999</v>
      </c>
    </row>
    <row r="3026" spans="1:11">
      <c r="A3026">
        <v>3025</v>
      </c>
      <c r="B3026" t="s">
        <v>100</v>
      </c>
      <c r="C3026" s="1">
        <v>36161</v>
      </c>
      <c r="D3026">
        <v>27</v>
      </c>
      <c r="E3026" t="s">
        <v>15</v>
      </c>
      <c r="F3026" t="s">
        <v>32</v>
      </c>
      <c r="G3026" s="1">
        <v>45450</v>
      </c>
      <c r="H3026" s="1">
        <v>45238</v>
      </c>
      <c r="I3026">
        <v>22</v>
      </c>
      <c r="J3026" t="s">
        <v>25</v>
      </c>
      <c r="K3026">
        <v>18085.169999999998</v>
      </c>
    </row>
    <row r="3027" spans="1:11">
      <c r="A3027">
        <v>3026</v>
      </c>
      <c r="B3027" t="s">
        <v>70</v>
      </c>
      <c r="C3027" s="1">
        <v>25203</v>
      </c>
      <c r="D3027">
        <v>57</v>
      </c>
      <c r="E3027" t="s">
        <v>12</v>
      </c>
      <c r="F3027" t="s">
        <v>13</v>
      </c>
      <c r="G3027" s="1">
        <v>45522</v>
      </c>
      <c r="H3027" s="1">
        <v>45489</v>
      </c>
      <c r="I3027">
        <v>18</v>
      </c>
      <c r="J3027" t="s">
        <v>25</v>
      </c>
      <c r="K3027">
        <v>1034.1099999999999</v>
      </c>
    </row>
    <row r="3028" spans="1:11">
      <c r="A3028">
        <v>3027</v>
      </c>
      <c r="B3028" t="s">
        <v>39</v>
      </c>
      <c r="C3028" s="1">
        <v>30682</v>
      </c>
      <c r="D3028">
        <v>42</v>
      </c>
      <c r="E3028" t="s">
        <v>15</v>
      </c>
      <c r="F3028" t="s">
        <v>13</v>
      </c>
      <c r="G3028" s="1">
        <v>44932</v>
      </c>
      <c r="H3028" s="1">
        <v>45258</v>
      </c>
      <c r="I3028">
        <v>3</v>
      </c>
      <c r="J3028" t="s">
        <v>19</v>
      </c>
      <c r="K3028">
        <v>16244.9</v>
      </c>
    </row>
    <row r="3029" spans="1:11">
      <c r="A3029">
        <v>3028</v>
      </c>
      <c r="B3029" t="s">
        <v>124</v>
      </c>
      <c r="C3029" s="1">
        <v>31412</v>
      </c>
      <c r="D3029">
        <v>40</v>
      </c>
      <c r="E3029" t="s">
        <v>15</v>
      </c>
      <c r="F3029" t="s">
        <v>45</v>
      </c>
      <c r="G3029" s="1">
        <v>44961</v>
      </c>
      <c r="H3029" s="1">
        <v>44938</v>
      </c>
      <c r="I3029">
        <v>17</v>
      </c>
      <c r="J3029" t="s">
        <v>23</v>
      </c>
      <c r="K3029">
        <v>3329.03</v>
      </c>
    </row>
    <row r="3030" spans="1:11">
      <c r="A3030">
        <v>3029</v>
      </c>
      <c r="B3030" t="s">
        <v>116</v>
      </c>
      <c r="C3030" s="1">
        <v>32143</v>
      </c>
      <c r="D3030">
        <v>38</v>
      </c>
      <c r="E3030" t="s">
        <v>12</v>
      </c>
      <c r="F3030" t="s">
        <v>18</v>
      </c>
      <c r="G3030" s="1">
        <v>45101</v>
      </c>
      <c r="H3030" s="1">
        <v>45351</v>
      </c>
      <c r="I3030">
        <v>17</v>
      </c>
      <c r="J3030" t="s">
        <v>23</v>
      </c>
      <c r="K3030">
        <v>7771.58</v>
      </c>
    </row>
    <row r="3031" spans="1:11">
      <c r="A3031">
        <v>3030</v>
      </c>
      <c r="B3031" t="s">
        <v>65</v>
      </c>
      <c r="C3031" s="1">
        <v>14976</v>
      </c>
      <c r="D3031">
        <v>85</v>
      </c>
      <c r="E3031" t="s">
        <v>12</v>
      </c>
      <c r="F3031" t="s">
        <v>18</v>
      </c>
      <c r="G3031" s="1">
        <v>45368</v>
      </c>
      <c r="H3031" s="1">
        <v>44975</v>
      </c>
      <c r="I3031">
        <v>23</v>
      </c>
      <c r="K3031">
        <v>3758.34</v>
      </c>
    </row>
    <row r="3032" spans="1:11">
      <c r="A3032">
        <v>3031</v>
      </c>
      <c r="B3032" t="s">
        <v>53</v>
      </c>
      <c r="D3032">
        <v>48</v>
      </c>
      <c r="E3032" t="s">
        <v>15</v>
      </c>
      <c r="F3032" t="s">
        <v>21</v>
      </c>
      <c r="G3032" s="1">
        <v>45503</v>
      </c>
      <c r="H3032" s="1">
        <v>45304</v>
      </c>
      <c r="I3032">
        <v>29</v>
      </c>
      <c r="K3032">
        <v>14022.55</v>
      </c>
    </row>
    <row r="3033" spans="1:11">
      <c r="A3033">
        <v>3032</v>
      </c>
      <c r="B3033" t="s">
        <v>167</v>
      </c>
      <c r="C3033" s="1">
        <v>40178</v>
      </c>
      <c r="D3033">
        <v>16</v>
      </c>
      <c r="E3033" t="s">
        <v>12</v>
      </c>
      <c r="F3033" t="s">
        <v>16</v>
      </c>
      <c r="G3033" s="1">
        <v>45073</v>
      </c>
      <c r="H3033" s="1">
        <v>45495</v>
      </c>
      <c r="I3033">
        <v>5</v>
      </c>
      <c r="J3033" t="s">
        <v>25</v>
      </c>
      <c r="K3033">
        <v>13534.36</v>
      </c>
    </row>
    <row r="3034" spans="1:11">
      <c r="A3034">
        <v>3033</v>
      </c>
      <c r="B3034" t="s">
        <v>41</v>
      </c>
      <c r="C3034" s="1">
        <v>20820</v>
      </c>
      <c r="D3034">
        <v>69</v>
      </c>
      <c r="E3034" t="s">
        <v>12</v>
      </c>
      <c r="F3034" t="s">
        <v>18</v>
      </c>
      <c r="G3034" s="1">
        <v>45495</v>
      </c>
      <c r="H3034" s="1">
        <v>44935</v>
      </c>
      <c r="I3034">
        <v>26</v>
      </c>
      <c r="K3034">
        <v>10912.74</v>
      </c>
    </row>
    <row r="3035" spans="1:11">
      <c r="A3035">
        <v>3034</v>
      </c>
      <c r="B3035" t="s">
        <v>125</v>
      </c>
      <c r="D3035">
        <v>69</v>
      </c>
      <c r="E3035" t="s">
        <v>15</v>
      </c>
      <c r="F3035" t="s">
        <v>13</v>
      </c>
      <c r="G3035" s="1">
        <v>45119</v>
      </c>
      <c r="H3035" s="1">
        <v>45453</v>
      </c>
      <c r="I3035">
        <v>14</v>
      </c>
      <c r="J3035" t="s">
        <v>23</v>
      </c>
      <c r="K3035">
        <v>13933.08</v>
      </c>
    </row>
    <row r="3036" spans="1:11">
      <c r="A3036">
        <v>3035</v>
      </c>
      <c r="B3036" t="s">
        <v>161</v>
      </c>
      <c r="D3036">
        <v>64</v>
      </c>
      <c r="E3036" t="s">
        <v>12</v>
      </c>
      <c r="F3036" t="s">
        <v>32</v>
      </c>
      <c r="G3036" s="1">
        <v>44939</v>
      </c>
      <c r="H3036" s="1">
        <v>45654</v>
      </c>
      <c r="I3036">
        <v>15</v>
      </c>
      <c r="J3036" t="s">
        <v>25</v>
      </c>
      <c r="K3036">
        <v>12755.25</v>
      </c>
    </row>
    <row r="3037" spans="1:11">
      <c r="A3037">
        <v>3036</v>
      </c>
      <c r="B3037" t="s">
        <v>33</v>
      </c>
      <c r="C3037" s="1">
        <v>19359</v>
      </c>
      <c r="D3037">
        <v>73</v>
      </c>
      <c r="E3037" t="s">
        <v>15</v>
      </c>
      <c r="F3037" t="s">
        <v>21</v>
      </c>
      <c r="G3037" s="1">
        <v>45456</v>
      </c>
      <c r="H3037" s="1">
        <v>45297</v>
      </c>
      <c r="I3037">
        <v>37</v>
      </c>
      <c r="J3037" t="s">
        <v>19</v>
      </c>
      <c r="K3037">
        <v>15506.49</v>
      </c>
    </row>
    <row r="3038" spans="1:11">
      <c r="A3038">
        <v>3037</v>
      </c>
      <c r="B3038" t="s">
        <v>47</v>
      </c>
      <c r="C3038" s="1">
        <v>15341</v>
      </c>
      <c r="D3038">
        <v>84</v>
      </c>
      <c r="E3038" t="s">
        <v>15</v>
      </c>
      <c r="F3038" t="s">
        <v>16</v>
      </c>
      <c r="G3038" s="1">
        <v>45172</v>
      </c>
      <c r="H3038" s="1">
        <v>45367</v>
      </c>
      <c r="I3038">
        <v>15</v>
      </c>
      <c r="K3038">
        <v>4712.07</v>
      </c>
    </row>
    <row r="3039" spans="1:11">
      <c r="A3039">
        <v>3038</v>
      </c>
      <c r="B3039" t="s">
        <v>28</v>
      </c>
      <c r="C3039" s="1">
        <v>44561</v>
      </c>
      <c r="D3039">
        <v>4</v>
      </c>
      <c r="E3039" t="s">
        <v>12</v>
      </c>
      <c r="F3039" t="s">
        <v>32</v>
      </c>
      <c r="G3039" s="1">
        <v>45601</v>
      </c>
      <c r="H3039" s="1">
        <v>45684</v>
      </c>
      <c r="I3039">
        <v>8</v>
      </c>
      <c r="J3039" t="s">
        <v>19</v>
      </c>
      <c r="K3039">
        <v>8521.14</v>
      </c>
    </row>
    <row r="3040" spans="1:11">
      <c r="A3040">
        <v>3039</v>
      </c>
      <c r="B3040" t="s">
        <v>87</v>
      </c>
      <c r="C3040" s="1">
        <v>45657</v>
      </c>
      <c r="D3040">
        <v>1</v>
      </c>
      <c r="E3040" t="s">
        <v>15</v>
      </c>
      <c r="F3040" t="s">
        <v>32</v>
      </c>
      <c r="G3040" s="1">
        <v>45040</v>
      </c>
      <c r="H3040" s="1">
        <v>45493</v>
      </c>
      <c r="I3040">
        <v>9</v>
      </c>
      <c r="K3040">
        <v>2947.69</v>
      </c>
    </row>
    <row r="3041" spans="1:11">
      <c r="A3041">
        <v>3040</v>
      </c>
      <c r="B3041" t="s">
        <v>40</v>
      </c>
      <c r="C3041" s="1">
        <v>38352</v>
      </c>
      <c r="D3041">
        <v>21</v>
      </c>
      <c r="E3041" t="s">
        <v>15</v>
      </c>
      <c r="F3041" t="s">
        <v>13</v>
      </c>
      <c r="G3041" s="1">
        <v>45159</v>
      </c>
      <c r="H3041" s="1">
        <v>45411</v>
      </c>
      <c r="I3041">
        <v>12</v>
      </c>
      <c r="J3041" t="s">
        <v>23</v>
      </c>
      <c r="K3041">
        <v>8534.83</v>
      </c>
    </row>
    <row r="3042" spans="1:11">
      <c r="A3042">
        <v>3041</v>
      </c>
      <c r="B3042" t="s">
        <v>141</v>
      </c>
      <c r="C3042" s="1">
        <v>25568</v>
      </c>
      <c r="D3042">
        <v>56</v>
      </c>
      <c r="E3042" t="s">
        <v>15</v>
      </c>
      <c r="F3042" t="s">
        <v>45</v>
      </c>
      <c r="G3042" s="1">
        <v>45604</v>
      </c>
      <c r="H3042" s="1">
        <v>45200</v>
      </c>
      <c r="I3042">
        <v>23</v>
      </c>
      <c r="K3042">
        <v>14004</v>
      </c>
    </row>
    <row r="3043" spans="1:11">
      <c r="A3043">
        <v>3042</v>
      </c>
      <c r="B3043" t="s">
        <v>114</v>
      </c>
      <c r="C3043" s="1">
        <v>22281</v>
      </c>
      <c r="D3043">
        <v>65</v>
      </c>
      <c r="E3043" t="s">
        <v>12</v>
      </c>
      <c r="F3043" t="s">
        <v>45</v>
      </c>
      <c r="G3043" s="1">
        <v>45248</v>
      </c>
      <c r="H3043" s="1">
        <v>45058</v>
      </c>
      <c r="I3043">
        <v>0</v>
      </c>
      <c r="J3043" t="s">
        <v>23</v>
      </c>
      <c r="K3043">
        <v>13796.96</v>
      </c>
    </row>
    <row r="3044" spans="1:11">
      <c r="A3044">
        <v>3043</v>
      </c>
      <c r="B3044" t="s">
        <v>144</v>
      </c>
      <c r="C3044" s="1">
        <v>19359</v>
      </c>
      <c r="D3044">
        <v>73</v>
      </c>
      <c r="E3044" t="s">
        <v>12</v>
      </c>
      <c r="F3044" t="s">
        <v>45</v>
      </c>
      <c r="G3044" s="1">
        <v>45464</v>
      </c>
      <c r="H3044" s="1">
        <v>45448</v>
      </c>
      <c r="I3044">
        <v>0</v>
      </c>
      <c r="J3044" t="s">
        <v>23</v>
      </c>
      <c r="K3044">
        <v>14159.48</v>
      </c>
    </row>
    <row r="3045" spans="1:11">
      <c r="A3045">
        <v>3044</v>
      </c>
      <c r="B3045" t="s">
        <v>51</v>
      </c>
      <c r="C3045" s="1">
        <v>40544</v>
      </c>
      <c r="D3045">
        <v>15</v>
      </c>
      <c r="E3045" t="s">
        <v>15</v>
      </c>
      <c r="F3045" t="s">
        <v>18</v>
      </c>
      <c r="G3045" s="1">
        <v>45052</v>
      </c>
      <c r="H3045" s="1">
        <v>45651</v>
      </c>
      <c r="I3045">
        <v>35</v>
      </c>
      <c r="J3045" t="s">
        <v>19</v>
      </c>
      <c r="K3045">
        <v>6106.23</v>
      </c>
    </row>
    <row r="3046" spans="1:11">
      <c r="A3046">
        <v>3045</v>
      </c>
      <c r="B3046" t="s">
        <v>129</v>
      </c>
      <c r="C3046" s="1">
        <v>27760</v>
      </c>
      <c r="D3046">
        <v>50</v>
      </c>
      <c r="E3046" t="s">
        <v>12</v>
      </c>
      <c r="F3046" t="s">
        <v>45</v>
      </c>
      <c r="G3046" s="1">
        <v>45239</v>
      </c>
      <c r="H3046" s="1">
        <v>45561</v>
      </c>
      <c r="I3046">
        <v>32</v>
      </c>
      <c r="K3046">
        <v>13210.5</v>
      </c>
    </row>
    <row r="3047" spans="1:11">
      <c r="A3047">
        <v>3046</v>
      </c>
      <c r="B3047" t="s">
        <v>169</v>
      </c>
      <c r="C3047" s="1">
        <v>32143</v>
      </c>
      <c r="D3047">
        <v>38</v>
      </c>
      <c r="E3047" t="s">
        <v>15</v>
      </c>
      <c r="F3047" t="s">
        <v>16</v>
      </c>
      <c r="G3047" s="1">
        <v>45437</v>
      </c>
      <c r="H3047" s="1">
        <v>45041</v>
      </c>
      <c r="I3047">
        <v>6</v>
      </c>
      <c r="J3047" t="s">
        <v>19</v>
      </c>
      <c r="K3047">
        <v>7286.07</v>
      </c>
    </row>
    <row r="3048" spans="1:11">
      <c r="A3048">
        <v>3047</v>
      </c>
      <c r="B3048" t="s">
        <v>127</v>
      </c>
      <c r="C3048" s="1">
        <v>14976</v>
      </c>
      <c r="D3048">
        <v>85</v>
      </c>
      <c r="E3048" t="s">
        <v>12</v>
      </c>
      <c r="F3048" t="s">
        <v>13</v>
      </c>
      <c r="G3048" s="1">
        <v>45410</v>
      </c>
      <c r="H3048" s="1">
        <v>45459</v>
      </c>
      <c r="I3048">
        <v>37</v>
      </c>
      <c r="J3048" t="s">
        <v>23</v>
      </c>
      <c r="K3048">
        <v>18884.29</v>
      </c>
    </row>
    <row r="3049" spans="1:11">
      <c r="A3049">
        <v>3048</v>
      </c>
      <c r="B3049" t="s">
        <v>121</v>
      </c>
      <c r="C3049" s="1">
        <v>18629</v>
      </c>
      <c r="D3049">
        <v>75</v>
      </c>
      <c r="E3049" t="s">
        <v>15</v>
      </c>
      <c r="F3049" t="s">
        <v>18</v>
      </c>
      <c r="G3049" s="1">
        <v>45207</v>
      </c>
      <c r="H3049" s="1">
        <v>45426</v>
      </c>
      <c r="I3049">
        <v>1</v>
      </c>
      <c r="J3049" t="s">
        <v>23</v>
      </c>
      <c r="K3049">
        <v>6801.66</v>
      </c>
    </row>
    <row r="3050" spans="1:11">
      <c r="A3050">
        <v>3049</v>
      </c>
      <c r="B3050" t="s">
        <v>57</v>
      </c>
      <c r="C3050" s="1">
        <v>14246</v>
      </c>
      <c r="D3050">
        <v>87</v>
      </c>
      <c r="E3050" t="s">
        <v>12</v>
      </c>
      <c r="F3050" t="s">
        <v>16</v>
      </c>
      <c r="G3050" s="1">
        <v>45209</v>
      </c>
      <c r="H3050" s="1">
        <v>45266</v>
      </c>
      <c r="I3050">
        <v>17</v>
      </c>
      <c r="J3050" t="s">
        <v>23</v>
      </c>
      <c r="K3050">
        <v>12020.67</v>
      </c>
    </row>
    <row r="3051" spans="1:11">
      <c r="A3051">
        <v>3050</v>
      </c>
      <c r="B3051" t="s">
        <v>112</v>
      </c>
      <c r="C3051" s="1">
        <v>31778</v>
      </c>
      <c r="D3051">
        <v>39</v>
      </c>
      <c r="F3051" t="s">
        <v>45</v>
      </c>
      <c r="G3051" s="1">
        <v>45577</v>
      </c>
      <c r="H3051" s="1">
        <v>44948</v>
      </c>
      <c r="I3051">
        <v>12</v>
      </c>
      <c r="J3051" t="s">
        <v>23</v>
      </c>
      <c r="K3051">
        <v>14977.93</v>
      </c>
    </row>
    <row r="3052" spans="1:11">
      <c r="A3052">
        <v>3051</v>
      </c>
      <c r="B3052" t="s">
        <v>91</v>
      </c>
      <c r="C3052" s="1">
        <v>32508</v>
      </c>
      <c r="D3052">
        <v>37</v>
      </c>
      <c r="E3052" t="s">
        <v>12</v>
      </c>
      <c r="F3052" t="s">
        <v>16</v>
      </c>
      <c r="G3052" s="1">
        <v>45539</v>
      </c>
      <c r="H3052" s="1">
        <v>45647</v>
      </c>
      <c r="I3052">
        <v>26</v>
      </c>
      <c r="J3052" t="s">
        <v>25</v>
      </c>
      <c r="K3052">
        <v>18118.79</v>
      </c>
    </row>
    <row r="3053" spans="1:11">
      <c r="A3053">
        <v>3052</v>
      </c>
      <c r="B3053" t="s">
        <v>50</v>
      </c>
      <c r="C3053" s="1">
        <v>24473</v>
      </c>
      <c r="D3053">
        <v>59</v>
      </c>
      <c r="E3053" t="s">
        <v>15</v>
      </c>
      <c r="F3053" t="s">
        <v>32</v>
      </c>
      <c r="G3053" s="1">
        <v>45318</v>
      </c>
      <c r="H3053" s="1">
        <v>44960</v>
      </c>
      <c r="I3053">
        <v>2</v>
      </c>
      <c r="J3053" t="s">
        <v>23</v>
      </c>
      <c r="K3053">
        <v>8702.36</v>
      </c>
    </row>
    <row r="3054" spans="1:11">
      <c r="A3054">
        <v>3053</v>
      </c>
      <c r="B3054" t="s">
        <v>55</v>
      </c>
      <c r="C3054" s="1">
        <v>24838</v>
      </c>
      <c r="D3054">
        <v>58</v>
      </c>
      <c r="E3054" t="s">
        <v>12</v>
      </c>
      <c r="F3054" t="s">
        <v>13</v>
      </c>
      <c r="G3054" s="1">
        <v>45449</v>
      </c>
      <c r="H3054" s="1">
        <v>45060</v>
      </c>
      <c r="I3054">
        <v>36</v>
      </c>
      <c r="K3054">
        <v>7145.75</v>
      </c>
    </row>
    <row r="3055" spans="1:11">
      <c r="A3055">
        <v>3054</v>
      </c>
      <c r="B3055" t="s">
        <v>126</v>
      </c>
      <c r="C3055" s="1">
        <v>42735</v>
      </c>
      <c r="D3055">
        <v>9</v>
      </c>
      <c r="E3055" t="s">
        <v>15</v>
      </c>
      <c r="F3055" t="s">
        <v>13</v>
      </c>
      <c r="G3055" s="1">
        <v>45308</v>
      </c>
      <c r="H3055" s="1">
        <v>45630</v>
      </c>
      <c r="I3055">
        <v>37</v>
      </c>
      <c r="J3055" t="s">
        <v>23</v>
      </c>
      <c r="K3055">
        <v>8543.57</v>
      </c>
    </row>
    <row r="3056" spans="1:11">
      <c r="A3056">
        <v>3055</v>
      </c>
      <c r="B3056" t="s">
        <v>46</v>
      </c>
      <c r="C3056" s="1">
        <v>23012</v>
      </c>
      <c r="D3056">
        <v>63</v>
      </c>
      <c r="E3056" t="s">
        <v>12</v>
      </c>
      <c r="F3056" t="s">
        <v>16</v>
      </c>
      <c r="G3056" s="1">
        <v>45142</v>
      </c>
      <c r="H3056" s="1">
        <v>44953</v>
      </c>
      <c r="I3056">
        <v>4</v>
      </c>
      <c r="J3056" t="s">
        <v>25</v>
      </c>
      <c r="K3056">
        <v>6406.3</v>
      </c>
    </row>
    <row r="3057" spans="1:11">
      <c r="A3057">
        <v>3056</v>
      </c>
      <c r="B3057" t="s">
        <v>67</v>
      </c>
      <c r="C3057" s="1">
        <v>23377</v>
      </c>
      <c r="D3057">
        <v>62</v>
      </c>
      <c r="E3057" t="s">
        <v>15</v>
      </c>
      <c r="F3057" t="s">
        <v>21</v>
      </c>
      <c r="G3057" s="1">
        <v>45468</v>
      </c>
      <c r="H3057" s="1">
        <v>45291</v>
      </c>
      <c r="I3057">
        <v>5</v>
      </c>
      <c r="K3057">
        <v>13043.88</v>
      </c>
    </row>
    <row r="3058" spans="1:11">
      <c r="A3058">
        <v>3057</v>
      </c>
      <c r="B3058" t="s">
        <v>131</v>
      </c>
      <c r="C3058" s="1">
        <v>28490</v>
      </c>
      <c r="D3058">
        <v>48</v>
      </c>
      <c r="E3058" t="s">
        <v>15</v>
      </c>
      <c r="F3058" t="s">
        <v>13</v>
      </c>
      <c r="G3058" s="1">
        <v>45532</v>
      </c>
      <c r="H3058" s="1">
        <v>45528</v>
      </c>
      <c r="I3058">
        <v>29</v>
      </c>
      <c r="J3058" t="s">
        <v>25</v>
      </c>
      <c r="K3058">
        <v>18647.61</v>
      </c>
    </row>
    <row r="3059" spans="1:11">
      <c r="A3059">
        <v>3058</v>
      </c>
      <c r="B3059" t="s">
        <v>125</v>
      </c>
      <c r="C3059" s="1">
        <v>23012</v>
      </c>
      <c r="D3059">
        <v>63</v>
      </c>
      <c r="E3059" t="s">
        <v>15</v>
      </c>
      <c r="F3059" t="s">
        <v>32</v>
      </c>
      <c r="G3059" s="1">
        <v>45042</v>
      </c>
      <c r="H3059" s="1">
        <v>45019</v>
      </c>
      <c r="I3059">
        <v>33</v>
      </c>
      <c r="J3059" t="s">
        <v>25</v>
      </c>
      <c r="K3059">
        <v>2434.0300000000002</v>
      </c>
    </row>
    <row r="3060" spans="1:11">
      <c r="A3060">
        <v>3059</v>
      </c>
      <c r="B3060" t="s">
        <v>144</v>
      </c>
      <c r="C3060" s="1">
        <v>34700</v>
      </c>
      <c r="D3060">
        <v>31</v>
      </c>
      <c r="E3060" t="s">
        <v>15</v>
      </c>
      <c r="F3060" t="s">
        <v>13</v>
      </c>
      <c r="G3060" s="1">
        <v>45435</v>
      </c>
      <c r="H3060" s="1">
        <v>45472</v>
      </c>
      <c r="I3060">
        <v>30</v>
      </c>
      <c r="K3060">
        <v>11174.53</v>
      </c>
    </row>
    <row r="3061" spans="1:11">
      <c r="A3061">
        <v>3060</v>
      </c>
      <c r="B3061" t="s">
        <v>123</v>
      </c>
      <c r="C3061" s="1">
        <v>43831</v>
      </c>
      <c r="D3061">
        <v>6</v>
      </c>
      <c r="E3061" t="s">
        <v>12</v>
      </c>
      <c r="F3061" t="s">
        <v>21</v>
      </c>
      <c r="G3061" s="1">
        <v>45426</v>
      </c>
      <c r="H3061" s="1">
        <v>45165</v>
      </c>
      <c r="I3061">
        <v>34</v>
      </c>
      <c r="J3061" t="s">
        <v>25</v>
      </c>
      <c r="K3061">
        <v>17942.740000000002</v>
      </c>
    </row>
    <row r="3062" spans="1:11">
      <c r="A3062">
        <v>3061</v>
      </c>
      <c r="B3062" t="s">
        <v>70</v>
      </c>
      <c r="C3062" s="1">
        <v>38717</v>
      </c>
      <c r="D3062">
        <v>20</v>
      </c>
      <c r="E3062" t="s">
        <v>12</v>
      </c>
      <c r="F3062" t="s">
        <v>13</v>
      </c>
      <c r="G3062" s="1">
        <v>45197</v>
      </c>
      <c r="H3062" s="1">
        <v>44945</v>
      </c>
      <c r="I3062">
        <v>29</v>
      </c>
      <c r="J3062" t="s">
        <v>23</v>
      </c>
      <c r="K3062">
        <v>1912.3</v>
      </c>
    </row>
    <row r="3063" spans="1:11">
      <c r="A3063">
        <v>3062</v>
      </c>
      <c r="B3063" t="s">
        <v>154</v>
      </c>
      <c r="C3063" s="1">
        <v>39083</v>
      </c>
      <c r="D3063">
        <v>19</v>
      </c>
      <c r="E3063" t="s">
        <v>12</v>
      </c>
      <c r="G3063" s="1">
        <v>45366</v>
      </c>
      <c r="H3063" s="1">
        <v>45201</v>
      </c>
      <c r="I3063">
        <v>33</v>
      </c>
      <c r="J3063" t="s">
        <v>19</v>
      </c>
      <c r="K3063">
        <v>9826.69</v>
      </c>
    </row>
    <row r="3064" spans="1:11">
      <c r="A3064">
        <v>3063</v>
      </c>
      <c r="B3064" t="s">
        <v>139</v>
      </c>
      <c r="C3064" s="1">
        <v>36891</v>
      </c>
      <c r="D3064">
        <v>25</v>
      </c>
      <c r="E3064" t="s">
        <v>12</v>
      </c>
      <c r="F3064" t="s">
        <v>13</v>
      </c>
      <c r="G3064" s="1">
        <v>45217</v>
      </c>
      <c r="H3064" s="1">
        <v>45216</v>
      </c>
      <c r="I3064">
        <v>31</v>
      </c>
      <c r="J3064" t="s">
        <v>19</v>
      </c>
      <c r="K3064">
        <v>17291.11</v>
      </c>
    </row>
    <row r="3065" spans="1:11">
      <c r="A3065">
        <v>3064</v>
      </c>
      <c r="B3065" t="s">
        <v>123</v>
      </c>
      <c r="C3065" s="1">
        <v>21551</v>
      </c>
      <c r="D3065">
        <v>67</v>
      </c>
      <c r="E3065" t="s">
        <v>12</v>
      </c>
      <c r="F3065" t="s">
        <v>21</v>
      </c>
      <c r="G3065" s="1">
        <v>44965</v>
      </c>
      <c r="H3065" s="1">
        <v>44954</v>
      </c>
      <c r="I3065">
        <v>22</v>
      </c>
      <c r="J3065" t="s">
        <v>19</v>
      </c>
      <c r="K3065">
        <v>17999.09</v>
      </c>
    </row>
    <row r="3066" spans="1:11">
      <c r="A3066">
        <v>3065</v>
      </c>
      <c r="B3066" t="s">
        <v>76</v>
      </c>
      <c r="C3066" s="1">
        <v>14976</v>
      </c>
      <c r="D3066">
        <v>85</v>
      </c>
      <c r="E3066" t="s">
        <v>15</v>
      </c>
      <c r="G3066" s="1">
        <v>44950</v>
      </c>
      <c r="H3066" s="1">
        <v>45744</v>
      </c>
      <c r="I3066">
        <v>29</v>
      </c>
      <c r="K3066">
        <v>10238.48</v>
      </c>
    </row>
    <row r="3067" spans="1:11">
      <c r="A3067">
        <v>3066</v>
      </c>
      <c r="B3067" t="s">
        <v>44</v>
      </c>
      <c r="C3067" s="1">
        <v>40909</v>
      </c>
      <c r="D3067">
        <v>14</v>
      </c>
      <c r="E3067" t="s">
        <v>15</v>
      </c>
      <c r="G3067" s="1">
        <v>44969</v>
      </c>
      <c r="H3067" s="1">
        <v>45361</v>
      </c>
      <c r="I3067">
        <v>-1</v>
      </c>
      <c r="K3067">
        <v>401.53</v>
      </c>
    </row>
    <row r="3068" spans="1:11">
      <c r="A3068">
        <v>3067</v>
      </c>
      <c r="B3068" t="s">
        <v>104</v>
      </c>
      <c r="C3068" s="1">
        <v>15341</v>
      </c>
      <c r="D3068">
        <v>84</v>
      </c>
      <c r="E3068" t="s">
        <v>15</v>
      </c>
      <c r="F3068" t="s">
        <v>13</v>
      </c>
      <c r="G3068" s="1">
        <v>45096</v>
      </c>
      <c r="H3068" s="1">
        <v>45035</v>
      </c>
      <c r="I3068">
        <v>6</v>
      </c>
      <c r="K3068">
        <v>2023.35</v>
      </c>
    </row>
    <row r="3069" spans="1:11">
      <c r="A3069">
        <v>3068</v>
      </c>
      <c r="B3069" t="s">
        <v>24</v>
      </c>
      <c r="C3069" s="1">
        <v>17533</v>
      </c>
      <c r="D3069">
        <v>78</v>
      </c>
      <c r="E3069" t="s">
        <v>15</v>
      </c>
      <c r="F3069" t="s">
        <v>16</v>
      </c>
      <c r="G3069" s="1">
        <v>45266</v>
      </c>
      <c r="H3069" s="1">
        <v>45665</v>
      </c>
      <c r="I3069">
        <v>35</v>
      </c>
      <c r="J3069" t="s">
        <v>19</v>
      </c>
      <c r="K3069">
        <v>11693.01</v>
      </c>
    </row>
    <row r="3070" spans="1:11">
      <c r="A3070">
        <v>3069</v>
      </c>
      <c r="B3070" t="s">
        <v>30</v>
      </c>
      <c r="C3070" s="1">
        <v>14976</v>
      </c>
      <c r="D3070">
        <v>85</v>
      </c>
      <c r="E3070" t="s">
        <v>15</v>
      </c>
      <c r="F3070" t="s">
        <v>18</v>
      </c>
      <c r="G3070" s="1">
        <v>45095</v>
      </c>
      <c r="H3070" s="1">
        <v>45251</v>
      </c>
      <c r="I3070">
        <v>26</v>
      </c>
      <c r="J3070" t="s">
        <v>19</v>
      </c>
      <c r="K3070">
        <v>2389.56</v>
      </c>
    </row>
    <row r="3071" spans="1:11">
      <c r="A3071">
        <v>3070</v>
      </c>
      <c r="B3071" t="s">
        <v>137</v>
      </c>
      <c r="C3071" s="1">
        <v>12785</v>
      </c>
      <c r="D3071">
        <v>91</v>
      </c>
      <c r="E3071" t="s">
        <v>15</v>
      </c>
      <c r="G3071" s="1">
        <v>45464</v>
      </c>
      <c r="H3071" s="1">
        <v>45794</v>
      </c>
      <c r="I3071">
        <v>35</v>
      </c>
      <c r="K3071">
        <v>2903.3</v>
      </c>
    </row>
    <row r="3072" spans="1:11">
      <c r="A3072">
        <v>3071</v>
      </c>
      <c r="B3072" t="s">
        <v>159</v>
      </c>
      <c r="C3072" s="1">
        <v>41274</v>
      </c>
      <c r="D3072">
        <v>13</v>
      </c>
      <c r="E3072" t="s">
        <v>15</v>
      </c>
      <c r="F3072" t="s">
        <v>16</v>
      </c>
      <c r="G3072" s="1">
        <v>45618</v>
      </c>
      <c r="H3072" s="1">
        <v>45458</v>
      </c>
      <c r="I3072">
        <v>15</v>
      </c>
      <c r="J3072" t="s">
        <v>19</v>
      </c>
      <c r="K3072">
        <v>15419.55</v>
      </c>
    </row>
    <row r="3073" spans="1:11">
      <c r="A3073">
        <v>3072</v>
      </c>
      <c r="B3073" t="s">
        <v>83</v>
      </c>
      <c r="E3073" t="s">
        <v>15</v>
      </c>
      <c r="F3073" t="s">
        <v>13</v>
      </c>
      <c r="G3073" s="1">
        <v>45398</v>
      </c>
      <c r="H3073" s="1">
        <v>45662</v>
      </c>
      <c r="I3073">
        <v>19</v>
      </c>
      <c r="J3073" t="s">
        <v>25</v>
      </c>
      <c r="K3073">
        <v>14988.91</v>
      </c>
    </row>
    <row r="3074" spans="1:11">
      <c r="A3074">
        <v>3073</v>
      </c>
      <c r="B3074" t="s">
        <v>55</v>
      </c>
      <c r="C3074" s="1">
        <v>31778</v>
      </c>
      <c r="D3074">
        <v>39</v>
      </c>
      <c r="E3074" t="s">
        <v>12</v>
      </c>
      <c r="F3074" t="s">
        <v>45</v>
      </c>
      <c r="G3074" s="1">
        <v>45588</v>
      </c>
      <c r="H3074" s="1">
        <v>45720</v>
      </c>
      <c r="I3074">
        <v>32</v>
      </c>
      <c r="J3074" t="s">
        <v>25</v>
      </c>
      <c r="K3074">
        <v>16839.73</v>
      </c>
    </row>
    <row r="3075" spans="1:11">
      <c r="A3075">
        <v>3074</v>
      </c>
      <c r="B3075" t="s">
        <v>147</v>
      </c>
      <c r="C3075" s="1">
        <v>25203</v>
      </c>
      <c r="D3075">
        <v>57</v>
      </c>
      <c r="E3075" t="s">
        <v>15</v>
      </c>
      <c r="F3075" t="s">
        <v>45</v>
      </c>
      <c r="G3075" s="1">
        <v>45571</v>
      </c>
      <c r="H3075" s="1">
        <v>45031</v>
      </c>
      <c r="I3075">
        <v>12</v>
      </c>
      <c r="J3075" t="s">
        <v>19</v>
      </c>
      <c r="K3075">
        <v>2025.28</v>
      </c>
    </row>
    <row r="3076" spans="1:11">
      <c r="A3076">
        <v>3075</v>
      </c>
      <c r="B3076" t="s">
        <v>54</v>
      </c>
      <c r="C3076" s="1">
        <v>36161</v>
      </c>
      <c r="D3076">
        <v>27</v>
      </c>
      <c r="E3076" t="s">
        <v>12</v>
      </c>
      <c r="F3076" t="s">
        <v>18</v>
      </c>
      <c r="G3076" s="1">
        <v>45069</v>
      </c>
      <c r="H3076" s="1">
        <v>45771</v>
      </c>
      <c r="I3076">
        <v>4</v>
      </c>
      <c r="K3076">
        <v>3882.71</v>
      </c>
    </row>
    <row r="3077" spans="1:11">
      <c r="A3077">
        <v>3076</v>
      </c>
      <c r="B3077" t="s">
        <v>75</v>
      </c>
      <c r="C3077" s="1">
        <v>36891</v>
      </c>
      <c r="D3077">
        <v>25</v>
      </c>
      <c r="E3077" t="s">
        <v>12</v>
      </c>
      <c r="G3077" s="1">
        <v>45602</v>
      </c>
      <c r="H3077" s="1">
        <v>45259</v>
      </c>
      <c r="I3077">
        <v>10</v>
      </c>
      <c r="J3077" t="s">
        <v>23</v>
      </c>
      <c r="K3077">
        <v>16642.52</v>
      </c>
    </row>
    <row r="3078" spans="1:11">
      <c r="A3078">
        <v>3077</v>
      </c>
      <c r="B3078" t="s">
        <v>156</v>
      </c>
      <c r="C3078" s="1">
        <v>23377</v>
      </c>
      <c r="D3078">
        <v>62</v>
      </c>
      <c r="E3078" t="s">
        <v>12</v>
      </c>
      <c r="F3078" t="s">
        <v>13</v>
      </c>
      <c r="G3078" s="1">
        <v>45027</v>
      </c>
      <c r="H3078" s="1">
        <v>45289</v>
      </c>
      <c r="I3078">
        <v>39</v>
      </c>
      <c r="J3078" t="s">
        <v>23</v>
      </c>
      <c r="K3078">
        <v>14393.86</v>
      </c>
    </row>
    <row r="3079" spans="1:11">
      <c r="A3079">
        <v>3078</v>
      </c>
      <c r="B3079" t="s">
        <v>104</v>
      </c>
      <c r="C3079" s="1">
        <v>22281</v>
      </c>
      <c r="D3079">
        <v>65</v>
      </c>
      <c r="E3079" t="s">
        <v>15</v>
      </c>
      <c r="F3079" t="s">
        <v>32</v>
      </c>
      <c r="G3079" s="1">
        <v>45501</v>
      </c>
      <c r="H3079" s="1">
        <v>45216</v>
      </c>
      <c r="I3079">
        <v>33</v>
      </c>
      <c r="J3079" t="s">
        <v>19</v>
      </c>
      <c r="K3079">
        <v>16099.72</v>
      </c>
    </row>
    <row r="3080" spans="1:11">
      <c r="A3080">
        <v>3079</v>
      </c>
      <c r="B3080" t="s">
        <v>47</v>
      </c>
      <c r="C3080" s="1">
        <v>37256</v>
      </c>
      <c r="D3080">
        <v>24</v>
      </c>
      <c r="E3080" t="s">
        <v>15</v>
      </c>
      <c r="G3080" s="1">
        <v>45531</v>
      </c>
      <c r="H3080" s="1">
        <v>45371</v>
      </c>
      <c r="I3080">
        <v>13</v>
      </c>
      <c r="J3080" t="s">
        <v>23</v>
      </c>
      <c r="K3080">
        <v>19793.89</v>
      </c>
    </row>
    <row r="3081" spans="1:11">
      <c r="A3081">
        <v>3080</v>
      </c>
      <c r="B3081" t="s">
        <v>124</v>
      </c>
      <c r="C3081" s="1">
        <v>45292</v>
      </c>
      <c r="D3081">
        <v>2</v>
      </c>
      <c r="E3081" t="s">
        <v>15</v>
      </c>
      <c r="F3081" t="s">
        <v>13</v>
      </c>
      <c r="G3081" s="1">
        <v>45645</v>
      </c>
      <c r="H3081" s="1">
        <v>44964</v>
      </c>
      <c r="I3081">
        <v>38</v>
      </c>
      <c r="K3081">
        <v>17275.080000000002</v>
      </c>
    </row>
    <row r="3082" spans="1:11">
      <c r="A3082">
        <v>3081</v>
      </c>
      <c r="B3082" t="s">
        <v>135</v>
      </c>
      <c r="C3082" s="1">
        <v>20090</v>
      </c>
      <c r="D3082">
        <v>71</v>
      </c>
      <c r="E3082" t="s">
        <v>15</v>
      </c>
      <c r="F3082" t="s">
        <v>45</v>
      </c>
      <c r="G3082" s="1">
        <v>45401</v>
      </c>
      <c r="H3082" s="1">
        <v>45275</v>
      </c>
      <c r="I3082">
        <v>18</v>
      </c>
      <c r="J3082" t="s">
        <v>25</v>
      </c>
      <c r="K3082">
        <v>10361.31</v>
      </c>
    </row>
    <row r="3083" spans="1:11">
      <c r="A3083">
        <v>3082</v>
      </c>
      <c r="B3083" t="s">
        <v>131</v>
      </c>
      <c r="C3083" s="1">
        <v>30317</v>
      </c>
      <c r="D3083">
        <v>43</v>
      </c>
      <c r="E3083" t="s">
        <v>15</v>
      </c>
      <c r="F3083" t="s">
        <v>21</v>
      </c>
      <c r="G3083" s="1">
        <v>45237</v>
      </c>
      <c r="H3083" s="1">
        <v>45819</v>
      </c>
      <c r="I3083">
        <v>25</v>
      </c>
      <c r="J3083" t="s">
        <v>25</v>
      </c>
      <c r="K3083">
        <v>6146.44</v>
      </c>
    </row>
    <row r="3084" spans="1:11">
      <c r="A3084">
        <v>3083</v>
      </c>
      <c r="B3084" t="s">
        <v>34</v>
      </c>
      <c r="C3084" s="1">
        <v>31047</v>
      </c>
      <c r="D3084">
        <v>41</v>
      </c>
      <c r="E3084" t="s">
        <v>12</v>
      </c>
      <c r="F3084" t="s">
        <v>18</v>
      </c>
      <c r="G3084" s="1">
        <v>45510</v>
      </c>
      <c r="H3084" s="1">
        <v>45683</v>
      </c>
      <c r="I3084">
        <v>7</v>
      </c>
      <c r="K3084">
        <v>11350.5</v>
      </c>
    </row>
    <row r="3085" spans="1:11">
      <c r="A3085">
        <v>3084</v>
      </c>
      <c r="B3085" t="s">
        <v>131</v>
      </c>
      <c r="C3085" s="1">
        <v>44196</v>
      </c>
      <c r="D3085">
        <v>5</v>
      </c>
      <c r="E3085" t="s">
        <v>12</v>
      </c>
      <c r="F3085" t="s">
        <v>21</v>
      </c>
      <c r="G3085" s="1">
        <v>44986</v>
      </c>
      <c r="H3085" s="1">
        <v>44970</v>
      </c>
      <c r="I3085">
        <v>16</v>
      </c>
      <c r="J3085" t="s">
        <v>23</v>
      </c>
      <c r="K3085">
        <v>12735.59</v>
      </c>
    </row>
    <row r="3086" spans="1:11">
      <c r="A3086">
        <v>3085</v>
      </c>
      <c r="B3086" t="s">
        <v>29</v>
      </c>
      <c r="C3086" s="1">
        <v>32143</v>
      </c>
      <c r="D3086">
        <v>38</v>
      </c>
      <c r="E3086" t="s">
        <v>12</v>
      </c>
      <c r="F3086" t="s">
        <v>32</v>
      </c>
      <c r="G3086" s="1">
        <v>44955</v>
      </c>
      <c r="H3086" s="1">
        <v>45053</v>
      </c>
      <c r="I3086">
        <v>14</v>
      </c>
      <c r="J3086" t="s">
        <v>19</v>
      </c>
      <c r="K3086">
        <v>6639.77</v>
      </c>
    </row>
    <row r="3087" spans="1:11">
      <c r="A3087">
        <v>3086</v>
      </c>
      <c r="B3087" t="s">
        <v>124</v>
      </c>
      <c r="C3087" s="1">
        <v>27395</v>
      </c>
      <c r="D3087">
        <v>51</v>
      </c>
      <c r="E3087" t="s">
        <v>15</v>
      </c>
      <c r="F3087" t="s">
        <v>13</v>
      </c>
      <c r="G3087" s="1">
        <v>45457</v>
      </c>
      <c r="H3087" s="1">
        <v>44936</v>
      </c>
      <c r="I3087">
        <v>-2</v>
      </c>
      <c r="J3087" t="s">
        <v>25</v>
      </c>
      <c r="K3087">
        <v>15395.83</v>
      </c>
    </row>
    <row r="3088" spans="1:11">
      <c r="A3088">
        <v>3087</v>
      </c>
      <c r="B3088" t="s">
        <v>104</v>
      </c>
      <c r="C3088" s="1">
        <v>37987</v>
      </c>
      <c r="D3088">
        <v>22</v>
      </c>
      <c r="E3088" t="s">
        <v>15</v>
      </c>
      <c r="F3088" t="s">
        <v>32</v>
      </c>
      <c r="G3088" s="1">
        <v>44999</v>
      </c>
      <c r="H3088" s="1">
        <v>45453</v>
      </c>
      <c r="I3088">
        <v>10</v>
      </c>
      <c r="J3088" t="s">
        <v>23</v>
      </c>
      <c r="K3088">
        <v>1764.35</v>
      </c>
    </row>
    <row r="3089" spans="1:11">
      <c r="A3089">
        <v>3088</v>
      </c>
      <c r="B3089" t="s">
        <v>82</v>
      </c>
      <c r="C3089" s="1">
        <v>13880</v>
      </c>
      <c r="D3089">
        <v>88</v>
      </c>
      <c r="E3089" t="s">
        <v>12</v>
      </c>
      <c r="F3089" t="s">
        <v>21</v>
      </c>
      <c r="G3089" s="1">
        <v>45320</v>
      </c>
      <c r="H3089" s="1">
        <v>45058</v>
      </c>
      <c r="I3089">
        <v>33</v>
      </c>
      <c r="J3089" t="s">
        <v>23</v>
      </c>
      <c r="K3089">
        <v>15565.8</v>
      </c>
    </row>
    <row r="3090" spans="1:11">
      <c r="A3090">
        <v>3089</v>
      </c>
      <c r="B3090" t="s">
        <v>22</v>
      </c>
      <c r="C3090" s="1">
        <v>28125</v>
      </c>
      <c r="D3090">
        <v>49</v>
      </c>
      <c r="E3090" t="s">
        <v>15</v>
      </c>
      <c r="F3090" t="s">
        <v>13</v>
      </c>
      <c r="G3090" s="1">
        <v>45320</v>
      </c>
      <c r="H3090" s="1">
        <v>45252</v>
      </c>
      <c r="I3090">
        <v>39</v>
      </c>
      <c r="J3090" t="s">
        <v>25</v>
      </c>
      <c r="K3090">
        <v>543.16999999999996</v>
      </c>
    </row>
    <row r="3091" spans="1:11">
      <c r="A3091">
        <v>3090</v>
      </c>
      <c r="B3091" t="s">
        <v>157</v>
      </c>
      <c r="C3091" s="1">
        <v>30682</v>
      </c>
      <c r="D3091">
        <v>42</v>
      </c>
      <c r="E3091" t="s">
        <v>12</v>
      </c>
      <c r="G3091" s="1">
        <v>45407</v>
      </c>
      <c r="H3091" s="1">
        <v>45111</v>
      </c>
      <c r="I3091">
        <v>17</v>
      </c>
      <c r="J3091" t="s">
        <v>25</v>
      </c>
      <c r="K3091">
        <v>9909.1200000000008</v>
      </c>
    </row>
    <row r="3092" spans="1:11">
      <c r="A3092">
        <v>3091</v>
      </c>
      <c r="B3092" t="s">
        <v>75</v>
      </c>
      <c r="C3092" s="1">
        <v>39448</v>
      </c>
      <c r="D3092">
        <v>18</v>
      </c>
      <c r="E3092" t="s">
        <v>12</v>
      </c>
      <c r="F3092" t="s">
        <v>16</v>
      </c>
      <c r="G3092" s="1">
        <v>45399</v>
      </c>
      <c r="H3092" s="1">
        <v>45209</v>
      </c>
      <c r="I3092">
        <v>38</v>
      </c>
      <c r="J3092" t="s">
        <v>19</v>
      </c>
      <c r="K3092">
        <v>17214.87</v>
      </c>
    </row>
    <row r="3093" spans="1:11">
      <c r="A3093">
        <v>3092</v>
      </c>
      <c r="B3093" t="s">
        <v>82</v>
      </c>
      <c r="C3093" s="1">
        <v>21185</v>
      </c>
      <c r="D3093">
        <v>68</v>
      </c>
      <c r="E3093" t="s">
        <v>15</v>
      </c>
      <c r="F3093" t="s">
        <v>16</v>
      </c>
      <c r="G3093" s="1">
        <v>45239</v>
      </c>
      <c r="H3093" s="1">
        <v>45822</v>
      </c>
      <c r="I3093">
        <v>37</v>
      </c>
      <c r="K3093">
        <v>1638.56</v>
      </c>
    </row>
    <row r="3094" spans="1:11">
      <c r="A3094">
        <v>3093</v>
      </c>
      <c r="B3094" t="s">
        <v>166</v>
      </c>
      <c r="C3094" s="1">
        <v>27760</v>
      </c>
      <c r="D3094">
        <v>50</v>
      </c>
      <c r="E3094" t="s">
        <v>15</v>
      </c>
      <c r="G3094" s="1">
        <v>45364</v>
      </c>
      <c r="H3094" s="1">
        <v>44980</v>
      </c>
      <c r="I3094">
        <v>3</v>
      </c>
      <c r="J3094" t="s">
        <v>23</v>
      </c>
      <c r="K3094">
        <v>10306.549999999999</v>
      </c>
    </row>
    <row r="3095" spans="1:11">
      <c r="A3095">
        <v>3094</v>
      </c>
      <c r="B3095" t="s">
        <v>64</v>
      </c>
      <c r="C3095" s="1">
        <v>42370</v>
      </c>
      <c r="D3095">
        <v>10</v>
      </c>
      <c r="E3095" t="s">
        <v>15</v>
      </c>
      <c r="F3095" t="s">
        <v>32</v>
      </c>
      <c r="G3095" s="1">
        <v>45250</v>
      </c>
      <c r="H3095" s="1">
        <v>45480</v>
      </c>
      <c r="I3095">
        <v>20</v>
      </c>
      <c r="J3095" t="s">
        <v>19</v>
      </c>
      <c r="K3095">
        <v>3103.77</v>
      </c>
    </row>
    <row r="3096" spans="1:11">
      <c r="A3096">
        <v>3095</v>
      </c>
      <c r="B3096" t="s">
        <v>161</v>
      </c>
      <c r="C3096" s="1">
        <v>42005</v>
      </c>
      <c r="D3096">
        <v>11</v>
      </c>
      <c r="E3096" t="s">
        <v>15</v>
      </c>
      <c r="F3096" t="s">
        <v>16</v>
      </c>
      <c r="G3096" s="1">
        <v>45013</v>
      </c>
      <c r="H3096" s="1">
        <v>45777</v>
      </c>
      <c r="I3096">
        <v>39</v>
      </c>
      <c r="J3096" t="s">
        <v>25</v>
      </c>
      <c r="K3096">
        <v>17885.8</v>
      </c>
    </row>
    <row r="3097" spans="1:11">
      <c r="A3097">
        <v>3096</v>
      </c>
      <c r="B3097" t="s">
        <v>144</v>
      </c>
      <c r="C3097" s="1">
        <v>19359</v>
      </c>
      <c r="D3097">
        <v>73</v>
      </c>
      <c r="E3097" t="s">
        <v>15</v>
      </c>
      <c r="F3097" t="s">
        <v>16</v>
      </c>
      <c r="G3097" s="1">
        <v>45285</v>
      </c>
      <c r="H3097" s="1">
        <v>45797</v>
      </c>
      <c r="I3097">
        <v>21</v>
      </c>
      <c r="K3097">
        <v>16630.150000000001</v>
      </c>
    </row>
    <row r="3098" spans="1:11">
      <c r="A3098">
        <v>3097</v>
      </c>
      <c r="B3098" t="s">
        <v>11</v>
      </c>
      <c r="C3098" s="1">
        <v>43466</v>
      </c>
      <c r="D3098">
        <v>7</v>
      </c>
      <c r="E3098" t="s">
        <v>15</v>
      </c>
      <c r="F3098" t="s">
        <v>45</v>
      </c>
      <c r="G3098" s="1">
        <v>45621</v>
      </c>
      <c r="H3098" s="1">
        <v>45460</v>
      </c>
      <c r="I3098">
        <v>2</v>
      </c>
      <c r="K3098">
        <v>18671.740000000002</v>
      </c>
    </row>
    <row r="3099" spans="1:11">
      <c r="A3099">
        <v>3098</v>
      </c>
      <c r="B3099" t="s">
        <v>87</v>
      </c>
      <c r="C3099" s="1">
        <v>37622</v>
      </c>
      <c r="D3099">
        <v>23</v>
      </c>
      <c r="E3099" t="s">
        <v>15</v>
      </c>
      <c r="F3099" t="s">
        <v>16</v>
      </c>
      <c r="G3099" s="1">
        <v>45123</v>
      </c>
      <c r="H3099" s="1">
        <v>45304</v>
      </c>
      <c r="I3099">
        <v>29</v>
      </c>
      <c r="J3099" t="s">
        <v>23</v>
      </c>
      <c r="K3099">
        <v>17487.150000000001</v>
      </c>
    </row>
    <row r="3100" spans="1:11">
      <c r="A3100">
        <v>3099</v>
      </c>
      <c r="B3100" t="s">
        <v>72</v>
      </c>
      <c r="C3100" s="1">
        <v>12785</v>
      </c>
      <c r="D3100">
        <v>91</v>
      </c>
      <c r="E3100" t="s">
        <v>12</v>
      </c>
      <c r="F3100" t="s">
        <v>45</v>
      </c>
      <c r="G3100" s="1">
        <v>45311</v>
      </c>
      <c r="H3100" s="1">
        <v>45222</v>
      </c>
      <c r="I3100">
        <v>14</v>
      </c>
      <c r="K3100">
        <v>14704.72</v>
      </c>
    </row>
    <row r="3101" spans="1:11">
      <c r="A3101">
        <v>3100</v>
      </c>
      <c r="B3101" t="s">
        <v>91</v>
      </c>
      <c r="C3101" s="1">
        <v>31412</v>
      </c>
      <c r="D3101">
        <v>40</v>
      </c>
      <c r="E3101" t="s">
        <v>12</v>
      </c>
      <c r="F3101" t="s">
        <v>18</v>
      </c>
      <c r="G3101" s="1">
        <v>45044</v>
      </c>
      <c r="H3101" s="1">
        <v>45135</v>
      </c>
      <c r="I3101">
        <v>8</v>
      </c>
      <c r="J3101" t="s">
        <v>25</v>
      </c>
      <c r="K3101">
        <v>3616.27</v>
      </c>
    </row>
    <row r="3102" spans="1:11">
      <c r="A3102">
        <v>3101</v>
      </c>
      <c r="B3102" t="s">
        <v>131</v>
      </c>
      <c r="C3102" s="1">
        <v>33239</v>
      </c>
      <c r="D3102">
        <v>35</v>
      </c>
      <c r="E3102" t="s">
        <v>15</v>
      </c>
      <c r="F3102" t="s">
        <v>45</v>
      </c>
      <c r="G3102" s="1">
        <v>45424</v>
      </c>
      <c r="H3102" s="1">
        <v>45590</v>
      </c>
      <c r="I3102">
        <v>24</v>
      </c>
      <c r="J3102" t="s">
        <v>25</v>
      </c>
      <c r="K3102">
        <v>5980.3</v>
      </c>
    </row>
    <row r="3103" spans="1:11">
      <c r="A3103">
        <v>3102</v>
      </c>
      <c r="B3103" t="s">
        <v>102</v>
      </c>
      <c r="C3103" s="1">
        <v>15341</v>
      </c>
      <c r="D3103">
        <v>84</v>
      </c>
      <c r="E3103" t="s">
        <v>12</v>
      </c>
      <c r="F3103" t="s">
        <v>45</v>
      </c>
      <c r="G3103" s="1">
        <v>45388</v>
      </c>
      <c r="H3103" s="1">
        <v>45404</v>
      </c>
      <c r="I3103">
        <v>1</v>
      </c>
      <c r="J3103" t="s">
        <v>25</v>
      </c>
      <c r="K3103">
        <v>9886.7900000000009</v>
      </c>
    </row>
    <row r="3104" spans="1:11">
      <c r="A3104">
        <v>3103</v>
      </c>
      <c r="B3104" t="s">
        <v>148</v>
      </c>
      <c r="C3104" s="1">
        <v>20090</v>
      </c>
      <c r="D3104">
        <v>71</v>
      </c>
      <c r="E3104" t="s">
        <v>12</v>
      </c>
      <c r="F3104" t="s">
        <v>21</v>
      </c>
      <c r="G3104" s="1">
        <v>45422</v>
      </c>
      <c r="H3104" s="1">
        <v>44996</v>
      </c>
      <c r="I3104">
        <v>20</v>
      </c>
      <c r="J3104" t="s">
        <v>19</v>
      </c>
      <c r="K3104">
        <v>11736.83</v>
      </c>
    </row>
    <row r="3105" spans="1:11">
      <c r="A3105">
        <v>3104</v>
      </c>
      <c r="B3105" t="s">
        <v>94</v>
      </c>
      <c r="C3105" s="1">
        <v>26299</v>
      </c>
      <c r="D3105">
        <v>54</v>
      </c>
      <c r="E3105" t="s">
        <v>12</v>
      </c>
      <c r="F3105" t="s">
        <v>45</v>
      </c>
      <c r="G3105" s="1">
        <v>45520</v>
      </c>
      <c r="H3105" s="1">
        <v>45770</v>
      </c>
      <c r="I3105">
        <v>20</v>
      </c>
      <c r="J3105" t="s">
        <v>25</v>
      </c>
      <c r="K3105">
        <v>15621.89</v>
      </c>
    </row>
    <row r="3106" spans="1:11">
      <c r="A3106">
        <v>3105</v>
      </c>
      <c r="B3106" t="s">
        <v>87</v>
      </c>
      <c r="C3106" s="1">
        <v>43100</v>
      </c>
      <c r="D3106">
        <v>8</v>
      </c>
      <c r="E3106" t="s">
        <v>12</v>
      </c>
      <c r="F3106" t="s">
        <v>45</v>
      </c>
      <c r="G3106" s="1">
        <v>45173</v>
      </c>
      <c r="H3106" s="1">
        <v>45757</v>
      </c>
      <c r="I3106">
        <v>31</v>
      </c>
      <c r="J3106" t="s">
        <v>19</v>
      </c>
      <c r="K3106">
        <v>4461.8900000000003</v>
      </c>
    </row>
    <row r="3107" spans="1:11">
      <c r="A3107">
        <v>3106</v>
      </c>
      <c r="B3107" t="s">
        <v>55</v>
      </c>
      <c r="C3107" s="1">
        <v>29221</v>
      </c>
      <c r="D3107">
        <v>46</v>
      </c>
      <c r="E3107" t="s">
        <v>15</v>
      </c>
      <c r="F3107" t="s">
        <v>21</v>
      </c>
      <c r="G3107" s="1">
        <v>45160</v>
      </c>
      <c r="H3107" s="1">
        <v>45364</v>
      </c>
      <c r="I3107">
        <v>18</v>
      </c>
      <c r="J3107" t="s">
        <v>25</v>
      </c>
      <c r="K3107">
        <v>2478.38</v>
      </c>
    </row>
    <row r="3108" spans="1:11">
      <c r="A3108">
        <v>3107</v>
      </c>
      <c r="B3108" t="s">
        <v>40</v>
      </c>
      <c r="C3108" s="1">
        <v>40909</v>
      </c>
      <c r="D3108">
        <v>14</v>
      </c>
      <c r="E3108" t="s">
        <v>15</v>
      </c>
      <c r="F3108" t="s">
        <v>45</v>
      </c>
      <c r="G3108" s="1">
        <v>45343</v>
      </c>
      <c r="H3108" s="1">
        <v>45228</v>
      </c>
      <c r="I3108">
        <v>19</v>
      </c>
      <c r="J3108" t="s">
        <v>25</v>
      </c>
      <c r="K3108">
        <v>9600.4599999999991</v>
      </c>
    </row>
    <row r="3109" spans="1:11">
      <c r="A3109">
        <v>3108</v>
      </c>
      <c r="B3109" t="s">
        <v>55</v>
      </c>
      <c r="C3109" s="1">
        <v>28856</v>
      </c>
      <c r="D3109">
        <v>47</v>
      </c>
      <c r="E3109" t="s">
        <v>12</v>
      </c>
      <c r="F3109" t="s">
        <v>16</v>
      </c>
      <c r="G3109" s="1">
        <v>45393</v>
      </c>
      <c r="H3109" s="1">
        <v>44954</v>
      </c>
      <c r="I3109">
        <v>-2</v>
      </c>
      <c r="K3109">
        <v>3072.61</v>
      </c>
    </row>
    <row r="3110" spans="1:11">
      <c r="A3110">
        <v>3109</v>
      </c>
      <c r="B3110" t="s">
        <v>126</v>
      </c>
      <c r="C3110" s="1">
        <v>16437</v>
      </c>
      <c r="D3110">
        <v>81</v>
      </c>
      <c r="E3110" t="s">
        <v>12</v>
      </c>
      <c r="G3110" s="1">
        <v>45408</v>
      </c>
      <c r="H3110" s="1">
        <v>45555</v>
      </c>
      <c r="I3110">
        <v>29</v>
      </c>
      <c r="J3110" t="s">
        <v>23</v>
      </c>
      <c r="K3110">
        <v>13844.11</v>
      </c>
    </row>
    <row r="3111" spans="1:11">
      <c r="A3111">
        <v>3110</v>
      </c>
      <c r="B3111" t="s">
        <v>113</v>
      </c>
      <c r="C3111" s="1">
        <v>31047</v>
      </c>
      <c r="D3111">
        <v>41</v>
      </c>
      <c r="E3111" t="s">
        <v>12</v>
      </c>
      <c r="F3111" t="s">
        <v>45</v>
      </c>
      <c r="G3111" s="1">
        <v>45291</v>
      </c>
      <c r="H3111" s="1">
        <v>45581</v>
      </c>
      <c r="I3111">
        <v>25</v>
      </c>
      <c r="J3111" t="s">
        <v>25</v>
      </c>
      <c r="K3111">
        <v>11470.18</v>
      </c>
    </row>
    <row r="3112" spans="1:11">
      <c r="A3112">
        <v>3111</v>
      </c>
      <c r="B3112" t="s">
        <v>98</v>
      </c>
      <c r="C3112" s="1">
        <v>24473</v>
      </c>
      <c r="D3112">
        <v>59</v>
      </c>
      <c r="F3112" t="s">
        <v>18</v>
      </c>
      <c r="G3112" s="1">
        <v>45079</v>
      </c>
      <c r="H3112" s="1">
        <v>45480</v>
      </c>
      <c r="I3112">
        <v>15</v>
      </c>
      <c r="K3112">
        <v>14796.27</v>
      </c>
    </row>
    <row r="3113" spans="1:11">
      <c r="A3113">
        <v>3112</v>
      </c>
      <c r="B3113" t="s">
        <v>47</v>
      </c>
      <c r="C3113" s="1">
        <v>15707</v>
      </c>
      <c r="D3113">
        <v>83</v>
      </c>
      <c r="E3113" t="s">
        <v>12</v>
      </c>
      <c r="F3113" t="s">
        <v>45</v>
      </c>
      <c r="G3113" s="1">
        <v>45198</v>
      </c>
      <c r="H3113" s="1">
        <v>45033</v>
      </c>
      <c r="I3113">
        <v>4</v>
      </c>
      <c r="K3113">
        <v>1175.07</v>
      </c>
    </row>
    <row r="3114" spans="1:11">
      <c r="A3114">
        <v>3113</v>
      </c>
      <c r="B3114" t="s">
        <v>160</v>
      </c>
      <c r="C3114" s="1">
        <v>20820</v>
      </c>
      <c r="D3114">
        <v>69</v>
      </c>
      <c r="E3114" t="s">
        <v>15</v>
      </c>
      <c r="F3114" t="s">
        <v>45</v>
      </c>
      <c r="G3114" s="1">
        <v>45318</v>
      </c>
      <c r="H3114" s="1">
        <v>45513</v>
      </c>
      <c r="I3114">
        <v>35</v>
      </c>
      <c r="J3114" t="s">
        <v>23</v>
      </c>
      <c r="K3114">
        <v>19290.419999999998</v>
      </c>
    </row>
    <row r="3115" spans="1:11">
      <c r="A3115">
        <v>3114</v>
      </c>
      <c r="B3115" t="s">
        <v>62</v>
      </c>
      <c r="C3115" s="1">
        <v>42005</v>
      </c>
      <c r="D3115">
        <v>11</v>
      </c>
      <c r="E3115" t="s">
        <v>15</v>
      </c>
      <c r="F3115" t="s">
        <v>18</v>
      </c>
      <c r="G3115" s="1">
        <v>45473</v>
      </c>
      <c r="H3115" s="1">
        <v>45499</v>
      </c>
      <c r="I3115">
        <v>3</v>
      </c>
      <c r="K3115">
        <v>-99.89</v>
      </c>
    </row>
    <row r="3116" spans="1:11">
      <c r="A3116">
        <v>3115</v>
      </c>
      <c r="B3116" t="s">
        <v>57</v>
      </c>
      <c r="C3116" s="1">
        <v>45657</v>
      </c>
      <c r="E3116" t="s">
        <v>15</v>
      </c>
      <c r="G3116" s="1">
        <v>45651</v>
      </c>
      <c r="H3116" s="1">
        <v>45737</v>
      </c>
      <c r="I3116">
        <v>11</v>
      </c>
      <c r="K3116">
        <v>6441.39</v>
      </c>
    </row>
    <row r="3117" spans="1:11">
      <c r="A3117">
        <v>3116</v>
      </c>
      <c r="B3117" t="s">
        <v>52</v>
      </c>
      <c r="C3117" s="1">
        <v>43831</v>
      </c>
      <c r="D3117">
        <v>6</v>
      </c>
      <c r="E3117" t="s">
        <v>12</v>
      </c>
      <c r="F3117" t="s">
        <v>21</v>
      </c>
      <c r="G3117" s="1">
        <v>45649</v>
      </c>
      <c r="H3117" s="1">
        <v>45561</v>
      </c>
      <c r="I3117">
        <v>27</v>
      </c>
      <c r="J3117" t="s">
        <v>23</v>
      </c>
      <c r="K3117">
        <v>13560.66</v>
      </c>
    </row>
    <row r="3118" spans="1:11">
      <c r="A3118">
        <v>3117</v>
      </c>
      <c r="B3118" t="s">
        <v>26</v>
      </c>
      <c r="C3118" s="1">
        <v>17168</v>
      </c>
      <c r="D3118">
        <v>79</v>
      </c>
      <c r="E3118" t="s">
        <v>12</v>
      </c>
      <c r="F3118" t="s">
        <v>16</v>
      </c>
      <c r="G3118" s="1">
        <v>45356</v>
      </c>
      <c r="H3118" s="1">
        <v>45642</v>
      </c>
      <c r="I3118">
        <v>11</v>
      </c>
      <c r="J3118" t="s">
        <v>19</v>
      </c>
      <c r="K3118">
        <v>807.36</v>
      </c>
    </row>
    <row r="3119" spans="1:11">
      <c r="A3119">
        <v>3118</v>
      </c>
      <c r="B3119" t="s">
        <v>127</v>
      </c>
      <c r="C3119" s="1">
        <v>45292</v>
      </c>
      <c r="D3119">
        <v>2</v>
      </c>
      <c r="E3119" t="s">
        <v>12</v>
      </c>
      <c r="G3119" s="1">
        <v>45577</v>
      </c>
      <c r="H3119" s="1">
        <v>44938</v>
      </c>
      <c r="I3119">
        <v>38</v>
      </c>
      <c r="J3119" t="s">
        <v>23</v>
      </c>
      <c r="K3119">
        <v>1575.33</v>
      </c>
    </row>
    <row r="3120" spans="1:11">
      <c r="A3120">
        <v>3119</v>
      </c>
      <c r="B3120" t="s">
        <v>96</v>
      </c>
      <c r="C3120" s="1">
        <v>45292</v>
      </c>
      <c r="D3120">
        <v>2</v>
      </c>
      <c r="E3120" t="s">
        <v>12</v>
      </c>
      <c r="F3120" t="s">
        <v>45</v>
      </c>
      <c r="G3120" s="1">
        <v>45115</v>
      </c>
      <c r="H3120" s="1">
        <v>45586</v>
      </c>
      <c r="I3120">
        <v>6</v>
      </c>
      <c r="J3120" t="s">
        <v>23</v>
      </c>
      <c r="K3120">
        <v>1441.3</v>
      </c>
    </row>
    <row r="3121" spans="1:11">
      <c r="A3121">
        <v>3120</v>
      </c>
      <c r="B3121" t="s">
        <v>85</v>
      </c>
      <c r="C3121" s="1">
        <v>36526</v>
      </c>
      <c r="D3121">
        <v>26</v>
      </c>
      <c r="E3121" t="s">
        <v>12</v>
      </c>
      <c r="F3121" t="s">
        <v>16</v>
      </c>
      <c r="G3121" s="1">
        <v>45178</v>
      </c>
      <c r="H3121" s="1">
        <v>45143</v>
      </c>
      <c r="I3121">
        <v>28</v>
      </c>
      <c r="J3121" t="s">
        <v>25</v>
      </c>
      <c r="K3121">
        <v>11588.35</v>
      </c>
    </row>
    <row r="3122" spans="1:11">
      <c r="A3122">
        <v>3121</v>
      </c>
      <c r="B3122" t="s">
        <v>17</v>
      </c>
      <c r="C3122" s="1">
        <v>31778</v>
      </c>
      <c r="D3122">
        <v>39</v>
      </c>
      <c r="E3122" t="s">
        <v>12</v>
      </c>
      <c r="F3122" t="s">
        <v>32</v>
      </c>
      <c r="G3122" s="1">
        <v>45321</v>
      </c>
      <c r="H3122" s="1">
        <v>45813</v>
      </c>
      <c r="I3122">
        <v>-1</v>
      </c>
      <c r="J3122" t="s">
        <v>25</v>
      </c>
      <c r="K3122">
        <v>17908.099999999999</v>
      </c>
    </row>
    <row r="3123" spans="1:11">
      <c r="A3123">
        <v>3122</v>
      </c>
      <c r="B3123" t="s">
        <v>128</v>
      </c>
      <c r="C3123" s="1">
        <v>34334</v>
      </c>
      <c r="D3123">
        <v>32</v>
      </c>
      <c r="E3123" t="s">
        <v>12</v>
      </c>
      <c r="F3123" t="s">
        <v>16</v>
      </c>
      <c r="G3123" s="1">
        <v>45588</v>
      </c>
      <c r="H3123" s="1">
        <v>45248</v>
      </c>
      <c r="I3123">
        <v>15</v>
      </c>
      <c r="J3123" t="s">
        <v>19</v>
      </c>
      <c r="K3123">
        <v>11064.28</v>
      </c>
    </row>
    <row r="3124" spans="1:11">
      <c r="A3124">
        <v>3123</v>
      </c>
      <c r="B3124" t="s">
        <v>139</v>
      </c>
      <c r="C3124" s="1">
        <v>12785</v>
      </c>
      <c r="D3124">
        <v>91</v>
      </c>
      <c r="E3124" t="s">
        <v>15</v>
      </c>
      <c r="F3124" t="s">
        <v>21</v>
      </c>
      <c r="G3124" s="1">
        <v>45145</v>
      </c>
      <c r="H3124" s="1">
        <v>45387</v>
      </c>
      <c r="I3124">
        <v>2</v>
      </c>
      <c r="J3124" t="s">
        <v>23</v>
      </c>
      <c r="K3124">
        <v>12031.78</v>
      </c>
    </row>
    <row r="3125" spans="1:11">
      <c r="A3125">
        <v>3124</v>
      </c>
      <c r="B3125" t="s">
        <v>115</v>
      </c>
      <c r="C3125" s="1">
        <v>46022</v>
      </c>
      <c r="D3125">
        <v>0</v>
      </c>
      <c r="E3125" t="s">
        <v>12</v>
      </c>
      <c r="F3125" t="s">
        <v>21</v>
      </c>
      <c r="G3125" s="1">
        <v>45520</v>
      </c>
      <c r="H3125" s="1">
        <v>45742</v>
      </c>
      <c r="I3125">
        <v>23</v>
      </c>
      <c r="J3125" t="s">
        <v>23</v>
      </c>
      <c r="K3125">
        <v>6854.63</v>
      </c>
    </row>
    <row r="3126" spans="1:11">
      <c r="A3126">
        <v>3125</v>
      </c>
      <c r="B3126" t="s">
        <v>94</v>
      </c>
      <c r="C3126" s="1">
        <v>43466</v>
      </c>
      <c r="D3126">
        <v>7</v>
      </c>
      <c r="E3126" t="s">
        <v>12</v>
      </c>
      <c r="G3126" s="1">
        <v>45116</v>
      </c>
      <c r="H3126" s="1">
        <v>45453</v>
      </c>
      <c r="I3126">
        <v>20</v>
      </c>
      <c r="J3126" t="s">
        <v>19</v>
      </c>
      <c r="K3126">
        <v>276.7</v>
      </c>
    </row>
    <row r="3127" spans="1:11">
      <c r="A3127">
        <v>3126</v>
      </c>
      <c r="B3127" t="s">
        <v>55</v>
      </c>
      <c r="C3127" s="1">
        <v>34700</v>
      </c>
      <c r="D3127">
        <v>31</v>
      </c>
      <c r="E3127" t="s">
        <v>15</v>
      </c>
      <c r="F3127" t="s">
        <v>45</v>
      </c>
      <c r="G3127" s="1">
        <v>45160</v>
      </c>
      <c r="H3127" s="1">
        <v>45506</v>
      </c>
      <c r="I3127">
        <v>9</v>
      </c>
      <c r="J3127" t="s">
        <v>25</v>
      </c>
      <c r="K3127">
        <v>334.46</v>
      </c>
    </row>
    <row r="3128" spans="1:11">
      <c r="A3128">
        <v>3127</v>
      </c>
      <c r="B3128" t="s">
        <v>69</v>
      </c>
      <c r="C3128" s="1">
        <v>28856</v>
      </c>
      <c r="D3128">
        <v>47</v>
      </c>
      <c r="E3128" t="s">
        <v>15</v>
      </c>
      <c r="F3128" t="s">
        <v>18</v>
      </c>
      <c r="G3128" s="1">
        <v>45614</v>
      </c>
      <c r="H3128" s="1">
        <v>45619</v>
      </c>
      <c r="I3128">
        <v>11</v>
      </c>
      <c r="J3128" t="s">
        <v>23</v>
      </c>
      <c r="K3128">
        <v>17755.03</v>
      </c>
    </row>
    <row r="3129" spans="1:11">
      <c r="A3129">
        <v>3128</v>
      </c>
      <c r="B3129" t="s">
        <v>152</v>
      </c>
      <c r="C3129" s="1">
        <v>44927</v>
      </c>
      <c r="D3129">
        <v>3</v>
      </c>
      <c r="E3129" t="s">
        <v>12</v>
      </c>
      <c r="F3129" t="s">
        <v>21</v>
      </c>
      <c r="G3129" s="1">
        <v>45158</v>
      </c>
      <c r="H3129" s="1">
        <v>45804</v>
      </c>
      <c r="I3129">
        <v>10</v>
      </c>
      <c r="J3129" t="s">
        <v>19</v>
      </c>
      <c r="K3129">
        <v>1961.71</v>
      </c>
    </row>
    <row r="3130" spans="1:11">
      <c r="A3130">
        <v>3129</v>
      </c>
      <c r="B3130" t="s">
        <v>78</v>
      </c>
      <c r="C3130" s="1">
        <v>12054</v>
      </c>
      <c r="D3130">
        <v>93</v>
      </c>
      <c r="E3130" t="s">
        <v>15</v>
      </c>
      <c r="F3130" t="s">
        <v>18</v>
      </c>
      <c r="G3130" s="1">
        <v>45284</v>
      </c>
      <c r="H3130" s="1">
        <v>45681</v>
      </c>
      <c r="I3130">
        <v>32</v>
      </c>
      <c r="J3130" t="s">
        <v>25</v>
      </c>
      <c r="K3130">
        <v>19995.77</v>
      </c>
    </row>
    <row r="3131" spans="1:11">
      <c r="A3131">
        <v>3130</v>
      </c>
      <c r="B3131" t="s">
        <v>94</v>
      </c>
      <c r="C3131" s="1">
        <v>20820</v>
      </c>
      <c r="D3131">
        <v>69</v>
      </c>
      <c r="E3131" t="s">
        <v>15</v>
      </c>
      <c r="G3131" s="1">
        <v>45404</v>
      </c>
      <c r="H3131" s="1">
        <v>45087</v>
      </c>
      <c r="I3131">
        <v>12</v>
      </c>
      <c r="K3131">
        <v>3204.89</v>
      </c>
    </row>
    <row r="3132" spans="1:11">
      <c r="A3132">
        <v>3131</v>
      </c>
      <c r="B3132" t="s">
        <v>109</v>
      </c>
      <c r="C3132" s="1">
        <v>39448</v>
      </c>
      <c r="D3132">
        <v>18</v>
      </c>
      <c r="E3132" t="s">
        <v>15</v>
      </c>
      <c r="G3132" s="1">
        <v>45501</v>
      </c>
      <c r="H3132" s="1">
        <v>45391</v>
      </c>
      <c r="I3132">
        <v>32</v>
      </c>
      <c r="J3132" t="s">
        <v>19</v>
      </c>
      <c r="K3132">
        <v>13460.15</v>
      </c>
    </row>
    <row r="3133" spans="1:11">
      <c r="A3133">
        <v>3132</v>
      </c>
      <c r="B3133" t="s">
        <v>142</v>
      </c>
      <c r="C3133" s="1">
        <v>34700</v>
      </c>
      <c r="D3133">
        <v>31</v>
      </c>
      <c r="E3133" t="s">
        <v>12</v>
      </c>
      <c r="F3133" t="s">
        <v>32</v>
      </c>
      <c r="G3133" s="1">
        <v>45355</v>
      </c>
      <c r="H3133" s="1">
        <v>45449</v>
      </c>
      <c r="I3133">
        <v>16</v>
      </c>
      <c r="J3133" t="s">
        <v>19</v>
      </c>
      <c r="K3133">
        <v>18974</v>
      </c>
    </row>
    <row r="3134" spans="1:11">
      <c r="A3134">
        <v>3133</v>
      </c>
      <c r="B3134" t="s">
        <v>83</v>
      </c>
      <c r="C3134" s="1">
        <v>43100</v>
      </c>
      <c r="D3134">
        <v>8</v>
      </c>
      <c r="E3134" t="s">
        <v>12</v>
      </c>
      <c r="F3134" t="s">
        <v>18</v>
      </c>
      <c r="G3134" s="1">
        <v>45163</v>
      </c>
      <c r="H3134" s="1">
        <v>45563</v>
      </c>
      <c r="I3134">
        <v>12</v>
      </c>
      <c r="J3134" t="s">
        <v>23</v>
      </c>
      <c r="K3134">
        <v>7182.01</v>
      </c>
    </row>
    <row r="3135" spans="1:11">
      <c r="A3135">
        <v>3134</v>
      </c>
      <c r="B3135" t="s">
        <v>85</v>
      </c>
      <c r="D3135">
        <v>11</v>
      </c>
      <c r="E3135" t="s">
        <v>15</v>
      </c>
      <c r="G3135" s="1">
        <v>44959</v>
      </c>
      <c r="H3135" s="1">
        <v>45200</v>
      </c>
      <c r="I3135">
        <v>5</v>
      </c>
      <c r="K3135">
        <v>14662.11</v>
      </c>
    </row>
    <row r="3136" spans="1:11">
      <c r="A3136">
        <v>3135</v>
      </c>
      <c r="B3136" t="s">
        <v>24</v>
      </c>
      <c r="C3136" s="1">
        <v>42370</v>
      </c>
      <c r="D3136">
        <v>10</v>
      </c>
      <c r="E3136" t="s">
        <v>15</v>
      </c>
      <c r="G3136" s="1">
        <v>45139</v>
      </c>
      <c r="H3136" s="1">
        <v>45168</v>
      </c>
      <c r="I3136">
        <v>20</v>
      </c>
      <c r="J3136" t="s">
        <v>25</v>
      </c>
      <c r="K3136">
        <v>6952.22</v>
      </c>
    </row>
    <row r="3137" spans="1:11">
      <c r="A3137">
        <v>3136</v>
      </c>
      <c r="B3137" t="s">
        <v>114</v>
      </c>
      <c r="C3137" s="1">
        <v>29586</v>
      </c>
      <c r="D3137">
        <v>45</v>
      </c>
      <c r="G3137" s="1">
        <v>45498</v>
      </c>
      <c r="H3137" s="1">
        <v>45582</v>
      </c>
      <c r="I3137">
        <v>10</v>
      </c>
      <c r="K3137">
        <v>6029.32</v>
      </c>
    </row>
    <row r="3138" spans="1:11">
      <c r="A3138">
        <v>3137</v>
      </c>
      <c r="B3138" t="s">
        <v>144</v>
      </c>
      <c r="C3138" s="1">
        <v>40544</v>
      </c>
      <c r="D3138">
        <v>15</v>
      </c>
      <c r="E3138" t="s">
        <v>12</v>
      </c>
      <c r="F3138" t="s">
        <v>13</v>
      </c>
      <c r="G3138" s="1">
        <v>45305</v>
      </c>
      <c r="H3138" s="1">
        <v>45792</v>
      </c>
      <c r="I3138">
        <v>20</v>
      </c>
      <c r="J3138" t="s">
        <v>23</v>
      </c>
      <c r="K3138">
        <v>3956.26</v>
      </c>
    </row>
    <row r="3139" spans="1:11">
      <c r="A3139">
        <v>3138</v>
      </c>
      <c r="B3139" t="s">
        <v>108</v>
      </c>
      <c r="C3139" s="1">
        <v>46022</v>
      </c>
      <c r="D3139">
        <v>0</v>
      </c>
      <c r="E3139" t="s">
        <v>12</v>
      </c>
      <c r="G3139" s="1">
        <v>44928</v>
      </c>
      <c r="H3139" s="1">
        <v>45094</v>
      </c>
      <c r="I3139">
        <v>28</v>
      </c>
      <c r="J3139" t="s">
        <v>23</v>
      </c>
      <c r="K3139">
        <v>16400.79</v>
      </c>
    </row>
    <row r="3140" spans="1:11">
      <c r="A3140">
        <v>3139</v>
      </c>
      <c r="B3140" t="s">
        <v>135</v>
      </c>
      <c r="C3140" s="1">
        <v>23377</v>
      </c>
      <c r="D3140">
        <v>62</v>
      </c>
      <c r="E3140" t="s">
        <v>15</v>
      </c>
      <c r="G3140" s="1">
        <v>45376</v>
      </c>
      <c r="H3140" s="1">
        <v>45496</v>
      </c>
      <c r="I3140">
        <v>27</v>
      </c>
      <c r="J3140" t="s">
        <v>25</v>
      </c>
      <c r="K3140">
        <v>5073.4799999999996</v>
      </c>
    </row>
    <row r="3141" spans="1:11">
      <c r="A3141">
        <v>3140</v>
      </c>
      <c r="B3141" t="s">
        <v>96</v>
      </c>
      <c r="C3141" s="1">
        <v>38717</v>
      </c>
      <c r="D3141">
        <v>20</v>
      </c>
      <c r="E3141" t="s">
        <v>15</v>
      </c>
      <c r="F3141" t="s">
        <v>18</v>
      </c>
      <c r="G3141" s="1">
        <v>45495</v>
      </c>
      <c r="H3141" s="1">
        <v>45577</v>
      </c>
      <c r="I3141">
        <v>39</v>
      </c>
      <c r="J3141" t="s">
        <v>25</v>
      </c>
      <c r="K3141">
        <v>5591.48</v>
      </c>
    </row>
    <row r="3142" spans="1:11">
      <c r="A3142">
        <v>3141</v>
      </c>
      <c r="B3142" t="s">
        <v>76</v>
      </c>
      <c r="C3142" s="1">
        <v>35430</v>
      </c>
      <c r="D3142">
        <v>29</v>
      </c>
      <c r="E3142" t="s">
        <v>15</v>
      </c>
      <c r="F3142" t="s">
        <v>21</v>
      </c>
      <c r="G3142" s="1">
        <v>45353</v>
      </c>
      <c r="H3142" s="1">
        <v>45254</v>
      </c>
      <c r="I3142">
        <v>-1</v>
      </c>
      <c r="J3142" t="s">
        <v>25</v>
      </c>
      <c r="K3142">
        <v>19979.29</v>
      </c>
    </row>
    <row r="3143" spans="1:11">
      <c r="A3143">
        <v>3142</v>
      </c>
      <c r="B3143" t="s">
        <v>86</v>
      </c>
      <c r="C3143" s="1">
        <v>41639</v>
      </c>
      <c r="D3143">
        <v>12</v>
      </c>
      <c r="E3143" t="s">
        <v>12</v>
      </c>
      <c r="F3143" t="s">
        <v>18</v>
      </c>
      <c r="G3143" s="1">
        <v>45576</v>
      </c>
      <c r="H3143" s="1">
        <v>45792</v>
      </c>
      <c r="I3143">
        <v>8</v>
      </c>
      <c r="J3143" t="s">
        <v>23</v>
      </c>
      <c r="K3143">
        <v>6478.94</v>
      </c>
    </row>
    <row r="3144" spans="1:11">
      <c r="A3144">
        <v>3143</v>
      </c>
      <c r="B3144" t="s">
        <v>122</v>
      </c>
      <c r="C3144" s="1">
        <v>33969</v>
      </c>
      <c r="D3144">
        <v>33</v>
      </c>
      <c r="E3144" t="s">
        <v>15</v>
      </c>
      <c r="F3144" t="s">
        <v>18</v>
      </c>
      <c r="G3144" s="1">
        <v>45205</v>
      </c>
      <c r="H3144" s="1">
        <v>45456</v>
      </c>
      <c r="I3144">
        <v>22</v>
      </c>
      <c r="J3144" t="s">
        <v>25</v>
      </c>
      <c r="K3144">
        <v>8397.77</v>
      </c>
    </row>
    <row r="3145" spans="1:11">
      <c r="A3145">
        <v>3144</v>
      </c>
      <c r="B3145" t="s">
        <v>37</v>
      </c>
      <c r="C3145" s="1">
        <v>44927</v>
      </c>
      <c r="D3145">
        <v>3</v>
      </c>
      <c r="E3145" t="s">
        <v>15</v>
      </c>
      <c r="F3145" t="s">
        <v>13</v>
      </c>
      <c r="G3145" s="1">
        <v>45140</v>
      </c>
      <c r="H3145" s="1">
        <v>45771</v>
      </c>
      <c r="I3145">
        <v>26</v>
      </c>
      <c r="J3145" t="s">
        <v>25</v>
      </c>
      <c r="K3145">
        <v>19800.11</v>
      </c>
    </row>
    <row r="3146" spans="1:11">
      <c r="A3146">
        <v>3145</v>
      </c>
      <c r="B3146" t="s">
        <v>115</v>
      </c>
      <c r="C3146" s="1">
        <v>36161</v>
      </c>
      <c r="D3146">
        <v>27</v>
      </c>
      <c r="E3146" t="s">
        <v>15</v>
      </c>
      <c r="F3146" t="s">
        <v>13</v>
      </c>
      <c r="G3146" s="1">
        <v>45211</v>
      </c>
      <c r="H3146" s="1">
        <v>45200</v>
      </c>
      <c r="I3146">
        <v>19</v>
      </c>
      <c r="J3146" t="s">
        <v>25</v>
      </c>
      <c r="K3146">
        <v>7322.94</v>
      </c>
    </row>
    <row r="3147" spans="1:11">
      <c r="A3147">
        <v>3146</v>
      </c>
      <c r="B3147" t="s">
        <v>88</v>
      </c>
      <c r="C3147" s="1">
        <v>11689</v>
      </c>
      <c r="D3147">
        <v>94</v>
      </c>
      <c r="E3147" t="s">
        <v>15</v>
      </c>
      <c r="F3147" t="s">
        <v>45</v>
      </c>
      <c r="G3147" s="1">
        <v>45469</v>
      </c>
      <c r="H3147" s="1">
        <v>45806</v>
      </c>
      <c r="I3147">
        <v>16</v>
      </c>
      <c r="J3147" t="s">
        <v>19</v>
      </c>
      <c r="K3147">
        <v>7259.66</v>
      </c>
    </row>
    <row r="3148" spans="1:11">
      <c r="A3148">
        <v>3147</v>
      </c>
      <c r="B3148" t="s">
        <v>36</v>
      </c>
      <c r="C3148" s="1">
        <v>24838</v>
      </c>
      <c r="D3148">
        <v>58</v>
      </c>
      <c r="E3148" t="s">
        <v>12</v>
      </c>
      <c r="F3148" t="s">
        <v>21</v>
      </c>
      <c r="G3148" s="1">
        <v>45644</v>
      </c>
      <c r="H3148" s="1">
        <v>45303</v>
      </c>
      <c r="I3148">
        <v>6</v>
      </c>
      <c r="J3148" t="s">
        <v>25</v>
      </c>
      <c r="K3148">
        <v>16537.060000000001</v>
      </c>
    </row>
    <row r="3149" spans="1:11">
      <c r="A3149">
        <v>3148</v>
      </c>
      <c r="B3149" t="s">
        <v>129</v>
      </c>
      <c r="C3149" s="1">
        <v>36526</v>
      </c>
      <c r="D3149">
        <v>26</v>
      </c>
      <c r="E3149" t="s">
        <v>15</v>
      </c>
      <c r="G3149" s="1">
        <v>45200</v>
      </c>
      <c r="H3149" s="1">
        <v>45302</v>
      </c>
      <c r="I3149">
        <v>38</v>
      </c>
      <c r="J3149" t="s">
        <v>23</v>
      </c>
      <c r="K3149">
        <v>6169.8</v>
      </c>
    </row>
    <row r="3150" spans="1:11">
      <c r="A3150">
        <v>3149</v>
      </c>
      <c r="B3150" t="s">
        <v>38</v>
      </c>
      <c r="C3150" s="1">
        <v>21185</v>
      </c>
      <c r="D3150">
        <v>68</v>
      </c>
      <c r="E3150" t="s">
        <v>12</v>
      </c>
      <c r="F3150" t="s">
        <v>45</v>
      </c>
      <c r="G3150" s="1">
        <v>44937</v>
      </c>
      <c r="H3150" s="1">
        <v>45261</v>
      </c>
      <c r="I3150">
        <v>35</v>
      </c>
      <c r="J3150" t="s">
        <v>19</v>
      </c>
      <c r="K3150">
        <v>4599.1000000000004</v>
      </c>
    </row>
    <row r="3151" spans="1:11">
      <c r="A3151">
        <v>3150</v>
      </c>
      <c r="B3151" t="s">
        <v>156</v>
      </c>
      <c r="C3151" s="1">
        <v>37256</v>
      </c>
      <c r="D3151">
        <v>24</v>
      </c>
      <c r="E3151" t="s">
        <v>12</v>
      </c>
      <c r="G3151" s="1">
        <v>44973</v>
      </c>
      <c r="H3151" s="1">
        <v>44930</v>
      </c>
      <c r="I3151">
        <v>26</v>
      </c>
      <c r="J3151" t="s">
        <v>23</v>
      </c>
      <c r="K3151">
        <v>8406.5300000000007</v>
      </c>
    </row>
    <row r="3152" spans="1:11">
      <c r="A3152">
        <v>3151</v>
      </c>
      <c r="B3152" t="s">
        <v>150</v>
      </c>
      <c r="C3152" s="1">
        <v>45292</v>
      </c>
      <c r="D3152">
        <v>2</v>
      </c>
      <c r="E3152" t="s">
        <v>15</v>
      </c>
      <c r="G3152" s="1">
        <v>45441</v>
      </c>
      <c r="H3152" s="1">
        <v>45170</v>
      </c>
      <c r="I3152">
        <v>7</v>
      </c>
      <c r="K3152">
        <v>13982.88</v>
      </c>
    </row>
    <row r="3153" spans="1:11">
      <c r="A3153">
        <v>3152</v>
      </c>
      <c r="B3153" t="s">
        <v>128</v>
      </c>
      <c r="C3153" s="1">
        <v>21551</v>
      </c>
      <c r="D3153">
        <v>67</v>
      </c>
      <c r="E3153" t="s">
        <v>12</v>
      </c>
      <c r="F3153" t="s">
        <v>13</v>
      </c>
      <c r="G3153" s="1">
        <v>45568</v>
      </c>
      <c r="H3153" s="1">
        <v>45547</v>
      </c>
      <c r="I3153">
        <v>19</v>
      </c>
      <c r="J3153" t="s">
        <v>19</v>
      </c>
      <c r="K3153">
        <v>769.18</v>
      </c>
    </row>
    <row r="3154" spans="1:11">
      <c r="A3154">
        <v>3153</v>
      </c>
      <c r="B3154" t="s">
        <v>139</v>
      </c>
      <c r="D3154">
        <v>24</v>
      </c>
      <c r="G3154" s="1">
        <v>45364</v>
      </c>
      <c r="H3154" s="1">
        <v>44978</v>
      </c>
      <c r="I3154">
        <v>21</v>
      </c>
      <c r="J3154" t="s">
        <v>25</v>
      </c>
      <c r="K3154">
        <v>7415.71</v>
      </c>
    </row>
    <row r="3155" spans="1:11">
      <c r="A3155">
        <v>3154</v>
      </c>
      <c r="B3155" t="s">
        <v>130</v>
      </c>
      <c r="C3155" s="1">
        <v>39083</v>
      </c>
      <c r="D3155">
        <v>19</v>
      </c>
      <c r="G3155" s="1">
        <v>45510</v>
      </c>
      <c r="H3155" s="1">
        <v>45809</v>
      </c>
      <c r="I3155">
        <v>5</v>
      </c>
      <c r="J3155" t="s">
        <v>19</v>
      </c>
      <c r="K3155">
        <v>6859.52</v>
      </c>
    </row>
    <row r="3156" spans="1:11">
      <c r="A3156">
        <v>3155</v>
      </c>
      <c r="B3156" t="s">
        <v>86</v>
      </c>
      <c r="C3156" s="1">
        <v>33969</v>
      </c>
      <c r="D3156">
        <v>33</v>
      </c>
      <c r="E3156" t="s">
        <v>15</v>
      </c>
      <c r="F3156" t="s">
        <v>18</v>
      </c>
      <c r="G3156" s="1">
        <v>45597</v>
      </c>
      <c r="H3156" s="1">
        <v>45277</v>
      </c>
      <c r="I3156">
        <v>3</v>
      </c>
      <c r="J3156" t="s">
        <v>23</v>
      </c>
      <c r="K3156">
        <v>4820.8500000000004</v>
      </c>
    </row>
    <row r="3157" spans="1:11">
      <c r="A3157">
        <v>3156</v>
      </c>
      <c r="B3157" t="s">
        <v>47</v>
      </c>
      <c r="C3157" s="1">
        <v>36891</v>
      </c>
      <c r="D3157">
        <v>25</v>
      </c>
      <c r="E3157" t="s">
        <v>15</v>
      </c>
      <c r="F3157" t="s">
        <v>13</v>
      </c>
      <c r="G3157" s="1">
        <v>45353</v>
      </c>
      <c r="H3157" s="1">
        <v>45101</v>
      </c>
      <c r="I3157">
        <v>4</v>
      </c>
      <c r="J3157" t="s">
        <v>19</v>
      </c>
      <c r="K3157">
        <v>13051.18</v>
      </c>
    </row>
    <row r="3158" spans="1:11">
      <c r="A3158">
        <v>3157</v>
      </c>
      <c r="B3158" t="s">
        <v>153</v>
      </c>
      <c r="C3158" s="1">
        <v>44561</v>
      </c>
      <c r="D3158">
        <v>4</v>
      </c>
      <c r="E3158" t="s">
        <v>15</v>
      </c>
      <c r="F3158" t="s">
        <v>32</v>
      </c>
      <c r="G3158" s="1">
        <v>45358</v>
      </c>
      <c r="H3158" s="1">
        <v>45043</v>
      </c>
      <c r="I3158">
        <v>17</v>
      </c>
      <c r="K3158">
        <v>5728.8</v>
      </c>
    </row>
    <row r="3159" spans="1:11">
      <c r="A3159">
        <v>3158</v>
      </c>
      <c r="B3159" t="s">
        <v>112</v>
      </c>
      <c r="C3159" s="1">
        <v>24107</v>
      </c>
      <c r="D3159">
        <v>60</v>
      </c>
      <c r="E3159" t="s">
        <v>12</v>
      </c>
      <c r="F3159" t="s">
        <v>18</v>
      </c>
      <c r="G3159" s="1">
        <v>45056</v>
      </c>
      <c r="H3159" s="1">
        <v>45622</v>
      </c>
      <c r="I3159">
        <v>14</v>
      </c>
      <c r="J3159" t="s">
        <v>25</v>
      </c>
      <c r="K3159">
        <v>12095.3</v>
      </c>
    </row>
    <row r="3160" spans="1:11">
      <c r="A3160">
        <v>3159</v>
      </c>
      <c r="B3160" t="s">
        <v>171</v>
      </c>
      <c r="C3160" s="1">
        <v>12785</v>
      </c>
      <c r="D3160">
        <v>91</v>
      </c>
      <c r="E3160" t="s">
        <v>12</v>
      </c>
      <c r="F3160" t="s">
        <v>45</v>
      </c>
      <c r="G3160" s="1">
        <v>44948</v>
      </c>
      <c r="H3160" s="1">
        <v>45288</v>
      </c>
      <c r="I3160">
        <v>33</v>
      </c>
      <c r="J3160" t="s">
        <v>25</v>
      </c>
      <c r="K3160">
        <v>10037.17</v>
      </c>
    </row>
    <row r="3161" spans="1:11">
      <c r="A3161">
        <v>3160</v>
      </c>
      <c r="B3161" t="s">
        <v>169</v>
      </c>
      <c r="C3161" s="1">
        <v>12419</v>
      </c>
      <c r="D3161">
        <v>92</v>
      </c>
      <c r="E3161" t="s">
        <v>12</v>
      </c>
      <c r="F3161" t="s">
        <v>18</v>
      </c>
      <c r="G3161" s="1">
        <v>45315</v>
      </c>
      <c r="H3161" s="1">
        <v>45282</v>
      </c>
      <c r="I3161">
        <v>5</v>
      </c>
      <c r="K3161">
        <v>4265.5200000000004</v>
      </c>
    </row>
    <row r="3162" spans="1:11">
      <c r="A3162">
        <v>3161</v>
      </c>
      <c r="B3162" t="s">
        <v>156</v>
      </c>
      <c r="C3162" s="1">
        <v>43100</v>
      </c>
      <c r="D3162">
        <v>8</v>
      </c>
      <c r="E3162" t="s">
        <v>15</v>
      </c>
      <c r="F3162" t="s">
        <v>32</v>
      </c>
      <c r="G3162" s="1">
        <v>45061</v>
      </c>
      <c r="H3162" s="1">
        <v>45593</v>
      </c>
      <c r="I3162">
        <v>10</v>
      </c>
      <c r="J3162" t="s">
        <v>23</v>
      </c>
      <c r="K3162">
        <v>5257.98</v>
      </c>
    </row>
    <row r="3163" spans="1:11">
      <c r="A3163">
        <v>3162</v>
      </c>
      <c r="B3163" t="s">
        <v>46</v>
      </c>
      <c r="C3163" s="1">
        <v>28125</v>
      </c>
      <c r="D3163">
        <v>49</v>
      </c>
      <c r="E3163" t="s">
        <v>15</v>
      </c>
      <c r="F3163" t="s">
        <v>13</v>
      </c>
      <c r="G3163" s="1">
        <v>45458</v>
      </c>
      <c r="H3163" s="1">
        <v>45686</v>
      </c>
      <c r="I3163">
        <v>21</v>
      </c>
      <c r="J3163" t="s">
        <v>19</v>
      </c>
      <c r="K3163">
        <v>3329.06</v>
      </c>
    </row>
    <row r="3164" spans="1:11">
      <c r="A3164">
        <v>3163</v>
      </c>
      <c r="B3164" t="s">
        <v>146</v>
      </c>
      <c r="C3164" s="1">
        <v>44196</v>
      </c>
      <c r="D3164">
        <v>5</v>
      </c>
      <c r="E3164" t="s">
        <v>12</v>
      </c>
      <c r="F3164" t="s">
        <v>21</v>
      </c>
      <c r="G3164" s="1">
        <v>45146</v>
      </c>
      <c r="H3164" s="1">
        <v>45003</v>
      </c>
      <c r="I3164">
        <v>28</v>
      </c>
      <c r="J3164" t="s">
        <v>23</v>
      </c>
      <c r="K3164">
        <v>1038.25</v>
      </c>
    </row>
    <row r="3165" spans="1:11">
      <c r="A3165">
        <v>3164</v>
      </c>
      <c r="B3165" t="s">
        <v>149</v>
      </c>
      <c r="C3165" s="1">
        <v>16072</v>
      </c>
      <c r="D3165">
        <v>82</v>
      </c>
      <c r="E3165" t="s">
        <v>12</v>
      </c>
      <c r="G3165" s="1">
        <v>45259</v>
      </c>
      <c r="H3165" s="1">
        <v>45683</v>
      </c>
      <c r="I3165">
        <v>20</v>
      </c>
      <c r="J3165" t="s">
        <v>23</v>
      </c>
      <c r="K3165">
        <v>12345.69</v>
      </c>
    </row>
    <row r="3166" spans="1:11">
      <c r="A3166">
        <v>3165</v>
      </c>
      <c r="B3166" t="s">
        <v>96</v>
      </c>
      <c r="C3166" s="1">
        <v>24473</v>
      </c>
      <c r="E3166" t="s">
        <v>12</v>
      </c>
      <c r="F3166" t="s">
        <v>16</v>
      </c>
      <c r="G3166" s="1">
        <v>45056</v>
      </c>
      <c r="H3166" s="1">
        <v>45008</v>
      </c>
      <c r="I3166">
        <v>14</v>
      </c>
      <c r="J3166" t="s">
        <v>23</v>
      </c>
      <c r="K3166">
        <v>13423.05</v>
      </c>
    </row>
    <row r="3167" spans="1:11">
      <c r="A3167">
        <v>3166</v>
      </c>
      <c r="B3167" t="s">
        <v>135</v>
      </c>
      <c r="C3167" s="1">
        <v>30317</v>
      </c>
      <c r="D3167">
        <v>43</v>
      </c>
      <c r="E3167" t="s">
        <v>15</v>
      </c>
      <c r="F3167" t="s">
        <v>21</v>
      </c>
      <c r="G3167" s="1">
        <v>44958</v>
      </c>
      <c r="H3167" s="1">
        <v>45156</v>
      </c>
      <c r="I3167">
        <v>21</v>
      </c>
      <c r="J3167" t="s">
        <v>25</v>
      </c>
      <c r="K3167">
        <v>3236.6</v>
      </c>
    </row>
    <row r="3168" spans="1:11">
      <c r="A3168">
        <v>3167</v>
      </c>
      <c r="B3168" t="s">
        <v>35</v>
      </c>
      <c r="C3168" s="1">
        <v>42370</v>
      </c>
      <c r="D3168">
        <v>10</v>
      </c>
      <c r="E3168" t="s">
        <v>15</v>
      </c>
      <c r="F3168" t="s">
        <v>21</v>
      </c>
      <c r="G3168" s="1">
        <v>45528</v>
      </c>
      <c r="H3168" s="1">
        <v>44999</v>
      </c>
      <c r="I3168">
        <v>7</v>
      </c>
      <c r="J3168" t="s">
        <v>19</v>
      </c>
      <c r="K3168">
        <v>12269.39</v>
      </c>
    </row>
    <row r="3169" spans="1:11">
      <c r="A3169">
        <v>3168</v>
      </c>
      <c r="B3169" t="s">
        <v>82</v>
      </c>
      <c r="C3169" s="1">
        <v>22281</v>
      </c>
      <c r="D3169">
        <v>65</v>
      </c>
      <c r="E3169" t="s">
        <v>15</v>
      </c>
      <c r="G3169" s="1">
        <v>45351</v>
      </c>
      <c r="H3169" s="1">
        <v>45330</v>
      </c>
      <c r="I3169">
        <v>28</v>
      </c>
      <c r="J3169" t="s">
        <v>25</v>
      </c>
      <c r="K3169">
        <v>19639.900000000001</v>
      </c>
    </row>
    <row r="3170" spans="1:11">
      <c r="A3170">
        <v>3169</v>
      </c>
      <c r="B3170" t="s">
        <v>106</v>
      </c>
      <c r="C3170" s="1">
        <v>29221</v>
      </c>
      <c r="D3170">
        <v>46</v>
      </c>
      <c r="E3170" t="s">
        <v>15</v>
      </c>
      <c r="F3170" t="s">
        <v>13</v>
      </c>
      <c r="G3170" s="1">
        <v>45224</v>
      </c>
      <c r="H3170" s="1">
        <v>45145</v>
      </c>
      <c r="I3170">
        <v>17</v>
      </c>
      <c r="J3170" t="s">
        <v>25</v>
      </c>
      <c r="K3170">
        <v>1395.48</v>
      </c>
    </row>
    <row r="3171" spans="1:11">
      <c r="A3171">
        <v>3170</v>
      </c>
      <c r="B3171" t="s">
        <v>114</v>
      </c>
      <c r="C3171" s="1">
        <v>19724</v>
      </c>
      <c r="D3171">
        <v>72</v>
      </c>
      <c r="E3171" t="s">
        <v>15</v>
      </c>
      <c r="F3171" t="s">
        <v>21</v>
      </c>
      <c r="G3171" s="1">
        <v>45430</v>
      </c>
      <c r="H3171" s="1">
        <v>45379</v>
      </c>
      <c r="I3171">
        <v>13</v>
      </c>
      <c r="J3171" t="s">
        <v>25</v>
      </c>
      <c r="K3171">
        <v>9756.4500000000007</v>
      </c>
    </row>
    <row r="3172" spans="1:11">
      <c r="A3172">
        <v>3171</v>
      </c>
      <c r="B3172" t="s">
        <v>11</v>
      </c>
      <c r="C3172" s="1">
        <v>15341</v>
      </c>
      <c r="D3172">
        <v>84</v>
      </c>
      <c r="E3172" t="s">
        <v>15</v>
      </c>
      <c r="F3172" t="s">
        <v>32</v>
      </c>
      <c r="G3172" s="1">
        <v>45611</v>
      </c>
      <c r="H3172" s="1">
        <v>45682</v>
      </c>
      <c r="I3172">
        <v>11</v>
      </c>
      <c r="J3172" t="s">
        <v>19</v>
      </c>
      <c r="K3172">
        <v>14634.07</v>
      </c>
    </row>
    <row r="3173" spans="1:11">
      <c r="A3173">
        <v>3172</v>
      </c>
      <c r="B3173" t="s">
        <v>112</v>
      </c>
      <c r="C3173" s="1">
        <v>14246</v>
      </c>
      <c r="D3173">
        <v>87</v>
      </c>
      <c r="E3173" t="s">
        <v>15</v>
      </c>
      <c r="G3173" s="1">
        <v>45283</v>
      </c>
      <c r="H3173" s="1">
        <v>45294</v>
      </c>
      <c r="I3173">
        <v>0</v>
      </c>
      <c r="K3173">
        <v>824.78</v>
      </c>
    </row>
    <row r="3174" spans="1:11">
      <c r="A3174">
        <v>3173</v>
      </c>
      <c r="B3174" t="s">
        <v>134</v>
      </c>
      <c r="C3174" s="1">
        <v>14976</v>
      </c>
      <c r="D3174">
        <v>85</v>
      </c>
      <c r="E3174" t="s">
        <v>15</v>
      </c>
      <c r="F3174" t="s">
        <v>13</v>
      </c>
      <c r="G3174" s="1">
        <v>45381</v>
      </c>
      <c r="H3174" s="1">
        <v>45753</v>
      </c>
      <c r="I3174">
        <v>27</v>
      </c>
      <c r="J3174" t="s">
        <v>25</v>
      </c>
      <c r="K3174">
        <v>15543.3</v>
      </c>
    </row>
    <row r="3175" spans="1:11">
      <c r="A3175">
        <v>3174</v>
      </c>
      <c r="B3175" t="s">
        <v>90</v>
      </c>
      <c r="C3175" s="1">
        <v>45292</v>
      </c>
      <c r="D3175">
        <v>2</v>
      </c>
      <c r="E3175" t="s">
        <v>15</v>
      </c>
      <c r="F3175" t="s">
        <v>21</v>
      </c>
      <c r="G3175" s="1">
        <v>45327</v>
      </c>
      <c r="H3175" s="1">
        <v>45517</v>
      </c>
      <c r="I3175">
        <v>15</v>
      </c>
      <c r="J3175" t="s">
        <v>25</v>
      </c>
      <c r="K3175">
        <v>19588.18</v>
      </c>
    </row>
    <row r="3176" spans="1:11">
      <c r="A3176">
        <v>3175</v>
      </c>
      <c r="B3176" t="s">
        <v>37</v>
      </c>
      <c r="C3176" s="1">
        <v>18629</v>
      </c>
      <c r="D3176">
        <v>75</v>
      </c>
      <c r="E3176" t="s">
        <v>12</v>
      </c>
      <c r="G3176" s="1">
        <v>45485</v>
      </c>
      <c r="H3176" s="1">
        <v>45597</v>
      </c>
      <c r="I3176">
        <v>3</v>
      </c>
      <c r="J3176" t="s">
        <v>25</v>
      </c>
      <c r="K3176">
        <v>1678.61</v>
      </c>
    </row>
    <row r="3177" spans="1:11">
      <c r="A3177">
        <v>3176</v>
      </c>
      <c r="B3177" t="s">
        <v>38</v>
      </c>
      <c r="C3177" s="1">
        <v>12785</v>
      </c>
      <c r="D3177">
        <v>91</v>
      </c>
      <c r="E3177" t="s">
        <v>15</v>
      </c>
      <c r="F3177" t="s">
        <v>16</v>
      </c>
      <c r="G3177" s="1">
        <v>45635</v>
      </c>
      <c r="H3177" s="1">
        <v>45487</v>
      </c>
      <c r="I3177">
        <v>17</v>
      </c>
      <c r="J3177" t="s">
        <v>19</v>
      </c>
      <c r="K3177">
        <v>16426.82</v>
      </c>
    </row>
    <row r="3178" spans="1:11">
      <c r="A3178">
        <v>3177</v>
      </c>
      <c r="B3178" t="s">
        <v>120</v>
      </c>
      <c r="C3178" s="1">
        <v>35430</v>
      </c>
      <c r="D3178">
        <v>29</v>
      </c>
      <c r="E3178" t="s">
        <v>12</v>
      </c>
      <c r="F3178" t="s">
        <v>45</v>
      </c>
      <c r="G3178" s="1">
        <v>45381</v>
      </c>
      <c r="H3178" s="1">
        <v>45239</v>
      </c>
      <c r="I3178">
        <v>32</v>
      </c>
      <c r="J3178" t="s">
        <v>19</v>
      </c>
      <c r="K3178">
        <v>7509.49</v>
      </c>
    </row>
    <row r="3179" spans="1:11">
      <c r="A3179">
        <v>3178</v>
      </c>
      <c r="B3179" t="s">
        <v>103</v>
      </c>
      <c r="C3179" s="1">
        <v>13515</v>
      </c>
      <c r="D3179">
        <v>89</v>
      </c>
      <c r="E3179" t="s">
        <v>12</v>
      </c>
      <c r="F3179" t="s">
        <v>13</v>
      </c>
      <c r="G3179" s="1">
        <v>44960</v>
      </c>
      <c r="H3179" s="1">
        <v>45225</v>
      </c>
      <c r="I3179">
        <v>16</v>
      </c>
      <c r="J3179" t="s">
        <v>23</v>
      </c>
      <c r="K3179">
        <v>2796.74</v>
      </c>
    </row>
    <row r="3180" spans="1:11">
      <c r="A3180">
        <v>3179</v>
      </c>
      <c r="B3180" t="s">
        <v>86</v>
      </c>
      <c r="C3180" s="1">
        <v>38717</v>
      </c>
      <c r="D3180">
        <v>20</v>
      </c>
      <c r="E3180" t="s">
        <v>12</v>
      </c>
      <c r="F3180" t="s">
        <v>13</v>
      </c>
      <c r="G3180" s="1">
        <v>45174</v>
      </c>
      <c r="H3180" s="1">
        <v>44951</v>
      </c>
      <c r="I3180">
        <v>23</v>
      </c>
      <c r="J3180" t="s">
        <v>25</v>
      </c>
      <c r="K3180">
        <v>9813.18</v>
      </c>
    </row>
    <row r="3181" spans="1:11">
      <c r="A3181">
        <v>3180</v>
      </c>
      <c r="B3181" t="s">
        <v>124</v>
      </c>
      <c r="C3181" s="1">
        <v>36161</v>
      </c>
      <c r="D3181">
        <v>27</v>
      </c>
      <c r="E3181" t="s">
        <v>12</v>
      </c>
      <c r="F3181" t="s">
        <v>18</v>
      </c>
      <c r="G3181" s="1">
        <v>44968</v>
      </c>
      <c r="H3181" s="1">
        <v>45037</v>
      </c>
      <c r="I3181">
        <v>32</v>
      </c>
      <c r="J3181" t="s">
        <v>25</v>
      </c>
      <c r="K3181">
        <v>1337.53</v>
      </c>
    </row>
    <row r="3182" spans="1:11">
      <c r="A3182">
        <v>3181</v>
      </c>
      <c r="B3182" t="s">
        <v>130</v>
      </c>
      <c r="C3182" s="1">
        <v>13515</v>
      </c>
      <c r="D3182">
        <v>89</v>
      </c>
      <c r="E3182" t="s">
        <v>15</v>
      </c>
      <c r="G3182" s="1">
        <v>45049</v>
      </c>
      <c r="H3182" s="1">
        <v>44979</v>
      </c>
      <c r="I3182">
        <v>9</v>
      </c>
      <c r="J3182" t="s">
        <v>19</v>
      </c>
      <c r="K3182">
        <v>10394.24</v>
      </c>
    </row>
    <row r="3183" spans="1:11">
      <c r="A3183">
        <v>3182</v>
      </c>
      <c r="B3183" t="s">
        <v>40</v>
      </c>
      <c r="C3183" s="1">
        <v>23742</v>
      </c>
      <c r="D3183">
        <v>61</v>
      </c>
      <c r="E3183" t="s">
        <v>12</v>
      </c>
      <c r="F3183" t="s">
        <v>21</v>
      </c>
      <c r="G3183" s="1">
        <v>44953</v>
      </c>
      <c r="H3183" s="1">
        <v>45217</v>
      </c>
      <c r="I3183">
        <v>5</v>
      </c>
      <c r="J3183" t="s">
        <v>19</v>
      </c>
      <c r="K3183">
        <v>289.07</v>
      </c>
    </row>
    <row r="3184" spans="1:11">
      <c r="A3184">
        <v>3183</v>
      </c>
      <c r="B3184" t="s">
        <v>152</v>
      </c>
      <c r="C3184" s="1">
        <v>34334</v>
      </c>
      <c r="D3184">
        <v>32</v>
      </c>
      <c r="E3184" t="s">
        <v>12</v>
      </c>
      <c r="F3184" t="s">
        <v>45</v>
      </c>
      <c r="G3184" s="1">
        <v>45388</v>
      </c>
      <c r="H3184" s="1">
        <v>45371</v>
      </c>
      <c r="I3184">
        <v>34</v>
      </c>
      <c r="J3184" t="s">
        <v>25</v>
      </c>
      <c r="K3184">
        <v>14545.09</v>
      </c>
    </row>
    <row r="3185" spans="1:11">
      <c r="A3185">
        <v>3184</v>
      </c>
      <c r="B3185" t="s">
        <v>64</v>
      </c>
      <c r="C3185" s="1">
        <v>15341</v>
      </c>
      <c r="D3185">
        <v>84</v>
      </c>
      <c r="E3185" t="s">
        <v>12</v>
      </c>
      <c r="G3185" s="1">
        <v>45497</v>
      </c>
      <c r="H3185" s="1">
        <v>45394</v>
      </c>
      <c r="I3185">
        <v>7</v>
      </c>
      <c r="K3185">
        <v>9708.19</v>
      </c>
    </row>
    <row r="3186" spans="1:11">
      <c r="A3186">
        <v>3185</v>
      </c>
      <c r="B3186" t="s">
        <v>122</v>
      </c>
      <c r="C3186" s="1">
        <v>33604</v>
      </c>
      <c r="D3186">
        <v>34</v>
      </c>
      <c r="E3186" t="s">
        <v>15</v>
      </c>
      <c r="F3186" t="s">
        <v>16</v>
      </c>
      <c r="G3186" s="1">
        <v>45073</v>
      </c>
      <c r="H3186" s="1">
        <v>45186</v>
      </c>
      <c r="I3186">
        <v>18</v>
      </c>
      <c r="J3186" t="s">
        <v>23</v>
      </c>
      <c r="K3186">
        <v>9124.69</v>
      </c>
    </row>
    <row r="3187" spans="1:11">
      <c r="A3187">
        <v>3186</v>
      </c>
      <c r="B3187" t="s">
        <v>62</v>
      </c>
      <c r="C3187" s="1">
        <v>27395</v>
      </c>
      <c r="D3187">
        <v>51</v>
      </c>
      <c r="E3187" t="s">
        <v>15</v>
      </c>
      <c r="F3187" t="s">
        <v>32</v>
      </c>
      <c r="G3187" s="1">
        <v>45422</v>
      </c>
      <c r="H3187" s="1">
        <v>45251</v>
      </c>
      <c r="I3187">
        <v>38</v>
      </c>
      <c r="J3187" t="s">
        <v>23</v>
      </c>
      <c r="K3187">
        <v>3843.45</v>
      </c>
    </row>
    <row r="3188" spans="1:11">
      <c r="A3188">
        <v>3187</v>
      </c>
      <c r="B3188" t="s">
        <v>99</v>
      </c>
      <c r="C3188" s="1">
        <v>33969</v>
      </c>
      <c r="D3188">
        <v>33</v>
      </c>
      <c r="E3188" t="s">
        <v>15</v>
      </c>
      <c r="F3188" t="s">
        <v>13</v>
      </c>
      <c r="G3188" s="1">
        <v>45553</v>
      </c>
      <c r="H3188" s="1">
        <v>45578</v>
      </c>
      <c r="I3188">
        <v>39</v>
      </c>
      <c r="J3188" t="s">
        <v>25</v>
      </c>
      <c r="K3188">
        <v>7161.39</v>
      </c>
    </row>
    <row r="3189" spans="1:11">
      <c r="A3189">
        <v>3188</v>
      </c>
      <c r="B3189" t="s">
        <v>38</v>
      </c>
      <c r="C3189" s="1">
        <v>31412</v>
      </c>
      <c r="D3189">
        <v>40</v>
      </c>
      <c r="E3189" t="s">
        <v>12</v>
      </c>
      <c r="F3189" t="s">
        <v>32</v>
      </c>
      <c r="G3189" s="1">
        <v>45412</v>
      </c>
      <c r="H3189" s="1">
        <v>45745</v>
      </c>
      <c r="I3189">
        <v>26</v>
      </c>
      <c r="J3189" t="s">
        <v>23</v>
      </c>
      <c r="K3189">
        <v>3555.58</v>
      </c>
    </row>
    <row r="3190" spans="1:11">
      <c r="A3190">
        <v>3189</v>
      </c>
      <c r="B3190" t="s">
        <v>120</v>
      </c>
      <c r="C3190" s="1">
        <v>27760</v>
      </c>
      <c r="D3190">
        <v>50</v>
      </c>
      <c r="E3190" t="s">
        <v>12</v>
      </c>
      <c r="F3190" t="s">
        <v>32</v>
      </c>
      <c r="G3190" s="1">
        <v>45386</v>
      </c>
      <c r="H3190" s="1">
        <v>45265</v>
      </c>
      <c r="I3190">
        <v>28</v>
      </c>
      <c r="J3190" t="s">
        <v>23</v>
      </c>
      <c r="K3190">
        <v>14681.34</v>
      </c>
    </row>
    <row r="3191" spans="1:11">
      <c r="A3191">
        <v>3190</v>
      </c>
      <c r="B3191" t="s">
        <v>113</v>
      </c>
      <c r="C3191" s="1">
        <v>29221</v>
      </c>
      <c r="D3191">
        <v>46</v>
      </c>
      <c r="E3191" t="s">
        <v>15</v>
      </c>
      <c r="F3191" t="s">
        <v>32</v>
      </c>
      <c r="G3191" s="1">
        <v>45637</v>
      </c>
      <c r="H3191" s="1">
        <v>45714</v>
      </c>
      <c r="I3191">
        <v>37</v>
      </c>
      <c r="J3191" t="s">
        <v>25</v>
      </c>
      <c r="K3191">
        <v>3900.41</v>
      </c>
    </row>
    <row r="3192" spans="1:11">
      <c r="A3192">
        <v>3191</v>
      </c>
      <c r="B3192" t="s">
        <v>98</v>
      </c>
      <c r="C3192" s="1">
        <v>16437</v>
      </c>
      <c r="D3192">
        <v>81</v>
      </c>
      <c r="E3192" t="s">
        <v>12</v>
      </c>
      <c r="F3192" t="s">
        <v>18</v>
      </c>
      <c r="G3192" s="1">
        <v>45054</v>
      </c>
      <c r="H3192" s="1">
        <v>45483</v>
      </c>
      <c r="I3192">
        <v>4</v>
      </c>
      <c r="J3192" t="s">
        <v>23</v>
      </c>
      <c r="K3192">
        <v>12296.74</v>
      </c>
    </row>
    <row r="3193" spans="1:11">
      <c r="A3193">
        <v>3192</v>
      </c>
      <c r="B3193" t="s">
        <v>141</v>
      </c>
      <c r="C3193" s="1">
        <v>25203</v>
      </c>
      <c r="D3193">
        <v>57</v>
      </c>
      <c r="E3193" t="s">
        <v>12</v>
      </c>
      <c r="G3193" s="1">
        <v>45302</v>
      </c>
      <c r="H3193" s="1">
        <v>45349</v>
      </c>
      <c r="I3193">
        <v>31</v>
      </c>
      <c r="J3193" t="s">
        <v>19</v>
      </c>
      <c r="K3193">
        <v>5520.11</v>
      </c>
    </row>
    <row r="3194" spans="1:11">
      <c r="A3194">
        <v>3193</v>
      </c>
      <c r="B3194" t="s">
        <v>89</v>
      </c>
      <c r="C3194" s="1">
        <v>18994</v>
      </c>
      <c r="D3194">
        <v>74</v>
      </c>
      <c r="E3194" t="s">
        <v>15</v>
      </c>
      <c r="F3194" t="s">
        <v>32</v>
      </c>
      <c r="G3194" s="1">
        <v>45591</v>
      </c>
      <c r="H3194" s="1">
        <v>45186</v>
      </c>
      <c r="I3194">
        <v>31</v>
      </c>
      <c r="J3194" t="s">
        <v>25</v>
      </c>
      <c r="K3194">
        <v>13105.34</v>
      </c>
    </row>
    <row r="3195" spans="1:11">
      <c r="A3195">
        <v>3194</v>
      </c>
      <c r="B3195" t="s">
        <v>29</v>
      </c>
      <c r="C3195" s="1">
        <v>25568</v>
      </c>
      <c r="D3195">
        <v>56</v>
      </c>
      <c r="E3195" t="s">
        <v>12</v>
      </c>
      <c r="F3195" t="s">
        <v>21</v>
      </c>
      <c r="G3195" s="1">
        <v>45009</v>
      </c>
      <c r="H3195" s="1">
        <v>45552</v>
      </c>
      <c r="I3195">
        <v>27</v>
      </c>
      <c r="J3195" t="s">
        <v>19</v>
      </c>
      <c r="K3195">
        <v>10763.14</v>
      </c>
    </row>
    <row r="3196" spans="1:11">
      <c r="A3196">
        <v>3195</v>
      </c>
      <c r="B3196" t="s">
        <v>131</v>
      </c>
      <c r="C3196" s="1">
        <v>37987</v>
      </c>
      <c r="D3196">
        <v>22</v>
      </c>
      <c r="E3196" t="s">
        <v>12</v>
      </c>
      <c r="F3196" t="s">
        <v>21</v>
      </c>
      <c r="G3196" s="1">
        <v>45461</v>
      </c>
      <c r="H3196" s="1">
        <v>45666</v>
      </c>
      <c r="I3196">
        <v>1</v>
      </c>
      <c r="J3196" t="s">
        <v>25</v>
      </c>
      <c r="K3196">
        <v>8411.1200000000008</v>
      </c>
    </row>
    <row r="3197" spans="1:11">
      <c r="A3197">
        <v>3196</v>
      </c>
      <c r="B3197" t="s">
        <v>84</v>
      </c>
      <c r="C3197" s="1">
        <v>28856</v>
      </c>
      <c r="D3197">
        <v>47</v>
      </c>
      <c r="E3197" t="s">
        <v>15</v>
      </c>
      <c r="F3197" t="s">
        <v>45</v>
      </c>
      <c r="G3197" s="1">
        <v>45449</v>
      </c>
      <c r="H3197" s="1">
        <v>44992</v>
      </c>
      <c r="I3197">
        <v>38</v>
      </c>
      <c r="J3197" t="s">
        <v>19</v>
      </c>
      <c r="K3197">
        <v>13427.32</v>
      </c>
    </row>
    <row r="3198" spans="1:11">
      <c r="A3198">
        <v>3197</v>
      </c>
      <c r="B3198" t="s">
        <v>55</v>
      </c>
      <c r="C3198" s="1">
        <v>38352</v>
      </c>
      <c r="D3198">
        <v>21</v>
      </c>
      <c r="E3198" t="s">
        <v>12</v>
      </c>
      <c r="F3198" t="s">
        <v>45</v>
      </c>
      <c r="G3198" s="1">
        <v>45625</v>
      </c>
      <c r="H3198" s="1">
        <v>45090</v>
      </c>
      <c r="I3198">
        <v>27</v>
      </c>
      <c r="J3198" t="s">
        <v>23</v>
      </c>
      <c r="K3198">
        <v>8256.01</v>
      </c>
    </row>
    <row r="3199" spans="1:11">
      <c r="A3199">
        <v>3198</v>
      </c>
      <c r="B3199" t="s">
        <v>114</v>
      </c>
      <c r="C3199" s="1">
        <v>40178</v>
      </c>
      <c r="D3199">
        <v>16</v>
      </c>
      <c r="E3199" t="s">
        <v>15</v>
      </c>
      <c r="F3199" t="s">
        <v>16</v>
      </c>
      <c r="G3199" s="1">
        <v>45554</v>
      </c>
      <c r="H3199" s="1">
        <v>45091</v>
      </c>
      <c r="I3199">
        <v>22</v>
      </c>
      <c r="K3199">
        <v>16409.55</v>
      </c>
    </row>
    <row r="3200" spans="1:11">
      <c r="A3200">
        <v>3199</v>
      </c>
      <c r="B3200" t="s">
        <v>99</v>
      </c>
      <c r="C3200" s="1">
        <v>21185</v>
      </c>
      <c r="D3200">
        <v>68</v>
      </c>
      <c r="E3200" t="s">
        <v>12</v>
      </c>
      <c r="F3200" t="s">
        <v>32</v>
      </c>
      <c r="G3200" s="1">
        <v>45600</v>
      </c>
      <c r="H3200" s="1">
        <v>45605</v>
      </c>
      <c r="I3200">
        <v>11</v>
      </c>
      <c r="J3200" t="s">
        <v>19</v>
      </c>
      <c r="K3200">
        <v>14564.93</v>
      </c>
    </row>
    <row r="3201" spans="1:11">
      <c r="A3201">
        <v>3200</v>
      </c>
      <c r="B3201" t="s">
        <v>150</v>
      </c>
      <c r="C3201" s="1">
        <v>42370</v>
      </c>
      <c r="E3201" t="s">
        <v>12</v>
      </c>
      <c r="F3201" t="s">
        <v>32</v>
      </c>
      <c r="G3201" s="1">
        <v>45029</v>
      </c>
      <c r="H3201" s="1">
        <v>44966</v>
      </c>
      <c r="I3201">
        <v>21</v>
      </c>
      <c r="J3201" t="s">
        <v>19</v>
      </c>
      <c r="K3201">
        <v>10766.84</v>
      </c>
    </row>
    <row r="3202" spans="1:11">
      <c r="A3202">
        <v>3201</v>
      </c>
      <c r="B3202" t="s">
        <v>76</v>
      </c>
      <c r="C3202" s="1">
        <v>12054</v>
      </c>
      <c r="D3202">
        <v>93</v>
      </c>
      <c r="E3202" t="s">
        <v>12</v>
      </c>
      <c r="F3202" t="s">
        <v>18</v>
      </c>
      <c r="G3202" s="1">
        <v>45445</v>
      </c>
      <c r="H3202" s="1">
        <v>45592</v>
      </c>
      <c r="I3202">
        <v>28</v>
      </c>
      <c r="K3202">
        <v>17528.919999999998</v>
      </c>
    </row>
    <row r="3203" spans="1:11">
      <c r="A3203">
        <v>3202</v>
      </c>
      <c r="B3203" t="s">
        <v>78</v>
      </c>
      <c r="C3203" s="1">
        <v>40909</v>
      </c>
      <c r="D3203">
        <v>14</v>
      </c>
      <c r="E3203" t="s">
        <v>15</v>
      </c>
      <c r="G3203" s="1">
        <v>45288</v>
      </c>
      <c r="H3203" s="1">
        <v>45247</v>
      </c>
      <c r="I3203">
        <v>36</v>
      </c>
      <c r="K3203">
        <v>16560.12</v>
      </c>
    </row>
    <row r="3204" spans="1:11">
      <c r="A3204">
        <v>3203</v>
      </c>
      <c r="B3204" t="s">
        <v>152</v>
      </c>
      <c r="C3204" s="1">
        <v>13150</v>
      </c>
      <c r="D3204">
        <v>90</v>
      </c>
      <c r="E3204" t="s">
        <v>15</v>
      </c>
      <c r="F3204" t="s">
        <v>32</v>
      </c>
      <c r="G3204" s="1">
        <v>45610</v>
      </c>
      <c r="H3204" s="1">
        <v>45287</v>
      </c>
      <c r="I3204">
        <v>25</v>
      </c>
      <c r="J3204" t="s">
        <v>19</v>
      </c>
      <c r="K3204">
        <v>10589.97</v>
      </c>
    </row>
    <row r="3205" spans="1:11">
      <c r="A3205">
        <v>3204</v>
      </c>
      <c r="B3205" t="s">
        <v>75</v>
      </c>
      <c r="C3205" s="1">
        <v>33604</v>
      </c>
      <c r="D3205">
        <v>34</v>
      </c>
      <c r="E3205" t="s">
        <v>15</v>
      </c>
      <c r="F3205" t="s">
        <v>32</v>
      </c>
      <c r="G3205" s="1">
        <v>45182</v>
      </c>
      <c r="H3205" s="1">
        <v>45196</v>
      </c>
      <c r="I3205">
        <v>22</v>
      </c>
      <c r="J3205" t="s">
        <v>19</v>
      </c>
      <c r="K3205">
        <v>1275.8</v>
      </c>
    </row>
    <row r="3206" spans="1:11">
      <c r="A3206">
        <v>3205</v>
      </c>
      <c r="B3206" t="s">
        <v>113</v>
      </c>
      <c r="C3206" s="1">
        <v>34334</v>
      </c>
      <c r="D3206">
        <v>32</v>
      </c>
      <c r="E3206" t="s">
        <v>12</v>
      </c>
      <c r="G3206" s="1">
        <v>45173</v>
      </c>
      <c r="H3206" s="1">
        <v>45251</v>
      </c>
      <c r="I3206">
        <v>16</v>
      </c>
      <c r="J3206" t="s">
        <v>19</v>
      </c>
      <c r="K3206">
        <v>11276.53</v>
      </c>
    </row>
    <row r="3207" spans="1:11">
      <c r="A3207">
        <v>3206</v>
      </c>
      <c r="B3207" t="s">
        <v>150</v>
      </c>
      <c r="C3207" s="1">
        <v>15707</v>
      </c>
      <c r="D3207">
        <v>83</v>
      </c>
      <c r="E3207" t="s">
        <v>15</v>
      </c>
      <c r="F3207" t="s">
        <v>32</v>
      </c>
      <c r="G3207" s="1">
        <v>45118</v>
      </c>
      <c r="H3207" s="1">
        <v>45253</v>
      </c>
      <c r="I3207">
        <v>1</v>
      </c>
      <c r="J3207" t="s">
        <v>25</v>
      </c>
      <c r="K3207">
        <v>7040.67</v>
      </c>
    </row>
    <row r="3208" spans="1:11">
      <c r="A3208">
        <v>3207</v>
      </c>
      <c r="B3208" t="s">
        <v>77</v>
      </c>
      <c r="C3208" s="1">
        <v>40544</v>
      </c>
      <c r="D3208">
        <v>15</v>
      </c>
      <c r="E3208" t="s">
        <v>12</v>
      </c>
      <c r="F3208" t="s">
        <v>13</v>
      </c>
      <c r="G3208" s="1">
        <v>45552</v>
      </c>
      <c r="H3208" s="1">
        <v>45514</v>
      </c>
      <c r="I3208">
        <v>31</v>
      </c>
      <c r="J3208" t="s">
        <v>19</v>
      </c>
      <c r="K3208">
        <v>10756.27</v>
      </c>
    </row>
    <row r="3209" spans="1:11">
      <c r="A3209">
        <v>3208</v>
      </c>
      <c r="B3209" t="s">
        <v>127</v>
      </c>
      <c r="C3209" s="1">
        <v>33969</v>
      </c>
      <c r="D3209">
        <v>33</v>
      </c>
      <c r="E3209" t="s">
        <v>15</v>
      </c>
      <c r="F3209" t="s">
        <v>13</v>
      </c>
      <c r="G3209" s="1">
        <v>45461</v>
      </c>
      <c r="H3209" s="1">
        <v>45184</v>
      </c>
      <c r="I3209">
        <v>29</v>
      </c>
      <c r="J3209" t="s">
        <v>19</v>
      </c>
      <c r="K3209">
        <v>12907.32</v>
      </c>
    </row>
    <row r="3210" spans="1:11">
      <c r="A3210">
        <v>3209</v>
      </c>
      <c r="B3210" t="s">
        <v>144</v>
      </c>
      <c r="D3210">
        <v>65</v>
      </c>
      <c r="E3210" t="s">
        <v>15</v>
      </c>
      <c r="F3210" t="s">
        <v>18</v>
      </c>
      <c r="G3210" s="1">
        <v>45240</v>
      </c>
      <c r="H3210" s="1">
        <v>45127</v>
      </c>
      <c r="I3210">
        <v>22</v>
      </c>
      <c r="K3210">
        <v>12861.26</v>
      </c>
    </row>
    <row r="3211" spans="1:11">
      <c r="A3211">
        <v>3210</v>
      </c>
      <c r="B3211" t="s">
        <v>103</v>
      </c>
      <c r="C3211" s="1">
        <v>31778</v>
      </c>
      <c r="D3211">
        <v>39</v>
      </c>
      <c r="E3211" t="s">
        <v>15</v>
      </c>
      <c r="F3211" t="s">
        <v>18</v>
      </c>
      <c r="G3211" s="1">
        <v>45202</v>
      </c>
      <c r="H3211" s="1">
        <v>45365</v>
      </c>
      <c r="I3211">
        <v>19</v>
      </c>
      <c r="K3211">
        <v>13437.83</v>
      </c>
    </row>
    <row r="3212" spans="1:11">
      <c r="A3212">
        <v>3211</v>
      </c>
      <c r="B3212" t="s">
        <v>63</v>
      </c>
      <c r="C3212" s="1">
        <v>36161</v>
      </c>
      <c r="F3212" t="s">
        <v>21</v>
      </c>
      <c r="G3212" s="1">
        <v>45299</v>
      </c>
      <c r="H3212" s="1">
        <v>45537</v>
      </c>
      <c r="I3212">
        <v>25</v>
      </c>
      <c r="J3212" t="s">
        <v>25</v>
      </c>
      <c r="K3212">
        <v>13553.3</v>
      </c>
    </row>
    <row r="3213" spans="1:11">
      <c r="A3213">
        <v>3212</v>
      </c>
      <c r="B3213" t="s">
        <v>56</v>
      </c>
      <c r="C3213" s="1">
        <v>29221</v>
      </c>
      <c r="E3213" t="s">
        <v>12</v>
      </c>
      <c r="F3213" t="s">
        <v>18</v>
      </c>
      <c r="G3213" s="1">
        <v>45370</v>
      </c>
      <c r="H3213" s="1">
        <v>45031</v>
      </c>
      <c r="I3213">
        <v>15</v>
      </c>
      <c r="J3213" t="s">
        <v>25</v>
      </c>
      <c r="K3213">
        <v>2096.56</v>
      </c>
    </row>
    <row r="3214" spans="1:11">
      <c r="A3214">
        <v>3213</v>
      </c>
      <c r="B3214" t="s">
        <v>58</v>
      </c>
      <c r="C3214" s="1">
        <v>32143</v>
      </c>
      <c r="D3214">
        <v>38</v>
      </c>
      <c r="E3214" t="s">
        <v>15</v>
      </c>
      <c r="F3214" t="s">
        <v>16</v>
      </c>
      <c r="G3214" s="1">
        <v>45574</v>
      </c>
      <c r="H3214" s="1">
        <v>45299</v>
      </c>
      <c r="I3214">
        <v>4</v>
      </c>
      <c r="J3214" t="s">
        <v>23</v>
      </c>
      <c r="K3214">
        <v>3753.42</v>
      </c>
    </row>
    <row r="3215" spans="1:11">
      <c r="A3215">
        <v>3214</v>
      </c>
      <c r="B3215" t="s">
        <v>82</v>
      </c>
      <c r="C3215" s="1">
        <v>20820</v>
      </c>
      <c r="D3215">
        <v>69</v>
      </c>
      <c r="E3215" t="s">
        <v>15</v>
      </c>
      <c r="F3215" t="s">
        <v>21</v>
      </c>
      <c r="G3215" s="1">
        <v>45121</v>
      </c>
      <c r="H3215" s="1">
        <v>45091</v>
      </c>
      <c r="I3215">
        <v>8</v>
      </c>
      <c r="J3215" t="s">
        <v>19</v>
      </c>
      <c r="K3215">
        <v>12573.87</v>
      </c>
    </row>
    <row r="3216" spans="1:11">
      <c r="A3216">
        <v>3215</v>
      </c>
      <c r="B3216" t="s">
        <v>151</v>
      </c>
      <c r="C3216" s="1">
        <v>19724</v>
      </c>
      <c r="D3216">
        <v>72</v>
      </c>
      <c r="E3216" t="s">
        <v>12</v>
      </c>
      <c r="G3216" s="1">
        <v>45184</v>
      </c>
      <c r="H3216" s="1">
        <v>45040</v>
      </c>
      <c r="I3216">
        <v>39</v>
      </c>
      <c r="J3216" t="s">
        <v>19</v>
      </c>
      <c r="K3216">
        <v>8104.27</v>
      </c>
    </row>
    <row r="3217" spans="1:11">
      <c r="A3217">
        <v>3216</v>
      </c>
      <c r="B3217" t="s">
        <v>30</v>
      </c>
      <c r="C3217" s="1">
        <v>39083</v>
      </c>
      <c r="D3217">
        <v>19</v>
      </c>
      <c r="E3217" t="s">
        <v>15</v>
      </c>
      <c r="F3217" t="s">
        <v>32</v>
      </c>
      <c r="G3217" s="1">
        <v>45508</v>
      </c>
      <c r="H3217" s="1">
        <v>45542</v>
      </c>
      <c r="I3217">
        <v>8</v>
      </c>
      <c r="K3217">
        <v>15233.32</v>
      </c>
    </row>
    <row r="3218" spans="1:11">
      <c r="A3218">
        <v>3217</v>
      </c>
      <c r="B3218" t="s">
        <v>28</v>
      </c>
      <c r="C3218" s="1">
        <v>46022</v>
      </c>
      <c r="D3218">
        <v>0</v>
      </c>
      <c r="E3218" t="s">
        <v>12</v>
      </c>
      <c r="F3218" t="s">
        <v>18</v>
      </c>
      <c r="G3218" s="1">
        <v>45286</v>
      </c>
      <c r="H3218" s="1">
        <v>45476</v>
      </c>
      <c r="I3218">
        <v>6</v>
      </c>
      <c r="J3218" t="s">
        <v>23</v>
      </c>
      <c r="K3218">
        <v>2410.6799999999998</v>
      </c>
    </row>
    <row r="3219" spans="1:11">
      <c r="A3219">
        <v>3218</v>
      </c>
      <c r="B3219" t="s">
        <v>155</v>
      </c>
      <c r="C3219" s="1">
        <v>20090</v>
      </c>
      <c r="D3219">
        <v>71</v>
      </c>
      <c r="E3219" t="s">
        <v>12</v>
      </c>
      <c r="F3219" t="s">
        <v>16</v>
      </c>
      <c r="G3219" s="1">
        <v>45474</v>
      </c>
      <c r="H3219" s="1">
        <v>45033</v>
      </c>
      <c r="I3219">
        <v>32</v>
      </c>
      <c r="J3219" t="s">
        <v>19</v>
      </c>
      <c r="K3219">
        <v>3749.61</v>
      </c>
    </row>
    <row r="3220" spans="1:11">
      <c r="A3220">
        <v>3219</v>
      </c>
      <c r="B3220" t="s">
        <v>140</v>
      </c>
      <c r="C3220" s="1">
        <v>14611</v>
      </c>
      <c r="D3220">
        <v>86</v>
      </c>
      <c r="E3220" t="s">
        <v>12</v>
      </c>
      <c r="F3220" t="s">
        <v>18</v>
      </c>
      <c r="G3220" s="1">
        <v>45034</v>
      </c>
      <c r="H3220" s="1">
        <v>45626</v>
      </c>
      <c r="I3220">
        <v>34</v>
      </c>
      <c r="J3220" t="s">
        <v>23</v>
      </c>
      <c r="K3220">
        <v>11125.14</v>
      </c>
    </row>
    <row r="3221" spans="1:11">
      <c r="A3221">
        <v>3220</v>
      </c>
      <c r="B3221" t="s">
        <v>54</v>
      </c>
      <c r="C3221" s="1">
        <v>23377</v>
      </c>
      <c r="D3221">
        <v>62</v>
      </c>
      <c r="E3221" t="s">
        <v>12</v>
      </c>
      <c r="F3221" t="s">
        <v>18</v>
      </c>
      <c r="G3221" s="1">
        <v>44950</v>
      </c>
      <c r="H3221" s="1">
        <v>45291</v>
      </c>
      <c r="I3221">
        <v>20</v>
      </c>
      <c r="J3221" t="s">
        <v>25</v>
      </c>
      <c r="K3221">
        <v>9965.0400000000009</v>
      </c>
    </row>
    <row r="3222" spans="1:11">
      <c r="A3222">
        <v>3221</v>
      </c>
      <c r="B3222" t="s">
        <v>14</v>
      </c>
      <c r="C3222" s="1">
        <v>21916</v>
      </c>
      <c r="D3222">
        <v>66</v>
      </c>
      <c r="E3222" t="s">
        <v>12</v>
      </c>
      <c r="F3222" t="s">
        <v>21</v>
      </c>
      <c r="G3222" s="1">
        <v>45578</v>
      </c>
      <c r="H3222" s="1">
        <v>44948</v>
      </c>
      <c r="I3222">
        <v>30</v>
      </c>
      <c r="J3222" t="s">
        <v>19</v>
      </c>
      <c r="K3222">
        <v>5254.58</v>
      </c>
    </row>
    <row r="3223" spans="1:11">
      <c r="A3223">
        <v>3222</v>
      </c>
      <c r="B3223" t="s">
        <v>161</v>
      </c>
      <c r="C3223" s="1">
        <v>44927</v>
      </c>
      <c r="D3223">
        <v>3</v>
      </c>
      <c r="E3223" t="s">
        <v>12</v>
      </c>
      <c r="G3223" s="1">
        <v>45391</v>
      </c>
      <c r="H3223" s="1">
        <v>45587</v>
      </c>
      <c r="I3223">
        <v>-2</v>
      </c>
      <c r="J3223" t="s">
        <v>19</v>
      </c>
      <c r="K3223">
        <v>8107.7</v>
      </c>
    </row>
    <row r="3224" spans="1:11">
      <c r="A3224">
        <v>3223</v>
      </c>
      <c r="B3224" t="s">
        <v>41</v>
      </c>
      <c r="C3224" s="1">
        <v>25203</v>
      </c>
      <c r="D3224">
        <v>57</v>
      </c>
      <c r="E3224" t="s">
        <v>12</v>
      </c>
      <c r="G3224" s="1">
        <v>44948</v>
      </c>
      <c r="H3224" s="1">
        <v>45056</v>
      </c>
      <c r="I3224">
        <v>17</v>
      </c>
      <c r="J3224" t="s">
        <v>25</v>
      </c>
      <c r="K3224">
        <v>603.12</v>
      </c>
    </row>
    <row r="3225" spans="1:11">
      <c r="A3225">
        <v>3224</v>
      </c>
      <c r="B3225" t="s">
        <v>133</v>
      </c>
      <c r="C3225" s="1">
        <v>37256</v>
      </c>
      <c r="D3225">
        <v>24</v>
      </c>
      <c r="E3225" t="s">
        <v>12</v>
      </c>
      <c r="F3225" t="s">
        <v>21</v>
      </c>
      <c r="G3225" s="1">
        <v>45428</v>
      </c>
      <c r="H3225" s="1">
        <v>45410</v>
      </c>
      <c r="I3225">
        <v>2</v>
      </c>
      <c r="J3225" t="s">
        <v>19</v>
      </c>
      <c r="K3225">
        <v>644.47</v>
      </c>
    </row>
    <row r="3226" spans="1:11">
      <c r="A3226">
        <v>3225</v>
      </c>
      <c r="B3226" t="s">
        <v>120</v>
      </c>
      <c r="C3226" s="1">
        <v>29221</v>
      </c>
      <c r="D3226">
        <v>46</v>
      </c>
      <c r="E3226" t="s">
        <v>15</v>
      </c>
      <c r="F3226" t="s">
        <v>45</v>
      </c>
      <c r="G3226" s="1">
        <v>45642</v>
      </c>
      <c r="H3226" s="1">
        <v>45626</v>
      </c>
      <c r="I3226">
        <v>26</v>
      </c>
      <c r="J3226" t="s">
        <v>25</v>
      </c>
      <c r="K3226">
        <v>1808.03</v>
      </c>
    </row>
    <row r="3227" spans="1:11">
      <c r="A3227">
        <v>3226</v>
      </c>
      <c r="B3227" t="s">
        <v>56</v>
      </c>
      <c r="C3227" s="1">
        <v>32508</v>
      </c>
      <c r="D3227">
        <v>37</v>
      </c>
      <c r="E3227" t="s">
        <v>15</v>
      </c>
      <c r="F3227" t="s">
        <v>21</v>
      </c>
      <c r="G3227" s="1">
        <v>45427</v>
      </c>
      <c r="H3227" s="1">
        <v>45723</v>
      </c>
      <c r="I3227">
        <v>23</v>
      </c>
      <c r="J3227" t="s">
        <v>25</v>
      </c>
      <c r="K3227">
        <v>11493.53</v>
      </c>
    </row>
    <row r="3228" spans="1:11">
      <c r="A3228">
        <v>3227</v>
      </c>
      <c r="B3228" t="s">
        <v>40</v>
      </c>
      <c r="C3228" s="1">
        <v>40909</v>
      </c>
      <c r="D3228">
        <v>14</v>
      </c>
      <c r="E3228" t="s">
        <v>15</v>
      </c>
      <c r="F3228" t="s">
        <v>21</v>
      </c>
      <c r="G3228" s="1">
        <v>45519</v>
      </c>
      <c r="H3228" s="1">
        <v>45126</v>
      </c>
      <c r="I3228">
        <v>35</v>
      </c>
      <c r="J3228" t="s">
        <v>23</v>
      </c>
      <c r="K3228">
        <v>17260.7</v>
      </c>
    </row>
    <row r="3229" spans="1:11">
      <c r="A3229">
        <v>3228</v>
      </c>
      <c r="B3229" t="s">
        <v>71</v>
      </c>
      <c r="C3229" s="1">
        <v>23377</v>
      </c>
      <c r="D3229">
        <v>62</v>
      </c>
      <c r="E3229" t="s">
        <v>12</v>
      </c>
      <c r="F3229" t="s">
        <v>13</v>
      </c>
      <c r="G3229" s="1">
        <v>45333</v>
      </c>
      <c r="H3229" s="1">
        <v>45674</v>
      </c>
      <c r="I3229">
        <v>0</v>
      </c>
      <c r="K3229">
        <v>5130.49</v>
      </c>
    </row>
    <row r="3230" spans="1:11">
      <c r="A3230">
        <v>3229</v>
      </c>
      <c r="B3230" t="s">
        <v>80</v>
      </c>
      <c r="C3230" s="1">
        <v>38717</v>
      </c>
      <c r="D3230">
        <v>20</v>
      </c>
      <c r="E3230" t="s">
        <v>12</v>
      </c>
      <c r="F3230" t="s">
        <v>18</v>
      </c>
      <c r="G3230" s="1">
        <v>45256</v>
      </c>
      <c r="H3230" s="1">
        <v>45547</v>
      </c>
      <c r="I3230">
        <v>18</v>
      </c>
      <c r="K3230">
        <v>582.19000000000005</v>
      </c>
    </row>
    <row r="3231" spans="1:11">
      <c r="A3231">
        <v>3230</v>
      </c>
      <c r="B3231" t="s">
        <v>109</v>
      </c>
      <c r="C3231" s="1">
        <v>25568</v>
      </c>
      <c r="D3231">
        <v>56</v>
      </c>
      <c r="E3231" t="s">
        <v>15</v>
      </c>
      <c r="F3231" t="s">
        <v>21</v>
      </c>
      <c r="G3231" s="1">
        <v>45629</v>
      </c>
      <c r="H3231" s="1">
        <v>45448</v>
      </c>
      <c r="I3231">
        <v>10</v>
      </c>
      <c r="J3231" t="s">
        <v>25</v>
      </c>
      <c r="K3231">
        <v>14143.4</v>
      </c>
    </row>
    <row r="3232" spans="1:11">
      <c r="A3232">
        <v>3231</v>
      </c>
      <c r="B3232" t="s">
        <v>47</v>
      </c>
      <c r="C3232" s="1">
        <v>27029</v>
      </c>
      <c r="D3232">
        <v>52</v>
      </c>
      <c r="E3232" t="s">
        <v>15</v>
      </c>
      <c r="F3232" t="s">
        <v>18</v>
      </c>
      <c r="G3232" s="1">
        <v>45212</v>
      </c>
      <c r="H3232" s="1">
        <v>45347</v>
      </c>
      <c r="I3232">
        <v>28</v>
      </c>
      <c r="J3232" t="s">
        <v>23</v>
      </c>
      <c r="K3232">
        <v>17092.580000000002</v>
      </c>
    </row>
    <row r="3233" spans="1:11">
      <c r="A3233">
        <v>3232</v>
      </c>
      <c r="B3233" t="s">
        <v>73</v>
      </c>
      <c r="E3233" t="s">
        <v>15</v>
      </c>
      <c r="F3233" t="s">
        <v>18</v>
      </c>
      <c r="G3233" s="1">
        <v>45073</v>
      </c>
      <c r="H3233" s="1">
        <v>45153</v>
      </c>
      <c r="I3233">
        <v>14</v>
      </c>
      <c r="J3233" t="s">
        <v>25</v>
      </c>
      <c r="K3233">
        <v>2677.27</v>
      </c>
    </row>
    <row r="3234" spans="1:11">
      <c r="A3234">
        <v>3233</v>
      </c>
      <c r="B3234" t="s">
        <v>36</v>
      </c>
      <c r="C3234" s="1">
        <v>41274</v>
      </c>
      <c r="D3234">
        <v>13</v>
      </c>
      <c r="E3234" t="s">
        <v>12</v>
      </c>
      <c r="F3234" t="s">
        <v>13</v>
      </c>
      <c r="G3234" s="1">
        <v>45310</v>
      </c>
      <c r="H3234" s="1">
        <v>45136</v>
      </c>
      <c r="I3234">
        <v>32</v>
      </c>
      <c r="J3234" t="s">
        <v>23</v>
      </c>
      <c r="K3234">
        <v>7653.53</v>
      </c>
    </row>
    <row r="3235" spans="1:11">
      <c r="A3235">
        <v>3234</v>
      </c>
      <c r="B3235" t="s">
        <v>51</v>
      </c>
      <c r="C3235" s="1">
        <v>18629</v>
      </c>
      <c r="D3235">
        <v>75</v>
      </c>
      <c r="E3235" t="s">
        <v>12</v>
      </c>
      <c r="F3235" t="s">
        <v>18</v>
      </c>
      <c r="G3235" s="1">
        <v>44937</v>
      </c>
      <c r="H3235" s="1">
        <v>45172</v>
      </c>
      <c r="I3235">
        <v>20</v>
      </c>
      <c r="J3235" t="s">
        <v>23</v>
      </c>
      <c r="K3235">
        <v>3090.61</v>
      </c>
    </row>
    <row r="3236" spans="1:11">
      <c r="A3236">
        <v>3235</v>
      </c>
      <c r="B3236" t="s">
        <v>130</v>
      </c>
      <c r="C3236" s="1">
        <v>40178</v>
      </c>
      <c r="D3236">
        <v>16</v>
      </c>
      <c r="E3236" t="s">
        <v>12</v>
      </c>
      <c r="F3236" t="s">
        <v>16</v>
      </c>
      <c r="G3236" s="1">
        <v>45202</v>
      </c>
      <c r="H3236" s="1">
        <v>45215</v>
      </c>
      <c r="I3236">
        <v>0</v>
      </c>
      <c r="K3236">
        <v>2037.78</v>
      </c>
    </row>
    <row r="3237" spans="1:11">
      <c r="A3237">
        <v>3236</v>
      </c>
      <c r="B3237" t="s">
        <v>147</v>
      </c>
      <c r="C3237" s="1">
        <v>32143</v>
      </c>
      <c r="D3237">
        <v>38</v>
      </c>
      <c r="E3237" t="s">
        <v>15</v>
      </c>
      <c r="F3237" t="s">
        <v>21</v>
      </c>
      <c r="G3237" s="1">
        <v>45494</v>
      </c>
      <c r="H3237" s="1">
        <v>44993</v>
      </c>
      <c r="I3237">
        <v>-1</v>
      </c>
      <c r="K3237">
        <v>12928.19</v>
      </c>
    </row>
    <row r="3238" spans="1:11">
      <c r="A3238">
        <v>3237</v>
      </c>
      <c r="B3238" t="s">
        <v>42</v>
      </c>
      <c r="C3238" s="1">
        <v>43100</v>
      </c>
      <c r="D3238">
        <v>8</v>
      </c>
      <c r="E3238" t="s">
        <v>12</v>
      </c>
      <c r="F3238" t="s">
        <v>18</v>
      </c>
      <c r="G3238" s="1">
        <v>45611</v>
      </c>
      <c r="H3238" s="1">
        <v>45795</v>
      </c>
      <c r="I3238">
        <v>0</v>
      </c>
      <c r="J3238" t="s">
        <v>23</v>
      </c>
      <c r="K3238">
        <v>19347.48</v>
      </c>
    </row>
    <row r="3239" spans="1:11">
      <c r="A3239">
        <v>3238</v>
      </c>
      <c r="B3239" t="s">
        <v>127</v>
      </c>
      <c r="C3239" s="1">
        <v>18263</v>
      </c>
      <c r="D3239">
        <v>76</v>
      </c>
      <c r="E3239" t="s">
        <v>15</v>
      </c>
      <c r="F3239" t="s">
        <v>45</v>
      </c>
      <c r="G3239" s="1">
        <v>45229</v>
      </c>
      <c r="H3239" s="1">
        <v>45080</v>
      </c>
      <c r="I3239">
        <v>17</v>
      </c>
      <c r="K3239">
        <v>13531.13</v>
      </c>
    </row>
    <row r="3240" spans="1:11">
      <c r="A3240">
        <v>3239</v>
      </c>
      <c r="B3240" t="s">
        <v>118</v>
      </c>
      <c r="C3240" s="1">
        <v>17533</v>
      </c>
      <c r="D3240">
        <v>78</v>
      </c>
      <c r="E3240" t="s">
        <v>12</v>
      </c>
      <c r="F3240" t="s">
        <v>45</v>
      </c>
      <c r="G3240" s="1">
        <v>45130</v>
      </c>
      <c r="H3240" s="1">
        <v>45418</v>
      </c>
      <c r="I3240">
        <v>6</v>
      </c>
      <c r="J3240" t="s">
        <v>23</v>
      </c>
      <c r="K3240">
        <v>19694.77</v>
      </c>
    </row>
    <row r="3241" spans="1:11">
      <c r="A3241">
        <v>3240</v>
      </c>
      <c r="B3241" t="s">
        <v>51</v>
      </c>
      <c r="C3241" s="1">
        <v>16437</v>
      </c>
      <c r="D3241">
        <v>81</v>
      </c>
      <c r="E3241" t="s">
        <v>15</v>
      </c>
      <c r="F3241" t="s">
        <v>13</v>
      </c>
      <c r="G3241" s="1">
        <v>45271</v>
      </c>
      <c r="H3241" s="1">
        <v>45362</v>
      </c>
      <c r="I3241">
        <v>1</v>
      </c>
      <c r="J3241" t="s">
        <v>19</v>
      </c>
      <c r="K3241">
        <v>8631.35</v>
      </c>
    </row>
    <row r="3242" spans="1:11">
      <c r="A3242">
        <v>3241</v>
      </c>
      <c r="B3242" t="s">
        <v>20</v>
      </c>
      <c r="C3242" s="1">
        <v>44196</v>
      </c>
      <c r="D3242">
        <v>5</v>
      </c>
      <c r="E3242" t="s">
        <v>12</v>
      </c>
      <c r="F3242" t="s">
        <v>16</v>
      </c>
      <c r="G3242" s="1">
        <v>45192</v>
      </c>
      <c r="H3242" s="1">
        <v>45630</v>
      </c>
      <c r="I3242">
        <v>22</v>
      </c>
      <c r="J3242" t="s">
        <v>25</v>
      </c>
      <c r="K3242">
        <v>17947.18</v>
      </c>
    </row>
    <row r="3243" spans="1:11">
      <c r="A3243">
        <v>3242</v>
      </c>
      <c r="B3243" t="s">
        <v>20</v>
      </c>
      <c r="C3243" s="1">
        <v>13150</v>
      </c>
      <c r="D3243">
        <v>90</v>
      </c>
      <c r="E3243" t="s">
        <v>15</v>
      </c>
      <c r="G3243" s="1">
        <v>44948</v>
      </c>
      <c r="H3243" s="1">
        <v>45145</v>
      </c>
      <c r="I3243">
        <v>-2</v>
      </c>
      <c r="K3243">
        <v>4022.19</v>
      </c>
    </row>
    <row r="3244" spans="1:11">
      <c r="A3244">
        <v>3243</v>
      </c>
      <c r="B3244" t="s">
        <v>50</v>
      </c>
      <c r="C3244" s="1">
        <v>37987</v>
      </c>
      <c r="D3244">
        <v>22</v>
      </c>
      <c r="E3244" t="s">
        <v>15</v>
      </c>
      <c r="G3244" s="1">
        <v>45462</v>
      </c>
      <c r="H3244" s="1">
        <v>45356</v>
      </c>
      <c r="I3244">
        <v>36</v>
      </c>
      <c r="J3244" t="s">
        <v>25</v>
      </c>
      <c r="K3244">
        <v>2269.88</v>
      </c>
    </row>
    <row r="3245" spans="1:11">
      <c r="A3245">
        <v>3244</v>
      </c>
      <c r="B3245" t="s">
        <v>132</v>
      </c>
      <c r="C3245" s="1">
        <v>24838</v>
      </c>
      <c r="D3245">
        <v>58</v>
      </c>
      <c r="F3245" t="s">
        <v>21</v>
      </c>
      <c r="G3245" s="1">
        <v>45632</v>
      </c>
      <c r="H3245" s="1">
        <v>45429</v>
      </c>
      <c r="I3245">
        <v>9</v>
      </c>
      <c r="K3245">
        <v>14020.65</v>
      </c>
    </row>
    <row r="3246" spans="1:11">
      <c r="A3246">
        <v>3245</v>
      </c>
      <c r="B3246" t="s">
        <v>119</v>
      </c>
      <c r="C3246" s="1">
        <v>13150</v>
      </c>
      <c r="D3246">
        <v>90</v>
      </c>
      <c r="E3246" t="s">
        <v>15</v>
      </c>
      <c r="F3246" t="s">
        <v>13</v>
      </c>
      <c r="G3246" s="1">
        <v>45022</v>
      </c>
      <c r="H3246" s="1">
        <v>45593</v>
      </c>
      <c r="I3246">
        <v>37</v>
      </c>
      <c r="J3246" t="s">
        <v>25</v>
      </c>
      <c r="K3246">
        <v>7365.31</v>
      </c>
    </row>
    <row r="3247" spans="1:11">
      <c r="A3247">
        <v>3246</v>
      </c>
      <c r="B3247" t="s">
        <v>48</v>
      </c>
      <c r="C3247" s="1">
        <v>29586</v>
      </c>
      <c r="D3247">
        <v>45</v>
      </c>
      <c r="E3247" t="s">
        <v>15</v>
      </c>
      <c r="F3247" t="s">
        <v>45</v>
      </c>
      <c r="G3247" s="1">
        <v>45371</v>
      </c>
      <c r="H3247" s="1">
        <v>45716</v>
      </c>
      <c r="I3247">
        <v>37</v>
      </c>
      <c r="J3247" t="s">
        <v>25</v>
      </c>
      <c r="K3247">
        <v>6285.52</v>
      </c>
    </row>
    <row r="3248" spans="1:11">
      <c r="A3248">
        <v>3247</v>
      </c>
      <c r="B3248" t="s">
        <v>53</v>
      </c>
      <c r="C3248" s="1">
        <v>32508</v>
      </c>
      <c r="D3248">
        <v>37</v>
      </c>
      <c r="E3248" t="s">
        <v>12</v>
      </c>
      <c r="F3248" t="s">
        <v>16</v>
      </c>
      <c r="G3248" s="1">
        <v>45189</v>
      </c>
      <c r="H3248" s="1">
        <v>45521</v>
      </c>
      <c r="I3248">
        <v>21</v>
      </c>
      <c r="K3248">
        <v>13392.74</v>
      </c>
    </row>
    <row r="3249" spans="1:11">
      <c r="A3249">
        <v>3248</v>
      </c>
      <c r="B3249" t="s">
        <v>26</v>
      </c>
      <c r="C3249" s="1">
        <v>41274</v>
      </c>
      <c r="D3249">
        <v>13</v>
      </c>
      <c r="E3249" t="s">
        <v>12</v>
      </c>
      <c r="F3249" t="s">
        <v>21</v>
      </c>
      <c r="G3249" s="1">
        <v>45510</v>
      </c>
      <c r="H3249" s="1">
        <v>45148</v>
      </c>
      <c r="I3249">
        <v>6</v>
      </c>
      <c r="K3249">
        <v>6603.03</v>
      </c>
    </row>
    <row r="3250" spans="1:11">
      <c r="A3250">
        <v>3249</v>
      </c>
      <c r="B3250" t="s">
        <v>53</v>
      </c>
      <c r="C3250" s="1">
        <v>20090</v>
      </c>
      <c r="D3250">
        <v>71</v>
      </c>
      <c r="E3250" t="s">
        <v>15</v>
      </c>
      <c r="F3250" t="s">
        <v>18</v>
      </c>
      <c r="G3250" s="1">
        <v>45309</v>
      </c>
      <c r="H3250" s="1">
        <v>45362</v>
      </c>
      <c r="I3250">
        <v>17</v>
      </c>
      <c r="K3250">
        <v>11408.42</v>
      </c>
    </row>
    <row r="3251" spans="1:11">
      <c r="A3251">
        <v>3250</v>
      </c>
      <c r="B3251" t="s">
        <v>90</v>
      </c>
      <c r="C3251" s="1">
        <v>23742</v>
      </c>
      <c r="D3251">
        <v>61</v>
      </c>
      <c r="E3251" t="s">
        <v>12</v>
      </c>
      <c r="F3251" t="s">
        <v>21</v>
      </c>
      <c r="G3251" s="1">
        <v>45476</v>
      </c>
      <c r="H3251" s="1">
        <v>45207</v>
      </c>
      <c r="I3251">
        <v>2</v>
      </c>
      <c r="K3251">
        <v>5919.05</v>
      </c>
    </row>
    <row r="3252" spans="1:11">
      <c r="A3252">
        <v>3251</v>
      </c>
      <c r="B3252" t="s">
        <v>96</v>
      </c>
      <c r="C3252" s="1">
        <v>33604</v>
      </c>
      <c r="D3252">
        <v>34</v>
      </c>
      <c r="E3252" t="s">
        <v>12</v>
      </c>
      <c r="F3252" t="s">
        <v>32</v>
      </c>
      <c r="G3252" s="1">
        <v>45318</v>
      </c>
      <c r="H3252" s="1">
        <v>45550</v>
      </c>
      <c r="I3252">
        <v>17</v>
      </c>
      <c r="J3252" t="s">
        <v>23</v>
      </c>
      <c r="K3252">
        <v>15653.53</v>
      </c>
    </row>
    <row r="3253" spans="1:11">
      <c r="A3253">
        <v>3252</v>
      </c>
      <c r="B3253" t="s">
        <v>73</v>
      </c>
      <c r="C3253" s="1">
        <v>39448</v>
      </c>
      <c r="D3253">
        <v>18</v>
      </c>
      <c r="E3253" t="s">
        <v>15</v>
      </c>
      <c r="F3253" t="s">
        <v>21</v>
      </c>
      <c r="G3253" s="1">
        <v>45527</v>
      </c>
      <c r="H3253" s="1">
        <v>45019</v>
      </c>
      <c r="I3253">
        <v>18</v>
      </c>
      <c r="K3253">
        <v>6179.01</v>
      </c>
    </row>
    <row r="3254" spans="1:11">
      <c r="A3254">
        <v>3253</v>
      </c>
      <c r="B3254" t="s">
        <v>17</v>
      </c>
      <c r="C3254" s="1">
        <v>35430</v>
      </c>
      <c r="D3254">
        <v>29</v>
      </c>
      <c r="E3254" t="s">
        <v>15</v>
      </c>
      <c r="F3254" t="s">
        <v>18</v>
      </c>
      <c r="G3254" s="1">
        <v>45466</v>
      </c>
      <c r="H3254" s="1">
        <v>45451</v>
      </c>
      <c r="I3254">
        <v>-1</v>
      </c>
      <c r="K3254">
        <v>10653.38</v>
      </c>
    </row>
    <row r="3255" spans="1:11">
      <c r="A3255">
        <v>3254</v>
      </c>
      <c r="B3255" t="s">
        <v>11</v>
      </c>
      <c r="C3255" s="1">
        <v>17898</v>
      </c>
      <c r="D3255">
        <v>77</v>
      </c>
      <c r="E3255" t="s">
        <v>15</v>
      </c>
      <c r="F3255" t="s">
        <v>32</v>
      </c>
      <c r="G3255" s="1">
        <v>45018</v>
      </c>
      <c r="H3255" s="1">
        <v>45066</v>
      </c>
      <c r="I3255">
        <v>18</v>
      </c>
      <c r="K3255">
        <v>365.84</v>
      </c>
    </row>
    <row r="3256" spans="1:11">
      <c r="A3256">
        <v>3255</v>
      </c>
      <c r="B3256" t="s">
        <v>81</v>
      </c>
      <c r="C3256" s="1">
        <v>15707</v>
      </c>
      <c r="D3256">
        <v>83</v>
      </c>
      <c r="E3256" t="s">
        <v>12</v>
      </c>
      <c r="G3256" s="1">
        <v>45492</v>
      </c>
      <c r="H3256" s="1">
        <v>45594</v>
      </c>
      <c r="I3256">
        <v>39</v>
      </c>
      <c r="J3256" t="s">
        <v>19</v>
      </c>
      <c r="K3256">
        <v>15813.79</v>
      </c>
    </row>
    <row r="3257" spans="1:11">
      <c r="A3257">
        <v>3256</v>
      </c>
      <c r="B3257" t="s">
        <v>165</v>
      </c>
      <c r="C3257" s="1">
        <v>37256</v>
      </c>
      <c r="D3257">
        <v>24</v>
      </c>
      <c r="E3257" t="s">
        <v>15</v>
      </c>
      <c r="F3257" t="s">
        <v>16</v>
      </c>
      <c r="G3257" s="1">
        <v>45085</v>
      </c>
      <c r="H3257" s="1">
        <v>44950</v>
      </c>
      <c r="I3257">
        <v>21</v>
      </c>
      <c r="J3257" t="s">
        <v>25</v>
      </c>
      <c r="K3257">
        <v>12368.79</v>
      </c>
    </row>
    <row r="3258" spans="1:11">
      <c r="A3258">
        <v>3257</v>
      </c>
      <c r="B3258" t="s">
        <v>115</v>
      </c>
      <c r="C3258" s="1">
        <v>31778</v>
      </c>
      <c r="D3258">
        <v>39</v>
      </c>
      <c r="E3258" t="s">
        <v>15</v>
      </c>
      <c r="F3258" t="s">
        <v>13</v>
      </c>
      <c r="G3258" s="1">
        <v>45154</v>
      </c>
      <c r="H3258" s="1">
        <v>45344</v>
      </c>
      <c r="I3258">
        <v>6</v>
      </c>
      <c r="K3258">
        <v>3763.97</v>
      </c>
    </row>
    <row r="3259" spans="1:11">
      <c r="A3259">
        <v>3258</v>
      </c>
      <c r="B3259" t="s">
        <v>72</v>
      </c>
      <c r="C3259" s="1">
        <v>14246</v>
      </c>
      <c r="D3259">
        <v>87</v>
      </c>
      <c r="E3259" t="s">
        <v>12</v>
      </c>
      <c r="F3259" t="s">
        <v>16</v>
      </c>
      <c r="G3259" s="1">
        <v>45399</v>
      </c>
      <c r="H3259" s="1">
        <v>45659</v>
      </c>
      <c r="I3259">
        <v>36</v>
      </c>
      <c r="K3259">
        <v>4229</v>
      </c>
    </row>
    <row r="3260" spans="1:11">
      <c r="A3260">
        <v>3259</v>
      </c>
      <c r="B3260" t="s">
        <v>64</v>
      </c>
      <c r="C3260" s="1">
        <v>41274</v>
      </c>
      <c r="E3260" t="s">
        <v>12</v>
      </c>
      <c r="F3260" t="s">
        <v>21</v>
      </c>
      <c r="G3260" s="1">
        <v>45298</v>
      </c>
      <c r="H3260" s="1">
        <v>45275</v>
      </c>
      <c r="I3260">
        <v>27</v>
      </c>
      <c r="J3260" t="s">
        <v>25</v>
      </c>
      <c r="K3260">
        <v>5176.1099999999997</v>
      </c>
    </row>
    <row r="3261" spans="1:11">
      <c r="A3261">
        <v>3260</v>
      </c>
      <c r="B3261" t="s">
        <v>34</v>
      </c>
      <c r="C3261" s="1">
        <v>36891</v>
      </c>
      <c r="D3261">
        <v>25</v>
      </c>
      <c r="E3261" t="s">
        <v>15</v>
      </c>
      <c r="G3261" s="1">
        <v>45302</v>
      </c>
      <c r="H3261" s="1">
        <v>45164</v>
      </c>
      <c r="I3261">
        <v>15</v>
      </c>
      <c r="J3261" t="s">
        <v>25</v>
      </c>
      <c r="K3261">
        <v>11488.26</v>
      </c>
    </row>
    <row r="3262" spans="1:11">
      <c r="A3262">
        <v>3261</v>
      </c>
      <c r="B3262" t="s">
        <v>104</v>
      </c>
      <c r="C3262" s="1">
        <v>14611</v>
      </c>
      <c r="D3262">
        <v>86</v>
      </c>
      <c r="E3262" t="s">
        <v>12</v>
      </c>
      <c r="F3262" t="s">
        <v>13</v>
      </c>
      <c r="G3262" s="1">
        <v>45479</v>
      </c>
      <c r="H3262" s="1">
        <v>45692</v>
      </c>
      <c r="I3262">
        <v>7</v>
      </c>
      <c r="J3262" t="s">
        <v>23</v>
      </c>
      <c r="K3262">
        <v>10921.16</v>
      </c>
    </row>
    <row r="3263" spans="1:11">
      <c r="A3263">
        <v>3262</v>
      </c>
      <c r="B3263" t="s">
        <v>145</v>
      </c>
      <c r="C3263" s="1">
        <v>38352</v>
      </c>
      <c r="D3263">
        <v>21</v>
      </c>
      <c r="E3263" t="s">
        <v>15</v>
      </c>
      <c r="F3263" t="s">
        <v>21</v>
      </c>
      <c r="G3263" s="1">
        <v>44963</v>
      </c>
      <c r="H3263" s="1">
        <v>45110</v>
      </c>
      <c r="I3263">
        <v>38</v>
      </c>
      <c r="J3263" t="s">
        <v>25</v>
      </c>
      <c r="K3263">
        <v>5404.66</v>
      </c>
    </row>
    <row r="3264" spans="1:11">
      <c r="A3264">
        <v>3263</v>
      </c>
      <c r="B3264" t="s">
        <v>77</v>
      </c>
      <c r="C3264" s="1">
        <v>28856</v>
      </c>
      <c r="D3264">
        <v>47</v>
      </c>
      <c r="E3264" t="s">
        <v>15</v>
      </c>
      <c r="F3264" t="s">
        <v>45</v>
      </c>
      <c r="G3264" s="1">
        <v>45563</v>
      </c>
      <c r="H3264" s="1">
        <v>45435</v>
      </c>
      <c r="I3264">
        <v>18</v>
      </c>
      <c r="J3264" t="s">
        <v>25</v>
      </c>
      <c r="K3264">
        <v>13850.65</v>
      </c>
    </row>
    <row r="3265" spans="1:11">
      <c r="A3265">
        <v>3264</v>
      </c>
      <c r="B3265" t="s">
        <v>78</v>
      </c>
      <c r="C3265" s="1">
        <v>16072</v>
      </c>
      <c r="D3265">
        <v>82</v>
      </c>
      <c r="E3265" t="s">
        <v>12</v>
      </c>
      <c r="F3265" t="s">
        <v>45</v>
      </c>
      <c r="G3265" s="1">
        <v>45617</v>
      </c>
      <c r="H3265" s="1">
        <v>45125</v>
      </c>
      <c r="I3265">
        <v>19</v>
      </c>
      <c r="J3265" t="s">
        <v>19</v>
      </c>
      <c r="K3265">
        <v>17769.73</v>
      </c>
    </row>
    <row r="3266" spans="1:11">
      <c r="A3266">
        <v>3265</v>
      </c>
      <c r="B3266" t="s">
        <v>77</v>
      </c>
      <c r="C3266" s="1">
        <v>27760</v>
      </c>
      <c r="D3266">
        <v>50</v>
      </c>
      <c r="E3266" t="s">
        <v>12</v>
      </c>
      <c r="F3266" t="s">
        <v>18</v>
      </c>
      <c r="G3266" s="1">
        <v>44963</v>
      </c>
      <c r="H3266" s="1">
        <v>45609</v>
      </c>
      <c r="I3266">
        <v>14</v>
      </c>
      <c r="J3266" t="s">
        <v>23</v>
      </c>
      <c r="K3266">
        <v>774.66</v>
      </c>
    </row>
    <row r="3267" spans="1:11">
      <c r="A3267">
        <v>3266</v>
      </c>
      <c r="B3267" t="s">
        <v>149</v>
      </c>
      <c r="C3267" s="1">
        <v>45292</v>
      </c>
      <c r="D3267">
        <v>2</v>
      </c>
      <c r="E3267" t="s">
        <v>15</v>
      </c>
      <c r="G3267" s="1">
        <v>45027</v>
      </c>
      <c r="H3267" s="1">
        <v>45050</v>
      </c>
      <c r="I3267">
        <v>2</v>
      </c>
      <c r="J3267" t="s">
        <v>19</v>
      </c>
      <c r="K3267">
        <v>8285.65</v>
      </c>
    </row>
    <row r="3268" spans="1:11">
      <c r="A3268">
        <v>3267</v>
      </c>
      <c r="B3268" t="s">
        <v>101</v>
      </c>
      <c r="C3268" s="1">
        <v>31047</v>
      </c>
      <c r="D3268">
        <v>41</v>
      </c>
      <c r="E3268" t="s">
        <v>12</v>
      </c>
      <c r="G3268" s="1">
        <v>45469</v>
      </c>
      <c r="H3268" s="1">
        <v>45473</v>
      </c>
      <c r="I3268">
        <v>3</v>
      </c>
      <c r="J3268" t="s">
        <v>25</v>
      </c>
      <c r="K3268">
        <v>11829.75</v>
      </c>
    </row>
    <row r="3269" spans="1:11">
      <c r="A3269">
        <v>3268</v>
      </c>
      <c r="B3269" t="s">
        <v>50</v>
      </c>
      <c r="C3269" s="1">
        <v>39448</v>
      </c>
      <c r="D3269">
        <v>18</v>
      </c>
      <c r="E3269" t="s">
        <v>12</v>
      </c>
      <c r="F3269" t="s">
        <v>16</v>
      </c>
      <c r="G3269" s="1">
        <v>45116</v>
      </c>
      <c r="H3269" s="1">
        <v>45308</v>
      </c>
      <c r="I3269">
        <v>7</v>
      </c>
      <c r="K3269">
        <v>11687.35</v>
      </c>
    </row>
    <row r="3270" spans="1:11">
      <c r="A3270">
        <v>3269</v>
      </c>
      <c r="B3270" t="s">
        <v>126</v>
      </c>
      <c r="C3270" s="1">
        <v>19724</v>
      </c>
      <c r="D3270">
        <v>72</v>
      </c>
      <c r="E3270" t="s">
        <v>15</v>
      </c>
      <c r="F3270" t="s">
        <v>45</v>
      </c>
      <c r="G3270" s="1">
        <v>45438</v>
      </c>
      <c r="H3270" s="1">
        <v>45752</v>
      </c>
      <c r="I3270">
        <v>-1</v>
      </c>
      <c r="J3270" t="s">
        <v>23</v>
      </c>
      <c r="K3270">
        <v>292.66000000000003</v>
      </c>
    </row>
    <row r="3271" spans="1:11">
      <c r="A3271">
        <v>3270</v>
      </c>
      <c r="B3271" t="s">
        <v>22</v>
      </c>
      <c r="C3271" s="1">
        <v>36161</v>
      </c>
      <c r="D3271">
        <v>27</v>
      </c>
      <c r="E3271" t="s">
        <v>12</v>
      </c>
      <c r="F3271" t="s">
        <v>32</v>
      </c>
      <c r="G3271" s="1">
        <v>45584</v>
      </c>
      <c r="H3271" s="1">
        <v>45442</v>
      </c>
      <c r="I3271">
        <v>4</v>
      </c>
      <c r="J3271" t="s">
        <v>25</v>
      </c>
      <c r="K3271">
        <v>4132.38</v>
      </c>
    </row>
    <row r="3272" spans="1:11">
      <c r="A3272">
        <v>3271</v>
      </c>
      <c r="B3272" t="s">
        <v>119</v>
      </c>
      <c r="C3272" s="1">
        <v>15707</v>
      </c>
      <c r="D3272">
        <v>83</v>
      </c>
      <c r="E3272" t="s">
        <v>15</v>
      </c>
      <c r="F3272" t="s">
        <v>32</v>
      </c>
      <c r="G3272" s="1">
        <v>45016</v>
      </c>
      <c r="H3272" s="1">
        <v>44933</v>
      </c>
      <c r="I3272">
        <v>1</v>
      </c>
      <c r="J3272" t="s">
        <v>25</v>
      </c>
      <c r="K3272">
        <v>1142.8</v>
      </c>
    </row>
    <row r="3273" spans="1:11">
      <c r="A3273">
        <v>3272</v>
      </c>
      <c r="B3273" t="s">
        <v>65</v>
      </c>
      <c r="C3273" s="1">
        <v>29951</v>
      </c>
      <c r="D3273">
        <v>44</v>
      </c>
      <c r="G3273" s="1">
        <v>44932</v>
      </c>
      <c r="H3273" s="1">
        <v>45231</v>
      </c>
      <c r="I3273">
        <v>34</v>
      </c>
      <c r="K3273">
        <v>11336.2</v>
      </c>
    </row>
    <row r="3274" spans="1:11">
      <c r="A3274">
        <v>3273</v>
      </c>
      <c r="B3274" t="s">
        <v>102</v>
      </c>
      <c r="C3274" s="1">
        <v>20455</v>
      </c>
      <c r="D3274">
        <v>70</v>
      </c>
      <c r="E3274" t="s">
        <v>12</v>
      </c>
      <c r="G3274" s="1">
        <v>45065</v>
      </c>
      <c r="H3274" s="1">
        <v>45541</v>
      </c>
      <c r="I3274">
        <v>16</v>
      </c>
      <c r="K3274">
        <v>12872.34</v>
      </c>
    </row>
    <row r="3275" spans="1:11">
      <c r="A3275">
        <v>3274</v>
      </c>
      <c r="B3275" t="s">
        <v>107</v>
      </c>
      <c r="C3275" s="1">
        <v>17898</v>
      </c>
      <c r="D3275">
        <v>77</v>
      </c>
      <c r="E3275" t="s">
        <v>15</v>
      </c>
      <c r="F3275" t="s">
        <v>21</v>
      </c>
      <c r="G3275" s="1">
        <v>45021</v>
      </c>
      <c r="H3275" s="1">
        <v>45119</v>
      </c>
      <c r="I3275">
        <v>25</v>
      </c>
      <c r="K3275">
        <v>3110.82</v>
      </c>
    </row>
    <row r="3276" spans="1:11">
      <c r="A3276">
        <v>3275</v>
      </c>
      <c r="B3276" t="s">
        <v>142</v>
      </c>
      <c r="C3276" s="1">
        <v>23377</v>
      </c>
      <c r="D3276">
        <v>62</v>
      </c>
      <c r="E3276" t="s">
        <v>15</v>
      </c>
      <c r="G3276" s="1">
        <v>45557</v>
      </c>
      <c r="H3276" s="1">
        <v>45303</v>
      </c>
      <c r="I3276">
        <v>17</v>
      </c>
      <c r="J3276" t="s">
        <v>23</v>
      </c>
      <c r="K3276">
        <v>6593.52</v>
      </c>
    </row>
    <row r="3277" spans="1:11">
      <c r="A3277">
        <v>3276</v>
      </c>
      <c r="B3277" t="s">
        <v>62</v>
      </c>
      <c r="C3277" s="1">
        <v>19724</v>
      </c>
      <c r="D3277">
        <v>72</v>
      </c>
      <c r="E3277" t="s">
        <v>15</v>
      </c>
      <c r="F3277" t="s">
        <v>13</v>
      </c>
      <c r="G3277" s="1">
        <v>45558</v>
      </c>
      <c r="H3277" s="1">
        <v>45452</v>
      </c>
      <c r="I3277">
        <v>27</v>
      </c>
      <c r="J3277" t="s">
        <v>19</v>
      </c>
      <c r="K3277">
        <v>6529.06</v>
      </c>
    </row>
    <row r="3278" spans="1:11">
      <c r="A3278">
        <v>3277</v>
      </c>
      <c r="B3278" t="s">
        <v>138</v>
      </c>
      <c r="C3278" s="1">
        <v>39448</v>
      </c>
      <c r="D3278">
        <v>18</v>
      </c>
      <c r="E3278" t="s">
        <v>15</v>
      </c>
      <c r="F3278" t="s">
        <v>32</v>
      </c>
      <c r="G3278" s="1">
        <v>45312</v>
      </c>
      <c r="H3278" s="1">
        <v>44963</v>
      </c>
      <c r="I3278">
        <v>39</v>
      </c>
      <c r="J3278" t="s">
        <v>23</v>
      </c>
      <c r="K3278">
        <v>16378.03</v>
      </c>
    </row>
    <row r="3279" spans="1:11">
      <c r="A3279">
        <v>3278</v>
      </c>
      <c r="B3279" t="s">
        <v>59</v>
      </c>
      <c r="C3279" s="1">
        <v>29221</v>
      </c>
      <c r="D3279">
        <v>46</v>
      </c>
      <c r="E3279" t="s">
        <v>15</v>
      </c>
      <c r="F3279" t="s">
        <v>21</v>
      </c>
      <c r="G3279" s="1">
        <v>45049</v>
      </c>
      <c r="H3279" s="1">
        <v>44997</v>
      </c>
      <c r="I3279">
        <v>35</v>
      </c>
      <c r="K3279">
        <v>3812.65</v>
      </c>
    </row>
    <row r="3280" spans="1:11">
      <c r="A3280">
        <v>3279</v>
      </c>
      <c r="B3280" t="s">
        <v>87</v>
      </c>
      <c r="C3280" s="1">
        <v>41274</v>
      </c>
      <c r="D3280">
        <v>13</v>
      </c>
      <c r="E3280" t="s">
        <v>15</v>
      </c>
      <c r="F3280" t="s">
        <v>13</v>
      </c>
      <c r="G3280" s="1">
        <v>45211</v>
      </c>
      <c r="H3280" s="1">
        <v>45216</v>
      </c>
      <c r="I3280">
        <v>-1</v>
      </c>
      <c r="J3280" t="s">
        <v>23</v>
      </c>
      <c r="K3280">
        <v>10921.11</v>
      </c>
    </row>
    <row r="3281" spans="1:11">
      <c r="A3281">
        <v>3280</v>
      </c>
      <c r="B3281" t="s">
        <v>136</v>
      </c>
      <c r="C3281" s="1">
        <v>32508</v>
      </c>
      <c r="D3281">
        <v>37</v>
      </c>
      <c r="E3281" t="s">
        <v>12</v>
      </c>
      <c r="G3281" s="1">
        <v>45292</v>
      </c>
      <c r="H3281" s="1">
        <v>45032</v>
      </c>
      <c r="I3281">
        <v>0</v>
      </c>
      <c r="K3281">
        <v>15637</v>
      </c>
    </row>
    <row r="3282" spans="1:11">
      <c r="A3282">
        <v>3281</v>
      </c>
      <c r="B3282" t="s">
        <v>130</v>
      </c>
      <c r="C3282" s="1">
        <v>27029</v>
      </c>
      <c r="D3282">
        <v>52</v>
      </c>
      <c r="E3282" t="s">
        <v>15</v>
      </c>
      <c r="G3282" s="1">
        <v>45617</v>
      </c>
      <c r="H3282" s="1">
        <v>45643</v>
      </c>
      <c r="I3282">
        <v>39</v>
      </c>
      <c r="J3282" t="s">
        <v>19</v>
      </c>
      <c r="K3282">
        <v>16574.52</v>
      </c>
    </row>
    <row r="3283" spans="1:11">
      <c r="A3283">
        <v>3282</v>
      </c>
      <c r="B3283" t="s">
        <v>136</v>
      </c>
      <c r="C3283" s="1">
        <v>24107</v>
      </c>
      <c r="D3283">
        <v>60</v>
      </c>
      <c r="E3283" t="s">
        <v>12</v>
      </c>
      <c r="F3283" t="s">
        <v>45</v>
      </c>
      <c r="G3283" s="1">
        <v>45416</v>
      </c>
      <c r="H3283" s="1">
        <v>45240</v>
      </c>
      <c r="I3283">
        <v>36</v>
      </c>
      <c r="J3283" t="s">
        <v>23</v>
      </c>
      <c r="K3283">
        <v>13297.98</v>
      </c>
    </row>
    <row r="3284" spans="1:11">
      <c r="A3284">
        <v>3283</v>
      </c>
      <c r="B3284" t="s">
        <v>26</v>
      </c>
      <c r="C3284" s="1">
        <v>33239</v>
      </c>
      <c r="D3284">
        <v>35</v>
      </c>
      <c r="E3284" t="s">
        <v>12</v>
      </c>
      <c r="F3284" t="s">
        <v>21</v>
      </c>
      <c r="G3284" s="1">
        <v>45251</v>
      </c>
      <c r="H3284" s="1">
        <v>44982</v>
      </c>
      <c r="I3284">
        <v>22</v>
      </c>
      <c r="J3284" t="s">
        <v>19</v>
      </c>
      <c r="K3284">
        <v>5920.51</v>
      </c>
    </row>
    <row r="3285" spans="1:11">
      <c r="A3285">
        <v>3284</v>
      </c>
      <c r="B3285" t="s">
        <v>61</v>
      </c>
      <c r="C3285" s="1">
        <v>31778</v>
      </c>
      <c r="D3285">
        <v>39</v>
      </c>
      <c r="E3285" t="s">
        <v>15</v>
      </c>
      <c r="F3285" t="s">
        <v>13</v>
      </c>
      <c r="G3285" s="1">
        <v>45333</v>
      </c>
      <c r="H3285" s="1">
        <v>45034</v>
      </c>
      <c r="I3285">
        <v>-1</v>
      </c>
      <c r="J3285" t="s">
        <v>19</v>
      </c>
      <c r="K3285">
        <v>16443.240000000002</v>
      </c>
    </row>
    <row r="3286" spans="1:11">
      <c r="A3286">
        <v>3285</v>
      </c>
      <c r="B3286" t="s">
        <v>123</v>
      </c>
      <c r="C3286" s="1">
        <v>16802</v>
      </c>
      <c r="D3286">
        <v>80</v>
      </c>
      <c r="E3286" t="s">
        <v>12</v>
      </c>
      <c r="F3286" t="s">
        <v>18</v>
      </c>
      <c r="G3286" s="1">
        <v>45445</v>
      </c>
      <c r="H3286" s="1">
        <v>45580</v>
      </c>
      <c r="I3286">
        <v>36</v>
      </c>
      <c r="K3286">
        <v>14817.54</v>
      </c>
    </row>
    <row r="3287" spans="1:11">
      <c r="A3287">
        <v>3286</v>
      </c>
      <c r="B3287" t="s">
        <v>62</v>
      </c>
      <c r="C3287" s="1">
        <v>35430</v>
      </c>
      <c r="D3287">
        <v>29</v>
      </c>
      <c r="E3287" t="s">
        <v>15</v>
      </c>
      <c r="G3287" s="1">
        <v>45565</v>
      </c>
      <c r="H3287" s="1">
        <v>45664</v>
      </c>
      <c r="I3287">
        <v>12</v>
      </c>
      <c r="J3287" t="s">
        <v>23</v>
      </c>
      <c r="K3287">
        <v>14059.83</v>
      </c>
    </row>
    <row r="3288" spans="1:11">
      <c r="A3288">
        <v>3287</v>
      </c>
      <c r="B3288" t="s">
        <v>64</v>
      </c>
      <c r="C3288" s="1">
        <v>43100</v>
      </c>
      <c r="D3288">
        <v>8</v>
      </c>
      <c r="E3288" t="s">
        <v>15</v>
      </c>
      <c r="F3288" t="s">
        <v>16</v>
      </c>
      <c r="G3288" s="1">
        <v>45003</v>
      </c>
      <c r="H3288" s="1">
        <v>45234</v>
      </c>
      <c r="I3288">
        <v>0</v>
      </c>
      <c r="J3288" t="s">
        <v>23</v>
      </c>
      <c r="K3288">
        <v>1253.44</v>
      </c>
    </row>
    <row r="3289" spans="1:11">
      <c r="A3289">
        <v>3288</v>
      </c>
      <c r="B3289" t="s">
        <v>85</v>
      </c>
      <c r="C3289" s="1">
        <v>23012</v>
      </c>
      <c r="D3289">
        <v>63</v>
      </c>
      <c r="E3289" t="s">
        <v>12</v>
      </c>
      <c r="F3289" t="s">
        <v>16</v>
      </c>
      <c r="G3289" s="1">
        <v>45160</v>
      </c>
      <c r="H3289" s="1">
        <v>45787</v>
      </c>
      <c r="I3289">
        <v>2</v>
      </c>
      <c r="J3289" t="s">
        <v>19</v>
      </c>
      <c r="K3289">
        <v>769.62</v>
      </c>
    </row>
    <row r="3290" spans="1:11">
      <c r="A3290">
        <v>3289</v>
      </c>
      <c r="B3290" t="s">
        <v>131</v>
      </c>
      <c r="C3290" s="1">
        <v>34334</v>
      </c>
      <c r="D3290">
        <v>32</v>
      </c>
      <c r="E3290" t="s">
        <v>15</v>
      </c>
      <c r="G3290" s="1">
        <v>45512</v>
      </c>
      <c r="H3290" s="1">
        <v>45748</v>
      </c>
      <c r="I3290">
        <v>37</v>
      </c>
      <c r="K3290">
        <v>13876.84</v>
      </c>
    </row>
    <row r="3291" spans="1:11">
      <c r="A3291">
        <v>3290</v>
      </c>
      <c r="B3291" t="s">
        <v>67</v>
      </c>
      <c r="C3291" s="1">
        <v>27395</v>
      </c>
      <c r="D3291">
        <v>51</v>
      </c>
      <c r="E3291" t="s">
        <v>12</v>
      </c>
      <c r="F3291" t="s">
        <v>18</v>
      </c>
      <c r="G3291" s="1">
        <v>45410</v>
      </c>
      <c r="H3291" s="1">
        <v>44963</v>
      </c>
      <c r="I3291">
        <v>33</v>
      </c>
      <c r="J3291" t="s">
        <v>19</v>
      </c>
      <c r="K3291">
        <v>18890.38</v>
      </c>
    </row>
    <row r="3292" spans="1:11">
      <c r="A3292">
        <v>3291</v>
      </c>
      <c r="B3292" t="s">
        <v>104</v>
      </c>
      <c r="C3292" s="1">
        <v>13880</v>
      </c>
      <c r="D3292">
        <v>88</v>
      </c>
      <c r="E3292" t="s">
        <v>12</v>
      </c>
      <c r="F3292" t="s">
        <v>32</v>
      </c>
      <c r="G3292" s="1">
        <v>45390</v>
      </c>
      <c r="H3292" s="1">
        <v>45060</v>
      </c>
      <c r="I3292">
        <v>37</v>
      </c>
      <c r="J3292" t="s">
        <v>19</v>
      </c>
      <c r="K3292">
        <v>15451.85</v>
      </c>
    </row>
    <row r="3293" spans="1:11">
      <c r="A3293">
        <v>3292</v>
      </c>
      <c r="B3293" t="s">
        <v>101</v>
      </c>
      <c r="C3293" s="1">
        <v>41274</v>
      </c>
      <c r="D3293">
        <v>13</v>
      </c>
      <c r="F3293" t="s">
        <v>16</v>
      </c>
      <c r="G3293" s="1">
        <v>45197</v>
      </c>
      <c r="H3293" s="1">
        <v>45814</v>
      </c>
      <c r="I3293">
        <v>35</v>
      </c>
      <c r="J3293" t="s">
        <v>19</v>
      </c>
      <c r="K3293">
        <v>16612.66</v>
      </c>
    </row>
    <row r="3294" spans="1:11">
      <c r="A3294">
        <v>3293</v>
      </c>
      <c r="B3294" t="s">
        <v>145</v>
      </c>
      <c r="C3294" s="1">
        <v>18994</v>
      </c>
      <c r="D3294">
        <v>74</v>
      </c>
      <c r="E3294" t="s">
        <v>12</v>
      </c>
      <c r="F3294" t="s">
        <v>13</v>
      </c>
      <c r="G3294" s="1">
        <v>45393</v>
      </c>
      <c r="H3294" s="1">
        <v>44952</v>
      </c>
      <c r="I3294">
        <v>34</v>
      </c>
      <c r="J3294" t="s">
        <v>19</v>
      </c>
      <c r="K3294">
        <v>10854.14</v>
      </c>
    </row>
    <row r="3295" spans="1:11">
      <c r="A3295">
        <v>3294</v>
      </c>
      <c r="B3295" t="s">
        <v>112</v>
      </c>
      <c r="C3295" s="1">
        <v>27029</v>
      </c>
      <c r="D3295">
        <v>52</v>
      </c>
      <c r="E3295" t="s">
        <v>12</v>
      </c>
      <c r="G3295" s="1">
        <v>45395</v>
      </c>
      <c r="H3295" s="1">
        <v>45776</v>
      </c>
      <c r="I3295">
        <v>24</v>
      </c>
      <c r="J3295" t="s">
        <v>23</v>
      </c>
      <c r="K3295">
        <v>6022.18</v>
      </c>
    </row>
    <row r="3296" spans="1:11">
      <c r="A3296">
        <v>3295</v>
      </c>
      <c r="B3296" t="s">
        <v>79</v>
      </c>
      <c r="C3296" s="1">
        <v>24838</v>
      </c>
      <c r="D3296">
        <v>58</v>
      </c>
      <c r="E3296" t="s">
        <v>15</v>
      </c>
      <c r="G3296" s="1">
        <v>45558</v>
      </c>
      <c r="H3296" s="1">
        <v>44964</v>
      </c>
      <c r="I3296">
        <v>2</v>
      </c>
      <c r="J3296" t="s">
        <v>25</v>
      </c>
      <c r="K3296">
        <v>13522.51</v>
      </c>
    </row>
    <row r="3297" spans="1:11">
      <c r="A3297">
        <v>3296</v>
      </c>
      <c r="B3297" t="s">
        <v>123</v>
      </c>
      <c r="C3297" s="1">
        <v>17898</v>
      </c>
      <c r="D3297">
        <v>77</v>
      </c>
      <c r="E3297" t="s">
        <v>15</v>
      </c>
      <c r="G3297" s="1">
        <v>45473</v>
      </c>
      <c r="H3297" s="1">
        <v>44946</v>
      </c>
      <c r="I3297">
        <v>14</v>
      </c>
      <c r="J3297" t="s">
        <v>23</v>
      </c>
      <c r="K3297">
        <v>14210.61</v>
      </c>
    </row>
    <row r="3298" spans="1:11">
      <c r="A3298">
        <v>3297</v>
      </c>
      <c r="B3298" t="s">
        <v>24</v>
      </c>
      <c r="C3298" s="1">
        <v>12054</v>
      </c>
      <c r="D3298">
        <v>93</v>
      </c>
      <c r="E3298" t="s">
        <v>12</v>
      </c>
      <c r="F3298" t="s">
        <v>18</v>
      </c>
      <c r="G3298" s="1">
        <v>45645</v>
      </c>
      <c r="H3298" s="1">
        <v>44962</v>
      </c>
      <c r="I3298">
        <v>35</v>
      </c>
      <c r="K3298">
        <v>13474.7</v>
      </c>
    </row>
    <row r="3299" spans="1:11">
      <c r="A3299">
        <v>3298</v>
      </c>
      <c r="B3299" t="s">
        <v>126</v>
      </c>
      <c r="C3299" s="1">
        <v>31412</v>
      </c>
      <c r="D3299">
        <v>40</v>
      </c>
      <c r="E3299" t="s">
        <v>15</v>
      </c>
      <c r="F3299" t="s">
        <v>32</v>
      </c>
      <c r="G3299" s="1">
        <v>45196</v>
      </c>
      <c r="H3299" s="1">
        <v>45290</v>
      </c>
      <c r="I3299">
        <v>38</v>
      </c>
      <c r="J3299" t="s">
        <v>25</v>
      </c>
      <c r="K3299">
        <v>18928.849999999999</v>
      </c>
    </row>
    <row r="3300" spans="1:11">
      <c r="A3300">
        <v>3299</v>
      </c>
      <c r="B3300" t="s">
        <v>111</v>
      </c>
      <c r="C3300" s="1">
        <v>21551</v>
      </c>
      <c r="D3300">
        <v>67</v>
      </c>
      <c r="E3300" t="s">
        <v>15</v>
      </c>
      <c r="F3300" t="s">
        <v>21</v>
      </c>
      <c r="G3300" s="1">
        <v>45531</v>
      </c>
      <c r="H3300" s="1">
        <v>45345</v>
      </c>
      <c r="I3300">
        <v>9</v>
      </c>
      <c r="J3300" t="s">
        <v>19</v>
      </c>
      <c r="K3300">
        <v>7280.3</v>
      </c>
    </row>
    <row r="3301" spans="1:11">
      <c r="A3301">
        <v>3300</v>
      </c>
      <c r="B3301" t="s">
        <v>28</v>
      </c>
      <c r="C3301" s="1">
        <v>21551</v>
      </c>
      <c r="D3301">
        <v>67</v>
      </c>
      <c r="E3301" t="s">
        <v>15</v>
      </c>
      <c r="G3301" s="1">
        <v>45304</v>
      </c>
      <c r="H3301" s="1">
        <v>45749</v>
      </c>
      <c r="I3301">
        <v>39</v>
      </c>
      <c r="J3301" t="s">
        <v>23</v>
      </c>
      <c r="K3301">
        <v>697.12</v>
      </c>
    </row>
    <row r="3302" spans="1:11">
      <c r="A3302">
        <v>3301</v>
      </c>
      <c r="B3302" t="s">
        <v>145</v>
      </c>
      <c r="D3302">
        <v>91</v>
      </c>
      <c r="E3302" t="s">
        <v>12</v>
      </c>
      <c r="F3302" t="s">
        <v>21</v>
      </c>
      <c r="G3302" s="1">
        <v>45103</v>
      </c>
      <c r="H3302" s="1">
        <v>45357</v>
      </c>
      <c r="I3302">
        <v>28</v>
      </c>
      <c r="J3302" t="s">
        <v>25</v>
      </c>
      <c r="K3302">
        <v>18159.73</v>
      </c>
    </row>
    <row r="3303" spans="1:11">
      <c r="A3303">
        <v>3302</v>
      </c>
      <c r="B3303" t="s">
        <v>51</v>
      </c>
      <c r="C3303" s="1">
        <v>43466</v>
      </c>
      <c r="D3303">
        <v>7</v>
      </c>
      <c r="E3303" t="s">
        <v>15</v>
      </c>
      <c r="F3303" t="s">
        <v>13</v>
      </c>
      <c r="G3303" s="1">
        <v>45200</v>
      </c>
      <c r="H3303" s="1">
        <v>45445</v>
      </c>
      <c r="I3303">
        <v>30</v>
      </c>
      <c r="J3303" t="s">
        <v>19</v>
      </c>
      <c r="K3303">
        <v>3126.03</v>
      </c>
    </row>
    <row r="3304" spans="1:11">
      <c r="A3304">
        <v>3303</v>
      </c>
      <c r="B3304" t="s">
        <v>101</v>
      </c>
      <c r="C3304" s="1">
        <v>45657</v>
      </c>
      <c r="D3304">
        <v>1</v>
      </c>
      <c r="E3304" t="s">
        <v>12</v>
      </c>
      <c r="F3304" t="s">
        <v>13</v>
      </c>
      <c r="G3304" s="1">
        <v>45617</v>
      </c>
      <c r="H3304" s="1">
        <v>45394</v>
      </c>
      <c r="I3304">
        <v>26</v>
      </c>
      <c r="J3304" t="s">
        <v>23</v>
      </c>
      <c r="K3304">
        <v>13916.1</v>
      </c>
    </row>
    <row r="3305" spans="1:11">
      <c r="A3305">
        <v>3304</v>
      </c>
      <c r="B3305" t="s">
        <v>14</v>
      </c>
      <c r="C3305" s="1">
        <v>14976</v>
      </c>
      <c r="E3305" t="s">
        <v>15</v>
      </c>
      <c r="F3305" t="s">
        <v>13</v>
      </c>
      <c r="G3305" s="1">
        <v>45567</v>
      </c>
      <c r="H3305" s="1">
        <v>45824</v>
      </c>
      <c r="I3305">
        <v>35</v>
      </c>
      <c r="J3305" t="s">
        <v>25</v>
      </c>
      <c r="K3305">
        <v>17451.41</v>
      </c>
    </row>
    <row r="3306" spans="1:11">
      <c r="A3306">
        <v>3305</v>
      </c>
      <c r="B3306" t="s">
        <v>93</v>
      </c>
      <c r="C3306" s="1">
        <v>31412</v>
      </c>
      <c r="D3306">
        <v>40</v>
      </c>
      <c r="E3306" t="s">
        <v>15</v>
      </c>
      <c r="F3306" t="s">
        <v>16</v>
      </c>
      <c r="G3306" s="1">
        <v>45563</v>
      </c>
      <c r="H3306" s="1">
        <v>45126</v>
      </c>
      <c r="I3306">
        <v>0</v>
      </c>
      <c r="J3306" t="s">
        <v>23</v>
      </c>
      <c r="K3306">
        <v>6133.84</v>
      </c>
    </row>
    <row r="3307" spans="1:11">
      <c r="A3307">
        <v>3306</v>
      </c>
      <c r="B3307" t="s">
        <v>89</v>
      </c>
      <c r="C3307" s="1">
        <v>26299</v>
      </c>
      <c r="D3307">
        <v>54</v>
      </c>
      <c r="E3307" t="s">
        <v>15</v>
      </c>
      <c r="F3307" t="s">
        <v>13</v>
      </c>
      <c r="G3307" s="1">
        <v>44953</v>
      </c>
      <c r="H3307" s="1">
        <v>45473</v>
      </c>
      <c r="I3307">
        <v>35</v>
      </c>
      <c r="J3307" t="s">
        <v>25</v>
      </c>
      <c r="K3307">
        <v>16591.349999999999</v>
      </c>
    </row>
    <row r="3308" spans="1:11">
      <c r="A3308">
        <v>3307</v>
      </c>
      <c r="B3308" t="s">
        <v>44</v>
      </c>
      <c r="C3308" s="1">
        <v>40544</v>
      </c>
      <c r="D3308">
        <v>15</v>
      </c>
      <c r="E3308" t="s">
        <v>15</v>
      </c>
      <c r="G3308" s="1">
        <v>45502</v>
      </c>
      <c r="H3308" s="1">
        <v>45495</v>
      </c>
      <c r="I3308">
        <v>38</v>
      </c>
      <c r="K3308">
        <v>6574.37</v>
      </c>
    </row>
    <row r="3309" spans="1:11">
      <c r="A3309">
        <v>3308</v>
      </c>
      <c r="B3309" t="s">
        <v>133</v>
      </c>
      <c r="C3309" s="1">
        <v>12419</v>
      </c>
      <c r="D3309">
        <v>92</v>
      </c>
      <c r="E3309" t="s">
        <v>12</v>
      </c>
      <c r="F3309" t="s">
        <v>18</v>
      </c>
      <c r="G3309" s="1">
        <v>44986</v>
      </c>
      <c r="H3309" s="1">
        <v>45695</v>
      </c>
      <c r="I3309">
        <v>37</v>
      </c>
      <c r="J3309" t="s">
        <v>23</v>
      </c>
      <c r="K3309">
        <v>15864.58</v>
      </c>
    </row>
    <row r="3310" spans="1:11">
      <c r="A3310">
        <v>3309</v>
      </c>
      <c r="B3310" t="s">
        <v>156</v>
      </c>
      <c r="C3310" s="1">
        <v>23742</v>
      </c>
      <c r="D3310">
        <v>61</v>
      </c>
      <c r="E3310" t="s">
        <v>15</v>
      </c>
      <c r="F3310" t="s">
        <v>18</v>
      </c>
      <c r="G3310" s="1">
        <v>45143</v>
      </c>
      <c r="H3310" s="1">
        <v>45138</v>
      </c>
      <c r="I3310">
        <v>27</v>
      </c>
      <c r="J3310" t="s">
        <v>23</v>
      </c>
      <c r="K3310">
        <v>1303.58</v>
      </c>
    </row>
    <row r="3311" spans="1:11">
      <c r="A3311">
        <v>3310</v>
      </c>
      <c r="B3311" t="s">
        <v>120</v>
      </c>
      <c r="C3311" s="1">
        <v>28856</v>
      </c>
      <c r="D3311">
        <v>47</v>
      </c>
      <c r="E3311" t="s">
        <v>15</v>
      </c>
      <c r="F3311" t="s">
        <v>32</v>
      </c>
      <c r="G3311" s="1">
        <v>45607</v>
      </c>
      <c r="H3311" s="1">
        <v>45536</v>
      </c>
      <c r="I3311">
        <v>19</v>
      </c>
      <c r="J3311" t="s">
        <v>25</v>
      </c>
      <c r="K3311">
        <v>13070.38</v>
      </c>
    </row>
    <row r="3312" spans="1:11">
      <c r="A3312">
        <v>3311</v>
      </c>
      <c r="B3312" t="s">
        <v>116</v>
      </c>
      <c r="C3312" s="1">
        <v>35430</v>
      </c>
      <c r="D3312">
        <v>29</v>
      </c>
      <c r="E3312" t="s">
        <v>12</v>
      </c>
      <c r="F3312" t="s">
        <v>18</v>
      </c>
      <c r="G3312" s="1">
        <v>45587</v>
      </c>
      <c r="H3312" s="1">
        <v>45721</v>
      </c>
      <c r="I3312">
        <v>35</v>
      </c>
      <c r="K3312">
        <v>13510.48</v>
      </c>
    </row>
    <row r="3313" spans="1:11">
      <c r="A3313">
        <v>3312</v>
      </c>
      <c r="B3313" t="s">
        <v>42</v>
      </c>
      <c r="D3313">
        <v>11</v>
      </c>
      <c r="E3313" t="s">
        <v>12</v>
      </c>
      <c r="F3313" t="s">
        <v>16</v>
      </c>
      <c r="G3313" s="1">
        <v>45196</v>
      </c>
      <c r="H3313" s="1">
        <v>45428</v>
      </c>
      <c r="I3313">
        <v>29</v>
      </c>
      <c r="J3313" t="s">
        <v>23</v>
      </c>
      <c r="K3313">
        <v>9777.66</v>
      </c>
    </row>
    <row r="3314" spans="1:11">
      <c r="A3314">
        <v>3313</v>
      </c>
      <c r="B3314" t="s">
        <v>118</v>
      </c>
      <c r="C3314" s="1">
        <v>33604</v>
      </c>
      <c r="D3314">
        <v>34</v>
      </c>
      <c r="E3314" t="s">
        <v>15</v>
      </c>
      <c r="F3314" t="s">
        <v>21</v>
      </c>
      <c r="G3314" s="1">
        <v>45042</v>
      </c>
      <c r="H3314" s="1">
        <v>45168</v>
      </c>
      <c r="I3314">
        <v>7</v>
      </c>
      <c r="K3314">
        <v>13710.53</v>
      </c>
    </row>
    <row r="3315" spans="1:11">
      <c r="A3315">
        <v>3314</v>
      </c>
      <c r="B3315" t="s">
        <v>73</v>
      </c>
      <c r="C3315" s="1">
        <v>42370</v>
      </c>
      <c r="D3315">
        <v>10</v>
      </c>
      <c r="E3315" t="s">
        <v>15</v>
      </c>
      <c r="F3315" t="s">
        <v>32</v>
      </c>
      <c r="G3315" s="1">
        <v>45171</v>
      </c>
      <c r="H3315" s="1">
        <v>45097</v>
      </c>
      <c r="I3315">
        <v>29</v>
      </c>
      <c r="K3315">
        <v>18455.990000000002</v>
      </c>
    </row>
    <row r="3316" spans="1:11">
      <c r="A3316">
        <v>3315</v>
      </c>
      <c r="B3316" t="s">
        <v>143</v>
      </c>
      <c r="C3316" s="1">
        <v>23012</v>
      </c>
      <c r="D3316">
        <v>63</v>
      </c>
      <c r="F3316" t="s">
        <v>18</v>
      </c>
      <c r="G3316" s="1">
        <v>45586</v>
      </c>
      <c r="H3316" s="1">
        <v>45786</v>
      </c>
      <c r="I3316">
        <v>1</v>
      </c>
      <c r="J3316" t="s">
        <v>23</v>
      </c>
      <c r="K3316">
        <v>14650.48</v>
      </c>
    </row>
    <row r="3317" spans="1:11">
      <c r="A3317">
        <v>3316</v>
      </c>
      <c r="B3317" t="s">
        <v>112</v>
      </c>
      <c r="C3317" s="1">
        <v>28125</v>
      </c>
      <c r="D3317">
        <v>49</v>
      </c>
      <c r="E3317" t="s">
        <v>12</v>
      </c>
      <c r="F3317" t="s">
        <v>13</v>
      </c>
      <c r="G3317" s="1">
        <v>45530</v>
      </c>
      <c r="H3317" s="1">
        <v>45221</v>
      </c>
      <c r="I3317">
        <v>26</v>
      </c>
      <c r="J3317" t="s">
        <v>19</v>
      </c>
      <c r="K3317">
        <v>19222.05</v>
      </c>
    </row>
    <row r="3318" spans="1:11">
      <c r="A3318">
        <v>3317</v>
      </c>
      <c r="B3318" t="s">
        <v>137</v>
      </c>
      <c r="C3318" s="1">
        <v>15341</v>
      </c>
      <c r="D3318">
        <v>84</v>
      </c>
      <c r="E3318" t="s">
        <v>15</v>
      </c>
      <c r="F3318" t="s">
        <v>18</v>
      </c>
      <c r="G3318" s="1">
        <v>45011</v>
      </c>
      <c r="H3318" s="1">
        <v>45666</v>
      </c>
      <c r="I3318">
        <v>5</v>
      </c>
      <c r="J3318" t="s">
        <v>25</v>
      </c>
      <c r="K3318">
        <v>8917.11</v>
      </c>
    </row>
    <row r="3319" spans="1:11">
      <c r="A3319">
        <v>3318</v>
      </c>
      <c r="B3319" t="s">
        <v>107</v>
      </c>
      <c r="C3319" s="1">
        <v>38717</v>
      </c>
      <c r="D3319">
        <v>20</v>
      </c>
      <c r="E3319" t="s">
        <v>15</v>
      </c>
      <c r="F3319" t="s">
        <v>45</v>
      </c>
      <c r="G3319" s="1">
        <v>45525</v>
      </c>
      <c r="H3319" s="1">
        <v>45242</v>
      </c>
      <c r="I3319">
        <v>17</v>
      </c>
      <c r="J3319" t="s">
        <v>23</v>
      </c>
      <c r="K3319">
        <v>10518.64</v>
      </c>
    </row>
    <row r="3320" spans="1:11">
      <c r="A3320">
        <v>3319</v>
      </c>
      <c r="B3320" t="s">
        <v>103</v>
      </c>
      <c r="C3320" s="1">
        <v>21185</v>
      </c>
      <c r="D3320">
        <v>68</v>
      </c>
      <c r="E3320" t="s">
        <v>15</v>
      </c>
      <c r="F3320" t="s">
        <v>32</v>
      </c>
      <c r="G3320" s="1">
        <v>45558</v>
      </c>
      <c r="H3320" s="1">
        <v>45054</v>
      </c>
      <c r="I3320">
        <v>4</v>
      </c>
      <c r="K3320">
        <v>5201.1499999999996</v>
      </c>
    </row>
    <row r="3321" spans="1:11">
      <c r="A3321">
        <v>3320</v>
      </c>
      <c r="B3321" t="s">
        <v>17</v>
      </c>
      <c r="C3321" s="1">
        <v>28856</v>
      </c>
      <c r="D3321">
        <v>47</v>
      </c>
      <c r="E3321" t="s">
        <v>15</v>
      </c>
      <c r="G3321" s="1">
        <v>45376</v>
      </c>
      <c r="H3321" s="1">
        <v>45395</v>
      </c>
      <c r="I3321">
        <v>-2</v>
      </c>
      <c r="J3321" t="s">
        <v>25</v>
      </c>
      <c r="K3321">
        <v>19710.59</v>
      </c>
    </row>
    <row r="3322" spans="1:11">
      <c r="A3322">
        <v>3321</v>
      </c>
      <c r="B3322" t="s">
        <v>171</v>
      </c>
      <c r="C3322" s="1">
        <v>39083</v>
      </c>
      <c r="D3322">
        <v>19</v>
      </c>
      <c r="E3322" t="s">
        <v>12</v>
      </c>
      <c r="G3322" s="1">
        <v>45462</v>
      </c>
      <c r="H3322" s="1">
        <v>45719</v>
      </c>
      <c r="I3322">
        <v>22</v>
      </c>
      <c r="J3322" t="s">
        <v>23</v>
      </c>
      <c r="K3322">
        <v>1008.25</v>
      </c>
    </row>
    <row r="3323" spans="1:11">
      <c r="A3323">
        <v>3322</v>
      </c>
      <c r="B3323" t="s">
        <v>125</v>
      </c>
      <c r="C3323" s="1">
        <v>21916</v>
      </c>
      <c r="D3323">
        <v>66</v>
      </c>
      <c r="E3323" t="s">
        <v>12</v>
      </c>
      <c r="F3323" t="s">
        <v>16</v>
      </c>
      <c r="G3323" s="1">
        <v>45015</v>
      </c>
      <c r="H3323" s="1">
        <v>45294</v>
      </c>
      <c r="I3323">
        <v>23</v>
      </c>
      <c r="J3323" t="s">
        <v>25</v>
      </c>
      <c r="K3323">
        <v>7108.27</v>
      </c>
    </row>
    <row r="3324" spans="1:11">
      <c r="A3324">
        <v>3323</v>
      </c>
      <c r="B3324" t="s">
        <v>55</v>
      </c>
      <c r="C3324" s="1">
        <v>30317</v>
      </c>
      <c r="D3324">
        <v>43</v>
      </c>
      <c r="E3324" t="s">
        <v>15</v>
      </c>
      <c r="F3324" t="s">
        <v>18</v>
      </c>
      <c r="G3324" s="1">
        <v>45475</v>
      </c>
      <c r="H3324" s="1">
        <v>44948</v>
      </c>
      <c r="I3324">
        <v>6</v>
      </c>
      <c r="J3324" t="s">
        <v>25</v>
      </c>
      <c r="K3324">
        <v>5883.71</v>
      </c>
    </row>
    <row r="3325" spans="1:11">
      <c r="A3325">
        <v>3324</v>
      </c>
      <c r="B3325" t="s">
        <v>104</v>
      </c>
      <c r="C3325" s="1">
        <v>34334</v>
      </c>
      <c r="D3325">
        <v>32</v>
      </c>
      <c r="E3325" t="s">
        <v>12</v>
      </c>
      <c r="F3325" t="s">
        <v>18</v>
      </c>
      <c r="G3325" s="1">
        <v>45433</v>
      </c>
      <c r="H3325" s="1">
        <v>45243</v>
      </c>
      <c r="I3325">
        <v>20</v>
      </c>
      <c r="K3325">
        <v>7668.89</v>
      </c>
    </row>
    <row r="3326" spans="1:11">
      <c r="A3326">
        <v>3325</v>
      </c>
      <c r="B3326" t="s">
        <v>142</v>
      </c>
      <c r="C3326" s="1">
        <v>19724</v>
      </c>
      <c r="D3326">
        <v>72</v>
      </c>
      <c r="E3326" t="s">
        <v>15</v>
      </c>
      <c r="F3326" t="s">
        <v>16</v>
      </c>
      <c r="G3326" s="1">
        <v>45334</v>
      </c>
      <c r="H3326" s="1">
        <v>45685</v>
      </c>
      <c r="I3326">
        <v>37</v>
      </c>
      <c r="J3326" t="s">
        <v>19</v>
      </c>
      <c r="K3326">
        <v>18346.13</v>
      </c>
    </row>
    <row r="3327" spans="1:11">
      <c r="A3327">
        <v>3326</v>
      </c>
      <c r="B3327" t="s">
        <v>152</v>
      </c>
      <c r="C3327" s="1">
        <v>24107</v>
      </c>
      <c r="D3327">
        <v>60</v>
      </c>
      <c r="E3327" t="s">
        <v>15</v>
      </c>
      <c r="F3327" t="s">
        <v>21</v>
      </c>
      <c r="G3327" s="1">
        <v>45197</v>
      </c>
      <c r="H3327" s="1">
        <v>45017</v>
      </c>
      <c r="I3327">
        <v>-1</v>
      </c>
      <c r="J3327" t="s">
        <v>19</v>
      </c>
      <c r="K3327">
        <v>7297.56</v>
      </c>
    </row>
    <row r="3328" spans="1:11">
      <c r="A3328">
        <v>3327</v>
      </c>
      <c r="B3328" t="s">
        <v>124</v>
      </c>
      <c r="C3328" s="1">
        <v>43100</v>
      </c>
      <c r="D3328">
        <v>8</v>
      </c>
      <c r="E3328" t="s">
        <v>15</v>
      </c>
      <c r="F3328" t="s">
        <v>13</v>
      </c>
      <c r="G3328" s="1">
        <v>45450</v>
      </c>
      <c r="H3328" s="1">
        <v>45331</v>
      </c>
      <c r="I3328">
        <v>23</v>
      </c>
      <c r="J3328" t="s">
        <v>25</v>
      </c>
      <c r="K3328">
        <v>18331.23</v>
      </c>
    </row>
    <row r="3329" spans="1:11">
      <c r="A3329">
        <v>3328</v>
      </c>
      <c r="B3329" t="s">
        <v>54</v>
      </c>
      <c r="C3329" s="1">
        <v>21551</v>
      </c>
      <c r="D3329">
        <v>67</v>
      </c>
      <c r="E3329" t="s">
        <v>15</v>
      </c>
      <c r="F3329" t="s">
        <v>13</v>
      </c>
      <c r="G3329" s="1">
        <v>45420</v>
      </c>
      <c r="H3329" s="1">
        <v>45445</v>
      </c>
      <c r="I3329">
        <v>11</v>
      </c>
      <c r="K3329">
        <v>8409.11</v>
      </c>
    </row>
    <row r="3330" spans="1:11">
      <c r="A3330">
        <v>3329</v>
      </c>
      <c r="B3330" t="s">
        <v>76</v>
      </c>
      <c r="C3330" s="1">
        <v>33604</v>
      </c>
      <c r="D3330">
        <v>34</v>
      </c>
      <c r="E3330" t="s">
        <v>12</v>
      </c>
      <c r="F3330" t="s">
        <v>21</v>
      </c>
      <c r="G3330" s="1">
        <v>45533</v>
      </c>
      <c r="H3330" s="1">
        <v>45378</v>
      </c>
      <c r="I3330">
        <v>28</v>
      </c>
      <c r="K3330">
        <v>17080.849999999999</v>
      </c>
    </row>
    <row r="3331" spans="1:11">
      <c r="A3331">
        <v>3330</v>
      </c>
      <c r="B3331" t="s">
        <v>74</v>
      </c>
      <c r="C3331" s="1">
        <v>16802</v>
      </c>
      <c r="D3331">
        <v>80</v>
      </c>
      <c r="E3331" t="s">
        <v>15</v>
      </c>
      <c r="F3331" t="s">
        <v>21</v>
      </c>
      <c r="G3331" s="1">
        <v>45374</v>
      </c>
      <c r="H3331" s="1">
        <v>45705</v>
      </c>
      <c r="I3331">
        <v>23</v>
      </c>
      <c r="J3331" t="s">
        <v>23</v>
      </c>
      <c r="K3331">
        <v>10387.18</v>
      </c>
    </row>
    <row r="3332" spans="1:11">
      <c r="A3332">
        <v>3331</v>
      </c>
      <c r="B3332" t="s">
        <v>169</v>
      </c>
      <c r="C3332" s="1">
        <v>14246</v>
      </c>
      <c r="D3332">
        <v>87</v>
      </c>
      <c r="E3332" t="s">
        <v>15</v>
      </c>
      <c r="F3332" t="s">
        <v>45</v>
      </c>
      <c r="G3332" s="1">
        <v>45469</v>
      </c>
      <c r="H3332" s="1">
        <v>45536</v>
      </c>
      <c r="I3332">
        <v>16</v>
      </c>
      <c r="J3332" t="s">
        <v>25</v>
      </c>
      <c r="K3332">
        <v>6158.19</v>
      </c>
    </row>
    <row r="3333" spans="1:11">
      <c r="A3333">
        <v>3332</v>
      </c>
      <c r="B3333" t="s">
        <v>89</v>
      </c>
      <c r="C3333" s="1">
        <v>22646</v>
      </c>
      <c r="D3333">
        <v>64</v>
      </c>
      <c r="E3333" t="s">
        <v>12</v>
      </c>
      <c r="F3333" t="s">
        <v>16</v>
      </c>
      <c r="G3333" s="1">
        <v>45276</v>
      </c>
      <c r="H3333" s="1">
        <v>45077</v>
      </c>
      <c r="I3333">
        <v>35</v>
      </c>
      <c r="J3333" t="s">
        <v>23</v>
      </c>
      <c r="K3333">
        <v>8931.93</v>
      </c>
    </row>
    <row r="3334" spans="1:11">
      <c r="A3334">
        <v>3333</v>
      </c>
      <c r="B3334" t="s">
        <v>69</v>
      </c>
      <c r="C3334" s="1">
        <v>43466</v>
      </c>
      <c r="D3334">
        <v>7</v>
      </c>
      <c r="E3334" t="s">
        <v>12</v>
      </c>
      <c r="F3334" t="s">
        <v>32</v>
      </c>
      <c r="G3334" s="1">
        <v>45254</v>
      </c>
      <c r="H3334" s="1">
        <v>45373</v>
      </c>
      <c r="I3334">
        <v>2</v>
      </c>
      <c r="K3334">
        <v>8430.06</v>
      </c>
    </row>
    <row r="3335" spans="1:11">
      <c r="A3335">
        <v>3334</v>
      </c>
      <c r="B3335" t="s">
        <v>141</v>
      </c>
      <c r="C3335" s="1">
        <v>29951</v>
      </c>
      <c r="D3335">
        <v>44</v>
      </c>
      <c r="E3335" t="s">
        <v>12</v>
      </c>
      <c r="F3335" t="s">
        <v>13</v>
      </c>
      <c r="G3335" s="1">
        <v>45212</v>
      </c>
      <c r="H3335" s="1">
        <v>45007</v>
      </c>
      <c r="I3335">
        <v>3</v>
      </c>
      <c r="J3335" t="s">
        <v>25</v>
      </c>
      <c r="K3335">
        <v>5124.2700000000004</v>
      </c>
    </row>
    <row r="3336" spans="1:11">
      <c r="A3336">
        <v>3335</v>
      </c>
      <c r="B3336" t="s">
        <v>98</v>
      </c>
      <c r="C3336" s="1">
        <v>14611</v>
      </c>
      <c r="D3336">
        <v>86</v>
      </c>
      <c r="E3336" t="s">
        <v>12</v>
      </c>
      <c r="F3336" t="s">
        <v>21</v>
      </c>
      <c r="G3336" s="1">
        <v>44961</v>
      </c>
      <c r="H3336" s="1">
        <v>44944</v>
      </c>
      <c r="I3336">
        <v>32</v>
      </c>
      <c r="J3336" t="s">
        <v>19</v>
      </c>
      <c r="K3336">
        <v>5721.74</v>
      </c>
    </row>
    <row r="3337" spans="1:11">
      <c r="A3337">
        <v>3336</v>
      </c>
      <c r="B3337" t="s">
        <v>67</v>
      </c>
      <c r="C3337" s="1">
        <v>29221</v>
      </c>
      <c r="D3337">
        <v>46</v>
      </c>
      <c r="E3337" t="s">
        <v>15</v>
      </c>
      <c r="F3337" t="s">
        <v>21</v>
      </c>
      <c r="G3337" s="1">
        <v>45459</v>
      </c>
      <c r="H3337" s="1">
        <v>45065</v>
      </c>
      <c r="I3337">
        <v>13</v>
      </c>
      <c r="J3337" t="s">
        <v>19</v>
      </c>
      <c r="K3337">
        <v>3647.72</v>
      </c>
    </row>
    <row r="3338" spans="1:11">
      <c r="A3338">
        <v>3337</v>
      </c>
      <c r="B3338" t="s">
        <v>136</v>
      </c>
      <c r="C3338" s="1">
        <v>31778</v>
      </c>
      <c r="D3338">
        <v>39</v>
      </c>
      <c r="E3338" t="s">
        <v>12</v>
      </c>
      <c r="F3338" t="s">
        <v>16</v>
      </c>
      <c r="G3338" s="1">
        <v>45549</v>
      </c>
      <c r="H3338" s="1">
        <v>45579</v>
      </c>
      <c r="I3338">
        <v>28</v>
      </c>
      <c r="J3338" t="s">
        <v>23</v>
      </c>
      <c r="K3338">
        <v>6653.61</v>
      </c>
    </row>
    <row r="3339" spans="1:11">
      <c r="A3339">
        <v>3338</v>
      </c>
      <c r="B3339" t="s">
        <v>75</v>
      </c>
      <c r="C3339" s="1">
        <v>18629</v>
      </c>
      <c r="D3339">
        <v>75</v>
      </c>
      <c r="E3339" t="s">
        <v>12</v>
      </c>
      <c r="G3339" s="1">
        <v>45414</v>
      </c>
      <c r="H3339" s="1">
        <v>45778</v>
      </c>
      <c r="I3339">
        <v>15</v>
      </c>
      <c r="J3339" t="s">
        <v>25</v>
      </c>
      <c r="K3339">
        <v>12450.56</v>
      </c>
    </row>
    <row r="3340" spans="1:11">
      <c r="A3340">
        <v>3339</v>
      </c>
      <c r="B3340" t="s">
        <v>157</v>
      </c>
      <c r="C3340" s="1">
        <v>26664</v>
      </c>
      <c r="D3340">
        <v>53</v>
      </c>
      <c r="E3340" t="s">
        <v>12</v>
      </c>
      <c r="F3340" t="s">
        <v>32</v>
      </c>
      <c r="G3340" s="1">
        <v>45413</v>
      </c>
      <c r="H3340" s="1">
        <v>45435</v>
      </c>
      <c r="I3340">
        <v>11</v>
      </c>
      <c r="K3340">
        <v>7669.82</v>
      </c>
    </row>
    <row r="3341" spans="1:11">
      <c r="A3341">
        <v>3340</v>
      </c>
      <c r="B3341" t="s">
        <v>37</v>
      </c>
      <c r="C3341" s="1">
        <v>18629</v>
      </c>
      <c r="D3341">
        <v>75</v>
      </c>
      <c r="E3341" t="s">
        <v>12</v>
      </c>
      <c r="F3341" t="s">
        <v>21</v>
      </c>
      <c r="G3341" s="1">
        <v>45071</v>
      </c>
      <c r="H3341" s="1">
        <v>45479</v>
      </c>
      <c r="I3341">
        <v>22</v>
      </c>
      <c r="J3341" t="s">
        <v>23</v>
      </c>
      <c r="K3341">
        <v>14217.7</v>
      </c>
    </row>
    <row r="3342" spans="1:11">
      <c r="A3342">
        <v>3341</v>
      </c>
      <c r="B3342" t="s">
        <v>82</v>
      </c>
      <c r="C3342" s="1">
        <v>29586</v>
      </c>
      <c r="D3342">
        <v>45</v>
      </c>
      <c r="E3342" t="s">
        <v>15</v>
      </c>
      <c r="G3342" s="1">
        <v>45450</v>
      </c>
      <c r="H3342" s="1">
        <v>45607</v>
      </c>
      <c r="I3342">
        <v>12</v>
      </c>
      <c r="J3342" t="s">
        <v>19</v>
      </c>
      <c r="K3342">
        <v>19738.259999999998</v>
      </c>
    </row>
    <row r="3343" spans="1:11">
      <c r="A3343">
        <v>3342</v>
      </c>
      <c r="B3343" t="s">
        <v>28</v>
      </c>
      <c r="C3343" s="1">
        <v>29221</v>
      </c>
      <c r="D3343">
        <v>46</v>
      </c>
      <c r="E3343" t="s">
        <v>12</v>
      </c>
      <c r="F3343" t="s">
        <v>45</v>
      </c>
      <c r="G3343" s="1">
        <v>45072</v>
      </c>
      <c r="H3343" s="1">
        <v>45001</v>
      </c>
      <c r="I3343">
        <v>23</v>
      </c>
      <c r="K3343">
        <v>7479.73</v>
      </c>
    </row>
    <row r="3344" spans="1:11">
      <c r="A3344">
        <v>3343</v>
      </c>
      <c r="B3344" t="s">
        <v>154</v>
      </c>
      <c r="C3344" s="1">
        <v>40909</v>
      </c>
      <c r="D3344">
        <v>14</v>
      </c>
      <c r="E3344" t="s">
        <v>15</v>
      </c>
      <c r="F3344" t="s">
        <v>32</v>
      </c>
      <c r="G3344" s="1">
        <v>45429</v>
      </c>
      <c r="H3344" s="1">
        <v>45001</v>
      </c>
      <c r="I3344">
        <v>33</v>
      </c>
      <c r="J3344" t="s">
        <v>25</v>
      </c>
      <c r="K3344">
        <v>9199.0499999999993</v>
      </c>
    </row>
    <row r="3345" spans="1:11">
      <c r="A3345">
        <v>3344</v>
      </c>
      <c r="B3345" t="s">
        <v>151</v>
      </c>
      <c r="C3345" s="1">
        <v>39448</v>
      </c>
      <c r="D3345">
        <v>18</v>
      </c>
      <c r="E3345" t="s">
        <v>15</v>
      </c>
      <c r="G3345" s="1">
        <v>45530</v>
      </c>
      <c r="H3345" s="1">
        <v>44977</v>
      </c>
      <c r="I3345">
        <v>8</v>
      </c>
      <c r="J3345" t="s">
        <v>19</v>
      </c>
      <c r="K3345">
        <v>3198.61</v>
      </c>
    </row>
    <row r="3346" spans="1:11">
      <c r="A3346">
        <v>3345</v>
      </c>
      <c r="B3346" t="s">
        <v>98</v>
      </c>
      <c r="C3346" s="1">
        <v>36891</v>
      </c>
      <c r="D3346">
        <v>25</v>
      </c>
      <c r="E3346" t="s">
        <v>15</v>
      </c>
      <c r="F3346" t="s">
        <v>45</v>
      </c>
      <c r="G3346" s="1">
        <v>45553</v>
      </c>
      <c r="H3346" s="1">
        <v>44937</v>
      </c>
      <c r="I3346">
        <v>34</v>
      </c>
      <c r="K3346">
        <v>7783.53</v>
      </c>
    </row>
    <row r="3347" spans="1:11">
      <c r="A3347">
        <v>3346</v>
      </c>
      <c r="B3347" t="s">
        <v>126</v>
      </c>
      <c r="C3347" s="1">
        <v>27395</v>
      </c>
      <c r="D3347">
        <v>51</v>
      </c>
      <c r="E3347" t="s">
        <v>12</v>
      </c>
      <c r="F3347" t="s">
        <v>18</v>
      </c>
      <c r="G3347" s="1">
        <v>45453</v>
      </c>
      <c r="H3347" s="1">
        <v>45030</v>
      </c>
      <c r="I3347">
        <v>38</v>
      </c>
      <c r="J3347" t="s">
        <v>19</v>
      </c>
      <c r="K3347">
        <v>14509.33</v>
      </c>
    </row>
    <row r="3348" spans="1:11">
      <c r="A3348">
        <v>3347</v>
      </c>
      <c r="B3348" t="s">
        <v>54</v>
      </c>
      <c r="C3348" s="1">
        <v>12419</v>
      </c>
      <c r="D3348">
        <v>92</v>
      </c>
      <c r="E3348" t="s">
        <v>15</v>
      </c>
      <c r="F3348" t="s">
        <v>13</v>
      </c>
      <c r="G3348" s="1">
        <v>45198</v>
      </c>
      <c r="H3348" s="1">
        <v>45789</v>
      </c>
      <c r="I3348">
        <v>34</v>
      </c>
      <c r="J3348" t="s">
        <v>25</v>
      </c>
      <c r="K3348">
        <v>4269.84</v>
      </c>
    </row>
    <row r="3349" spans="1:11">
      <c r="A3349">
        <v>3348</v>
      </c>
      <c r="B3349" t="s">
        <v>135</v>
      </c>
      <c r="C3349" s="1">
        <v>38352</v>
      </c>
      <c r="D3349">
        <v>21</v>
      </c>
      <c r="E3349" t="s">
        <v>12</v>
      </c>
      <c r="F3349" t="s">
        <v>21</v>
      </c>
      <c r="G3349" s="1">
        <v>45460</v>
      </c>
      <c r="H3349" s="1">
        <v>45315</v>
      </c>
      <c r="I3349">
        <v>4</v>
      </c>
      <c r="J3349" t="s">
        <v>23</v>
      </c>
      <c r="K3349">
        <v>3559.29</v>
      </c>
    </row>
    <row r="3350" spans="1:11">
      <c r="A3350">
        <v>3349</v>
      </c>
      <c r="B3350" t="s">
        <v>64</v>
      </c>
      <c r="C3350" s="1">
        <v>38717</v>
      </c>
      <c r="D3350">
        <v>20</v>
      </c>
      <c r="E3350" t="s">
        <v>15</v>
      </c>
      <c r="G3350" s="1">
        <v>45556</v>
      </c>
      <c r="H3350" s="1">
        <v>45312</v>
      </c>
      <c r="I3350">
        <v>15</v>
      </c>
      <c r="K3350">
        <v>7465.13</v>
      </c>
    </row>
    <row r="3351" spans="1:11">
      <c r="A3351">
        <v>3350</v>
      </c>
      <c r="B3351" t="s">
        <v>71</v>
      </c>
      <c r="C3351" s="1">
        <v>27760</v>
      </c>
      <c r="D3351">
        <v>50</v>
      </c>
      <c r="E3351" t="s">
        <v>12</v>
      </c>
      <c r="F3351" t="s">
        <v>32</v>
      </c>
      <c r="G3351" s="1">
        <v>45021</v>
      </c>
      <c r="H3351" s="1">
        <v>45226</v>
      </c>
      <c r="I3351">
        <v>17</v>
      </c>
      <c r="K3351">
        <v>16354.85</v>
      </c>
    </row>
    <row r="3352" spans="1:11">
      <c r="A3352">
        <v>3351</v>
      </c>
      <c r="B3352" t="s">
        <v>149</v>
      </c>
      <c r="C3352" s="1">
        <v>32508</v>
      </c>
      <c r="D3352">
        <v>37</v>
      </c>
      <c r="E3352" t="s">
        <v>15</v>
      </c>
      <c r="F3352" t="s">
        <v>45</v>
      </c>
      <c r="G3352" s="1">
        <v>45373</v>
      </c>
      <c r="H3352" s="1">
        <v>45266</v>
      </c>
      <c r="I3352">
        <v>-1</v>
      </c>
      <c r="J3352" t="s">
        <v>25</v>
      </c>
      <c r="K3352">
        <v>12435.51</v>
      </c>
    </row>
    <row r="3353" spans="1:11">
      <c r="A3353">
        <v>3352</v>
      </c>
      <c r="B3353" t="s">
        <v>112</v>
      </c>
      <c r="C3353" s="1">
        <v>39083</v>
      </c>
      <c r="D3353">
        <v>19</v>
      </c>
      <c r="E3353" t="s">
        <v>12</v>
      </c>
      <c r="F3353" t="s">
        <v>13</v>
      </c>
      <c r="G3353" s="1">
        <v>45341</v>
      </c>
      <c r="H3353" s="1">
        <v>45316</v>
      </c>
      <c r="I3353">
        <v>23</v>
      </c>
      <c r="J3353" t="s">
        <v>19</v>
      </c>
      <c r="K3353">
        <v>19147.349999999999</v>
      </c>
    </row>
    <row r="3354" spans="1:11">
      <c r="A3354">
        <v>3353</v>
      </c>
      <c r="B3354" t="s">
        <v>107</v>
      </c>
      <c r="C3354" s="1">
        <v>35795</v>
      </c>
      <c r="D3354">
        <v>28</v>
      </c>
      <c r="E3354" t="s">
        <v>12</v>
      </c>
      <c r="F3354" t="s">
        <v>13</v>
      </c>
      <c r="G3354" s="1">
        <v>45183</v>
      </c>
      <c r="H3354" s="1">
        <v>45401</v>
      </c>
      <c r="I3354">
        <v>20</v>
      </c>
      <c r="J3354" t="s">
        <v>19</v>
      </c>
      <c r="K3354">
        <v>18081.259999999998</v>
      </c>
    </row>
    <row r="3355" spans="1:11">
      <c r="A3355">
        <v>3354</v>
      </c>
      <c r="B3355" t="s">
        <v>28</v>
      </c>
      <c r="C3355" s="1">
        <v>27760</v>
      </c>
      <c r="D3355">
        <v>50</v>
      </c>
      <c r="E3355" t="s">
        <v>15</v>
      </c>
      <c r="F3355" t="s">
        <v>21</v>
      </c>
      <c r="G3355" s="1">
        <v>45188</v>
      </c>
      <c r="H3355" s="1">
        <v>45543</v>
      </c>
      <c r="I3355">
        <v>29</v>
      </c>
      <c r="J3355" t="s">
        <v>19</v>
      </c>
      <c r="K3355">
        <v>2937.86</v>
      </c>
    </row>
    <row r="3356" spans="1:11">
      <c r="A3356">
        <v>3355</v>
      </c>
      <c r="B3356" t="s">
        <v>155</v>
      </c>
      <c r="C3356" s="1">
        <v>44927</v>
      </c>
      <c r="D3356">
        <v>3</v>
      </c>
      <c r="E3356" t="s">
        <v>15</v>
      </c>
      <c r="G3356" s="1">
        <v>45013</v>
      </c>
      <c r="H3356" s="1">
        <v>45729</v>
      </c>
      <c r="I3356">
        <v>10</v>
      </c>
      <c r="K3356">
        <v>755.31</v>
      </c>
    </row>
    <row r="3357" spans="1:11">
      <c r="A3357">
        <v>3356</v>
      </c>
      <c r="B3357" t="s">
        <v>56</v>
      </c>
      <c r="C3357" s="1">
        <v>26299</v>
      </c>
      <c r="D3357">
        <v>54</v>
      </c>
      <c r="E3357" t="s">
        <v>12</v>
      </c>
      <c r="F3357" t="s">
        <v>13</v>
      </c>
      <c r="G3357" s="1">
        <v>45362</v>
      </c>
      <c r="H3357" s="1">
        <v>45719</v>
      </c>
      <c r="I3357">
        <v>10</v>
      </c>
      <c r="K3357">
        <v>7921.8</v>
      </c>
    </row>
    <row r="3358" spans="1:11">
      <c r="A3358">
        <v>3357</v>
      </c>
      <c r="B3358" t="s">
        <v>112</v>
      </c>
      <c r="C3358" s="1">
        <v>20455</v>
      </c>
      <c r="D3358">
        <v>70</v>
      </c>
      <c r="E3358" t="s">
        <v>12</v>
      </c>
      <c r="F3358" t="s">
        <v>21</v>
      </c>
      <c r="G3358" s="1">
        <v>45496</v>
      </c>
      <c r="H3358" s="1">
        <v>45069</v>
      </c>
      <c r="I3358">
        <v>14</v>
      </c>
      <c r="J3358" t="s">
        <v>19</v>
      </c>
      <c r="K3358">
        <v>10393.799999999999</v>
      </c>
    </row>
    <row r="3359" spans="1:11">
      <c r="A3359">
        <v>3358</v>
      </c>
      <c r="B3359" t="s">
        <v>161</v>
      </c>
      <c r="C3359" s="1">
        <v>12785</v>
      </c>
      <c r="D3359">
        <v>91</v>
      </c>
      <c r="E3359" t="s">
        <v>12</v>
      </c>
      <c r="G3359" s="1">
        <v>45034</v>
      </c>
      <c r="H3359" s="1">
        <v>45736</v>
      </c>
      <c r="I3359">
        <v>22</v>
      </c>
      <c r="K3359">
        <v>10262.969999999999</v>
      </c>
    </row>
    <row r="3360" spans="1:11">
      <c r="A3360">
        <v>3359</v>
      </c>
      <c r="B3360" t="s">
        <v>86</v>
      </c>
      <c r="C3360" s="1">
        <v>36161</v>
      </c>
      <c r="D3360">
        <v>27</v>
      </c>
      <c r="E3360" t="s">
        <v>15</v>
      </c>
      <c r="G3360" s="1">
        <v>44945</v>
      </c>
      <c r="H3360" s="1">
        <v>45097</v>
      </c>
      <c r="I3360">
        <v>19</v>
      </c>
      <c r="J3360" t="s">
        <v>23</v>
      </c>
      <c r="K3360">
        <v>2595.56</v>
      </c>
    </row>
    <row r="3361" spans="1:11">
      <c r="A3361">
        <v>3360</v>
      </c>
      <c r="B3361" t="s">
        <v>130</v>
      </c>
      <c r="C3361" s="1">
        <v>44927</v>
      </c>
      <c r="D3361">
        <v>3</v>
      </c>
      <c r="E3361" t="s">
        <v>12</v>
      </c>
      <c r="F3361" t="s">
        <v>18</v>
      </c>
      <c r="G3361" s="1">
        <v>45291</v>
      </c>
      <c r="H3361" s="1">
        <v>44940</v>
      </c>
      <c r="I3361">
        <v>24</v>
      </c>
      <c r="J3361" t="s">
        <v>25</v>
      </c>
      <c r="K3361">
        <v>2408.83</v>
      </c>
    </row>
    <row r="3362" spans="1:11">
      <c r="A3362">
        <v>3361</v>
      </c>
      <c r="B3362" t="s">
        <v>108</v>
      </c>
      <c r="C3362" s="1">
        <v>38352</v>
      </c>
      <c r="D3362">
        <v>21</v>
      </c>
      <c r="E3362" t="s">
        <v>15</v>
      </c>
      <c r="F3362" t="s">
        <v>21</v>
      </c>
      <c r="G3362" s="1">
        <v>45579</v>
      </c>
      <c r="H3362" s="1">
        <v>45596</v>
      </c>
      <c r="I3362">
        <v>14</v>
      </c>
      <c r="J3362" t="s">
        <v>25</v>
      </c>
      <c r="K3362">
        <v>841.9</v>
      </c>
    </row>
    <row r="3363" spans="1:11">
      <c r="A3363">
        <v>3362</v>
      </c>
      <c r="B3363" t="s">
        <v>35</v>
      </c>
      <c r="C3363" s="1">
        <v>18629</v>
      </c>
      <c r="D3363">
        <v>75</v>
      </c>
      <c r="E3363" t="s">
        <v>12</v>
      </c>
      <c r="F3363" t="s">
        <v>16</v>
      </c>
      <c r="G3363" s="1">
        <v>45305</v>
      </c>
      <c r="H3363" s="1">
        <v>45376</v>
      </c>
      <c r="I3363">
        <v>23</v>
      </c>
      <c r="K3363">
        <v>17002.28</v>
      </c>
    </row>
    <row r="3364" spans="1:11">
      <c r="A3364">
        <v>3363</v>
      </c>
      <c r="B3364" t="s">
        <v>136</v>
      </c>
      <c r="C3364" s="1">
        <v>29951</v>
      </c>
      <c r="D3364">
        <v>44</v>
      </c>
      <c r="E3364" t="s">
        <v>12</v>
      </c>
      <c r="F3364" t="s">
        <v>45</v>
      </c>
      <c r="G3364" s="1">
        <v>45086</v>
      </c>
      <c r="H3364" s="1">
        <v>45101</v>
      </c>
      <c r="I3364">
        <v>35</v>
      </c>
      <c r="J3364" t="s">
        <v>23</v>
      </c>
      <c r="K3364">
        <v>18949.66</v>
      </c>
    </row>
    <row r="3365" spans="1:11">
      <c r="A3365">
        <v>3364</v>
      </c>
      <c r="B3365" t="s">
        <v>148</v>
      </c>
      <c r="C3365" s="1">
        <v>21916</v>
      </c>
      <c r="D3365">
        <v>66</v>
      </c>
      <c r="E3365" t="s">
        <v>15</v>
      </c>
      <c r="F3365" t="s">
        <v>16</v>
      </c>
      <c r="G3365" s="1">
        <v>45026</v>
      </c>
      <c r="H3365" s="1">
        <v>45601</v>
      </c>
      <c r="I3365">
        <v>11</v>
      </c>
      <c r="J3365" t="s">
        <v>23</v>
      </c>
      <c r="K3365">
        <v>2225.27</v>
      </c>
    </row>
    <row r="3366" spans="1:11">
      <c r="A3366">
        <v>3365</v>
      </c>
      <c r="B3366" t="s">
        <v>33</v>
      </c>
      <c r="C3366" s="1">
        <v>14976</v>
      </c>
      <c r="D3366">
        <v>85</v>
      </c>
      <c r="E3366" t="s">
        <v>12</v>
      </c>
      <c r="G3366" s="1">
        <v>45191</v>
      </c>
      <c r="H3366" s="1">
        <v>45059</v>
      </c>
      <c r="I3366">
        <v>11</v>
      </c>
      <c r="J3366" t="s">
        <v>19</v>
      </c>
      <c r="K3366">
        <v>4183.76</v>
      </c>
    </row>
    <row r="3367" spans="1:11">
      <c r="A3367">
        <v>3366</v>
      </c>
      <c r="B3367" t="s">
        <v>93</v>
      </c>
      <c r="C3367" s="1">
        <v>22281</v>
      </c>
      <c r="D3367">
        <v>65</v>
      </c>
      <c r="E3367" t="s">
        <v>12</v>
      </c>
      <c r="G3367" s="1">
        <v>44975</v>
      </c>
      <c r="H3367" s="1">
        <v>45467</v>
      </c>
      <c r="I3367">
        <v>9</v>
      </c>
      <c r="J3367" t="s">
        <v>25</v>
      </c>
      <c r="K3367">
        <v>1706.24</v>
      </c>
    </row>
    <row r="3368" spans="1:11">
      <c r="A3368">
        <v>3367</v>
      </c>
      <c r="B3368" t="s">
        <v>70</v>
      </c>
      <c r="C3368" s="1">
        <v>14246</v>
      </c>
      <c r="D3368">
        <v>87</v>
      </c>
      <c r="E3368" t="s">
        <v>12</v>
      </c>
      <c r="F3368" t="s">
        <v>13</v>
      </c>
      <c r="G3368" s="1">
        <v>45603</v>
      </c>
      <c r="H3368" s="1">
        <v>45522</v>
      </c>
      <c r="I3368">
        <v>2</v>
      </c>
      <c r="J3368" t="s">
        <v>25</v>
      </c>
      <c r="K3368">
        <v>17537.79</v>
      </c>
    </row>
    <row r="3369" spans="1:11">
      <c r="A3369">
        <v>3368</v>
      </c>
      <c r="B3369" t="s">
        <v>35</v>
      </c>
      <c r="C3369" s="1">
        <v>33969</v>
      </c>
      <c r="D3369">
        <v>33</v>
      </c>
      <c r="E3369" t="s">
        <v>15</v>
      </c>
      <c r="F3369" t="s">
        <v>13</v>
      </c>
      <c r="G3369" s="1">
        <v>45341</v>
      </c>
      <c r="H3369" s="1">
        <v>45824</v>
      </c>
      <c r="I3369">
        <v>34</v>
      </c>
      <c r="J3369" t="s">
        <v>25</v>
      </c>
      <c r="K3369">
        <v>19170.05</v>
      </c>
    </row>
    <row r="3370" spans="1:11">
      <c r="A3370">
        <v>3369</v>
      </c>
      <c r="B3370" t="s">
        <v>60</v>
      </c>
      <c r="C3370" s="1">
        <v>13150</v>
      </c>
      <c r="D3370">
        <v>90</v>
      </c>
      <c r="E3370" t="s">
        <v>15</v>
      </c>
      <c r="F3370" t="s">
        <v>13</v>
      </c>
      <c r="G3370" s="1">
        <v>44985</v>
      </c>
      <c r="H3370" s="1">
        <v>45802</v>
      </c>
      <c r="I3370">
        <v>1</v>
      </c>
      <c r="K3370">
        <v>5162.1099999999997</v>
      </c>
    </row>
    <row r="3371" spans="1:11">
      <c r="A3371">
        <v>3370</v>
      </c>
      <c r="B3371" t="s">
        <v>136</v>
      </c>
      <c r="C3371" s="1">
        <v>26299</v>
      </c>
      <c r="D3371">
        <v>54</v>
      </c>
      <c r="E3371" t="s">
        <v>12</v>
      </c>
      <c r="G3371" s="1">
        <v>45109</v>
      </c>
      <c r="H3371" s="1">
        <v>45196</v>
      </c>
      <c r="I3371">
        <v>26</v>
      </c>
      <c r="J3371" t="s">
        <v>23</v>
      </c>
      <c r="K3371">
        <v>6002.03</v>
      </c>
    </row>
    <row r="3372" spans="1:11">
      <c r="A3372">
        <v>3371</v>
      </c>
      <c r="B3372" t="s">
        <v>60</v>
      </c>
      <c r="C3372" s="1">
        <v>46022</v>
      </c>
      <c r="D3372">
        <v>0</v>
      </c>
      <c r="E3372" t="s">
        <v>15</v>
      </c>
      <c r="F3372" t="s">
        <v>21</v>
      </c>
      <c r="G3372" s="1">
        <v>45585</v>
      </c>
      <c r="H3372" s="1">
        <v>45178</v>
      </c>
      <c r="I3372">
        <v>22</v>
      </c>
      <c r="J3372" t="s">
        <v>19</v>
      </c>
      <c r="K3372">
        <v>7189.66</v>
      </c>
    </row>
    <row r="3373" spans="1:11">
      <c r="A3373">
        <v>3372</v>
      </c>
      <c r="B3373" t="s">
        <v>108</v>
      </c>
      <c r="C3373" s="1">
        <v>20090</v>
      </c>
      <c r="D3373">
        <v>71</v>
      </c>
      <c r="E3373" t="s">
        <v>15</v>
      </c>
      <c r="F3373" t="s">
        <v>32</v>
      </c>
      <c r="G3373" s="1">
        <v>45373</v>
      </c>
      <c r="H3373" s="1">
        <v>45297</v>
      </c>
      <c r="I3373">
        <v>1</v>
      </c>
      <c r="K3373">
        <v>9999.52</v>
      </c>
    </row>
    <row r="3374" spans="1:11">
      <c r="A3374">
        <v>3373</v>
      </c>
      <c r="B3374" t="s">
        <v>162</v>
      </c>
      <c r="C3374" s="1">
        <v>14611</v>
      </c>
      <c r="D3374">
        <v>86</v>
      </c>
      <c r="F3374" t="s">
        <v>21</v>
      </c>
      <c r="G3374" s="1">
        <v>45227</v>
      </c>
      <c r="H3374" s="1">
        <v>45545</v>
      </c>
      <c r="I3374">
        <v>13</v>
      </c>
      <c r="J3374" t="s">
        <v>19</v>
      </c>
      <c r="K3374">
        <v>13617.47</v>
      </c>
    </row>
    <row r="3375" spans="1:11">
      <c r="A3375">
        <v>3374</v>
      </c>
      <c r="B3375" t="s">
        <v>72</v>
      </c>
      <c r="C3375" s="1">
        <v>32508</v>
      </c>
      <c r="D3375">
        <v>37</v>
      </c>
      <c r="E3375" t="s">
        <v>15</v>
      </c>
      <c r="F3375" t="s">
        <v>45</v>
      </c>
      <c r="G3375" s="1">
        <v>45534</v>
      </c>
      <c r="H3375" s="1">
        <v>45700</v>
      </c>
      <c r="I3375">
        <v>-1</v>
      </c>
      <c r="K3375">
        <v>10038.25</v>
      </c>
    </row>
    <row r="3376" spans="1:11">
      <c r="A3376">
        <v>3375</v>
      </c>
      <c r="B3376" t="s">
        <v>125</v>
      </c>
      <c r="C3376" s="1">
        <v>44196</v>
      </c>
      <c r="D3376">
        <v>5</v>
      </c>
      <c r="F3376" t="s">
        <v>21</v>
      </c>
      <c r="G3376" s="1">
        <v>45481</v>
      </c>
      <c r="H3376" s="1">
        <v>45792</v>
      </c>
      <c r="I3376">
        <v>20</v>
      </c>
      <c r="J3376" t="s">
        <v>25</v>
      </c>
      <c r="K3376">
        <v>19015.13</v>
      </c>
    </row>
    <row r="3377" spans="1:11">
      <c r="A3377">
        <v>3376</v>
      </c>
      <c r="B3377" t="s">
        <v>26</v>
      </c>
      <c r="C3377" s="1">
        <v>14976</v>
      </c>
      <c r="D3377">
        <v>85</v>
      </c>
      <c r="E3377" t="s">
        <v>15</v>
      </c>
      <c r="F3377" t="s">
        <v>13</v>
      </c>
      <c r="G3377" s="1">
        <v>45280</v>
      </c>
      <c r="H3377" s="1">
        <v>45453</v>
      </c>
      <c r="I3377">
        <v>1</v>
      </c>
      <c r="J3377" t="s">
        <v>19</v>
      </c>
      <c r="K3377">
        <v>1907.86</v>
      </c>
    </row>
    <row r="3378" spans="1:11">
      <c r="A3378">
        <v>3377</v>
      </c>
      <c r="B3378" t="s">
        <v>142</v>
      </c>
      <c r="C3378" s="1">
        <v>37256</v>
      </c>
      <c r="D3378">
        <v>24</v>
      </c>
      <c r="E3378" t="s">
        <v>15</v>
      </c>
      <c r="F3378" t="s">
        <v>18</v>
      </c>
      <c r="G3378" s="1">
        <v>45139</v>
      </c>
      <c r="H3378" s="1">
        <v>45519</v>
      </c>
      <c r="I3378">
        <v>17</v>
      </c>
      <c r="J3378" t="s">
        <v>23</v>
      </c>
      <c r="K3378">
        <v>15951.97</v>
      </c>
    </row>
    <row r="3379" spans="1:11">
      <c r="A3379">
        <v>3378</v>
      </c>
      <c r="B3379" t="s">
        <v>58</v>
      </c>
      <c r="C3379" s="1">
        <v>16437</v>
      </c>
      <c r="D3379">
        <v>81</v>
      </c>
      <c r="E3379" t="s">
        <v>12</v>
      </c>
      <c r="F3379" t="s">
        <v>45</v>
      </c>
      <c r="G3379" s="1">
        <v>45115</v>
      </c>
      <c r="H3379" s="1">
        <v>45815</v>
      </c>
      <c r="I3379">
        <v>14</v>
      </c>
      <c r="J3379" t="s">
        <v>23</v>
      </c>
      <c r="K3379">
        <v>6623.11</v>
      </c>
    </row>
    <row r="3380" spans="1:11">
      <c r="A3380">
        <v>3379</v>
      </c>
      <c r="B3380" t="s">
        <v>137</v>
      </c>
      <c r="C3380" s="1">
        <v>40178</v>
      </c>
      <c r="D3380">
        <v>16</v>
      </c>
      <c r="E3380" t="s">
        <v>12</v>
      </c>
      <c r="F3380" t="s">
        <v>16</v>
      </c>
      <c r="G3380" s="1">
        <v>45569</v>
      </c>
      <c r="H3380" s="1">
        <v>45433</v>
      </c>
      <c r="I3380">
        <v>3</v>
      </c>
      <c r="K3380">
        <v>7488.71</v>
      </c>
    </row>
    <row r="3381" spans="1:11">
      <c r="A3381">
        <v>3380</v>
      </c>
      <c r="B3381" t="s">
        <v>112</v>
      </c>
      <c r="C3381" s="1">
        <v>24107</v>
      </c>
      <c r="D3381">
        <v>60</v>
      </c>
      <c r="E3381" t="s">
        <v>12</v>
      </c>
      <c r="F3381" t="s">
        <v>18</v>
      </c>
      <c r="G3381" s="1">
        <v>45273</v>
      </c>
      <c r="H3381" s="1">
        <v>45599</v>
      </c>
      <c r="I3381">
        <v>15</v>
      </c>
      <c r="J3381" t="s">
        <v>25</v>
      </c>
      <c r="K3381">
        <v>14147.47</v>
      </c>
    </row>
    <row r="3382" spans="1:11">
      <c r="A3382">
        <v>3381</v>
      </c>
      <c r="B3382" t="s">
        <v>42</v>
      </c>
      <c r="C3382" s="1">
        <v>42005</v>
      </c>
      <c r="D3382">
        <v>11</v>
      </c>
      <c r="E3382" t="s">
        <v>12</v>
      </c>
      <c r="F3382" t="s">
        <v>45</v>
      </c>
      <c r="G3382" s="1">
        <v>45063</v>
      </c>
      <c r="H3382" s="1">
        <v>45105</v>
      </c>
      <c r="I3382">
        <v>17</v>
      </c>
      <c r="K3382">
        <v>18580.48</v>
      </c>
    </row>
    <row r="3383" spans="1:11">
      <c r="A3383">
        <v>3382</v>
      </c>
      <c r="B3383" t="s">
        <v>123</v>
      </c>
      <c r="C3383" s="1">
        <v>44196</v>
      </c>
      <c r="D3383">
        <v>5</v>
      </c>
      <c r="E3383" t="s">
        <v>12</v>
      </c>
      <c r="F3383" t="s">
        <v>45</v>
      </c>
      <c r="G3383" s="1">
        <v>44956</v>
      </c>
      <c r="H3383" s="1">
        <v>45594</v>
      </c>
      <c r="I3383">
        <v>36</v>
      </c>
      <c r="J3383" t="s">
        <v>19</v>
      </c>
      <c r="K3383">
        <v>14295.64</v>
      </c>
    </row>
    <row r="3384" spans="1:11">
      <c r="A3384">
        <v>3383</v>
      </c>
      <c r="B3384" t="s">
        <v>109</v>
      </c>
      <c r="C3384" s="1">
        <v>13515</v>
      </c>
      <c r="D3384">
        <v>89</v>
      </c>
      <c r="E3384" t="s">
        <v>15</v>
      </c>
      <c r="G3384" s="1">
        <v>45072</v>
      </c>
      <c r="H3384" s="1">
        <v>45474</v>
      </c>
      <c r="I3384">
        <v>38</v>
      </c>
      <c r="J3384" t="s">
        <v>23</v>
      </c>
      <c r="K3384">
        <v>15494.8</v>
      </c>
    </row>
    <row r="3385" spans="1:11">
      <c r="A3385">
        <v>3384</v>
      </c>
      <c r="B3385" t="s">
        <v>123</v>
      </c>
      <c r="C3385" s="1">
        <v>36526</v>
      </c>
      <c r="D3385">
        <v>26</v>
      </c>
      <c r="E3385" t="s">
        <v>15</v>
      </c>
      <c r="F3385" t="s">
        <v>13</v>
      </c>
      <c r="G3385" s="1">
        <v>45394</v>
      </c>
      <c r="H3385" s="1">
        <v>45186</v>
      </c>
      <c r="I3385">
        <v>31</v>
      </c>
      <c r="J3385" t="s">
        <v>23</v>
      </c>
      <c r="K3385">
        <v>14990.66</v>
      </c>
    </row>
    <row r="3386" spans="1:11">
      <c r="A3386">
        <v>3385</v>
      </c>
      <c r="B3386" t="s">
        <v>166</v>
      </c>
      <c r="C3386" s="1">
        <v>43466</v>
      </c>
      <c r="D3386">
        <v>7</v>
      </c>
      <c r="E3386" t="s">
        <v>15</v>
      </c>
      <c r="G3386" s="1">
        <v>45543</v>
      </c>
      <c r="H3386" s="1">
        <v>45187</v>
      </c>
      <c r="I3386">
        <v>37</v>
      </c>
      <c r="J3386" t="s">
        <v>23</v>
      </c>
      <c r="K3386">
        <v>6351.67</v>
      </c>
    </row>
    <row r="3387" spans="1:11">
      <c r="A3387">
        <v>3386</v>
      </c>
      <c r="B3387" t="s">
        <v>53</v>
      </c>
      <c r="C3387" s="1">
        <v>16072</v>
      </c>
      <c r="D3387">
        <v>82</v>
      </c>
      <c r="E3387" t="s">
        <v>12</v>
      </c>
      <c r="F3387" t="s">
        <v>16</v>
      </c>
      <c r="G3387" s="1">
        <v>45429</v>
      </c>
      <c r="H3387" s="1">
        <v>45062</v>
      </c>
      <c r="I3387">
        <v>21</v>
      </c>
      <c r="J3387" t="s">
        <v>23</v>
      </c>
      <c r="K3387">
        <v>15114.3</v>
      </c>
    </row>
    <row r="3388" spans="1:11">
      <c r="A3388">
        <v>3387</v>
      </c>
      <c r="B3388" t="s">
        <v>87</v>
      </c>
      <c r="C3388" s="1">
        <v>22646</v>
      </c>
      <c r="D3388">
        <v>64</v>
      </c>
      <c r="E3388" t="s">
        <v>15</v>
      </c>
      <c r="F3388" t="s">
        <v>21</v>
      </c>
      <c r="G3388" s="1">
        <v>45117</v>
      </c>
      <c r="H3388" s="1">
        <v>45388</v>
      </c>
      <c r="I3388">
        <v>15</v>
      </c>
      <c r="J3388" t="s">
        <v>19</v>
      </c>
      <c r="K3388">
        <v>15668.87</v>
      </c>
    </row>
    <row r="3389" spans="1:11">
      <c r="A3389">
        <v>3388</v>
      </c>
      <c r="B3389" t="s">
        <v>40</v>
      </c>
      <c r="C3389" s="1">
        <v>25568</v>
      </c>
      <c r="D3389">
        <v>56</v>
      </c>
      <c r="E3389" t="s">
        <v>15</v>
      </c>
      <c r="G3389" s="1">
        <v>45397</v>
      </c>
      <c r="H3389" s="1">
        <v>45416</v>
      </c>
      <c r="I3389">
        <v>27</v>
      </c>
      <c r="J3389" t="s">
        <v>23</v>
      </c>
      <c r="K3389">
        <v>10621.35</v>
      </c>
    </row>
    <row r="3390" spans="1:11">
      <c r="A3390">
        <v>3389</v>
      </c>
      <c r="B3390" t="s">
        <v>89</v>
      </c>
      <c r="C3390" s="1">
        <v>12419</v>
      </c>
      <c r="D3390">
        <v>92</v>
      </c>
      <c r="E3390" t="s">
        <v>15</v>
      </c>
      <c r="F3390" t="s">
        <v>16</v>
      </c>
      <c r="G3390" s="1">
        <v>45616</v>
      </c>
      <c r="H3390" s="1">
        <v>45570</v>
      </c>
      <c r="I3390">
        <v>-2</v>
      </c>
      <c r="K3390">
        <v>10688.8</v>
      </c>
    </row>
    <row r="3391" spans="1:11">
      <c r="A3391">
        <v>3390</v>
      </c>
      <c r="B3391" t="s">
        <v>120</v>
      </c>
      <c r="C3391" s="1">
        <v>31778</v>
      </c>
      <c r="D3391">
        <v>39</v>
      </c>
      <c r="E3391" t="s">
        <v>15</v>
      </c>
      <c r="F3391" t="s">
        <v>13</v>
      </c>
      <c r="G3391" s="1">
        <v>45271</v>
      </c>
      <c r="H3391" s="1">
        <v>45008</v>
      </c>
      <c r="I3391">
        <v>20</v>
      </c>
      <c r="J3391" t="s">
        <v>23</v>
      </c>
      <c r="K3391">
        <v>15170.39</v>
      </c>
    </row>
    <row r="3392" spans="1:11">
      <c r="A3392">
        <v>3391</v>
      </c>
      <c r="B3392" t="s">
        <v>80</v>
      </c>
      <c r="C3392" s="1">
        <v>41274</v>
      </c>
      <c r="D3392">
        <v>13</v>
      </c>
      <c r="E3392" t="s">
        <v>15</v>
      </c>
      <c r="F3392" t="s">
        <v>13</v>
      </c>
      <c r="G3392" s="1">
        <v>44927</v>
      </c>
      <c r="H3392" s="1">
        <v>45294</v>
      </c>
      <c r="I3392">
        <v>26</v>
      </c>
      <c r="J3392" t="s">
        <v>19</v>
      </c>
      <c r="K3392">
        <v>16322.32</v>
      </c>
    </row>
    <row r="3393" spans="1:11">
      <c r="A3393">
        <v>3392</v>
      </c>
      <c r="B3393" t="s">
        <v>112</v>
      </c>
      <c r="C3393" s="1">
        <v>33604</v>
      </c>
      <c r="D3393">
        <v>34</v>
      </c>
      <c r="E3393" t="s">
        <v>12</v>
      </c>
      <c r="G3393" s="1">
        <v>45036</v>
      </c>
      <c r="H3393" s="1">
        <v>44986</v>
      </c>
      <c r="I3393">
        <v>38</v>
      </c>
      <c r="J3393" t="s">
        <v>25</v>
      </c>
      <c r="K3393">
        <v>6677.63</v>
      </c>
    </row>
    <row r="3394" spans="1:11">
      <c r="A3394">
        <v>3393</v>
      </c>
      <c r="B3394" t="s">
        <v>56</v>
      </c>
      <c r="C3394" s="1">
        <v>28856</v>
      </c>
      <c r="D3394">
        <v>47</v>
      </c>
      <c r="E3394" t="s">
        <v>15</v>
      </c>
      <c r="F3394" t="s">
        <v>13</v>
      </c>
      <c r="G3394" s="1">
        <v>44990</v>
      </c>
      <c r="H3394" s="1">
        <v>45001</v>
      </c>
      <c r="I3394">
        <v>38</v>
      </c>
      <c r="J3394" t="s">
        <v>25</v>
      </c>
      <c r="K3394">
        <v>16011.4</v>
      </c>
    </row>
    <row r="3395" spans="1:11">
      <c r="A3395">
        <v>3394</v>
      </c>
      <c r="B3395" t="s">
        <v>121</v>
      </c>
      <c r="C3395" s="1">
        <v>15707</v>
      </c>
      <c r="D3395">
        <v>83</v>
      </c>
      <c r="E3395" t="s">
        <v>12</v>
      </c>
      <c r="F3395" t="s">
        <v>18</v>
      </c>
      <c r="G3395" s="1">
        <v>44979</v>
      </c>
      <c r="H3395" s="1">
        <v>45166</v>
      </c>
      <c r="I3395">
        <v>29</v>
      </c>
      <c r="J3395" t="s">
        <v>23</v>
      </c>
      <c r="K3395">
        <v>16265.6</v>
      </c>
    </row>
    <row r="3396" spans="1:11">
      <c r="A3396">
        <v>3395</v>
      </c>
      <c r="B3396" t="s">
        <v>41</v>
      </c>
      <c r="C3396" s="1">
        <v>25934</v>
      </c>
      <c r="D3396">
        <v>55</v>
      </c>
      <c r="E3396" t="s">
        <v>12</v>
      </c>
      <c r="F3396" t="s">
        <v>16</v>
      </c>
      <c r="G3396" s="1">
        <v>45188</v>
      </c>
      <c r="H3396" s="1">
        <v>45056</v>
      </c>
      <c r="I3396">
        <v>-1</v>
      </c>
      <c r="J3396" t="s">
        <v>25</v>
      </c>
      <c r="K3396">
        <v>4605.93</v>
      </c>
    </row>
    <row r="3397" spans="1:11">
      <c r="A3397">
        <v>3396</v>
      </c>
      <c r="B3397" t="s">
        <v>104</v>
      </c>
      <c r="C3397" s="1">
        <v>28490</v>
      </c>
      <c r="D3397">
        <v>48</v>
      </c>
      <c r="E3397" t="s">
        <v>15</v>
      </c>
      <c r="F3397" t="s">
        <v>16</v>
      </c>
      <c r="G3397" s="1">
        <v>45455</v>
      </c>
      <c r="H3397" s="1">
        <v>45339</v>
      </c>
      <c r="I3397">
        <v>33</v>
      </c>
      <c r="J3397" t="s">
        <v>19</v>
      </c>
      <c r="K3397">
        <v>14310.71</v>
      </c>
    </row>
    <row r="3398" spans="1:11">
      <c r="A3398">
        <v>3397</v>
      </c>
      <c r="B3398" t="s">
        <v>152</v>
      </c>
      <c r="C3398" s="1">
        <v>41639</v>
      </c>
      <c r="D3398">
        <v>12</v>
      </c>
      <c r="E3398" t="s">
        <v>12</v>
      </c>
      <c r="F3398" t="s">
        <v>45</v>
      </c>
      <c r="G3398" s="1">
        <v>45228</v>
      </c>
      <c r="H3398" s="1">
        <v>45242</v>
      </c>
      <c r="I3398">
        <v>14</v>
      </c>
      <c r="J3398" t="s">
        <v>23</v>
      </c>
      <c r="K3398">
        <v>3649.33</v>
      </c>
    </row>
    <row r="3399" spans="1:11">
      <c r="A3399">
        <v>3398</v>
      </c>
      <c r="B3399" t="s">
        <v>51</v>
      </c>
      <c r="C3399" s="1">
        <v>24107</v>
      </c>
      <c r="D3399">
        <v>60</v>
      </c>
      <c r="E3399" t="s">
        <v>15</v>
      </c>
      <c r="F3399" t="s">
        <v>32</v>
      </c>
      <c r="G3399" s="1">
        <v>45160</v>
      </c>
      <c r="H3399" s="1">
        <v>45301</v>
      </c>
      <c r="I3399">
        <v>-1</v>
      </c>
      <c r="J3399" t="s">
        <v>19</v>
      </c>
      <c r="K3399">
        <v>1770.29</v>
      </c>
    </row>
    <row r="3400" spans="1:11">
      <c r="A3400">
        <v>3399</v>
      </c>
      <c r="B3400" t="s">
        <v>71</v>
      </c>
      <c r="C3400" s="1">
        <v>28490</v>
      </c>
      <c r="D3400">
        <v>48</v>
      </c>
      <c r="E3400" t="s">
        <v>12</v>
      </c>
      <c r="F3400" t="s">
        <v>21</v>
      </c>
      <c r="G3400" s="1">
        <v>44999</v>
      </c>
      <c r="H3400" s="1">
        <v>45364</v>
      </c>
      <c r="I3400">
        <v>1</v>
      </c>
      <c r="J3400" t="s">
        <v>25</v>
      </c>
      <c r="K3400">
        <v>11448.31</v>
      </c>
    </row>
    <row r="3401" spans="1:11">
      <c r="A3401">
        <v>3400</v>
      </c>
      <c r="B3401" t="s">
        <v>154</v>
      </c>
      <c r="C3401" s="1">
        <v>29586</v>
      </c>
      <c r="D3401">
        <v>45</v>
      </c>
      <c r="F3401" t="s">
        <v>13</v>
      </c>
      <c r="G3401" s="1">
        <v>45283</v>
      </c>
      <c r="H3401" s="1">
        <v>45065</v>
      </c>
      <c r="I3401">
        <v>31</v>
      </c>
      <c r="J3401" t="s">
        <v>25</v>
      </c>
      <c r="K3401">
        <v>18163.91</v>
      </c>
    </row>
    <row r="3402" spans="1:11">
      <c r="A3402">
        <v>3401</v>
      </c>
      <c r="B3402" t="s">
        <v>11</v>
      </c>
      <c r="C3402" s="1">
        <v>23742</v>
      </c>
      <c r="D3402">
        <v>61</v>
      </c>
      <c r="E3402" t="s">
        <v>12</v>
      </c>
      <c r="F3402" t="s">
        <v>16</v>
      </c>
      <c r="G3402" s="1">
        <v>45529</v>
      </c>
      <c r="H3402" s="1">
        <v>45382</v>
      </c>
      <c r="I3402">
        <v>-2</v>
      </c>
      <c r="J3402" t="s">
        <v>23</v>
      </c>
      <c r="K3402">
        <v>612.73</v>
      </c>
    </row>
    <row r="3403" spans="1:11">
      <c r="A3403">
        <v>3402</v>
      </c>
      <c r="B3403" t="s">
        <v>48</v>
      </c>
      <c r="C3403" s="1">
        <v>43466</v>
      </c>
      <c r="D3403">
        <v>7</v>
      </c>
      <c r="E3403" t="s">
        <v>12</v>
      </c>
      <c r="F3403" t="s">
        <v>16</v>
      </c>
      <c r="G3403" s="1">
        <v>45410</v>
      </c>
      <c r="H3403" s="1">
        <v>45542</v>
      </c>
      <c r="I3403">
        <v>20</v>
      </c>
      <c r="J3403" t="s">
        <v>25</v>
      </c>
      <c r="K3403">
        <v>16512.68</v>
      </c>
    </row>
    <row r="3404" spans="1:11">
      <c r="A3404">
        <v>3403</v>
      </c>
      <c r="B3404" t="s">
        <v>70</v>
      </c>
      <c r="C3404" s="1">
        <v>30682</v>
      </c>
      <c r="D3404">
        <v>42</v>
      </c>
      <c r="E3404" t="s">
        <v>15</v>
      </c>
      <c r="F3404" t="s">
        <v>45</v>
      </c>
      <c r="G3404" s="1">
        <v>44932</v>
      </c>
      <c r="H3404" s="1">
        <v>45826</v>
      </c>
      <c r="I3404">
        <v>3</v>
      </c>
      <c r="J3404" t="s">
        <v>23</v>
      </c>
      <c r="K3404">
        <v>10080.07</v>
      </c>
    </row>
    <row r="3405" spans="1:11">
      <c r="A3405">
        <v>3404</v>
      </c>
      <c r="B3405" t="s">
        <v>53</v>
      </c>
      <c r="C3405" s="1">
        <v>39083</v>
      </c>
      <c r="D3405">
        <v>19</v>
      </c>
      <c r="E3405" t="s">
        <v>15</v>
      </c>
      <c r="F3405" t="s">
        <v>21</v>
      </c>
      <c r="G3405" s="1">
        <v>45636</v>
      </c>
      <c r="H3405" s="1">
        <v>44936</v>
      </c>
      <c r="I3405">
        <v>13</v>
      </c>
      <c r="J3405" t="s">
        <v>23</v>
      </c>
      <c r="K3405">
        <v>17204</v>
      </c>
    </row>
    <row r="3406" spans="1:11">
      <c r="A3406">
        <v>3405</v>
      </c>
      <c r="B3406" t="s">
        <v>169</v>
      </c>
      <c r="C3406" s="1">
        <v>13515</v>
      </c>
      <c r="D3406">
        <v>89</v>
      </c>
      <c r="E3406" t="s">
        <v>12</v>
      </c>
      <c r="F3406" t="s">
        <v>32</v>
      </c>
      <c r="G3406" s="1">
        <v>45634</v>
      </c>
      <c r="H3406" s="1">
        <v>45159</v>
      </c>
      <c r="I3406">
        <v>-1</v>
      </c>
      <c r="K3406">
        <v>16853.89</v>
      </c>
    </row>
    <row r="3407" spans="1:11">
      <c r="A3407">
        <v>3406</v>
      </c>
      <c r="B3407" t="s">
        <v>43</v>
      </c>
      <c r="C3407" s="1">
        <v>32143</v>
      </c>
      <c r="D3407">
        <v>38</v>
      </c>
      <c r="E3407" t="s">
        <v>15</v>
      </c>
      <c r="F3407" t="s">
        <v>32</v>
      </c>
      <c r="G3407" s="1">
        <v>45063</v>
      </c>
      <c r="H3407" s="1">
        <v>45538</v>
      </c>
      <c r="I3407">
        <v>9</v>
      </c>
      <c r="K3407">
        <v>17493.259999999998</v>
      </c>
    </row>
    <row r="3408" spans="1:11">
      <c r="A3408">
        <v>3407</v>
      </c>
      <c r="B3408" t="s">
        <v>107</v>
      </c>
      <c r="C3408" s="1">
        <v>15341</v>
      </c>
      <c r="D3408">
        <v>84</v>
      </c>
      <c r="E3408" t="s">
        <v>15</v>
      </c>
      <c r="F3408" t="s">
        <v>13</v>
      </c>
      <c r="G3408" s="1">
        <v>45330</v>
      </c>
      <c r="H3408" s="1">
        <v>45657</v>
      </c>
      <c r="I3408">
        <v>24</v>
      </c>
      <c r="K3408">
        <v>15354.37</v>
      </c>
    </row>
    <row r="3409" spans="1:11">
      <c r="A3409">
        <v>3408</v>
      </c>
      <c r="B3409" t="s">
        <v>144</v>
      </c>
      <c r="C3409" s="1">
        <v>28490</v>
      </c>
      <c r="D3409">
        <v>48</v>
      </c>
      <c r="E3409" t="s">
        <v>15</v>
      </c>
      <c r="F3409" t="s">
        <v>32</v>
      </c>
      <c r="G3409" s="1">
        <v>45554</v>
      </c>
      <c r="H3409" s="1">
        <v>45324</v>
      </c>
      <c r="I3409">
        <v>16</v>
      </c>
      <c r="J3409" t="s">
        <v>19</v>
      </c>
      <c r="K3409">
        <v>16844.150000000001</v>
      </c>
    </row>
    <row r="3410" spans="1:11">
      <c r="A3410">
        <v>3409</v>
      </c>
      <c r="B3410" t="s">
        <v>94</v>
      </c>
      <c r="C3410" s="1">
        <v>23012</v>
      </c>
      <c r="D3410">
        <v>63</v>
      </c>
      <c r="E3410" t="s">
        <v>12</v>
      </c>
      <c r="F3410" t="s">
        <v>32</v>
      </c>
      <c r="G3410" s="1">
        <v>45481</v>
      </c>
      <c r="H3410" s="1">
        <v>45676</v>
      </c>
      <c r="I3410">
        <v>25</v>
      </c>
      <c r="J3410" t="s">
        <v>25</v>
      </c>
      <c r="K3410">
        <v>3438.11</v>
      </c>
    </row>
    <row r="3411" spans="1:11">
      <c r="A3411">
        <v>3410</v>
      </c>
      <c r="B3411" t="s">
        <v>96</v>
      </c>
      <c r="C3411" s="1">
        <v>23742</v>
      </c>
      <c r="D3411">
        <v>61</v>
      </c>
      <c r="E3411" t="s">
        <v>15</v>
      </c>
      <c r="G3411" s="1">
        <v>45496</v>
      </c>
      <c r="H3411" s="1">
        <v>45661</v>
      </c>
      <c r="I3411">
        <v>32</v>
      </c>
      <c r="J3411" t="s">
        <v>25</v>
      </c>
      <c r="K3411">
        <v>6007.45</v>
      </c>
    </row>
    <row r="3412" spans="1:11">
      <c r="A3412">
        <v>3411</v>
      </c>
      <c r="B3412" t="s">
        <v>86</v>
      </c>
      <c r="C3412" s="1">
        <v>26664</v>
      </c>
      <c r="D3412">
        <v>53</v>
      </c>
      <c r="E3412" t="s">
        <v>12</v>
      </c>
      <c r="F3412" t="s">
        <v>21</v>
      </c>
      <c r="G3412" s="1">
        <v>45132</v>
      </c>
      <c r="H3412" s="1">
        <v>45607</v>
      </c>
      <c r="I3412">
        <v>1</v>
      </c>
      <c r="K3412">
        <v>4773.97</v>
      </c>
    </row>
    <row r="3413" spans="1:11">
      <c r="A3413">
        <v>3412</v>
      </c>
      <c r="B3413" t="s">
        <v>26</v>
      </c>
      <c r="C3413" s="1">
        <v>43100</v>
      </c>
      <c r="D3413">
        <v>8</v>
      </c>
      <c r="E3413" t="s">
        <v>15</v>
      </c>
      <c r="F3413" t="s">
        <v>21</v>
      </c>
      <c r="G3413" s="1">
        <v>45336</v>
      </c>
      <c r="H3413" s="1">
        <v>45809</v>
      </c>
      <c r="I3413">
        <v>4</v>
      </c>
      <c r="J3413" t="s">
        <v>23</v>
      </c>
      <c r="K3413">
        <v>14822.81</v>
      </c>
    </row>
    <row r="3414" spans="1:11">
      <c r="A3414">
        <v>3413</v>
      </c>
      <c r="B3414" t="s">
        <v>76</v>
      </c>
      <c r="C3414" s="1">
        <v>14246</v>
      </c>
      <c r="D3414">
        <v>87</v>
      </c>
      <c r="E3414" t="s">
        <v>15</v>
      </c>
      <c r="G3414" s="1">
        <v>45532</v>
      </c>
      <c r="H3414" s="1">
        <v>45501</v>
      </c>
      <c r="I3414">
        <v>34</v>
      </c>
      <c r="J3414" t="s">
        <v>23</v>
      </c>
      <c r="K3414">
        <v>2988.23</v>
      </c>
    </row>
    <row r="3415" spans="1:11">
      <c r="A3415">
        <v>3414</v>
      </c>
      <c r="B3415" t="s">
        <v>44</v>
      </c>
      <c r="C3415" s="1">
        <v>32873</v>
      </c>
      <c r="D3415">
        <v>36</v>
      </c>
      <c r="E3415" t="s">
        <v>12</v>
      </c>
      <c r="F3415" t="s">
        <v>13</v>
      </c>
      <c r="G3415" s="1">
        <v>44962</v>
      </c>
      <c r="H3415" s="1">
        <v>45245</v>
      </c>
      <c r="I3415">
        <v>22</v>
      </c>
      <c r="J3415" t="s">
        <v>23</v>
      </c>
      <c r="K3415">
        <v>3562.78</v>
      </c>
    </row>
    <row r="3416" spans="1:11">
      <c r="A3416">
        <v>3415</v>
      </c>
      <c r="B3416" t="s">
        <v>107</v>
      </c>
      <c r="C3416" s="1">
        <v>28490</v>
      </c>
      <c r="D3416">
        <v>48</v>
      </c>
      <c r="E3416" t="s">
        <v>15</v>
      </c>
      <c r="F3416" t="s">
        <v>16</v>
      </c>
      <c r="G3416" s="1">
        <v>45156</v>
      </c>
      <c r="H3416" s="1">
        <v>45434</v>
      </c>
      <c r="I3416">
        <v>38</v>
      </c>
      <c r="J3416" t="s">
        <v>23</v>
      </c>
      <c r="K3416">
        <v>17567.189999999999</v>
      </c>
    </row>
    <row r="3417" spans="1:11">
      <c r="A3417">
        <v>3416</v>
      </c>
      <c r="B3417" t="s">
        <v>111</v>
      </c>
      <c r="C3417" s="1">
        <v>31412</v>
      </c>
      <c r="E3417" t="s">
        <v>12</v>
      </c>
      <c r="F3417" t="s">
        <v>45</v>
      </c>
      <c r="G3417" s="1">
        <v>45153</v>
      </c>
      <c r="H3417" s="1">
        <v>45449</v>
      </c>
      <c r="I3417">
        <v>14</v>
      </c>
      <c r="J3417" t="s">
        <v>19</v>
      </c>
      <c r="K3417">
        <v>14088.23</v>
      </c>
    </row>
    <row r="3418" spans="1:11">
      <c r="A3418">
        <v>3417</v>
      </c>
      <c r="B3418" t="s">
        <v>30</v>
      </c>
      <c r="C3418" s="1">
        <v>40178</v>
      </c>
      <c r="D3418">
        <v>16</v>
      </c>
      <c r="E3418" t="s">
        <v>15</v>
      </c>
      <c r="F3418" t="s">
        <v>13</v>
      </c>
      <c r="G3418" s="1">
        <v>45621</v>
      </c>
      <c r="H3418" s="1">
        <v>45673</v>
      </c>
      <c r="I3418">
        <v>38</v>
      </c>
      <c r="J3418" t="s">
        <v>25</v>
      </c>
      <c r="K3418">
        <v>17495.14</v>
      </c>
    </row>
    <row r="3419" spans="1:11">
      <c r="A3419">
        <v>3418</v>
      </c>
      <c r="B3419" t="s">
        <v>139</v>
      </c>
      <c r="C3419" s="1">
        <v>14246</v>
      </c>
      <c r="D3419">
        <v>87</v>
      </c>
      <c r="E3419" t="s">
        <v>15</v>
      </c>
      <c r="F3419" t="s">
        <v>18</v>
      </c>
      <c r="G3419" s="1">
        <v>45188</v>
      </c>
      <c r="H3419" s="1">
        <v>45014</v>
      </c>
      <c r="I3419">
        <v>11</v>
      </c>
      <c r="K3419">
        <v>2701.04</v>
      </c>
    </row>
    <row r="3420" spans="1:11">
      <c r="A3420">
        <v>3419</v>
      </c>
      <c r="B3420" t="s">
        <v>110</v>
      </c>
      <c r="C3420" s="1">
        <v>38717</v>
      </c>
      <c r="D3420">
        <v>20</v>
      </c>
      <c r="E3420" t="s">
        <v>15</v>
      </c>
      <c r="F3420" t="s">
        <v>32</v>
      </c>
      <c r="G3420" s="1">
        <v>45057</v>
      </c>
      <c r="H3420" s="1">
        <v>45706</v>
      </c>
      <c r="I3420">
        <v>34</v>
      </c>
      <c r="J3420" t="s">
        <v>19</v>
      </c>
      <c r="K3420">
        <v>7919.51</v>
      </c>
    </row>
    <row r="3421" spans="1:11">
      <c r="A3421">
        <v>3420</v>
      </c>
      <c r="B3421" t="s">
        <v>102</v>
      </c>
      <c r="C3421" s="1">
        <v>27760</v>
      </c>
      <c r="E3421" t="s">
        <v>12</v>
      </c>
      <c r="G3421" s="1">
        <v>45503</v>
      </c>
      <c r="H3421" s="1">
        <v>45643</v>
      </c>
      <c r="I3421">
        <v>-1</v>
      </c>
      <c r="J3421" t="s">
        <v>25</v>
      </c>
      <c r="K3421">
        <v>5591.34</v>
      </c>
    </row>
    <row r="3422" spans="1:11">
      <c r="A3422">
        <v>3421</v>
      </c>
      <c r="B3422" t="s">
        <v>145</v>
      </c>
      <c r="C3422" s="1">
        <v>24838</v>
      </c>
      <c r="D3422">
        <v>58</v>
      </c>
      <c r="E3422" t="s">
        <v>12</v>
      </c>
      <c r="F3422" t="s">
        <v>45</v>
      </c>
      <c r="G3422" s="1">
        <v>45374</v>
      </c>
      <c r="H3422" s="1">
        <v>45245</v>
      </c>
      <c r="I3422">
        <v>21</v>
      </c>
      <c r="J3422" t="s">
        <v>19</v>
      </c>
      <c r="K3422">
        <v>94.59</v>
      </c>
    </row>
    <row r="3423" spans="1:11">
      <c r="A3423">
        <v>3422</v>
      </c>
      <c r="B3423" t="s">
        <v>74</v>
      </c>
      <c r="C3423" s="1">
        <v>32143</v>
      </c>
      <c r="D3423">
        <v>38</v>
      </c>
      <c r="E3423" t="s">
        <v>12</v>
      </c>
      <c r="F3423" t="s">
        <v>16</v>
      </c>
      <c r="G3423" s="1">
        <v>45112</v>
      </c>
      <c r="H3423" s="1">
        <v>45260</v>
      </c>
      <c r="I3423">
        <v>12</v>
      </c>
      <c r="J3423" t="s">
        <v>23</v>
      </c>
      <c r="K3423">
        <v>5618.91</v>
      </c>
    </row>
    <row r="3424" spans="1:11">
      <c r="A3424">
        <v>3423</v>
      </c>
      <c r="B3424" t="s">
        <v>53</v>
      </c>
      <c r="C3424" s="1">
        <v>26299</v>
      </c>
      <c r="D3424">
        <v>54</v>
      </c>
      <c r="E3424" t="s">
        <v>15</v>
      </c>
      <c r="F3424" t="s">
        <v>16</v>
      </c>
      <c r="G3424" s="1">
        <v>45555</v>
      </c>
      <c r="H3424" s="1">
        <v>45287</v>
      </c>
      <c r="I3424">
        <v>30</v>
      </c>
      <c r="J3424" t="s">
        <v>19</v>
      </c>
      <c r="K3424">
        <v>7529.62</v>
      </c>
    </row>
    <row r="3425" spans="1:11">
      <c r="A3425">
        <v>3424</v>
      </c>
      <c r="B3425" t="s">
        <v>111</v>
      </c>
      <c r="C3425" s="1">
        <v>31412</v>
      </c>
      <c r="D3425">
        <v>40</v>
      </c>
      <c r="E3425" t="s">
        <v>12</v>
      </c>
      <c r="F3425" t="s">
        <v>21</v>
      </c>
      <c r="G3425" s="1">
        <v>45112</v>
      </c>
      <c r="H3425" s="1">
        <v>45168</v>
      </c>
      <c r="I3425">
        <v>9</v>
      </c>
      <c r="J3425" t="s">
        <v>19</v>
      </c>
      <c r="K3425">
        <v>1753.61</v>
      </c>
    </row>
    <row r="3426" spans="1:11">
      <c r="A3426">
        <v>3425</v>
      </c>
      <c r="B3426" t="s">
        <v>107</v>
      </c>
      <c r="C3426" s="1">
        <v>32143</v>
      </c>
      <c r="D3426">
        <v>38</v>
      </c>
      <c r="E3426" t="s">
        <v>12</v>
      </c>
      <c r="F3426" t="s">
        <v>18</v>
      </c>
      <c r="G3426" s="1">
        <v>45200</v>
      </c>
      <c r="H3426" s="1">
        <v>44983</v>
      </c>
      <c r="I3426">
        <v>16</v>
      </c>
      <c r="J3426" t="s">
        <v>23</v>
      </c>
      <c r="K3426">
        <v>11286.4</v>
      </c>
    </row>
    <row r="3427" spans="1:11">
      <c r="A3427">
        <v>3426</v>
      </c>
      <c r="B3427" t="s">
        <v>121</v>
      </c>
      <c r="C3427" s="1">
        <v>41639</v>
      </c>
      <c r="D3427">
        <v>12</v>
      </c>
      <c r="E3427" t="s">
        <v>12</v>
      </c>
      <c r="F3427" t="s">
        <v>16</v>
      </c>
      <c r="G3427" s="1">
        <v>45589</v>
      </c>
      <c r="H3427" s="1">
        <v>45037</v>
      </c>
      <c r="I3427">
        <v>2</v>
      </c>
      <c r="J3427" t="s">
        <v>23</v>
      </c>
      <c r="K3427">
        <v>7601.77</v>
      </c>
    </row>
    <row r="3428" spans="1:11">
      <c r="A3428">
        <v>3427</v>
      </c>
      <c r="B3428" t="s">
        <v>64</v>
      </c>
      <c r="C3428" s="1">
        <v>23012</v>
      </c>
      <c r="D3428">
        <v>63</v>
      </c>
      <c r="E3428" t="s">
        <v>12</v>
      </c>
      <c r="F3428" t="s">
        <v>18</v>
      </c>
      <c r="G3428" s="1">
        <v>45278</v>
      </c>
      <c r="H3428" s="1">
        <v>44976</v>
      </c>
      <c r="I3428">
        <v>-2</v>
      </c>
      <c r="K3428">
        <v>833.88</v>
      </c>
    </row>
    <row r="3429" spans="1:11">
      <c r="A3429">
        <v>3428</v>
      </c>
      <c r="B3429" t="s">
        <v>92</v>
      </c>
      <c r="C3429" s="1">
        <v>42370</v>
      </c>
      <c r="D3429">
        <v>10</v>
      </c>
      <c r="E3429" t="s">
        <v>12</v>
      </c>
      <c r="F3429" t="s">
        <v>32</v>
      </c>
      <c r="G3429" s="1">
        <v>45339</v>
      </c>
      <c r="H3429" s="1">
        <v>45682</v>
      </c>
      <c r="I3429">
        <v>6</v>
      </c>
      <c r="K3429">
        <v>14049.98</v>
      </c>
    </row>
    <row r="3430" spans="1:11">
      <c r="A3430">
        <v>3429</v>
      </c>
      <c r="B3430" t="s">
        <v>164</v>
      </c>
      <c r="C3430" s="1">
        <v>39448</v>
      </c>
      <c r="D3430">
        <v>18</v>
      </c>
      <c r="E3430" t="s">
        <v>15</v>
      </c>
      <c r="F3430" t="s">
        <v>21</v>
      </c>
      <c r="G3430" s="1">
        <v>45077</v>
      </c>
      <c r="H3430" s="1">
        <v>44943</v>
      </c>
      <c r="I3430">
        <v>36</v>
      </c>
      <c r="J3430" t="s">
        <v>25</v>
      </c>
      <c r="K3430">
        <v>14558.52</v>
      </c>
    </row>
    <row r="3431" spans="1:11">
      <c r="A3431">
        <v>3430</v>
      </c>
      <c r="B3431" t="s">
        <v>132</v>
      </c>
      <c r="C3431" s="1">
        <v>42370</v>
      </c>
      <c r="D3431">
        <v>10</v>
      </c>
      <c r="E3431" t="s">
        <v>12</v>
      </c>
      <c r="F3431" t="s">
        <v>45</v>
      </c>
      <c r="G3431" s="1">
        <v>45310</v>
      </c>
      <c r="H3431" s="1">
        <v>45000</v>
      </c>
      <c r="I3431">
        <v>31</v>
      </c>
      <c r="K3431">
        <v>16672.88</v>
      </c>
    </row>
    <row r="3432" spans="1:11">
      <c r="A3432">
        <v>3431</v>
      </c>
      <c r="B3432" t="s">
        <v>85</v>
      </c>
      <c r="C3432" s="1">
        <v>18263</v>
      </c>
      <c r="D3432">
        <v>76</v>
      </c>
      <c r="E3432" t="s">
        <v>15</v>
      </c>
      <c r="F3432" t="s">
        <v>21</v>
      </c>
      <c r="G3432" s="1">
        <v>44962</v>
      </c>
      <c r="H3432" s="1">
        <v>45811</v>
      </c>
      <c r="I3432">
        <v>26</v>
      </c>
      <c r="K3432">
        <v>9659.3700000000008</v>
      </c>
    </row>
    <row r="3433" spans="1:11">
      <c r="A3433">
        <v>3432</v>
      </c>
      <c r="B3433" t="s">
        <v>48</v>
      </c>
      <c r="C3433" s="1">
        <v>29586</v>
      </c>
      <c r="D3433">
        <v>45</v>
      </c>
      <c r="E3433" t="s">
        <v>12</v>
      </c>
      <c r="F3433" t="s">
        <v>32</v>
      </c>
      <c r="G3433" s="1">
        <v>45252</v>
      </c>
      <c r="H3433" s="1">
        <v>45129</v>
      </c>
      <c r="I3433">
        <v>-1</v>
      </c>
      <c r="J3433" t="s">
        <v>25</v>
      </c>
      <c r="K3433">
        <v>19370.04</v>
      </c>
    </row>
    <row r="3434" spans="1:11">
      <c r="A3434">
        <v>3433</v>
      </c>
      <c r="B3434" t="s">
        <v>91</v>
      </c>
      <c r="C3434" s="1">
        <v>29951</v>
      </c>
      <c r="D3434">
        <v>44</v>
      </c>
      <c r="E3434" t="s">
        <v>15</v>
      </c>
      <c r="G3434" s="1">
        <v>45391</v>
      </c>
      <c r="H3434" s="1">
        <v>45020</v>
      </c>
      <c r="I3434">
        <v>16</v>
      </c>
      <c r="J3434" t="s">
        <v>19</v>
      </c>
      <c r="K3434">
        <v>18272.689999999999</v>
      </c>
    </row>
    <row r="3435" spans="1:11">
      <c r="A3435">
        <v>3434</v>
      </c>
      <c r="B3435" t="s">
        <v>111</v>
      </c>
      <c r="C3435" s="1">
        <v>46022</v>
      </c>
      <c r="D3435">
        <v>0</v>
      </c>
      <c r="E3435" t="s">
        <v>15</v>
      </c>
      <c r="F3435" t="s">
        <v>16</v>
      </c>
      <c r="G3435" s="1">
        <v>45392</v>
      </c>
      <c r="H3435" s="1">
        <v>45576</v>
      </c>
      <c r="I3435">
        <v>25</v>
      </c>
      <c r="J3435" t="s">
        <v>19</v>
      </c>
      <c r="K3435">
        <v>10982.17</v>
      </c>
    </row>
    <row r="3436" spans="1:11">
      <c r="A3436">
        <v>3435</v>
      </c>
      <c r="B3436" t="s">
        <v>146</v>
      </c>
      <c r="C3436" s="1">
        <v>31778</v>
      </c>
      <c r="D3436">
        <v>39</v>
      </c>
      <c r="E3436" t="s">
        <v>15</v>
      </c>
      <c r="F3436" t="s">
        <v>18</v>
      </c>
      <c r="G3436" s="1">
        <v>45021</v>
      </c>
      <c r="H3436" s="1">
        <v>44960</v>
      </c>
      <c r="I3436">
        <v>32</v>
      </c>
      <c r="J3436" t="s">
        <v>19</v>
      </c>
      <c r="K3436">
        <v>8843.5300000000007</v>
      </c>
    </row>
    <row r="3437" spans="1:11">
      <c r="A3437">
        <v>3436</v>
      </c>
      <c r="B3437" t="s">
        <v>141</v>
      </c>
      <c r="C3437" s="1">
        <v>39448</v>
      </c>
      <c r="D3437">
        <v>18</v>
      </c>
      <c r="E3437" t="s">
        <v>15</v>
      </c>
      <c r="G3437" s="1">
        <v>45060</v>
      </c>
      <c r="H3437" s="1">
        <v>45527</v>
      </c>
      <c r="I3437">
        <v>37</v>
      </c>
      <c r="J3437" t="s">
        <v>23</v>
      </c>
      <c r="K3437">
        <v>-39.01</v>
      </c>
    </row>
    <row r="3438" spans="1:11">
      <c r="A3438">
        <v>3437</v>
      </c>
      <c r="B3438" t="s">
        <v>141</v>
      </c>
      <c r="C3438" s="1">
        <v>18629</v>
      </c>
      <c r="D3438">
        <v>75</v>
      </c>
      <c r="E3438" t="s">
        <v>15</v>
      </c>
      <c r="F3438" t="s">
        <v>32</v>
      </c>
      <c r="G3438" s="1">
        <v>45088</v>
      </c>
      <c r="H3438" s="1">
        <v>45346</v>
      </c>
      <c r="I3438">
        <v>19</v>
      </c>
      <c r="J3438" t="s">
        <v>25</v>
      </c>
      <c r="K3438">
        <v>14190.99</v>
      </c>
    </row>
    <row r="3439" spans="1:11">
      <c r="A3439">
        <v>3438</v>
      </c>
      <c r="B3439" t="s">
        <v>162</v>
      </c>
      <c r="C3439" s="1">
        <v>20090</v>
      </c>
      <c r="D3439">
        <v>71</v>
      </c>
      <c r="E3439" t="s">
        <v>12</v>
      </c>
      <c r="F3439" t="s">
        <v>16</v>
      </c>
      <c r="G3439" s="1">
        <v>45482</v>
      </c>
      <c r="H3439" s="1">
        <v>45130</v>
      </c>
      <c r="I3439">
        <v>1</v>
      </c>
      <c r="J3439" t="s">
        <v>19</v>
      </c>
      <c r="K3439">
        <v>11255.59</v>
      </c>
    </row>
    <row r="3440" spans="1:11">
      <c r="A3440">
        <v>3439</v>
      </c>
      <c r="B3440" t="s">
        <v>63</v>
      </c>
      <c r="C3440" s="1">
        <v>20090</v>
      </c>
      <c r="D3440">
        <v>71</v>
      </c>
      <c r="E3440" t="s">
        <v>12</v>
      </c>
      <c r="F3440" t="s">
        <v>13</v>
      </c>
      <c r="G3440" s="1">
        <v>45226</v>
      </c>
      <c r="H3440" s="1">
        <v>45478</v>
      </c>
      <c r="I3440">
        <v>5</v>
      </c>
      <c r="K3440">
        <v>18744.64</v>
      </c>
    </row>
    <row r="3441" spans="1:11">
      <c r="A3441">
        <v>3440</v>
      </c>
      <c r="B3441" t="s">
        <v>120</v>
      </c>
      <c r="C3441" s="1">
        <v>24107</v>
      </c>
      <c r="D3441">
        <v>60</v>
      </c>
      <c r="E3441" t="s">
        <v>12</v>
      </c>
      <c r="F3441" t="s">
        <v>18</v>
      </c>
      <c r="G3441" s="1">
        <v>45282</v>
      </c>
      <c r="H3441" s="1">
        <v>45553</v>
      </c>
      <c r="I3441">
        <v>-2</v>
      </c>
      <c r="K3441">
        <v>11844.07</v>
      </c>
    </row>
    <row r="3442" spans="1:11">
      <c r="A3442">
        <v>3441</v>
      </c>
      <c r="B3442" t="s">
        <v>128</v>
      </c>
      <c r="C3442" s="1">
        <v>42005</v>
      </c>
      <c r="D3442">
        <v>11</v>
      </c>
      <c r="E3442" t="s">
        <v>12</v>
      </c>
      <c r="F3442" t="s">
        <v>32</v>
      </c>
      <c r="G3442" s="1">
        <v>45166</v>
      </c>
      <c r="H3442" s="1">
        <v>45772</v>
      </c>
      <c r="I3442">
        <v>33</v>
      </c>
      <c r="K3442">
        <v>19856.41</v>
      </c>
    </row>
    <row r="3443" spans="1:11">
      <c r="A3443">
        <v>3442</v>
      </c>
      <c r="B3443" t="s">
        <v>103</v>
      </c>
      <c r="C3443" s="1">
        <v>24107</v>
      </c>
      <c r="D3443">
        <v>60</v>
      </c>
      <c r="E3443" t="s">
        <v>15</v>
      </c>
      <c r="F3443" t="s">
        <v>45</v>
      </c>
      <c r="G3443" s="1">
        <v>45490</v>
      </c>
      <c r="H3443" s="1">
        <v>45686</v>
      </c>
      <c r="I3443">
        <v>4</v>
      </c>
      <c r="J3443" t="s">
        <v>25</v>
      </c>
      <c r="K3443">
        <v>17061.77</v>
      </c>
    </row>
    <row r="3444" spans="1:11">
      <c r="A3444">
        <v>3443</v>
      </c>
      <c r="B3444" t="s">
        <v>69</v>
      </c>
      <c r="C3444" s="1">
        <v>34334</v>
      </c>
      <c r="D3444">
        <v>32</v>
      </c>
      <c r="E3444" t="s">
        <v>12</v>
      </c>
      <c r="F3444" t="s">
        <v>45</v>
      </c>
      <c r="G3444" s="1">
        <v>45512</v>
      </c>
      <c r="H3444" s="1">
        <v>45782</v>
      </c>
      <c r="I3444">
        <v>22</v>
      </c>
      <c r="J3444" t="s">
        <v>25</v>
      </c>
      <c r="K3444">
        <v>19067.32</v>
      </c>
    </row>
    <row r="3445" spans="1:11">
      <c r="A3445">
        <v>3444</v>
      </c>
      <c r="B3445" t="s">
        <v>58</v>
      </c>
      <c r="C3445" s="1">
        <v>29951</v>
      </c>
      <c r="D3445">
        <v>44</v>
      </c>
      <c r="E3445" t="s">
        <v>15</v>
      </c>
      <c r="F3445" t="s">
        <v>16</v>
      </c>
      <c r="G3445" s="1">
        <v>45093</v>
      </c>
      <c r="H3445" s="1">
        <v>45809</v>
      </c>
      <c r="I3445">
        <v>26</v>
      </c>
      <c r="K3445">
        <v>6486.02</v>
      </c>
    </row>
    <row r="3446" spans="1:11">
      <c r="A3446">
        <v>3445</v>
      </c>
      <c r="B3446" t="s">
        <v>165</v>
      </c>
      <c r="C3446" s="1">
        <v>13515</v>
      </c>
      <c r="D3446">
        <v>89</v>
      </c>
      <c r="E3446" t="s">
        <v>12</v>
      </c>
      <c r="F3446" t="s">
        <v>16</v>
      </c>
      <c r="G3446" s="1">
        <v>45066</v>
      </c>
      <c r="H3446" s="1">
        <v>45647</v>
      </c>
      <c r="I3446">
        <v>-2</v>
      </c>
      <c r="J3446" t="s">
        <v>23</v>
      </c>
      <c r="K3446">
        <v>2901.65</v>
      </c>
    </row>
    <row r="3447" spans="1:11">
      <c r="A3447">
        <v>3446</v>
      </c>
      <c r="B3447" t="s">
        <v>77</v>
      </c>
      <c r="C3447" s="1">
        <v>12785</v>
      </c>
      <c r="D3447">
        <v>91</v>
      </c>
      <c r="E3447" t="s">
        <v>15</v>
      </c>
      <c r="F3447" t="s">
        <v>45</v>
      </c>
      <c r="G3447" s="1">
        <v>45065</v>
      </c>
      <c r="H3447" s="1">
        <v>45239</v>
      </c>
      <c r="I3447">
        <v>15</v>
      </c>
      <c r="J3447" t="s">
        <v>23</v>
      </c>
      <c r="K3447">
        <v>15917.13</v>
      </c>
    </row>
    <row r="3448" spans="1:11">
      <c r="A3448">
        <v>3447</v>
      </c>
      <c r="B3448" t="s">
        <v>116</v>
      </c>
      <c r="C3448" s="1">
        <v>21185</v>
      </c>
      <c r="D3448">
        <v>68</v>
      </c>
      <c r="E3448" t="s">
        <v>15</v>
      </c>
      <c r="F3448" t="s">
        <v>13</v>
      </c>
      <c r="G3448" s="1">
        <v>45161</v>
      </c>
      <c r="H3448" s="1">
        <v>45396</v>
      </c>
      <c r="I3448">
        <v>1</v>
      </c>
      <c r="J3448" t="s">
        <v>19</v>
      </c>
      <c r="K3448">
        <v>15702.56</v>
      </c>
    </row>
    <row r="3449" spans="1:11">
      <c r="A3449">
        <v>3448</v>
      </c>
      <c r="B3449" t="s">
        <v>165</v>
      </c>
      <c r="C3449" s="1">
        <v>43466</v>
      </c>
      <c r="D3449">
        <v>7</v>
      </c>
      <c r="E3449" t="s">
        <v>15</v>
      </c>
      <c r="F3449" t="s">
        <v>21</v>
      </c>
      <c r="G3449" s="1">
        <v>44929</v>
      </c>
      <c r="H3449" s="1">
        <v>45321</v>
      </c>
      <c r="I3449">
        <v>17</v>
      </c>
      <c r="J3449" t="s">
        <v>19</v>
      </c>
      <c r="K3449">
        <v>4150.12</v>
      </c>
    </row>
    <row r="3450" spans="1:11">
      <c r="A3450">
        <v>3449</v>
      </c>
      <c r="B3450" t="s">
        <v>123</v>
      </c>
      <c r="C3450" s="1">
        <v>37256</v>
      </c>
      <c r="D3450">
        <v>24</v>
      </c>
      <c r="E3450" t="s">
        <v>15</v>
      </c>
      <c r="F3450" t="s">
        <v>45</v>
      </c>
      <c r="G3450" s="1">
        <v>45182</v>
      </c>
      <c r="H3450" s="1">
        <v>45736</v>
      </c>
      <c r="I3450">
        <v>5</v>
      </c>
      <c r="J3450" t="s">
        <v>19</v>
      </c>
      <c r="K3450">
        <v>15271.37</v>
      </c>
    </row>
    <row r="3451" spans="1:11">
      <c r="A3451">
        <v>3450</v>
      </c>
      <c r="B3451" t="s">
        <v>122</v>
      </c>
      <c r="C3451" s="1">
        <v>13150</v>
      </c>
      <c r="D3451">
        <v>90</v>
      </c>
      <c r="E3451" t="s">
        <v>15</v>
      </c>
      <c r="F3451" t="s">
        <v>16</v>
      </c>
      <c r="G3451" s="1">
        <v>45297</v>
      </c>
      <c r="H3451" s="1">
        <v>45799</v>
      </c>
      <c r="I3451">
        <v>24</v>
      </c>
      <c r="J3451" t="s">
        <v>19</v>
      </c>
      <c r="K3451">
        <v>11597.66</v>
      </c>
    </row>
    <row r="3452" spans="1:11">
      <c r="A3452">
        <v>3451</v>
      </c>
      <c r="B3452" t="s">
        <v>79</v>
      </c>
      <c r="C3452" s="1">
        <v>29586</v>
      </c>
      <c r="D3452">
        <v>45</v>
      </c>
      <c r="E3452" t="s">
        <v>15</v>
      </c>
      <c r="F3452" t="s">
        <v>16</v>
      </c>
      <c r="G3452" s="1">
        <v>45204</v>
      </c>
      <c r="H3452" s="1">
        <v>45138</v>
      </c>
      <c r="I3452">
        <v>36</v>
      </c>
      <c r="J3452" t="s">
        <v>19</v>
      </c>
      <c r="K3452">
        <v>2101.46</v>
      </c>
    </row>
    <row r="3453" spans="1:11">
      <c r="A3453">
        <v>3452</v>
      </c>
      <c r="B3453" t="s">
        <v>171</v>
      </c>
      <c r="C3453" s="1">
        <v>14611</v>
      </c>
      <c r="D3453">
        <v>86</v>
      </c>
      <c r="E3453" t="s">
        <v>12</v>
      </c>
      <c r="F3453" t="s">
        <v>13</v>
      </c>
      <c r="G3453" s="1">
        <v>45442</v>
      </c>
      <c r="H3453" s="1">
        <v>45794</v>
      </c>
      <c r="I3453">
        <v>32</v>
      </c>
      <c r="J3453" t="s">
        <v>25</v>
      </c>
      <c r="K3453">
        <v>9985.85</v>
      </c>
    </row>
    <row r="3454" spans="1:11">
      <c r="A3454">
        <v>3453</v>
      </c>
      <c r="B3454" t="s">
        <v>117</v>
      </c>
      <c r="C3454" s="1">
        <v>35430</v>
      </c>
      <c r="D3454">
        <v>29</v>
      </c>
      <c r="E3454" t="s">
        <v>12</v>
      </c>
      <c r="F3454" t="s">
        <v>45</v>
      </c>
      <c r="G3454" s="1">
        <v>45138</v>
      </c>
      <c r="H3454" s="1">
        <v>45498</v>
      </c>
      <c r="I3454">
        <v>22</v>
      </c>
      <c r="J3454" t="s">
        <v>25</v>
      </c>
      <c r="K3454">
        <v>18615.87</v>
      </c>
    </row>
    <row r="3455" spans="1:11">
      <c r="A3455">
        <v>3454</v>
      </c>
      <c r="B3455" t="s">
        <v>35</v>
      </c>
      <c r="C3455" s="1">
        <v>29221</v>
      </c>
      <c r="D3455">
        <v>46</v>
      </c>
      <c r="E3455" t="s">
        <v>15</v>
      </c>
      <c r="F3455" t="s">
        <v>13</v>
      </c>
      <c r="G3455" s="1">
        <v>45142</v>
      </c>
      <c r="H3455" s="1">
        <v>45083</v>
      </c>
      <c r="I3455">
        <v>11</v>
      </c>
      <c r="J3455" t="s">
        <v>23</v>
      </c>
      <c r="K3455">
        <v>10079.799999999999</v>
      </c>
    </row>
    <row r="3456" spans="1:11">
      <c r="A3456">
        <v>3455</v>
      </c>
      <c r="B3456" t="s">
        <v>40</v>
      </c>
      <c r="C3456" s="1">
        <v>14611</v>
      </c>
      <c r="D3456">
        <v>86</v>
      </c>
      <c r="E3456" t="s">
        <v>15</v>
      </c>
      <c r="F3456" t="s">
        <v>45</v>
      </c>
      <c r="G3456" s="1">
        <v>45196</v>
      </c>
      <c r="H3456" s="1">
        <v>45561</v>
      </c>
      <c r="I3456">
        <v>37</v>
      </c>
      <c r="J3456" t="s">
        <v>23</v>
      </c>
      <c r="K3456">
        <v>15752.85</v>
      </c>
    </row>
    <row r="3457" spans="1:11">
      <c r="A3457">
        <v>3456</v>
      </c>
      <c r="B3457" t="s">
        <v>48</v>
      </c>
      <c r="C3457" s="1">
        <v>28490</v>
      </c>
      <c r="D3457">
        <v>48</v>
      </c>
      <c r="E3457" t="s">
        <v>12</v>
      </c>
      <c r="F3457" t="s">
        <v>21</v>
      </c>
      <c r="G3457" s="1">
        <v>45402</v>
      </c>
      <c r="H3457" s="1">
        <v>45559</v>
      </c>
      <c r="I3457">
        <v>28</v>
      </c>
      <c r="J3457" t="s">
        <v>25</v>
      </c>
      <c r="K3457">
        <v>481.09</v>
      </c>
    </row>
    <row r="3458" spans="1:11">
      <c r="A3458">
        <v>3457</v>
      </c>
      <c r="B3458" t="s">
        <v>62</v>
      </c>
      <c r="C3458" s="1">
        <v>29221</v>
      </c>
      <c r="D3458">
        <v>46</v>
      </c>
      <c r="E3458" t="s">
        <v>15</v>
      </c>
      <c r="F3458" t="s">
        <v>32</v>
      </c>
      <c r="G3458" s="1">
        <v>45454</v>
      </c>
      <c r="H3458" s="1">
        <v>45736</v>
      </c>
      <c r="I3458">
        <v>2</v>
      </c>
      <c r="J3458" t="s">
        <v>23</v>
      </c>
      <c r="K3458">
        <v>14534.44</v>
      </c>
    </row>
    <row r="3459" spans="1:11">
      <c r="A3459">
        <v>3458</v>
      </c>
      <c r="B3459" t="s">
        <v>136</v>
      </c>
      <c r="C3459" s="1">
        <v>15707</v>
      </c>
      <c r="D3459">
        <v>83</v>
      </c>
      <c r="E3459" t="s">
        <v>12</v>
      </c>
      <c r="F3459" t="s">
        <v>45</v>
      </c>
      <c r="G3459" s="1">
        <v>44990</v>
      </c>
      <c r="H3459" s="1">
        <v>45249</v>
      </c>
      <c r="I3459">
        <v>14</v>
      </c>
      <c r="K3459">
        <v>18931.43</v>
      </c>
    </row>
    <row r="3460" spans="1:11">
      <c r="A3460">
        <v>3459</v>
      </c>
      <c r="B3460" t="s">
        <v>29</v>
      </c>
      <c r="C3460" s="1">
        <v>16437</v>
      </c>
      <c r="D3460">
        <v>81</v>
      </c>
      <c r="E3460" t="s">
        <v>15</v>
      </c>
      <c r="F3460" t="s">
        <v>32</v>
      </c>
      <c r="G3460" s="1">
        <v>45386</v>
      </c>
      <c r="H3460" s="1">
        <v>45362</v>
      </c>
      <c r="I3460">
        <v>7</v>
      </c>
      <c r="J3460" t="s">
        <v>23</v>
      </c>
      <c r="K3460">
        <v>9940.51</v>
      </c>
    </row>
    <row r="3461" spans="1:11">
      <c r="A3461">
        <v>3460</v>
      </c>
      <c r="B3461" t="s">
        <v>87</v>
      </c>
      <c r="C3461" s="1">
        <v>39813</v>
      </c>
      <c r="D3461">
        <v>17</v>
      </c>
      <c r="E3461" t="s">
        <v>12</v>
      </c>
      <c r="F3461" t="s">
        <v>45</v>
      </c>
      <c r="G3461" s="1">
        <v>44942</v>
      </c>
      <c r="H3461" s="1">
        <v>45501</v>
      </c>
      <c r="I3461">
        <v>13</v>
      </c>
      <c r="K3461">
        <v>6687.97</v>
      </c>
    </row>
    <row r="3462" spans="1:11">
      <c r="A3462">
        <v>3461</v>
      </c>
      <c r="B3462" t="s">
        <v>83</v>
      </c>
      <c r="C3462" s="1">
        <v>22281</v>
      </c>
      <c r="E3462" t="s">
        <v>12</v>
      </c>
      <c r="F3462" t="s">
        <v>21</v>
      </c>
      <c r="G3462" s="1">
        <v>45490</v>
      </c>
      <c r="H3462" s="1">
        <v>45597</v>
      </c>
      <c r="I3462">
        <v>1</v>
      </c>
      <c r="K3462">
        <v>12897.68</v>
      </c>
    </row>
    <row r="3463" spans="1:11">
      <c r="A3463">
        <v>3462</v>
      </c>
      <c r="B3463" t="s">
        <v>112</v>
      </c>
      <c r="C3463" s="1">
        <v>21551</v>
      </c>
      <c r="D3463">
        <v>67</v>
      </c>
      <c r="E3463" t="s">
        <v>12</v>
      </c>
      <c r="G3463" s="1">
        <v>44945</v>
      </c>
      <c r="H3463" s="1">
        <v>44967</v>
      </c>
      <c r="I3463">
        <v>2</v>
      </c>
      <c r="J3463" t="s">
        <v>19</v>
      </c>
      <c r="K3463">
        <v>18316.849999999999</v>
      </c>
    </row>
    <row r="3464" spans="1:11">
      <c r="A3464">
        <v>3463</v>
      </c>
      <c r="B3464" t="s">
        <v>14</v>
      </c>
      <c r="C3464" s="1">
        <v>12054</v>
      </c>
      <c r="D3464">
        <v>93</v>
      </c>
      <c r="E3464" t="s">
        <v>12</v>
      </c>
      <c r="F3464" t="s">
        <v>16</v>
      </c>
      <c r="G3464" s="1">
        <v>45251</v>
      </c>
      <c r="H3464" s="1">
        <v>45681</v>
      </c>
      <c r="I3464">
        <v>39</v>
      </c>
      <c r="J3464" t="s">
        <v>23</v>
      </c>
      <c r="K3464">
        <v>3453.07</v>
      </c>
    </row>
    <row r="3465" spans="1:11">
      <c r="A3465">
        <v>3464</v>
      </c>
      <c r="B3465" t="s">
        <v>75</v>
      </c>
      <c r="C3465" s="1">
        <v>34334</v>
      </c>
      <c r="D3465">
        <v>32</v>
      </c>
      <c r="E3465" t="s">
        <v>15</v>
      </c>
      <c r="F3465" t="s">
        <v>32</v>
      </c>
      <c r="G3465" s="1">
        <v>45019</v>
      </c>
      <c r="H3465" s="1">
        <v>44967</v>
      </c>
      <c r="I3465">
        <v>38</v>
      </c>
      <c r="K3465">
        <v>8014.25</v>
      </c>
    </row>
    <row r="3466" spans="1:11">
      <c r="A3466">
        <v>3465</v>
      </c>
      <c r="B3466" t="s">
        <v>113</v>
      </c>
      <c r="C3466" s="1">
        <v>33239</v>
      </c>
      <c r="D3466">
        <v>35</v>
      </c>
      <c r="E3466" t="s">
        <v>15</v>
      </c>
      <c r="F3466" t="s">
        <v>13</v>
      </c>
      <c r="G3466" s="1">
        <v>44943</v>
      </c>
      <c r="H3466" s="1">
        <v>45380</v>
      </c>
      <c r="I3466">
        <v>17</v>
      </c>
      <c r="J3466" t="s">
        <v>23</v>
      </c>
      <c r="K3466">
        <v>3041.43</v>
      </c>
    </row>
    <row r="3467" spans="1:11">
      <c r="A3467">
        <v>3466</v>
      </c>
      <c r="B3467" t="s">
        <v>138</v>
      </c>
      <c r="C3467" s="1">
        <v>16437</v>
      </c>
      <c r="D3467">
        <v>81</v>
      </c>
      <c r="E3467" t="s">
        <v>12</v>
      </c>
      <c r="F3467" t="s">
        <v>45</v>
      </c>
      <c r="G3467" s="1">
        <v>45549</v>
      </c>
      <c r="H3467" s="1">
        <v>45797</v>
      </c>
      <c r="I3467">
        <v>3</v>
      </c>
      <c r="J3467" t="s">
        <v>23</v>
      </c>
      <c r="K3467">
        <v>9882.75</v>
      </c>
    </row>
    <row r="3468" spans="1:11">
      <c r="A3468">
        <v>3467</v>
      </c>
      <c r="B3468" t="s">
        <v>144</v>
      </c>
      <c r="C3468" s="1">
        <v>39448</v>
      </c>
      <c r="D3468">
        <v>18</v>
      </c>
      <c r="E3468" t="s">
        <v>12</v>
      </c>
      <c r="F3468" t="s">
        <v>16</v>
      </c>
      <c r="G3468" s="1">
        <v>45414</v>
      </c>
      <c r="H3468" s="1">
        <v>45117</v>
      </c>
      <c r="I3468">
        <v>8</v>
      </c>
      <c r="J3468" t="s">
        <v>25</v>
      </c>
      <c r="K3468">
        <v>10762.48</v>
      </c>
    </row>
    <row r="3469" spans="1:11">
      <c r="A3469">
        <v>3468</v>
      </c>
      <c r="B3469" t="s">
        <v>44</v>
      </c>
      <c r="C3469" s="1">
        <v>36161</v>
      </c>
      <c r="D3469">
        <v>27</v>
      </c>
      <c r="E3469" t="s">
        <v>15</v>
      </c>
      <c r="F3469" t="s">
        <v>45</v>
      </c>
      <c r="G3469" s="1">
        <v>45020</v>
      </c>
      <c r="H3469" s="1">
        <v>45673</v>
      </c>
      <c r="I3469">
        <v>14</v>
      </c>
      <c r="J3469" t="s">
        <v>25</v>
      </c>
      <c r="K3469">
        <v>18878.490000000002</v>
      </c>
    </row>
    <row r="3470" spans="1:11">
      <c r="A3470">
        <v>3469</v>
      </c>
      <c r="B3470" t="s">
        <v>56</v>
      </c>
      <c r="C3470" s="1">
        <v>31778</v>
      </c>
      <c r="D3470">
        <v>39</v>
      </c>
      <c r="E3470" t="s">
        <v>12</v>
      </c>
      <c r="F3470" t="s">
        <v>13</v>
      </c>
      <c r="G3470" s="1">
        <v>44936</v>
      </c>
      <c r="H3470" s="1">
        <v>44942</v>
      </c>
      <c r="I3470">
        <v>38</v>
      </c>
      <c r="J3470" t="s">
        <v>19</v>
      </c>
      <c r="K3470">
        <v>8191.55</v>
      </c>
    </row>
    <row r="3471" spans="1:11">
      <c r="A3471">
        <v>3470</v>
      </c>
      <c r="B3471" t="s">
        <v>101</v>
      </c>
      <c r="C3471" s="1">
        <v>15707</v>
      </c>
      <c r="E3471" t="s">
        <v>15</v>
      </c>
      <c r="F3471" t="s">
        <v>21</v>
      </c>
      <c r="G3471" s="1">
        <v>45650</v>
      </c>
      <c r="H3471" s="1">
        <v>45051</v>
      </c>
      <c r="I3471">
        <v>0</v>
      </c>
      <c r="J3471" t="s">
        <v>23</v>
      </c>
      <c r="K3471">
        <v>11295.83</v>
      </c>
    </row>
    <row r="3472" spans="1:11">
      <c r="A3472">
        <v>3471</v>
      </c>
      <c r="B3472" t="s">
        <v>26</v>
      </c>
      <c r="C3472" s="1">
        <v>18629</v>
      </c>
      <c r="D3472">
        <v>75</v>
      </c>
      <c r="E3472" t="s">
        <v>15</v>
      </c>
      <c r="F3472" t="s">
        <v>18</v>
      </c>
      <c r="G3472" s="1">
        <v>45454</v>
      </c>
      <c r="H3472" s="1">
        <v>45667</v>
      </c>
      <c r="I3472">
        <v>13</v>
      </c>
      <c r="J3472" t="s">
        <v>25</v>
      </c>
      <c r="K3472">
        <v>17693.78</v>
      </c>
    </row>
    <row r="3473" spans="1:11">
      <c r="A3473">
        <v>3472</v>
      </c>
      <c r="B3473" t="s">
        <v>17</v>
      </c>
      <c r="C3473" s="1">
        <v>40909</v>
      </c>
      <c r="D3473">
        <v>14</v>
      </c>
      <c r="E3473" t="s">
        <v>12</v>
      </c>
      <c r="F3473" t="s">
        <v>45</v>
      </c>
      <c r="G3473" s="1">
        <v>45415</v>
      </c>
      <c r="H3473" s="1">
        <v>45826</v>
      </c>
      <c r="I3473">
        <v>33</v>
      </c>
      <c r="K3473">
        <v>6360.24</v>
      </c>
    </row>
    <row r="3474" spans="1:11">
      <c r="A3474">
        <v>3473</v>
      </c>
      <c r="B3474" t="s">
        <v>161</v>
      </c>
      <c r="C3474" s="1">
        <v>31412</v>
      </c>
      <c r="D3474">
        <v>40</v>
      </c>
      <c r="E3474" t="s">
        <v>15</v>
      </c>
      <c r="G3474" s="1">
        <v>45070</v>
      </c>
      <c r="H3474" s="1">
        <v>45207</v>
      </c>
      <c r="I3474">
        <v>23</v>
      </c>
      <c r="K3474">
        <v>13450.69</v>
      </c>
    </row>
    <row r="3475" spans="1:11">
      <c r="A3475">
        <v>3474</v>
      </c>
      <c r="B3475" t="s">
        <v>145</v>
      </c>
      <c r="C3475" s="1">
        <v>32143</v>
      </c>
      <c r="D3475">
        <v>38</v>
      </c>
      <c r="E3475" t="s">
        <v>12</v>
      </c>
      <c r="F3475" t="s">
        <v>13</v>
      </c>
      <c r="G3475" s="1">
        <v>45480</v>
      </c>
      <c r="H3475" s="1">
        <v>44975</v>
      </c>
      <c r="I3475">
        <v>21</v>
      </c>
      <c r="J3475" t="s">
        <v>19</v>
      </c>
      <c r="K3475">
        <v>15118.95</v>
      </c>
    </row>
    <row r="3476" spans="1:11">
      <c r="A3476">
        <v>3475</v>
      </c>
      <c r="B3476" t="s">
        <v>116</v>
      </c>
      <c r="C3476" s="1">
        <v>45657</v>
      </c>
      <c r="D3476">
        <v>1</v>
      </c>
      <c r="E3476" t="s">
        <v>15</v>
      </c>
      <c r="F3476" t="s">
        <v>18</v>
      </c>
      <c r="G3476" s="1">
        <v>45441</v>
      </c>
      <c r="H3476" s="1">
        <v>45116</v>
      </c>
      <c r="I3476">
        <v>31</v>
      </c>
      <c r="K3476">
        <v>6543.62</v>
      </c>
    </row>
    <row r="3477" spans="1:11">
      <c r="A3477">
        <v>3476</v>
      </c>
      <c r="B3477" t="s">
        <v>114</v>
      </c>
      <c r="C3477" s="1">
        <v>23377</v>
      </c>
      <c r="D3477">
        <v>62</v>
      </c>
      <c r="E3477" t="s">
        <v>15</v>
      </c>
      <c r="F3477" t="s">
        <v>45</v>
      </c>
      <c r="G3477" s="1">
        <v>45396</v>
      </c>
      <c r="H3477" s="1">
        <v>45231</v>
      </c>
      <c r="I3477">
        <v>17</v>
      </c>
      <c r="J3477" t="s">
        <v>23</v>
      </c>
      <c r="K3477">
        <v>3203.26</v>
      </c>
    </row>
    <row r="3478" spans="1:11">
      <c r="A3478">
        <v>3477</v>
      </c>
      <c r="B3478" t="s">
        <v>53</v>
      </c>
      <c r="C3478" s="1">
        <v>35795</v>
      </c>
      <c r="D3478">
        <v>28</v>
      </c>
      <c r="E3478" t="s">
        <v>12</v>
      </c>
      <c r="F3478" t="s">
        <v>32</v>
      </c>
      <c r="G3478" s="1">
        <v>45303</v>
      </c>
      <c r="H3478" s="1">
        <v>45486</v>
      </c>
      <c r="I3478">
        <v>14</v>
      </c>
      <c r="K3478">
        <v>10008.48</v>
      </c>
    </row>
    <row r="3479" spans="1:11">
      <c r="A3479">
        <v>3478</v>
      </c>
      <c r="B3479" t="s">
        <v>29</v>
      </c>
      <c r="C3479" s="1">
        <v>19359</v>
      </c>
      <c r="D3479">
        <v>73</v>
      </c>
      <c r="E3479" t="s">
        <v>12</v>
      </c>
      <c r="F3479" t="s">
        <v>16</v>
      </c>
      <c r="G3479" s="1">
        <v>45594</v>
      </c>
      <c r="H3479" s="1">
        <v>45623</v>
      </c>
      <c r="I3479">
        <v>17</v>
      </c>
      <c r="J3479" t="s">
        <v>19</v>
      </c>
      <c r="K3479">
        <v>7071.71</v>
      </c>
    </row>
    <row r="3480" spans="1:11">
      <c r="A3480">
        <v>3479</v>
      </c>
      <c r="B3480" t="s">
        <v>167</v>
      </c>
      <c r="C3480" s="1">
        <v>22281</v>
      </c>
      <c r="D3480">
        <v>65</v>
      </c>
      <c r="E3480" t="s">
        <v>15</v>
      </c>
      <c r="F3480" t="s">
        <v>16</v>
      </c>
      <c r="G3480" s="1">
        <v>45420</v>
      </c>
      <c r="H3480" s="1">
        <v>45032</v>
      </c>
      <c r="I3480">
        <v>13</v>
      </c>
      <c r="J3480" t="s">
        <v>19</v>
      </c>
      <c r="K3480">
        <v>5255.89</v>
      </c>
    </row>
    <row r="3481" spans="1:11">
      <c r="A3481">
        <v>3480</v>
      </c>
      <c r="B3481" t="s">
        <v>86</v>
      </c>
      <c r="C3481" s="1">
        <v>27760</v>
      </c>
      <c r="D3481">
        <v>50</v>
      </c>
      <c r="E3481" t="s">
        <v>15</v>
      </c>
      <c r="F3481" t="s">
        <v>13</v>
      </c>
      <c r="G3481" s="1">
        <v>45611</v>
      </c>
      <c r="H3481" s="1">
        <v>45296</v>
      </c>
      <c r="I3481">
        <v>1</v>
      </c>
      <c r="K3481">
        <v>19465.77</v>
      </c>
    </row>
    <row r="3482" spans="1:11">
      <c r="A3482">
        <v>3481</v>
      </c>
      <c r="B3482" t="s">
        <v>11</v>
      </c>
      <c r="C3482" s="1">
        <v>18994</v>
      </c>
      <c r="D3482">
        <v>74</v>
      </c>
      <c r="E3482" t="s">
        <v>15</v>
      </c>
      <c r="F3482" t="s">
        <v>32</v>
      </c>
      <c r="G3482" s="1">
        <v>45410</v>
      </c>
      <c r="H3482" s="1">
        <v>45428</v>
      </c>
      <c r="I3482">
        <v>15</v>
      </c>
      <c r="J3482" t="s">
        <v>23</v>
      </c>
      <c r="K3482">
        <v>9993.2800000000007</v>
      </c>
    </row>
    <row r="3483" spans="1:11">
      <c r="A3483">
        <v>3482</v>
      </c>
      <c r="B3483" t="s">
        <v>54</v>
      </c>
      <c r="C3483" s="1">
        <v>18263</v>
      </c>
      <c r="D3483">
        <v>76</v>
      </c>
      <c r="E3483" t="s">
        <v>15</v>
      </c>
      <c r="F3483" t="s">
        <v>21</v>
      </c>
      <c r="G3483" s="1">
        <v>45378</v>
      </c>
      <c r="H3483" s="1">
        <v>45387</v>
      </c>
      <c r="I3483">
        <v>33</v>
      </c>
      <c r="J3483" t="s">
        <v>25</v>
      </c>
      <c r="K3483">
        <v>17115.2</v>
      </c>
    </row>
    <row r="3484" spans="1:11">
      <c r="A3484">
        <v>3483</v>
      </c>
      <c r="B3484" t="s">
        <v>146</v>
      </c>
      <c r="C3484" s="1">
        <v>42735</v>
      </c>
      <c r="D3484">
        <v>9</v>
      </c>
      <c r="E3484" t="s">
        <v>12</v>
      </c>
      <c r="F3484" t="s">
        <v>18</v>
      </c>
      <c r="G3484" s="1">
        <v>45462</v>
      </c>
      <c r="H3484" s="1">
        <v>45174</v>
      </c>
      <c r="I3484">
        <v>32</v>
      </c>
      <c r="J3484" t="s">
        <v>23</v>
      </c>
      <c r="K3484">
        <v>3825.88</v>
      </c>
    </row>
    <row r="3485" spans="1:11">
      <c r="A3485">
        <v>3484</v>
      </c>
      <c r="B3485" t="s">
        <v>128</v>
      </c>
      <c r="C3485" s="1">
        <v>41274</v>
      </c>
      <c r="D3485">
        <v>13</v>
      </c>
      <c r="E3485" t="s">
        <v>12</v>
      </c>
      <c r="F3485" t="s">
        <v>13</v>
      </c>
      <c r="G3485" s="1">
        <v>45001</v>
      </c>
      <c r="H3485" s="1">
        <v>45191</v>
      </c>
      <c r="I3485">
        <v>27</v>
      </c>
      <c r="J3485" t="s">
        <v>23</v>
      </c>
      <c r="K3485">
        <v>18782.8</v>
      </c>
    </row>
    <row r="3486" spans="1:11">
      <c r="A3486">
        <v>3485</v>
      </c>
      <c r="B3486" t="s">
        <v>58</v>
      </c>
      <c r="C3486" s="1">
        <v>16437</v>
      </c>
      <c r="D3486">
        <v>81</v>
      </c>
      <c r="E3486" t="s">
        <v>15</v>
      </c>
      <c r="G3486" s="1">
        <v>44966</v>
      </c>
      <c r="H3486" s="1">
        <v>45133</v>
      </c>
      <c r="I3486">
        <v>15</v>
      </c>
      <c r="J3486" t="s">
        <v>23</v>
      </c>
      <c r="K3486">
        <v>15868.07</v>
      </c>
    </row>
    <row r="3487" spans="1:11">
      <c r="A3487">
        <v>3486</v>
      </c>
      <c r="B3487" t="s">
        <v>98</v>
      </c>
      <c r="C3487" s="1">
        <v>27760</v>
      </c>
      <c r="E3487" t="s">
        <v>15</v>
      </c>
      <c r="F3487" t="s">
        <v>45</v>
      </c>
      <c r="G3487" s="1">
        <v>45228</v>
      </c>
      <c r="H3487" s="1">
        <v>45434</v>
      </c>
      <c r="I3487">
        <v>18</v>
      </c>
      <c r="K3487">
        <v>16154.71</v>
      </c>
    </row>
    <row r="3488" spans="1:11">
      <c r="A3488">
        <v>3487</v>
      </c>
      <c r="B3488" t="s">
        <v>160</v>
      </c>
      <c r="C3488" s="1">
        <v>19724</v>
      </c>
      <c r="D3488">
        <v>72</v>
      </c>
      <c r="E3488" t="s">
        <v>12</v>
      </c>
      <c r="F3488" t="s">
        <v>16</v>
      </c>
      <c r="G3488" s="1">
        <v>45478</v>
      </c>
      <c r="H3488" s="1">
        <v>45457</v>
      </c>
      <c r="I3488">
        <v>29</v>
      </c>
      <c r="J3488" t="s">
        <v>25</v>
      </c>
      <c r="K3488">
        <v>7734.27</v>
      </c>
    </row>
    <row r="3489" spans="1:11">
      <c r="A3489">
        <v>3488</v>
      </c>
      <c r="B3489" t="s">
        <v>26</v>
      </c>
      <c r="C3489" s="1">
        <v>32143</v>
      </c>
      <c r="D3489">
        <v>38</v>
      </c>
      <c r="E3489" t="s">
        <v>12</v>
      </c>
      <c r="F3489" t="s">
        <v>45</v>
      </c>
      <c r="G3489" s="1">
        <v>44988</v>
      </c>
      <c r="H3489" s="1">
        <v>45291</v>
      </c>
      <c r="I3489">
        <v>2</v>
      </c>
      <c r="J3489" t="s">
        <v>23</v>
      </c>
      <c r="K3489">
        <v>9661.2999999999993</v>
      </c>
    </row>
    <row r="3490" spans="1:11">
      <c r="A3490">
        <v>3489</v>
      </c>
      <c r="B3490" t="s">
        <v>168</v>
      </c>
      <c r="C3490" s="1">
        <v>36161</v>
      </c>
      <c r="D3490">
        <v>27</v>
      </c>
      <c r="E3490" t="s">
        <v>12</v>
      </c>
      <c r="F3490" t="s">
        <v>18</v>
      </c>
      <c r="G3490" s="1">
        <v>45429</v>
      </c>
      <c r="H3490" s="1">
        <v>45690</v>
      </c>
      <c r="I3490">
        <v>38</v>
      </c>
      <c r="J3490" t="s">
        <v>25</v>
      </c>
      <c r="K3490">
        <v>11826.42</v>
      </c>
    </row>
    <row r="3491" spans="1:11">
      <c r="A3491">
        <v>3490</v>
      </c>
      <c r="B3491" t="s">
        <v>110</v>
      </c>
      <c r="C3491" s="1">
        <v>45292</v>
      </c>
      <c r="D3491">
        <v>2</v>
      </c>
      <c r="E3491" t="s">
        <v>12</v>
      </c>
      <c r="F3491" t="s">
        <v>32</v>
      </c>
      <c r="G3491" s="1">
        <v>45171</v>
      </c>
      <c r="H3491" s="1">
        <v>45677</v>
      </c>
      <c r="I3491">
        <v>20</v>
      </c>
      <c r="J3491" t="s">
        <v>19</v>
      </c>
      <c r="K3491">
        <v>15774.29</v>
      </c>
    </row>
    <row r="3492" spans="1:11">
      <c r="A3492">
        <v>3491</v>
      </c>
      <c r="B3492" t="s">
        <v>81</v>
      </c>
      <c r="C3492" s="1">
        <v>15707</v>
      </c>
      <c r="D3492">
        <v>83</v>
      </c>
      <c r="E3492" t="s">
        <v>15</v>
      </c>
      <c r="F3492" t="s">
        <v>32</v>
      </c>
      <c r="G3492" s="1">
        <v>44944</v>
      </c>
      <c r="H3492" s="1">
        <v>45267</v>
      </c>
      <c r="I3492">
        <v>27</v>
      </c>
      <c r="J3492" t="s">
        <v>25</v>
      </c>
      <c r="K3492">
        <v>16966.04</v>
      </c>
    </row>
    <row r="3493" spans="1:11">
      <c r="A3493">
        <v>3492</v>
      </c>
      <c r="B3493" t="s">
        <v>126</v>
      </c>
      <c r="C3493" s="1">
        <v>20820</v>
      </c>
      <c r="D3493">
        <v>69</v>
      </c>
      <c r="E3493" t="s">
        <v>12</v>
      </c>
      <c r="F3493" t="s">
        <v>13</v>
      </c>
      <c r="G3493" s="1">
        <v>45578</v>
      </c>
      <c r="H3493" s="1">
        <v>45334</v>
      </c>
      <c r="I3493">
        <v>24</v>
      </c>
      <c r="K3493">
        <v>1468.71</v>
      </c>
    </row>
    <row r="3494" spans="1:11">
      <c r="A3494">
        <v>3493</v>
      </c>
      <c r="B3494" t="s">
        <v>97</v>
      </c>
      <c r="C3494" s="1">
        <v>36526</v>
      </c>
      <c r="D3494">
        <v>26</v>
      </c>
      <c r="F3494" t="s">
        <v>13</v>
      </c>
      <c r="G3494" s="1">
        <v>45324</v>
      </c>
      <c r="H3494" s="1">
        <v>45380</v>
      </c>
      <c r="I3494">
        <v>12</v>
      </c>
      <c r="J3494" t="s">
        <v>19</v>
      </c>
      <c r="K3494">
        <v>18071.650000000001</v>
      </c>
    </row>
    <row r="3495" spans="1:11">
      <c r="A3495">
        <v>3494</v>
      </c>
      <c r="B3495" t="s">
        <v>134</v>
      </c>
      <c r="C3495" s="1">
        <v>45657</v>
      </c>
      <c r="D3495">
        <v>1</v>
      </c>
      <c r="E3495" t="s">
        <v>12</v>
      </c>
      <c r="F3495" t="s">
        <v>32</v>
      </c>
      <c r="G3495" s="1">
        <v>45520</v>
      </c>
      <c r="H3495" s="1">
        <v>45760</v>
      </c>
      <c r="I3495">
        <v>38</v>
      </c>
      <c r="J3495" t="s">
        <v>19</v>
      </c>
      <c r="K3495">
        <v>18743.68</v>
      </c>
    </row>
    <row r="3496" spans="1:11">
      <c r="A3496">
        <v>3495</v>
      </c>
      <c r="B3496" t="s">
        <v>147</v>
      </c>
      <c r="C3496" s="1">
        <v>12419</v>
      </c>
      <c r="E3496" t="s">
        <v>15</v>
      </c>
      <c r="F3496" t="s">
        <v>13</v>
      </c>
      <c r="G3496" s="1">
        <v>45115</v>
      </c>
      <c r="H3496" s="1">
        <v>45804</v>
      </c>
      <c r="I3496">
        <v>11</v>
      </c>
      <c r="J3496" t="s">
        <v>23</v>
      </c>
      <c r="K3496">
        <v>11817.04</v>
      </c>
    </row>
    <row r="3497" spans="1:11">
      <c r="A3497">
        <v>3496</v>
      </c>
      <c r="B3497" t="s">
        <v>72</v>
      </c>
      <c r="C3497" s="1">
        <v>32508</v>
      </c>
      <c r="D3497">
        <v>37</v>
      </c>
      <c r="E3497" t="s">
        <v>15</v>
      </c>
      <c r="F3497" t="s">
        <v>32</v>
      </c>
      <c r="G3497" s="1">
        <v>45546</v>
      </c>
      <c r="H3497" s="1">
        <v>45741</v>
      </c>
      <c r="I3497">
        <v>18</v>
      </c>
      <c r="J3497" t="s">
        <v>25</v>
      </c>
      <c r="K3497">
        <v>3653.69</v>
      </c>
    </row>
    <row r="3498" spans="1:11">
      <c r="A3498">
        <v>3497</v>
      </c>
      <c r="B3498" t="s">
        <v>73</v>
      </c>
      <c r="C3498" s="1">
        <v>45292</v>
      </c>
      <c r="D3498">
        <v>2</v>
      </c>
      <c r="E3498" t="s">
        <v>15</v>
      </c>
      <c r="F3498" t="s">
        <v>18</v>
      </c>
      <c r="G3498" s="1">
        <v>45030</v>
      </c>
      <c r="H3498" s="1">
        <v>45505</v>
      </c>
      <c r="I3498">
        <v>31</v>
      </c>
      <c r="J3498" t="s">
        <v>19</v>
      </c>
      <c r="K3498">
        <v>16350.14</v>
      </c>
    </row>
    <row r="3499" spans="1:11">
      <c r="A3499">
        <v>3498</v>
      </c>
      <c r="B3499" t="s">
        <v>118</v>
      </c>
      <c r="C3499" s="1">
        <v>40544</v>
      </c>
      <c r="D3499">
        <v>15</v>
      </c>
      <c r="E3499" t="s">
        <v>12</v>
      </c>
      <c r="F3499" t="s">
        <v>13</v>
      </c>
      <c r="G3499" s="1">
        <v>45572</v>
      </c>
      <c r="H3499" s="1">
        <v>45775</v>
      </c>
      <c r="I3499">
        <v>23</v>
      </c>
      <c r="J3499" t="s">
        <v>19</v>
      </c>
      <c r="K3499">
        <v>10926.61</v>
      </c>
    </row>
    <row r="3500" spans="1:11">
      <c r="A3500">
        <v>3499</v>
      </c>
      <c r="B3500" t="s">
        <v>128</v>
      </c>
      <c r="C3500" s="1">
        <v>12054</v>
      </c>
      <c r="E3500" t="s">
        <v>15</v>
      </c>
      <c r="F3500" t="s">
        <v>32</v>
      </c>
      <c r="G3500" s="1">
        <v>45270</v>
      </c>
      <c r="H3500" s="1">
        <v>45077</v>
      </c>
      <c r="I3500">
        <v>22</v>
      </c>
      <c r="J3500" t="s">
        <v>25</v>
      </c>
      <c r="K3500">
        <v>16325.65</v>
      </c>
    </row>
    <row r="3501" spans="1:11">
      <c r="A3501">
        <v>3500</v>
      </c>
      <c r="B3501" t="s">
        <v>41</v>
      </c>
      <c r="C3501" s="1">
        <v>31778</v>
      </c>
      <c r="D3501">
        <v>39</v>
      </c>
      <c r="E3501" t="s">
        <v>15</v>
      </c>
      <c r="F3501" t="s">
        <v>13</v>
      </c>
      <c r="G3501" s="1">
        <v>45297</v>
      </c>
      <c r="H3501" s="1">
        <v>45120</v>
      </c>
      <c r="I3501">
        <v>28</v>
      </c>
      <c r="J3501" t="s">
        <v>25</v>
      </c>
      <c r="K3501">
        <v>16277.64</v>
      </c>
    </row>
    <row r="3502" spans="1:11">
      <c r="A3502">
        <v>3501</v>
      </c>
      <c r="B3502" t="s">
        <v>44</v>
      </c>
      <c r="C3502" s="1">
        <v>45657</v>
      </c>
      <c r="D3502">
        <v>1</v>
      </c>
      <c r="E3502" t="s">
        <v>12</v>
      </c>
      <c r="F3502" t="s">
        <v>45</v>
      </c>
      <c r="G3502" s="1">
        <v>44959</v>
      </c>
      <c r="H3502" s="1">
        <v>45074</v>
      </c>
      <c r="I3502">
        <v>3</v>
      </c>
      <c r="J3502" t="s">
        <v>19</v>
      </c>
      <c r="K3502">
        <v>1643.26</v>
      </c>
    </row>
    <row r="3503" spans="1:11">
      <c r="A3503">
        <v>3502</v>
      </c>
      <c r="B3503" t="s">
        <v>14</v>
      </c>
      <c r="C3503" s="1">
        <v>16802</v>
      </c>
      <c r="D3503">
        <v>80</v>
      </c>
      <c r="E3503" t="s">
        <v>15</v>
      </c>
      <c r="F3503" t="s">
        <v>16</v>
      </c>
      <c r="G3503" s="1">
        <v>45300</v>
      </c>
      <c r="H3503" s="1">
        <v>45333</v>
      </c>
      <c r="I3503">
        <v>1</v>
      </c>
      <c r="J3503" t="s">
        <v>19</v>
      </c>
      <c r="K3503">
        <v>12101.13</v>
      </c>
    </row>
    <row r="3504" spans="1:11">
      <c r="A3504">
        <v>3503</v>
      </c>
      <c r="B3504" t="s">
        <v>103</v>
      </c>
      <c r="C3504" s="1">
        <v>31412</v>
      </c>
      <c r="D3504">
        <v>40</v>
      </c>
      <c r="E3504" t="s">
        <v>15</v>
      </c>
      <c r="F3504" t="s">
        <v>45</v>
      </c>
      <c r="G3504" s="1">
        <v>45104</v>
      </c>
      <c r="H3504" s="1">
        <v>45110</v>
      </c>
      <c r="I3504">
        <v>21</v>
      </c>
      <c r="J3504" t="s">
        <v>25</v>
      </c>
      <c r="K3504">
        <v>9611.2000000000007</v>
      </c>
    </row>
    <row r="3505" spans="1:11">
      <c r="A3505">
        <v>3504</v>
      </c>
      <c r="B3505" t="s">
        <v>143</v>
      </c>
      <c r="C3505" s="1">
        <v>42005</v>
      </c>
      <c r="D3505">
        <v>11</v>
      </c>
      <c r="E3505" t="s">
        <v>15</v>
      </c>
      <c r="F3505" t="s">
        <v>21</v>
      </c>
      <c r="G3505" s="1">
        <v>44938</v>
      </c>
      <c r="H3505" s="1">
        <v>45033</v>
      </c>
      <c r="I3505">
        <v>39</v>
      </c>
      <c r="K3505">
        <v>18917</v>
      </c>
    </row>
    <row r="3506" spans="1:11">
      <c r="A3506">
        <v>3505</v>
      </c>
      <c r="B3506" t="s">
        <v>71</v>
      </c>
      <c r="C3506" s="1">
        <v>33604</v>
      </c>
      <c r="D3506">
        <v>34</v>
      </c>
      <c r="E3506" t="s">
        <v>15</v>
      </c>
      <c r="F3506" t="s">
        <v>32</v>
      </c>
      <c r="G3506" s="1">
        <v>45382</v>
      </c>
      <c r="H3506" s="1">
        <v>45163</v>
      </c>
      <c r="I3506">
        <v>28</v>
      </c>
      <c r="J3506" t="s">
        <v>25</v>
      </c>
      <c r="K3506">
        <v>5862.49</v>
      </c>
    </row>
    <row r="3507" spans="1:11">
      <c r="A3507">
        <v>3506</v>
      </c>
      <c r="B3507" t="s">
        <v>88</v>
      </c>
      <c r="C3507" s="1">
        <v>22646</v>
      </c>
      <c r="D3507">
        <v>64</v>
      </c>
      <c r="E3507" t="s">
        <v>15</v>
      </c>
      <c r="F3507" t="s">
        <v>21</v>
      </c>
      <c r="G3507" s="1">
        <v>45569</v>
      </c>
      <c r="H3507" s="1">
        <v>45565</v>
      </c>
      <c r="I3507">
        <v>16</v>
      </c>
      <c r="K3507">
        <v>4040.6</v>
      </c>
    </row>
    <row r="3508" spans="1:11">
      <c r="A3508">
        <v>3507</v>
      </c>
      <c r="B3508" t="s">
        <v>134</v>
      </c>
      <c r="C3508" s="1">
        <v>26299</v>
      </c>
      <c r="D3508">
        <v>54</v>
      </c>
      <c r="E3508" t="s">
        <v>12</v>
      </c>
      <c r="F3508" t="s">
        <v>32</v>
      </c>
      <c r="G3508" s="1">
        <v>45175</v>
      </c>
      <c r="H3508" s="1">
        <v>45106</v>
      </c>
      <c r="I3508">
        <v>8</v>
      </c>
      <c r="J3508" t="s">
        <v>19</v>
      </c>
      <c r="K3508">
        <v>17931.45</v>
      </c>
    </row>
    <row r="3509" spans="1:11">
      <c r="A3509">
        <v>3508</v>
      </c>
      <c r="B3509" t="s">
        <v>140</v>
      </c>
      <c r="C3509" s="1">
        <v>29951</v>
      </c>
      <c r="D3509">
        <v>44</v>
      </c>
      <c r="E3509" t="s">
        <v>12</v>
      </c>
      <c r="F3509" t="s">
        <v>16</v>
      </c>
      <c r="G3509" s="1">
        <v>45374</v>
      </c>
      <c r="H3509" s="1">
        <v>45359</v>
      </c>
      <c r="I3509">
        <v>26</v>
      </c>
      <c r="J3509" t="s">
        <v>23</v>
      </c>
      <c r="K3509">
        <v>2889.18</v>
      </c>
    </row>
    <row r="3510" spans="1:11">
      <c r="A3510">
        <v>3509</v>
      </c>
      <c r="B3510" t="s">
        <v>62</v>
      </c>
      <c r="C3510" s="1">
        <v>17533</v>
      </c>
      <c r="D3510">
        <v>78</v>
      </c>
      <c r="E3510" t="s">
        <v>15</v>
      </c>
      <c r="F3510" t="s">
        <v>13</v>
      </c>
      <c r="G3510" s="1">
        <v>45496</v>
      </c>
      <c r="H3510" s="1">
        <v>45328</v>
      </c>
      <c r="I3510">
        <v>2</v>
      </c>
      <c r="J3510" t="s">
        <v>25</v>
      </c>
      <c r="K3510">
        <v>13699.04</v>
      </c>
    </row>
    <row r="3511" spans="1:11">
      <c r="A3511">
        <v>3510</v>
      </c>
      <c r="B3511" t="s">
        <v>63</v>
      </c>
      <c r="C3511" s="1">
        <v>13515</v>
      </c>
      <c r="D3511">
        <v>89</v>
      </c>
      <c r="E3511" t="s">
        <v>15</v>
      </c>
      <c r="F3511" t="s">
        <v>32</v>
      </c>
      <c r="G3511" s="1">
        <v>44930</v>
      </c>
      <c r="H3511" s="1">
        <v>45452</v>
      </c>
      <c r="I3511">
        <v>15</v>
      </c>
      <c r="J3511" t="s">
        <v>19</v>
      </c>
      <c r="K3511">
        <v>5930.4</v>
      </c>
    </row>
    <row r="3512" spans="1:11">
      <c r="A3512">
        <v>3511</v>
      </c>
      <c r="B3512" t="s">
        <v>110</v>
      </c>
      <c r="C3512" s="1">
        <v>15341</v>
      </c>
      <c r="D3512">
        <v>84</v>
      </c>
      <c r="E3512" t="s">
        <v>12</v>
      </c>
      <c r="F3512" t="s">
        <v>45</v>
      </c>
      <c r="G3512" s="1">
        <v>45162</v>
      </c>
      <c r="H3512" s="1">
        <v>45670</v>
      </c>
      <c r="I3512">
        <v>0</v>
      </c>
      <c r="J3512" t="s">
        <v>19</v>
      </c>
      <c r="K3512">
        <v>11313.7</v>
      </c>
    </row>
    <row r="3513" spans="1:11">
      <c r="A3513">
        <v>3512</v>
      </c>
      <c r="B3513" t="s">
        <v>116</v>
      </c>
      <c r="C3513" s="1">
        <v>23742</v>
      </c>
      <c r="D3513">
        <v>61</v>
      </c>
      <c r="E3513" t="s">
        <v>15</v>
      </c>
      <c r="F3513" t="s">
        <v>13</v>
      </c>
      <c r="G3513" s="1">
        <v>45099</v>
      </c>
      <c r="H3513" s="1">
        <v>45467</v>
      </c>
      <c r="I3513">
        <v>37</v>
      </c>
      <c r="J3513" t="s">
        <v>23</v>
      </c>
      <c r="K3513">
        <v>12286.01</v>
      </c>
    </row>
    <row r="3514" spans="1:11">
      <c r="A3514">
        <v>3513</v>
      </c>
      <c r="B3514" t="s">
        <v>148</v>
      </c>
      <c r="C3514" s="1">
        <v>28490</v>
      </c>
      <c r="D3514">
        <v>48</v>
      </c>
      <c r="E3514" t="s">
        <v>15</v>
      </c>
      <c r="F3514" t="s">
        <v>16</v>
      </c>
      <c r="G3514" s="1">
        <v>45248</v>
      </c>
      <c r="H3514" s="1">
        <v>45818</v>
      </c>
      <c r="I3514">
        <v>8</v>
      </c>
      <c r="J3514" t="s">
        <v>25</v>
      </c>
      <c r="K3514">
        <v>8289.1200000000008</v>
      </c>
    </row>
    <row r="3515" spans="1:11">
      <c r="A3515">
        <v>3514</v>
      </c>
      <c r="B3515" t="s">
        <v>54</v>
      </c>
      <c r="C3515" s="1">
        <v>11689</v>
      </c>
      <c r="D3515">
        <v>94</v>
      </c>
      <c r="E3515" t="s">
        <v>12</v>
      </c>
      <c r="F3515" t="s">
        <v>45</v>
      </c>
      <c r="G3515" s="1">
        <v>45297</v>
      </c>
      <c r="H3515" s="1">
        <v>45250</v>
      </c>
      <c r="I3515">
        <v>18</v>
      </c>
      <c r="J3515" t="s">
        <v>19</v>
      </c>
      <c r="K3515">
        <v>19496.8</v>
      </c>
    </row>
    <row r="3516" spans="1:11">
      <c r="A3516">
        <v>3515</v>
      </c>
      <c r="B3516" t="s">
        <v>61</v>
      </c>
      <c r="C3516" s="1">
        <v>37256</v>
      </c>
      <c r="D3516">
        <v>24</v>
      </c>
      <c r="E3516" t="s">
        <v>15</v>
      </c>
      <c r="F3516" t="s">
        <v>13</v>
      </c>
      <c r="G3516" s="1">
        <v>45474</v>
      </c>
      <c r="H3516" s="1">
        <v>45188</v>
      </c>
      <c r="I3516">
        <v>27</v>
      </c>
      <c r="K3516">
        <v>2549.85</v>
      </c>
    </row>
    <row r="3517" spans="1:11">
      <c r="A3517">
        <v>3516</v>
      </c>
      <c r="B3517" t="s">
        <v>99</v>
      </c>
      <c r="C3517" s="1">
        <v>37987</v>
      </c>
      <c r="D3517">
        <v>22</v>
      </c>
      <c r="E3517" t="s">
        <v>15</v>
      </c>
      <c r="F3517" t="s">
        <v>32</v>
      </c>
      <c r="G3517" s="1">
        <v>45222</v>
      </c>
      <c r="H3517" s="1">
        <v>45539</v>
      </c>
      <c r="I3517">
        <v>16</v>
      </c>
      <c r="J3517" t="s">
        <v>23</v>
      </c>
      <c r="K3517">
        <v>7767.12</v>
      </c>
    </row>
    <row r="3518" spans="1:11">
      <c r="A3518">
        <v>3517</v>
      </c>
      <c r="B3518" t="s">
        <v>68</v>
      </c>
      <c r="C3518" s="1">
        <v>37622</v>
      </c>
      <c r="D3518">
        <v>23</v>
      </c>
      <c r="E3518" t="s">
        <v>15</v>
      </c>
      <c r="F3518" t="s">
        <v>32</v>
      </c>
      <c r="G3518" s="1">
        <v>45326</v>
      </c>
      <c r="H3518" s="1">
        <v>45627</v>
      </c>
      <c r="I3518">
        <v>22</v>
      </c>
      <c r="K3518">
        <v>8550.9500000000007</v>
      </c>
    </row>
    <row r="3519" spans="1:11">
      <c r="A3519">
        <v>3518</v>
      </c>
      <c r="B3519" t="s">
        <v>81</v>
      </c>
      <c r="C3519" s="1">
        <v>32508</v>
      </c>
      <c r="D3519">
        <v>37</v>
      </c>
      <c r="E3519" t="s">
        <v>12</v>
      </c>
      <c r="F3519" t="s">
        <v>45</v>
      </c>
      <c r="G3519" s="1">
        <v>44984</v>
      </c>
      <c r="H3519" s="1">
        <v>45326</v>
      </c>
      <c r="I3519">
        <v>32</v>
      </c>
      <c r="J3519" t="s">
        <v>25</v>
      </c>
      <c r="K3519">
        <v>12584.04</v>
      </c>
    </row>
    <row r="3520" spans="1:11">
      <c r="A3520">
        <v>3519</v>
      </c>
      <c r="B3520" t="s">
        <v>39</v>
      </c>
      <c r="C3520" s="1">
        <v>36161</v>
      </c>
      <c r="D3520">
        <v>27</v>
      </c>
      <c r="E3520" t="s">
        <v>15</v>
      </c>
      <c r="F3520" t="s">
        <v>18</v>
      </c>
      <c r="G3520" s="1">
        <v>45456</v>
      </c>
      <c r="H3520" s="1">
        <v>45264</v>
      </c>
      <c r="I3520">
        <v>9</v>
      </c>
      <c r="K3520">
        <v>8085.92</v>
      </c>
    </row>
    <row r="3521" spans="1:11">
      <c r="A3521">
        <v>3520</v>
      </c>
      <c r="B3521" t="s">
        <v>49</v>
      </c>
      <c r="C3521" s="1">
        <v>38717</v>
      </c>
      <c r="D3521">
        <v>20</v>
      </c>
      <c r="E3521" t="s">
        <v>15</v>
      </c>
      <c r="F3521" t="s">
        <v>32</v>
      </c>
      <c r="G3521" s="1">
        <v>45474</v>
      </c>
      <c r="H3521" s="1">
        <v>45227</v>
      </c>
      <c r="I3521">
        <v>23</v>
      </c>
      <c r="J3521" t="s">
        <v>23</v>
      </c>
      <c r="K3521">
        <v>1850.42</v>
      </c>
    </row>
    <row r="3522" spans="1:11">
      <c r="A3522">
        <v>3521</v>
      </c>
      <c r="B3522" t="s">
        <v>114</v>
      </c>
      <c r="C3522" s="1">
        <v>26664</v>
      </c>
      <c r="D3522">
        <v>53</v>
      </c>
      <c r="E3522" t="s">
        <v>15</v>
      </c>
      <c r="F3522" t="s">
        <v>18</v>
      </c>
      <c r="G3522" s="1">
        <v>45334</v>
      </c>
      <c r="H3522" s="1">
        <v>45046</v>
      </c>
      <c r="I3522">
        <v>2</v>
      </c>
      <c r="J3522" t="s">
        <v>19</v>
      </c>
      <c r="K3522">
        <v>18943.34</v>
      </c>
    </row>
    <row r="3523" spans="1:11">
      <c r="A3523">
        <v>3522</v>
      </c>
      <c r="B3523" t="s">
        <v>104</v>
      </c>
      <c r="C3523" s="1">
        <v>39813</v>
      </c>
      <c r="D3523">
        <v>17</v>
      </c>
      <c r="E3523" t="s">
        <v>12</v>
      </c>
      <c r="F3523" t="s">
        <v>13</v>
      </c>
      <c r="G3523" s="1">
        <v>45567</v>
      </c>
      <c r="H3523" s="1">
        <v>45485</v>
      </c>
      <c r="I3523">
        <v>16</v>
      </c>
      <c r="J3523" t="s">
        <v>23</v>
      </c>
      <c r="K3523">
        <v>8263.19</v>
      </c>
    </row>
    <row r="3524" spans="1:11">
      <c r="A3524">
        <v>3523</v>
      </c>
      <c r="B3524" t="s">
        <v>130</v>
      </c>
      <c r="C3524" s="1">
        <v>33239</v>
      </c>
      <c r="E3524" t="s">
        <v>15</v>
      </c>
      <c r="F3524" t="s">
        <v>18</v>
      </c>
      <c r="G3524" s="1">
        <v>45439</v>
      </c>
      <c r="H3524" s="1">
        <v>45340</v>
      </c>
      <c r="I3524">
        <v>24</v>
      </c>
      <c r="J3524" t="s">
        <v>19</v>
      </c>
      <c r="K3524">
        <v>6787.74</v>
      </c>
    </row>
    <row r="3525" spans="1:11">
      <c r="A3525">
        <v>3524</v>
      </c>
      <c r="B3525" t="s">
        <v>100</v>
      </c>
      <c r="C3525" s="1">
        <v>29951</v>
      </c>
      <c r="D3525">
        <v>44</v>
      </c>
      <c r="E3525" t="s">
        <v>15</v>
      </c>
      <c r="F3525" t="s">
        <v>45</v>
      </c>
      <c r="G3525" s="1">
        <v>44990</v>
      </c>
      <c r="H3525" s="1">
        <v>45507</v>
      </c>
      <c r="I3525">
        <v>35</v>
      </c>
      <c r="J3525" t="s">
        <v>19</v>
      </c>
      <c r="K3525">
        <v>8879.11</v>
      </c>
    </row>
    <row r="3526" spans="1:11">
      <c r="A3526">
        <v>3525</v>
      </c>
      <c r="B3526" t="s">
        <v>138</v>
      </c>
      <c r="C3526" s="1">
        <v>19724</v>
      </c>
      <c r="D3526">
        <v>72</v>
      </c>
      <c r="E3526" t="s">
        <v>12</v>
      </c>
      <c r="F3526" t="s">
        <v>21</v>
      </c>
      <c r="G3526" s="1">
        <v>45500</v>
      </c>
      <c r="H3526" s="1">
        <v>45311</v>
      </c>
      <c r="I3526">
        <v>26</v>
      </c>
      <c r="K3526">
        <v>4253.57</v>
      </c>
    </row>
    <row r="3527" spans="1:11">
      <c r="A3527">
        <v>3526</v>
      </c>
      <c r="B3527" t="s">
        <v>70</v>
      </c>
      <c r="C3527" s="1">
        <v>27029</v>
      </c>
      <c r="E3527" t="s">
        <v>12</v>
      </c>
      <c r="F3527" t="s">
        <v>21</v>
      </c>
      <c r="G3527" s="1">
        <v>45346</v>
      </c>
      <c r="H3527" s="1">
        <v>45407</v>
      </c>
      <c r="I3527">
        <v>9</v>
      </c>
      <c r="J3527" t="s">
        <v>23</v>
      </c>
      <c r="K3527">
        <v>1914.46</v>
      </c>
    </row>
    <row r="3528" spans="1:11">
      <c r="A3528">
        <v>3527</v>
      </c>
      <c r="B3528" t="s">
        <v>11</v>
      </c>
      <c r="C3528" s="1">
        <v>35430</v>
      </c>
      <c r="D3528">
        <v>29</v>
      </c>
      <c r="E3528" t="s">
        <v>15</v>
      </c>
      <c r="F3528" t="s">
        <v>45</v>
      </c>
      <c r="G3528" s="1">
        <v>45072</v>
      </c>
      <c r="H3528" s="1">
        <v>45232</v>
      </c>
      <c r="I3528">
        <v>16</v>
      </c>
      <c r="J3528" t="s">
        <v>23</v>
      </c>
      <c r="K3528">
        <v>2886.43</v>
      </c>
    </row>
    <row r="3529" spans="1:11">
      <c r="A3529">
        <v>3528</v>
      </c>
      <c r="B3529" t="s">
        <v>129</v>
      </c>
      <c r="C3529" s="1">
        <v>24473</v>
      </c>
      <c r="D3529">
        <v>59</v>
      </c>
      <c r="E3529" t="s">
        <v>15</v>
      </c>
      <c r="G3529" s="1">
        <v>45198</v>
      </c>
      <c r="H3529" s="1">
        <v>45610</v>
      </c>
      <c r="I3529">
        <v>6</v>
      </c>
      <c r="J3529" t="s">
        <v>19</v>
      </c>
      <c r="K3529">
        <v>3249.76</v>
      </c>
    </row>
    <row r="3530" spans="1:11">
      <c r="A3530">
        <v>3529</v>
      </c>
      <c r="B3530" t="s">
        <v>37</v>
      </c>
      <c r="C3530" s="1">
        <v>34700</v>
      </c>
      <c r="D3530">
        <v>31</v>
      </c>
      <c r="E3530" t="s">
        <v>12</v>
      </c>
      <c r="F3530" t="s">
        <v>21</v>
      </c>
      <c r="G3530" s="1">
        <v>44943</v>
      </c>
      <c r="H3530" s="1">
        <v>45797</v>
      </c>
      <c r="I3530">
        <v>15</v>
      </c>
      <c r="J3530" t="s">
        <v>23</v>
      </c>
      <c r="K3530">
        <v>3873.24</v>
      </c>
    </row>
    <row r="3531" spans="1:11">
      <c r="A3531">
        <v>3530</v>
      </c>
      <c r="B3531" t="s">
        <v>159</v>
      </c>
      <c r="C3531" s="1">
        <v>21916</v>
      </c>
      <c r="D3531">
        <v>66</v>
      </c>
      <c r="E3531" t="s">
        <v>12</v>
      </c>
      <c r="F3531" t="s">
        <v>45</v>
      </c>
      <c r="G3531" s="1">
        <v>45024</v>
      </c>
      <c r="H3531" s="1">
        <v>45123</v>
      </c>
      <c r="I3531">
        <v>26</v>
      </c>
      <c r="J3531" t="s">
        <v>25</v>
      </c>
      <c r="K3531">
        <v>8341.2000000000007</v>
      </c>
    </row>
    <row r="3532" spans="1:11">
      <c r="A3532">
        <v>3531</v>
      </c>
      <c r="B3532" t="s">
        <v>79</v>
      </c>
      <c r="C3532" s="1">
        <v>21916</v>
      </c>
      <c r="D3532">
        <v>66</v>
      </c>
      <c r="E3532" t="s">
        <v>15</v>
      </c>
      <c r="F3532" t="s">
        <v>32</v>
      </c>
      <c r="G3532" s="1">
        <v>45378</v>
      </c>
      <c r="H3532" s="1">
        <v>45260</v>
      </c>
      <c r="I3532">
        <v>0</v>
      </c>
      <c r="J3532" t="s">
        <v>25</v>
      </c>
      <c r="K3532">
        <v>12440.38</v>
      </c>
    </row>
    <row r="3533" spans="1:11">
      <c r="A3533">
        <v>3532</v>
      </c>
      <c r="B3533" t="s">
        <v>83</v>
      </c>
      <c r="C3533" s="1">
        <v>36161</v>
      </c>
      <c r="D3533">
        <v>27</v>
      </c>
      <c r="E3533" t="s">
        <v>15</v>
      </c>
      <c r="F3533" t="s">
        <v>18</v>
      </c>
      <c r="G3533" s="1">
        <v>45169</v>
      </c>
      <c r="H3533" s="1">
        <v>44947</v>
      </c>
      <c r="I3533">
        <v>20</v>
      </c>
      <c r="K3533">
        <v>12540.65</v>
      </c>
    </row>
    <row r="3534" spans="1:11">
      <c r="A3534">
        <v>3533</v>
      </c>
      <c r="B3534" t="s">
        <v>165</v>
      </c>
      <c r="C3534" s="1">
        <v>30317</v>
      </c>
      <c r="D3534">
        <v>43</v>
      </c>
      <c r="E3534" t="s">
        <v>15</v>
      </c>
      <c r="F3534" t="s">
        <v>21</v>
      </c>
      <c r="G3534" s="1">
        <v>45405</v>
      </c>
      <c r="H3534" s="1">
        <v>45550</v>
      </c>
      <c r="I3534">
        <v>27</v>
      </c>
      <c r="K3534">
        <v>-98.04</v>
      </c>
    </row>
    <row r="3535" spans="1:11">
      <c r="A3535">
        <v>3534</v>
      </c>
      <c r="B3535" t="s">
        <v>116</v>
      </c>
      <c r="C3535" s="1">
        <v>17533</v>
      </c>
      <c r="D3535">
        <v>78</v>
      </c>
      <c r="E3535" t="s">
        <v>15</v>
      </c>
      <c r="F3535" t="s">
        <v>32</v>
      </c>
      <c r="G3535" s="1">
        <v>45127</v>
      </c>
      <c r="H3535" s="1">
        <v>45585</v>
      </c>
      <c r="I3535">
        <v>21</v>
      </c>
      <c r="J3535" t="s">
        <v>23</v>
      </c>
      <c r="K3535">
        <v>18411.25</v>
      </c>
    </row>
    <row r="3536" spans="1:11">
      <c r="A3536">
        <v>3535</v>
      </c>
      <c r="B3536" t="s">
        <v>120</v>
      </c>
      <c r="C3536" s="1">
        <v>31412</v>
      </c>
      <c r="D3536">
        <v>40</v>
      </c>
      <c r="E3536" t="s">
        <v>12</v>
      </c>
      <c r="F3536" t="s">
        <v>21</v>
      </c>
      <c r="G3536" s="1">
        <v>45399</v>
      </c>
      <c r="H3536" s="1">
        <v>45631</v>
      </c>
      <c r="I3536">
        <v>34</v>
      </c>
      <c r="K3536">
        <v>16439.23</v>
      </c>
    </row>
    <row r="3537" spans="1:11">
      <c r="A3537">
        <v>3536</v>
      </c>
      <c r="B3537" t="s">
        <v>116</v>
      </c>
      <c r="C3537" s="1">
        <v>23377</v>
      </c>
      <c r="D3537">
        <v>62</v>
      </c>
      <c r="E3537" t="s">
        <v>15</v>
      </c>
      <c r="F3537" t="s">
        <v>13</v>
      </c>
      <c r="G3537" s="1">
        <v>45105</v>
      </c>
      <c r="H3537" s="1">
        <v>45360</v>
      </c>
      <c r="I3537">
        <v>34</v>
      </c>
      <c r="J3537" t="s">
        <v>23</v>
      </c>
      <c r="K3537">
        <v>19275.150000000001</v>
      </c>
    </row>
    <row r="3538" spans="1:11">
      <c r="A3538">
        <v>3537</v>
      </c>
      <c r="B3538" t="s">
        <v>55</v>
      </c>
      <c r="C3538" s="1">
        <v>37987</v>
      </c>
      <c r="D3538">
        <v>22</v>
      </c>
      <c r="E3538" t="s">
        <v>12</v>
      </c>
      <c r="F3538" t="s">
        <v>45</v>
      </c>
      <c r="G3538" s="1">
        <v>45434</v>
      </c>
      <c r="H3538" s="1">
        <v>45810</v>
      </c>
      <c r="I3538">
        <v>1</v>
      </c>
      <c r="K3538">
        <v>7135.73</v>
      </c>
    </row>
    <row r="3539" spans="1:11">
      <c r="A3539">
        <v>3538</v>
      </c>
      <c r="B3539" t="s">
        <v>14</v>
      </c>
      <c r="C3539" s="1">
        <v>18994</v>
      </c>
      <c r="D3539">
        <v>74</v>
      </c>
      <c r="E3539" t="s">
        <v>12</v>
      </c>
      <c r="F3539" t="s">
        <v>45</v>
      </c>
      <c r="G3539" s="1">
        <v>45379</v>
      </c>
      <c r="H3539" s="1">
        <v>45353</v>
      </c>
      <c r="I3539">
        <v>25</v>
      </c>
      <c r="J3539" t="s">
        <v>25</v>
      </c>
      <c r="K3539">
        <v>13262.47</v>
      </c>
    </row>
    <row r="3540" spans="1:11">
      <c r="A3540">
        <v>3539</v>
      </c>
      <c r="B3540" t="s">
        <v>95</v>
      </c>
      <c r="C3540" s="1">
        <v>28856</v>
      </c>
      <c r="D3540">
        <v>47</v>
      </c>
      <c r="E3540" t="s">
        <v>15</v>
      </c>
      <c r="F3540" t="s">
        <v>32</v>
      </c>
      <c r="G3540" s="1">
        <v>45196</v>
      </c>
      <c r="H3540" s="1">
        <v>45156</v>
      </c>
      <c r="I3540">
        <v>13</v>
      </c>
      <c r="J3540" t="s">
        <v>19</v>
      </c>
      <c r="K3540">
        <v>3277.22</v>
      </c>
    </row>
    <row r="3541" spans="1:11">
      <c r="A3541">
        <v>3540</v>
      </c>
      <c r="B3541" t="s">
        <v>126</v>
      </c>
      <c r="C3541" s="1">
        <v>34700</v>
      </c>
      <c r="D3541">
        <v>31</v>
      </c>
      <c r="E3541" t="s">
        <v>15</v>
      </c>
      <c r="G3541" s="1">
        <v>45160</v>
      </c>
      <c r="H3541" s="1">
        <v>45451</v>
      </c>
      <c r="I3541">
        <v>10</v>
      </c>
      <c r="J3541" t="s">
        <v>19</v>
      </c>
      <c r="K3541">
        <v>16322.36</v>
      </c>
    </row>
    <row r="3542" spans="1:11">
      <c r="A3542">
        <v>3541</v>
      </c>
      <c r="B3542" t="s">
        <v>149</v>
      </c>
      <c r="C3542" s="1">
        <v>25568</v>
      </c>
      <c r="D3542">
        <v>56</v>
      </c>
      <c r="E3542" t="s">
        <v>12</v>
      </c>
      <c r="F3542" t="s">
        <v>13</v>
      </c>
      <c r="G3542" s="1">
        <v>45550</v>
      </c>
      <c r="H3542" s="1">
        <v>45144</v>
      </c>
      <c r="I3542">
        <v>5</v>
      </c>
      <c r="J3542" t="s">
        <v>25</v>
      </c>
      <c r="K3542">
        <v>3143.49</v>
      </c>
    </row>
    <row r="3543" spans="1:11">
      <c r="A3543">
        <v>3542</v>
      </c>
      <c r="B3543" t="s">
        <v>75</v>
      </c>
      <c r="C3543" s="1">
        <v>34334</v>
      </c>
      <c r="D3543">
        <v>32</v>
      </c>
      <c r="E3543" t="s">
        <v>15</v>
      </c>
      <c r="F3543" t="s">
        <v>18</v>
      </c>
      <c r="G3543" s="1">
        <v>45412</v>
      </c>
      <c r="H3543" s="1">
        <v>45518</v>
      </c>
      <c r="I3543">
        <v>22</v>
      </c>
      <c r="J3543" t="s">
        <v>19</v>
      </c>
      <c r="K3543">
        <v>6452.31</v>
      </c>
    </row>
    <row r="3544" spans="1:11">
      <c r="A3544">
        <v>3543</v>
      </c>
      <c r="B3544" t="s">
        <v>17</v>
      </c>
      <c r="D3544">
        <v>23</v>
      </c>
      <c r="E3544" t="s">
        <v>12</v>
      </c>
      <c r="F3544" t="s">
        <v>13</v>
      </c>
      <c r="G3544" s="1">
        <v>45504</v>
      </c>
      <c r="H3544" s="1">
        <v>45302</v>
      </c>
      <c r="I3544">
        <v>-1</v>
      </c>
      <c r="J3544" t="s">
        <v>23</v>
      </c>
      <c r="K3544">
        <v>9765.7800000000007</v>
      </c>
    </row>
    <row r="3545" spans="1:11">
      <c r="A3545">
        <v>3544</v>
      </c>
      <c r="B3545" t="s">
        <v>155</v>
      </c>
      <c r="C3545" s="1">
        <v>32143</v>
      </c>
      <c r="D3545">
        <v>38</v>
      </c>
      <c r="G3545" s="1">
        <v>45264</v>
      </c>
      <c r="H3545" s="1">
        <v>44963</v>
      </c>
      <c r="I3545">
        <v>27</v>
      </c>
      <c r="J3545" t="s">
        <v>23</v>
      </c>
      <c r="K3545">
        <v>11850.09</v>
      </c>
    </row>
    <row r="3546" spans="1:11">
      <c r="A3546">
        <v>3545</v>
      </c>
      <c r="B3546" t="s">
        <v>108</v>
      </c>
      <c r="C3546" s="1">
        <v>33969</v>
      </c>
      <c r="D3546">
        <v>33</v>
      </c>
      <c r="E3546" t="s">
        <v>15</v>
      </c>
      <c r="F3546" t="s">
        <v>13</v>
      </c>
      <c r="G3546" s="1">
        <v>45374</v>
      </c>
      <c r="H3546" s="1">
        <v>45703</v>
      </c>
      <c r="I3546">
        <v>37</v>
      </c>
      <c r="J3546" t="s">
        <v>25</v>
      </c>
      <c r="K3546">
        <v>11148.62</v>
      </c>
    </row>
    <row r="3547" spans="1:11">
      <c r="A3547">
        <v>3546</v>
      </c>
      <c r="B3547" t="s">
        <v>153</v>
      </c>
      <c r="C3547" s="1">
        <v>25934</v>
      </c>
      <c r="D3547">
        <v>55</v>
      </c>
      <c r="E3547" t="s">
        <v>15</v>
      </c>
      <c r="F3547" t="s">
        <v>16</v>
      </c>
      <c r="G3547" s="1">
        <v>45510</v>
      </c>
      <c r="H3547" s="1">
        <v>44955</v>
      </c>
      <c r="I3547">
        <v>0</v>
      </c>
      <c r="J3547" t="s">
        <v>25</v>
      </c>
      <c r="K3547">
        <v>1952.13</v>
      </c>
    </row>
    <row r="3548" spans="1:11">
      <c r="A3548">
        <v>3547</v>
      </c>
      <c r="B3548" t="s">
        <v>53</v>
      </c>
      <c r="C3548" s="1">
        <v>36161</v>
      </c>
      <c r="D3548">
        <v>27</v>
      </c>
      <c r="E3548" t="s">
        <v>15</v>
      </c>
      <c r="F3548" t="s">
        <v>18</v>
      </c>
      <c r="G3548" s="1">
        <v>45283</v>
      </c>
      <c r="H3548" s="1">
        <v>45299</v>
      </c>
      <c r="I3548">
        <v>20</v>
      </c>
      <c r="J3548" t="s">
        <v>25</v>
      </c>
      <c r="K3548">
        <v>8375.69</v>
      </c>
    </row>
    <row r="3549" spans="1:11">
      <c r="A3549">
        <v>3548</v>
      </c>
      <c r="B3549" t="s">
        <v>99</v>
      </c>
      <c r="C3549" s="1">
        <v>32873</v>
      </c>
      <c r="D3549">
        <v>36</v>
      </c>
      <c r="E3549" t="s">
        <v>12</v>
      </c>
      <c r="F3549" t="s">
        <v>18</v>
      </c>
      <c r="G3549" s="1">
        <v>44975</v>
      </c>
      <c r="H3549" s="1">
        <v>45013</v>
      </c>
      <c r="I3549">
        <v>26</v>
      </c>
      <c r="J3549" t="s">
        <v>25</v>
      </c>
      <c r="K3549">
        <v>18450.48</v>
      </c>
    </row>
    <row r="3550" spans="1:11">
      <c r="A3550">
        <v>3549</v>
      </c>
      <c r="B3550" t="s">
        <v>118</v>
      </c>
      <c r="C3550" s="1">
        <v>43831</v>
      </c>
      <c r="D3550">
        <v>6</v>
      </c>
      <c r="E3550" t="s">
        <v>12</v>
      </c>
      <c r="F3550" t="s">
        <v>13</v>
      </c>
      <c r="G3550" s="1">
        <v>45422</v>
      </c>
      <c r="H3550" s="1">
        <v>45115</v>
      </c>
      <c r="I3550">
        <v>38</v>
      </c>
      <c r="J3550" t="s">
        <v>19</v>
      </c>
      <c r="K3550">
        <v>17434.61</v>
      </c>
    </row>
    <row r="3551" spans="1:11">
      <c r="A3551">
        <v>3550</v>
      </c>
      <c r="B3551" t="s">
        <v>30</v>
      </c>
      <c r="C3551" s="1">
        <v>21551</v>
      </c>
      <c r="D3551">
        <v>67</v>
      </c>
      <c r="E3551" t="s">
        <v>12</v>
      </c>
      <c r="F3551" t="s">
        <v>21</v>
      </c>
      <c r="G3551" s="1">
        <v>45272</v>
      </c>
      <c r="H3551" s="1">
        <v>45232</v>
      </c>
      <c r="I3551">
        <v>27</v>
      </c>
      <c r="J3551" t="s">
        <v>19</v>
      </c>
      <c r="K3551">
        <v>11774.75</v>
      </c>
    </row>
    <row r="3552" spans="1:11">
      <c r="A3552">
        <v>3551</v>
      </c>
      <c r="B3552" t="s">
        <v>99</v>
      </c>
      <c r="C3552" s="1">
        <v>32873</v>
      </c>
      <c r="D3552">
        <v>36</v>
      </c>
      <c r="E3552" t="s">
        <v>12</v>
      </c>
      <c r="F3552" t="s">
        <v>16</v>
      </c>
      <c r="G3552" s="1">
        <v>45628</v>
      </c>
      <c r="H3552" s="1">
        <v>45693</v>
      </c>
      <c r="I3552">
        <v>8</v>
      </c>
      <c r="J3552" t="s">
        <v>19</v>
      </c>
      <c r="K3552">
        <v>11403.72</v>
      </c>
    </row>
    <row r="3553" spans="1:11">
      <c r="A3553">
        <v>3552</v>
      </c>
      <c r="B3553" t="s">
        <v>50</v>
      </c>
      <c r="C3553" s="1">
        <v>25934</v>
      </c>
      <c r="D3553">
        <v>55</v>
      </c>
      <c r="E3553" t="s">
        <v>15</v>
      </c>
      <c r="F3553" t="s">
        <v>21</v>
      </c>
      <c r="G3553" s="1">
        <v>45219</v>
      </c>
      <c r="H3553" s="1">
        <v>45349</v>
      </c>
      <c r="I3553">
        <v>18</v>
      </c>
      <c r="J3553" t="s">
        <v>23</v>
      </c>
      <c r="K3553">
        <v>2144.67</v>
      </c>
    </row>
    <row r="3554" spans="1:11">
      <c r="A3554">
        <v>3553</v>
      </c>
      <c r="B3554" t="s">
        <v>63</v>
      </c>
      <c r="C3554" s="1">
        <v>22646</v>
      </c>
      <c r="D3554">
        <v>64</v>
      </c>
      <c r="E3554" t="s">
        <v>12</v>
      </c>
      <c r="F3554" t="s">
        <v>13</v>
      </c>
      <c r="G3554" s="1">
        <v>45615</v>
      </c>
      <c r="H3554" s="1">
        <v>45007</v>
      </c>
      <c r="I3554">
        <v>24</v>
      </c>
      <c r="K3554">
        <v>3925.21</v>
      </c>
    </row>
    <row r="3555" spans="1:11">
      <c r="A3555">
        <v>3554</v>
      </c>
      <c r="B3555" t="s">
        <v>138</v>
      </c>
      <c r="C3555" s="1">
        <v>22646</v>
      </c>
      <c r="D3555">
        <v>64</v>
      </c>
      <c r="E3555" t="s">
        <v>12</v>
      </c>
      <c r="F3555" t="s">
        <v>21</v>
      </c>
      <c r="G3555" s="1">
        <v>45599</v>
      </c>
      <c r="H3555" s="1">
        <v>45113</v>
      </c>
      <c r="I3555">
        <v>21</v>
      </c>
      <c r="J3555" t="s">
        <v>23</v>
      </c>
      <c r="K3555">
        <v>4978.0600000000004</v>
      </c>
    </row>
    <row r="3556" spans="1:11">
      <c r="A3556">
        <v>3555</v>
      </c>
      <c r="B3556" t="s">
        <v>149</v>
      </c>
      <c r="C3556" s="1">
        <v>29221</v>
      </c>
      <c r="D3556">
        <v>46</v>
      </c>
      <c r="E3556" t="s">
        <v>12</v>
      </c>
      <c r="F3556" t="s">
        <v>18</v>
      </c>
      <c r="G3556" s="1">
        <v>45076</v>
      </c>
      <c r="H3556" s="1">
        <v>44932</v>
      </c>
      <c r="I3556">
        <v>28</v>
      </c>
      <c r="K3556">
        <v>9712.73</v>
      </c>
    </row>
    <row r="3557" spans="1:11">
      <c r="A3557">
        <v>3556</v>
      </c>
      <c r="B3557" t="s">
        <v>138</v>
      </c>
      <c r="C3557" s="1">
        <v>39083</v>
      </c>
      <c r="D3557">
        <v>19</v>
      </c>
      <c r="E3557" t="s">
        <v>15</v>
      </c>
      <c r="F3557" t="s">
        <v>18</v>
      </c>
      <c r="G3557" s="1">
        <v>45508</v>
      </c>
      <c r="H3557" s="1">
        <v>45485</v>
      </c>
      <c r="I3557">
        <v>27</v>
      </c>
      <c r="J3557" t="s">
        <v>25</v>
      </c>
      <c r="K3557">
        <v>14600.26</v>
      </c>
    </row>
    <row r="3558" spans="1:11">
      <c r="A3558">
        <v>3557</v>
      </c>
      <c r="B3558" t="s">
        <v>142</v>
      </c>
      <c r="C3558" s="1">
        <v>39448</v>
      </c>
      <c r="D3558">
        <v>18</v>
      </c>
      <c r="E3558" t="s">
        <v>12</v>
      </c>
      <c r="F3558" t="s">
        <v>21</v>
      </c>
      <c r="G3558" s="1">
        <v>45471</v>
      </c>
      <c r="H3558" s="1">
        <v>45793</v>
      </c>
      <c r="I3558">
        <v>-2</v>
      </c>
      <c r="J3558" t="s">
        <v>25</v>
      </c>
      <c r="K3558">
        <v>9160.58</v>
      </c>
    </row>
    <row r="3559" spans="1:11">
      <c r="A3559">
        <v>3558</v>
      </c>
      <c r="B3559" t="s">
        <v>62</v>
      </c>
      <c r="C3559" s="1">
        <v>35795</v>
      </c>
      <c r="D3559">
        <v>28</v>
      </c>
      <c r="E3559" t="s">
        <v>12</v>
      </c>
      <c r="F3559" t="s">
        <v>18</v>
      </c>
      <c r="G3559" s="1">
        <v>45186</v>
      </c>
      <c r="H3559" s="1">
        <v>45424</v>
      </c>
      <c r="I3559">
        <v>-2</v>
      </c>
      <c r="J3559" t="s">
        <v>19</v>
      </c>
      <c r="K3559">
        <v>2433.83</v>
      </c>
    </row>
    <row r="3560" spans="1:11">
      <c r="A3560">
        <v>3559</v>
      </c>
      <c r="B3560" t="s">
        <v>27</v>
      </c>
      <c r="C3560" s="1">
        <v>19359</v>
      </c>
      <c r="D3560">
        <v>73</v>
      </c>
      <c r="E3560" t="s">
        <v>12</v>
      </c>
      <c r="F3560" t="s">
        <v>45</v>
      </c>
      <c r="G3560" s="1">
        <v>45248</v>
      </c>
      <c r="H3560" s="1">
        <v>45436</v>
      </c>
      <c r="I3560">
        <v>5</v>
      </c>
      <c r="J3560" t="s">
        <v>19</v>
      </c>
      <c r="K3560">
        <v>8730.91</v>
      </c>
    </row>
    <row r="3561" spans="1:11">
      <c r="A3561">
        <v>3560</v>
      </c>
      <c r="B3561" t="s">
        <v>134</v>
      </c>
      <c r="C3561" s="1">
        <v>24473</v>
      </c>
      <c r="D3561">
        <v>59</v>
      </c>
      <c r="E3561" t="s">
        <v>12</v>
      </c>
      <c r="F3561" t="s">
        <v>18</v>
      </c>
      <c r="G3561" s="1">
        <v>45003</v>
      </c>
      <c r="H3561" s="1">
        <v>45541</v>
      </c>
      <c r="I3561">
        <v>39</v>
      </c>
      <c r="K3561">
        <v>3168.93</v>
      </c>
    </row>
    <row r="3562" spans="1:11">
      <c r="A3562">
        <v>3561</v>
      </c>
      <c r="B3562" t="s">
        <v>60</v>
      </c>
      <c r="C3562" s="1">
        <v>39813</v>
      </c>
      <c r="D3562">
        <v>17</v>
      </c>
      <c r="E3562" t="s">
        <v>12</v>
      </c>
      <c r="F3562" t="s">
        <v>13</v>
      </c>
      <c r="G3562" s="1">
        <v>45036</v>
      </c>
      <c r="H3562" s="1">
        <v>44929</v>
      </c>
      <c r="I3562">
        <v>31</v>
      </c>
      <c r="K3562">
        <v>14998.06</v>
      </c>
    </row>
    <row r="3563" spans="1:11">
      <c r="A3563">
        <v>3562</v>
      </c>
      <c r="B3563" t="s">
        <v>167</v>
      </c>
      <c r="C3563" s="1">
        <v>12785</v>
      </c>
      <c r="D3563">
        <v>91</v>
      </c>
      <c r="E3563" t="s">
        <v>12</v>
      </c>
      <c r="F3563" t="s">
        <v>32</v>
      </c>
      <c r="G3563" s="1">
        <v>45577</v>
      </c>
      <c r="H3563" s="1">
        <v>45144</v>
      </c>
      <c r="I3563">
        <v>13</v>
      </c>
      <c r="J3563" t="s">
        <v>19</v>
      </c>
      <c r="K3563">
        <v>3246.67</v>
      </c>
    </row>
    <row r="3564" spans="1:11">
      <c r="A3564">
        <v>3563</v>
      </c>
      <c r="B3564" t="s">
        <v>114</v>
      </c>
      <c r="C3564" s="1">
        <v>33604</v>
      </c>
      <c r="D3564">
        <v>34</v>
      </c>
      <c r="E3564" t="s">
        <v>12</v>
      </c>
      <c r="F3564" t="s">
        <v>21</v>
      </c>
      <c r="G3564" s="1">
        <v>45473</v>
      </c>
      <c r="H3564" s="1">
        <v>45464</v>
      </c>
      <c r="I3564">
        <v>24</v>
      </c>
      <c r="J3564" t="s">
        <v>25</v>
      </c>
      <c r="K3564">
        <v>9598.93</v>
      </c>
    </row>
    <row r="3565" spans="1:11">
      <c r="A3565">
        <v>3564</v>
      </c>
      <c r="B3565" t="s">
        <v>123</v>
      </c>
      <c r="C3565" s="1">
        <v>30682</v>
      </c>
      <c r="D3565">
        <v>42</v>
      </c>
      <c r="E3565" t="s">
        <v>12</v>
      </c>
      <c r="F3565" t="s">
        <v>16</v>
      </c>
      <c r="G3565" s="1">
        <v>45349</v>
      </c>
      <c r="H3565" s="1">
        <v>45184</v>
      </c>
      <c r="I3565">
        <v>1</v>
      </c>
      <c r="J3565" t="s">
        <v>19</v>
      </c>
      <c r="K3565">
        <v>13837.61</v>
      </c>
    </row>
    <row r="3566" spans="1:11">
      <c r="A3566">
        <v>3565</v>
      </c>
      <c r="B3566" t="s">
        <v>162</v>
      </c>
      <c r="C3566" s="1">
        <v>11689</v>
      </c>
      <c r="D3566">
        <v>94</v>
      </c>
      <c r="E3566" t="s">
        <v>15</v>
      </c>
      <c r="G3566" s="1">
        <v>45320</v>
      </c>
      <c r="H3566" s="1">
        <v>45662</v>
      </c>
      <c r="I3566">
        <v>16</v>
      </c>
      <c r="J3566" t="s">
        <v>25</v>
      </c>
      <c r="K3566">
        <v>4486.78</v>
      </c>
    </row>
    <row r="3567" spans="1:11">
      <c r="A3567">
        <v>3566</v>
      </c>
      <c r="B3567" t="s">
        <v>161</v>
      </c>
      <c r="C3567" s="1">
        <v>13150</v>
      </c>
      <c r="D3567">
        <v>90</v>
      </c>
      <c r="E3567" t="s">
        <v>15</v>
      </c>
      <c r="F3567" t="s">
        <v>21</v>
      </c>
      <c r="G3567" s="1">
        <v>45161</v>
      </c>
      <c r="H3567" s="1">
        <v>45380</v>
      </c>
      <c r="I3567">
        <v>26</v>
      </c>
      <c r="J3567" t="s">
        <v>25</v>
      </c>
      <c r="K3567">
        <v>1428.21</v>
      </c>
    </row>
    <row r="3568" spans="1:11">
      <c r="A3568">
        <v>3567</v>
      </c>
      <c r="B3568" t="s">
        <v>165</v>
      </c>
      <c r="C3568" s="1">
        <v>42370</v>
      </c>
      <c r="D3568">
        <v>10</v>
      </c>
      <c r="E3568" t="s">
        <v>15</v>
      </c>
      <c r="G3568" s="1">
        <v>45256</v>
      </c>
      <c r="H3568" s="1">
        <v>45351</v>
      </c>
      <c r="I3568">
        <v>38</v>
      </c>
      <c r="J3568" t="s">
        <v>23</v>
      </c>
      <c r="K3568">
        <v>11222.32</v>
      </c>
    </row>
    <row r="3569" spans="1:11">
      <c r="A3569">
        <v>3568</v>
      </c>
      <c r="B3569" t="s">
        <v>69</v>
      </c>
      <c r="C3569" s="1">
        <v>28490</v>
      </c>
      <c r="D3569">
        <v>48</v>
      </c>
      <c r="E3569" t="s">
        <v>12</v>
      </c>
      <c r="G3569" s="1">
        <v>45638</v>
      </c>
      <c r="H3569" s="1">
        <v>45251</v>
      </c>
      <c r="I3569">
        <v>0</v>
      </c>
      <c r="J3569" t="s">
        <v>23</v>
      </c>
      <c r="K3569">
        <v>989.47</v>
      </c>
    </row>
    <row r="3570" spans="1:11">
      <c r="A3570">
        <v>3569</v>
      </c>
      <c r="B3570" t="s">
        <v>137</v>
      </c>
      <c r="C3570" s="1">
        <v>32508</v>
      </c>
      <c r="D3570">
        <v>37</v>
      </c>
      <c r="E3570" t="s">
        <v>12</v>
      </c>
      <c r="F3570" t="s">
        <v>18</v>
      </c>
      <c r="G3570" s="1">
        <v>45251</v>
      </c>
      <c r="H3570" s="1">
        <v>45426</v>
      </c>
      <c r="I3570">
        <v>8</v>
      </c>
      <c r="K3570">
        <v>11714.15</v>
      </c>
    </row>
    <row r="3571" spans="1:11">
      <c r="A3571">
        <v>3570</v>
      </c>
      <c r="B3571" t="s">
        <v>105</v>
      </c>
      <c r="C3571" s="1">
        <v>23012</v>
      </c>
      <c r="D3571">
        <v>63</v>
      </c>
      <c r="F3571" t="s">
        <v>18</v>
      </c>
      <c r="G3571" s="1">
        <v>45077</v>
      </c>
      <c r="H3571" s="1">
        <v>45508</v>
      </c>
      <c r="I3571">
        <v>5</v>
      </c>
      <c r="J3571" t="s">
        <v>25</v>
      </c>
      <c r="K3571">
        <v>15045.32</v>
      </c>
    </row>
    <row r="3572" spans="1:11">
      <c r="A3572">
        <v>3571</v>
      </c>
      <c r="B3572" t="s">
        <v>46</v>
      </c>
      <c r="C3572" s="1">
        <v>21185</v>
      </c>
      <c r="D3572">
        <v>68</v>
      </c>
      <c r="E3572" t="s">
        <v>15</v>
      </c>
      <c r="F3572" t="s">
        <v>32</v>
      </c>
      <c r="G3572" s="1">
        <v>45472</v>
      </c>
      <c r="H3572" s="1">
        <v>45124</v>
      </c>
      <c r="I3572">
        <v>36</v>
      </c>
      <c r="J3572" t="s">
        <v>19</v>
      </c>
      <c r="K3572">
        <v>6519.25</v>
      </c>
    </row>
    <row r="3573" spans="1:11">
      <c r="A3573">
        <v>3572</v>
      </c>
      <c r="B3573" t="s">
        <v>67</v>
      </c>
      <c r="C3573" s="1">
        <v>43466</v>
      </c>
      <c r="D3573">
        <v>7</v>
      </c>
      <c r="E3573" t="s">
        <v>15</v>
      </c>
      <c r="F3573" t="s">
        <v>32</v>
      </c>
      <c r="G3573" s="1">
        <v>45562</v>
      </c>
      <c r="H3573" s="1">
        <v>45431</v>
      </c>
      <c r="I3573">
        <v>30</v>
      </c>
      <c r="J3573" t="s">
        <v>25</v>
      </c>
      <c r="K3573">
        <v>9715.82</v>
      </c>
    </row>
    <row r="3574" spans="1:11">
      <c r="A3574">
        <v>3573</v>
      </c>
      <c r="B3574" t="s">
        <v>170</v>
      </c>
      <c r="C3574" s="1">
        <v>33969</v>
      </c>
      <c r="D3574">
        <v>33</v>
      </c>
      <c r="E3574" t="s">
        <v>15</v>
      </c>
      <c r="F3574" t="s">
        <v>16</v>
      </c>
      <c r="G3574" s="1">
        <v>44958</v>
      </c>
      <c r="H3574" s="1">
        <v>45199</v>
      </c>
      <c r="I3574">
        <v>5</v>
      </c>
      <c r="K3574">
        <v>18568.11</v>
      </c>
    </row>
    <row r="3575" spans="1:11">
      <c r="A3575">
        <v>3574</v>
      </c>
      <c r="B3575" t="s">
        <v>100</v>
      </c>
      <c r="C3575" s="1">
        <v>28856</v>
      </c>
      <c r="E3575" t="s">
        <v>15</v>
      </c>
      <c r="F3575" t="s">
        <v>13</v>
      </c>
      <c r="G3575" s="1">
        <v>45198</v>
      </c>
      <c r="H3575" s="1">
        <v>45621</v>
      </c>
      <c r="I3575">
        <v>22</v>
      </c>
      <c r="J3575" t="s">
        <v>25</v>
      </c>
      <c r="K3575">
        <v>9369.2900000000009</v>
      </c>
    </row>
    <row r="3576" spans="1:11">
      <c r="A3576">
        <v>3575</v>
      </c>
      <c r="B3576" t="s">
        <v>31</v>
      </c>
      <c r="C3576" s="1">
        <v>25934</v>
      </c>
      <c r="D3576">
        <v>55</v>
      </c>
      <c r="E3576" t="s">
        <v>12</v>
      </c>
      <c r="F3576" t="s">
        <v>45</v>
      </c>
      <c r="G3576" s="1">
        <v>45562</v>
      </c>
      <c r="H3576" s="1">
        <v>44945</v>
      </c>
      <c r="I3576">
        <v>21</v>
      </c>
      <c r="J3576" t="s">
        <v>25</v>
      </c>
      <c r="K3576">
        <v>19930.740000000002</v>
      </c>
    </row>
    <row r="3577" spans="1:11">
      <c r="A3577">
        <v>3576</v>
      </c>
      <c r="B3577" t="s">
        <v>42</v>
      </c>
      <c r="C3577" s="1">
        <v>18629</v>
      </c>
      <c r="D3577">
        <v>75</v>
      </c>
      <c r="E3577" t="s">
        <v>15</v>
      </c>
      <c r="F3577" t="s">
        <v>13</v>
      </c>
      <c r="G3577" s="1">
        <v>45294</v>
      </c>
      <c r="H3577" s="1">
        <v>45034</v>
      </c>
      <c r="I3577">
        <v>23</v>
      </c>
      <c r="K3577">
        <v>3055.75</v>
      </c>
    </row>
    <row r="3578" spans="1:11">
      <c r="A3578">
        <v>3577</v>
      </c>
      <c r="B3578" t="s">
        <v>146</v>
      </c>
      <c r="C3578" s="1">
        <v>22646</v>
      </c>
      <c r="D3578">
        <v>64</v>
      </c>
      <c r="E3578" t="s">
        <v>12</v>
      </c>
      <c r="F3578" t="s">
        <v>16</v>
      </c>
      <c r="G3578" s="1">
        <v>45418</v>
      </c>
      <c r="H3578" s="1">
        <v>45456</v>
      </c>
      <c r="I3578">
        <v>23</v>
      </c>
      <c r="J3578" t="s">
        <v>25</v>
      </c>
      <c r="K3578">
        <v>14149.57</v>
      </c>
    </row>
    <row r="3579" spans="1:11">
      <c r="A3579">
        <v>3578</v>
      </c>
      <c r="B3579" t="s">
        <v>100</v>
      </c>
      <c r="C3579" s="1">
        <v>35065</v>
      </c>
      <c r="D3579">
        <v>30</v>
      </c>
      <c r="E3579" t="s">
        <v>12</v>
      </c>
      <c r="F3579" t="s">
        <v>21</v>
      </c>
      <c r="G3579" s="1">
        <v>45242</v>
      </c>
      <c r="H3579" s="1">
        <v>45052</v>
      </c>
      <c r="I3579">
        <v>14</v>
      </c>
      <c r="J3579" t="s">
        <v>23</v>
      </c>
      <c r="K3579">
        <v>13017.63</v>
      </c>
    </row>
    <row r="3580" spans="1:11">
      <c r="A3580">
        <v>3579</v>
      </c>
      <c r="B3580" t="s">
        <v>27</v>
      </c>
      <c r="C3580" s="1">
        <v>44927</v>
      </c>
      <c r="D3580">
        <v>3</v>
      </c>
      <c r="E3580" t="s">
        <v>15</v>
      </c>
      <c r="F3580" t="s">
        <v>18</v>
      </c>
      <c r="G3580" s="1">
        <v>45516</v>
      </c>
      <c r="H3580" s="1">
        <v>45410</v>
      </c>
      <c r="I3580">
        <v>24</v>
      </c>
      <c r="K3580">
        <v>17433.330000000002</v>
      </c>
    </row>
    <row r="3581" spans="1:11">
      <c r="A3581">
        <v>3580</v>
      </c>
      <c r="B3581" t="s">
        <v>142</v>
      </c>
      <c r="C3581" s="1">
        <v>28125</v>
      </c>
      <c r="D3581">
        <v>49</v>
      </c>
      <c r="E3581" t="s">
        <v>12</v>
      </c>
      <c r="F3581" t="s">
        <v>13</v>
      </c>
      <c r="G3581" s="1">
        <v>45514</v>
      </c>
      <c r="H3581" s="1">
        <v>45521</v>
      </c>
      <c r="I3581">
        <v>26</v>
      </c>
      <c r="J3581" t="s">
        <v>23</v>
      </c>
      <c r="K3581">
        <v>1758.11</v>
      </c>
    </row>
    <row r="3582" spans="1:11">
      <c r="A3582">
        <v>3581</v>
      </c>
      <c r="B3582" t="s">
        <v>139</v>
      </c>
      <c r="C3582" s="1">
        <v>21185</v>
      </c>
      <c r="D3582">
        <v>68</v>
      </c>
      <c r="E3582" t="s">
        <v>15</v>
      </c>
      <c r="G3582" s="1">
        <v>45498</v>
      </c>
      <c r="H3582" s="1">
        <v>44931</v>
      </c>
      <c r="I3582">
        <v>36</v>
      </c>
      <c r="K3582">
        <v>5532.15</v>
      </c>
    </row>
    <row r="3583" spans="1:11">
      <c r="A3583">
        <v>3582</v>
      </c>
      <c r="B3583" t="s">
        <v>139</v>
      </c>
      <c r="C3583" s="1">
        <v>35430</v>
      </c>
      <c r="D3583">
        <v>29</v>
      </c>
      <c r="E3583" t="s">
        <v>15</v>
      </c>
      <c r="F3583" t="s">
        <v>18</v>
      </c>
      <c r="G3583" s="1">
        <v>45523</v>
      </c>
      <c r="H3583" s="1">
        <v>45554</v>
      </c>
      <c r="I3583">
        <v>6</v>
      </c>
      <c r="J3583" t="s">
        <v>25</v>
      </c>
      <c r="K3583">
        <v>2556.8000000000002</v>
      </c>
    </row>
    <row r="3584" spans="1:11">
      <c r="A3584">
        <v>3583</v>
      </c>
      <c r="B3584" t="s">
        <v>92</v>
      </c>
      <c r="C3584" s="1">
        <v>14246</v>
      </c>
      <c r="D3584">
        <v>87</v>
      </c>
      <c r="E3584" t="s">
        <v>12</v>
      </c>
      <c r="F3584" t="s">
        <v>18</v>
      </c>
      <c r="G3584" s="1">
        <v>45294</v>
      </c>
      <c r="H3584" s="1">
        <v>45278</v>
      </c>
      <c r="I3584">
        <v>11</v>
      </c>
      <c r="J3584" t="s">
        <v>23</v>
      </c>
      <c r="K3584">
        <v>18655.21</v>
      </c>
    </row>
    <row r="3585" spans="1:11">
      <c r="A3585">
        <v>3584</v>
      </c>
      <c r="B3585" t="s">
        <v>143</v>
      </c>
      <c r="C3585" s="1">
        <v>24838</v>
      </c>
      <c r="D3585">
        <v>58</v>
      </c>
      <c r="E3585" t="s">
        <v>12</v>
      </c>
      <c r="F3585" t="s">
        <v>13</v>
      </c>
      <c r="G3585" s="1">
        <v>45006</v>
      </c>
      <c r="H3585" s="1">
        <v>45278</v>
      </c>
      <c r="I3585">
        <v>2</v>
      </c>
      <c r="J3585" t="s">
        <v>23</v>
      </c>
      <c r="K3585">
        <v>8475.3700000000008</v>
      </c>
    </row>
    <row r="3586" spans="1:11">
      <c r="A3586">
        <v>3585</v>
      </c>
      <c r="B3586" t="s">
        <v>147</v>
      </c>
      <c r="C3586" s="1">
        <v>21916</v>
      </c>
      <c r="D3586">
        <v>66</v>
      </c>
      <c r="E3586" t="s">
        <v>15</v>
      </c>
      <c r="F3586" t="s">
        <v>13</v>
      </c>
      <c r="G3586" s="1">
        <v>45098</v>
      </c>
      <c r="H3586" s="1">
        <v>45576</v>
      </c>
      <c r="I3586">
        <v>27</v>
      </c>
      <c r="J3586" t="s">
        <v>19</v>
      </c>
      <c r="K3586">
        <v>18192.32</v>
      </c>
    </row>
    <row r="3587" spans="1:11">
      <c r="A3587">
        <v>3586</v>
      </c>
      <c r="B3587" t="s">
        <v>98</v>
      </c>
      <c r="C3587" s="1">
        <v>18994</v>
      </c>
      <c r="D3587">
        <v>74</v>
      </c>
      <c r="E3587" t="s">
        <v>15</v>
      </c>
      <c r="G3587" s="1">
        <v>45184</v>
      </c>
      <c r="H3587" s="1">
        <v>45726</v>
      </c>
      <c r="I3587">
        <v>25</v>
      </c>
      <c r="J3587" t="s">
        <v>23</v>
      </c>
      <c r="K3587">
        <v>5817.58</v>
      </c>
    </row>
    <row r="3588" spans="1:11">
      <c r="A3588">
        <v>3587</v>
      </c>
      <c r="B3588" t="s">
        <v>120</v>
      </c>
      <c r="C3588" s="1">
        <v>29951</v>
      </c>
      <c r="E3588" t="s">
        <v>15</v>
      </c>
      <c r="G3588" s="1">
        <v>45205</v>
      </c>
      <c r="H3588" s="1">
        <v>45155</v>
      </c>
      <c r="I3588">
        <v>34</v>
      </c>
      <c r="J3588" t="s">
        <v>23</v>
      </c>
      <c r="K3588">
        <v>2440</v>
      </c>
    </row>
    <row r="3589" spans="1:11">
      <c r="A3589">
        <v>3588</v>
      </c>
      <c r="B3589" t="s">
        <v>75</v>
      </c>
      <c r="C3589" s="1">
        <v>44927</v>
      </c>
      <c r="D3589">
        <v>3</v>
      </c>
      <c r="E3589" t="s">
        <v>15</v>
      </c>
      <c r="F3589" t="s">
        <v>32</v>
      </c>
      <c r="G3589" s="1">
        <v>45430</v>
      </c>
      <c r="H3589" s="1">
        <v>44943</v>
      </c>
      <c r="I3589">
        <v>5</v>
      </c>
      <c r="J3589" t="s">
        <v>25</v>
      </c>
      <c r="K3589">
        <v>5860.4</v>
      </c>
    </row>
    <row r="3590" spans="1:11">
      <c r="A3590">
        <v>3589</v>
      </c>
      <c r="B3590" t="s">
        <v>83</v>
      </c>
      <c r="C3590" s="1">
        <v>36891</v>
      </c>
      <c r="D3590">
        <v>25</v>
      </c>
      <c r="F3590" t="s">
        <v>16</v>
      </c>
      <c r="G3590" s="1">
        <v>45484</v>
      </c>
      <c r="H3590" s="1">
        <v>45737</v>
      </c>
      <c r="I3590">
        <v>12</v>
      </c>
      <c r="J3590" t="s">
        <v>23</v>
      </c>
      <c r="K3590">
        <v>11903.2</v>
      </c>
    </row>
    <row r="3591" spans="1:11">
      <c r="A3591">
        <v>3590</v>
      </c>
      <c r="B3591" t="s">
        <v>109</v>
      </c>
      <c r="C3591" s="1">
        <v>36526</v>
      </c>
      <c r="D3591">
        <v>26</v>
      </c>
      <c r="E3591" t="s">
        <v>12</v>
      </c>
      <c r="F3591" t="s">
        <v>16</v>
      </c>
      <c r="G3591" s="1">
        <v>45417</v>
      </c>
      <c r="H3591" s="1">
        <v>45352</v>
      </c>
      <c r="I3591">
        <v>25</v>
      </c>
      <c r="J3591" t="s">
        <v>23</v>
      </c>
      <c r="K3591">
        <v>16889.18</v>
      </c>
    </row>
    <row r="3592" spans="1:11">
      <c r="A3592">
        <v>3591</v>
      </c>
      <c r="B3592" t="s">
        <v>66</v>
      </c>
      <c r="C3592" s="1">
        <v>29586</v>
      </c>
      <c r="D3592">
        <v>45</v>
      </c>
      <c r="E3592" t="s">
        <v>15</v>
      </c>
      <c r="G3592" s="1">
        <v>45511</v>
      </c>
      <c r="H3592" s="1">
        <v>45391</v>
      </c>
      <c r="I3592">
        <v>33</v>
      </c>
      <c r="J3592" t="s">
        <v>23</v>
      </c>
      <c r="K3592">
        <v>7646.35</v>
      </c>
    </row>
    <row r="3593" spans="1:11">
      <c r="A3593">
        <v>3592</v>
      </c>
      <c r="B3593" t="s">
        <v>154</v>
      </c>
      <c r="C3593" s="1">
        <v>23012</v>
      </c>
      <c r="D3593">
        <v>63</v>
      </c>
      <c r="E3593" t="s">
        <v>12</v>
      </c>
      <c r="F3593" t="s">
        <v>45</v>
      </c>
      <c r="G3593" s="1">
        <v>45492</v>
      </c>
      <c r="H3593" s="1">
        <v>45651</v>
      </c>
      <c r="I3593">
        <v>30</v>
      </c>
      <c r="J3593" t="s">
        <v>25</v>
      </c>
      <c r="K3593">
        <v>18287.650000000001</v>
      </c>
    </row>
    <row r="3594" spans="1:11">
      <c r="A3594">
        <v>3593</v>
      </c>
      <c r="B3594" t="s">
        <v>36</v>
      </c>
      <c r="C3594" s="1">
        <v>13150</v>
      </c>
      <c r="D3594">
        <v>90</v>
      </c>
      <c r="E3594" t="s">
        <v>15</v>
      </c>
      <c r="G3594" s="1">
        <v>45263</v>
      </c>
      <c r="H3594" s="1">
        <v>45173</v>
      </c>
      <c r="I3594">
        <v>3</v>
      </c>
      <c r="K3594">
        <v>4809.0600000000004</v>
      </c>
    </row>
    <row r="3595" spans="1:11">
      <c r="A3595">
        <v>3594</v>
      </c>
      <c r="B3595" t="s">
        <v>28</v>
      </c>
      <c r="C3595" s="1">
        <v>27760</v>
      </c>
      <c r="D3595">
        <v>50</v>
      </c>
      <c r="E3595" t="s">
        <v>15</v>
      </c>
      <c r="F3595" t="s">
        <v>32</v>
      </c>
      <c r="G3595" s="1">
        <v>45447</v>
      </c>
      <c r="H3595" s="1">
        <v>45725</v>
      </c>
      <c r="I3595">
        <v>9</v>
      </c>
      <c r="J3595" t="s">
        <v>25</v>
      </c>
      <c r="K3595">
        <v>13840.17</v>
      </c>
    </row>
    <row r="3596" spans="1:11">
      <c r="A3596">
        <v>3595</v>
      </c>
      <c r="B3596" t="s">
        <v>122</v>
      </c>
      <c r="D3596">
        <v>49</v>
      </c>
      <c r="E3596" t="s">
        <v>12</v>
      </c>
      <c r="F3596" t="s">
        <v>45</v>
      </c>
      <c r="G3596" s="1">
        <v>45252</v>
      </c>
      <c r="H3596" s="1">
        <v>45721</v>
      </c>
      <c r="I3596">
        <v>4</v>
      </c>
      <c r="J3596" t="s">
        <v>23</v>
      </c>
      <c r="K3596">
        <v>14687.84</v>
      </c>
    </row>
    <row r="3597" spans="1:11">
      <c r="A3597">
        <v>3596</v>
      </c>
      <c r="B3597" t="s">
        <v>92</v>
      </c>
      <c r="C3597" s="1">
        <v>44196</v>
      </c>
      <c r="D3597">
        <v>5</v>
      </c>
      <c r="E3597" t="s">
        <v>12</v>
      </c>
      <c r="F3597" t="s">
        <v>13</v>
      </c>
      <c r="G3597" s="1">
        <v>45098</v>
      </c>
      <c r="H3597" s="1">
        <v>45104</v>
      </c>
      <c r="I3597">
        <v>25</v>
      </c>
      <c r="K3597">
        <v>5406.65</v>
      </c>
    </row>
    <row r="3598" spans="1:11">
      <c r="A3598">
        <v>3597</v>
      </c>
      <c r="B3598" t="s">
        <v>118</v>
      </c>
      <c r="C3598" s="1">
        <v>24838</v>
      </c>
      <c r="D3598">
        <v>58</v>
      </c>
      <c r="E3598" t="s">
        <v>12</v>
      </c>
      <c r="F3598" t="s">
        <v>16</v>
      </c>
      <c r="G3598" s="1">
        <v>45010</v>
      </c>
      <c r="H3598" s="1">
        <v>45470</v>
      </c>
      <c r="I3598">
        <v>4</v>
      </c>
      <c r="J3598" t="s">
        <v>25</v>
      </c>
      <c r="K3598">
        <v>442.09</v>
      </c>
    </row>
    <row r="3599" spans="1:11">
      <c r="A3599">
        <v>3598</v>
      </c>
      <c r="B3599" t="s">
        <v>133</v>
      </c>
      <c r="C3599" s="1">
        <v>40909</v>
      </c>
      <c r="D3599">
        <v>14</v>
      </c>
      <c r="E3599" t="s">
        <v>12</v>
      </c>
      <c r="F3599" t="s">
        <v>16</v>
      </c>
      <c r="G3599" s="1">
        <v>45450</v>
      </c>
      <c r="H3599" s="1">
        <v>45436</v>
      </c>
      <c r="I3599">
        <v>38</v>
      </c>
      <c r="J3599" t="s">
        <v>25</v>
      </c>
      <c r="K3599">
        <v>7241.27</v>
      </c>
    </row>
    <row r="3600" spans="1:11">
      <c r="A3600">
        <v>3599</v>
      </c>
      <c r="B3600" t="s">
        <v>83</v>
      </c>
      <c r="C3600" s="1">
        <v>35430</v>
      </c>
      <c r="E3600" t="s">
        <v>12</v>
      </c>
      <c r="F3600" t="s">
        <v>45</v>
      </c>
      <c r="G3600" s="1">
        <v>45407</v>
      </c>
      <c r="H3600" s="1">
        <v>45489</v>
      </c>
      <c r="I3600">
        <v>-2</v>
      </c>
      <c r="K3600">
        <v>808.44</v>
      </c>
    </row>
    <row r="3601" spans="1:11">
      <c r="A3601">
        <v>3600</v>
      </c>
      <c r="B3601" t="s">
        <v>97</v>
      </c>
      <c r="C3601" s="1">
        <v>31047</v>
      </c>
      <c r="E3601" t="s">
        <v>15</v>
      </c>
      <c r="F3601" t="s">
        <v>21</v>
      </c>
      <c r="G3601" s="1">
        <v>45470</v>
      </c>
      <c r="H3601" s="1">
        <v>45582</v>
      </c>
      <c r="I3601">
        <v>21</v>
      </c>
      <c r="J3601" t="s">
        <v>19</v>
      </c>
      <c r="K3601">
        <v>18005.150000000001</v>
      </c>
    </row>
    <row r="3602" spans="1:11">
      <c r="A3602">
        <v>3601</v>
      </c>
      <c r="B3602" t="s">
        <v>33</v>
      </c>
      <c r="C3602" s="1">
        <v>32873</v>
      </c>
      <c r="D3602">
        <v>36</v>
      </c>
      <c r="E3602" t="s">
        <v>12</v>
      </c>
      <c r="F3602" t="s">
        <v>32</v>
      </c>
      <c r="G3602" s="1">
        <v>45344</v>
      </c>
      <c r="H3602" s="1">
        <v>45491</v>
      </c>
      <c r="I3602">
        <v>16</v>
      </c>
      <c r="J3602" t="s">
        <v>23</v>
      </c>
      <c r="K3602">
        <v>19065.86</v>
      </c>
    </row>
    <row r="3603" spans="1:11">
      <c r="A3603">
        <v>3602</v>
      </c>
      <c r="B3603" t="s">
        <v>61</v>
      </c>
      <c r="C3603" s="1">
        <v>31047</v>
      </c>
      <c r="F3603" t="s">
        <v>32</v>
      </c>
      <c r="G3603" s="1">
        <v>45265</v>
      </c>
      <c r="H3603" s="1">
        <v>45160</v>
      </c>
      <c r="I3603">
        <v>29</v>
      </c>
      <c r="J3603" t="s">
        <v>19</v>
      </c>
      <c r="K3603">
        <v>14681.14</v>
      </c>
    </row>
    <row r="3604" spans="1:11">
      <c r="A3604">
        <v>3603</v>
      </c>
      <c r="B3604" t="s">
        <v>39</v>
      </c>
      <c r="C3604" s="1">
        <v>33604</v>
      </c>
      <c r="D3604">
        <v>34</v>
      </c>
      <c r="E3604" t="s">
        <v>15</v>
      </c>
      <c r="F3604" t="s">
        <v>32</v>
      </c>
      <c r="G3604" s="1">
        <v>45246</v>
      </c>
      <c r="H3604" s="1">
        <v>45605</v>
      </c>
      <c r="I3604">
        <v>27</v>
      </c>
      <c r="J3604" t="s">
        <v>23</v>
      </c>
      <c r="K3604">
        <v>14506.36</v>
      </c>
    </row>
    <row r="3605" spans="1:11">
      <c r="A3605">
        <v>3604</v>
      </c>
      <c r="B3605" t="s">
        <v>26</v>
      </c>
      <c r="C3605" s="1">
        <v>14611</v>
      </c>
      <c r="D3605">
        <v>86</v>
      </c>
      <c r="E3605" t="s">
        <v>12</v>
      </c>
      <c r="F3605" t="s">
        <v>16</v>
      </c>
      <c r="G3605" s="1">
        <v>45230</v>
      </c>
      <c r="H3605" s="1">
        <v>44965</v>
      </c>
      <c r="I3605">
        <v>-2</v>
      </c>
      <c r="J3605" t="s">
        <v>23</v>
      </c>
      <c r="K3605">
        <v>4741.9399999999996</v>
      </c>
    </row>
    <row r="3606" spans="1:11">
      <c r="A3606">
        <v>3605</v>
      </c>
      <c r="B3606" t="s">
        <v>169</v>
      </c>
      <c r="C3606" s="1">
        <v>44196</v>
      </c>
      <c r="D3606">
        <v>5</v>
      </c>
      <c r="E3606" t="s">
        <v>12</v>
      </c>
      <c r="F3606" t="s">
        <v>18</v>
      </c>
      <c r="G3606" s="1">
        <v>45198</v>
      </c>
      <c r="H3606" s="1">
        <v>45418</v>
      </c>
      <c r="I3606">
        <v>29</v>
      </c>
      <c r="J3606" t="s">
        <v>19</v>
      </c>
      <c r="K3606">
        <v>1385.9</v>
      </c>
    </row>
    <row r="3607" spans="1:11">
      <c r="A3607">
        <v>3606</v>
      </c>
      <c r="B3607" t="s">
        <v>171</v>
      </c>
      <c r="C3607" s="1">
        <v>21551</v>
      </c>
      <c r="D3607">
        <v>67</v>
      </c>
      <c r="E3607" t="s">
        <v>15</v>
      </c>
      <c r="F3607" t="s">
        <v>16</v>
      </c>
      <c r="G3607" s="1">
        <v>45616</v>
      </c>
      <c r="H3607" s="1">
        <v>45371</v>
      </c>
      <c r="I3607">
        <v>17</v>
      </c>
      <c r="J3607" t="s">
        <v>19</v>
      </c>
      <c r="K3607">
        <v>16022.3</v>
      </c>
    </row>
    <row r="3608" spans="1:11">
      <c r="A3608">
        <v>3607</v>
      </c>
      <c r="B3608" t="s">
        <v>164</v>
      </c>
      <c r="C3608" s="1">
        <v>39813</v>
      </c>
      <c r="D3608">
        <v>17</v>
      </c>
      <c r="E3608" t="s">
        <v>12</v>
      </c>
      <c r="F3608" t="s">
        <v>18</v>
      </c>
      <c r="G3608" s="1">
        <v>45040</v>
      </c>
      <c r="H3608" s="1">
        <v>44947</v>
      </c>
      <c r="I3608">
        <v>18</v>
      </c>
      <c r="J3608" t="s">
        <v>23</v>
      </c>
      <c r="K3608">
        <v>11139.15</v>
      </c>
    </row>
    <row r="3609" spans="1:11">
      <c r="A3609">
        <v>3608</v>
      </c>
      <c r="B3609" t="s">
        <v>153</v>
      </c>
      <c r="C3609" s="1">
        <v>19724</v>
      </c>
      <c r="D3609">
        <v>72</v>
      </c>
      <c r="E3609" t="s">
        <v>15</v>
      </c>
      <c r="F3609" t="s">
        <v>16</v>
      </c>
      <c r="G3609" s="1">
        <v>45333</v>
      </c>
      <c r="H3609" s="1">
        <v>45538</v>
      </c>
      <c r="I3609">
        <v>16</v>
      </c>
      <c r="K3609">
        <v>13600.71</v>
      </c>
    </row>
    <row r="3610" spans="1:11">
      <c r="A3610">
        <v>3609</v>
      </c>
      <c r="B3610" t="s">
        <v>31</v>
      </c>
      <c r="C3610" s="1">
        <v>35795</v>
      </c>
      <c r="D3610">
        <v>28</v>
      </c>
      <c r="E3610" t="s">
        <v>12</v>
      </c>
      <c r="F3610" t="s">
        <v>13</v>
      </c>
      <c r="G3610" s="1">
        <v>44952</v>
      </c>
      <c r="H3610" s="1">
        <v>45654</v>
      </c>
      <c r="I3610">
        <v>27</v>
      </c>
      <c r="K3610">
        <v>15570.79</v>
      </c>
    </row>
    <row r="3611" spans="1:11">
      <c r="A3611">
        <v>3610</v>
      </c>
      <c r="B3611" t="s">
        <v>86</v>
      </c>
      <c r="C3611" s="1">
        <v>18263</v>
      </c>
      <c r="D3611">
        <v>76</v>
      </c>
      <c r="E3611" t="s">
        <v>15</v>
      </c>
      <c r="F3611" t="s">
        <v>16</v>
      </c>
      <c r="G3611" s="1">
        <v>45163</v>
      </c>
      <c r="H3611" s="1">
        <v>45483</v>
      </c>
      <c r="I3611">
        <v>25</v>
      </c>
      <c r="J3611" t="s">
        <v>19</v>
      </c>
      <c r="K3611">
        <v>8129.63</v>
      </c>
    </row>
    <row r="3612" spans="1:11">
      <c r="A3612">
        <v>3611</v>
      </c>
      <c r="B3612" t="s">
        <v>84</v>
      </c>
      <c r="C3612" s="1">
        <v>24838</v>
      </c>
      <c r="D3612">
        <v>58</v>
      </c>
      <c r="E3612" t="s">
        <v>12</v>
      </c>
      <c r="F3612" t="s">
        <v>13</v>
      </c>
      <c r="G3612" s="1">
        <v>45236</v>
      </c>
      <c r="H3612" s="1">
        <v>45038</v>
      </c>
      <c r="I3612">
        <v>29</v>
      </c>
      <c r="J3612" t="s">
        <v>19</v>
      </c>
      <c r="K3612">
        <v>2805.39</v>
      </c>
    </row>
    <row r="3613" spans="1:11">
      <c r="A3613">
        <v>3612</v>
      </c>
      <c r="B3613" t="s">
        <v>170</v>
      </c>
      <c r="C3613" s="1">
        <v>29221</v>
      </c>
      <c r="E3613" t="s">
        <v>15</v>
      </c>
      <c r="F3613" t="s">
        <v>18</v>
      </c>
      <c r="G3613" s="1">
        <v>45610</v>
      </c>
      <c r="H3613" s="1">
        <v>45414</v>
      </c>
      <c r="I3613">
        <v>27</v>
      </c>
      <c r="J3613" t="s">
        <v>25</v>
      </c>
      <c r="K3613">
        <v>15880.24</v>
      </c>
    </row>
    <row r="3614" spans="1:11">
      <c r="A3614">
        <v>3613</v>
      </c>
      <c r="B3614" t="s">
        <v>169</v>
      </c>
      <c r="C3614" s="1">
        <v>40178</v>
      </c>
      <c r="D3614">
        <v>16</v>
      </c>
      <c r="E3614" t="s">
        <v>15</v>
      </c>
      <c r="F3614" t="s">
        <v>32</v>
      </c>
      <c r="G3614" s="1">
        <v>45159</v>
      </c>
      <c r="H3614" s="1">
        <v>45016</v>
      </c>
      <c r="I3614">
        <v>20</v>
      </c>
      <c r="K3614">
        <v>9020.69</v>
      </c>
    </row>
    <row r="3615" spans="1:11">
      <c r="A3615">
        <v>3614</v>
      </c>
      <c r="B3615" t="s">
        <v>105</v>
      </c>
      <c r="C3615" s="1">
        <v>38352</v>
      </c>
      <c r="E3615" t="s">
        <v>15</v>
      </c>
      <c r="F3615" t="s">
        <v>18</v>
      </c>
      <c r="G3615" s="1">
        <v>45475</v>
      </c>
      <c r="H3615" s="1">
        <v>45246</v>
      </c>
      <c r="I3615">
        <v>24</v>
      </c>
      <c r="K3615">
        <v>16521.18</v>
      </c>
    </row>
    <row r="3616" spans="1:11">
      <c r="A3616">
        <v>3615</v>
      </c>
      <c r="B3616" t="s">
        <v>105</v>
      </c>
      <c r="C3616" s="1">
        <v>21551</v>
      </c>
      <c r="D3616">
        <v>67</v>
      </c>
      <c r="E3616" t="s">
        <v>12</v>
      </c>
      <c r="F3616" t="s">
        <v>45</v>
      </c>
      <c r="G3616" s="1">
        <v>45191</v>
      </c>
      <c r="H3616" s="1">
        <v>45045</v>
      </c>
      <c r="I3616">
        <v>34</v>
      </c>
      <c r="J3616" t="s">
        <v>23</v>
      </c>
      <c r="K3616">
        <v>8697.75</v>
      </c>
    </row>
    <row r="3617" spans="1:11">
      <c r="A3617">
        <v>3616</v>
      </c>
      <c r="B3617" t="s">
        <v>137</v>
      </c>
      <c r="C3617" s="1">
        <v>21185</v>
      </c>
      <c r="D3617">
        <v>68</v>
      </c>
      <c r="E3617" t="s">
        <v>12</v>
      </c>
      <c r="F3617" t="s">
        <v>32</v>
      </c>
      <c r="G3617" s="1">
        <v>44939</v>
      </c>
      <c r="H3617" s="1">
        <v>45361</v>
      </c>
      <c r="I3617">
        <v>23</v>
      </c>
      <c r="J3617" t="s">
        <v>25</v>
      </c>
      <c r="K3617">
        <v>4262.03</v>
      </c>
    </row>
    <row r="3618" spans="1:11">
      <c r="A3618">
        <v>3617</v>
      </c>
      <c r="B3618" t="s">
        <v>152</v>
      </c>
      <c r="C3618" s="1">
        <v>32873</v>
      </c>
      <c r="D3618">
        <v>36</v>
      </c>
      <c r="E3618" t="s">
        <v>12</v>
      </c>
      <c r="F3618" t="s">
        <v>16</v>
      </c>
      <c r="G3618" s="1">
        <v>45422</v>
      </c>
      <c r="H3618" s="1">
        <v>45166</v>
      </c>
      <c r="I3618">
        <v>0</v>
      </c>
      <c r="J3618" t="s">
        <v>23</v>
      </c>
      <c r="K3618">
        <v>3337.2</v>
      </c>
    </row>
    <row r="3619" spans="1:11">
      <c r="A3619">
        <v>3618</v>
      </c>
      <c r="B3619" t="s">
        <v>99</v>
      </c>
      <c r="C3619" s="1">
        <v>28490</v>
      </c>
      <c r="D3619">
        <v>48</v>
      </c>
      <c r="E3619" t="s">
        <v>12</v>
      </c>
      <c r="F3619" t="s">
        <v>16</v>
      </c>
      <c r="G3619" s="1">
        <v>45242</v>
      </c>
      <c r="H3619" s="1">
        <v>44999</v>
      </c>
      <c r="I3619">
        <v>28</v>
      </c>
      <c r="J3619" t="s">
        <v>25</v>
      </c>
      <c r="K3619">
        <v>14852.83</v>
      </c>
    </row>
    <row r="3620" spans="1:11">
      <c r="A3620">
        <v>3619</v>
      </c>
      <c r="B3620" t="s">
        <v>129</v>
      </c>
      <c r="C3620" s="1">
        <v>41639</v>
      </c>
      <c r="D3620">
        <v>12</v>
      </c>
      <c r="E3620" t="s">
        <v>15</v>
      </c>
      <c r="F3620" t="s">
        <v>16</v>
      </c>
      <c r="G3620" s="1">
        <v>45544</v>
      </c>
      <c r="H3620" s="1">
        <v>45749</v>
      </c>
      <c r="I3620">
        <v>-1</v>
      </c>
      <c r="K3620">
        <v>11455.27</v>
      </c>
    </row>
    <row r="3621" spans="1:11">
      <c r="A3621">
        <v>3620</v>
      </c>
      <c r="B3621" t="s">
        <v>56</v>
      </c>
      <c r="C3621" s="1">
        <v>33969</v>
      </c>
      <c r="D3621">
        <v>33</v>
      </c>
      <c r="E3621" t="s">
        <v>15</v>
      </c>
      <c r="F3621" t="s">
        <v>16</v>
      </c>
      <c r="G3621" s="1">
        <v>45564</v>
      </c>
      <c r="H3621" s="1">
        <v>45326</v>
      </c>
      <c r="I3621">
        <v>7</v>
      </c>
      <c r="J3621" t="s">
        <v>23</v>
      </c>
      <c r="K3621">
        <v>8032.52</v>
      </c>
    </row>
    <row r="3622" spans="1:11">
      <c r="A3622">
        <v>3621</v>
      </c>
      <c r="B3622" t="s">
        <v>82</v>
      </c>
      <c r="C3622" s="1">
        <v>14976</v>
      </c>
      <c r="D3622">
        <v>85</v>
      </c>
      <c r="E3622" t="s">
        <v>12</v>
      </c>
      <c r="F3622" t="s">
        <v>16</v>
      </c>
      <c r="G3622" s="1">
        <v>45310</v>
      </c>
      <c r="H3622" s="1">
        <v>45743</v>
      </c>
      <c r="I3622">
        <v>35</v>
      </c>
      <c r="J3622" t="s">
        <v>25</v>
      </c>
      <c r="K3622">
        <v>9791.5499999999993</v>
      </c>
    </row>
    <row r="3623" spans="1:11">
      <c r="A3623">
        <v>3622</v>
      </c>
      <c r="B3623" t="s">
        <v>116</v>
      </c>
      <c r="C3623" s="1">
        <v>27029</v>
      </c>
      <c r="D3623">
        <v>52</v>
      </c>
      <c r="E3623" t="s">
        <v>15</v>
      </c>
      <c r="F3623" t="s">
        <v>18</v>
      </c>
      <c r="G3623" s="1">
        <v>45568</v>
      </c>
      <c r="H3623" s="1">
        <v>45331</v>
      </c>
      <c r="I3623">
        <v>16</v>
      </c>
      <c r="J3623" t="s">
        <v>23</v>
      </c>
      <c r="K3623">
        <v>10947.74</v>
      </c>
    </row>
    <row r="3624" spans="1:11">
      <c r="A3624">
        <v>3623</v>
      </c>
      <c r="B3624" t="s">
        <v>146</v>
      </c>
      <c r="C3624" s="1">
        <v>14611</v>
      </c>
      <c r="D3624">
        <v>86</v>
      </c>
      <c r="G3624" s="1">
        <v>45242</v>
      </c>
      <c r="H3624" s="1">
        <v>45602</v>
      </c>
      <c r="I3624">
        <v>28</v>
      </c>
      <c r="J3624" t="s">
        <v>25</v>
      </c>
      <c r="K3624">
        <v>4712.2700000000004</v>
      </c>
    </row>
    <row r="3625" spans="1:11">
      <c r="A3625">
        <v>3624</v>
      </c>
      <c r="B3625" t="s">
        <v>58</v>
      </c>
      <c r="C3625" s="1">
        <v>27760</v>
      </c>
      <c r="D3625">
        <v>50</v>
      </c>
      <c r="E3625" t="s">
        <v>12</v>
      </c>
      <c r="F3625" t="s">
        <v>13</v>
      </c>
      <c r="G3625" s="1">
        <v>45182</v>
      </c>
      <c r="H3625" s="1">
        <v>45178</v>
      </c>
      <c r="I3625">
        <v>26</v>
      </c>
      <c r="J3625" t="s">
        <v>19</v>
      </c>
      <c r="K3625">
        <v>7501.13</v>
      </c>
    </row>
    <row r="3626" spans="1:11">
      <c r="A3626">
        <v>3625</v>
      </c>
      <c r="B3626" t="s">
        <v>161</v>
      </c>
      <c r="C3626" s="1">
        <v>45292</v>
      </c>
      <c r="D3626">
        <v>2</v>
      </c>
      <c r="E3626" t="s">
        <v>15</v>
      </c>
      <c r="G3626" s="1">
        <v>45367</v>
      </c>
      <c r="H3626" s="1">
        <v>45796</v>
      </c>
      <c r="I3626">
        <v>22</v>
      </c>
      <c r="J3626" t="s">
        <v>23</v>
      </c>
      <c r="K3626">
        <v>5777.47</v>
      </c>
    </row>
    <row r="3627" spans="1:11">
      <c r="A3627">
        <v>3626</v>
      </c>
      <c r="B3627" t="s">
        <v>123</v>
      </c>
      <c r="C3627" s="1">
        <v>31047</v>
      </c>
      <c r="D3627">
        <v>41</v>
      </c>
      <c r="E3627" t="s">
        <v>15</v>
      </c>
      <c r="F3627" t="s">
        <v>18</v>
      </c>
      <c r="G3627" s="1">
        <v>45041</v>
      </c>
      <c r="H3627" s="1">
        <v>45122</v>
      </c>
      <c r="I3627">
        <v>29</v>
      </c>
      <c r="J3627" t="s">
        <v>19</v>
      </c>
      <c r="K3627">
        <v>7707.32</v>
      </c>
    </row>
    <row r="3628" spans="1:11">
      <c r="A3628">
        <v>3627</v>
      </c>
      <c r="B3628" t="s">
        <v>99</v>
      </c>
      <c r="C3628" s="1">
        <v>34700</v>
      </c>
      <c r="D3628">
        <v>31</v>
      </c>
      <c r="E3628" t="s">
        <v>12</v>
      </c>
      <c r="F3628" t="s">
        <v>21</v>
      </c>
      <c r="G3628" s="1">
        <v>45225</v>
      </c>
      <c r="H3628" s="1">
        <v>45499</v>
      </c>
      <c r="I3628">
        <v>14</v>
      </c>
      <c r="J3628" t="s">
        <v>25</v>
      </c>
      <c r="K3628">
        <v>9961.2999999999993</v>
      </c>
    </row>
    <row r="3629" spans="1:11">
      <c r="A3629">
        <v>3628</v>
      </c>
      <c r="B3629" t="s">
        <v>165</v>
      </c>
      <c r="C3629" s="1">
        <v>27760</v>
      </c>
      <c r="D3629">
        <v>50</v>
      </c>
      <c r="E3629" t="s">
        <v>15</v>
      </c>
      <c r="G3629" s="1">
        <v>45050</v>
      </c>
      <c r="H3629" s="1">
        <v>45537</v>
      </c>
      <c r="I3629">
        <v>20</v>
      </c>
      <c r="J3629" t="s">
        <v>23</v>
      </c>
      <c r="K3629">
        <v>3384.49</v>
      </c>
    </row>
    <row r="3630" spans="1:11">
      <c r="A3630">
        <v>3629</v>
      </c>
      <c r="B3630" t="s">
        <v>41</v>
      </c>
      <c r="C3630" s="1">
        <v>15341</v>
      </c>
      <c r="D3630">
        <v>84</v>
      </c>
      <c r="E3630" t="s">
        <v>15</v>
      </c>
      <c r="F3630" t="s">
        <v>18</v>
      </c>
      <c r="G3630" s="1">
        <v>45182</v>
      </c>
      <c r="H3630" s="1">
        <v>45795</v>
      </c>
      <c r="I3630">
        <v>15</v>
      </c>
      <c r="J3630" t="s">
        <v>25</v>
      </c>
      <c r="K3630">
        <v>7809.65</v>
      </c>
    </row>
    <row r="3631" spans="1:11">
      <c r="A3631">
        <v>3630</v>
      </c>
      <c r="B3631" t="s">
        <v>126</v>
      </c>
      <c r="C3631" s="1">
        <v>29586</v>
      </c>
      <c r="E3631" t="s">
        <v>15</v>
      </c>
      <c r="F3631" t="s">
        <v>32</v>
      </c>
      <c r="G3631" s="1">
        <v>45577</v>
      </c>
      <c r="H3631" s="1">
        <v>45794</v>
      </c>
      <c r="I3631">
        <v>8</v>
      </c>
      <c r="J3631" t="s">
        <v>25</v>
      </c>
      <c r="K3631">
        <v>7648.44</v>
      </c>
    </row>
    <row r="3632" spans="1:11">
      <c r="A3632">
        <v>3631</v>
      </c>
      <c r="B3632" t="s">
        <v>149</v>
      </c>
      <c r="C3632" s="1">
        <v>38717</v>
      </c>
      <c r="D3632">
        <v>20</v>
      </c>
      <c r="E3632" t="s">
        <v>12</v>
      </c>
      <c r="F3632" t="s">
        <v>16</v>
      </c>
      <c r="G3632" s="1">
        <v>45644</v>
      </c>
      <c r="H3632" s="1">
        <v>45512</v>
      </c>
      <c r="I3632">
        <v>17</v>
      </c>
      <c r="J3632" t="s">
        <v>19</v>
      </c>
      <c r="K3632">
        <v>5648.68</v>
      </c>
    </row>
    <row r="3633" spans="1:11">
      <c r="A3633">
        <v>3632</v>
      </c>
      <c r="B3633" t="s">
        <v>84</v>
      </c>
      <c r="C3633" s="1">
        <v>30317</v>
      </c>
      <c r="D3633">
        <v>43</v>
      </c>
      <c r="E3633" t="s">
        <v>12</v>
      </c>
      <c r="F3633" t="s">
        <v>18</v>
      </c>
      <c r="G3633" s="1">
        <v>44973</v>
      </c>
      <c r="H3633" s="1">
        <v>45149</v>
      </c>
      <c r="I3633">
        <v>10</v>
      </c>
      <c r="J3633" t="s">
        <v>23</v>
      </c>
      <c r="K3633">
        <v>19969.78</v>
      </c>
    </row>
    <row r="3634" spans="1:11">
      <c r="A3634">
        <v>3633</v>
      </c>
      <c r="B3634" t="s">
        <v>84</v>
      </c>
      <c r="C3634" s="1">
        <v>42370</v>
      </c>
      <c r="D3634">
        <v>10</v>
      </c>
      <c r="E3634" t="s">
        <v>15</v>
      </c>
      <c r="G3634" s="1">
        <v>45655</v>
      </c>
      <c r="H3634" s="1">
        <v>45558</v>
      </c>
      <c r="I3634">
        <v>21</v>
      </c>
      <c r="K3634">
        <v>1379.91</v>
      </c>
    </row>
    <row r="3635" spans="1:11">
      <c r="A3635">
        <v>3634</v>
      </c>
      <c r="B3635" t="s">
        <v>85</v>
      </c>
      <c r="C3635" s="1">
        <v>21551</v>
      </c>
      <c r="D3635">
        <v>67</v>
      </c>
      <c r="E3635" t="s">
        <v>15</v>
      </c>
      <c r="F3635" t="s">
        <v>13</v>
      </c>
      <c r="G3635" s="1">
        <v>45389</v>
      </c>
      <c r="H3635" s="1">
        <v>45109</v>
      </c>
      <c r="I3635">
        <v>17</v>
      </c>
      <c r="J3635" t="s">
        <v>25</v>
      </c>
      <c r="K3635">
        <v>12823.32</v>
      </c>
    </row>
    <row r="3636" spans="1:11">
      <c r="A3636">
        <v>3635</v>
      </c>
      <c r="B3636" t="s">
        <v>96</v>
      </c>
      <c r="C3636" s="1">
        <v>46022</v>
      </c>
      <c r="D3636">
        <v>0</v>
      </c>
      <c r="E3636" t="s">
        <v>15</v>
      </c>
      <c r="G3636" s="1">
        <v>45276</v>
      </c>
      <c r="H3636" s="1">
        <v>45823</v>
      </c>
      <c r="I3636">
        <v>39</v>
      </c>
      <c r="J3636" t="s">
        <v>19</v>
      </c>
      <c r="K3636">
        <v>3406.22</v>
      </c>
    </row>
    <row r="3637" spans="1:11">
      <c r="A3637">
        <v>3636</v>
      </c>
      <c r="B3637" t="s">
        <v>166</v>
      </c>
      <c r="C3637" s="1">
        <v>12785</v>
      </c>
      <c r="D3637">
        <v>91</v>
      </c>
      <c r="E3637" t="s">
        <v>12</v>
      </c>
      <c r="F3637" t="s">
        <v>16</v>
      </c>
      <c r="G3637" s="1">
        <v>45049</v>
      </c>
      <c r="H3637" s="1">
        <v>45657</v>
      </c>
      <c r="I3637">
        <v>25</v>
      </c>
      <c r="K3637">
        <v>16774.43</v>
      </c>
    </row>
    <row r="3638" spans="1:11">
      <c r="A3638">
        <v>3637</v>
      </c>
      <c r="B3638" t="s">
        <v>43</v>
      </c>
      <c r="C3638" s="1">
        <v>23377</v>
      </c>
      <c r="D3638">
        <v>62</v>
      </c>
      <c r="E3638" t="s">
        <v>15</v>
      </c>
      <c r="G3638" s="1">
        <v>44957</v>
      </c>
      <c r="H3638" s="1">
        <v>45183</v>
      </c>
      <c r="I3638">
        <v>32</v>
      </c>
      <c r="J3638" t="s">
        <v>19</v>
      </c>
      <c r="K3638">
        <v>18275.349999999999</v>
      </c>
    </row>
    <row r="3639" spans="1:11">
      <c r="A3639">
        <v>3638</v>
      </c>
      <c r="B3639" t="s">
        <v>94</v>
      </c>
      <c r="C3639" s="1">
        <v>37622</v>
      </c>
      <c r="D3639">
        <v>23</v>
      </c>
      <c r="E3639" t="s">
        <v>15</v>
      </c>
      <c r="F3639" t="s">
        <v>45</v>
      </c>
      <c r="G3639" s="1">
        <v>44981</v>
      </c>
      <c r="H3639" s="1">
        <v>45015</v>
      </c>
      <c r="I3639">
        <v>18</v>
      </c>
      <c r="J3639" t="s">
        <v>19</v>
      </c>
      <c r="K3639">
        <v>7969.71</v>
      </c>
    </row>
    <row r="3640" spans="1:11">
      <c r="A3640">
        <v>3639</v>
      </c>
      <c r="B3640" t="s">
        <v>64</v>
      </c>
      <c r="C3640" s="1">
        <v>41639</v>
      </c>
      <c r="D3640">
        <v>12</v>
      </c>
      <c r="E3640" t="s">
        <v>12</v>
      </c>
      <c r="F3640" t="s">
        <v>21</v>
      </c>
      <c r="G3640" s="1">
        <v>45079</v>
      </c>
      <c r="H3640" s="1">
        <v>45800</v>
      </c>
      <c r="I3640">
        <v>3</v>
      </c>
      <c r="J3640" t="s">
        <v>19</v>
      </c>
      <c r="K3640">
        <v>16451.919999999998</v>
      </c>
    </row>
    <row r="3641" spans="1:11">
      <c r="A3641">
        <v>3640</v>
      </c>
      <c r="B3641" t="s">
        <v>70</v>
      </c>
      <c r="C3641" s="1">
        <v>42370</v>
      </c>
      <c r="D3641">
        <v>10</v>
      </c>
      <c r="E3641" t="s">
        <v>12</v>
      </c>
      <c r="F3641" t="s">
        <v>32</v>
      </c>
      <c r="G3641" s="1">
        <v>45382</v>
      </c>
      <c r="H3641" s="1">
        <v>45714</v>
      </c>
      <c r="I3641">
        <v>4</v>
      </c>
      <c r="J3641" t="s">
        <v>25</v>
      </c>
      <c r="K3641">
        <v>4923.18</v>
      </c>
    </row>
    <row r="3642" spans="1:11">
      <c r="A3642">
        <v>3641</v>
      </c>
      <c r="B3642" t="s">
        <v>35</v>
      </c>
      <c r="C3642" s="1">
        <v>27760</v>
      </c>
      <c r="D3642">
        <v>50</v>
      </c>
      <c r="F3642" t="s">
        <v>13</v>
      </c>
      <c r="G3642" s="1">
        <v>45212</v>
      </c>
      <c r="H3642" s="1">
        <v>45419</v>
      </c>
      <c r="I3642">
        <v>26</v>
      </c>
      <c r="K3642">
        <v>2715.38</v>
      </c>
    </row>
    <row r="3643" spans="1:11">
      <c r="A3643">
        <v>3642</v>
      </c>
      <c r="B3643" t="s">
        <v>31</v>
      </c>
      <c r="C3643" s="1">
        <v>40178</v>
      </c>
      <c r="D3643">
        <v>16</v>
      </c>
      <c r="E3643" t="s">
        <v>12</v>
      </c>
      <c r="F3643" t="s">
        <v>21</v>
      </c>
      <c r="G3643" s="1">
        <v>44962</v>
      </c>
      <c r="H3643" s="1">
        <v>45263</v>
      </c>
      <c r="I3643">
        <v>20</v>
      </c>
      <c r="J3643" t="s">
        <v>25</v>
      </c>
      <c r="K3643">
        <v>6249.15</v>
      </c>
    </row>
    <row r="3644" spans="1:11">
      <c r="A3644">
        <v>3643</v>
      </c>
      <c r="B3644" t="s">
        <v>101</v>
      </c>
      <c r="C3644" s="1">
        <v>16437</v>
      </c>
      <c r="D3644">
        <v>81</v>
      </c>
      <c r="E3644" t="s">
        <v>15</v>
      </c>
      <c r="F3644" t="s">
        <v>18</v>
      </c>
      <c r="G3644" s="1">
        <v>45182</v>
      </c>
      <c r="H3644" s="1">
        <v>45465</v>
      </c>
      <c r="I3644">
        <v>2</v>
      </c>
      <c r="J3644" t="s">
        <v>25</v>
      </c>
      <c r="K3644">
        <v>6767.65</v>
      </c>
    </row>
    <row r="3645" spans="1:11">
      <c r="A3645">
        <v>3644</v>
      </c>
      <c r="B3645" t="s">
        <v>58</v>
      </c>
      <c r="C3645" s="1">
        <v>14976</v>
      </c>
      <c r="D3645">
        <v>85</v>
      </c>
      <c r="E3645" t="s">
        <v>15</v>
      </c>
      <c r="F3645" t="s">
        <v>21</v>
      </c>
      <c r="G3645" s="1">
        <v>45104</v>
      </c>
      <c r="H3645" s="1">
        <v>45334</v>
      </c>
      <c r="I3645">
        <v>19</v>
      </c>
      <c r="J3645" t="s">
        <v>23</v>
      </c>
      <c r="K3645">
        <v>7886.89</v>
      </c>
    </row>
    <row r="3646" spans="1:11">
      <c r="A3646">
        <v>3645</v>
      </c>
      <c r="B3646" t="s">
        <v>28</v>
      </c>
      <c r="C3646" s="1">
        <v>37622</v>
      </c>
      <c r="D3646">
        <v>23</v>
      </c>
      <c r="E3646" t="s">
        <v>15</v>
      </c>
      <c r="F3646" t="s">
        <v>16</v>
      </c>
      <c r="G3646" s="1">
        <v>45474</v>
      </c>
      <c r="H3646" s="1">
        <v>45560</v>
      </c>
      <c r="I3646">
        <v>6</v>
      </c>
      <c r="K3646">
        <v>7396.47</v>
      </c>
    </row>
    <row r="3647" spans="1:11">
      <c r="A3647">
        <v>3646</v>
      </c>
      <c r="B3647" t="s">
        <v>50</v>
      </c>
      <c r="C3647" s="1">
        <v>39448</v>
      </c>
      <c r="D3647">
        <v>18</v>
      </c>
      <c r="E3647" t="s">
        <v>15</v>
      </c>
      <c r="F3647" t="s">
        <v>16</v>
      </c>
      <c r="G3647" s="1">
        <v>45180</v>
      </c>
      <c r="H3647" s="1">
        <v>45216</v>
      </c>
      <c r="I3647">
        <v>29</v>
      </c>
      <c r="J3647" t="s">
        <v>23</v>
      </c>
      <c r="K3647">
        <v>8164</v>
      </c>
    </row>
    <row r="3648" spans="1:11">
      <c r="A3648">
        <v>3647</v>
      </c>
      <c r="B3648" t="s">
        <v>40</v>
      </c>
      <c r="C3648" s="1">
        <v>32873</v>
      </c>
      <c r="D3648">
        <v>36</v>
      </c>
      <c r="E3648" t="s">
        <v>12</v>
      </c>
      <c r="F3648" t="s">
        <v>45</v>
      </c>
      <c r="G3648" s="1">
        <v>45434</v>
      </c>
      <c r="H3648" s="1">
        <v>45289</v>
      </c>
      <c r="I3648">
        <v>7</v>
      </c>
      <c r="J3648" t="s">
        <v>19</v>
      </c>
      <c r="K3648">
        <v>14171.67</v>
      </c>
    </row>
    <row r="3649" spans="1:11">
      <c r="A3649">
        <v>3648</v>
      </c>
      <c r="B3649" t="s">
        <v>48</v>
      </c>
      <c r="C3649" s="1">
        <v>15341</v>
      </c>
      <c r="D3649">
        <v>84</v>
      </c>
      <c r="E3649" t="s">
        <v>12</v>
      </c>
      <c r="F3649" t="s">
        <v>21</v>
      </c>
      <c r="G3649" s="1">
        <v>45600</v>
      </c>
      <c r="H3649" s="1">
        <v>45368</v>
      </c>
      <c r="I3649">
        <v>25</v>
      </c>
      <c r="K3649">
        <v>4836.16</v>
      </c>
    </row>
    <row r="3650" spans="1:11">
      <c r="A3650">
        <v>3649</v>
      </c>
      <c r="B3650" t="s">
        <v>59</v>
      </c>
      <c r="C3650" s="1">
        <v>43466</v>
      </c>
      <c r="D3650">
        <v>7</v>
      </c>
      <c r="E3650" t="s">
        <v>12</v>
      </c>
      <c r="G3650" s="1">
        <v>44947</v>
      </c>
      <c r="H3650" s="1">
        <v>44957</v>
      </c>
      <c r="I3650">
        <v>8</v>
      </c>
      <c r="K3650">
        <v>273.37</v>
      </c>
    </row>
    <row r="3651" spans="1:11">
      <c r="A3651">
        <v>3650</v>
      </c>
      <c r="B3651" t="s">
        <v>129</v>
      </c>
      <c r="C3651" s="1">
        <v>36161</v>
      </c>
      <c r="D3651">
        <v>27</v>
      </c>
      <c r="E3651" t="s">
        <v>15</v>
      </c>
      <c r="F3651" t="s">
        <v>21</v>
      </c>
      <c r="G3651" s="1">
        <v>45001</v>
      </c>
      <c r="H3651" s="1">
        <v>45641</v>
      </c>
      <c r="I3651">
        <v>4</v>
      </c>
      <c r="J3651" t="s">
        <v>25</v>
      </c>
      <c r="K3651">
        <v>9742.58</v>
      </c>
    </row>
    <row r="3652" spans="1:11">
      <c r="A3652">
        <v>3651</v>
      </c>
      <c r="B3652" t="s">
        <v>20</v>
      </c>
      <c r="C3652" s="1">
        <v>44561</v>
      </c>
      <c r="D3652">
        <v>4</v>
      </c>
      <c r="E3652" t="s">
        <v>12</v>
      </c>
      <c r="F3652" t="s">
        <v>16</v>
      </c>
      <c r="G3652" s="1">
        <v>45645</v>
      </c>
      <c r="H3652" s="1">
        <v>45821</v>
      </c>
      <c r="I3652">
        <v>27</v>
      </c>
      <c r="J3652" t="s">
        <v>19</v>
      </c>
      <c r="K3652">
        <v>8910.65</v>
      </c>
    </row>
    <row r="3653" spans="1:11">
      <c r="A3653">
        <v>3652</v>
      </c>
      <c r="B3653" t="s">
        <v>83</v>
      </c>
      <c r="C3653" s="1">
        <v>40178</v>
      </c>
      <c r="D3653">
        <v>16</v>
      </c>
      <c r="E3653" t="s">
        <v>12</v>
      </c>
      <c r="F3653" t="s">
        <v>18</v>
      </c>
      <c r="G3653" s="1">
        <v>45386</v>
      </c>
      <c r="H3653" s="1">
        <v>45475</v>
      </c>
      <c r="I3653">
        <v>35</v>
      </c>
      <c r="J3653" t="s">
        <v>25</v>
      </c>
      <c r="K3653">
        <v>1107.31</v>
      </c>
    </row>
    <row r="3654" spans="1:11">
      <c r="A3654">
        <v>3653</v>
      </c>
      <c r="B3654" t="s">
        <v>72</v>
      </c>
      <c r="C3654" s="1">
        <v>33239</v>
      </c>
      <c r="D3654">
        <v>35</v>
      </c>
      <c r="E3654" t="s">
        <v>15</v>
      </c>
      <c r="F3654" t="s">
        <v>18</v>
      </c>
      <c r="G3654" s="1">
        <v>45104</v>
      </c>
      <c r="H3654" s="1">
        <v>45564</v>
      </c>
      <c r="I3654">
        <v>31</v>
      </c>
      <c r="J3654" t="s">
        <v>23</v>
      </c>
      <c r="K3654">
        <v>2589.41</v>
      </c>
    </row>
    <row r="3655" spans="1:11">
      <c r="A3655">
        <v>3654</v>
      </c>
      <c r="B3655" t="s">
        <v>66</v>
      </c>
      <c r="D3655">
        <v>18</v>
      </c>
      <c r="E3655" t="s">
        <v>12</v>
      </c>
      <c r="F3655" t="s">
        <v>32</v>
      </c>
      <c r="G3655" s="1">
        <v>45308</v>
      </c>
      <c r="H3655" s="1">
        <v>45150</v>
      </c>
      <c r="I3655">
        <v>25</v>
      </c>
      <c r="J3655" t="s">
        <v>19</v>
      </c>
      <c r="K3655">
        <v>10149.41</v>
      </c>
    </row>
    <row r="3656" spans="1:11">
      <c r="A3656">
        <v>3655</v>
      </c>
      <c r="B3656" t="s">
        <v>124</v>
      </c>
      <c r="C3656" s="1">
        <v>23012</v>
      </c>
      <c r="D3656">
        <v>63</v>
      </c>
      <c r="E3656" t="s">
        <v>15</v>
      </c>
      <c r="G3656" s="1">
        <v>44963</v>
      </c>
      <c r="H3656" s="1">
        <v>45674</v>
      </c>
      <c r="I3656">
        <v>29</v>
      </c>
      <c r="J3656" t="s">
        <v>25</v>
      </c>
      <c r="K3656">
        <v>4618.49</v>
      </c>
    </row>
    <row r="3657" spans="1:11">
      <c r="A3657">
        <v>3656</v>
      </c>
      <c r="B3657" t="s">
        <v>102</v>
      </c>
      <c r="C3657" s="1">
        <v>13150</v>
      </c>
      <c r="D3657">
        <v>90</v>
      </c>
      <c r="E3657" t="s">
        <v>15</v>
      </c>
      <c r="G3657" s="1">
        <v>45046</v>
      </c>
      <c r="H3657" s="1">
        <v>45051</v>
      </c>
      <c r="I3657">
        <v>13</v>
      </c>
      <c r="J3657" t="s">
        <v>25</v>
      </c>
      <c r="K3657">
        <v>17539.73</v>
      </c>
    </row>
    <row r="3658" spans="1:11">
      <c r="A3658">
        <v>3657</v>
      </c>
      <c r="B3658" t="s">
        <v>125</v>
      </c>
      <c r="C3658" s="1">
        <v>42370</v>
      </c>
      <c r="E3658" t="s">
        <v>12</v>
      </c>
      <c r="F3658" t="s">
        <v>18</v>
      </c>
      <c r="G3658" s="1">
        <v>45556</v>
      </c>
      <c r="H3658" s="1">
        <v>45610</v>
      </c>
      <c r="I3658">
        <v>36</v>
      </c>
      <c r="J3658" t="s">
        <v>25</v>
      </c>
      <c r="K3658">
        <v>3383.18</v>
      </c>
    </row>
    <row r="3659" spans="1:11">
      <c r="A3659">
        <v>3658</v>
      </c>
      <c r="B3659" t="s">
        <v>49</v>
      </c>
      <c r="C3659" s="1">
        <v>26664</v>
      </c>
      <c r="D3659">
        <v>53</v>
      </c>
      <c r="E3659" t="s">
        <v>12</v>
      </c>
      <c r="F3659" t="s">
        <v>21</v>
      </c>
      <c r="G3659" s="1">
        <v>44927</v>
      </c>
      <c r="H3659" s="1">
        <v>45620</v>
      </c>
      <c r="I3659">
        <v>-2</v>
      </c>
      <c r="J3659" t="s">
        <v>19</v>
      </c>
      <c r="K3659">
        <v>304.45999999999998</v>
      </c>
    </row>
    <row r="3660" spans="1:11">
      <c r="A3660">
        <v>3659</v>
      </c>
      <c r="B3660" t="s">
        <v>71</v>
      </c>
      <c r="C3660" s="1">
        <v>29951</v>
      </c>
      <c r="D3660">
        <v>44</v>
      </c>
      <c r="E3660" t="s">
        <v>15</v>
      </c>
      <c r="F3660" t="s">
        <v>45</v>
      </c>
      <c r="G3660" s="1">
        <v>45647</v>
      </c>
      <c r="H3660" s="1">
        <v>45142</v>
      </c>
      <c r="I3660">
        <v>31</v>
      </c>
      <c r="J3660" t="s">
        <v>23</v>
      </c>
      <c r="K3660">
        <v>8896.0300000000007</v>
      </c>
    </row>
    <row r="3661" spans="1:11">
      <c r="A3661">
        <v>3660</v>
      </c>
      <c r="B3661" t="s">
        <v>103</v>
      </c>
      <c r="C3661" s="1">
        <v>29221</v>
      </c>
      <c r="D3661">
        <v>46</v>
      </c>
      <c r="E3661" t="s">
        <v>15</v>
      </c>
      <c r="F3661" t="s">
        <v>18</v>
      </c>
      <c r="G3661" s="1">
        <v>45237</v>
      </c>
      <c r="H3661" s="1">
        <v>45045</v>
      </c>
      <c r="I3661">
        <v>38</v>
      </c>
      <c r="K3661">
        <v>19721.88</v>
      </c>
    </row>
    <row r="3662" spans="1:11">
      <c r="A3662">
        <v>3661</v>
      </c>
      <c r="B3662" t="s">
        <v>71</v>
      </c>
      <c r="C3662" s="1">
        <v>42005</v>
      </c>
      <c r="D3662">
        <v>11</v>
      </c>
      <c r="G3662" s="1">
        <v>45134</v>
      </c>
      <c r="H3662" s="1">
        <v>45154</v>
      </c>
      <c r="I3662">
        <v>20</v>
      </c>
      <c r="J3662" t="s">
        <v>25</v>
      </c>
      <c r="K3662">
        <v>12640.84</v>
      </c>
    </row>
    <row r="3663" spans="1:11">
      <c r="A3663">
        <v>3662</v>
      </c>
      <c r="B3663" t="s">
        <v>108</v>
      </c>
      <c r="C3663" s="1">
        <v>38717</v>
      </c>
      <c r="D3663">
        <v>20</v>
      </c>
      <c r="E3663" t="s">
        <v>12</v>
      </c>
      <c r="G3663" s="1">
        <v>45080</v>
      </c>
      <c r="H3663" s="1">
        <v>45818</v>
      </c>
      <c r="I3663">
        <v>17</v>
      </c>
      <c r="J3663" t="s">
        <v>19</v>
      </c>
      <c r="K3663">
        <v>7016</v>
      </c>
    </row>
    <row r="3664" spans="1:11">
      <c r="A3664">
        <v>3663</v>
      </c>
      <c r="B3664" t="s">
        <v>132</v>
      </c>
      <c r="C3664" s="1">
        <v>42370</v>
      </c>
      <c r="D3664">
        <v>10</v>
      </c>
      <c r="E3664" t="s">
        <v>12</v>
      </c>
      <c r="F3664" t="s">
        <v>16</v>
      </c>
      <c r="G3664" s="1">
        <v>45609</v>
      </c>
      <c r="H3664" s="1">
        <v>45371</v>
      </c>
      <c r="I3664">
        <v>15</v>
      </c>
      <c r="K3664">
        <v>239.05</v>
      </c>
    </row>
    <row r="3665" spans="1:11">
      <c r="A3665">
        <v>3664</v>
      </c>
      <c r="B3665" t="s">
        <v>51</v>
      </c>
      <c r="C3665" s="1">
        <v>12785</v>
      </c>
      <c r="D3665">
        <v>91</v>
      </c>
      <c r="E3665" t="s">
        <v>15</v>
      </c>
      <c r="F3665" t="s">
        <v>16</v>
      </c>
      <c r="G3665" s="1">
        <v>45241</v>
      </c>
      <c r="H3665" s="1">
        <v>45476</v>
      </c>
      <c r="I3665">
        <v>15</v>
      </c>
      <c r="J3665" t="s">
        <v>25</v>
      </c>
      <c r="K3665">
        <v>9647.4599999999991</v>
      </c>
    </row>
    <row r="3666" spans="1:11">
      <c r="A3666">
        <v>3665</v>
      </c>
      <c r="B3666" t="s">
        <v>114</v>
      </c>
      <c r="C3666" s="1">
        <v>44561</v>
      </c>
      <c r="D3666">
        <v>4</v>
      </c>
      <c r="E3666" t="s">
        <v>15</v>
      </c>
      <c r="F3666" t="s">
        <v>32</v>
      </c>
      <c r="G3666" s="1">
        <v>45233</v>
      </c>
      <c r="H3666" s="1">
        <v>45756</v>
      </c>
      <c r="I3666">
        <v>39</v>
      </c>
      <c r="J3666" t="s">
        <v>19</v>
      </c>
      <c r="K3666">
        <v>4049.97</v>
      </c>
    </row>
    <row r="3667" spans="1:11">
      <c r="A3667">
        <v>3666</v>
      </c>
      <c r="B3667" t="s">
        <v>116</v>
      </c>
      <c r="C3667" s="1">
        <v>16802</v>
      </c>
      <c r="D3667">
        <v>80</v>
      </c>
      <c r="E3667" t="s">
        <v>15</v>
      </c>
      <c r="F3667" t="s">
        <v>32</v>
      </c>
      <c r="G3667" s="1">
        <v>45430</v>
      </c>
      <c r="H3667" s="1">
        <v>45535</v>
      </c>
      <c r="I3667">
        <v>37</v>
      </c>
      <c r="J3667" t="s">
        <v>23</v>
      </c>
      <c r="K3667">
        <v>12919.86</v>
      </c>
    </row>
    <row r="3668" spans="1:11">
      <c r="A3668">
        <v>3667</v>
      </c>
      <c r="B3668" t="s">
        <v>80</v>
      </c>
      <c r="C3668" s="1">
        <v>25934</v>
      </c>
      <c r="D3668">
        <v>55</v>
      </c>
      <c r="E3668" t="s">
        <v>15</v>
      </c>
      <c r="F3668" t="s">
        <v>21</v>
      </c>
      <c r="G3668" s="1">
        <v>45545</v>
      </c>
      <c r="H3668" s="1">
        <v>45559</v>
      </c>
      <c r="I3668">
        <v>18</v>
      </c>
      <c r="J3668" t="s">
        <v>25</v>
      </c>
      <c r="K3668">
        <v>11618.47</v>
      </c>
    </row>
    <row r="3669" spans="1:11">
      <c r="A3669">
        <v>3668</v>
      </c>
      <c r="B3669" t="s">
        <v>41</v>
      </c>
      <c r="C3669" s="1">
        <v>39083</v>
      </c>
      <c r="E3669" t="s">
        <v>15</v>
      </c>
      <c r="F3669" t="s">
        <v>18</v>
      </c>
      <c r="G3669" s="1">
        <v>45581</v>
      </c>
      <c r="H3669" s="1">
        <v>45364</v>
      </c>
      <c r="I3669">
        <v>5</v>
      </c>
      <c r="J3669" t="s">
        <v>19</v>
      </c>
      <c r="K3669">
        <v>5230.8</v>
      </c>
    </row>
    <row r="3670" spans="1:11">
      <c r="A3670">
        <v>3669</v>
      </c>
      <c r="B3670" t="s">
        <v>139</v>
      </c>
      <c r="C3670" s="1">
        <v>31412</v>
      </c>
      <c r="D3670">
        <v>40</v>
      </c>
      <c r="E3670" t="s">
        <v>15</v>
      </c>
      <c r="F3670" t="s">
        <v>18</v>
      </c>
      <c r="G3670" s="1">
        <v>45446</v>
      </c>
      <c r="H3670" s="1">
        <v>44939</v>
      </c>
      <c r="I3670">
        <v>31</v>
      </c>
      <c r="J3670" t="s">
        <v>25</v>
      </c>
      <c r="K3670">
        <v>1284.54</v>
      </c>
    </row>
    <row r="3671" spans="1:11">
      <c r="A3671">
        <v>3670</v>
      </c>
      <c r="B3671" t="s">
        <v>160</v>
      </c>
      <c r="C3671" s="1">
        <v>29586</v>
      </c>
      <c r="D3671">
        <v>45</v>
      </c>
      <c r="E3671" t="s">
        <v>12</v>
      </c>
      <c r="F3671" t="s">
        <v>32</v>
      </c>
      <c r="G3671" s="1">
        <v>45532</v>
      </c>
      <c r="H3671" s="1">
        <v>45049</v>
      </c>
      <c r="I3671">
        <v>8</v>
      </c>
      <c r="J3671" t="s">
        <v>19</v>
      </c>
      <c r="K3671">
        <v>15075.89</v>
      </c>
    </row>
    <row r="3672" spans="1:11">
      <c r="A3672">
        <v>3671</v>
      </c>
      <c r="B3672" t="s">
        <v>112</v>
      </c>
      <c r="C3672" s="1">
        <v>42005</v>
      </c>
      <c r="D3672">
        <v>11</v>
      </c>
      <c r="E3672" t="s">
        <v>15</v>
      </c>
      <c r="F3672" t="s">
        <v>18</v>
      </c>
      <c r="G3672" s="1">
        <v>45023</v>
      </c>
      <c r="H3672" s="1">
        <v>45474</v>
      </c>
      <c r="I3672">
        <v>7</v>
      </c>
      <c r="J3672" t="s">
        <v>23</v>
      </c>
      <c r="K3672">
        <v>11667.83</v>
      </c>
    </row>
    <row r="3673" spans="1:11">
      <c r="A3673">
        <v>3672</v>
      </c>
      <c r="B3673" t="s">
        <v>109</v>
      </c>
      <c r="C3673" s="1">
        <v>20820</v>
      </c>
      <c r="E3673" t="s">
        <v>12</v>
      </c>
      <c r="F3673" t="s">
        <v>21</v>
      </c>
      <c r="G3673" s="1">
        <v>45416</v>
      </c>
      <c r="H3673" s="1">
        <v>45416</v>
      </c>
      <c r="I3673">
        <v>5</v>
      </c>
      <c r="J3673" t="s">
        <v>23</v>
      </c>
      <c r="K3673">
        <v>16826.740000000002</v>
      </c>
    </row>
    <row r="3674" spans="1:11">
      <c r="A3674">
        <v>3673</v>
      </c>
      <c r="B3674" t="s">
        <v>64</v>
      </c>
      <c r="C3674" s="1">
        <v>40178</v>
      </c>
      <c r="D3674">
        <v>16</v>
      </c>
      <c r="E3674" t="s">
        <v>15</v>
      </c>
      <c r="F3674" t="s">
        <v>45</v>
      </c>
      <c r="G3674" s="1">
        <v>44933</v>
      </c>
      <c r="H3674" s="1">
        <v>45178</v>
      </c>
      <c r="I3674">
        <v>5</v>
      </c>
      <c r="J3674" t="s">
        <v>19</v>
      </c>
      <c r="K3674">
        <v>5121.9799999999996</v>
      </c>
    </row>
    <row r="3675" spans="1:11">
      <c r="A3675">
        <v>3674</v>
      </c>
      <c r="B3675" t="s">
        <v>146</v>
      </c>
      <c r="C3675" s="1">
        <v>39448</v>
      </c>
      <c r="D3675">
        <v>18</v>
      </c>
      <c r="E3675" t="s">
        <v>15</v>
      </c>
      <c r="F3675" t="s">
        <v>16</v>
      </c>
      <c r="G3675" s="1">
        <v>44938</v>
      </c>
      <c r="H3675" s="1">
        <v>45506</v>
      </c>
      <c r="I3675">
        <v>16</v>
      </c>
      <c r="K3675">
        <v>13022.53</v>
      </c>
    </row>
    <row r="3676" spans="1:11">
      <c r="A3676">
        <v>3675</v>
      </c>
      <c r="B3676" t="s">
        <v>17</v>
      </c>
      <c r="C3676" s="1">
        <v>36891</v>
      </c>
      <c r="D3676">
        <v>25</v>
      </c>
      <c r="E3676" t="s">
        <v>15</v>
      </c>
      <c r="F3676" t="s">
        <v>21</v>
      </c>
      <c r="G3676" s="1">
        <v>45440</v>
      </c>
      <c r="H3676" s="1">
        <v>45409</v>
      </c>
      <c r="I3676">
        <v>-2</v>
      </c>
      <c r="J3676" t="s">
        <v>23</v>
      </c>
      <c r="K3676">
        <v>2285.48</v>
      </c>
    </row>
    <row r="3677" spans="1:11">
      <c r="A3677">
        <v>3676</v>
      </c>
      <c r="B3677" t="s">
        <v>129</v>
      </c>
      <c r="C3677" s="1">
        <v>28856</v>
      </c>
      <c r="D3677">
        <v>47</v>
      </c>
      <c r="E3677" t="s">
        <v>12</v>
      </c>
      <c r="F3677" t="s">
        <v>18</v>
      </c>
      <c r="G3677" s="1">
        <v>45275</v>
      </c>
      <c r="H3677" s="1">
        <v>45477</v>
      </c>
      <c r="I3677">
        <v>0</v>
      </c>
      <c r="J3677" t="s">
        <v>25</v>
      </c>
      <c r="K3677">
        <v>5765.38</v>
      </c>
    </row>
    <row r="3678" spans="1:11">
      <c r="A3678">
        <v>3677</v>
      </c>
      <c r="B3678" t="s">
        <v>100</v>
      </c>
      <c r="C3678" s="1">
        <v>27395</v>
      </c>
      <c r="D3678">
        <v>51</v>
      </c>
      <c r="E3678" t="s">
        <v>15</v>
      </c>
      <c r="F3678" t="s">
        <v>21</v>
      </c>
      <c r="G3678" s="1">
        <v>44933</v>
      </c>
      <c r="H3678" s="1">
        <v>45207</v>
      </c>
      <c r="I3678">
        <v>29</v>
      </c>
      <c r="J3678" t="s">
        <v>23</v>
      </c>
      <c r="K3678">
        <v>13096.44</v>
      </c>
    </row>
    <row r="3679" spans="1:11">
      <c r="A3679">
        <v>3678</v>
      </c>
      <c r="B3679" t="s">
        <v>22</v>
      </c>
      <c r="C3679" s="1">
        <v>20820</v>
      </c>
      <c r="D3679">
        <v>69</v>
      </c>
      <c r="F3679" t="s">
        <v>16</v>
      </c>
      <c r="G3679" s="1">
        <v>45426</v>
      </c>
      <c r="H3679" s="1">
        <v>45669</v>
      </c>
      <c r="I3679">
        <v>13</v>
      </c>
      <c r="J3679" t="s">
        <v>25</v>
      </c>
      <c r="K3679">
        <v>16494.18</v>
      </c>
    </row>
    <row r="3680" spans="1:11">
      <c r="A3680">
        <v>3679</v>
      </c>
      <c r="B3680" t="s">
        <v>50</v>
      </c>
      <c r="C3680" s="1">
        <v>26299</v>
      </c>
      <c r="D3680">
        <v>54</v>
      </c>
      <c r="E3680" t="s">
        <v>12</v>
      </c>
      <c r="F3680" t="s">
        <v>13</v>
      </c>
      <c r="G3680" s="1">
        <v>45401</v>
      </c>
      <c r="H3680" s="1">
        <v>45264</v>
      </c>
      <c r="I3680">
        <v>27</v>
      </c>
      <c r="J3680" t="s">
        <v>23</v>
      </c>
      <c r="K3680">
        <v>6350.6</v>
      </c>
    </row>
    <row r="3681" spans="1:11">
      <c r="A3681">
        <v>3680</v>
      </c>
      <c r="B3681" t="s">
        <v>51</v>
      </c>
      <c r="D3681">
        <v>74</v>
      </c>
      <c r="E3681" t="s">
        <v>12</v>
      </c>
      <c r="G3681" s="1">
        <v>45450</v>
      </c>
      <c r="H3681" s="1">
        <v>45095</v>
      </c>
      <c r="I3681">
        <v>25</v>
      </c>
      <c r="J3681" t="s">
        <v>23</v>
      </c>
      <c r="K3681">
        <v>15956.96</v>
      </c>
    </row>
    <row r="3682" spans="1:11">
      <c r="A3682">
        <v>3681</v>
      </c>
      <c r="B3682" t="s">
        <v>80</v>
      </c>
      <c r="E3682" t="s">
        <v>15</v>
      </c>
      <c r="F3682" t="s">
        <v>16</v>
      </c>
      <c r="G3682" s="1">
        <v>44983</v>
      </c>
      <c r="H3682" s="1">
        <v>45255</v>
      </c>
      <c r="I3682">
        <v>25</v>
      </c>
      <c r="J3682" t="s">
        <v>25</v>
      </c>
      <c r="K3682">
        <v>13522.82</v>
      </c>
    </row>
    <row r="3683" spans="1:11">
      <c r="A3683">
        <v>3682</v>
      </c>
      <c r="B3683" t="s">
        <v>64</v>
      </c>
      <c r="C3683" s="1">
        <v>23742</v>
      </c>
      <c r="D3683">
        <v>61</v>
      </c>
      <c r="E3683" t="s">
        <v>12</v>
      </c>
      <c r="G3683" s="1">
        <v>45516</v>
      </c>
      <c r="H3683" s="1">
        <v>45173</v>
      </c>
      <c r="I3683">
        <v>13</v>
      </c>
      <c r="J3683" t="s">
        <v>23</v>
      </c>
      <c r="K3683">
        <v>6908.36</v>
      </c>
    </row>
    <row r="3684" spans="1:11">
      <c r="A3684">
        <v>3683</v>
      </c>
      <c r="B3684" t="s">
        <v>117</v>
      </c>
      <c r="C3684" s="1">
        <v>14246</v>
      </c>
      <c r="D3684">
        <v>87</v>
      </c>
      <c r="E3684" t="s">
        <v>12</v>
      </c>
      <c r="F3684" t="s">
        <v>16</v>
      </c>
      <c r="G3684" s="1">
        <v>45512</v>
      </c>
      <c r="H3684" s="1">
        <v>45518</v>
      </c>
      <c r="I3684">
        <v>38</v>
      </c>
      <c r="J3684" t="s">
        <v>25</v>
      </c>
      <c r="K3684">
        <v>17515.580000000002</v>
      </c>
    </row>
    <row r="3685" spans="1:11">
      <c r="A3685">
        <v>3684</v>
      </c>
      <c r="B3685" t="s">
        <v>131</v>
      </c>
      <c r="C3685" s="1">
        <v>37987</v>
      </c>
      <c r="D3685">
        <v>22</v>
      </c>
      <c r="E3685" t="s">
        <v>15</v>
      </c>
      <c r="F3685" t="s">
        <v>13</v>
      </c>
      <c r="G3685" s="1">
        <v>45159</v>
      </c>
      <c r="H3685" s="1">
        <v>45553</v>
      </c>
      <c r="I3685">
        <v>30</v>
      </c>
      <c r="J3685" t="s">
        <v>25</v>
      </c>
      <c r="K3685">
        <v>10135.5</v>
      </c>
    </row>
    <row r="3686" spans="1:11">
      <c r="A3686">
        <v>3685</v>
      </c>
      <c r="B3686" t="s">
        <v>55</v>
      </c>
      <c r="C3686" s="1">
        <v>40909</v>
      </c>
      <c r="D3686">
        <v>14</v>
      </c>
      <c r="E3686" t="s">
        <v>12</v>
      </c>
      <c r="F3686" t="s">
        <v>18</v>
      </c>
      <c r="G3686" s="1">
        <v>44956</v>
      </c>
      <c r="H3686" s="1">
        <v>45228</v>
      </c>
      <c r="I3686">
        <v>22</v>
      </c>
      <c r="J3686" t="s">
        <v>23</v>
      </c>
      <c r="K3686">
        <v>12929.76</v>
      </c>
    </row>
    <row r="3687" spans="1:11">
      <c r="A3687">
        <v>3686</v>
      </c>
      <c r="B3687" t="s">
        <v>79</v>
      </c>
      <c r="C3687" s="1">
        <v>36526</v>
      </c>
      <c r="D3687">
        <v>26</v>
      </c>
      <c r="E3687" t="s">
        <v>12</v>
      </c>
      <c r="F3687" t="s">
        <v>18</v>
      </c>
      <c r="G3687" s="1">
        <v>45293</v>
      </c>
      <c r="H3687" s="1">
        <v>45656</v>
      </c>
      <c r="I3687">
        <v>15</v>
      </c>
      <c r="J3687" t="s">
        <v>23</v>
      </c>
      <c r="K3687">
        <v>9862.19</v>
      </c>
    </row>
    <row r="3688" spans="1:11">
      <c r="A3688">
        <v>3687</v>
      </c>
      <c r="B3688" t="s">
        <v>58</v>
      </c>
      <c r="C3688" s="1">
        <v>18994</v>
      </c>
      <c r="D3688">
        <v>74</v>
      </c>
      <c r="E3688" t="s">
        <v>12</v>
      </c>
      <c r="F3688" t="s">
        <v>45</v>
      </c>
      <c r="G3688" s="1">
        <v>45533</v>
      </c>
      <c r="H3688" s="1">
        <v>45127</v>
      </c>
      <c r="I3688">
        <v>23</v>
      </c>
      <c r="J3688" t="s">
        <v>25</v>
      </c>
      <c r="K3688">
        <v>8999.67</v>
      </c>
    </row>
    <row r="3689" spans="1:11">
      <c r="A3689">
        <v>3688</v>
      </c>
      <c r="B3689" t="s">
        <v>97</v>
      </c>
      <c r="C3689" s="1">
        <v>23012</v>
      </c>
      <c r="D3689">
        <v>63</v>
      </c>
      <c r="E3689" t="s">
        <v>12</v>
      </c>
      <c r="F3689" t="s">
        <v>16</v>
      </c>
      <c r="G3689" s="1">
        <v>44982</v>
      </c>
      <c r="H3689" s="1">
        <v>45820</v>
      </c>
      <c r="I3689">
        <v>3</v>
      </c>
      <c r="J3689" t="s">
        <v>19</v>
      </c>
      <c r="K3689">
        <v>16944.349999999999</v>
      </c>
    </row>
    <row r="3690" spans="1:11">
      <c r="A3690">
        <v>3689</v>
      </c>
      <c r="B3690" t="s">
        <v>73</v>
      </c>
      <c r="C3690" s="1">
        <v>16802</v>
      </c>
      <c r="D3690">
        <v>80</v>
      </c>
      <c r="E3690" t="s">
        <v>12</v>
      </c>
      <c r="F3690" t="s">
        <v>21</v>
      </c>
      <c r="G3690" s="1">
        <v>44936</v>
      </c>
      <c r="H3690" s="1">
        <v>45427</v>
      </c>
      <c r="I3690">
        <v>35</v>
      </c>
      <c r="J3690" t="s">
        <v>23</v>
      </c>
      <c r="K3690">
        <v>5823.56</v>
      </c>
    </row>
    <row r="3691" spans="1:11">
      <c r="A3691">
        <v>3690</v>
      </c>
      <c r="B3691" t="s">
        <v>121</v>
      </c>
      <c r="C3691" s="1">
        <v>27760</v>
      </c>
      <c r="D3691">
        <v>50</v>
      </c>
      <c r="E3691" t="s">
        <v>12</v>
      </c>
      <c r="F3691" t="s">
        <v>45</v>
      </c>
      <c r="G3691" s="1">
        <v>45073</v>
      </c>
      <c r="H3691" s="1">
        <v>45791</v>
      </c>
      <c r="I3691">
        <v>0</v>
      </c>
      <c r="K3691">
        <v>636.25</v>
      </c>
    </row>
    <row r="3692" spans="1:11">
      <c r="A3692">
        <v>3691</v>
      </c>
      <c r="B3692" t="s">
        <v>40</v>
      </c>
      <c r="C3692" s="1">
        <v>27029</v>
      </c>
      <c r="D3692">
        <v>52</v>
      </c>
      <c r="E3692" t="s">
        <v>15</v>
      </c>
      <c r="F3692" t="s">
        <v>18</v>
      </c>
      <c r="G3692" s="1">
        <v>45290</v>
      </c>
      <c r="H3692" s="1">
        <v>45681</v>
      </c>
      <c r="I3692">
        <v>3</v>
      </c>
      <c r="J3692" t="s">
        <v>23</v>
      </c>
      <c r="K3692">
        <v>17583.63</v>
      </c>
    </row>
    <row r="3693" spans="1:11">
      <c r="A3693">
        <v>3692</v>
      </c>
      <c r="B3693" t="s">
        <v>109</v>
      </c>
      <c r="C3693" s="1">
        <v>17898</v>
      </c>
      <c r="D3693">
        <v>77</v>
      </c>
      <c r="E3693" t="s">
        <v>12</v>
      </c>
      <c r="F3693" t="s">
        <v>18</v>
      </c>
      <c r="G3693" s="1">
        <v>45525</v>
      </c>
      <c r="H3693" s="1">
        <v>44940</v>
      </c>
      <c r="I3693">
        <v>11</v>
      </c>
      <c r="J3693" t="s">
        <v>19</v>
      </c>
      <c r="K3693">
        <v>16482.98</v>
      </c>
    </row>
    <row r="3694" spans="1:11">
      <c r="A3694">
        <v>3693</v>
      </c>
      <c r="B3694" t="s">
        <v>81</v>
      </c>
      <c r="C3694" s="1">
        <v>13150</v>
      </c>
      <c r="D3694">
        <v>90</v>
      </c>
      <c r="E3694" t="s">
        <v>12</v>
      </c>
      <c r="F3694" t="s">
        <v>32</v>
      </c>
      <c r="G3694" s="1">
        <v>45179</v>
      </c>
      <c r="H3694" s="1">
        <v>45293</v>
      </c>
      <c r="I3694">
        <v>15</v>
      </c>
      <c r="J3694" t="s">
        <v>19</v>
      </c>
      <c r="K3694">
        <v>7267.87</v>
      </c>
    </row>
    <row r="3695" spans="1:11">
      <c r="A3695">
        <v>3694</v>
      </c>
      <c r="B3695" t="s">
        <v>161</v>
      </c>
      <c r="C3695" s="1">
        <v>16437</v>
      </c>
      <c r="D3695">
        <v>81</v>
      </c>
      <c r="E3695" t="s">
        <v>12</v>
      </c>
      <c r="F3695" t="s">
        <v>45</v>
      </c>
      <c r="G3695" s="1">
        <v>45625</v>
      </c>
      <c r="H3695" s="1">
        <v>45646</v>
      </c>
      <c r="I3695">
        <v>13</v>
      </c>
      <c r="J3695" t="s">
        <v>23</v>
      </c>
      <c r="K3695">
        <v>3627.57</v>
      </c>
    </row>
    <row r="3696" spans="1:11">
      <c r="A3696">
        <v>3695</v>
      </c>
      <c r="B3696" t="s">
        <v>115</v>
      </c>
      <c r="C3696" s="1">
        <v>12785</v>
      </c>
      <c r="D3696">
        <v>91</v>
      </c>
      <c r="F3696" t="s">
        <v>18</v>
      </c>
      <c r="G3696" s="1">
        <v>45179</v>
      </c>
      <c r="H3696" s="1">
        <v>45701</v>
      </c>
      <c r="I3696">
        <v>21</v>
      </c>
      <c r="J3696" t="s">
        <v>23</v>
      </c>
      <c r="K3696">
        <v>13478.23</v>
      </c>
    </row>
    <row r="3697" spans="1:11">
      <c r="A3697">
        <v>3696</v>
      </c>
      <c r="B3697" t="s">
        <v>168</v>
      </c>
      <c r="C3697" s="1">
        <v>27760</v>
      </c>
      <c r="D3697">
        <v>50</v>
      </c>
      <c r="E3697" t="s">
        <v>15</v>
      </c>
      <c r="F3697" t="s">
        <v>13</v>
      </c>
      <c r="G3697" s="1">
        <v>45369</v>
      </c>
      <c r="H3697" s="1">
        <v>45024</v>
      </c>
      <c r="I3697">
        <v>10</v>
      </c>
      <c r="K3697">
        <v>1483.09</v>
      </c>
    </row>
    <row r="3698" spans="1:11">
      <c r="A3698">
        <v>3697</v>
      </c>
      <c r="B3698" t="s">
        <v>109</v>
      </c>
      <c r="C3698" s="1">
        <v>29221</v>
      </c>
      <c r="D3698">
        <v>46</v>
      </c>
      <c r="E3698" t="s">
        <v>15</v>
      </c>
      <c r="G3698" s="1">
        <v>45266</v>
      </c>
      <c r="H3698" s="1">
        <v>44998</v>
      </c>
      <c r="I3698">
        <v>-2</v>
      </c>
      <c r="J3698" t="s">
        <v>23</v>
      </c>
      <c r="K3698">
        <v>8417.4699999999993</v>
      </c>
    </row>
    <row r="3699" spans="1:11">
      <c r="A3699">
        <v>3698</v>
      </c>
      <c r="B3699" t="s">
        <v>149</v>
      </c>
      <c r="C3699" s="1">
        <v>44927</v>
      </c>
      <c r="D3699">
        <v>3</v>
      </c>
      <c r="E3699" t="s">
        <v>15</v>
      </c>
      <c r="F3699" t="s">
        <v>32</v>
      </c>
      <c r="G3699" s="1">
        <v>45442</v>
      </c>
      <c r="H3699" s="1">
        <v>45742</v>
      </c>
      <c r="I3699">
        <v>35</v>
      </c>
      <c r="J3699" t="s">
        <v>19</v>
      </c>
      <c r="K3699">
        <v>1625.83</v>
      </c>
    </row>
    <row r="3700" spans="1:11">
      <c r="A3700">
        <v>3699</v>
      </c>
      <c r="B3700" t="s">
        <v>163</v>
      </c>
      <c r="C3700" s="1">
        <v>43831</v>
      </c>
      <c r="D3700">
        <v>6</v>
      </c>
      <c r="E3700" t="s">
        <v>15</v>
      </c>
      <c r="F3700" t="s">
        <v>21</v>
      </c>
      <c r="G3700" s="1">
        <v>45279</v>
      </c>
      <c r="H3700" s="1">
        <v>45788</v>
      </c>
      <c r="I3700">
        <v>11</v>
      </c>
      <c r="K3700">
        <v>11917.98</v>
      </c>
    </row>
    <row r="3701" spans="1:11">
      <c r="A3701">
        <v>3700</v>
      </c>
      <c r="B3701" t="s">
        <v>66</v>
      </c>
      <c r="C3701" s="1">
        <v>33604</v>
      </c>
      <c r="D3701">
        <v>34</v>
      </c>
      <c r="E3701" t="s">
        <v>15</v>
      </c>
      <c r="G3701" s="1">
        <v>45550</v>
      </c>
      <c r="H3701" s="1">
        <v>45669</v>
      </c>
      <c r="I3701">
        <v>14</v>
      </c>
      <c r="J3701" t="s">
        <v>23</v>
      </c>
      <c r="K3701">
        <v>446.89</v>
      </c>
    </row>
    <row r="3702" spans="1:11">
      <c r="A3702">
        <v>3701</v>
      </c>
      <c r="B3702" t="s">
        <v>119</v>
      </c>
      <c r="C3702" s="1">
        <v>28856</v>
      </c>
      <c r="D3702">
        <v>47</v>
      </c>
      <c r="E3702" t="s">
        <v>12</v>
      </c>
      <c r="F3702" t="s">
        <v>32</v>
      </c>
      <c r="G3702" s="1">
        <v>45631</v>
      </c>
      <c r="H3702" s="1">
        <v>45284</v>
      </c>
      <c r="I3702">
        <v>10</v>
      </c>
      <c r="K3702">
        <v>12547.69</v>
      </c>
    </row>
    <row r="3703" spans="1:11">
      <c r="A3703">
        <v>3702</v>
      </c>
      <c r="B3703" t="s">
        <v>122</v>
      </c>
      <c r="C3703" s="1">
        <v>19724</v>
      </c>
      <c r="D3703">
        <v>72</v>
      </c>
      <c r="E3703" t="s">
        <v>15</v>
      </c>
      <c r="F3703" t="s">
        <v>16</v>
      </c>
      <c r="G3703" s="1">
        <v>45579</v>
      </c>
      <c r="H3703" s="1">
        <v>45739</v>
      </c>
      <c r="I3703">
        <v>10</v>
      </c>
      <c r="K3703">
        <v>13431.43</v>
      </c>
    </row>
    <row r="3704" spans="1:11">
      <c r="A3704">
        <v>3703</v>
      </c>
      <c r="B3704" t="s">
        <v>134</v>
      </c>
      <c r="C3704" s="1">
        <v>20090</v>
      </c>
      <c r="D3704">
        <v>71</v>
      </c>
      <c r="E3704" t="s">
        <v>12</v>
      </c>
      <c r="F3704" t="s">
        <v>16</v>
      </c>
      <c r="G3704" s="1">
        <v>45249</v>
      </c>
      <c r="H3704" s="1">
        <v>45471</v>
      </c>
      <c r="I3704">
        <v>6</v>
      </c>
      <c r="J3704" t="s">
        <v>19</v>
      </c>
      <c r="K3704">
        <v>9691.6</v>
      </c>
    </row>
    <row r="3705" spans="1:11">
      <c r="A3705">
        <v>3704</v>
      </c>
      <c r="B3705" t="s">
        <v>134</v>
      </c>
      <c r="C3705" s="1">
        <v>29951</v>
      </c>
      <c r="D3705">
        <v>44</v>
      </c>
      <c r="E3705" t="s">
        <v>12</v>
      </c>
      <c r="F3705" t="s">
        <v>21</v>
      </c>
      <c r="G3705" s="1">
        <v>45066</v>
      </c>
      <c r="H3705" s="1">
        <v>45177</v>
      </c>
      <c r="I3705">
        <v>3</v>
      </c>
      <c r="J3705" t="s">
        <v>19</v>
      </c>
      <c r="K3705">
        <v>3417.65</v>
      </c>
    </row>
    <row r="3706" spans="1:11">
      <c r="A3706">
        <v>3705</v>
      </c>
      <c r="B3706" t="s">
        <v>28</v>
      </c>
      <c r="C3706" s="1">
        <v>16802</v>
      </c>
      <c r="D3706">
        <v>80</v>
      </c>
      <c r="E3706" t="s">
        <v>15</v>
      </c>
      <c r="F3706" t="s">
        <v>13</v>
      </c>
      <c r="G3706" s="1">
        <v>45371</v>
      </c>
      <c r="H3706" s="1">
        <v>45181</v>
      </c>
      <c r="I3706">
        <v>3</v>
      </c>
      <c r="J3706" t="s">
        <v>25</v>
      </c>
      <c r="K3706">
        <v>1938.02</v>
      </c>
    </row>
    <row r="3707" spans="1:11">
      <c r="A3707">
        <v>3706</v>
      </c>
      <c r="B3707" t="s">
        <v>124</v>
      </c>
      <c r="C3707" s="1">
        <v>16802</v>
      </c>
      <c r="D3707">
        <v>80</v>
      </c>
      <c r="E3707" t="s">
        <v>15</v>
      </c>
      <c r="F3707" t="s">
        <v>21</v>
      </c>
      <c r="G3707" s="1">
        <v>45021</v>
      </c>
      <c r="H3707" s="1">
        <v>45698</v>
      </c>
      <c r="I3707">
        <v>27</v>
      </c>
      <c r="J3707" t="s">
        <v>19</v>
      </c>
      <c r="K3707">
        <v>6197.18</v>
      </c>
    </row>
    <row r="3708" spans="1:11">
      <c r="A3708">
        <v>3707</v>
      </c>
      <c r="B3708" t="s">
        <v>85</v>
      </c>
      <c r="C3708" s="1">
        <v>20090</v>
      </c>
      <c r="D3708">
        <v>71</v>
      </c>
      <c r="E3708" t="s">
        <v>12</v>
      </c>
      <c r="F3708" t="s">
        <v>45</v>
      </c>
      <c r="G3708" s="1">
        <v>45479</v>
      </c>
      <c r="H3708" s="1">
        <v>45109</v>
      </c>
      <c r="I3708">
        <v>34</v>
      </c>
      <c r="J3708" t="s">
        <v>25</v>
      </c>
      <c r="K3708">
        <v>9250.65</v>
      </c>
    </row>
    <row r="3709" spans="1:11">
      <c r="A3709">
        <v>3708</v>
      </c>
      <c r="B3709" t="s">
        <v>11</v>
      </c>
      <c r="C3709" s="1">
        <v>39448</v>
      </c>
      <c r="D3709">
        <v>18</v>
      </c>
      <c r="E3709" t="s">
        <v>12</v>
      </c>
      <c r="G3709" s="1">
        <v>45346</v>
      </c>
      <c r="H3709" s="1">
        <v>45779</v>
      </c>
      <c r="I3709">
        <v>11</v>
      </c>
      <c r="J3709" t="s">
        <v>19</v>
      </c>
      <c r="K3709">
        <v>12808.39</v>
      </c>
    </row>
    <row r="3710" spans="1:11">
      <c r="A3710">
        <v>3709</v>
      </c>
      <c r="B3710" t="s">
        <v>50</v>
      </c>
      <c r="C3710" s="1">
        <v>23377</v>
      </c>
      <c r="D3710">
        <v>62</v>
      </c>
      <c r="E3710" t="s">
        <v>12</v>
      </c>
      <c r="F3710" t="s">
        <v>21</v>
      </c>
      <c r="G3710" s="1">
        <v>45440</v>
      </c>
      <c r="H3710" s="1">
        <v>45093</v>
      </c>
      <c r="I3710">
        <v>1</v>
      </c>
      <c r="J3710" t="s">
        <v>19</v>
      </c>
      <c r="K3710">
        <v>-74.87</v>
      </c>
    </row>
    <row r="3711" spans="1:11">
      <c r="A3711">
        <v>3710</v>
      </c>
      <c r="B3711" t="s">
        <v>51</v>
      </c>
      <c r="C3711" s="1">
        <v>32508</v>
      </c>
      <c r="D3711">
        <v>37</v>
      </c>
      <c r="E3711" t="s">
        <v>12</v>
      </c>
      <c r="F3711" t="s">
        <v>21</v>
      </c>
      <c r="G3711" s="1">
        <v>45076</v>
      </c>
      <c r="H3711" s="1">
        <v>44931</v>
      </c>
      <c r="I3711">
        <v>31</v>
      </c>
      <c r="J3711" t="s">
        <v>25</v>
      </c>
      <c r="K3711">
        <v>14192.38</v>
      </c>
    </row>
    <row r="3712" spans="1:11">
      <c r="A3712">
        <v>3711</v>
      </c>
      <c r="B3712" t="s">
        <v>100</v>
      </c>
      <c r="C3712" s="1">
        <v>21916</v>
      </c>
      <c r="D3712">
        <v>66</v>
      </c>
      <c r="F3712" t="s">
        <v>32</v>
      </c>
      <c r="G3712" s="1">
        <v>45479</v>
      </c>
      <c r="H3712" s="1">
        <v>45390</v>
      </c>
      <c r="I3712">
        <v>-1</v>
      </c>
      <c r="J3712" t="s">
        <v>25</v>
      </c>
      <c r="K3712">
        <v>14225.51</v>
      </c>
    </row>
    <row r="3713" spans="1:11">
      <c r="A3713">
        <v>3712</v>
      </c>
      <c r="B3713" t="s">
        <v>31</v>
      </c>
      <c r="C3713" s="1">
        <v>24838</v>
      </c>
      <c r="D3713">
        <v>58</v>
      </c>
      <c r="E3713" t="s">
        <v>12</v>
      </c>
      <c r="F3713" t="s">
        <v>13</v>
      </c>
      <c r="G3713" s="1">
        <v>45277</v>
      </c>
      <c r="H3713" s="1">
        <v>45072</v>
      </c>
      <c r="I3713">
        <v>14</v>
      </c>
      <c r="J3713" t="s">
        <v>25</v>
      </c>
      <c r="K3713">
        <v>8835.2099999999991</v>
      </c>
    </row>
    <row r="3714" spans="1:11">
      <c r="A3714">
        <v>3713</v>
      </c>
      <c r="B3714" t="s">
        <v>127</v>
      </c>
      <c r="D3714">
        <v>68</v>
      </c>
      <c r="E3714" t="s">
        <v>12</v>
      </c>
      <c r="F3714" t="s">
        <v>21</v>
      </c>
      <c r="G3714" s="1">
        <v>45042</v>
      </c>
      <c r="H3714" s="1">
        <v>45092</v>
      </c>
      <c r="I3714">
        <v>39</v>
      </c>
      <c r="K3714">
        <v>6802.47</v>
      </c>
    </row>
    <row r="3715" spans="1:11">
      <c r="A3715">
        <v>3714</v>
      </c>
      <c r="B3715" t="s">
        <v>158</v>
      </c>
      <c r="C3715" s="1">
        <v>41639</v>
      </c>
      <c r="D3715">
        <v>12</v>
      </c>
      <c r="E3715" t="s">
        <v>12</v>
      </c>
      <c r="F3715" t="s">
        <v>45</v>
      </c>
      <c r="G3715" s="1">
        <v>45558</v>
      </c>
      <c r="H3715" s="1">
        <v>45271</v>
      </c>
      <c r="I3715">
        <v>11</v>
      </c>
      <c r="J3715" t="s">
        <v>25</v>
      </c>
      <c r="K3715">
        <v>16830.400000000001</v>
      </c>
    </row>
    <row r="3716" spans="1:11">
      <c r="A3716">
        <v>3715</v>
      </c>
      <c r="B3716" t="s">
        <v>149</v>
      </c>
      <c r="C3716" s="1">
        <v>29221</v>
      </c>
      <c r="D3716">
        <v>46</v>
      </c>
      <c r="E3716" t="s">
        <v>12</v>
      </c>
      <c r="F3716" t="s">
        <v>32</v>
      </c>
      <c r="G3716" s="1">
        <v>45163</v>
      </c>
      <c r="H3716" s="1">
        <v>45801</v>
      </c>
      <c r="I3716">
        <v>14</v>
      </c>
      <c r="K3716">
        <v>15670.21</v>
      </c>
    </row>
    <row r="3717" spans="1:11">
      <c r="A3717">
        <v>3716</v>
      </c>
      <c r="B3717" t="s">
        <v>63</v>
      </c>
      <c r="C3717" s="1">
        <v>24107</v>
      </c>
      <c r="E3717" t="s">
        <v>15</v>
      </c>
      <c r="F3717" t="s">
        <v>13</v>
      </c>
      <c r="G3717" s="1">
        <v>45196</v>
      </c>
      <c r="H3717" s="1">
        <v>45032</v>
      </c>
      <c r="I3717">
        <v>27</v>
      </c>
      <c r="K3717">
        <v>19663.849999999999</v>
      </c>
    </row>
    <row r="3718" spans="1:11">
      <c r="A3718">
        <v>3717</v>
      </c>
      <c r="B3718" t="s">
        <v>17</v>
      </c>
      <c r="C3718" s="1">
        <v>35065</v>
      </c>
      <c r="D3718">
        <v>30</v>
      </c>
      <c r="F3718" t="s">
        <v>13</v>
      </c>
      <c r="G3718" s="1">
        <v>45217</v>
      </c>
      <c r="H3718" s="1">
        <v>45475</v>
      </c>
      <c r="I3718">
        <v>26</v>
      </c>
      <c r="J3718" t="s">
        <v>25</v>
      </c>
      <c r="K3718">
        <v>7375.81</v>
      </c>
    </row>
    <row r="3719" spans="1:11">
      <c r="A3719">
        <v>3718</v>
      </c>
      <c r="B3719" t="s">
        <v>153</v>
      </c>
      <c r="C3719" s="1">
        <v>17168</v>
      </c>
      <c r="D3719">
        <v>79</v>
      </c>
      <c r="E3719" t="s">
        <v>15</v>
      </c>
      <c r="F3719" t="s">
        <v>18</v>
      </c>
      <c r="G3719" s="1">
        <v>45360</v>
      </c>
      <c r="H3719" s="1">
        <v>45241</v>
      </c>
      <c r="I3719">
        <v>4</v>
      </c>
      <c r="J3719" t="s">
        <v>25</v>
      </c>
      <c r="K3719">
        <v>18127.34</v>
      </c>
    </row>
    <row r="3720" spans="1:11">
      <c r="A3720">
        <v>3719</v>
      </c>
      <c r="B3720" t="s">
        <v>22</v>
      </c>
      <c r="C3720" s="1">
        <v>38352</v>
      </c>
      <c r="D3720">
        <v>21</v>
      </c>
      <c r="E3720" t="s">
        <v>12</v>
      </c>
      <c r="F3720" t="s">
        <v>16</v>
      </c>
      <c r="G3720" s="1">
        <v>44935</v>
      </c>
      <c r="H3720" s="1">
        <v>45096</v>
      </c>
      <c r="I3720">
        <v>6</v>
      </c>
      <c r="J3720" t="s">
        <v>25</v>
      </c>
      <c r="K3720">
        <v>1656.78</v>
      </c>
    </row>
    <row r="3721" spans="1:11">
      <c r="A3721">
        <v>3720</v>
      </c>
      <c r="B3721" t="s">
        <v>148</v>
      </c>
      <c r="C3721" s="1">
        <v>12419</v>
      </c>
      <c r="D3721">
        <v>92</v>
      </c>
      <c r="E3721" t="s">
        <v>15</v>
      </c>
      <c r="G3721" s="1">
        <v>45556</v>
      </c>
      <c r="H3721" s="1">
        <v>45447</v>
      </c>
      <c r="I3721">
        <v>20</v>
      </c>
      <c r="J3721" t="s">
        <v>19</v>
      </c>
      <c r="K3721">
        <v>8170.47</v>
      </c>
    </row>
    <row r="3722" spans="1:11">
      <c r="A3722">
        <v>3721</v>
      </c>
      <c r="B3722" t="s">
        <v>65</v>
      </c>
      <c r="C3722" s="1">
        <v>14976</v>
      </c>
      <c r="D3722">
        <v>85</v>
      </c>
      <c r="E3722" t="s">
        <v>15</v>
      </c>
      <c r="F3722" t="s">
        <v>45</v>
      </c>
      <c r="G3722" s="1">
        <v>45401</v>
      </c>
      <c r="H3722" s="1">
        <v>45525</v>
      </c>
      <c r="I3722">
        <v>33</v>
      </c>
      <c r="J3722" t="s">
        <v>19</v>
      </c>
      <c r="K3722">
        <v>9254.02</v>
      </c>
    </row>
    <row r="3723" spans="1:11">
      <c r="A3723">
        <v>3722</v>
      </c>
      <c r="B3723" t="s">
        <v>94</v>
      </c>
      <c r="C3723" s="1">
        <v>30682</v>
      </c>
      <c r="D3723">
        <v>42</v>
      </c>
      <c r="E3723" t="s">
        <v>15</v>
      </c>
      <c r="F3723" t="s">
        <v>16</v>
      </c>
      <c r="G3723" s="1">
        <v>45448</v>
      </c>
      <c r="H3723" s="1">
        <v>45363</v>
      </c>
      <c r="I3723">
        <v>11</v>
      </c>
      <c r="J3723" t="s">
        <v>25</v>
      </c>
      <c r="K3723">
        <v>8761.57</v>
      </c>
    </row>
    <row r="3724" spans="1:11">
      <c r="A3724">
        <v>3723</v>
      </c>
      <c r="B3724" t="s">
        <v>149</v>
      </c>
      <c r="C3724" s="1">
        <v>21916</v>
      </c>
      <c r="D3724">
        <v>66</v>
      </c>
      <c r="E3724" t="s">
        <v>15</v>
      </c>
      <c r="F3724" t="s">
        <v>32</v>
      </c>
      <c r="G3724" s="1">
        <v>45463</v>
      </c>
      <c r="H3724" s="1">
        <v>45536</v>
      </c>
      <c r="I3724">
        <v>17</v>
      </c>
      <c r="J3724" t="s">
        <v>23</v>
      </c>
      <c r="K3724">
        <v>12464.47</v>
      </c>
    </row>
    <row r="3725" spans="1:11">
      <c r="A3725">
        <v>3724</v>
      </c>
      <c r="B3725" t="s">
        <v>153</v>
      </c>
      <c r="C3725" s="1">
        <v>26664</v>
      </c>
      <c r="D3725">
        <v>53</v>
      </c>
      <c r="E3725" t="s">
        <v>15</v>
      </c>
      <c r="F3725" t="s">
        <v>32</v>
      </c>
      <c r="G3725" s="1">
        <v>45611</v>
      </c>
      <c r="H3725" s="1">
        <v>45439</v>
      </c>
      <c r="I3725">
        <v>14</v>
      </c>
      <c r="J3725" t="s">
        <v>25</v>
      </c>
      <c r="K3725">
        <v>3321.18</v>
      </c>
    </row>
    <row r="3726" spans="1:11">
      <c r="A3726">
        <v>3725</v>
      </c>
      <c r="B3726" t="s">
        <v>52</v>
      </c>
      <c r="C3726" s="1">
        <v>42735</v>
      </c>
      <c r="D3726">
        <v>9</v>
      </c>
      <c r="E3726" t="s">
        <v>12</v>
      </c>
      <c r="F3726" t="s">
        <v>45</v>
      </c>
      <c r="G3726" s="1">
        <v>44937</v>
      </c>
      <c r="H3726" s="1">
        <v>45336</v>
      </c>
      <c r="I3726">
        <v>29</v>
      </c>
      <c r="J3726" t="s">
        <v>23</v>
      </c>
      <c r="K3726">
        <v>17315.689999999999</v>
      </c>
    </row>
    <row r="3727" spans="1:11">
      <c r="A3727">
        <v>3726</v>
      </c>
      <c r="B3727" t="s">
        <v>150</v>
      </c>
      <c r="C3727" s="1">
        <v>31047</v>
      </c>
      <c r="D3727">
        <v>41</v>
      </c>
      <c r="E3727" t="s">
        <v>15</v>
      </c>
      <c r="F3727" t="s">
        <v>13</v>
      </c>
      <c r="G3727" s="1">
        <v>45539</v>
      </c>
      <c r="H3727" s="1">
        <v>45363</v>
      </c>
      <c r="I3727">
        <v>22</v>
      </c>
      <c r="J3727" t="s">
        <v>19</v>
      </c>
      <c r="K3727">
        <v>10990.46</v>
      </c>
    </row>
    <row r="3728" spans="1:11">
      <c r="A3728">
        <v>3727</v>
      </c>
      <c r="B3728" t="s">
        <v>67</v>
      </c>
      <c r="C3728" s="1">
        <v>23012</v>
      </c>
      <c r="D3728">
        <v>63</v>
      </c>
      <c r="E3728" t="s">
        <v>15</v>
      </c>
      <c r="F3728" t="s">
        <v>21</v>
      </c>
      <c r="G3728" s="1">
        <v>45253</v>
      </c>
      <c r="H3728" s="1">
        <v>45242</v>
      </c>
      <c r="I3728">
        <v>27</v>
      </c>
      <c r="J3728" t="s">
        <v>19</v>
      </c>
      <c r="K3728">
        <v>18074.61</v>
      </c>
    </row>
    <row r="3729" spans="1:11">
      <c r="A3729">
        <v>3728</v>
      </c>
      <c r="B3729" t="s">
        <v>93</v>
      </c>
      <c r="C3729" s="1">
        <v>38717</v>
      </c>
      <c r="D3729">
        <v>20</v>
      </c>
      <c r="E3729" t="s">
        <v>15</v>
      </c>
      <c r="F3729" t="s">
        <v>45</v>
      </c>
      <c r="G3729" s="1">
        <v>45521</v>
      </c>
      <c r="H3729" s="1">
        <v>45469</v>
      </c>
      <c r="I3729">
        <v>24</v>
      </c>
      <c r="J3729" t="s">
        <v>23</v>
      </c>
      <c r="K3729">
        <v>-47.1</v>
      </c>
    </row>
    <row r="3730" spans="1:11">
      <c r="A3730">
        <v>3729</v>
      </c>
      <c r="B3730" t="s">
        <v>138</v>
      </c>
      <c r="C3730" s="1">
        <v>17168</v>
      </c>
      <c r="D3730">
        <v>79</v>
      </c>
      <c r="E3730" t="s">
        <v>12</v>
      </c>
      <c r="F3730" t="s">
        <v>32</v>
      </c>
      <c r="G3730" s="1">
        <v>45202</v>
      </c>
      <c r="H3730" s="1">
        <v>45540</v>
      </c>
      <c r="I3730">
        <v>24</v>
      </c>
      <c r="J3730" t="s">
        <v>19</v>
      </c>
      <c r="K3730">
        <v>12562.76</v>
      </c>
    </row>
    <row r="3731" spans="1:11">
      <c r="A3731">
        <v>3730</v>
      </c>
      <c r="B3731" t="s">
        <v>27</v>
      </c>
      <c r="C3731" s="1">
        <v>18629</v>
      </c>
      <c r="D3731">
        <v>75</v>
      </c>
      <c r="E3731" t="s">
        <v>15</v>
      </c>
      <c r="F3731" t="s">
        <v>16</v>
      </c>
      <c r="G3731" s="1">
        <v>45296</v>
      </c>
      <c r="H3731" s="1">
        <v>45506</v>
      </c>
      <c r="I3731">
        <v>28</v>
      </c>
      <c r="J3731" t="s">
        <v>25</v>
      </c>
      <c r="K3731">
        <v>8190.4</v>
      </c>
    </row>
    <row r="3732" spans="1:11">
      <c r="A3732">
        <v>3731</v>
      </c>
      <c r="B3732" t="s">
        <v>167</v>
      </c>
      <c r="C3732" s="1">
        <v>22281</v>
      </c>
      <c r="D3732">
        <v>65</v>
      </c>
      <c r="E3732" t="s">
        <v>15</v>
      </c>
      <c r="G3732" s="1">
        <v>45416</v>
      </c>
      <c r="H3732" s="1">
        <v>45788</v>
      </c>
      <c r="I3732">
        <v>23</v>
      </c>
      <c r="J3732" t="s">
        <v>23</v>
      </c>
      <c r="K3732">
        <v>10052.49</v>
      </c>
    </row>
    <row r="3733" spans="1:11">
      <c r="A3733">
        <v>3732</v>
      </c>
      <c r="B3733" t="s">
        <v>101</v>
      </c>
      <c r="D3733">
        <v>40</v>
      </c>
      <c r="E3733" t="s">
        <v>12</v>
      </c>
      <c r="F3733" t="s">
        <v>45</v>
      </c>
      <c r="G3733" s="1">
        <v>45271</v>
      </c>
      <c r="H3733" s="1">
        <v>44990</v>
      </c>
      <c r="I3733">
        <v>11</v>
      </c>
      <c r="J3733" t="s">
        <v>23</v>
      </c>
      <c r="K3733">
        <v>14850.47</v>
      </c>
    </row>
    <row r="3734" spans="1:11">
      <c r="A3734">
        <v>3733</v>
      </c>
      <c r="B3734" t="s">
        <v>139</v>
      </c>
      <c r="C3734" s="1">
        <v>37622</v>
      </c>
      <c r="D3734">
        <v>23</v>
      </c>
      <c r="E3734" t="s">
        <v>12</v>
      </c>
      <c r="F3734" t="s">
        <v>13</v>
      </c>
      <c r="G3734" s="1">
        <v>45294</v>
      </c>
      <c r="H3734" s="1">
        <v>44959</v>
      </c>
      <c r="I3734">
        <v>18</v>
      </c>
      <c r="K3734">
        <v>4465.75</v>
      </c>
    </row>
    <row r="3735" spans="1:11">
      <c r="A3735">
        <v>3734</v>
      </c>
      <c r="B3735" t="s">
        <v>132</v>
      </c>
      <c r="C3735" s="1">
        <v>33604</v>
      </c>
      <c r="D3735">
        <v>34</v>
      </c>
      <c r="E3735" t="s">
        <v>15</v>
      </c>
      <c r="G3735" s="1">
        <v>45237</v>
      </c>
      <c r="H3735" s="1">
        <v>45526</v>
      </c>
      <c r="I3735">
        <v>25</v>
      </c>
      <c r="J3735" t="s">
        <v>19</v>
      </c>
      <c r="K3735">
        <v>4018.48</v>
      </c>
    </row>
    <row r="3736" spans="1:11">
      <c r="A3736">
        <v>3735</v>
      </c>
      <c r="B3736" t="s">
        <v>121</v>
      </c>
      <c r="C3736" s="1">
        <v>25934</v>
      </c>
      <c r="D3736">
        <v>55</v>
      </c>
      <c r="E3736" t="s">
        <v>15</v>
      </c>
      <c r="G3736" s="1">
        <v>45527</v>
      </c>
      <c r="H3736" s="1">
        <v>45138</v>
      </c>
      <c r="I3736">
        <v>12</v>
      </c>
      <c r="J3736" t="s">
        <v>23</v>
      </c>
      <c r="K3736">
        <v>14030.46</v>
      </c>
    </row>
    <row r="3737" spans="1:11">
      <c r="A3737">
        <v>3736</v>
      </c>
      <c r="B3737" t="s">
        <v>144</v>
      </c>
      <c r="C3737" s="1">
        <v>35430</v>
      </c>
      <c r="D3737">
        <v>29</v>
      </c>
      <c r="E3737" t="s">
        <v>15</v>
      </c>
      <c r="G3737" s="1">
        <v>45411</v>
      </c>
      <c r="H3737" s="1">
        <v>45390</v>
      </c>
      <c r="I3737">
        <v>27</v>
      </c>
      <c r="J3737" t="s">
        <v>23</v>
      </c>
      <c r="K3737">
        <v>10379.450000000001</v>
      </c>
    </row>
    <row r="3738" spans="1:11">
      <c r="A3738">
        <v>3737</v>
      </c>
      <c r="B3738" t="s">
        <v>90</v>
      </c>
      <c r="C3738" s="1">
        <v>25568</v>
      </c>
      <c r="D3738">
        <v>56</v>
      </c>
      <c r="F3738" t="s">
        <v>18</v>
      </c>
      <c r="G3738" s="1">
        <v>44941</v>
      </c>
      <c r="H3738" s="1">
        <v>45490</v>
      </c>
      <c r="I3738">
        <v>22</v>
      </c>
      <c r="J3738" t="s">
        <v>23</v>
      </c>
      <c r="K3738">
        <v>4596.1499999999996</v>
      </c>
    </row>
    <row r="3739" spans="1:11">
      <c r="A3739">
        <v>3738</v>
      </c>
      <c r="B3739" t="s">
        <v>106</v>
      </c>
      <c r="C3739" s="1">
        <v>12054</v>
      </c>
      <c r="D3739">
        <v>93</v>
      </c>
      <c r="E3739" t="s">
        <v>15</v>
      </c>
      <c r="G3739" s="1">
        <v>45614</v>
      </c>
      <c r="H3739" s="1">
        <v>45502</v>
      </c>
      <c r="I3739">
        <v>8</v>
      </c>
      <c r="J3739" t="s">
        <v>19</v>
      </c>
      <c r="K3739">
        <v>9628.77</v>
      </c>
    </row>
    <row r="3740" spans="1:11">
      <c r="A3740">
        <v>3739</v>
      </c>
      <c r="B3740" t="s">
        <v>142</v>
      </c>
      <c r="C3740" s="1">
        <v>29221</v>
      </c>
      <c r="D3740">
        <v>46</v>
      </c>
      <c r="E3740" t="s">
        <v>12</v>
      </c>
      <c r="F3740" t="s">
        <v>18</v>
      </c>
      <c r="G3740" s="1">
        <v>44930</v>
      </c>
      <c r="H3740" s="1">
        <v>45007</v>
      </c>
      <c r="I3740">
        <v>8</v>
      </c>
      <c r="J3740" t="s">
        <v>23</v>
      </c>
      <c r="K3740">
        <v>9137.1200000000008</v>
      </c>
    </row>
    <row r="3741" spans="1:11">
      <c r="A3741">
        <v>3740</v>
      </c>
      <c r="B3741" t="s">
        <v>29</v>
      </c>
      <c r="C3741" s="1">
        <v>33604</v>
      </c>
      <c r="D3741">
        <v>34</v>
      </c>
      <c r="E3741" t="s">
        <v>15</v>
      </c>
      <c r="F3741" t="s">
        <v>21</v>
      </c>
      <c r="G3741" s="1">
        <v>45302</v>
      </c>
      <c r="H3741" s="1">
        <v>45270</v>
      </c>
      <c r="I3741">
        <v>25</v>
      </c>
      <c r="J3741" t="s">
        <v>23</v>
      </c>
      <c r="K3741">
        <v>13798.03</v>
      </c>
    </row>
    <row r="3742" spans="1:11">
      <c r="A3742">
        <v>3741</v>
      </c>
      <c r="B3742" t="s">
        <v>83</v>
      </c>
      <c r="C3742" s="1">
        <v>39448</v>
      </c>
      <c r="D3742">
        <v>18</v>
      </c>
      <c r="E3742" t="s">
        <v>12</v>
      </c>
      <c r="F3742" t="s">
        <v>21</v>
      </c>
      <c r="G3742" s="1">
        <v>45295</v>
      </c>
      <c r="H3742" s="1">
        <v>45159</v>
      </c>
      <c r="I3742">
        <v>2</v>
      </c>
      <c r="J3742" t="s">
        <v>25</v>
      </c>
      <c r="K3742">
        <v>-46.51</v>
      </c>
    </row>
    <row r="3743" spans="1:11">
      <c r="A3743">
        <v>3742</v>
      </c>
      <c r="B3743" t="s">
        <v>109</v>
      </c>
      <c r="C3743" s="1">
        <v>43466</v>
      </c>
      <c r="D3743">
        <v>7</v>
      </c>
      <c r="E3743" t="s">
        <v>15</v>
      </c>
      <c r="G3743" s="1">
        <v>45391</v>
      </c>
      <c r="H3743" s="1">
        <v>45805</v>
      </c>
      <c r="I3743">
        <v>25</v>
      </c>
      <c r="J3743" t="s">
        <v>25</v>
      </c>
      <c r="K3743">
        <v>11693.88</v>
      </c>
    </row>
    <row r="3744" spans="1:11">
      <c r="A3744">
        <v>3743</v>
      </c>
      <c r="B3744" t="s">
        <v>135</v>
      </c>
      <c r="C3744" s="1">
        <v>36891</v>
      </c>
      <c r="D3744">
        <v>25</v>
      </c>
      <c r="E3744" t="s">
        <v>15</v>
      </c>
      <c r="F3744" t="s">
        <v>13</v>
      </c>
      <c r="G3744" s="1">
        <v>45459</v>
      </c>
      <c r="H3744" s="1">
        <v>45540</v>
      </c>
      <c r="I3744">
        <v>5</v>
      </c>
      <c r="K3744">
        <v>12074.13</v>
      </c>
    </row>
    <row r="3745" spans="1:11">
      <c r="A3745">
        <v>3744</v>
      </c>
      <c r="B3745" t="s">
        <v>160</v>
      </c>
      <c r="C3745" s="1">
        <v>20455</v>
      </c>
      <c r="D3745">
        <v>70</v>
      </c>
      <c r="E3745" t="s">
        <v>15</v>
      </c>
      <c r="F3745" t="s">
        <v>16</v>
      </c>
      <c r="G3745" s="1">
        <v>45646</v>
      </c>
      <c r="H3745" s="1">
        <v>45056</v>
      </c>
      <c r="I3745">
        <v>23</v>
      </c>
      <c r="J3745" t="s">
        <v>23</v>
      </c>
      <c r="K3745">
        <v>14884.75</v>
      </c>
    </row>
    <row r="3746" spans="1:11">
      <c r="A3746">
        <v>3745</v>
      </c>
      <c r="B3746" t="s">
        <v>109</v>
      </c>
      <c r="C3746" s="1">
        <v>35430</v>
      </c>
      <c r="D3746">
        <v>29</v>
      </c>
      <c r="E3746" t="s">
        <v>15</v>
      </c>
      <c r="F3746" t="s">
        <v>21</v>
      </c>
      <c r="G3746" s="1">
        <v>45063</v>
      </c>
      <c r="H3746" s="1">
        <v>44946</v>
      </c>
      <c r="I3746">
        <v>3</v>
      </c>
      <c r="J3746" t="s">
        <v>19</v>
      </c>
      <c r="K3746">
        <v>17773.53</v>
      </c>
    </row>
    <row r="3747" spans="1:11">
      <c r="A3747">
        <v>3746</v>
      </c>
      <c r="B3747" t="s">
        <v>97</v>
      </c>
      <c r="C3747" s="1">
        <v>43831</v>
      </c>
      <c r="E3747" t="s">
        <v>15</v>
      </c>
      <c r="F3747" t="s">
        <v>18</v>
      </c>
      <c r="G3747" s="1">
        <v>45289</v>
      </c>
      <c r="H3747" s="1">
        <v>45284</v>
      </c>
      <c r="I3747">
        <v>29</v>
      </c>
      <c r="K3747">
        <v>8747.81</v>
      </c>
    </row>
    <row r="3748" spans="1:11">
      <c r="A3748">
        <v>3747</v>
      </c>
      <c r="B3748" t="s">
        <v>79</v>
      </c>
      <c r="C3748" s="1">
        <v>21916</v>
      </c>
      <c r="D3748">
        <v>66</v>
      </c>
      <c r="E3748" t="s">
        <v>12</v>
      </c>
      <c r="F3748" t="s">
        <v>13</v>
      </c>
      <c r="G3748" s="1">
        <v>45142</v>
      </c>
      <c r="H3748" s="1">
        <v>45346</v>
      </c>
      <c r="I3748">
        <v>29</v>
      </c>
      <c r="K3748">
        <v>6784.66</v>
      </c>
    </row>
    <row r="3749" spans="1:11">
      <c r="A3749">
        <v>3748</v>
      </c>
      <c r="B3749" t="s">
        <v>130</v>
      </c>
      <c r="C3749" s="1">
        <v>22646</v>
      </c>
      <c r="D3749">
        <v>64</v>
      </c>
      <c r="G3749" s="1">
        <v>45294</v>
      </c>
      <c r="H3749" s="1">
        <v>45533</v>
      </c>
      <c r="I3749">
        <v>9</v>
      </c>
      <c r="K3749">
        <v>1956.64</v>
      </c>
    </row>
    <row r="3750" spans="1:11">
      <c r="A3750">
        <v>3749</v>
      </c>
      <c r="B3750" t="s">
        <v>125</v>
      </c>
      <c r="C3750" s="1">
        <v>33239</v>
      </c>
      <c r="D3750">
        <v>35</v>
      </c>
      <c r="E3750" t="s">
        <v>15</v>
      </c>
      <c r="F3750" t="s">
        <v>13</v>
      </c>
      <c r="G3750" s="1">
        <v>45043</v>
      </c>
      <c r="H3750" s="1">
        <v>45008</v>
      </c>
      <c r="I3750">
        <v>3</v>
      </c>
      <c r="J3750" t="s">
        <v>23</v>
      </c>
      <c r="K3750">
        <v>6670.4</v>
      </c>
    </row>
    <row r="3751" spans="1:11">
      <c r="A3751">
        <v>3750</v>
      </c>
      <c r="B3751" t="s">
        <v>132</v>
      </c>
      <c r="C3751" s="1">
        <v>37256</v>
      </c>
      <c r="D3751">
        <v>24</v>
      </c>
      <c r="E3751" t="s">
        <v>12</v>
      </c>
      <c r="F3751" t="s">
        <v>13</v>
      </c>
      <c r="G3751" s="1">
        <v>45105</v>
      </c>
      <c r="H3751" s="1">
        <v>45542</v>
      </c>
      <c r="I3751">
        <v>10</v>
      </c>
      <c r="K3751">
        <v>1276.54</v>
      </c>
    </row>
    <row r="3752" spans="1:11">
      <c r="A3752">
        <v>3751</v>
      </c>
      <c r="B3752" t="s">
        <v>123</v>
      </c>
      <c r="C3752" s="1">
        <v>32873</v>
      </c>
      <c r="D3752">
        <v>36</v>
      </c>
      <c r="F3752" t="s">
        <v>45</v>
      </c>
      <c r="G3752" s="1">
        <v>45172</v>
      </c>
      <c r="H3752" s="1">
        <v>45808</v>
      </c>
      <c r="I3752">
        <v>36</v>
      </c>
      <c r="J3752" t="s">
        <v>19</v>
      </c>
      <c r="K3752">
        <v>16036.69</v>
      </c>
    </row>
    <row r="3753" spans="1:11">
      <c r="A3753">
        <v>3752</v>
      </c>
      <c r="B3753" t="s">
        <v>135</v>
      </c>
      <c r="C3753" s="1">
        <v>46022</v>
      </c>
      <c r="D3753">
        <v>0</v>
      </c>
      <c r="E3753" t="s">
        <v>12</v>
      </c>
      <c r="F3753" t="s">
        <v>16</v>
      </c>
      <c r="G3753" s="1">
        <v>45054</v>
      </c>
      <c r="H3753" s="1">
        <v>45593</v>
      </c>
      <c r="I3753">
        <v>37</v>
      </c>
      <c r="J3753" t="s">
        <v>25</v>
      </c>
      <c r="K3753">
        <v>16120.82</v>
      </c>
    </row>
    <row r="3754" spans="1:11">
      <c r="A3754">
        <v>3753</v>
      </c>
      <c r="B3754" t="s">
        <v>42</v>
      </c>
      <c r="C3754" s="1">
        <v>40909</v>
      </c>
      <c r="D3754">
        <v>14</v>
      </c>
      <c r="E3754" t="s">
        <v>15</v>
      </c>
      <c r="G3754" s="1">
        <v>45284</v>
      </c>
      <c r="H3754" s="1">
        <v>45708</v>
      </c>
      <c r="I3754">
        <v>31</v>
      </c>
      <c r="J3754" t="s">
        <v>25</v>
      </c>
      <c r="K3754">
        <v>8286.48</v>
      </c>
    </row>
    <row r="3755" spans="1:11">
      <c r="A3755">
        <v>3754</v>
      </c>
      <c r="B3755" t="s">
        <v>52</v>
      </c>
      <c r="C3755" s="1">
        <v>32873</v>
      </c>
      <c r="D3755">
        <v>36</v>
      </c>
      <c r="E3755" t="s">
        <v>12</v>
      </c>
      <c r="F3755" t="s">
        <v>16</v>
      </c>
      <c r="G3755" s="1">
        <v>45004</v>
      </c>
      <c r="H3755" s="1">
        <v>45045</v>
      </c>
      <c r="I3755">
        <v>20</v>
      </c>
      <c r="J3755" t="s">
        <v>23</v>
      </c>
      <c r="K3755">
        <v>5118.79</v>
      </c>
    </row>
    <row r="3756" spans="1:11">
      <c r="A3756">
        <v>3755</v>
      </c>
      <c r="B3756" t="s">
        <v>38</v>
      </c>
      <c r="C3756" s="1">
        <v>41639</v>
      </c>
      <c r="D3756">
        <v>12</v>
      </c>
      <c r="E3756" t="s">
        <v>15</v>
      </c>
      <c r="F3756" t="s">
        <v>21</v>
      </c>
      <c r="G3756" s="1">
        <v>45219</v>
      </c>
      <c r="H3756" s="1">
        <v>45781</v>
      </c>
      <c r="I3756">
        <v>38</v>
      </c>
      <c r="J3756" t="s">
        <v>19</v>
      </c>
      <c r="K3756">
        <v>2272.1999999999998</v>
      </c>
    </row>
    <row r="3757" spans="1:11">
      <c r="A3757">
        <v>3756</v>
      </c>
      <c r="B3757" t="s">
        <v>46</v>
      </c>
      <c r="D3757">
        <v>7</v>
      </c>
      <c r="E3757" t="s">
        <v>12</v>
      </c>
      <c r="F3757" t="s">
        <v>16</v>
      </c>
      <c r="G3757" s="1">
        <v>45008</v>
      </c>
      <c r="H3757" s="1">
        <v>45421</v>
      </c>
      <c r="I3757">
        <v>14</v>
      </c>
      <c r="J3757" t="s">
        <v>19</v>
      </c>
      <c r="K3757">
        <v>17009.87</v>
      </c>
    </row>
    <row r="3758" spans="1:11">
      <c r="A3758">
        <v>3757</v>
      </c>
      <c r="B3758" t="s">
        <v>77</v>
      </c>
      <c r="C3758" s="1">
        <v>44561</v>
      </c>
      <c r="D3758">
        <v>4</v>
      </c>
      <c r="E3758" t="s">
        <v>15</v>
      </c>
      <c r="F3758" t="s">
        <v>32</v>
      </c>
      <c r="G3758" s="1">
        <v>45268</v>
      </c>
      <c r="H3758" s="1">
        <v>45718</v>
      </c>
      <c r="I3758">
        <v>-2</v>
      </c>
      <c r="J3758" t="s">
        <v>19</v>
      </c>
      <c r="K3758">
        <v>17537.66</v>
      </c>
    </row>
    <row r="3759" spans="1:11">
      <c r="A3759">
        <v>3758</v>
      </c>
      <c r="B3759" t="s">
        <v>58</v>
      </c>
      <c r="C3759" s="1">
        <v>24473</v>
      </c>
      <c r="D3759">
        <v>59</v>
      </c>
      <c r="E3759" t="s">
        <v>15</v>
      </c>
      <c r="F3759" t="s">
        <v>18</v>
      </c>
      <c r="G3759" s="1">
        <v>45264</v>
      </c>
      <c r="H3759" s="1">
        <v>45419</v>
      </c>
      <c r="I3759">
        <v>4</v>
      </c>
      <c r="J3759" t="s">
        <v>23</v>
      </c>
      <c r="K3759">
        <v>5252.42</v>
      </c>
    </row>
    <row r="3760" spans="1:11">
      <c r="A3760">
        <v>3759</v>
      </c>
      <c r="B3760" t="s">
        <v>150</v>
      </c>
      <c r="C3760" s="1">
        <v>19724</v>
      </c>
      <c r="D3760">
        <v>72</v>
      </c>
      <c r="E3760" t="s">
        <v>15</v>
      </c>
      <c r="F3760" t="s">
        <v>21</v>
      </c>
      <c r="G3760" s="1">
        <v>45504</v>
      </c>
      <c r="H3760" s="1">
        <v>45802</v>
      </c>
      <c r="I3760">
        <v>10</v>
      </c>
      <c r="J3760" t="s">
        <v>19</v>
      </c>
      <c r="K3760">
        <v>12397.39</v>
      </c>
    </row>
    <row r="3761" spans="1:11">
      <c r="A3761">
        <v>3760</v>
      </c>
      <c r="B3761" t="s">
        <v>168</v>
      </c>
      <c r="C3761" s="1">
        <v>46022</v>
      </c>
      <c r="D3761">
        <v>0</v>
      </c>
      <c r="E3761" t="s">
        <v>15</v>
      </c>
      <c r="G3761" s="1">
        <v>45022</v>
      </c>
      <c r="H3761" s="1">
        <v>45152</v>
      </c>
      <c r="I3761">
        <v>11</v>
      </c>
      <c r="J3761" t="s">
        <v>25</v>
      </c>
      <c r="K3761">
        <v>5098.9399999999996</v>
      </c>
    </row>
    <row r="3762" spans="1:11">
      <c r="A3762">
        <v>3761</v>
      </c>
      <c r="B3762" t="s">
        <v>51</v>
      </c>
      <c r="C3762" s="1">
        <v>33239</v>
      </c>
      <c r="D3762">
        <v>35</v>
      </c>
      <c r="E3762" t="s">
        <v>12</v>
      </c>
      <c r="F3762" t="s">
        <v>16</v>
      </c>
      <c r="G3762" s="1">
        <v>45071</v>
      </c>
      <c r="H3762" s="1">
        <v>45346</v>
      </c>
      <c r="I3762">
        <v>14</v>
      </c>
      <c r="J3762" t="s">
        <v>19</v>
      </c>
      <c r="K3762">
        <v>4425.05</v>
      </c>
    </row>
    <row r="3763" spans="1:11">
      <c r="A3763">
        <v>3762</v>
      </c>
      <c r="B3763" t="s">
        <v>132</v>
      </c>
      <c r="C3763" s="1">
        <v>33604</v>
      </c>
      <c r="D3763">
        <v>34</v>
      </c>
      <c r="E3763" t="s">
        <v>15</v>
      </c>
      <c r="F3763" t="s">
        <v>18</v>
      </c>
      <c r="G3763" s="1">
        <v>45503</v>
      </c>
      <c r="H3763" s="1">
        <v>45707</v>
      </c>
      <c r="I3763">
        <v>27</v>
      </c>
      <c r="J3763" t="s">
        <v>19</v>
      </c>
      <c r="K3763">
        <v>326.27999999999997</v>
      </c>
    </row>
    <row r="3764" spans="1:11">
      <c r="A3764">
        <v>3763</v>
      </c>
      <c r="B3764" t="s">
        <v>159</v>
      </c>
      <c r="C3764" s="1">
        <v>22281</v>
      </c>
      <c r="D3764">
        <v>65</v>
      </c>
      <c r="E3764" t="s">
        <v>12</v>
      </c>
      <c r="G3764" s="1">
        <v>45447</v>
      </c>
      <c r="H3764" s="1">
        <v>45064</v>
      </c>
      <c r="I3764">
        <v>31</v>
      </c>
      <c r="J3764" t="s">
        <v>23</v>
      </c>
      <c r="K3764">
        <v>11500.9</v>
      </c>
    </row>
    <row r="3765" spans="1:11">
      <c r="A3765">
        <v>3764</v>
      </c>
      <c r="B3765" t="s">
        <v>143</v>
      </c>
      <c r="C3765" s="1">
        <v>23377</v>
      </c>
      <c r="D3765">
        <v>62</v>
      </c>
      <c r="E3765" t="s">
        <v>15</v>
      </c>
      <c r="G3765" s="1">
        <v>45323</v>
      </c>
      <c r="H3765" s="1">
        <v>45153</v>
      </c>
      <c r="I3765">
        <v>24</v>
      </c>
      <c r="K3765">
        <v>2913.83</v>
      </c>
    </row>
    <row r="3766" spans="1:11">
      <c r="A3766">
        <v>3765</v>
      </c>
      <c r="B3766" t="s">
        <v>50</v>
      </c>
      <c r="C3766" s="1">
        <v>37987</v>
      </c>
      <c r="D3766">
        <v>22</v>
      </c>
      <c r="E3766" t="s">
        <v>15</v>
      </c>
      <c r="F3766" t="s">
        <v>21</v>
      </c>
      <c r="G3766" s="1">
        <v>45283</v>
      </c>
      <c r="H3766" s="1">
        <v>45261</v>
      </c>
      <c r="I3766">
        <v>22</v>
      </c>
      <c r="K3766">
        <v>148.66</v>
      </c>
    </row>
    <row r="3767" spans="1:11">
      <c r="A3767">
        <v>3766</v>
      </c>
      <c r="B3767" t="s">
        <v>99</v>
      </c>
      <c r="C3767" s="1">
        <v>43100</v>
      </c>
      <c r="D3767">
        <v>8</v>
      </c>
      <c r="E3767" t="s">
        <v>12</v>
      </c>
      <c r="F3767" t="s">
        <v>32</v>
      </c>
      <c r="G3767" s="1">
        <v>45112</v>
      </c>
      <c r="H3767" s="1">
        <v>45156</v>
      </c>
      <c r="I3767">
        <v>32</v>
      </c>
      <c r="J3767" t="s">
        <v>23</v>
      </c>
      <c r="K3767">
        <v>2007.51</v>
      </c>
    </row>
    <row r="3768" spans="1:11">
      <c r="A3768">
        <v>3767</v>
      </c>
      <c r="B3768" t="s">
        <v>73</v>
      </c>
      <c r="C3768" s="1">
        <v>33969</v>
      </c>
      <c r="D3768">
        <v>33</v>
      </c>
      <c r="F3768" t="s">
        <v>18</v>
      </c>
      <c r="G3768" s="1">
        <v>45596</v>
      </c>
      <c r="H3768" s="1">
        <v>45250</v>
      </c>
      <c r="I3768">
        <v>6</v>
      </c>
      <c r="J3768" t="s">
        <v>23</v>
      </c>
      <c r="K3768">
        <v>6206.76</v>
      </c>
    </row>
    <row r="3769" spans="1:11">
      <c r="A3769">
        <v>3768</v>
      </c>
      <c r="B3769" t="s">
        <v>127</v>
      </c>
      <c r="C3769" s="1">
        <v>29586</v>
      </c>
      <c r="D3769">
        <v>45</v>
      </c>
      <c r="E3769" t="s">
        <v>15</v>
      </c>
      <c r="F3769" t="s">
        <v>32</v>
      </c>
      <c r="G3769" s="1">
        <v>45469</v>
      </c>
      <c r="H3769" s="1">
        <v>45035</v>
      </c>
      <c r="I3769">
        <v>3</v>
      </c>
      <c r="J3769" t="s">
        <v>23</v>
      </c>
      <c r="K3769">
        <v>13350.18</v>
      </c>
    </row>
    <row r="3770" spans="1:11">
      <c r="A3770">
        <v>3769</v>
      </c>
      <c r="B3770" t="s">
        <v>53</v>
      </c>
      <c r="C3770" s="1">
        <v>17898</v>
      </c>
      <c r="D3770">
        <v>77</v>
      </c>
      <c r="E3770" t="s">
        <v>15</v>
      </c>
      <c r="F3770" t="s">
        <v>18</v>
      </c>
      <c r="G3770" s="1">
        <v>45077</v>
      </c>
      <c r="H3770" s="1">
        <v>45739</v>
      </c>
      <c r="I3770">
        <v>23</v>
      </c>
      <c r="J3770" t="s">
        <v>23</v>
      </c>
      <c r="K3770">
        <v>3972.72</v>
      </c>
    </row>
    <row r="3771" spans="1:11">
      <c r="A3771">
        <v>3770</v>
      </c>
      <c r="B3771" t="s">
        <v>125</v>
      </c>
      <c r="C3771" s="1">
        <v>44927</v>
      </c>
      <c r="D3771">
        <v>3</v>
      </c>
      <c r="E3771" t="s">
        <v>12</v>
      </c>
      <c r="F3771" t="s">
        <v>45</v>
      </c>
      <c r="G3771" s="1">
        <v>45245</v>
      </c>
      <c r="H3771" s="1">
        <v>45372</v>
      </c>
      <c r="I3771">
        <v>35</v>
      </c>
      <c r="J3771" t="s">
        <v>19</v>
      </c>
      <c r="K3771">
        <v>17740.57</v>
      </c>
    </row>
    <row r="3772" spans="1:11">
      <c r="A3772">
        <v>3771</v>
      </c>
      <c r="B3772" t="s">
        <v>111</v>
      </c>
      <c r="C3772" s="1">
        <v>35430</v>
      </c>
      <c r="D3772">
        <v>29</v>
      </c>
      <c r="E3772" t="s">
        <v>15</v>
      </c>
      <c r="G3772" s="1">
        <v>45594</v>
      </c>
      <c r="H3772" s="1">
        <v>44934</v>
      </c>
      <c r="I3772">
        <v>36</v>
      </c>
      <c r="J3772" t="s">
        <v>19</v>
      </c>
      <c r="K3772">
        <v>5698.62</v>
      </c>
    </row>
    <row r="3773" spans="1:11">
      <c r="A3773">
        <v>3772</v>
      </c>
      <c r="B3773" t="s">
        <v>85</v>
      </c>
      <c r="C3773" s="1">
        <v>11689</v>
      </c>
      <c r="D3773">
        <v>94</v>
      </c>
      <c r="E3773" t="s">
        <v>12</v>
      </c>
      <c r="F3773" t="s">
        <v>45</v>
      </c>
      <c r="G3773" s="1">
        <v>44985</v>
      </c>
      <c r="H3773" s="1">
        <v>45055</v>
      </c>
      <c r="I3773">
        <v>24</v>
      </c>
      <c r="K3773">
        <v>6557.65</v>
      </c>
    </row>
    <row r="3774" spans="1:11">
      <c r="A3774">
        <v>3773</v>
      </c>
      <c r="B3774" t="s">
        <v>67</v>
      </c>
      <c r="C3774" s="1">
        <v>18994</v>
      </c>
      <c r="D3774">
        <v>74</v>
      </c>
      <c r="E3774" t="s">
        <v>12</v>
      </c>
      <c r="F3774" t="s">
        <v>18</v>
      </c>
      <c r="G3774" s="1">
        <v>44936</v>
      </c>
      <c r="H3774" s="1">
        <v>45280</v>
      </c>
      <c r="I3774">
        <v>37</v>
      </c>
      <c r="J3774" t="s">
        <v>23</v>
      </c>
      <c r="K3774">
        <v>4281.34</v>
      </c>
    </row>
    <row r="3775" spans="1:11">
      <c r="A3775">
        <v>3774</v>
      </c>
      <c r="B3775" t="s">
        <v>28</v>
      </c>
      <c r="C3775" s="1">
        <v>20090</v>
      </c>
      <c r="D3775">
        <v>71</v>
      </c>
      <c r="E3775" t="s">
        <v>15</v>
      </c>
      <c r="F3775" t="s">
        <v>18</v>
      </c>
      <c r="G3775" s="1">
        <v>45050</v>
      </c>
      <c r="H3775" s="1">
        <v>45194</v>
      </c>
      <c r="I3775">
        <v>28</v>
      </c>
      <c r="J3775" t="s">
        <v>23</v>
      </c>
      <c r="K3775">
        <v>5001.49</v>
      </c>
    </row>
    <row r="3776" spans="1:11">
      <c r="A3776">
        <v>3775</v>
      </c>
      <c r="B3776" t="s">
        <v>116</v>
      </c>
      <c r="C3776" s="1">
        <v>45292</v>
      </c>
      <c r="D3776">
        <v>2</v>
      </c>
      <c r="E3776" t="s">
        <v>15</v>
      </c>
      <c r="F3776" t="s">
        <v>32</v>
      </c>
      <c r="G3776" s="1">
        <v>45282</v>
      </c>
      <c r="H3776" s="1">
        <v>45612</v>
      </c>
      <c r="I3776">
        <v>0</v>
      </c>
      <c r="J3776" t="s">
        <v>19</v>
      </c>
      <c r="K3776">
        <v>1390.12</v>
      </c>
    </row>
    <row r="3777" spans="1:11">
      <c r="A3777">
        <v>3776</v>
      </c>
      <c r="B3777" t="s">
        <v>26</v>
      </c>
      <c r="C3777" s="1">
        <v>41274</v>
      </c>
      <c r="D3777">
        <v>13</v>
      </c>
      <c r="E3777" t="s">
        <v>15</v>
      </c>
      <c r="G3777" s="1">
        <v>45272</v>
      </c>
      <c r="H3777" s="1">
        <v>45141</v>
      </c>
      <c r="I3777">
        <v>21</v>
      </c>
      <c r="J3777" t="s">
        <v>23</v>
      </c>
      <c r="K3777">
        <v>5824.89</v>
      </c>
    </row>
    <row r="3778" spans="1:11">
      <c r="A3778">
        <v>3777</v>
      </c>
      <c r="B3778" t="s">
        <v>162</v>
      </c>
      <c r="C3778" s="1">
        <v>24473</v>
      </c>
      <c r="D3778">
        <v>59</v>
      </c>
      <c r="E3778" t="s">
        <v>15</v>
      </c>
      <c r="F3778" t="s">
        <v>16</v>
      </c>
      <c r="G3778" s="1">
        <v>45163</v>
      </c>
      <c r="H3778" s="1">
        <v>45174</v>
      </c>
      <c r="I3778">
        <v>12</v>
      </c>
      <c r="J3778" t="s">
        <v>25</v>
      </c>
      <c r="K3778">
        <v>17178.310000000001</v>
      </c>
    </row>
    <row r="3779" spans="1:11">
      <c r="A3779">
        <v>3778</v>
      </c>
      <c r="B3779" t="s">
        <v>85</v>
      </c>
      <c r="D3779">
        <v>76</v>
      </c>
      <c r="E3779" t="s">
        <v>12</v>
      </c>
      <c r="G3779" s="1">
        <v>45259</v>
      </c>
      <c r="H3779" s="1">
        <v>45545</v>
      </c>
      <c r="I3779">
        <v>3</v>
      </c>
      <c r="J3779" t="s">
        <v>19</v>
      </c>
      <c r="K3779">
        <v>13737.33</v>
      </c>
    </row>
    <row r="3780" spans="1:11">
      <c r="A3780">
        <v>3779</v>
      </c>
      <c r="B3780" t="s">
        <v>28</v>
      </c>
      <c r="C3780" s="1">
        <v>29951</v>
      </c>
      <c r="D3780">
        <v>44</v>
      </c>
      <c r="E3780" t="s">
        <v>12</v>
      </c>
      <c r="F3780" t="s">
        <v>13</v>
      </c>
      <c r="G3780" s="1">
        <v>44943</v>
      </c>
      <c r="H3780" s="1">
        <v>45522</v>
      </c>
      <c r="I3780">
        <v>8</v>
      </c>
      <c r="J3780" t="s">
        <v>25</v>
      </c>
      <c r="K3780">
        <v>17492.89</v>
      </c>
    </row>
    <row r="3781" spans="1:11">
      <c r="A3781">
        <v>3780</v>
      </c>
      <c r="B3781" t="s">
        <v>120</v>
      </c>
      <c r="C3781" s="1">
        <v>33969</v>
      </c>
      <c r="D3781">
        <v>33</v>
      </c>
      <c r="E3781" t="s">
        <v>12</v>
      </c>
      <c r="F3781" t="s">
        <v>18</v>
      </c>
      <c r="G3781" s="1">
        <v>45350</v>
      </c>
      <c r="H3781" s="1">
        <v>45731</v>
      </c>
      <c r="I3781">
        <v>27</v>
      </c>
      <c r="J3781" t="s">
        <v>19</v>
      </c>
      <c r="K3781">
        <v>2007.67</v>
      </c>
    </row>
    <row r="3782" spans="1:11">
      <c r="A3782">
        <v>3781</v>
      </c>
      <c r="B3782" t="s">
        <v>123</v>
      </c>
      <c r="C3782" s="1">
        <v>29951</v>
      </c>
      <c r="D3782">
        <v>44</v>
      </c>
      <c r="E3782" t="s">
        <v>12</v>
      </c>
      <c r="F3782" t="s">
        <v>21</v>
      </c>
      <c r="G3782" s="1">
        <v>45250</v>
      </c>
      <c r="H3782" s="1">
        <v>45301</v>
      </c>
      <c r="I3782">
        <v>32</v>
      </c>
      <c r="J3782" t="s">
        <v>19</v>
      </c>
      <c r="K3782">
        <v>9057.89</v>
      </c>
    </row>
    <row r="3783" spans="1:11">
      <c r="A3783">
        <v>3782</v>
      </c>
      <c r="B3783" t="s">
        <v>43</v>
      </c>
      <c r="C3783" s="1">
        <v>24107</v>
      </c>
      <c r="D3783">
        <v>60</v>
      </c>
      <c r="E3783" t="s">
        <v>15</v>
      </c>
      <c r="F3783" t="s">
        <v>21</v>
      </c>
      <c r="G3783" s="1">
        <v>44949</v>
      </c>
      <c r="H3783" s="1">
        <v>45348</v>
      </c>
      <c r="I3783">
        <v>35</v>
      </c>
      <c r="J3783" t="s">
        <v>19</v>
      </c>
      <c r="K3783">
        <v>4508.0200000000004</v>
      </c>
    </row>
    <row r="3784" spans="1:11">
      <c r="A3784">
        <v>3783</v>
      </c>
      <c r="B3784" t="s">
        <v>122</v>
      </c>
      <c r="C3784" s="1">
        <v>16072</v>
      </c>
      <c r="D3784">
        <v>82</v>
      </c>
      <c r="E3784" t="s">
        <v>12</v>
      </c>
      <c r="F3784" t="s">
        <v>21</v>
      </c>
      <c r="G3784" s="1">
        <v>45385</v>
      </c>
      <c r="H3784" s="1">
        <v>45642</v>
      </c>
      <c r="I3784">
        <v>37</v>
      </c>
      <c r="K3784">
        <v>14396.43</v>
      </c>
    </row>
    <row r="3785" spans="1:11">
      <c r="A3785">
        <v>3784</v>
      </c>
      <c r="B3785" t="s">
        <v>31</v>
      </c>
      <c r="C3785" s="1">
        <v>40544</v>
      </c>
      <c r="D3785">
        <v>15</v>
      </c>
      <c r="E3785" t="s">
        <v>15</v>
      </c>
      <c r="F3785" t="s">
        <v>45</v>
      </c>
      <c r="G3785" s="1">
        <v>45386</v>
      </c>
      <c r="H3785" s="1">
        <v>44968</v>
      </c>
      <c r="I3785">
        <v>26</v>
      </c>
      <c r="K3785">
        <v>19401.78</v>
      </c>
    </row>
    <row r="3786" spans="1:11">
      <c r="A3786">
        <v>3785</v>
      </c>
      <c r="B3786" t="s">
        <v>125</v>
      </c>
      <c r="C3786" s="1">
        <v>22281</v>
      </c>
      <c r="D3786">
        <v>65</v>
      </c>
      <c r="E3786" t="s">
        <v>12</v>
      </c>
      <c r="F3786" t="s">
        <v>16</v>
      </c>
      <c r="G3786" s="1">
        <v>45447</v>
      </c>
      <c r="H3786" s="1">
        <v>45644</v>
      </c>
      <c r="I3786">
        <v>20</v>
      </c>
      <c r="J3786" t="s">
        <v>19</v>
      </c>
      <c r="K3786">
        <v>16288.73</v>
      </c>
    </row>
    <row r="3787" spans="1:11">
      <c r="A3787">
        <v>3786</v>
      </c>
      <c r="B3787" t="s">
        <v>88</v>
      </c>
      <c r="C3787" s="1">
        <v>31778</v>
      </c>
      <c r="E3787" t="s">
        <v>15</v>
      </c>
      <c r="F3787" t="s">
        <v>32</v>
      </c>
      <c r="G3787" s="1">
        <v>45645</v>
      </c>
      <c r="H3787" s="1">
        <v>45275</v>
      </c>
      <c r="I3787">
        <v>39</v>
      </c>
      <c r="J3787" t="s">
        <v>19</v>
      </c>
      <c r="K3787">
        <v>609.09</v>
      </c>
    </row>
    <row r="3788" spans="1:11">
      <c r="A3788">
        <v>3787</v>
      </c>
      <c r="B3788" t="s">
        <v>58</v>
      </c>
      <c r="C3788" s="1">
        <v>40178</v>
      </c>
      <c r="D3788">
        <v>16</v>
      </c>
      <c r="E3788" t="s">
        <v>12</v>
      </c>
      <c r="F3788" t="s">
        <v>16</v>
      </c>
      <c r="G3788" s="1">
        <v>45483</v>
      </c>
      <c r="H3788" s="1">
        <v>45488</v>
      </c>
      <c r="I3788">
        <v>39</v>
      </c>
      <c r="J3788" t="s">
        <v>19</v>
      </c>
      <c r="K3788">
        <v>6264.86</v>
      </c>
    </row>
    <row r="3789" spans="1:11">
      <c r="A3789">
        <v>3788</v>
      </c>
      <c r="B3789" t="s">
        <v>114</v>
      </c>
      <c r="C3789" s="1">
        <v>33969</v>
      </c>
      <c r="D3789">
        <v>33</v>
      </c>
      <c r="E3789" t="s">
        <v>12</v>
      </c>
      <c r="F3789" t="s">
        <v>45</v>
      </c>
      <c r="G3789" s="1">
        <v>45347</v>
      </c>
      <c r="H3789" s="1">
        <v>45070</v>
      </c>
      <c r="I3789">
        <v>0</v>
      </c>
      <c r="J3789" t="s">
        <v>19</v>
      </c>
      <c r="K3789">
        <v>474.45</v>
      </c>
    </row>
    <row r="3790" spans="1:11">
      <c r="A3790">
        <v>3789</v>
      </c>
      <c r="B3790" t="s">
        <v>130</v>
      </c>
      <c r="C3790" s="1">
        <v>40544</v>
      </c>
      <c r="D3790">
        <v>15</v>
      </c>
      <c r="E3790" t="s">
        <v>15</v>
      </c>
      <c r="F3790" t="s">
        <v>16</v>
      </c>
      <c r="G3790" s="1">
        <v>45329</v>
      </c>
      <c r="H3790" s="1">
        <v>45068</v>
      </c>
      <c r="I3790">
        <v>23</v>
      </c>
      <c r="J3790" t="s">
        <v>23</v>
      </c>
      <c r="K3790">
        <v>707.36</v>
      </c>
    </row>
    <row r="3791" spans="1:11">
      <c r="A3791">
        <v>3790</v>
      </c>
      <c r="B3791" t="s">
        <v>87</v>
      </c>
      <c r="C3791" s="1">
        <v>24473</v>
      </c>
      <c r="D3791">
        <v>59</v>
      </c>
      <c r="E3791" t="s">
        <v>15</v>
      </c>
      <c r="F3791" t="s">
        <v>16</v>
      </c>
      <c r="G3791" s="1">
        <v>45257</v>
      </c>
      <c r="H3791" s="1">
        <v>45492</v>
      </c>
      <c r="I3791">
        <v>11</v>
      </c>
      <c r="J3791" t="s">
        <v>23</v>
      </c>
      <c r="K3791">
        <v>1498.26</v>
      </c>
    </row>
    <row r="3792" spans="1:11">
      <c r="A3792">
        <v>3791</v>
      </c>
      <c r="B3792" t="s">
        <v>119</v>
      </c>
      <c r="C3792" s="1">
        <v>22281</v>
      </c>
      <c r="D3792">
        <v>65</v>
      </c>
      <c r="E3792" t="s">
        <v>12</v>
      </c>
      <c r="G3792" s="1">
        <v>45383</v>
      </c>
      <c r="H3792" s="1">
        <v>45034</v>
      </c>
      <c r="I3792">
        <v>16</v>
      </c>
      <c r="J3792" t="s">
        <v>23</v>
      </c>
      <c r="K3792">
        <v>5454.17</v>
      </c>
    </row>
    <row r="3793" spans="1:11">
      <c r="A3793">
        <v>3792</v>
      </c>
      <c r="B3793" t="s">
        <v>137</v>
      </c>
      <c r="C3793" s="1">
        <v>22281</v>
      </c>
      <c r="D3793">
        <v>65</v>
      </c>
      <c r="E3793" t="s">
        <v>15</v>
      </c>
      <c r="F3793" t="s">
        <v>21</v>
      </c>
      <c r="G3793" s="1">
        <v>45409</v>
      </c>
      <c r="H3793" s="1">
        <v>44960</v>
      </c>
      <c r="I3793">
        <v>18</v>
      </c>
      <c r="K3793">
        <v>6014.48</v>
      </c>
    </row>
    <row r="3794" spans="1:11">
      <c r="A3794">
        <v>3793</v>
      </c>
      <c r="B3794" t="s">
        <v>99</v>
      </c>
      <c r="C3794" s="1">
        <v>13515</v>
      </c>
      <c r="D3794">
        <v>89</v>
      </c>
      <c r="E3794" t="s">
        <v>12</v>
      </c>
      <c r="F3794" t="s">
        <v>18</v>
      </c>
      <c r="G3794" s="1">
        <v>45424</v>
      </c>
      <c r="H3794" s="1">
        <v>45127</v>
      </c>
      <c r="I3794">
        <v>18</v>
      </c>
      <c r="J3794" t="s">
        <v>25</v>
      </c>
      <c r="K3794">
        <v>7949.12</v>
      </c>
    </row>
    <row r="3795" spans="1:11">
      <c r="A3795">
        <v>3794</v>
      </c>
      <c r="B3795" t="s">
        <v>107</v>
      </c>
      <c r="C3795" s="1">
        <v>41639</v>
      </c>
      <c r="D3795">
        <v>12</v>
      </c>
      <c r="E3795" t="s">
        <v>12</v>
      </c>
      <c r="F3795" t="s">
        <v>21</v>
      </c>
      <c r="G3795" s="1">
        <v>44953</v>
      </c>
      <c r="H3795" s="1">
        <v>45046</v>
      </c>
      <c r="I3795">
        <v>6</v>
      </c>
      <c r="J3795" t="s">
        <v>19</v>
      </c>
      <c r="K3795">
        <v>8039.11</v>
      </c>
    </row>
    <row r="3796" spans="1:11">
      <c r="A3796">
        <v>3795</v>
      </c>
      <c r="B3796" t="s">
        <v>156</v>
      </c>
      <c r="C3796" s="1">
        <v>25934</v>
      </c>
      <c r="D3796">
        <v>55</v>
      </c>
      <c r="E3796" t="s">
        <v>12</v>
      </c>
      <c r="F3796" t="s">
        <v>16</v>
      </c>
      <c r="G3796" s="1">
        <v>45323</v>
      </c>
      <c r="H3796" s="1">
        <v>45727</v>
      </c>
      <c r="I3796">
        <v>10</v>
      </c>
      <c r="J3796" t="s">
        <v>23</v>
      </c>
      <c r="K3796">
        <v>15405.32</v>
      </c>
    </row>
    <row r="3797" spans="1:11">
      <c r="A3797">
        <v>3796</v>
      </c>
      <c r="B3797" t="s">
        <v>66</v>
      </c>
      <c r="C3797" s="1">
        <v>35065</v>
      </c>
      <c r="D3797">
        <v>30</v>
      </c>
      <c r="E3797" t="s">
        <v>15</v>
      </c>
      <c r="F3797" t="s">
        <v>18</v>
      </c>
      <c r="G3797" s="1">
        <v>45114</v>
      </c>
      <c r="H3797" s="1">
        <v>45156</v>
      </c>
      <c r="I3797">
        <v>38</v>
      </c>
      <c r="J3797" t="s">
        <v>23</v>
      </c>
      <c r="K3797">
        <v>2742.21</v>
      </c>
    </row>
    <row r="3798" spans="1:11">
      <c r="A3798">
        <v>3797</v>
      </c>
      <c r="B3798" t="s">
        <v>31</v>
      </c>
      <c r="C3798" s="1">
        <v>33969</v>
      </c>
      <c r="D3798">
        <v>33</v>
      </c>
      <c r="E3798" t="s">
        <v>12</v>
      </c>
      <c r="G3798" s="1">
        <v>45066</v>
      </c>
      <c r="H3798" s="1">
        <v>45557</v>
      </c>
      <c r="I3798">
        <v>34</v>
      </c>
      <c r="J3798" t="s">
        <v>23</v>
      </c>
      <c r="K3798">
        <v>3070.59</v>
      </c>
    </row>
    <row r="3799" spans="1:11">
      <c r="A3799">
        <v>3798</v>
      </c>
      <c r="B3799" t="s">
        <v>90</v>
      </c>
      <c r="C3799" s="1">
        <v>32143</v>
      </c>
      <c r="D3799">
        <v>38</v>
      </c>
      <c r="E3799" t="s">
        <v>15</v>
      </c>
      <c r="F3799" t="s">
        <v>32</v>
      </c>
      <c r="G3799" s="1">
        <v>45447</v>
      </c>
      <c r="H3799" s="1">
        <v>45615</v>
      </c>
      <c r="I3799">
        <v>35</v>
      </c>
      <c r="J3799" t="s">
        <v>19</v>
      </c>
      <c r="K3799">
        <v>12494.44</v>
      </c>
    </row>
    <row r="3800" spans="1:11">
      <c r="A3800">
        <v>3799</v>
      </c>
      <c r="B3800" t="s">
        <v>126</v>
      </c>
      <c r="C3800" s="1">
        <v>21916</v>
      </c>
      <c r="D3800">
        <v>66</v>
      </c>
      <c r="E3800" t="s">
        <v>15</v>
      </c>
      <c r="F3800" t="s">
        <v>13</v>
      </c>
      <c r="G3800" s="1">
        <v>45018</v>
      </c>
      <c r="H3800" s="1">
        <v>45112</v>
      </c>
      <c r="I3800">
        <v>21</v>
      </c>
      <c r="J3800" t="s">
        <v>19</v>
      </c>
      <c r="K3800">
        <v>11392.02</v>
      </c>
    </row>
    <row r="3801" spans="1:11">
      <c r="A3801">
        <v>3800</v>
      </c>
      <c r="B3801" t="s">
        <v>36</v>
      </c>
      <c r="C3801" s="1">
        <v>43466</v>
      </c>
      <c r="E3801" t="s">
        <v>12</v>
      </c>
      <c r="F3801" t="s">
        <v>18</v>
      </c>
      <c r="G3801" s="1">
        <v>45003</v>
      </c>
      <c r="H3801" s="1">
        <v>45757</v>
      </c>
      <c r="I3801">
        <v>35</v>
      </c>
      <c r="J3801" t="s">
        <v>25</v>
      </c>
      <c r="K3801">
        <v>2995.49</v>
      </c>
    </row>
    <row r="3802" spans="1:11">
      <c r="A3802">
        <v>3801</v>
      </c>
      <c r="B3802" t="s">
        <v>33</v>
      </c>
      <c r="C3802" s="1">
        <v>14611</v>
      </c>
      <c r="D3802">
        <v>86</v>
      </c>
      <c r="E3802" t="s">
        <v>12</v>
      </c>
      <c r="F3802" t="s">
        <v>45</v>
      </c>
      <c r="G3802" s="1">
        <v>45170</v>
      </c>
      <c r="H3802" s="1">
        <v>45777</v>
      </c>
      <c r="I3802">
        <v>8</v>
      </c>
      <c r="K3802">
        <v>17030.509999999998</v>
      </c>
    </row>
    <row r="3803" spans="1:11">
      <c r="A3803">
        <v>3802</v>
      </c>
      <c r="B3803" t="s">
        <v>86</v>
      </c>
      <c r="C3803" s="1">
        <v>17898</v>
      </c>
      <c r="D3803">
        <v>77</v>
      </c>
      <c r="E3803" t="s">
        <v>15</v>
      </c>
      <c r="F3803" t="s">
        <v>21</v>
      </c>
      <c r="G3803" s="1">
        <v>45593</v>
      </c>
      <c r="H3803" s="1">
        <v>45142</v>
      </c>
      <c r="I3803">
        <v>26</v>
      </c>
      <c r="J3803" t="s">
        <v>25</v>
      </c>
      <c r="K3803">
        <v>6514.09</v>
      </c>
    </row>
    <row r="3804" spans="1:11">
      <c r="A3804">
        <v>3803</v>
      </c>
      <c r="B3804" t="s">
        <v>153</v>
      </c>
      <c r="C3804" s="1">
        <v>26299</v>
      </c>
      <c r="D3804">
        <v>54</v>
      </c>
      <c r="E3804" t="s">
        <v>15</v>
      </c>
      <c r="G3804" s="1">
        <v>45656</v>
      </c>
      <c r="H3804" s="1">
        <v>45660</v>
      </c>
      <c r="I3804">
        <v>35</v>
      </c>
      <c r="J3804" t="s">
        <v>19</v>
      </c>
      <c r="K3804">
        <v>7276.04</v>
      </c>
    </row>
    <row r="3805" spans="1:11">
      <c r="A3805">
        <v>3804</v>
      </c>
      <c r="B3805" t="s">
        <v>57</v>
      </c>
      <c r="C3805" s="1">
        <v>36526</v>
      </c>
      <c r="D3805">
        <v>26</v>
      </c>
      <c r="E3805" t="s">
        <v>12</v>
      </c>
      <c r="G3805" s="1">
        <v>45588</v>
      </c>
      <c r="H3805" s="1">
        <v>45057</v>
      </c>
      <c r="I3805">
        <v>38</v>
      </c>
      <c r="J3805" t="s">
        <v>25</v>
      </c>
      <c r="K3805">
        <v>8351.25</v>
      </c>
    </row>
    <row r="3806" spans="1:11">
      <c r="A3806">
        <v>3805</v>
      </c>
      <c r="B3806" t="s">
        <v>134</v>
      </c>
      <c r="C3806" s="1">
        <v>12419</v>
      </c>
      <c r="D3806">
        <v>92</v>
      </c>
      <c r="E3806" t="s">
        <v>12</v>
      </c>
      <c r="F3806" t="s">
        <v>21</v>
      </c>
      <c r="G3806" s="1">
        <v>45014</v>
      </c>
      <c r="H3806" s="1">
        <v>45772</v>
      </c>
      <c r="I3806">
        <v>14</v>
      </c>
      <c r="J3806" t="s">
        <v>23</v>
      </c>
      <c r="K3806">
        <v>6386.31</v>
      </c>
    </row>
    <row r="3807" spans="1:11">
      <c r="A3807">
        <v>3806</v>
      </c>
      <c r="B3807" t="s">
        <v>145</v>
      </c>
      <c r="C3807" s="1">
        <v>27029</v>
      </c>
      <c r="D3807">
        <v>52</v>
      </c>
      <c r="E3807" t="s">
        <v>12</v>
      </c>
      <c r="F3807" t="s">
        <v>16</v>
      </c>
      <c r="G3807" s="1">
        <v>45544</v>
      </c>
      <c r="H3807" s="1">
        <v>45199</v>
      </c>
      <c r="I3807">
        <v>23</v>
      </c>
      <c r="J3807" t="s">
        <v>25</v>
      </c>
      <c r="K3807">
        <v>11104.85</v>
      </c>
    </row>
    <row r="3808" spans="1:11">
      <c r="A3808">
        <v>3807</v>
      </c>
      <c r="B3808" t="s">
        <v>143</v>
      </c>
      <c r="C3808" s="1">
        <v>32143</v>
      </c>
      <c r="D3808">
        <v>38</v>
      </c>
      <c r="E3808" t="s">
        <v>15</v>
      </c>
      <c r="F3808" t="s">
        <v>16</v>
      </c>
      <c r="G3808" s="1">
        <v>45220</v>
      </c>
      <c r="H3808" s="1">
        <v>45685</v>
      </c>
      <c r="I3808">
        <v>23</v>
      </c>
      <c r="J3808" t="s">
        <v>23</v>
      </c>
      <c r="K3808">
        <v>7711.82</v>
      </c>
    </row>
    <row r="3809" spans="1:11">
      <c r="A3809">
        <v>3808</v>
      </c>
      <c r="B3809" t="s">
        <v>169</v>
      </c>
      <c r="C3809" s="1">
        <v>22646</v>
      </c>
      <c r="D3809">
        <v>64</v>
      </c>
      <c r="E3809" t="s">
        <v>12</v>
      </c>
      <c r="F3809" t="s">
        <v>16</v>
      </c>
      <c r="G3809" s="1">
        <v>45021</v>
      </c>
      <c r="H3809" s="1">
        <v>45562</v>
      </c>
      <c r="I3809">
        <v>9</v>
      </c>
      <c r="J3809" t="s">
        <v>25</v>
      </c>
      <c r="K3809">
        <v>5114.6400000000003</v>
      </c>
    </row>
    <row r="3810" spans="1:11">
      <c r="A3810">
        <v>3809</v>
      </c>
      <c r="B3810" t="s">
        <v>163</v>
      </c>
      <c r="C3810" s="1">
        <v>40178</v>
      </c>
      <c r="D3810">
        <v>16</v>
      </c>
      <c r="E3810" t="s">
        <v>12</v>
      </c>
      <c r="G3810" s="1">
        <v>45179</v>
      </c>
      <c r="H3810" s="1">
        <v>44935</v>
      </c>
      <c r="I3810">
        <v>15</v>
      </c>
      <c r="J3810" t="s">
        <v>23</v>
      </c>
      <c r="K3810">
        <v>18079.939999999999</v>
      </c>
    </row>
    <row r="3811" spans="1:11">
      <c r="A3811">
        <v>3810</v>
      </c>
      <c r="B3811" t="s">
        <v>86</v>
      </c>
      <c r="C3811" s="1">
        <v>35430</v>
      </c>
      <c r="D3811">
        <v>29</v>
      </c>
      <c r="E3811" t="s">
        <v>12</v>
      </c>
      <c r="F3811" t="s">
        <v>16</v>
      </c>
      <c r="G3811" s="1">
        <v>45477</v>
      </c>
      <c r="H3811" s="1">
        <v>45330</v>
      </c>
      <c r="I3811">
        <v>6</v>
      </c>
      <c r="J3811" t="s">
        <v>25</v>
      </c>
      <c r="K3811">
        <v>6097.85</v>
      </c>
    </row>
    <row r="3812" spans="1:11">
      <c r="A3812">
        <v>3811</v>
      </c>
      <c r="B3812" t="s">
        <v>162</v>
      </c>
      <c r="C3812" s="1">
        <v>27029</v>
      </c>
      <c r="D3812">
        <v>52</v>
      </c>
      <c r="E3812" t="s">
        <v>12</v>
      </c>
      <c r="F3812" t="s">
        <v>21</v>
      </c>
      <c r="G3812" s="1">
        <v>45325</v>
      </c>
      <c r="H3812" s="1">
        <v>45506</v>
      </c>
      <c r="I3812">
        <v>0</v>
      </c>
      <c r="K3812">
        <v>13939.63</v>
      </c>
    </row>
    <row r="3813" spans="1:11">
      <c r="A3813">
        <v>3812</v>
      </c>
      <c r="B3813" t="s">
        <v>154</v>
      </c>
      <c r="C3813" s="1">
        <v>41639</v>
      </c>
      <c r="D3813">
        <v>12</v>
      </c>
      <c r="E3813" t="s">
        <v>15</v>
      </c>
      <c r="F3813" t="s">
        <v>18</v>
      </c>
      <c r="G3813" s="1">
        <v>44980</v>
      </c>
      <c r="H3813" s="1">
        <v>45554</v>
      </c>
      <c r="I3813">
        <v>7</v>
      </c>
      <c r="J3813" t="s">
        <v>25</v>
      </c>
      <c r="K3813">
        <v>6879.26</v>
      </c>
    </row>
    <row r="3814" spans="1:11">
      <c r="A3814">
        <v>3813</v>
      </c>
      <c r="B3814" t="s">
        <v>17</v>
      </c>
      <c r="C3814" s="1">
        <v>38717</v>
      </c>
      <c r="D3814">
        <v>20</v>
      </c>
      <c r="F3814" t="s">
        <v>32</v>
      </c>
      <c r="G3814" s="1">
        <v>45169</v>
      </c>
      <c r="H3814" s="1">
        <v>45296</v>
      </c>
      <c r="I3814">
        <v>-1</v>
      </c>
      <c r="J3814" t="s">
        <v>19</v>
      </c>
      <c r="K3814">
        <v>8647.92</v>
      </c>
    </row>
    <row r="3815" spans="1:11">
      <c r="A3815">
        <v>3814</v>
      </c>
      <c r="B3815" t="s">
        <v>11</v>
      </c>
      <c r="C3815" s="1">
        <v>39448</v>
      </c>
      <c r="D3815">
        <v>18</v>
      </c>
      <c r="E3815" t="s">
        <v>15</v>
      </c>
      <c r="F3815" t="s">
        <v>18</v>
      </c>
      <c r="G3815" s="1">
        <v>45036</v>
      </c>
      <c r="H3815" s="1">
        <v>45727</v>
      </c>
      <c r="I3815">
        <v>5</v>
      </c>
      <c r="J3815" t="s">
        <v>19</v>
      </c>
      <c r="K3815">
        <v>4642.46</v>
      </c>
    </row>
    <row r="3816" spans="1:11">
      <c r="A3816">
        <v>3815</v>
      </c>
      <c r="B3816" t="s">
        <v>114</v>
      </c>
      <c r="C3816" s="1">
        <v>27029</v>
      </c>
      <c r="D3816">
        <v>52</v>
      </c>
      <c r="E3816" t="s">
        <v>15</v>
      </c>
      <c r="F3816" t="s">
        <v>45</v>
      </c>
      <c r="G3816" s="1">
        <v>45550</v>
      </c>
      <c r="H3816" s="1">
        <v>45544</v>
      </c>
      <c r="I3816">
        <v>15</v>
      </c>
      <c r="J3816" t="s">
        <v>23</v>
      </c>
      <c r="K3816">
        <v>15021.83</v>
      </c>
    </row>
    <row r="3817" spans="1:11">
      <c r="A3817">
        <v>3816</v>
      </c>
      <c r="B3817" t="s">
        <v>14</v>
      </c>
      <c r="C3817" s="1">
        <v>39448</v>
      </c>
      <c r="D3817">
        <v>18</v>
      </c>
      <c r="E3817" t="s">
        <v>12</v>
      </c>
      <c r="F3817" t="s">
        <v>21</v>
      </c>
      <c r="G3817" s="1">
        <v>45612</v>
      </c>
      <c r="H3817" s="1">
        <v>45464</v>
      </c>
      <c r="I3817">
        <v>36</v>
      </c>
      <c r="J3817" t="s">
        <v>19</v>
      </c>
      <c r="K3817">
        <v>14717.79</v>
      </c>
    </row>
    <row r="3818" spans="1:11">
      <c r="A3818">
        <v>3817</v>
      </c>
      <c r="B3818" t="s">
        <v>133</v>
      </c>
      <c r="C3818" s="1">
        <v>25568</v>
      </c>
      <c r="D3818">
        <v>56</v>
      </c>
      <c r="E3818" t="s">
        <v>12</v>
      </c>
      <c r="F3818" t="s">
        <v>18</v>
      </c>
      <c r="G3818" s="1">
        <v>45627</v>
      </c>
      <c r="H3818" s="1">
        <v>44980</v>
      </c>
      <c r="I3818">
        <v>28</v>
      </c>
      <c r="J3818" t="s">
        <v>23</v>
      </c>
      <c r="K3818">
        <v>347.02</v>
      </c>
    </row>
    <row r="3819" spans="1:11">
      <c r="A3819">
        <v>3818</v>
      </c>
      <c r="B3819" t="s">
        <v>56</v>
      </c>
      <c r="C3819" s="1">
        <v>37256</v>
      </c>
      <c r="D3819">
        <v>24</v>
      </c>
      <c r="E3819" t="s">
        <v>12</v>
      </c>
      <c r="F3819" t="s">
        <v>21</v>
      </c>
      <c r="G3819" s="1">
        <v>45147</v>
      </c>
      <c r="H3819" s="1">
        <v>45174</v>
      </c>
      <c r="I3819">
        <v>11</v>
      </c>
      <c r="K3819">
        <v>1109.9000000000001</v>
      </c>
    </row>
    <row r="3820" spans="1:11">
      <c r="A3820">
        <v>3819</v>
      </c>
      <c r="B3820" t="s">
        <v>103</v>
      </c>
      <c r="C3820" s="1">
        <v>14976</v>
      </c>
      <c r="D3820">
        <v>85</v>
      </c>
      <c r="E3820" t="s">
        <v>12</v>
      </c>
      <c r="G3820" s="1">
        <v>45490</v>
      </c>
      <c r="H3820" s="1">
        <v>45264</v>
      </c>
      <c r="I3820">
        <v>36</v>
      </c>
      <c r="J3820" t="s">
        <v>19</v>
      </c>
      <c r="K3820">
        <v>18439.77</v>
      </c>
    </row>
    <row r="3821" spans="1:11">
      <c r="A3821">
        <v>3820</v>
      </c>
      <c r="B3821" t="s">
        <v>164</v>
      </c>
      <c r="C3821" s="1">
        <v>35065</v>
      </c>
      <c r="D3821">
        <v>30</v>
      </c>
      <c r="E3821" t="s">
        <v>15</v>
      </c>
      <c r="F3821" t="s">
        <v>45</v>
      </c>
      <c r="G3821" s="1">
        <v>45088</v>
      </c>
      <c r="H3821" s="1">
        <v>45208</v>
      </c>
      <c r="I3821">
        <v>30</v>
      </c>
      <c r="J3821" t="s">
        <v>19</v>
      </c>
      <c r="K3821">
        <v>17765.419999999998</v>
      </c>
    </row>
    <row r="3822" spans="1:11">
      <c r="A3822">
        <v>3821</v>
      </c>
      <c r="B3822" t="s">
        <v>163</v>
      </c>
      <c r="C3822" s="1">
        <v>16802</v>
      </c>
      <c r="D3822">
        <v>80</v>
      </c>
      <c r="E3822" t="s">
        <v>12</v>
      </c>
      <c r="G3822" s="1">
        <v>44961</v>
      </c>
      <c r="H3822" s="1">
        <v>44960</v>
      </c>
      <c r="I3822">
        <v>26</v>
      </c>
      <c r="J3822" t="s">
        <v>23</v>
      </c>
      <c r="K3822">
        <v>10072.35</v>
      </c>
    </row>
    <row r="3823" spans="1:11">
      <c r="A3823">
        <v>3822</v>
      </c>
      <c r="B3823" t="s">
        <v>85</v>
      </c>
      <c r="C3823" s="1">
        <v>26299</v>
      </c>
      <c r="D3823">
        <v>54</v>
      </c>
      <c r="E3823" t="s">
        <v>15</v>
      </c>
      <c r="F3823" t="s">
        <v>13</v>
      </c>
      <c r="G3823" s="1">
        <v>44963</v>
      </c>
      <c r="H3823" s="1">
        <v>45726</v>
      </c>
      <c r="I3823">
        <v>30</v>
      </c>
      <c r="K3823">
        <v>9816.48</v>
      </c>
    </row>
    <row r="3824" spans="1:11">
      <c r="A3824">
        <v>3823</v>
      </c>
      <c r="B3824" t="s">
        <v>72</v>
      </c>
      <c r="C3824" s="1">
        <v>37987</v>
      </c>
      <c r="D3824">
        <v>22</v>
      </c>
      <c r="E3824" t="s">
        <v>12</v>
      </c>
      <c r="F3824" t="s">
        <v>13</v>
      </c>
      <c r="G3824" s="1">
        <v>45549</v>
      </c>
      <c r="H3824" s="1">
        <v>45475</v>
      </c>
      <c r="I3824">
        <v>32</v>
      </c>
      <c r="K3824">
        <v>16229.73</v>
      </c>
    </row>
    <row r="3825" spans="1:11">
      <c r="A3825">
        <v>3824</v>
      </c>
      <c r="B3825" t="s">
        <v>82</v>
      </c>
      <c r="C3825" s="1">
        <v>34700</v>
      </c>
      <c r="D3825">
        <v>31</v>
      </c>
      <c r="E3825" t="s">
        <v>15</v>
      </c>
      <c r="F3825" t="s">
        <v>13</v>
      </c>
      <c r="G3825" s="1">
        <v>45296</v>
      </c>
      <c r="H3825" s="1">
        <v>45270</v>
      </c>
      <c r="I3825">
        <v>-1</v>
      </c>
      <c r="J3825" t="s">
        <v>25</v>
      </c>
      <c r="K3825">
        <v>2682.85</v>
      </c>
    </row>
    <row r="3826" spans="1:11">
      <c r="A3826">
        <v>3825</v>
      </c>
      <c r="B3826" t="s">
        <v>75</v>
      </c>
      <c r="C3826" s="1">
        <v>23742</v>
      </c>
      <c r="D3826">
        <v>61</v>
      </c>
      <c r="E3826" t="s">
        <v>12</v>
      </c>
      <c r="F3826" t="s">
        <v>21</v>
      </c>
      <c r="G3826" s="1">
        <v>45103</v>
      </c>
      <c r="H3826" s="1">
        <v>45818</v>
      </c>
      <c r="I3826">
        <v>32</v>
      </c>
      <c r="J3826" t="s">
        <v>23</v>
      </c>
      <c r="K3826">
        <v>13039.35</v>
      </c>
    </row>
    <row r="3827" spans="1:11">
      <c r="A3827">
        <v>3826</v>
      </c>
      <c r="B3827" t="s">
        <v>85</v>
      </c>
      <c r="C3827" s="1">
        <v>19359</v>
      </c>
      <c r="D3827">
        <v>73</v>
      </c>
      <c r="E3827" t="s">
        <v>15</v>
      </c>
      <c r="F3827" t="s">
        <v>18</v>
      </c>
      <c r="G3827" s="1">
        <v>45447</v>
      </c>
      <c r="H3827" s="1">
        <v>45166</v>
      </c>
      <c r="I3827">
        <v>29</v>
      </c>
      <c r="J3827" t="s">
        <v>23</v>
      </c>
      <c r="K3827">
        <v>9467.26</v>
      </c>
    </row>
    <row r="3828" spans="1:11">
      <c r="A3828">
        <v>3827</v>
      </c>
      <c r="B3828" t="s">
        <v>82</v>
      </c>
      <c r="C3828" s="1">
        <v>42735</v>
      </c>
      <c r="D3828">
        <v>9</v>
      </c>
      <c r="E3828" t="s">
        <v>12</v>
      </c>
      <c r="F3828" t="s">
        <v>21</v>
      </c>
      <c r="G3828" s="1">
        <v>45201</v>
      </c>
      <c r="H3828" s="1">
        <v>45419</v>
      </c>
      <c r="I3828">
        <v>33</v>
      </c>
      <c r="K3828">
        <v>14840.95</v>
      </c>
    </row>
    <row r="3829" spans="1:11">
      <c r="A3829">
        <v>3828</v>
      </c>
      <c r="B3829" t="s">
        <v>104</v>
      </c>
      <c r="C3829" s="1">
        <v>20090</v>
      </c>
      <c r="D3829">
        <v>71</v>
      </c>
      <c r="E3829" t="s">
        <v>12</v>
      </c>
      <c r="G3829" s="1">
        <v>45559</v>
      </c>
      <c r="H3829" s="1">
        <v>45656</v>
      </c>
      <c r="I3829">
        <v>20</v>
      </c>
      <c r="J3829" t="s">
        <v>23</v>
      </c>
      <c r="K3829">
        <v>505.07</v>
      </c>
    </row>
    <row r="3830" spans="1:11">
      <c r="A3830">
        <v>3829</v>
      </c>
      <c r="B3830" t="s">
        <v>118</v>
      </c>
      <c r="C3830" s="1">
        <v>26664</v>
      </c>
      <c r="D3830">
        <v>53</v>
      </c>
      <c r="E3830" t="s">
        <v>15</v>
      </c>
      <c r="F3830" t="s">
        <v>32</v>
      </c>
      <c r="G3830" s="1">
        <v>45031</v>
      </c>
      <c r="H3830" s="1">
        <v>45104</v>
      </c>
      <c r="I3830">
        <v>2</v>
      </c>
      <c r="J3830" t="s">
        <v>19</v>
      </c>
      <c r="K3830">
        <v>11813.78</v>
      </c>
    </row>
    <row r="3831" spans="1:11">
      <c r="A3831">
        <v>3830</v>
      </c>
      <c r="B3831" t="s">
        <v>125</v>
      </c>
      <c r="C3831" s="1">
        <v>27395</v>
      </c>
      <c r="D3831">
        <v>51</v>
      </c>
      <c r="E3831" t="s">
        <v>12</v>
      </c>
      <c r="G3831" s="1">
        <v>45082</v>
      </c>
      <c r="H3831" s="1">
        <v>44971</v>
      </c>
      <c r="I3831">
        <v>13</v>
      </c>
      <c r="J3831" t="s">
        <v>19</v>
      </c>
      <c r="K3831">
        <v>11090.24</v>
      </c>
    </row>
    <row r="3832" spans="1:11">
      <c r="A3832">
        <v>3831</v>
      </c>
      <c r="B3832" t="s">
        <v>26</v>
      </c>
      <c r="C3832" s="1">
        <v>39083</v>
      </c>
      <c r="D3832">
        <v>19</v>
      </c>
      <c r="E3832" t="s">
        <v>12</v>
      </c>
      <c r="F3832" t="s">
        <v>18</v>
      </c>
      <c r="G3832" s="1">
        <v>45262</v>
      </c>
      <c r="H3832" s="1">
        <v>45231</v>
      </c>
      <c r="I3832">
        <v>37</v>
      </c>
      <c r="J3832" t="s">
        <v>19</v>
      </c>
      <c r="K3832">
        <v>16801.05</v>
      </c>
    </row>
    <row r="3833" spans="1:11">
      <c r="A3833">
        <v>3832</v>
      </c>
      <c r="B3833" t="s">
        <v>69</v>
      </c>
      <c r="C3833" s="1">
        <v>34700</v>
      </c>
      <c r="D3833">
        <v>31</v>
      </c>
      <c r="E3833" t="s">
        <v>12</v>
      </c>
      <c r="G3833" s="1">
        <v>44952</v>
      </c>
      <c r="H3833" s="1">
        <v>45597</v>
      </c>
      <c r="I3833">
        <v>21</v>
      </c>
      <c r="J3833" t="s">
        <v>23</v>
      </c>
      <c r="K3833">
        <v>13504.41</v>
      </c>
    </row>
    <row r="3834" spans="1:11">
      <c r="A3834">
        <v>3833</v>
      </c>
      <c r="B3834" t="s">
        <v>123</v>
      </c>
      <c r="C3834" s="1">
        <v>41274</v>
      </c>
      <c r="D3834">
        <v>13</v>
      </c>
      <c r="E3834" t="s">
        <v>12</v>
      </c>
      <c r="G3834" s="1">
        <v>45222</v>
      </c>
      <c r="H3834" s="1">
        <v>45196</v>
      </c>
      <c r="I3834">
        <v>37</v>
      </c>
      <c r="J3834" t="s">
        <v>25</v>
      </c>
      <c r="K3834">
        <v>17591.22</v>
      </c>
    </row>
    <row r="3835" spans="1:11">
      <c r="A3835">
        <v>3834</v>
      </c>
      <c r="B3835" t="s">
        <v>120</v>
      </c>
      <c r="C3835" s="1">
        <v>28125</v>
      </c>
      <c r="D3835">
        <v>49</v>
      </c>
      <c r="E3835" t="s">
        <v>15</v>
      </c>
      <c r="F3835" t="s">
        <v>45</v>
      </c>
      <c r="G3835" s="1">
        <v>45463</v>
      </c>
      <c r="H3835" s="1">
        <v>45610</v>
      </c>
      <c r="I3835">
        <v>25</v>
      </c>
      <c r="J3835" t="s">
        <v>25</v>
      </c>
      <c r="K3835">
        <v>17734.189999999999</v>
      </c>
    </row>
    <row r="3836" spans="1:11">
      <c r="A3836">
        <v>3835</v>
      </c>
      <c r="B3836" t="s">
        <v>150</v>
      </c>
      <c r="C3836" s="1">
        <v>36161</v>
      </c>
      <c r="D3836">
        <v>27</v>
      </c>
      <c r="E3836" t="s">
        <v>15</v>
      </c>
      <c r="F3836" t="s">
        <v>16</v>
      </c>
      <c r="G3836" s="1">
        <v>45281</v>
      </c>
      <c r="H3836" s="1">
        <v>45660</v>
      </c>
      <c r="I3836">
        <v>22</v>
      </c>
      <c r="K3836">
        <v>8104.1</v>
      </c>
    </row>
    <row r="3837" spans="1:11">
      <c r="A3837">
        <v>3836</v>
      </c>
      <c r="B3837" t="s">
        <v>36</v>
      </c>
      <c r="C3837" s="1">
        <v>27029</v>
      </c>
      <c r="D3837">
        <v>52</v>
      </c>
      <c r="E3837" t="s">
        <v>15</v>
      </c>
      <c r="F3837" t="s">
        <v>13</v>
      </c>
      <c r="G3837" s="1">
        <v>44995</v>
      </c>
      <c r="H3837" s="1">
        <v>45327</v>
      </c>
      <c r="I3837">
        <v>4</v>
      </c>
      <c r="J3837" t="s">
        <v>23</v>
      </c>
      <c r="K3837">
        <v>2662.43</v>
      </c>
    </row>
    <row r="3838" spans="1:11">
      <c r="A3838">
        <v>3837</v>
      </c>
      <c r="B3838" t="s">
        <v>141</v>
      </c>
      <c r="C3838" s="1">
        <v>37622</v>
      </c>
      <c r="D3838">
        <v>23</v>
      </c>
      <c r="E3838" t="s">
        <v>15</v>
      </c>
      <c r="F3838" t="s">
        <v>18</v>
      </c>
      <c r="G3838" s="1">
        <v>45253</v>
      </c>
      <c r="H3838" s="1">
        <v>45669</v>
      </c>
      <c r="I3838">
        <v>35</v>
      </c>
      <c r="K3838">
        <v>12568.7</v>
      </c>
    </row>
    <row r="3839" spans="1:11">
      <c r="A3839">
        <v>3838</v>
      </c>
      <c r="B3839" t="s">
        <v>160</v>
      </c>
      <c r="C3839" s="1">
        <v>17533</v>
      </c>
      <c r="D3839">
        <v>78</v>
      </c>
      <c r="E3839" t="s">
        <v>15</v>
      </c>
      <c r="F3839" t="s">
        <v>18</v>
      </c>
      <c r="G3839" s="1">
        <v>45077</v>
      </c>
      <c r="H3839" s="1">
        <v>45530</v>
      </c>
      <c r="I3839">
        <v>4</v>
      </c>
      <c r="J3839" t="s">
        <v>23</v>
      </c>
      <c r="K3839">
        <v>17462.3</v>
      </c>
    </row>
    <row r="3840" spans="1:11">
      <c r="A3840">
        <v>3839</v>
      </c>
      <c r="B3840" t="s">
        <v>111</v>
      </c>
      <c r="C3840" s="1">
        <v>38352</v>
      </c>
      <c r="D3840">
        <v>21</v>
      </c>
      <c r="E3840" t="s">
        <v>12</v>
      </c>
      <c r="F3840" t="s">
        <v>13</v>
      </c>
      <c r="G3840" s="1">
        <v>45503</v>
      </c>
      <c r="H3840" s="1">
        <v>45358</v>
      </c>
      <c r="I3840">
        <v>19</v>
      </c>
      <c r="J3840" t="s">
        <v>25</v>
      </c>
      <c r="K3840">
        <v>1406.56</v>
      </c>
    </row>
    <row r="3841" spans="1:11">
      <c r="A3841">
        <v>3840</v>
      </c>
      <c r="B3841" t="s">
        <v>57</v>
      </c>
      <c r="C3841" s="1">
        <v>35430</v>
      </c>
      <c r="D3841">
        <v>29</v>
      </c>
      <c r="E3841" t="s">
        <v>15</v>
      </c>
      <c r="G3841" s="1">
        <v>45588</v>
      </c>
      <c r="H3841" s="1">
        <v>45348</v>
      </c>
      <c r="I3841">
        <v>19</v>
      </c>
      <c r="J3841" t="s">
        <v>19</v>
      </c>
      <c r="K3841">
        <v>11114.26</v>
      </c>
    </row>
    <row r="3842" spans="1:11">
      <c r="A3842">
        <v>3841</v>
      </c>
      <c r="B3842" t="s">
        <v>130</v>
      </c>
      <c r="C3842" s="1">
        <v>23377</v>
      </c>
      <c r="D3842">
        <v>62</v>
      </c>
      <c r="E3842" t="s">
        <v>15</v>
      </c>
      <c r="F3842" t="s">
        <v>45</v>
      </c>
      <c r="G3842" s="1">
        <v>45246</v>
      </c>
      <c r="H3842" s="1">
        <v>45058</v>
      </c>
      <c r="I3842">
        <v>24</v>
      </c>
      <c r="J3842" t="s">
        <v>23</v>
      </c>
      <c r="K3842">
        <v>2211.4899999999998</v>
      </c>
    </row>
    <row r="3843" spans="1:11">
      <c r="A3843">
        <v>3842</v>
      </c>
      <c r="B3843" t="s">
        <v>171</v>
      </c>
      <c r="C3843" s="1">
        <v>44927</v>
      </c>
      <c r="D3843">
        <v>3</v>
      </c>
      <c r="E3843" t="s">
        <v>15</v>
      </c>
      <c r="F3843" t="s">
        <v>21</v>
      </c>
      <c r="G3843" s="1">
        <v>45378</v>
      </c>
      <c r="H3843" s="1">
        <v>45337</v>
      </c>
      <c r="I3843">
        <v>30</v>
      </c>
      <c r="J3843" t="s">
        <v>25</v>
      </c>
      <c r="K3843">
        <v>442.62</v>
      </c>
    </row>
    <row r="3844" spans="1:11">
      <c r="A3844">
        <v>3843</v>
      </c>
      <c r="B3844" t="s">
        <v>42</v>
      </c>
      <c r="C3844" s="1">
        <v>18263</v>
      </c>
      <c r="D3844">
        <v>76</v>
      </c>
      <c r="E3844" t="s">
        <v>12</v>
      </c>
      <c r="F3844" t="s">
        <v>21</v>
      </c>
      <c r="G3844" s="1">
        <v>45496</v>
      </c>
      <c r="H3844" s="1">
        <v>45665</v>
      </c>
      <c r="I3844">
        <v>29</v>
      </c>
      <c r="J3844" t="s">
        <v>25</v>
      </c>
      <c r="K3844">
        <v>13560.67</v>
      </c>
    </row>
    <row r="3845" spans="1:11">
      <c r="A3845">
        <v>3844</v>
      </c>
      <c r="B3845" t="s">
        <v>58</v>
      </c>
      <c r="C3845" s="1">
        <v>24838</v>
      </c>
      <c r="D3845">
        <v>58</v>
      </c>
      <c r="E3845" t="s">
        <v>12</v>
      </c>
      <c r="G3845" s="1">
        <v>45594</v>
      </c>
      <c r="H3845" s="1">
        <v>45152</v>
      </c>
      <c r="I3845">
        <v>36</v>
      </c>
      <c r="J3845" t="s">
        <v>25</v>
      </c>
      <c r="K3845">
        <v>13605.18</v>
      </c>
    </row>
    <row r="3846" spans="1:11">
      <c r="A3846">
        <v>3845</v>
      </c>
      <c r="B3846" t="s">
        <v>165</v>
      </c>
      <c r="C3846" s="1">
        <v>14611</v>
      </c>
      <c r="D3846">
        <v>86</v>
      </c>
      <c r="E3846" t="s">
        <v>15</v>
      </c>
      <c r="G3846" s="1">
        <v>45038</v>
      </c>
      <c r="H3846" s="1">
        <v>45070</v>
      </c>
      <c r="I3846">
        <v>29</v>
      </c>
      <c r="J3846" t="s">
        <v>19</v>
      </c>
      <c r="K3846">
        <v>11973.23</v>
      </c>
    </row>
    <row r="3847" spans="1:11">
      <c r="A3847">
        <v>3846</v>
      </c>
      <c r="B3847" t="s">
        <v>95</v>
      </c>
      <c r="C3847" s="1">
        <v>43466</v>
      </c>
      <c r="D3847">
        <v>7</v>
      </c>
      <c r="E3847" t="s">
        <v>12</v>
      </c>
      <c r="F3847" t="s">
        <v>16</v>
      </c>
      <c r="G3847" s="1">
        <v>45561</v>
      </c>
      <c r="H3847" s="1">
        <v>45505</v>
      </c>
      <c r="I3847">
        <v>-2</v>
      </c>
      <c r="J3847" t="s">
        <v>25</v>
      </c>
      <c r="K3847">
        <v>17170.38</v>
      </c>
    </row>
    <row r="3848" spans="1:11">
      <c r="A3848">
        <v>3847</v>
      </c>
      <c r="B3848" t="s">
        <v>50</v>
      </c>
      <c r="C3848" s="1">
        <v>16437</v>
      </c>
      <c r="D3848">
        <v>81</v>
      </c>
      <c r="E3848" t="s">
        <v>15</v>
      </c>
      <c r="F3848" t="s">
        <v>18</v>
      </c>
      <c r="G3848" s="1">
        <v>45388</v>
      </c>
      <c r="H3848" s="1">
        <v>45467</v>
      </c>
      <c r="I3848">
        <v>7</v>
      </c>
      <c r="K3848">
        <v>1525.62</v>
      </c>
    </row>
    <row r="3849" spans="1:11">
      <c r="A3849">
        <v>3848</v>
      </c>
      <c r="B3849" t="s">
        <v>143</v>
      </c>
      <c r="C3849" s="1">
        <v>42005</v>
      </c>
      <c r="D3849">
        <v>11</v>
      </c>
      <c r="F3849" t="s">
        <v>13</v>
      </c>
      <c r="G3849" s="1">
        <v>45288</v>
      </c>
      <c r="H3849" s="1">
        <v>45052</v>
      </c>
      <c r="I3849">
        <v>1</v>
      </c>
      <c r="J3849" t="s">
        <v>25</v>
      </c>
      <c r="K3849">
        <v>2015.73</v>
      </c>
    </row>
    <row r="3850" spans="1:11">
      <c r="A3850">
        <v>3849</v>
      </c>
      <c r="B3850" t="s">
        <v>161</v>
      </c>
      <c r="C3850" s="1">
        <v>35065</v>
      </c>
      <c r="D3850">
        <v>30</v>
      </c>
      <c r="E3850" t="s">
        <v>12</v>
      </c>
      <c r="G3850" s="1">
        <v>45129</v>
      </c>
      <c r="H3850" s="1">
        <v>45139</v>
      </c>
      <c r="I3850">
        <v>26</v>
      </c>
      <c r="J3850" t="s">
        <v>25</v>
      </c>
      <c r="K3850">
        <v>17277.16</v>
      </c>
    </row>
    <row r="3851" spans="1:11">
      <c r="A3851">
        <v>3850</v>
      </c>
      <c r="B3851" t="s">
        <v>122</v>
      </c>
      <c r="C3851" s="1">
        <v>17898</v>
      </c>
      <c r="D3851">
        <v>77</v>
      </c>
      <c r="E3851" t="s">
        <v>15</v>
      </c>
      <c r="G3851" s="1">
        <v>45413</v>
      </c>
      <c r="H3851" s="1">
        <v>45355</v>
      </c>
      <c r="I3851">
        <v>4</v>
      </c>
      <c r="J3851" t="s">
        <v>23</v>
      </c>
      <c r="K3851">
        <v>10015.86</v>
      </c>
    </row>
    <row r="3852" spans="1:11">
      <c r="A3852">
        <v>3851</v>
      </c>
      <c r="B3852" t="s">
        <v>38</v>
      </c>
      <c r="C3852" s="1">
        <v>33969</v>
      </c>
      <c r="D3852">
        <v>33</v>
      </c>
      <c r="E3852" t="s">
        <v>12</v>
      </c>
      <c r="F3852" t="s">
        <v>32</v>
      </c>
      <c r="G3852" s="1">
        <v>45406</v>
      </c>
      <c r="H3852" s="1">
        <v>45364</v>
      </c>
      <c r="I3852">
        <v>35</v>
      </c>
      <c r="J3852" t="s">
        <v>23</v>
      </c>
      <c r="K3852">
        <v>5388.36</v>
      </c>
    </row>
    <row r="3853" spans="1:11">
      <c r="A3853">
        <v>3852</v>
      </c>
      <c r="B3853" t="s">
        <v>50</v>
      </c>
      <c r="C3853" s="1">
        <v>16437</v>
      </c>
      <c r="D3853">
        <v>81</v>
      </c>
      <c r="E3853" t="s">
        <v>12</v>
      </c>
      <c r="F3853" t="s">
        <v>45</v>
      </c>
      <c r="G3853" s="1">
        <v>44930</v>
      </c>
      <c r="H3853" s="1">
        <v>45519</v>
      </c>
      <c r="I3853">
        <v>3</v>
      </c>
      <c r="J3853" t="s">
        <v>23</v>
      </c>
      <c r="K3853">
        <v>14736.96</v>
      </c>
    </row>
    <row r="3854" spans="1:11">
      <c r="A3854">
        <v>3853</v>
      </c>
      <c r="B3854" t="s">
        <v>122</v>
      </c>
      <c r="C3854" s="1">
        <v>18994</v>
      </c>
      <c r="D3854">
        <v>74</v>
      </c>
      <c r="E3854" t="s">
        <v>15</v>
      </c>
      <c r="F3854" t="s">
        <v>21</v>
      </c>
      <c r="G3854" s="1">
        <v>45055</v>
      </c>
      <c r="H3854" s="1">
        <v>45165</v>
      </c>
      <c r="I3854">
        <v>8</v>
      </c>
      <c r="J3854" t="s">
        <v>25</v>
      </c>
      <c r="K3854">
        <v>17877.509999999998</v>
      </c>
    </row>
    <row r="3855" spans="1:11">
      <c r="A3855">
        <v>3854</v>
      </c>
      <c r="B3855" t="s">
        <v>57</v>
      </c>
      <c r="C3855" s="1">
        <v>18629</v>
      </c>
      <c r="D3855">
        <v>75</v>
      </c>
      <c r="E3855" t="s">
        <v>12</v>
      </c>
      <c r="F3855" t="s">
        <v>45</v>
      </c>
      <c r="G3855" s="1">
        <v>44952</v>
      </c>
      <c r="H3855" s="1">
        <v>45571</v>
      </c>
      <c r="I3855">
        <v>6</v>
      </c>
      <c r="J3855" t="s">
        <v>25</v>
      </c>
      <c r="K3855">
        <v>13761.03</v>
      </c>
    </row>
    <row r="3856" spans="1:11">
      <c r="A3856">
        <v>3855</v>
      </c>
      <c r="B3856" t="s">
        <v>70</v>
      </c>
      <c r="C3856" s="1">
        <v>28490</v>
      </c>
      <c r="D3856">
        <v>48</v>
      </c>
      <c r="E3856" t="s">
        <v>15</v>
      </c>
      <c r="F3856" t="s">
        <v>45</v>
      </c>
      <c r="G3856" s="1">
        <v>44953</v>
      </c>
      <c r="H3856" s="1">
        <v>45255</v>
      </c>
      <c r="I3856">
        <v>27</v>
      </c>
      <c r="K3856">
        <v>15817.85</v>
      </c>
    </row>
    <row r="3857" spans="1:11">
      <c r="A3857">
        <v>3856</v>
      </c>
      <c r="B3857" t="s">
        <v>67</v>
      </c>
      <c r="C3857" s="1">
        <v>17533</v>
      </c>
      <c r="D3857">
        <v>78</v>
      </c>
      <c r="E3857" t="s">
        <v>15</v>
      </c>
      <c r="F3857" t="s">
        <v>16</v>
      </c>
      <c r="G3857" s="1">
        <v>44968</v>
      </c>
      <c r="H3857" s="1">
        <v>45739</v>
      </c>
      <c r="I3857">
        <v>19</v>
      </c>
      <c r="J3857" t="s">
        <v>19</v>
      </c>
      <c r="K3857">
        <v>5578.19</v>
      </c>
    </row>
    <row r="3858" spans="1:11">
      <c r="A3858">
        <v>3857</v>
      </c>
      <c r="B3858" t="s">
        <v>103</v>
      </c>
      <c r="C3858" s="1">
        <v>25568</v>
      </c>
      <c r="D3858">
        <v>56</v>
      </c>
      <c r="E3858" t="s">
        <v>15</v>
      </c>
      <c r="F3858" t="s">
        <v>45</v>
      </c>
      <c r="G3858" s="1">
        <v>45509</v>
      </c>
      <c r="H3858" s="1">
        <v>45046</v>
      </c>
      <c r="I3858">
        <v>36</v>
      </c>
      <c r="J3858" t="s">
        <v>25</v>
      </c>
      <c r="K3858">
        <v>5704.38</v>
      </c>
    </row>
    <row r="3859" spans="1:11">
      <c r="A3859">
        <v>3858</v>
      </c>
      <c r="B3859" t="s">
        <v>129</v>
      </c>
      <c r="C3859" s="1">
        <v>11689</v>
      </c>
      <c r="D3859">
        <v>94</v>
      </c>
      <c r="E3859" t="s">
        <v>15</v>
      </c>
      <c r="F3859" t="s">
        <v>13</v>
      </c>
      <c r="G3859" s="1">
        <v>44990</v>
      </c>
      <c r="H3859" s="1">
        <v>44973</v>
      </c>
      <c r="I3859">
        <v>6</v>
      </c>
      <c r="J3859" t="s">
        <v>19</v>
      </c>
      <c r="K3859">
        <v>17268.89</v>
      </c>
    </row>
    <row r="3860" spans="1:11">
      <c r="A3860">
        <v>3859</v>
      </c>
      <c r="B3860" t="s">
        <v>167</v>
      </c>
      <c r="C3860" s="1">
        <v>12419</v>
      </c>
      <c r="D3860">
        <v>92</v>
      </c>
      <c r="E3860" t="s">
        <v>15</v>
      </c>
      <c r="F3860" t="s">
        <v>16</v>
      </c>
      <c r="G3860" s="1">
        <v>44951</v>
      </c>
      <c r="H3860" s="1">
        <v>45011</v>
      </c>
      <c r="I3860">
        <v>35</v>
      </c>
      <c r="J3860" t="s">
        <v>25</v>
      </c>
      <c r="K3860">
        <v>12258.74</v>
      </c>
    </row>
    <row r="3861" spans="1:11">
      <c r="A3861">
        <v>3860</v>
      </c>
      <c r="B3861" t="s">
        <v>47</v>
      </c>
      <c r="C3861" s="1">
        <v>36891</v>
      </c>
      <c r="D3861">
        <v>25</v>
      </c>
      <c r="E3861" t="s">
        <v>12</v>
      </c>
      <c r="G3861" s="1">
        <v>44998</v>
      </c>
      <c r="H3861" s="1">
        <v>45721</v>
      </c>
      <c r="I3861">
        <v>30</v>
      </c>
      <c r="J3861" t="s">
        <v>19</v>
      </c>
      <c r="K3861">
        <v>4606.67</v>
      </c>
    </row>
    <row r="3862" spans="1:11">
      <c r="A3862">
        <v>3861</v>
      </c>
      <c r="B3862" t="s">
        <v>14</v>
      </c>
      <c r="C3862" s="1">
        <v>39813</v>
      </c>
      <c r="D3862">
        <v>17</v>
      </c>
      <c r="E3862" t="s">
        <v>15</v>
      </c>
      <c r="F3862" t="s">
        <v>13</v>
      </c>
      <c r="G3862" s="1">
        <v>45408</v>
      </c>
      <c r="H3862" s="1">
        <v>45279</v>
      </c>
      <c r="I3862">
        <v>23</v>
      </c>
      <c r="J3862" t="s">
        <v>23</v>
      </c>
      <c r="K3862">
        <v>10435.65</v>
      </c>
    </row>
    <row r="3863" spans="1:11">
      <c r="A3863">
        <v>3862</v>
      </c>
      <c r="B3863" t="s">
        <v>150</v>
      </c>
      <c r="C3863" s="1">
        <v>14976</v>
      </c>
      <c r="D3863">
        <v>85</v>
      </c>
      <c r="E3863" t="s">
        <v>15</v>
      </c>
      <c r="F3863" t="s">
        <v>16</v>
      </c>
      <c r="G3863" s="1">
        <v>45194</v>
      </c>
      <c r="H3863" s="1">
        <v>44940</v>
      </c>
      <c r="I3863">
        <v>13</v>
      </c>
      <c r="J3863" t="s">
        <v>25</v>
      </c>
      <c r="K3863">
        <v>13685.8</v>
      </c>
    </row>
    <row r="3864" spans="1:11">
      <c r="A3864">
        <v>3863</v>
      </c>
      <c r="B3864" t="s">
        <v>119</v>
      </c>
      <c r="C3864" s="1">
        <v>32508</v>
      </c>
      <c r="D3864">
        <v>37</v>
      </c>
      <c r="E3864" t="s">
        <v>12</v>
      </c>
      <c r="F3864" t="s">
        <v>13</v>
      </c>
      <c r="G3864" s="1">
        <v>45021</v>
      </c>
      <c r="H3864" s="1">
        <v>45564</v>
      </c>
      <c r="I3864">
        <v>6</v>
      </c>
      <c r="K3864">
        <v>4292.84</v>
      </c>
    </row>
    <row r="3865" spans="1:11">
      <c r="A3865">
        <v>3864</v>
      </c>
      <c r="B3865" t="s">
        <v>77</v>
      </c>
      <c r="C3865" s="1">
        <v>16802</v>
      </c>
      <c r="D3865">
        <v>80</v>
      </c>
      <c r="E3865" t="s">
        <v>12</v>
      </c>
      <c r="F3865" t="s">
        <v>16</v>
      </c>
      <c r="G3865" s="1">
        <v>45321</v>
      </c>
      <c r="H3865" s="1">
        <v>45764</v>
      </c>
      <c r="I3865">
        <v>20</v>
      </c>
      <c r="J3865" t="s">
        <v>19</v>
      </c>
      <c r="K3865">
        <v>13063.62</v>
      </c>
    </row>
    <row r="3866" spans="1:11">
      <c r="A3866">
        <v>3865</v>
      </c>
      <c r="B3866" t="s">
        <v>71</v>
      </c>
      <c r="C3866" s="1">
        <v>14611</v>
      </c>
      <c r="D3866">
        <v>86</v>
      </c>
      <c r="F3866" t="s">
        <v>16</v>
      </c>
      <c r="G3866" s="1">
        <v>45290</v>
      </c>
      <c r="H3866" s="1">
        <v>45099</v>
      </c>
      <c r="I3866">
        <v>12</v>
      </c>
      <c r="J3866" t="s">
        <v>23</v>
      </c>
      <c r="K3866">
        <v>747.11</v>
      </c>
    </row>
    <row r="3867" spans="1:11">
      <c r="A3867">
        <v>3866</v>
      </c>
      <c r="B3867" t="s">
        <v>78</v>
      </c>
      <c r="C3867" s="1">
        <v>14246</v>
      </c>
      <c r="D3867">
        <v>87</v>
      </c>
      <c r="E3867" t="s">
        <v>12</v>
      </c>
      <c r="F3867" t="s">
        <v>18</v>
      </c>
      <c r="G3867" s="1">
        <v>45241</v>
      </c>
      <c r="H3867" s="1">
        <v>45161</v>
      </c>
      <c r="I3867">
        <v>16</v>
      </c>
      <c r="K3867">
        <v>6004.2</v>
      </c>
    </row>
    <row r="3868" spans="1:11">
      <c r="A3868">
        <v>3867</v>
      </c>
      <c r="B3868" t="s">
        <v>92</v>
      </c>
      <c r="C3868" s="1">
        <v>28125</v>
      </c>
      <c r="D3868">
        <v>49</v>
      </c>
      <c r="F3868" t="s">
        <v>13</v>
      </c>
      <c r="G3868" s="1">
        <v>45043</v>
      </c>
      <c r="H3868" s="1">
        <v>45108</v>
      </c>
      <c r="I3868">
        <v>39</v>
      </c>
      <c r="J3868" t="s">
        <v>23</v>
      </c>
      <c r="K3868">
        <v>13446.83</v>
      </c>
    </row>
    <row r="3869" spans="1:11">
      <c r="A3869">
        <v>3868</v>
      </c>
      <c r="B3869" t="s">
        <v>97</v>
      </c>
      <c r="C3869" s="1">
        <v>43466</v>
      </c>
      <c r="D3869">
        <v>7</v>
      </c>
      <c r="E3869" t="s">
        <v>12</v>
      </c>
      <c r="F3869" t="s">
        <v>18</v>
      </c>
      <c r="G3869" s="1">
        <v>45090</v>
      </c>
      <c r="H3869" s="1">
        <v>44978</v>
      </c>
      <c r="I3869">
        <v>13</v>
      </c>
      <c r="J3869" t="s">
        <v>25</v>
      </c>
      <c r="K3869">
        <v>2901.92</v>
      </c>
    </row>
    <row r="3870" spans="1:11">
      <c r="A3870">
        <v>3869</v>
      </c>
      <c r="B3870" t="s">
        <v>105</v>
      </c>
      <c r="C3870" s="1">
        <v>31412</v>
      </c>
      <c r="D3870">
        <v>40</v>
      </c>
      <c r="G3870" s="1">
        <v>45503</v>
      </c>
      <c r="H3870" s="1">
        <v>45708</v>
      </c>
      <c r="I3870">
        <v>22</v>
      </c>
      <c r="K3870">
        <v>4366.2</v>
      </c>
    </row>
    <row r="3871" spans="1:11">
      <c r="A3871">
        <v>3870</v>
      </c>
      <c r="B3871" t="s">
        <v>39</v>
      </c>
      <c r="C3871" s="1">
        <v>44196</v>
      </c>
      <c r="D3871">
        <v>5</v>
      </c>
      <c r="E3871" t="s">
        <v>12</v>
      </c>
      <c r="F3871" t="s">
        <v>16</v>
      </c>
      <c r="G3871" s="1">
        <v>45232</v>
      </c>
      <c r="H3871" s="1">
        <v>45608</v>
      </c>
      <c r="I3871">
        <v>32</v>
      </c>
      <c r="J3871" t="s">
        <v>19</v>
      </c>
      <c r="K3871">
        <v>17569.78</v>
      </c>
    </row>
    <row r="3872" spans="1:11">
      <c r="A3872">
        <v>3871</v>
      </c>
      <c r="B3872" t="s">
        <v>157</v>
      </c>
      <c r="D3872">
        <v>68</v>
      </c>
      <c r="E3872" t="s">
        <v>15</v>
      </c>
      <c r="F3872" t="s">
        <v>21</v>
      </c>
      <c r="G3872" s="1">
        <v>45126</v>
      </c>
      <c r="H3872" s="1">
        <v>45322</v>
      </c>
      <c r="I3872">
        <v>10</v>
      </c>
      <c r="J3872" t="s">
        <v>19</v>
      </c>
      <c r="K3872">
        <v>13453.85</v>
      </c>
    </row>
    <row r="3873" spans="1:11">
      <c r="A3873">
        <v>3872</v>
      </c>
      <c r="B3873" t="s">
        <v>63</v>
      </c>
      <c r="C3873" s="1">
        <v>30317</v>
      </c>
      <c r="D3873">
        <v>43</v>
      </c>
      <c r="E3873" t="s">
        <v>15</v>
      </c>
      <c r="F3873" t="s">
        <v>16</v>
      </c>
      <c r="G3873" s="1">
        <v>45106</v>
      </c>
      <c r="H3873" s="1">
        <v>45755</v>
      </c>
      <c r="I3873">
        <v>4</v>
      </c>
      <c r="K3873">
        <v>9928.27</v>
      </c>
    </row>
    <row r="3874" spans="1:11">
      <c r="A3874">
        <v>3873</v>
      </c>
      <c r="B3874" t="s">
        <v>114</v>
      </c>
      <c r="C3874" s="1">
        <v>23012</v>
      </c>
      <c r="D3874">
        <v>63</v>
      </c>
      <c r="E3874" t="s">
        <v>12</v>
      </c>
      <c r="F3874" t="s">
        <v>21</v>
      </c>
      <c r="G3874" s="1">
        <v>45284</v>
      </c>
      <c r="H3874" s="1">
        <v>45727</v>
      </c>
      <c r="I3874">
        <v>31</v>
      </c>
      <c r="J3874" t="s">
        <v>19</v>
      </c>
      <c r="K3874">
        <v>4138.96</v>
      </c>
    </row>
    <row r="3875" spans="1:11">
      <c r="A3875">
        <v>3874</v>
      </c>
      <c r="B3875" t="s">
        <v>167</v>
      </c>
      <c r="C3875" s="1">
        <v>35795</v>
      </c>
      <c r="D3875">
        <v>28</v>
      </c>
      <c r="E3875" t="s">
        <v>15</v>
      </c>
      <c r="F3875" t="s">
        <v>21</v>
      </c>
      <c r="G3875" s="1">
        <v>45178</v>
      </c>
      <c r="H3875" s="1">
        <v>45356</v>
      </c>
      <c r="I3875">
        <v>11</v>
      </c>
      <c r="J3875" t="s">
        <v>23</v>
      </c>
      <c r="K3875">
        <v>6762.33</v>
      </c>
    </row>
    <row r="3876" spans="1:11">
      <c r="A3876">
        <v>3875</v>
      </c>
      <c r="B3876" t="s">
        <v>90</v>
      </c>
      <c r="C3876" s="1">
        <v>36161</v>
      </c>
      <c r="D3876">
        <v>27</v>
      </c>
      <c r="E3876" t="s">
        <v>15</v>
      </c>
      <c r="F3876" t="s">
        <v>21</v>
      </c>
      <c r="G3876" s="1">
        <v>45225</v>
      </c>
      <c r="H3876" s="1">
        <v>45201</v>
      </c>
      <c r="I3876">
        <v>20</v>
      </c>
      <c r="K3876">
        <v>11444.04</v>
      </c>
    </row>
    <row r="3877" spans="1:11">
      <c r="A3877">
        <v>3876</v>
      </c>
      <c r="B3877" t="s">
        <v>103</v>
      </c>
      <c r="C3877" s="1">
        <v>42370</v>
      </c>
      <c r="D3877">
        <v>10</v>
      </c>
      <c r="E3877" t="s">
        <v>12</v>
      </c>
      <c r="F3877" t="s">
        <v>21</v>
      </c>
      <c r="G3877" s="1">
        <v>45356</v>
      </c>
      <c r="H3877" s="1">
        <v>45788</v>
      </c>
      <c r="I3877">
        <v>20</v>
      </c>
      <c r="J3877" t="s">
        <v>19</v>
      </c>
      <c r="K3877">
        <v>3021.78</v>
      </c>
    </row>
    <row r="3878" spans="1:11">
      <c r="A3878">
        <v>3877</v>
      </c>
      <c r="B3878" t="s">
        <v>14</v>
      </c>
      <c r="C3878" s="1">
        <v>22646</v>
      </c>
      <c r="D3878">
        <v>64</v>
      </c>
      <c r="E3878" t="s">
        <v>12</v>
      </c>
      <c r="F3878" t="s">
        <v>13</v>
      </c>
      <c r="G3878" s="1">
        <v>44930</v>
      </c>
      <c r="H3878" s="1">
        <v>45134</v>
      </c>
      <c r="I3878">
        <v>14</v>
      </c>
      <c r="J3878" t="s">
        <v>23</v>
      </c>
      <c r="K3878">
        <v>9583.06</v>
      </c>
    </row>
    <row r="3879" spans="1:11">
      <c r="A3879">
        <v>3878</v>
      </c>
      <c r="B3879" t="s">
        <v>63</v>
      </c>
      <c r="C3879" s="1">
        <v>39448</v>
      </c>
      <c r="D3879">
        <v>18</v>
      </c>
      <c r="E3879" t="s">
        <v>15</v>
      </c>
      <c r="F3879" t="s">
        <v>32</v>
      </c>
      <c r="G3879" s="1">
        <v>45579</v>
      </c>
      <c r="H3879" s="1">
        <v>45075</v>
      </c>
      <c r="I3879">
        <v>10</v>
      </c>
      <c r="J3879" t="s">
        <v>19</v>
      </c>
      <c r="K3879">
        <v>8120.39</v>
      </c>
    </row>
    <row r="3880" spans="1:11">
      <c r="A3880">
        <v>3879</v>
      </c>
      <c r="B3880" t="s">
        <v>105</v>
      </c>
      <c r="C3880" s="1">
        <v>43100</v>
      </c>
      <c r="D3880">
        <v>8</v>
      </c>
      <c r="E3880" t="s">
        <v>12</v>
      </c>
      <c r="F3880" t="s">
        <v>13</v>
      </c>
      <c r="G3880" s="1">
        <v>45604</v>
      </c>
      <c r="H3880" s="1">
        <v>45227</v>
      </c>
      <c r="I3880">
        <v>24</v>
      </c>
      <c r="J3880" t="s">
        <v>23</v>
      </c>
      <c r="K3880">
        <v>9481.42</v>
      </c>
    </row>
    <row r="3881" spans="1:11">
      <c r="A3881">
        <v>3880</v>
      </c>
      <c r="B3881" t="s">
        <v>91</v>
      </c>
      <c r="C3881" s="1">
        <v>36526</v>
      </c>
      <c r="D3881">
        <v>26</v>
      </c>
      <c r="E3881" t="s">
        <v>12</v>
      </c>
      <c r="G3881" s="1">
        <v>45180</v>
      </c>
      <c r="H3881" s="1">
        <v>45380</v>
      </c>
      <c r="I3881">
        <v>-1</v>
      </c>
      <c r="J3881" t="s">
        <v>25</v>
      </c>
      <c r="K3881">
        <v>2021.77</v>
      </c>
    </row>
    <row r="3882" spans="1:11">
      <c r="A3882">
        <v>3881</v>
      </c>
      <c r="B3882" t="s">
        <v>103</v>
      </c>
      <c r="C3882" s="1">
        <v>33969</v>
      </c>
      <c r="D3882">
        <v>33</v>
      </c>
      <c r="F3882" t="s">
        <v>32</v>
      </c>
      <c r="G3882" s="1">
        <v>45591</v>
      </c>
      <c r="H3882" s="1">
        <v>45476</v>
      </c>
      <c r="I3882">
        <v>34</v>
      </c>
      <c r="J3882" t="s">
        <v>23</v>
      </c>
      <c r="K3882">
        <v>2040.59</v>
      </c>
    </row>
    <row r="3883" spans="1:11">
      <c r="A3883">
        <v>3882</v>
      </c>
      <c r="B3883" t="s">
        <v>130</v>
      </c>
      <c r="C3883" s="1">
        <v>30317</v>
      </c>
      <c r="D3883">
        <v>43</v>
      </c>
      <c r="E3883" t="s">
        <v>12</v>
      </c>
      <c r="F3883" t="s">
        <v>13</v>
      </c>
      <c r="G3883" s="1">
        <v>45505</v>
      </c>
      <c r="H3883" s="1">
        <v>45600</v>
      </c>
      <c r="I3883">
        <v>27</v>
      </c>
      <c r="J3883" t="s">
        <v>19</v>
      </c>
      <c r="K3883">
        <v>19278.63</v>
      </c>
    </row>
    <row r="3884" spans="1:11">
      <c r="A3884">
        <v>3883</v>
      </c>
      <c r="B3884" t="s">
        <v>78</v>
      </c>
      <c r="C3884" s="1">
        <v>21551</v>
      </c>
      <c r="D3884">
        <v>67</v>
      </c>
      <c r="E3884" t="s">
        <v>12</v>
      </c>
      <c r="G3884" s="1">
        <v>45493</v>
      </c>
      <c r="H3884" s="1">
        <v>45310</v>
      </c>
      <c r="I3884">
        <v>1</v>
      </c>
      <c r="J3884" t="s">
        <v>23</v>
      </c>
      <c r="K3884">
        <v>19585.29</v>
      </c>
    </row>
    <row r="3885" spans="1:11">
      <c r="A3885">
        <v>3884</v>
      </c>
      <c r="B3885" t="s">
        <v>106</v>
      </c>
      <c r="C3885" s="1">
        <v>16437</v>
      </c>
      <c r="D3885">
        <v>81</v>
      </c>
      <c r="E3885" t="s">
        <v>12</v>
      </c>
      <c r="F3885" t="s">
        <v>21</v>
      </c>
      <c r="G3885" s="1">
        <v>45022</v>
      </c>
      <c r="H3885" s="1">
        <v>45714</v>
      </c>
      <c r="I3885">
        <v>27</v>
      </c>
      <c r="J3885" t="s">
        <v>19</v>
      </c>
      <c r="K3885">
        <v>8465.91</v>
      </c>
    </row>
    <row r="3886" spans="1:11">
      <c r="A3886">
        <v>3885</v>
      </c>
      <c r="B3886" t="s">
        <v>98</v>
      </c>
      <c r="C3886" s="1">
        <v>40909</v>
      </c>
      <c r="D3886">
        <v>14</v>
      </c>
      <c r="E3886" t="s">
        <v>15</v>
      </c>
      <c r="F3886" t="s">
        <v>45</v>
      </c>
      <c r="G3886" s="1">
        <v>45093</v>
      </c>
      <c r="H3886" s="1">
        <v>45727</v>
      </c>
      <c r="I3886">
        <v>0</v>
      </c>
      <c r="K3886">
        <v>15758.81</v>
      </c>
    </row>
    <row r="3887" spans="1:11">
      <c r="A3887">
        <v>3886</v>
      </c>
      <c r="B3887" t="s">
        <v>158</v>
      </c>
      <c r="C3887" s="1">
        <v>27760</v>
      </c>
      <c r="D3887">
        <v>50</v>
      </c>
      <c r="E3887" t="s">
        <v>12</v>
      </c>
      <c r="F3887" t="s">
        <v>16</v>
      </c>
      <c r="G3887" s="1">
        <v>45257</v>
      </c>
      <c r="H3887" s="1">
        <v>45545</v>
      </c>
      <c r="I3887">
        <v>11</v>
      </c>
      <c r="K3887">
        <v>13081.41</v>
      </c>
    </row>
    <row r="3888" spans="1:11">
      <c r="A3888">
        <v>3887</v>
      </c>
      <c r="B3888" t="s">
        <v>27</v>
      </c>
      <c r="C3888" s="1">
        <v>41639</v>
      </c>
      <c r="D3888">
        <v>12</v>
      </c>
      <c r="E3888" t="s">
        <v>12</v>
      </c>
      <c r="F3888" t="s">
        <v>32</v>
      </c>
      <c r="G3888" s="1">
        <v>44988</v>
      </c>
      <c r="H3888" s="1">
        <v>45461</v>
      </c>
      <c r="I3888">
        <v>8</v>
      </c>
      <c r="J3888" t="s">
        <v>25</v>
      </c>
      <c r="K3888">
        <v>2250.0300000000002</v>
      </c>
    </row>
    <row r="3889" spans="1:11">
      <c r="A3889">
        <v>3888</v>
      </c>
      <c r="B3889" t="s">
        <v>158</v>
      </c>
      <c r="C3889" s="1">
        <v>16072</v>
      </c>
      <c r="D3889">
        <v>82</v>
      </c>
      <c r="E3889" t="s">
        <v>12</v>
      </c>
      <c r="F3889" t="s">
        <v>45</v>
      </c>
      <c r="G3889" s="1">
        <v>45100</v>
      </c>
      <c r="H3889" s="1">
        <v>45160</v>
      </c>
      <c r="I3889">
        <v>37</v>
      </c>
      <c r="J3889" t="s">
        <v>23</v>
      </c>
      <c r="K3889">
        <v>5863.24</v>
      </c>
    </row>
    <row r="3890" spans="1:11">
      <c r="A3890">
        <v>3889</v>
      </c>
      <c r="B3890" t="s">
        <v>138</v>
      </c>
      <c r="C3890" s="1">
        <v>28490</v>
      </c>
      <c r="D3890">
        <v>48</v>
      </c>
      <c r="E3890" t="s">
        <v>12</v>
      </c>
      <c r="F3890" t="s">
        <v>21</v>
      </c>
      <c r="G3890" s="1">
        <v>45179</v>
      </c>
      <c r="H3890" s="1">
        <v>45561</v>
      </c>
      <c r="I3890">
        <v>20</v>
      </c>
      <c r="J3890" t="s">
        <v>25</v>
      </c>
      <c r="K3890">
        <v>6204.39</v>
      </c>
    </row>
    <row r="3891" spans="1:11">
      <c r="A3891">
        <v>3890</v>
      </c>
      <c r="B3891" t="s">
        <v>39</v>
      </c>
      <c r="C3891" s="1">
        <v>20820</v>
      </c>
      <c r="D3891">
        <v>69</v>
      </c>
      <c r="E3891" t="s">
        <v>15</v>
      </c>
      <c r="F3891" t="s">
        <v>32</v>
      </c>
      <c r="G3891" s="1">
        <v>45387</v>
      </c>
      <c r="H3891" s="1">
        <v>45056</v>
      </c>
      <c r="I3891">
        <v>38</v>
      </c>
      <c r="K3891">
        <v>11875.07</v>
      </c>
    </row>
    <row r="3892" spans="1:11">
      <c r="A3892">
        <v>3891</v>
      </c>
      <c r="B3892" t="s">
        <v>115</v>
      </c>
      <c r="C3892" s="1">
        <v>25934</v>
      </c>
      <c r="D3892">
        <v>55</v>
      </c>
      <c r="E3892" t="s">
        <v>12</v>
      </c>
      <c r="F3892" t="s">
        <v>45</v>
      </c>
      <c r="G3892" s="1">
        <v>45550</v>
      </c>
      <c r="H3892" s="1">
        <v>45749</v>
      </c>
      <c r="I3892">
        <v>29</v>
      </c>
      <c r="J3892" t="s">
        <v>23</v>
      </c>
      <c r="K3892">
        <v>11557.53</v>
      </c>
    </row>
    <row r="3893" spans="1:11">
      <c r="A3893">
        <v>3892</v>
      </c>
      <c r="B3893" t="s">
        <v>52</v>
      </c>
      <c r="C3893" s="1">
        <v>18629</v>
      </c>
      <c r="D3893">
        <v>75</v>
      </c>
      <c r="E3893" t="s">
        <v>15</v>
      </c>
      <c r="F3893" t="s">
        <v>13</v>
      </c>
      <c r="G3893" s="1">
        <v>45141</v>
      </c>
      <c r="H3893" s="1">
        <v>45656</v>
      </c>
      <c r="I3893">
        <v>0</v>
      </c>
      <c r="J3893" t="s">
        <v>23</v>
      </c>
      <c r="K3893">
        <v>18462.52</v>
      </c>
    </row>
    <row r="3894" spans="1:11">
      <c r="A3894">
        <v>3893</v>
      </c>
      <c r="B3894" t="s">
        <v>20</v>
      </c>
      <c r="C3894" s="1">
        <v>27760</v>
      </c>
      <c r="D3894">
        <v>50</v>
      </c>
      <c r="E3894" t="s">
        <v>15</v>
      </c>
      <c r="G3894" s="1">
        <v>45165</v>
      </c>
      <c r="H3894" s="1">
        <v>45587</v>
      </c>
      <c r="I3894">
        <v>39</v>
      </c>
      <c r="J3894" t="s">
        <v>25</v>
      </c>
      <c r="K3894">
        <v>15779.73</v>
      </c>
    </row>
    <row r="3895" spans="1:11">
      <c r="A3895">
        <v>3894</v>
      </c>
      <c r="B3895" t="s">
        <v>76</v>
      </c>
      <c r="C3895" s="1">
        <v>32873</v>
      </c>
      <c r="D3895">
        <v>36</v>
      </c>
      <c r="E3895" t="s">
        <v>15</v>
      </c>
      <c r="F3895" t="s">
        <v>21</v>
      </c>
      <c r="G3895" s="1">
        <v>45341</v>
      </c>
      <c r="H3895" s="1">
        <v>45497</v>
      </c>
      <c r="I3895">
        <v>-2</v>
      </c>
      <c r="J3895" t="s">
        <v>25</v>
      </c>
      <c r="K3895">
        <v>17122.64</v>
      </c>
    </row>
    <row r="3896" spans="1:11">
      <c r="A3896">
        <v>3895</v>
      </c>
      <c r="B3896" t="s">
        <v>148</v>
      </c>
      <c r="C3896" s="1">
        <v>40178</v>
      </c>
      <c r="D3896">
        <v>16</v>
      </c>
      <c r="E3896" t="s">
        <v>15</v>
      </c>
      <c r="F3896" t="s">
        <v>13</v>
      </c>
      <c r="G3896" s="1">
        <v>45601</v>
      </c>
      <c r="H3896" s="1">
        <v>45164</v>
      </c>
      <c r="I3896">
        <v>6</v>
      </c>
      <c r="J3896" t="s">
        <v>23</v>
      </c>
      <c r="K3896">
        <v>17813.7</v>
      </c>
    </row>
    <row r="3897" spans="1:11">
      <c r="A3897">
        <v>3896</v>
      </c>
      <c r="B3897" t="s">
        <v>128</v>
      </c>
      <c r="C3897" s="1">
        <v>25203</v>
      </c>
      <c r="D3897">
        <v>57</v>
      </c>
      <c r="E3897" t="s">
        <v>12</v>
      </c>
      <c r="F3897" t="s">
        <v>13</v>
      </c>
      <c r="G3897" s="1">
        <v>45052</v>
      </c>
      <c r="H3897" s="1">
        <v>45509</v>
      </c>
      <c r="I3897">
        <v>6</v>
      </c>
      <c r="J3897" t="s">
        <v>23</v>
      </c>
      <c r="K3897">
        <v>16005.66</v>
      </c>
    </row>
    <row r="3898" spans="1:11">
      <c r="A3898">
        <v>3897</v>
      </c>
      <c r="B3898" t="s">
        <v>141</v>
      </c>
      <c r="C3898" s="1">
        <v>14611</v>
      </c>
      <c r="D3898">
        <v>86</v>
      </c>
      <c r="E3898" t="s">
        <v>15</v>
      </c>
      <c r="F3898" t="s">
        <v>21</v>
      </c>
      <c r="G3898" s="1">
        <v>45179</v>
      </c>
      <c r="H3898" s="1">
        <v>45628</v>
      </c>
      <c r="I3898">
        <v>9</v>
      </c>
      <c r="J3898" t="s">
        <v>23</v>
      </c>
      <c r="K3898">
        <v>6590.91</v>
      </c>
    </row>
    <row r="3899" spans="1:11">
      <c r="A3899">
        <v>3898</v>
      </c>
      <c r="B3899" t="s">
        <v>40</v>
      </c>
      <c r="C3899" s="1">
        <v>13515</v>
      </c>
      <c r="D3899">
        <v>89</v>
      </c>
      <c r="E3899" t="s">
        <v>15</v>
      </c>
      <c r="F3899" t="s">
        <v>32</v>
      </c>
      <c r="G3899" s="1">
        <v>45637</v>
      </c>
      <c r="H3899" s="1">
        <v>45681</v>
      </c>
      <c r="I3899">
        <v>-2</v>
      </c>
      <c r="J3899" t="s">
        <v>25</v>
      </c>
      <c r="K3899">
        <v>4221.76</v>
      </c>
    </row>
    <row r="3900" spans="1:11">
      <c r="A3900">
        <v>3899</v>
      </c>
      <c r="B3900" t="s">
        <v>78</v>
      </c>
      <c r="C3900" s="1">
        <v>35795</v>
      </c>
      <c r="D3900">
        <v>28</v>
      </c>
      <c r="E3900" t="s">
        <v>12</v>
      </c>
      <c r="F3900" t="s">
        <v>16</v>
      </c>
      <c r="G3900" s="1">
        <v>45123</v>
      </c>
      <c r="H3900" s="1">
        <v>45502</v>
      </c>
      <c r="I3900">
        <v>13</v>
      </c>
      <c r="J3900" t="s">
        <v>19</v>
      </c>
      <c r="K3900">
        <v>11392.52</v>
      </c>
    </row>
    <row r="3901" spans="1:11">
      <c r="A3901">
        <v>3900</v>
      </c>
      <c r="B3901" t="s">
        <v>124</v>
      </c>
      <c r="C3901" s="1">
        <v>34334</v>
      </c>
      <c r="D3901">
        <v>32</v>
      </c>
      <c r="E3901" t="s">
        <v>15</v>
      </c>
      <c r="F3901" t="s">
        <v>18</v>
      </c>
      <c r="G3901" s="1">
        <v>45560</v>
      </c>
      <c r="H3901" s="1">
        <v>45412</v>
      </c>
      <c r="I3901">
        <v>27</v>
      </c>
      <c r="K3901">
        <v>13760.32</v>
      </c>
    </row>
    <row r="3902" spans="1:11">
      <c r="A3902">
        <v>3901</v>
      </c>
      <c r="B3902" t="s">
        <v>152</v>
      </c>
      <c r="C3902" s="1">
        <v>24473</v>
      </c>
      <c r="D3902">
        <v>59</v>
      </c>
      <c r="E3902" t="s">
        <v>15</v>
      </c>
      <c r="F3902" t="s">
        <v>18</v>
      </c>
      <c r="G3902" s="1">
        <v>45339</v>
      </c>
      <c r="H3902" s="1">
        <v>45168</v>
      </c>
      <c r="I3902">
        <v>5</v>
      </c>
      <c r="K3902">
        <v>7670.02</v>
      </c>
    </row>
    <row r="3903" spans="1:11">
      <c r="A3903">
        <v>3902</v>
      </c>
      <c r="B3903" t="s">
        <v>153</v>
      </c>
      <c r="C3903" s="1">
        <v>13150</v>
      </c>
      <c r="D3903">
        <v>90</v>
      </c>
      <c r="E3903" t="s">
        <v>15</v>
      </c>
      <c r="F3903" t="s">
        <v>16</v>
      </c>
      <c r="G3903" s="1">
        <v>45382</v>
      </c>
      <c r="H3903" s="1">
        <v>45624</v>
      </c>
      <c r="I3903">
        <v>7</v>
      </c>
      <c r="J3903" t="s">
        <v>25</v>
      </c>
      <c r="K3903">
        <v>16951.61</v>
      </c>
    </row>
    <row r="3904" spans="1:11">
      <c r="A3904">
        <v>3903</v>
      </c>
      <c r="B3904" t="s">
        <v>156</v>
      </c>
      <c r="C3904" s="1">
        <v>13880</v>
      </c>
      <c r="D3904">
        <v>88</v>
      </c>
      <c r="E3904" t="s">
        <v>15</v>
      </c>
      <c r="F3904" t="s">
        <v>21</v>
      </c>
      <c r="G3904" s="1">
        <v>44980</v>
      </c>
      <c r="H3904" s="1">
        <v>45698</v>
      </c>
      <c r="I3904">
        <v>30</v>
      </c>
      <c r="J3904" t="s">
        <v>23</v>
      </c>
      <c r="K3904">
        <v>19207.39</v>
      </c>
    </row>
    <row r="3905" spans="1:11">
      <c r="A3905">
        <v>3904</v>
      </c>
      <c r="B3905" t="s">
        <v>49</v>
      </c>
      <c r="C3905" s="1">
        <v>26299</v>
      </c>
      <c r="D3905">
        <v>54</v>
      </c>
      <c r="E3905" t="s">
        <v>15</v>
      </c>
      <c r="F3905" t="s">
        <v>18</v>
      </c>
      <c r="G3905" s="1">
        <v>45573</v>
      </c>
      <c r="H3905" s="1">
        <v>45668</v>
      </c>
      <c r="I3905">
        <v>35</v>
      </c>
      <c r="K3905">
        <v>11344.85</v>
      </c>
    </row>
    <row r="3906" spans="1:11">
      <c r="A3906">
        <v>3905</v>
      </c>
      <c r="B3906" t="s">
        <v>105</v>
      </c>
      <c r="C3906" s="1">
        <v>42735</v>
      </c>
      <c r="D3906">
        <v>9</v>
      </c>
      <c r="E3906" t="s">
        <v>15</v>
      </c>
      <c r="F3906" t="s">
        <v>16</v>
      </c>
      <c r="G3906" s="1">
        <v>45265</v>
      </c>
      <c r="H3906" s="1">
        <v>45150</v>
      </c>
      <c r="I3906">
        <v>38</v>
      </c>
      <c r="K3906">
        <v>9077.5</v>
      </c>
    </row>
    <row r="3907" spans="1:11">
      <c r="A3907">
        <v>3906</v>
      </c>
      <c r="B3907" t="s">
        <v>111</v>
      </c>
      <c r="C3907" s="1">
        <v>29221</v>
      </c>
      <c r="E3907" t="s">
        <v>12</v>
      </c>
      <c r="F3907" t="s">
        <v>45</v>
      </c>
      <c r="G3907" s="1">
        <v>45285</v>
      </c>
      <c r="H3907" s="1">
        <v>45026</v>
      </c>
      <c r="I3907">
        <v>19</v>
      </c>
      <c r="K3907">
        <v>16842.03</v>
      </c>
    </row>
    <row r="3908" spans="1:11">
      <c r="A3908">
        <v>3907</v>
      </c>
      <c r="B3908" t="s">
        <v>122</v>
      </c>
      <c r="C3908" s="1">
        <v>37987</v>
      </c>
      <c r="D3908">
        <v>22</v>
      </c>
      <c r="E3908" t="s">
        <v>15</v>
      </c>
      <c r="F3908" t="s">
        <v>16</v>
      </c>
      <c r="G3908" s="1">
        <v>45077</v>
      </c>
      <c r="H3908" s="1">
        <v>45686</v>
      </c>
      <c r="I3908">
        <v>13</v>
      </c>
      <c r="K3908">
        <v>387.82</v>
      </c>
    </row>
    <row r="3909" spans="1:11">
      <c r="A3909">
        <v>3908</v>
      </c>
      <c r="B3909" t="s">
        <v>30</v>
      </c>
      <c r="C3909" s="1">
        <v>15341</v>
      </c>
      <c r="D3909">
        <v>84</v>
      </c>
      <c r="E3909" t="s">
        <v>15</v>
      </c>
      <c r="F3909" t="s">
        <v>32</v>
      </c>
      <c r="G3909" s="1">
        <v>45026</v>
      </c>
      <c r="H3909" s="1">
        <v>45484</v>
      </c>
      <c r="I3909">
        <v>16</v>
      </c>
      <c r="J3909" t="s">
        <v>23</v>
      </c>
      <c r="K3909">
        <v>2493.15</v>
      </c>
    </row>
    <row r="3910" spans="1:11">
      <c r="A3910">
        <v>3909</v>
      </c>
      <c r="B3910" t="s">
        <v>122</v>
      </c>
      <c r="C3910" s="1">
        <v>38717</v>
      </c>
      <c r="E3910" t="s">
        <v>12</v>
      </c>
      <c r="G3910" s="1">
        <v>45160</v>
      </c>
      <c r="H3910" s="1">
        <v>45200</v>
      </c>
      <c r="I3910">
        <v>8</v>
      </c>
      <c r="J3910" t="s">
        <v>25</v>
      </c>
      <c r="K3910">
        <v>16897.72</v>
      </c>
    </row>
    <row r="3911" spans="1:11">
      <c r="A3911">
        <v>3910</v>
      </c>
      <c r="B3911" t="s">
        <v>129</v>
      </c>
      <c r="C3911" s="1">
        <v>41639</v>
      </c>
      <c r="D3911">
        <v>12</v>
      </c>
      <c r="E3911" t="s">
        <v>15</v>
      </c>
      <c r="F3911" t="s">
        <v>16</v>
      </c>
      <c r="G3911" s="1">
        <v>45470</v>
      </c>
      <c r="H3911" s="1">
        <v>45326</v>
      </c>
      <c r="I3911">
        <v>8</v>
      </c>
      <c r="J3911" t="s">
        <v>23</v>
      </c>
      <c r="K3911">
        <v>14613.77</v>
      </c>
    </row>
    <row r="3912" spans="1:11">
      <c r="A3912">
        <v>3911</v>
      </c>
      <c r="B3912" t="s">
        <v>112</v>
      </c>
      <c r="C3912" s="1">
        <v>34334</v>
      </c>
      <c r="D3912">
        <v>32</v>
      </c>
      <c r="E3912" t="s">
        <v>12</v>
      </c>
      <c r="F3912" t="s">
        <v>13</v>
      </c>
      <c r="G3912" s="1">
        <v>44988</v>
      </c>
      <c r="H3912" s="1">
        <v>45444</v>
      </c>
      <c r="I3912">
        <v>11</v>
      </c>
      <c r="J3912" t="s">
        <v>23</v>
      </c>
      <c r="K3912">
        <v>8264.35</v>
      </c>
    </row>
    <row r="3913" spans="1:11">
      <c r="A3913">
        <v>3912</v>
      </c>
      <c r="B3913" t="s">
        <v>50</v>
      </c>
      <c r="C3913" s="1">
        <v>37622</v>
      </c>
      <c r="E3913" t="s">
        <v>12</v>
      </c>
      <c r="F3913" t="s">
        <v>13</v>
      </c>
      <c r="G3913" s="1">
        <v>45122</v>
      </c>
      <c r="H3913" s="1">
        <v>45357</v>
      </c>
      <c r="I3913">
        <v>36</v>
      </c>
      <c r="K3913">
        <v>17765.919999999998</v>
      </c>
    </row>
    <row r="3914" spans="1:11">
      <c r="A3914">
        <v>3913</v>
      </c>
      <c r="B3914" t="s">
        <v>169</v>
      </c>
      <c r="C3914" s="1">
        <v>42370</v>
      </c>
      <c r="D3914">
        <v>10</v>
      </c>
      <c r="E3914" t="s">
        <v>15</v>
      </c>
      <c r="G3914" s="1">
        <v>45468</v>
      </c>
      <c r="H3914" s="1">
        <v>45450</v>
      </c>
      <c r="I3914">
        <v>23</v>
      </c>
      <c r="K3914">
        <v>6964.31</v>
      </c>
    </row>
    <row r="3915" spans="1:11">
      <c r="A3915">
        <v>3914</v>
      </c>
      <c r="B3915" t="s">
        <v>126</v>
      </c>
      <c r="C3915" s="1">
        <v>40178</v>
      </c>
      <c r="D3915">
        <v>16</v>
      </c>
      <c r="E3915" t="s">
        <v>12</v>
      </c>
      <c r="F3915" t="s">
        <v>21</v>
      </c>
      <c r="G3915" s="1">
        <v>45032</v>
      </c>
      <c r="H3915" s="1">
        <v>45275</v>
      </c>
      <c r="I3915">
        <v>17</v>
      </c>
      <c r="J3915" t="s">
        <v>23</v>
      </c>
      <c r="K3915">
        <v>12640.29</v>
      </c>
    </row>
    <row r="3916" spans="1:11">
      <c r="A3916">
        <v>3915</v>
      </c>
      <c r="B3916" t="s">
        <v>119</v>
      </c>
      <c r="C3916" s="1">
        <v>21551</v>
      </c>
      <c r="D3916">
        <v>67</v>
      </c>
      <c r="E3916" t="s">
        <v>15</v>
      </c>
      <c r="F3916" t="s">
        <v>13</v>
      </c>
      <c r="G3916" s="1">
        <v>45221</v>
      </c>
      <c r="H3916" s="1">
        <v>45478</v>
      </c>
      <c r="I3916">
        <v>17</v>
      </c>
      <c r="J3916" t="s">
        <v>23</v>
      </c>
      <c r="K3916">
        <v>12650.12</v>
      </c>
    </row>
    <row r="3917" spans="1:11">
      <c r="A3917">
        <v>3916</v>
      </c>
      <c r="B3917" t="s">
        <v>108</v>
      </c>
      <c r="C3917" s="1">
        <v>29221</v>
      </c>
      <c r="D3917">
        <v>46</v>
      </c>
      <c r="E3917" t="s">
        <v>15</v>
      </c>
      <c r="F3917" t="s">
        <v>45</v>
      </c>
      <c r="G3917" s="1">
        <v>45571</v>
      </c>
      <c r="H3917" s="1">
        <v>45378</v>
      </c>
      <c r="I3917">
        <v>2</v>
      </c>
      <c r="J3917" t="s">
        <v>23</v>
      </c>
      <c r="K3917">
        <v>3605.07</v>
      </c>
    </row>
    <row r="3918" spans="1:11">
      <c r="A3918">
        <v>3917</v>
      </c>
      <c r="B3918" t="s">
        <v>43</v>
      </c>
      <c r="C3918" s="1">
        <v>37256</v>
      </c>
      <c r="D3918">
        <v>24</v>
      </c>
      <c r="E3918" t="s">
        <v>12</v>
      </c>
      <c r="F3918" t="s">
        <v>16</v>
      </c>
      <c r="G3918" s="1">
        <v>45377</v>
      </c>
      <c r="H3918" s="1">
        <v>44969</v>
      </c>
      <c r="I3918">
        <v>-2</v>
      </c>
      <c r="J3918" t="s">
        <v>19</v>
      </c>
      <c r="K3918">
        <v>5625.52</v>
      </c>
    </row>
    <row r="3919" spans="1:11">
      <c r="A3919">
        <v>3918</v>
      </c>
      <c r="B3919" t="s">
        <v>120</v>
      </c>
      <c r="C3919" s="1">
        <v>12054</v>
      </c>
      <c r="D3919">
        <v>93</v>
      </c>
      <c r="E3919" t="s">
        <v>12</v>
      </c>
      <c r="G3919" s="1">
        <v>45460</v>
      </c>
      <c r="H3919" s="1">
        <v>45642</v>
      </c>
      <c r="I3919">
        <v>8</v>
      </c>
      <c r="K3919">
        <v>18311.740000000002</v>
      </c>
    </row>
    <row r="3920" spans="1:11">
      <c r="A3920">
        <v>3919</v>
      </c>
      <c r="B3920" t="s">
        <v>130</v>
      </c>
      <c r="C3920" s="1">
        <v>19724</v>
      </c>
      <c r="D3920">
        <v>72</v>
      </c>
      <c r="E3920" t="s">
        <v>12</v>
      </c>
      <c r="F3920" t="s">
        <v>45</v>
      </c>
      <c r="G3920" s="1">
        <v>45082</v>
      </c>
      <c r="H3920" s="1">
        <v>45021</v>
      </c>
      <c r="I3920">
        <v>7</v>
      </c>
      <c r="J3920" t="s">
        <v>25</v>
      </c>
      <c r="K3920">
        <v>3586.64</v>
      </c>
    </row>
    <row r="3921" spans="1:11">
      <c r="A3921">
        <v>3920</v>
      </c>
      <c r="B3921" t="s">
        <v>40</v>
      </c>
      <c r="C3921" s="1">
        <v>38717</v>
      </c>
      <c r="D3921">
        <v>20</v>
      </c>
      <c r="E3921" t="s">
        <v>12</v>
      </c>
      <c r="F3921" t="s">
        <v>21</v>
      </c>
      <c r="G3921" s="1">
        <v>45332</v>
      </c>
      <c r="H3921" s="1">
        <v>45413</v>
      </c>
      <c r="I3921">
        <v>25</v>
      </c>
      <c r="J3921" t="s">
        <v>25</v>
      </c>
      <c r="K3921">
        <v>3388.85</v>
      </c>
    </row>
    <row r="3922" spans="1:11">
      <c r="A3922">
        <v>3921</v>
      </c>
      <c r="B3922" t="s">
        <v>100</v>
      </c>
      <c r="C3922" s="1">
        <v>15707</v>
      </c>
      <c r="D3922">
        <v>83</v>
      </c>
      <c r="E3922" t="s">
        <v>15</v>
      </c>
      <c r="F3922" t="s">
        <v>13</v>
      </c>
      <c r="G3922" s="1">
        <v>45652</v>
      </c>
      <c r="H3922" s="1">
        <v>45444</v>
      </c>
      <c r="I3922">
        <v>31</v>
      </c>
      <c r="J3922" t="s">
        <v>25</v>
      </c>
      <c r="K3922">
        <v>9540.27</v>
      </c>
    </row>
    <row r="3923" spans="1:11">
      <c r="A3923">
        <v>3922</v>
      </c>
      <c r="B3923" t="s">
        <v>59</v>
      </c>
      <c r="C3923" s="1">
        <v>16072</v>
      </c>
      <c r="D3923">
        <v>82</v>
      </c>
      <c r="E3923" t="s">
        <v>12</v>
      </c>
      <c r="G3923" s="1">
        <v>45609</v>
      </c>
      <c r="H3923" s="1">
        <v>45491</v>
      </c>
      <c r="I3923">
        <v>10</v>
      </c>
      <c r="J3923" t="s">
        <v>19</v>
      </c>
      <c r="K3923">
        <v>1753.17</v>
      </c>
    </row>
    <row r="3924" spans="1:11">
      <c r="A3924">
        <v>3923</v>
      </c>
      <c r="B3924" t="s">
        <v>114</v>
      </c>
      <c r="C3924" s="1">
        <v>16072</v>
      </c>
      <c r="D3924">
        <v>82</v>
      </c>
      <c r="E3924" t="s">
        <v>12</v>
      </c>
      <c r="F3924" t="s">
        <v>18</v>
      </c>
      <c r="G3924" s="1">
        <v>45480</v>
      </c>
      <c r="H3924" s="1">
        <v>45077</v>
      </c>
      <c r="I3924">
        <v>22</v>
      </c>
      <c r="J3924" t="s">
        <v>19</v>
      </c>
      <c r="K3924">
        <v>17881.990000000002</v>
      </c>
    </row>
    <row r="3925" spans="1:11">
      <c r="A3925">
        <v>3924</v>
      </c>
      <c r="B3925" t="s">
        <v>39</v>
      </c>
      <c r="C3925" s="1">
        <v>42005</v>
      </c>
      <c r="D3925">
        <v>11</v>
      </c>
      <c r="F3925" t="s">
        <v>16</v>
      </c>
      <c r="G3925" s="1">
        <v>45498</v>
      </c>
      <c r="H3925" s="1">
        <v>45644</v>
      </c>
      <c r="I3925">
        <v>20</v>
      </c>
      <c r="J3925" t="s">
        <v>25</v>
      </c>
      <c r="K3925">
        <v>1913</v>
      </c>
    </row>
    <row r="3926" spans="1:11">
      <c r="A3926">
        <v>3925</v>
      </c>
      <c r="B3926" t="s">
        <v>56</v>
      </c>
      <c r="C3926" s="1">
        <v>32873</v>
      </c>
      <c r="D3926">
        <v>36</v>
      </c>
      <c r="E3926" t="s">
        <v>12</v>
      </c>
      <c r="F3926" t="s">
        <v>18</v>
      </c>
      <c r="G3926" s="1">
        <v>45301</v>
      </c>
      <c r="H3926" s="1">
        <v>45739</v>
      </c>
      <c r="I3926">
        <v>33</v>
      </c>
      <c r="J3926" t="s">
        <v>25</v>
      </c>
      <c r="K3926">
        <v>12292.81</v>
      </c>
    </row>
    <row r="3927" spans="1:11">
      <c r="A3927">
        <v>3926</v>
      </c>
      <c r="B3927" t="s">
        <v>44</v>
      </c>
      <c r="C3927" s="1">
        <v>31047</v>
      </c>
      <c r="D3927">
        <v>41</v>
      </c>
      <c r="E3927" t="s">
        <v>12</v>
      </c>
      <c r="F3927" t="s">
        <v>32</v>
      </c>
      <c r="G3927" s="1">
        <v>45515</v>
      </c>
      <c r="H3927" s="1">
        <v>45426</v>
      </c>
      <c r="I3927">
        <v>9</v>
      </c>
      <c r="J3927" t="s">
        <v>25</v>
      </c>
      <c r="K3927">
        <v>6729.62</v>
      </c>
    </row>
    <row r="3928" spans="1:11">
      <c r="A3928">
        <v>3927</v>
      </c>
      <c r="B3928" t="s">
        <v>49</v>
      </c>
      <c r="C3928" s="1">
        <v>40178</v>
      </c>
      <c r="D3928">
        <v>16</v>
      </c>
      <c r="E3928" t="s">
        <v>15</v>
      </c>
      <c r="F3928" t="s">
        <v>21</v>
      </c>
      <c r="G3928" s="1">
        <v>45381</v>
      </c>
      <c r="H3928" s="1">
        <v>45298</v>
      </c>
      <c r="I3928">
        <v>-1</v>
      </c>
      <c r="J3928" t="s">
        <v>23</v>
      </c>
      <c r="K3928">
        <v>16065.88</v>
      </c>
    </row>
    <row r="3929" spans="1:11">
      <c r="A3929">
        <v>3928</v>
      </c>
      <c r="B3929" t="s">
        <v>154</v>
      </c>
      <c r="C3929" s="1">
        <v>28856</v>
      </c>
      <c r="D3929">
        <v>47</v>
      </c>
      <c r="E3929" t="s">
        <v>12</v>
      </c>
      <c r="F3929" t="s">
        <v>32</v>
      </c>
      <c r="G3929" s="1">
        <v>45128</v>
      </c>
      <c r="H3929" s="1">
        <v>45626</v>
      </c>
      <c r="I3929">
        <v>17</v>
      </c>
      <c r="K3929">
        <v>11755.2</v>
      </c>
    </row>
    <row r="3930" spans="1:11">
      <c r="A3930">
        <v>3929</v>
      </c>
      <c r="B3930" t="s">
        <v>121</v>
      </c>
      <c r="C3930" s="1">
        <v>36161</v>
      </c>
      <c r="D3930">
        <v>27</v>
      </c>
      <c r="E3930" t="s">
        <v>15</v>
      </c>
      <c r="F3930" t="s">
        <v>18</v>
      </c>
      <c r="G3930" s="1">
        <v>45378</v>
      </c>
      <c r="H3930" s="1">
        <v>45412</v>
      </c>
      <c r="I3930">
        <v>13</v>
      </c>
      <c r="J3930" t="s">
        <v>19</v>
      </c>
      <c r="K3930">
        <v>7704.95</v>
      </c>
    </row>
    <row r="3931" spans="1:11">
      <c r="A3931">
        <v>3930</v>
      </c>
      <c r="B3931" t="s">
        <v>170</v>
      </c>
      <c r="C3931" s="1">
        <v>31412</v>
      </c>
      <c r="D3931">
        <v>40</v>
      </c>
      <c r="E3931" t="s">
        <v>15</v>
      </c>
      <c r="F3931" t="s">
        <v>18</v>
      </c>
      <c r="G3931" s="1">
        <v>45113</v>
      </c>
      <c r="H3931" s="1">
        <v>45592</v>
      </c>
      <c r="I3931">
        <v>11</v>
      </c>
      <c r="J3931" t="s">
        <v>19</v>
      </c>
      <c r="K3931">
        <v>19675.849999999999</v>
      </c>
    </row>
    <row r="3932" spans="1:11">
      <c r="A3932">
        <v>3931</v>
      </c>
      <c r="B3932" t="s">
        <v>146</v>
      </c>
      <c r="C3932" s="1">
        <v>29221</v>
      </c>
      <c r="D3932">
        <v>46</v>
      </c>
      <c r="E3932" t="s">
        <v>12</v>
      </c>
      <c r="F3932" t="s">
        <v>18</v>
      </c>
      <c r="G3932" s="1">
        <v>45534</v>
      </c>
      <c r="H3932" s="1">
        <v>45310</v>
      </c>
      <c r="I3932">
        <v>-1</v>
      </c>
      <c r="J3932" t="s">
        <v>23</v>
      </c>
      <c r="K3932">
        <v>1231.24</v>
      </c>
    </row>
    <row r="3933" spans="1:11">
      <c r="A3933">
        <v>3932</v>
      </c>
      <c r="B3933" t="s">
        <v>162</v>
      </c>
      <c r="D3933">
        <v>17</v>
      </c>
      <c r="E3933" t="s">
        <v>15</v>
      </c>
      <c r="F3933" t="s">
        <v>32</v>
      </c>
      <c r="G3933" s="1">
        <v>45650</v>
      </c>
      <c r="H3933" s="1">
        <v>45555</v>
      </c>
      <c r="I3933">
        <v>13</v>
      </c>
      <c r="J3933" t="s">
        <v>19</v>
      </c>
      <c r="K3933">
        <v>11513.5</v>
      </c>
    </row>
    <row r="3934" spans="1:11">
      <c r="A3934">
        <v>3933</v>
      </c>
      <c r="B3934" t="s">
        <v>77</v>
      </c>
      <c r="C3934" s="1">
        <v>17898</v>
      </c>
      <c r="D3934">
        <v>77</v>
      </c>
      <c r="G3934" s="1">
        <v>45294</v>
      </c>
      <c r="H3934" s="1">
        <v>45588</v>
      </c>
      <c r="I3934">
        <v>1</v>
      </c>
      <c r="J3934" t="s">
        <v>25</v>
      </c>
      <c r="K3934">
        <v>19790.32</v>
      </c>
    </row>
    <row r="3935" spans="1:11">
      <c r="A3935">
        <v>3934</v>
      </c>
      <c r="B3935" t="s">
        <v>133</v>
      </c>
      <c r="C3935" s="1">
        <v>20455</v>
      </c>
      <c r="D3935">
        <v>70</v>
      </c>
      <c r="E3935" t="s">
        <v>15</v>
      </c>
      <c r="F3935" t="s">
        <v>21</v>
      </c>
      <c r="G3935" s="1">
        <v>45266</v>
      </c>
      <c r="H3935" s="1">
        <v>45659</v>
      </c>
      <c r="I3935">
        <v>10</v>
      </c>
      <c r="J3935" t="s">
        <v>19</v>
      </c>
      <c r="K3935">
        <v>13788.15</v>
      </c>
    </row>
    <row r="3936" spans="1:11">
      <c r="A3936">
        <v>3935</v>
      </c>
      <c r="B3936" t="s">
        <v>136</v>
      </c>
      <c r="C3936" s="1">
        <v>41639</v>
      </c>
      <c r="D3936">
        <v>12</v>
      </c>
      <c r="E3936" t="s">
        <v>12</v>
      </c>
      <c r="F3936" t="s">
        <v>16</v>
      </c>
      <c r="G3936" s="1">
        <v>45188</v>
      </c>
      <c r="H3936" s="1">
        <v>45119</v>
      </c>
      <c r="I3936">
        <v>35</v>
      </c>
      <c r="J3936" t="s">
        <v>23</v>
      </c>
      <c r="K3936">
        <v>14769.37</v>
      </c>
    </row>
    <row r="3937" spans="1:11">
      <c r="A3937">
        <v>3936</v>
      </c>
      <c r="B3937" t="s">
        <v>139</v>
      </c>
      <c r="C3937" s="1">
        <v>16437</v>
      </c>
      <c r="D3937">
        <v>81</v>
      </c>
      <c r="E3937" t="s">
        <v>15</v>
      </c>
      <c r="G3937" s="1">
        <v>45515</v>
      </c>
      <c r="H3937" s="1">
        <v>45672</v>
      </c>
      <c r="I3937">
        <v>-2</v>
      </c>
      <c r="K3937">
        <v>545.03</v>
      </c>
    </row>
    <row r="3938" spans="1:11">
      <c r="A3938">
        <v>3937</v>
      </c>
      <c r="B3938" t="s">
        <v>160</v>
      </c>
      <c r="C3938" s="1">
        <v>41639</v>
      </c>
      <c r="D3938">
        <v>12</v>
      </c>
      <c r="E3938" t="s">
        <v>15</v>
      </c>
      <c r="F3938" t="s">
        <v>16</v>
      </c>
      <c r="G3938" s="1">
        <v>45469</v>
      </c>
      <c r="H3938" s="1">
        <v>45763</v>
      </c>
      <c r="I3938">
        <v>6</v>
      </c>
      <c r="J3938" t="s">
        <v>25</v>
      </c>
      <c r="K3938">
        <v>329.4</v>
      </c>
    </row>
    <row r="3939" spans="1:11">
      <c r="A3939">
        <v>3938</v>
      </c>
      <c r="B3939" t="s">
        <v>96</v>
      </c>
      <c r="C3939" s="1">
        <v>35065</v>
      </c>
      <c r="D3939">
        <v>30</v>
      </c>
      <c r="E3939" t="s">
        <v>15</v>
      </c>
      <c r="F3939" t="s">
        <v>45</v>
      </c>
      <c r="G3939" s="1">
        <v>45477</v>
      </c>
      <c r="H3939" s="1">
        <v>45148</v>
      </c>
      <c r="I3939">
        <v>18</v>
      </c>
      <c r="J3939" t="s">
        <v>19</v>
      </c>
      <c r="K3939">
        <v>625.80999999999995</v>
      </c>
    </row>
    <row r="3940" spans="1:11">
      <c r="A3940">
        <v>3939</v>
      </c>
      <c r="B3940" t="s">
        <v>61</v>
      </c>
      <c r="C3940" s="1">
        <v>45657</v>
      </c>
      <c r="D3940">
        <v>1</v>
      </c>
      <c r="E3940" t="s">
        <v>12</v>
      </c>
      <c r="F3940" t="s">
        <v>45</v>
      </c>
      <c r="G3940" s="1">
        <v>45232</v>
      </c>
      <c r="H3940" s="1">
        <v>44974</v>
      </c>
      <c r="I3940">
        <v>15</v>
      </c>
      <c r="J3940" t="s">
        <v>25</v>
      </c>
      <c r="K3940">
        <v>19833.650000000001</v>
      </c>
    </row>
    <row r="3941" spans="1:11">
      <c r="A3941">
        <v>3940</v>
      </c>
      <c r="B3941" t="s">
        <v>65</v>
      </c>
      <c r="C3941" s="1">
        <v>40544</v>
      </c>
      <c r="D3941">
        <v>15</v>
      </c>
      <c r="E3941" t="s">
        <v>15</v>
      </c>
      <c r="F3941" t="s">
        <v>18</v>
      </c>
      <c r="G3941" s="1">
        <v>45652</v>
      </c>
      <c r="H3941" s="1">
        <v>45054</v>
      </c>
      <c r="I3941">
        <v>29</v>
      </c>
      <c r="K3941">
        <v>19588.349999999999</v>
      </c>
    </row>
    <row r="3942" spans="1:11">
      <c r="A3942">
        <v>3941</v>
      </c>
      <c r="B3942" t="s">
        <v>170</v>
      </c>
      <c r="C3942" s="1">
        <v>43100</v>
      </c>
      <c r="D3942">
        <v>8</v>
      </c>
      <c r="E3942" t="s">
        <v>12</v>
      </c>
      <c r="F3942" t="s">
        <v>21</v>
      </c>
      <c r="G3942" s="1">
        <v>45564</v>
      </c>
      <c r="H3942" s="1">
        <v>45730</v>
      </c>
      <c r="I3942">
        <v>31</v>
      </c>
      <c r="J3942" t="s">
        <v>19</v>
      </c>
      <c r="K3942">
        <v>6623.63</v>
      </c>
    </row>
    <row r="3943" spans="1:11">
      <c r="A3943">
        <v>3942</v>
      </c>
      <c r="B3943" t="s">
        <v>81</v>
      </c>
      <c r="C3943" s="1">
        <v>19724</v>
      </c>
      <c r="D3943">
        <v>72</v>
      </c>
      <c r="E3943" t="s">
        <v>15</v>
      </c>
      <c r="F3943" t="s">
        <v>21</v>
      </c>
      <c r="G3943" s="1">
        <v>45091</v>
      </c>
      <c r="H3943" s="1">
        <v>45654</v>
      </c>
      <c r="I3943">
        <v>17</v>
      </c>
      <c r="J3943" t="s">
        <v>25</v>
      </c>
      <c r="K3943">
        <v>5748.73</v>
      </c>
    </row>
    <row r="3944" spans="1:11">
      <c r="A3944">
        <v>3943</v>
      </c>
      <c r="B3944" t="s">
        <v>117</v>
      </c>
      <c r="C3944" s="1">
        <v>32508</v>
      </c>
      <c r="D3944">
        <v>37</v>
      </c>
      <c r="E3944" t="s">
        <v>15</v>
      </c>
      <c r="F3944" t="s">
        <v>13</v>
      </c>
      <c r="G3944" s="1">
        <v>45547</v>
      </c>
      <c r="H3944" s="1">
        <v>44934</v>
      </c>
      <c r="I3944">
        <v>-1</v>
      </c>
      <c r="J3944" t="s">
        <v>23</v>
      </c>
      <c r="K3944">
        <v>2833.77</v>
      </c>
    </row>
    <row r="3945" spans="1:11">
      <c r="A3945">
        <v>3944</v>
      </c>
      <c r="B3945" t="s">
        <v>159</v>
      </c>
      <c r="C3945" s="1">
        <v>18994</v>
      </c>
      <c r="D3945">
        <v>74</v>
      </c>
      <c r="E3945" t="s">
        <v>15</v>
      </c>
      <c r="F3945" t="s">
        <v>13</v>
      </c>
      <c r="G3945" s="1">
        <v>45014</v>
      </c>
      <c r="H3945" s="1">
        <v>45623</v>
      </c>
      <c r="I3945">
        <v>1</v>
      </c>
      <c r="J3945" t="s">
        <v>23</v>
      </c>
      <c r="K3945">
        <v>6515.72</v>
      </c>
    </row>
    <row r="3946" spans="1:11">
      <c r="A3946">
        <v>3945</v>
      </c>
      <c r="B3946" t="s">
        <v>48</v>
      </c>
      <c r="C3946" s="1">
        <v>26664</v>
      </c>
      <c r="D3946">
        <v>53</v>
      </c>
      <c r="E3946" t="s">
        <v>15</v>
      </c>
      <c r="G3946" s="1">
        <v>45126</v>
      </c>
      <c r="H3946" s="1">
        <v>45043</v>
      </c>
      <c r="I3946">
        <v>35</v>
      </c>
      <c r="K3946">
        <v>7340.01</v>
      </c>
    </row>
    <row r="3947" spans="1:11">
      <c r="A3947">
        <v>3946</v>
      </c>
      <c r="B3947" t="s">
        <v>161</v>
      </c>
      <c r="C3947" s="1">
        <v>25934</v>
      </c>
      <c r="D3947">
        <v>55</v>
      </c>
      <c r="E3947" t="s">
        <v>12</v>
      </c>
      <c r="F3947" t="s">
        <v>32</v>
      </c>
      <c r="G3947" s="1">
        <v>45197</v>
      </c>
      <c r="H3947" s="1">
        <v>45491</v>
      </c>
      <c r="I3947">
        <v>4</v>
      </c>
      <c r="K3947">
        <v>14940.48</v>
      </c>
    </row>
    <row r="3948" spans="1:11">
      <c r="A3948">
        <v>3947</v>
      </c>
      <c r="B3948" t="s">
        <v>74</v>
      </c>
      <c r="C3948" s="1">
        <v>14976</v>
      </c>
      <c r="D3948">
        <v>85</v>
      </c>
      <c r="E3948" t="s">
        <v>12</v>
      </c>
      <c r="F3948" t="s">
        <v>13</v>
      </c>
      <c r="G3948" s="1">
        <v>44977</v>
      </c>
      <c r="H3948" s="1">
        <v>45293</v>
      </c>
      <c r="I3948">
        <v>19</v>
      </c>
      <c r="K3948">
        <v>17312.5</v>
      </c>
    </row>
    <row r="3949" spans="1:11">
      <c r="A3949">
        <v>3948</v>
      </c>
      <c r="B3949" t="s">
        <v>40</v>
      </c>
      <c r="D3949">
        <v>86</v>
      </c>
      <c r="E3949" t="s">
        <v>15</v>
      </c>
      <c r="G3949" s="1">
        <v>45415</v>
      </c>
      <c r="H3949" s="1">
        <v>44973</v>
      </c>
      <c r="I3949">
        <v>17</v>
      </c>
      <c r="J3949" t="s">
        <v>19</v>
      </c>
      <c r="K3949">
        <v>14909.38</v>
      </c>
    </row>
    <row r="3950" spans="1:11">
      <c r="A3950">
        <v>3949</v>
      </c>
      <c r="B3950" t="s">
        <v>121</v>
      </c>
      <c r="C3950" s="1">
        <v>29951</v>
      </c>
      <c r="D3950">
        <v>44</v>
      </c>
      <c r="E3950" t="s">
        <v>12</v>
      </c>
      <c r="F3950" t="s">
        <v>16</v>
      </c>
      <c r="G3950" s="1">
        <v>45124</v>
      </c>
      <c r="H3950" s="1">
        <v>45320</v>
      </c>
      <c r="I3950">
        <v>32</v>
      </c>
      <c r="K3950">
        <v>12894.15</v>
      </c>
    </row>
    <row r="3951" spans="1:11">
      <c r="A3951">
        <v>3950</v>
      </c>
      <c r="B3951" t="s">
        <v>43</v>
      </c>
      <c r="C3951" s="1">
        <v>33969</v>
      </c>
      <c r="D3951">
        <v>33</v>
      </c>
      <c r="E3951" t="s">
        <v>12</v>
      </c>
      <c r="F3951" t="s">
        <v>16</v>
      </c>
      <c r="G3951" s="1">
        <v>44949</v>
      </c>
      <c r="H3951" s="1">
        <v>44950</v>
      </c>
      <c r="I3951">
        <v>1</v>
      </c>
      <c r="J3951" t="s">
        <v>19</v>
      </c>
      <c r="K3951">
        <v>15294.59</v>
      </c>
    </row>
    <row r="3952" spans="1:11">
      <c r="A3952">
        <v>3951</v>
      </c>
      <c r="B3952" t="s">
        <v>53</v>
      </c>
      <c r="C3952" s="1">
        <v>43100</v>
      </c>
      <c r="D3952">
        <v>8</v>
      </c>
      <c r="E3952" t="s">
        <v>15</v>
      </c>
      <c r="G3952" s="1">
        <v>45591</v>
      </c>
      <c r="H3952" s="1">
        <v>45058</v>
      </c>
      <c r="I3952">
        <v>17</v>
      </c>
      <c r="J3952" t="s">
        <v>25</v>
      </c>
      <c r="K3952">
        <v>14743.8</v>
      </c>
    </row>
    <row r="3953" spans="1:11">
      <c r="A3953">
        <v>3952</v>
      </c>
      <c r="B3953" t="s">
        <v>102</v>
      </c>
      <c r="C3953" s="1">
        <v>14246</v>
      </c>
      <c r="E3953" t="s">
        <v>15</v>
      </c>
      <c r="F3953" t="s">
        <v>32</v>
      </c>
      <c r="G3953" s="1">
        <v>45149</v>
      </c>
      <c r="H3953" s="1">
        <v>45054</v>
      </c>
      <c r="I3953">
        <v>32</v>
      </c>
      <c r="J3953" t="s">
        <v>23</v>
      </c>
      <c r="K3953">
        <v>9462.57</v>
      </c>
    </row>
    <row r="3954" spans="1:11">
      <c r="A3954">
        <v>3953</v>
      </c>
      <c r="B3954" t="s">
        <v>44</v>
      </c>
      <c r="C3954" s="1">
        <v>43466</v>
      </c>
      <c r="D3954">
        <v>7</v>
      </c>
      <c r="E3954" t="s">
        <v>12</v>
      </c>
      <c r="F3954" t="s">
        <v>45</v>
      </c>
      <c r="G3954" s="1">
        <v>45147</v>
      </c>
      <c r="H3954" s="1">
        <v>45372</v>
      </c>
      <c r="I3954">
        <v>30</v>
      </c>
      <c r="J3954" t="s">
        <v>25</v>
      </c>
      <c r="K3954">
        <v>6650.61</v>
      </c>
    </row>
    <row r="3955" spans="1:11">
      <c r="A3955">
        <v>3954</v>
      </c>
      <c r="B3955" t="s">
        <v>131</v>
      </c>
      <c r="C3955" s="1">
        <v>43831</v>
      </c>
      <c r="D3955">
        <v>6</v>
      </c>
      <c r="E3955" t="s">
        <v>15</v>
      </c>
      <c r="F3955" t="s">
        <v>18</v>
      </c>
      <c r="G3955" s="1">
        <v>45589</v>
      </c>
      <c r="H3955" s="1">
        <v>45704</v>
      </c>
      <c r="I3955">
        <v>18</v>
      </c>
      <c r="J3955" t="s">
        <v>23</v>
      </c>
      <c r="K3955">
        <v>5583.89</v>
      </c>
    </row>
    <row r="3956" spans="1:11">
      <c r="A3956">
        <v>3955</v>
      </c>
      <c r="B3956" t="s">
        <v>148</v>
      </c>
      <c r="C3956" s="1">
        <v>33239</v>
      </c>
      <c r="D3956">
        <v>35</v>
      </c>
      <c r="E3956" t="s">
        <v>15</v>
      </c>
      <c r="F3956" t="s">
        <v>21</v>
      </c>
      <c r="G3956" s="1">
        <v>45192</v>
      </c>
      <c r="H3956" s="1">
        <v>45236</v>
      </c>
      <c r="I3956">
        <v>11</v>
      </c>
      <c r="K3956">
        <v>13555.04</v>
      </c>
    </row>
    <row r="3957" spans="1:11">
      <c r="A3957">
        <v>3956</v>
      </c>
      <c r="B3957" t="s">
        <v>98</v>
      </c>
      <c r="C3957" s="1">
        <v>39813</v>
      </c>
      <c r="D3957">
        <v>17</v>
      </c>
      <c r="E3957" t="s">
        <v>15</v>
      </c>
      <c r="F3957" t="s">
        <v>45</v>
      </c>
      <c r="G3957" s="1">
        <v>44999</v>
      </c>
      <c r="H3957" s="1">
        <v>45635</v>
      </c>
      <c r="I3957">
        <v>28</v>
      </c>
      <c r="J3957" t="s">
        <v>25</v>
      </c>
      <c r="K3957">
        <v>19182.009999999998</v>
      </c>
    </row>
    <row r="3958" spans="1:11">
      <c r="A3958">
        <v>3957</v>
      </c>
      <c r="B3958" t="s">
        <v>39</v>
      </c>
      <c r="C3958" s="1">
        <v>45292</v>
      </c>
      <c r="D3958">
        <v>2</v>
      </c>
      <c r="E3958" t="s">
        <v>12</v>
      </c>
      <c r="G3958" s="1">
        <v>45003</v>
      </c>
      <c r="H3958" s="1">
        <v>45360</v>
      </c>
      <c r="I3958">
        <v>19</v>
      </c>
      <c r="J3958" t="s">
        <v>25</v>
      </c>
      <c r="K3958">
        <v>11579.2</v>
      </c>
    </row>
    <row r="3959" spans="1:11">
      <c r="A3959">
        <v>3958</v>
      </c>
      <c r="B3959" t="s">
        <v>129</v>
      </c>
      <c r="C3959" s="1">
        <v>36161</v>
      </c>
      <c r="D3959">
        <v>27</v>
      </c>
      <c r="E3959" t="s">
        <v>15</v>
      </c>
      <c r="F3959" t="s">
        <v>16</v>
      </c>
      <c r="G3959" s="1">
        <v>45470</v>
      </c>
      <c r="H3959" s="1">
        <v>45400</v>
      </c>
      <c r="I3959">
        <v>27</v>
      </c>
      <c r="K3959">
        <v>18241.78</v>
      </c>
    </row>
    <row r="3960" spans="1:11">
      <c r="A3960">
        <v>3959</v>
      </c>
      <c r="B3960" t="s">
        <v>148</v>
      </c>
      <c r="C3960" s="1">
        <v>20820</v>
      </c>
      <c r="D3960">
        <v>69</v>
      </c>
      <c r="E3960" t="s">
        <v>15</v>
      </c>
      <c r="F3960" t="s">
        <v>45</v>
      </c>
      <c r="G3960" s="1">
        <v>45361</v>
      </c>
      <c r="H3960" s="1">
        <v>44975</v>
      </c>
      <c r="I3960">
        <v>26</v>
      </c>
      <c r="J3960" t="s">
        <v>25</v>
      </c>
      <c r="K3960">
        <v>186.01</v>
      </c>
    </row>
    <row r="3961" spans="1:11">
      <c r="A3961">
        <v>3960</v>
      </c>
      <c r="B3961" t="s">
        <v>109</v>
      </c>
      <c r="C3961" s="1">
        <v>30317</v>
      </c>
      <c r="D3961">
        <v>43</v>
      </c>
      <c r="E3961" t="s">
        <v>15</v>
      </c>
      <c r="F3961" t="s">
        <v>32</v>
      </c>
      <c r="G3961" s="1">
        <v>44991</v>
      </c>
      <c r="H3961" s="1">
        <v>45818</v>
      </c>
      <c r="I3961">
        <v>33</v>
      </c>
      <c r="J3961" t="s">
        <v>19</v>
      </c>
      <c r="K3961">
        <v>15868.86</v>
      </c>
    </row>
    <row r="3962" spans="1:11">
      <c r="A3962">
        <v>3961</v>
      </c>
      <c r="B3962" t="s">
        <v>111</v>
      </c>
      <c r="C3962" s="1">
        <v>38717</v>
      </c>
      <c r="D3962">
        <v>20</v>
      </c>
      <c r="E3962" t="s">
        <v>15</v>
      </c>
      <c r="F3962" t="s">
        <v>18</v>
      </c>
      <c r="G3962" s="1">
        <v>45283</v>
      </c>
      <c r="H3962" s="1">
        <v>45009</v>
      </c>
      <c r="I3962">
        <v>39</v>
      </c>
      <c r="J3962" t="s">
        <v>23</v>
      </c>
      <c r="K3962">
        <v>17057.41</v>
      </c>
    </row>
    <row r="3963" spans="1:11">
      <c r="A3963">
        <v>3962</v>
      </c>
      <c r="B3963" t="s">
        <v>70</v>
      </c>
      <c r="C3963" s="1">
        <v>36161</v>
      </c>
      <c r="D3963">
        <v>27</v>
      </c>
      <c r="E3963" t="s">
        <v>15</v>
      </c>
      <c r="F3963" t="s">
        <v>16</v>
      </c>
      <c r="G3963" s="1">
        <v>44944</v>
      </c>
      <c r="H3963" s="1">
        <v>45036</v>
      </c>
      <c r="I3963">
        <v>26</v>
      </c>
      <c r="K3963">
        <v>12582.98</v>
      </c>
    </row>
    <row r="3964" spans="1:11">
      <c r="A3964">
        <v>3963</v>
      </c>
      <c r="B3964" t="s">
        <v>125</v>
      </c>
      <c r="C3964" s="1">
        <v>26664</v>
      </c>
      <c r="E3964" t="s">
        <v>12</v>
      </c>
      <c r="F3964" t="s">
        <v>32</v>
      </c>
      <c r="G3964" s="1">
        <v>45602</v>
      </c>
      <c r="H3964" s="1">
        <v>45190</v>
      </c>
      <c r="I3964">
        <v>4</v>
      </c>
      <c r="J3964" t="s">
        <v>19</v>
      </c>
      <c r="K3964">
        <v>18674.63</v>
      </c>
    </row>
    <row r="3965" spans="1:11">
      <c r="A3965">
        <v>3964</v>
      </c>
      <c r="B3965" t="s">
        <v>96</v>
      </c>
      <c r="C3965" s="1">
        <v>26664</v>
      </c>
      <c r="D3965">
        <v>53</v>
      </c>
      <c r="E3965" t="s">
        <v>15</v>
      </c>
      <c r="G3965" s="1">
        <v>45492</v>
      </c>
      <c r="H3965" s="1">
        <v>45794</v>
      </c>
      <c r="I3965">
        <v>29</v>
      </c>
      <c r="J3965" t="s">
        <v>19</v>
      </c>
      <c r="K3965">
        <v>11757.25</v>
      </c>
    </row>
    <row r="3966" spans="1:11">
      <c r="A3966">
        <v>3965</v>
      </c>
      <c r="B3966" t="s">
        <v>20</v>
      </c>
      <c r="C3966" s="1">
        <v>22646</v>
      </c>
      <c r="D3966">
        <v>64</v>
      </c>
      <c r="E3966" t="s">
        <v>12</v>
      </c>
      <c r="F3966" t="s">
        <v>45</v>
      </c>
      <c r="G3966" s="1">
        <v>45501</v>
      </c>
      <c r="H3966" s="1">
        <v>44958</v>
      </c>
      <c r="I3966">
        <v>10</v>
      </c>
      <c r="K3966">
        <v>4734.79</v>
      </c>
    </row>
    <row r="3967" spans="1:11">
      <c r="A3967">
        <v>3966</v>
      </c>
      <c r="B3967" t="s">
        <v>64</v>
      </c>
      <c r="C3967" s="1">
        <v>38717</v>
      </c>
      <c r="D3967">
        <v>20</v>
      </c>
      <c r="E3967" t="s">
        <v>15</v>
      </c>
      <c r="F3967" t="s">
        <v>21</v>
      </c>
      <c r="G3967" s="1">
        <v>45362</v>
      </c>
      <c r="H3967" s="1">
        <v>45285</v>
      </c>
      <c r="I3967">
        <v>10</v>
      </c>
      <c r="J3967" t="s">
        <v>25</v>
      </c>
      <c r="K3967">
        <v>4235.92</v>
      </c>
    </row>
    <row r="3968" spans="1:11">
      <c r="A3968">
        <v>3967</v>
      </c>
      <c r="B3968" t="s">
        <v>125</v>
      </c>
      <c r="C3968" s="1">
        <v>41639</v>
      </c>
      <c r="D3968">
        <v>12</v>
      </c>
      <c r="E3968" t="s">
        <v>12</v>
      </c>
      <c r="F3968" t="s">
        <v>13</v>
      </c>
      <c r="G3968" s="1">
        <v>45367</v>
      </c>
      <c r="H3968" s="1">
        <v>45495</v>
      </c>
      <c r="I3968">
        <v>11</v>
      </c>
      <c r="J3968" t="s">
        <v>23</v>
      </c>
      <c r="K3968">
        <v>11072.31</v>
      </c>
    </row>
    <row r="3969" spans="1:11">
      <c r="A3969">
        <v>3968</v>
      </c>
      <c r="B3969" t="s">
        <v>60</v>
      </c>
      <c r="C3969" s="1">
        <v>25568</v>
      </c>
      <c r="E3969" t="s">
        <v>12</v>
      </c>
      <c r="F3969" t="s">
        <v>32</v>
      </c>
      <c r="G3969" s="1">
        <v>44935</v>
      </c>
      <c r="H3969" s="1">
        <v>45407</v>
      </c>
      <c r="I3969">
        <v>3</v>
      </c>
      <c r="J3969" t="s">
        <v>19</v>
      </c>
      <c r="K3969">
        <v>18120.330000000002</v>
      </c>
    </row>
    <row r="3970" spans="1:11">
      <c r="A3970">
        <v>3969</v>
      </c>
      <c r="B3970" t="s">
        <v>143</v>
      </c>
      <c r="C3970" s="1">
        <v>28490</v>
      </c>
      <c r="D3970">
        <v>48</v>
      </c>
      <c r="E3970" t="s">
        <v>15</v>
      </c>
      <c r="F3970" t="s">
        <v>16</v>
      </c>
      <c r="G3970" s="1">
        <v>45396</v>
      </c>
      <c r="H3970" s="1">
        <v>45794</v>
      </c>
      <c r="I3970">
        <v>13</v>
      </c>
      <c r="J3970" t="s">
        <v>25</v>
      </c>
      <c r="K3970">
        <v>1354.6</v>
      </c>
    </row>
    <row r="3971" spans="1:11">
      <c r="A3971">
        <v>3970</v>
      </c>
      <c r="B3971" t="s">
        <v>96</v>
      </c>
      <c r="C3971" s="1">
        <v>26664</v>
      </c>
      <c r="D3971">
        <v>53</v>
      </c>
      <c r="E3971" t="s">
        <v>12</v>
      </c>
      <c r="F3971" t="s">
        <v>45</v>
      </c>
      <c r="G3971" s="1">
        <v>45558</v>
      </c>
      <c r="H3971" s="1">
        <v>45116</v>
      </c>
      <c r="I3971">
        <v>38</v>
      </c>
      <c r="K3971">
        <v>12048.25</v>
      </c>
    </row>
    <row r="3972" spans="1:11">
      <c r="A3972">
        <v>3971</v>
      </c>
      <c r="B3972" t="s">
        <v>47</v>
      </c>
      <c r="C3972" s="1">
        <v>42735</v>
      </c>
      <c r="D3972">
        <v>9</v>
      </c>
      <c r="E3972" t="s">
        <v>12</v>
      </c>
      <c r="F3972" t="s">
        <v>13</v>
      </c>
      <c r="G3972" s="1">
        <v>45274</v>
      </c>
      <c r="H3972" s="1">
        <v>44932</v>
      </c>
      <c r="I3972">
        <v>18</v>
      </c>
      <c r="K3972">
        <v>15373.05</v>
      </c>
    </row>
    <row r="3973" spans="1:11">
      <c r="A3973">
        <v>3972</v>
      </c>
      <c r="B3973" t="s">
        <v>39</v>
      </c>
      <c r="C3973" s="1">
        <v>27029</v>
      </c>
      <c r="D3973">
        <v>52</v>
      </c>
      <c r="E3973" t="s">
        <v>12</v>
      </c>
      <c r="F3973" t="s">
        <v>13</v>
      </c>
      <c r="G3973" s="1">
        <v>45528</v>
      </c>
      <c r="H3973" s="1">
        <v>45213</v>
      </c>
      <c r="I3973">
        <v>13</v>
      </c>
      <c r="J3973" t="s">
        <v>23</v>
      </c>
      <c r="K3973">
        <v>2219.58</v>
      </c>
    </row>
    <row r="3974" spans="1:11">
      <c r="A3974">
        <v>3973</v>
      </c>
      <c r="B3974" t="s">
        <v>36</v>
      </c>
      <c r="C3974" s="1">
        <v>30317</v>
      </c>
      <c r="D3974">
        <v>43</v>
      </c>
      <c r="E3974" t="s">
        <v>15</v>
      </c>
      <c r="F3974" t="s">
        <v>45</v>
      </c>
      <c r="G3974" s="1">
        <v>45298</v>
      </c>
      <c r="H3974" s="1">
        <v>45717</v>
      </c>
      <c r="I3974">
        <v>2</v>
      </c>
      <c r="K3974">
        <v>2247.0700000000002</v>
      </c>
    </row>
    <row r="3975" spans="1:11">
      <c r="A3975">
        <v>3974</v>
      </c>
      <c r="B3975" t="s">
        <v>59</v>
      </c>
      <c r="C3975" s="1">
        <v>29221</v>
      </c>
      <c r="D3975">
        <v>46</v>
      </c>
      <c r="F3975" t="s">
        <v>18</v>
      </c>
      <c r="G3975" s="1">
        <v>45101</v>
      </c>
      <c r="H3975" s="1">
        <v>45584</v>
      </c>
      <c r="I3975">
        <v>21</v>
      </c>
      <c r="J3975" t="s">
        <v>23</v>
      </c>
      <c r="K3975">
        <v>7259.17</v>
      </c>
    </row>
    <row r="3976" spans="1:11">
      <c r="A3976">
        <v>3975</v>
      </c>
      <c r="B3976" t="s">
        <v>162</v>
      </c>
      <c r="C3976" s="1">
        <v>27029</v>
      </c>
      <c r="D3976">
        <v>52</v>
      </c>
      <c r="E3976" t="s">
        <v>12</v>
      </c>
      <c r="F3976" t="s">
        <v>45</v>
      </c>
      <c r="G3976" s="1">
        <v>45441</v>
      </c>
      <c r="H3976" s="1">
        <v>45321</v>
      </c>
      <c r="I3976">
        <v>-2</v>
      </c>
      <c r="K3976">
        <v>5405.01</v>
      </c>
    </row>
    <row r="3977" spans="1:11">
      <c r="A3977">
        <v>3976</v>
      </c>
      <c r="B3977" t="s">
        <v>154</v>
      </c>
      <c r="C3977" s="1">
        <v>19359</v>
      </c>
      <c r="D3977">
        <v>73</v>
      </c>
      <c r="F3977" t="s">
        <v>16</v>
      </c>
      <c r="G3977" s="1">
        <v>45056</v>
      </c>
      <c r="H3977" s="1">
        <v>45382</v>
      </c>
      <c r="I3977">
        <v>7</v>
      </c>
      <c r="K3977">
        <v>3886.11</v>
      </c>
    </row>
    <row r="3978" spans="1:11">
      <c r="A3978">
        <v>3977</v>
      </c>
      <c r="B3978" t="s">
        <v>126</v>
      </c>
      <c r="C3978" s="1">
        <v>29586</v>
      </c>
      <c r="D3978">
        <v>45</v>
      </c>
      <c r="E3978" t="s">
        <v>12</v>
      </c>
      <c r="G3978" s="1">
        <v>45492</v>
      </c>
      <c r="H3978" s="1">
        <v>45635</v>
      </c>
      <c r="I3978">
        <v>32</v>
      </c>
      <c r="J3978" t="s">
        <v>19</v>
      </c>
      <c r="K3978">
        <v>3893.75</v>
      </c>
    </row>
    <row r="3979" spans="1:11">
      <c r="A3979">
        <v>3978</v>
      </c>
      <c r="B3979" t="s">
        <v>56</v>
      </c>
      <c r="C3979" s="1">
        <v>41639</v>
      </c>
      <c r="D3979">
        <v>12</v>
      </c>
      <c r="E3979" t="s">
        <v>15</v>
      </c>
      <c r="F3979" t="s">
        <v>21</v>
      </c>
      <c r="G3979" s="1">
        <v>45219</v>
      </c>
      <c r="H3979" s="1">
        <v>45353</v>
      </c>
      <c r="I3979">
        <v>28</v>
      </c>
      <c r="J3979" t="s">
        <v>25</v>
      </c>
      <c r="K3979">
        <v>2526.4499999999998</v>
      </c>
    </row>
    <row r="3980" spans="1:11">
      <c r="A3980">
        <v>3979</v>
      </c>
      <c r="B3980" t="s">
        <v>53</v>
      </c>
      <c r="C3980" s="1">
        <v>32873</v>
      </c>
      <c r="D3980">
        <v>36</v>
      </c>
      <c r="E3980" t="s">
        <v>12</v>
      </c>
      <c r="F3980" t="s">
        <v>16</v>
      </c>
      <c r="G3980" s="1">
        <v>45622</v>
      </c>
      <c r="H3980" s="1">
        <v>44954</v>
      </c>
      <c r="I3980">
        <v>12</v>
      </c>
      <c r="J3980" t="s">
        <v>19</v>
      </c>
      <c r="K3980">
        <v>12178.17</v>
      </c>
    </row>
    <row r="3981" spans="1:11">
      <c r="A3981">
        <v>3980</v>
      </c>
      <c r="B3981" t="s">
        <v>152</v>
      </c>
      <c r="C3981" s="1">
        <v>37622</v>
      </c>
      <c r="D3981">
        <v>23</v>
      </c>
      <c r="E3981" t="s">
        <v>12</v>
      </c>
      <c r="G3981" s="1">
        <v>45279</v>
      </c>
      <c r="H3981" s="1">
        <v>45054</v>
      </c>
      <c r="I3981">
        <v>8</v>
      </c>
      <c r="J3981" t="s">
        <v>23</v>
      </c>
      <c r="K3981">
        <v>13731.32</v>
      </c>
    </row>
    <row r="3982" spans="1:11">
      <c r="A3982">
        <v>3981</v>
      </c>
      <c r="B3982" t="s">
        <v>69</v>
      </c>
      <c r="C3982" s="1">
        <v>45657</v>
      </c>
      <c r="D3982">
        <v>1</v>
      </c>
      <c r="F3982" t="s">
        <v>13</v>
      </c>
      <c r="G3982" s="1">
        <v>45150</v>
      </c>
      <c r="H3982" s="1">
        <v>45062</v>
      </c>
      <c r="I3982">
        <v>6</v>
      </c>
      <c r="J3982" t="s">
        <v>19</v>
      </c>
      <c r="K3982">
        <v>14029.02</v>
      </c>
    </row>
    <row r="3983" spans="1:11">
      <c r="A3983">
        <v>3982</v>
      </c>
      <c r="B3983" t="s">
        <v>30</v>
      </c>
      <c r="C3983" s="1">
        <v>14976</v>
      </c>
      <c r="D3983">
        <v>85</v>
      </c>
      <c r="E3983" t="s">
        <v>15</v>
      </c>
      <c r="F3983" t="s">
        <v>21</v>
      </c>
      <c r="G3983" s="1">
        <v>45450</v>
      </c>
      <c r="H3983" s="1">
        <v>45462</v>
      </c>
      <c r="I3983">
        <v>-1</v>
      </c>
      <c r="K3983">
        <v>10600.31</v>
      </c>
    </row>
    <row r="3984" spans="1:11">
      <c r="A3984">
        <v>3983</v>
      </c>
      <c r="B3984" t="s">
        <v>153</v>
      </c>
      <c r="C3984" s="1">
        <v>16802</v>
      </c>
      <c r="D3984">
        <v>80</v>
      </c>
      <c r="E3984" t="s">
        <v>12</v>
      </c>
      <c r="F3984" t="s">
        <v>32</v>
      </c>
      <c r="G3984" s="1">
        <v>45633</v>
      </c>
      <c r="H3984" s="1">
        <v>45258</v>
      </c>
      <c r="I3984">
        <v>27</v>
      </c>
      <c r="K3984">
        <v>19053.419999999998</v>
      </c>
    </row>
    <row r="3985" spans="1:11">
      <c r="A3985">
        <v>3984</v>
      </c>
      <c r="B3985" t="s">
        <v>65</v>
      </c>
      <c r="C3985" s="1">
        <v>41274</v>
      </c>
      <c r="D3985">
        <v>13</v>
      </c>
      <c r="E3985" t="s">
        <v>15</v>
      </c>
      <c r="F3985" t="s">
        <v>13</v>
      </c>
      <c r="G3985" s="1">
        <v>45435</v>
      </c>
      <c r="H3985" s="1">
        <v>45556</v>
      </c>
      <c r="I3985">
        <v>13</v>
      </c>
      <c r="J3985" t="s">
        <v>25</v>
      </c>
      <c r="K3985">
        <v>17598.71</v>
      </c>
    </row>
    <row r="3986" spans="1:11">
      <c r="A3986">
        <v>3985</v>
      </c>
      <c r="B3986" t="s">
        <v>123</v>
      </c>
      <c r="C3986" s="1">
        <v>42735</v>
      </c>
      <c r="D3986">
        <v>9</v>
      </c>
      <c r="E3986" t="s">
        <v>12</v>
      </c>
      <c r="F3986" t="s">
        <v>18</v>
      </c>
      <c r="G3986" s="1">
        <v>45294</v>
      </c>
      <c r="H3986" s="1">
        <v>45319</v>
      </c>
      <c r="I3986">
        <v>-2</v>
      </c>
      <c r="J3986" t="s">
        <v>23</v>
      </c>
      <c r="K3986">
        <v>19148.39</v>
      </c>
    </row>
    <row r="3987" spans="1:11">
      <c r="A3987">
        <v>3986</v>
      </c>
      <c r="B3987" t="s">
        <v>119</v>
      </c>
      <c r="C3987" s="1">
        <v>33604</v>
      </c>
      <c r="E3987" t="s">
        <v>15</v>
      </c>
      <c r="F3987" t="s">
        <v>45</v>
      </c>
      <c r="G3987" s="1">
        <v>45592</v>
      </c>
      <c r="H3987" s="1">
        <v>44935</v>
      </c>
      <c r="I3987">
        <v>3</v>
      </c>
      <c r="K3987">
        <v>7714.79</v>
      </c>
    </row>
    <row r="3988" spans="1:11">
      <c r="A3988">
        <v>3987</v>
      </c>
      <c r="B3988" t="s">
        <v>171</v>
      </c>
      <c r="C3988" s="1">
        <v>37256</v>
      </c>
      <c r="D3988">
        <v>24</v>
      </c>
      <c r="E3988" t="s">
        <v>15</v>
      </c>
      <c r="F3988" t="s">
        <v>32</v>
      </c>
      <c r="G3988" s="1">
        <v>45516</v>
      </c>
      <c r="H3988" s="1">
        <v>45540</v>
      </c>
      <c r="I3988">
        <v>8</v>
      </c>
      <c r="J3988" t="s">
        <v>25</v>
      </c>
      <c r="K3988">
        <v>17543.439999999999</v>
      </c>
    </row>
    <row r="3989" spans="1:11">
      <c r="A3989">
        <v>3988</v>
      </c>
      <c r="B3989" t="s">
        <v>59</v>
      </c>
      <c r="C3989" s="1">
        <v>45292</v>
      </c>
      <c r="D3989">
        <v>2</v>
      </c>
      <c r="E3989" t="s">
        <v>12</v>
      </c>
      <c r="F3989" t="s">
        <v>16</v>
      </c>
      <c r="G3989" s="1">
        <v>45578</v>
      </c>
      <c r="H3989" s="1">
        <v>45188</v>
      </c>
      <c r="I3989">
        <v>30</v>
      </c>
      <c r="J3989" t="s">
        <v>25</v>
      </c>
      <c r="K3989">
        <v>15233.78</v>
      </c>
    </row>
    <row r="3990" spans="1:11">
      <c r="A3990">
        <v>3989</v>
      </c>
      <c r="B3990" t="s">
        <v>17</v>
      </c>
      <c r="C3990" s="1">
        <v>40178</v>
      </c>
      <c r="D3990">
        <v>16</v>
      </c>
      <c r="E3990" t="s">
        <v>15</v>
      </c>
      <c r="F3990" t="s">
        <v>21</v>
      </c>
      <c r="G3990" s="1">
        <v>45426</v>
      </c>
      <c r="H3990" s="1">
        <v>45126</v>
      </c>
      <c r="I3990">
        <v>14</v>
      </c>
      <c r="K3990">
        <v>6733.46</v>
      </c>
    </row>
    <row r="3991" spans="1:11">
      <c r="A3991">
        <v>3990</v>
      </c>
      <c r="B3991" t="s">
        <v>146</v>
      </c>
      <c r="C3991" s="1">
        <v>42005</v>
      </c>
      <c r="D3991">
        <v>11</v>
      </c>
      <c r="E3991" t="s">
        <v>12</v>
      </c>
      <c r="F3991" t="s">
        <v>32</v>
      </c>
      <c r="G3991" s="1">
        <v>45016</v>
      </c>
      <c r="H3991" s="1">
        <v>45525</v>
      </c>
      <c r="I3991">
        <v>31</v>
      </c>
      <c r="K3991">
        <v>2042.52</v>
      </c>
    </row>
    <row r="3992" spans="1:11">
      <c r="A3992">
        <v>3991</v>
      </c>
      <c r="B3992" t="s">
        <v>80</v>
      </c>
      <c r="C3992" s="1">
        <v>26664</v>
      </c>
      <c r="D3992">
        <v>53</v>
      </c>
      <c r="E3992" t="s">
        <v>12</v>
      </c>
      <c r="F3992" t="s">
        <v>18</v>
      </c>
      <c r="G3992" s="1">
        <v>45582</v>
      </c>
      <c r="H3992" s="1">
        <v>45667</v>
      </c>
      <c r="I3992">
        <v>37</v>
      </c>
      <c r="J3992" t="s">
        <v>23</v>
      </c>
      <c r="K3992">
        <v>13620.69</v>
      </c>
    </row>
    <row r="3993" spans="1:11">
      <c r="A3993">
        <v>3992</v>
      </c>
      <c r="B3993" t="s">
        <v>104</v>
      </c>
      <c r="C3993" s="1">
        <v>37622</v>
      </c>
      <c r="D3993">
        <v>23</v>
      </c>
      <c r="E3993" t="s">
        <v>15</v>
      </c>
      <c r="F3993" t="s">
        <v>45</v>
      </c>
      <c r="G3993" s="1">
        <v>44998</v>
      </c>
      <c r="H3993" s="1">
        <v>45313</v>
      </c>
      <c r="I3993">
        <v>22</v>
      </c>
      <c r="J3993" t="s">
        <v>25</v>
      </c>
      <c r="K3993">
        <v>2642.69</v>
      </c>
    </row>
    <row r="3994" spans="1:11">
      <c r="A3994">
        <v>3993</v>
      </c>
      <c r="B3994" t="s">
        <v>65</v>
      </c>
      <c r="C3994" s="1">
        <v>35795</v>
      </c>
      <c r="D3994">
        <v>28</v>
      </c>
      <c r="E3994" t="s">
        <v>15</v>
      </c>
      <c r="F3994" t="s">
        <v>32</v>
      </c>
      <c r="G3994" s="1">
        <v>45359</v>
      </c>
      <c r="H3994" s="1">
        <v>45399</v>
      </c>
      <c r="I3994">
        <v>19</v>
      </c>
      <c r="J3994" t="s">
        <v>25</v>
      </c>
      <c r="K3994">
        <v>5804.89</v>
      </c>
    </row>
    <row r="3995" spans="1:11">
      <c r="A3995">
        <v>3994</v>
      </c>
      <c r="B3995" t="s">
        <v>138</v>
      </c>
      <c r="D3995">
        <v>42</v>
      </c>
      <c r="E3995" t="s">
        <v>12</v>
      </c>
      <c r="F3995" t="s">
        <v>16</v>
      </c>
      <c r="G3995" s="1">
        <v>45615</v>
      </c>
      <c r="H3995" s="1">
        <v>45106</v>
      </c>
      <c r="I3995">
        <v>23</v>
      </c>
      <c r="J3995" t="s">
        <v>25</v>
      </c>
      <c r="K3995">
        <v>9957.33</v>
      </c>
    </row>
    <row r="3996" spans="1:11">
      <c r="A3996">
        <v>3995</v>
      </c>
      <c r="B3996" t="s">
        <v>72</v>
      </c>
      <c r="C3996" s="1">
        <v>37256</v>
      </c>
      <c r="D3996">
        <v>24</v>
      </c>
      <c r="E3996" t="s">
        <v>15</v>
      </c>
      <c r="F3996" t="s">
        <v>21</v>
      </c>
      <c r="G3996" s="1">
        <v>45274</v>
      </c>
      <c r="H3996" s="1">
        <v>45377</v>
      </c>
      <c r="I3996">
        <v>24</v>
      </c>
      <c r="J3996" t="s">
        <v>23</v>
      </c>
      <c r="K3996">
        <v>13565.64</v>
      </c>
    </row>
    <row r="3997" spans="1:11">
      <c r="A3997">
        <v>3996</v>
      </c>
      <c r="B3997" t="s">
        <v>171</v>
      </c>
      <c r="C3997" s="1">
        <v>24473</v>
      </c>
      <c r="D3997">
        <v>59</v>
      </c>
      <c r="E3997" t="s">
        <v>12</v>
      </c>
      <c r="F3997" t="s">
        <v>32</v>
      </c>
      <c r="G3997" s="1">
        <v>45189</v>
      </c>
      <c r="H3997" s="1">
        <v>45167</v>
      </c>
      <c r="I3997">
        <v>35</v>
      </c>
      <c r="J3997" t="s">
        <v>25</v>
      </c>
      <c r="K3997">
        <v>18517.18</v>
      </c>
    </row>
    <row r="3998" spans="1:11">
      <c r="A3998">
        <v>3997</v>
      </c>
      <c r="B3998" t="s">
        <v>41</v>
      </c>
      <c r="C3998" s="1">
        <v>13515</v>
      </c>
      <c r="D3998">
        <v>89</v>
      </c>
      <c r="F3998" t="s">
        <v>45</v>
      </c>
      <c r="G3998" s="1">
        <v>45197</v>
      </c>
      <c r="H3998" s="1">
        <v>45451</v>
      </c>
      <c r="I3998">
        <v>6</v>
      </c>
      <c r="J3998" t="s">
        <v>19</v>
      </c>
      <c r="K3998">
        <v>11824.12</v>
      </c>
    </row>
    <row r="3999" spans="1:11">
      <c r="A3999">
        <v>3998</v>
      </c>
      <c r="B3999" t="s">
        <v>98</v>
      </c>
      <c r="C3999" s="1">
        <v>22646</v>
      </c>
      <c r="D3999">
        <v>64</v>
      </c>
      <c r="E3999" t="s">
        <v>15</v>
      </c>
      <c r="F3999" t="s">
        <v>16</v>
      </c>
      <c r="G3999" s="1">
        <v>45435</v>
      </c>
      <c r="H3999" s="1">
        <v>45742</v>
      </c>
      <c r="I3999">
        <v>34</v>
      </c>
      <c r="J3999" t="s">
        <v>19</v>
      </c>
      <c r="K3999">
        <v>13395.4</v>
      </c>
    </row>
    <row r="4000" spans="1:11">
      <c r="A4000">
        <v>3999</v>
      </c>
      <c r="B4000" t="s">
        <v>139</v>
      </c>
      <c r="C4000" s="1">
        <v>15707</v>
      </c>
      <c r="D4000">
        <v>83</v>
      </c>
      <c r="E4000" t="s">
        <v>15</v>
      </c>
      <c r="F4000" t="s">
        <v>32</v>
      </c>
      <c r="G4000" s="1">
        <v>45434</v>
      </c>
      <c r="H4000" s="1">
        <v>45673</v>
      </c>
      <c r="I4000">
        <v>2</v>
      </c>
      <c r="J4000" t="s">
        <v>25</v>
      </c>
      <c r="K4000">
        <v>6131.28</v>
      </c>
    </row>
    <row r="4001" spans="1:11">
      <c r="A4001">
        <v>4000</v>
      </c>
      <c r="B4001" t="s">
        <v>85</v>
      </c>
      <c r="C4001" s="1">
        <v>36161</v>
      </c>
      <c r="D4001">
        <v>27</v>
      </c>
      <c r="E4001" t="s">
        <v>15</v>
      </c>
      <c r="F4001" t="s">
        <v>21</v>
      </c>
      <c r="G4001" s="1">
        <v>45543</v>
      </c>
      <c r="H4001" s="1">
        <v>45110</v>
      </c>
      <c r="I4001">
        <v>15</v>
      </c>
      <c r="J4001" t="s">
        <v>19</v>
      </c>
      <c r="K4001">
        <v>13714.58</v>
      </c>
    </row>
    <row r="4002" spans="1:11">
      <c r="A4002">
        <v>4001</v>
      </c>
      <c r="B4002" t="s">
        <v>102</v>
      </c>
      <c r="C4002" s="1">
        <v>40544</v>
      </c>
      <c r="D4002">
        <v>15</v>
      </c>
      <c r="E4002" t="s">
        <v>12</v>
      </c>
      <c r="F4002" t="s">
        <v>45</v>
      </c>
      <c r="G4002" s="1">
        <v>45346</v>
      </c>
      <c r="H4002" s="1">
        <v>45721</v>
      </c>
      <c r="I4002">
        <v>19</v>
      </c>
      <c r="J4002" t="s">
        <v>19</v>
      </c>
      <c r="K4002">
        <v>8699.58</v>
      </c>
    </row>
    <row r="4003" spans="1:11">
      <c r="A4003">
        <v>4002</v>
      </c>
      <c r="B4003" t="s">
        <v>22</v>
      </c>
      <c r="C4003" s="1">
        <v>29221</v>
      </c>
      <c r="E4003" t="s">
        <v>15</v>
      </c>
      <c r="F4003" t="s">
        <v>18</v>
      </c>
      <c r="G4003" s="1">
        <v>44998</v>
      </c>
      <c r="H4003" s="1">
        <v>45285</v>
      </c>
      <c r="I4003">
        <v>9</v>
      </c>
      <c r="J4003" t="s">
        <v>23</v>
      </c>
      <c r="K4003">
        <v>17124.32</v>
      </c>
    </row>
    <row r="4004" spans="1:11">
      <c r="A4004">
        <v>4003</v>
      </c>
      <c r="B4004" t="s">
        <v>83</v>
      </c>
      <c r="C4004" s="1">
        <v>16802</v>
      </c>
      <c r="D4004">
        <v>80</v>
      </c>
      <c r="E4004" t="s">
        <v>15</v>
      </c>
      <c r="F4004" t="s">
        <v>18</v>
      </c>
      <c r="G4004" s="1">
        <v>45000</v>
      </c>
      <c r="H4004" s="1">
        <v>45303</v>
      </c>
      <c r="I4004">
        <v>19</v>
      </c>
      <c r="J4004" t="s">
        <v>25</v>
      </c>
      <c r="K4004">
        <v>7788.26</v>
      </c>
    </row>
    <row r="4005" spans="1:11">
      <c r="A4005">
        <v>4004</v>
      </c>
      <c r="B4005" t="s">
        <v>85</v>
      </c>
      <c r="C4005" s="1">
        <v>12785</v>
      </c>
      <c r="D4005">
        <v>91</v>
      </c>
      <c r="E4005" t="s">
        <v>12</v>
      </c>
      <c r="F4005" t="s">
        <v>13</v>
      </c>
      <c r="G4005" s="1">
        <v>45581</v>
      </c>
      <c r="H4005" s="1">
        <v>45629</v>
      </c>
      <c r="I4005">
        <v>3</v>
      </c>
      <c r="J4005" t="s">
        <v>23</v>
      </c>
      <c r="K4005">
        <v>9312.27</v>
      </c>
    </row>
    <row r="4006" spans="1:11">
      <c r="A4006">
        <v>4005</v>
      </c>
      <c r="B4006" t="s">
        <v>112</v>
      </c>
      <c r="D4006">
        <v>57</v>
      </c>
      <c r="E4006" t="s">
        <v>12</v>
      </c>
      <c r="F4006" t="s">
        <v>32</v>
      </c>
      <c r="G4006" s="1">
        <v>45429</v>
      </c>
      <c r="H4006" s="1">
        <v>45765</v>
      </c>
      <c r="I4006">
        <v>33</v>
      </c>
      <c r="J4006" t="s">
        <v>25</v>
      </c>
      <c r="K4006">
        <v>8595.01</v>
      </c>
    </row>
    <row r="4007" spans="1:11">
      <c r="A4007">
        <v>4006</v>
      </c>
      <c r="B4007" t="s">
        <v>29</v>
      </c>
      <c r="D4007">
        <v>75</v>
      </c>
      <c r="E4007" t="s">
        <v>15</v>
      </c>
      <c r="F4007" t="s">
        <v>21</v>
      </c>
      <c r="G4007" s="1">
        <v>45500</v>
      </c>
      <c r="H4007" s="1">
        <v>45654</v>
      </c>
      <c r="I4007">
        <v>24</v>
      </c>
      <c r="K4007">
        <v>16203.57</v>
      </c>
    </row>
    <row r="4008" spans="1:11">
      <c r="A4008">
        <v>4007</v>
      </c>
      <c r="B4008" t="s">
        <v>93</v>
      </c>
      <c r="C4008" s="1">
        <v>36526</v>
      </c>
      <c r="D4008">
        <v>26</v>
      </c>
      <c r="E4008" t="s">
        <v>15</v>
      </c>
      <c r="F4008" t="s">
        <v>32</v>
      </c>
      <c r="G4008" s="1">
        <v>45072</v>
      </c>
      <c r="H4008" s="1">
        <v>45697</v>
      </c>
      <c r="I4008">
        <v>12</v>
      </c>
      <c r="J4008" t="s">
        <v>19</v>
      </c>
      <c r="K4008">
        <v>19069.349999999999</v>
      </c>
    </row>
    <row r="4009" spans="1:11">
      <c r="A4009">
        <v>4008</v>
      </c>
      <c r="B4009" t="s">
        <v>133</v>
      </c>
      <c r="C4009" s="1">
        <v>27029</v>
      </c>
      <c r="D4009">
        <v>52</v>
      </c>
      <c r="F4009" t="s">
        <v>45</v>
      </c>
      <c r="G4009" s="1">
        <v>44972</v>
      </c>
      <c r="H4009" s="1">
        <v>45465</v>
      </c>
      <c r="I4009">
        <v>14</v>
      </c>
      <c r="J4009" t="s">
        <v>23</v>
      </c>
      <c r="K4009">
        <v>6478.25</v>
      </c>
    </row>
    <row r="4010" spans="1:11">
      <c r="A4010">
        <v>4009</v>
      </c>
      <c r="B4010" t="s">
        <v>147</v>
      </c>
      <c r="C4010" s="1">
        <v>31047</v>
      </c>
      <c r="D4010">
        <v>41</v>
      </c>
      <c r="E4010" t="s">
        <v>12</v>
      </c>
      <c r="F4010" t="s">
        <v>13</v>
      </c>
      <c r="G4010" s="1">
        <v>45031</v>
      </c>
      <c r="H4010" s="1">
        <v>45709</v>
      </c>
      <c r="I4010">
        <v>0</v>
      </c>
      <c r="J4010" t="s">
        <v>23</v>
      </c>
      <c r="K4010">
        <v>9448.06</v>
      </c>
    </row>
    <row r="4011" spans="1:11">
      <c r="A4011">
        <v>4010</v>
      </c>
      <c r="B4011" t="s">
        <v>148</v>
      </c>
      <c r="C4011" s="1">
        <v>24838</v>
      </c>
      <c r="D4011">
        <v>58</v>
      </c>
      <c r="E4011" t="s">
        <v>12</v>
      </c>
      <c r="F4011" t="s">
        <v>21</v>
      </c>
      <c r="G4011" s="1">
        <v>45035</v>
      </c>
      <c r="H4011" s="1">
        <v>45009</v>
      </c>
      <c r="I4011">
        <v>7</v>
      </c>
      <c r="K4011">
        <v>14089.12</v>
      </c>
    </row>
    <row r="4012" spans="1:11">
      <c r="A4012">
        <v>4011</v>
      </c>
      <c r="B4012" t="s">
        <v>165</v>
      </c>
      <c r="C4012" s="1">
        <v>29221</v>
      </c>
      <c r="D4012">
        <v>46</v>
      </c>
      <c r="E4012" t="s">
        <v>12</v>
      </c>
      <c r="F4012" t="s">
        <v>32</v>
      </c>
      <c r="G4012" s="1">
        <v>45243</v>
      </c>
      <c r="H4012" s="1">
        <v>45285</v>
      </c>
      <c r="I4012">
        <v>22</v>
      </c>
      <c r="K4012">
        <v>17897.169999999998</v>
      </c>
    </row>
    <row r="4013" spans="1:11">
      <c r="A4013">
        <v>4012</v>
      </c>
      <c r="B4013" t="s">
        <v>130</v>
      </c>
      <c r="C4013" s="1">
        <v>12054</v>
      </c>
      <c r="D4013">
        <v>93</v>
      </c>
      <c r="F4013" t="s">
        <v>21</v>
      </c>
      <c r="G4013" s="1">
        <v>45047</v>
      </c>
      <c r="H4013" s="1">
        <v>45112</v>
      </c>
      <c r="I4013">
        <v>18</v>
      </c>
      <c r="J4013" t="s">
        <v>19</v>
      </c>
      <c r="K4013">
        <v>9823.3799999999992</v>
      </c>
    </row>
    <row r="4014" spans="1:11">
      <c r="A4014">
        <v>4013</v>
      </c>
      <c r="B4014" t="s">
        <v>88</v>
      </c>
      <c r="C4014" s="1">
        <v>33969</v>
      </c>
      <c r="D4014">
        <v>33</v>
      </c>
      <c r="E4014" t="s">
        <v>12</v>
      </c>
      <c r="F4014" t="s">
        <v>45</v>
      </c>
      <c r="G4014" s="1">
        <v>45425</v>
      </c>
      <c r="H4014" s="1">
        <v>45215</v>
      </c>
      <c r="I4014">
        <v>37</v>
      </c>
      <c r="J4014" t="s">
        <v>19</v>
      </c>
      <c r="K4014">
        <v>2088.7600000000002</v>
      </c>
    </row>
    <row r="4015" spans="1:11">
      <c r="A4015">
        <v>4014</v>
      </c>
      <c r="B4015" t="s">
        <v>28</v>
      </c>
      <c r="C4015" s="1">
        <v>32873</v>
      </c>
      <c r="D4015">
        <v>36</v>
      </c>
      <c r="E4015" t="s">
        <v>12</v>
      </c>
      <c r="F4015" t="s">
        <v>13</v>
      </c>
      <c r="G4015" s="1">
        <v>44969</v>
      </c>
      <c r="H4015" s="1">
        <v>44989</v>
      </c>
      <c r="I4015">
        <v>6</v>
      </c>
      <c r="J4015" t="s">
        <v>25</v>
      </c>
      <c r="K4015">
        <v>7310.29</v>
      </c>
    </row>
    <row r="4016" spans="1:11">
      <c r="A4016">
        <v>4015</v>
      </c>
      <c r="B4016" t="s">
        <v>52</v>
      </c>
      <c r="C4016" s="1">
        <v>44196</v>
      </c>
      <c r="D4016">
        <v>5</v>
      </c>
      <c r="E4016" t="s">
        <v>12</v>
      </c>
      <c r="F4016" t="s">
        <v>21</v>
      </c>
      <c r="G4016" s="1">
        <v>45025</v>
      </c>
      <c r="H4016" s="1">
        <v>45810</v>
      </c>
      <c r="I4016">
        <v>21</v>
      </c>
      <c r="J4016" t="s">
        <v>25</v>
      </c>
      <c r="K4016">
        <v>10962.27</v>
      </c>
    </row>
    <row r="4017" spans="1:11">
      <c r="A4017">
        <v>4016</v>
      </c>
      <c r="B4017" t="s">
        <v>147</v>
      </c>
      <c r="C4017" s="1">
        <v>43831</v>
      </c>
      <c r="D4017">
        <v>6</v>
      </c>
      <c r="E4017" t="s">
        <v>12</v>
      </c>
      <c r="F4017" t="s">
        <v>45</v>
      </c>
      <c r="G4017" s="1">
        <v>45632</v>
      </c>
      <c r="H4017" s="1">
        <v>45434</v>
      </c>
      <c r="I4017">
        <v>29</v>
      </c>
      <c r="K4017">
        <v>8292.24</v>
      </c>
    </row>
    <row r="4018" spans="1:11">
      <c r="A4018">
        <v>4017</v>
      </c>
      <c r="B4018" t="s">
        <v>158</v>
      </c>
      <c r="C4018" s="1">
        <v>37256</v>
      </c>
      <c r="D4018">
        <v>24</v>
      </c>
      <c r="E4018" t="s">
        <v>15</v>
      </c>
      <c r="F4018" t="s">
        <v>18</v>
      </c>
      <c r="G4018" s="1">
        <v>45237</v>
      </c>
      <c r="H4018" s="1">
        <v>45389</v>
      </c>
      <c r="I4018">
        <v>0</v>
      </c>
      <c r="J4018" t="s">
        <v>19</v>
      </c>
      <c r="K4018">
        <v>3649.77</v>
      </c>
    </row>
    <row r="4019" spans="1:11">
      <c r="A4019">
        <v>4018</v>
      </c>
      <c r="B4019" t="s">
        <v>154</v>
      </c>
      <c r="C4019" s="1">
        <v>34334</v>
      </c>
      <c r="D4019">
        <v>32</v>
      </c>
      <c r="E4019" t="s">
        <v>15</v>
      </c>
      <c r="F4019" t="s">
        <v>21</v>
      </c>
      <c r="G4019" s="1">
        <v>45140</v>
      </c>
      <c r="H4019" s="1">
        <v>44957</v>
      </c>
      <c r="I4019">
        <v>30</v>
      </c>
      <c r="J4019" t="s">
        <v>19</v>
      </c>
      <c r="K4019">
        <v>643.49</v>
      </c>
    </row>
    <row r="4020" spans="1:11">
      <c r="A4020">
        <v>4019</v>
      </c>
      <c r="B4020" t="s">
        <v>79</v>
      </c>
      <c r="C4020" s="1">
        <v>26299</v>
      </c>
      <c r="D4020">
        <v>54</v>
      </c>
      <c r="E4020" t="s">
        <v>12</v>
      </c>
      <c r="F4020" t="s">
        <v>13</v>
      </c>
      <c r="G4020" s="1">
        <v>45389</v>
      </c>
      <c r="H4020" s="1">
        <v>44958</v>
      </c>
      <c r="I4020">
        <v>9</v>
      </c>
      <c r="K4020">
        <v>13716.91</v>
      </c>
    </row>
    <row r="4021" spans="1:11">
      <c r="A4021">
        <v>4020</v>
      </c>
      <c r="B4021" t="s">
        <v>126</v>
      </c>
      <c r="C4021" s="1">
        <v>25203</v>
      </c>
      <c r="D4021">
        <v>57</v>
      </c>
      <c r="E4021" t="s">
        <v>15</v>
      </c>
      <c r="G4021" s="1">
        <v>45349</v>
      </c>
      <c r="H4021" s="1">
        <v>45220</v>
      </c>
      <c r="I4021">
        <v>26</v>
      </c>
      <c r="K4021">
        <v>19854.02</v>
      </c>
    </row>
    <row r="4022" spans="1:11">
      <c r="A4022">
        <v>4021</v>
      </c>
      <c r="B4022" t="s">
        <v>60</v>
      </c>
      <c r="C4022" s="1">
        <v>43831</v>
      </c>
      <c r="D4022">
        <v>6</v>
      </c>
      <c r="E4022" t="s">
        <v>12</v>
      </c>
      <c r="F4022" t="s">
        <v>16</v>
      </c>
      <c r="G4022" s="1">
        <v>45315</v>
      </c>
      <c r="H4022" s="1">
        <v>45100</v>
      </c>
      <c r="I4022">
        <v>18</v>
      </c>
      <c r="J4022" t="s">
        <v>23</v>
      </c>
      <c r="K4022">
        <v>18376.05</v>
      </c>
    </row>
    <row r="4023" spans="1:11">
      <c r="A4023">
        <v>4022</v>
      </c>
      <c r="B4023" t="s">
        <v>122</v>
      </c>
      <c r="D4023">
        <v>56</v>
      </c>
      <c r="E4023" t="s">
        <v>15</v>
      </c>
      <c r="F4023" t="s">
        <v>16</v>
      </c>
      <c r="G4023" s="1">
        <v>45623</v>
      </c>
      <c r="H4023" s="1">
        <v>45541</v>
      </c>
      <c r="I4023">
        <v>36</v>
      </c>
      <c r="K4023">
        <v>13633.75</v>
      </c>
    </row>
    <row r="4024" spans="1:11">
      <c r="A4024">
        <v>4023</v>
      </c>
      <c r="B4024" t="s">
        <v>143</v>
      </c>
      <c r="C4024" s="1">
        <v>42005</v>
      </c>
      <c r="D4024">
        <v>11</v>
      </c>
      <c r="E4024" t="s">
        <v>12</v>
      </c>
      <c r="F4024" t="s">
        <v>21</v>
      </c>
      <c r="G4024" s="1">
        <v>45038</v>
      </c>
      <c r="H4024" s="1">
        <v>45055</v>
      </c>
      <c r="I4024">
        <v>31</v>
      </c>
      <c r="J4024" t="s">
        <v>23</v>
      </c>
      <c r="K4024">
        <v>16814.75</v>
      </c>
    </row>
    <row r="4025" spans="1:11">
      <c r="A4025">
        <v>4024</v>
      </c>
      <c r="B4025" t="s">
        <v>58</v>
      </c>
      <c r="C4025" s="1">
        <v>40544</v>
      </c>
      <c r="D4025">
        <v>15</v>
      </c>
      <c r="E4025" t="s">
        <v>15</v>
      </c>
      <c r="F4025" t="s">
        <v>21</v>
      </c>
      <c r="G4025" s="1">
        <v>45198</v>
      </c>
      <c r="H4025" s="1">
        <v>45013</v>
      </c>
      <c r="I4025">
        <v>30</v>
      </c>
      <c r="J4025" t="s">
        <v>25</v>
      </c>
      <c r="K4025">
        <v>5040.13</v>
      </c>
    </row>
    <row r="4026" spans="1:11">
      <c r="A4026">
        <v>4025</v>
      </c>
      <c r="B4026" t="s">
        <v>151</v>
      </c>
      <c r="C4026" s="1">
        <v>17168</v>
      </c>
      <c r="D4026">
        <v>79</v>
      </c>
      <c r="E4026" t="s">
        <v>12</v>
      </c>
      <c r="F4026" t="s">
        <v>45</v>
      </c>
      <c r="G4026" s="1">
        <v>45028</v>
      </c>
      <c r="H4026" s="1">
        <v>45242</v>
      </c>
      <c r="I4026">
        <v>29</v>
      </c>
      <c r="K4026">
        <v>12410.93</v>
      </c>
    </row>
    <row r="4027" spans="1:11">
      <c r="A4027">
        <v>4026</v>
      </c>
      <c r="B4027" t="s">
        <v>116</v>
      </c>
      <c r="C4027" s="1">
        <v>30682</v>
      </c>
      <c r="D4027">
        <v>42</v>
      </c>
      <c r="E4027" t="s">
        <v>12</v>
      </c>
      <c r="F4027" t="s">
        <v>32</v>
      </c>
      <c r="G4027" s="1">
        <v>45136</v>
      </c>
      <c r="H4027" s="1">
        <v>44955</v>
      </c>
      <c r="I4027">
        <v>17</v>
      </c>
      <c r="K4027">
        <v>1118.1400000000001</v>
      </c>
    </row>
    <row r="4028" spans="1:11">
      <c r="A4028">
        <v>4027</v>
      </c>
      <c r="B4028" t="s">
        <v>84</v>
      </c>
      <c r="C4028" s="1">
        <v>18263</v>
      </c>
      <c r="E4028" t="s">
        <v>15</v>
      </c>
      <c r="F4028" t="s">
        <v>16</v>
      </c>
      <c r="G4028" s="1">
        <v>44948</v>
      </c>
      <c r="H4028" s="1">
        <v>45049</v>
      </c>
      <c r="I4028">
        <v>0</v>
      </c>
      <c r="K4028">
        <v>14114.4</v>
      </c>
    </row>
    <row r="4029" spans="1:11">
      <c r="A4029">
        <v>4028</v>
      </c>
      <c r="B4029" t="s">
        <v>82</v>
      </c>
      <c r="C4029" s="1">
        <v>43831</v>
      </c>
      <c r="D4029">
        <v>6</v>
      </c>
      <c r="E4029" t="s">
        <v>12</v>
      </c>
      <c r="F4029" t="s">
        <v>32</v>
      </c>
      <c r="G4029" s="1">
        <v>45085</v>
      </c>
      <c r="H4029" s="1">
        <v>45178</v>
      </c>
      <c r="I4029">
        <v>1</v>
      </c>
      <c r="J4029" t="s">
        <v>23</v>
      </c>
      <c r="K4029">
        <v>19394.43</v>
      </c>
    </row>
    <row r="4030" spans="1:11">
      <c r="A4030">
        <v>4029</v>
      </c>
      <c r="B4030" t="s">
        <v>50</v>
      </c>
      <c r="C4030" s="1">
        <v>27760</v>
      </c>
      <c r="D4030">
        <v>50</v>
      </c>
      <c r="E4030" t="s">
        <v>15</v>
      </c>
      <c r="F4030" t="s">
        <v>16</v>
      </c>
      <c r="G4030" s="1">
        <v>45269</v>
      </c>
      <c r="H4030" s="1">
        <v>45500</v>
      </c>
      <c r="I4030">
        <v>14</v>
      </c>
      <c r="K4030">
        <v>17202.03</v>
      </c>
    </row>
    <row r="4031" spans="1:11">
      <c r="A4031">
        <v>4030</v>
      </c>
      <c r="B4031" t="s">
        <v>151</v>
      </c>
      <c r="C4031" s="1">
        <v>19724</v>
      </c>
      <c r="D4031">
        <v>72</v>
      </c>
      <c r="E4031" t="s">
        <v>15</v>
      </c>
      <c r="F4031" t="s">
        <v>21</v>
      </c>
      <c r="G4031" s="1">
        <v>45326</v>
      </c>
      <c r="H4031" s="1">
        <v>45330</v>
      </c>
      <c r="I4031">
        <v>14</v>
      </c>
      <c r="K4031">
        <v>10642.26</v>
      </c>
    </row>
    <row r="4032" spans="1:11">
      <c r="A4032">
        <v>4031</v>
      </c>
      <c r="B4032" t="s">
        <v>24</v>
      </c>
      <c r="C4032" s="1">
        <v>34700</v>
      </c>
      <c r="D4032">
        <v>31</v>
      </c>
      <c r="E4032" t="s">
        <v>15</v>
      </c>
      <c r="F4032" t="s">
        <v>13</v>
      </c>
      <c r="G4032" s="1">
        <v>45380</v>
      </c>
      <c r="H4032" s="1">
        <v>45610</v>
      </c>
      <c r="I4032">
        <v>16</v>
      </c>
      <c r="J4032" t="s">
        <v>19</v>
      </c>
      <c r="K4032">
        <v>15753.68</v>
      </c>
    </row>
    <row r="4033" spans="1:11">
      <c r="A4033">
        <v>4032</v>
      </c>
      <c r="B4033" t="s">
        <v>92</v>
      </c>
      <c r="C4033" s="1">
        <v>18994</v>
      </c>
      <c r="D4033">
        <v>74</v>
      </c>
      <c r="E4033" t="s">
        <v>15</v>
      </c>
      <c r="F4033" t="s">
        <v>13</v>
      </c>
      <c r="G4033" s="1">
        <v>45625</v>
      </c>
      <c r="H4033" s="1">
        <v>45370</v>
      </c>
      <c r="I4033">
        <v>1</v>
      </c>
      <c r="J4033" t="s">
        <v>19</v>
      </c>
      <c r="K4033">
        <v>18872.37</v>
      </c>
    </row>
    <row r="4034" spans="1:11">
      <c r="A4034">
        <v>4033</v>
      </c>
      <c r="B4034" t="s">
        <v>84</v>
      </c>
      <c r="D4034">
        <v>7</v>
      </c>
      <c r="G4034" s="1">
        <v>45069</v>
      </c>
      <c r="H4034" s="1">
        <v>45199</v>
      </c>
      <c r="I4034">
        <v>26</v>
      </c>
      <c r="J4034" t="s">
        <v>19</v>
      </c>
      <c r="K4034">
        <v>4241.95</v>
      </c>
    </row>
    <row r="4035" spans="1:11">
      <c r="A4035">
        <v>4034</v>
      </c>
      <c r="B4035" t="s">
        <v>143</v>
      </c>
      <c r="C4035" s="1">
        <v>14611</v>
      </c>
      <c r="D4035">
        <v>86</v>
      </c>
      <c r="E4035" t="s">
        <v>15</v>
      </c>
      <c r="F4035" t="s">
        <v>16</v>
      </c>
      <c r="G4035" s="1">
        <v>45323</v>
      </c>
      <c r="H4035" s="1">
        <v>45764</v>
      </c>
      <c r="I4035">
        <v>14</v>
      </c>
      <c r="K4035">
        <v>15844.5</v>
      </c>
    </row>
    <row r="4036" spans="1:11">
      <c r="A4036">
        <v>4035</v>
      </c>
      <c r="B4036" t="s">
        <v>27</v>
      </c>
      <c r="C4036" s="1">
        <v>13880</v>
      </c>
      <c r="D4036">
        <v>88</v>
      </c>
      <c r="E4036" t="s">
        <v>12</v>
      </c>
      <c r="F4036" t="s">
        <v>16</v>
      </c>
      <c r="G4036" s="1">
        <v>45462</v>
      </c>
      <c r="H4036" s="1">
        <v>45739</v>
      </c>
      <c r="I4036">
        <v>19</v>
      </c>
      <c r="J4036" t="s">
        <v>19</v>
      </c>
      <c r="K4036">
        <v>5323.92</v>
      </c>
    </row>
    <row r="4037" spans="1:11">
      <c r="A4037">
        <v>4036</v>
      </c>
      <c r="B4037" t="s">
        <v>17</v>
      </c>
      <c r="C4037" s="1">
        <v>20090</v>
      </c>
      <c r="D4037">
        <v>71</v>
      </c>
      <c r="E4037" t="s">
        <v>15</v>
      </c>
      <c r="F4037" t="s">
        <v>45</v>
      </c>
      <c r="G4037" s="1">
        <v>45067</v>
      </c>
      <c r="H4037" s="1">
        <v>45040</v>
      </c>
      <c r="I4037">
        <v>-1</v>
      </c>
      <c r="J4037" t="s">
        <v>25</v>
      </c>
      <c r="K4037">
        <v>17526.64</v>
      </c>
    </row>
    <row r="4038" spans="1:11">
      <c r="A4038">
        <v>4037</v>
      </c>
      <c r="B4038" t="s">
        <v>93</v>
      </c>
      <c r="C4038" s="1">
        <v>29951</v>
      </c>
      <c r="D4038">
        <v>44</v>
      </c>
      <c r="E4038" t="s">
        <v>12</v>
      </c>
      <c r="F4038" t="s">
        <v>21</v>
      </c>
      <c r="G4038" s="1">
        <v>45166</v>
      </c>
      <c r="H4038" s="1">
        <v>45633</v>
      </c>
      <c r="I4038">
        <v>39</v>
      </c>
      <c r="J4038" t="s">
        <v>19</v>
      </c>
      <c r="K4038">
        <v>1876.93</v>
      </c>
    </row>
    <row r="4039" spans="1:11">
      <c r="A4039">
        <v>4038</v>
      </c>
      <c r="B4039" t="s">
        <v>164</v>
      </c>
      <c r="C4039" s="1">
        <v>14976</v>
      </c>
      <c r="D4039">
        <v>85</v>
      </c>
      <c r="E4039" t="s">
        <v>15</v>
      </c>
      <c r="F4039" t="s">
        <v>21</v>
      </c>
      <c r="G4039" s="1">
        <v>45218</v>
      </c>
      <c r="H4039" s="1">
        <v>45321</v>
      </c>
      <c r="I4039">
        <v>9</v>
      </c>
      <c r="K4039">
        <v>3482.19</v>
      </c>
    </row>
    <row r="4040" spans="1:11">
      <c r="A4040">
        <v>4039</v>
      </c>
      <c r="B4040" t="s">
        <v>94</v>
      </c>
      <c r="C4040" s="1">
        <v>24838</v>
      </c>
      <c r="D4040">
        <v>58</v>
      </c>
      <c r="E4040" t="s">
        <v>12</v>
      </c>
      <c r="G4040" s="1">
        <v>45008</v>
      </c>
      <c r="H4040" s="1">
        <v>44946</v>
      </c>
      <c r="I4040">
        <v>8</v>
      </c>
      <c r="J4040" t="s">
        <v>19</v>
      </c>
      <c r="K4040">
        <v>14384.39</v>
      </c>
    </row>
    <row r="4041" spans="1:11">
      <c r="A4041">
        <v>4040</v>
      </c>
      <c r="B4041" t="s">
        <v>116</v>
      </c>
      <c r="C4041" s="1">
        <v>44927</v>
      </c>
      <c r="D4041">
        <v>3</v>
      </c>
      <c r="E4041" t="s">
        <v>12</v>
      </c>
      <c r="F4041" t="s">
        <v>32</v>
      </c>
      <c r="G4041" s="1">
        <v>45486</v>
      </c>
      <c r="H4041" s="1">
        <v>45779</v>
      </c>
      <c r="I4041">
        <v>37</v>
      </c>
      <c r="J4041" t="s">
        <v>19</v>
      </c>
      <c r="K4041">
        <v>3413.03</v>
      </c>
    </row>
    <row r="4042" spans="1:11">
      <c r="A4042">
        <v>4041</v>
      </c>
      <c r="B4042" t="s">
        <v>141</v>
      </c>
      <c r="C4042" s="1">
        <v>21916</v>
      </c>
      <c r="D4042">
        <v>66</v>
      </c>
      <c r="E4042" t="s">
        <v>12</v>
      </c>
      <c r="F4042" t="s">
        <v>45</v>
      </c>
      <c r="G4042" s="1">
        <v>45097</v>
      </c>
      <c r="H4042" s="1">
        <v>45532</v>
      </c>
      <c r="I4042">
        <v>26</v>
      </c>
      <c r="J4042" t="s">
        <v>19</v>
      </c>
      <c r="K4042">
        <v>3076.89</v>
      </c>
    </row>
    <row r="4043" spans="1:11">
      <c r="A4043">
        <v>4042</v>
      </c>
      <c r="B4043" t="s">
        <v>107</v>
      </c>
      <c r="C4043" s="1">
        <v>35795</v>
      </c>
      <c r="D4043">
        <v>28</v>
      </c>
      <c r="E4043" t="s">
        <v>15</v>
      </c>
      <c r="F4043" t="s">
        <v>18</v>
      </c>
      <c r="G4043" s="1">
        <v>45506</v>
      </c>
      <c r="H4043" s="1">
        <v>45656</v>
      </c>
      <c r="I4043">
        <v>17</v>
      </c>
      <c r="J4043" t="s">
        <v>25</v>
      </c>
      <c r="K4043">
        <v>11064.88</v>
      </c>
    </row>
    <row r="4044" spans="1:11">
      <c r="A4044">
        <v>4043</v>
      </c>
      <c r="B4044" t="s">
        <v>57</v>
      </c>
      <c r="C4044" s="1">
        <v>35795</v>
      </c>
      <c r="D4044">
        <v>28</v>
      </c>
      <c r="E4044" t="s">
        <v>12</v>
      </c>
      <c r="F4044" t="s">
        <v>13</v>
      </c>
      <c r="G4044" s="1">
        <v>45452</v>
      </c>
      <c r="H4044" s="1">
        <v>45392</v>
      </c>
      <c r="I4044">
        <v>2</v>
      </c>
      <c r="J4044" t="s">
        <v>25</v>
      </c>
      <c r="K4044">
        <v>16683.240000000002</v>
      </c>
    </row>
    <row r="4045" spans="1:11">
      <c r="A4045">
        <v>4044</v>
      </c>
      <c r="B4045" t="s">
        <v>126</v>
      </c>
      <c r="C4045" s="1">
        <v>36161</v>
      </c>
      <c r="D4045">
        <v>27</v>
      </c>
      <c r="E4045" t="s">
        <v>15</v>
      </c>
      <c r="F4045" t="s">
        <v>13</v>
      </c>
      <c r="G4045" s="1">
        <v>45468</v>
      </c>
      <c r="H4045" s="1">
        <v>45618</v>
      </c>
      <c r="I4045">
        <v>22</v>
      </c>
      <c r="J4045" t="s">
        <v>23</v>
      </c>
      <c r="K4045">
        <v>5296.2</v>
      </c>
    </row>
    <row r="4046" spans="1:11">
      <c r="A4046">
        <v>4045</v>
      </c>
      <c r="B4046" t="s">
        <v>58</v>
      </c>
      <c r="C4046" s="1">
        <v>18263</v>
      </c>
      <c r="D4046">
        <v>76</v>
      </c>
      <c r="E4046" t="s">
        <v>15</v>
      </c>
      <c r="F4046" t="s">
        <v>21</v>
      </c>
      <c r="G4046" s="1">
        <v>45036</v>
      </c>
      <c r="H4046" s="1">
        <v>45118</v>
      </c>
      <c r="I4046">
        <v>31</v>
      </c>
      <c r="K4046">
        <v>16806.88</v>
      </c>
    </row>
    <row r="4047" spans="1:11">
      <c r="A4047">
        <v>4046</v>
      </c>
      <c r="B4047" t="s">
        <v>146</v>
      </c>
      <c r="C4047" s="1">
        <v>17533</v>
      </c>
      <c r="D4047">
        <v>78</v>
      </c>
      <c r="E4047" t="s">
        <v>15</v>
      </c>
      <c r="G4047" s="1">
        <v>45138</v>
      </c>
      <c r="H4047" s="1">
        <v>45420</v>
      </c>
      <c r="I4047">
        <v>9</v>
      </c>
      <c r="J4047" t="s">
        <v>25</v>
      </c>
      <c r="K4047">
        <v>16139.86</v>
      </c>
    </row>
    <row r="4048" spans="1:11">
      <c r="A4048">
        <v>4047</v>
      </c>
      <c r="B4048" t="s">
        <v>82</v>
      </c>
      <c r="C4048" s="1">
        <v>14611</v>
      </c>
      <c r="D4048">
        <v>86</v>
      </c>
      <c r="E4048" t="s">
        <v>15</v>
      </c>
      <c r="F4048" t="s">
        <v>45</v>
      </c>
      <c r="G4048" s="1">
        <v>45364</v>
      </c>
      <c r="H4048" s="1">
        <v>45090</v>
      </c>
      <c r="I4048">
        <v>25</v>
      </c>
      <c r="J4048" t="s">
        <v>25</v>
      </c>
      <c r="K4048">
        <v>11540.02</v>
      </c>
    </row>
    <row r="4049" spans="1:11">
      <c r="A4049">
        <v>4048</v>
      </c>
      <c r="B4049" t="s">
        <v>108</v>
      </c>
      <c r="C4049" s="1">
        <v>30317</v>
      </c>
      <c r="D4049">
        <v>43</v>
      </c>
      <c r="E4049" t="s">
        <v>15</v>
      </c>
      <c r="F4049" t="s">
        <v>18</v>
      </c>
      <c r="G4049" s="1">
        <v>45248</v>
      </c>
      <c r="H4049" s="1">
        <v>45539</v>
      </c>
      <c r="I4049">
        <v>31</v>
      </c>
      <c r="J4049" t="s">
        <v>25</v>
      </c>
      <c r="K4049">
        <v>12895.91</v>
      </c>
    </row>
    <row r="4050" spans="1:11">
      <c r="A4050">
        <v>4049</v>
      </c>
      <c r="B4050" t="s">
        <v>88</v>
      </c>
      <c r="C4050" s="1">
        <v>13515</v>
      </c>
      <c r="D4050">
        <v>89</v>
      </c>
      <c r="E4050" t="s">
        <v>12</v>
      </c>
      <c r="F4050" t="s">
        <v>13</v>
      </c>
      <c r="G4050" s="1">
        <v>45640</v>
      </c>
      <c r="H4050" s="1">
        <v>45626</v>
      </c>
      <c r="I4050">
        <v>3</v>
      </c>
      <c r="K4050">
        <v>712.87</v>
      </c>
    </row>
    <row r="4051" spans="1:11">
      <c r="A4051">
        <v>4050</v>
      </c>
      <c r="B4051" t="s">
        <v>113</v>
      </c>
      <c r="C4051" s="1">
        <v>44927</v>
      </c>
      <c r="D4051">
        <v>3</v>
      </c>
      <c r="E4051" t="s">
        <v>15</v>
      </c>
      <c r="F4051" t="s">
        <v>45</v>
      </c>
      <c r="G4051" s="1">
        <v>45010</v>
      </c>
      <c r="H4051" s="1">
        <v>45222</v>
      </c>
      <c r="I4051">
        <v>16</v>
      </c>
      <c r="J4051" t="s">
        <v>23</v>
      </c>
      <c r="K4051">
        <v>7279.42</v>
      </c>
    </row>
    <row r="4052" spans="1:11">
      <c r="A4052">
        <v>4051</v>
      </c>
      <c r="B4052" t="s">
        <v>75</v>
      </c>
      <c r="C4052" s="1">
        <v>13515</v>
      </c>
      <c r="D4052">
        <v>89</v>
      </c>
      <c r="E4052" t="s">
        <v>15</v>
      </c>
      <c r="F4052" t="s">
        <v>18</v>
      </c>
      <c r="G4052" s="1">
        <v>45302</v>
      </c>
      <c r="H4052" s="1">
        <v>45506</v>
      </c>
      <c r="I4052">
        <v>9</v>
      </c>
      <c r="K4052">
        <v>5194.24</v>
      </c>
    </row>
    <row r="4053" spans="1:11">
      <c r="A4053">
        <v>4052</v>
      </c>
      <c r="B4053" t="s">
        <v>61</v>
      </c>
      <c r="C4053" s="1">
        <v>43100</v>
      </c>
      <c r="D4053">
        <v>8</v>
      </c>
      <c r="E4053" t="s">
        <v>15</v>
      </c>
      <c r="F4053" t="s">
        <v>16</v>
      </c>
      <c r="G4053" s="1">
        <v>44979</v>
      </c>
      <c r="H4053" s="1">
        <v>45000</v>
      </c>
      <c r="I4053">
        <v>22</v>
      </c>
      <c r="J4053" t="s">
        <v>19</v>
      </c>
      <c r="K4053">
        <v>2915.08</v>
      </c>
    </row>
    <row r="4054" spans="1:11">
      <c r="A4054">
        <v>4053</v>
      </c>
      <c r="B4054" t="s">
        <v>165</v>
      </c>
      <c r="C4054" s="1">
        <v>44561</v>
      </c>
      <c r="D4054">
        <v>4</v>
      </c>
      <c r="E4054" t="s">
        <v>12</v>
      </c>
      <c r="F4054" t="s">
        <v>21</v>
      </c>
      <c r="G4054" s="1">
        <v>45422</v>
      </c>
      <c r="H4054" s="1">
        <v>45671</v>
      </c>
      <c r="I4054">
        <v>10</v>
      </c>
      <c r="J4054" t="s">
        <v>23</v>
      </c>
      <c r="K4054">
        <v>7732.15</v>
      </c>
    </row>
    <row r="4055" spans="1:11">
      <c r="A4055">
        <v>4054</v>
      </c>
      <c r="B4055" t="s">
        <v>22</v>
      </c>
      <c r="C4055" s="1">
        <v>25934</v>
      </c>
      <c r="D4055">
        <v>55</v>
      </c>
      <c r="E4055" t="s">
        <v>12</v>
      </c>
      <c r="F4055" t="s">
        <v>32</v>
      </c>
      <c r="G4055" s="1">
        <v>45182</v>
      </c>
      <c r="H4055" s="1">
        <v>45628</v>
      </c>
      <c r="I4055">
        <v>14</v>
      </c>
      <c r="J4055" t="s">
        <v>19</v>
      </c>
      <c r="K4055">
        <v>7033.57</v>
      </c>
    </row>
    <row r="4056" spans="1:11">
      <c r="A4056">
        <v>4055</v>
      </c>
      <c r="B4056" t="s">
        <v>143</v>
      </c>
      <c r="C4056" s="1">
        <v>15707</v>
      </c>
      <c r="D4056">
        <v>83</v>
      </c>
      <c r="E4056" t="s">
        <v>15</v>
      </c>
      <c r="F4056" t="s">
        <v>13</v>
      </c>
      <c r="G4056" s="1">
        <v>45512</v>
      </c>
      <c r="H4056" s="1">
        <v>45489</v>
      </c>
      <c r="I4056">
        <v>9</v>
      </c>
      <c r="J4056" t="s">
        <v>25</v>
      </c>
      <c r="K4056">
        <v>14550.72</v>
      </c>
    </row>
    <row r="4057" spans="1:11">
      <c r="A4057">
        <v>4056</v>
      </c>
      <c r="B4057" t="s">
        <v>101</v>
      </c>
      <c r="C4057" s="1">
        <v>28125</v>
      </c>
      <c r="D4057">
        <v>49</v>
      </c>
      <c r="E4057" t="s">
        <v>12</v>
      </c>
      <c r="F4057" t="s">
        <v>13</v>
      </c>
      <c r="G4057" s="1">
        <v>45146</v>
      </c>
      <c r="H4057" s="1">
        <v>45236</v>
      </c>
      <c r="I4057">
        <v>0</v>
      </c>
      <c r="K4057">
        <v>11921.74</v>
      </c>
    </row>
    <row r="4058" spans="1:11">
      <c r="A4058">
        <v>4057</v>
      </c>
      <c r="B4058" t="s">
        <v>119</v>
      </c>
      <c r="C4058" s="1">
        <v>18994</v>
      </c>
      <c r="D4058">
        <v>74</v>
      </c>
      <c r="E4058" t="s">
        <v>12</v>
      </c>
      <c r="F4058" t="s">
        <v>18</v>
      </c>
      <c r="G4058" s="1">
        <v>45581</v>
      </c>
      <c r="H4058" s="1">
        <v>45229</v>
      </c>
      <c r="I4058">
        <v>21</v>
      </c>
      <c r="J4058" t="s">
        <v>19</v>
      </c>
      <c r="K4058">
        <v>18253.310000000001</v>
      </c>
    </row>
    <row r="4059" spans="1:11">
      <c r="A4059">
        <v>4058</v>
      </c>
      <c r="B4059" t="s">
        <v>14</v>
      </c>
      <c r="C4059" s="1">
        <v>40909</v>
      </c>
      <c r="D4059">
        <v>14</v>
      </c>
      <c r="E4059" t="s">
        <v>15</v>
      </c>
      <c r="F4059" t="s">
        <v>32</v>
      </c>
      <c r="G4059" s="1">
        <v>45026</v>
      </c>
      <c r="H4059" s="1">
        <v>45235</v>
      </c>
      <c r="I4059">
        <v>5</v>
      </c>
      <c r="J4059" t="s">
        <v>23</v>
      </c>
      <c r="K4059">
        <v>2822.69</v>
      </c>
    </row>
    <row r="4060" spans="1:11">
      <c r="A4060">
        <v>4059</v>
      </c>
      <c r="B4060" t="s">
        <v>27</v>
      </c>
      <c r="C4060" s="1">
        <v>34700</v>
      </c>
      <c r="D4060">
        <v>31</v>
      </c>
      <c r="E4060" t="s">
        <v>12</v>
      </c>
      <c r="F4060" t="s">
        <v>16</v>
      </c>
      <c r="G4060" s="1">
        <v>45055</v>
      </c>
      <c r="H4060" s="1">
        <v>45051</v>
      </c>
      <c r="I4060">
        <v>33</v>
      </c>
      <c r="J4060" t="s">
        <v>19</v>
      </c>
      <c r="K4060">
        <v>1100.95</v>
      </c>
    </row>
    <row r="4061" spans="1:11">
      <c r="A4061">
        <v>4060</v>
      </c>
      <c r="B4061" t="s">
        <v>93</v>
      </c>
      <c r="D4061">
        <v>27</v>
      </c>
      <c r="E4061" t="s">
        <v>12</v>
      </c>
      <c r="F4061" t="s">
        <v>45</v>
      </c>
      <c r="G4061" s="1">
        <v>45145</v>
      </c>
      <c r="H4061" s="1">
        <v>45596</v>
      </c>
      <c r="I4061">
        <v>23</v>
      </c>
      <c r="J4061" t="s">
        <v>19</v>
      </c>
      <c r="K4061">
        <v>10645.62</v>
      </c>
    </row>
    <row r="4062" spans="1:11">
      <c r="A4062">
        <v>4061</v>
      </c>
      <c r="B4062" t="s">
        <v>99</v>
      </c>
      <c r="C4062" s="1">
        <v>38352</v>
      </c>
      <c r="D4062">
        <v>21</v>
      </c>
      <c r="E4062" t="s">
        <v>12</v>
      </c>
      <c r="F4062" t="s">
        <v>21</v>
      </c>
      <c r="G4062" s="1">
        <v>45403</v>
      </c>
      <c r="H4062" s="1">
        <v>45188</v>
      </c>
      <c r="I4062">
        <v>5</v>
      </c>
      <c r="J4062" t="s">
        <v>25</v>
      </c>
      <c r="K4062">
        <v>-79.349999999999994</v>
      </c>
    </row>
    <row r="4063" spans="1:11">
      <c r="A4063">
        <v>4062</v>
      </c>
      <c r="B4063" t="s">
        <v>104</v>
      </c>
      <c r="C4063" s="1">
        <v>40178</v>
      </c>
      <c r="D4063">
        <v>16</v>
      </c>
      <c r="E4063" t="s">
        <v>15</v>
      </c>
      <c r="F4063" t="s">
        <v>45</v>
      </c>
      <c r="G4063" s="1">
        <v>45384</v>
      </c>
      <c r="H4063" s="1">
        <v>45122</v>
      </c>
      <c r="I4063">
        <v>29</v>
      </c>
      <c r="J4063" t="s">
        <v>19</v>
      </c>
      <c r="K4063">
        <v>15733.15</v>
      </c>
    </row>
    <row r="4064" spans="1:11">
      <c r="A4064">
        <v>4063</v>
      </c>
      <c r="B4064" t="s">
        <v>144</v>
      </c>
      <c r="C4064" s="1">
        <v>24838</v>
      </c>
      <c r="D4064">
        <v>58</v>
      </c>
      <c r="E4064" t="s">
        <v>15</v>
      </c>
      <c r="F4064" t="s">
        <v>18</v>
      </c>
      <c r="G4064" s="1">
        <v>44948</v>
      </c>
      <c r="H4064" s="1">
        <v>45769</v>
      </c>
      <c r="I4064">
        <v>29</v>
      </c>
      <c r="J4064" t="s">
        <v>19</v>
      </c>
      <c r="K4064">
        <v>10070.06</v>
      </c>
    </row>
    <row r="4065" spans="1:11">
      <c r="A4065">
        <v>4064</v>
      </c>
      <c r="B4065" t="s">
        <v>167</v>
      </c>
      <c r="C4065" s="1">
        <v>13515</v>
      </c>
      <c r="D4065">
        <v>89</v>
      </c>
      <c r="E4065" t="s">
        <v>15</v>
      </c>
      <c r="F4065" t="s">
        <v>13</v>
      </c>
      <c r="G4065" s="1">
        <v>45616</v>
      </c>
      <c r="H4065" s="1">
        <v>45278</v>
      </c>
      <c r="I4065">
        <v>-2</v>
      </c>
      <c r="J4065" t="s">
        <v>25</v>
      </c>
      <c r="K4065">
        <v>9710.1200000000008</v>
      </c>
    </row>
    <row r="4066" spans="1:11">
      <c r="A4066">
        <v>4065</v>
      </c>
      <c r="B4066" t="s">
        <v>145</v>
      </c>
      <c r="C4066" s="1">
        <v>20455</v>
      </c>
      <c r="D4066">
        <v>70</v>
      </c>
      <c r="E4066" t="s">
        <v>12</v>
      </c>
      <c r="F4066" t="s">
        <v>16</v>
      </c>
      <c r="G4066" s="1">
        <v>45486</v>
      </c>
      <c r="H4066" s="1">
        <v>45770</v>
      </c>
      <c r="I4066">
        <v>0</v>
      </c>
      <c r="J4066" t="s">
        <v>23</v>
      </c>
      <c r="K4066">
        <v>7186.17</v>
      </c>
    </row>
    <row r="4067" spans="1:11">
      <c r="A4067">
        <v>4066</v>
      </c>
      <c r="B4067" t="s">
        <v>56</v>
      </c>
      <c r="C4067" s="1">
        <v>25568</v>
      </c>
      <c r="D4067">
        <v>56</v>
      </c>
      <c r="E4067" t="s">
        <v>12</v>
      </c>
      <c r="F4067" t="s">
        <v>13</v>
      </c>
      <c r="G4067" s="1">
        <v>45555</v>
      </c>
      <c r="H4067" s="1">
        <v>45695</v>
      </c>
      <c r="I4067">
        <v>-2</v>
      </c>
      <c r="J4067" t="s">
        <v>25</v>
      </c>
      <c r="K4067">
        <v>7436.97</v>
      </c>
    </row>
    <row r="4068" spans="1:11">
      <c r="A4068">
        <v>4067</v>
      </c>
      <c r="B4068" t="s">
        <v>37</v>
      </c>
      <c r="C4068" s="1">
        <v>36891</v>
      </c>
      <c r="D4068">
        <v>25</v>
      </c>
      <c r="E4068" t="s">
        <v>15</v>
      </c>
      <c r="F4068" t="s">
        <v>45</v>
      </c>
      <c r="G4068" s="1">
        <v>45255</v>
      </c>
      <c r="H4068" s="1">
        <v>45416</v>
      </c>
      <c r="I4068">
        <v>12</v>
      </c>
      <c r="J4068" t="s">
        <v>19</v>
      </c>
      <c r="K4068">
        <v>8565.7900000000009</v>
      </c>
    </row>
    <row r="4069" spans="1:11">
      <c r="A4069">
        <v>4068</v>
      </c>
      <c r="B4069" t="s">
        <v>31</v>
      </c>
      <c r="C4069" s="1">
        <v>37256</v>
      </c>
      <c r="D4069">
        <v>24</v>
      </c>
      <c r="E4069" t="s">
        <v>15</v>
      </c>
      <c r="F4069" t="s">
        <v>16</v>
      </c>
      <c r="G4069" s="1">
        <v>45617</v>
      </c>
      <c r="H4069" s="1">
        <v>45127</v>
      </c>
      <c r="I4069">
        <v>17</v>
      </c>
      <c r="K4069">
        <v>222.25</v>
      </c>
    </row>
    <row r="4070" spans="1:11">
      <c r="A4070">
        <v>4069</v>
      </c>
      <c r="B4070" t="s">
        <v>11</v>
      </c>
      <c r="C4070" s="1">
        <v>42735</v>
      </c>
      <c r="D4070">
        <v>9</v>
      </c>
      <c r="E4070" t="s">
        <v>12</v>
      </c>
      <c r="G4070" s="1">
        <v>45406</v>
      </c>
      <c r="H4070" s="1">
        <v>45811</v>
      </c>
      <c r="I4070">
        <v>0</v>
      </c>
      <c r="J4070" t="s">
        <v>25</v>
      </c>
      <c r="K4070">
        <v>1579.27</v>
      </c>
    </row>
    <row r="4071" spans="1:11">
      <c r="A4071">
        <v>4070</v>
      </c>
      <c r="B4071" t="s">
        <v>108</v>
      </c>
      <c r="C4071" s="1">
        <v>29951</v>
      </c>
      <c r="D4071">
        <v>44</v>
      </c>
      <c r="E4071" t="s">
        <v>12</v>
      </c>
      <c r="F4071" t="s">
        <v>21</v>
      </c>
      <c r="G4071" s="1">
        <v>45265</v>
      </c>
      <c r="H4071" s="1">
        <v>45435</v>
      </c>
      <c r="I4071">
        <v>12</v>
      </c>
      <c r="J4071" t="s">
        <v>25</v>
      </c>
      <c r="K4071">
        <v>10051.469999999999</v>
      </c>
    </row>
    <row r="4072" spans="1:11">
      <c r="A4072">
        <v>4071</v>
      </c>
      <c r="B4072" t="s">
        <v>84</v>
      </c>
      <c r="C4072" s="1">
        <v>16072</v>
      </c>
      <c r="D4072">
        <v>82</v>
      </c>
      <c r="E4072" t="s">
        <v>12</v>
      </c>
      <c r="F4072" t="s">
        <v>18</v>
      </c>
      <c r="G4072" s="1">
        <v>45105</v>
      </c>
      <c r="H4072" s="1">
        <v>45825</v>
      </c>
      <c r="I4072">
        <v>34</v>
      </c>
      <c r="J4072" t="s">
        <v>19</v>
      </c>
      <c r="K4072">
        <v>2917.46</v>
      </c>
    </row>
    <row r="4073" spans="1:11">
      <c r="A4073">
        <v>4072</v>
      </c>
      <c r="B4073" t="s">
        <v>36</v>
      </c>
      <c r="C4073" s="1">
        <v>42370</v>
      </c>
      <c r="D4073">
        <v>10</v>
      </c>
      <c r="E4073" t="s">
        <v>12</v>
      </c>
      <c r="F4073" t="s">
        <v>21</v>
      </c>
      <c r="G4073" s="1">
        <v>45347</v>
      </c>
      <c r="H4073" s="1">
        <v>45507</v>
      </c>
      <c r="I4073">
        <v>18</v>
      </c>
      <c r="K4073">
        <v>15553.13</v>
      </c>
    </row>
    <row r="4074" spans="1:11">
      <c r="A4074">
        <v>4073</v>
      </c>
      <c r="B4074" t="s">
        <v>141</v>
      </c>
      <c r="C4074" s="1">
        <v>18263</v>
      </c>
      <c r="D4074">
        <v>76</v>
      </c>
      <c r="E4074" t="s">
        <v>12</v>
      </c>
      <c r="F4074" t="s">
        <v>18</v>
      </c>
      <c r="G4074" s="1">
        <v>45408</v>
      </c>
      <c r="H4074" s="1">
        <v>45373</v>
      </c>
      <c r="I4074">
        <v>39</v>
      </c>
      <c r="J4074" t="s">
        <v>23</v>
      </c>
      <c r="K4074">
        <v>5417.15</v>
      </c>
    </row>
    <row r="4075" spans="1:11">
      <c r="A4075">
        <v>4074</v>
      </c>
      <c r="B4075" t="s">
        <v>22</v>
      </c>
      <c r="C4075" s="1">
        <v>27029</v>
      </c>
      <c r="D4075">
        <v>52</v>
      </c>
      <c r="E4075" t="s">
        <v>15</v>
      </c>
      <c r="F4075" t="s">
        <v>21</v>
      </c>
      <c r="G4075" s="1">
        <v>44975</v>
      </c>
      <c r="H4075" s="1">
        <v>45007</v>
      </c>
      <c r="I4075">
        <v>36</v>
      </c>
      <c r="K4075">
        <v>1867.78</v>
      </c>
    </row>
    <row r="4076" spans="1:11">
      <c r="A4076">
        <v>4075</v>
      </c>
      <c r="B4076" t="s">
        <v>84</v>
      </c>
      <c r="C4076" s="1">
        <v>20090</v>
      </c>
      <c r="D4076">
        <v>71</v>
      </c>
      <c r="E4076" t="s">
        <v>15</v>
      </c>
      <c r="G4076" s="1">
        <v>44956</v>
      </c>
      <c r="H4076" s="1">
        <v>45672</v>
      </c>
      <c r="I4076">
        <v>20</v>
      </c>
      <c r="J4076" t="s">
        <v>25</v>
      </c>
      <c r="K4076">
        <v>4627.72</v>
      </c>
    </row>
    <row r="4077" spans="1:11">
      <c r="A4077">
        <v>4076</v>
      </c>
      <c r="B4077" t="s">
        <v>29</v>
      </c>
      <c r="C4077" s="1">
        <v>21551</v>
      </c>
      <c r="D4077">
        <v>67</v>
      </c>
      <c r="E4077" t="s">
        <v>15</v>
      </c>
      <c r="F4077" t="s">
        <v>45</v>
      </c>
      <c r="G4077" s="1">
        <v>45011</v>
      </c>
      <c r="H4077" s="1">
        <v>45625</v>
      </c>
      <c r="I4077">
        <v>37</v>
      </c>
      <c r="K4077">
        <v>7077.67</v>
      </c>
    </row>
    <row r="4078" spans="1:11">
      <c r="A4078">
        <v>4077</v>
      </c>
      <c r="B4078" t="s">
        <v>92</v>
      </c>
      <c r="C4078" s="1">
        <v>11689</v>
      </c>
      <c r="D4078">
        <v>94</v>
      </c>
      <c r="E4078" t="s">
        <v>12</v>
      </c>
      <c r="F4078" t="s">
        <v>32</v>
      </c>
      <c r="G4078" s="1">
        <v>45428</v>
      </c>
      <c r="H4078" s="1">
        <v>45544</v>
      </c>
      <c r="I4078">
        <v>32</v>
      </c>
      <c r="J4078" t="s">
        <v>23</v>
      </c>
      <c r="K4078">
        <v>609.86</v>
      </c>
    </row>
    <row r="4079" spans="1:11">
      <c r="A4079">
        <v>4078</v>
      </c>
      <c r="B4079" t="s">
        <v>57</v>
      </c>
      <c r="C4079" s="1">
        <v>36161</v>
      </c>
      <c r="D4079">
        <v>27</v>
      </c>
      <c r="E4079" t="s">
        <v>15</v>
      </c>
      <c r="F4079" t="s">
        <v>16</v>
      </c>
      <c r="G4079" s="1">
        <v>45472</v>
      </c>
      <c r="H4079" s="1">
        <v>45396</v>
      </c>
      <c r="I4079">
        <v>15</v>
      </c>
      <c r="K4079">
        <v>2747.68</v>
      </c>
    </row>
    <row r="4080" spans="1:11">
      <c r="A4080">
        <v>4079</v>
      </c>
      <c r="B4080" t="s">
        <v>124</v>
      </c>
      <c r="C4080" s="1">
        <v>18994</v>
      </c>
      <c r="D4080">
        <v>74</v>
      </c>
      <c r="E4080" t="s">
        <v>12</v>
      </c>
      <c r="F4080" t="s">
        <v>18</v>
      </c>
      <c r="G4080" s="1">
        <v>45255</v>
      </c>
      <c r="H4080" s="1">
        <v>45764</v>
      </c>
      <c r="I4080">
        <v>14</v>
      </c>
      <c r="K4080">
        <v>6409.32</v>
      </c>
    </row>
    <row r="4081" spans="1:11">
      <c r="A4081">
        <v>4080</v>
      </c>
      <c r="B4081" t="s">
        <v>152</v>
      </c>
      <c r="C4081" s="1">
        <v>22646</v>
      </c>
      <c r="D4081">
        <v>64</v>
      </c>
      <c r="E4081" t="s">
        <v>15</v>
      </c>
      <c r="F4081" t="s">
        <v>45</v>
      </c>
      <c r="G4081" s="1">
        <v>45536</v>
      </c>
      <c r="H4081" s="1">
        <v>45369</v>
      </c>
      <c r="I4081">
        <v>28</v>
      </c>
      <c r="K4081">
        <v>6140.66</v>
      </c>
    </row>
    <row r="4082" spans="1:11">
      <c r="A4082">
        <v>4081</v>
      </c>
      <c r="B4082" t="s">
        <v>75</v>
      </c>
      <c r="C4082" s="1">
        <v>28490</v>
      </c>
      <c r="D4082">
        <v>48</v>
      </c>
      <c r="E4082" t="s">
        <v>15</v>
      </c>
      <c r="F4082" t="s">
        <v>13</v>
      </c>
      <c r="G4082" s="1">
        <v>45360</v>
      </c>
      <c r="H4082" s="1">
        <v>45581</v>
      </c>
      <c r="I4082">
        <v>23</v>
      </c>
      <c r="J4082" t="s">
        <v>25</v>
      </c>
      <c r="K4082">
        <v>15987.77</v>
      </c>
    </row>
    <row r="4083" spans="1:11">
      <c r="A4083">
        <v>4082</v>
      </c>
      <c r="B4083" t="s">
        <v>136</v>
      </c>
      <c r="C4083" s="1">
        <v>29221</v>
      </c>
      <c r="D4083">
        <v>46</v>
      </c>
      <c r="E4083" t="s">
        <v>12</v>
      </c>
      <c r="F4083" t="s">
        <v>13</v>
      </c>
      <c r="G4083" s="1">
        <v>45514</v>
      </c>
      <c r="H4083" s="1">
        <v>45199</v>
      </c>
      <c r="I4083">
        <v>19</v>
      </c>
      <c r="J4083" t="s">
        <v>19</v>
      </c>
      <c r="K4083">
        <v>16849.439999999999</v>
      </c>
    </row>
    <row r="4084" spans="1:11">
      <c r="A4084">
        <v>4083</v>
      </c>
      <c r="B4084" t="s">
        <v>100</v>
      </c>
      <c r="C4084" s="1">
        <v>27395</v>
      </c>
      <c r="D4084">
        <v>51</v>
      </c>
      <c r="E4084" t="s">
        <v>15</v>
      </c>
      <c r="F4084" t="s">
        <v>21</v>
      </c>
      <c r="G4084" s="1">
        <v>45613</v>
      </c>
      <c r="H4084" s="1">
        <v>45270</v>
      </c>
      <c r="I4084">
        <v>33</v>
      </c>
      <c r="J4084" t="s">
        <v>19</v>
      </c>
      <c r="K4084">
        <v>3787.71</v>
      </c>
    </row>
    <row r="4085" spans="1:11">
      <c r="A4085">
        <v>4084</v>
      </c>
      <c r="B4085" t="s">
        <v>158</v>
      </c>
      <c r="C4085" s="1">
        <v>14246</v>
      </c>
      <c r="D4085">
        <v>87</v>
      </c>
      <c r="E4085" t="s">
        <v>15</v>
      </c>
      <c r="F4085" t="s">
        <v>13</v>
      </c>
      <c r="G4085" s="1">
        <v>45175</v>
      </c>
      <c r="H4085" s="1">
        <v>45051</v>
      </c>
      <c r="I4085">
        <v>32</v>
      </c>
      <c r="K4085">
        <v>2391.19</v>
      </c>
    </row>
    <row r="4086" spans="1:11">
      <c r="A4086">
        <v>4085</v>
      </c>
      <c r="B4086" t="s">
        <v>146</v>
      </c>
      <c r="C4086" s="1">
        <v>26664</v>
      </c>
      <c r="D4086">
        <v>53</v>
      </c>
      <c r="E4086" t="s">
        <v>12</v>
      </c>
      <c r="F4086" t="s">
        <v>32</v>
      </c>
      <c r="G4086" s="1">
        <v>45060</v>
      </c>
      <c r="H4086" s="1">
        <v>45150</v>
      </c>
      <c r="I4086">
        <v>8</v>
      </c>
      <c r="J4086" t="s">
        <v>25</v>
      </c>
      <c r="K4086">
        <v>12646.67</v>
      </c>
    </row>
    <row r="4087" spans="1:11">
      <c r="A4087">
        <v>4086</v>
      </c>
      <c r="B4087" t="s">
        <v>117</v>
      </c>
      <c r="C4087" s="1">
        <v>24473</v>
      </c>
      <c r="D4087">
        <v>59</v>
      </c>
      <c r="E4087" t="s">
        <v>15</v>
      </c>
      <c r="F4087" t="s">
        <v>18</v>
      </c>
      <c r="G4087" s="1">
        <v>45616</v>
      </c>
      <c r="H4087" s="1">
        <v>45417</v>
      </c>
      <c r="I4087">
        <v>24</v>
      </c>
      <c r="J4087" t="s">
        <v>25</v>
      </c>
      <c r="K4087">
        <v>16072.93</v>
      </c>
    </row>
    <row r="4088" spans="1:11">
      <c r="A4088">
        <v>4087</v>
      </c>
      <c r="B4088" t="s">
        <v>105</v>
      </c>
      <c r="C4088" s="1">
        <v>25568</v>
      </c>
      <c r="D4088">
        <v>56</v>
      </c>
      <c r="E4088" t="s">
        <v>12</v>
      </c>
      <c r="F4088" t="s">
        <v>21</v>
      </c>
      <c r="G4088" s="1">
        <v>45291</v>
      </c>
      <c r="H4088" s="1">
        <v>45613</v>
      </c>
      <c r="I4088">
        <v>31</v>
      </c>
      <c r="J4088" t="s">
        <v>25</v>
      </c>
      <c r="K4088">
        <v>19270.830000000002</v>
      </c>
    </row>
    <row r="4089" spans="1:11">
      <c r="A4089">
        <v>4088</v>
      </c>
      <c r="B4089" t="s">
        <v>82</v>
      </c>
      <c r="C4089" s="1">
        <v>29221</v>
      </c>
      <c r="D4089">
        <v>46</v>
      </c>
      <c r="E4089" t="s">
        <v>12</v>
      </c>
      <c r="F4089" t="s">
        <v>18</v>
      </c>
      <c r="G4089" s="1">
        <v>45501</v>
      </c>
      <c r="H4089" s="1">
        <v>45630</v>
      </c>
      <c r="I4089">
        <v>15</v>
      </c>
      <c r="J4089" t="s">
        <v>19</v>
      </c>
      <c r="K4089">
        <v>36.61</v>
      </c>
    </row>
    <row r="4090" spans="1:11">
      <c r="A4090">
        <v>4089</v>
      </c>
      <c r="B4090" t="s">
        <v>143</v>
      </c>
      <c r="C4090" s="1">
        <v>35065</v>
      </c>
      <c r="D4090">
        <v>30</v>
      </c>
      <c r="E4090" t="s">
        <v>12</v>
      </c>
      <c r="F4090" t="s">
        <v>18</v>
      </c>
      <c r="G4090" s="1">
        <v>45351</v>
      </c>
      <c r="H4090" s="1">
        <v>45579</v>
      </c>
      <c r="I4090">
        <v>24</v>
      </c>
      <c r="J4090" t="s">
        <v>25</v>
      </c>
      <c r="K4090">
        <v>8214.93</v>
      </c>
    </row>
    <row r="4091" spans="1:11">
      <c r="A4091">
        <v>4090</v>
      </c>
      <c r="B4091" t="s">
        <v>152</v>
      </c>
      <c r="C4091" s="1">
        <v>29586</v>
      </c>
      <c r="D4091">
        <v>45</v>
      </c>
      <c r="E4091" t="s">
        <v>12</v>
      </c>
      <c r="G4091" s="1">
        <v>45341</v>
      </c>
      <c r="H4091" s="1">
        <v>45224</v>
      </c>
      <c r="I4091">
        <v>1</v>
      </c>
      <c r="K4091">
        <v>14653.16</v>
      </c>
    </row>
    <row r="4092" spans="1:11">
      <c r="A4092">
        <v>4091</v>
      </c>
      <c r="B4092" t="s">
        <v>31</v>
      </c>
      <c r="C4092" s="1">
        <v>36891</v>
      </c>
      <c r="D4092">
        <v>25</v>
      </c>
      <c r="E4092" t="s">
        <v>15</v>
      </c>
      <c r="F4092" t="s">
        <v>45</v>
      </c>
      <c r="G4092" s="1">
        <v>45582</v>
      </c>
      <c r="H4092" s="1">
        <v>45046</v>
      </c>
      <c r="I4092">
        <v>14</v>
      </c>
      <c r="J4092" t="s">
        <v>19</v>
      </c>
      <c r="K4092">
        <v>16554.04</v>
      </c>
    </row>
    <row r="4093" spans="1:11">
      <c r="A4093">
        <v>4092</v>
      </c>
      <c r="B4093" t="s">
        <v>57</v>
      </c>
      <c r="C4093" s="1">
        <v>44561</v>
      </c>
      <c r="D4093">
        <v>4</v>
      </c>
      <c r="E4093" t="s">
        <v>12</v>
      </c>
      <c r="F4093" t="s">
        <v>13</v>
      </c>
      <c r="G4093" s="1">
        <v>45438</v>
      </c>
      <c r="H4093" s="1">
        <v>45714</v>
      </c>
      <c r="I4093">
        <v>3</v>
      </c>
      <c r="J4093" t="s">
        <v>25</v>
      </c>
      <c r="K4093">
        <v>1151.95</v>
      </c>
    </row>
    <row r="4094" spans="1:11">
      <c r="A4094">
        <v>4093</v>
      </c>
      <c r="B4094" t="s">
        <v>52</v>
      </c>
      <c r="C4094" s="1">
        <v>15707</v>
      </c>
      <c r="D4094">
        <v>83</v>
      </c>
      <c r="E4094" t="s">
        <v>15</v>
      </c>
      <c r="F4094" t="s">
        <v>16</v>
      </c>
      <c r="G4094" s="1">
        <v>45311</v>
      </c>
      <c r="H4094" s="1">
        <v>45003</v>
      </c>
      <c r="I4094">
        <v>39</v>
      </c>
      <c r="K4094">
        <v>13580.35</v>
      </c>
    </row>
    <row r="4095" spans="1:11">
      <c r="A4095">
        <v>4094</v>
      </c>
      <c r="B4095" t="s">
        <v>132</v>
      </c>
      <c r="C4095" s="1">
        <v>27395</v>
      </c>
      <c r="D4095">
        <v>51</v>
      </c>
      <c r="E4095" t="s">
        <v>15</v>
      </c>
      <c r="F4095" t="s">
        <v>18</v>
      </c>
      <c r="G4095" s="1">
        <v>45314</v>
      </c>
      <c r="H4095" s="1">
        <v>45548</v>
      </c>
      <c r="I4095">
        <v>8</v>
      </c>
      <c r="J4095" t="s">
        <v>19</v>
      </c>
      <c r="K4095">
        <v>5707.67</v>
      </c>
    </row>
    <row r="4096" spans="1:11">
      <c r="A4096">
        <v>4095</v>
      </c>
      <c r="B4096" t="s">
        <v>162</v>
      </c>
      <c r="C4096" s="1">
        <v>18994</v>
      </c>
      <c r="D4096">
        <v>74</v>
      </c>
      <c r="E4096" t="s">
        <v>15</v>
      </c>
      <c r="F4096" t="s">
        <v>32</v>
      </c>
      <c r="G4096" s="1">
        <v>45375</v>
      </c>
      <c r="H4096" s="1">
        <v>45558</v>
      </c>
      <c r="I4096">
        <v>2</v>
      </c>
      <c r="J4096" t="s">
        <v>25</v>
      </c>
      <c r="K4096">
        <v>1399.4</v>
      </c>
    </row>
    <row r="4097" spans="1:11">
      <c r="A4097">
        <v>4096</v>
      </c>
      <c r="B4097" t="s">
        <v>83</v>
      </c>
      <c r="C4097" s="1">
        <v>26664</v>
      </c>
      <c r="D4097">
        <v>53</v>
      </c>
      <c r="E4097" t="s">
        <v>15</v>
      </c>
      <c r="G4097" s="1">
        <v>45490</v>
      </c>
      <c r="H4097" s="1">
        <v>45808</v>
      </c>
      <c r="I4097">
        <v>15</v>
      </c>
      <c r="J4097" t="s">
        <v>23</v>
      </c>
      <c r="K4097">
        <v>9730.9599999999991</v>
      </c>
    </row>
    <row r="4098" spans="1:11">
      <c r="A4098">
        <v>4097</v>
      </c>
      <c r="B4098" t="s">
        <v>79</v>
      </c>
      <c r="C4098" s="1">
        <v>34334</v>
      </c>
      <c r="D4098">
        <v>32</v>
      </c>
      <c r="E4098" t="s">
        <v>12</v>
      </c>
      <c r="F4098" t="s">
        <v>32</v>
      </c>
      <c r="G4098" s="1">
        <v>45229</v>
      </c>
      <c r="H4098" s="1">
        <v>45185</v>
      </c>
      <c r="I4098">
        <v>22</v>
      </c>
      <c r="K4098">
        <v>3078.88</v>
      </c>
    </row>
    <row r="4099" spans="1:11">
      <c r="A4099">
        <v>4098</v>
      </c>
      <c r="B4099" t="s">
        <v>65</v>
      </c>
      <c r="C4099" s="1">
        <v>28125</v>
      </c>
      <c r="D4099">
        <v>49</v>
      </c>
      <c r="E4099" t="s">
        <v>15</v>
      </c>
      <c r="F4099" t="s">
        <v>16</v>
      </c>
      <c r="G4099" s="1">
        <v>45025</v>
      </c>
      <c r="H4099" s="1">
        <v>45459</v>
      </c>
      <c r="I4099">
        <v>7</v>
      </c>
      <c r="J4099" t="s">
        <v>23</v>
      </c>
      <c r="K4099">
        <v>14713.85</v>
      </c>
    </row>
    <row r="4100" spans="1:11">
      <c r="A4100">
        <v>4099</v>
      </c>
      <c r="B4100" t="s">
        <v>107</v>
      </c>
      <c r="C4100" s="1">
        <v>32508</v>
      </c>
      <c r="D4100">
        <v>37</v>
      </c>
      <c r="E4100" t="s">
        <v>12</v>
      </c>
      <c r="F4100" t="s">
        <v>13</v>
      </c>
      <c r="G4100" s="1">
        <v>45232</v>
      </c>
      <c r="H4100" s="1">
        <v>45558</v>
      </c>
      <c r="I4100">
        <v>38</v>
      </c>
      <c r="J4100" t="s">
        <v>19</v>
      </c>
      <c r="K4100">
        <v>14799.36</v>
      </c>
    </row>
    <row r="4101" spans="1:11">
      <c r="A4101">
        <v>4100</v>
      </c>
      <c r="B4101" t="s">
        <v>109</v>
      </c>
      <c r="C4101" s="1">
        <v>36526</v>
      </c>
      <c r="D4101">
        <v>26</v>
      </c>
      <c r="E4101" t="s">
        <v>15</v>
      </c>
      <c r="F4101" t="s">
        <v>13</v>
      </c>
      <c r="G4101" s="1">
        <v>45483</v>
      </c>
      <c r="H4101" s="1">
        <v>45278</v>
      </c>
      <c r="I4101">
        <v>13</v>
      </c>
      <c r="J4101" t="s">
        <v>25</v>
      </c>
      <c r="K4101">
        <v>16825.560000000001</v>
      </c>
    </row>
    <row r="4102" spans="1:11">
      <c r="A4102">
        <v>4101</v>
      </c>
      <c r="B4102" t="s">
        <v>115</v>
      </c>
      <c r="C4102" s="1">
        <v>40909</v>
      </c>
      <c r="D4102">
        <v>14</v>
      </c>
      <c r="E4102" t="s">
        <v>15</v>
      </c>
      <c r="F4102" t="s">
        <v>21</v>
      </c>
      <c r="G4102" s="1">
        <v>44968</v>
      </c>
      <c r="H4102" s="1">
        <v>45576</v>
      </c>
      <c r="I4102">
        <v>7</v>
      </c>
      <c r="K4102">
        <v>7489.13</v>
      </c>
    </row>
    <row r="4103" spans="1:11">
      <c r="A4103">
        <v>4102</v>
      </c>
      <c r="B4103" t="s">
        <v>106</v>
      </c>
      <c r="C4103" s="1">
        <v>24107</v>
      </c>
      <c r="D4103">
        <v>60</v>
      </c>
      <c r="F4103" t="s">
        <v>21</v>
      </c>
      <c r="G4103" s="1">
        <v>45394</v>
      </c>
      <c r="H4103" s="1">
        <v>45204</v>
      </c>
      <c r="I4103">
        <v>7</v>
      </c>
      <c r="K4103">
        <v>167.53</v>
      </c>
    </row>
    <row r="4104" spans="1:11">
      <c r="A4104">
        <v>4103</v>
      </c>
      <c r="B4104" t="s">
        <v>96</v>
      </c>
      <c r="C4104" s="1">
        <v>38717</v>
      </c>
      <c r="D4104">
        <v>20</v>
      </c>
      <c r="E4104" t="s">
        <v>15</v>
      </c>
      <c r="F4104" t="s">
        <v>21</v>
      </c>
      <c r="G4104" s="1">
        <v>45366</v>
      </c>
      <c r="H4104" s="1">
        <v>45182</v>
      </c>
      <c r="I4104">
        <v>33</v>
      </c>
      <c r="K4104">
        <v>5120.6899999999996</v>
      </c>
    </row>
    <row r="4105" spans="1:11">
      <c r="A4105">
        <v>4104</v>
      </c>
      <c r="B4105" t="s">
        <v>162</v>
      </c>
      <c r="C4105" s="1">
        <v>29586</v>
      </c>
      <c r="D4105">
        <v>45</v>
      </c>
      <c r="E4105" t="s">
        <v>12</v>
      </c>
      <c r="F4105" t="s">
        <v>13</v>
      </c>
      <c r="G4105" s="1">
        <v>45253</v>
      </c>
      <c r="H4105" s="1">
        <v>45191</v>
      </c>
      <c r="I4105">
        <v>18</v>
      </c>
      <c r="J4105" t="s">
        <v>23</v>
      </c>
      <c r="K4105">
        <v>9303.02</v>
      </c>
    </row>
    <row r="4106" spans="1:11">
      <c r="A4106">
        <v>4105</v>
      </c>
      <c r="B4106" t="s">
        <v>162</v>
      </c>
      <c r="D4106">
        <v>68</v>
      </c>
      <c r="E4106" t="s">
        <v>15</v>
      </c>
      <c r="F4106" t="s">
        <v>18</v>
      </c>
      <c r="G4106" s="1">
        <v>45495</v>
      </c>
      <c r="H4106" s="1">
        <v>45606</v>
      </c>
      <c r="I4106">
        <v>11</v>
      </c>
      <c r="J4106" t="s">
        <v>25</v>
      </c>
      <c r="K4106">
        <v>13849.63</v>
      </c>
    </row>
    <row r="4107" spans="1:11">
      <c r="A4107">
        <v>4106</v>
      </c>
      <c r="B4107" t="s">
        <v>41</v>
      </c>
      <c r="D4107">
        <v>5</v>
      </c>
      <c r="E4107" t="s">
        <v>15</v>
      </c>
      <c r="F4107" t="s">
        <v>45</v>
      </c>
      <c r="G4107" s="1">
        <v>44959</v>
      </c>
      <c r="H4107" s="1">
        <v>45604</v>
      </c>
      <c r="I4107">
        <v>5</v>
      </c>
      <c r="J4107" t="s">
        <v>25</v>
      </c>
      <c r="K4107">
        <v>7579.02</v>
      </c>
    </row>
    <row r="4108" spans="1:11">
      <c r="A4108">
        <v>4107</v>
      </c>
      <c r="B4108" t="s">
        <v>51</v>
      </c>
      <c r="C4108" s="1">
        <v>32508</v>
      </c>
      <c r="D4108">
        <v>37</v>
      </c>
      <c r="E4108" t="s">
        <v>12</v>
      </c>
      <c r="F4108" t="s">
        <v>16</v>
      </c>
      <c r="G4108" s="1">
        <v>45338</v>
      </c>
      <c r="H4108" s="1">
        <v>44956</v>
      </c>
      <c r="I4108">
        <v>-2</v>
      </c>
      <c r="J4108" t="s">
        <v>25</v>
      </c>
      <c r="K4108">
        <v>10674.57</v>
      </c>
    </row>
    <row r="4109" spans="1:11">
      <c r="A4109">
        <v>4108</v>
      </c>
      <c r="B4109" t="s">
        <v>139</v>
      </c>
      <c r="C4109" s="1">
        <v>23742</v>
      </c>
      <c r="D4109">
        <v>61</v>
      </c>
      <c r="E4109" t="s">
        <v>12</v>
      </c>
      <c r="G4109" s="1">
        <v>45552</v>
      </c>
      <c r="H4109" s="1">
        <v>45394</v>
      </c>
      <c r="I4109">
        <v>13</v>
      </c>
      <c r="J4109" t="s">
        <v>23</v>
      </c>
      <c r="K4109">
        <v>10437.700000000001</v>
      </c>
    </row>
    <row r="4110" spans="1:11">
      <c r="A4110">
        <v>4109</v>
      </c>
      <c r="B4110" t="s">
        <v>61</v>
      </c>
      <c r="C4110" s="1">
        <v>14976</v>
      </c>
      <c r="D4110">
        <v>85</v>
      </c>
      <c r="E4110" t="s">
        <v>15</v>
      </c>
      <c r="F4110" t="s">
        <v>16</v>
      </c>
      <c r="G4110" s="1">
        <v>45040</v>
      </c>
      <c r="H4110" s="1">
        <v>44962</v>
      </c>
      <c r="I4110">
        <v>23</v>
      </c>
      <c r="J4110" t="s">
        <v>19</v>
      </c>
      <c r="K4110">
        <v>3216.15</v>
      </c>
    </row>
    <row r="4111" spans="1:11">
      <c r="A4111">
        <v>4110</v>
      </c>
      <c r="B4111" t="s">
        <v>34</v>
      </c>
      <c r="C4111" s="1">
        <v>23742</v>
      </c>
      <c r="D4111">
        <v>61</v>
      </c>
      <c r="E4111" t="s">
        <v>15</v>
      </c>
      <c r="F4111" t="s">
        <v>16</v>
      </c>
      <c r="G4111" s="1">
        <v>45434</v>
      </c>
      <c r="H4111" s="1">
        <v>45676</v>
      </c>
      <c r="I4111">
        <v>39</v>
      </c>
      <c r="J4111" t="s">
        <v>23</v>
      </c>
      <c r="K4111">
        <v>12423.29</v>
      </c>
    </row>
    <row r="4112" spans="1:11">
      <c r="A4112">
        <v>4111</v>
      </c>
      <c r="B4112" t="s">
        <v>30</v>
      </c>
      <c r="C4112" s="1">
        <v>16437</v>
      </c>
      <c r="D4112">
        <v>81</v>
      </c>
      <c r="E4112" t="s">
        <v>15</v>
      </c>
      <c r="F4112" t="s">
        <v>21</v>
      </c>
      <c r="G4112" s="1">
        <v>44982</v>
      </c>
      <c r="H4112" s="1">
        <v>45221</v>
      </c>
      <c r="I4112">
        <v>3</v>
      </c>
      <c r="J4112" t="s">
        <v>19</v>
      </c>
      <c r="K4112">
        <v>8728.9599999999991</v>
      </c>
    </row>
    <row r="4113" spans="1:11">
      <c r="A4113">
        <v>4112</v>
      </c>
      <c r="B4113" t="s">
        <v>157</v>
      </c>
      <c r="C4113" s="1">
        <v>17898</v>
      </c>
      <c r="D4113">
        <v>77</v>
      </c>
      <c r="E4113" t="s">
        <v>12</v>
      </c>
      <c r="F4113" t="s">
        <v>45</v>
      </c>
      <c r="G4113" s="1">
        <v>45482</v>
      </c>
      <c r="H4113" s="1">
        <v>45529</v>
      </c>
      <c r="I4113">
        <v>36</v>
      </c>
      <c r="J4113" t="s">
        <v>23</v>
      </c>
      <c r="K4113">
        <v>16139.17</v>
      </c>
    </row>
    <row r="4114" spans="1:11">
      <c r="A4114">
        <v>4113</v>
      </c>
      <c r="B4114" t="s">
        <v>14</v>
      </c>
      <c r="C4114" s="1">
        <v>19359</v>
      </c>
      <c r="D4114">
        <v>73</v>
      </c>
      <c r="E4114" t="s">
        <v>12</v>
      </c>
      <c r="F4114" t="s">
        <v>32</v>
      </c>
      <c r="G4114" s="1">
        <v>45650</v>
      </c>
      <c r="H4114" s="1">
        <v>45130</v>
      </c>
      <c r="I4114">
        <v>-1</v>
      </c>
      <c r="J4114" t="s">
        <v>25</v>
      </c>
      <c r="K4114">
        <v>13781.29</v>
      </c>
    </row>
    <row r="4115" spans="1:11">
      <c r="A4115">
        <v>4114</v>
      </c>
      <c r="B4115" t="s">
        <v>29</v>
      </c>
      <c r="E4115" t="s">
        <v>12</v>
      </c>
      <c r="F4115" t="s">
        <v>13</v>
      </c>
      <c r="G4115" s="1">
        <v>45278</v>
      </c>
      <c r="H4115" s="1">
        <v>45667</v>
      </c>
      <c r="I4115">
        <v>6</v>
      </c>
      <c r="J4115" t="s">
        <v>25</v>
      </c>
      <c r="K4115">
        <v>2140.5300000000002</v>
      </c>
    </row>
    <row r="4116" spans="1:11">
      <c r="A4116">
        <v>4115</v>
      </c>
      <c r="B4116" t="s">
        <v>77</v>
      </c>
      <c r="C4116" s="1">
        <v>41639</v>
      </c>
      <c r="D4116">
        <v>12</v>
      </c>
      <c r="E4116" t="s">
        <v>15</v>
      </c>
      <c r="F4116" t="s">
        <v>32</v>
      </c>
      <c r="G4116" s="1">
        <v>45255</v>
      </c>
      <c r="H4116" s="1">
        <v>44995</v>
      </c>
      <c r="I4116">
        <v>2</v>
      </c>
      <c r="J4116" t="s">
        <v>25</v>
      </c>
      <c r="K4116">
        <v>9724.0400000000009</v>
      </c>
    </row>
    <row r="4117" spans="1:11">
      <c r="A4117">
        <v>4116</v>
      </c>
      <c r="B4117" t="s">
        <v>95</v>
      </c>
      <c r="C4117" s="1">
        <v>11689</v>
      </c>
      <c r="D4117">
        <v>94</v>
      </c>
      <c r="E4117" t="s">
        <v>12</v>
      </c>
      <c r="F4117" t="s">
        <v>21</v>
      </c>
      <c r="G4117" s="1">
        <v>45472</v>
      </c>
      <c r="H4117" s="1">
        <v>45058</v>
      </c>
      <c r="I4117">
        <v>37</v>
      </c>
      <c r="J4117" t="s">
        <v>23</v>
      </c>
      <c r="K4117">
        <v>14020.14</v>
      </c>
    </row>
    <row r="4118" spans="1:11">
      <c r="A4118">
        <v>4117</v>
      </c>
      <c r="B4118" t="s">
        <v>136</v>
      </c>
      <c r="C4118" s="1">
        <v>12054</v>
      </c>
      <c r="D4118">
        <v>93</v>
      </c>
      <c r="E4118" t="s">
        <v>12</v>
      </c>
      <c r="F4118" t="s">
        <v>18</v>
      </c>
      <c r="G4118" s="1">
        <v>45196</v>
      </c>
      <c r="H4118" s="1">
        <v>45804</v>
      </c>
      <c r="I4118">
        <v>2</v>
      </c>
      <c r="K4118">
        <v>1648.94</v>
      </c>
    </row>
    <row r="4119" spans="1:11">
      <c r="A4119">
        <v>4118</v>
      </c>
      <c r="B4119" t="s">
        <v>90</v>
      </c>
      <c r="C4119" s="1">
        <v>45292</v>
      </c>
      <c r="D4119">
        <v>2</v>
      </c>
      <c r="E4119" t="s">
        <v>12</v>
      </c>
      <c r="G4119" s="1">
        <v>45122</v>
      </c>
      <c r="H4119" s="1">
        <v>45038</v>
      </c>
      <c r="I4119">
        <v>5</v>
      </c>
      <c r="J4119" t="s">
        <v>23</v>
      </c>
      <c r="K4119">
        <v>15829.19</v>
      </c>
    </row>
    <row r="4120" spans="1:11">
      <c r="A4120">
        <v>4119</v>
      </c>
      <c r="B4120" t="s">
        <v>36</v>
      </c>
      <c r="C4120" s="1">
        <v>12054</v>
      </c>
      <c r="D4120">
        <v>93</v>
      </c>
      <c r="E4120" t="s">
        <v>12</v>
      </c>
      <c r="G4120" s="1">
        <v>45339</v>
      </c>
      <c r="H4120" s="1">
        <v>45451</v>
      </c>
      <c r="I4120">
        <v>2</v>
      </c>
      <c r="J4120" t="s">
        <v>19</v>
      </c>
      <c r="K4120">
        <v>4362.29</v>
      </c>
    </row>
    <row r="4121" spans="1:11">
      <c r="A4121">
        <v>4120</v>
      </c>
      <c r="B4121" t="s">
        <v>57</v>
      </c>
      <c r="C4121" s="1">
        <v>44196</v>
      </c>
      <c r="D4121">
        <v>5</v>
      </c>
      <c r="E4121" t="s">
        <v>12</v>
      </c>
      <c r="F4121" t="s">
        <v>21</v>
      </c>
      <c r="G4121" s="1">
        <v>45563</v>
      </c>
      <c r="H4121" s="1">
        <v>45215</v>
      </c>
      <c r="I4121">
        <v>2</v>
      </c>
      <c r="J4121" t="s">
        <v>23</v>
      </c>
      <c r="K4121">
        <v>10012</v>
      </c>
    </row>
    <row r="4122" spans="1:11">
      <c r="A4122">
        <v>4121</v>
      </c>
      <c r="B4122" t="s">
        <v>66</v>
      </c>
      <c r="C4122" s="1">
        <v>12419</v>
      </c>
      <c r="D4122">
        <v>92</v>
      </c>
      <c r="E4122" t="s">
        <v>15</v>
      </c>
      <c r="F4122" t="s">
        <v>45</v>
      </c>
      <c r="G4122" s="1">
        <v>45005</v>
      </c>
      <c r="H4122" s="1">
        <v>45614</v>
      </c>
      <c r="I4122">
        <v>14</v>
      </c>
      <c r="J4122" t="s">
        <v>19</v>
      </c>
      <c r="K4122">
        <v>18805.28</v>
      </c>
    </row>
    <row r="4123" spans="1:11">
      <c r="A4123">
        <v>4122</v>
      </c>
      <c r="B4123" t="s">
        <v>100</v>
      </c>
      <c r="C4123" s="1">
        <v>43466</v>
      </c>
      <c r="E4123" t="s">
        <v>12</v>
      </c>
      <c r="G4123" s="1">
        <v>45583</v>
      </c>
      <c r="H4123" s="1">
        <v>45758</v>
      </c>
      <c r="I4123">
        <v>6</v>
      </c>
      <c r="J4123" t="s">
        <v>23</v>
      </c>
      <c r="K4123">
        <v>11383.82</v>
      </c>
    </row>
    <row r="4124" spans="1:11">
      <c r="A4124">
        <v>4123</v>
      </c>
      <c r="B4124" t="s">
        <v>75</v>
      </c>
      <c r="C4124" s="1">
        <v>30317</v>
      </c>
      <c r="D4124">
        <v>43</v>
      </c>
      <c r="E4124" t="s">
        <v>12</v>
      </c>
      <c r="F4124" t="s">
        <v>21</v>
      </c>
      <c r="G4124" s="1">
        <v>45009</v>
      </c>
      <c r="H4124" s="1">
        <v>45593</v>
      </c>
      <c r="I4124">
        <v>31</v>
      </c>
      <c r="K4124">
        <v>8423.49</v>
      </c>
    </row>
    <row r="4125" spans="1:11">
      <c r="A4125">
        <v>4124</v>
      </c>
      <c r="B4125" t="s">
        <v>80</v>
      </c>
      <c r="C4125" s="1">
        <v>34334</v>
      </c>
      <c r="D4125">
        <v>32</v>
      </c>
      <c r="E4125" t="s">
        <v>15</v>
      </c>
      <c r="F4125" t="s">
        <v>16</v>
      </c>
      <c r="G4125" s="1">
        <v>45063</v>
      </c>
      <c r="H4125" s="1">
        <v>44970</v>
      </c>
      <c r="I4125">
        <v>30</v>
      </c>
      <c r="K4125">
        <v>36.58</v>
      </c>
    </row>
    <row r="4126" spans="1:11">
      <c r="A4126">
        <v>4125</v>
      </c>
      <c r="B4126" t="s">
        <v>130</v>
      </c>
      <c r="C4126" s="1">
        <v>16802</v>
      </c>
      <c r="D4126">
        <v>80</v>
      </c>
      <c r="E4126" t="s">
        <v>15</v>
      </c>
      <c r="F4126" t="s">
        <v>18</v>
      </c>
      <c r="G4126" s="1">
        <v>45465</v>
      </c>
      <c r="H4126" s="1">
        <v>45802</v>
      </c>
      <c r="I4126">
        <v>19</v>
      </c>
      <c r="J4126" t="s">
        <v>25</v>
      </c>
      <c r="K4126">
        <v>2581.61</v>
      </c>
    </row>
    <row r="4127" spans="1:11">
      <c r="A4127">
        <v>4126</v>
      </c>
      <c r="B4127" t="s">
        <v>108</v>
      </c>
      <c r="C4127" s="1">
        <v>18994</v>
      </c>
      <c r="D4127">
        <v>74</v>
      </c>
      <c r="E4127" t="s">
        <v>12</v>
      </c>
      <c r="F4127" t="s">
        <v>18</v>
      </c>
      <c r="G4127" s="1">
        <v>45615</v>
      </c>
      <c r="H4127" s="1">
        <v>45644</v>
      </c>
      <c r="I4127">
        <v>18</v>
      </c>
      <c r="K4127">
        <v>11531.14</v>
      </c>
    </row>
    <row r="4128" spans="1:11">
      <c r="A4128">
        <v>4127</v>
      </c>
      <c r="B4128" t="s">
        <v>35</v>
      </c>
      <c r="C4128" s="1">
        <v>18263</v>
      </c>
      <c r="D4128">
        <v>76</v>
      </c>
      <c r="E4128" t="s">
        <v>15</v>
      </c>
      <c r="F4128" t="s">
        <v>13</v>
      </c>
      <c r="G4128" s="1">
        <v>45645</v>
      </c>
      <c r="H4128" s="1">
        <v>45611</v>
      </c>
      <c r="I4128">
        <v>12</v>
      </c>
      <c r="J4128" t="s">
        <v>23</v>
      </c>
      <c r="K4128">
        <v>9825.8799999999992</v>
      </c>
    </row>
    <row r="4129" spans="1:11">
      <c r="A4129">
        <v>4128</v>
      </c>
      <c r="B4129" t="s">
        <v>56</v>
      </c>
      <c r="C4129" s="1">
        <v>28125</v>
      </c>
      <c r="D4129">
        <v>49</v>
      </c>
      <c r="E4129" t="s">
        <v>12</v>
      </c>
      <c r="F4129" t="s">
        <v>13</v>
      </c>
      <c r="G4129" s="1">
        <v>45232</v>
      </c>
      <c r="H4129" s="1">
        <v>45221</v>
      </c>
      <c r="I4129">
        <v>-2</v>
      </c>
      <c r="K4129">
        <v>7212.97</v>
      </c>
    </row>
    <row r="4130" spans="1:11">
      <c r="A4130">
        <v>4129</v>
      </c>
      <c r="B4130" t="s">
        <v>34</v>
      </c>
      <c r="C4130" s="1">
        <v>42370</v>
      </c>
      <c r="D4130">
        <v>10</v>
      </c>
      <c r="E4130" t="s">
        <v>15</v>
      </c>
      <c r="F4130" t="s">
        <v>16</v>
      </c>
      <c r="G4130" s="1">
        <v>45237</v>
      </c>
      <c r="H4130" s="1">
        <v>45212</v>
      </c>
      <c r="I4130">
        <v>4</v>
      </c>
      <c r="J4130" t="s">
        <v>25</v>
      </c>
      <c r="K4130">
        <v>18456.64</v>
      </c>
    </row>
    <row r="4131" spans="1:11">
      <c r="A4131">
        <v>4130</v>
      </c>
      <c r="B4131" t="s">
        <v>83</v>
      </c>
      <c r="C4131" s="1">
        <v>11689</v>
      </c>
      <c r="D4131">
        <v>94</v>
      </c>
      <c r="E4131" t="s">
        <v>15</v>
      </c>
      <c r="F4131" t="s">
        <v>18</v>
      </c>
      <c r="G4131" s="1">
        <v>45314</v>
      </c>
      <c r="H4131" s="1">
        <v>45750</v>
      </c>
      <c r="I4131">
        <v>20</v>
      </c>
      <c r="J4131" t="s">
        <v>23</v>
      </c>
      <c r="K4131">
        <v>6582.9</v>
      </c>
    </row>
    <row r="4132" spans="1:11">
      <c r="A4132">
        <v>4131</v>
      </c>
      <c r="B4132" t="s">
        <v>137</v>
      </c>
      <c r="C4132" s="1">
        <v>36161</v>
      </c>
      <c r="D4132">
        <v>27</v>
      </c>
      <c r="E4132" t="s">
        <v>15</v>
      </c>
      <c r="F4132" t="s">
        <v>16</v>
      </c>
      <c r="G4132" s="1">
        <v>45651</v>
      </c>
      <c r="H4132" s="1">
        <v>45491</v>
      </c>
      <c r="I4132">
        <v>3</v>
      </c>
      <c r="J4132" t="s">
        <v>19</v>
      </c>
      <c r="K4132">
        <v>10696.73</v>
      </c>
    </row>
    <row r="4133" spans="1:11">
      <c r="A4133">
        <v>4132</v>
      </c>
      <c r="B4133" t="s">
        <v>139</v>
      </c>
      <c r="C4133" s="1">
        <v>20820</v>
      </c>
      <c r="D4133">
        <v>69</v>
      </c>
      <c r="E4133" t="s">
        <v>15</v>
      </c>
      <c r="F4133" t="s">
        <v>18</v>
      </c>
      <c r="G4133" s="1">
        <v>45475</v>
      </c>
      <c r="H4133" s="1">
        <v>45554</v>
      </c>
      <c r="I4133">
        <v>17</v>
      </c>
      <c r="J4133" t="s">
        <v>23</v>
      </c>
      <c r="K4133">
        <v>11331.14</v>
      </c>
    </row>
    <row r="4134" spans="1:11">
      <c r="A4134">
        <v>4133</v>
      </c>
      <c r="B4134" t="s">
        <v>165</v>
      </c>
      <c r="C4134" s="1">
        <v>31412</v>
      </c>
      <c r="D4134">
        <v>40</v>
      </c>
      <c r="E4134" t="s">
        <v>15</v>
      </c>
      <c r="F4134" t="s">
        <v>45</v>
      </c>
      <c r="G4134" s="1">
        <v>45432</v>
      </c>
      <c r="H4134" s="1">
        <v>44946</v>
      </c>
      <c r="I4134">
        <v>23</v>
      </c>
      <c r="J4134" t="s">
        <v>25</v>
      </c>
      <c r="K4134">
        <v>10502.11</v>
      </c>
    </row>
    <row r="4135" spans="1:11">
      <c r="A4135">
        <v>4134</v>
      </c>
      <c r="B4135" t="s">
        <v>130</v>
      </c>
      <c r="C4135" s="1">
        <v>40544</v>
      </c>
      <c r="D4135">
        <v>15</v>
      </c>
      <c r="E4135" t="s">
        <v>12</v>
      </c>
      <c r="F4135" t="s">
        <v>21</v>
      </c>
      <c r="G4135" s="1">
        <v>45314</v>
      </c>
      <c r="H4135" s="1">
        <v>45434</v>
      </c>
      <c r="I4135">
        <v>39</v>
      </c>
      <c r="K4135">
        <v>9499.4699999999993</v>
      </c>
    </row>
    <row r="4136" spans="1:11">
      <c r="A4136">
        <v>4135</v>
      </c>
      <c r="B4136" t="s">
        <v>58</v>
      </c>
      <c r="C4136" s="1">
        <v>21551</v>
      </c>
      <c r="D4136">
        <v>67</v>
      </c>
      <c r="E4136" t="s">
        <v>12</v>
      </c>
      <c r="F4136" t="s">
        <v>13</v>
      </c>
      <c r="G4136" s="1">
        <v>45219</v>
      </c>
      <c r="H4136" s="1">
        <v>45474</v>
      </c>
      <c r="I4136">
        <v>9</v>
      </c>
      <c r="K4136">
        <v>6674.98</v>
      </c>
    </row>
    <row r="4137" spans="1:11">
      <c r="A4137">
        <v>4136</v>
      </c>
      <c r="B4137" t="s">
        <v>128</v>
      </c>
      <c r="C4137" s="1">
        <v>28856</v>
      </c>
      <c r="D4137">
        <v>47</v>
      </c>
      <c r="F4137" t="s">
        <v>45</v>
      </c>
      <c r="G4137" s="1">
        <v>45105</v>
      </c>
      <c r="H4137" s="1">
        <v>44975</v>
      </c>
      <c r="I4137">
        <v>10</v>
      </c>
      <c r="J4137" t="s">
        <v>23</v>
      </c>
      <c r="K4137">
        <v>18166.150000000001</v>
      </c>
    </row>
    <row r="4138" spans="1:11">
      <c r="A4138">
        <v>4137</v>
      </c>
      <c r="B4138" t="s">
        <v>154</v>
      </c>
      <c r="C4138" s="1">
        <v>25934</v>
      </c>
      <c r="D4138">
        <v>55</v>
      </c>
      <c r="E4138" t="s">
        <v>15</v>
      </c>
      <c r="G4138" s="1">
        <v>45598</v>
      </c>
      <c r="H4138" s="1">
        <v>45672</v>
      </c>
      <c r="I4138">
        <v>10</v>
      </c>
      <c r="J4138" t="s">
        <v>19</v>
      </c>
      <c r="K4138">
        <v>8961.15</v>
      </c>
    </row>
    <row r="4139" spans="1:11">
      <c r="A4139">
        <v>4138</v>
      </c>
      <c r="B4139" t="s">
        <v>168</v>
      </c>
      <c r="C4139" s="1">
        <v>23012</v>
      </c>
      <c r="D4139">
        <v>63</v>
      </c>
      <c r="E4139" t="s">
        <v>12</v>
      </c>
      <c r="F4139" t="s">
        <v>21</v>
      </c>
      <c r="G4139" s="1">
        <v>45355</v>
      </c>
      <c r="H4139" s="1">
        <v>45146</v>
      </c>
      <c r="I4139">
        <v>-1</v>
      </c>
      <c r="J4139" t="s">
        <v>19</v>
      </c>
      <c r="K4139">
        <v>10521.82</v>
      </c>
    </row>
    <row r="4140" spans="1:11">
      <c r="A4140">
        <v>4139</v>
      </c>
      <c r="B4140" t="s">
        <v>79</v>
      </c>
      <c r="D4140">
        <v>58</v>
      </c>
      <c r="E4140" t="s">
        <v>12</v>
      </c>
      <c r="F4140" t="s">
        <v>13</v>
      </c>
      <c r="G4140" s="1">
        <v>45450</v>
      </c>
      <c r="H4140" s="1">
        <v>45549</v>
      </c>
      <c r="I4140">
        <v>29</v>
      </c>
      <c r="J4140" t="s">
        <v>19</v>
      </c>
      <c r="K4140">
        <v>13095.21</v>
      </c>
    </row>
    <row r="4141" spans="1:11">
      <c r="A4141">
        <v>4140</v>
      </c>
      <c r="B4141" t="s">
        <v>112</v>
      </c>
      <c r="C4141" s="1">
        <v>13515</v>
      </c>
      <c r="D4141">
        <v>89</v>
      </c>
      <c r="E4141" t="s">
        <v>12</v>
      </c>
      <c r="G4141" s="1">
        <v>45607</v>
      </c>
      <c r="H4141" s="1">
        <v>45693</v>
      </c>
      <c r="I4141">
        <v>28</v>
      </c>
      <c r="J4141" t="s">
        <v>19</v>
      </c>
      <c r="K4141">
        <v>1259.8900000000001</v>
      </c>
    </row>
    <row r="4142" spans="1:11">
      <c r="A4142">
        <v>4141</v>
      </c>
      <c r="B4142" t="s">
        <v>94</v>
      </c>
      <c r="C4142" s="1">
        <v>23742</v>
      </c>
      <c r="D4142">
        <v>61</v>
      </c>
      <c r="E4142" t="s">
        <v>12</v>
      </c>
      <c r="F4142" t="s">
        <v>16</v>
      </c>
      <c r="G4142" s="1">
        <v>45238</v>
      </c>
      <c r="H4142" s="1">
        <v>45115</v>
      </c>
      <c r="I4142">
        <v>8</v>
      </c>
      <c r="J4142" t="s">
        <v>23</v>
      </c>
      <c r="K4142">
        <v>15603.89</v>
      </c>
    </row>
    <row r="4143" spans="1:11">
      <c r="A4143">
        <v>4142</v>
      </c>
      <c r="B4143" t="s">
        <v>148</v>
      </c>
      <c r="C4143" s="1">
        <v>18629</v>
      </c>
      <c r="D4143">
        <v>75</v>
      </c>
      <c r="E4143" t="s">
        <v>15</v>
      </c>
      <c r="G4143" s="1">
        <v>45006</v>
      </c>
      <c r="H4143" s="1">
        <v>44958</v>
      </c>
      <c r="I4143">
        <v>34</v>
      </c>
      <c r="K4143">
        <v>10201.4</v>
      </c>
    </row>
    <row r="4144" spans="1:11">
      <c r="A4144">
        <v>4143</v>
      </c>
      <c r="B4144" t="s">
        <v>37</v>
      </c>
      <c r="C4144" s="1">
        <v>42370</v>
      </c>
      <c r="D4144">
        <v>10</v>
      </c>
      <c r="E4144" t="s">
        <v>15</v>
      </c>
      <c r="F4144" t="s">
        <v>45</v>
      </c>
      <c r="G4144" s="1">
        <v>44940</v>
      </c>
      <c r="H4144" s="1">
        <v>45186</v>
      </c>
      <c r="I4144">
        <v>1</v>
      </c>
      <c r="J4144" t="s">
        <v>19</v>
      </c>
      <c r="K4144">
        <v>13109.26</v>
      </c>
    </row>
    <row r="4145" spans="1:11">
      <c r="A4145">
        <v>4144</v>
      </c>
      <c r="B4145" t="s">
        <v>100</v>
      </c>
      <c r="C4145" s="1">
        <v>13880</v>
      </c>
      <c r="D4145">
        <v>88</v>
      </c>
      <c r="E4145" t="s">
        <v>15</v>
      </c>
      <c r="F4145" t="s">
        <v>32</v>
      </c>
      <c r="G4145" s="1">
        <v>44980</v>
      </c>
      <c r="H4145" s="1">
        <v>45602</v>
      </c>
      <c r="I4145">
        <v>31</v>
      </c>
      <c r="J4145" t="s">
        <v>23</v>
      </c>
      <c r="K4145">
        <v>15417.44</v>
      </c>
    </row>
    <row r="4146" spans="1:11">
      <c r="A4146">
        <v>4145</v>
      </c>
      <c r="B4146" t="s">
        <v>31</v>
      </c>
      <c r="C4146" s="1">
        <v>39813</v>
      </c>
      <c r="D4146">
        <v>17</v>
      </c>
      <c r="E4146" t="s">
        <v>15</v>
      </c>
      <c r="G4146" s="1">
        <v>45373</v>
      </c>
      <c r="H4146" s="1">
        <v>45271</v>
      </c>
      <c r="I4146">
        <v>13</v>
      </c>
      <c r="J4146" t="s">
        <v>23</v>
      </c>
      <c r="K4146">
        <v>17469.400000000001</v>
      </c>
    </row>
    <row r="4147" spans="1:11">
      <c r="A4147">
        <v>4146</v>
      </c>
      <c r="B4147" t="s">
        <v>86</v>
      </c>
      <c r="C4147" s="1">
        <v>39448</v>
      </c>
      <c r="D4147">
        <v>18</v>
      </c>
      <c r="E4147" t="s">
        <v>12</v>
      </c>
      <c r="F4147" t="s">
        <v>32</v>
      </c>
      <c r="G4147" s="1">
        <v>44991</v>
      </c>
      <c r="H4147" s="1">
        <v>45235</v>
      </c>
      <c r="I4147">
        <v>28</v>
      </c>
      <c r="J4147" t="s">
        <v>23</v>
      </c>
      <c r="K4147">
        <v>7783.63</v>
      </c>
    </row>
    <row r="4148" spans="1:11">
      <c r="A4148">
        <v>4147</v>
      </c>
      <c r="B4148" t="s">
        <v>36</v>
      </c>
      <c r="C4148" s="1">
        <v>14611</v>
      </c>
      <c r="E4148" t="s">
        <v>15</v>
      </c>
      <c r="F4148" t="s">
        <v>13</v>
      </c>
      <c r="G4148" s="1">
        <v>45298</v>
      </c>
      <c r="H4148" s="1">
        <v>44998</v>
      </c>
      <c r="I4148">
        <v>22</v>
      </c>
      <c r="J4148" t="s">
        <v>19</v>
      </c>
      <c r="K4148">
        <v>16209.74</v>
      </c>
    </row>
    <row r="4149" spans="1:11">
      <c r="A4149">
        <v>4148</v>
      </c>
      <c r="B4149" t="s">
        <v>100</v>
      </c>
      <c r="C4149" s="1">
        <v>26299</v>
      </c>
      <c r="D4149">
        <v>54</v>
      </c>
      <c r="E4149" t="s">
        <v>12</v>
      </c>
      <c r="F4149" t="s">
        <v>45</v>
      </c>
      <c r="G4149" s="1">
        <v>45429</v>
      </c>
      <c r="H4149" s="1">
        <v>45234</v>
      </c>
      <c r="I4149">
        <v>36</v>
      </c>
      <c r="J4149" t="s">
        <v>19</v>
      </c>
      <c r="K4149">
        <v>5102.62</v>
      </c>
    </row>
    <row r="4150" spans="1:11">
      <c r="A4150">
        <v>4149</v>
      </c>
      <c r="B4150" t="s">
        <v>130</v>
      </c>
      <c r="C4150" s="1">
        <v>16437</v>
      </c>
      <c r="D4150">
        <v>81</v>
      </c>
      <c r="E4150" t="s">
        <v>12</v>
      </c>
      <c r="G4150" s="1">
        <v>45496</v>
      </c>
      <c r="H4150" s="1">
        <v>45495</v>
      </c>
      <c r="I4150">
        <v>5</v>
      </c>
      <c r="J4150" t="s">
        <v>23</v>
      </c>
      <c r="K4150">
        <v>13172.75</v>
      </c>
    </row>
    <row r="4151" spans="1:11">
      <c r="A4151">
        <v>4150</v>
      </c>
      <c r="B4151" t="s">
        <v>44</v>
      </c>
      <c r="C4151" s="1">
        <v>36891</v>
      </c>
      <c r="D4151">
        <v>25</v>
      </c>
      <c r="F4151" t="s">
        <v>21</v>
      </c>
      <c r="G4151" s="1">
        <v>45022</v>
      </c>
      <c r="H4151" s="1">
        <v>45026</v>
      </c>
      <c r="I4151">
        <v>5</v>
      </c>
      <c r="J4151" t="s">
        <v>23</v>
      </c>
      <c r="K4151">
        <v>1964.42</v>
      </c>
    </row>
    <row r="4152" spans="1:11">
      <c r="A4152">
        <v>4151</v>
      </c>
      <c r="B4152" t="s">
        <v>56</v>
      </c>
      <c r="C4152" s="1">
        <v>44196</v>
      </c>
      <c r="D4152">
        <v>5</v>
      </c>
      <c r="E4152" t="s">
        <v>12</v>
      </c>
      <c r="G4152" s="1">
        <v>45459</v>
      </c>
      <c r="H4152" s="1">
        <v>44948</v>
      </c>
      <c r="I4152">
        <v>31</v>
      </c>
      <c r="J4152" t="s">
        <v>23</v>
      </c>
      <c r="K4152">
        <v>302.61</v>
      </c>
    </row>
    <row r="4153" spans="1:11">
      <c r="A4153">
        <v>4152</v>
      </c>
      <c r="B4153" t="s">
        <v>131</v>
      </c>
      <c r="C4153" s="1">
        <v>44927</v>
      </c>
      <c r="D4153">
        <v>3</v>
      </c>
      <c r="E4153" t="s">
        <v>15</v>
      </c>
      <c r="F4153" t="s">
        <v>21</v>
      </c>
      <c r="G4153" s="1">
        <v>45186</v>
      </c>
      <c r="H4153" s="1">
        <v>45824</v>
      </c>
      <c r="I4153">
        <v>12</v>
      </c>
      <c r="K4153">
        <v>1824.84</v>
      </c>
    </row>
    <row r="4154" spans="1:11">
      <c r="A4154">
        <v>4153</v>
      </c>
      <c r="B4154" t="s">
        <v>44</v>
      </c>
      <c r="C4154" s="1">
        <v>35795</v>
      </c>
      <c r="D4154">
        <v>28</v>
      </c>
      <c r="E4154" t="s">
        <v>12</v>
      </c>
      <c r="F4154" t="s">
        <v>45</v>
      </c>
      <c r="G4154" s="1">
        <v>45511</v>
      </c>
      <c r="H4154" s="1">
        <v>45547</v>
      </c>
      <c r="I4154">
        <v>2</v>
      </c>
      <c r="K4154">
        <v>6319.59</v>
      </c>
    </row>
    <row r="4155" spans="1:11">
      <c r="A4155">
        <v>4154</v>
      </c>
      <c r="B4155" t="s">
        <v>105</v>
      </c>
      <c r="C4155" s="1">
        <v>24838</v>
      </c>
      <c r="D4155">
        <v>58</v>
      </c>
      <c r="E4155" t="s">
        <v>15</v>
      </c>
      <c r="F4155" t="s">
        <v>32</v>
      </c>
      <c r="G4155" s="1">
        <v>45174</v>
      </c>
      <c r="H4155" s="1">
        <v>45492</v>
      </c>
      <c r="I4155">
        <v>16</v>
      </c>
      <c r="J4155" t="s">
        <v>25</v>
      </c>
      <c r="K4155">
        <v>525</v>
      </c>
    </row>
    <row r="4156" spans="1:11">
      <c r="A4156">
        <v>4155</v>
      </c>
      <c r="B4156" t="s">
        <v>20</v>
      </c>
      <c r="C4156" s="1">
        <v>40178</v>
      </c>
      <c r="D4156">
        <v>16</v>
      </c>
      <c r="E4156" t="s">
        <v>12</v>
      </c>
      <c r="F4156" t="s">
        <v>45</v>
      </c>
      <c r="G4156" s="1">
        <v>45053</v>
      </c>
      <c r="H4156" s="1">
        <v>44933</v>
      </c>
      <c r="I4156">
        <v>7</v>
      </c>
      <c r="J4156" t="s">
        <v>25</v>
      </c>
      <c r="K4156">
        <v>12572.87</v>
      </c>
    </row>
    <row r="4157" spans="1:11">
      <c r="A4157">
        <v>4156</v>
      </c>
      <c r="B4157" t="s">
        <v>132</v>
      </c>
      <c r="C4157" s="1">
        <v>30682</v>
      </c>
      <c r="D4157">
        <v>42</v>
      </c>
      <c r="E4157" t="s">
        <v>12</v>
      </c>
      <c r="F4157" t="s">
        <v>32</v>
      </c>
      <c r="G4157" s="1">
        <v>45425</v>
      </c>
      <c r="H4157" s="1">
        <v>45158</v>
      </c>
      <c r="I4157">
        <v>6</v>
      </c>
      <c r="J4157" t="s">
        <v>19</v>
      </c>
      <c r="K4157">
        <v>6262.55</v>
      </c>
    </row>
    <row r="4158" spans="1:11">
      <c r="A4158">
        <v>4157</v>
      </c>
      <c r="B4158" t="s">
        <v>113</v>
      </c>
      <c r="C4158" s="1">
        <v>17168</v>
      </c>
      <c r="D4158">
        <v>79</v>
      </c>
      <c r="E4158" t="s">
        <v>12</v>
      </c>
      <c r="F4158" t="s">
        <v>32</v>
      </c>
      <c r="G4158" s="1">
        <v>44972</v>
      </c>
      <c r="H4158" s="1">
        <v>45009</v>
      </c>
      <c r="I4158">
        <v>26</v>
      </c>
      <c r="K4158">
        <v>14701.16</v>
      </c>
    </row>
    <row r="4159" spans="1:11">
      <c r="A4159">
        <v>4158</v>
      </c>
      <c r="B4159" t="s">
        <v>11</v>
      </c>
      <c r="C4159" s="1">
        <v>22281</v>
      </c>
      <c r="D4159">
        <v>65</v>
      </c>
      <c r="E4159" t="s">
        <v>15</v>
      </c>
      <c r="F4159" t="s">
        <v>16</v>
      </c>
      <c r="G4159" s="1">
        <v>45194</v>
      </c>
      <c r="H4159" s="1">
        <v>45144</v>
      </c>
      <c r="I4159">
        <v>37</v>
      </c>
      <c r="J4159" t="s">
        <v>25</v>
      </c>
      <c r="K4159">
        <v>822.89</v>
      </c>
    </row>
    <row r="4160" spans="1:11">
      <c r="A4160">
        <v>4159</v>
      </c>
      <c r="B4160" t="s">
        <v>167</v>
      </c>
      <c r="C4160" s="1">
        <v>33969</v>
      </c>
      <c r="D4160">
        <v>33</v>
      </c>
      <c r="E4160" t="s">
        <v>12</v>
      </c>
      <c r="F4160" t="s">
        <v>16</v>
      </c>
      <c r="G4160" s="1">
        <v>45566</v>
      </c>
      <c r="H4160" s="1">
        <v>45262</v>
      </c>
      <c r="I4160">
        <v>34</v>
      </c>
      <c r="J4160" t="s">
        <v>23</v>
      </c>
      <c r="K4160">
        <v>4255.7</v>
      </c>
    </row>
    <row r="4161" spans="1:11">
      <c r="A4161">
        <v>4160</v>
      </c>
      <c r="B4161" t="s">
        <v>155</v>
      </c>
      <c r="C4161" s="1">
        <v>43466</v>
      </c>
      <c r="D4161">
        <v>7</v>
      </c>
      <c r="E4161" t="s">
        <v>15</v>
      </c>
      <c r="F4161" t="s">
        <v>21</v>
      </c>
      <c r="G4161" s="1">
        <v>45468</v>
      </c>
      <c r="H4161" s="1">
        <v>45486</v>
      </c>
      <c r="I4161">
        <v>16</v>
      </c>
      <c r="J4161" t="s">
        <v>23</v>
      </c>
      <c r="K4161">
        <v>8100.87</v>
      </c>
    </row>
    <row r="4162" spans="1:11">
      <c r="A4162">
        <v>4161</v>
      </c>
      <c r="B4162" t="s">
        <v>27</v>
      </c>
      <c r="C4162" s="1">
        <v>41639</v>
      </c>
      <c r="D4162">
        <v>12</v>
      </c>
      <c r="E4162" t="s">
        <v>15</v>
      </c>
      <c r="F4162" t="s">
        <v>13</v>
      </c>
      <c r="G4162" s="1">
        <v>45020</v>
      </c>
      <c r="H4162" s="1">
        <v>45791</v>
      </c>
      <c r="I4162">
        <v>10</v>
      </c>
      <c r="J4162" t="s">
        <v>19</v>
      </c>
      <c r="K4162">
        <v>7591.3</v>
      </c>
    </row>
    <row r="4163" spans="1:11">
      <c r="A4163">
        <v>4162</v>
      </c>
      <c r="B4163" t="s">
        <v>155</v>
      </c>
      <c r="C4163" s="1">
        <v>43466</v>
      </c>
      <c r="D4163">
        <v>7</v>
      </c>
      <c r="E4163" t="s">
        <v>12</v>
      </c>
      <c r="F4163" t="s">
        <v>18</v>
      </c>
      <c r="G4163" s="1">
        <v>45242</v>
      </c>
      <c r="H4163" s="1">
        <v>45801</v>
      </c>
      <c r="I4163">
        <v>37</v>
      </c>
      <c r="J4163" t="s">
        <v>19</v>
      </c>
      <c r="K4163">
        <v>2533.0700000000002</v>
      </c>
    </row>
    <row r="4164" spans="1:11">
      <c r="A4164">
        <v>4163</v>
      </c>
      <c r="B4164" t="s">
        <v>11</v>
      </c>
      <c r="C4164" s="1">
        <v>12054</v>
      </c>
      <c r="D4164">
        <v>93</v>
      </c>
      <c r="E4164" t="s">
        <v>15</v>
      </c>
      <c r="F4164" t="s">
        <v>45</v>
      </c>
      <c r="G4164" s="1">
        <v>45538</v>
      </c>
      <c r="H4164" s="1">
        <v>45680</v>
      </c>
      <c r="I4164">
        <v>13</v>
      </c>
      <c r="J4164" t="s">
        <v>25</v>
      </c>
      <c r="K4164">
        <v>19882.150000000001</v>
      </c>
    </row>
    <row r="4165" spans="1:11">
      <c r="A4165">
        <v>4164</v>
      </c>
      <c r="B4165" t="s">
        <v>130</v>
      </c>
      <c r="C4165" s="1">
        <v>12054</v>
      </c>
      <c r="D4165">
        <v>93</v>
      </c>
      <c r="F4165" t="s">
        <v>32</v>
      </c>
      <c r="G4165" s="1">
        <v>44997</v>
      </c>
      <c r="H4165" s="1">
        <v>45617</v>
      </c>
      <c r="I4165">
        <v>27</v>
      </c>
      <c r="J4165" t="s">
        <v>23</v>
      </c>
      <c r="K4165">
        <v>5617.24</v>
      </c>
    </row>
    <row r="4166" spans="1:11">
      <c r="A4166">
        <v>4165</v>
      </c>
      <c r="B4166" t="s">
        <v>162</v>
      </c>
      <c r="C4166" s="1">
        <v>22646</v>
      </c>
      <c r="D4166">
        <v>64</v>
      </c>
      <c r="E4166" t="s">
        <v>15</v>
      </c>
      <c r="F4166" t="s">
        <v>45</v>
      </c>
      <c r="G4166" s="1">
        <v>45519</v>
      </c>
      <c r="H4166" s="1">
        <v>45521</v>
      </c>
      <c r="I4166">
        <v>2</v>
      </c>
      <c r="J4166" t="s">
        <v>19</v>
      </c>
      <c r="K4166">
        <v>14392.74</v>
      </c>
    </row>
    <row r="4167" spans="1:11">
      <c r="A4167">
        <v>4166</v>
      </c>
      <c r="B4167" t="s">
        <v>103</v>
      </c>
      <c r="C4167" s="1">
        <v>30682</v>
      </c>
      <c r="D4167">
        <v>42</v>
      </c>
      <c r="E4167" t="s">
        <v>12</v>
      </c>
      <c r="F4167" t="s">
        <v>13</v>
      </c>
      <c r="G4167" s="1">
        <v>45375</v>
      </c>
      <c r="H4167" s="1">
        <v>45726</v>
      </c>
      <c r="I4167">
        <v>30</v>
      </c>
      <c r="J4167" t="s">
        <v>19</v>
      </c>
      <c r="K4167">
        <v>4322.54</v>
      </c>
    </row>
    <row r="4168" spans="1:11">
      <c r="A4168">
        <v>4167</v>
      </c>
      <c r="B4168" t="s">
        <v>139</v>
      </c>
      <c r="C4168" s="1">
        <v>32143</v>
      </c>
      <c r="E4168" t="s">
        <v>15</v>
      </c>
      <c r="F4168" t="s">
        <v>13</v>
      </c>
      <c r="G4168" s="1">
        <v>45293</v>
      </c>
      <c r="H4168" s="1">
        <v>45631</v>
      </c>
      <c r="I4168">
        <v>16</v>
      </c>
      <c r="K4168">
        <v>17544.810000000001</v>
      </c>
    </row>
    <row r="4169" spans="1:11">
      <c r="A4169">
        <v>4168</v>
      </c>
      <c r="B4169" t="s">
        <v>103</v>
      </c>
      <c r="C4169" s="1">
        <v>16802</v>
      </c>
      <c r="D4169">
        <v>80</v>
      </c>
      <c r="E4169" t="s">
        <v>12</v>
      </c>
      <c r="F4169" t="s">
        <v>18</v>
      </c>
      <c r="G4169" s="1">
        <v>45546</v>
      </c>
      <c r="H4169" s="1">
        <v>45582</v>
      </c>
      <c r="I4169">
        <v>16</v>
      </c>
      <c r="J4169" t="s">
        <v>25</v>
      </c>
      <c r="K4169">
        <v>7693.94</v>
      </c>
    </row>
    <row r="4170" spans="1:11">
      <c r="A4170">
        <v>4169</v>
      </c>
      <c r="B4170" t="s">
        <v>11</v>
      </c>
      <c r="C4170" s="1">
        <v>24838</v>
      </c>
      <c r="D4170">
        <v>58</v>
      </c>
      <c r="E4170" t="s">
        <v>12</v>
      </c>
      <c r="G4170" s="1">
        <v>45540</v>
      </c>
      <c r="H4170" s="1">
        <v>45753</v>
      </c>
      <c r="I4170">
        <v>14</v>
      </c>
      <c r="J4170" t="s">
        <v>19</v>
      </c>
      <c r="K4170">
        <v>18008.14</v>
      </c>
    </row>
    <row r="4171" spans="1:11">
      <c r="A4171">
        <v>4170</v>
      </c>
      <c r="B4171" t="s">
        <v>143</v>
      </c>
      <c r="C4171" s="1">
        <v>15707</v>
      </c>
      <c r="D4171">
        <v>83</v>
      </c>
      <c r="E4171" t="s">
        <v>12</v>
      </c>
      <c r="F4171" t="s">
        <v>18</v>
      </c>
      <c r="G4171" s="1">
        <v>45336</v>
      </c>
      <c r="H4171" s="1">
        <v>45718</v>
      </c>
      <c r="I4171">
        <v>21</v>
      </c>
      <c r="J4171" t="s">
        <v>25</v>
      </c>
      <c r="K4171">
        <v>6770.88</v>
      </c>
    </row>
    <row r="4172" spans="1:11">
      <c r="A4172">
        <v>4171</v>
      </c>
      <c r="B4172" t="s">
        <v>144</v>
      </c>
      <c r="C4172" s="1">
        <v>14246</v>
      </c>
      <c r="D4172">
        <v>87</v>
      </c>
      <c r="E4172" t="s">
        <v>15</v>
      </c>
      <c r="F4172" t="s">
        <v>32</v>
      </c>
      <c r="G4172" s="1">
        <v>45017</v>
      </c>
      <c r="H4172" s="1">
        <v>45480</v>
      </c>
      <c r="I4172">
        <v>25</v>
      </c>
      <c r="J4172" t="s">
        <v>23</v>
      </c>
      <c r="K4172">
        <v>73.739999999999995</v>
      </c>
    </row>
    <row r="4173" spans="1:11">
      <c r="A4173">
        <v>4172</v>
      </c>
      <c r="B4173" t="s">
        <v>120</v>
      </c>
      <c r="D4173">
        <v>85</v>
      </c>
      <c r="E4173" t="s">
        <v>12</v>
      </c>
      <c r="F4173" t="s">
        <v>16</v>
      </c>
      <c r="G4173" s="1">
        <v>45435</v>
      </c>
      <c r="H4173" s="1">
        <v>45386</v>
      </c>
      <c r="I4173">
        <v>39</v>
      </c>
      <c r="J4173" t="s">
        <v>25</v>
      </c>
      <c r="K4173">
        <v>10292.11</v>
      </c>
    </row>
    <row r="4174" spans="1:11">
      <c r="A4174">
        <v>4173</v>
      </c>
      <c r="B4174" t="s">
        <v>78</v>
      </c>
      <c r="C4174" s="1">
        <v>12419</v>
      </c>
      <c r="E4174" t="s">
        <v>15</v>
      </c>
      <c r="G4174" s="1">
        <v>45454</v>
      </c>
      <c r="H4174" s="1">
        <v>45710</v>
      </c>
      <c r="I4174">
        <v>34</v>
      </c>
      <c r="J4174" t="s">
        <v>19</v>
      </c>
      <c r="K4174">
        <v>10448.24</v>
      </c>
    </row>
    <row r="4175" spans="1:11">
      <c r="A4175">
        <v>4174</v>
      </c>
      <c r="B4175" t="s">
        <v>152</v>
      </c>
      <c r="D4175">
        <v>85</v>
      </c>
      <c r="E4175" t="s">
        <v>15</v>
      </c>
      <c r="F4175" t="s">
        <v>18</v>
      </c>
      <c r="G4175" s="1">
        <v>45036</v>
      </c>
      <c r="H4175" s="1">
        <v>45014</v>
      </c>
      <c r="I4175">
        <v>19</v>
      </c>
      <c r="K4175">
        <v>2308.67</v>
      </c>
    </row>
    <row r="4176" spans="1:11">
      <c r="A4176">
        <v>4175</v>
      </c>
      <c r="B4176" t="s">
        <v>163</v>
      </c>
      <c r="C4176" s="1">
        <v>30317</v>
      </c>
      <c r="D4176">
        <v>43</v>
      </c>
      <c r="E4176" t="s">
        <v>15</v>
      </c>
      <c r="F4176" t="s">
        <v>16</v>
      </c>
      <c r="G4176" s="1">
        <v>45598</v>
      </c>
      <c r="H4176" s="1">
        <v>45442</v>
      </c>
      <c r="I4176">
        <v>36</v>
      </c>
      <c r="J4176" t="s">
        <v>25</v>
      </c>
      <c r="K4176">
        <v>4622.7700000000004</v>
      </c>
    </row>
    <row r="4177" spans="1:11">
      <c r="A4177">
        <v>4176</v>
      </c>
      <c r="B4177" t="s">
        <v>73</v>
      </c>
      <c r="C4177" s="1">
        <v>43100</v>
      </c>
      <c r="D4177">
        <v>8</v>
      </c>
      <c r="E4177" t="s">
        <v>12</v>
      </c>
      <c r="G4177" s="1">
        <v>45015</v>
      </c>
      <c r="H4177" s="1">
        <v>45650</v>
      </c>
      <c r="I4177">
        <v>13</v>
      </c>
      <c r="J4177" t="s">
        <v>25</v>
      </c>
      <c r="K4177">
        <v>15648.26</v>
      </c>
    </row>
    <row r="4178" spans="1:11">
      <c r="A4178">
        <v>4177</v>
      </c>
      <c r="B4178" t="s">
        <v>131</v>
      </c>
      <c r="C4178" s="1">
        <v>32873</v>
      </c>
      <c r="D4178">
        <v>36</v>
      </c>
      <c r="E4178" t="s">
        <v>15</v>
      </c>
      <c r="F4178" t="s">
        <v>16</v>
      </c>
      <c r="G4178" s="1">
        <v>45533</v>
      </c>
      <c r="H4178" s="1">
        <v>45440</v>
      </c>
      <c r="I4178">
        <v>32</v>
      </c>
      <c r="J4178" t="s">
        <v>23</v>
      </c>
      <c r="K4178">
        <v>638.79</v>
      </c>
    </row>
    <row r="4179" spans="1:11">
      <c r="A4179">
        <v>4178</v>
      </c>
      <c r="B4179" t="s">
        <v>122</v>
      </c>
      <c r="C4179" s="1">
        <v>19359</v>
      </c>
      <c r="D4179">
        <v>73</v>
      </c>
      <c r="E4179" t="s">
        <v>12</v>
      </c>
      <c r="F4179" t="s">
        <v>32</v>
      </c>
      <c r="G4179" s="1">
        <v>45198</v>
      </c>
      <c r="H4179" s="1">
        <v>45514</v>
      </c>
      <c r="I4179">
        <v>24</v>
      </c>
      <c r="K4179">
        <v>9739.49</v>
      </c>
    </row>
    <row r="4180" spans="1:11">
      <c r="A4180">
        <v>4179</v>
      </c>
      <c r="B4180" t="s">
        <v>93</v>
      </c>
      <c r="C4180" s="1">
        <v>33239</v>
      </c>
      <c r="D4180">
        <v>35</v>
      </c>
      <c r="E4180" t="s">
        <v>12</v>
      </c>
      <c r="F4180" t="s">
        <v>21</v>
      </c>
      <c r="G4180" s="1">
        <v>45173</v>
      </c>
      <c r="H4180" s="1">
        <v>45405</v>
      </c>
      <c r="I4180">
        <v>9</v>
      </c>
      <c r="J4180" t="s">
        <v>25</v>
      </c>
      <c r="K4180">
        <v>10561.2</v>
      </c>
    </row>
    <row r="4181" spans="1:11">
      <c r="A4181">
        <v>4180</v>
      </c>
      <c r="B4181" t="s">
        <v>126</v>
      </c>
      <c r="C4181" s="1">
        <v>12785</v>
      </c>
      <c r="D4181">
        <v>91</v>
      </c>
      <c r="E4181" t="s">
        <v>15</v>
      </c>
      <c r="F4181" t="s">
        <v>16</v>
      </c>
      <c r="G4181" s="1">
        <v>45287</v>
      </c>
      <c r="H4181" s="1">
        <v>45425</v>
      </c>
      <c r="I4181">
        <v>25</v>
      </c>
      <c r="K4181">
        <v>13743.11</v>
      </c>
    </row>
    <row r="4182" spans="1:11">
      <c r="A4182">
        <v>4181</v>
      </c>
      <c r="B4182" t="s">
        <v>59</v>
      </c>
      <c r="C4182" s="1">
        <v>36161</v>
      </c>
      <c r="D4182">
        <v>27</v>
      </c>
      <c r="E4182" t="s">
        <v>12</v>
      </c>
      <c r="F4182" t="s">
        <v>32</v>
      </c>
      <c r="G4182" s="1">
        <v>45304</v>
      </c>
      <c r="H4182" s="1">
        <v>45670</v>
      </c>
      <c r="I4182">
        <v>-2</v>
      </c>
      <c r="J4182" t="s">
        <v>19</v>
      </c>
      <c r="K4182">
        <v>652.87</v>
      </c>
    </row>
    <row r="4183" spans="1:11">
      <c r="A4183">
        <v>4182</v>
      </c>
      <c r="B4183" t="s">
        <v>82</v>
      </c>
      <c r="D4183">
        <v>41</v>
      </c>
      <c r="E4183" t="s">
        <v>15</v>
      </c>
      <c r="F4183" t="s">
        <v>18</v>
      </c>
      <c r="G4183" s="1">
        <v>45132</v>
      </c>
      <c r="H4183" s="1">
        <v>45376</v>
      </c>
      <c r="I4183">
        <v>36</v>
      </c>
      <c r="K4183">
        <v>11671.49</v>
      </c>
    </row>
    <row r="4184" spans="1:11">
      <c r="A4184">
        <v>4183</v>
      </c>
      <c r="B4184" t="s">
        <v>70</v>
      </c>
      <c r="C4184" s="1">
        <v>30682</v>
      </c>
      <c r="D4184">
        <v>42</v>
      </c>
      <c r="E4184" t="s">
        <v>12</v>
      </c>
      <c r="F4184" t="s">
        <v>45</v>
      </c>
      <c r="G4184" s="1">
        <v>45271</v>
      </c>
      <c r="H4184" s="1">
        <v>45515</v>
      </c>
      <c r="I4184">
        <v>15</v>
      </c>
      <c r="J4184" t="s">
        <v>19</v>
      </c>
      <c r="K4184">
        <v>-37.729999999999997</v>
      </c>
    </row>
    <row r="4185" spans="1:11">
      <c r="A4185">
        <v>4184</v>
      </c>
      <c r="B4185" t="s">
        <v>165</v>
      </c>
      <c r="C4185" s="1">
        <v>15341</v>
      </c>
      <c r="D4185">
        <v>84</v>
      </c>
      <c r="E4185" t="s">
        <v>15</v>
      </c>
      <c r="F4185" t="s">
        <v>18</v>
      </c>
      <c r="G4185" s="1">
        <v>45381</v>
      </c>
      <c r="H4185" s="1">
        <v>45187</v>
      </c>
      <c r="I4185">
        <v>20</v>
      </c>
      <c r="J4185" t="s">
        <v>23</v>
      </c>
      <c r="K4185">
        <v>5230.09</v>
      </c>
    </row>
    <row r="4186" spans="1:11">
      <c r="A4186">
        <v>4185</v>
      </c>
      <c r="B4186" t="s">
        <v>159</v>
      </c>
      <c r="C4186" s="1">
        <v>14246</v>
      </c>
      <c r="D4186">
        <v>87</v>
      </c>
      <c r="E4186" t="s">
        <v>12</v>
      </c>
      <c r="F4186" t="s">
        <v>13</v>
      </c>
      <c r="G4186" s="1">
        <v>44993</v>
      </c>
      <c r="H4186" s="1">
        <v>45464</v>
      </c>
      <c r="I4186">
        <v>19</v>
      </c>
      <c r="J4186" t="s">
        <v>23</v>
      </c>
      <c r="K4186">
        <v>9943.65</v>
      </c>
    </row>
    <row r="4187" spans="1:11">
      <c r="A4187">
        <v>4186</v>
      </c>
      <c r="B4187" t="s">
        <v>57</v>
      </c>
      <c r="C4187" s="1">
        <v>31047</v>
      </c>
      <c r="D4187">
        <v>41</v>
      </c>
      <c r="E4187" t="s">
        <v>15</v>
      </c>
      <c r="F4187" t="s">
        <v>18</v>
      </c>
      <c r="G4187" s="1">
        <v>45484</v>
      </c>
      <c r="H4187" s="1">
        <v>45127</v>
      </c>
      <c r="I4187">
        <v>1</v>
      </c>
      <c r="J4187" t="s">
        <v>23</v>
      </c>
      <c r="K4187">
        <v>18216.75</v>
      </c>
    </row>
    <row r="4188" spans="1:11">
      <c r="A4188">
        <v>4187</v>
      </c>
      <c r="B4188" t="s">
        <v>82</v>
      </c>
      <c r="C4188" s="1">
        <v>22281</v>
      </c>
      <c r="D4188">
        <v>65</v>
      </c>
      <c r="E4188" t="s">
        <v>15</v>
      </c>
      <c r="F4188" t="s">
        <v>21</v>
      </c>
      <c r="G4188" s="1">
        <v>44969</v>
      </c>
      <c r="H4188" s="1">
        <v>45390</v>
      </c>
      <c r="I4188">
        <v>8</v>
      </c>
      <c r="J4188" t="s">
        <v>19</v>
      </c>
      <c r="K4188">
        <v>2444.46</v>
      </c>
    </row>
    <row r="4189" spans="1:11">
      <c r="A4189">
        <v>4188</v>
      </c>
      <c r="B4189" t="s">
        <v>14</v>
      </c>
      <c r="D4189">
        <v>54</v>
      </c>
      <c r="E4189" t="s">
        <v>15</v>
      </c>
      <c r="F4189" t="s">
        <v>32</v>
      </c>
      <c r="G4189" s="1">
        <v>45155</v>
      </c>
      <c r="H4189" s="1">
        <v>45021</v>
      </c>
      <c r="I4189">
        <v>15</v>
      </c>
      <c r="J4189" t="s">
        <v>25</v>
      </c>
      <c r="K4189">
        <v>3302.71</v>
      </c>
    </row>
    <row r="4190" spans="1:11">
      <c r="A4190">
        <v>4189</v>
      </c>
      <c r="B4190" t="s">
        <v>17</v>
      </c>
      <c r="C4190" s="1">
        <v>20090</v>
      </c>
      <c r="D4190">
        <v>71</v>
      </c>
      <c r="E4190" t="s">
        <v>15</v>
      </c>
      <c r="F4190" t="s">
        <v>16</v>
      </c>
      <c r="G4190" s="1">
        <v>45370</v>
      </c>
      <c r="H4190" s="1">
        <v>45279</v>
      </c>
      <c r="I4190">
        <v>4</v>
      </c>
      <c r="J4190" t="s">
        <v>19</v>
      </c>
      <c r="K4190">
        <v>13351.93</v>
      </c>
    </row>
    <row r="4191" spans="1:11">
      <c r="A4191">
        <v>4190</v>
      </c>
      <c r="B4191" t="s">
        <v>47</v>
      </c>
      <c r="C4191" s="1">
        <v>28856</v>
      </c>
      <c r="D4191">
        <v>47</v>
      </c>
      <c r="E4191" t="s">
        <v>15</v>
      </c>
      <c r="F4191" t="s">
        <v>13</v>
      </c>
      <c r="G4191" s="1">
        <v>45160</v>
      </c>
      <c r="H4191" s="1">
        <v>45035</v>
      </c>
      <c r="I4191">
        <v>18</v>
      </c>
      <c r="K4191">
        <v>7434.72</v>
      </c>
    </row>
    <row r="4192" spans="1:11">
      <c r="A4192">
        <v>4191</v>
      </c>
      <c r="B4192" t="s">
        <v>62</v>
      </c>
      <c r="C4192" s="1">
        <v>13150</v>
      </c>
      <c r="D4192">
        <v>90</v>
      </c>
      <c r="E4192" t="s">
        <v>15</v>
      </c>
      <c r="F4192" t="s">
        <v>32</v>
      </c>
      <c r="G4192" s="1">
        <v>45125</v>
      </c>
      <c r="H4192" s="1">
        <v>45282</v>
      </c>
      <c r="I4192">
        <v>32</v>
      </c>
      <c r="K4192">
        <v>12430.77</v>
      </c>
    </row>
    <row r="4193" spans="1:11">
      <c r="A4193">
        <v>4192</v>
      </c>
      <c r="B4193" t="s">
        <v>154</v>
      </c>
      <c r="C4193" s="1">
        <v>38352</v>
      </c>
      <c r="D4193">
        <v>21</v>
      </c>
      <c r="E4193" t="s">
        <v>12</v>
      </c>
      <c r="F4193" t="s">
        <v>32</v>
      </c>
      <c r="G4193" s="1">
        <v>45423</v>
      </c>
      <c r="H4193" s="1">
        <v>45396</v>
      </c>
      <c r="I4193">
        <v>34</v>
      </c>
      <c r="J4193" t="s">
        <v>19</v>
      </c>
      <c r="K4193">
        <v>19948.830000000002</v>
      </c>
    </row>
    <row r="4194" spans="1:11">
      <c r="A4194">
        <v>4193</v>
      </c>
      <c r="B4194" t="s">
        <v>152</v>
      </c>
      <c r="C4194" s="1">
        <v>36526</v>
      </c>
      <c r="D4194">
        <v>26</v>
      </c>
      <c r="E4194" t="s">
        <v>12</v>
      </c>
      <c r="F4194" t="s">
        <v>16</v>
      </c>
      <c r="G4194" s="1">
        <v>44958</v>
      </c>
      <c r="H4194" s="1">
        <v>45022</v>
      </c>
      <c r="I4194">
        <v>27</v>
      </c>
      <c r="J4194" t="s">
        <v>23</v>
      </c>
      <c r="K4194">
        <v>19736.12</v>
      </c>
    </row>
    <row r="4195" spans="1:11">
      <c r="A4195">
        <v>4194</v>
      </c>
      <c r="B4195" t="s">
        <v>136</v>
      </c>
      <c r="C4195" s="1">
        <v>12419</v>
      </c>
      <c r="E4195" t="s">
        <v>12</v>
      </c>
      <c r="G4195" s="1">
        <v>45190</v>
      </c>
      <c r="H4195" s="1">
        <v>45795</v>
      </c>
      <c r="I4195">
        <v>14</v>
      </c>
      <c r="J4195" t="s">
        <v>23</v>
      </c>
      <c r="K4195">
        <v>7009.64</v>
      </c>
    </row>
    <row r="4196" spans="1:11">
      <c r="A4196">
        <v>4195</v>
      </c>
      <c r="B4196" t="s">
        <v>43</v>
      </c>
      <c r="C4196" s="1">
        <v>21916</v>
      </c>
      <c r="D4196">
        <v>66</v>
      </c>
      <c r="E4196" t="s">
        <v>12</v>
      </c>
      <c r="F4196" t="s">
        <v>18</v>
      </c>
      <c r="G4196" s="1">
        <v>45039</v>
      </c>
      <c r="H4196" s="1">
        <v>45018</v>
      </c>
      <c r="I4196">
        <v>30</v>
      </c>
      <c r="K4196">
        <v>10028.9</v>
      </c>
    </row>
    <row r="4197" spans="1:11">
      <c r="A4197">
        <v>4196</v>
      </c>
      <c r="B4197" t="s">
        <v>104</v>
      </c>
      <c r="C4197" s="1">
        <v>41639</v>
      </c>
      <c r="D4197">
        <v>12</v>
      </c>
      <c r="E4197" t="s">
        <v>12</v>
      </c>
      <c r="F4197" t="s">
        <v>45</v>
      </c>
      <c r="G4197" s="1">
        <v>45385</v>
      </c>
      <c r="H4197" s="1">
        <v>44971</v>
      </c>
      <c r="I4197">
        <v>13</v>
      </c>
      <c r="K4197">
        <v>18084.27</v>
      </c>
    </row>
    <row r="4198" spans="1:11">
      <c r="A4198">
        <v>4197</v>
      </c>
      <c r="B4198" t="s">
        <v>46</v>
      </c>
      <c r="C4198" s="1">
        <v>29951</v>
      </c>
      <c r="D4198">
        <v>44</v>
      </c>
      <c r="E4198" t="s">
        <v>12</v>
      </c>
      <c r="G4198" s="1">
        <v>45202</v>
      </c>
      <c r="H4198" s="1">
        <v>45383</v>
      </c>
      <c r="I4198">
        <v>12</v>
      </c>
      <c r="J4198" t="s">
        <v>25</v>
      </c>
      <c r="K4198">
        <v>1752.57</v>
      </c>
    </row>
    <row r="4199" spans="1:11">
      <c r="A4199">
        <v>4198</v>
      </c>
      <c r="B4199" t="s">
        <v>137</v>
      </c>
      <c r="C4199" s="1">
        <v>42735</v>
      </c>
      <c r="D4199">
        <v>9</v>
      </c>
      <c r="E4199" t="s">
        <v>12</v>
      </c>
      <c r="F4199" t="s">
        <v>13</v>
      </c>
      <c r="G4199" s="1">
        <v>45072</v>
      </c>
      <c r="H4199" s="1">
        <v>45311</v>
      </c>
      <c r="I4199">
        <v>10</v>
      </c>
      <c r="J4199" t="s">
        <v>25</v>
      </c>
      <c r="K4199">
        <v>8991.31</v>
      </c>
    </row>
    <row r="4200" spans="1:11">
      <c r="A4200">
        <v>4199</v>
      </c>
      <c r="B4200" t="s">
        <v>118</v>
      </c>
      <c r="C4200" s="1">
        <v>43100</v>
      </c>
      <c r="E4200" t="s">
        <v>15</v>
      </c>
      <c r="F4200" t="s">
        <v>16</v>
      </c>
      <c r="G4200" s="1">
        <v>45283</v>
      </c>
      <c r="H4200" s="1">
        <v>44950</v>
      </c>
      <c r="I4200">
        <v>36</v>
      </c>
      <c r="J4200" t="s">
        <v>25</v>
      </c>
      <c r="K4200">
        <v>7489.3</v>
      </c>
    </row>
    <row r="4201" spans="1:11">
      <c r="A4201">
        <v>4200</v>
      </c>
      <c r="B4201" t="s">
        <v>110</v>
      </c>
      <c r="C4201" s="1">
        <v>26664</v>
      </c>
      <c r="D4201">
        <v>53</v>
      </c>
      <c r="E4201" t="s">
        <v>12</v>
      </c>
      <c r="F4201" t="s">
        <v>21</v>
      </c>
      <c r="G4201" s="1">
        <v>44932</v>
      </c>
      <c r="H4201" s="1">
        <v>45629</v>
      </c>
      <c r="I4201">
        <v>0</v>
      </c>
      <c r="K4201">
        <v>5827.14</v>
      </c>
    </row>
    <row r="4202" spans="1:11">
      <c r="A4202">
        <v>4201</v>
      </c>
      <c r="B4202" t="s">
        <v>123</v>
      </c>
      <c r="C4202" s="1">
        <v>36526</v>
      </c>
      <c r="D4202">
        <v>26</v>
      </c>
      <c r="E4202" t="s">
        <v>15</v>
      </c>
      <c r="F4202" t="s">
        <v>21</v>
      </c>
      <c r="G4202" s="1">
        <v>45266</v>
      </c>
      <c r="H4202" s="1">
        <v>44950</v>
      </c>
      <c r="I4202">
        <v>21</v>
      </c>
      <c r="J4202" t="s">
        <v>25</v>
      </c>
      <c r="K4202">
        <v>19883.5</v>
      </c>
    </row>
    <row r="4203" spans="1:11">
      <c r="A4203">
        <v>4202</v>
      </c>
      <c r="B4203" t="s">
        <v>84</v>
      </c>
      <c r="C4203" s="1">
        <v>33969</v>
      </c>
      <c r="D4203">
        <v>33</v>
      </c>
      <c r="E4203" t="s">
        <v>12</v>
      </c>
      <c r="F4203" t="s">
        <v>45</v>
      </c>
      <c r="G4203" s="1">
        <v>45420</v>
      </c>
      <c r="H4203" s="1">
        <v>45161</v>
      </c>
      <c r="I4203">
        <v>20</v>
      </c>
      <c r="K4203">
        <v>14644.34</v>
      </c>
    </row>
    <row r="4204" spans="1:11">
      <c r="A4204">
        <v>4203</v>
      </c>
      <c r="B4204" t="s">
        <v>156</v>
      </c>
      <c r="C4204" s="1">
        <v>46022</v>
      </c>
      <c r="D4204">
        <v>0</v>
      </c>
      <c r="E4204" t="s">
        <v>12</v>
      </c>
      <c r="F4204" t="s">
        <v>45</v>
      </c>
      <c r="G4204" s="1">
        <v>45034</v>
      </c>
      <c r="H4204" s="1">
        <v>45625</v>
      </c>
      <c r="I4204">
        <v>-2</v>
      </c>
      <c r="K4204">
        <v>7713.81</v>
      </c>
    </row>
    <row r="4205" spans="1:11">
      <c r="A4205">
        <v>4204</v>
      </c>
      <c r="B4205" t="s">
        <v>111</v>
      </c>
      <c r="C4205" s="1">
        <v>34700</v>
      </c>
      <c r="D4205">
        <v>31</v>
      </c>
      <c r="E4205" t="s">
        <v>15</v>
      </c>
      <c r="F4205" t="s">
        <v>18</v>
      </c>
      <c r="G4205" s="1">
        <v>44997</v>
      </c>
      <c r="H4205" s="1">
        <v>45238</v>
      </c>
      <c r="I4205">
        <v>29</v>
      </c>
      <c r="J4205" t="s">
        <v>19</v>
      </c>
      <c r="K4205">
        <v>16563.34</v>
      </c>
    </row>
    <row r="4206" spans="1:11">
      <c r="A4206">
        <v>4205</v>
      </c>
      <c r="B4206" t="s">
        <v>40</v>
      </c>
      <c r="D4206">
        <v>88</v>
      </c>
      <c r="E4206" t="s">
        <v>12</v>
      </c>
      <c r="F4206" t="s">
        <v>21</v>
      </c>
      <c r="G4206" s="1">
        <v>45266</v>
      </c>
      <c r="H4206" s="1">
        <v>45344</v>
      </c>
      <c r="I4206">
        <v>30</v>
      </c>
      <c r="J4206" t="s">
        <v>25</v>
      </c>
      <c r="K4206">
        <v>9742.2900000000009</v>
      </c>
    </row>
    <row r="4207" spans="1:11">
      <c r="A4207">
        <v>4206</v>
      </c>
      <c r="B4207" t="s">
        <v>109</v>
      </c>
      <c r="C4207" s="1">
        <v>12419</v>
      </c>
      <c r="D4207">
        <v>92</v>
      </c>
      <c r="E4207" t="s">
        <v>15</v>
      </c>
      <c r="F4207" t="s">
        <v>13</v>
      </c>
      <c r="G4207" s="1">
        <v>45600</v>
      </c>
      <c r="H4207" s="1">
        <v>45260</v>
      </c>
      <c r="I4207">
        <v>27</v>
      </c>
      <c r="J4207" t="s">
        <v>19</v>
      </c>
      <c r="K4207">
        <v>17443.77</v>
      </c>
    </row>
    <row r="4208" spans="1:11">
      <c r="A4208">
        <v>4207</v>
      </c>
      <c r="B4208" t="s">
        <v>88</v>
      </c>
      <c r="C4208" s="1">
        <v>20455</v>
      </c>
      <c r="D4208">
        <v>70</v>
      </c>
      <c r="E4208" t="s">
        <v>15</v>
      </c>
      <c r="F4208" t="s">
        <v>16</v>
      </c>
      <c r="G4208" s="1">
        <v>45026</v>
      </c>
      <c r="H4208" s="1">
        <v>45502</v>
      </c>
      <c r="I4208">
        <v>-1</v>
      </c>
      <c r="J4208" t="s">
        <v>19</v>
      </c>
      <c r="K4208">
        <v>5254.23</v>
      </c>
    </row>
    <row r="4209" spans="1:11">
      <c r="A4209">
        <v>4208</v>
      </c>
      <c r="B4209" t="s">
        <v>146</v>
      </c>
      <c r="C4209" s="1">
        <v>21916</v>
      </c>
      <c r="D4209">
        <v>66</v>
      </c>
      <c r="E4209" t="s">
        <v>15</v>
      </c>
      <c r="F4209" t="s">
        <v>45</v>
      </c>
      <c r="G4209" s="1">
        <v>45253</v>
      </c>
      <c r="H4209" s="1">
        <v>45030</v>
      </c>
      <c r="I4209">
        <v>15</v>
      </c>
      <c r="J4209" t="s">
        <v>25</v>
      </c>
      <c r="K4209">
        <v>4394.3599999999997</v>
      </c>
    </row>
    <row r="4210" spans="1:11">
      <c r="A4210">
        <v>4209</v>
      </c>
      <c r="B4210" t="s">
        <v>67</v>
      </c>
      <c r="C4210" s="1">
        <v>15707</v>
      </c>
      <c r="E4210" t="s">
        <v>12</v>
      </c>
      <c r="F4210" t="s">
        <v>45</v>
      </c>
      <c r="G4210" s="1">
        <v>44959</v>
      </c>
      <c r="H4210" s="1">
        <v>45427</v>
      </c>
      <c r="I4210">
        <v>27</v>
      </c>
      <c r="K4210">
        <v>4870.46</v>
      </c>
    </row>
    <row r="4211" spans="1:11">
      <c r="A4211">
        <v>4210</v>
      </c>
      <c r="B4211" t="s">
        <v>100</v>
      </c>
      <c r="C4211" s="1">
        <v>39083</v>
      </c>
      <c r="D4211">
        <v>19</v>
      </c>
      <c r="E4211" t="s">
        <v>12</v>
      </c>
      <c r="F4211" t="s">
        <v>45</v>
      </c>
      <c r="G4211" s="1">
        <v>45069</v>
      </c>
      <c r="H4211" s="1">
        <v>45755</v>
      </c>
      <c r="I4211">
        <v>15</v>
      </c>
      <c r="K4211">
        <v>10723.46</v>
      </c>
    </row>
    <row r="4212" spans="1:11">
      <c r="A4212">
        <v>4211</v>
      </c>
      <c r="B4212" t="s">
        <v>34</v>
      </c>
      <c r="C4212" s="1">
        <v>12054</v>
      </c>
      <c r="D4212">
        <v>93</v>
      </c>
      <c r="E4212" t="s">
        <v>12</v>
      </c>
      <c r="F4212" t="s">
        <v>16</v>
      </c>
      <c r="G4212" s="1">
        <v>45170</v>
      </c>
      <c r="H4212" s="1">
        <v>45410</v>
      </c>
      <c r="I4212">
        <v>2</v>
      </c>
      <c r="K4212">
        <v>5755.4</v>
      </c>
    </row>
    <row r="4213" spans="1:11">
      <c r="A4213">
        <v>4212</v>
      </c>
      <c r="B4213" t="s">
        <v>132</v>
      </c>
      <c r="C4213" s="1">
        <v>33604</v>
      </c>
      <c r="D4213">
        <v>34</v>
      </c>
      <c r="E4213" t="s">
        <v>15</v>
      </c>
      <c r="F4213" t="s">
        <v>13</v>
      </c>
      <c r="G4213" s="1">
        <v>45652</v>
      </c>
      <c r="H4213" s="1">
        <v>45116</v>
      </c>
      <c r="I4213">
        <v>2</v>
      </c>
      <c r="J4213" t="s">
        <v>25</v>
      </c>
      <c r="K4213">
        <v>2857.11</v>
      </c>
    </row>
    <row r="4214" spans="1:11">
      <c r="A4214">
        <v>4213</v>
      </c>
      <c r="B4214" t="s">
        <v>131</v>
      </c>
      <c r="C4214" s="1">
        <v>13150</v>
      </c>
      <c r="D4214">
        <v>90</v>
      </c>
      <c r="E4214" t="s">
        <v>12</v>
      </c>
      <c r="F4214" t="s">
        <v>21</v>
      </c>
      <c r="G4214" s="1">
        <v>45558</v>
      </c>
      <c r="H4214" s="1">
        <v>45775</v>
      </c>
      <c r="I4214">
        <v>5</v>
      </c>
      <c r="K4214">
        <v>19892.02</v>
      </c>
    </row>
    <row r="4215" spans="1:11">
      <c r="A4215">
        <v>4214</v>
      </c>
      <c r="B4215" t="s">
        <v>100</v>
      </c>
      <c r="C4215" s="1">
        <v>13515</v>
      </c>
      <c r="D4215">
        <v>89</v>
      </c>
      <c r="E4215" t="s">
        <v>12</v>
      </c>
      <c r="G4215" s="1">
        <v>45606</v>
      </c>
      <c r="H4215" s="1">
        <v>45387</v>
      </c>
      <c r="I4215">
        <v>6</v>
      </c>
      <c r="J4215" t="s">
        <v>19</v>
      </c>
      <c r="K4215">
        <v>17998.71</v>
      </c>
    </row>
    <row r="4216" spans="1:11">
      <c r="A4216">
        <v>4215</v>
      </c>
      <c r="B4216" t="s">
        <v>161</v>
      </c>
      <c r="C4216" s="1">
        <v>17898</v>
      </c>
      <c r="D4216">
        <v>77</v>
      </c>
      <c r="E4216" t="s">
        <v>15</v>
      </c>
      <c r="F4216" t="s">
        <v>13</v>
      </c>
      <c r="G4216" s="1">
        <v>45143</v>
      </c>
      <c r="H4216" s="1">
        <v>45116</v>
      </c>
      <c r="I4216">
        <v>29</v>
      </c>
      <c r="J4216" t="s">
        <v>23</v>
      </c>
      <c r="K4216">
        <v>12663.75</v>
      </c>
    </row>
    <row r="4217" spans="1:11">
      <c r="A4217">
        <v>4216</v>
      </c>
      <c r="B4217" t="s">
        <v>121</v>
      </c>
      <c r="C4217" s="1">
        <v>40178</v>
      </c>
      <c r="D4217">
        <v>16</v>
      </c>
      <c r="E4217" t="s">
        <v>12</v>
      </c>
      <c r="F4217" t="s">
        <v>16</v>
      </c>
      <c r="G4217" s="1">
        <v>45360</v>
      </c>
      <c r="H4217" s="1">
        <v>45278</v>
      </c>
      <c r="I4217">
        <v>11</v>
      </c>
      <c r="J4217" t="s">
        <v>25</v>
      </c>
      <c r="K4217">
        <v>17820.009999999998</v>
      </c>
    </row>
    <row r="4218" spans="1:11">
      <c r="A4218">
        <v>4217</v>
      </c>
      <c r="B4218" t="s">
        <v>138</v>
      </c>
      <c r="C4218" s="1">
        <v>39813</v>
      </c>
      <c r="D4218">
        <v>17</v>
      </c>
      <c r="E4218" t="s">
        <v>15</v>
      </c>
      <c r="F4218" t="s">
        <v>13</v>
      </c>
      <c r="G4218" s="1">
        <v>45655</v>
      </c>
      <c r="H4218" s="1">
        <v>45508</v>
      </c>
      <c r="I4218">
        <v>10</v>
      </c>
      <c r="J4218" t="s">
        <v>23</v>
      </c>
      <c r="K4218">
        <v>18702.8</v>
      </c>
    </row>
    <row r="4219" spans="1:11">
      <c r="A4219">
        <v>4218</v>
      </c>
      <c r="B4219" t="s">
        <v>81</v>
      </c>
      <c r="C4219" s="1">
        <v>29951</v>
      </c>
      <c r="D4219">
        <v>44</v>
      </c>
      <c r="E4219" t="s">
        <v>15</v>
      </c>
      <c r="F4219" t="s">
        <v>18</v>
      </c>
      <c r="G4219" s="1">
        <v>44980</v>
      </c>
      <c r="H4219" s="1">
        <v>45041</v>
      </c>
      <c r="I4219">
        <v>15</v>
      </c>
      <c r="J4219" t="s">
        <v>19</v>
      </c>
      <c r="K4219">
        <v>13489.78</v>
      </c>
    </row>
    <row r="4220" spans="1:11">
      <c r="A4220">
        <v>4219</v>
      </c>
      <c r="B4220" t="s">
        <v>154</v>
      </c>
      <c r="C4220" s="1">
        <v>12419</v>
      </c>
      <c r="D4220">
        <v>92</v>
      </c>
      <c r="E4220" t="s">
        <v>15</v>
      </c>
      <c r="G4220" s="1">
        <v>45646</v>
      </c>
      <c r="H4220" s="1">
        <v>45031</v>
      </c>
      <c r="I4220">
        <v>1</v>
      </c>
      <c r="J4220" t="s">
        <v>23</v>
      </c>
      <c r="K4220">
        <v>10325.459999999999</v>
      </c>
    </row>
    <row r="4221" spans="1:11">
      <c r="A4221">
        <v>4220</v>
      </c>
      <c r="B4221" t="s">
        <v>108</v>
      </c>
      <c r="C4221" s="1">
        <v>15707</v>
      </c>
      <c r="D4221">
        <v>83</v>
      </c>
      <c r="E4221" t="s">
        <v>12</v>
      </c>
      <c r="F4221" t="s">
        <v>16</v>
      </c>
      <c r="G4221" s="1">
        <v>45518</v>
      </c>
      <c r="H4221" s="1">
        <v>45547</v>
      </c>
      <c r="I4221">
        <v>19</v>
      </c>
      <c r="J4221" t="s">
        <v>19</v>
      </c>
      <c r="K4221">
        <v>17628.240000000002</v>
      </c>
    </row>
    <row r="4222" spans="1:11">
      <c r="A4222">
        <v>4221</v>
      </c>
      <c r="B4222" t="s">
        <v>72</v>
      </c>
      <c r="C4222" s="1">
        <v>27029</v>
      </c>
      <c r="D4222">
        <v>52</v>
      </c>
      <c r="E4222" t="s">
        <v>15</v>
      </c>
      <c r="G4222" s="1">
        <v>45077</v>
      </c>
      <c r="H4222" s="1">
        <v>45435</v>
      </c>
      <c r="I4222">
        <v>17</v>
      </c>
      <c r="J4222" t="s">
        <v>23</v>
      </c>
      <c r="K4222">
        <v>11312.72</v>
      </c>
    </row>
    <row r="4223" spans="1:11">
      <c r="A4223">
        <v>4222</v>
      </c>
      <c r="B4223" t="s">
        <v>150</v>
      </c>
      <c r="C4223" s="1">
        <v>13150</v>
      </c>
      <c r="D4223">
        <v>90</v>
      </c>
      <c r="E4223" t="s">
        <v>15</v>
      </c>
      <c r="G4223" s="1">
        <v>44981</v>
      </c>
      <c r="H4223" s="1">
        <v>45272</v>
      </c>
      <c r="I4223">
        <v>12</v>
      </c>
      <c r="J4223" t="s">
        <v>23</v>
      </c>
      <c r="K4223">
        <v>2448.69</v>
      </c>
    </row>
    <row r="4224" spans="1:11">
      <c r="A4224">
        <v>4223</v>
      </c>
      <c r="B4224" t="s">
        <v>35</v>
      </c>
      <c r="C4224" s="1">
        <v>16437</v>
      </c>
      <c r="D4224">
        <v>81</v>
      </c>
      <c r="E4224" t="s">
        <v>15</v>
      </c>
      <c r="F4224" t="s">
        <v>45</v>
      </c>
      <c r="G4224" s="1">
        <v>45443</v>
      </c>
      <c r="H4224" s="1">
        <v>44948</v>
      </c>
      <c r="I4224">
        <v>4</v>
      </c>
      <c r="K4224">
        <v>7273.81</v>
      </c>
    </row>
    <row r="4225" spans="1:11">
      <c r="A4225">
        <v>4224</v>
      </c>
      <c r="B4225" t="s">
        <v>130</v>
      </c>
      <c r="C4225" s="1">
        <v>21551</v>
      </c>
      <c r="D4225">
        <v>67</v>
      </c>
      <c r="E4225" t="s">
        <v>15</v>
      </c>
      <c r="F4225" t="s">
        <v>21</v>
      </c>
      <c r="G4225" s="1">
        <v>45374</v>
      </c>
      <c r="H4225" s="1">
        <v>45314</v>
      </c>
      <c r="I4225">
        <v>10</v>
      </c>
      <c r="J4225" t="s">
        <v>23</v>
      </c>
      <c r="K4225">
        <v>8863.01</v>
      </c>
    </row>
    <row r="4226" spans="1:11">
      <c r="A4226">
        <v>4225</v>
      </c>
      <c r="B4226" t="s">
        <v>44</v>
      </c>
      <c r="C4226" s="1">
        <v>22646</v>
      </c>
      <c r="D4226">
        <v>64</v>
      </c>
      <c r="E4226" t="s">
        <v>15</v>
      </c>
      <c r="G4226" s="1">
        <v>44961</v>
      </c>
      <c r="H4226" s="1">
        <v>45705</v>
      </c>
      <c r="I4226">
        <v>31</v>
      </c>
      <c r="J4226" t="s">
        <v>19</v>
      </c>
      <c r="K4226">
        <v>18700.919999999998</v>
      </c>
    </row>
    <row r="4227" spans="1:11">
      <c r="A4227">
        <v>4226</v>
      </c>
      <c r="B4227" t="s">
        <v>17</v>
      </c>
      <c r="C4227" s="1">
        <v>46022</v>
      </c>
      <c r="D4227">
        <v>0</v>
      </c>
      <c r="E4227" t="s">
        <v>15</v>
      </c>
      <c r="F4227" t="s">
        <v>18</v>
      </c>
      <c r="G4227" s="1">
        <v>45045</v>
      </c>
      <c r="H4227" s="1">
        <v>45782</v>
      </c>
      <c r="I4227">
        <v>38</v>
      </c>
      <c r="J4227" t="s">
        <v>19</v>
      </c>
      <c r="K4227">
        <v>13149.63</v>
      </c>
    </row>
    <row r="4228" spans="1:11">
      <c r="A4228">
        <v>4227</v>
      </c>
      <c r="B4228" t="s">
        <v>94</v>
      </c>
      <c r="D4228">
        <v>57</v>
      </c>
      <c r="E4228" t="s">
        <v>12</v>
      </c>
      <c r="F4228" t="s">
        <v>18</v>
      </c>
      <c r="G4228" s="1">
        <v>45123</v>
      </c>
      <c r="H4228" s="1">
        <v>45136</v>
      </c>
      <c r="I4228">
        <v>27</v>
      </c>
      <c r="J4228" t="s">
        <v>19</v>
      </c>
      <c r="K4228">
        <v>17493.080000000002</v>
      </c>
    </row>
    <row r="4229" spans="1:11">
      <c r="A4229">
        <v>4228</v>
      </c>
      <c r="B4229" t="s">
        <v>81</v>
      </c>
      <c r="C4229" s="1">
        <v>36891</v>
      </c>
      <c r="E4229" t="s">
        <v>15</v>
      </c>
      <c r="F4229" t="s">
        <v>16</v>
      </c>
      <c r="G4229" s="1">
        <v>45492</v>
      </c>
      <c r="H4229" s="1">
        <v>45609</v>
      </c>
      <c r="I4229">
        <v>2</v>
      </c>
      <c r="J4229" t="s">
        <v>25</v>
      </c>
      <c r="K4229">
        <v>15127.59</v>
      </c>
    </row>
    <row r="4230" spans="1:11">
      <c r="A4230">
        <v>4229</v>
      </c>
      <c r="B4230" t="s">
        <v>102</v>
      </c>
      <c r="C4230" s="1">
        <v>39083</v>
      </c>
      <c r="D4230">
        <v>19</v>
      </c>
      <c r="E4230" t="s">
        <v>12</v>
      </c>
      <c r="F4230" t="s">
        <v>32</v>
      </c>
      <c r="G4230" s="1">
        <v>45440</v>
      </c>
      <c r="H4230" s="1">
        <v>45410</v>
      </c>
      <c r="I4230">
        <v>-2</v>
      </c>
      <c r="J4230" t="s">
        <v>19</v>
      </c>
      <c r="K4230">
        <v>6128.2</v>
      </c>
    </row>
    <row r="4231" spans="1:11">
      <c r="A4231">
        <v>4230</v>
      </c>
      <c r="B4231" t="s">
        <v>148</v>
      </c>
      <c r="C4231" s="1">
        <v>14611</v>
      </c>
      <c r="D4231">
        <v>86</v>
      </c>
      <c r="E4231" t="s">
        <v>12</v>
      </c>
      <c r="F4231" t="s">
        <v>45</v>
      </c>
      <c r="G4231" s="1">
        <v>45520</v>
      </c>
      <c r="H4231" s="1">
        <v>45400</v>
      </c>
      <c r="I4231">
        <v>28</v>
      </c>
      <c r="J4231" t="s">
        <v>25</v>
      </c>
      <c r="K4231">
        <v>14346.05</v>
      </c>
    </row>
    <row r="4232" spans="1:11">
      <c r="A4232">
        <v>4231</v>
      </c>
      <c r="B4232" t="s">
        <v>46</v>
      </c>
      <c r="C4232" s="1">
        <v>42735</v>
      </c>
      <c r="D4232">
        <v>9</v>
      </c>
      <c r="E4232" t="s">
        <v>15</v>
      </c>
      <c r="F4232" t="s">
        <v>21</v>
      </c>
      <c r="G4232" s="1">
        <v>45348</v>
      </c>
      <c r="H4232" s="1">
        <v>45633</v>
      </c>
      <c r="I4232">
        <v>17</v>
      </c>
      <c r="J4232" t="s">
        <v>19</v>
      </c>
      <c r="K4232">
        <v>3825.52</v>
      </c>
    </row>
    <row r="4233" spans="1:11">
      <c r="A4233">
        <v>4232</v>
      </c>
      <c r="B4233" t="s">
        <v>104</v>
      </c>
      <c r="C4233" s="1">
        <v>24838</v>
      </c>
      <c r="D4233">
        <v>58</v>
      </c>
      <c r="E4233" t="s">
        <v>15</v>
      </c>
      <c r="F4233" t="s">
        <v>21</v>
      </c>
      <c r="G4233" s="1">
        <v>45443</v>
      </c>
      <c r="H4233" s="1">
        <v>45786</v>
      </c>
      <c r="I4233">
        <v>16</v>
      </c>
      <c r="J4233" t="s">
        <v>25</v>
      </c>
      <c r="K4233">
        <v>8103.73</v>
      </c>
    </row>
    <row r="4234" spans="1:11">
      <c r="A4234">
        <v>4233</v>
      </c>
      <c r="B4234" t="s">
        <v>171</v>
      </c>
      <c r="C4234" s="1">
        <v>18994</v>
      </c>
      <c r="D4234">
        <v>74</v>
      </c>
      <c r="E4234" t="s">
        <v>12</v>
      </c>
      <c r="F4234" t="s">
        <v>21</v>
      </c>
      <c r="G4234" s="1">
        <v>45612</v>
      </c>
      <c r="H4234" s="1">
        <v>45320</v>
      </c>
      <c r="I4234">
        <v>26</v>
      </c>
      <c r="J4234" t="s">
        <v>23</v>
      </c>
      <c r="K4234">
        <v>16102.45</v>
      </c>
    </row>
    <row r="4235" spans="1:11">
      <c r="A4235">
        <v>4234</v>
      </c>
      <c r="B4235" t="s">
        <v>143</v>
      </c>
      <c r="C4235" s="1">
        <v>31412</v>
      </c>
      <c r="D4235">
        <v>40</v>
      </c>
      <c r="E4235" t="s">
        <v>15</v>
      </c>
      <c r="F4235" t="s">
        <v>16</v>
      </c>
      <c r="G4235" s="1">
        <v>45065</v>
      </c>
      <c r="H4235" s="1">
        <v>45562</v>
      </c>
      <c r="I4235">
        <v>35</v>
      </c>
      <c r="J4235" t="s">
        <v>23</v>
      </c>
      <c r="K4235">
        <v>12199.78</v>
      </c>
    </row>
    <row r="4236" spans="1:11">
      <c r="A4236">
        <v>4235</v>
      </c>
      <c r="B4236" t="s">
        <v>132</v>
      </c>
      <c r="C4236" s="1">
        <v>44561</v>
      </c>
      <c r="D4236">
        <v>4</v>
      </c>
      <c r="E4236" t="s">
        <v>15</v>
      </c>
      <c r="F4236" t="s">
        <v>45</v>
      </c>
      <c r="G4236" s="1">
        <v>45631</v>
      </c>
      <c r="H4236" s="1">
        <v>45616</v>
      </c>
      <c r="I4236">
        <v>7</v>
      </c>
      <c r="J4236" t="s">
        <v>19</v>
      </c>
      <c r="K4236">
        <v>16490.79</v>
      </c>
    </row>
    <row r="4237" spans="1:11">
      <c r="A4237">
        <v>4236</v>
      </c>
      <c r="B4237" t="s">
        <v>109</v>
      </c>
      <c r="C4237" s="1">
        <v>22646</v>
      </c>
      <c r="D4237">
        <v>64</v>
      </c>
      <c r="E4237" t="s">
        <v>15</v>
      </c>
      <c r="G4237" s="1">
        <v>45576</v>
      </c>
      <c r="H4237" s="1">
        <v>45443</v>
      </c>
      <c r="I4237">
        <v>26</v>
      </c>
      <c r="J4237" t="s">
        <v>25</v>
      </c>
      <c r="K4237">
        <v>5019.54</v>
      </c>
    </row>
    <row r="4238" spans="1:11">
      <c r="A4238">
        <v>4237</v>
      </c>
      <c r="B4238" t="s">
        <v>58</v>
      </c>
      <c r="C4238" s="1">
        <v>40178</v>
      </c>
      <c r="D4238">
        <v>16</v>
      </c>
      <c r="E4238" t="s">
        <v>12</v>
      </c>
      <c r="G4238" s="1">
        <v>45554</v>
      </c>
      <c r="H4238" s="1">
        <v>45115</v>
      </c>
      <c r="I4238">
        <v>28</v>
      </c>
      <c r="K4238">
        <v>14969.95</v>
      </c>
    </row>
    <row r="4239" spans="1:11">
      <c r="A4239">
        <v>4238</v>
      </c>
      <c r="B4239" t="s">
        <v>31</v>
      </c>
      <c r="C4239" s="1">
        <v>38352</v>
      </c>
      <c r="D4239">
        <v>21</v>
      </c>
      <c r="E4239" t="s">
        <v>12</v>
      </c>
      <c r="F4239" t="s">
        <v>16</v>
      </c>
      <c r="G4239" s="1">
        <v>44970</v>
      </c>
      <c r="H4239" s="1">
        <v>45273</v>
      </c>
      <c r="I4239">
        <v>8</v>
      </c>
      <c r="K4239">
        <v>3966.72</v>
      </c>
    </row>
    <row r="4240" spans="1:11">
      <c r="A4240">
        <v>4239</v>
      </c>
      <c r="B4240" t="s">
        <v>11</v>
      </c>
      <c r="C4240" s="1">
        <v>31412</v>
      </c>
      <c r="D4240">
        <v>40</v>
      </c>
      <c r="F4240" t="s">
        <v>21</v>
      </c>
      <c r="G4240" s="1">
        <v>45145</v>
      </c>
      <c r="H4240" s="1">
        <v>45279</v>
      </c>
      <c r="I4240">
        <v>20</v>
      </c>
      <c r="K4240">
        <v>10860.61</v>
      </c>
    </row>
    <row r="4241" spans="1:11">
      <c r="A4241">
        <v>4240</v>
      </c>
      <c r="B4241" t="s">
        <v>101</v>
      </c>
      <c r="C4241" s="1">
        <v>12419</v>
      </c>
      <c r="D4241">
        <v>92</v>
      </c>
      <c r="E4241" t="s">
        <v>12</v>
      </c>
      <c r="G4241" s="1">
        <v>45494</v>
      </c>
      <c r="H4241" s="1">
        <v>45468</v>
      </c>
      <c r="I4241">
        <v>27</v>
      </c>
      <c r="J4241" t="s">
        <v>23</v>
      </c>
      <c r="K4241">
        <v>8614.0499999999993</v>
      </c>
    </row>
    <row r="4242" spans="1:11">
      <c r="A4242">
        <v>4241</v>
      </c>
      <c r="B4242" t="s">
        <v>114</v>
      </c>
      <c r="C4242" s="1">
        <v>21551</v>
      </c>
      <c r="D4242">
        <v>67</v>
      </c>
      <c r="E4242" t="s">
        <v>15</v>
      </c>
      <c r="F4242" t="s">
        <v>13</v>
      </c>
      <c r="G4242" s="1">
        <v>45184</v>
      </c>
      <c r="H4242" s="1">
        <v>45525</v>
      </c>
      <c r="I4242">
        <v>22</v>
      </c>
      <c r="J4242" t="s">
        <v>23</v>
      </c>
      <c r="K4242">
        <v>11085.16</v>
      </c>
    </row>
    <row r="4243" spans="1:11">
      <c r="A4243">
        <v>4242</v>
      </c>
      <c r="B4243" t="s">
        <v>106</v>
      </c>
      <c r="C4243" s="1">
        <v>21185</v>
      </c>
      <c r="D4243">
        <v>68</v>
      </c>
      <c r="E4243" t="s">
        <v>15</v>
      </c>
      <c r="F4243" t="s">
        <v>13</v>
      </c>
      <c r="G4243" s="1">
        <v>45439</v>
      </c>
      <c r="H4243" s="1">
        <v>44974</v>
      </c>
      <c r="I4243">
        <v>13</v>
      </c>
      <c r="J4243" t="s">
        <v>25</v>
      </c>
      <c r="K4243">
        <v>2624.22</v>
      </c>
    </row>
    <row r="4244" spans="1:11">
      <c r="A4244">
        <v>4243</v>
      </c>
      <c r="B4244" t="s">
        <v>24</v>
      </c>
      <c r="C4244" s="1">
        <v>42370</v>
      </c>
      <c r="D4244">
        <v>10</v>
      </c>
      <c r="E4244" t="s">
        <v>15</v>
      </c>
      <c r="F4244" t="s">
        <v>45</v>
      </c>
      <c r="G4244" s="1">
        <v>45303</v>
      </c>
      <c r="H4244" s="1">
        <v>45004</v>
      </c>
      <c r="I4244">
        <v>20</v>
      </c>
      <c r="J4244" t="s">
        <v>19</v>
      </c>
      <c r="K4244">
        <v>7160.68</v>
      </c>
    </row>
    <row r="4245" spans="1:11">
      <c r="A4245">
        <v>4244</v>
      </c>
      <c r="B4245" t="s">
        <v>84</v>
      </c>
      <c r="D4245">
        <v>55</v>
      </c>
      <c r="E4245" t="s">
        <v>15</v>
      </c>
      <c r="F4245" t="s">
        <v>21</v>
      </c>
      <c r="G4245" s="1">
        <v>45215</v>
      </c>
      <c r="H4245" s="1">
        <v>45270</v>
      </c>
      <c r="I4245">
        <v>30</v>
      </c>
      <c r="J4245" t="s">
        <v>23</v>
      </c>
      <c r="K4245">
        <v>13304.77</v>
      </c>
    </row>
    <row r="4246" spans="1:11">
      <c r="A4246">
        <v>4245</v>
      </c>
      <c r="B4246" t="s">
        <v>80</v>
      </c>
      <c r="C4246" s="1">
        <v>27760</v>
      </c>
      <c r="D4246">
        <v>50</v>
      </c>
      <c r="E4246" t="s">
        <v>15</v>
      </c>
      <c r="F4246" t="s">
        <v>16</v>
      </c>
      <c r="G4246" s="1">
        <v>45396</v>
      </c>
      <c r="H4246" s="1">
        <v>45118</v>
      </c>
      <c r="I4246">
        <v>34</v>
      </c>
      <c r="J4246" t="s">
        <v>19</v>
      </c>
      <c r="K4246">
        <v>11126.47</v>
      </c>
    </row>
    <row r="4247" spans="1:11">
      <c r="A4247">
        <v>4246</v>
      </c>
      <c r="B4247" t="s">
        <v>148</v>
      </c>
      <c r="C4247" s="1">
        <v>38717</v>
      </c>
      <c r="D4247">
        <v>20</v>
      </c>
      <c r="E4247" t="s">
        <v>15</v>
      </c>
      <c r="F4247" t="s">
        <v>32</v>
      </c>
      <c r="G4247" s="1">
        <v>45029</v>
      </c>
      <c r="H4247" s="1">
        <v>45470</v>
      </c>
      <c r="I4247">
        <v>25</v>
      </c>
      <c r="K4247">
        <v>10934.29</v>
      </c>
    </row>
    <row r="4248" spans="1:11">
      <c r="A4248">
        <v>4247</v>
      </c>
      <c r="B4248" t="s">
        <v>95</v>
      </c>
      <c r="C4248" s="1">
        <v>18629</v>
      </c>
      <c r="D4248">
        <v>75</v>
      </c>
      <c r="E4248" t="s">
        <v>15</v>
      </c>
      <c r="F4248" t="s">
        <v>32</v>
      </c>
      <c r="G4248" s="1">
        <v>45075</v>
      </c>
      <c r="H4248" s="1">
        <v>45746</v>
      </c>
      <c r="I4248">
        <v>24</v>
      </c>
      <c r="K4248">
        <v>10167.69</v>
      </c>
    </row>
    <row r="4249" spans="1:11">
      <c r="A4249">
        <v>4248</v>
      </c>
      <c r="B4249" t="s">
        <v>41</v>
      </c>
      <c r="C4249" s="1">
        <v>36891</v>
      </c>
      <c r="D4249">
        <v>25</v>
      </c>
      <c r="E4249" t="s">
        <v>15</v>
      </c>
      <c r="F4249" t="s">
        <v>32</v>
      </c>
      <c r="G4249" s="1">
        <v>45010</v>
      </c>
      <c r="H4249" s="1">
        <v>45608</v>
      </c>
      <c r="I4249">
        <v>3</v>
      </c>
      <c r="J4249" t="s">
        <v>19</v>
      </c>
      <c r="K4249">
        <v>18872.09</v>
      </c>
    </row>
    <row r="4250" spans="1:11">
      <c r="A4250">
        <v>4249</v>
      </c>
      <c r="B4250" t="s">
        <v>112</v>
      </c>
      <c r="C4250" s="1">
        <v>39448</v>
      </c>
      <c r="D4250">
        <v>18</v>
      </c>
      <c r="E4250" t="s">
        <v>15</v>
      </c>
      <c r="F4250" t="s">
        <v>13</v>
      </c>
      <c r="G4250" s="1">
        <v>44952</v>
      </c>
      <c r="H4250" s="1">
        <v>44963</v>
      </c>
      <c r="I4250">
        <v>35</v>
      </c>
      <c r="J4250" t="s">
        <v>25</v>
      </c>
      <c r="K4250">
        <v>18684.849999999999</v>
      </c>
    </row>
    <row r="4251" spans="1:11">
      <c r="A4251">
        <v>4250</v>
      </c>
      <c r="B4251" t="s">
        <v>64</v>
      </c>
      <c r="C4251" s="1">
        <v>24473</v>
      </c>
      <c r="D4251">
        <v>59</v>
      </c>
      <c r="F4251" t="s">
        <v>16</v>
      </c>
      <c r="G4251" s="1">
        <v>45101</v>
      </c>
      <c r="H4251" s="1">
        <v>45684</v>
      </c>
      <c r="I4251">
        <v>34</v>
      </c>
      <c r="K4251">
        <v>7138.91</v>
      </c>
    </row>
    <row r="4252" spans="1:11">
      <c r="A4252">
        <v>4251</v>
      </c>
      <c r="B4252" t="s">
        <v>70</v>
      </c>
      <c r="C4252" s="1">
        <v>20455</v>
      </c>
      <c r="D4252">
        <v>70</v>
      </c>
      <c r="E4252" t="s">
        <v>12</v>
      </c>
      <c r="F4252" t="s">
        <v>32</v>
      </c>
      <c r="G4252" s="1">
        <v>45567</v>
      </c>
      <c r="H4252" s="1">
        <v>45351</v>
      </c>
      <c r="I4252">
        <v>3</v>
      </c>
      <c r="J4252" t="s">
        <v>25</v>
      </c>
      <c r="K4252">
        <v>6973.09</v>
      </c>
    </row>
    <row r="4253" spans="1:11">
      <c r="A4253">
        <v>4252</v>
      </c>
      <c r="B4253" t="s">
        <v>49</v>
      </c>
      <c r="D4253">
        <v>46</v>
      </c>
      <c r="F4253" t="s">
        <v>21</v>
      </c>
      <c r="G4253" s="1">
        <v>45348</v>
      </c>
      <c r="H4253" s="1">
        <v>45278</v>
      </c>
      <c r="I4253">
        <v>22</v>
      </c>
      <c r="K4253">
        <v>11053.46</v>
      </c>
    </row>
    <row r="4254" spans="1:11">
      <c r="A4254">
        <v>4253</v>
      </c>
      <c r="B4254" t="s">
        <v>133</v>
      </c>
      <c r="C4254" s="1">
        <v>20455</v>
      </c>
      <c r="D4254">
        <v>70</v>
      </c>
      <c r="E4254" t="s">
        <v>15</v>
      </c>
      <c r="F4254" t="s">
        <v>21</v>
      </c>
      <c r="G4254" s="1">
        <v>45580</v>
      </c>
      <c r="H4254" s="1">
        <v>45115</v>
      </c>
      <c r="I4254">
        <v>10</v>
      </c>
      <c r="J4254" t="s">
        <v>23</v>
      </c>
      <c r="K4254">
        <v>1821.69</v>
      </c>
    </row>
    <row r="4255" spans="1:11">
      <c r="A4255">
        <v>4254</v>
      </c>
      <c r="B4255" t="s">
        <v>68</v>
      </c>
      <c r="C4255" s="1">
        <v>36891</v>
      </c>
      <c r="D4255">
        <v>25</v>
      </c>
      <c r="E4255" t="s">
        <v>15</v>
      </c>
      <c r="F4255" t="s">
        <v>32</v>
      </c>
      <c r="G4255" s="1">
        <v>45272</v>
      </c>
      <c r="H4255" s="1">
        <v>45454</v>
      </c>
      <c r="I4255">
        <v>30</v>
      </c>
      <c r="K4255">
        <v>5990.43</v>
      </c>
    </row>
    <row r="4256" spans="1:11">
      <c r="A4256">
        <v>4255</v>
      </c>
      <c r="B4256" t="s">
        <v>141</v>
      </c>
      <c r="C4256" s="1">
        <v>31778</v>
      </c>
      <c r="D4256">
        <v>39</v>
      </c>
      <c r="E4256" t="s">
        <v>15</v>
      </c>
      <c r="F4256" t="s">
        <v>18</v>
      </c>
      <c r="G4256" s="1">
        <v>45228</v>
      </c>
      <c r="H4256" s="1">
        <v>45261</v>
      </c>
      <c r="I4256">
        <v>30</v>
      </c>
      <c r="J4256" t="s">
        <v>25</v>
      </c>
      <c r="K4256">
        <v>4540.4399999999996</v>
      </c>
    </row>
    <row r="4257" spans="1:11">
      <c r="A4257">
        <v>4256</v>
      </c>
      <c r="B4257" t="s">
        <v>140</v>
      </c>
      <c r="C4257" s="1">
        <v>44561</v>
      </c>
      <c r="D4257">
        <v>4</v>
      </c>
      <c r="E4257" t="s">
        <v>15</v>
      </c>
      <c r="F4257" t="s">
        <v>32</v>
      </c>
      <c r="G4257" s="1">
        <v>45224</v>
      </c>
      <c r="H4257" s="1">
        <v>45410</v>
      </c>
      <c r="I4257">
        <v>22</v>
      </c>
      <c r="J4257" t="s">
        <v>23</v>
      </c>
      <c r="K4257">
        <v>4390.13</v>
      </c>
    </row>
    <row r="4258" spans="1:11">
      <c r="A4258">
        <v>4257</v>
      </c>
      <c r="B4258" t="s">
        <v>59</v>
      </c>
      <c r="C4258" s="1">
        <v>38717</v>
      </c>
      <c r="D4258">
        <v>20</v>
      </c>
      <c r="E4258" t="s">
        <v>15</v>
      </c>
      <c r="F4258" t="s">
        <v>18</v>
      </c>
      <c r="G4258" s="1">
        <v>45061</v>
      </c>
      <c r="H4258" s="1">
        <v>45143</v>
      </c>
      <c r="I4258">
        <v>11</v>
      </c>
      <c r="K4258">
        <v>12733.96</v>
      </c>
    </row>
    <row r="4259" spans="1:11">
      <c r="A4259">
        <v>4258</v>
      </c>
      <c r="B4259" t="s">
        <v>150</v>
      </c>
      <c r="C4259" s="1">
        <v>17898</v>
      </c>
      <c r="D4259">
        <v>77</v>
      </c>
      <c r="E4259" t="s">
        <v>12</v>
      </c>
      <c r="F4259" t="s">
        <v>45</v>
      </c>
      <c r="G4259" s="1">
        <v>44981</v>
      </c>
      <c r="H4259" s="1">
        <v>45085</v>
      </c>
      <c r="I4259">
        <v>37</v>
      </c>
      <c r="J4259" t="s">
        <v>23</v>
      </c>
      <c r="K4259">
        <v>7625.44</v>
      </c>
    </row>
    <row r="4260" spans="1:11">
      <c r="A4260">
        <v>4259</v>
      </c>
      <c r="B4260" t="s">
        <v>83</v>
      </c>
      <c r="C4260" s="1">
        <v>44927</v>
      </c>
      <c r="D4260">
        <v>3</v>
      </c>
      <c r="F4260" t="s">
        <v>45</v>
      </c>
      <c r="G4260" s="1">
        <v>44982</v>
      </c>
      <c r="H4260" s="1">
        <v>45594</v>
      </c>
      <c r="I4260">
        <v>38</v>
      </c>
      <c r="J4260" t="s">
        <v>23</v>
      </c>
      <c r="K4260">
        <v>3340.4</v>
      </c>
    </row>
    <row r="4261" spans="1:11">
      <c r="A4261">
        <v>4260</v>
      </c>
      <c r="B4261" t="s">
        <v>124</v>
      </c>
      <c r="C4261" s="1">
        <v>37987</v>
      </c>
      <c r="D4261">
        <v>22</v>
      </c>
      <c r="E4261" t="s">
        <v>15</v>
      </c>
      <c r="F4261" t="s">
        <v>21</v>
      </c>
      <c r="G4261" s="1">
        <v>45300</v>
      </c>
      <c r="H4261" s="1">
        <v>45168</v>
      </c>
      <c r="I4261">
        <v>39</v>
      </c>
      <c r="K4261">
        <v>17740.189999999999</v>
      </c>
    </row>
    <row r="4262" spans="1:11">
      <c r="A4262">
        <v>4261</v>
      </c>
      <c r="B4262" t="s">
        <v>138</v>
      </c>
      <c r="C4262" s="1">
        <v>15707</v>
      </c>
      <c r="D4262">
        <v>83</v>
      </c>
      <c r="E4262" t="s">
        <v>15</v>
      </c>
      <c r="F4262" t="s">
        <v>16</v>
      </c>
      <c r="G4262" s="1">
        <v>45514</v>
      </c>
      <c r="H4262" s="1">
        <v>45223</v>
      </c>
      <c r="I4262">
        <v>35</v>
      </c>
      <c r="J4262" t="s">
        <v>19</v>
      </c>
      <c r="K4262">
        <v>17470.39</v>
      </c>
    </row>
    <row r="4263" spans="1:11">
      <c r="A4263">
        <v>4262</v>
      </c>
      <c r="B4263" t="s">
        <v>130</v>
      </c>
      <c r="C4263" s="1">
        <v>40909</v>
      </c>
      <c r="D4263">
        <v>14</v>
      </c>
      <c r="E4263" t="s">
        <v>15</v>
      </c>
      <c r="F4263" t="s">
        <v>13</v>
      </c>
      <c r="G4263" s="1">
        <v>45265</v>
      </c>
      <c r="H4263" s="1">
        <v>45389</v>
      </c>
      <c r="I4263">
        <v>6</v>
      </c>
      <c r="J4263" t="s">
        <v>19</v>
      </c>
      <c r="K4263">
        <v>17235.5</v>
      </c>
    </row>
    <row r="4264" spans="1:11">
      <c r="A4264">
        <v>4263</v>
      </c>
      <c r="B4264" t="s">
        <v>63</v>
      </c>
      <c r="C4264" s="1">
        <v>12419</v>
      </c>
      <c r="D4264">
        <v>92</v>
      </c>
      <c r="E4264" t="s">
        <v>15</v>
      </c>
      <c r="F4264" t="s">
        <v>16</v>
      </c>
      <c r="G4264" s="1">
        <v>45383</v>
      </c>
      <c r="H4264" s="1">
        <v>44972</v>
      </c>
      <c r="I4264">
        <v>15</v>
      </c>
      <c r="J4264" t="s">
        <v>25</v>
      </c>
      <c r="K4264">
        <v>7753.97</v>
      </c>
    </row>
    <row r="4265" spans="1:11">
      <c r="A4265">
        <v>4264</v>
      </c>
      <c r="B4265" t="s">
        <v>78</v>
      </c>
      <c r="C4265" s="1">
        <v>43466</v>
      </c>
      <c r="D4265">
        <v>7</v>
      </c>
      <c r="E4265" t="s">
        <v>15</v>
      </c>
      <c r="F4265" t="s">
        <v>21</v>
      </c>
      <c r="G4265" s="1">
        <v>45281</v>
      </c>
      <c r="H4265" s="1">
        <v>45422</v>
      </c>
      <c r="I4265">
        <v>12</v>
      </c>
      <c r="J4265" t="s">
        <v>25</v>
      </c>
      <c r="K4265">
        <v>1045.3499999999999</v>
      </c>
    </row>
    <row r="4266" spans="1:11">
      <c r="A4266">
        <v>4265</v>
      </c>
      <c r="B4266" t="s">
        <v>160</v>
      </c>
      <c r="C4266" s="1">
        <v>31412</v>
      </c>
      <c r="E4266" t="s">
        <v>15</v>
      </c>
      <c r="F4266" t="s">
        <v>21</v>
      </c>
      <c r="G4266" s="1">
        <v>45058</v>
      </c>
      <c r="H4266" s="1">
        <v>45102</v>
      </c>
      <c r="I4266">
        <v>1</v>
      </c>
      <c r="K4266">
        <v>2045.51</v>
      </c>
    </row>
    <row r="4267" spans="1:11">
      <c r="A4267">
        <v>4266</v>
      </c>
      <c r="B4267" t="s">
        <v>121</v>
      </c>
      <c r="C4267" s="1">
        <v>39448</v>
      </c>
      <c r="D4267">
        <v>18</v>
      </c>
      <c r="E4267" t="s">
        <v>15</v>
      </c>
      <c r="F4267" t="s">
        <v>16</v>
      </c>
      <c r="G4267" s="1">
        <v>45419</v>
      </c>
      <c r="H4267" s="1">
        <v>45273</v>
      </c>
      <c r="I4267">
        <v>31</v>
      </c>
      <c r="J4267" t="s">
        <v>23</v>
      </c>
      <c r="K4267">
        <v>5448.57</v>
      </c>
    </row>
    <row r="4268" spans="1:11">
      <c r="A4268">
        <v>4267</v>
      </c>
      <c r="B4268" t="s">
        <v>111</v>
      </c>
      <c r="C4268" s="1">
        <v>29586</v>
      </c>
      <c r="E4268" t="s">
        <v>15</v>
      </c>
      <c r="F4268" t="s">
        <v>13</v>
      </c>
      <c r="G4268" s="1">
        <v>45480</v>
      </c>
      <c r="H4268" s="1">
        <v>44983</v>
      </c>
      <c r="I4268">
        <v>35</v>
      </c>
      <c r="J4268" t="s">
        <v>23</v>
      </c>
      <c r="K4268">
        <v>4321.3999999999996</v>
      </c>
    </row>
    <row r="4269" spans="1:11">
      <c r="A4269">
        <v>4268</v>
      </c>
      <c r="B4269" t="s">
        <v>11</v>
      </c>
      <c r="C4269" s="1">
        <v>36161</v>
      </c>
      <c r="D4269">
        <v>27</v>
      </c>
      <c r="E4269" t="s">
        <v>15</v>
      </c>
      <c r="F4269" t="s">
        <v>21</v>
      </c>
      <c r="G4269" s="1">
        <v>45036</v>
      </c>
      <c r="H4269" s="1">
        <v>45493</v>
      </c>
      <c r="I4269">
        <v>14</v>
      </c>
      <c r="J4269" t="s">
        <v>19</v>
      </c>
      <c r="K4269">
        <v>17467.11</v>
      </c>
    </row>
    <row r="4270" spans="1:11">
      <c r="A4270">
        <v>4269</v>
      </c>
      <c r="B4270" t="s">
        <v>160</v>
      </c>
      <c r="C4270" s="1">
        <v>13150</v>
      </c>
      <c r="D4270">
        <v>90</v>
      </c>
      <c r="E4270" t="s">
        <v>15</v>
      </c>
      <c r="G4270" s="1">
        <v>45508</v>
      </c>
      <c r="H4270" s="1">
        <v>45268</v>
      </c>
      <c r="I4270">
        <v>4</v>
      </c>
      <c r="J4270" t="s">
        <v>19</v>
      </c>
      <c r="K4270">
        <v>19725.8</v>
      </c>
    </row>
    <row r="4271" spans="1:11">
      <c r="A4271">
        <v>4270</v>
      </c>
      <c r="B4271" t="s">
        <v>110</v>
      </c>
      <c r="C4271" s="1">
        <v>21551</v>
      </c>
      <c r="D4271">
        <v>67</v>
      </c>
      <c r="E4271" t="s">
        <v>15</v>
      </c>
      <c r="G4271" s="1">
        <v>45052</v>
      </c>
      <c r="H4271" s="1">
        <v>45704</v>
      </c>
      <c r="I4271">
        <v>29</v>
      </c>
      <c r="J4271" t="s">
        <v>23</v>
      </c>
      <c r="K4271">
        <v>16315.14</v>
      </c>
    </row>
    <row r="4272" spans="1:11">
      <c r="A4272">
        <v>4271</v>
      </c>
      <c r="B4272" t="s">
        <v>27</v>
      </c>
      <c r="C4272" s="1">
        <v>40909</v>
      </c>
      <c r="D4272">
        <v>14</v>
      </c>
      <c r="F4272" t="s">
        <v>13</v>
      </c>
      <c r="G4272" s="1">
        <v>45222</v>
      </c>
      <c r="H4272" s="1">
        <v>45813</v>
      </c>
      <c r="I4272">
        <v>20</v>
      </c>
      <c r="J4272" t="s">
        <v>23</v>
      </c>
      <c r="K4272">
        <v>14569.96</v>
      </c>
    </row>
    <row r="4273" spans="1:11">
      <c r="A4273">
        <v>4272</v>
      </c>
      <c r="B4273" t="s">
        <v>112</v>
      </c>
      <c r="C4273" s="1">
        <v>32873</v>
      </c>
      <c r="D4273">
        <v>36</v>
      </c>
      <c r="E4273" t="s">
        <v>15</v>
      </c>
      <c r="F4273" t="s">
        <v>21</v>
      </c>
      <c r="G4273" s="1">
        <v>45105</v>
      </c>
      <c r="H4273" s="1">
        <v>45678</v>
      </c>
      <c r="I4273">
        <v>17</v>
      </c>
      <c r="J4273" t="s">
        <v>25</v>
      </c>
      <c r="K4273">
        <v>11731.35</v>
      </c>
    </row>
    <row r="4274" spans="1:11">
      <c r="A4274">
        <v>4273</v>
      </c>
      <c r="B4274" t="s">
        <v>99</v>
      </c>
      <c r="C4274" s="1">
        <v>46022</v>
      </c>
      <c r="D4274">
        <v>0</v>
      </c>
      <c r="E4274" t="s">
        <v>12</v>
      </c>
      <c r="G4274" s="1">
        <v>45123</v>
      </c>
      <c r="H4274" s="1">
        <v>45760</v>
      </c>
      <c r="I4274">
        <v>-1</v>
      </c>
      <c r="J4274" t="s">
        <v>23</v>
      </c>
      <c r="K4274">
        <v>15375.16</v>
      </c>
    </row>
    <row r="4275" spans="1:11">
      <c r="A4275">
        <v>4274</v>
      </c>
      <c r="B4275" t="s">
        <v>147</v>
      </c>
      <c r="C4275" s="1">
        <v>21916</v>
      </c>
      <c r="D4275">
        <v>66</v>
      </c>
      <c r="E4275" t="s">
        <v>12</v>
      </c>
      <c r="F4275" t="s">
        <v>45</v>
      </c>
      <c r="G4275" s="1">
        <v>45027</v>
      </c>
      <c r="H4275" s="1">
        <v>45035</v>
      </c>
      <c r="I4275">
        <v>18</v>
      </c>
      <c r="J4275" t="s">
        <v>23</v>
      </c>
      <c r="K4275">
        <v>18935.37</v>
      </c>
    </row>
    <row r="4276" spans="1:11">
      <c r="A4276">
        <v>4275</v>
      </c>
      <c r="B4276" t="s">
        <v>72</v>
      </c>
      <c r="C4276" s="1">
        <v>37622</v>
      </c>
      <c r="D4276">
        <v>23</v>
      </c>
      <c r="E4276" t="s">
        <v>12</v>
      </c>
      <c r="F4276" t="s">
        <v>18</v>
      </c>
      <c r="G4276" s="1">
        <v>45499</v>
      </c>
      <c r="H4276" s="1">
        <v>45637</v>
      </c>
      <c r="I4276">
        <v>9</v>
      </c>
      <c r="K4276">
        <v>11987.03</v>
      </c>
    </row>
    <row r="4277" spans="1:11">
      <c r="A4277">
        <v>4276</v>
      </c>
      <c r="B4277" t="s">
        <v>98</v>
      </c>
      <c r="C4277" s="1">
        <v>36526</v>
      </c>
      <c r="D4277">
        <v>26</v>
      </c>
      <c r="E4277" t="s">
        <v>12</v>
      </c>
      <c r="F4277" t="s">
        <v>21</v>
      </c>
      <c r="G4277" s="1">
        <v>45109</v>
      </c>
      <c r="H4277" s="1">
        <v>45824</v>
      </c>
      <c r="I4277">
        <v>39</v>
      </c>
      <c r="J4277" t="s">
        <v>23</v>
      </c>
      <c r="K4277">
        <v>3007.73</v>
      </c>
    </row>
    <row r="4278" spans="1:11">
      <c r="A4278">
        <v>4277</v>
      </c>
      <c r="B4278" t="s">
        <v>77</v>
      </c>
      <c r="C4278" s="1">
        <v>31778</v>
      </c>
      <c r="D4278">
        <v>39</v>
      </c>
      <c r="E4278" t="s">
        <v>12</v>
      </c>
      <c r="F4278" t="s">
        <v>18</v>
      </c>
      <c r="G4278" s="1">
        <v>44935</v>
      </c>
      <c r="H4278" s="1">
        <v>45141</v>
      </c>
      <c r="I4278">
        <v>24</v>
      </c>
      <c r="J4278" t="s">
        <v>19</v>
      </c>
      <c r="K4278">
        <v>3193.55</v>
      </c>
    </row>
    <row r="4279" spans="1:11">
      <c r="A4279">
        <v>4278</v>
      </c>
      <c r="B4279" t="s">
        <v>148</v>
      </c>
      <c r="C4279" s="1">
        <v>23377</v>
      </c>
      <c r="D4279">
        <v>62</v>
      </c>
      <c r="E4279" t="s">
        <v>12</v>
      </c>
      <c r="F4279" t="s">
        <v>32</v>
      </c>
      <c r="G4279" s="1">
        <v>45339</v>
      </c>
      <c r="H4279" s="1">
        <v>45426</v>
      </c>
      <c r="I4279">
        <v>7</v>
      </c>
      <c r="J4279" t="s">
        <v>19</v>
      </c>
      <c r="K4279">
        <v>11635.64</v>
      </c>
    </row>
    <row r="4280" spans="1:11">
      <c r="A4280">
        <v>4279</v>
      </c>
      <c r="B4280" t="s">
        <v>120</v>
      </c>
      <c r="C4280" s="1">
        <v>24107</v>
      </c>
      <c r="D4280">
        <v>60</v>
      </c>
      <c r="E4280" t="s">
        <v>15</v>
      </c>
      <c r="G4280" s="1">
        <v>45644</v>
      </c>
      <c r="H4280" s="1">
        <v>45685</v>
      </c>
      <c r="I4280">
        <v>5</v>
      </c>
      <c r="J4280" t="s">
        <v>25</v>
      </c>
      <c r="K4280">
        <v>6602.72</v>
      </c>
    </row>
    <row r="4281" spans="1:11">
      <c r="A4281">
        <v>4280</v>
      </c>
      <c r="B4281" t="s">
        <v>104</v>
      </c>
      <c r="C4281" s="1">
        <v>33239</v>
      </c>
      <c r="D4281">
        <v>35</v>
      </c>
      <c r="E4281" t="s">
        <v>15</v>
      </c>
      <c r="F4281" t="s">
        <v>21</v>
      </c>
      <c r="G4281" s="1">
        <v>45492</v>
      </c>
      <c r="H4281" s="1">
        <v>45324</v>
      </c>
      <c r="I4281">
        <v>18</v>
      </c>
      <c r="J4281" t="s">
        <v>25</v>
      </c>
      <c r="K4281">
        <v>18195.97</v>
      </c>
    </row>
    <row r="4282" spans="1:11">
      <c r="A4282">
        <v>4281</v>
      </c>
      <c r="B4282" t="s">
        <v>108</v>
      </c>
      <c r="C4282" s="1">
        <v>12419</v>
      </c>
      <c r="D4282">
        <v>92</v>
      </c>
      <c r="F4282" t="s">
        <v>45</v>
      </c>
      <c r="G4282" s="1">
        <v>45618</v>
      </c>
      <c r="H4282" s="1">
        <v>45477</v>
      </c>
      <c r="I4282">
        <v>19</v>
      </c>
      <c r="K4282">
        <v>12194.01</v>
      </c>
    </row>
    <row r="4283" spans="1:11">
      <c r="A4283">
        <v>4282</v>
      </c>
      <c r="B4283" t="s">
        <v>162</v>
      </c>
      <c r="C4283" s="1">
        <v>37622</v>
      </c>
      <c r="D4283">
        <v>23</v>
      </c>
      <c r="E4283" t="s">
        <v>12</v>
      </c>
      <c r="F4283" t="s">
        <v>13</v>
      </c>
      <c r="G4283" s="1">
        <v>45030</v>
      </c>
      <c r="H4283" s="1">
        <v>45424</v>
      </c>
      <c r="I4283">
        <v>10</v>
      </c>
      <c r="J4283" t="s">
        <v>25</v>
      </c>
      <c r="K4283">
        <v>13497.5</v>
      </c>
    </row>
    <row r="4284" spans="1:11">
      <c r="A4284">
        <v>4283</v>
      </c>
      <c r="B4284" t="s">
        <v>33</v>
      </c>
      <c r="C4284" s="1">
        <v>37622</v>
      </c>
      <c r="D4284">
        <v>23</v>
      </c>
      <c r="F4284" t="s">
        <v>45</v>
      </c>
      <c r="G4284" s="1">
        <v>45052</v>
      </c>
      <c r="H4284" s="1">
        <v>45100</v>
      </c>
      <c r="I4284">
        <v>37</v>
      </c>
      <c r="J4284" t="s">
        <v>23</v>
      </c>
      <c r="K4284">
        <v>17</v>
      </c>
    </row>
    <row r="4285" spans="1:11">
      <c r="A4285">
        <v>4284</v>
      </c>
      <c r="B4285" t="s">
        <v>20</v>
      </c>
      <c r="C4285" s="1">
        <v>44927</v>
      </c>
      <c r="D4285">
        <v>3</v>
      </c>
      <c r="E4285" t="s">
        <v>12</v>
      </c>
      <c r="F4285" t="s">
        <v>18</v>
      </c>
      <c r="G4285" s="1">
        <v>45472</v>
      </c>
      <c r="H4285" s="1">
        <v>45032</v>
      </c>
      <c r="I4285">
        <v>9</v>
      </c>
      <c r="J4285" t="s">
        <v>23</v>
      </c>
      <c r="K4285">
        <v>9926.86</v>
      </c>
    </row>
    <row r="4286" spans="1:11">
      <c r="A4286">
        <v>4285</v>
      </c>
      <c r="B4286" t="s">
        <v>144</v>
      </c>
      <c r="C4286" s="1">
        <v>21916</v>
      </c>
      <c r="D4286">
        <v>66</v>
      </c>
      <c r="E4286" t="s">
        <v>12</v>
      </c>
      <c r="F4286" t="s">
        <v>13</v>
      </c>
      <c r="G4286" s="1">
        <v>45603</v>
      </c>
      <c r="H4286" s="1">
        <v>45479</v>
      </c>
      <c r="I4286">
        <v>14</v>
      </c>
      <c r="K4286">
        <v>8566.41</v>
      </c>
    </row>
    <row r="4287" spans="1:11">
      <c r="A4287">
        <v>4286</v>
      </c>
      <c r="B4287" t="s">
        <v>96</v>
      </c>
      <c r="C4287" s="1">
        <v>33969</v>
      </c>
      <c r="D4287">
        <v>33</v>
      </c>
      <c r="E4287" t="s">
        <v>12</v>
      </c>
      <c r="F4287" t="s">
        <v>45</v>
      </c>
      <c r="G4287" s="1">
        <v>45196</v>
      </c>
      <c r="H4287" s="1">
        <v>45406</v>
      </c>
      <c r="I4287">
        <v>6</v>
      </c>
      <c r="J4287" t="s">
        <v>19</v>
      </c>
      <c r="K4287">
        <v>14088.02</v>
      </c>
    </row>
    <row r="4288" spans="1:11">
      <c r="A4288">
        <v>4287</v>
      </c>
      <c r="B4288" t="s">
        <v>94</v>
      </c>
      <c r="C4288" s="1">
        <v>25568</v>
      </c>
      <c r="D4288">
        <v>56</v>
      </c>
      <c r="E4288" t="s">
        <v>12</v>
      </c>
      <c r="F4288" t="s">
        <v>45</v>
      </c>
      <c r="G4288" s="1">
        <v>45392</v>
      </c>
      <c r="H4288" s="1">
        <v>45326</v>
      </c>
      <c r="I4288">
        <v>37</v>
      </c>
      <c r="J4288" t="s">
        <v>23</v>
      </c>
      <c r="K4288">
        <v>7591.04</v>
      </c>
    </row>
    <row r="4289" spans="1:11">
      <c r="A4289">
        <v>4288</v>
      </c>
      <c r="B4289" t="s">
        <v>87</v>
      </c>
      <c r="C4289" s="1">
        <v>28490</v>
      </c>
      <c r="D4289">
        <v>48</v>
      </c>
      <c r="E4289" t="s">
        <v>12</v>
      </c>
      <c r="F4289" t="s">
        <v>45</v>
      </c>
      <c r="G4289" s="1">
        <v>45044</v>
      </c>
      <c r="H4289" s="1">
        <v>45361</v>
      </c>
      <c r="I4289">
        <v>9</v>
      </c>
      <c r="J4289" t="s">
        <v>23</v>
      </c>
      <c r="K4289">
        <v>19529.16</v>
      </c>
    </row>
    <row r="4290" spans="1:11">
      <c r="A4290">
        <v>4289</v>
      </c>
      <c r="B4290" t="s">
        <v>162</v>
      </c>
      <c r="C4290" s="1">
        <v>14611</v>
      </c>
      <c r="D4290">
        <v>86</v>
      </c>
      <c r="E4290" t="s">
        <v>12</v>
      </c>
      <c r="F4290" t="s">
        <v>16</v>
      </c>
      <c r="G4290" s="1">
        <v>45018</v>
      </c>
      <c r="H4290" s="1">
        <v>45569</v>
      </c>
      <c r="I4290">
        <v>6</v>
      </c>
      <c r="K4290">
        <v>13371.08</v>
      </c>
    </row>
    <row r="4291" spans="1:11">
      <c r="A4291">
        <v>4290</v>
      </c>
      <c r="B4291" t="s">
        <v>148</v>
      </c>
      <c r="C4291" s="1">
        <v>27029</v>
      </c>
      <c r="D4291">
        <v>52</v>
      </c>
      <c r="E4291" t="s">
        <v>12</v>
      </c>
      <c r="F4291" t="s">
        <v>13</v>
      </c>
      <c r="G4291" s="1">
        <v>45538</v>
      </c>
      <c r="H4291" s="1">
        <v>45620</v>
      </c>
      <c r="I4291">
        <v>27</v>
      </c>
      <c r="J4291" t="s">
        <v>19</v>
      </c>
      <c r="K4291">
        <v>13164.36</v>
      </c>
    </row>
    <row r="4292" spans="1:11">
      <c r="A4292">
        <v>4291</v>
      </c>
      <c r="B4292" t="s">
        <v>74</v>
      </c>
      <c r="C4292" s="1">
        <v>37987</v>
      </c>
      <c r="D4292">
        <v>22</v>
      </c>
      <c r="E4292" t="s">
        <v>12</v>
      </c>
      <c r="F4292" t="s">
        <v>45</v>
      </c>
      <c r="G4292" s="1">
        <v>45411</v>
      </c>
      <c r="H4292" s="1">
        <v>45121</v>
      </c>
      <c r="I4292">
        <v>3</v>
      </c>
      <c r="J4292" t="s">
        <v>25</v>
      </c>
      <c r="K4292">
        <v>18378.759999999998</v>
      </c>
    </row>
    <row r="4293" spans="1:11">
      <c r="A4293">
        <v>4292</v>
      </c>
      <c r="B4293" t="s">
        <v>102</v>
      </c>
      <c r="C4293" s="1">
        <v>21185</v>
      </c>
      <c r="D4293">
        <v>68</v>
      </c>
      <c r="E4293" t="s">
        <v>12</v>
      </c>
      <c r="G4293" s="1">
        <v>45013</v>
      </c>
      <c r="H4293" s="1">
        <v>45770</v>
      </c>
      <c r="I4293">
        <v>22</v>
      </c>
      <c r="J4293" t="s">
        <v>23</v>
      </c>
      <c r="K4293">
        <v>19903.62</v>
      </c>
    </row>
    <row r="4294" spans="1:11">
      <c r="A4294">
        <v>4293</v>
      </c>
      <c r="B4294" t="s">
        <v>161</v>
      </c>
      <c r="C4294" s="1">
        <v>11689</v>
      </c>
      <c r="D4294">
        <v>94</v>
      </c>
      <c r="E4294" t="s">
        <v>15</v>
      </c>
      <c r="G4294" s="1">
        <v>45160</v>
      </c>
      <c r="H4294" s="1">
        <v>45728</v>
      </c>
      <c r="I4294">
        <v>25</v>
      </c>
      <c r="J4294" t="s">
        <v>19</v>
      </c>
      <c r="K4294">
        <v>3876.2</v>
      </c>
    </row>
    <row r="4295" spans="1:11">
      <c r="A4295">
        <v>4294</v>
      </c>
      <c r="B4295" t="s">
        <v>105</v>
      </c>
      <c r="C4295" s="1">
        <v>27029</v>
      </c>
      <c r="D4295">
        <v>52</v>
      </c>
      <c r="E4295" t="s">
        <v>15</v>
      </c>
      <c r="F4295" t="s">
        <v>45</v>
      </c>
      <c r="G4295" s="1">
        <v>45050</v>
      </c>
      <c r="H4295" s="1">
        <v>45393</v>
      </c>
      <c r="I4295">
        <v>7</v>
      </c>
      <c r="K4295">
        <v>16191.72</v>
      </c>
    </row>
    <row r="4296" spans="1:11">
      <c r="A4296">
        <v>4295</v>
      </c>
      <c r="B4296" t="s">
        <v>158</v>
      </c>
      <c r="C4296" s="1">
        <v>23742</v>
      </c>
      <c r="D4296">
        <v>61</v>
      </c>
      <c r="E4296" t="s">
        <v>12</v>
      </c>
      <c r="F4296" t="s">
        <v>18</v>
      </c>
      <c r="G4296" s="1">
        <v>45129</v>
      </c>
      <c r="H4296" s="1">
        <v>45268</v>
      </c>
      <c r="I4296">
        <v>38</v>
      </c>
      <c r="K4296">
        <v>3162.62</v>
      </c>
    </row>
    <row r="4297" spans="1:11">
      <c r="A4297">
        <v>4296</v>
      </c>
      <c r="B4297" t="s">
        <v>34</v>
      </c>
      <c r="C4297" s="1">
        <v>31412</v>
      </c>
      <c r="D4297">
        <v>40</v>
      </c>
      <c r="E4297" t="s">
        <v>12</v>
      </c>
      <c r="F4297" t="s">
        <v>45</v>
      </c>
      <c r="G4297" s="1">
        <v>44958</v>
      </c>
      <c r="H4297" s="1">
        <v>44986</v>
      </c>
      <c r="I4297">
        <v>25</v>
      </c>
      <c r="J4297" t="s">
        <v>19</v>
      </c>
      <c r="K4297">
        <v>9086.57</v>
      </c>
    </row>
    <row r="4298" spans="1:11">
      <c r="A4298">
        <v>4297</v>
      </c>
      <c r="B4298" t="s">
        <v>80</v>
      </c>
      <c r="C4298" s="1">
        <v>25568</v>
      </c>
      <c r="D4298">
        <v>56</v>
      </c>
      <c r="E4298" t="s">
        <v>15</v>
      </c>
      <c r="G4298" s="1">
        <v>45283</v>
      </c>
      <c r="H4298" s="1">
        <v>45790</v>
      </c>
      <c r="I4298">
        <v>26</v>
      </c>
      <c r="K4298">
        <v>1913.73</v>
      </c>
    </row>
    <row r="4299" spans="1:11">
      <c r="A4299">
        <v>4298</v>
      </c>
      <c r="B4299" t="s">
        <v>90</v>
      </c>
      <c r="C4299" s="1">
        <v>24473</v>
      </c>
      <c r="D4299">
        <v>59</v>
      </c>
      <c r="E4299" t="s">
        <v>15</v>
      </c>
      <c r="F4299" t="s">
        <v>45</v>
      </c>
      <c r="G4299" s="1">
        <v>45389</v>
      </c>
      <c r="H4299" s="1">
        <v>45465</v>
      </c>
      <c r="I4299">
        <v>33</v>
      </c>
      <c r="J4299" t="s">
        <v>25</v>
      </c>
      <c r="K4299">
        <v>12429.76</v>
      </c>
    </row>
    <row r="4300" spans="1:11">
      <c r="A4300">
        <v>4299</v>
      </c>
      <c r="B4300" t="s">
        <v>171</v>
      </c>
      <c r="C4300" s="1">
        <v>26664</v>
      </c>
      <c r="D4300">
        <v>53</v>
      </c>
      <c r="E4300" t="s">
        <v>12</v>
      </c>
      <c r="F4300" t="s">
        <v>32</v>
      </c>
      <c r="G4300" s="1">
        <v>45477</v>
      </c>
      <c r="H4300" s="1">
        <v>45405</v>
      </c>
      <c r="I4300">
        <v>8</v>
      </c>
      <c r="J4300" t="s">
        <v>19</v>
      </c>
      <c r="K4300">
        <v>9317.2199999999993</v>
      </c>
    </row>
    <row r="4301" spans="1:11">
      <c r="A4301">
        <v>4300</v>
      </c>
      <c r="B4301" t="s">
        <v>99</v>
      </c>
      <c r="C4301" s="1">
        <v>20820</v>
      </c>
      <c r="D4301">
        <v>69</v>
      </c>
      <c r="E4301" t="s">
        <v>12</v>
      </c>
      <c r="F4301" t="s">
        <v>13</v>
      </c>
      <c r="G4301" s="1">
        <v>45020</v>
      </c>
      <c r="H4301" s="1">
        <v>45030</v>
      </c>
      <c r="I4301">
        <v>18</v>
      </c>
      <c r="J4301" t="s">
        <v>25</v>
      </c>
      <c r="K4301">
        <v>12536.85</v>
      </c>
    </row>
    <row r="4302" spans="1:11">
      <c r="A4302">
        <v>4301</v>
      </c>
      <c r="B4302" t="s">
        <v>61</v>
      </c>
      <c r="C4302" s="1">
        <v>25568</v>
      </c>
      <c r="D4302">
        <v>56</v>
      </c>
      <c r="E4302" t="s">
        <v>12</v>
      </c>
      <c r="F4302" t="s">
        <v>32</v>
      </c>
      <c r="G4302" s="1">
        <v>45448</v>
      </c>
      <c r="H4302" s="1">
        <v>45460</v>
      </c>
      <c r="I4302">
        <v>35</v>
      </c>
      <c r="K4302">
        <v>13527.01</v>
      </c>
    </row>
    <row r="4303" spans="1:11">
      <c r="A4303">
        <v>4302</v>
      </c>
      <c r="B4303" t="s">
        <v>59</v>
      </c>
      <c r="C4303" s="1">
        <v>42735</v>
      </c>
      <c r="E4303" t="s">
        <v>12</v>
      </c>
      <c r="F4303" t="s">
        <v>16</v>
      </c>
      <c r="G4303" s="1">
        <v>45653</v>
      </c>
      <c r="H4303" s="1">
        <v>45519</v>
      </c>
      <c r="I4303">
        <v>23</v>
      </c>
      <c r="J4303" t="s">
        <v>25</v>
      </c>
      <c r="K4303">
        <v>12350.59</v>
      </c>
    </row>
    <row r="4304" spans="1:11">
      <c r="A4304">
        <v>4303</v>
      </c>
      <c r="B4304" t="s">
        <v>129</v>
      </c>
      <c r="C4304" s="1">
        <v>31778</v>
      </c>
      <c r="D4304">
        <v>39</v>
      </c>
      <c r="E4304" t="s">
        <v>15</v>
      </c>
      <c r="F4304" t="s">
        <v>18</v>
      </c>
      <c r="G4304" s="1">
        <v>45334</v>
      </c>
      <c r="H4304" s="1">
        <v>45766</v>
      </c>
      <c r="I4304">
        <v>15</v>
      </c>
      <c r="J4304" t="s">
        <v>25</v>
      </c>
      <c r="K4304">
        <v>5809.99</v>
      </c>
    </row>
    <row r="4305" spans="1:11">
      <c r="A4305">
        <v>4304</v>
      </c>
      <c r="B4305" t="s">
        <v>144</v>
      </c>
      <c r="C4305" s="1">
        <v>43831</v>
      </c>
      <c r="D4305">
        <v>6</v>
      </c>
      <c r="E4305" t="s">
        <v>15</v>
      </c>
      <c r="F4305" t="s">
        <v>32</v>
      </c>
      <c r="G4305" s="1">
        <v>45026</v>
      </c>
      <c r="H4305" s="1">
        <v>45638</v>
      </c>
      <c r="I4305">
        <v>1</v>
      </c>
      <c r="J4305" t="s">
        <v>25</v>
      </c>
      <c r="K4305">
        <v>16722.88</v>
      </c>
    </row>
    <row r="4306" spans="1:11">
      <c r="A4306">
        <v>4305</v>
      </c>
      <c r="B4306" t="s">
        <v>51</v>
      </c>
      <c r="C4306" s="1">
        <v>32508</v>
      </c>
      <c r="D4306">
        <v>37</v>
      </c>
      <c r="E4306" t="s">
        <v>15</v>
      </c>
      <c r="F4306" t="s">
        <v>16</v>
      </c>
      <c r="G4306" s="1">
        <v>45170</v>
      </c>
      <c r="H4306" s="1">
        <v>45249</v>
      </c>
      <c r="I4306">
        <v>38</v>
      </c>
      <c r="J4306" t="s">
        <v>25</v>
      </c>
      <c r="K4306">
        <v>10988.89</v>
      </c>
    </row>
    <row r="4307" spans="1:11">
      <c r="A4307">
        <v>4306</v>
      </c>
      <c r="B4307" t="s">
        <v>58</v>
      </c>
      <c r="C4307" s="1">
        <v>15341</v>
      </c>
      <c r="D4307">
        <v>84</v>
      </c>
      <c r="E4307" t="s">
        <v>12</v>
      </c>
      <c r="F4307" t="s">
        <v>21</v>
      </c>
      <c r="G4307" s="1">
        <v>44984</v>
      </c>
      <c r="H4307" s="1">
        <v>45476</v>
      </c>
      <c r="I4307">
        <v>12</v>
      </c>
      <c r="J4307" t="s">
        <v>19</v>
      </c>
      <c r="K4307">
        <v>9746.01</v>
      </c>
    </row>
    <row r="4308" spans="1:11">
      <c r="A4308">
        <v>4307</v>
      </c>
      <c r="B4308" t="s">
        <v>139</v>
      </c>
      <c r="C4308" s="1">
        <v>24107</v>
      </c>
      <c r="D4308">
        <v>60</v>
      </c>
      <c r="E4308" t="s">
        <v>15</v>
      </c>
      <c r="F4308" t="s">
        <v>13</v>
      </c>
      <c r="G4308" s="1">
        <v>45283</v>
      </c>
      <c r="H4308" s="1">
        <v>44941</v>
      </c>
      <c r="I4308">
        <v>20</v>
      </c>
      <c r="K4308">
        <v>19739.98</v>
      </c>
    </row>
    <row r="4309" spans="1:11">
      <c r="A4309">
        <v>4308</v>
      </c>
      <c r="B4309" t="s">
        <v>65</v>
      </c>
      <c r="C4309" s="1">
        <v>15707</v>
      </c>
      <c r="E4309" t="s">
        <v>12</v>
      </c>
      <c r="F4309" t="s">
        <v>45</v>
      </c>
      <c r="G4309" s="1">
        <v>45417</v>
      </c>
      <c r="H4309" s="1">
        <v>45383</v>
      </c>
      <c r="I4309">
        <v>38</v>
      </c>
      <c r="K4309">
        <v>5598.51</v>
      </c>
    </row>
    <row r="4310" spans="1:11">
      <c r="A4310">
        <v>4309</v>
      </c>
      <c r="B4310" t="s">
        <v>117</v>
      </c>
      <c r="C4310" s="1">
        <v>45292</v>
      </c>
      <c r="D4310">
        <v>2</v>
      </c>
      <c r="E4310" t="s">
        <v>12</v>
      </c>
      <c r="F4310" t="s">
        <v>32</v>
      </c>
      <c r="G4310" s="1">
        <v>45246</v>
      </c>
      <c r="H4310" s="1">
        <v>45148</v>
      </c>
      <c r="I4310">
        <v>3</v>
      </c>
      <c r="J4310" t="s">
        <v>23</v>
      </c>
      <c r="K4310">
        <v>10513.41</v>
      </c>
    </row>
    <row r="4311" spans="1:11">
      <c r="A4311">
        <v>4310</v>
      </c>
      <c r="B4311" t="s">
        <v>64</v>
      </c>
      <c r="C4311" s="1">
        <v>27760</v>
      </c>
      <c r="D4311">
        <v>50</v>
      </c>
      <c r="E4311" t="s">
        <v>12</v>
      </c>
      <c r="F4311" t="s">
        <v>32</v>
      </c>
      <c r="G4311" s="1">
        <v>44945</v>
      </c>
      <c r="H4311" s="1">
        <v>45803</v>
      </c>
      <c r="I4311">
        <v>4</v>
      </c>
      <c r="J4311" t="s">
        <v>25</v>
      </c>
      <c r="K4311">
        <v>13614.72</v>
      </c>
    </row>
    <row r="4312" spans="1:11">
      <c r="A4312">
        <v>4311</v>
      </c>
      <c r="B4312" t="s">
        <v>98</v>
      </c>
      <c r="C4312" s="1">
        <v>14976</v>
      </c>
      <c r="D4312">
        <v>85</v>
      </c>
      <c r="E4312" t="s">
        <v>12</v>
      </c>
      <c r="F4312" t="s">
        <v>45</v>
      </c>
      <c r="G4312" s="1">
        <v>45283</v>
      </c>
      <c r="H4312" s="1">
        <v>45318</v>
      </c>
      <c r="I4312">
        <v>12</v>
      </c>
      <c r="J4312" t="s">
        <v>25</v>
      </c>
      <c r="K4312">
        <v>2417.04</v>
      </c>
    </row>
    <row r="4313" spans="1:11">
      <c r="A4313">
        <v>4312</v>
      </c>
      <c r="B4313" t="s">
        <v>119</v>
      </c>
      <c r="C4313" s="1">
        <v>29221</v>
      </c>
      <c r="D4313">
        <v>46</v>
      </c>
      <c r="E4313" t="s">
        <v>15</v>
      </c>
      <c r="F4313" t="s">
        <v>45</v>
      </c>
      <c r="G4313" s="1">
        <v>45043</v>
      </c>
      <c r="H4313" s="1">
        <v>45605</v>
      </c>
      <c r="I4313">
        <v>6</v>
      </c>
      <c r="J4313" t="s">
        <v>23</v>
      </c>
      <c r="K4313">
        <v>7020.22</v>
      </c>
    </row>
    <row r="4314" spans="1:11">
      <c r="A4314">
        <v>4313</v>
      </c>
      <c r="B4314" t="s">
        <v>156</v>
      </c>
      <c r="C4314" s="1">
        <v>21551</v>
      </c>
      <c r="D4314">
        <v>67</v>
      </c>
      <c r="E4314" t="s">
        <v>12</v>
      </c>
      <c r="F4314" t="s">
        <v>18</v>
      </c>
      <c r="G4314" s="1">
        <v>45062</v>
      </c>
      <c r="H4314" s="1">
        <v>45100</v>
      </c>
      <c r="I4314">
        <v>27</v>
      </c>
      <c r="J4314" t="s">
        <v>23</v>
      </c>
      <c r="K4314">
        <v>16013.94</v>
      </c>
    </row>
    <row r="4315" spans="1:11">
      <c r="A4315">
        <v>4314</v>
      </c>
      <c r="B4315" t="s">
        <v>51</v>
      </c>
      <c r="C4315" s="1">
        <v>12785</v>
      </c>
      <c r="D4315">
        <v>91</v>
      </c>
      <c r="E4315" t="s">
        <v>15</v>
      </c>
      <c r="F4315" t="s">
        <v>32</v>
      </c>
      <c r="G4315" s="1">
        <v>45222</v>
      </c>
      <c r="H4315" s="1">
        <v>45589</v>
      </c>
      <c r="I4315">
        <v>25</v>
      </c>
      <c r="J4315" t="s">
        <v>25</v>
      </c>
      <c r="K4315">
        <v>4658.84</v>
      </c>
    </row>
    <row r="4316" spans="1:11">
      <c r="A4316">
        <v>4315</v>
      </c>
      <c r="B4316" t="s">
        <v>72</v>
      </c>
      <c r="C4316" s="1">
        <v>18629</v>
      </c>
      <c r="D4316">
        <v>75</v>
      </c>
      <c r="E4316" t="s">
        <v>15</v>
      </c>
      <c r="F4316" t="s">
        <v>32</v>
      </c>
      <c r="G4316" s="1">
        <v>45451</v>
      </c>
      <c r="H4316" s="1">
        <v>45611</v>
      </c>
      <c r="I4316">
        <v>27</v>
      </c>
      <c r="K4316">
        <v>9815.14</v>
      </c>
    </row>
    <row r="4317" spans="1:11">
      <c r="A4317">
        <v>4316</v>
      </c>
      <c r="B4317" t="s">
        <v>24</v>
      </c>
      <c r="C4317" s="1">
        <v>32508</v>
      </c>
      <c r="D4317">
        <v>37</v>
      </c>
      <c r="E4317" t="s">
        <v>15</v>
      </c>
      <c r="G4317" s="1">
        <v>45027</v>
      </c>
      <c r="H4317" s="1">
        <v>45008</v>
      </c>
      <c r="I4317">
        <v>5</v>
      </c>
      <c r="J4317" t="s">
        <v>23</v>
      </c>
      <c r="K4317">
        <v>12575.68</v>
      </c>
    </row>
    <row r="4318" spans="1:11">
      <c r="A4318">
        <v>4317</v>
      </c>
      <c r="B4318" t="s">
        <v>48</v>
      </c>
      <c r="C4318" s="1">
        <v>33239</v>
      </c>
      <c r="D4318">
        <v>35</v>
      </c>
      <c r="E4318" t="s">
        <v>15</v>
      </c>
      <c r="F4318" t="s">
        <v>21</v>
      </c>
      <c r="G4318" s="1">
        <v>45306</v>
      </c>
      <c r="H4318" s="1">
        <v>45263</v>
      </c>
      <c r="I4318">
        <v>32</v>
      </c>
      <c r="J4318" t="s">
        <v>25</v>
      </c>
      <c r="K4318">
        <v>13390.36</v>
      </c>
    </row>
    <row r="4319" spans="1:11">
      <c r="A4319">
        <v>4318</v>
      </c>
      <c r="B4319" t="s">
        <v>134</v>
      </c>
      <c r="C4319" s="1">
        <v>31412</v>
      </c>
      <c r="D4319">
        <v>40</v>
      </c>
      <c r="E4319" t="s">
        <v>12</v>
      </c>
      <c r="G4319" s="1">
        <v>45081</v>
      </c>
      <c r="H4319" s="1">
        <v>45152</v>
      </c>
      <c r="I4319">
        <v>32</v>
      </c>
      <c r="K4319">
        <v>14539.04</v>
      </c>
    </row>
    <row r="4320" spans="1:11">
      <c r="A4320">
        <v>4319</v>
      </c>
      <c r="B4320" t="s">
        <v>36</v>
      </c>
      <c r="C4320" s="1">
        <v>21185</v>
      </c>
      <c r="D4320">
        <v>68</v>
      </c>
      <c r="E4320" t="s">
        <v>12</v>
      </c>
      <c r="F4320" t="s">
        <v>16</v>
      </c>
      <c r="G4320" s="1">
        <v>45520</v>
      </c>
      <c r="H4320" s="1">
        <v>45798</v>
      </c>
      <c r="I4320">
        <v>23</v>
      </c>
      <c r="J4320" t="s">
        <v>19</v>
      </c>
      <c r="K4320">
        <v>17306.14</v>
      </c>
    </row>
    <row r="4321" spans="1:11">
      <c r="A4321">
        <v>4320</v>
      </c>
      <c r="B4321" t="s">
        <v>167</v>
      </c>
      <c r="C4321" s="1">
        <v>41639</v>
      </c>
      <c r="E4321" t="s">
        <v>15</v>
      </c>
      <c r="F4321" t="s">
        <v>21</v>
      </c>
      <c r="G4321" s="1">
        <v>45526</v>
      </c>
      <c r="H4321" s="1">
        <v>44962</v>
      </c>
      <c r="I4321">
        <v>27</v>
      </c>
      <c r="J4321" t="s">
        <v>23</v>
      </c>
      <c r="K4321">
        <v>7796.47</v>
      </c>
    </row>
    <row r="4322" spans="1:11">
      <c r="A4322">
        <v>4321</v>
      </c>
      <c r="B4322" t="s">
        <v>28</v>
      </c>
      <c r="C4322" s="1">
        <v>14611</v>
      </c>
      <c r="D4322">
        <v>86</v>
      </c>
      <c r="E4322" t="s">
        <v>15</v>
      </c>
      <c r="G4322" s="1">
        <v>45031</v>
      </c>
      <c r="H4322" s="1">
        <v>45797</v>
      </c>
      <c r="I4322">
        <v>32</v>
      </c>
      <c r="J4322" t="s">
        <v>23</v>
      </c>
      <c r="K4322">
        <v>14103.3</v>
      </c>
    </row>
    <row r="4323" spans="1:11">
      <c r="A4323">
        <v>4322</v>
      </c>
      <c r="B4323" t="s">
        <v>126</v>
      </c>
      <c r="C4323" s="1">
        <v>25203</v>
      </c>
      <c r="D4323">
        <v>57</v>
      </c>
      <c r="E4323" t="s">
        <v>12</v>
      </c>
      <c r="F4323" t="s">
        <v>32</v>
      </c>
      <c r="G4323" s="1">
        <v>45568</v>
      </c>
      <c r="H4323" s="1">
        <v>45115</v>
      </c>
      <c r="I4323">
        <v>35</v>
      </c>
      <c r="K4323">
        <v>14616.71</v>
      </c>
    </row>
    <row r="4324" spans="1:11">
      <c r="A4324">
        <v>4323</v>
      </c>
      <c r="B4324" t="s">
        <v>135</v>
      </c>
      <c r="C4324" s="1">
        <v>28125</v>
      </c>
      <c r="D4324">
        <v>49</v>
      </c>
      <c r="E4324" t="s">
        <v>12</v>
      </c>
      <c r="F4324" t="s">
        <v>21</v>
      </c>
      <c r="G4324" s="1">
        <v>45452</v>
      </c>
      <c r="H4324" s="1">
        <v>45151</v>
      </c>
      <c r="I4324">
        <v>8</v>
      </c>
      <c r="J4324" t="s">
        <v>19</v>
      </c>
      <c r="K4324">
        <v>5935.51</v>
      </c>
    </row>
    <row r="4325" spans="1:11">
      <c r="A4325">
        <v>4324</v>
      </c>
      <c r="B4325" t="s">
        <v>152</v>
      </c>
      <c r="C4325" s="1">
        <v>35430</v>
      </c>
      <c r="D4325">
        <v>29</v>
      </c>
      <c r="E4325" t="s">
        <v>15</v>
      </c>
      <c r="F4325" t="s">
        <v>32</v>
      </c>
      <c r="G4325" s="1">
        <v>45054</v>
      </c>
      <c r="H4325" s="1">
        <v>45570</v>
      </c>
      <c r="I4325">
        <v>17</v>
      </c>
      <c r="K4325">
        <v>19359.97</v>
      </c>
    </row>
    <row r="4326" spans="1:11">
      <c r="A4326">
        <v>4325</v>
      </c>
      <c r="B4326" t="s">
        <v>90</v>
      </c>
      <c r="C4326" s="1">
        <v>23742</v>
      </c>
      <c r="D4326">
        <v>61</v>
      </c>
      <c r="E4326" t="s">
        <v>12</v>
      </c>
      <c r="F4326" t="s">
        <v>13</v>
      </c>
      <c r="G4326" s="1">
        <v>45327</v>
      </c>
      <c r="H4326" s="1">
        <v>45813</v>
      </c>
      <c r="I4326">
        <v>28</v>
      </c>
      <c r="J4326" t="s">
        <v>23</v>
      </c>
      <c r="K4326">
        <v>17290.91</v>
      </c>
    </row>
    <row r="4327" spans="1:11">
      <c r="A4327">
        <v>4326</v>
      </c>
      <c r="B4327" t="s">
        <v>108</v>
      </c>
      <c r="C4327" s="1">
        <v>37256</v>
      </c>
      <c r="D4327">
        <v>24</v>
      </c>
      <c r="E4327" t="s">
        <v>12</v>
      </c>
      <c r="F4327" t="s">
        <v>18</v>
      </c>
      <c r="G4327" s="1">
        <v>45498</v>
      </c>
      <c r="H4327" s="1">
        <v>45421</v>
      </c>
      <c r="I4327">
        <v>31</v>
      </c>
      <c r="J4327" t="s">
        <v>19</v>
      </c>
      <c r="K4327">
        <v>5726.21</v>
      </c>
    </row>
    <row r="4328" spans="1:11">
      <c r="A4328">
        <v>4327</v>
      </c>
      <c r="B4328" t="s">
        <v>72</v>
      </c>
      <c r="C4328" s="1">
        <v>36526</v>
      </c>
      <c r="D4328">
        <v>26</v>
      </c>
      <c r="E4328" t="s">
        <v>12</v>
      </c>
      <c r="F4328" t="s">
        <v>21</v>
      </c>
      <c r="G4328" s="1">
        <v>45455</v>
      </c>
      <c r="H4328" s="1">
        <v>45790</v>
      </c>
      <c r="I4328">
        <v>9</v>
      </c>
      <c r="J4328" t="s">
        <v>25</v>
      </c>
      <c r="K4328">
        <v>13468.88</v>
      </c>
    </row>
    <row r="4329" spans="1:11">
      <c r="A4329">
        <v>4328</v>
      </c>
      <c r="B4329" t="s">
        <v>117</v>
      </c>
      <c r="C4329" s="1">
        <v>27760</v>
      </c>
      <c r="D4329">
        <v>50</v>
      </c>
      <c r="E4329" t="s">
        <v>15</v>
      </c>
      <c r="F4329" t="s">
        <v>32</v>
      </c>
      <c r="G4329" s="1">
        <v>45483</v>
      </c>
      <c r="H4329" s="1">
        <v>45238</v>
      </c>
      <c r="I4329">
        <v>25</v>
      </c>
      <c r="J4329" t="s">
        <v>23</v>
      </c>
      <c r="K4329">
        <v>14327.79</v>
      </c>
    </row>
    <row r="4330" spans="1:11">
      <c r="A4330">
        <v>4329</v>
      </c>
      <c r="B4330" t="s">
        <v>119</v>
      </c>
      <c r="C4330" s="1">
        <v>17898</v>
      </c>
      <c r="D4330">
        <v>77</v>
      </c>
      <c r="E4330" t="s">
        <v>12</v>
      </c>
      <c r="F4330" t="s">
        <v>21</v>
      </c>
      <c r="G4330" s="1">
        <v>45476</v>
      </c>
      <c r="H4330" s="1">
        <v>45448</v>
      </c>
      <c r="I4330">
        <v>0</v>
      </c>
      <c r="K4330">
        <v>8572.82</v>
      </c>
    </row>
    <row r="4331" spans="1:11">
      <c r="A4331">
        <v>4330</v>
      </c>
      <c r="B4331" t="s">
        <v>28</v>
      </c>
      <c r="C4331" s="1">
        <v>25568</v>
      </c>
      <c r="D4331">
        <v>56</v>
      </c>
      <c r="E4331" t="s">
        <v>12</v>
      </c>
      <c r="F4331" t="s">
        <v>16</v>
      </c>
      <c r="G4331" s="1">
        <v>45050</v>
      </c>
      <c r="H4331" s="1">
        <v>45508</v>
      </c>
      <c r="I4331">
        <v>39</v>
      </c>
      <c r="K4331">
        <v>17261.240000000002</v>
      </c>
    </row>
    <row r="4332" spans="1:11">
      <c r="A4332">
        <v>4331</v>
      </c>
      <c r="B4332" t="s">
        <v>139</v>
      </c>
      <c r="E4332" t="s">
        <v>12</v>
      </c>
      <c r="F4332" t="s">
        <v>18</v>
      </c>
      <c r="G4332" s="1">
        <v>45286</v>
      </c>
      <c r="H4332" s="1">
        <v>45467</v>
      </c>
      <c r="I4332">
        <v>2</v>
      </c>
      <c r="K4332">
        <v>13773.61</v>
      </c>
    </row>
    <row r="4333" spans="1:11">
      <c r="A4333">
        <v>4332</v>
      </c>
      <c r="B4333" t="s">
        <v>138</v>
      </c>
      <c r="C4333" s="1">
        <v>32143</v>
      </c>
      <c r="D4333">
        <v>38</v>
      </c>
      <c r="E4333" t="s">
        <v>12</v>
      </c>
      <c r="F4333" t="s">
        <v>13</v>
      </c>
      <c r="G4333" s="1">
        <v>44990</v>
      </c>
      <c r="H4333" s="1">
        <v>45296</v>
      </c>
      <c r="I4333">
        <v>10</v>
      </c>
      <c r="K4333">
        <v>13128.91</v>
      </c>
    </row>
    <row r="4334" spans="1:11">
      <c r="A4334">
        <v>4333</v>
      </c>
      <c r="B4334" t="s">
        <v>88</v>
      </c>
      <c r="C4334" s="1">
        <v>40544</v>
      </c>
      <c r="D4334">
        <v>15</v>
      </c>
      <c r="F4334" t="s">
        <v>45</v>
      </c>
      <c r="G4334" s="1">
        <v>45550</v>
      </c>
      <c r="H4334" s="1">
        <v>45402</v>
      </c>
      <c r="I4334">
        <v>9</v>
      </c>
      <c r="K4334">
        <v>4338.8900000000003</v>
      </c>
    </row>
    <row r="4335" spans="1:11">
      <c r="A4335">
        <v>4334</v>
      </c>
      <c r="B4335" t="s">
        <v>55</v>
      </c>
      <c r="C4335" s="1">
        <v>38352</v>
      </c>
      <c r="D4335">
        <v>21</v>
      </c>
      <c r="E4335" t="s">
        <v>15</v>
      </c>
      <c r="F4335" t="s">
        <v>45</v>
      </c>
      <c r="G4335" s="1">
        <v>45028</v>
      </c>
      <c r="H4335" s="1">
        <v>45673</v>
      </c>
      <c r="I4335">
        <v>-2</v>
      </c>
      <c r="J4335" t="s">
        <v>23</v>
      </c>
      <c r="K4335">
        <v>8097.63</v>
      </c>
    </row>
    <row r="4336" spans="1:11">
      <c r="A4336">
        <v>4335</v>
      </c>
      <c r="B4336" t="s">
        <v>79</v>
      </c>
      <c r="D4336">
        <v>84</v>
      </c>
      <c r="E4336" t="s">
        <v>12</v>
      </c>
      <c r="F4336" t="s">
        <v>21</v>
      </c>
      <c r="G4336" s="1">
        <v>45487</v>
      </c>
      <c r="H4336" s="1">
        <v>44958</v>
      </c>
      <c r="I4336">
        <v>16</v>
      </c>
      <c r="J4336" t="s">
        <v>19</v>
      </c>
      <c r="K4336">
        <v>8621.84</v>
      </c>
    </row>
    <row r="4337" spans="1:11">
      <c r="A4337">
        <v>4336</v>
      </c>
      <c r="B4337" t="s">
        <v>77</v>
      </c>
      <c r="C4337" s="1">
        <v>26664</v>
      </c>
      <c r="D4337">
        <v>53</v>
      </c>
      <c r="E4337" t="s">
        <v>12</v>
      </c>
      <c r="F4337" t="s">
        <v>32</v>
      </c>
      <c r="G4337" s="1">
        <v>45203</v>
      </c>
      <c r="H4337" s="1">
        <v>45754</v>
      </c>
      <c r="I4337">
        <v>26</v>
      </c>
      <c r="K4337">
        <v>14646.59</v>
      </c>
    </row>
    <row r="4338" spans="1:11">
      <c r="A4338">
        <v>4337</v>
      </c>
      <c r="B4338" t="s">
        <v>163</v>
      </c>
      <c r="D4338">
        <v>20</v>
      </c>
      <c r="E4338" t="s">
        <v>12</v>
      </c>
      <c r="F4338" t="s">
        <v>16</v>
      </c>
      <c r="G4338" s="1">
        <v>45153</v>
      </c>
      <c r="H4338" s="1">
        <v>45159</v>
      </c>
      <c r="I4338">
        <v>36</v>
      </c>
      <c r="K4338">
        <v>12329.73</v>
      </c>
    </row>
    <row r="4339" spans="1:11">
      <c r="A4339">
        <v>4338</v>
      </c>
      <c r="B4339" t="s">
        <v>70</v>
      </c>
      <c r="C4339" s="1">
        <v>20090</v>
      </c>
      <c r="D4339">
        <v>71</v>
      </c>
      <c r="E4339" t="s">
        <v>15</v>
      </c>
      <c r="F4339" t="s">
        <v>18</v>
      </c>
      <c r="G4339" s="1">
        <v>44949</v>
      </c>
      <c r="H4339" s="1">
        <v>45777</v>
      </c>
      <c r="I4339">
        <v>39</v>
      </c>
      <c r="J4339" t="s">
        <v>25</v>
      </c>
      <c r="K4339">
        <v>1625.8</v>
      </c>
    </row>
    <row r="4340" spans="1:11">
      <c r="A4340">
        <v>4339</v>
      </c>
      <c r="B4340" t="s">
        <v>168</v>
      </c>
      <c r="C4340" s="1">
        <v>40544</v>
      </c>
      <c r="D4340">
        <v>15</v>
      </c>
      <c r="E4340" t="s">
        <v>15</v>
      </c>
      <c r="F4340" t="s">
        <v>13</v>
      </c>
      <c r="G4340" s="1">
        <v>45623</v>
      </c>
      <c r="H4340" s="1">
        <v>45424</v>
      </c>
      <c r="I4340">
        <v>22</v>
      </c>
      <c r="J4340" t="s">
        <v>25</v>
      </c>
      <c r="K4340">
        <v>6084.73</v>
      </c>
    </row>
    <row r="4341" spans="1:11">
      <c r="A4341">
        <v>4340</v>
      </c>
      <c r="B4341" t="s">
        <v>85</v>
      </c>
      <c r="C4341" s="1">
        <v>24838</v>
      </c>
      <c r="D4341">
        <v>58</v>
      </c>
      <c r="E4341" t="s">
        <v>12</v>
      </c>
      <c r="F4341" t="s">
        <v>13</v>
      </c>
      <c r="G4341" s="1">
        <v>44990</v>
      </c>
      <c r="H4341" s="1">
        <v>45493</v>
      </c>
      <c r="I4341">
        <v>13</v>
      </c>
      <c r="J4341" t="s">
        <v>19</v>
      </c>
      <c r="K4341">
        <v>9408.25</v>
      </c>
    </row>
    <row r="4342" spans="1:11">
      <c r="A4342">
        <v>4341</v>
      </c>
      <c r="B4342" t="s">
        <v>98</v>
      </c>
      <c r="C4342" s="1">
        <v>35065</v>
      </c>
      <c r="D4342">
        <v>30</v>
      </c>
      <c r="E4342" t="s">
        <v>12</v>
      </c>
      <c r="G4342" s="1">
        <v>45083</v>
      </c>
      <c r="H4342" s="1">
        <v>45102</v>
      </c>
      <c r="I4342">
        <v>14</v>
      </c>
      <c r="J4342" t="s">
        <v>23</v>
      </c>
      <c r="K4342">
        <v>14708.33</v>
      </c>
    </row>
    <row r="4343" spans="1:11">
      <c r="A4343">
        <v>4342</v>
      </c>
      <c r="B4343" t="s">
        <v>24</v>
      </c>
      <c r="C4343" s="1">
        <v>31047</v>
      </c>
      <c r="D4343">
        <v>41</v>
      </c>
      <c r="E4343" t="s">
        <v>15</v>
      </c>
      <c r="F4343" t="s">
        <v>13</v>
      </c>
      <c r="G4343" s="1">
        <v>45316</v>
      </c>
      <c r="H4343" s="1">
        <v>45225</v>
      </c>
      <c r="I4343">
        <v>25</v>
      </c>
      <c r="J4343" t="s">
        <v>23</v>
      </c>
      <c r="K4343">
        <v>14845.74</v>
      </c>
    </row>
    <row r="4344" spans="1:11">
      <c r="A4344">
        <v>4343</v>
      </c>
      <c r="B4344" t="s">
        <v>29</v>
      </c>
      <c r="C4344" s="1">
        <v>19359</v>
      </c>
      <c r="D4344">
        <v>73</v>
      </c>
      <c r="E4344" t="s">
        <v>12</v>
      </c>
      <c r="F4344" t="s">
        <v>45</v>
      </c>
      <c r="G4344" s="1">
        <v>45075</v>
      </c>
      <c r="H4344" s="1">
        <v>45718</v>
      </c>
      <c r="I4344">
        <v>36</v>
      </c>
      <c r="J4344" t="s">
        <v>19</v>
      </c>
      <c r="K4344">
        <v>9759.92</v>
      </c>
    </row>
    <row r="4345" spans="1:11">
      <c r="A4345">
        <v>4344</v>
      </c>
      <c r="B4345" t="s">
        <v>44</v>
      </c>
      <c r="C4345" s="1">
        <v>34700</v>
      </c>
      <c r="D4345">
        <v>31</v>
      </c>
      <c r="E4345" t="s">
        <v>15</v>
      </c>
      <c r="F4345" t="s">
        <v>18</v>
      </c>
      <c r="G4345" s="1">
        <v>45289</v>
      </c>
      <c r="H4345" s="1">
        <v>45292</v>
      </c>
      <c r="I4345">
        <v>2</v>
      </c>
      <c r="J4345" t="s">
        <v>19</v>
      </c>
      <c r="K4345">
        <v>2250.34</v>
      </c>
    </row>
    <row r="4346" spans="1:11">
      <c r="A4346">
        <v>4345</v>
      </c>
      <c r="B4346" t="s">
        <v>40</v>
      </c>
      <c r="C4346" s="1">
        <v>24838</v>
      </c>
      <c r="D4346">
        <v>58</v>
      </c>
      <c r="G4346" s="1">
        <v>45607</v>
      </c>
      <c r="H4346" s="1">
        <v>45013</v>
      </c>
      <c r="I4346">
        <v>-2</v>
      </c>
      <c r="J4346" t="s">
        <v>19</v>
      </c>
      <c r="K4346">
        <v>5787.36</v>
      </c>
    </row>
    <row r="4347" spans="1:11">
      <c r="A4347">
        <v>4346</v>
      </c>
      <c r="B4347" t="s">
        <v>73</v>
      </c>
      <c r="C4347" s="1">
        <v>33969</v>
      </c>
      <c r="E4347" t="s">
        <v>12</v>
      </c>
      <c r="F4347" t="s">
        <v>45</v>
      </c>
      <c r="G4347" s="1">
        <v>45390</v>
      </c>
      <c r="H4347" s="1">
        <v>45504</v>
      </c>
      <c r="I4347">
        <v>0</v>
      </c>
      <c r="K4347">
        <v>5019.32</v>
      </c>
    </row>
    <row r="4348" spans="1:11">
      <c r="A4348">
        <v>4347</v>
      </c>
      <c r="B4348" t="s">
        <v>105</v>
      </c>
      <c r="C4348" s="1">
        <v>43100</v>
      </c>
      <c r="D4348">
        <v>8</v>
      </c>
      <c r="E4348" t="s">
        <v>15</v>
      </c>
      <c r="F4348" t="s">
        <v>21</v>
      </c>
      <c r="G4348" s="1">
        <v>45571</v>
      </c>
      <c r="H4348" s="1">
        <v>45016</v>
      </c>
      <c r="I4348">
        <v>21</v>
      </c>
      <c r="J4348" t="s">
        <v>23</v>
      </c>
      <c r="K4348">
        <v>15598.63</v>
      </c>
    </row>
    <row r="4349" spans="1:11">
      <c r="A4349">
        <v>4348</v>
      </c>
      <c r="B4349" t="s">
        <v>139</v>
      </c>
      <c r="C4349" s="1">
        <v>16802</v>
      </c>
      <c r="D4349">
        <v>80</v>
      </c>
      <c r="E4349" t="s">
        <v>12</v>
      </c>
      <c r="F4349" t="s">
        <v>13</v>
      </c>
      <c r="G4349" s="1">
        <v>45325</v>
      </c>
      <c r="H4349" s="1">
        <v>44981</v>
      </c>
      <c r="I4349">
        <v>26</v>
      </c>
      <c r="J4349" t="s">
        <v>19</v>
      </c>
      <c r="K4349">
        <v>3517.72</v>
      </c>
    </row>
    <row r="4350" spans="1:11">
      <c r="A4350">
        <v>4349</v>
      </c>
      <c r="B4350" t="s">
        <v>165</v>
      </c>
      <c r="C4350" s="1">
        <v>42370</v>
      </c>
      <c r="D4350">
        <v>10</v>
      </c>
      <c r="E4350" t="s">
        <v>12</v>
      </c>
      <c r="F4350" t="s">
        <v>18</v>
      </c>
      <c r="G4350" s="1">
        <v>45331</v>
      </c>
      <c r="H4350" s="1">
        <v>45557</v>
      </c>
      <c r="I4350">
        <v>12</v>
      </c>
      <c r="J4350" t="s">
        <v>25</v>
      </c>
      <c r="K4350">
        <v>9244.92</v>
      </c>
    </row>
    <row r="4351" spans="1:11">
      <c r="A4351">
        <v>4350</v>
      </c>
      <c r="B4351" t="s">
        <v>44</v>
      </c>
      <c r="C4351" s="1">
        <v>42735</v>
      </c>
      <c r="D4351">
        <v>9</v>
      </c>
      <c r="E4351" t="s">
        <v>15</v>
      </c>
      <c r="F4351" t="s">
        <v>13</v>
      </c>
      <c r="G4351" s="1">
        <v>45058</v>
      </c>
      <c r="H4351" s="1">
        <v>45288</v>
      </c>
      <c r="I4351">
        <v>1</v>
      </c>
      <c r="K4351">
        <v>13381.45</v>
      </c>
    </row>
    <row r="4352" spans="1:11">
      <c r="A4352">
        <v>4351</v>
      </c>
      <c r="B4352" t="s">
        <v>135</v>
      </c>
      <c r="C4352" s="1">
        <v>14976</v>
      </c>
      <c r="E4352" t="s">
        <v>12</v>
      </c>
      <c r="F4352" t="s">
        <v>45</v>
      </c>
      <c r="G4352" s="1">
        <v>45123</v>
      </c>
      <c r="H4352" s="1">
        <v>45403</v>
      </c>
      <c r="I4352">
        <v>-2</v>
      </c>
      <c r="K4352">
        <v>19292.2</v>
      </c>
    </row>
    <row r="4353" spans="1:11">
      <c r="A4353">
        <v>4352</v>
      </c>
      <c r="B4353" t="s">
        <v>44</v>
      </c>
      <c r="C4353" s="1">
        <v>40178</v>
      </c>
      <c r="D4353">
        <v>16</v>
      </c>
      <c r="E4353" t="s">
        <v>15</v>
      </c>
      <c r="F4353" t="s">
        <v>45</v>
      </c>
      <c r="G4353" s="1">
        <v>45573</v>
      </c>
      <c r="H4353" s="1">
        <v>45156</v>
      </c>
      <c r="I4353">
        <v>12</v>
      </c>
      <c r="K4353">
        <v>19984.740000000002</v>
      </c>
    </row>
    <row r="4354" spans="1:11">
      <c r="A4354">
        <v>4353</v>
      </c>
      <c r="B4354" t="s">
        <v>34</v>
      </c>
      <c r="C4354" s="1">
        <v>21551</v>
      </c>
      <c r="D4354">
        <v>67</v>
      </c>
      <c r="E4354" t="s">
        <v>12</v>
      </c>
      <c r="F4354" t="s">
        <v>45</v>
      </c>
      <c r="G4354" s="1">
        <v>44961</v>
      </c>
      <c r="H4354" s="1">
        <v>45706</v>
      </c>
      <c r="I4354">
        <v>21</v>
      </c>
      <c r="K4354">
        <v>19053.740000000002</v>
      </c>
    </row>
    <row r="4355" spans="1:11">
      <c r="A4355">
        <v>4354</v>
      </c>
      <c r="B4355" t="s">
        <v>51</v>
      </c>
      <c r="C4355" s="1">
        <v>28856</v>
      </c>
      <c r="D4355">
        <v>47</v>
      </c>
      <c r="E4355" t="s">
        <v>15</v>
      </c>
      <c r="F4355" t="s">
        <v>13</v>
      </c>
      <c r="G4355" s="1">
        <v>45346</v>
      </c>
      <c r="H4355" s="1">
        <v>45758</v>
      </c>
      <c r="I4355">
        <v>28</v>
      </c>
      <c r="J4355" t="s">
        <v>19</v>
      </c>
      <c r="K4355">
        <v>14336.67</v>
      </c>
    </row>
    <row r="4356" spans="1:11">
      <c r="A4356">
        <v>4355</v>
      </c>
      <c r="B4356" t="s">
        <v>42</v>
      </c>
      <c r="C4356" s="1">
        <v>27395</v>
      </c>
      <c r="D4356">
        <v>51</v>
      </c>
      <c r="E4356" t="s">
        <v>15</v>
      </c>
      <c r="F4356" t="s">
        <v>18</v>
      </c>
      <c r="G4356" s="1">
        <v>45303</v>
      </c>
      <c r="H4356" s="1">
        <v>45461</v>
      </c>
      <c r="I4356">
        <v>17</v>
      </c>
      <c r="K4356">
        <v>14903.46</v>
      </c>
    </row>
    <row r="4357" spans="1:11">
      <c r="A4357">
        <v>4356</v>
      </c>
      <c r="B4357" t="s">
        <v>72</v>
      </c>
      <c r="C4357" s="1">
        <v>37256</v>
      </c>
      <c r="D4357">
        <v>24</v>
      </c>
      <c r="E4357" t="s">
        <v>15</v>
      </c>
      <c r="F4357" t="s">
        <v>18</v>
      </c>
      <c r="G4357" s="1">
        <v>45325</v>
      </c>
      <c r="H4357" s="1">
        <v>45686</v>
      </c>
      <c r="I4357">
        <v>7</v>
      </c>
      <c r="J4357" t="s">
        <v>25</v>
      </c>
      <c r="K4357">
        <v>15160.12</v>
      </c>
    </row>
    <row r="4358" spans="1:11">
      <c r="A4358">
        <v>4357</v>
      </c>
      <c r="B4358" t="s">
        <v>60</v>
      </c>
      <c r="C4358" s="1">
        <v>38717</v>
      </c>
      <c r="D4358">
        <v>20</v>
      </c>
      <c r="E4358" t="s">
        <v>15</v>
      </c>
      <c r="F4358" t="s">
        <v>21</v>
      </c>
      <c r="G4358" s="1">
        <v>45146</v>
      </c>
      <c r="H4358" s="1">
        <v>45300</v>
      </c>
      <c r="I4358">
        <v>8</v>
      </c>
      <c r="J4358" t="s">
        <v>25</v>
      </c>
      <c r="K4358">
        <v>17238.36</v>
      </c>
    </row>
    <row r="4359" spans="1:11">
      <c r="A4359">
        <v>4358</v>
      </c>
      <c r="B4359" t="s">
        <v>170</v>
      </c>
      <c r="C4359" s="1">
        <v>22646</v>
      </c>
      <c r="D4359">
        <v>64</v>
      </c>
      <c r="E4359" t="s">
        <v>12</v>
      </c>
      <c r="F4359" t="s">
        <v>13</v>
      </c>
      <c r="G4359" s="1">
        <v>45623</v>
      </c>
      <c r="H4359" s="1">
        <v>45396</v>
      </c>
      <c r="I4359">
        <v>15</v>
      </c>
      <c r="J4359" t="s">
        <v>19</v>
      </c>
      <c r="K4359">
        <v>19030.89</v>
      </c>
    </row>
    <row r="4360" spans="1:11">
      <c r="A4360">
        <v>4359</v>
      </c>
      <c r="B4360" t="s">
        <v>84</v>
      </c>
      <c r="D4360">
        <v>62</v>
      </c>
      <c r="E4360" t="s">
        <v>15</v>
      </c>
      <c r="F4360" t="s">
        <v>21</v>
      </c>
      <c r="G4360" s="1">
        <v>45443</v>
      </c>
      <c r="H4360" s="1">
        <v>45347</v>
      </c>
      <c r="I4360">
        <v>31</v>
      </c>
      <c r="K4360">
        <v>8858.69</v>
      </c>
    </row>
    <row r="4361" spans="1:11">
      <c r="A4361">
        <v>4360</v>
      </c>
      <c r="B4361" t="s">
        <v>130</v>
      </c>
      <c r="C4361" s="1">
        <v>13880</v>
      </c>
      <c r="D4361">
        <v>88</v>
      </c>
      <c r="E4361" t="s">
        <v>15</v>
      </c>
      <c r="F4361" t="s">
        <v>16</v>
      </c>
      <c r="G4361" s="1">
        <v>45509</v>
      </c>
      <c r="H4361" s="1">
        <v>45753</v>
      </c>
      <c r="I4361">
        <v>25</v>
      </c>
      <c r="J4361" t="s">
        <v>25</v>
      </c>
      <c r="K4361">
        <v>8271.8700000000008</v>
      </c>
    </row>
    <row r="4362" spans="1:11">
      <c r="A4362">
        <v>4361</v>
      </c>
      <c r="B4362" t="s">
        <v>149</v>
      </c>
      <c r="C4362" s="1">
        <v>27760</v>
      </c>
      <c r="D4362">
        <v>50</v>
      </c>
      <c r="E4362" t="s">
        <v>12</v>
      </c>
      <c r="F4362" t="s">
        <v>21</v>
      </c>
      <c r="G4362" s="1">
        <v>45268</v>
      </c>
      <c r="H4362" s="1">
        <v>45459</v>
      </c>
      <c r="I4362">
        <v>35</v>
      </c>
      <c r="J4362" t="s">
        <v>23</v>
      </c>
      <c r="K4362">
        <v>9155.34</v>
      </c>
    </row>
    <row r="4363" spans="1:11">
      <c r="A4363">
        <v>4362</v>
      </c>
      <c r="B4363" t="s">
        <v>40</v>
      </c>
      <c r="C4363" s="1">
        <v>33239</v>
      </c>
      <c r="D4363">
        <v>35</v>
      </c>
      <c r="E4363" t="s">
        <v>12</v>
      </c>
      <c r="F4363" t="s">
        <v>21</v>
      </c>
      <c r="G4363" s="1">
        <v>45342</v>
      </c>
      <c r="H4363" s="1">
        <v>45327</v>
      </c>
      <c r="I4363">
        <v>13</v>
      </c>
      <c r="K4363">
        <v>13162.33</v>
      </c>
    </row>
    <row r="4364" spans="1:11">
      <c r="A4364">
        <v>4363</v>
      </c>
      <c r="B4364" t="s">
        <v>48</v>
      </c>
      <c r="C4364" s="1">
        <v>16802</v>
      </c>
      <c r="D4364">
        <v>80</v>
      </c>
      <c r="E4364" t="s">
        <v>12</v>
      </c>
      <c r="F4364" t="s">
        <v>21</v>
      </c>
      <c r="G4364" s="1">
        <v>45382</v>
      </c>
      <c r="H4364" s="1">
        <v>45111</v>
      </c>
      <c r="I4364">
        <v>21</v>
      </c>
      <c r="J4364" t="s">
        <v>19</v>
      </c>
      <c r="K4364">
        <v>15486.45</v>
      </c>
    </row>
    <row r="4365" spans="1:11">
      <c r="A4365">
        <v>4364</v>
      </c>
      <c r="B4365" t="s">
        <v>146</v>
      </c>
      <c r="C4365" s="1">
        <v>14246</v>
      </c>
      <c r="D4365">
        <v>87</v>
      </c>
      <c r="E4365" t="s">
        <v>12</v>
      </c>
      <c r="F4365" t="s">
        <v>45</v>
      </c>
      <c r="G4365" s="1">
        <v>45223</v>
      </c>
      <c r="H4365" s="1">
        <v>45788</v>
      </c>
      <c r="I4365">
        <v>36</v>
      </c>
      <c r="J4365" t="s">
        <v>23</v>
      </c>
      <c r="K4365">
        <v>17397.939999999999</v>
      </c>
    </row>
    <row r="4366" spans="1:11">
      <c r="A4366">
        <v>4365</v>
      </c>
      <c r="B4366" t="s">
        <v>31</v>
      </c>
      <c r="D4366">
        <v>65</v>
      </c>
      <c r="E4366" t="s">
        <v>12</v>
      </c>
      <c r="F4366" t="s">
        <v>16</v>
      </c>
      <c r="G4366" s="1">
        <v>45257</v>
      </c>
      <c r="H4366" s="1">
        <v>45489</v>
      </c>
      <c r="I4366">
        <v>9</v>
      </c>
      <c r="K4366">
        <v>9069.84</v>
      </c>
    </row>
    <row r="4367" spans="1:11">
      <c r="A4367">
        <v>4366</v>
      </c>
      <c r="B4367" t="s">
        <v>78</v>
      </c>
      <c r="C4367" s="1">
        <v>40909</v>
      </c>
      <c r="D4367">
        <v>14</v>
      </c>
      <c r="E4367" t="s">
        <v>15</v>
      </c>
      <c r="G4367" s="1">
        <v>45631</v>
      </c>
      <c r="H4367" s="1">
        <v>45017</v>
      </c>
      <c r="I4367">
        <v>39</v>
      </c>
      <c r="J4367" t="s">
        <v>23</v>
      </c>
      <c r="K4367">
        <v>7203.79</v>
      </c>
    </row>
    <row r="4368" spans="1:11">
      <c r="A4368">
        <v>4367</v>
      </c>
      <c r="B4368" t="s">
        <v>43</v>
      </c>
      <c r="C4368" s="1">
        <v>32143</v>
      </c>
      <c r="D4368">
        <v>38</v>
      </c>
      <c r="E4368" t="s">
        <v>15</v>
      </c>
      <c r="F4368" t="s">
        <v>21</v>
      </c>
      <c r="G4368" s="1">
        <v>45606</v>
      </c>
      <c r="H4368" s="1">
        <v>45543</v>
      </c>
      <c r="I4368">
        <v>4</v>
      </c>
      <c r="K4368">
        <v>19665.39</v>
      </c>
    </row>
    <row r="4369" spans="1:11">
      <c r="A4369">
        <v>4368</v>
      </c>
      <c r="B4369" t="s">
        <v>59</v>
      </c>
      <c r="C4369" s="1">
        <v>20820</v>
      </c>
      <c r="D4369">
        <v>69</v>
      </c>
      <c r="F4369" t="s">
        <v>18</v>
      </c>
      <c r="G4369" s="1">
        <v>45265</v>
      </c>
      <c r="H4369" s="1">
        <v>45633</v>
      </c>
      <c r="I4369">
        <v>33</v>
      </c>
      <c r="K4369">
        <v>4560.9399999999996</v>
      </c>
    </row>
    <row r="4370" spans="1:11">
      <c r="A4370">
        <v>4369</v>
      </c>
      <c r="B4370" t="s">
        <v>123</v>
      </c>
      <c r="C4370" s="1">
        <v>46022</v>
      </c>
      <c r="D4370">
        <v>0</v>
      </c>
      <c r="E4370" t="s">
        <v>15</v>
      </c>
      <c r="F4370" t="s">
        <v>21</v>
      </c>
      <c r="G4370" s="1">
        <v>45224</v>
      </c>
      <c r="H4370" s="1">
        <v>45310</v>
      </c>
      <c r="I4370">
        <v>14</v>
      </c>
      <c r="J4370" t="s">
        <v>25</v>
      </c>
      <c r="K4370">
        <v>4362.3</v>
      </c>
    </row>
    <row r="4371" spans="1:11">
      <c r="A4371">
        <v>4370</v>
      </c>
      <c r="B4371" t="s">
        <v>44</v>
      </c>
      <c r="C4371" s="1">
        <v>37987</v>
      </c>
      <c r="D4371">
        <v>22</v>
      </c>
      <c r="E4371" t="s">
        <v>15</v>
      </c>
      <c r="F4371" t="s">
        <v>45</v>
      </c>
      <c r="G4371" s="1">
        <v>45603</v>
      </c>
      <c r="H4371" s="1">
        <v>45296</v>
      </c>
      <c r="I4371">
        <v>1</v>
      </c>
      <c r="J4371" t="s">
        <v>23</v>
      </c>
      <c r="K4371">
        <v>14279.69</v>
      </c>
    </row>
    <row r="4372" spans="1:11">
      <c r="A4372">
        <v>4371</v>
      </c>
      <c r="B4372" t="s">
        <v>65</v>
      </c>
      <c r="C4372" s="1">
        <v>32143</v>
      </c>
      <c r="D4372">
        <v>38</v>
      </c>
      <c r="E4372" t="s">
        <v>15</v>
      </c>
      <c r="F4372" t="s">
        <v>32</v>
      </c>
      <c r="G4372" s="1">
        <v>45238</v>
      </c>
      <c r="H4372" s="1">
        <v>45001</v>
      </c>
      <c r="I4372">
        <v>34</v>
      </c>
      <c r="J4372" t="s">
        <v>23</v>
      </c>
      <c r="K4372">
        <v>3511.11</v>
      </c>
    </row>
    <row r="4373" spans="1:11">
      <c r="A4373">
        <v>4372</v>
      </c>
      <c r="B4373" t="s">
        <v>29</v>
      </c>
      <c r="C4373" s="1">
        <v>25568</v>
      </c>
      <c r="D4373">
        <v>56</v>
      </c>
      <c r="E4373" t="s">
        <v>15</v>
      </c>
      <c r="G4373" s="1">
        <v>45509</v>
      </c>
      <c r="H4373" s="1">
        <v>45196</v>
      </c>
      <c r="I4373">
        <v>30</v>
      </c>
      <c r="J4373" t="s">
        <v>19</v>
      </c>
      <c r="K4373">
        <v>7928.12</v>
      </c>
    </row>
    <row r="4374" spans="1:11">
      <c r="A4374">
        <v>4373</v>
      </c>
      <c r="B4374" t="s">
        <v>58</v>
      </c>
      <c r="C4374" s="1">
        <v>16802</v>
      </c>
      <c r="D4374">
        <v>80</v>
      </c>
      <c r="E4374" t="s">
        <v>12</v>
      </c>
      <c r="F4374" t="s">
        <v>16</v>
      </c>
      <c r="G4374" s="1">
        <v>44981</v>
      </c>
      <c r="H4374" s="1">
        <v>44942</v>
      </c>
      <c r="I4374">
        <v>16</v>
      </c>
      <c r="J4374" t="s">
        <v>19</v>
      </c>
      <c r="K4374">
        <v>5776.98</v>
      </c>
    </row>
    <row r="4375" spans="1:11">
      <c r="A4375">
        <v>4374</v>
      </c>
      <c r="B4375" t="s">
        <v>103</v>
      </c>
      <c r="C4375" s="1">
        <v>33969</v>
      </c>
      <c r="D4375">
        <v>33</v>
      </c>
      <c r="E4375" t="s">
        <v>12</v>
      </c>
      <c r="F4375" t="s">
        <v>32</v>
      </c>
      <c r="G4375" s="1">
        <v>45620</v>
      </c>
      <c r="H4375" s="1">
        <v>45256</v>
      </c>
      <c r="I4375">
        <v>23</v>
      </c>
      <c r="J4375" t="s">
        <v>23</v>
      </c>
      <c r="K4375">
        <v>3291.08</v>
      </c>
    </row>
    <row r="4376" spans="1:11">
      <c r="A4376">
        <v>4375</v>
      </c>
      <c r="B4376" t="s">
        <v>77</v>
      </c>
      <c r="D4376">
        <v>40</v>
      </c>
      <c r="F4376" t="s">
        <v>32</v>
      </c>
      <c r="G4376" s="1">
        <v>45460</v>
      </c>
      <c r="H4376" s="1">
        <v>45722</v>
      </c>
      <c r="I4376">
        <v>8</v>
      </c>
      <c r="J4376" t="s">
        <v>25</v>
      </c>
      <c r="K4376">
        <v>11552.12</v>
      </c>
    </row>
    <row r="4377" spans="1:11">
      <c r="A4377">
        <v>4376</v>
      </c>
      <c r="B4377" t="s">
        <v>95</v>
      </c>
      <c r="C4377" s="1">
        <v>12419</v>
      </c>
      <c r="D4377">
        <v>92</v>
      </c>
      <c r="E4377" t="s">
        <v>12</v>
      </c>
      <c r="F4377" t="s">
        <v>16</v>
      </c>
      <c r="G4377" s="1">
        <v>45031</v>
      </c>
      <c r="H4377" s="1">
        <v>45319</v>
      </c>
      <c r="I4377">
        <v>28</v>
      </c>
      <c r="J4377" t="s">
        <v>25</v>
      </c>
      <c r="K4377">
        <v>7407.58</v>
      </c>
    </row>
    <row r="4378" spans="1:11">
      <c r="A4378">
        <v>4377</v>
      </c>
      <c r="B4378" t="s">
        <v>147</v>
      </c>
      <c r="C4378" s="1">
        <v>19724</v>
      </c>
      <c r="D4378">
        <v>72</v>
      </c>
      <c r="E4378" t="s">
        <v>15</v>
      </c>
      <c r="F4378" t="s">
        <v>13</v>
      </c>
      <c r="G4378" s="1">
        <v>45101</v>
      </c>
      <c r="H4378" s="1">
        <v>45637</v>
      </c>
      <c r="I4378">
        <v>-2</v>
      </c>
      <c r="K4378">
        <v>9190.91</v>
      </c>
    </row>
    <row r="4379" spans="1:11">
      <c r="A4379">
        <v>4378</v>
      </c>
      <c r="B4379" t="s">
        <v>129</v>
      </c>
      <c r="C4379" s="1">
        <v>41639</v>
      </c>
      <c r="D4379">
        <v>12</v>
      </c>
      <c r="E4379" t="s">
        <v>15</v>
      </c>
      <c r="G4379" s="1">
        <v>45220</v>
      </c>
      <c r="H4379" s="1">
        <v>45361</v>
      </c>
      <c r="I4379">
        <v>37</v>
      </c>
      <c r="J4379" t="s">
        <v>19</v>
      </c>
      <c r="K4379">
        <v>3836.85</v>
      </c>
    </row>
    <row r="4380" spans="1:11">
      <c r="A4380">
        <v>4379</v>
      </c>
      <c r="B4380" t="s">
        <v>121</v>
      </c>
      <c r="D4380">
        <v>69</v>
      </c>
      <c r="G4380" s="1">
        <v>45477</v>
      </c>
      <c r="H4380" s="1">
        <v>45271</v>
      </c>
      <c r="I4380">
        <v>33</v>
      </c>
      <c r="J4380" t="s">
        <v>19</v>
      </c>
      <c r="K4380">
        <v>15334.12</v>
      </c>
    </row>
    <row r="4381" spans="1:11">
      <c r="A4381">
        <v>4380</v>
      </c>
      <c r="B4381" t="s">
        <v>67</v>
      </c>
      <c r="C4381" s="1">
        <v>44196</v>
      </c>
      <c r="D4381">
        <v>5</v>
      </c>
      <c r="E4381" t="s">
        <v>15</v>
      </c>
      <c r="F4381" t="s">
        <v>18</v>
      </c>
      <c r="G4381" s="1">
        <v>45301</v>
      </c>
      <c r="H4381" s="1">
        <v>45122</v>
      </c>
      <c r="I4381">
        <v>26</v>
      </c>
      <c r="J4381" t="s">
        <v>19</v>
      </c>
      <c r="K4381">
        <v>6225.71</v>
      </c>
    </row>
    <row r="4382" spans="1:11">
      <c r="A4382">
        <v>4381</v>
      </c>
      <c r="B4382" t="s">
        <v>34</v>
      </c>
      <c r="C4382" s="1">
        <v>15707</v>
      </c>
      <c r="D4382">
        <v>83</v>
      </c>
      <c r="E4382" t="s">
        <v>15</v>
      </c>
      <c r="F4382" t="s">
        <v>45</v>
      </c>
      <c r="G4382" s="1">
        <v>45376</v>
      </c>
      <c r="H4382" s="1">
        <v>44963</v>
      </c>
      <c r="I4382">
        <v>22</v>
      </c>
      <c r="K4382">
        <v>6788.64</v>
      </c>
    </row>
    <row r="4383" spans="1:11">
      <c r="A4383">
        <v>4382</v>
      </c>
      <c r="B4383" t="s">
        <v>48</v>
      </c>
      <c r="C4383" s="1">
        <v>27395</v>
      </c>
      <c r="D4383">
        <v>51</v>
      </c>
      <c r="E4383" t="s">
        <v>12</v>
      </c>
      <c r="F4383" t="s">
        <v>16</v>
      </c>
      <c r="G4383" s="1">
        <v>45371</v>
      </c>
      <c r="H4383" s="1">
        <v>45132</v>
      </c>
      <c r="I4383">
        <v>15</v>
      </c>
      <c r="J4383" t="s">
        <v>25</v>
      </c>
      <c r="K4383">
        <v>4968.29</v>
      </c>
    </row>
    <row r="4384" spans="1:11">
      <c r="A4384">
        <v>4383</v>
      </c>
      <c r="B4384" t="s">
        <v>165</v>
      </c>
      <c r="C4384" s="1">
        <v>45292</v>
      </c>
      <c r="D4384">
        <v>2</v>
      </c>
      <c r="E4384" t="s">
        <v>12</v>
      </c>
      <c r="F4384" t="s">
        <v>32</v>
      </c>
      <c r="G4384" s="1">
        <v>44986</v>
      </c>
      <c r="H4384" s="1">
        <v>45747</v>
      </c>
      <c r="I4384">
        <v>0</v>
      </c>
      <c r="J4384" t="s">
        <v>19</v>
      </c>
      <c r="K4384">
        <v>8631.51</v>
      </c>
    </row>
    <row r="4385" spans="1:11">
      <c r="A4385">
        <v>4384</v>
      </c>
      <c r="B4385" t="s">
        <v>83</v>
      </c>
      <c r="C4385" s="1">
        <v>16802</v>
      </c>
      <c r="D4385">
        <v>80</v>
      </c>
      <c r="E4385" t="s">
        <v>15</v>
      </c>
      <c r="F4385" t="s">
        <v>45</v>
      </c>
      <c r="G4385" s="1">
        <v>45318</v>
      </c>
      <c r="H4385" s="1">
        <v>45578</v>
      </c>
      <c r="I4385">
        <v>15</v>
      </c>
      <c r="K4385">
        <v>9217.89</v>
      </c>
    </row>
    <row r="4386" spans="1:11">
      <c r="A4386">
        <v>4385</v>
      </c>
      <c r="B4386" t="s">
        <v>156</v>
      </c>
      <c r="C4386" s="1">
        <v>23377</v>
      </c>
      <c r="D4386">
        <v>62</v>
      </c>
      <c r="E4386" t="s">
        <v>12</v>
      </c>
      <c r="F4386" t="s">
        <v>45</v>
      </c>
      <c r="G4386" s="1">
        <v>45316</v>
      </c>
      <c r="H4386" s="1">
        <v>45703</v>
      </c>
      <c r="I4386">
        <v>4</v>
      </c>
      <c r="J4386" t="s">
        <v>23</v>
      </c>
      <c r="K4386">
        <v>10546.31</v>
      </c>
    </row>
    <row r="4387" spans="1:11">
      <c r="A4387">
        <v>4386</v>
      </c>
      <c r="B4387" t="s">
        <v>43</v>
      </c>
      <c r="C4387" s="1">
        <v>28490</v>
      </c>
      <c r="D4387">
        <v>48</v>
      </c>
      <c r="F4387" t="s">
        <v>13</v>
      </c>
      <c r="G4387" s="1">
        <v>45138</v>
      </c>
      <c r="H4387" s="1">
        <v>44984</v>
      </c>
      <c r="I4387">
        <v>25</v>
      </c>
      <c r="J4387" t="s">
        <v>25</v>
      </c>
      <c r="K4387">
        <v>19348.12</v>
      </c>
    </row>
    <row r="4388" spans="1:11">
      <c r="A4388">
        <v>4387</v>
      </c>
      <c r="B4388" t="s">
        <v>105</v>
      </c>
      <c r="C4388" s="1">
        <v>18629</v>
      </c>
      <c r="D4388">
        <v>75</v>
      </c>
      <c r="E4388" t="s">
        <v>15</v>
      </c>
      <c r="F4388" t="s">
        <v>32</v>
      </c>
      <c r="G4388" s="1">
        <v>45593</v>
      </c>
      <c r="H4388" s="1">
        <v>45037</v>
      </c>
      <c r="I4388">
        <v>14</v>
      </c>
      <c r="J4388" t="s">
        <v>23</v>
      </c>
      <c r="K4388">
        <v>18084.310000000001</v>
      </c>
    </row>
    <row r="4389" spans="1:11">
      <c r="A4389">
        <v>4388</v>
      </c>
      <c r="B4389" t="s">
        <v>29</v>
      </c>
      <c r="C4389" s="1">
        <v>29221</v>
      </c>
      <c r="D4389">
        <v>46</v>
      </c>
      <c r="E4389" t="s">
        <v>12</v>
      </c>
      <c r="F4389" t="s">
        <v>21</v>
      </c>
      <c r="G4389" s="1">
        <v>45611</v>
      </c>
      <c r="H4389" s="1">
        <v>45613</v>
      </c>
      <c r="I4389">
        <v>22</v>
      </c>
      <c r="J4389" t="s">
        <v>19</v>
      </c>
      <c r="K4389">
        <v>12148.79</v>
      </c>
    </row>
    <row r="4390" spans="1:11">
      <c r="A4390">
        <v>4389</v>
      </c>
      <c r="B4390" t="s">
        <v>83</v>
      </c>
      <c r="C4390" s="1">
        <v>26299</v>
      </c>
      <c r="D4390">
        <v>54</v>
      </c>
      <c r="E4390" t="s">
        <v>15</v>
      </c>
      <c r="F4390" t="s">
        <v>45</v>
      </c>
      <c r="G4390" s="1">
        <v>45461</v>
      </c>
      <c r="H4390" s="1">
        <v>45423</v>
      </c>
      <c r="I4390">
        <v>15</v>
      </c>
      <c r="K4390">
        <v>681.96</v>
      </c>
    </row>
    <row r="4391" spans="1:11">
      <c r="A4391">
        <v>4390</v>
      </c>
      <c r="B4391" t="s">
        <v>96</v>
      </c>
      <c r="C4391" s="1">
        <v>23012</v>
      </c>
      <c r="D4391">
        <v>63</v>
      </c>
      <c r="E4391" t="s">
        <v>12</v>
      </c>
      <c r="F4391" t="s">
        <v>32</v>
      </c>
      <c r="G4391" s="1">
        <v>45166</v>
      </c>
      <c r="H4391" s="1">
        <v>45645</v>
      </c>
      <c r="I4391">
        <v>37</v>
      </c>
      <c r="J4391" t="s">
        <v>25</v>
      </c>
      <c r="K4391">
        <v>12206.43</v>
      </c>
    </row>
    <row r="4392" spans="1:11">
      <c r="A4392">
        <v>4391</v>
      </c>
      <c r="B4392" t="s">
        <v>92</v>
      </c>
      <c r="C4392" s="1">
        <v>22646</v>
      </c>
      <c r="D4392">
        <v>64</v>
      </c>
      <c r="E4392" t="s">
        <v>12</v>
      </c>
      <c r="G4392" s="1">
        <v>45414</v>
      </c>
      <c r="H4392" s="1">
        <v>45152</v>
      </c>
      <c r="I4392">
        <v>0</v>
      </c>
      <c r="J4392" t="s">
        <v>19</v>
      </c>
      <c r="K4392">
        <v>1702.34</v>
      </c>
    </row>
    <row r="4393" spans="1:11">
      <c r="A4393">
        <v>4392</v>
      </c>
      <c r="B4393" t="s">
        <v>134</v>
      </c>
      <c r="C4393" s="1">
        <v>16802</v>
      </c>
      <c r="D4393">
        <v>80</v>
      </c>
      <c r="F4393" t="s">
        <v>45</v>
      </c>
      <c r="G4393" s="1">
        <v>45647</v>
      </c>
      <c r="H4393" s="1">
        <v>45313</v>
      </c>
      <c r="I4393">
        <v>22</v>
      </c>
      <c r="J4393" t="s">
        <v>25</v>
      </c>
      <c r="K4393">
        <v>14177.92</v>
      </c>
    </row>
    <row r="4394" spans="1:11">
      <c r="A4394">
        <v>4393</v>
      </c>
      <c r="B4394" t="s">
        <v>122</v>
      </c>
      <c r="C4394" s="1">
        <v>21916</v>
      </c>
      <c r="D4394">
        <v>66</v>
      </c>
      <c r="E4394" t="s">
        <v>15</v>
      </c>
      <c r="F4394" t="s">
        <v>13</v>
      </c>
      <c r="G4394" s="1">
        <v>45048</v>
      </c>
      <c r="H4394" s="1">
        <v>44991</v>
      </c>
      <c r="I4394">
        <v>4</v>
      </c>
      <c r="K4394">
        <v>7740.56</v>
      </c>
    </row>
    <row r="4395" spans="1:11">
      <c r="A4395">
        <v>4394</v>
      </c>
      <c r="B4395" t="s">
        <v>88</v>
      </c>
      <c r="C4395" s="1">
        <v>13515</v>
      </c>
      <c r="D4395">
        <v>89</v>
      </c>
      <c r="E4395" t="s">
        <v>15</v>
      </c>
      <c r="F4395" t="s">
        <v>13</v>
      </c>
      <c r="G4395" s="1">
        <v>45179</v>
      </c>
      <c r="H4395" s="1">
        <v>45691</v>
      </c>
      <c r="I4395">
        <v>7</v>
      </c>
      <c r="K4395">
        <v>16737.7</v>
      </c>
    </row>
    <row r="4396" spans="1:11">
      <c r="A4396">
        <v>4395</v>
      </c>
      <c r="B4396" t="s">
        <v>36</v>
      </c>
      <c r="C4396" s="1">
        <v>40909</v>
      </c>
      <c r="D4396">
        <v>14</v>
      </c>
      <c r="E4396" t="s">
        <v>15</v>
      </c>
      <c r="F4396" t="s">
        <v>21</v>
      </c>
      <c r="G4396" s="1">
        <v>45067</v>
      </c>
      <c r="H4396" s="1">
        <v>45706</v>
      </c>
      <c r="I4396">
        <v>16</v>
      </c>
      <c r="J4396" t="s">
        <v>19</v>
      </c>
      <c r="K4396">
        <v>18844.84</v>
      </c>
    </row>
    <row r="4397" spans="1:11">
      <c r="A4397">
        <v>4396</v>
      </c>
      <c r="B4397" t="s">
        <v>157</v>
      </c>
      <c r="C4397" s="1">
        <v>34700</v>
      </c>
      <c r="D4397">
        <v>31</v>
      </c>
      <c r="E4397" t="s">
        <v>12</v>
      </c>
      <c r="F4397" t="s">
        <v>13</v>
      </c>
      <c r="G4397" s="1">
        <v>45378</v>
      </c>
      <c r="H4397" s="1">
        <v>45279</v>
      </c>
      <c r="I4397">
        <v>12</v>
      </c>
      <c r="J4397" t="s">
        <v>25</v>
      </c>
      <c r="K4397">
        <v>8283.92</v>
      </c>
    </row>
    <row r="4398" spans="1:11">
      <c r="A4398">
        <v>4397</v>
      </c>
      <c r="B4398" t="s">
        <v>78</v>
      </c>
      <c r="C4398" s="1">
        <v>21551</v>
      </c>
      <c r="D4398">
        <v>67</v>
      </c>
      <c r="E4398" t="s">
        <v>15</v>
      </c>
      <c r="F4398" t="s">
        <v>32</v>
      </c>
      <c r="G4398" s="1">
        <v>45079</v>
      </c>
      <c r="H4398" s="1">
        <v>45390</v>
      </c>
      <c r="I4398">
        <v>18</v>
      </c>
      <c r="K4398">
        <v>9157.16</v>
      </c>
    </row>
    <row r="4399" spans="1:11">
      <c r="A4399">
        <v>4398</v>
      </c>
      <c r="B4399" t="s">
        <v>27</v>
      </c>
      <c r="C4399" s="1">
        <v>39813</v>
      </c>
      <c r="E4399" t="s">
        <v>15</v>
      </c>
      <c r="F4399" t="s">
        <v>16</v>
      </c>
      <c r="G4399" s="1">
        <v>45652</v>
      </c>
      <c r="H4399" s="1">
        <v>45771</v>
      </c>
      <c r="I4399">
        <v>18</v>
      </c>
      <c r="J4399" t="s">
        <v>25</v>
      </c>
      <c r="K4399">
        <v>11761.97</v>
      </c>
    </row>
    <row r="4400" spans="1:11">
      <c r="A4400">
        <v>4399</v>
      </c>
      <c r="B4400" t="s">
        <v>151</v>
      </c>
      <c r="C4400" s="1">
        <v>16072</v>
      </c>
      <c r="D4400">
        <v>82</v>
      </c>
      <c r="E4400" t="s">
        <v>15</v>
      </c>
      <c r="F4400" t="s">
        <v>13</v>
      </c>
      <c r="G4400" s="1">
        <v>45234</v>
      </c>
      <c r="H4400" s="1">
        <v>45247</v>
      </c>
      <c r="I4400">
        <v>34</v>
      </c>
      <c r="J4400" t="s">
        <v>25</v>
      </c>
      <c r="K4400">
        <v>3862.37</v>
      </c>
    </row>
    <row r="4401" spans="1:11">
      <c r="A4401">
        <v>4400</v>
      </c>
      <c r="B4401" t="s">
        <v>55</v>
      </c>
      <c r="C4401" s="1">
        <v>30682</v>
      </c>
      <c r="D4401">
        <v>42</v>
      </c>
      <c r="E4401" t="s">
        <v>15</v>
      </c>
      <c r="F4401" t="s">
        <v>16</v>
      </c>
      <c r="G4401" s="1">
        <v>45486</v>
      </c>
      <c r="H4401" s="1">
        <v>45284</v>
      </c>
      <c r="I4401">
        <v>25</v>
      </c>
      <c r="J4401" t="s">
        <v>23</v>
      </c>
      <c r="K4401">
        <v>18539.39</v>
      </c>
    </row>
    <row r="4402" spans="1:11">
      <c r="A4402">
        <v>4401</v>
      </c>
      <c r="B4402" t="s">
        <v>88</v>
      </c>
      <c r="C4402" s="1">
        <v>33604</v>
      </c>
      <c r="D4402">
        <v>34</v>
      </c>
      <c r="E4402" t="s">
        <v>15</v>
      </c>
      <c r="F4402" t="s">
        <v>21</v>
      </c>
      <c r="G4402" s="1">
        <v>45243</v>
      </c>
      <c r="H4402" s="1">
        <v>45020</v>
      </c>
      <c r="I4402">
        <v>29</v>
      </c>
      <c r="J4402" t="s">
        <v>19</v>
      </c>
      <c r="K4402">
        <v>8603.2999999999993</v>
      </c>
    </row>
    <row r="4403" spans="1:11">
      <c r="A4403">
        <v>4402</v>
      </c>
      <c r="B4403" t="s">
        <v>22</v>
      </c>
      <c r="C4403" s="1">
        <v>17898</v>
      </c>
      <c r="D4403">
        <v>77</v>
      </c>
      <c r="E4403" t="s">
        <v>12</v>
      </c>
      <c r="G4403" s="1">
        <v>45455</v>
      </c>
      <c r="H4403" s="1">
        <v>45622</v>
      </c>
      <c r="I4403">
        <v>38</v>
      </c>
      <c r="J4403" t="s">
        <v>19</v>
      </c>
      <c r="K4403">
        <v>3253.09</v>
      </c>
    </row>
    <row r="4404" spans="1:11">
      <c r="A4404">
        <v>4403</v>
      </c>
      <c r="B4404" t="s">
        <v>129</v>
      </c>
      <c r="C4404" s="1">
        <v>25203</v>
      </c>
      <c r="D4404">
        <v>57</v>
      </c>
      <c r="E4404" t="s">
        <v>15</v>
      </c>
      <c r="F4404" t="s">
        <v>18</v>
      </c>
      <c r="G4404" s="1">
        <v>45222</v>
      </c>
      <c r="H4404" s="1">
        <v>45227</v>
      </c>
      <c r="I4404">
        <v>24</v>
      </c>
      <c r="J4404" t="s">
        <v>25</v>
      </c>
      <c r="K4404">
        <v>15230.91</v>
      </c>
    </row>
    <row r="4405" spans="1:11">
      <c r="A4405">
        <v>4404</v>
      </c>
      <c r="B4405" t="s">
        <v>35</v>
      </c>
      <c r="C4405" s="1">
        <v>34334</v>
      </c>
      <c r="D4405">
        <v>32</v>
      </c>
      <c r="E4405" t="s">
        <v>15</v>
      </c>
      <c r="F4405" t="s">
        <v>45</v>
      </c>
      <c r="G4405" s="1">
        <v>45271</v>
      </c>
      <c r="H4405" s="1">
        <v>45653</v>
      </c>
      <c r="I4405">
        <v>20</v>
      </c>
      <c r="J4405" t="s">
        <v>23</v>
      </c>
      <c r="K4405">
        <v>4304.9399999999996</v>
      </c>
    </row>
    <row r="4406" spans="1:11">
      <c r="A4406">
        <v>4405</v>
      </c>
      <c r="B4406" t="s">
        <v>24</v>
      </c>
      <c r="C4406" s="1">
        <v>41274</v>
      </c>
      <c r="D4406">
        <v>13</v>
      </c>
      <c r="E4406" t="s">
        <v>12</v>
      </c>
      <c r="F4406" t="s">
        <v>45</v>
      </c>
      <c r="G4406" s="1">
        <v>45507</v>
      </c>
      <c r="H4406" s="1">
        <v>45421</v>
      </c>
      <c r="I4406">
        <v>7</v>
      </c>
      <c r="J4406" t="s">
        <v>25</v>
      </c>
      <c r="K4406">
        <v>2784.94</v>
      </c>
    </row>
    <row r="4407" spans="1:11">
      <c r="A4407">
        <v>4406</v>
      </c>
      <c r="B4407" t="s">
        <v>26</v>
      </c>
      <c r="C4407" s="1">
        <v>33969</v>
      </c>
      <c r="D4407">
        <v>33</v>
      </c>
      <c r="E4407" t="s">
        <v>12</v>
      </c>
      <c r="F4407" t="s">
        <v>32</v>
      </c>
      <c r="G4407" s="1">
        <v>45523</v>
      </c>
      <c r="H4407" s="1">
        <v>45581</v>
      </c>
      <c r="I4407">
        <v>37</v>
      </c>
      <c r="J4407" t="s">
        <v>19</v>
      </c>
      <c r="K4407">
        <v>11213.73</v>
      </c>
    </row>
    <row r="4408" spans="1:11">
      <c r="A4408">
        <v>4407</v>
      </c>
      <c r="B4408" t="s">
        <v>166</v>
      </c>
      <c r="C4408" s="1">
        <v>24107</v>
      </c>
      <c r="D4408">
        <v>60</v>
      </c>
      <c r="E4408" t="s">
        <v>15</v>
      </c>
      <c r="F4408" t="s">
        <v>21</v>
      </c>
      <c r="G4408" s="1">
        <v>45208</v>
      </c>
      <c r="H4408" s="1">
        <v>45522</v>
      </c>
      <c r="I4408">
        <v>38</v>
      </c>
      <c r="J4408" t="s">
        <v>19</v>
      </c>
      <c r="K4408">
        <v>13397.05</v>
      </c>
    </row>
    <row r="4409" spans="1:11">
      <c r="A4409">
        <v>4408</v>
      </c>
      <c r="B4409" t="s">
        <v>123</v>
      </c>
      <c r="C4409" s="1">
        <v>44927</v>
      </c>
      <c r="D4409">
        <v>3</v>
      </c>
      <c r="E4409" t="s">
        <v>15</v>
      </c>
      <c r="F4409" t="s">
        <v>21</v>
      </c>
      <c r="G4409" s="1">
        <v>45134</v>
      </c>
      <c r="H4409" s="1">
        <v>45316</v>
      </c>
      <c r="I4409">
        <v>3</v>
      </c>
      <c r="J4409" t="s">
        <v>25</v>
      </c>
      <c r="K4409">
        <v>11348.21</v>
      </c>
    </row>
    <row r="4410" spans="1:11">
      <c r="A4410">
        <v>4409</v>
      </c>
      <c r="B4410" t="s">
        <v>121</v>
      </c>
      <c r="C4410" s="1">
        <v>14246</v>
      </c>
      <c r="D4410">
        <v>87</v>
      </c>
      <c r="E4410" t="s">
        <v>12</v>
      </c>
      <c r="F4410" t="s">
        <v>21</v>
      </c>
      <c r="G4410" s="1">
        <v>45478</v>
      </c>
      <c r="H4410" s="1">
        <v>45538</v>
      </c>
      <c r="I4410">
        <v>21</v>
      </c>
      <c r="J4410" t="s">
        <v>25</v>
      </c>
      <c r="K4410">
        <v>13095.86</v>
      </c>
    </row>
    <row r="4411" spans="1:11">
      <c r="A4411">
        <v>4410</v>
      </c>
      <c r="B4411" t="s">
        <v>163</v>
      </c>
      <c r="C4411" s="1">
        <v>24838</v>
      </c>
      <c r="D4411">
        <v>58</v>
      </c>
      <c r="E4411" t="s">
        <v>15</v>
      </c>
      <c r="F4411" t="s">
        <v>45</v>
      </c>
      <c r="G4411" s="1">
        <v>45022</v>
      </c>
      <c r="H4411" s="1">
        <v>45720</v>
      </c>
      <c r="I4411">
        <v>15</v>
      </c>
      <c r="J4411" t="s">
        <v>25</v>
      </c>
      <c r="K4411">
        <v>2222.0300000000002</v>
      </c>
    </row>
    <row r="4412" spans="1:11">
      <c r="A4412">
        <v>4411</v>
      </c>
      <c r="B4412" t="s">
        <v>144</v>
      </c>
      <c r="C4412" s="1">
        <v>35795</v>
      </c>
      <c r="D4412">
        <v>28</v>
      </c>
      <c r="E4412" t="s">
        <v>12</v>
      </c>
      <c r="F4412" t="s">
        <v>13</v>
      </c>
      <c r="G4412" s="1">
        <v>45378</v>
      </c>
      <c r="H4412" s="1">
        <v>45361</v>
      </c>
      <c r="I4412">
        <v>7</v>
      </c>
      <c r="J4412" t="s">
        <v>19</v>
      </c>
      <c r="K4412">
        <v>9467.9599999999991</v>
      </c>
    </row>
    <row r="4413" spans="1:11">
      <c r="A4413">
        <v>4412</v>
      </c>
      <c r="B4413" t="s">
        <v>24</v>
      </c>
      <c r="C4413" s="1">
        <v>16072</v>
      </c>
      <c r="D4413">
        <v>82</v>
      </c>
      <c r="E4413" t="s">
        <v>15</v>
      </c>
      <c r="F4413" t="s">
        <v>45</v>
      </c>
      <c r="G4413" s="1">
        <v>45299</v>
      </c>
      <c r="H4413" s="1">
        <v>45029</v>
      </c>
      <c r="I4413">
        <v>12</v>
      </c>
      <c r="J4413" t="s">
        <v>25</v>
      </c>
      <c r="K4413">
        <v>7076.07</v>
      </c>
    </row>
    <row r="4414" spans="1:11">
      <c r="A4414">
        <v>4413</v>
      </c>
      <c r="B4414" t="s">
        <v>77</v>
      </c>
      <c r="C4414" s="1">
        <v>44196</v>
      </c>
      <c r="D4414">
        <v>5</v>
      </c>
      <c r="E4414" t="s">
        <v>15</v>
      </c>
      <c r="F4414" t="s">
        <v>45</v>
      </c>
      <c r="G4414" s="1">
        <v>45574</v>
      </c>
      <c r="H4414" s="1">
        <v>45768</v>
      </c>
      <c r="I4414">
        <v>31</v>
      </c>
      <c r="J4414" t="s">
        <v>25</v>
      </c>
      <c r="K4414">
        <v>19464.71</v>
      </c>
    </row>
    <row r="4415" spans="1:11">
      <c r="A4415">
        <v>4414</v>
      </c>
      <c r="B4415" t="s">
        <v>124</v>
      </c>
      <c r="C4415" s="1">
        <v>28490</v>
      </c>
      <c r="D4415">
        <v>48</v>
      </c>
      <c r="E4415" t="s">
        <v>15</v>
      </c>
      <c r="F4415" t="s">
        <v>45</v>
      </c>
      <c r="G4415" s="1">
        <v>44999</v>
      </c>
      <c r="H4415" s="1">
        <v>45305</v>
      </c>
      <c r="I4415">
        <v>5</v>
      </c>
      <c r="K4415">
        <v>897.44</v>
      </c>
    </row>
    <row r="4416" spans="1:11">
      <c r="A4416">
        <v>4415</v>
      </c>
      <c r="B4416" t="s">
        <v>164</v>
      </c>
      <c r="C4416" s="1">
        <v>31778</v>
      </c>
      <c r="D4416">
        <v>39</v>
      </c>
      <c r="E4416" t="s">
        <v>12</v>
      </c>
      <c r="G4416" s="1">
        <v>45607</v>
      </c>
      <c r="H4416" s="1">
        <v>45510</v>
      </c>
      <c r="I4416">
        <v>32</v>
      </c>
      <c r="J4416" t="s">
        <v>19</v>
      </c>
      <c r="K4416">
        <v>5895.71</v>
      </c>
    </row>
    <row r="4417" spans="1:11">
      <c r="A4417">
        <v>4416</v>
      </c>
      <c r="B4417" t="s">
        <v>101</v>
      </c>
      <c r="C4417" s="1">
        <v>16072</v>
      </c>
      <c r="D4417">
        <v>82</v>
      </c>
      <c r="E4417" t="s">
        <v>12</v>
      </c>
      <c r="G4417" s="1">
        <v>45259</v>
      </c>
      <c r="H4417" s="1">
        <v>45812</v>
      </c>
      <c r="I4417">
        <v>24</v>
      </c>
      <c r="J4417" t="s">
        <v>25</v>
      </c>
      <c r="K4417">
        <v>18831.43</v>
      </c>
    </row>
    <row r="4418" spans="1:11">
      <c r="A4418">
        <v>4417</v>
      </c>
      <c r="B4418" t="s">
        <v>76</v>
      </c>
      <c r="C4418" s="1">
        <v>22646</v>
      </c>
      <c r="D4418">
        <v>64</v>
      </c>
      <c r="E4418" t="s">
        <v>15</v>
      </c>
      <c r="F4418" t="s">
        <v>13</v>
      </c>
      <c r="G4418" s="1">
        <v>45319</v>
      </c>
      <c r="H4418" s="1">
        <v>45265</v>
      </c>
      <c r="I4418">
        <v>22</v>
      </c>
      <c r="J4418" t="s">
        <v>23</v>
      </c>
      <c r="K4418">
        <v>19668.27</v>
      </c>
    </row>
    <row r="4419" spans="1:11">
      <c r="A4419">
        <v>4418</v>
      </c>
      <c r="B4419" t="s">
        <v>38</v>
      </c>
      <c r="C4419" s="1">
        <v>21185</v>
      </c>
      <c r="D4419">
        <v>68</v>
      </c>
      <c r="E4419" t="s">
        <v>12</v>
      </c>
      <c r="F4419" t="s">
        <v>18</v>
      </c>
      <c r="G4419" s="1">
        <v>45636</v>
      </c>
      <c r="H4419" s="1">
        <v>45825</v>
      </c>
      <c r="I4419">
        <v>0</v>
      </c>
      <c r="J4419" t="s">
        <v>19</v>
      </c>
      <c r="K4419">
        <v>16480.52</v>
      </c>
    </row>
    <row r="4420" spans="1:11">
      <c r="A4420">
        <v>4419</v>
      </c>
      <c r="B4420" t="s">
        <v>150</v>
      </c>
      <c r="C4420" s="1">
        <v>36526</v>
      </c>
      <c r="D4420">
        <v>26</v>
      </c>
      <c r="E4420" t="s">
        <v>15</v>
      </c>
      <c r="F4420" t="s">
        <v>32</v>
      </c>
      <c r="G4420" s="1">
        <v>45032</v>
      </c>
      <c r="H4420" s="1">
        <v>45811</v>
      </c>
      <c r="I4420">
        <v>18</v>
      </c>
      <c r="J4420" t="s">
        <v>25</v>
      </c>
      <c r="K4420">
        <v>1427.56</v>
      </c>
    </row>
    <row r="4421" spans="1:11">
      <c r="A4421">
        <v>4420</v>
      </c>
      <c r="B4421" t="s">
        <v>127</v>
      </c>
      <c r="C4421" s="1">
        <v>17168</v>
      </c>
      <c r="D4421">
        <v>79</v>
      </c>
      <c r="E4421" t="s">
        <v>15</v>
      </c>
      <c r="F4421" t="s">
        <v>18</v>
      </c>
      <c r="G4421" s="1">
        <v>45027</v>
      </c>
      <c r="H4421" s="1">
        <v>45705</v>
      </c>
      <c r="I4421">
        <v>36</v>
      </c>
      <c r="J4421" t="s">
        <v>25</v>
      </c>
      <c r="K4421">
        <v>11183.24</v>
      </c>
    </row>
    <row r="4422" spans="1:11">
      <c r="A4422">
        <v>4421</v>
      </c>
      <c r="B4422" t="s">
        <v>149</v>
      </c>
      <c r="C4422" s="1">
        <v>44196</v>
      </c>
      <c r="D4422">
        <v>5</v>
      </c>
      <c r="E4422" t="s">
        <v>12</v>
      </c>
      <c r="F4422" t="s">
        <v>18</v>
      </c>
      <c r="G4422" s="1">
        <v>45285</v>
      </c>
      <c r="H4422" s="1">
        <v>45419</v>
      </c>
      <c r="I4422">
        <v>29</v>
      </c>
      <c r="K4422">
        <v>7942.47</v>
      </c>
    </row>
    <row r="4423" spans="1:11">
      <c r="A4423">
        <v>4422</v>
      </c>
      <c r="B4423" t="s">
        <v>85</v>
      </c>
      <c r="C4423" s="1">
        <v>41639</v>
      </c>
      <c r="D4423">
        <v>12</v>
      </c>
      <c r="E4423" t="s">
        <v>15</v>
      </c>
      <c r="F4423" t="s">
        <v>45</v>
      </c>
      <c r="G4423" s="1">
        <v>45255</v>
      </c>
      <c r="H4423" s="1">
        <v>45569</v>
      </c>
      <c r="I4423">
        <v>18</v>
      </c>
      <c r="K4423">
        <v>16109.7</v>
      </c>
    </row>
    <row r="4424" spans="1:11">
      <c r="A4424">
        <v>4423</v>
      </c>
      <c r="B4424" t="s">
        <v>140</v>
      </c>
      <c r="C4424" s="1">
        <v>23012</v>
      </c>
      <c r="D4424">
        <v>63</v>
      </c>
      <c r="E4424" t="s">
        <v>12</v>
      </c>
      <c r="F4424" t="s">
        <v>18</v>
      </c>
      <c r="G4424" s="1">
        <v>45544</v>
      </c>
      <c r="H4424" s="1">
        <v>44987</v>
      </c>
      <c r="I4424">
        <v>6</v>
      </c>
      <c r="J4424" t="s">
        <v>19</v>
      </c>
      <c r="K4424">
        <v>1005.99</v>
      </c>
    </row>
    <row r="4425" spans="1:11">
      <c r="A4425">
        <v>4424</v>
      </c>
      <c r="B4425" t="s">
        <v>41</v>
      </c>
      <c r="C4425" s="1">
        <v>23742</v>
      </c>
      <c r="D4425">
        <v>61</v>
      </c>
      <c r="E4425" t="s">
        <v>12</v>
      </c>
      <c r="F4425" t="s">
        <v>45</v>
      </c>
      <c r="G4425" s="1">
        <v>45321</v>
      </c>
      <c r="H4425" s="1">
        <v>45740</v>
      </c>
      <c r="I4425">
        <v>-2</v>
      </c>
      <c r="K4425">
        <v>3862.29</v>
      </c>
    </row>
    <row r="4426" spans="1:11">
      <c r="A4426">
        <v>4425</v>
      </c>
      <c r="B4426" t="s">
        <v>14</v>
      </c>
      <c r="C4426" s="1">
        <v>39448</v>
      </c>
      <c r="D4426">
        <v>18</v>
      </c>
      <c r="E4426" t="s">
        <v>12</v>
      </c>
      <c r="F4426" t="s">
        <v>45</v>
      </c>
      <c r="G4426" s="1">
        <v>44961</v>
      </c>
      <c r="H4426" s="1">
        <v>45436</v>
      </c>
      <c r="I4426">
        <v>1</v>
      </c>
      <c r="K4426">
        <v>9732.82</v>
      </c>
    </row>
    <row r="4427" spans="1:11">
      <c r="A4427">
        <v>4426</v>
      </c>
      <c r="B4427" t="s">
        <v>101</v>
      </c>
      <c r="C4427" s="1">
        <v>18629</v>
      </c>
      <c r="D4427">
        <v>75</v>
      </c>
      <c r="E4427" t="s">
        <v>12</v>
      </c>
      <c r="F4427" t="s">
        <v>32</v>
      </c>
      <c r="G4427" s="1">
        <v>45083</v>
      </c>
      <c r="H4427" s="1">
        <v>45319</v>
      </c>
      <c r="I4427">
        <v>1</v>
      </c>
      <c r="J4427" t="s">
        <v>19</v>
      </c>
      <c r="K4427">
        <v>3068.72</v>
      </c>
    </row>
    <row r="4428" spans="1:11">
      <c r="A4428">
        <v>4427</v>
      </c>
      <c r="B4428" t="s">
        <v>158</v>
      </c>
      <c r="C4428" s="1">
        <v>17168</v>
      </c>
      <c r="D4428">
        <v>79</v>
      </c>
      <c r="E4428" t="s">
        <v>15</v>
      </c>
      <c r="F4428" t="s">
        <v>21</v>
      </c>
      <c r="G4428" s="1">
        <v>45199</v>
      </c>
      <c r="H4428" s="1">
        <v>45046</v>
      </c>
      <c r="I4428">
        <v>23</v>
      </c>
      <c r="J4428" t="s">
        <v>23</v>
      </c>
      <c r="K4428">
        <v>13823.57</v>
      </c>
    </row>
    <row r="4429" spans="1:11">
      <c r="A4429">
        <v>4428</v>
      </c>
      <c r="B4429" t="s">
        <v>115</v>
      </c>
      <c r="C4429" s="1">
        <v>30682</v>
      </c>
      <c r="D4429">
        <v>42</v>
      </c>
      <c r="E4429" t="s">
        <v>15</v>
      </c>
      <c r="F4429" t="s">
        <v>45</v>
      </c>
      <c r="G4429" s="1">
        <v>45322</v>
      </c>
      <c r="H4429" s="1">
        <v>45702</v>
      </c>
      <c r="I4429">
        <v>31</v>
      </c>
      <c r="J4429" t="s">
        <v>25</v>
      </c>
      <c r="K4429">
        <v>16397.419999999998</v>
      </c>
    </row>
    <row r="4430" spans="1:11">
      <c r="A4430">
        <v>4429</v>
      </c>
      <c r="B4430" t="s">
        <v>84</v>
      </c>
      <c r="C4430" s="1">
        <v>19359</v>
      </c>
      <c r="D4430">
        <v>73</v>
      </c>
      <c r="E4430" t="s">
        <v>15</v>
      </c>
      <c r="G4430" s="1">
        <v>45133</v>
      </c>
      <c r="H4430" s="1">
        <v>45398</v>
      </c>
      <c r="I4430">
        <v>24</v>
      </c>
      <c r="J4430" t="s">
        <v>25</v>
      </c>
      <c r="K4430">
        <v>14060.85</v>
      </c>
    </row>
    <row r="4431" spans="1:11">
      <c r="A4431">
        <v>4430</v>
      </c>
      <c r="B4431" t="s">
        <v>153</v>
      </c>
      <c r="C4431" s="1">
        <v>13880</v>
      </c>
      <c r="D4431">
        <v>88</v>
      </c>
      <c r="E4431" t="s">
        <v>15</v>
      </c>
      <c r="F4431" t="s">
        <v>18</v>
      </c>
      <c r="G4431" s="1">
        <v>45531</v>
      </c>
      <c r="H4431" s="1">
        <v>45255</v>
      </c>
      <c r="I4431">
        <v>12</v>
      </c>
      <c r="K4431">
        <v>8749.7000000000007</v>
      </c>
    </row>
    <row r="4432" spans="1:11">
      <c r="A4432">
        <v>4431</v>
      </c>
      <c r="B4432" t="s">
        <v>109</v>
      </c>
      <c r="C4432" s="1">
        <v>39083</v>
      </c>
      <c r="D4432">
        <v>19</v>
      </c>
      <c r="E4432" t="s">
        <v>12</v>
      </c>
      <c r="F4432" t="s">
        <v>32</v>
      </c>
      <c r="G4432" s="1">
        <v>45547</v>
      </c>
      <c r="H4432" s="1">
        <v>44948</v>
      </c>
      <c r="I4432">
        <v>29</v>
      </c>
      <c r="J4432" t="s">
        <v>25</v>
      </c>
      <c r="K4432">
        <v>17555.59</v>
      </c>
    </row>
    <row r="4433" spans="1:11">
      <c r="A4433">
        <v>4432</v>
      </c>
      <c r="B4433" t="s">
        <v>101</v>
      </c>
      <c r="D4433">
        <v>94</v>
      </c>
      <c r="E4433" t="s">
        <v>15</v>
      </c>
      <c r="F4433" t="s">
        <v>16</v>
      </c>
      <c r="G4433" s="1">
        <v>45232</v>
      </c>
      <c r="H4433" s="1">
        <v>45024</v>
      </c>
      <c r="I4433">
        <v>38</v>
      </c>
      <c r="K4433">
        <v>2667.49</v>
      </c>
    </row>
    <row r="4434" spans="1:11">
      <c r="A4434">
        <v>4433</v>
      </c>
      <c r="B4434" t="s">
        <v>36</v>
      </c>
      <c r="C4434" s="1">
        <v>21551</v>
      </c>
      <c r="D4434">
        <v>67</v>
      </c>
      <c r="E4434" t="s">
        <v>12</v>
      </c>
      <c r="F4434" t="s">
        <v>16</v>
      </c>
      <c r="G4434" s="1">
        <v>45552</v>
      </c>
      <c r="H4434" s="1">
        <v>45742</v>
      </c>
      <c r="I4434">
        <v>4</v>
      </c>
      <c r="J4434" t="s">
        <v>19</v>
      </c>
      <c r="K4434">
        <v>5132.8100000000004</v>
      </c>
    </row>
    <row r="4435" spans="1:11">
      <c r="A4435">
        <v>4434</v>
      </c>
      <c r="B4435" t="s">
        <v>67</v>
      </c>
      <c r="C4435" s="1">
        <v>30317</v>
      </c>
      <c r="D4435">
        <v>43</v>
      </c>
      <c r="E4435" t="s">
        <v>15</v>
      </c>
      <c r="F4435" t="s">
        <v>16</v>
      </c>
      <c r="G4435" s="1">
        <v>45462</v>
      </c>
      <c r="H4435" s="1">
        <v>45440</v>
      </c>
      <c r="I4435">
        <v>11</v>
      </c>
      <c r="J4435" t="s">
        <v>19</v>
      </c>
      <c r="K4435">
        <v>9739.75</v>
      </c>
    </row>
    <row r="4436" spans="1:11">
      <c r="A4436">
        <v>4435</v>
      </c>
      <c r="B4436" t="s">
        <v>50</v>
      </c>
      <c r="C4436" s="1">
        <v>37987</v>
      </c>
      <c r="D4436">
        <v>22</v>
      </c>
      <c r="E4436" t="s">
        <v>12</v>
      </c>
      <c r="F4436" t="s">
        <v>18</v>
      </c>
      <c r="G4436" s="1">
        <v>45388</v>
      </c>
      <c r="H4436" s="1">
        <v>45642</v>
      </c>
      <c r="I4436">
        <v>20</v>
      </c>
      <c r="J4436" t="s">
        <v>19</v>
      </c>
      <c r="K4436">
        <v>1132.9100000000001</v>
      </c>
    </row>
    <row r="4437" spans="1:11">
      <c r="A4437">
        <v>4436</v>
      </c>
      <c r="B4437" t="s">
        <v>133</v>
      </c>
      <c r="C4437" s="1">
        <v>45657</v>
      </c>
      <c r="D4437">
        <v>1</v>
      </c>
      <c r="E4437" t="s">
        <v>12</v>
      </c>
      <c r="F4437" t="s">
        <v>21</v>
      </c>
      <c r="G4437" s="1">
        <v>45178</v>
      </c>
      <c r="H4437" s="1">
        <v>45567</v>
      </c>
      <c r="I4437">
        <v>-2</v>
      </c>
      <c r="J4437" t="s">
        <v>25</v>
      </c>
      <c r="K4437">
        <v>1823.28</v>
      </c>
    </row>
    <row r="4438" spans="1:11">
      <c r="A4438">
        <v>4437</v>
      </c>
      <c r="B4438" t="s">
        <v>64</v>
      </c>
      <c r="C4438" s="1">
        <v>38352</v>
      </c>
      <c r="D4438">
        <v>21</v>
      </c>
      <c r="E4438" t="s">
        <v>12</v>
      </c>
      <c r="F4438" t="s">
        <v>13</v>
      </c>
      <c r="G4438" s="1">
        <v>45193</v>
      </c>
      <c r="H4438" s="1">
        <v>45277</v>
      </c>
      <c r="I4438">
        <v>29</v>
      </c>
      <c r="K4438">
        <v>7888.61</v>
      </c>
    </row>
    <row r="4439" spans="1:11">
      <c r="A4439">
        <v>4438</v>
      </c>
      <c r="B4439" t="s">
        <v>78</v>
      </c>
      <c r="C4439" s="1">
        <v>25568</v>
      </c>
      <c r="D4439">
        <v>56</v>
      </c>
      <c r="E4439" t="s">
        <v>15</v>
      </c>
      <c r="F4439" t="s">
        <v>21</v>
      </c>
      <c r="G4439" s="1">
        <v>45135</v>
      </c>
      <c r="H4439" s="1">
        <v>45059</v>
      </c>
      <c r="I4439">
        <v>38</v>
      </c>
      <c r="K4439">
        <v>18872.11</v>
      </c>
    </row>
    <row r="4440" spans="1:11">
      <c r="A4440">
        <v>4439</v>
      </c>
      <c r="B4440" t="s">
        <v>122</v>
      </c>
      <c r="C4440" s="1">
        <v>20090</v>
      </c>
      <c r="D4440">
        <v>71</v>
      </c>
      <c r="E4440" t="s">
        <v>12</v>
      </c>
      <c r="F4440" t="s">
        <v>32</v>
      </c>
      <c r="G4440" s="1">
        <v>45493</v>
      </c>
      <c r="H4440" s="1">
        <v>45473</v>
      </c>
      <c r="I4440">
        <v>23</v>
      </c>
      <c r="J4440" t="s">
        <v>25</v>
      </c>
      <c r="K4440">
        <v>18159.12</v>
      </c>
    </row>
    <row r="4441" spans="1:11">
      <c r="A4441">
        <v>4440</v>
      </c>
      <c r="B4441" t="s">
        <v>93</v>
      </c>
      <c r="C4441" s="1">
        <v>43831</v>
      </c>
      <c r="D4441">
        <v>6</v>
      </c>
      <c r="E4441" t="s">
        <v>15</v>
      </c>
      <c r="F4441" t="s">
        <v>21</v>
      </c>
      <c r="G4441" s="1">
        <v>45465</v>
      </c>
      <c r="H4441" s="1">
        <v>45526</v>
      </c>
      <c r="I4441">
        <v>6</v>
      </c>
      <c r="J4441" t="s">
        <v>19</v>
      </c>
      <c r="K4441">
        <v>9266.09</v>
      </c>
    </row>
    <row r="4442" spans="1:11">
      <c r="A4442">
        <v>4441</v>
      </c>
      <c r="B4442" t="s">
        <v>146</v>
      </c>
      <c r="C4442" s="1">
        <v>17898</v>
      </c>
      <c r="D4442">
        <v>77</v>
      </c>
      <c r="E4442" t="s">
        <v>15</v>
      </c>
      <c r="F4442" t="s">
        <v>16</v>
      </c>
      <c r="G4442" s="1">
        <v>45429</v>
      </c>
      <c r="H4442" s="1">
        <v>44959</v>
      </c>
      <c r="I4442">
        <v>13</v>
      </c>
      <c r="J4442" t="s">
        <v>23</v>
      </c>
      <c r="K4442">
        <v>2757.39</v>
      </c>
    </row>
    <row r="4443" spans="1:11">
      <c r="A4443">
        <v>4442</v>
      </c>
      <c r="B4443" t="s">
        <v>38</v>
      </c>
      <c r="C4443" s="1">
        <v>25934</v>
      </c>
      <c r="D4443">
        <v>55</v>
      </c>
      <c r="E4443" t="s">
        <v>15</v>
      </c>
      <c r="F4443" t="s">
        <v>21</v>
      </c>
      <c r="G4443" s="1">
        <v>45440</v>
      </c>
      <c r="H4443" s="1">
        <v>45186</v>
      </c>
      <c r="I4443">
        <v>28</v>
      </c>
      <c r="K4443">
        <v>3479.96</v>
      </c>
    </row>
    <row r="4444" spans="1:11">
      <c r="A4444">
        <v>4443</v>
      </c>
      <c r="B4444" t="s">
        <v>152</v>
      </c>
      <c r="C4444" s="1">
        <v>21916</v>
      </c>
      <c r="D4444">
        <v>66</v>
      </c>
      <c r="E4444" t="s">
        <v>12</v>
      </c>
      <c r="F4444" t="s">
        <v>32</v>
      </c>
      <c r="G4444" s="1">
        <v>45506</v>
      </c>
      <c r="H4444" s="1">
        <v>45403</v>
      </c>
      <c r="I4444">
        <v>-1</v>
      </c>
      <c r="K4444">
        <v>7488.68</v>
      </c>
    </row>
    <row r="4445" spans="1:11">
      <c r="A4445">
        <v>4444</v>
      </c>
      <c r="B4445" t="s">
        <v>150</v>
      </c>
      <c r="C4445" s="1">
        <v>40544</v>
      </c>
      <c r="D4445">
        <v>15</v>
      </c>
      <c r="E4445" t="s">
        <v>15</v>
      </c>
      <c r="F4445" t="s">
        <v>32</v>
      </c>
      <c r="G4445" s="1">
        <v>45074</v>
      </c>
      <c r="H4445" s="1">
        <v>45763</v>
      </c>
      <c r="I4445">
        <v>29</v>
      </c>
      <c r="J4445" t="s">
        <v>25</v>
      </c>
      <c r="K4445">
        <v>4122.49</v>
      </c>
    </row>
    <row r="4446" spans="1:11">
      <c r="A4446">
        <v>4445</v>
      </c>
      <c r="B4446" t="s">
        <v>146</v>
      </c>
      <c r="C4446" s="1">
        <v>16072</v>
      </c>
      <c r="D4446">
        <v>82</v>
      </c>
      <c r="E4446" t="s">
        <v>12</v>
      </c>
      <c r="F4446" t="s">
        <v>16</v>
      </c>
      <c r="G4446" s="1">
        <v>45568</v>
      </c>
      <c r="H4446" s="1">
        <v>45752</v>
      </c>
      <c r="I4446">
        <v>7</v>
      </c>
      <c r="J4446" t="s">
        <v>23</v>
      </c>
      <c r="K4446">
        <v>1567.81</v>
      </c>
    </row>
    <row r="4447" spans="1:11">
      <c r="A4447">
        <v>4446</v>
      </c>
      <c r="B4447" t="s">
        <v>33</v>
      </c>
      <c r="C4447" s="1">
        <v>27760</v>
      </c>
      <c r="G4447" s="1">
        <v>45009</v>
      </c>
      <c r="H4447" s="1">
        <v>45809</v>
      </c>
      <c r="I4447">
        <v>22</v>
      </c>
      <c r="J4447" t="s">
        <v>19</v>
      </c>
      <c r="K4447">
        <v>13442.93</v>
      </c>
    </row>
    <row r="4448" spans="1:11">
      <c r="A4448">
        <v>4447</v>
      </c>
      <c r="B4448" t="s">
        <v>61</v>
      </c>
      <c r="C4448" s="1">
        <v>16437</v>
      </c>
      <c r="D4448">
        <v>81</v>
      </c>
      <c r="E4448" t="s">
        <v>15</v>
      </c>
      <c r="F4448" t="s">
        <v>18</v>
      </c>
      <c r="G4448" s="1">
        <v>44968</v>
      </c>
      <c r="H4448" s="1">
        <v>44960</v>
      </c>
      <c r="I4448">
        <v>15</v>
      </c>
      <c r="K4448">
        <v>11587.12</v>
      </c>
    </row>
    <row r="4449" spans="1:11">
      <c r="A4449">
        <v>4448</v>
      </c>
      <c r="B4449" t="s">
        <v>65</v>
      </c>
      <c r="C4449" s="1">
        <v>17168</v>
      </c>
      <c r="D4449">
        <v>79</v>
      </c>
      <c r="E4449" t="s">
        <v>12</v>
      </c>
      <c r="F4449" t="s">
        <v>45</v>
      </c>
      <c r="G4449" s="1">
        <v>45082</v>
      </c>
      <c r="H4449" s="1">
        <v>45826</v>
      </c>
      <c r="I4449">
        <v>31</v>
      </c>
      <c r="J4449" t="s">
        <v>25</v>
      </c>
      <c r="K4449">
        <v>5755.06</v>
      </c>
    </row>
    <row r="4450" spans="1:11">
      <c r="A4450">
        <v>4449</v>
      </c>
      <c r="B4450" t="s">
        <v>55</v>
      </c>
      <c r="C4450" s="1">
        <v>20090</v>
      </c>
      <c r="D4450">
        <v>71</v>
      </c>
      <c r="E4450" t="s">
        <v>12</v>
      </c>
      <c r="F4450" t="s">
        <v>13</v>
      </c>
      <c r="G4450" s="1">
        <v>45595</v>
      </c>
      <c r="H4450" s="1">
        <v>45315</v>
      </c>
      <c r="I4450">
        <v>26</v>
      </c>
      <c r="J4450" t="s">
        <v>23</v>
      </c>
      <c r="K4450">
        <v>15556.86</v>
      </c>
    </row>
    <row r="4451" spans="1:11">
      <c r="A4451">
        <v>4450</v>
      </c>
      <c r="B4451" t="s">
        <v>73</v>
      </c>
      <c r="C4451" s="1">
        <v>42005</v>
      </c>
      <c r="D4451">
        <v>11</v>
      </c>
      <c r="E4451" t="s">
        <v>15</v>
      </c>
      <c r="F4451" t="s">
        <v>13</v>
      </c>
      <c r="G4451" s="1">
        <v>45379</v>
      </c>
      <c r="H4451" s="1">
        <v>45725</v>
      </c>
      <c r="I4451">
        <v>21</v>
      </c>
      <c r="J4451" t="s">
        <v>25</v>
      </c>
      <c r="K4451">
        <v>15496.57</v>
      </c>
    </row>
    <row r="4452" spans="1:11">
      <c r="A4452">
        <v>4451</v>
      </c>
      <c r="B4452" t="s">
        <v>102</v>
      </c>
      <c r="C4452" s="1">
        <v>27029</v>
      </c>
      <c r="D4452">
        <v>52</v>
      </c>
      <c r="E4452" t="s">
        <v>12</v>
      </c>
      <c r="F4452" t="s">
        <v>16</v>
      </c>
      <c r="G4452" s="1">
        <v>45545</v>
      </c>
      <c r="H4452" s="1">
        <v>45765</v>
      </c>
      <c r="I4452">
        <v>0</v>
      </c>
      <c r="J4452" t="s">
        <v>23</v>
      </c>
      <c r="K4452">
        <v>9769.14</v>
      </c>
    </row>
    <row r="4453" spans="1:11">
      <c r="A4453">
        <v>4452</v>
      </c>
      <c r="B4453" t="s">
        <v>61</v>
      </c>
      <c r="C4453" s="1">
        <v>18994</v>
      </c>
      <c r="D4453">
        <v>74</v>
      </c>
      <c r="E4453" t="s">
        <v>15</v>
      </c>
      <c r="G4453" s="1">
        <v>45210</v>
      </c>
      <c r="H4453" s="1">
        <v>45488</v>
      </c>
      <c r="I4453">
        <v>12</v>
      </c>
      <c r="J4453" t="s">
        <v>25</v>
      </c>
      <c r="K4453">
        <v>1840.3</v>
      </c>
    </row>
    <row r="4454" spans="1:11">
      <c r="A4454">
        <v>4453</v>
      </c>
      <c r="B4454" t="s">
        <v>63</v>
      </c>
      <c r="C4454" s="1">
        <v>44561</v>
      </c>
      <c r="D4454">
        <v>4</v>
      </c>
      <c r="E4454" t="s">
        <v>12</v>
      </c>
      <c r="F4454" t="s">
        <v>13</v>
      </c>
      <c r="G4454" s="1">
        <v>45114</v>
      </c>
      <c r="H4454" s="1">
        <v>45725</v>
      </c>
      <c r="I4454">
        <v>0</v>
      </c>
      <c r="J4454" t="s">
        <v>23</v>
      </c>
      <c r="K4454">
        <v>18361.23</v>
      </c>
    </row>
    <row r="4455" spans="1:11">
      <c r="A4455">
        <v>4454</v>
      </c>
      <c r="B4455" t="s">
        <v>52</v>
      </c>
      <c r="C4455" s="1">
        <v>36526</v>
      </c>
      <c r="D4455">
        <v>26</v>
      </c>
      <c r="E4455" t="s">
        <v>15</v>
      </c>
      <c r="F4455" t="s">
        <v>21</v>
      </c>
      <c r="G4455" s="1">
        <v>45543</v>
      </c>
      <c r="H4455" s="1">
        <v>45383</v>
      </c>
      <c r="I4455">
        <v>28</v>
      </c>
      <c r="K4455">
        <v>13340.08</v>
      </c>
    </row>
    <row r="4456" spans="1:11">
      <c r="A4456">
        <v>4455</v>
      </c>
      <c r="B4456" t="s">
        <v>27</v>
      </c>
      <c r="C4456" s="1">
        <v>42005</v>
      </c>
      <c r="D4456">
        <v>11</v>
      </c>
      <c r="E4456" t="s">
        <v>15</v>
      </c>
      <c r="F4456" t="s">
        <v>32</v>
      </c>
      <c r="G4456" s="1">
        <v>45550</v>
      </c>
      <c r="H4456" s="1">
        <v>45521</v>
      </c>
      <c r="I4456">
        <v>7</v>
      </c>
      <c r="J4456" t="s">
        <v>23</v>
      </c>
      <c r="K4456">
        <v>4865.72</v>
      </c>
    </row>
    <row r="4457" spans="1:11">
      <c r="A4457">
        <v>4456</v>
      </c>
      <c r="B4457" t="s">
        <v>31</v>
      </c>
      <c r="C4457" s="1">
        <v>40178</v>
      </c>
      <c r="D4457">
        <v>16</v>
      </c>
      <c r="E4457" t="s">
        <v>12</v>
      </c>
      <c r="G4457" s="1">
        <v>45400</v>
      </c>
      <c r="H4457" s="1">
        <v>45071</v>
      </c>
      <c r="I4457">
        <v>35</v>
      </c>
      <c r="J4457" t="s">
        <v>19</v>
      </c>
      <c r="K4457">
        <v>12170.14</v>
      </c>
    </row>
    <row r="4458" spans="1:11">
      <c r="A4458">
        <v>4457</v>
      </c>
      <c r="B4458" t="s">
        <v>125</v>
      </c>
      <c r="C4458" s="1">
        <v>44196</v>
      </c>
      <c r="D4458">
        <v>5</v>
      </c>
      <c r="E4458" t="s">
        <v>15</v>
      </c>
      <c r="F4458" t="s">
        <v>32</v>
      </c>
      <c r="G4458" s="1">
        <v>45433</v>
      </c>
      <c r="H4458" s="1">
        <v>45719</v>
      </c>
      <c r="I4458">
        <v>19</v>
      </c>
      <c r="K4458">
        <v>8040.93</v>
      </c>
    </row>
    <row r="4459" spans="1:11">
      <c r="A4459">
        <v>4458</v>
      </c>
      <c r="B4459" t="s">
        <v>35</v>
      </c>
      <c r="C4459" s="1">
        <v>44561</v>
      </c>
      <c r="D4459">
        <v>4</v>
      </c>
      <c r="E4459" t="s">
        <v>15</v>
      </c>
      <c r="F4459" t="s">
        <v>16</v>
      </c>
      <c r="G4459" s="1">
        <v>45059</v>
      </c>
      <c r="H4459" s="1">
        <v>45810</v>
      </c>
      <c r="I4459">
        <v>11</v>
      </c>
      <c r="J4459" t="s">
        <v>19</v>
      </c>
      <c r="K4459">
        <v>12670.53</v>
      </c>
    </row>
    <row r="4460" spans="1:11">
      <c r="A4460">
        <v>4459</v>
      </c>
      <c r="B4460" t="s">
        <v>134</v>
      </c>
      <c r="C4460" s="1">
        <v>25568</v>
      </c>
      <c r="D4460">
        <v>56</v>
      </c>
      <c r="E4460" t="s">
        <v>15</v>
      </c>
      <c r="F4460" t="s">
        <v>32</v>
      </c>
      <c r="G4460" s="1">
        <v>45197</v>
      </c>
      <c r="H4460" s="1">
        <v>45531</v>
      </c>
      <c r="I4460">
        <v>6</v>
      </c>
      <c r="K4460">
        <v>9424.81</v>
      </c>
    </row>
    <row r="4461" spans="1:11">
      <c r="A4461">
        <v>4460</v>
      </c>
      <c r="B4461" t="s">
        <v>168</v>
      </c>
      <c r="C4461" s="1">
        <v>36161</v>
      </c>
      <c r="D4461">
        <v>27</v>
      </c>
      <c r="E4461" t="s">
        <v>15</v>
      </c>
      <c r="F4461" t="s">
        <v>45</v>
      </c>
      <c r="G4461" s="1">
        <v>45548</v>
      </c>
      <c r="H4461" s="1">
        <v>45151</v>
      </c>
      <c r="I4461">
        <v>15</v>
      </c>
      <c r="J4461" t="s">
        <v>23</v>
      </c>
      <c r="K4461">
        <v>9657.99</v>
      </c>
    </row>
    <row r="4462" spans="1:11">
      <c r="A4462">
        <v>4461</v>
      </c>
      <c r="B4462" t="s">
        <v>102</v>
      </c>
      <c r="C4462" s="1">
        <v>17898</v>
      </c>
      <c r="D4462">
        <v>77</v>
      </c>
      <c r="E4462" t="s">
        <v>12</v>
      </c>
      <c r="F4462" t="s">
        <v>32</v>
      </c>
      <c r="G4462" s="1">
        <v>44999</v>
      </c>
      <c r="H4462" s="1">
        <v>45144</v>
      </c>
      <c r="I4462">
        <v>5</v>
      </c>
      <c r="K4462">
        <v>14691.23</v>
      </c>
    </row>
    <row r="4463" spans="1:11">
      <c r="A4463">
        <v>4462</v>
      </c>
      <c r="B4463" t="s">
        <v>107</v>
      </c>
      <c r="C4463" s="1">
        <v>21185</v>
      </c>
      <c r="D4463">
        <v>68</v>
      </c>
      <c r="E4463" t="s">
        <v>12</v>
      </c>
      <c r="F4463" t="s">
        <v>32</v>
      </c>
      <c r="G4463" s="1">
        <v>45362</v>
      </c>
      <c r="H4463" s="1">
        <v>45083</v>
      </c>
      <c r="I4463">
        <v>35</v>
      </c>
      <c r="J4463" t="s">
        <v>25</v>
      </c>
      <c r="K4463">
        <v>12235.89</v>
      </c>
    </row>
    <row r="4464" spans="1:11">
      <c r="A4464">
        <v>4463</v>
      </c>
      <c r="B4464" t="s">
        <v>86</v>
      </c>
      <c r="C4464" s="1">
        <v>24838</v>
      </c>
      <c r="D4464">
        <v>58</v>
      </c>
      <c r="E4464" t="s">
        <v>12</v>
      </c>
      <c r="G4464" s="1">
        <v>45219</v>
      </c>
      <c r="H4464" s="1">
        <v>45716</v>
      </c>
      <c r="I4464">
        <v>12</v>
      </c>
      <c r="J4464" t="s">
        <v>23</v>
      </c>
      <c r="K4464">
        <v>1507.05</v>
      </c>
    </row>
    <row r="4465" spans="1:11">
      <c r="A4465">
        <v>4464</v>
      </c>
      <c r="B4465" t="s">
        <v>49</v>
      </c>
      <c r="C4465" s="1">
        <v>34334</v>
      </c>
      <c r="D4465">
        <v>32</v>
      </c>
      <c r="E4465" t="s">
        <v>12</v>
      </c>
      <c r="F4465" t="s">
        <v>21</v>
      </c>
      <c r="G4465" s="1">
        <v>45581</v>
      </c>
      <c r="H4465" s="1">
        <v>45447</v>
      </c>
      <c r="I4465">
        <v>12</v>
      </c>
      <c r="J4465" t="s">
        <v>25</v>
      </c>
      <c r="K4465">
        <v>1214.01</v>
      </c>
    </row>
    <row r="4466" spans="1:11">
      <c r="A4466">
        <v>4465</v>
      </c>
      <c r="B4466" t="s">
        <v>125</v>
      </c>
      <c r="C4466" s="1">
        <v>23742</v>
      </c>
      <c r="D4466">
        <v>61</v>
      </c>
      <c r="E4466" t="s">
        <v>15</v>
      </c>
      <c r="F4466" t="s">
        <v>18</v>
      </c>
      <c r="G4466" s="1">
        <v>45363</v>
      </c>
      <c r="H4466" s="1">
        <v>44963</v>
      </c>
      <c r="I4466">
        <v>3</v>
      </c>
      <c r="J4466" t="s">
        <v>25</v>
      </c>
      <c r="K4466">
        <v>6030.69</v>
      </c>
    </row>
    <row r="4467" spans="1:11">
      <c r="A4467">
        <v>4466</v>
      </c>
      <c r="B4467" t="s">
        <v>29</v>
      </c>
      <c r="C4467" s="1">
        <v>28125</v>
      </c>
      <c r="D4467">
        <v>49</v>
      </c>
      <c r="E4467" t="s">
        <v>15</v>
      </c>
      <c r="F4467" t="s">
        <v>13</v>
      </c>
      <c r="G4467" s="1">
        <v>45593</v>
      </c>
      <c r="H4467" s="1">
        <v>45563</v>
      </c>
      <c r="I4467">
        <v>9</v>
      </c>
      <c r="J4467" t="s">
        <v>25</v>
      </c>
      <c r="K4467">
        <v>8547.94</v>
      </c>
    </row>
    <row r="4468" spans="1:11">
      <c r="A4468">
        <v>4467</v>
      </c>
      <c r="B4468" t="s">
        <v>159</v>
      </c>
      <c r="C4468" s="1">
        <v>39448</v>
      </c>
      <c r="D4468">
        <v>18</v>
      </c>
      <c r="E4468" t="s">
        <v>12</v>
      </c>
      <c r="F4468" t="s">
        <v>21</v>
      </c>
      <c r="G4468" s="1">
        <v>45587</v>
      </c>
      <c r="H4468" s="1">
        <v>44936</v>
      </c>
      <c r="I4468">
        <v>39</v>
      </c>
      <c r="J4468" t="s">
        <v>25</v>
      </c>
      <c r="K4468">
        <v>5431.97</v>
      </c>
    </row>
    <row r="4469" spans="1:11">
      <c r="A4469">
        <v>4468</v>
      </c>
      <c r="B4469" t="s">
        <v>41</v>
      </c>
      <c r="C4469" s="1">
        <v>14976</v>
      </c>
      <c r="D4469">
        <v>85</v>
      </c>
      <c r="E4469" t="s">
        <v>12</v>
      </c>
      <c r="F4469" t="s">
        <v>21</v>
      </c>
      <c r="G4469" s="1">
        <v>44986</v>
      </c>
      <c r="H4469" s="1">
        <v>44967</v>
      </c>
      <c r="I4469">
        <v>16</v>
      </c>
      <c r="J4469" t="s">
        <v>19</v>
      </c>
      <c r="K4469">
        <v>12994.34</v>
      </c>
    </row>
    <row r="4470" spans="1:11">
      <c r="A4470">
        <v>4469</v>
      </c>
      <c r="B4470" t="s">
        <v>52</v>
      </c>
      <c r="C4470" s="1">
        <v>21185</v>
      </c>
      <c r="D4470">
        <v>68</v>
      </c>
      <c r="E4470" t="s">
        <v>15</v>
      </c>
      <c r="F4470" t="s">
        <v>21</v>
      </c>
      <c r="G4470" s="1">
        <v>45524</v>
      </c>
      <c r="H4470" s="1">
        <v>45396</v>
      </c>
      <c r="I4470">
        <v>37</v>
      </c>
      <c r="J4470" t="s">
        <v>23</v>
      </c>
      <c r="K4470">
        <v>3821.67</v>
      </c>
    </row>
    <row r="4471" spans="1:11">
      <c r="A4471">
        <v>4470</v>
      </c>
      <c r="B4471" t="s">
        <v>89</v>
      </c>
      <c r="C4471" s="1">
        <v>22281</v>
      </c>
      <c r="D4471">
        <v>65</v>
      </c>
      <c r="E4471" t="s">
        <v>15</v>
      </c>
      <c r="F4471" t="s">
        <v>13</v>
      </c>
      <c r="G4471" s="1">
        <v>45630</v>
      </c>
      <c r="H4471" s="1">
        <v>45106</v>
      </c>
      <c r="I4471">
        <v>2</v>
      </c>
      <c r="J4471" t="s">
        <v>25</v>
      </c>
      <c r="K4471">
        <v>14053.24</v>
      </c>
    </row>
    <row r="4472" spans="1:11">
      <c r="A4472">
        <v>4471</v>
      </c>
      <c r="B4472" t="s">
        <v>76</v>
      </c>
      <c r="C4472" s="1">
        <v>12054</v>
      </c>
      <c r="D4472">
        <v>93</v>
      </c>
      <c r="E4472" t="s">
        <v>12</v>
      </c>
      <c r="F4472" t="s">
        <v>16</v>
      </c>
      <c r="G4472" s="1">
        <v>45253</v>
      </c>
      <c r="H4472" s="1">
        <v>45568</v>
      </c>
      <c r="I4472">
        <v>24</v>
      </c>
      <c r="J4472" t="s">
        <v>19</v>
      </c>
      <c r="K4472">
        <v>15440.33</v>
      </c>
    </row>
    <row r="4473" spans="1:11">
      <c r="A4473">
        <v>4472</v>
      </c>
      <c r="B4473" t="s">
        <v>168</v>
      </c>
      <c r="C4473" s="1">
        <v>29221</v>
      </c>
      <c r="D4473">
        <v>46</v>
      </c>
      <c r="E4473" t="s">
        <v>12</v>
      </c>
      <c r="F4473" t="s">
        <v>21</v>
      </c>
      <c r="G4473" s="1">
        <v>45108</v>
      </c>
      <c r="H4473" s="1">
        <v>45428</v>
      </c>
      <c r="I4473">
        <v>7</v>
      </c>
      <c r="K4473">
        <v>2398.8200000000002</v>
      </c>
    </row>
    <row r="4474" spans="1:11">
      <c r="A4474">
        <v>4473</v>
      </c>
      <c r="B4474" t="s">
        <v>48</v>
      </c>
      <c r="C4474" s="1">
        <v>32143</v>
      </c>
      <c r="D4474">
        <v>38</v>
      </c>
      <c r="E4474" t="s">
        <v>12</v>
      </c>
      <c r="F4474" t="s">
        <v>18</v>
      </c>
      <c r="G4474" s="1">
        <v>45360</v>
      </c>
      <c r="H4474" s="1">
        <v>45300</v>
      </c>
      <c r="I4474">
        <v>11</v>
      </c>
      <c r="J4474" t="s">
        <v>25</v>
      </c>
      <c r="K4474">
        <v>12981.21</v>
      </c>
    </row>
    <row r="4475" spans="1:11">
      <c r="A4475">
        <v>4474</v>
      </c>
      <c r="B4475" t="s">
        <v>135</v>
      </c>
      <c r="C4475" s="1">
        <v>21551</v>
      </c>
      <c r="D4475">
        <v>67</v>
      </c>
      <c r="E4475" t="s">
        <v>15</v>
      </c>
      <c r="F4475" t="s">
        <v>16</v>
      </c>
      <c r="G4475" s="1">
        <v>45445</v>
      </c>
      <c r="H4475" s="1">
        <v>44995</v>
      </c>
      <c r="I4475">
        <v>31</v>
      </c>
      <c r="J4475" t="s">
        <v>25</v>
      </c>
      <c r="K4475">
        <v>19224.86</v>
      </c>
    </row>
    <row r="4476" spans="1:11">
      <c r="A4476">
        <v>4475</v>
      </c>
      <c r="B4476" t="s">
        <v>51</v>
      </c>
      <c r="C4476" s="1">
        <v>34334</v>
      </c>
      <c r="E4476" t="s">
        <v>12</v>
      </c>
      <c r="F4476" t="s">
        <v>32</v>
      </c>
      <c r="G4476" s="1">
        <v>45564</v>
      </c>
      <c r="H4476" s="1">
        <v>45593</v>
      </c>
      <c r="I4476">
        <v>12</v>
      </c>
      <c r="J4476" t="s">
        <v>19</v>
      </c>
      <c r="K4476">
        <v>3775.76</v>
      </c>
    </row>
    <row r="4477" spans="1:11">
      <c r="A4477">
        <v>4476</v>
      </c>
      <c r="B4477" t="s">
        <v>99</v>
      </c>
      <c r="C4477" s="1">
        <v>41639</v>
      </c>
      <c r="D4477">
        <v>12</v>
      </c>
      <c r="E4477" t="s">
        <v>15</v>
      </c>
      <c r="F4477" t="s">
        <v>18</v>
      </c>
      <c r="G4477" s="1">
        <v>45009</v>
      </c>
      <c r="H4477" s="1">
        <v>45351</v>
      </c>
      <c r="I4477">
        <v>26</v>
      </c>
      <c r="K4477">
        <v>18176.990000000002</v>
      </c>
    </row>
    <row r="4478" spans="1:11">
      <c r="A4478">
        <v>4477</v>
      </c>
      <c r="B4478" t="s">
        <v>50</v>
      </c>
      <c r="C4478" s="1">
        <v>15707</v>
      </c>
      <c r="D4478">
        <v>83</v>
      </c>
      <c r="E4478" t="s">
        <v>15</v>
      </c>
      <c r="G4478" s="1">
        <v>44954</v>
      </c>
      <c r="H4478" s="1">
        <v>45442</v>
      </c>
      <c r="I4478">
        <v>23</v>
      </c>
      <c r="K4478">
        <v>12081.56</v>
      </c>
    </row>
    <row r="4479" spans="1:11">
      <c r="A4479">
        <v>4478</v>
      </c>
      <c r="B4479" t="s">
        <v>134</v>
      </c>
      <c r="C4479" s="1">
        <v>26664</v>
      </c>
      <c r="D4479">
        <v>53</v>
      </c>
      <c r="E4479" t="s">
        <v>12</v>
      </c>
      <c r="F4479" t="s">
        <v>16</v>
      </c>
      <c r="G4479" s="1">
        <v>45192</v>
      </c>
      <c r="H4479" s="1">
        <v>45291</v>
      </c>
      <c r="I4479">
        <v>24</v>
      </c>
      <c r="J4479" t="s">
        <v>19</v>
      </c>
      <c r="K4479">
        <v>11777.99</v>
      </c>
    </row>
    <row r="4480" spans="1:11">
      <c r="A4480">
        <v>4479</v>
      </c>
      <c r="B4480" t="s">
        <v>92</v>
      </c>
      <c r="C4480" s="1">
        <v>43831</v>
      </c>
      <c r="D4480">
        <v>6</v>
      </c>
      <c r="E4480" t="s">
        <v>15</v>
      </c>
      <c r="F4480" t="s">
        <v>32</v>
      </c>
      <c r="G4480" s="1">
        <v>45209</v>
      </c>
      <c r="H4480" s="1">
        <v>45817</v>
      </c>
      <c r="I4480">
        <v>0</v>
      </c>
      <c r="J4480" t="s">
        <v>25</v>
      </c>
      <c r="K4480">
        <v>943.65</v>
      </c>
    </row>
    <row r="4481" spans="1:11">
      <c r="A4481">
        <v>4480</v>
      </c>
      <c r="B4481" t="s">
        <v>93</v>
      </c>
      <c r="C4481" s="1">
        <v>17533</v>
      </c>
      <c r="D4481">
        <v>78</v>
      </c>
      <c r="E4481" t="s">
        <v>15</v>
      </c>
      <c r="F4481" t="s">
        <v>32</v>
      </c>
      <c r="G4481" s="1">
        <v>45323</v>
      </c>
      <c r="H4481" s="1">
        <v>45704</v>
      </c>
      <c r="I4481">
        <v>0</v>
      </c>
      <c r="J4481" t="s">
        <v>23</v>
      </c>
      <c r="K4481">
        <v>14940.84</v>
      </c>
    </row>
    <row r="4482" spans="1:11">
      <c r="A4482">
        <v>4481</v>
      </c>
      <c r="B4482" t="s">
        <v>143</v>
      </c>
      <c r="C4482" s="1">
        <v>14611</v>
      </c>
      <c r="D4482">
        <v>86</v>
      </c>
      <c r="F4482" t="s">
        <v>21</v>
      </c>
      <c r="G4482" s="1">
        <v>45626</v>
      </c>
      <c r="H4482" s="1">
        <v>45378</v>
      </c>
      <c r="I4482">
        <v>32</v>
      </c>
      <c r="J4482" t="s">
        <v>19</v>
      </c>
      <c r="K4482">
        <v>9513.2900000000009</v>
      </c>
    </row>
    <row r="4483" spans="1:11">
      <c r="A4483">
        <v>4482</v>
      </c>
      <c r="B4483" t="s">
        <v>68</v>
      </c>
      <c r="C4483" s="1">
        <v>41274</v>
      </c>
      <c r="D4483">
        <v>13</v>
      </c>
      <c r="E4483" t="s">
        <v>12</v>
      </c>
      <c r="F4483" t="s">
        <v>21</v>
      </c>
      <c r="G4483" s="1">
        <v>45309</v>
      </c>
      <c r="H4483" s="1">
        <v>45443</v>
      </c>
      <c r="I4483">
        <v>32</v>
      </c>
      <c r="J4483" t="s">
        <v>23</v>
      </c>
      <c r="K4483">
        <v>14395.61</v>
      </c>
    </row>
    <row r="4484" spans="1:11">
      <c r="A4484">
        <v>4483</v>
      </c>
      <c r="B4484" t="s">
        <v>144</v>
      </c>
      <c r="C4484" s="1">
        <v>14611</v>
      </c>
      <c r="D4484">
        <v>86</v>
      </c>
      <c r="E4484" t="s">
        <v>12</v>
      </c>
      <c r="F4484" t="s">
        <v>13</v>
      </c>
      <c r="G4484" s="1">
        <v>45507</v>
      </c>
      <c r="H4484" s="1">
        <v>45701</v>
      </c>
      <c r="I4484">
        <v>3</v>
      </c>
      <c r="J4484" t="s">
        <v>25</v>
      </c>
      <c r="K4484">
        <v>16164.54</v>
      </c>
    </row>
    <row r="4485" spans="1:11">
      <c r="A4485">
        <v>4484</v>
      </c>
      <c r="B4485" t="s">
        <v>33</v>
      </c>
      <c r="C4485" s="1">
        <v>39448</v>
      </c>
      <c r="D4485">
        <v>18</v>
      </c>
      <c r="E4485" t="s">
        <v>15</v>
      </c>
      <c r="F4485" t="s">
        <v>45</v>
      </c>
      <c r="G4485" s="1">
        <v>45245</v>
      </c>
      <c r="H4485" s="1">
        <v>45256</v>
      </c>
      <c r="I4485">
        <v>11</v>
      </c>
      <c r="J4485" t="s">
        <v>25</v>
      </c>
      <c r="K4485">
        <v>10428.31</v>
      </c>
    </row>
    <row r="4486" spans="1:11">
      <c r="A4486">
        <v>4485</v>
      </c>
      <c r="B4486" t="s">
        <v>146</v>
      </c>
      <c r="C4486" s="1">
        <v>26664</v>
      </c>
      <c r="D4486">
        <v>53</v>
      </c>
      <c r="E4486" t="s">
        <v>15</v>
      </c>
      <c r="F4486" t="s">
        <v>18</v>
      </c>
      <c r="G4486" s="1">
        <v>45537</v>
      </c>
      <c r="H4486" s="1">
        <v>45721</v>
      </c>
      <c r="I4486">
        <v>23</v>
      </c>
      <c r="K4486">
        <v>5199.25</v>
      </c>
    </row>
    <row r="4487" spans="1:11">
      <c r="A4487">
        <v>4486</v>
      </c>
      <c r="B4487" t="s">
        <v>40</v>
      </c>
      <c r="C4487" s="1">
        <v>12419</v>
      </c>
      <c r="D4487">
        <v>92</v>
      </c>
      <c r="E4487" t="s">
        <v>12</v>
      </c>
      <c r="F4487" t="s">
        <v>13</v>
      </c>
      <c r="G4487" s="1">
        <v>45119</v>
      </c>
      <c r="H4487" s="1">
        <v>45825</v>
      </c>
      <c r="I4487">
        <v>0</v>
      </c>
      <c r="J4487" t="s">
        <v>25</v>
      </c>
      <c r="K4487">
        <v>2745.61</v>
      </c>
    </row>
    <row r="4488" spans="1:11">
      <c r="A4488">
        <v>4487</v>
      </c>
      <c r="B4488" t="s">
        <v>97</v>
      </c>
      <c r="C4488" s="1">
        <v>39083</v>
      </c>
      <c r="D4488">
        <v>19</v>
      </c>
      <c r="E4488" t="s">
        <v>12</v>
      </c>
      <c r="F4488" t="s">
        <v>13</v>
      </c>
      <c r="G4488" s="1">
        <v>45153</v>
      </c>
      <c r="H4488" s="1">
        <v>45297</v>
      </c>
      <c r="I4488">
        <v>30</v>
      </c>
      <c r="K4488">
        <v>3126.11</v>
      </c>
    </row>
    <row r="4489" spans="1:11">
      <c r="A4489">
        <v>4488</v>
      </c>
      <c r="B4489" t="s">
        <v>49</v>
      </c>
      <c r="C4489" s="1">
        <v>35795</v>
      </c>
      <c r="D4489">
        <v>28</v>
      </c>
      <c r="E4489" t="s">
        <v>12</v>
      </c>
      <c r="F4489" t="s">
        <v>18</v>
      </c>
      <c r="G4489" s="1">
        <v>45377</v>
      </c>
      <c r="H4489" s="1">
        <v>45524</v>
      </c>
      <c r="I4489">
        <v>39</v>
      </c>
      <c r="K4489">
        <v>17325.39</v>
      </c>
    </row>
    <row r="4490" spans="1:11">
      <c r="A4490">
        <v>4489</v>
      </c>
      <c r="B4490" t="s">
        <v>153</v>
      </c>
      <c r="C4490" s="1">
        <v>37622</v>
      </c>
      <c r="D4490">
        <v>23</v>
      </c>
      <c r="E4490" t="s">
        <v>15</v>
      </c>
      <c r="F4490" t="s">
        <v>16</v>
      </c>
      <c r="G4490" s="1">
        <v>45108</v>
      </c>
      <c r="H4490" s="1">
        <v>45781</v>
      </c>
      <c r="I4490">
        <v>10</v>
      </c>
      <c r="J4490" t="s">
        <v>25</v>
      </c>
      <c r="K4490">
        <v>2383.92</v>
      </c>
    </row>
    <row r="4491" spans="1:11">
      <c r="A4491">
        <v>4490</v>
      </c>
      <c r="B4491" t="s">
        <v>137</v>
      </c>
      <c r="C4491" s="1">
        <v>16437</v>
      </c>
      <c r="D4491">
        <v>81</v>
      </c>
      <c r="E4491" t="s">
        <v>15</v>
      </c>
      <c r="G4491" s="1">
        <v>45253</v>
      </c>
      <c r="H4491" s="1">
        <v>45314</v>
      </c>
      <c r="I4491">
        <v>26</v>
      </c>
      <c r="K4491">
        <v>7632.35</v>
      </c>
    </row>
    <row r="4492" spans="1:11">
      <c r="A4492">
        <v>4491</v>
      </c>
      <c r="B4492" t="s">
        <v>167</v>
      </c>
      <c r="C4492" s="1">
        <v>23377</v>
      </c>
      <c r="D4492">
        <v>62</v>
      </c>
      <c r="F4492" t="s">
        <v>18</v>
      </c>
      <c r="G4492" s="1">
        <v>45531</v>
      </c>
      <c r="H4492" s="1">
        <v>45474</v>
      </c>
      <c r="I4492">
        <v>6</v>
      </c>
      <c r="J4492" t="s">
        <v>25</v>
      </c>
      <c r="K4492">
        <v>6618.92</v>
      </c>
    </row>
    <row r="4493" spans="1:11">
      <c r="A4493">
        <v>4492</v>
      </c>
      <c r="B4493" t="s">
        <v>96</v>
      </c>
      <c r="C4493" s="1">
        <v>19359</v>
      </c>
      <c r="D4493">
        <v>73</v>
      </c>
      <c r="E4493" t="s">
        <v>12</v>
      </c>
      <c r="F4493" t="s">
        <v>32</v>
      </c>
      <c r="G4493" s="1">
        <v>45581</v>
      </c>
      <c r="H4493" s="1">
        <v>45041</v>
      </c>
      <c r="I4493">
        <v>29</v>
      </c>
      <c r="K4493">
        <v>17295.66</v>
      </c>
    </row>
    <row r="4494" spans="1:11">
      <c r="A4494">
        <v>4493</v>
      </c>
      <c r="B4494" t="s">
        <v>30</v>
      </c>
      <c r="C4494" s="1">
        <v>25568</v>
      </c>
      <c r="D4494">
        <v>56</v>
      </c>
      <c r="E4494" t="s">
        <v>15</v>
      </c>
      <c r="G4494" s="1">
        <v>45129</v>
      </c>
      <c r="H4494" s="1">
        <v>45498</v>
      </c>
      <c r="I4494">
        <v>19</v>
      </c>
      <c r="K4494">
        <v>9501.64</v>
      </c>
    </row>
    <row r="4495" spans="1:11">
      <c r="A4495">
        <v>4494</v>
      </c>
      <c r="B4495" t="s">
        <v>30</v>
      </c>
      <c r="C4495" s="1">
        <v>43466</v>
      </c>
      <c r="D4495">
        <v>7</v>
      </c>
      <c r="E4495" t="s">
        <v>15</v>
      </c>
      <c r="F4495" t="s">
        <v>45</v>
      </c>
      <c r="G4495" s="1">
        <v>45328</v>
      </c>
      <c r="H4495" s="1">
        <v>44965</v>
      </c>
      <c r="I4495">
        <v>19</v>
      </c>
      <c r="J4495" t="s">
        <v>25</v>
      </c>
      <c r="K4495">
        <v>19928.57</v>
      </c>
    </row>
    <row r="4496" spans="1:11">
      <c r="A4496">
        <v>4495</v>
      </c>
      <c r="B4496" t="s">
        <v>20</v>
      </c>
      <c r="C4496" s="1">
        <v>13515</v>
      </c>
      <c r="D4496">
        <v>89</v>
      </c>
      <c r="E4496" t="s">
        <v>12</v>
      </c>
      <c r="F4496" t="s">
        <v>16</v>
      </c>
      <c r="G4496" s="1">
        <v>45570</v>
      </c>
      <c r="H4496" s="1">
        <v>45472</v>
      </c>
      <c r="I4496">
        <v>31</v>
      </c>
      <c r="J4496" t="s">
        <v>23</v>
      </c>
      <c r="K4496">
        <v>14714.8</v>
      </c>
    </row>
    <row r="4497" spans="1:11">
      <c r="A4497">
        <v>4496</v>
      </c>
      <c r="B4497" t="s">
        <v>61</v>
      </c>
      <c r="C4497" s="1">
        <v>23742</v>
      </c>
      <c r="D4497">
        <v>61</v>
      </c>
      <c r="E4497" t="s">
        <v>15</v>
      </c>
      <c r="F4497" t="s">
        <v>21</v>
      </c>
      <c r="G4497" s="1">
        <v>45398</v>
      </c>
      <c r="H4497" s="1">
        <v>45304</v>
      </c>
      <c r="I4497">
        <v>7</v>
      </c>
      <c r="J4497" t="s">
        <v>19</v>
      </c>
      <c r="K4497">
        <v>17003.560000000001</v>
      </c>
    </row>
    <row r="4498" spans="1:11">
      <c r="A4498">
        <v>4497</v>
      </c>
      <c r="B4498" t="s">
        <v>145</v>
      </c>
      <c r="C4498" s="1">
        <v>35795</v>
      </c>
      <c r="D4498">
        <v>28</v>
      </c>
      <c r="E4498" t="s">
        <v>15</v>
      </c>
      <c r="F4498" t="s">
        <v>45</v>
      </c>
      <c r="G4498" s="1">
        <v>45572</v>
      </c>
      <c r="H4498" s="1">
        <v>45326</v>
      </c>
      <c r="I4498">
        <v>22</v>
      </c>
      <c r="J4498" t="s">
        <v>25</v>
      </c>
      <c r="K4498">
        <v>1883.31</v>
      </c>
    </row>
    <row r="4499" spans="1:11">
      <c r="A4499">
        <v>4498</v>
      </c>
      <c r="B4499" t="s">
        <v>101</v>
      </c>
      <c r="C4499" s="1">
        <v>19359</v>
      </c>
      <c r="D4499">
        <v>73</v>
      </c>
      <c r="E4499" t="s">
        <v>15</v>
      </c>
      <c r="F4499" t="s">
        <v>45</v>
      </c>
      <c r="G4499" s="1">
        <v>45105</v>
      </c>
      <c r="H4499" s="1">
        <v>45130</v>
      </c>
      <c r="I4499">
        <v>9</v>
      </c>
      <c r="K4499">
        <v>4987.3599999999997</v>
      </c>
    </row>
    <row r="4500" spans="1:11">
      <c r="A4500">
        <v>4499</v>
      </c>
      <c r="B4500" t="s">
        <v>143</v>
      </c>
      <c r="C4500" s="1">
        <v>40178</v>
      </c>
      <c r="D4500">
        <v>16</v>
      </c>
      <c r="E4500" t="s">
        <v>12</v>
      </c>
      <c r="F4500" t="s">
        <v>21</v>
      </c>
      <c r="G4500" s="1">
        <v>45624</v>
      </c>
      <c r="H4500" s="1">
        <v>45129</v>
      </c>
      <c r="I4500">
        <v>0</v>
      </c>
      <c r="J4500" t="s">
        <v>19</v>
      </c>
      <c r="K4500">
        <v>2622.47</v>
      </c>
    </row>
    <row r="4501" spans="1:11">
      <c r="A4501">
        <v>4500</v>
      </c>
      <c r="B4501" t="s">
        <v>140</v>
      </c>
      <c r="C4501" s="1">
        <v>22281</v>
      </c>
      <c r="D4501">
        <v>65</v>
      </c>
      <c r="E4501" t="s">
        <v>15</v>
      </c>
      <c r="F4501" t="s">
        <v>45</v>
      </c>
      <c r="G4501" s="1">
        <v>44944</v>
      </c>
      <c r="H4501" s="1">
        <v>45027</v>
      </c>
      <c r="I4501">
        <v>16</v>
      </c>
      <c r="J4501" t="s">
        <v>23</v>
      </c>
      <c r="K4501">
        <v>9218.7999999999993</v>
      </c>
    </row>
    <row r="4502" spans="1:11">
      <c r="A4502">
        <v>4501</v>
      </c>
      <c r="B4502" t="s">
        <v>148</v>
      </c>
      <c r="C4502" s="1">
        <v>44196</v>
      </c>
      <c r="D4502">
        <v>5</v>
      </c>
      <c r="F4502" t="s">
        <v>16</v>
      </c>
      <c r="G4502" s="1">
        <v>45389</v>
      </c>
      <c r="H4502" s="1">
        <v>45325</v>
      </c>
      <c r="I4502">
        <v>30</v>
      </c>
      <c r="J4502" t="s">
        <v>25</v>
      </c>
      <c r="K4502">
        <v>14337.58</v>
      </c>
    </row>
    <row r="4503" spans="1:11">
      <c r="A4503">
        <v>4502</v>
      </c>
      <c r="B4503" t="s">
        <v>41</v>
      </c>
      <c r="C4503" s="1">
        <v>25203</v>
      </c>
      <c r="D4503">
        <v>57</v>
      </c>
      <c r="E4503" t="s">
        <v>15</v>
      </c>
      <c r="F4503" t="s">
        <v>16</v>
      </c>
      <c r="G4503" s="1">
        <v>45535</v>
      </c>
      <c r="H4503" s="1">
        <v>45377</v>
      </c>
      <c r="I4503">
        <v>23</v>
      </c>
      <c r="K4503">
        <v>3298.18</v>
      </c>
    </row>
    <row r="4504" spans="1:11">
      <c r="A4504">
        <v>4503</v>
      </c>
      <c r="B4504" t="s">
        <v>114</v>
      </c>
      <c r="C4504" s="1">
        <v>21185</v>
      </c>
      <c r="D4504">
        <v>68</v>
      </c>
      <c r="E4504" t="s">
        <v>12</v>
      </c>
      <c r="F4504" t="s">
        <v>16</v>
      </c>
      <c r="G4504" s="1">
        <v>45472</v>
      </c>
      <c r="H4504" s="1">
        <v>45740</v>
      </c>
      <c r="I4504">
        <v>10</v>
      </c>
      <c r="K4504">
        <v>2516.39</v>
      </c>
    </row>
    <row r="4505" spans="1:11">
      <c r="A4505">
        <v>4504</v>
      </c>
      <c r="B4505" t="s">
        <v>50</v>
      </c>
      <c r="C4505" s="1">
        <v>36161</v>
      </c>
      <c r="D4505">
        <v>27</v>
      </c>
      <c r="E4505" t="s">
        <v>15</v>
      </c>
      <c r="F4505" t="s">
        <v>13</v>
      </c>
      <c r="G4505" s="1">
        <v>45329</v>
      </c>
      <c r="H4505" s="1">
        <v>45743</v>
      </c>
      <c r="I4505">
        <v>4</v>
      </c>
      <c r="J4505" t="s">
        <v>25</v>
      </c>
      <c r="K4505">
        <v>12253.64</v>
      </c>
    </row>
    <row r="4506" spans="1:11">
      <c r="A4506">
        <v>4505</v>
      </c>
      <c r="B4506" t="s">
        <v>39</v>
      </c>
      <c r="C4506" s="1">
        <v>23742</v>
      </c>
      <c r="D4506">
        <v>61</v>
      </c>
      <c r="E4506" t="s">
        <v>12</v>
      </c>
      <c r="F4506" t="s">
        <v>13</v>
      </c>
      <c r="G4506" s="1">
        <v>45319</v>
      </c>
      <c r="H4506" s="1">
        <v>45045</v>
      </c>
      <c r="I4506">
        <v>31</v>
      </c>
      <c r="K4506">
        <v>4529.29</v>
      </c>
    </row>
    <row r="4507" spans="1:11">
      <c r="A4507">
        <v>4506</v>
      </c>
      <c r="B4507" t="s">
        <v>75</v>
      </c>
      <c r="C4507" s="1">
        <v>31412</v>
      </c>
      <c r="D4507">
        <v>40</v>
      </c>
      <c r="F4507" t="s">
        <v>16</v>
      </c>
      <c r="G4507" s="1">
        <v>45226</v>
      </c>
      <c r="H4507" s="1">
        <v>45348</v>
      </c>
      <c r="I4507">
        <v>19</v>
      </c>
      <c r="J4507" t="s">
        <v>19</v>
      </c>
      <c r="K4507">
        <v>9534.43</v>
      </c>
    </row>
    <row r="4508" spans="1:11">
      <c r="A4508">
        <v>4507</v>
      </c>
      <c r="B4508" t="s">
        <v>171</v>
      </c>
      <c r="C4508" s="1">
        <v>21185</v>
      </c>
      <c r="D4508">
        <v>68</v>
      </c>
      <c r="E4508" t="s">
        <v>12</v>
      </c>
      <c r="F4508" t="s">
        <v>21</v>
      </c>
      <c r="G4508" s="1">
        <v>45277</v>
      </c>
      <c r="H4508" s="1">
        <v>45170</v>
      </c>
      <c r="I4508">
        <v>17</v>
      </c>
      <c r="K4508">
        <v>927.47</v>
      </c>
    </row>
    <row r="4509" spans="1:11">
      <c r="A4509">
        <v>4508</v>
      </c>
      <c r="B4509" t="s">
        <v>95</v>
      </c>
      <c r="C4509" s="1">
        <v>16437</v>
      </c>
      <c r="D4509">
        <v>81</v>
      </c>
      <c r="E4509" t="s">
        <v>12</v>
      </c>
      <c r="F4509" t="s">
        <v>21</v>
      </c>
      <c r="G4509" s="1">
        <v>45113</v>
      </c>
      <c r="H4509" s="1">
        <v>45468</v>
      </c>
      <c r="I4509">
        <v>20</v>
      </c>
      <c r="J4509" t="s">
        <v>19</v>
      </c>
      <c r="K4509">
        <v>13580.32</v>
      </c>
    </row>
    <row r="4510" spans="1:11">
      <c r="A4510">
        <v>4509</v>
      </c>
      <c r="B4510" t="s">
        <v>67</v>
      </c>
      <c r="C4510" s="1">
        <v>13515</v>
      </c>
      <c r="D4510">
        <v>89</v>
      </c>
      <c r="E4510" t="s">
        <v>12</v>
      </c>
      <c r="F4510" t="s">
        <v>18</v>
      </c>
      <c r="G4510" s="1">
        <v>45273</v>
      </c>
      <c r="H4510" s="1">
        <v>45154</v>
      </c>
      <c r="I4510">
        <v>11</v>
      </c>
      <c r="J4510" t="s">
        <v>19</v>
      </c>
      <c r="K4510">
        <v>10780.46</v>
      </c>
    </row>
    <row r="4511" spans="1:11">
      <c r="A4511">
        <v>4510</v>
      </c>
      <c r="B4511" t="s">
        <v>68</v>
      </c>
      <c r="C4511" s="1">
        <v>15707</v>
      </c>
      <c r="D4511">
        <v>83</v>
      </c>
      <c r="E4511" t="s">
        <v>12</v>
      </c>
      <c r="F4511" t="s">
        <v>18</v>
      </c>
      <c r="G4511" s="1">
        <v>45549</v>
      </c>
      <c r="H4511" s="1">
        <v>45428</v>
      </c>
      <c r="I4511">
        <v>27</v>
      </c>
      <c r="J4511" t="s">
        <v>25</v>
      </c>
      <c r="K4511">
        <v>12913.2</v>
      </c>
    </row>
    <row r="4512" spans="1:11">
      <c r="A4512">
        <v>4511</v>
      </c>
      <c r="B4512" t="s">
        <v>153</v>
      </c>
      <c r="C4512" s="1">
        <v>31412</v>
      </c>
      <c r="D4512">
        <v>40</v>
      </c>
      <c r="E4512" t="s">
        <v>12</v>
      </c>
      <c r="F4512" t="s">
        <v>16</v>
      </c>
      <c r="G4512" s="1">
        <v>45335</v>
      </c>
      <c r="H4512" s="1">
        <v>45779</v>
      </c>
      <c r="I4512">
        <v>20</v>
      </c>
      <c r="K4512">
        <v>5435.67</v>
      </c>
    </row>
    <row r="4513" spans="1:11">
      <c r="A4513">
        <v>4512</v>
      </c>
      <c r="B4513" t="s">
        <v>167</v>
      </c>
      <c r="C4513" s="1">
        <v>28490</v>
      </c>
      <c r="D4513">
        <v>48</v>
      </c>
      <c r="G4513" s="1">
        <v>44997</v>
      </c>
      <c r="H4513" s="1">
        <v>45140</v>
      </c>
      <c r="I4513">
        <v>16</v>
      </c>
      <c r="J4513" t="s">
        <v>19</v>
      </c>
      <c r="K4513">
        <v>5499.92</v>
      </c>
    </row>
    <row r="4514" spans="1:11">
      <c r="A4514">
        <v>4513</v>
      </c>
      <c r="B4514" t="s">
        <v>73</v>
      </c>
      <c r="C4514" s="1">
        <v>13150</v>
      </c>
      <c r="D4514">
        <v>90</v>
      </c>
      <c r="E4514" t="s">
        <v>15</v>
      </c>
      <c r="F4514" t="s">
        <v>45</v>
      </c>
      <c r="G4514" s="1">
        <v>45253</v>
      </c>
      <c r="H4514" s="1">
        <v>45626</v>
      </c>
      <c r="I4514">
        <v>36</v>
      </c>
      <c r="K4514">
        <v>16007.35</v>
      </c>
    </row>
    <row r="4515" spans="1:11">
      <c r="A4515">
        <v>4514</v>
      </c>
      <c r="B4515" t="s">
        <v>37</v>
      </c>
      <c r="C4515" s="1">
        <v>28490</v>
      </c>
      <c r="D4515">
        <v>48</v>
      </c>
      <c r="F4515" t="s">
        <v>45</v>
      </c>
      <c r="G4515" s="1">
        <v>45138</v>
      </c>
      <c r="H4515" s="1">
        <v>45040</v>
      </c>
      <c r="I4515">
        <v>38</v>
      </c>
      <c r="J4515" t="s">
        <v>19</v>
      </c>
      <c r="K4515">
        <v>14343.1</v>
      </c>
    </row>
    <row r="4516" spans="1:11">
      <c r="A4516">
        <v>4515</v>
      </c>
      <c r="B4516" t="s">
        <v>99</v>
      </c>
      <c r="C4516" s="1">
        <v>18629</v>
      </c>
      <c r="D4516">
        <v>75</v>
      </c>
      <c r="E4516" t="s">
        <v>15</v>
      </c>
      <c r="F4516" t="s">
        <v>21</v>
      </c>
      <c r="G4516" s="1">
        <v>45235</v>
      </c>
      <c r="H4516" s="1">
        <v>45300</v>
      </c>
      <c r="I4516">
        <v>33</v>
      </c>
      <c r="J4516" t="s">
        <v>23</v>
      </c>
      <c r="K4516">
        <v>11552.55</v>
      </c>
    </row>
    <row r="4517" spans="1:11">
      <c r="A4517">
        <v>4516</v>
      </c>
      <c r="B4517" t="s">
        <v>94</v>
      </c>
      <c r="C4517" s="1">
        <v>20455</v>
      </c>
      <c r="D4517">
        <v>70</v>
      </c>
      <c r="E4517" t="s">
        <v>15</v>
      </c>
      <c r="G4517" s="1">
        <v>45034</v>
      </c>
      <c r="H4517" s="1">
        <v>45226</v>
      </c>
      <c r="I4517">
        <v>3</v>
      </c>
      <c r="J4517" t="s">
        <v>25</v>
      </c>
      <c r="K4517">
        <v>12525.68</v>
      </c>
    </row>
    <row r="4518" spans="1:11">
      <c r="A4518">
        <v>4517</v>
      </c>
      <c r="B4518" t="s">
        <v>114</v>
      </c>
      <c r="C4518" s="1">
        <v>45292</v>
      </c>
      <c r="E4518" t="s">
        <v>15</v>
      </c>
      <c r="F4518" t="s">
        <v>45</v>
      </c>
      <c r="G4518" s="1">
        <v>45103</v>
      </c>
      <c r="H4518" s="1">
        <v>45600</v>
      </c>
      <c r="I4518">
        <v>20</v>
      </c>
      <c r="J4518" t="s">
        <v>25</v>
      </c>
      <c r="K4518">
        <v>1790.29</v>
      </c>
    </row>
    <row r="4519" spans="1:11">
      <c r="A4519">
        <v>4518</v>
      </c>
      <c r="B4519" t="s">
        <v>81</v>
      </c>
      <c r="C4519" s="1">
        <v>42735</v>
      </c>
      <c r="D4519">
        <v>9</v>
      </c>
      <c r="E4519" t="s">
        <v>15</v>
      </c>
      <c r="F4519" t="s">
        <v>32</v>
      </c>
      <c r="G4519" s="1">
        <v>45353</v>
      </c>
      <c r="H4519" s="1">
        <v>44946</v>
      </c>
      <c r="I4519">
        <v>7</v>
      </c>
      <c r="J4519" t="s">
        <v>25</v>
      </c>
      <c r="K4519">
        <v>17109.04</v>
      </c>
    </row>
    <row r="4520" spans="1:11">
      <c r="A4520">
        <v>4519</v>
      </c>
      <c r="B4520" t="s">
        <v>167</v>
      </c>
      <c r="C4520" s="1">
        <v>13880</v>
      </c>
      <c r="D4520">
        <v>88</v>
      </c>
      <c r="E4520" t="s">
        <v>12</v>
      </c>
      <c r="F4520" t="s">
        <v>13</v>
      </c>
      <c r="G4520" s="1">
        <v>45457</v>
      </c>
      <c r="H4520" s="1">
        <v>45703</v>
      </c>
      <c r="I4520">
        <v>32</v>
      </c>
      <c r="J4520" t="s">
        <v>19</v>
      </c>
      <c r="K4520">
        <v>15375.13</v>
      </c>
    </row>
    <row r="4521" spans="1:11">
      <c r="A4521">
        <v>4520</v>
      </c>
      <c r="B4521" t="s">
        <v>138</v>
      </c>
      <c r="C4521" s="1">
        <v>33604</v>
      </c>
      <c r="D4521">
        <v>34</v>
      </c>
      <c r="E4521" t="s">
        <v>12</v>
      </c>
      <c r="F4521" t="s">
        <v>45</v>
      </c>
      <c r="G4521" s="1">
        <v>45344</v>
      </c>
      <c r="H4521" s="1">
        <v>45598</v>
      </c>
      <c r="I4521">
        <v>18</v>
      </c>
      <c r="J4521" t="s">
        <v>23</v>
      </c>
      <c r="K4521">
        <v>11768.88</v>
      </c>
    </row>
    <row r="4522" spans="1:11">
      <c r="A4522">
        <v>4521</v>
      </c>
      <c r="B4522" t="s">
        <v>31</v>
      </c>
      <c r="E4522" t="s">
        <v>12</v>
      </c>
      <c r="F4522" t="s">
        <v>45</v>
      </c>
      <c r="G4522" s="1">
        <v>45174</v>
      </c>
      <c r="H4522" s="1">
        <v>44938</v>
      </c>
      <c r="I4522">
        <v>29</v>
      </c>
      <c r="J4522" t="s">
        <v>19</v>
      </c>
      <c r="K4522">
        <v>18363.759999999998</v>
      </c>
    </row>
    <row r="4523" spans="1:11">
      <c r="A4523">
        <v>4522</v>
      </c>
      <c r="B4523" t="s">
        <v>37</v>
      </c>
      <c r="C4523" s="1">
        <v>45657</v>
      </c>
      <c r="D4523">
        <v>1</v>
      </c>
      <c r="E4523" t="s">
        <v>12</v>
      </c>
      <c r="F4523" t="s">
        <v>18</v>
      </c>
      <c r="G4523" s="1">
        <v>45135</v>
      </c>
      <c r="H4523" s="1">
        <v>44935</v>
      </c>
      <c r="I4523">
        <v>27</v>
      </c>
      <c r="J4523" t="s">
        <v>25</v>
      </c>
      <c r="K4523">
        <v>3289.62</v>
      </c>
    </row>
    <row r="4524" spans="1:11">
      <c r="A4524">
        <v>4523</v>
      </c>
      <c r="B4524" t="s">
        <v>77</v>
      </c>
      <c r="C4524" s="1">
        <v>37622</v>
      </c>
      <c r="D4524">
        <v>23</v>
      </c>
      <c r="E4524" t="s">
        <v>12</v>
      </c>
      <c r="F4524" t="s">
        <v>32</v>
      </c>
      <c r="G4524" s="1">
        <v>45142</v>
      </c>
      <c r="H4524" s="1">
        <v>45080</v>
      </c>
      <c r="I4524">
        <v>30</v>
      </c>
      <c r="J4524" t="s">
        <v>19</v>
      </c>
      <c r="K4524">
        <v>13701.81</v>
      </c>
    </row>
    <row r="4525" spans="1:11">
      <c r="A4525">
        <v>4524</v>
      </c>
      <c r="B4525" t="s">
        <v>39</v>
      </c>
      <c r="C4525" s="1">
        <v>19359</v>
      </c>
      <c r="D4525">
        <v>73</v>
      </c>
      <c r="E4525" t="s">
        <v>12</v>
      </c>
      <c r="F4525" t="s">
        <v>45</v>
      </c>
      <c r="G4525" s="1">
        <v>45639</v>
      </c>
      <c r="H4525" s="1">
        <v>45552</v>
      </c>
      <c r="I4525">
        <v>3</v>
      </c>
      <c r="J4525" t="s">
        <v>25</v>
      </c>
      <c r="K4525">
        <v>19255.93</v>
      </c>
    </row>
    <row r="4526" spans="1:11">
      <c r="A4526">
        <v>4525</v>
      </c>
      <c r="B4526" t="s">
        <v>166</v>
      </c>
      <c r="C4526" s="1">
        <v>32508</v>
      </c>
      <c r="D4526">
        <v>37</v>
      </c>
      <c r="E4526" t="s">
        <v>15</v>
      </c>
      <c r="F4526" t="s">
        <v>13</v>
      </c>
      <c r="G4526" s="1">
        <v>45364</v>
      </c>
      <c r="H4526" s="1">
        <v>45587</v>
      </c>
      <c r="I4526">
        <v>2</v>
      </c>
      <c r="K4526">
        <v>6131.18</v>
      </c>
    </row>
    <row r="4527" spans="1:11">
      <c r="A4527">
        <v>4526</v>
      </c>
      <c r="B4527" t="s">
        <v>127</v>
      </c>
      <c r="C4527" s="1">
        <v>38352</v>
      </c>
      <c r="D4527">
        <v>21</v>
      </c>
      <c r="E4527" t="s">
        <v>12</v>
      </c>
      <c r="F4527" t="s">
        <v>45</v>
      </c>
      <c r="G4527" s="1">
        <v>45544</v>
      </c>
      <c r="H4527" s="1">
        <v>45477</v>
      </c>
      <c r="I4527">
        <v>12</v>
      </c>
      <c r="J4527" t="s">
        <v>19</v>
      </c>
      <c r="K4527">
        <v>207.38</v>
      </c>
    </row>
    <row r="4528" spans="1:11">
      <c r="A4528">
        <v>4527</v>
      </c>
      <c r="B4528" t="s">
        <v>169</v>
      </c>
      <c r="C4528" s="1">
        <v>36891</v>
      </c>
      <c r="D4528">
        <v>25</v>
      </c>
      <c r="E4528" t="s">
        <v>12</v>
      </c>
      <c r="F4528" t="s">
        <v>21</v>
      </c>
      <c r="G4528" s="1">
        <v>45237</v>
      </c>
      <c r="H4528" s="1">
        <v>45062</v>
      </c>
      <c r="I4528">
        <v>22</v>
      </c>
      <c r="K4528">
        <v>14670.84</v>
      </c>
    </row>
    <row r="4529" spans="1:11">
      <c r="A4529">
        <v>4528</v>
      </c>
      <c r="B4529" t="s">
        <v>161</v>
      </c>
      <c r="C4529" s="1">
        <v>30682</v>
      </c>
      <c r="D4529">
        <v>42</v>
      </c>
      <c r="E4529" t="s">
        <v>12</v>
      </c>
      <c r="F4529" t="s">
        <v>32</v>
      </c>
      <c r="G4529" s="1">
        <v>45309</v>
      </c>
      <c r="H4529" s="1">
        <v>45300</v>
      </c>
      <c r="I4529">
        <v>10</v>
      </c>
      <c r="J4529" t="s">
        <v>19</v>
      </c>
      <c r="K4529">
        <v>40.299999999999997</v>
      </c>
    </row>
    <row r="4530" spans="1:11">
      <c r="A4530">
        <v>4529</v>
      </c>
      <c r="B4530" t="s">
        <v>167</v>
      </c>
      <c r="C4530" s="1">
        <v>26299</v>
      </c>
      <c r="D4530">
        <v>54</v>
      </c>
      <c r="E4530" t="s">
        <v>12</v>
      </c>
      <c r="F4530" t="s">
        <v>45</v>
      </c>
      <c r="G4530" s="1">
        <v>45197</v>
      </c>
      <c r="H4530" s="1">
        <v>45388</v>
      </c>
      <c r="I4530">
        <v>3</v>
      </c>
      <c r="J4530" t="s">
        <v>25</v>
      </c>
      <c r="K4530">
        <v>17437.93</v>
      </c>
    </row>
    <row r="4531" spans="1:11">
      <c r="A4531">
        <v>4530</v>
      </c>
      <c r="B4531" t="s">
        <v>144</v>
      </c>
      <c r="C4531" s="1">
        <v>32143</v>
      </c>
      <c r="D4531">
        <v>38</v>
      </c>
      <c r="E4531" t="s">
        <v>12</v>
      </c>
      <c r="G4531" s="1">
        <v>45047</v>
      </c>
      <c r="H4531" s="1">
        <v>45162</v>
      </c>
      <c r="I4531">
        <v>34</v>
      </c>
      <c r="K4531">
        <v>1031.6600000000001</v>
      </c>
    </row>
    <row r="4532" spans="1:11">
      <c r="A4532">
        <v>4531</v>
      </c>
      <c r="B4532" t="s">
        <v>116</v>
      </c>
      <c r="C4532" s="1">
        <v>13150</v>
      </c>
      <c r="D4532">
        <v>90</v>
      </c>
      <c r="E4532" t="s">
        <v>15</v>
      </c>
      <c r="F4532" t="s">
        <v>32</v>
      </c>
      <c r="G4532" s="1">
        <v>45333</v>
      </c>
      <c r="H4532" s="1">
        <v>45182</v>
      </c>
      <c r="I4532">
        <v>-1</v>
      </c>
      <c r="J4532" t="s">
        <v>19</v>
      </c>
      <c r="K4532">
        <v>13020.57</v>
      </c>
    </row>
    <row r="4533" spans="1:11">
      <c r="A4533">
        <v>4532</v>
      </c>
      <c r="B4533" t="s">
        <v>20</v>
      </c>
      <c r="C4533" s="1">
        <v>35795</v>
      </c>
      <c r="E4533" t="s">
        <v>15</v>
      </c>
      <c r="F4533" t="s">
        <v>45</v>
      </c>
      <c r="G4533" s="1">
        <v>45171</v>
      </c>
      <c r="H4533" s="1">
        <v>45513</v>
      </c>
      <c r="I4533">
        <v>14</v>
      </c>
      <c r="J4533" t="s">
        <v>25</v>
      </c>
      <c r="K4533">
        <v>7481.4</v>
      </c>
    </row>
    <row r="4534" spans="1:11">
      <c r="A4534">
        <v>4533</v>
      </c>
      <c r="B4534" t="s">
        <v>118</v>
      </c>
      <c r="C4534" s="1">
        <v>39083</v>
      </c>
      <c r="D4534">
        <v>19</v>
      </c>
      <c r="E4534" t="s">
        <v>12</v>
      </c>
      <c r="F4534" t="s">
        <v>13</v>
      </c>
      <c r="G4534" s="1">
        <v>44992</v>
      </c>
      <c r="H4534" s="1">
        <v>45255</v>
      </c>
      <c r="I4534">
        <v>21</v>
      </c>
      <c r="J4534" t="s">
        <v>19</v>
      </c>
      <c r="K4534">
        <v>3987.15</v>
      </c>
    </row>
    <row r="4535" spans="1:11">
      <c r="A4535">
        <v>4534</v>
      </c>
      <c r="B4535" t="s">
        <v>159</v>
      </c>
      <c r="C4535" s="1">
        <v>13150</v>
      </c>
      <c r="D4535">
        <v>90</v>
      </c>
      <c r="E4535" t="s">
        <v>12</v>
      </c>
      <c r="F4535" t="s">
        <v>13</v>
      </c>
      <c r="G4535" s="1">
        <v>45154</v>
      </c>
      <c r="H4535" s="1">
        <v>45289</v>
      </c>
      <c r="I4535">
        <v>9</v>
      </c>
      <c r="K4535">
        <v>17954.990000000002</v>
      </c>
    </row>
    <row r="4536" spans="1:11">
      <c r="A4536">
        <v>4535</v>
      </c>
      <c r="B4536" t="s">
        <v>96</v>
      </c>
      <c r="C4536" s="1">
        <v>31412</v>
      </c>
      <c r="D4536">
        <v>40</v>
      </c>
      <c r="E4536" t="s">
        <v>12</v>
      </c>
      <c r="F4536" t="s">
        <v>32</v>
      </c>
      <c r="G4536" s="1">
        <v>45063</v>
      </c>
      <c r="H4536" s="1">
        <v>45301</v>
      </c>
      <c r="I4536">
        <v>11</v>
      </c>
      <c r="J4536" t="s">
        <v>19</v>
      </c>
      <c r="K4536">
        <v>14899.54</v>
      </c>
    </row>
    <row r="4537" spans="1:11">
      <c r="A4537">
        <v>4536</v>
      </c>
      <c r="B4537" t="s">
        <v>27</v>
      </c>
      <c r="C4537" s="1">
        <v>26664</v>
      </c>
      <c r="D4537">
        <v>53</v>
      </c>
      <c r="E4537" t="s">
        <v>15</v>
      </c>
      <c r="F4537" t="s">
        <v>16</v>
      </c>
      <c r="G4537" s="1">
        <v>45120</v>
      </c>
      <c r="H4537" s="1">
        <v>45715</v>
      </c>
      <c r="I4537">
        <v>4</v>
      </c>
      <c r="J4537" t="s">
        <v>19</v>
      </c>
      <c r="K4537">
        <v>6742.86</v>
      </c>
    </row>
    <row r="4538" spans="1:11">
      <c r="A4538">
        <v>4537</v>
      </c>
      <c r="B4538" t="s">
        <v>36</v>
      </c>
      <c r="C4538" s="1">
        <v>39083</v>
      </c>
      <c r="D4538">
        <v>19</v>
      </c>
      <c r="E4538" t="s">
        <v>15</v>
      </c>
      <c r="F4538" t="s">
        <v>18</v>
      </c>
      <c r="G4538" s="1">
        <v>45632</v>
      </c>
      <c r="H4538" s="1">
        <v>45136</v>
      </c>
      <c r="I4538">
        <v>23</v>
      </c>
      <c r="K4538">
        <v>5611.48</v>
      </c>
    </row>
    <row r="4539" spans="1:11">
      <c r="A4539">
        <v>4538</v>
      </c>
      <c r="B4539" t="s">
        <v>11</v>
      </c>
      <c r="C4539" s="1">
        <v>39448</v>
      </c>
      <c r="D4539">
        <v>18</v>
      </c>
      <c r="E4539" t="s">
        <v>12</v>
      </c>
      <c r="F4539" t="s">
        <v>18</v>
      </c>
      <c r="G4539" s="1">
        <v>45584</v>
      </c>
      <c r="H4539" s="1">
        <v>45194</v>
      </c>
      <c r="I4539">
        <v>29</v>
      </c>
      <c r="J4539" t="s">
        <v>25</v>
      </c>
      <c r="K4539">
        <v>14693.85</v>
      </c>
    </row>
    <row r="4540" spans="1:11">
      <c r="A4540">
        <v>4539</v>
      </c>
      <c r="B4540" t="s">
        <v>43</v>
      </c>
      <c r="C4540" s="1">
        <v>15707</v>
      </c>
      <c r="D4540">
        <v>83</v>
      </c>
      <c r="E4540" t="s">
        <v>15</v>
      </c>
      <c r="F4540" t="s">
        <v>21</v>
      </c>
      <c r="G4540" s="1">
        <v>45583</v>
      </c>
      <c r="H4540" s="1">
        <v>45583</v>
      </c>
      <c r="I4540">
        <v>26</v>
      </c>
      <c r="J4540" t="s">
        <v>19</v>
      </c>
      <c r="K4540">
        <v>16715.07</v>
      </c>
    </row>
    <row r="4541" spans="1:11">
      <c r="A4541">
        <v>4540</v>
      </c>
      <c r="B4541" t="s">
        <v>145</v>
      </c>
      <c r="C4541" s="1">
        <v>22281</v>
      </c>
      <c r="D4541">
        <v>65</v>
      </c>
      <c r="E4541" t="s">
        <v>12</v>
      </c>
      <c r="F4541" t="s">
        <v>16</v>
      </c>
      <c r="G4541" s="1">
        <v>45415</v>
      </c>
      <c r="H4541" s="1">
        <v>45481</v>
      </c>
      <c r="I4541">
        <v>36</v>
      </c>
      <c r="J4541" t="s">
        <v>19</v>
      </c>
      <c r="K4541">
        <v>14288.59</v>
      </c>
    </row>
    <row r="4542" spans="1:11">
      <c r="A4542">
        <v>4541</v>
      </c>
      <c r="B4542" t="s">
        <v>152</v>
      </c>
      <c r="C4542" s="1">
        <v>35430</v>
      </c>
      <c r="D4542">
        <v>29</v>
      </c>
      <c r="E4542" t="s">
        <v>15</v>
      </c>
      <c r="F4542" t="s">
        <v>18</v>
      </c>
      <c r="G4542" s="1">
        <v>45510</v>
      </c>
      <c r="H4542" s="1">
        <v>45663</v>
      </c>
      <c r="I4542">
        <v>6</v>
      </c>
      <c r="J4542" t="s">
        <v>23</v>
      </c>
      <c r="K4542">
        <v>12763.78</v>
      </c>
    </row>
    <row r="4543" spans="1:11">
      <c r="A4543">
        <v>4542</v>
      </c>
      <c r="B4543" t="s">
        <v>155</v>
      </c>
      <c r="D4543">
        <v>52</v>
      </c>
      <c r="E4543" t="s">
        <v>15</v>
      </c>
      <c r="F4543" t="s">
        <v>32</v>
      </c>
      <c r="G4543" s="1">
        <v>45280</v>
      </c>
      <c r="H4543" s="1">
        <v>45785</v>
      </c>
      <c r="I4543">
        <v>11</v>
      </c>
      <c r="J4543" t="s">
        <v>23</v>
      </c>
      <c r="K4543">
        <v>4481.29</v>
      </c>
    </row>
    <row r="4544" spans="1:11">
      <c r="A4544">
        <v>4543</v>
      </c>
      <c r="B4544" t="s">
        <v>147</v>
      </c>
      <c r="C4544" s="1">
        <v>33969</v>
      </c>
      <c r="E4544" t="s">
        <v>12</v>
      </c>
      <c r="F4544" t="s">
        <v>18</v>
      </c>
      <c r="G4544" s="1">
        <v>45630</v>
      </c>
      <c r="H4544" s="1">
        <v>45433</v>
      </c>
      <c r="I4544">
        <v>14</v>
      </c>
      <c r="J4544" t="s">
        <v>25</v>
      </c>
      <c r="K4544">
        <v>17041.36</v>
      </c>
    </row>
    <row r="4545" spans="1:11">
      <c r="A4545">
        <v>4544</v>
      </c>
      <c r="B4545" t="s">
        <v>102</v>
      </c>
      <c r="C4545" s="1">
        <v>38352</v>
      </c>
      <c r="D4545">
        <v>21</v>
      </c>
      <c r="E4545" t="s">
        <v>15</v>
      </c>
      <c r="F4545" t="s">
        <v>21</v>
      </c>
      <c r="G4545" s="1">
        <v>45482</v>
      </c>
      <c r="H4545" s="1">
        <v>45491</v>
      </c>
      <c r="I4545">
        <v>22</v>
      </c>
      <c r="K4545">
        <v>14968.21</v>
      </c>
    </row>
    <row r="4546" spans="1:11">
      <c r="A4546">
        <v>4545</v>
      </c>
      <c r="B4546" t="s">
        <v>118</v>
      </c>
      <c r="C4546" s="1">
        <v>21916</v>
      </c>
      <c r="D4546">
        <v>66</v>
      </c>
      <c r="E4546" t="s">
        <v>12</v>
      </c>
      <c r="F4546" t="s">
        <v>45</v>
      </c>
      <c r="G4546" s="1">
        <v>45083</v>
      </c>
      <c r="H4546" s="1">
        <v>45348</v>
      </c>
      <c r="I4546">
        <v>27</v>
      </c>
      <c r="J4546" t="s">
        <v>25</v>
      </c>
      <c r="K4546">
        <v>10297.209999999999</v>
      </c>
    </row>
    <row r="4547" spans="1:11">
      <c r="A4547">
        <v>4546</v>
      </c>
      <c r="B4547" t="s">
        <v>143</v>
      </c>
      <c r="C4547" s="1">
        <v>44196</v>
      </c>
      <c r="D4547">
        <v>5</v>
      </c>
      <c r="E4547" t="s">
        <v>12</v>
      </c>
      <c r="F4547" t="s">
        <v>18</v>
      </c>
      <c r="G4547" s="1">
        <v>45402</v>
      </c>
      <c r="H4547" s="1">
        <v>45235</v>
      </c>
      <c r="I4547">
        <v>26</v>
      </c>
      <c r="J4547" t="s">
        <v>25</v>
      </c>
      <c r="K4547">
        <v>10182.91</v>
      </c>
    </row>
    <row r="4548" spans="1:11">
      <c r="A4548">
        <v>4547</v>
      </c>
      <c r="B4548" t="s">
        <v>41</v>
      </c>
      <c r="C4548" s="1">
        <v>17533</v>
      </c>
      <c r="D4548">
        <v>78</v>
      </c>
      <c r="E4548" t="s">
        <v>15</v>
      </c>
      <c r="F4548" t="s">
        <v>32</v>
      </c>
      <c r="G4548" s="1">
        <v>44942</v>
      </c>
      <c r="H4548" s="1">
        <v>45064</v>
      </c>
      <c r="I4548">
        <v>26</v>
      </c>
      <c r="J4548" t="s">
        <v>25</v>
      </c>
      <c r="K4548">
        <v>11340.38</v>
      </c>
    </row>
    <row r="4549" spans="1:11">
      <c r="A4549">
        <v>4548</v>
      </c>
      <c r="B4549" t="s">
        <v>132</v>
      </c>
      <c r="C4549" s="1">
        <v>36526</v>
      </c>
      <c r="D4549">
        <v>26</v>
      </c>
      <c r="E4549" t="s">
        <v>12</v>
      </c>
      <c r="F4549" t="s">
        <v>32</v>
      </c>
      <c r="G4549" s="1">
        <v>45004</v>
      </c>
      <c r="H4549" s="1">
        <v>45346</v>
      </c>
      <c r="I4549">
        <v>15</v>
      </c>
      <c r="J4549" t="s">
        <v>19</v>
      </c>
      <c r="K4549">
        <v>16548.36</v>
      </c>
    </row>
    <row r="4550" spans="1:11">
      <c r="A4550">
        <v>4549</v>
      </c>
      <c r="B4550" t="s">
        <v>91</v>
      </c>
      <c r="C4550" s="1">
        <v>42735</v>
      </c>
      <c r="D4550">
        <v>9</v>
      </c>
      <c r="E4550" t="s">
        <v>12</v>
      </c>
      <c r="F4550" t="s">
        <v>21</v>
      </c>
      <c r="G4550" s="1">
        <v>44978</v>
      </c>
      <c r="H4550" s="1">
        <v>45122</v>
      </c>
      <c r="I4550">
        <v>28</v>
      </c>
      <c r="J4550" t="s">
        <v>19</v>
      </c>
      <c r="K4550">
        <v>14819.42</v>
      </c>
    </row>
    <row r="4551" spans="1:11">
      <c r="A4551">
        <v>4550</v>
      </c>
      <c r="B4551" t="s">
        <v>14</v>
      </c>
      <c r="C4551" s="1">
        <v>19724</v>
      </c>
      <c r="D4551">
        <v>72</v>
      </c>
      <c r="E4551" t="s">
        <v>15</v>
      </c>
      <c r="G4551" s="1">
        <v>45440</v>
      </c>
      <c r="H4551" s="1">
        <v>45022</v>
      </c>
      <c r="I4551">
        <v>16</v>
      </c>
      <c r="J4551" t="s">
        <v>25</v>
      </c>
      <c r="K4551">
        <v>17110.52</v>
      </c>
    </row>
    <row r="4552" spans="1:11">
      <c r="A4552">
        <v>4551</v>
      </c>
      <c r="B4552" t="s">
        <v>157</v>
      </c>
      <c r="C4552" s="1">
        <v>28856</v>
      </c>
      <c r="D4552">
        <v>47</v>
      </c>
      <c r="E4552" t="s">
        <v>15</v>
      </c>
      <c r="F4552" t="s">
        <v>21</v>
      </c>
      <c r="G4552" s="1">
        <v>45430</v>
      </c>
      <c r="H4552" s="1">
        <v>45417</v>
      </c>
      <c r="I4552">
        <v>14</v>
      </c>
      <c r="J4552" t="s">
        <v>25</v>
      </c>
      <c r="K4552">
        <v>10096.379999999999</v>
      </c>
    </row>
    <row r="4553" spans="1:11">
      <c r="A4553">
        <v>4552</v>
      </c>
      <c r="B4553" t="s">
        <v>124</v>
      </c>
      <c r="C4553" s="1">
        <v>20820</v>
      </c>
      <c r="D4553">
        <v>69</v>
      </c>
      <c r="E4553" t="s">
        <v>15</v>
      </c>
      <c r="G4553" s="1">
        <v>44987</v>
      </c>
      <c r="H4553" s="1">
        <v>45185</v>
      </c>
      <c r="I4553">
        <v>3</v>
      </c>
      <c r="J4553" t="s">
        <v>23</v>
      </c>
      <c r="K4553">
        <v>12455.45</v>
      </c>
    </row>
    <row r="4554" spans="1:11">
      <c r="A4554">
        <v>4553</v>
      </c>
      <c r="B4554" t="s">
        <v>123</v>
      </c>
      <c r="C4554" s="1">
        <v>24838</v>
      </c>
      <c r="D4554">
        <v>58</v>
      </c>
      <c r="E4554" t="s">
        <v>12</v>
      </c>
      <c r="F4554" t="s">
        <v>13</v>
      </c>
      <c r="G4554" s="1">
        <v>45058</v>
      </c>
      <c r="H4554" s="1">
        <v>44952</v>
      </c>
      <c r="I4554">
        <v>9</v>
      </c>
      <c r="K4554">
        <v>17076.89</v>
      </c>
    </row>
    <row r="4555" spans="1:11">
      <c r="A4555">
        <v>4554</v>
      </c>
      <c r="B4555" t="s">
        <v>65</v>
      </c>
      <c r="C4555" s="1">
        <v>24838</v>
      </c>
      <c r="D4555">
        <v>58</v>
      </c>
      <c r="E4555" t="s">
        <v>12</v>
      </c>
      <c r="F4555" t="s">
        <v>13</v>
      </c>
      <c r="G4555" s="1">
        <v>45308</v>
      </c>
      <c r="H4555" s="1">
        <v>45159</v>
      </c>
      <c r="I4555">
        <v>35</v>
      </c>
      <c r="J4555" t="s">
        <v>25</v>
      </c>
      <c r="K4555">
        <v>4569.63</v>
      </c>
    </row>
    <row r="4556" spans="1:11">
      <c r="A4556">
        <v>4555</v>
      </c>
      <c r="B4556" t="s">
        <v>76</v>
      </c>
      <c r="D4556">
        <v>1</v>
      </c>
      <c r="E4556" t="s">
        <v>12</v>
      </c>
      <c r="F4556" t="s">
        <v>13</v>
      </c>
      <c r="G4556" s="1">
        <v>45490</v>
      </c>
      <c r="H4556" s="1">
        <v>45259</v>
      </c>
      <c r="I4556">
        <v>0</v>
      </c>
      <c r="J4556" t="s">
        <v>23</v>
      </c>
      <c r="K4556">
        <v>8824.82</v>
      </c>
    </row>
    <row r="4557" spans="1:11">
      <c r="A4557">
        <v>4556</v>
      </c>
      <c r="B4557" t="s">
        <v>64</v>
      </c>
      <c r="C4557" s="1">
        <v>35795</v>
      </c>
      <c r="D4557">
        <v>28</v>
      </c>
      <c r="E4557" t="s">
        <v>12</v>
      </c>
      <c r="G4557" s="1">
        <v>45618</v>
      </c>
      <c r="H4557" s="1">
        <v>45533</v>
      </c>
      <c r="I4557">
        <v>32</v>
      </c>
      <c r="J4557" t="s">
        <v>25</v>
      </c>
      <c r="K4557">
        <v>12375.11</v>
      </c>
    </row>
    <row r="4558" spans="1:11">
      <c r="A4558">
        <v>4557</v>
      </c>
      <c r="B4558" t="s">
        <v>63</v>
      </c>
      <c r="C4558" s="1">
        <v>21551</v>
      </c>
      <c r="D4558">
        <v>67</v>
      </c>
      <c r="E4558" t="s">
        <v>12</v>
      </c>
      <c r="F4558" t="s">
        <v>45</v>
      </c>
      <c r="G4558" s="1">
        <v>45469</v>
      </c>
      <c r="H4558" s="1">
        <v>45789</v>
      </c>
      <c r="I4558">
        <v>30</v>
      </c>
      <c r="K4558">
        <v>18294.439999999999</v>
      </c>
    </row>
    <row r="4559" spans="1:11">
      <c r="A4559">
        <v>4558</v>
      </c>
      <c r="B4559" t="s">
        <v>27</v>
      </c>
      <c r="C4559" s="1">
        <v>22646</v>
      </c>
      <c r="E4559" t="s">
        <v>12</v>
      </c>
      <c r="F4559" t="s">
        <v>32</v>
      </c>
      <c r="G4559" s="1">
        <v>45336</v>
      </c>
      <c r="H4559" s="1">
        <v>45148</v>
      </c>
      <c r="I4559">
        <v>26</v>
      </c>
      <c r="J4559" t="s">
        <v>25</v>
      </c>
      <c r="K4559">
        <v>218.3</v>
      </c>
    </row>
    <row r="4560" spans="1:11">
      <c r="A4560">
        <v>4559</v>
      </c>
      <c r="B4560" t="s">
        <v>124</v>
      </c>
      <c r="C4560" s="1">
        <v>16072</v>
      </c>
      <c r="D4560">
        <v>82</v>
      </c>
      <c r="E4560" t="s">
        <v>12</v>
      </c>
      <c r="F4560" t="s">
        <v>13</v>
      </c>
      <c r="G4560" s="1">
        <v>45081</v>
      </c>
      <c r="H4560" s="1">
        <v>45224</v>
      </c>
      <c r="I4560">
        <v>0</v>
      </c>
      <c r="K4560">
        <v>4172.72</v>
      </c>
    </row>
    <row r="4561" spans="1:11">
      <c r="A4561">
        <v>4560</v>
      </c>
      <c r="B4561" t="s">
        <v>54</v>
      </c>
      <c r="C4561" s="1">
        <v>36891</v>
      </c>
      <c r="D4561">
        <v>25</v>
      </c>
      <c r="E4561" t="s">
        <v>15</v>
      </c>
      <c r="F4561" t="s">
        <v>32</v>
      </c>
      <c r="G4561" s="1">
        <v>45559</v>
      </c>
      <c r="H4561" s="1">
        <v>45130</v>
      </c>
      <c r="I4561">
        <v>2</v>
      </c>
      <c r="J4561" t="s">
        <v>19</v>
      </c>
      <c r="K4561">
        <v>4612.46</v>
      </c>
    </row>
    <row r="4562" spans="1:11">
      <c r="A4562">
        <v>4561</v>
      </c>
      <c r="B4562" t="s">
        <v>154</v>
      </c>
      <c r="C4562" s="1">
        <v>13880</v>
      </c>
      <c r="D4562">
        <v>88</v>
      </c>
      <c r="E4562" t="s">
        <v>12</v>
      </c>
      <c r="F4562" t="s">
        <v>21</v>
      </c>
      <c r="G4562" s="1">
        <v>44977</v>
      </c>
      <c r="H4562" s="1">
        <v>45270</v>
      </c>
      <c r="I4562">
        <v>11</v>
      </c>
      <c r="K4562">
        <v>6464.91</v>
      </c>
    </row>
    <row r="4563" spans="1:11">
      <c r="A4563">
        <v>4562</v>
      </c>
      <c r="B4563" t="s">
        <v>150</v>
      </c>
      <c r="C4563" s="1">
        <v>42735</v>
      </c>
      <c r="D4563">
        <v>9</v>
      </c>
      <c r="E4563" t="s">
        <v>12</v>
      </c>
      <c r="F4563" t="s">
        <v>45</v>
      </c>
      <c r="G4563" s="1">
        <v>45021</v>
      </c>
      <c r="H4563" s="1">
        <v>45520</v>
      </c>
      <c r="I4563">
        <v>33</v>
      </c>
      <c r="J4563" t="s">
        <v>25</v>
      </c>
      <c r="K4563">
        <v>5563.91</v>
      </c>
    </row>
    <row r="4564" spans="1:11">
      <c r="A4564">
        <v>4563</v>
      </c>
      <c r="B4564" t="s">
        <v>92</v>
      </c>
      <c r="C4564" s="1">
        <v>27029</v>
      </c>
      <c r="D4564">
        <v>52</v>
      </c>
      <c r="E4564" t="s">
        <v>12</v>
      </c>
      <c r="F4564" t="s">
        <v>21</v>
      </c>
      <c r="G4564" s="1">
        <v>45614</v>
      </c>
      <c r="H4564" s="1">
        <v>45132</v>
      </c>
      <c r="I4564">
        <v>25</v>
      </c>
      <c r="J4564" t="s">
        <v>23</v>
      </c>
      <c r="K4564">
        <v>11761.79</v>
      </c>
    </row>
    <row r="4565" spans="1:11">
      <c r="A4565">
        <v>4564</v>
      </c>
      <c r="B4565" t="s">
        <v>29</v>
      </c>
      <c r="C4565" s="1">
        <v>17533</v>
      </c>
      <c r="D4565">
        <v>78</v>
      </c>
      <c r="E4565" t="s">
        <v>12</v>
      </c>
      <c r="F4565" t="s">
        <v>32</v>
      </c>
      <c r="G4565" s="1">
        <v>45449</v>
      </c>
      <c r="H4565" s="1">
        <v>45819</v>
      </c>
      <c r="I4565">
        <v>38</v>
      </c>
      <c r="J4565" t="s">
        <v>19</v>
      </c>
      <c r="K4565">
        <v>17700.97</v>
      </c>
    </row>
    <row r="4566" spans="1:11">
      <c r="A4566">
        <v>4565</v>
      </c>
      <c r="B4566" t="s">
        <v>153</v>
      </c>
      <c r="C4566" s="1">
        <v>24838</v>
      </c>
      <c r="D4566">
        <v>58</v>
      </c>
      <c r="E4566" t="s">
        <v>15</v>
      </c>
      <c r="F4566" t="s">
        <v>16</v>
      </c>
      <c r="G4566" s="1">
        <v>45450</v>
      </c>
      <c r="H4566" s="1">
        <v>45004</v>
      </c>
      <c r="I4566">
        <v>29</v>
      </c>
      <c r="J4566" t="s">
        <v>23</v>
      </c>
      <c r="K4566">
        <v>12703.25</v>
      </c>
    </row>
    <row r="4567" spans="1:11">
      <c r="A4567">
        <v>4566</v>
      </c>
      <c r="B4567" t="s">
        <v>28</v>
      </c>
      <c r="D4567">
        <v>21</v>
      </c>
      <c r="E4567" t="s">
        <v>12</v>
      </c>
      <c r="G4567" s="1">
        <v>45281</v>
      </c>
      <c r="H4567" s="1">
        <v>45477</v>
      </c>
      <c r="I4567">
        <v>15</v>
      </c>
      <c r="J4567" t="s">
        <v>25</v>
      </c>
      <c r="K4567">
        <v>4754.68</v>
      </c>
    </row>
    <row r="4568" spans="1:11">
      <c r="A4568">
        <v>4567</v>
      </c>
      <c r="B4568" t="s">
        <v>59</v>
      </c>
      <c r="C4568" s="1">
        <v>27760</v>
      </c>
      <c r="D4568">
        <v>50</v>
      </c>
      <c r="E4568" t="s">
        <v>15</v>
      </c>
      <c r="F4568" t="s">
        <v>16</v>
      </c>
      <c r="G4568" s="1">
        <v>44971</v>
      </c>
      <c r="H4568" s="1">
        <v>45634</v>
      </c>
      <c r="I4568">
        <v>39</v>
      </c>
      <c r="J4568" t="s">
        <v>19</v>
      </c>
      <c r="K4568">
        <v>17261.43</v>
      </c>
    </row>
    <row r="4569" spans="1:11">
      <c r="A4569">
        <v>4568</v>
      </c>
      <c r="B4569" t="s">
        <v>41</v>
      </c>
      <c r="C4569" s="1">
        <v>28856</v>
      </c>
      <c r="D4569">
        <v>47</v>
      </c>
      <c r="E4569" t="s">
        <v>12</v>
      </c>
      <c r="F4569" t="s">
        <v>13</v>
      </c>
      <c r="G4569" s="1">
        <v>45131</v>
      </c>
      <c r="H4569" s="1">
        <v>44969</v>
      </c>
      <c r="I4569">
        <v>37</v>
      </c>
      <c r="J4569" t="s">
        <v>23</v>
      </c>
      <c r="K4569">
        <v>12604.12</v>
      </c>
    </row>
    <row r="4570" spans="1:11">
      <c r="A4570">
        <v>4569</v>
      </c>
      <c r="B4570" t="s">
        <v>144</v>
      </c>
      <c r="C4570" s="1">
        <v>38717</v>
      </c>
      <c r="D4570">
        <v>20</v>
      </c>
      <c r="E4570" t="s">
        <v>15</v>
      </c>
      <c r="F4570" t="s">
        <v>16</v>
      </c>
      <c r="G4570" s="1">
        <v>45357</v>
      </c>
      <c r="H4570" s="1">
        <v>45382</v>
      </c>
      <c r="I4570">
        <v>10</v>
      </c>
      <c r="J4570" t="s">
        <v>25</v>
      </c>
      <c r="K4570">
        <v>4301.1400000000003</v>
      </c>
    </row>
    <row r="4571" spans="1:11">
      <c r="A4571">
        <v>4570</v>
      </c>
      <c r="B4571" t="s">
        <v>81</v>
      </c>
      <c r="C4571" s="1">
        <v>38352</v>
      </c>
      <c r="D4571">
        <v>21</v>
      </c>
      <c r="E4571" t="s">
        <v>12</v>
      </c>
      <c r="F4571" t="s">
        <v>21</v>
      </c>
      <c r="G4571" s="1">
        <v>45182</v>
      </c>
      <c r="H4571" s="1">
        <v>45109</v>
      </c>
      <c r="I4571">
        <v>-1</v>
      </c>
      <c r="J4571" t="s">
        <v>23</v>
      </c>
      <c r="K4571">
        <v>7169.5</v>
      </c>
    </row>
    <row r="4572" spans="1:11">
      <c r="A4572">
        <v>4571</v>
      </c>
      <c r="B4572" t="s">
        <v>153</v>
      </c>
      <c r="C4572" s="1">
        <v>35430</v>
      </c>
      <c r="D4572">
        <v>29</v>
      </c>
      <c r="E4572" t="s">
        <v>12</v>
      </c>
      <c r="G4572" s="1">
        <v>45174</v>
      </c>
      <c r="H4572" s="1">
        <v>45684</v>
      </c>
      <c r="I4572">
        <v>22</v>
      </c>
      <c r="K4572">
        <v>15778.29</v>
      </c>
    </row>
    <row r="4573" spans="1:11">
      <c r="A4573">
        <v>4572</v>
      </c>
      <c r="B4573" t="s">
        <v>94</v>
      </c>
      <c r="C4573" s="1">
        <v>37256</v>
      </c>
      <c r="D4573">
        <v>24</v>
      </c>
      <c r="E4573" t="s">
        <v>12</v>
      </c>
      <c r="F4573" t="s">
        <v>16</v>
      </c>
      <c r="G4573" s="1">
        <v>45459</v>
      </c>
      <c r="H4573" s="1">
        <v>45122</v>
      </c>
      <c r="I4573">
        <v>17</v>
      </c>
      <c r="K4573">
        <v>14752.52</v>
      </c>
    </row>
    <row r="4574" spans="1:11">
      <c r="A4574">
        <v>4573</v>
      </c>
      <c r="B4574" t="s">
        <v>168</v>
      </c>
      <c r="C4574" s="1">
        <v>36161</v>
      </c>
      <c r="D4574">
        <v>27</v>
      </c>
      <c r="E4574" t="s">
        <v>15</v>
      </c>
      <c r="F4574" t="s">
        <v>18</v>
      </c>
      <c r="G4574" s="1">
        <v>44967</v>
      </c>
      <c r="H4574" s="1">
        <v>45517</v>
      </c>
      <c r="I4574">
        <v>4</v>
      </c>
      <c r="J4574" t="s">
        <v>25</v>
      </c>
      <c r="K4574">
        <v>11489.31</v>
      </c>
    </row>
    <row r="4575" spans="1:11">
      <c r="A4575">
        <v>4574</v>
      </c>
      <c r="B4575" t="s">
        <v>84</v>
      </c>
      <c r="C4575" s="1">
        <v>22646</v>
      </c>
      <c r="D4575">
        <v>64</v>
      </c>
      <c r="F4575" t="s">
        <v>45</v>
      </c>
      <c r="G4575" s="1">
        <v>45385</v>
      </c>
      <c r="H4575" s="1">
        <v>45759</v>
      </c>
      <c r="I4575">
        <v>8</v>
      </c>
      <c r="J4575" t="s">
        <v>23</v>
      </c>
      <c r="K4575">
        <v>2809.83</v>
      </c>
    </row>
    <row r="4576" spans="1:11">
      <c r="A4576">
        <v>4575</v>
      </c>
      <c r="B4576" t="s">
        <v>105</v>
      </c>
      <c r="C4576" s="1">
        <v>29951</v>
      </c>
      <c r="E4576" t="s">
        <v>12</v>
      </c>
      <c r="F4576" t="s">
        <v>32</v>
      </c>
      <c r="G4576" s="1">
        <v>45203</v>
      </c>
      <c r="H4576" s="1">
        <v>45315</v>
      </c>
      <c r="I4576">
        <v>2</v>
      </c>
      <c r="J4576" t="s">
        <v>25</v>
      </c>
      <c r="K4576">
        <v>16046.11</v>
      </c>
    </row>
    <row r="4577" spans="1:11">
      <c r="A4577">
        <v>4576</v>
      </c>
      <c r="B4577" t="s">
        <v>59</v>
      </c>
      <c r="C4577" s="1">
        <v>21551</v>
      </c>
      <c r="D4577">
        <v>67</v>
      </c>
      <c r="E4577" t="s">
        <v>12</v>
      </c>
      <c r="G4577" s="1">
        <v>45121</v>
      </c>
      <c r="H4577" s="1">
        <v>45564</v>
      </c>
      <c r="I4577">
        <v>26</v>
      </c>
      <c r="J4577" t="s">
        <v>23</v>
      </c>
      <c r="K4577">
        <v>6081.6</v>
      </c>
    </row>
    <row r="4578" spans="1:11">
      <c r="A4578">
        <v>4577</v>
      </c>
      <c r="B4578" t="s">
        <v>103</v>
      </c>
      <c r="C4578" s="1">
        <v>43831</v>
      </c>
      <c r="D4578">
        <v>6</v>
      </c>
      <c r="E4578" t="s">
        <v>15</v>
      </c>
      <c r="F4578" t="s">
        <v>13</v>
      </c>
      <c r="G4578" s="1">
        <v>44997</v>
      </c>
      <c r="H4578" s="1">
        <v>45068</v>
      </c>
      <c r="I4578">
        <v>15</v>
      </c>
      <c r="J4578" t="s">
        <v>19</v>
      </c>
      <c r="K4578">
        <v>15409.12</v>
      </c>
    </row>
    <row r="4579" spans="1:11">
      <c r="A4579">
        <v>4578</v>
      </c>
      <c r="B4579" t="s">
        <v>62</v>
      </c>
      <c r="C4579" s="1">
        <v>28490</v>
      </c>
      <c r="D4579">
        <v>48</v>
      </c>
      <c r="E4579" t="s">
        <v>12</v>
      </c>
      <c r="F4579" t="s">
        <v>21</v>
      </c>
      <c r="G4579" s="1">
        <v>45196</v>
      </c>
      <c r="H4579" s="1">
        <v>44954</v>
      </c>
      <c r="I4579">
        <v>5</v>
      </c>
      <c r="J4579" t="s">
        <v>25</v>
      </c>
      <c r="K4579">
        <v>12916.08</v>
      </c>
    </row>
    <row r="4580" spans="1:11">
      <c r="A4580">
        <v>4579</v>
      </c>
      <c r="B4580" t="s">
        <v>111</v>
      </c>
      <c r="C4580" s="1">
        <v>43100</v>
      </c>
      <c r="D4580">
        <v>8</v>
      </c>
      <c r="E4580" t="s">
        <v>15</v>
      </c>
      <c r="F4580" t="s">
        <v>45</v>
      </c>
      <c r="G4580" s="1">
        <v>45261</v>
      </c>
      <c r="H4580" s="1">
        <v>45242</v>
      </c>
      <c r="I4580">
        <v>24</v>
      </c>
      <c r="J4580" t="s">
        <v>25</v>
      </c>
      <c r="K4580">
        <v>5209.82</v>
      </c>
    </row>
    <row r="4581" spans="1:11">
      <c r="A4581">
        <v>4580</v>
      </c>
      <c r="B4581" t="s">
        <v>94</v>
      </c>
      <c r="C4581" s="1">
        <v>33239</v>
      </c>
      <c r="E4581" t="s">
        <v>12</v>
      </c>
      <c r="F4581" t="s">
        <v>13</v>
      </c>
      <c r="G4581" s="1">
        <v>45511</v>
      </c>
      <c r="H4581" s="1">
        <v>45248</v>
      </c>
      <c r="I4581">
        <v>39</v>
      </c>
      <c r="J4581" t="s">
        <v>23</v>
      </c>
      <c r="K4581">
        <v>4168.62</v>
      </c>
    </row>
    <row r="4582" spans="1:11">
      <c r="A4582">
        <v>4581</v>
      </c>
      <c r="B4582" t="s">
        <v>165</v>
      </c>
      <c r="C4582" s="1">
        <v>16072</v>
      </c>
      <c r="D4582">
        <v>82</v>
      </c>
      <c r="E4582" t="s">
        <v>15</v>
      </c>
      <c r="F4582" t="s">
        <v>21</v>
      </c>
      <c r="G4582" s="1">
        <v>45234</v>
      </c>
      <c r="H4582" s="1">
        <v>45375</v>
      </c>
      <c r="I4582">
        <v>-1</v>
      </c>
      <c r="J4582" t="s">
        <v>25</v>
      </c>
      <c r="K4582">
        <v>2531.29</v>
      </c>
    </row>
    <row r="4583" spans="1:11">
      <c r="A4583">
        <v>4582</v>
      </c>
      <c r="B4583" t="s">
        <v>127</v>
      </c>
      <c r="C4583" s="1">
        <v>46022</v>
      </c>
      <c r="D4583">
        <v>0</v>
      </c>
      <c r="E4583" t="s">
        <v>12</v>
      </c>
      <c r="F4583" t="s">
        <v>16</v>
      </c>
      <c r="G4583" s="1">
        <v>45353</v>
      </c>
      <c r="H4583" s="1">
        <v>45720</v>
      </c>
      <c r="I4583">
        <v>32</v>
      </c>
      <c r="J4583" t="s">
        <v>19</v>
      </c>
      <c r="K4583">
        <v>4763.12</v>
      </c>
    </row>
    <row r="4584" spans="1:11">
      <c r="A4584">
        <v>4583</v>
      </c>
      <c r="B4584" t="s">
        <v>52</v>
      </c>
      <c r="C4584" s="1">
        <v>42735</v>
      </c>
      <c r="D4584">
        <v>9</v>
      </c>
      <c r="E4584" t="s">
        <v>12</v>
      </c>
      <c r="G4584" s="1">
        <v>45125</v>
      </c>
      <c r="H4584" s="1">
        <v>45220</v>
      </c>
      <c r="I4584">
        <v>23</v>
      </c>
      <c r="J4584" t="s">
        <v>23</v>
      </c>
      <c r="K4584">
        <v>3072.36</v>
      </c>
    </row>
    <row r="4585" spans="1:11">
      <c r="A4585">
        <v>4584</v>
      </c>
      <c r="B4585" t="s">
        <v>151</v>
      </c>
      <c r="C4585" s="1">
        <v>33239</v>
      </c>
      <c r="D4585">
        <v>35</v>
      </c>
      <c r="E4585" t="s">
        <v>15</v>
      </c>
      <c r="F4585" t="s">
        <v>32</v>
      </c>
      <c r="G4585" s="1">
        <v>45002</v>
      </c>
      <c r="H4585" s="1">
        <v>45681</v>
      </c>
      <c r="I4585">
        <v>20</v>
      </c>
      <c r="J4585" t="s">
        <v>23</v>
      </c>
      <c r="K4585">
        <v>12302.73</v>
      </c>
    </row>
    <row r="4586" spans="1:11">
      <c r="A4586">
        <v>4585</v>
      </c>
      <c r="B4586" t="s">
        <v>145</v>
      </c>
      <c r="C4586" s="1">
        <v>19724</v>
      </c>
      <c r="D4586">
        <v>72</v>
      </c>
      <c r="E4586" t="s">
        <v>12</v>
      </c>
      <c r="G4586" s="1">
        <v>45584</v>
      </c>
      <c r="H4586" s="1">
        <v>45163</v>
      </c>
      <c r="I4586">
        <v>2</v>
      </c>
      <c r="J4586" t="s">
        <v>23</v>
      </c>
      <c r="K4586">
        <v>11935.54</v>
      </c>
    </row>
    <row r="4587" spans="1:11">
      <c r="A4587">
        <v>4586</v>
      </c>
      <c r="B4587" t="s">
        <v>165</v>
      </c>
      <c r="C4587" s="1">
        <v>29586</v>
      </c>
      <c r="D4587">
        <v>45</v>
      </c>
      <c r="E4587" t="s">
        <v>12</v>
      </c>
      <c r="F4587" t="s">
        <v>18</v>
      </c>
      <c r="G4587" s="1">
        <v>45451</v>
      </c>
      <c r="H4587" s="1">
        <v>45642</v>
      </c>
      <c r="I4587">
        <v>13</v>
      </c>
      <c r="J4587" t="s">
        <v>19</v>
      </c>
      <c r="K4587">
        <v>11682.06</v>
      </c>
    </row>
    <row r="4588" spans="1:11">
      <c r="A4588">
        <v>4587</v>
      </c>
      <c r="B4588" t="s">
        <v>48</v>
      </c>
      <c r="C4588" s="1">
        <v>34700</v>
      </c>
      <c r="D4588">
        <v>31</v>
      </c>
      <c r="E4588" t="s">
        <v>15</v>
      </c>
      <c r="F4588" t="s">
        <v>18</v>
      </c>
      <c r="G4588" s="1">
        <v>45567</v>
      </c>
      <c r="H4588" s="1">
        <v>45384</v>
      </c>
      <c r="I4588">
        <v>39</v>
      </c>
      <c r="J4588" t="s">
        <v>19</v>
      </c>
      <c r="K4588">
        <v>12801.99</v>
      </c>
    </row>
    <row r="4589" spans="1:11">
      <c r="A4589">
        <v>4588</v>
      </c>
      <c r="B4589" t="s">
        <v>148</v>
      </c>
      <c r="C4589" s="1">
        <v>34700</v>
      </c>
      <c r="D4589">
        <v>31</v>
      </c>
      <c r="E4589" t="s">
        <v>12</v>
      </c>
      <c r="G4589" s="1">
        <v>45156</v>
      </c>
      <c r="H4589" s="1">
        <v>45819</v>
      </c>
      <c r="I4589">
        <v>8</v>
      </c>
      <c r="J4589" t="s">
        <v>25</v>
      </c>
      <c r="K4589">
        <v>16277.17</v>
      </c>
    </row>
    <row r="4590" spans="1:11">
      <c r="A4590">
        <v>4589</v>
      </c>
      <c r="B4590" t="s">
        <v>65</v>
      </c>
      <c r="C4590" s="1">
        <v>44196</v>
      </c>
      <c r="D4590">
        <v>5</v>
      </c>
      <c r="E4590" t="s">
        <v>15</v>
      </c>
      <c r="F4590" t="s">
        <v>16</v>
      </c>
      <c r="G4590" s="1">
        <v>45011</v>
      </c>
      <c r="H4590" s="1">
        <v>45766</v>
      </c>
      <c r="I4590">
        <v>16</v>
      </c>
      <c r="J4590" t="s">
        <v>23</v>
      </c>
      <c r="K4590">
        <v>18262.41</v>
      </c>
    </row>
    <row r="4591" spans="1:11">
      <c r="A4591">
        <v>4590</v>
      </c>
      <c r="B4591" t="s">
        <v>89</v>
      </c>
      <c r="C4591" s="1">
        <v>28856</v>
      </c>
      <c r="D4591">
        <v>47</v>
      </c>
      <c r="E4591" t="s">
        <v>15</v>
      </c>
      <c r="F4591" t="s">
        <v>32</v>
      </c>
      <c r="G4591" s="1">
        <v>45088</v>
      </c>
      <c r="H4591" s="1">
        <v>45581</v>
      </c>
      <c r="I4591">
        <v>13</v>
      </c>
      <c r="J4591" t="s">
        <v>19</v>
      </c>
      <c r="K4591">
        <v>4530.55</v>
      </c>
    </row>
    <row r="4592" spans="1:11">
      <c r="A4592">
        <v>4591</v>
      </c>
      <c r="B4592" t="s">
        <v>108</v>
      </c>
      <c r="C4592" s="1">
        <v>32508</v>
      </c>
      <c r="D4592">
        <v>37</v>
      </c>
      <c r="E4592" t="s">
        <v>15</v>
      </c>
      <c r="F4592" t="s">
        <v>45</v>
      </c>
      <c r="G4592" s="1">
        <v>45323</v>
      </c>
      <c r="H4592" s="1">
        <v>45533</v>
      </c>
      <c r="I4592">
        <v>29</v>
      </c>
      <c r="K4592">
        <v>11714.27</v>
      </c>
    </row>
    <row r="4593" spans="1:11">
      <c r="A4593">
        <v>4592</v>
      </c>
      <c r="B4593" t="s">
        <v>83</v>
      </c>
      <c r="C4593" s="1">
        <v>40178</v>
      </c>
      <c r="D4593">
        <v>16</v>
      </c>
      <c r="E4593" t="s">
        <v>12</v>
      </c>
      <c r="F4593" t="s">
        <v>32</v>
      </c>
      <c r="G4593" s="1">
        <v>45297</v>
      </c>
      <c r="H4593" s="1">
        <v>45591</v>
      </c>
      <c r="I4593">
        <v>9</v>
      </c>
      <c r="J4593" t="s">
        <v>25</v>
      </c>
      <c r="K4593">
        <v>1474.56</v>
      </c>
    </row>
    <row r="4594" spans="1:11">
      <c r="A4594">
        <v>4593</v>
      </c>
      <c r="B4594" t="s">
        <v>70</v>
      </c>
      <c r="C4594" s="1">
        <v>19359</v>
      </c>
      <c r="D4594">
        <v>73</v>
      </c>
      <c r="E4594" t="s">
        <v>15</v>
      </c>
      <c r="F4594" t="s">
        <v>16</v>
      </c>
      <c r="G4594" s="1">
        <v>45489</v>
      </c>
      <c r="H4594" s="1">
        <v>45692</v>
      </c>
      <c r="I4594">
        <v>-1</v>
      </c>
      <c r="J4594" t="s">
        <v>19</v>
      </c>
      <c r="K4594">
        <v>2314.86</v>
      </c>
    </row>
    <row r="4595" spans="1:11">
      <c r="A4595">
        <v>4594</v>
      </c>
      <c r="B4595" t="s">
        <v>142</v>
      </c>
      <c r="C4595" s="1">
        <v>36526</v>
      </c>
      <c r="D4595">
        <v>26</v>
      </c>
      <c r="E4595" t="s">
        <v>12</v>
      </c>
      <c r="F4595" t="s">
        <v>21</v>
      </c>
      <c r="G4595" s="1">
        <v>45141</v>
      </c>
      <c r="H4595" s="1">
        <v>44994</v>
      </c>
      <c r="I4595">
        <v>19</v>
      </c>
      <c r="J4595" t="s">
        <v>19</v>
      </c>
      <c r="K4595">
        <v>13052.22</v>
      </c>
    </row>
    <row r="4596" spans="1:11">
      <c r="A4596">
        <v>4595</v>
      </c>
      <c r="B4596" t="s">
        <v>35</v>
      </c>
      <c r="C4596" s="1">
        <v>26664</v>
      </c>
      <c r="D4596">
        <v>53</v>
      </c>
      <c r="E4596" t="s">
        <v>12</v>
      </c>
      <c r="G4596" s="1">
        <v>44927</v>
      </c>
      <c r="H4596" s="1">
        <v>45103</v>
      </c>
      <c r="I4596">
        <v>23</v>
      </c>
      <c r="J4596" t="s">
        <v>19</v>
      </c>
      <c r="K4596">
        <v>9680.27</v>
      </c>
    </row>
    <row r="4597" spans="1:11">
      <c r="A4597">
        <v>4596</v>
      </c>
      <c r="B4597" t="s">
        <v>82</v>
      </c>
      <c r="C4597" s="1">
        <v>28125</v>
      </c>
      <c r="D4597">
        <v>49</v>
      </c>
      <c r="E4597" t="s">
        <v>15</v>
      </c>
      <c r="G4597" s="1">
        <v>45303</v>
      </c>
      <c r="H4597" s="1">
        <v>45437</v>
      </c>
      <c r="I4597">
        <v>30</v>
      </c>
      <c r="J4597" t="s">
        <v>25</v>
      </c>
      <c r="K4597">
        <v>15142.47</v>
      </c>
    </row>
    <row r="4598" spans="1:11">
      <c r="A4598">
        <v>4597</v>
      </c>
      <c r="B4598" t="s">
        <v>129</v>
      </c>
      <c r="C4598" s="1">
        <v>33604</v>
      </c>
      <c r="D4598">
        <v>34</v>
      </c>
      <c r="E4598" t="s">
        <v>12</v>
      </c>
      <c r="G4598" s="1">
        <v>45338</v>
      </c>
      <c r="H4598" s="1">
        <v>45542</v>
      </c>
      <c r="I4598">
        <v>21</v>
      </c>
      <c r="J4598" t="s">
        <v>19</v>
      </c>
      <c r="K4598">
        <v>8456.1200000000008</v>
      </c>
    </row>
    <row r="4599" spans="1:11">
      <c r="A4599">
        <v>4598</v>
      </c>
      <c r="B4599" t="s">
        <v>164</v>
      </c>
      <c r="C4599" s="1">
        <v>15341</v>
      </c>
      <c r="E4599" t="s">
        <v>15</v>
      </c>
      <c r="G4599" s="1">
        <v>45561</v>
      </c>
      <c r="H4599" s="1">
        <v>45018</v>
      </c>
      <c r="I4599">
        <v>2</v>
      </c>
      <c r="J4599" t="s">
        <v>19</v>
      </c>
      <c r="K4599">
        <v>2464.73</v>
      </c>
    </row>
    <row r="4600" spans="1:11">
      <c r="A4600">
        <v>4599</v>
      </c>
      <c r="B4600" t="s">
        <v>171</v>
      </c>
      <c r="C4600" s="1">
        <v>37256</v>
      </c>
      <c r="D4600">
        <v>24</v>
      </c>
      <c r="E4600" t="s">
        <v>12</v>
      </c>
      <c r="F4600" t="s">
        <v>45</v>
      </c>
      <c r="G4600" s="1">
        <v>45126</v>
      </c>
      <c r="H4600" s="1">
        <v>45632</v>
      </c>
      <c r="I4600">
        <v>18</v>
      </c>
      <c r="K4600">
        <v>17428.28</v>
      </c>
    </row>
    <row r="4601" spans="1:11">
      <c r="A4601">
        <v>4600</v>
      </c>
      <c r="B4601" t="s">
        <v>105</v>
      </c>
      <c r="C4601" s="1">
        <v>36161</v>
      </c>
      <c r="D4601">
        <v>27</v>
      </c>
      <c r="E4601" t="s">
        <v>15</v>
      </c>
      <c r="F4601" t="s">
        <v>18</v>
      </c>
      <c r="G4601" s="1">
        <v>45109</v>
      </c>
      <c r="H4601" s="1">
        <v>45093</v>
      </c>
      <c r="I4601">
        <v>15</v>
      </c>
      <c r="K4601">
        <v>1566.06</v>
      </c>
    </row>
    <row r="4602" spans="1:11">
      <c r="A4602">
        <v>4601</v>
      </c>
      <c r="B4602" t="s">
        <v>157</v>
      </c>
      <c r="C4602" s="1">
        <v>40909</v>
      </c>
      <c r="D4602">
        <v>14</v>
      </c>
      <c r="E4602" t="s">
        <v>15</v>
      </c>
      <c r="F4602" t="s">
        <v>16</v>
      </c>
      <c r="G4602" s="1">
        <v>45336</v>
      </c>
      <c r="H4602" s="1">
        <v>45529</v>
      </c>
      <c r="I4602">
        <v>36</v>
      </c>
      <c r="K4602">
        <v>3698.19</v>
      </c>
    </row>
    <row r="4603" spans="1:11">
      <c r="A4603">
        <v>4602</v>
      </c>
      <c r="B4603" t="s">
        <v>36</v>
      </c>
      <c r="C4603" s="1">
        <v>44927</v>
      </c>
      <c r="D4603">
        <v>3</v>
      </c>
      <c r="E4603" t="s">
        <v>12</v>
      </c>
      <c r="F4603" t="s">
        <v>21</v>
      </c>
      <c r="G4603" s="1">
        <v>45324</v>
      </c>
      <c r="H4603" s="1">
        <v>45765</v>
      </c>
      <c r="I4603">
        <v>2</v>
      </c>
      <c r="J4603" t="s">
        <v>19</v>
      </c>
      <c r="K4603">
        <v>5467.24</v>
      </c>
    </row>
    <row r="4604" spans="1:11">
      <c r="A4604">
        <v>4603</v>
      </c>
      <c r="B4604" t="s">
        <v>58</v>
      </c>
      <c r="C4604" s="1">
        <v>12419</v>
      </c>
      <c r="D4604">
        <v>92</v>
      </c>
      <c r="E4604" t="s">
        <v>12</v>
      </c>
      <c r="F4604" t="s">
        <v>16</v>
      </c>
      <c r="G4604" s="1">
        <v>45142</v>
      </c>
      <c r="H4604" s="1">
        <v>45754</v>
      </c>
      <c r="I4604">
        <v>5</v>
      </c>
      <c r="K4604">
        <v>19905.14</v>
      </c>
    </row>
    <row r="4605" spans="1:11">
      <c r="A4605">
        <v>4604</v>
      </c>
      <c r="B4605" t="s">
        <v>164</v>
      </c>
      <c r="C4605" s="1">
        <v>19724</v>
      </c>
      <c r="D4605">
        <v>72</v>
      </c>
      <c r="E4605" t="s">
        <v>15</v>
      </c>
      <c r="F4605" t="s">
        <v>13</v>
      </c>
      <c r="G4605" s="1">
        <v>45275</v>
      </c>
      <c r="H4605" s="1">
        <v>45707</v>
      </c>
      <c r="I4605">
        <v>18</v>
      </c>
      <c r="J4605" t="s">
        <v>23</v>
      </c>
      <c r="K4605">
        <v>8278.8799999999992</v>
      </c>
    </row>
    <row r="4606" spans="1:11">
      <c r="A4606">
        <v>4605</v>
      </c>
      <c r="B4606" t="s">
        <v>61</v>
      </c>
      <c r="C4606" s="1">
        <v>36526</v>
      </c>
      <c r="D4606">
        <v>26</v>
      </c>
      <c r="E4606" t="s">
        <v>12</v>
      </c>
      <c r="F4606" t="s">
        <v>13</v>
      </c>
      <c r="G4606" s="1">
        <v>45506</v>
      </c>
      <c r="H4606" s="1">
        <v>45365</v>
      </c>
      <c r="I4606">
        <v>2</v>
      </c>
      <c r="K4606">
        <v>9984.34</v>
      </c>
    </row>
    <row r="4607" spans="1:11">
      <c r="A4607">
        <v>4606</v>
      </c>
      <c r="B4607" t="s">
        <v>129</v>
      </c>
      <c r="C4607" s="1">
        <v>36891</v>
      </c>
      <c r="D4607">
        <v>25</v>
      </c>
      <c r="E4607" t="s">
        <v>15</v>
      </c>
      <c r="F4607" t="s">
        <v>13</v>
      </c>
      <c r="G4607" s="1">
        <v>45520</v>
      </c>
      <c r="H4607" s="1">
        <v>44978</v>
      </c>
      <c r="I4607">
        <v>10</v>
      </c>
      <c r="K4607">
        <v>15370.9</v>
      </c>
    </row>
    <row r="4608" spans="1:11">
      <c r="A4608">
        <v>4607</v>
      </c>
      <c r="B4608" t="s">
        <v>36</v>
      </c>
      <c r="C4608" s="1">
        <v>39448</v>
      </c>
      <c r="D4608">
        <v>18</v>
      </c>
      <c r="E4608" t="s">
        <v>12</v>
      </c>
      <c r="F4608" t="s">
        <v>18</v>
      </c>
      <c r="G4608" s="1">
        <v>45580</v>
      </c>
      <c r="H4608" s="1">
        <v>45605</v>
      </c>
      <c r="I4608">
        <v>16</v>
      </c>
      <c r="J4608" t="s">
        <v>19</v>
      </c>
      <c r="K4608">
        <v>12691.95</v>
      </c>
    </row>
    <row r="4609" spans="1:11">
      <c r="A4609">
        <v>4608</v>
      </c>
      <c r="B4609" t="s">
        <v>54</v>
      </c>
      <c r="D4609">
        <v>91</v>
      </c>
      <c r="E4609" t="s">
        <v>12</v>
      </c>
      <c r="F4609" t="s">
        <v>32</v>
      </c>
      <c r="G4609" s="1">
        <v>44967</v>
      </c>
      <c r="H4609" s="1">
        <v>45613</v>
      </c>
      <c r="I4609">
        <v>26</v>
      </c>
      <c r="J4609" t="s">
        <v>23</v>
      </c>
      <c r="K4609">
        <v>16812.560000000001</v>
      </c>
    </row>
    <row r="4610" spans="1:11">
      <c r="A4610">
        <v>4609</v>
      </c>
      <c r="B4610" t="s">
        <v>76</v>
      </c>
      <c r="C4610" s="1">
        <v>40178</v>
      </c>
      <c r="D4610">
        <v>16</v>
      </c>
      <c r="E4610" t="s">
        <v>15</v>
      </c>
      <c r="F4610" t="s">
        <v>45</v>
      </c>
      <c r="G4610" s="1">
        <v>44929</v>
      </c>
      <c r="H4610" s="1">
        <v>45666</v>
      </c>
      <c r="I4610">
        <v>-1</v>
      </c>
      <c r="K4610">
        <v>9677.31</v>
      </c>
    </row>
    <row r="4611" spans="1:11">
      <c r="A4611">
        <v>4610</v>
      </c>
      <c r="B4611" t="s">
        <v>47</v>
      </c>
      <c r="C4611" s="1">
        <v>30682</v>
      </c>
      <c r="D4611">
        <v>42</v>
      </c>
      <c r="E4611" t="s">
        <v>15</v>
      </c>
      <c r="G4611" s="1">
        <v>45020</v>
      </c>
      <c r="H4611" s="1">
        <v>45193</v>
      </c>
      <c r="I4611">
        <v>34</v>
      </c>
      <c r="J4611" t="s">
        <v>19</v>
      </c>
      <c r="K4611">
        <v>19440.77</v>
      </c>
    </row>
    <row r="4612" spans="1:11">
      <c r="A4612">
        <v>4611</v>
      </c>
      <c r="B4612" t="s">
        <v>26</v>
      </c>
      <c r="C4612" s="1">
        <v>31412</v>
      </c>
      <c r="D4612">
        <v>40</v>
      </c>
      <c r="E4612" t="s">
        <v>15</v>
      </c>
      <c r="F4612" t="s">
        <v>18</v>
      </c>
      <c r="G4612" s="1">
        <v>44985</v>
      </c>
      <c r="H4612" s="1">
        <v>45448</v>
      </c>
      <c r="I4612">
        <v>23</v>
      </c>
      <c r="J4612" t="s">
        <v>23</v>
      </c>
      <c r="K4612">
        <v>15915.93</v>
      </c>
    </row>
    <row r="4613" spans="1:11">
      <c r="A4613">
        <v>4612</v>
      </c>
      <c r="B4613" t="s">
        <v>108</v>
      </c>
      <c r="C4613" s="1">
        <v>31047</v>
      </c>
      <c r="D4613">
        <v>41</v>
      </c>
      <c r="E4613" t="s">
        <v>15</v>
      </c>
      <c r="F4613" t="s">
        <v>21</v>
      </c>
      <c r="G4613" s="1">
        <v>45333</v>
      </c>
      <c r="H4613" s="1">
        <v>45014</v>
      </c>
      <c r="I4613">
        <v>26</v>
      </c>
      <c r="K4613">
        <v>7967.44</v>
      </c>
    </row>
    <row r="4614" spans="1:11">
      <c r="A4614">
        <v>4613</v>
      </c>
      <c r="B4614" t="s">
        <v>47</v>
      </c>
      <c r="C4614" s="1">
        <v>28125</v>
      </c>
      <c r="D4614">
        <v>49</v>
      </c>
      <c r="E4614" t="s">
        <v>15</v>
      </c>
      <c r="F4614" t="s">
        <v>21</v>
      </c>
      <c r="G4614" s="1">
        <v>44944</v>
      </c>
      <c r="H4614" s="1">
        <v>45533</v>
      </c>
      <c r="I4614">
        <v>2</v>
      </c>
      <c r="J4614" t="s">
        <v>19</v>
      </c>
      <c r="K4614">
        <v>7563.56</v>
      </c>
    </row>
    <row r="4615" spans="1:11">
      <c r="A4615">
        <v>4614</v>
      </c>
      <c r="B4615" t="s">
        <v>164</v>
      </c>
      <c r="C4615" s="1">
        <v>15707</v>
      </c>
      <c r="D4615">
        <v>83</v>
      </c>
      <c r="E4615" t="s">
        <v>12</v>
      </c>
      <c r="F4615" t="s">
        <v>13</v>
      </c>
      <c r="G4615" s="1">
        <v>45420</v>
      </c>
      <c r="H4615" s="1">
        <v>44979</v>
      </c>
      <c r="I4615">
        <v>29</v>
      </c>
      <c r="J4615" t="s">
        <v>23</v>
      </c>
      <c r="K4615">
        <v>18582.77</v>
      </c>
    </row>
    <row r="4616" spans="1:11">
      <c r="A4616">
        <v>4615</v>
      </c>
      <c r="B4616" t="s">
        <v>146</v>
      </c>
      <c r="C4616" s="1">
        <v>31778</v>
      </c>
      <c r="D4616">
        <v>39</v>
      </c>
      <c r="F4616" t="s">
        <v>45</v>
      </c>
      <c r="G4616" s="1">
        <v>45434</v>
      </c>
      <c r="H4616" s="1">
        <v>45106</v>
      </c>
      <c r="I4616">
        <v>35</v>
      </c>
      <c r="K4616">
        <v>13656.75</v>
      </c>
    </row>
    <row r="4617" spans="1:11">
      <c r="A4617">
        <v>4616</v>
      </c>
      <c r="B4617" t="s">
        <v>134</v>
      </c>
      <c r="C4617" s="1">
        <v>32143</v>
      </c>
      <c r="D4617">
        <v>38</v>
      </c>
      <c r="E4617" t="s">
        <v>15</v>
      </c>
      <c r="F4617" t="s">
        <v>13</v>
      </c>
      <c r="G4617" s="1">
        <v>45512</v>
      </c>
      <c r="H4617" s="1">
        <v>45205</v>
      </c>
      <c r="I4617">
        <v>-1</v>
      </c>
      <c r="J4617" t="s">
        <v>23</v>
      </c>
      <c r="K4617">
        <v>12390.82</v>
      </c>
    </row>
    <row r="4618" spans="1:11">
      <c r="A4618">
        <v>4617</v>
      </c>
      <c r="B4618" t="s">
        <v>121</v>
      </c>
      <c r="C4618" s="1">
        <v>37987</v>
      </c>
      <c r="D4618">
        <v>22</v>
      </c>
      <c r="E4618" t="s">
        <v>12</v>
      </c>
      <c r="F4618" t="s">
        <v>21</v>
      </c>
      <c r="G4618" s="1">
        <v>45258</v>
      </c>
      <c r="H4618" s="1">
        <v>45166</v>
      </c>
      <c r="I4618">
        <v>2</v>
      </c>
      <c r="J4618" t="s">
        <v>23</v>
      </c>
      <c r="K4618">
        <v>15132.4</v>
      </c>
    </row>
    <row r="4619" spans="1:11">
      <c r="A4619">
        <v>4618</v>
      </c>
      <c r="B4619" t="s">
        <v>166</v>
      </c>
      <c r="C4619" s="1">
        <v>27395</v>
      </c>
      <c r="D4619">
        <v>51</v>
      </c>
      <c r="E4619" t="s">
        <v>12</v>
      </c>
      <c r="F4619" t="s">
        <v>21</v>
      </c>
      <c r="G4619" s="1">
        <v>45095</v>
      </c>
      <c r="H4619" s="1">
        <v>45512</v>
      </c>
      <c r="I4619">
        <v>30</v>
      </c>
      <c r="J4619" t="s">
        <v>19</v>
      </c>
      <c r="K4619">
        <v>11172.76</v>
      </c>
    </row>
    <row r="4620" spans="1:11">
      <c r="A4620">
        <v>4619</v>
      </c>
      <c r="B4620" t="s">
        <v>74</v>
      </c>
      <c r="C4620" s="1">
        <v>29221</v>
      </c>
      <c r="D4620">
        <v>46</v>
      </c>
      <c r="E4620" t="s">
        <v>12</v>
      </c>
      <c r="G4620" s="1">
        <v>45598</v>
      </c>
      <c r="H4620" s="1">
        <v>45266</v>
      </c>
      <c r="I4620">
        <v>32</v>
      </c>
      <c r="J4620" t="s">
        <v>25</v>
      </c>
      <c r="K4620">
        <v>3099.25</v>
      </c>
    </row>
    <row r="4621" spans="1:11">
      <c r="A4621">
        <v>4620</v>
      </c>
      <c r="B4621" t="s">
        <v>69</v>
      </c>
      <c r="C4621" s="1">
        <v>23377</v>
      </c>
      <c r="D4621">
        <v>62</v>
      </c>
      <c r="E4621" t="s">
        <v>12</v>
      </c>
      <c r="F4621" t="s">
        <v>32</v>
      </c>
      <c r="G4621" s="1">
        <v>45607</v>
      </c>
      <c r="H4621" s="1">
        <v>44999</v>
      </c>
      <c r="I4621">
        <v>16</v>
      </c>
      <c r="J4621" t="s">
        <v>23</v>
      </c>
      <c r="K4621">
        <v>6316.23</v>
      </c>
    </row>
    <row r="4622" spans="1:11">
      <c r="A4622">
        <v>4621</v>
      </c>
      <c r="B4622" t="s">
        <v>22</v>
      </c>
      <c r="C4622" s="1">
        <v>21185</v>
      </c>
      <c r="D4622">
        <v>68</v>
      </c>
      <c r="E4622" t="s">
        <v>12</v>
      </c>
      <c r="G4622" s="1">
        <v>45132</v>
      </c>
      <c r="H4622" s="1">
        <v>45301</v>
      </c>
      <c r="I4622">
        <v>12</v>
      </c>
      <c r="J4622" t="s">
        <v>23</v>
      </c>
      <c r="K4622">
        <v>11114.69</v>
      </c>
    </row>
    <row r="4623" spans="1:11">
      <c r="A4623">
        <v>4622</v>
      </c>
      <c r="B4623" t="s">
        <v>84</v>
      </c>
      <c r="C4623" s="1">
        <v>30682</v>
      </c>
      <c r="D4623">
        <v>42</v>
      </c>
      <c r="E4623" t="s">
        <v>15</v>
      </c>
      <c r="F4623" t="s">
        <v>32</v>
      </c>
      <c r="G4623" s="1">
        <v>45447</v>
      </c>
      <c r="H4623" s="1">
        <v>45507</v>
      </c>
      <c r="I4623">
        <v>32</v>
      </c>
      <c r="J4623" t="s">
        <v>23</v>
      </c>
      <c r="K4623">
        <v>265.17</v>
      </c>
    </row>
    <row r="4624" spans="1:11">
      <c r="A4624">
        <v>4623</v>
      </c>
      <c r="B4624" t="s">
        <v>60</v>
      </c>
      <c r="C4624" s="1">
        <v>28856</v>
      </c>
      <c r="D4624">
        <v>47</v>
      </c>
      <c r="E4624" t="s">
        <v>15</v>
      </c>
      <c r="G4624" s="1">
        <v>45431</v>
      </c>
      <c r="H4624" s="1">
        <v>45444</v>
      </c>
      <c r="I4624">
        <v>5</v>
      </c>
      <c r="J4624" t="s">
        <v>23</v>
      </c>
      <c r="K4624">
        <v>8690.75</v>
      </c>
    </row>
    <row r="4625" spans="1:11">
      <c r="A4625">
        <v>4624</v>
      </c>
      <c r="B4625" t="s">
        <v>31</v>
      </c>
      <c r="C4625" s="1">
        <v>33969</v>
      </c>
      <c r="D4625">
        <v>33</v>
      </c>
      <c r="E4625" t="s">
        <v>15</v>
      </c>
      <c r="F4625" t="s">
        <v>32</v>
      </c>
      <c r="G4625" s="1">
        <v>45272</v>
      </c>
      <c r="H4625" s="1">
        <v>45778</v>
      </c>
      <c r="I4625">
        <v>-2</v>
      </c>
      <c r="J4625" t="s">
        <v>23</v>
      </c>
      <c r="K4625">
        <v>15091.64</v>
      </c>
    </row>
    <row r="4626" spans="1:11">
      <c r="A4626">
        <v>4625</v>
      </c>
      <c r="B4626" t="s">
        <v>51</v>
      </c>
      <c r="C4626" s="1">
        <v>31778</v>
      </c>
      <c r="D4626">
        <v>39</v>
      </c>
      <c r="E4626" t="s">
        <v>15</v>
      </c>
      <c r="F4626" t="s">
        <v>13</v>
      </c>
      <c r="G4626" s="1">
        <v>45230</v>
      </c>
      <c r="H4626" s="1">
        <v>45165</v>
      </c>
      <c r="I4626">
        <v>35</v>
      </c>
      <c r="J4626" t="s">
        <v>25</v>
      </c>
      <c r="K4626">
        <v>3201.1</v>
      </c>
    </row>
    <row r="4627" spans="1:11">
      <c r="A4627">
        <v>4626</v>
      </c>
      <c r="B4627" t="s">
        <v>160</v>
      </c>
      <c r="C4627" s="1">
        <v>18994</v>
      </c>
      <c r="D4627">
        <v>74</v>
      </c>
      <c r="E4627" t="s">
        <v>15</v>
      </c>
      <c r="F4627" t="s">
        <v>16</v>
      </c>
      <c r="G4627" s="1">
        <v>45041</v>
      </c>
      <c r="H4627" s="1">
        <v>45393</v>
      </c>
      <c r="I4627">
        <v>19</v>
      </c>
      <c r="J4627" t="s">
        <v>19</v>
      </c>
      <c r="K4627">
        <v>1197.6300000000001</v>
      </c>
    </row>
    <row r="4628" spans="1:11">
      <c r="A4628">
        <v>4627</v>
      </c>
      <c r="B4628" t="s">
        <v>64</v>
      </c>
      <c r="C4628" s="1">
        <v>24107</v>
      </c>
      <c r="D4628">
        <v>60</v>
      </c>
      <c r="E4628" t="s">
        <v>12</v>
      </c>
      <c r="F4628" t="s">
        <v>45</v>
      </c>
      <c r="G4628" s="1">
        <v>45590</v>
      </c>
      <c r="H4628" s="1">
        <v>45048</v>
      </c>
      <c r="I4628">
        <v>14</v>
      </c>
      <c r="J4628" t="s">
        <v>25</v>
      </c>
      <c r="K4628">
        <v>16704.189999999999</v>
      </c>
    </row>
    <row r="4629" spans="1:11">
      <c r="A4629">
        <v>4628</v>
      </c>
      <c r="B4629" t="s">
        <v>153</v>
      </c>
      <c r="C4629" s="1">
        <v>28125</v>
      </c>
      <c r="D4629">
        <v>49</v>
      </c>
      <c r="E4629" t="s">
        <v>15</v>
      </c>
      <c r="F4629" t="s">
        <v>32</v>
      </c>
      <c r="G4629" s="1">
        <v>45013</v>
      </c>
      <c r="H4629" s="1">
        <v>45340</v>
      </c>
      <c r="I4629">
        <v>13</v>
      </c>
      <c r="J4629" t="s">
        <v>19</v>
      </c>
      <c r="K4629">
        <v>12307.2</v>
      </c>
    </row>
    <row r="4630" spans="1:11">
      <c r="A4630">
        <v>4629</v>
      </c>
      <c r="B4630" t="s">
        <v>131</v>
      </c>
      <c r="C4630" s="1">
        <v>21916</v>
      </c>
      <c r="D4630">
        <v>66</v>
      </c>
      <c r="E4630" t="s">
        <v>12</v>
      </c>
      <c r="F4630" t="s">
        <v>18</v>
      </c>
      <c r="G4630" s="1">
        <v>45021</v>
      </c>
      <c r="H4630" s="1">
        <v>45650</v>
      </c>
      <c r="I4630">
        <v>-2</v>
      </c>
      <c r="J4630" t="s">
        <v>25</v>
      </c>
      <c r="K4630">
        <v>3449.24</v>
      </c>
    </row>
    <row r="4631" spans="1:11">
      <c r="A4631">
        <v>4630</v>
      </c>
      <c r="B4631" t="s">
        <v>164</v>
      </c>
      <c r="C4631" s="1">
        <v>23742</v>
      </c>
      <c r="D4631">
        <v>61</v>
      </c>
      <c r="E4631" t="s">
        <v>15</v>
      </c>
      <c r="F4631" t="s">
        <v>32</v>
      </c>
      <c r="G4631" s="1">
        <v>45354</v>
      </c>
      <c r="H4631" s="1">
        <v>45701</v>
      </c>
      <c r="I4631">
        <v>0</v>
      </c>
      <c r="J4631" t="s">
        <v>19</v>
      </c>
      <c r="K4631">
        <v>16106.73</v>
      </c>
    </row>
    <row r="4632" spans="1:11">
      <c r="A4632">
        <v>4631</v>
      </c>
      <c r="B4632" t="s">
        <v>105</v>
      </c>
      <c r="C4632" s="1">
        <v>25203</v>
      </c>
      <c r="D4632">
        <v>57</v>
      </c>
      <c r="E4632" t="s">
        <v>12</v>
      </c>
      <c r="F4632" t="s">
        <v>13</v>
      </c>
      <c r="G4632" s="1">
        <v>45624</v>
      </c>
      <c r="H4632" s="1">
        <v>45764</v>
      </c>
      <c r="I4632">
        <v>3</v>
      </c>
      <c r="K4632">
        <v>13128.4</v>
      </c>
    </row>
    <row r="4633" spans="1:11">
      <c r="A4633">
        <v>4632</v>
      </c>
      <c r="B4633" t="s">
        <v>122</v>
      </c>
      <c r="C4633" s="1">
        <v>34334</v>
      </c>
      <c r="D4633">
        <v>32</v>
      </c>
      <c r="E4633" t="s">
        <v>12</v>
      </c>
      <c r="F4633" t="s">
        <v>45</v>
      </c>
      <c r="G4633" s="1">
        <v>45376</v>
      </c>
      <c r="H4633" s="1">
        <v>45497</v>
      </c>
      <c r="I4633">
        <v>0</v>
      </c>
      <c r="J4633" t="s">
        <v>23</v>
      </c>
      <c r="K4633">
        <v>6615.8</v>
      </c>
    </row>
    <row r="4634" spans="1:11">
      <c r="A4634">
        <v>4633</v>
      </c>
      <c r="B4634" t="s">
        <v>48</v>
      </c>
      <c r="C4634" s="1">
        <v>18994</v>
      </c>
      <c r="D4634">
        <v>74</v>
      </c>
      <c r="E4634" t="s">
        <v>15</v>
      </c>
      <c r="F4634" t="s">
        <v>32</v>
      </c>
      <c r="G4634" s="1">
        <v>45552</v>
      </c>
      <c r="H4634" s="1">
        <v>44970</v>
      </c>
      <c r="I4634">
        <v>27</v>
      </c>
      <c r="J4634" t="s">
        <v>19</v>
      </c>
      <c r="K4634">
        <v>7461.55</v>
      </c>
    </row>
    <row r="4635" spans="1:11">
      <c r="A4635">
        <v>4634</v>
      </c>
      <c r="B4635" t="s">
        <v>34</v>
      </c>
      <c r="C4635" s="1">
        <v>40544</v>
      </c>
      <c r="D4635">
        <v>15</v>
      </c>
      <c r="E4635" t="s">
        <v>15</v>
      </c>
      <c r="G4635" s="1">
        <v>45467</v>
      </c>
      <c r="H4635" s="1">
        <v>45431</v>
      </c>
      <c r="I4635">
        <v>8</v>
      </c>
      <c r="J4635" t="s">
        <v>19</v>
      </c>
      <c r="K4635">
        <v>3033.35</v>
      </c>
    </row>
    <row r="4636" spans="1:11">
      <c r="A4636">
        <v>4635</v>
      </c>
      <c r="B4636" t="s">
        <v>99</v>
      </c>
      <c r="C4636" s="1">
        <v>16437</v>
      </c>
      <c r="D4636">
        <v>81</v>
      </c>
      <c r="E4636" t="s">
        <v>12</v>
      </c>
      <c r="F4636" t="s">
        <v>45</v>
      </c>
      <c r="G4636" s="1">
        <v>45641</v>
      </c>
      <c r="H4636" s="1">
        <v>45124</v>
      </c>
      <c r="I4636">
        <v>24</v>
      </c>
      <c r="J4636" t="s">
        <v>23</v>
      </c>
      <c r="K4636">
        <v>16688.64</v>
      </c>
    </row>
    <row r="4637" spans="1:11">
      <c r="A4637">
        <v>4636</v>
      </c>
      <c r="B4637" t="s">
        <v>114</v>
      </c>
      <c r="C4637" s="1">
        <v>12054</v>
      </c>
      <c r="D4637">
        <v>93</v>
      </c>
      <c r="E4637" t="s">
        <v>15</v>
      </c>
      <c r="F4637" t="s">
        <v>18</v>
      </c>
      <c r="G4637" s="1">
        <v>44928</v>
      </c>
      <c r="H4637" s="1">
        <v>44999</v>
      </c>
      <c r="I4637">
        <v>19</v>
      </c>
      <c r="K4637">
        <v>10131.030000000001</v>
      </c>
    </row>
    <row r="4638" spans="1:11">
      <c r="A4638">
        <v>4637</v>
      </c>
      <c r="B4638" t="s">
        <v>171</v>
      </c>
      <c r="C4638" s="1">
        <v>28856</v>
      </c>
      <c r="D4638">
        <v>47</v>
      </c>
      <c r="E4638" t="s">
        <v>15</v>
      </c>
      <c r="F4638" t="s">
        <v>21</v>
      </c>
      <c r="G4638" s="1">
        <v>45004</v>
      </c>
      <c r="H4638" s="1">
        <v>45018</v>
      </c>
      <c r="I4638">
        <v>3</v>
      </c>
      <c r="J4638" t="s">
        <v>23</v>
      </c>
      <c r="K4638">
        <v>11096.08</v>
      </c>
    </row>
    <row r="4639" spans="1:11">
      <c r="A4639">
        <v>4638</v>
      </c>
      <c r="B4639" t="s">
        <v>53</v>
      </c>
      <c r="C4639" s="1">
        <v>42735</v>
      </c>
      <c r="D4639">
        <v>9</v>
      </c>
      <c r="E4639" t="s">
        <v>15</v>
      </c>
      <c r="G4639" s="1">
        <v>45250</v>
      </c>
      <c r="H4639" s="1">
        <v>45476</v>
      </c>
      <c r="I4639">
        <v>35</v>
      </c>
      <c r="J4639" t="s">
        <v>19</v>
      </c>
      <c r="K4639">
        <v>17658.189999999999</v>
      </c>
    </row>
    <row r="4640" spans="1:11">
      <c r="A4640">
        <v>4639</v>
      </c>
      <c r="B4640" t="s">
        <v>116</v>
      </c>
      <c r="C4640" s="1">
        <v>16437</v>
      </c>
      <c r="D4640">
        <v>81</v>
      </c>
      <c r="E4640" t="s">
        <v>12</v>
      </c>
      <c r="F4640" t="s">
        <v>45</v>
      </c>
      <c r="G4640" s="1">
        <v>45024</v>
      </c>
      <c r="H4640" s="1">
        <v>45418</v>
      </c>
      <c r="I4640">
        <v>38</v>
      </c>
      <c r="J4640" t="s">
        <v>19</v>
      </c>
      <c r="K4640">
        <v>218.2</v>
      </c>
    </row>
    <row r="4641" spans="1:11">
      <c r="A4641">
        <v>4640</v>
      </c>
      <c r="B4641" t="s">
        <v>111</v>
      </c>
      <c r="C4641" s="1">
        <v>32508</v>
      </c>
      <c r="D4641">
        <v>37</v>
      </c>
      <c r="E4641" t="s">
        <v>12</v>
      </c>
      <c r="F4641" t="s">
        <v>16</v>
      </c>
      <c r="G4641" s="1">
        <v>45555</v>
      </c>
      <c r="H4641" s="1">
        <v>45753</v>
      </c>
      <c r="I4641">
        <v>28</v>
      </c>
      <c r="J4641" t="s">
        <v>23</v>
      </c>
      <c r="K4641">
        <v>1245.1500000000001</v>
      </c>
    </row>
    <row r="4642" spans="1:11">
      <c r="A4642">
        <v>4641</v>
      </c>
      <c r="B4642" t="s">
        <v>36</v>
      </c>
      <c r="C4642" s="1">
        <v>39448</v>
      </c>
      <c r="D4642">
        <v>18</v>
      </c>
      <c r="E4642" t="s">
        <v>12</v>
      </c>
      <c r="F4642" t="s">
        <v>32</v>
      </c>
      <c r="G4642" s="1">
        <v>45036</v>
      </c>
      <c r="H4642" s="1">
        <v>45676</v>
      </c>
      <c r="I4642">
        <v>3</v>
      </c>
      <c r="J4642" t="s">
        <v>25</v>
      </c>
      <c r="K4642">
        <v>3147.74</v>
      </c>
    </row>
    <row r="4643" spans="1:11">
      <c r="A4643">
        <v>4642</v>
      </c>
      <c r="B4643" t="s">
        <v>86</v>
      </c>
      <c r="C4643" s="1">
        <v>33239</v>
      </c>
      <c r="D4643">
        <v>35</v>
      </c>
      <c r="E4643" t="s">
        <v>12</v>
      </c>
      <c r="G4643" s="1">
        <v>45605</v>
      </c>
      <c r="H4643" s="1">
        <v>45310</v>
      </c>
      <c r="I4643">
        <v>17</v>
      </c>
      <c r="J4643" t="s">
        <v>23</v>
      </c>
      <c r="K4643">
        <v>503.76</v>
      </c>
    </row>
    <row r="4644" spans="1:11">
      <c r="A4644">
        <v>4643</v>
      </c>
      <c r="B4644" t="s">
        <v>96</v>
      </c>
      <c r="C4644" s="1">
        <v>24838</v>
      </c>
      <c r="E4644" t="s">
        <v>12</v>
      </c>
      <c r="F4644" t="s">
        <v>13</v>
      </c>
      <c r="G4644" s="1">
        <v>45383</v>
      </c>
      <c r="H4644" s="1">
        <v>45732</v>
      </c>
      <c r="I4644">
        <v>38</v>
      </c>
      <c r="J4644" t="s">
        <v>19</v>
      </c>
      <c r="K4644">
        <v>13128.94</v>
      </c>
    </row>
    <row r="4645" spans="1:11">
      <c r="A4645">
        <v>4644</v>
      </c>
      <c r="B4645" t="s">
        <v>127</v>
      </c>
      <c r="C4645" s="1">
        <v>23377</v>
      </c>
      <c r="D4645">
        <v>62</v>
      </c>
      <c r="E4645" t="s">
        <v>12</v>
      </c>
      <c r="F4645" t="s">
        <v>16</v>
      </c>
      <c r="G4645" s="1">
        <v>45414</v>
      </c>
      <c r="H4645" s="1">
        <v>45393</v>
      </c>
      <c r="I4645">
        <v>8</v>
      </c>
      <c r="J4645" t="s">
        <v>19</v>
      </c>
      <c r="K4645">
        <v>12640.98</v>
      </c>
    </row>
    <row r="4646" spans="1:11">
      <c r="A4646">
        <v>4645</v>
      </c>
      <c r="B4646" t="s">
        <v>47</v>
      </c>
      <c r="C4646" s="1">
        <v>18263</v>
      </c>
      <c r="D4646">
        <v>76</v>
      </c>
      <c r="F4646" t="s">
        <v>16</v>
      </c>
      <c r="G4646" s="1">
        <v>45297</v>
      </c>
      <c r="H4646" s="1">
        <v>45081</v>
      </c>
      <c r="I4646">
        <v>-1</v>
      </c>
      <c r="J4646" t="s">
        <v>19</v>
      </c>
      <c r="K4646">
        <v>4137.12</v>
      </c>
    </row>
    <row r="4647" spans="1:11">
      <c r="A4647">
        <v>4646</v>
      </c>
      <c r="B4647" t="s">
        <v>150</v>
      </c>
      <c r="C4647" s="1">
        <v>29586</v>
      </c>
      <c r="D4647">
        <v>45</v>
      </c>
      <c r="E4647" t="s">
        <v>15</v>
      </c>
      <c r="F4647" t="s">
        <v>13</v>
      </c>
      <c r="G4647" s="1">
        <v>45263</v>
      </c>
      <c r="H4647" s="1">
        <v>45097</v>
      </c>
      <c r="I4647">
        <v>28</v>
      </c>
      <c r="K4647">
        <v>2903.07</v>
      </c>
    </row>
    <row r="4648" spans="1:11">
      <c r="A4648">
        <v>4647</v>
      </c>
      <c r="B4648" t="s">
        <v>55</v>
      </c>
      <c r="C4648" s="1">
        <v>45292</v>
      </c>
      <c r="E4648" t="s">
        <v>15</v>
      </c>
      <c r="F4648" t="s">
        <v>13</v>
      </c>
      <c r="G4648" s="1">
        <v>45525</v>
      </c>
      <c r="H4648" s="1">
        <v>45199</v>
      </c>
      <c r="I4648">
        <v>35</v>
      </c>
      <c r="J4648" t="s">
        <v>23</v>
      </c>
      <c r="K4648">
        <v>2828.26</v>
      </c>
    </row>
    <row r="4649" spans="1:11">
      <c r="A4649">
        <v>4648</v>
      </c>
      <c r="B4649" t="s">
        <v>33</v>
      </c>
      <c r="C4649" s="1">
        <v>19359</v>
      </c>
      <c r="D4649">
        <v>73</v>
      </c>
      <c r="E4649" t="s">
        <v>12</v>
      </c>
      <c r="F4649" t="s">
        <v>13</v>
      </c>
      <c r="G4649" s="1">
        <v>44948</v>
      </c>
      <c r="H4649" s="1">
        <v>45037</v>
      </c>
      <c r="I4649">
        <v>23</v>
      </c>
      <c r="K4649">
        <v>19060.150000000001</v>
      </c>
    </row>
    <row r="4650" spans="1:11">
      <c r="A4650">
        <v>4649</v>
      </c>
      <c r="B4650" t="s">
        <v>65</v>
      </c>
      <c r="C4650" s="1">
        <v>22646</v>
      </c>
      <c r="D4650">
        <v>64</v>
      </c>
      <c r="E4650" t="s">
        <v>12</v>
      </c>
      <c r="F4650" t="s">
        <v>16</v>
      </c>
      <c r="G4650" s="1">
        <v>45648</v>
      </c>
      <c r="H4650" s="1">
        <v>45078</v>
      </c>
      <c r="I4650">
        <v>24</v>
      </c>
      <c r="J4650" t="s">
        <v>23</v>
      </c>
      <c r="K4650">
        <v>13839.44</v>
      </c>
    </row>
    <row r="4651" spans="1:11">
      <c r="A4651">
        <v>4650</v>
      </c>
      <c r="B4651" t="s">
        <v>98</v>
      </c>
      <c r="C4651" s="1">
        <v>13150</v>
      </c>
      <c r="E4651" t="s">
        <v>15</v>
      </c>
      <c r="F4651" t="s">
        <v>45</v>
      </c>
      <c r="G4651" s="1">
        <v>45231</v>
      </c>
      <c r="H4651" s="1">
        <v>45358</v>
      </c>
      <c r="I4651">
        <v>28</v>
      </c>
      <c r="K4651">
        <v>11667.12</v>
      </c>
    </row>
    <row r="4652" spans="1:11">
      <c r="A4652">
        <v>4651</v>
      </c>
      <c r="B4652" t="s">
        <v>166</v>
      </c>
      <c r="C4652" s="1">
        <v>43466</v>
      </c>
      <c r="D4652">
        <v>7</v>
      </c>
      <c r="E4652" t="s">
        <v>15</v>
      </c>
      <c r="F4652" t="s">
        <v>13</v>
      </c>
      <c r="G4652" s="1">
        <v>45198</v>
      </c>
      <c r="H4652" s="1">
        <v>45378</v>
      </c>
      <c r="I4652">
        <v>21</v>
      </c>
      <c r="J4652" t="s">
        <v>25</v>
      </c>
      <c r="K4652">
        <v>6381.99</v>
      </c>
    </row>
    <row r="4653" spans="1:11">
      <c r="A4653">
        <v>4652</v>
      </c>
      <c r="B4653" t="s">
        <v>40</v>
      </c>
      <c r="C4653" s="1">
        <v>27760</v>
      </c>
      <c r="D4653">
        <v>50</v>
      </c>
      <c r="E4653" t="s">
        <v>12</v>
      </c>
      <c r="F4653" t="s">
        <v>21</v>
      </c>
      <c r="G4653" s="1">
        <v>45416</v>
      </c>
      <c r="H4653" s="1">
        <v>45570</v>
      </c>
      <c r="I4653">
        <v>10</v>
      </c>
      <c r="J4653" t="s">
        <v>19</v>
      </c>
      <c r="K4653">
        <v>8604.17</v>
      </c>
    </row>
    <row r="4654" spans="1:11">
      <c r="A4654">
        <v>4653</v>
      </c>
      <c r="B4654" t="s">
        <v>44</v>
      </c>
      <c r="C4654" s="1">
        <v>16802</v>
      </c>
      <c r="D4654">
        <v>80</v>
      </c>
      <c r="E4654" t="s">
        <v>12</v>
      </c>
      <c r="F4654" t="s">
        <v>16</v>
      </c>
      <c r="G4654" s="1">
        <v>45372</v>
      </c>
      <c r="H4654" s="1">
        <v>45707</v>
      </c>
      <c r="I4654">
        <v>22</v>
      </c>
      <c r="J4654" t="s">
        <v>19</v>
      </c>
      <c r="K4654">
        <v>1697.06</v>
      </c>
    </row>
    <row r="4655" spans="1:11">
      <c r="A4655">
        <v>4654</v>
      </c>
      <c r="B4655" t="s">
        <v>144</v>
      </c>
      <c r="C4655" s="1">
        <v>19724</v>
      </c>
      <c r="D4655">
        <v>72</v>
      </c>
      <c r="E4655" t="s">
        <v>15</v>
      </c>
      <c r="F4655" t="s">
        <v>16</v>
      </c>
      <c r="G4655" s="1">
        <v>45204</v>
      </c>
      <c r="H4655" s="1">
        <v>44950</v>
      </c>
      <c r="I4655">
        <v>34</v>
      </c>
      <c r="J4655" t="s">
        <v>23</v>
      </c>
      <c r="K4655">
        <v>19962.849999999999</v>
      </c>
    </row>
    <row r="4656" spans="1:11">
      <c r="A4656">
        <v>4655</v>
      </c>
      <c r="B4656" t="s">
        <v>86</v>
      </c>
      <c r="D4656">
        <v>5</v>
      </c>
      <c r="E4656" t="s">
        <v>12</v>
      </c>
      <c r="F4656" t="s">
        <v>16</v>
      </c>
      <c r="G4656" s="1">
        <v>45577</v>
      </c>
      <c r="H4656" s="1">
        <v>45294</v>
      </c>
      <c r="I4656">
        <v>38</v>
      </c>
      <c r="J4656" t="s">
        <v>19</v>
      </c>
      <c r="K4656">
        <v>15077.22</v>
      </c>
    </row>
    <row r="4657" spans="1:11">
      <c r="A4657">
        <v>4656</v>
      </c>
      <c r="B4657" t="s">
        <v>28</v>
      </c>
      <c r="C4657" s="1">
        <v>13880</v>
      </c>
      <c r="D4657">
        <v>88</v>
      </c>
      <c r="E4657" t="s">
        <v>12</v>
      </c>
      <c r="F4657" t="s">
        <v>18</v>
      </c>
      <c r="G4657" s="1">
        <v>45303</v>
      </c>
      <c r="H4657" s="1">
        <v>45578</v>
      </c>
      <c r="I4657">
        <v>22</v>
      </c>
      <c r="K4657">
        <v>12391.21</v>
      </c>
    </row>
    <row r="4658" spans="1:11">
      <c r="A4658">
        <v>4657</v>
      </c>
      <c r="B4658" t="s">
        <v>35</v>
      </c>
      <c r="C4658" s="1">
        <v>32143</v>
      </c>
      <c r="D4658">
        <v>38</v>
      </c>
      <c r="E4658" t="s">
        <v>12</v>
      </c>
      <c r="F4658" t="s">
        <v>45</v>
      </c>
      <c r="G4658" s="1">
        <v>45158</v>
      </c>
      <c r="H4658" s="1">
        <v>45747</v>
      </c>
      <c r="I4658">
        <v>26</v>
      </c>
      <c r="J4658" t="s">
        <v>25</v>
      </c>
      <c r="K4658">
        <v>11714.12</v>
      </c>
    </row>
    <row r="4659" spans="1:11">
      <c r="A4659">
        <v>4658</v>
      </c>
      <c r="B4659" t="s">
        <v>63</v>
      </c>
      <c r="C4659" s="1">
        <v>24473</v>
      </c>
      <c r="D4659">
        <v>59</v>
      </c>
      <c r="E4659" t="s">
        <v>15</v>
      </c>
      <c r="F4659" t="s">
        <v>45</v>
      </c>
      <c r="G4659" s="1">
        <v>45518</v>
      </c>
      <c r="H4659" s="1">
        <v>45166</v>
      </c>
      <c r="I4659">
        <v>28</v>
      </c>
      <c r="K4659">
        <v>10036.719999999999</v>
      </c>
    </row>
    <row r="4660" spans="1:11">
      <c r="A4660">
        <v>4659</v>
      </c>
      <c r="B4660" t="s">
        <v>126</v>
      </c>
      <c r="C4660" s="1">
        <v>36161</v>
      </c>
      <c r="D4660">
        <v>27</v>
      </c>
      <c r="E4660" t="s">
        <v>15</v>
      </c>
      <c r="F4660" t="s">
        <v>13</v>
      </c>
      <c r="G4660" s="1">
        <v>45352</v>
      </c>
      <c r="H4660" s="1">
        <v>45361</v>
      </c>
      <c r="I4660">
        <v>36</v>
      </c>
      <c r="K4660">
        <v>5074.29</v>
      </c>
    </row>
    <row r="4661" spans="1:11">
      <c r="A4661">
        <v>4660</v>
      </c>
      <c r="B4661" t="s">
        <v>141</v>
      </c>
      <c r="C4661" s="1">
        <v>26664</v>
      </c>
      <c r="D4661">
        <v>53</v>
      </c>
      <c r="E4661" t="s">
        <v>15</v>
      </c>
      <c r="F4661" t="s">
        <v>16</v>
      </c>
      <c r="G4661" s="1">
        <v>44981</v>
      </c>
      <c r="H4661" s="1">
        <v>45631</v>
      </c>
      <c r="I4661">
        <v>-1</v>
      </c>
      <c r="J4661" t="s">
        <v>23</v>
      </c>
      <c r="K4661">
        <v>4450.45</v>
      </c>
    </row>
    <row r="4662" spans="1:11">
      <c r="A4662">
        <v>4661</v>
      </c>
      <c r="B4662" t="s">
        <v>108</v>
      </c>
      <c r="C4662" s="1">
        <v>32873</v>
      </c>
      <c r="D4662">
        <v>36</v>
      </c>
      <c r="E4662" t="s">
        <v>15</v>
      </c>
      <c r="G4662" s="1">
        <v>45367</v>
      </c>
      <c r="H4662" s="1">
        <v>45054</v>
      </c>
      <c r="I4662">
        <v>9</v>
      </c>
      <c r="J4662" t="s">
        <v>19</v>
      </c>
      <c r="K4662">
        <v>10945.6</v>
      </c>
    </row>
    <row r="4663" spans="1:11">
      <c r="A4663">
        <v>4662</v>
      </c>
      <c r="B4663" t="s">
        <v>80</v>
      </c>
      <c r="C4663" s="1">
        <v>43100</v>
      </c>
      <c r="D4663">
        <v>8</v>
      </c>
      <c r="E4663" t="s">
        <v>12</v>
      </c>
      <c r="F4663" t="s">
        <v>16</v>
      </c>
      <c r="G4663" s="1">
        <v>44960</v>
      </c>
      <c r="H4663" s="1">
        <v>45468</v>
      </c>
      <c r="I4663">
        <v>2</v>
      </c>
      <c r="K4663">
        <v>1311.04</v>
      </c>
    </row>
    <row r="4664" spans="1:11">
      <c r="A4664">
        <v>4663</v>
      </c>
      <c r="B4664" t="s">
        <v>115</v>
      </c>
      <c r="D4664">
        <v>81</v>
      </c>
      <c r="E4664" t="s">
        <v>15</v>
      </c>
      <c r="F4664" t="s">
        <v>13</v>
      </c>
      <c r="G4664" s="1">
        <v>45255</v>
      </c>
      <c r="H4664" s="1">
        <v>45560</v>
      </c>
      <c r="I4664">
        <v>24</v>
      </c>
      <c r="J4664" t="s">
        <v>23</v>
      </c>
      <c r="K4664">
        <v>1396.86</v>
      </c>
    </row>
    <row r="4665" spans="1:11">
      <c r="A4665">
        <v>4664</v>
      </c>
      <c r="B4665" t="s">
        <v>31</v>
      </c>
      <c r="C4665" s="1">
        <v>25934</v>
      </c>
      <c r="D4665">
        <v>55</v>
      </c>
      <c r="F4665" t="s">
        <v>45</v>
      </c>
      <c r="G4665" s="1">
        <v>45380</v>
      </c>
      <c r="H4665" s="1">
        <v>45125</v>
      </c>
      <c r="I4665">
        <v>31</v>
      </c>
      <c r="K4665">
        <v>11172.35</v>
      </c>
    </row>
    <row r="4666" spans="1:11">
      <c r="A4666">
        <v>4665</v>
      </c>
      <c r="B4666" t="s">
        <v>72</v>
      </c>
      <c r="C4666" s="1">
        <v>24838</v>
      </c>
      <c r="D4666">
        <v>58</v>
      </c>
      <c r="E4666" t="s">
        <v>15</v>
      </c>
      <c r="F4666" t="s">
        <v>13</v>
      </c>
      <c r="G4666" s="1">
        <v>45314</v>
      </c>
      <c r="H4666" s="1">
        <v>45613</v>
      </c>
      <c r="I4666">
        <v>11</v>
      </c>
      <c r="K4666">
        <v>18388.22</v>
      </c>
    </row>
    <row r="4667" spans="1:11">
      <c r="A4667">
        <v>4666</v>
      </c>
      <c r="B4667" t="s">
        <v>81</v>
      </c>
      <c r="C4667" s="1">
        <v>15341</v>
      </c>
      <c r="D4667">
        <v>84</v>
      </c>
      <c r="E4667" t="s">
        <v>15</v>
      </c>
      <c r="F4667" t="s">
        <v>13</v>
      </c>
      <c r="G4667" s="1">
        <v>45356</v>
      </c>
      <c r="H4667" s="1">
        <v>45583</v>
      </c>
      <c r="I4667">
        <v>4</v>
      </c>
      <c r="K4667">
        <v>18276.86</v>
      </c>
    </row>
    <row r="4668" spans="1:11">
      <c r="A4668">
        <v>4667</v>
      </c>
      <c r="B4668" t="s">
        <v>95</v>
      </c>
      <c r="C4668" s="1">
        <v>45657</v>
      </c>
      <c r="D4668">
        <v>1</v>
      </c>
      <c r="E4668" t="s">
        <v>12</v>
      </c>
      <c r="F4668" t="s">
        <v>13</v>
      </c>
      <c r="G4668" s="1">
        <v>45402</v>
      </c>
      <c r="H4668" s="1">
        <v>45409</v>
      </c>
      <c r="I4668">
        <v>34</v>
      </c>
      <c r="J4668" t="s">
        <v>23</v>
      </c>
      <c r="K4668">
        <v>117.65</v>
      </c>
    </row>
    <row r="4669" spans="1:11">
      <c r="A4669">
        <v>4668</v>
      </c>
      <c r="B4669" t="s">
        <v>64</v>
      </c>
      <c r="C4669" s="1">
        <v>24107</v>
      </c>
      <c r="D4669">
        <v>60</v>
      </c>
      <c r="E4669" t="s">
        <v>12</v>
      </c>
      <c r="F4669" t="s">
        <v>13</v>
      </c>
      <c r="G4669" s="1">
        <v>45051</v>
      </c>
      <c r="H4669" s="1">
        <v>45106</v>
      </c>
      <c r="I4669">
        <v>33</v>
      </c>
      <c r="J4669" t="s">
        <v>25</v>
      </c>
      <c r="K4669">
        <v>2058.62</v>
      </c>
    </row>
    <row r="4670" spans="1:11">
      <c r="A4670">
        <v>4669</v>
      </c>
      <c r="B4670" t="s">
        <v>96</v>
      </c>
      <c r="C4670" s="1">
        <v>25203</v>
      </c>
      <c r="E4670" t="s">
        <v>15</v>
      </c>
      <c r="F4670" t="s">
        <v>13</v>
      </c>
      <c r="G4670" s="1">
        <v>45449</v>
      </c>
      <c r="H4670" s="1">
        <v>45796</v>
      </c>
      <c r="I4670">
        <v>7</v>
      </c>
      <c r="K4670">
        <v>11619.86</v>
      </c>
    </row>
    <row r="4671" spans="1:11">
      <c r="A4671">
        <v>4670</v>
      </c>
      <c r="B4671" t="s">
        <v>135</v>
      </c>
      <c r="C4671" s="1">
        <v>24473</v>
      </c>
      <c r="D4671">
        <v>59</v>
      </c>
      <c r="E4671" t="s">
        <v>12</v>
      </c>
      <c r="F4671" t="s">
        <v>32</v>
      </c>
      <c r="G4671" s="1">
        <v>45408</v>
      </c>
      <c r="H4671" s="1">
        <v>45450</v>
      </c>
      <c r="I4671">
        <v>26</v>
      </c>
      <c r="K4671">
        <v>16954.36</v>
      </c>
    </row>
    <row r="4672" spans="1:11">
      <c r="A4672">
        <v>4671</v>
      </c>
      <c r="B4672" t="s">
        <v>76</v>
      </c>
      <c r="C4672" s="1">
        <v>31778</v>
      </c>
      <c r="D4672">
        <v>39</v>
      </c>
      <c r="E4672" t="s">
        <v>12</v>
      </c>
      <c r="F4672" t="s">
        <v>32</v>
      </c>
      <c r="G4672" s="1">
        <v>45243</v>
      </c>
      <c r="H4672" s="1">
        <v>45578</v>
      </c>
      <c r="I4672">
        <v>13</v>
      </c>
      <c r="J4672" t="s">
        <v>23</v>
      </c>
      <c r="K4672">
        <v>19084.43</v>
      </c>
    </row>
    <row r="4673" spans="1:11">
      <c r="A4673">
        <v>4672</v>
      </c>
      <c r="B4673" t="s">
        <v>133</v>
      </c>
      <c r="C4673" s="1">
        <v>33239</v>
      </c>
      <c r="D4673">
        <v>35</v>
      </c>
      <c r="E4673" t="s">
        <v>12</v>
      </c>
      <c r="F4673" t="s">
        <v>16</v>
      </c>
      <c r="G4673" s="1">
        <v>45048</v>
      </c>
      <c r="H4673" s="1">
        <v>45364</v>
      </c>
      <c r="I4673">
        <v>35</v>
      </c>
      <c r="J4673" t="s">
        <v>19</v>
      </c>
      <c r="K4673">
        <v>17197.7</v>
      </c>
    </row>
    <row r="4674" spans="1:11">
      <c r="A4674">
        <v>4673</v>
      </c>
      <c r="B4674" t="s">
        <v>96</v>
      </c>
      <c r="C4674" s="1">
        <v>32873</v>
      </c>
      <c r="D4674">
        <v>36</v>
      </c>
      <c r="E4674" t="s">
        <v>12</v>
      </c>
      <c r="F4674" t="s">
        <v>16</v>
      </c>
      <c r="G4674" s="1">
        <v>45473</v>
      </c>
      <c r="H4674" s="1">
        <v>45692</v>
      </c>
      <c r="I4674">
        <v>18</v>
      </c>
      <c r="J4674" t="s">
        <v>25</v>
      </c>
      <c r="K4674">
        <v>13520.02</v>
      </c>
    </row>
    <row r="4675" spans="1:11">
      <c r="A4675">
        <v>4674</v>
      </c>
      <c r="B4675" t="s">
        <v>72</v>
      </c>
      <c r="C4675" s="1">
        <v>17533</v>
      </c>
      <c r="D4675">
        <v>78</v>
      </c>
      <c r="E4675" t="s">
        <v>15</v>
      </c>
      <c r="G4675" s="1">
        <v>45507</v>
      </c>
      <c r="H4675" s="1">
        <v>45784</v>
      </c>
      <c r="I4675">
        <v>35</v>
      </c>
      <c r="J4675" t="s">
        <v>23</v>
      </c>
      <c r="K4675">
        <v>3930.55</v>
      </c>
    </row>
    <row r="4676" spans="1:11">
      <c r="A4676">
        <v>4675</v>
      </c>
      <c r="B4676" t="s">
        <v>39</v>
      </c>
      <c r="C4676" s="1">
        <v>12785</v>
      </c>
      <c r="D4676">
        <v>91</v>
      </c>
      <c r="E4676" t="s">
        <v>12</v>
      </c>
      <c r="G4676" s="1">
        <v>45239</v>
      </c>
      <c r="H4676" s="1">
        <v>45241</v>
      </c>
      <c r="I4676">
        <v>38</v>
      </c>
      <c r="J4676" t="s">
        <v>19</v>
      </c>
      <c r="K4676">
        <v>1359.69</v>
      </c>
    </row>
    <row r="4677" spans="1:11">
      <c r="A4677">
        <v>4676</v>
      </c>
      <c r="B4677" t="s">
        <v>58</v>
      </c>
      <c r="C4677" s="1">
        <v>39813</v>
      </c>
      <c r="D4677">
        <v>17</v>
      </c>
      <c r="E4677" t="s">
        <v>12</v>
      </c>
      <c r="F4677" t="s">
        <v>32</v>
      </c>
      <c r="G4677" s="1">
        <v>45413</v>
      </c>
      <c r="H4677" s="1">
        <v>44946</v>
      </c>
      <c r="I4677">
        <v>30</v>
      </c>
      <c r="J4677" t="s">
        <v>23</v>
      </c>
      <c r="K4677">
        <v>855.07</v>
      </c>
    </row>
    <row r="4678" spans="1:11">
      <c r="A4678">
        <v>4677</v>
      </c>
      <c r="B4678" t="s">
        <v>102</v>
      </c>
      <c r="C4678" s="1">
        <v>23377</v>
      </c>
      <c r="D4678">
        <v>62</v>
      </c>
      <c r="E4678" t="s">
        <v>15</v>
      </c>
      <c r="F4678" t="s">
        <v>45</v>
      </c>
      <c r="G4678" s="1">
        <v>45577</v>
      </c>
      <c r="H4678" s="1">
        <v>45087</v>
      </c>
      <c r="I4678">
        <v>26</v>
      </c>
      <c r="J4678" t="s">
        <v>23</v>
      </c>
      <c r="K4678">
        <v>12202.74</v>
      </c>
    </row>
    <row r="4679" spans="1:11">
      <c r="A4679">
        <v>4678</v>
      </c>
      <c r="B4679" t="s">
        <v>49</v>
      </c>
      <c r="C4679" s="1">
        <v>38352</v>
      </c>
      <c r="D4679">
        <v>21</v>
      </c>
      <c r="E4679" t="s">
        <v>15</v>
      </c>
      <c r="F4679" t="s">
        <v>18</v>
      </c>
      <c r="G4679" s="1">
        <v>44938</v>
      </c>
      <c r="H4679" s="1">
        <v>45745</v>
      </c>
      <c r="I4679">
        <v>14</v>
      </c>
      <c r="J4679" t="s">
        <v>25</v>
      </c>
      <c r="K4679">
        <v>627.39</v>
      </c>
    </row>
    <row r="4680" spans="1:11">
      <c r="A4680">
        <v>4679</v>
      </c>
      <c r="B4680" t="s">
        <v>96</v>
      </c>
      <c r="C4680" s="1">
        <v>42370</v>
      </c>
      <c r="D4680">
        <v>10</v>
      </c>
      <c r="E4680" t="s">
        <v>12</v>
      </c>
      <c r="F4680" t="s">
        <v>45</v>
      </c>
      <c r="G4680" s="1">
        <v>45051</v>
      </c>
      <c r="H4680" s="1">
        <v>45049</v>
      </c>
      <c r="I4680">
        <v>10</v>
      </c>
      <c r="J4680" t="s">
        <v>25</v>
      </c>
      <c r="K4680">
        <v>14758.72</v>
      </c>
    </row>
    <row r="4681" spans="1:11">
      <c r="A4681">
        <v>4680</v>
      </c>
      <c r="B4681" t="s">
        <v>126</v>
      </c>
      <c r="C4681" s="1">
        <v>25203</v>
      </c>
      <c r="D4681">
        <v>57</v>
      </c>
      <c r="E4681" t="s">
        <v>15</v>
      </c>
      <c r="G4681" s="1">
        <v>45585</v>
      </c>
      <c r="H4681" s="1">
        <v>44999</v>
      </c>
      <c r="I4681">
        <v>3</v>
      </c>
      <c r="J4681" t="s">
        <v>25</v>
      </c>
      <c r="K4681">
        <v>14220.66</v>
      </c>
    </row>
    <row r="4682" spans="1:11">
      <c r="A4682">
        <v>4681</v>
      </c>
      <c r="B4682" t="s">
        <v>101</v>
      </c>
      <c r="C4682" s="1">
        <v>25568</v>
      </c>
      <c r="D4682">
        <v>56</v>
      </c>
      <c r="E4682" t="s">
        <v>15</v>
      </c>
      <c r="F4682" t="s">
        <v>16</v>
      </c>
      <c r="G4682" s="1">
        <v>45003</v>
      </c>
      <c r="H4682" s="1">
        <v>44982</v>
      </c>
      <c r="I4682">
        <v>-1</v>
      </c>
      <c r="J4682" t="s">
        <v>25</v>
      </c>
      <c r="K4682">
        <v>1500.18</v>
      </c>
    </row>
    <row r="4683" spans="1:11">
      <c r="A4683">
        <v>4682</v>
      </c>
      <c r="B4683" t="s">
        <v>103</v>
      </c>
      <c r="C4683" s="1">
        <v>18263</v>
      </c>
      <c r="D4683">
        <v>76</v>
      </c>
      <c r="F4683" t="s">
        <v>32</v>
      </c>
      <c r="G4683" s="1">
        <v>45506</v>
      </c>
      <c r="H4683" s="1">
        <v>45387</v>
      </c>
      <c r="I4683">
        <v>5</v>
      </c>
      <c r="J4683" t="s">
        <v>19</v>
      </c>
      <c r="K4683">
        <v>18123.11</v>
      </c>
    </row>
    <row r="4684" spans="1:11">
      <c r="A4684">
        <v>4683</v>
      </c>
      <c r="B4684" t="s">
        <v>129</v>
      </c>
      <c r="C4684" s="1">
        <v>44927</v>
      </c>
      <c r="D4684">
        <v>3</v>
      </c>
      <c r="E4684" t="s">
        <v>15</v>
      </c>
      <c r="F4684" t="s">
        <v>45</v>
      </c>
      <c r="G4684" s="1">
        <v>45644</v>
      </c>
      <c r="H4684" s="1">
        <v>45096</v>
      </c>
      <c r="I4684">
        <v>29</v>
      </c>
      <c r="K4684">
        <v>10390.780000000001</v>
      </c>
    </row>
    <row r="4685" spans="1:11">
      <c r="A4685">
        <v>4684</v>
      </c>
      <c r="B4685" t="s">
        <v>170</v>
      </c>
      <c r="C4685" s="1">
        <v>14976</v>
      </c>
      <c r="D4685">
        <v>85</v>
      </c>
      <c r="E4685" t="s">
        <v>15</v>
      </c>
      <c r="F4685" t="s">
        <v>18</v>
      </c>
      <c r="G4685" s="1">
        <v>45162</v>
      </c>
      <c r="H4685" s="1">
        <v>45538</v>
      </c>
      <c r="I4685">
        <v>33</v>
      </c>
      <c r="J4685" t="s">
        <v>23</v>
      </c>
      <c r="K4685">
        <v>18079.22</v>
      </c>
    </row>
    <row r="4686" spans="1:11">
      <c r="A4686">
        <v>4685</v>
      </c>
      <c r="B4686" t="s">
        <v>93</v>
      </c>
      <c r="C4686" s="1">
        <v>43831</v>
      </c>
      <c r="D4686">
        <v>6</v>
      </c>
      <c r="E4686" t="s">
        <v>12</v>
      </c>
      <c r="F4686" t="s">
        <v>13</v>
      </c>
      <c r="G4686" s="1">
        <v>45497</v>
      </c>
      <c r="H4686" s="1">
        <v>45509</v>
      </c>
      <c r="I4686">
        <v>6</v>
      </c>
      <c r="J4686" t="s">
        <v>25</v>
      </c>
      <c r="K4686">
        <v>18022.36</v>
      </c>
    </row>
    <row r="4687" spans="1:11">
      <c r="A4687">
        <v>4686</v>
      </c>
      <c r="B4687" t="s">
        <v>154</v>
      </c>
      <c r="C4687" s="1">
        <v>24107</v>
      </c>
      <c r="D4687">
        <v>60</v>
      </c>
      <c r="E4687" t="s">
        <v>12</v>
      </c>
      <c r="F4687" t="s">
        <v>21</v>
      </c>
      <c r="G4687" s="1">
        <v>45180</v>
      </c>
      <c r="H4687" s="1">
        <v>45076</v>
      </c>
      <c r="I4687">
        <v>20</v>
      </c>
      <c r="K4687">
        <v>3860.38</v>
      </c>
    </row>
    <row r="4688" spans="1:11">
      <c r="A4688">
        <v>4687</v>
      </c>
      <c r="B4688" t="s">
        <v>164</v>
      </c>
      <c r="C4688" s="1">
        <v>26664</v>
      </c>
      <c r="D4688">
        <v>53</v>
      </c>
      <c r="E4688" t="s">
        <v>15</v>
      </c>
      <c r="F4688" t="s">
        <v>32</v>
      </c>
      <c r="G4688" s="1">
        <v>45332</v>
      </c>
      <c r="H4688" s="1">
        <v>45556</v>
      </c>
      <c r="I4688">
        <v>4</v>
      </c>
      <c r="J4688" t="s">
        <v>19</v>
      </c>
      <c r="K4688">
        <v>7549.61</v>
      </c>
    </row>
    <row r="4689" spans="1:11">
      <c r="A4689">
        <v>4688</v>
      </c>
      <c r="B4689" t="s">
        <v>120</v>
      </c>
      <c r="C4689" s="1">
        <v>14246</v>
      </c>
      <c r="D4689">
        <v>87</v>
      </c>
      <c r="E4689" t="s">
        <v>12</v>
      </c>
      <c r="F4689" t="s">
        <v>32</v>
      </c>
      <c r="G4689" s="1">
        <v>45169</v>
      </c>
      <c r="H4689" s="1">
        <v>44953</v>
      </c>
      <c r="I4689">
        <v>28</v>
      </c>
      <c r="J4689" t="s">
        <v>25</v>
      </c>
      <c r="K4689">
        <v>2605.9899999999998</v>
      </c>
    </row>
    <row r="4690" spans="1:11">
      <c r="A4690">
        <v>4689</v>
      </c>
      <c r="B4690" t="s">
        <v>73</v>
      </c>
      <c r="C4690" s="1">
        <v>21551</v>
      </c>
      <c r="D4690">
        <v>67</v>
      </c>
      <c r="E4690" t="s">
        <v>12</v>
      </c>
      <c r="F4690" t="s">
        <v>18</v>
      </c>
      <c r="G4690" s="1">
        <v>45387</v>
      </c>
      <c r="H4690" s="1">
        <v>45175</v>
      </c>
      <c r="I4690">
        <v>18</v>
      </c>
      <c r="J4690" t="s">
        <v>23</v>
      </c>
      <c r="K4690">
        <v>15477.06</v>
      </c>
    </row>
    <row r="4691" spans="1:11">
      <c r="A4691">
        <v>4690</v>
      </c>
      <c r="B4691" t="s">
        <v>165</v>
      </c>
      <c r="C4691" s="1">
        <v>12785</v>
      </c>
      <c r="D4691">
        <v>91</v>
      </c>
      <c r="E4691" t="s">
        <v>12</v>
      </c>
      <c r="F4691" t="s">
        <v>13</v>
      </c>
      <c r="G4691" s="1">
        <v>45203</v>
      </c>
      <c r="H4691" s="1">
        <v>45824</v>
      </c>
      <c r="I4691">
        <v>-2</v>
      </c>
      <c r="K4691">
        <v>10032.91</v>
      </c>
    </row>
    <row r="4692" spans="1:11">
      <c r="A4692">
        <v>4691</v>
      </c>
      <c r="B4692" t="s">
        <v>44</v>
      </c>
      <c r="C4692" s="1">
        <v>17533</v>
      </c>
      <c r="D4692">
        <v>78</v>
      </c>
      <c r="E4692" t="s">
        <v>15</v>
      </c>
      <c r="F4692" t="s">
        <v>13</v>
      </c>
      <c r="G4692" s="1">
        <v>45395</v>
      </c>
      <c r="H4692" s="1">
        <v>45648</v>
      </c>
      <c r="I4692">
        <v>-1</v>
      </c>
      <c r="J4692" t="s">
        <v>25</v>
      </c>
      <c r="K4692">
        <v>18569.03</v>
      </c>
    </row>
    <row r="4693" spans="1:11">
      <c r="A4693">
        <v>4692</v>
      </c>
      <c r="B4693" t="s">
        <v>165</v>
      </c>
      <c r="C4693" s="1">
        <v>46022</v>
      </c>
      <c r="D4693">
        <v>0</v>
      </c>
      <c r="E4693" t="s">
        <v>15</v>
      </c>
      <c r="F4693" t="s">
        <v>21</v>
      </c>
      <c r="G4693" s="1">
        <v>45146</v>
      </c>
      <c r="H4693" s="1">
        <v>45154</v>
      </c>
      <c r="I4693">
        <v>37</v>
      </c>
      <c r="J4693" t="s">
        <v>23</v>
      </c>
      <c r="K4693">
        <v>4085.13</v>
      </c>
    </row>
    <row r="4694" spans="1:11">
      <c r="A4694">
        <v>4693</v>
      </c>
      <c r="B4694" t="s">
        <v>51</v>
      </c>
      <c r="C4694" s="1">
        <v>26299</v>
      </c>
      <c r="D4694">
        <v>54</v>
      </c>
      <c r="E4694" t="s">
        <v>15</v>
      </c>
      <c r="F4694" t="s">
        <v>13</v>
      </c>
      <c r="G4694" s="1">
        <v>45151</v>
      </c>
      <c r="H4694" s="1">
        <v>45553</v>
      </c>
      <c r="I4694">
        <v>8</v>
      </c>
      <c r="K4694">
        <v>13736.19</v>
      </c>
    </row>
    <row r="4695" spans="1:11">
      <c r="A4695">
        <v>4694</v>
      </c>
      <c r="B4695" t="s">
        <v>27</v>
      </c>
      <c r="C4695" s="1">
        <v>45292</v>
      </c>
      <c r="D4695">
        <v>2</v>
      </c>
      <c r="E4695" t="s">
        <v>12</v>
      </c>
      <c r="F4695" t="s">
        <v>18</v>
      </c>
      <c r="G4695" s="1">
        <v>45027</v>
      </c>
      <c r="H4695" s="1">
        <v>45633</v>
      </c>
      <c r="I4695">
        <v>34</v>
      </c>
      <c r="J4695" t="s">
        <v>23</v>
      </c>
      <c r="K4695">
        <v>19783.66</v>
      </c>
    </row>
    <row r="4696" spans="1:11">
      <c r="A4696">
        <v>4695</v>
      </c>
      <c r="B4696" t="s">
        <v>85</v>
      </c>
      <c r="C4696" s="1">
        <v>17898</v>
      </c>
      <c r="D4696">
        <v>77</v>
      </c>
      <c r="E4696" t="s">
        <v>12</v>
      </c>
      <c r="F4696" t="s">
        <v>16</v>
      </c>
      <c r="G4696" s="1">
        <v>45560</v>
      </c>
      <c r="H4696" s="1">
        <v>45411</v>
      </c>
      <c r="I4696">
        <v>15</v>
      </c>
      <c r="J4696" t="s">
        <v>19</v>
      </c>
      <c r="K4696">
        <v>13274.16</v>
      </c>
    </row>
    <row r="4697" spans="1:11">
      <c r="A4697">
        <v>4696</v>
      </c>
      <c r="B4697" t="s">
        <v>99</v>
      </c>
      <c r="C4697" s="1">
        <v>32508</v>
      </c>
      <c r="D4697">
        <v>37</v>
      </c>
      <c r="E4697" t="s">
        <v>12</v>
      </c>
      <c r="F4697" t="s">
        <v>13</v>
      </c>
      <c r="G4697" s="1">
        <v>45656</v>
      </c>
      <c r="H4697" s="1">
        <v>45760</v>
      </c>
      <c r="I4697">
        <v>21</v>
      </c>
      <c r="J4697" t="s">
        <v>25</v>
      </c>
      <c r="K4697">
        <v>1282.3599999999999</v>
      </c>
    </row>
    <row r="4698" spans="1:11">
      <c r="A4698">
        <v>4697</v>
      </c>
      <c r="B4698" t="s">
        <v>75</v>
      </c>
      <c r="C4698" s="1">
        <v>46022</v>
      </c>
      <c r="D4698">
        <v>0</v>
      </c>
      <c r="E4698" t="s">
        <v>12</v>
      </c>
      <c r="F4698" t="s">
        <v>16</v>
      </c>
      <c r="G4698" s="1">
        <v>45433</v>
      </c>
      <c r="H4698" s="1">
        <v>44937</v>
      </c>
      <c r="I4698">
        <v>16</v>
      </c>
      <c r="J4698" t="s">
        <v>25</v>
      </c>
      <c r="K4698">
        <v>11727.33</v>
      </c>
    </row>
    <row r="4699" spans="1:11">
      <c r="A4699">
        <v>4698</v>
      </c>
      <c r="B4699" t="s">
        <v>92</v>
      </c>
      <c r="C4699" s="1">
        <v>32508</v>
      </c>
      <c r="D4699">
        <v>37</v>
      </c>
      <c r="E4699" t="s">
        <v>12</v>
      </c>
      <c r="G4699" s="1">
        <v>45513</v>
      </c>
      <c r="H4699" s="1">
        <v>45022</v>
      </c>
      <c r="I4699">
        <v>2</v>
      </c>
      <c r="J4699" t="s">
        <v>23</v>
      </c>
      <c r="K4699">
        <v>3514.84</v>
      </c>
    </row>
    <row r="4700" spans="1:11">
      <c r="A4700">
        <v>4699</v>
      </c>
      <c r="B4700" t="s">
        <v>120</v>
      </c>
      <c r="C4700" s="1">
        <v>15341</v>
      </c>
      <c r="D4700">
        <v>84</v>
      </c>
      <c r="E4700" t="s">
        <v>15</v>
      </c>
      <c r="G4700" s="1">
        <v>45257</v>
      </c>
      <c r="H4700" s="1">
        <v>45048</v>
      </c>
      <c r="I4700">
        <v>26</v>
      </c>
      <c r="K4700">
        <v>513.11</v>
      </c>
    </row>
    <row r="4701" spans="1:11">
      <c r="A4701">
        <v>4700</v>
      </c>
      <c r="B4701" t="s">
        <v>136</v>
      </c>
      <c r="C4701" s="1">
        <v>35795</v>
      </c>
      <c r="D4701">
        <v>28</v>
      </c>
      <c r="E4701" t="s">
        <v>12</v>
      </c>
      <c r="F4701" t="s">
        <v>16</v>
      </c>
      <c r="G4701" s="1">
        <v>45163</v>
      </c>
      <c r="H4701" s="1">
        <v>45053</v>
      </c>
      <c r="I4701">
        <v>36</v>
      </c>
      <c r="J4701" t="s">
        <v>25</v>
      </c>
      <c r="K4701">
        <v>6632.71</v>
      </c>
    </row>
    <row r="4702" spans="1:11">
      <c r="A4702">
        <v>4701</v>
      </c>
      <c r="B4702" t="s">
        <v>94</v>
      </c>
      <c r="C4702" s="1">
        <v>44561</v>
      </c>
      <c r="D4702">
        <v>4</v>
      </c>
      <c r="E4702" t="s">
        <v>12</v>
      </c>
      <c r="F4702" t="s">
        <v>18</v>
      </c>
      <c r="G4702" s="1">
        <v>45265</v>
      </c>
      <c r="H4702" s="1">
        <v>45476</v>
      </c>
      <c r="I4702">
        <v>-1</v>
      </c>
      <c r="J4702" t="s">
        <v>23</v>
      </c>
      <c r="K4702">
        <v>5248.69</v>
      </c>
    </row>
    <row r="4703" spans="1:11">
      <c r="A4703">
        <v>4702</v>
      </c>
      <c r="B4703" t="s">
        <v>125</v>
      </c>
      <c r="C4703" s="1">
        <v>19359</v>
      </c>
      <c r="D4703">
        <v>73</v>
      </c>
      <c r="E4703" t="s">
        <v>12</v>
      </c>
      <c r="F4703" t="s">
        <v>32</v>
      </c>
      <c r="G4703" s="1">
        <v>45432</v>
      </c>
      <c r="H4703" s="1">
        <v>44996</v>
      </c>
      <c r="I4703">
        <v>14</v>
      </c>
      <c r="J4703" t="s">
        <v>19</v>
      </c>
      <c r="K4703">
        <v>15754.3</v>
      </c>
    </row>
    <row r="4704" spans="1:11">
      <c r="A4704">
        <v>4703</v>
      </c>
      <c r="B4704" t="s">
        <v>161</v>
      </c>
      <c r="C4704" s="1">
        <v>12785</v>
      </c>
      <c r="D4704">
        <v>91</v>
      </c>
      <c r="E4704" t="s">
        <v>15</v>
      </c>
      <c r="F4704" t="s">
        <v>32</v>
      </c>
      <c r="G4704" s="1">
        <v>45091</v>
      </c>
      <c r="H4704" s="1">
        <v>45224</v>
      </c>
      <c r="I4704">
        <v>8</v>
      </c>
      <c r="J4704" t="s">
        <v>25</v>
      </c>
      <c r="K4704">
        <v>7410.98</v>
      </c>
    </row>
    <row r="4705" spans="1:11">
      <c r="A4705">
        <v>4704</v>
      </c>
      <c r="B4705" t="s">
        <v>115</v>
      </c>
      <c r="C4705" s="1">
        <v>38717</v>
      </c>
      <c r="D4705">
        <v>20</v>
      </c>
      <c r="E4705" t="s">
        <v>12</v>
      </c>
      <c r="F4705" t="s">
        <v>32</v>
      </c>
      <c r="G4705" s="1">
        <v>45595</v>
      </c>
      <c r="H4705" s="1">
        <v>45613</v>
      </c>
      <c r="I4705">
        <v>34</v>
      </c>
      <c r="J4705" t="s">
        <v>23</v>
      </c>
      <c r="K4705">
        <v>14632.47</v>
      </c>
    </row>
    <row r="4706" spans="1:11">
      <c r="A4706">
        <v>4705</v>
      </c>
      <c r="B4706" t="s">
        <v>61</v>
      </c>
      <c r="C4706" s="1">
        <v>20455</v>
      </c>
      <c r="D4706">
        <v>70</v>
      </c>
      <c r="E4706" t="s">
        <v>15</v>
      </c>
      <c r="F4706" t="s">
        <v>45</v>
      </c>
      <c r="G4706" s="1">
        <v>45649</v>
      </c>
      <c r="H4706" s="1">
        <v>45428</v>
      </c>
      <c r="I4706">
        <v>10</v>
      </c>
      <c r="K4706">
        <v>226.4</v>
      </c>
    </row>
    <row r="4707" spans="1:11">
      <c r="A4707">
        <v>4706</v>
      </c>
      <c r="B4707" t="s">
        <v>36</v>
      </c>
      <c r="C4707" s="1">
        <v>21916</v>
      </c>
      <c r="D4707">
        <v>66</v>
      </c>
      <c r="E4707" t="s">
        <v>15</v>
      </c>
      <c r="F4707" t="s">
        <v>32</v>
      </c>
      <c r="G4707" s="1">
        <v>45654</v>
      </c>
      <c r="H4707" s="1">
        <v>44972</v>
      </c>
      <c r="I4707">
        <v>26</v>
      </c>
      <c r="J4707" t="s">
        <v>25</v>
      </c>
      <c r="K4707">
        <v>197.72</v>
      </c>
    </row>
    <row r="4708" spans="1:11">
      <c r="A4708">
        <v>4707</v>
      </c>
      <c r="B4708" t="s">
        <v>40</v>
      </c>
      <c r="C4708" s="1">
        <v>29221</v>
      </c>
      <c r="D4708">
        <v>46</v>
      </c>
      <c r="E4708" t="s">
        <v>12</v>
      </c>
      <c r="F4708" t="s">
        <v>18</v>
      </c>
      <c r="G4708" s="1">
        <v>45144</v>
      </c>
      <c r="H4708" s="1">
        <v>45562</v>
      </c>
      <c r="I4708">
        <v>29</v>
      </c>
      <c r="J4708" t="s">
        <v>25</v>
      </c>
      <c r="K4708">
        <v>489.2</v>
      </c>
    </row>
    <row r="4709" spans="1:11">
      <c r="A4709">
        <v>4708</v>
      </c>
      <c r="B4709" t="s">
        <v>74</v>
      </c>
      <c r="C4709" s="1">
        <v>15707</v>
      </c>
      <c r="D4709">
        <v>83</v>
      </c>
      <c r="E4709" t="s">
        <v>12</v>
      </c>
      <c r="F4709" t="s">
        <v>21</v>
      </c>
      <c r="G4709" s="1">
        <v>45302</v>
      </c>
      <c r="H4709" s="1">
        <v>45309</v>
      </c>
      <c r="I4709">
        <v>37</v>
      </c>
      <c r="J4709" t="s">
        <v>19</v>
      </c>
      <c r="K4709">
        <v>4309.1000000000004</v>
      </c>
    </row>
    <row r="4710" spans="1:11">
      <c r="A4710">
        <v>4709</v>
      </c>
      <c r="B4710" t="s">
        <v>134</v>
      </c>
      <c r="C4710" s="1">
        <v>16072</v>
      </c>
      <c r="D4710">
        <v>82</v>
      </c>
      <c r="E4710" t="s">
        <v>15</v>
      </c>
      <c r="G4710" s="1">
        <v>44938</v>
      </c>
      <c r="H4710" s="1">
        <v>44954</v>
      </c>
      <c r="I4710">
        <v>5</v>
      </c>
      <c r="J4710" t="s">
        <v>23</v>
      </c>
      <c r="K4710">
        <v>7417.15</v>
      </c>
    </row>
    <row r="4711" spans="1:11">
      <c r="A4711">
        <v>4710</v>
      </c>
      <c r="B4711" t="s">
        <v>126</v>
      </c>
      <c r="C4711" s="1">
        <v>33604</v>
      </c>
      <c r="D4711">
        <v>34</v>
      </c>
      <c r="E4711" t="s">
        <v>12</v>
      </c>
      <c r="F4711" t="s">
        <v>13</v>
      </c>
      <c r="G4711" s="1">
        <v>45358</v>
      </c>
      <c r="H4711" s="1">
        <v>45632</v>
      </c>
      <c r="I4711">
        <v>7</v>
      </c>
      <c r="K4711">
        <v>12117.7</v>
      </c>
    </row>
    <row r="4712" spans="1:11">
      <c r="A4712">
        <v>4711</v>
      </c>
      <c r="B4712" t="s">
        <v>80</v>
      </c>
      <c r="C4712" s="1">
        <v>21551</v>
      </c>
      <c r="D4712">
        <v>67</v>
      </c>
      <c r="E4712" t="s">
        <v>15</v>
      </c>
      <c r="F4712" t="s">
        <v>32</v>
      </c>
      <c r="G4712" s="1">
        <v>45009</v>
      </c>
      <c r="H4712" s="1">
        <v>45424</v>
      </c>
      <c r="I4712">
        <v>22</v>
      </c>
      <c r="J4712" t="s">
        <v>19</v>
      </c>
      <c r="K4712">
        <v>19716.87</v>
      </c>
    </row>
    <row r="4713" spans="1:11">
      <c r="A4713">
        <v>4712</v>
      </c>
      <c r="B4713" t="s">
        <v>88</v>
      </c>
      <c r="C4713" s="1">
        <v>21185</v>
      </c>
      <c r="D4713">
        <v>68</v>
      </c>
      <c r="E4713" t="s">
        <v>15</v>
      </c>
      <c r="F4713" t="s">
        <v>45</v>
      </c>
      <c r="G4713" s="1">
        <v>45357</v>
      </c>
      <c r="H4713" s="1">
        <v>45779</v>
      </c>
      <c r="I4713">
        <v>8</v>
      </c>
      <c r="J4713" t="s">
        <v>19</v>
      </c>
      <c r="K4713">
        <v>7023.63</v>
      </c>
    </row>
    <row r="4714" spans="1:11">
      <c r="A4714">
        <v>4713</v>
      </c>
      <c r="B4714" t="s">
        <v>70</v>
      </c>
      <c r="C4714" s="1">
        <v>46022</v>
      </c>
      <c r="D4714">
        <v>0</v>
      </c>
      <c r="E4714" t="s">
        <v>15</v>
      </c>
      <c r="G4714" s="1">
        <v>45551</v>
      </c>
      <c r="H4714" s="1">
        <v>45063</v>
      </c>
      <c r="I4714">
        <v>25</v>
      </c>
      <c r="J4714" t="s">
        <v>19</v>
      </c>
      <c r="K4714">
        <v>1018.74</v>
      </c>
    </row>
    <row r="4715" spans="1:11">
      <c r="A4715">
        <v>4714</v>
      </c>
      <c r="B4715" t="s">
        <v>36</v>
      </c>
      <c r="C4715" s="1">
        <v>21551</v>
      </c>
      <c r="D4715">
        <v>67</v>
      </c>
      <c r="E4715" t="s">
        <v>12</v>
      </c>
      <c r="G4715" s="1">
        <v>45404</v>
      </c>
      <c r="H4715" s="1">
        <v>45634</v>
      </c>
      <c r="I4715">
        <v>30</v>
      </c>
      <c r="J4715" t="s">
        <v>23</v>
      </c>
      <c r="K4715">
        <v>3817.49</v>
      </c>
    </row>
    <row r="4716" spans="1:11">
      <c r="A4716">
        <v>4715</v>
      </c>
      <c r="B4716" t="s">
        <v>57</v>
      </c>
      <c r="C4716" s="1">
        <v>42005</v>
      </c>
      <c r="D4716">
        <v>11</v>
      </c>
      <c r="F4716" t="s">
        <v>16</v>
      </c>
      <c r="G4716" s="1">
        <v>45633</v>
      </c>
      <c r="H4716" s="1">
        <v>44976</v>
      </c>
      <c r="I4716">
        <v>36</v>
      </c>
      <c r="J4716" t="s">
        <v>23</v>
      </c>
      <c r="K4716">
        <v>17946.82</v>
      </c>
    </row>
    <row r="4717" spans="1:11">
      <c r="A4717">
        <v>4716</v>
      </c>
      <c r="B4717" t="s">
        <v>88</v>
      </c>
      <c r="C4717" s="1">
        <v>24473</v>
      </c>
      <c r="D4717">
        <v>59</v>
      </c>
      <c r="E4717" t="s">
        <v>12</v>
      </c>
      <c r="F4717" t="s">
        <v>45</v>
      </c>
      <c r="G4717" s="1">
        <v>45295</v>
      </c>
      <c r="H4717" s="1">
        <v>45535</v>
      </c>
      <c r="I4717">
        <v>23</v>
      </c>
      <c r="J4717" t="s">
        <v>25</v>
      </c>
      <c r="K4717">
        <v>13957.52</v>
      </c>
    </row>
    <row r="4718" spans="1:11">
      <c r="A4718">
        <v>4717</v>
      </c>
      <c r="B4718" t="s">
        <v>34</v>
      </c>
      <c r="C4718" s="1">
        <v>36526</v>
      </c>
      <c r="D4718">
        <v>26</v>
      </c>
      <c r="E4718" t="s">
        <v>12</v>
      </c>
      <c r="F4718" t="s">
        <v>18</v>
      </c>
      <c r="G4718" s="1">
        <v>45579</v>
      </c>
      <c r="H4718" s="1">
        <v>45434</v>
      </c>
      <c r="I4718">
        <v>5</v>
      </c>
      <c r="J4718" t="s">
        <v>23</v>
      </c>
      <c r="K4718">
        <v>15783.04</v>
      </c>
    </row>
    <row r="4719" spans="1:11">
      <c r="A4719">
        <v>4718</v>
      </c>
      <c r="B4719" t="s">
        <v>137</v>
      </c>
      <c r="C4719" s="1">
        <v>25934</v>
      </c>
      <c r="D4719">
        <v>55</v>
      </c>
      <c r="E4719" t="s">
        <v>15</v>
      </c>
      <c r="F4719" t="s">
        <v>21</v>
      </c>
      <c r="G4719" s="1">
        <v>45562</v>
      </c>
      <c r="H4719" s="1">
        <v>45048</v>
      </c>
      <c r="I4719">
        <v>35</v>
      </c>
      <c r="J4719" t="s">
        <v>19</v>
      </c>
      <c r="K4719">
        <v>2395.7800000000002</v>
      </c>
    </row>
    <row r="4720" spans="1:11">
      <c r="A4720">
        <v>4719</v>
      </c>
      <c r="B4720" t="s">
        <v>164</v>
      </c>
      <c r="C4720" s="1">
        <v>37987</v>
      </c>
      <c r="D4720">
        <v>22</v>
      </c>
      <c r="E4720" t="s">
        <v>15</v>
      </c>
      <c r="F4720" t="s">
        <v>32</v>
      </c>
      <c r="G4720" s="1">
        <v>45067</v>
      </c>
      <c r="H4720" s="1">
        <v>45688</v>
      </c>
      <c r="I4720">
        <v>23</v>
      </c>
      <c r="J4720" t="s">
        <v>23</v>
      </c>
      <c r="K4720">
        <v>2613.2399999999998</v>
      </c>
    </row>
    <row r="4721" spans="1:11">
      <c r="A4721">
        <v>4720</v>
      </c>
      <c r="B4721" t="s">
        <v>113</v>
      </c>
      <c r="C4721" s="1">
        <v>37256</v>
      </c>
      <c r="D4721">
        <v>24</v>
      </c>
      <c r="E4721" t="s">
        <v>12</v>
      </c>
      <c r="F4721" t="s">
        <v>32</v>
      </c>
      <c r="G4721" s="1">
        <v>45646</v>
      </c>
      <c r="H4721" s="1">
        <v>45144</v>
      </c>
      <c r="I4721">
        <v>29</v>
      </c>
      <c r="K4721">
        <v>2156.14</v>
      </c>
    </row>
    <row r="4722" spans="1:11">
      <c r="A4722">
        <v>4721</v>
      </c>
      <c r="B4722" t="s">
        <v>30</v>
      </c>
      <c r="C4722" s="1">
        <v>38717</v>
      </c>
      <c r="D4722">
        <v>20</v>
      </c>
      <c r="E4722" t="s">
        <v>15</v>
      </c>
      <c r="F4722" t="s">
        <v>45</v>
      </c>
      <c r="G4722" s="1">
        <v>45553</v>
      </c>
      <c r="H4722" s="1">
        <v>45553</v>
      </c>
      <c r="I4722">
        <v>25</v>
      </c>
      <c r="J4722" t="s">
        <v>25</v>
      </c>
      <c r="K4722">
        <v>17129.099999999999</v>
      </c>
    </row>
    <row r="4723" spans="1:11">
      <c r="A4723">
        <v>4722</v>
      </c>
      <c r="B4723" t="s">
        <v>153</v>
      </c>
      <c r="C4723" s="1">
        <v>24107</v>
      </c>
      <c r="D4723">
        <v>60</v>
      </c>
      <c r="E4723" t="s">
        <v>12</v>
      </c>
      <c r="F4723" t="s">
        <v>18</v>
      </c>
      <c r="G4723" s="1">
        <v>45644</v>
      </c>
      <c r="H4723" s="1">
        <v>45453</v>
      </c>
      <c r="I4723">
        <v>4</v>
      </c>
      <c r="J4723" t="s">
        <v>19</v>
      </c>
      <c r="K4723">
        <v>4120.3500000000004</v>
      </c>
    </row>
    <row r="4724" spans="1:11">
      <c r="A4724">
        <v>4723</v>
      </c>
      <c r="B4724" t="s">
        <v>102</v>
      </c>
      <c r="C4724" s="1">
        <v>23377</v>
      </c>
      <c r="D4724">
        <v>62</v>
      </c>
      <c r="E4724" t="s">
        <v>12</v>
      </c>
      <c r="F4724" t="s">
        <v>45</v>
      </c>
      <c r="G4724" s="1">
        <v>45382</v>
      </c>
      <c r="H4724" s="1">
        <v>45501</v>
      </c>
      <c r="I4724">
        <v>32</v>
      </c>
      <c r="J4724" t="s">
        <v>25</v>
      </c>
      <c r="K4724">
        <v>12827.35</v>
      </c>
    </row>
    <row r="4725" spans="1:11">
      <c r="A4725">
        <v>4724</v>
      </c>
      <c r="B4725" t="s">
        <v>74</v>
      </c>
      <c r="C4725" s="1">
        <v>27395</v>
      </c>
      <c r="D4725">
        <v>51</v>
      </c>
      <c r="F4725" t="s">
        <v>45</v>
      </c>
      <c r="G4725" s="1">
        <v>45428</v>
      </c>
      <c r="H4725" s="1">
        <v>44970</v>
      </c>
      <c r="I4725">
        <v>-1</v>
      </c>
      <c r="J4725" t="s">
        <v>23</v>
      </c>
      <c r="K4725">
        <v>10274.94</v>
      </c>
    </row>
    <row r="4726" spans="1:11">
      <c r="A4726">
        <v>4725</v>
      </c>
      <c r="B4726" t="s">
        <v>150</v>
      </c>
      <c r="C4726" s="1">
        <v>14246</v>
      </c>
      <c r="D4726">
        <v>87</v>
      </c>
      <c r="E4726" t="s">
        <v>15</v>
      </c>
      <c r="F4726" t="s">
        <v>21</v>
      </c>
      <c r="G4726" s="1">
        <v>45329</v>
      </c>
      <c r="H4726" s="1">
        <v>45679</v>
      </c>
      <c r="I4726">
        <v>19</v>
      </c>
      <c r="J4726" t="s">
        <v>25</v>
      </c>
      <c r="K4726">
        <v>10842.24</v>
      </c>
    </row>
    <row r="4727" spans="1:11">
      <c r="A4727">
        <v>4726</v>
      </c>
      <c r="B4727" t="s">
        <v>141</v>
      </c>
      <c r="C4727" s="1">
        <v>37256</v>
      </c>
      <c r="D4727">
        <v>24</v>
      </c>
      <c r="E4727" t="s">
        <v>12</v>
      </c>
      <c r="F4727" t="s">
        <v>18</v>
      </c>
      <c r="G4727" s="1">
        <v>45214</v>
      </c>
      <c r="H4727" s="1">
        <v>45023</v>
      </c>
      <c r="I4727">
        <v>19</v>
      </c>
      <c r="J4727" t="s">
        <v>25</v>
      </c>
      <c r="K4727">
        <v>3828.25</v>
      </c>
    </row>
    <row r="4728" spans="1:11">
      <c r="A4728">
        <v>4727</v>
      </c>
      <c r="B4728" t="s">
        <v>48</v>
      </c>
      <c r="C4728" s="1">
        <v>26299</v>
      </c>
      <c r="D4728">
        <v>54</v>
      </c>
      <c r="E4728" t="s">
        <v>12</v>
      </c>
      <c r="F4728" t="s">
        <v>21</v>
      </c>
      <c r="G4728" s="1">
        <v>45281</v>
      </c>
      <c r="H4728" s="1">
        <v>44954</v>
      </c>
      <c r="I4728">
        <v>0</v>
      </c>
      <c r="J4728" t="s">
        <v>23</v>
      </c>
      <c r="K4728">
        <v>12668.45</v>
      </c>
    </row>
    <row r="4729" spans="1:11">
      <c r="A4729">
        <v>4728</v>
      </c>
      <c r="B4729" t="s">
        <v>136</v>
      </c>
      <c r="C4729" s="1">
        <v>29586</v>
      </c>
      <c r="D4729">
        <v>45</v>
      </c>
      <c r="E4729" t="s">
        <v>15</v>
      </c>
      <c r="F4729" t="s">
        <v>18</v>
      </c>
      <c r="G4729" s="1">
        <v>45269</v>
      </c>
      <c r="H4729" s="1">
        <v>45763</v>
      </c>
      <c r="I4729">
        <v>5</v>
      </c>
      <c r="J4729" t="s">
        <v>25</v>
      </c>
      <c r="K4729">
        <v>766.32</v>
      </c>
    </row>
    <row r="4730" spans="1:11">
      <c r="A4730">
        <v>4729</v>
      </c>
      <c r="B4730" t="s">
        <v>162</v>
      </c>
      <c r="C4730" s="1">
        <v>34700</v>
      </c>
      <c r="D4730">
        <v>31</v>
      </c>
      <c r="E4730" t="s">
        <v>12</v>
      </c>
      <c r="F4730" t="s">
        <v>32</v>
      </c>
      <c r="G4730" s="1">
        <v>45075</v>
      </c>
      <c r="H4730" s="1">
        <v>45822</v>
      </c>
      <c r="I4730">
        <v>1</v>
      </c>
      <c r="J4730" t="s">
        <v>23</v>
      </c>
      <c r="K4730">
        <v>19868.79</v>
      </c>
    </row>
    <row r="4731" spans="1:11">
      <c r="A4731">
        <v>4730</v>
      </c>
      <c r="B4731" t="s">
        <v>158</v>
      </c>
      <c r="C4731" s="1">
        <v>26299</v>
      </c>
      <c r="D4731">
        <v>54</v>
      </c>
      <c r="E4731" t="s">
        <v>15</v>
      </c>
      <c r="F4731" t="s">
        <v>13</v>
      </c>
      <c r="G4731" s="1">
        <v>45136</v>
      </c>
      <c r="H4731" s="1">
        <v>45169</v>
      </c>
      <c r="I4731">
        <v>12</v>
      </c>
      <c r="J4731" t="s">
        <v>19</v>
      </c>
      <c r="K4731">
        <v>437.85</v>
      </c>
    </row>
    <row r="4732" spans="1:11">
      <c r="A4732">
        <v>4731</v>
      </c>
      <c r="B4732" t="s">
        <v>124</v>
      </c>
      <c r="C4732" s="1">
        <v>44561</v>
      </c>
      <c r="D4732">
        <v>4</v>
      </c>
      <c r="E4732" t="s">
        <v>15</v>
      </c>
      <c r="F4732" t="s">
        <v>16</v>
      </c>
      <c r="G4732" s="1">
        <v>45038</v>
      </c>
      <c r="H4732" s="1">
        <v>45414</v>
      </c>
      <c r="I4732">
        <v>36</v>
      </c>
      <c r="J4732" t="s">
        <v>25</v>
      </c>
      <c r="K4732">
        <v>908.15</v>
      </c>
    </row>
    <row r="4733" spans="1:11">
      <c r="A4733">
        <v>4732</v>
      </c>
      <c r="B4733" t="s">
        <v>83</v>
      </c>
      <c r="C4733" s="1">
        <v>33239</v>
      </c>
      <c r="D4733">
        <v>35</v>
      </c>
      <c r="E4733" t="s">
        <v>15</v>
      </c>
      <c r="F4733" t="s">
        <v>13</v>
      </c>
      <c r="G4733" s="1">
        <v>45580</v>
      </c>
      <c r="H4733" s="1">
        <v>45167</v>
      </c>
      <c r="I4733">
        <v>9</v>
      </c>
      <c r="K4733">
        <v>6425.41</v>
      </c>
    </row>
    <row r="4734" spans="1:11">
      <c r="A4734">
        <v>4733</v>
      </c>
      <c r="B4734" t="s">
        <v>122</v>
      </c>
      <c r="C4734" s="1">
        <v>28490</v>
      </c>
      <c r="D4734">
        <v>48</v>
      </c>
      <c r="E4734" t="s">
        <v>15</v>
      </c>
      <c r="G4734" s="1">
        <v>45462</v>
      </c>
      <c r="H4734" s="1">
        <v>45231</v>
      </c>
      <c r="I4734">
        <v>26</v>
      </c>
      <c r="K4734">
        <v>16615.669999999998</v>
      </c>
    </row>
    <row r="4735" spans="1:11">
      <c r="A4735">
        <v>4734</v>
      </c>
      <c r="B4735" t="s">
        <v>69</v>
      </c>
      <c r="C4735" s="1">
        <v>25203</v>
      </c>
      <c r="D4735">
        <v>57</v>
      </c>
      <c r="E4735" t="s">
        <v>12</v>
      </c>
      <c r="F4735" t="s">
        <v>18</v>
      </c>
      <c r="G4735" s="1">
        <v>44975</v>
      </c>
      <c r="H4735" s="1">
        <v>44994</v>
      </c>
      <c r="I4735">
        <v>6</v>
      </c>
      <c r="J4735" t="s">
        <v>19</v>
      </c>
      <c r="K4735">
        <v>5069.5</v>
      </c>
    </row>
    <row r="4736" spans="1:11">
      <c r="A4736">
        <v>4735</v>
      </c>
      <c r="B4736" t="s">
        <v>163</v>
      </c>
      <c r="C4736" s="1">
        <v>32143</v>
      </c>
      <c r="D4736">
        <v>38</v>
      </c>
      <c r="E4736" t="s">
        <v>15</v>
      </c>
      <c r="F4736" t="s">
        <v>13</v>
      </c>
      <c r="G4736" s="1">
        <v>45257</v>
      </c>
      <c r="H4736" s="1">
        <v>45208</v>
      </c>
      <c r="I4736">
        <v>39</v>
      </c>
      <c r="J4736" t="s">
        <v>23</v>
      </c>
      <c r="K4736">
        <v>9385.89</v>
      </c>
    </row>
    <row r="4737" spans="1:11">
      <c r="A4737">
        <v>4736</v>
      </c>
      <c r="B4737" t="s">
        <v>125</v>
      </c>
      <c r="C4737" s="1">
        <v>17168</v>
      </c>
      <c r="D4737">
        <v>79</v>
      </c>
      <c r="E4737" t="s">
        <v>15</v>
      </c>
      <c r="F4737" t="s">
        <v>45</v>
      </c>
      <c r="G4737" s="1">
        <v>45291</v>
      </c>
      <c r="H4737" s="1">
        <v>45119</v>
      </c>
      <c r="I4737">
        <v>37</v>
      </c>
      <c r="J4737" t="s">
        <v>23</v>
      </c>
      <c r="K4737">
        <v>261.33999999999997</v>
      </c>
    </row>
    <row r="4738" spans="1:11">
      <c r="A4738">
        <v>4737</v>
      </c>
      <c r="B4738" t="s">
        <v>58</v>
      </c>
      <c r="C4738" s="1">
        <v>15341</v>
      </c>
      <c r="D4738">
        <v>84</v>
      </c>
      <c r="E4738" t="s">
        <v>15</v>
      </c>
      <c r="F4738" t="s">
        <v>32</v>
      </c>
      <c r="G4738" s="1">
        <v>44937</v>
      </c>
      <c r="H4738" s="1">
        <v>45046</v>
      </c>
      <c r="I4738">
        <v>17</v>
      </c>
      <c r="J4738" t="s">
        <v>25</v>
      </c>
      <c r="K4738">
        <v>1485.47</v>
      </c>
    </row>
    <row r="4739" spans="1:11">
      <c r="A4739">
        <v>4738</v>
      </c>
      <c r="B4739" t="s">
        <v>121</v>
      </c>
      <c r="C4739" s="1">
        <v>24107</v>
      </c>
      <c r="D4739">
        <v>60</v>
      </c>
      <c r="E4739" t="s">
        <v>15</v>
      </c>
      <c r="F4739" t="s">
        <v>16</v>
      </c>
      <c r="G4739" s="1">
        <v>45114</v>
      </c>
      <c r="H4739" s="1">
        <v>45079</v>
      </c>
      <c r="I4739">
        <v>31</v>
      </c>
      <c r="J4739" t="s">
        <v>25</v>
      </c>
      <c r="K4739">
        <v>12120.12</v>
      </c>
    </row>
    <row r="4740" spans="1:11">
      <c r="A4740">
        <v>4739</v>
      </c>
      <c r="B4740" t="s">
        <v>99</v>
      </c>
      <c r="C4740" s="1">
        <v>43100</v>
      </c>
      <c r="D4740">
        <v>8</v>
      </c>
      <c r="E4740" t="s">
        <v>15</v>
      </c>
      <c r="F4740" t="s">
        <v>16</v>
      </c>
      <c r="G4740" s="1">
        <v>45435</v>
      </c>
      <c r="H4740" s="1">
        <v>45704</v>
      </c>
      <c r="I4740">
        <v>23</v>
      </c>
      <c r="K4740">
        <v>3806.61</v>
      </c>
    </row>
    <row r="4741" spans="1:11">
      <c r="A4741">
        <v>4740</v>
      </c>
      <c r="B4741" t="s">
        <v>43</v>
      </c>
      <c r="C4741" s="1">
        <v>44196</v>
      </c>
      <c r="D4741">
        <v>5</v>
      </c>
      <c r="E4741" t="s">
        <v>15</v>
      </c>
      <c r="G4741" s="1">
        <v>45506</v>
      </c>
      <c r="H4741" s="1">
        <v>45319</v>
      </c>
      <c r="I4741">
        <v>18</v>
      </c>
      <c r="K4741">
        <v>13854.52</v>
      </c>
    </row>
    <row r="4742" spans="1:11">
      <c r="A4742">
        <v>4741</v>
      </c>
      <c r="B4742" t="s">
        <v>118</v>
      </c>
      <c r="C4742" s="1">
        <v>33604</v>
      </c>
      <c r="D4742">
        <v>34</v>
      </c>
      <c r="E4742" t="s">
        <v>12</v>
      </c>
      <c r="F4742" t="s">
        <v>16</v>
      </c>
      <c r="G4742" s="1">
        <v>45371</v>
      </c>
      <c r="H4742" s="1">
        <v>45158</v>
      </c>
      <c r="I4742">
        <v>20</v>
      </c>
      <c r="J4742" t="s">
        <v>23</v>
      </c>
      <c r="K4742">
        <v>15686.36</v>
      </c>
    </row>
    <row r="4743" spans="1:11">
      <c r="A4743">
        <v>4742</v>
      </c>
      <c r="B4743" t="s">
        <v>119</v>
      </c>
      <c r="C4743" s="1">
        <v>32143</v>
      </c>
      <c r="D4743">
        <v>38</v>
      </c>
      <c r="E4743" t="s">
        <v>12</v>
      </c>
      <c r="F4743" t="s">
        <v>32</v>
      </c>
      <c r="G4743" s="1">
        <v>45016</v>
      </c>
      <c r="H4743" s="1">
        <v>45278</v>
      </c>
      <c r="I4743">
        <v>15</v>
      </c>
      <c r="K4743">
        <v>16991.72</v>
      </c>
    </row>
    <row r="4744" spans="1:11">
      <c r="A4744">
        <v>4743</v>
      </c>
      <c r="B4744" t="s">
        <v>78</v>
      </c>
      <c r="C4744" s="1">
        <v>38352</v>
      </c>
      <c r="D4744">
        <v>21</v>
      </c>
      <c r="E4744" t="s">
        <v>12</v>
      </c>
      <c r="F4744" t="s">
        <v>13</v>
      </c>
      <c r="G4744" s="1">
        <v>45548</v>
      </c>
      <c r="H4744" s="1">
        <v>45688</v>
      </c>
      <c r="I4744">
        <v>21</v>
      </c>
      <c r="J4744" t="s">
        <v>23</v>
      </c>
      <c r="K4744">
        <v>2589.37</v>
      </c>
    </row>
    <row r="4745" spans="1:11">
      <c r="A4745">
        <v>4744</v>
      </c>
      <c r="B4745" t="s">
        <v>130</v>
      </c>
      <c r="C4745" s="1">
        <v>31412</v>
      </c>
      <c r="D4745">
        <v>40</v>
      </c>
      <c r="E4745" t="s">
        <v>12</v>
      </c>
      <c r="F4745" t="s">
        <v>16</v>
      </c>
      <c r="G4745" s="1">
        <v>45602</v>
      </c>
      <c r="H4745" s="1">
        <v>45498</v>
      </c>
      <c r="I4745">
        <v>39</v>
      </c>
      <c r="J4745" t="s">
        <v>19</v>
      </c>
      <c r="K4745">
        <v>9055.7199999999993</v>
      </c>
    </row>
    <row r="4746" spans="1:11">
      <c r="A4746">
        <v>4745</v>
      </c>
      <c r="B4746" t="s">
        <v>105</v>
      </c>
      <c r="C4746" s="1">
        <v>44561</v>
      </c>
      <c r="D4746">
        <v>4</v>
      </c>
      <c r="E4746" t="s">
        <v>15</v>
      </c>
      <c r="F4746" t="s">
        <v>16</v>
      </c>
      <c r="G4746" s="1">
        <v>45374</v>
      </c>
      <c r="H4746" s="1">
        <v>45456</v>
      </c>
      <c r="I4746">
        <v>26</v>
      </c>
      <c r="J4746" t="s">
        <v>19</v>
      </c>
      <c r="K4746">
        <v>18936.34</v>
      </c>
    </row>
    <row r="4747" spans="1:11">
      <c r="A4747">
        <v>4746</v>
      </c>
      <c r="B4747" t="s">
        <v>30</v>
      </c>
      <c r="D4747">
        <v>41</v>
      </c>
      <c r="E4747" t="s">
        <v>12</v>
      </c>
      <c r="F4747" t="s">
        <v>18</v>
      </c>
      <c r="G4747" s="1">
        <v>45644</v>
      </c>
      <c r="H4747" s="1">
        <v>45098</v>
      </c>
      <c r="I4747">
        <v>35</v>
      </c>
      <c r="K4747">
        <v>15418.88</v>
      </c>
    </row>
    <row r="4748" spans="1:11">
      <c r="A4748">
        <v>4747</v>
      </c>
      <c r="B4748" t="s">
        <v>57</v>
      </c>
      <c r="C4748" s="1">
        <v>14611</v>
      </c>
      <c r="D4748">
        <v>86</v>
      </c>
      <c r="E4748" t="s">
        <v>12</v>
      </c>
      <c r="F4748" t="s">
        <v>45</v>
      </c>
      <c r="G4748" s="1">
        <v>44958</v>
      </c>
      <c r="H4748" s="1">
        <v>45790</v>
      </c>
      <c r="I4748">
        <v>35</v>
      </c>
      <c r="J4748" t="s">
        <v>25</v>
      </c>
      <c r="K4748">
        <v>2250.9</v>
      </c>
    </row>
    <row r="4749" spans="1:11">
      <c r="A4749">
        <v>4748</v>
      </c>
      <c r="B4749" t="s">
        <v>100</v>
      </c>
      <c r="C4749" s="1">
        <v>16802</v>
      </c>
      <c r="D4749">
        <v>80</v>
      </c>
      <c r="E4749" t="s">
        <v>15</v>
      </c>
      <c r="F4749" t="s">
        <v>18</v>
      </c>
      <c r="G4749" s="1">
        <v>45253</v>
      </c>
      <c r="H4749" s="1">
        <v>45059</v>
      </c>
      <c r="I4749">
        <v>10</v>
      </c>
      <c r="K4749">
        <v>10000.25</v>
      </c>
    </row>
    <row r="4750" spans="1:11">
      <c r="A4750">
        <v>4749</v>
      </c>
      <c r="B4750" t="s">
        <v>115</v>
      </c>
      <c r="C4750" s="1">
        <v>18629</v>
      </c>
      <c r="D4750">
        <v>75</v>
      </c>
      <c r="E4750" t="s">
        <v>12</v>
      </c>
      <c r="F4750" t="s">
        <v>13</v>
      </c>
      <c r="G4750" s="1">
        <v>45000</v>
      </c>
      <c r="H4750" s="1">
        <v>45284</v>
      </c>
      <c r="I4750">
        <v>29</v>
      </c>
      <c r="K4750">
        <v>18439.849999999999</v>
      </c>
    </row>
    <row r="4751" spans="1:11">
      <c r="A4751">
        <v>4750</v>
      </c>
      <c r="B4751" t="s">
        <v>126</v>
      </c>
      <c r="C4751" s="1">
        <v>14611</v>
      </c>
      <c r="D4751">
        <v>86</v>
      </c>
      <c r="E4751" t="s">
        <v>15</v>
      </c>
      <c r="F4751" t="s">
        <v>32</v>
      </c>
      <c r="G4751" s="1">
        <v>45177</v>
      </c>
      <c r="H4751" s="1">
        <v>45575</v>
      </c>
      <c r="I4751">
        <v>16</v>
      </c>
      <c r="K4751">
        <v>8744.7800000000007</v>
      </c>
    </row>
    <row r="4752" spans="1:11">
      <c r="A4752">
        <v>4751</v>
      </c>
      <c r="B4752" t="s">
        <v>60</v>
      </c>
      <c r="C4752" s="1">
        <v>17168</v>
      </c>
      <c r="D4752">
        <v>79</v>
      </c>
      <c r="E4752" t="s">
        <v>15</v>
      </c>
      <c r="F4752" t="s">
        <v>32</v>
      </c>
      <c r="G4752" s="1">
        <v>45376</v>
      </c>
      <c r="H4752" s="1">
        <v>44969</v>
      </c>
      <c r="I4752">
        <v>14</v>
      </c>
      <c r="J4752" t="s">
        <v>25</v>
      </c>
      <c r="K4752">
        <v>16732.09</v>
      </c>
    </row>
    <row r="4753" spans="1:11">
      <c r="A4753">
        <v>4752</v>
      </c>
      <c r="B4753" t="s">
        <v>125</v>
      </c>
      <c r="C4753" s="1">
        <v>21916</v>
      </c>
      <c r="D4753">
        <v>66</v>
      </c>
      <c r="E4753" t="s">
        <v>12</v>
      </c>
      <c r="F4753" t="s">
        <v>18</v>
      </c>
      <c r="G4753" s="1">
        <v>45281</v>
      </c>
      <c r="H4753" s="1">
        <v>45232</v>
      </c>
      <c r="I4753">
        <v>-1</v>
      </c>
      <c r="K4753">
        <v>9866.4599999999991</v>
      </c>
    </row>
    <row r="4754" spans="1:11">
      <c r="A4754">
        <v>4753</v>
      </c>
      <c r="B4754" t="s">
        <v>87</v>
      </c>
      <c r="C4754" s="1">
        <v>35430</v>
      </c>
      <c r="D4754">
        <v>29</v>
      </c>
      <c r="E4754" t="s">
        <v>15</v>
      </c>
      <c r="F4754" t="s">
        <v>21</v>
      </c>
      <c r="G4754" s="1">
        <v>45459</v>
      </c>
      <c r="H4754" s="1">
        <v>44933</v>
      </c>
      <c r="I4754">
        <v>15</v>
      </c>
      <c r="J4754" t="s">
        <v>25</v>
      </c>
      <c r="K4754">
        <v>2046.91</v>
      </c>
    </row>
    <row r="4755" spans="1:11">
      <c r="A4755">
        <v>4754</v>
      </c>
      <c r="B4755" t="s">
        <v>152</v>
      </c>
      <c r="C4755" s="1">
        <v>25568</v>
      </c>
      <c r="D4755">
        <v>56</v>
      </c>
      <c r="E4755" t="s">
        <v>15</v>
      </c>
      <c r="F4755" t="s">
        <v>18</v>
      </c>
      <c r="G4755" s="1">
        <v>45222</v>
      </c>
      <c r="H4755" s="1">
        <v>45256</v>
      </c>
      <c r="I4755">
        <v>36</v>
      </c>
      <c r="K4755">
        <v>2871.88</v>
      </c>
    </row>
    <row r="4756" spans="1:11">
      <c r="A4756">
        <v>4755</v>
      </c>
      <c r="B4756" t="s">
        <v>166</v>
      </c>
      <c r="C4756" s="1">
        <v>14976</v>
      </c>
      <c r="D4756">
        <v>85</v>
      </c>
      <c r="E4756" t="s">
        <v>15</v>
      </c>
      <c r="F4756" t="s">
        <v>21</v>
      </c>
      <c r="G4756" s="1">
        <v>45224</v>
      </c>
      <c r="H4756" s="1">
        <v>45097</v>
      </c>
      <c r="I4756">
        <v>24</v>
      </c>
      <c r="J4756" t="s">
        <v>25</v>
      </c>
      <c r="K4756">
        <v>838.18</v>
      </c>
    </row>
    <row r="4757" spans="1:11">
      <c r="A4757">
        <v>4756</v>
      </c>
      <c r="B4757" t="s">
        <v>112</v>
      </c>
      <c r="C4757" s="1">
        <v>19724</v>
      </c>
      <c r="D4757">
        <v>72</v>
      </c>
      <c r="E4757" t="s">
        <v>15</v>
      </c>
      <c r="G4757" s="1">
        <v>45254</v>
      </c>
      <c r="H4757" s="1">
        <v>45727</v>
      </c>
      <c r="I4757">
        <v>11</v>
      </c>
      <c r="J4757" t="s">
        <v>25</v>
      </c>
      <c r="K4757">
        <v>3825.83</v>
      </c>
    </row>
    <row r="4758" spans="1:11">
      <c r="A4758">
        <v>4757</v>
      </c>
      <c r="B4758" t="s">
        <v>112</v>
      </c>
      <c r="C4758" s="1">
        <v>35795</v>
      </c>
      <c r="D4758">
        <v>28</v>
      </c>
      <c r="E4758" t="s">
        <v>15</v>
      </c>
      <c r="F4758" t="s">
        <v>18</v>
      </c>
      <c r="G4758" s="1">
        <v>45228</v>
      </c>
      <c r="H4758" s="1">
        <v>45265</v>
      </c>
      <c r="I4758">
        <v>12</v>
      </c>
      <c r="J4758" t="s">
        <v>25</v>
      </c>
      <c r="K4758">
        <v>17861.64</v>
      </c>
    </row>
    <row r="4759" spans="1:11">
      <c r="A4759">
        <v>4758</v>
      </c>
      <c r="B4759" t="s">
        <v>62</v>
      </c>
      <c r="C4759" s="1">
        <v>32873</v>
      </c>
      <c r="D4759">
        <v>36</v>
      </c>
      <c r="E4759" t="s">
        <v>12</v>
      </c>
      <c r="F4759" t="s">
        <v>21</v>
      </c>
      <c r="G4759" s="1">
        <v>45438</v>
      </c>
      <c r="H4759" s="1">
        <v>45654</v>
      </c>
      <c r="I4759">
        <v>5</v>
      </c>
      <c r="J4759" t="s">
        <v>25</v>
      </c>
      <c r="K4759">
        <v>12968.98</v>
      </c>
    </row>
    <row r="4760" spans="1:11">
      <c r="A4760">
        <v>4759</v>
      </c>
      <c r="B4760" t="s">
        <v>77</v>
      </c>
      <c r="C4760" s="1">
        <v>14611</v>
      </c>
      <c r="D4760">
        <v>86</v>
      </c>
      <c r="E4760" t="s">
        <v>12</v>
      </c>
      <c r="F4760" t="s">
        <v>21</v>
      </c>
      <c r="G4760" s="1">
        <v>45264</v>
      </c>
      <c r="H4760" s="1">
        <v>44996</v>
      </c>
      <c r="I4760">
        <v>6</v>
      </c>
      <c r="J4760" t="s">
        <v>25</v>
      </c>
      <c r="K4760">
        <v>14751.02</v>
      </c>
    </row>
    <row r="4761" spans="1:11">
      <c r="A4761">
        <v>4760</v>
      </c>
      <c r="B4761" t="s">
        <v>11</v>
      </c>
      <c r="C4761" s="1">
        <v>41639</v>
      </c>
      <c r="D4761">
        <v>12</v>
      </c>
      <c r="E4761" t="s">
        <v>12</v>
      </c>
      <c r="F4761" t="s">
        <v>16</v>
      </c>
      <c r="G4761" s="1">
        <v>45511</v>
      </c>
      <c r="H4761" s="1">
        <v>45809</v>
      </c>
      <c r="I4761">
        <v>18</v>
      </c>
      <c r="J4761" t="s">
        <v>19</v>
      </c>
      <c r="K4761">
        <v>12395.4</v>
      </c>
    </row>
    <row r="4762" spans="1:11">
      <c r="A4762">
        <v>4761</v>
      </c>
      <c r="B4762" t="s">
        <v>167</v>
      </c>
      <c r="C4762" s="1">
        <v>34700</v>
      </c>
      <c r="D4762">
        <v>31</v>
      </c>
      <c r="E4762" t="s">
        <v>15</v>
      </c>
      <c r="G4762" s="1">
        <v>45300</v>
      </c>
      <c r="H4762" s="1">
        <v>45466</v>
      </c>
      <c r="I4762">
        <v>32</v>
      </c>
      <c r="J4762" t="s">
        <v>23</v>
      </c>
      <c r="K4762">
        <v>7669.44</v>
      </c>
    </row>
    <row r="4763" spans="1:11">
      <c r="A4763">
        <v>4762</v>
      </c>
      <c r="B4763" t="s">
        <v>145</v>
      </c>
      <c r="C4763" s="1">
        <v>29586</v>
      </c>
      <c r="D4763">
        <v>45</v>
      </c>
      <c r="F4763" t="s">
        <v>16</v>
      </c>
      <c r="G4763" s="1">
        <v>45479</v>
      </c>
      <c r="H4763" s="1">
        <v>45664</v>
      </c>
      <c r="I4763">
        <v>11</v>
      </c>
      <c r="J4763" t="s">
        <v>23</v>
      </c>
      <c r="K4763">
        <v>4258.91</v>
      </c>
    </row>
    <row r="4764" spans="1:11">
      <c r="A4764">
        <v>4763</v>
      </c>
      <c r="B4764" t="s">
        <v>113</v>
      </c>
      <c r="C4764" s="1">
        <v>37987</v>
      </c>
      <c r="D4764">
        <v>22</v>
      </c>
      <c r="E4764" t="s">
        <v>12</v>
      </c>
      <c r="F4764" t="s">
        <v>21</v>
      </c>
      <c r="G4764" s="1">
        <v>45020</v>
      </c>
      <c r="H4764" s="1">
        <v>45761</v>
      </c>
      <c r="I4764">
        <v>24</v>
      </c>
      <c r="J4764" t="s">
        <v>25</v>
      </c>
      <c r="K4764">
        <v>18504.849999999999</v>
      </c>
    </row>
    <row r="4765" spans="1:11">
      <c r="A4765">
        <v>4764</v>
      </c>
      <c r="B4765" t="s">
        <v>169</v>
      </c>
      <c r="C4765" s="1">
        <v>29951</v>
      </c>
      <c r="D4765">
        <v>44</v>
      </c>
      <c r="E4765" t="s">
        <v>15</v>
      </c>
      <c r="F4765" t="s">
        <v>21</v>
      </c>
      <c r="G4765" s="1">
        <v>45058</v>
      </c>
      <c r="H4765" s="1">
        <v>45434</v>
      </c>
      <c r="I4765">
        <v>5</v>
      </c>
      <c r="J4765" t="s">
        <v>23</v>
      </c>
      <c r="K4765">
        <v>10248.08</v>
      </c>
    </row>
    <row r="4766" spans="1:11">
      <c r="A4766">
        <v>4765</v>
      </c>
      <c r="B4766" t="s">
        <v>166</v>
      </c>
      <c r="C4766" s="1">
        <v>40178</v>
      </c>
      <c r="D4766">
        <v>16</v>
      </c>
      <c r="E4766" t="s">
        <v>12</v>
      </c>
      <c r="F4766" t="s">
        <v>45</v>
      </c>
      <c r="G4766" s="1">
        <v>45537</v>
      </c>
      <c r="H4766" s="1">
        <v>45673</v>
      </c>
      <c r="I4766">
        <v>32</v>
      </c>
      <c r="J4766" t="s">
        <v>25</v>
      </c>
      <c r="K4766">
        <v>9570.11</v>
      </c>
    </row>
    <row r="4767" spans="1:11">
      <c r="A4767">
        <v>4766</v>
      </c>
      <c r="B4767" t="s">
        <v>77</v>
      </c>
      <c r="C4767" s="1">
        <v>15341</v>
      </c>
      <c r="D4767">
        <v>84</v>
      </c>
      <c r="E4767" t="s">
        <v>12</v>
      </c>
      <c r="F4767" t="s">
        <v>21</v>
      </c>
      <c r="G4767" s="1">
        <v>44979</v>
      </c>
      <c r="H4767" s="1">
        <v>45413</v>
      </c>
      <c r="I4767">
        <v>15</v>
      </c>
      <c r="K4767">
        <v>19921.689999999999</v>
      </c>
    </row>
    <row r="4768" spans="1:11">
      <c r="A4768">
        <v>4767</v>
      </c>
      <c r="B4768" t="s">
        <v>109</v>
      </c>
      <c r="C4768" s="1">
        <v>22281</v>
      </c>
      <c r="D4768">
        <v>65</v>
      </c>
      <c r="E4768" t="s">
        <v>12</v>
      </c>
      <c r="F4768" t="s">
        <v>16</v>
      </c>
      <c r="G4768" s="1">
        <v>45422</v>
      </c>
      <c r="H4768" s="1">
        <v>45370</v>
      </c>
      <c r="I4768">
        <v>11</v>
      </c>
      <c r="J4768" t="s">
        <v>19</v>
      </c>
      <c r="K4768">
        <v>7616.99</v>
      </c>
    </row>
    <row r="4769" spans="1:11">
      <c r="A4769">
        <v>4768</v>
      </c>
      <c r="B4769" t="s">
        <v>106</v>
      </c>
      <c r="C4769" s="1">
        <v>44196</v>
      </c>
      <c r="D4769">
        <v>5</v>
      </c>
      <c r="E4769" t="s">
        <v>15</v>
      </c>
      <c r="F4769" t="s">
        <v>21</v>
      </c>
      <c r="G4769" s="1">
        <v>45155</v>
      </c>
      <c r="H4769" s="1">
        <v>44978</v>
      </c>
      <c r="I4769">
        <v>5</v>
      </c>
      <c r="K4769">
        <v>17067.919999999998</v>
      </c>
    </row>
    <row r="4770" spans="1:11">
      <c r="A4770">
        <v>4769</v>
      </c>
      <c r="B4770" t="s">
        <v>33</v>
      </c>
      <c r="C4770" s="1">
        <v>39813</v>
      </c>
      <c r="D4770">
        <v>17</v>
      </c>
      <c r="E4770" t="s">
        <v>15</v>
      </c>
      <c r="F4770" t="s">
        <v>32</v>
      </c>
      <c r="G4770" s="1">
        <v>45566</v>
      </c>
      <c r="H4770" s="1">
        <v>45076</v>
      </c>
      <c r="I4770">
        <v>5</v>
      </c>
      <c r="K4770">
        <v>17233.12</v>
      </c>
    </row>
    <row r="4771" spans="1:11">
      <c r="A4771">
        <v>4770</v>
      </c>
      <c r="B4771" t="s">
        <v>65</v>
      </c>
      <c r="C4771" s="1">
        <v>12054</v>
      </c>
      <c r="D4771">
        <v>93</v>
      </c>
      <c r="E4771" t="s">
        <v>12</v>
      </c>
      <c r="F4771" t="s">
        <v>45</v>
      </c>
      <c r="G4771" s="1">
        <v>45138</v>
      </c>
      <c r="H4771" s="1">
        <v>45514</v>
      </c>
      <c r="I4771">
        <v>34</v>
      </c>
      <c r="J4771" t="s">
        <v>25</v>
      </c>
      <c r="K4771">
        <v>4576.67</v>
      </c>
    </row>
    <row r="4772" spans="1:11">
      <c r="A4772">
        <v>4771</v>
      </c>
      <c r="B4772" t="s">
        <v>163</v>
      </c>
      <c r="C4772" s="1">
        <v>38352</v>
      </c>
      <c r="D4772">
        <v>21</v>
      </c>
      <c r="E4772" t="s">
        <v>12</v>
      </c>
      <c r="F4772" t="s">
        <v>21</v>
      </c>
      <c r="G4772" s="1">
        <v>45430</v>
      </c>
      <c r="H4772" s="1">
        <v>45745</v>
      </c>
      <c r="I4772">
        <v>-1</v>
      </c>
      <c r="K4772">
        <v>1806.28</v>
      </c>
    </row>
    <row r="4773" spans="1:11">
      <c r="A4773">
        <v>4772</v>
      </c>
      <c r="B4773" t="s">
        <v>24</v>
      </c>
      <c r="C4773" s="1">
        <v>34334</v>
      </c>
      <c r="D4773">
        <v>32</v>
      </c>
      <c r="E4773" t="s">
        <v>12</v>
      </c>
      <c r="F4773" t="s">
        <v>16</v>
      </c>
      <c r="G4773" s="1">
        <v>45421</v>
      </c>
      <c r="H4773" s="1">
        <v>45019</v>
      </c>
      <c r="I4773">
        <v>14</v>
      </c>
      <c r="J4773" t="s">
        <v>19</v>
      </c>
      <c r="K4773">
        <v>19509.96</v>
      </c>
    </row>
    <row r="4774" spans="1:11">
      <c r="A4774">
        <v>4773</v>
      </c>
      <c r="B4774" t="s">
        <v>130</v>
      </c>
      <c r="C4774" s="1">
        <v>35430</v>
      </c>
      <c r="D4774">
        <v>29</v>
      </c>
      <c r="E4774" t="s">
        <v>12</v>
      </c>
      <c r="F4774" t="s">
        <v>16</v>
      </c>
      <c r="G4774" s="1">
        <v>45597</v>
      </c>
      <c r="H4774" s="1">
        <v>45295</v>
      </c>
      <c r="I4774">
        <v>10</v>
      </c>
      <c r="K4774">
        <v>8460.5300000000007</v>
      </c>
    </row>
    <row r="4775" spans="1:11">
      <c r="A4775">
        <v>4774</v>
      </c>
      <c r="B4775" t="s">
        <v>129</v>
      </c>
      <c r="C4775" s="1">
        <v>16802</v>
      </c>
      <c r="D4775">
        <v>80</v>
      </c>
      <c r="E4775" t="s">
        <v>12</v>
      </c>
      <c r="F4775" t="s">
        <v>13</v>
      </c>
      <c r="G4775" s="1">
        <v>45159</v>
      </c>
      <c r="H4775" s="1">
        <v>45507</v>
      </c>
      <c r="I4775">
        <v>11</v>
      </c>
      <c r="J4775" t="s">
        <v>19</v>
      </c>
      <c r="K4775">
        <v>-55.37</v>
      </c>
    </row>
    <row r="4776" spans="1:11">
      <c r="A4776">
        <v>4775</v>
      </c>
      <c r="B4776" t="s">
        <v>114</v>
      </c>
      <c r="C4776" s="1">
        <v>34700</v>
      </c>
      <c r="D4776">
        <v>31</v>
      </c>
      <c r="E4776" t="s">
        <v>15</v>
      </c>
      <c r="F4776" t="s">
        <v>16</v>
      </c>
      <c r="G4776" s="1">
        <v>44997</v>
      </c>
      <c r="H4776" s="1">
        <v>45674</v>
      </c>
      <c r="I4776">
        <v>38</v>
      </c>
      <c r="J4776" t="s">
        <v>19</v>
      </c>
      <c r="K4776">
        <v>9930.26</v>
      </c>
    </row>
    <row r="4777" spans="1:11">
      <c r="A4777">
        <v>4776</v>
      </c>
      <c r="B4777" t="s">
        <v>59</v>
      </c>
      <c r="C4777" s="1">
        <v>31047</v>
      </c>
      <c r="E4777" t="s">
        <v>12</v>
      </c>
      <c r="F4777" t="s">
        <v>45</v>
      </c>
      <c r="G4777" s="1">
        <v>45643</v>
      </c>
      <c r="H4777" s="1">
        <v>45801</v>
      </c>
      <c r="I4777">
        <v>38</v>
      </c>
      <c r="J4777" t="s">
        <v>25</v>
      </c>
      <c r="K4777">
        <v>12347.94</v>
      </c>
    </row>
    <row r="4778" spans="1:11">
      <c r="A4778">
        <v>4777</v>
      </c>
      <c r="B4778" t="s">
        <v>136</v>
      </c>
      <c r="C4778" s="1">
        <v>17898</v>
      </c>
      <c r="D4778">
        <v>77</v>
      </c>
      <c r="E4778" t="s">
        <v>15</v>
      </c>
      <c r="F4778" t="s">
        <v>16</v>
      </c>
      <c r="G4778" s="1">
        <v>45115</v>
      </c>
      <c r="H4778" s="1">
        <v>45583</v>
      </c>
      <c r="I4778">
        <v>6</v>
      </c>
      <c r="J4778" t="s">
        <v>19</v>
      </c>
      <c r="K4778">
        <v>15499.37</v>
      </c>
    </row>
    <row r="4779" spans="1:11">
      <c r="A4779">
        <v>4778</v>
      </c>
      <c r="B4779" t="s">
        <v>91</v>
      </c>
      <c r="C4779" s="1">
        <v>42735</v>
      </c>
      <c r="D4779">
        <v>9</v>
      </c>
      <c r="E4779" t="s">
        <v>12</v>
      </c>
      <c r="F4779" t="s">
        <v>32</v>
      </c>
      <c r="G4779" s="1">
        <v>45589</v>
      </c>
      <c r="H4779" s="1">
        <v>45003</v>
      </c>
      <c r="I4779">
        <v>24</v>
      </c>
      <c r="K4779">
        <v>18853.14</v>
      </c>
    </row>
    <row r="4780" spans="1:11">
      <c r="A4780">
        <v>4779</v>
      </c>
      <c r="B4780" t="s">
        <v>77</v>
      </c>
      <c r="C4780" s="1">
        <v>33239</v>
      </c>
      <c r="D4780">
        <v>35</v>
      </c>
      <c r="E4780" t="s">
        <v>12</v>
      </c>
      <c r="F4780" t="s">
        <v>18</v>
      </c>
      <c r="G4780" s="1">
        <v>44934</v>
      </c>
      <c r="H4780" s="1">
        <v>45013</v>
      </c>
      <c r="I4780">
        <v>17</v>
      </c>
      <c r="J4780" t="s">
        <v>25</v>
      </c>
      <c r="K4780">
        <v>18294.93</v>
      </c>
    </row>
    <row r="4781" spans="1:11">
      <c r="A4781">
        <v>4780</v>
      </c>
      <c r="B4781" t="s">
        <v>110</v>
      </c>
      <c r="C4781" s="1">
        <v>33969</v>
      </c>
      <c r="D4781">
        <v>33</v>
      </c>
      <c r="E4781" t="s">
        <v>15</v>
      </c>
      <c r="F4781" t="s">
        <v>32</v>
      </c>
      <c r="G4781" s="1">
        <v>45258</v>
      </c>
      <c r="H4781" s="1">
        <v>45154</v>
      </c>
      <c r="I4781">
        <v>35</v>
      </c>
      <c r="J4781" t="s">
        <v>19</v>
      </c>
      <c r="K4781">
        <v>18796.73</v>
      </c>
    </row>
    <row r="4782" spans="1:11">
      <c r="A4782">
        <v>4781</v>
      </c>
      <c r="B4782" t="s">
        <v>128</v>
      </c>
      <c r="C4782" s="1">
        <v>19724</v>
      </c>
      <c r="D4782">
        <v>72</v>
      </c>
      <c r="E4782" t="s">
        <v>12</v>
      </c>
      <c r="G4782" s="1">
        <v>45538</v>
      </c>
      <c r="H4782" s="1">
        <v>45290</v>
      </c>
      <c r="I4782">
        <v>9</v>
      </c>
      <c r="J4782" t="s">
        <v>19</v>
      </c>
      <c r="K4782">
        <v>545.72</v>
      </c>
    </row>
    <row r="4783" spans="1:11">
      <c r="A4783">
        <v>4782</v>
      </c>
      <c r="B4783" t="s">
        <v>75</v>
      </c>
      <c r="C4783" s="1">
        <v>36161</v>
      </c>
      <c r="D4783">
        <v>27</v>
      </c>
      <c r="E4783" t="s">
        <v>15</v>
      </c>
      <c r="F4783" t="s">
        <v>32</v>
      </c>
      <c r="G4783" s="1">
        <v>44942</v>
      </c>
      <c r="H4783" s="1">
        <v>45495</v>
      </c>
      <c r="I4783">
        <v>39</v>
      </c>
      <c r="J4783" t="s">
        <v>23</v>
      </c>
      <c r="K4783">
        <v>14206.66</v>
      </c>
    </row>
    <row r="4784" spans="1:11">
      <c r="A4784">
        <v>4783</v>
      </c>
      <c r="B4784" t="s">
        <v>114</v>
      </c>
      <c r="C4784" s="1">
        <v>42370</v>
      </c>
      <c r="D4784">
        <v>10</v>
      </c>
      <c r="E4784" t="s">
        <v>15</v>
      </c>
      <c r="F4784" t="s">
        <v>45</v>
      </c>
      <c r="G4784" s="1">
        <v>45592</v>
      </c>
      <c r="H4784" s="1">
        <v>45519</v>
      </c>
      <c r="I4784">
        <v>19</v>
      </c>
      <c r="J4784" t="s">
        <v>25</v>
      </c>
      <c r="K4784">
        <v>4439.75</v>
      </c>
    </row>
    <row r="4785" spans="1:11">
      <c r="A4785">
        <v>4784</v>
      </c>
      <c r="B4785" t="s">
        <v>94</v>
      </c>
      <c r="C4785" s="1">
        <v>17898</v>
      </c>
      <c r="D4785">
        <v>77</v>
      </c>
      <c r="E4785" t="s">
        <v>15</v>
      </c>
      <c r="F4785" t="s">
        <v>45</v>
      </c>
      <c r="G4785" s="1">
        <v>45595</v>
      </c>
      <c r="H4785" s="1">
        <v>44951</v>
      </c>
      <c r="I4785">
        <v>34</v>
      </c>
      <c r="J4785" t="s">
        <v>23</v>
      </c>
      <c r="K4785">
        <v>3669.81</v>
      </c>
    </row>
    <row r="4786" spans="1:11">
      <c r="A4786">
        <v>4785</v>
      </c>
      <c r="B4786" t="s">
        <v>154</v>
      </c>
      <c r="C4786" s="1">
        <v>32143</v>
      </c>
      <c r="D4786">
        <v>38</v>
      </c>
      <c r="E4786" t="s">
        <v>15</v>
      </c>
      <c r="F4786" t="s">
        <v>13</v>
      </c>
      <c r="G4786" s="1">
        <v>45019</v>
      </c>
      <c r="H4786" s="1">
        <v>45666</v>
      </c>
      <c r="I4786">
        <v>36</v>
      </c>
      <c r="J4786" t="s">
        <v>19</v>
      </c>
      <c r="K4786">
        <v>15986.4</v>
      </c>
    </row>
    <row r="4787" spans="1:11">
      <c r="A4787">
        <v>4786</v>
      </c>
      <c r="B4787" t="s">
        <v>130</v>
      </c>
      <c r="C4787" s="1">
        <v>29221</v>
      </c>
      <c r="D4787">
        <v>46</v>
      </c>
      <c r="E4787" t="s">
        <v>15</v>
      </c>
      <c r="F4787" t="s">
        <v>16</v>
      </c>
      <c r="G4787" s="1">
        <v>45188</v>
      </c>
      <c r="H4787" s="1">
        <v>44955</v>
      </c>
      <c r="I4787">
        <v>28</v>
      </c>
      <c r="J4787" t="s">
        <v>23</v>
      </c>
      <c r="K4787">
        <v>8284.31</v>
      </c>
    </row>
    <row r="4788" spans="1:11">
      <c r="A4788">
        <v>4787</v>
      </c>
      <c r="B4788" t="s">
        <v>141</v>
      </c>
      <c r="C4788" s="1">
        <v>39448</v>
      </c>
      <c r="D4788">
        <v>18</v>
      </c>
      <c r="E4788" t="s">
        <v>15</v>
      </c>
      <c r="F4788" t="s">
        <v>13</v>
      </c>
      <c r="G4788" s="1">
        <v>45475</v>
      </c>
      <c r="H4788" s="1">
        <v>45048</v>
      </c>
      <c r="I4788">
        <v>10</v>
      </c>
      <c r="K4788">
        <v>18323.66</v>
      </c>
    </row>
    <row r="4789" spans="1:11">
      <c r="A4789">
        <v>4788</v>
      </c>
      <c r="B4789" t="s">
        <v>20</v>
      </c>
      <c r="C4789" s="1">
        <v>40909</v>
      </c>
      <c r="D4789">
        <v>14</v>
      </c>
      <c r="E4789" t="s">
        <v>12</v>
      </c>
      <c r="F4789" t="s">
        <v>45</v>
      </c>
      <c r="G4789" s="1">
        <v>45087</v>
      </c>
      <c r="H4789" s="1">
        <v>45417</v>
      </c>
      <c r="I4789">
        <v>-2</v>
      </c>
      <c r="K4789">
        <v>752.95</v>
      </c>
    </row>
    <row r="4790" spans="1:11">
      <c r="A4790">
        <v>4789</v>
      </c>
      <c r="B4790" t="s">
        <v>151</v>
      </c>
      <c r="C4790" s="1">
        <v>36161</v>
      </c>
      <c r="E4790" t="s">
        <v>12</v>
      </c>
      <c r="F4790" t="s">
        <v>16</v>
      </c>
      <c r="G4790" s="1">
        <v>45277</v>
      </c>
      <c r="H4790" s="1">
        <v>45532</v>
      </c>
      <c r="I4790">
        <v>35</v>
      </c>
      <c r="J4790" t="s">
        <v>19</v>
      </c>
      <c r="K4790">
        <v>16023.83</v>
      </c>
    </row>
    <row r="4791" spans="1:11">
      <c r="A4791">
        <v>4790</v>
      </c>
      <c r="B4791" t="s">
        <v>119</v>
      </c>
      <c r="C4791" s="1">
        <v>37622</v>
      </c>
      <c r="D4791">
        <v>23</v>
      </c>
      <c r="E4791" t="s">
        <v>12</v>
      </c>
      <c r="F4791" t="s">
        <v>45</v>
      </c>
      <c r="G4791" s="1">
        <v>45100</v>
      </c>
      <c r="H4791" s="1">
        <v>45780</v>
      </c>
      <c r="I4791">
        <v>37</v>
      </c>
      <c r="J4791" t="s">
        <v>23</v>
      </c>
      <c r="K4791">
        <v>2650.37</v>
      </c>
    </row>
    <row r="4792" spans="1:11">
      <c r="A4792">
        <v>4791</v>
      </c>
      <c r="B4792" t="s">
        <v>75</v>
      </c>
      <c r="C4792" s="1">
        <v>20090</v>
      </c>
      <c r="D4792">
        <v>71</v>
      </c>
      <c r="E4792" t="s">
        <v>15</v>
      </c>
      <c r="F4792" t="s">
        <v>45</v>
      </c>
      <c r="G4792" s="1">
        <v>45243</v>
      </c>
      <c r="H4792" s="1">
        <v>45551</v>
      </c>
      <c r="I4792">
        <v>6</v>
      </c>
      <c r="J4792" t="s">
        <v>23</v>
      </c>
      <c r="K4792">
        <v>3449.2</v>
      </c>
    </row>
    <row r="4793" spans="1:11">
      <c r="A4793">
        <v>4792</v>
      </c>
      <c r="B4793" t="s">
        <v>151</v>
      </c>
      <c r="C4793" s="1">
        <v>43100</v>
      </c>
      <c r="D4793">
        <v>8</v>
      </c>
      <c r="E4793" t="s">
        <v>12</v>
      </c>
      <c r="F4793" t="s">
        <v>18</v>
      </c>
      <c r="G4793" s="1">
        <v>44944</v>
      </c>
      <c r="H4793" s="1">
        <v>45817</v>
      </c>
      <c r="I4793">
        <v>36</v>
      </c>
      <c r="J4793" t="s">
        <v>25</v>
      </c>
      <c r="K4793">
        <v>9494.77</v>
      </c>
    </row>
    <row r="4794" spans="1:11">
      <c r="A4794">
        <v>4793</v>
      </c>
      <c r="B4794" t="s">
        <v>136</v>
      </c>
      <c r="C4794" s="1">
        <v>29221</v>
      </c>
      <c r="D4794">
        <v>46</v>
      </c>
      <c r="E4794" t="s">
        <v>12</v>
      </c>
      <c r="F4794" t="s">
        <v>32</v>
      </c>
      <c r="G4794" s="1">
        <v>45412</v>
      </c>
      <c r="H4794" s="1">
        <v>45272</v>
      </c>
      <c r="I4794">
        <v>7</v>
      </c>
      <c r="K4794">
        <v>7851.36</v>
      </c>
    </row>
    <row r="4795" spans="1:11">
      <c r="A4795">
        <v>4794</v>
      </c>
      <c r="B4795" t="s">
        <v>126</v>
      </c>
      <c r="C4795" s="1">
        <v>34334</v>
      </c>
      <c r="D4795">
        <v>32</v>
      </c>
      <c r="E4795" t="s">
        <v>15</v>
      </c>
      <c r="F4795" t="s">
        <v>13</v>
      </c>
      <c r="G4795" s="1">
        <v>45293</v>
      </c>
      <c r="H4795" s="1">
        <v>44958</v>
      </c>
      <c r="I4795">
        <v>26</v>
      </c>
      <c r="K4795">
        <v>9672.06</v>
      </c>
    </row>
    <row r="4796" spans="1:11">
      <c r="A4796">
        <v>4795</v>
      </c>
      <c r="B4796" t="s">
        <v>89</v>
      </c>
      <c r="C4796" s="1">
        <v>23742</v>
      </c>
      <c r="D4796">
        <v>61</v>
      </c>
      <c r="E4796" t="s">
        <v>12</v>
      </c>
      <c r="F4796" t="s">
        <v>13</v>
      </c>
      <c r="G4796" s="1">
        <v>45277</v>
      </c>
      <c r="H4796" s="1">
        <v>45582</v>
      </c>
      <c r="I4796">
        <v>37</v>
      </c>
      <c r="J4796" t="s">
        <v>25</v>
      </c>
      <c r="K4796">
        <v>18794.53</v>
      </c>
    </row>
    <row r="4797" spans="1:11">
      <c r="A4797">
        <v>4796</v>
      </c>
      <c r="B4797" t="s">
        <v>129</v>
      </c>
      <c r="C4797" s="1">
        <v>39448</v>
      </c>
      <c r="D4797">
        <v>18</v>
      </c>
      <c r="E4797" t="s">
        <v>15</v>
      </c>
      <c r="F4797" t="s">
        <v>21</v>
      </c>
      <c r="G4797" s="1">
        <v>45454</v>
      </c>
      <c r="H4797" s="1">
        <v>45806</v>
      </c>
      <c r="I4797">
        <v>27</v>
      </c>
      <c r="K4797">
        <v>13113.52</v>
      </c>
    </row>
    <row r="4798" spans="1:11">
      <c r="A4798">
        <v>4797</v>
      </c>
      <c r="B4798" t="s">
        <v>117</v>
      </c>
      <c r="C4798" s="1">
        <v>21916</v>
      </c>
      <c r="D4798">
        <v>66</v>
      </c>
      <c r="E4798" t="s">
        <v>12</v>
      </c>
      <c r="G4798" s="1">
        <v>45361</v>
      </c>
      <c r="H4798" s="1">
        <v>45737</v>
      </c>
      <c r="I4798">
        <v>-1</v>
      </c>
      <c r="J4798" t="s">
        <v>23</v>
      </c>
      <c r="K4798">
        <v>5735.22</v>
      </c>
    </row>
    <row r="4799" spans="1:11">
      <c r="A4799">
        <v>4798</v>
      </c>
      <c r="B4799" t="s">
        <v>85</v>
      </c>
      <c r="C4799" s="1">
        <v>19359</v>
      </c>
      <c r="D4799">
        <v>73</v>
      </c>
      <c r="E4799" t="s">
        <v>15</v>
      </c>
      <c r="F4799" t="s">
        <v>18</v>
      </c>
      <c r="G4799" s="1">
        <v>45196</v>
      </c>
      <c r="H4799" s="1">
        <v>45154</v>
      </c>
      <c r="I4799">
        <v>15</v>
      </c>
      <c r="J4799" t="s">
        <v>23</v>
      </c>
      <c r="K4799">
        <v>3375.47</v>
      </c>
    </row>
    <row r="4800" spans="1:11">
      <c r="A4800">
        <v>4799</v>
      </c>
      <c r="B4800" t="s">
        <v>29</v>
      </c>
      <c r="C4800" s="1">
        <v>31778</v>
      </c>
      <c r="D4800">
        <v>39</v>
      </c>
      <c r="E4800" t="s">
        <v>15</v>
      </c>
      <c r="F4800" t="s">
        <v>45</v>
      </c>
      <c r="G4800" s="1">
        <v>44994</v>
      </c>
      <c r="H4800" s="1">
        <v>45797</v>
      </c>
      <c r="I4800">
        <v>25</v>
      </c>
      <c r="K4800">
        <v>8342.93</v>
      </c>
    </row>
    <row r="4801" spans="1:11">
      <c r="A4801">
        <v>4800</v>
      </c>
      <c r="B4801" t="s">
        <v>102</v>
      </c>
      <c r="C4801" s="1">
        <v>29221</v>
      </c>
      <c r="D4801">
        <v>46</v>
      </c>
      <c r="E4801" t="s">
        <v>12</v>
      </c>
      <c r="F4801" t="s">
        <v>45</v>
      </c>
      <c r="G4801" s="1">
        <v>44956</v>
      </c>
      <c r="H4801" s="1">
        <v>45177</v>
      </c>
      <c r="I4801">
        <v>29</v>
      </c>
      <c r="J4801" t="s">
        <v>25</v>
      </c>
      <c r="K4801">
        <v>8977.98</v>
      </c>
    </row>
    <row r="4802" spans="1:11">
      <c r="A4802">
        <v>4801</v>
      </c>
      <c r="B4802" t="s">
        <v>96</v>
      </c>
      <c r="C4802" s="1">
        <v>22646</v>
      </c>
      <c r="D4802">
        <v>64</v>
      </c>
      <c r="E4802" t="s">
        <v>15</v>
      </c>
      <c r="F4802" t="s">
        <v>18</v>
      </c>
      <c r="G4802" s="1">
        <v>45242</v>
      </c>
      <c r="H4802" s="1">
        <v>44977</v>
      </c>
      <c r="I4802">
        <v>21</v>
      </c>
      <c r="J4802" t="s">
        <v>19</v>
      </c>
      <c r="K4802">
        <v>11986.02</v>
      </c>
    </row>
    <row r="4803" spans="1:11">
      <c r="A4803">
        <v>4802</v>
      </c>
      <c r="B4803" t="s">
        <v>66</v>
      </c>
      <c r="D4803">
        <v>28</v>
      </c>
      <c r="E4803" t="s">
        <v>15</v>
      </c>
      <c r="F4803" t="s">
        <v>16</v>
      </c>
      <c r="G4803" s="1">
        <v>45090</v>
      </c>
      <c r="H4803" s="1">
        <v>45653</v>
      </c>
      <c r="I4803">
        <v>35</v>
      </c>
      <c r="J4803" t="s">
        <v>19</v>
      </c>
      <c r="K4803">
        <v>5246.65</v>
      </c>
    </row>
    <row r="4804" spans="1:11">
      <c r="A4804">
        <v>4803</v>
      </c>
      <c r="B4804" t="s">
        <v>146</v>
      </c>
      <c r="C4804" s="1">
        <v>28125</v>
      </c>
      <c r="D4804">
        <v>49</v>
      </c>
      <c r="E4804" t="s">
        <v>12</v>
      </c>
      <c r="F4804" t="s">
        <v>13</v>
      </c>
      <c r="G4804" s="1">
        <v>45246</v>
      </c>
      <c r="H4804" s="1">
        <v>45819</v>
      </c>
      <c r="I4804">
        <v>11</v>
      </c>
      <c r="J4804" t="s">
        <v>19</v>
      </c>
      <c r="K4804">
        <v>15326.94</v>
      </c>
    </row>
    <row r="4805" spans="1:11">
      <c r="A4805">
        <v>4804</v>
      </c>
      <c r="B4805" t="s">
        <v>116</v>
      </c>
      <c r="C4805" s="1">
        <v>41639</v>
      </c>
      <c r="D4805">
        <v>12</v>
      </c>
      <c r="E4805" t="s">
        <v>12</v>
      </c>
      <c r="F4805" t="s">
        <v>45</v>
      </c>
      <c r="G4805" s="1">
        <v>44940</v>
      </c>
      <c r="H4805" s="1">
        <v>45316</v>
      </c>
      <c r="I4805">
        <v>22</v>
      </c>
      <c r="J4805" t="s">
        <v>19</v>
      </c>
      <c r="K4805">
        <v>1879.05</v>
      </c>
    </row>
    <row r="4806" spans="1:11">
      <c r="A4806">
        <v>4805</v>
      </c>
      <c r="B4806" t="s">
        <v>116</v>
      </c>
      <c r="C4806" s="1">
        <v>46022</v>
      </c>
      <c r="D4806">
        <v>0</v>
      </c>
      <c r="E4806" t="s">
        <v>12</v>
      </c>
      <c r="G4806" s="1">
        <v>45205</v>
      </c>
      <c r="H4806" s="1">
        <v>45708</v>
      </c>
      <c r="I4806">
        <v>22</v>
      </c>
      <c r="J4806" t="s">
        <v>23</v>
      </c>
      <c r="K4806">
        <v>11165.11</v>
      </c>
    </row>
    <row r="4807" spans="1:11">
      <c r="A4807">
        <v>4806</v>
      </c>
      <c r="B4807" t="s">
        <v>150</v>
      </c>
      <c r="C4807" s="1">
        <v>33969</v>
      </c>
      <c r="D4807">
        <v>33</v>
      </c>
      <c r="E4807" t="s">
        <v>15</v>
      </c>
      <c r="F4807" t="s">
        <v>21</v>
      </c>
      <c r="G4807" s="1">
        <v>45358</v>
      </c>
      <c r="H4807" s="1">
        <v>45215</v>
      </c>
      <c r="I4807">
        <v>29</v>
      </c>
      <c r="J4807" t="s">
        <v>19</v>
      </c>
      <c r="K4807">
        <v>12432.99</v>
      </c>
    </row>
    <row r="4808" spans="1:11">
      <c r="A4808">
        <v>4807</v>
      </c>
      <c r="B4808" t="s">
        <v>147</v>
      </c>
      <c r="C4808" s="1">
        <v>12419</v>
      </c>
      <c r="D4808">
        <v>92</v>
      </c>
      <c r="E4808" t="s">
        <v>15</v>
      </c>
      <c r="F4808" t="s">
        <v>13</v>
      </c>
      <c r="G4808" s="1">
        <v>45594</v>
      </c>
      <c r="H4808" s="1">
        <v>45634</v>
      </c>
      <c r="I4808">
        <v>24</v>
      </c>
      <c r="J4808" t="s">
        <v>23</v>
      </c>
      <c r="K4808">
        <v>4057.31</v>
      </c>
    </row>
    <row r="4809" spans="1:11">
      <c r="A4809">
        <v>4808</v>
      </c>
      <c r="B4809" t="s">
        <v>159</v>
      </c>
      <c r="C4809" s="1">
        <v>28856</v>
      </c>
      <c r="D4809">
        <v>47</v>
      </c>
      <c r="E4809" t="s">
        <v>12</v>
      </c>
      <c r="F4809" t="s">
        <v>32</v>
      </c>
      <c r="G4809" s="1">
        <v>45560</v>
      </c>
      <c r="H4809" s="1">
        <v>45693</v>
      </c>
      <c r="I4809">
        <v>29</v>
      </c>
      <c r="J4809" t="s">
        <v>23</v>
      </c>
      <c r="K4809">
        <v>16502.830000000002</v>
      </c>
    </row>
    <row r="4810" spans="1:11">
      <c r="A4810">
        <v>4809</v>
      </c>
      <c r="B4810" t="s">
        <v>142</v>
      </c>
      <c r="C4810" s="1">
        <v>18263</v>
      </c>
      <c r="D4810">
        <v>76</v>
      </c>
      <c r="E4810" t="s">
        <v>15</v>
      </c>
      <c r="G4810" s="1">
        <v>45189</v>
      </c>
      <c r="H4810" s="1">
        <v>45518</v>
      </c>
      <c r="I4810">
        <v>28</v>
      </c>
      <c r="J4810" t="s">
        <v>19</v>
      </c>
      <c r="K4810">
        <v>12270.19</v>
      </c>
    </row>
    <row r="4811" spans="1:11">
      <c r="A4811">
        <v>4810</v>
      </c>
      <c r="B4811" t="s">
        <v>55</v>
      </c>
      <c r="C4811" s="1">
        <v>28856</v>
      </c>
      <c r="D4811">
        <v>47</v>
      </c>
      <c r="E4811" t="s">
        <v>15</v>
      </c>
      <c r="F4811" t="s">
        <v>18</v>
      </c>
      <c r="G4811" s="1">
        <v>45608</v>
      </c>
      <c r="H4811" s="1">
        <v>45402</v>
      </c>
      <c r="I4811">
        <v>21</v>
      </c>
      <c r="J4811" t="s">
        <v>19</v>
      </c>
      <c r="K4811">
        <v>12879.02</v>
      </c>
    </row>
    <row r="4812" spans="1:11">
      <c r="A4812">
        <v>4811</v>
      </c>
      <c r="B4812" t="s">
        <v>169</v>
      </c>
      <c r="C4812" s="1">
        <v>28490</v>
      </c>
      <c r="D4812">
        <v>48</v>
      </c>
      <c r="E4812" t="s">
        <v>12</v>
      </c>
      <c r="F4812" t="s">
        <v>13</v>
      </c>
      <c r="G4812" s="1">
        <v>45448</v>
      </c>
      <c r="H4812" s="1">
        <v>45683</v>
      </c>
      <c r="I4812">
        <v>32</v>
      </c>
      <c r="J4812" t="s">
        <v>19</v>
      </c>
      <c r="K4812">
        <v>9904.64</v>
      </c>
    </row>
    <row r="4813" spans="1:11">
      <c r="A4813">
        <v>4812</v>
      </c>
      <c r="B4813" t="s">
        <v>33</v>
      </c>
      <c r="C4813" s="1">
        <v>23012</v>
      </c>
      <c r="D4813">
        <v>63</v>
      </c>
      <c r="E4813" t="s">
        <v>15</v>
      </c>
      <c r="F4813" t="s">
        <v>32</v>
      </c>
      <c r="G4813" s="1">
        <v>45098</v>
      </c>
      <c r="H4813" s="1">
        <v>45530</v>
      </c>
      <c r="I4813">
        <v>27</v>
      </c>
      <c r="K4813">
        <v>18182.84</v>
      </c>
    </row>
    <row r="4814" spans="1:11">
      <c r="A4814">
        <v>4813</v>
      </c>
      <c r="B4814" t="s">
        <v>97</v>
      </c>
      <c r="C4814" s="1">
        <v>24107</v>
      </c>
      <c r="D4814">
        <v>60</v>
      </c>
      <c r="E4814" t="s">
        <v>15</v>
      </c>
      <c r="F4814" t="s">
        <v>21</v>
      </c>
      <c r="G4814" s="1">
        <v>45284</v>
      </c>
      <c r="H4814" s="1">
        <v>44933</v>
      </c>
      <c r="I4814">
        <v>30</v>
      </c>
      <c r="K4814">
        <v>13847.94</v>
      </c>
    </row>
    <row r="4815" spans="1:11">
      <c r="A4815">
        <v>4814</v>
      </c>
      <c r="B4815" t="s">
        <v>105</v>
      </c>
      <c r="C4815" s="1">
        <v>35795</v>
      </c>
      <c r="D4815">
        <v>28</v>
      </c>
      <c r="E4815" t="s">
        <v>15</v>
      </c>
      <c r="F4815" t="s">
        <v>16</v>
      </c>
      <c r="G4815" s="1">
        <v>44939</v>
      </c>
      <c r="H4815" s="1">
        <v>45720</v>
      </c>
      <c r="I4815">
        <v>30</v>
      </c>
      <c r="J4815" t="s">
        <v>25</v>
      </c>
      <c r="K4815">
        <v>7574.89</v>
      </c>
    </row>
    <row r="4816" spans="1:11">
      <c r="A4816">
        <v>4815</v>
      </c>
      <c r="B4816" t="s">
        <v>27</v>
      </c>
      <c r="C4816" s="1">
        <v>32143</v>
      </c>
      <c r="E4816" t="s">
        <v>15</v>
      </c>
      <c r="F4816" t="s">
        <v>18</v>
      </c>
      <c r="G4816" s="1">
        <v>45651</v>
      </c>
      <c r="H4816" s="1">
        <v>45339</v>
      </c>
      <c r="I4816">
        <v>24</v>
      </c>
      <c r="J4816" t="s">
        <v>23</v>
      </c>
      <c r="K4816">
        <v>4695.9799999999996</v>
      </c>
    </row>
    <row r="4817" spans="1:11">
      <c r="A4817">
        <v>4816</v>
      </c>
      <c r="B4817" t="s">
        <v>20</v>
      </c>
      <c r="C4817" s="1">
        <v>14246</v>
      </c>
      <c r="D4817">
        <v>87</v>
      </c>
      <c r="E4817" t="s">
        <v>15</v>
      </c>
      <c r="F4817" t="s">
        <v>16</v>
      </c>
      <c r="G4817" s="1">
        <v>45599</v>
      </c>
      <c r="H4817" s="1">
        <v>45589</v>
      </c>
      <c r="I4817">
        <v>30</v>
      </c>
      <c r="J4817" t="s">
        <v>19</v>
      </c>
      <c r="K4817">
        <v>1328.34</v>
      </c>
    </row>
    <row r="4818" spans="1:11">
      <c r="A4818">
        <v>4817</v>
      </c>
      <c r="B4818" t="s">
        <v>66</v>
      </c>
      <c r="C4818" s="1">
        <v>36891</v>
      </c>
      <c r="D4818">
        <v>25</v>
      </c>
      <c r="E4818" t="s">
        <v>15</v>
      </c>
      <c r="G4818" s="1">
        <v>45158</v>
      </c>
      <c r="H4818" s="1">
        <v>45251</v>
      </c>
      <c r="I4818">
        <v>30</v>
      </c>
      <c r="K4818">
        <v>3223.75</v>
      </c>
    </row>
    <row r="4819" spans="1:11">
      <c r="A4819">
        <v>4818</v>
      </c>
      <c r="B4819" t="s">
        <v>121</v>
      </c>
      <c r="C4819" s="1">
        <v>40178</v>
      </c>
      <c r="D4819">
        <v>16</v>
      </c>
      <c r="E4819" t="s">
        <v>15</v>
      </c>
      <c r="F4819" t="s">
        <v>45</v>
      </c>
      <c r="G4819" s="1">
        <v>45402</v>
      </c>
      <c r="H4819" s="1">
        <v>45326</v>
      </c>
      <c r="I4819">
        <v>1</v>
      </c>
      <c r="J4819" t="s">
        <v>25</v>
      </c>
      <c r="K4819">
        <v>19852.93</v>
      </c>
    </row>
    <row r="4820" spans="1:11">
      <c r="A4820">
        <v>4819</v>
      </c>
      <c r="B4820" t="s">
        <v>49</v>
      </c>
      <c r="C4820" s="1">
        <v>20455</v>
      </c>
      <c r="D4820">
        <v>70</v>
      </c>
      <c r="E4820" t="s">
        <v>12</v>
      </c>
      <c r="F4820" t="s">
        <v>16</v>
      </c>
      <c r="G4820" s="1">
        <v>45397</v>
      </c>
      <c r="H4820" s="1">
        <v>45209</v>
      </c>
      <c r="I4820">
        <v>27</v>
      </c>
      <c r="J4820" t="s">
        <v>23</v>
      </c>
      <c r="K4820">
        <v>8076.01</v>
      </c>
    </row>
    <row r="4821" spans="1:11">
      <c r="A4821">
        <v>4820</v>
      </c>
      <c r="B4821" t="s">
        <v>94</v>
      </c>
      <c r="C4821" s="1">
        <v>41639</v>
      </c>
      <c r="D4821">
        <v>12</v>
      </c>
      <c r="E4821" t="s">
        <v>12</v>
      </c>
      <c r="F4821" t="s">
        <v>45</v>
      </c>
      <c r="G4821" s="1">
        <v>45086</v>
      </c>
      <c r="H4821" s="1">
        <v>45118</v>
      </c>
      <c r="I4821">
        <v>12</v>
      </c>
      <c r="J4821" t="s">
        <v>23</v>
      </c>
      <c r="K4821">
        <v>17963.61</v>
      </c>
    </row>
    <row r="4822" spans="1:11">
      <c r="A4822">
        <v>4821</v>
      </c>
      <c r="B4822" t="s">
        <v>17</v>
      </c>
      <c r="C4822" s="1">
        <v>21185</v>
      </c>
      <c r="D4822">
        <v>68</v>
      </c>
      <c r="E4822" t="s">
        <v>15</v>
      </c>
      <c r="G4822" s="1">
        <v>45565</v>
      </c>
      <c r="H4822" s="1">
        <v>45713</v>
      </c>
      <c r="I4822">
        <v>26</v>
      </c>
      <c r="J4822" t="s">
        <v>23</v>
      </c>
      <c r="K4822">
        <v>3328.44</v>
      </c>
    </row>
    <row r="4823" spans="1:11">
      <c r="A4823">
        <v>4822</v>
      </c>
      <c r="B4823" t="s">
        <v>41</v>
      </c>
      <c r="C4823" s="1">
        <v>36891</v>
      </c>
      <c r="D4823">
        <v>25</v>
      </c>
      <c r="E4823" t="s">
        <v>12</v>
      </c>
      <c r="F4823" t="s">
        <v>32</v>
      </c>
      <c r="G4823" s="1">
        <v>45486</v>
      </c>
      <c r="H4823" s="1">
        <v>45512</v>
      </c>
      <c r="I4823">
        <v>25</v>
      </c>
      <c r="K4823">
        <v>8449.75</v>
      </c>
    </row>
    <row r="4824" spans="1:11">
      <c r="A4824">
        <v>4823</v>
      </c>
      <c r="B4824" t="s">
        <v>82</v>
      </c>
      <c r="D4824">
        <v>48</v>
      </c>
      <c r="E4824" t="s">
        <v>15</v>
      </c>
      <c r="F4824" t="s">
        <v>13</v>
      </c>
      <c r="G4824" s="1">
        <v>45187</v>
      </c>
      <c r="H4824" s="1">
        <v>45757</v>
      </c>
      <c r="I4824">
        <v>29</v>
      </c>
      <c r="J4824" t="s">
        <v>19</v>
      </c>
      <c r="K4824">
        <v>19206.419999999998</v>
      </c>
    </row>
    <row r="4825" spans="1:11">
      <c r="A4825">
        <v>4824</v>
      </c>
      <c r="B4825" t="s">
        <v>112</v>
      </c>
      <c r="C4825" s="1">
        <v>21916</v>
      </c>
      <c r="D4825">
        <v>66</v>
      </c>
      <c r="E4825" t="s">
        <v>15</v>
      </c>
      <c r="F4825" t="s">
        <v>21</v>
      </c>
      <c r="G4825" s="1">
        <v>45499</v>
      </c>
      <c r="H4825" s="1">
        <v>45427</v>
      </c>
      <c r="I4825">
        <v>33</v>
      </c>
      <c r="J4825" t="s">
        <v>19</v>
      </c>
      <c r="K4825">
        <v>1731.76</v>
      </c>
    </row>
    <row r="4826" spans="1:11">
      <c r="A4826">
        <v>4825</v>
      </c>
      <c r="B4826" t="s">
        <v>52</v>
      </c>
      <c r="C4826" s="1">
        <v>43831</v>
      </c>
      <c r="D4826">
        <v>6</v>
      </c>
      <c r="E4826" t="s">
        <v>15</v>
      </c>
      <c r="F4826" t="s">
        <v>32</v>
      </c>
      <c r="G4826" s="1">
        <v>45560</v>
      </c>
      <c r="H4826" s="1">
        <v>45507</v>
      </c>
      <c r="I4826">
        <v>27</v>
      </c>
      <c r="J4826" t="s">
        <v>23</v>
      </c>
      <c r="K4826">
        <v>11839.08</v>
      </c>
    </row>
    <row r="4827" spans="1:11">
      <c r="A4827">
        <v>4826</v>
      </c>
      <c r="B4827" t="s">
        <v>99</v>
      </c>
      <c r="C4827" s="1">
        <v>25203</v>
      </c>
      <c r="D4827">
        <v>57</v>
      </c>
      <c r="E4827" t="s">
        <v>12</v>
      </c>
      <c r="F4827" t="s">
        <v>21</v>
      </c>
      <c r="G4827" s="1">
        <v>45528</v>
      </c>
      <c r="H4827" s="1">
        <v>45743</v>
      </c>
      <c r="I4827">
        <v>39</v>
      </c>
      <c r="J4827" t="s">
        <v>23</v>
      </c>
      <c r="K4827">
        <v>18375.36</v>
      </c>
    </row>
    <row r="4828" spans="1:11">
      <c r="A4828">
        <v>4827</v>
      </c>
      <c r="B4828" t="s">
        <v>68</v>
      </c>
      <c r="C4828" s="1">
        <v>28490</v>
      </c>
      <c r="D4828">
        <v>48</v>
      </c>
      <c r="E4828" t="s">
        <v>12</v>
      </c>
      <c r="F4828" t="s">
        <v>16</v>
      </c>
      <c r="G4828" s="1">
        <v>45285</v>
      </c>
      <c r="H4828" s="1">
        <v>45361</v>
      </c>
      <c r="I4828">
        <v>35</v>
      </c>
      <c r="J4828" t="s">
        <v>25</v>
      </c>
      <c r="K4828">
        <v>18988.64</v>
      </c>
    </row>
    <row r="4829" spans="1:11">
      <c r="A4829">
        <v>4828</v>
      </c>
      <c r="B4829" t="s">
        <v>17</v>
      </c>
      <c r="C4829" s="1">
        <v>27029</v>
      </c>
      <c r="D4829">
        <v>52</v>
      </c>
      <c r="E4829" t="s">
        <v>12</v>
      </c>
      <c r="F4829" t="s">
        <v>21</v>
      </c>
      <c r="G4829" s="1">
        <v>45181</v>
      </c>
      <c r="H4829" s="1">
        <v>44990</v>
      </c>
      <c r="I4829">
        <v>39</v>
      </c>
      <c r="J4829" t="s">
        <v>25</v>
      </c>
      <c r="K4829">
        <v>16904.75</v>
      </c>
    </row>
    <row r="4830" spans="1:11">
      <c r="A4830">
        <v>4829</v>
      </c>
      <c r="B4830" t="s">
        <v>95</v>
      </c>
      <c r="C4830" s="1">
        <v>22646</v>
      </c>
      <c r="D4830">
        <v>64</v>
      </c>
      <c r="E4830" t="s">
        <v>15</v>
      </c>
      <c r="F4830" t="s">
        <v>16</v>
      </c>
      <c r="G4830" s="1">
        <v>45528</v>
      </c>
      <c r="H4830" s="1">
        <v>45380</v>
      </c>
      <c r="I4830">
        <v>9</v>
      </c>
      <c r="J4830" t="s">
        <v>23</v>
      </c>
      <c r="K4830">
        <v>17104.28</v>
      </c>
    </row>
    <row r="4831" spans="1:11">
      <c r="A4831">
        <v>4830</v>
      </c>
      <c r="B4831" t="s">
        <v>79</v>
      </c>
      <c r="C4831" s="1">
        <v>23742</v>
      </c>
      <c r="D4831">
        <v>61</v>
      </c>
      <c r="E4831" t="s">
        <v>15</v>
      </c>
      <c r="F4831" t="s">
        <v>21</v>
      </c>
      <c r="G4831" s="1">
        <v>45441</v>
      </c>
      <c r="H4831" s="1">
        <v>45420</v>
      </c>
      <c r="I4831">
        <v>0</v>
      </c>
      <c r="J4831" t="s">
        <v>25</v>
      </c>
      <c r="K4831">
        <v>13008.88</v>
      </c>
    </row>
    <row r="4832" spans="1:11">
      <c r="A4832">
        <v>4831</v>
      </c>
      <c r="B4832" t="s">
        <v>171</v>
      </c>
      <c r="C4832" s="1">
        <v>40178</v>
      </c>
      <c r="D4832">
        <v>16</v>
      </c>
      <c r="E4832" t="s">
        <v>12</v>
      </c>
      <c r="F4832" t="s">
        <v>18</v>
      </c>
      <c r="G4832" s="1">
        <v>45206</v>
      </c>
      <c r="H4832" s="1">
        <v>45573</v>
      </c>
      <c r="I4832">
        <v>12</v>
      </c>
      <c r="K4832">
        <v>4330.5</v>
      </c>
    </row>
    <row r="4833" spans="1:11">
      <c r="A4833">
        <v>4832</v>
      </c>
      <c r="B4833" t="s">
        <v>33</v>
      </c>
      <c r="C4833" s="1">
        <v>30682</v>
      </c>
      <c r="D4833">
        <v>42</v>
      </c>
      <c r="E4833" t="s">
        <v>15</v>
      </c>
      <c r="F4833" t="s">
        <v>32</v>
      </c>
      <c r="G4833" s="1">
        <v>45043</v>
      </c>
      <c r="H4833" s="1">
        <v>45369</v>
      </c>
      <c r="I4833">
        <v>7</v>
      </c>
      <c r="J4833" t="s">
        <v>23</v>
      </c>
      <c r="K4833">
        <v>14586.64</v>
      </c>
    </row>
    <row r="4834" spans="1:11">
      <c r="A4834">
        <v>4833</v>
      </c>
      <c r="B4834" t="s">
        <v>27</v>
      </c>
      <c r="C4834" s="1">
        <v>37256</v>
      </c>
      <c r="D4834">
        <v>24</v>
      </c>
      <c r="E4834" t="s">
        <v>12</v>
      </c>
      <c r="F4834" t="s">
        <v>18</v>
      </c>
      <c r="G4834" s="1">
        <v>45536</v>
      </c>
      <c r="H4834" s="1">
        <v>45234</v>
      </c>
      <c r="I4834">
        <v>19</v>
      </c>
      <c r="J4834" t="s">
        <v>25</v>
      </c>
      <c r="K4834">
        <v>19565.53</v>
      </c>
    </row>
    <row r="4835" spans="1:11">
      <c r="A4835">
        <v>4834</v>
      </c>
      <c r="B4835" t="s">
        <v>103</v>
      </c>
      <c r="C4835" s="1">
        <v>45292</v>
      </c>
      <c r="D4835">
        <v>2</v>
      </c>
      <c r="E4835" t="s">
        <v>12</v>
      </c>
      <c r="F4835" t="s">
        <v>13</v>
      </c>
      <c r="G4835" s="1">
        <v>45088</v>
      </c>
      <c r="H4835" s="1">
        <v>45707</v>
      </c>
      <c r="I4835">
        <v>20</v>
      </c>
      <c r="J4835" t="s">
        <v>23</v>
      </c>
      <c r="K4835">
        <v>10471.26</v>
      </c>
    </row>
    <row r="4836" spans="1:11">
      <c r="A4836">
        <v>4835</v>
      </c>
      <c r="B4836" t="s">
        <v>152</v>
      </c>
      <c r="D4836">
        <v>78</v>
      </c>
      <c r="E4836" t="s">
        <v>12</v>
      </c>
      <c r="F4836" t="s">
        <v>13</v>
      </c>
      <c r="G4836" s="1">
        <v>45224</v>
      </c>
      <c r="H4836" s="1">
        <v>45662</v>
      </c>
      <c r="I4836">
        <v>8</v>
      </c>
      <c r="J4836" t="s">
        <v>19</v>
      </c>
      <c r="K4836">
        <v>5140.0200000000004</v>
      </c>
    </row>
    <row r="4837" spans="1:11">
      <c r="A4837">
        <v>4836</v>
      </c>
      <c r="B4837" t="s">
        <v>78</v>
      </c>
      <c r="C4837" s="1">
        <v>35795</v>
      </c>
      <c r="D4837">
        <v>28</v>
      </c>
      <c r="E4837" t="s">
        <v>12</v>
      </c>
      <c r="F4837" t="s">
        <v>45</v>
      </c>
      <c r="G4837" s="1">
        <v>45223</v>
      </c>
      <c r="H4837" s="1">
        <v>45053</v>
      </c>
      <c r="I4837">
        <v>13</v>
      </c>
      <c r="K4837">
        <v>11426.77</v>
      </c>
    </row>
    <row r="4838" spans="1:11">
      <c r="A4838">
        <v>4837</v>
      </c>
      <c r="B4838" t="s">
        <v>168</v>
      </c>
      <c r="C4838" s="1">
        <v>34700</v>
      </c>
      <c r="D4838">
        <v>31</v>
      </c>
      <c r="E4838" t="s">
        <v>12</v>
      </c>
      <c r="F4838" t="s">
        <v>45</v>
      </c>
      <c r="G4838" s="1">
        <v>45520</v>
      </c>
      <c r="H4838" s="1">
        <v>45192</v>
      </c>
      <c r="I4838">
        <v>13</v>
      </c>
      <c r="J4838" t="s">
        <v>23</v>
      </c>
      <c r="K4838">
        <v>13781.27</v>
      </c>
    </row>
    <row r="4839" spans="1:11">
      <c r="A4839">
        <v>4838</v>
      </c>
      <c r="B4839" t="s">
        <v>166</v>
      </c>
      <c r="C4839" s="1">
        <v>36891</v>
      </c>
      <c r="D4839">
        <v>25</v>
      </c>
      <c r="E4839" t="s">
        <v>12</v>
      </c>
      <c r="F4839" t="s">
        <v>45</v>
      </c>
      <c r="G4839" s="1">
        <v>45284</v>
      </c>
      <c r="H4839" s="1">
        <v>44934</v>
      </c>
      <c r="I4839">
        <v>11</v>
      </c>
      <c r="J4839" t="s">
        <v>19</v>
      </c>
      <c r="K4839">
        <v>4086.43</v>
      </c>
    </row>
    <row r="4840" spans="1:11">
      <c r="A4840">
        <v>4839</v>
      </c>
      <c r="B4840" t="s">
        <v>134</v>
      </c>
      <c r="C4840" s="1">
        <v>40544</v>
      </c>
      <c r="D4840">
        <v>15</v>
      </c>
      <c r="E4840" t="s">
        <v>12</v>
      </c>
      <c r="G4840" s="1">
        <v>45586</v>
      </c>
      <c r="H4840" s="1">
        <v>45340</v>
      </c>
      <c r="I4840">
        <v>3</v>
      </c>
      <c r="J4840" t="s">
        <v>23</v>
      </c>
      <c r="K4840">
        <v>14355.71</v>
      </c>
    </row>
    <row r="4841" spans="1:11">
      <c r="A4841">
        <v>4840</v>
      </c>
      <c r="B4841" t="s">
        <v>33</v>
      </c>
      <c r="C4841" s="1">
        <v>37256</v>
      </c>
      <c r="D4841">
        <v>24</v>
      </c>
      <c r="E4841" t="s">
        <v>15</v>
      </c>
      <c r="F4841" t="s">
        <v>13</v>
      </c>
      <c r="G4841" s="1">
        <v>45444</v>
      </c>
      <c r="H4841" s="1">
        <v>45133</v>
      </c>
      <c r="I4841">
        <v>39</v>
      </c>
      <c r="J4841" t="s">
        <v>19</v>
      </c>
      <c r="K4841">
        <v>11707.4</v>
      </c>
    </row>
    <row r="4842" spans="1:11">
      <c r="A4842">
        <v>4841</v>
      </c>
      <c r="B4842" t="s">
        <v>86</v>
      </c>
      <c r="C4842" s="1">
        <v>26664</v>
      </c>
      <c r="D4842">
        <v>53</v>
      </c>
      <c r="E4842" t="s">
        <v>12</v>
      </c>
      <c r="F4842" t="s">
        <v>21</v>
      </c>
      <c r="G4842" s="1">
        <v>45304</v>
      </c>
      <c r="H4842" s="1">
        <v>45106</v>
      </c>
      <c r="I4842">
        <v>14</v>
      </c>
      <c r="J4842" t="s">
        <v>25</v>
      </c>
      <c r="K4842">
        <v>12208.23</v>
      </c>
    </row>
    <row r="4843" spans="1:11">
      <c r="A4843">
        <v>4842</v>
      </c>
      <c r="B4843" t="s">
        <v>162</v>
      </c>
      <c r="C4843" s="1">
        <v>36161</v>
      </c>
      <c r="D4843">
        <v>27</v>
      </c>
      <c r="E4843" t="s">
        <v>15</v>
      </c>
      <c r="F4843" t="s">
        <v>16</v>
      </c>
      <c r="G4843" s="1">
        <v>45623</v>
      </c>
      <c r="H4843" s="1">
        <v>45395</v>
      </c>
      <c r="I4843">
        <v>28</v>
      </c>
      <c r="J4843" t="s">
        <v>19</v>
      </c>
      <c r="K4843">
        <v>6050.36</v>
      </c>
    </row>
    <row r="4844" spans="1:11">
      <c r="A4844">
        <v>4843</v>
      </c>
      <c r="B4844" t="s">
        <v>117</v>
      </c>
      <c r="C4844" s="1">
        <v>19724</v>
      </c>
      <c r="D4844">
        <v>72</v>
      </c>
      <c r="E4844" t="s">
        <v>15</v>
      </c>
      <c r="G4844" s="1">
        <v>45352</v>
      </c>
      <c r="H4844" s="1">
        <v>45423</v>
      </c>
      <c r="I4844">
        <v>39</v>
      </c>
      <c r="K4844">
        <v>3020.86</v>
      </c>
    </row>
    <row r="4845" spans="1:11">
      <c r="A4845">
        <v>4844</v>
      </c>
      <c r="B4845" t="s">
        <v>44</v>
      </c>
      <c r="C4845" s="1">
        <v>25934</v>
      </c>
      <c r="D4845">
        <v>55</v>
      </c>
      <c r="E4845" t="s">
        <v>15</v>
      </c>
      <c r="F4845" t="s">
        <v>21</v>
      </c>
      <c r="G4845" s="1">
        <v>45463</v>
      </c>
      <c r="H4845" s="1">
        <v>45622</v>
      </c>
      <c r="I4845">
        <v>7</v>
      </c>
      <c r="K4845">
        <v>12431.34</v>
      </c>
    </row>
    <row r="4846" spans="1:11">
      <c r="A4846">
        <v>4845</v>
      </c>
      <c r="B4846" t="s">
        <v>64</v>
      </c>
      <c r="C4846" s="1">
        <v>22646</v>
      </c>
      <c r="D4846">
        <v>64</v>
      </c>
      <c r="E4846" t="s">
        <v>15</v>
      </c>
      <c r="F4846" t="s">
        <v>32</v>
      </c>
      <c r="G4846" s="1">
        <v>45479</v>
      </c>
      <c r="H4846" s="1">
        <v>45370</v>
      </c>
      <c r="I4846">
        <v>17</v>
      </c>
      <c r="J4846" t="s">
        <v>25</v>
      </c>
      <c r="K4846">
        <v>11683.28</v>
      </c>
    </row>
    <row r="4847" spans="1:11">
      <c r="A4847">
        <v>4846</v>
      </c>
      <c r="B4847" t="s">
        <v>95</v>
      </c>
      <c r="C4847" s="1">
        <v>12419</v>
      </c>
      <c r="D4847">
        <v>92</v>
      </c>
      <c r="E4847" t="s">
        <v>12</v>
      </c>
      <c r="F4847" t="s">
        <v>13</v>
      </c>
      <c r="G4847" s="1">
        <v>45095</v>
      </c>
      <c r="H4847" s="1">
        <v>45155</v>
      </c>
      <c r="I4847">
        <v>6</v>
      </c>
      <c r="J4847" t="s">
        <v>23</v>
      </c>
      <c r="K4847">
        <v>6694.04</v>
      </c>
    </row>
    <row r="4848" spans="1:11">
      <c r="A4848">
        <v>4847</v>
      </c>
      <c r="B4848" t="s">
        <v>149</v>
      </c>
      <c r="C4848" s="1">
        <v>14976</v>
      </c>
      <c r="D4848">
        <v>85</v>
      </c>
      <c r="E4848" t="s">
        <v>12</v>
      </c>
      <c r="F4848" t="s">
        <v>16</v>
      </c>
      <c r="G4848" s="1">
        <v>45441</v>
      </c>
      <c r="H4848" s="1">
        <v>45675</v>
      </c>
      <c r="I4848">
        <v>12</v>
      </c>
      <c r="K4848">
        <v>5847.46</v>
      </c>
    </row>
    <row r="4849" spans="1:11">
      <c r="A4849">
        <v>4848</v>
      </c>
      <c r="B4849" t="s">
        <v>127</v>
      </c>
      <c r="C4849" s="1">
        <v>17168</v>
      </c>
      <c r="D4849">
        <v>79</v>
      </c>
      <c r="E4849" t="s">
        <v>15</v>
      </c>
      <c r="F4849" t="s">
        <v>16</v>
      </c>
      <c r="G4849" s="1">
        <v>45290</v>
      </c>
      <c r="H4849" s="1">
        <v>45073</v>
      </c>
      <c r="I4849">
        <v>36</v>
      </c>
      <c r="J4849" t="s">
        <v>25</v>
      </c>
      <c r="K4849">
        <v>6879.61</v>
      </c>
    </row>
    <row r="4850" spans="1:11">
      <c r="A4850">
        <v>4849</v>
      </c>
      <c r="B4850" t="s">
        <v>113</v>
      </c>
      <c r="C4850" s="1">
        <v>31412</v>
      </c>
      <c r="D4850">
        <v>40</v>
      </c>
      <c r="E4850" t="s">
        <v>15</v>
      </c>
      <c r="F4850" t="s">
        <v>16</v>
      </c>
      <c r="G4850" s="1">
        <v>45609</v>
      </c>
      <c r="H4850" s="1">
        <v>45497</v>
      </c>
      <c r="I4850">
        <v>-1</v>
      </c>
      <c r="K4850">
        <v>9746.66</v>
      </c>
    </row>
    <row r="4851" spans="1:11">
      <c r="A4851">
        <v>4850</v>
      </c>
      <c r="B4851" t="s">
        <v>137</v>
      </c>
      <c r="C4851" s="1">
        <v>27760</v>
      </c>
      <c r="D4851">
        <v>50</v>
      </c>
      <c r="E4851" t="s">
        <v>12</v>
      </c>
      <c r="F4851" t="s">
        <v>45</v>
      </c>
      <c r="G4851" s="1">
        <v>45356</v>
      </c>
      <c r="H4851" s="1">
        <v>45223</v>
      </c>
      <c r="I4851">
        <v>1</v>
      </c>
      <c r="J4851" t="s">
        <v>25</v>
      </c>
      <c r="K4851">
        <v>19493.88</v>
      </c>
    </row>
    <row r="4852" spans="1:11">
      <c r="A4852">
        <v>4851</v>
      </c>
      <c r="B4852" t="s">
        <v>113</v>
      </c>
      <c r="C4852" s="1">
        <v>20455</v>
      </c>
      <c r="D4852">
        <v>70</v>
      </c>
      <c r="E4852" t="s">
        <v>12</v>
      </c>
      <c r="F4852" t="s">
        <v>16</v>
      </c>
      <c r="G4852" s="1">
        <v>45495</v>
      </c>
      <c r="H4852" s="1">
        <v>45168</v>
      </c>
      <c r="I4852">
        <v>21</v>
      </c>
      <c r="K4852">
        <v>15247.65</v>
      </c>
    </row>
    <row r="4853" spans="1:11">
      <c r="A4853">
        <v>4852</v>
      </c>
      <c r="B4853" t="s">
        <v>37</v>
      </c>
      <c r="C4853" s="1">
        <v>17898</v>
      </c>
      <c r="D4853">
        <v>77</v>
      </c>
      <c r="E4853" t="s">
        <v>12</v>
      </c>
      <c r="F4853" t="s">
        <v>16</v>
      </c>
      <c r="G4853" s="1">
        <v>45009</v>
      </c>
      <c r="H4853" s="1">
        <v>45784</v>
      </c>
      <c r="I4853">
        <v>15</v>
      </c>
      <c r="J4853" t="s">
        <v>25</v>
      </c>
      <c r="K4853">
        <v>17019.97</v>
      </c>
    </row>
    <row r="4854" spans="1:11">
      <c r="A4854">
        <v>4853</v>
      </c>
      <c r="B4854" t="s">
        <v>140</v>
      </c>
      <c r="C4854" s="1">
        <v>35795</v>
      </c>
      <c r="D4854">
        <v>28</v>
      </c>
      <c r="E4854" t="s">
        <v>15</v>
      </c>
      <c r="F4854" t="s">
        <v>13</v>
      </c>
      <c r="G4854" s="1">
        <v>45256</v>
      </c>
      <c r="H4854" s="1">
        <v>45214</v>
      </c>
      <c r="I4854">
        <v>8</v>
      </c>
      <c r="K4854">
        <v>10063.56</v>
      </c>
    </row>
    <row r="4855" spans="1:11">
      <c r="A4855">
        <v>4854</v>
      </c>
      <c r="B4855" t="s">
        <v>146</v>
      </c>
      <c r="C4855" s="1">
        <v>16072</v>
      </c>
      <c r="D4855">
        <v>82</v>
      </c>
      <c r="E4855" t="s">
        <v>12</v>
      </c>
      <c r="F4855" t="s">
        <v>21</v>
      </c>
      <c r="G4855" s="1">
        <v>45617</v>
      </c>
      <c r="H4855" s="1">
        <v>45602</v>
      </c>
      <c r="I4855">
        <v>34</v>
      </c>
      <c r="J4855" t="s">
        <v>23</v>
      </c>
      <c r="K4855">
        <v>10475.08</v>
      </c>
    </row>
    <row r="4856" spans="1:11">
      <c r="A4856">
        <v>4855</v>
      </c>
      <c r="B4856" t="s">
        <v>157</v>
      </c>
      <c r="C4856" s="1">
        <v>39448</v>
      </c>
      <c r="D4856">
        <v>18</v>
      </c>
      <c r="E4856" t="s">
        <v>12</v>
      </c>
      <c r="G4856" s="1">
        <v>45059</v>
      </c>
      <c r="H4856" s="1">
        <v>44953</v>
      </c>
      <c r="I4856">
        <v>23</v>
      </c>
      <c r="J4856" t="s">
        <v>19</v>
      </c>
      <c r="K4856">
        <v>4006.93</v>
      </c>
    </row>
    <row r="4857" spans="1:11">
      <c r="A4857">
        <v>4856</v>
      </c>
      <c r="B4857" t="s">
        <v>89</v>
      </c>
      <c r="C4857" s="1">
        <v>22281</v>
      </c>
      <c r="D4857">
        <v>65</v>
      </c>
      <c r="E4857" t="s">
        <v>15</v>
      </c>
      <c r="G4857" s="1">
        <v>45524</v>
      </c>
      <c r="H4857" s="1">
        <v>45379</v>
      </c>
      <c r="I4857">
        <v>5</v>
      </c>
      <c r="K4857">
        <v>14393.02</v>
      </c>
    </row>
    <row r="4858" spans="1:11">
      <c r="A4858">
        <v>4857</v>
      </c>
      <c r="B4858" t="s">
        <v>86</v>
      </c>
      <c r="C4858" s="1">
        <v>31412</v>
      </c>
      <c r="D4858">
        <v>40</v>
      </c>
      <c r="E4858" t="s">
        <v>15</v>
      </c>
      <c r="F4858" t="s">
        <v>21</v>
      </c>
      <c r="G4858" s="1">
        <v>45383</v>
      </c>
      <c r="H4858" s="1">
        <v>45033</v>
      </c>
      <c r="I4858">
        <v>19</v>
      </c>
      <c r="J4858" t="s">
        <v>25</v>
      </c>
      <c r="K4858">
        <v>8373.84</v>
      </c>
    </row>
    <row r="4859" spans="1:11">
      <c r="A4859">
        <v>4858</v>
      </c>
      <c r="B4859" t="s">
        <v>35</v>
      </c>
      <c r="C4859" s="1">
        <v>29951</v>
      </c>
      <c r="D4859">
        <v>44</v>
      </c>
      <c r="E4859" t="s">
        <v>15</v>
      </c>
      <c r="F4859" t="s">
        <v>18</v>
      </c>
      <c r="G4859" s="1">
        <v>45279</v>
      </c>
      <c r="H4859" s="1">
        <v>45167</v>
      </c>
      <c r="I4859">
        <v>2</v>
      </c>
      <c r="J4859" t="s">
        <v>23</v>
      </c>
      <c r="K4859">
        <v>14823.18</v>
      </c>
    </row>
    <row r="4860" spans="1:11">
      <c r="A4860">
        <v>4859</v>
      </c>
      <c r="B4860" t="s">
        <v>116</v>
      </c>
      <c r="C4860" s="1">
        <v>40909</v>
      </c>
      <c r="D4860">
        <v>14</v>
      </c>
      <c r="E4860" t="s">
        <v>15</v>
      </c>
      <c r="F4860" t="s">
        <v>18</v>
      </c>
      <c r="G4860" s="1">
        <v>45270</v>
      </c>
      <c r="H4860" s="1">
        <v>45779</v>
      </c>
      <c r="I4860">
        <v>-1</v>
      </c>
      <c r="K4860">
        <v>8122.01</v>
      </c>
    </row>
    <row r="4861" spans="1:11">
      <c r="A4861">
        <v>4860</v>
      </c>
      <c r="B4861" t="s">
        <v>114</v>
      </c>
      <c r="C4861" s="1">
        <v>45292</v>
      </c>
      <c r="D4861">
        <v>2</v>
      </c>
      <c r="F4861" t="s">
        <v>32</v>
      </c>
      <c r="G4861" s="1">
        <v>45020</v>
      </c>
      <c r="H4861" s="1">
        <v>45345</v>
      </c>
      <c r="I4861">
        <v>2</v>
      </c>
      <c r="J4861" t="s">
        <v>25</v>
      </c>
      <c r="K4861">
        <v>2081.1999999999998</v>
      </c>
    </row>
    <row r="4862" spans="1:11">
      <c r="A4862">
        <v>4861</v>
      </c>
      <c r="B4862" t="s">
        <v>55</v>
      </c>
      <c r="C4862" s="1">
        <v>42370</v>
      </c>
      <c r="D4862">
        <v>10</v>
      </c>
      <c r="E4862" t="s">
        <v>15</v>
      </c>
      <c r="F4862" t="s">
        <v>13</v>
      </c>
      <c r="G4862" s="1">
        <v>45308</v>
      </c>
      <c r="H4862" s="1">
        <v>45259</v>
      </c>
      <c r="I4862">
        <v>32</v>
      </c>
      <c r="J4862" t="s">
        <v>19</v>
      </c>
      <c r="K4862">
        <v>3378.38</v>
      </c>
    </row>
    <row r="4863" spans="1:11">
      <c r="A4863">
        <v>4862</v>
      </c>
      <c r="B4863" t="s">
        <v>159</v>
      </c>
      <c r="C4863" s="1">
        <v>27029</v>
      </c>
      <c r="D4863">
        <v>52</v>
      </c>
      <c r="E4863" t="s">
        <v>15</v>
      </c>
      <c r="F4863" t="s">
        <v>18</v>
      </c>
      <c r="G4863" s="1">
        <v>45221</v>
      </c>
      <c r="H4863" s="1">
        <v>45818</v>
      </c>
      <c r="I4863">
        <v>29</v>
      </c>
      <c r="J4863" t="s">
        <v>25</v>
      </c>
      <c r="K4863">
        <v>16212.56</v>
      </c>
    </row>
    <row r="4864" spans="1:11">
      <c r="A4864">
        <v>4863</v>
      </c>
      <c r="B4864" t="s">
        <v>118</v>
      </c>
      <c r="C4864" s="1">
        <v>29586</v>
      </c>
      <c r="D4864">
        <v>45</v>
      </c>
      <c r="E4864" t="s">
        <v>15</v>
      </c>
      <c r="F4864" t="s">
        <v>18</v>
      </c>
      <c r="G4864" s="1">
        <v>45124</v>
      </c>
      <c r="H4864" s="1">
        <v>44969</v>
      </c>
      <c r="I4864">
        <v>16</v>
      </c>
      <c r="K4864">
        <v>5098.1899999999996</v>
      </c>
    </row>
    <row r="4865" spans="1:11">
      <c r="A4865">
        <v>4864</v>
      </c>
      <c r="B4865" t="s">
        <v>65</v>
      </c>
      <c r="C4865" s="1">
        <v>35430</v>
      </c>
      <c r="D4865">
        <v>29</v>
      </c>
      <c r="E4865" t="s">
        <v>15</v>
      </c>
      <c r="F4865" t="s">
        <v>13</v>
      </c>
      <c r="G4865" s="1">
        <v>45005</v>
      </c>
      <c r="H4865" s="1">
        <v>45572</v>
      </c>
      <c r="I4865">
        <v>36</v>
      </c>
      <c r="J4865" t="s">
        <v>25</v>
      </c>
      <c r="K4865">
        <v>5213.5200000000004</v>
      </c>
    </row>
    <row r="4866" spans="1:11">
      <c r="A4866">
        <v>4865</v>
      </c>
      <c r="B4866" t="s">
        <v>55</v>
      </c>
      <c r="C4866" s="1">
        <v>25568</v>
      </c>
      <c r="D4866">
        <v>56</v>
      </c>
      <c r="E4866" t="s">
        <v>12</v>
      </c>
      <c r="F4866" t="s">
        <v>21</v>
      </c>
      <c r="G4866" s="1">
        <v>45604</v>
      </c>
      <c r="H4866" s="1">
        <v>45756</v>
      </c>
      <c r="I4866">
        <v>1</v>
      </c>
      <c r="J4866" t="s">
        <v>25</v>
      </c>
      <c r="K4866">
        <v>18580.3</v>
      </c>
    </row>
    <row r="4867" spans="1:11">
      <c r="A4867">
        <v>4866</v>
      </c>
      <c r="B4867" t="s">
        <v>121</v>
      </c>
      <c r="C4867" s="1">
        <v>39813</v>
      </c>
      <c r="D4867">
        <v>17</v>
      </c>
      <c r="E4867" t="s">
        <v>15</v>
      </c>
      <c r="F4867" t="s">
        <v>32</v>
      </c>
      <c r="G4867" s="1">
        <v>45477</v>
      </c>
      <c r="H4867" s="1">
        <v>45483</v>
      </c>
      <c r="I4867">
        <v>20</v>
      </c>
      <c r="J4867" t="s">
        <v>19</v>
      </c>
      <c r="K4867">
        <v>13118.48</v>
      </c>
    </row>
    <row r="4868" spans="1:11">
      <c r="A4868">
        <v>4867</v>
      </c>
      <c r="B4868" t="s">
        <v>55</v>
      </c>
      <c r="C4868" s="1">
        <v>27760</v>
      </c>
      <c r="D4868">
        <v>50</v>
      </c>
      <c r="E4868" t="s">
        <v>12</v>
      </c>
      <c r="F4868" t="s">
        <v>32</v>
      </c>
      <c r="G4868" s="1">
        <v>45140</v>
      </c>
      <c r="H4868" s="1">
        <v>44962</v>
      </c>
      <c r="I4868">
        <v>16</v>
      </c>
      <c r="K4868">
        <v>2197.58</v>
      </c>
    </row>
    <row r="4869" spans="1:11">
      <c r="A4869">
        <v>4868</v>
      </c>
      <c r="B4869" t="s">
        <v>78</v>
      </c>
      <c r="C4869" s="1">
        <v>28856</v>
      </c>
      <c r="D4869">
        <v>47</v>
      </c>
      <c r="E4869" t="s">
        <v>15</v>
      </c>
      <c r="F4869" t="s">
        <v>32</v>
      </c>
      <c r="G4869" s="1">
        <v>45569</v>
      </c>
      <c r="H4869" s="1">
        <v>45803</v>
      </c>
      <c r="I4869">
        <v>23</v>
      </c>
      <c r="K4869">
        <v>2786.06</v>
      </c>
    </row>
    <row r="4870" spans="1:11">
      <c r="A4870">
        <v>4869</v>
      </c>
      <c r="B4870" t="s">
        <v>94</v>
      </c>
      <c r="C4870" s="1">
        <v>22281</v>
      </c>
      <c r="D4870">
        <v>65</v>
      </c>
      <c r="E4870" t="s">
        <v>12</v>
      </c>
      <c r="F4870" t="s">
        <v>18</v>
      </c>
      <c r="G4870" s="1">
        <v>45595</v>
      </c>
      <c r="H4870" s="1">
        <v>45274</v>
      </c>
      <c r="I4870">
        <v>23</v>
      </c>
      <c r="J4870" t="s">
        <v>19</v>
      </c>
      <c r="K4870">
        <v>5374.59</v>
      </c>
    </row>
    <row r="4871" spans="1:11">
      <c r="A4871">
        <v>4870</v>
      </c>
      <c r="B4871" t="s">
        <v>33</v>
      </c>
      <c r="C4871" s="1">
        <v>43466</v>
      </c>
      <c r="D4871">
        <v>7</v>
      </c>
      <c r="E4871" t="s">
        <v>12</v>
      </c>
      <c r="F4871" t="s">
        <v>21</v>
      </c>
      <c r="G4871" s="1">
        <v>45085</v>
      </c>
      <c r="H4871" s="1">
        <v>45311</v>
      </c>
      <c r="I4871">
        <v>4</v>
      </c>
      <c r="J4871" t="s">
        <v>23</v>
      </c>
      <c r="K4871">
        <v>11839.31</v>
      </c>
    </row>
    <row r="4872" spans="1:11">
      <c r="A4872">
        <v>4871</v>
      </c>
      <c r="B4872" t="s">
        <v>153</v>
      </c>
      <c r="C4872" s="1">
        <v>38352</v>
      </c>
      <c r="D4872">
        <v>21</v>
      </c>
      <c r="E4872" t="s">
        <v>12</v>
      </c>
      <c r="F4872" t="s">
        <v>32</v>
      </c>
      <c r="G4872" s="1">
        <v>45483</v>
      </c>
      <c r="H4872" s="1">
        <v>45440</v>
      </c>
      <c r="I4872">
        <v>29</v>
      </c>
      <c r="J4872" t="s">
        <v>25</v>
      </c>
      <c r="K4872">
        <v>15031.79</v>
      </c>
    </row>
    <row r="4873" spans="1:11">
      <c r="A4873">
        <v>4872</v>
      </c>
      <c r="B4873" t="s">
        <v>135</v>
      </c>
      <c r="C4873" s="1">
        <v>44196</v>
      </c>
      <c r="D4873">
        <v>5</v>
      </c>
      <c r="E4873" t="s">
        <v>12</v>
      </c>
      <c r="F4873" t="s">
        <v>13</v>
      </c>
      <c r="G4873" s="1">
        <v>45127</v>
      </c>
      <c r="H4873" s="1">
        <v>45665</v>
      </c>
      <c r="I4873">
        <v>30</v>
      </c>
      <c r="J4873" t="s">
        <v>25</v>
      </c>
      <c r="K4873">
        <v>5417.38</v>
      </c>
    </row>
    <row r="4874" spans="1:11">
      <c r="A4874">
        <v>4873</v>
      </c>
      <c r="B4874" t="s">
        <v>151</v>
      </c>
      <c r="C4874" s="1">
        <v>18629</v>
      </c>
      <c r="D4874">
        <v>75</v>
      </c>
      <c r="E4874" t="s">
        <v>12</v>
      </c>
      <c r="F4874" t="s">
        <v>32</v>
      </c>
      <c r="G4874" s="1">
        <v>44948</v>
      </c>
      <c r="H4874" s="1">
        <v>45738</v>
      </c>
      <c r="I4874">
        <v>23</v>
      </c>
      <c r="J4874" t="s">
        <v>25</v>
      </c>
      <c r="K4874">
        <v>17399.900000000001</v>
      </c>
    </row>
    <row r="4875" spans="1:11">
      <c r="A4875">
        <v>4874</v>
      </c>
      <c r="B4875" t="s">
        <v>81</v>
      </c>
      <c r="C4875" s="1">
        <v>25568</v>
      </c>
      <c r="D4875">
        <v>56</v>
      </c>
      <c r="E4875" t="s">
        <v>15</v>
      </c>
      <c r="G4875" s="1">
        <v>45265</v>
      </c>
      <c r="H4875" s="1">
        <v>45215</v>
      </c>
      <c r="I4875">
        <v>21</v>
      </c>
      <c r="K4875">
        <v>2094.52</v>
      </c>
    </row>
    <row r="4876" spans="1:11">
      <c r="A4876">
        <v>4875</v>
      </c>
      <c r="B4876" t="s">
        <v>79</v>
      </c>
      <c r="C4876" s="1">
        <v>33239</v>
      </c>
      <c r="D4876">
        <v>35</v>
      </c>
      <c r="E4876" t="s">
        <v>12</v>
      </c>
      <c r="F4876" t="s">
        <v>45</v>
      </c>
      <c r="G4876" s="1">
        <v>45168</v>
      </c>
      <c r="H4876" s="1">
        <v>45675</v>
      </c>
      <c r="I4876">
        <v>20</v>
      </c>
      <c r="K4876">
        <v>4072.74</v>
      </c>
    </row>
    <row r="4877" spans="1:11">
      <c r="A4877">
        <v>4876</v>
      </c>
      <c r="B4877" t="s">
        <v>97</v>
      </c>
      <c r="C4877" s="1">
        <v>17533</v>
      </c>
      <c r="D4877">
        <v>78</v>
      </c>
      <c r="E4877" t="s">
        <v>12</v>
      </c>
      <c r="F4877" t="s">
        <v>21</v>
      </c>
      <c r="G4877" s="1">
        <v>45164</v>
      </c>
      <c r="H4877" s="1">
        <v>45798</v>
      </c>
      <c r="I4877">
        <v>35</v>
      </c>
      <c r="J4877" t="s">
        <v>25</v>
      </c>
      <c r="K4877">
        <v>19406.34</v>
      </c>
    </row>
    <row r="4878" spans="1:11">
      <c r="A4878">
        <v>4877</v>
      </c>
      <c r="B4878" t="s">
        <v>59</v>
      </c>
      <c r="C4878" s="1">
        <v>12785</v>
      </c>
      <c r="D4878">
        <v>91</v>
      </c>
      <c r="E4878" t="s">
        <v>12</v>
      </c>
      <c r="F4878" t="s">
        <v>45</v>
      </c>
      <c r="G4878" s="1">
        <v>45075</v>
      </c>
      <c r="H4878" s="1">
        <v>44960</v>
      </c>
      <c r="I4878">
        <v>23</v>
      </c>
      <c r="K4878">
        <v>2608.37</v>
      </c>
    </row>
    <row r="4879" spans="1:11">
      <c r="A4879">
        <v>4878</v>
      </c>
      <c r="B4879" t="s">
        <v>133</v>
      </c>
      <c r="C4879" s="1">
        <v>25568</v>
      </c>
      <c r="D4879">
        <v>56</v>
      </c>
      <c r="E4879" t="s">
        <v>15</v>
      </c>
      <c r="F4879" t="s">
        <v>21</v>
      </c>
      <c r="G4879" s="1">
        <v>45505</v>
      </c>
      <c r="H4879" s="1">
        <v>45022</v>
      </c>
      <c r="I4879">
        <v>28</v>
      </c>
      <c r="J4879" t="s">
        <v>19</v>
      </c>
      <c r="K4879">
        <v>17751.04</v>
      </c>
    </row>
    <row r="4880" spans="1:11">
      <c r="A4880">
        <v>4879</v>
      </c>
      <c r="B4880" t="s">
        <v>72</v>
      </c>
      <c r="D4880">
        <v>48</v>
      </c>
      <c r="E4880" t="s">
        <v>15</v>
      </c>
      <c r="F4880" t="s">
        <v>16</v>
      </c>
      <c r="G4880" s="1">
        <v>44933</v>
      </c>
      <c r="H4880" s="1">
        <v>45132</v>
      </c>
      <c r="I4880">
        <v>3</v>
      </c>
      <c r="J4880" t="s">
        <v>19</v>
      </c>
      <c r="K4880">
        <v>14049.1</v>
      </c>
    </row>
    <row r="4881" spans="1:11">
      <c r="A4881">
        <v>4880</v>
      </c>
      <c r="B4881" t="s">
        <v>152</v>
      </c>
      <c r="D4881">
        <v>44</v>
      </c>
      <c r="E4881" t="s">
        <v>12</v>
      </c>
      <c r="F4881" t="s">
        <v>13</v>
      </c>
      <c r="G4881" s="1">
        <v>45159</v>
      </c>
      <c r="H4881" s="1">
        <v>45548</v>
      </c>
      <c r="I4881">
        <v>28</v>
      </c>
      <c r="K4881">
        <v>1369.05</v>
      </c>
    </row>
    <row r="4882" spans="1:11">
      <c r="A4882">
        <v>4881</v>
      </c>
      <c r="B4882" t="s">
        <v>126</v>
      </c>
      <c r="C4882" s="1">
        <v>16437</v>
      </c>
      <c r="D4882">
        <v>81</v>
      </c>
      <c r="E4882" t="s">
        <v>15</v>
      </c>
      <c r="F4882" t="s">
        <v>16</v>
      </c>
      <c r="G4882" s="1">
        <v>45505</v>
      </c>
      <c r="H4882" s="1">
        <v>45761</v>
      </c>
      <c r="I4882">
        <v>37</v>
      </c>
      <c r="J4882" t="s">
        <v>25</v>
      </c>
      <c r="K4882">
        <v>9622.51</v>
      </c>
    </row>
    <row r="4883" spans="1:11">
      <c r="A4883">
        <v>4882</v>
      </c>
      <c r="B4883" t="s">
        <v>59</v>
      </c>
      <c r="C4883" s="1">
        <v>22281</v>
      </c>
      <c r="D4883">
        <v>65</v>
      </c>
      <c r="E4883" t="s">
        <v>15</v>
      </c>
      <c r="F4883" t="s">
        <v>18</v>
      </c>
      <c r="G4883" s="1">
        <v>45003</v>
      </c>
      <c r="H4883" s="1">
        <v>44957</v>
      </c>
      <c r="I4883">
        <v>9</v>
      </c>
      <c r="J4883" t="s">
        <v>25</v>
      </c>
      <c r="K4883">
        <v>10331.48</v>
      </c>
    </row>
    <row r="4884" spans="1:11">
      <c r="A4884">
        <v>4883</v>
      </c>
      <c r="B4884" t="s">
        <v>41</v>
      </c>
      <c r="C4884" s="1">
        <v>18263</v>
      </c>
      <c r="D4884">
        <v>76</v>
      </c>
      <c r="E4884" t="s">
        <v>15</v>
      </c>
      <c r="F4884" t="s">
        <v>18</v>
      </c>
      <c r="G4884" s="1">
        <v>45415</v>
      </c>
      <c r="H4884" s="1">
        <v>45193</v>
      </c>
      <c r="I4884">
        <v>14</v>
      </c>
      <c r="J4884" t="s">
        <v>25</v>
      </c>
      <c r="K4884">
        <v>18636.009999999998</v>
      </c>
    </row>
    <row r="4885" spans="1:11">
      <c r="A4885">
        <v>4884</v>
      </c>
      <c r="B4885" t="s">
        <v>138</v>
      </c>
      <c r="C4885" s="1">
        <v>29951</v>
      </c>
      <c r="D4885">
        <v>44</v>
      </c>
      <c r="E4885" t="s">
        <v>12</v>
      </c>
      <c r="F4885" t="s">
        <v>16</v>
      </c>
      <c r="G4885" s="1">
        <v>45013</v>
      </c>
      <c r="H4885" s="1">
        <v>44950</v>
      </c>
      <c r="I4885">
        <v>23</v>
      </c>
      <c r="J4885" t="s">
        <v>25</v>
      </c>
      <c r="K4885">
        <v>8364.2000000000007</v>
      </c>
    </row>
    <row r="4886" spans="1:11">
      <c r="A4886">
        <v>4885</v>
      </c>
      <c r="B4886" t="s">
        <v>97</v>
      </c>
      <c r="C4886" s="1">
        <v>17533</v>
      </c>
      <c r="D4886">
        <v>78</v>
      </c>
      <c r="F4886" t="s">
        <v>21</v>
      </c>
      <c r="G4886" s="1">
        <v>45148</v>
      </c>
      <c r="H4886" s="1">
        <v>45536</v>
      </c>
      <c r="I4886">
        <v>0</v>
      </c>
      <c r="K4886">
        <v>8879.9500000000007</v>
      </c>
    </row>
    <row r="4887" spans="1:11">
      <c r="A4887">
        <v>4886</v>
      </c>
      <c r="B4887" t="s">
        <v>76</v>
      </c>
      <c r="D4887">
        <v>19</v>
      </c>
      <c r="E4887" t="s">
        <v>12</v>
      </c>
      <c r="F4887" t="s">
        <v>32</v>
      </c>
      <c r="G4887" s="1">
        <v>45339</v>
      </c>
      <c r="H4887" s="1">
        <v>44966</v>
      </c>
      <c r="I4887">
        <v>12</v>
      </c>
      <c r="J4887" t="s">
        <v>23</v>
      </c>
      <c r="K4887">
        <v>2160.92</v>
      </c>
    </row>
    <row r="4888" spans="1:11">
      <c r="A4888">
        <v>4887</v>
      </c>
      <c r="B4888" t="s">
        <v>99</v>
      </c>
      <c r="C4888" s="1">
        <v>23012</v>
      </c>
      <c r="D4888">
        <v>63</v>
      </c>
      <c r="E4888" t="s">
        <v>15</v>
      </c>
      <c r="F4888" t="s">
        <v>45</v>
      </c>
      <c r="G4888" s="1">
        <v>45510</v>
      </c>
      <c r="H4888" s="1">
        <v>45100</v>
      </c>
      <c r="I4888">
        <v>35</v>
      </c>
      <c r="J4888" t="s">
        <v>23</v>
      </c>
      <c r="K4888">
        <v>12747.37</v>
      </c>
    </row>
    <row r="4889" spans="1:11">
      <c r="A4889">
        <v>4888</v>
      </c>
      <c r="B4889" t="s">
        <v>95</v>
      </c>
      <c r="C4889" s="1">
        <v>12419</v>
      </c>
      <c r="D4889">
        <v>92</v>
      </c>
      <c r="E4889" t="s">
        <v>15</v>
      </c>
      <c r="F4889" t="s">
        <v>13</v>
      </c>
      <c r="G4889" s="1">
        <v>45128</v>
      </c>
      <c r="H4889" s="1">
        <v>45687</v>
      </c>
      <c r="I4889">
        <v>21</v>
      </c>
      <c r="J4889" t="s">
        <v>25</v>
      </c>
      <c r="K4889">
        <v>4139.03</v>
      </c>
    </row>
    <row r="4890" spans="1:11">
      <c r="A4890">
        <v>4889</v>
      </c>
      <c r="B4890" t="s">
        <v>49</v>
      </c>
      <c r="C4890" s="1">
        <v>12419</v>
      </c>
      <c r="D4890">
        <v>92</v>
      </c>
      <c r="E4890" t="s">
        <v>15</v>
      </c>
      <c r="F4890" t="s">
        <v>32</v>
      </c>
      <c r="G4890" s="1">
        <v>45497</v>
      </c>
      <c r="H4890" s="1">
        <v>45818</v>
      </c>
      <c r="I4890">
        <v>27</v>
      </c>
      <c r="J4890" t="s">
        <v>25</v>
      </c>
      <c r="K4890">
        <v>1458.42</v>
      </c>
    </row>
    <row r="4891" spans="1:11">
      <c r="A4891">
        <v>4890</v>
      </c>
      <c r="B4891" t="s">
        <v>151</v>
      </c>
      <c r="C4891" s="1">
        <v>21916</v>
      </c>
      <c r="D4891">
        <v>66</v>
      </c>
      <c r="E4891" t="s">
        <v>12</v>
      </c>
      <c r="F4891" t="s">
        <v>18</v>
      </c>
      <c r="G4891" s="1">
        <v>45202</v>
      </c>
      <c r="H4891" s="1">
        <v>45340</v>
      </c>
      <c r="I4891">
        <v>33</v>
      </c>
      <c r="J4891" t="s">
        <v>25</v>
      </c>
      <c r="K4891">
        <v>19938.07</v>
      </c>
    </row>
    <row r="4892" spans="1:11">
      <c r="A4892">
        <v>4891</v>
      </c>
      <c r="B4892" t="s">
        <v>131</v>
      </c>
      <c r="C4892" s="1">
        <v>16072</v>
      </c>
      <c r="D4892">
        <v>82</v>
      </c>
      <c r="E4892" t="s">
        <v>12</v>
      </c>
      <c r="F4892" t="s">
        <v>32</v>
      </c>
      <c r="G4892" s="1">
        <v>45147</v>
      </c>
      <c r="H4892" s="1">
        <v>45341</v>
      </c>
      <c r="I4892">
        <v>24</v>
      </c>
      <c r="J4892" t="s">
        <v>23</v>
      </c>
      <c r="K4892">
        <v>5319.56</v>
      </c>
    </row>
    <row r="4893" spans="1:11">
      <c r="A4893">
        <v>4892</v>
      </c>
      <c r="B4893" t="s">
        <v>120</v>
      </c>
      <c r="C4893" s="1">
        <v>45292</v>
      </c>
      <c r="D4893">
        <v>2</v>
      </c>
      <c r="E4893" t="s">
        <v>15</v>
      </c>
      <c r="F4893" t="s">
        <v>16</v>
      </c>
      <c r="G4893" s="1">
        <v>45083</v>
      </c>
      <c r="H4893" s="1">
        <v>45601</v>
      </c>
      <c r="I4893">
        <v>19</v>
      </c>
      <c r="J4893" t="s">
        <v>19</v>
      </c>
      <c r="K4893">
        <v>2735.17</v>
      </c>
    </row>
    <row r="4894" spans="1:11">
      <c r="A4894">
        <v>4893</v>
      </c>
      <c r="B4894" t="s">
        <v>22</v>
      </c>
      <c r="C4894" s="1">
        <v>26664</v>
      </c>
      <c r="D4894">
        <v>53</v>
      </c>
      <c r="E4894" t="s">
        <v>12</v>
      </c>
      <c r="F4894" t="s">
        <v>16</v>
      </c>
      <c r="G4894" s="1">
        <v>45107</v>
      </c>
      <c r="H4894" s="1">
        <v>45619</v>
      </c>
      <c r="I4894">
        <v>-1</v>
      </c>
      <c r="J4894" t="s">
        <v>23</v>
      </c>
      <c r="K4894">
        <v>13959.76</v>
      </c>
    </row>
    <row r="4895" spans="1:11">
      <c r="A4895">
        <v>4894</v>
      </c>
      <c r="B4895" t="s">
        <v>14</v>
      </c>
      <c r="C4895" s="1">
        <v>17898</v>
      </c>
      <c r="E4895" t="s">
        <v>12</v>
      </c>
      <c r="G4895" s="1">
        <v>45651</v>
      </c>
      <c r="H4895" s="1">
        <v>45542</v>
      </c>
      <c r="I4895">
        <v>4</v>
      </c>
      <c r="K4895">
        <v>16415.810000000001</v>
      </c>
    </row>
    <row r="4896" spans="1:11">
      <c r="A4896">
        <v>4895</v>
      </c>
      <c r="B4896" t="s">
        <v>86</v>
      </c>
      <c r="C4896" s="1">
        <v>23012</v>
      </c>
      <c r="D4896">
        <v>63</v>
      </c>
      <c r="E4896" t="s">
        <v>15</v>
      </c>
      <c r="G4896" s="1">
        <v>45055</v>
      </c>
      <c r="H4896" s="1">
        <v>45136</v>
      </c>
      <c r="I4896">
        <v>13</v>
      </c>
      <c r="J4896" t="s">
        <v>23</v>
      </c>
      <c r="K4896">
        <v>1187.96</v>
      </c>
    </row>
    <row r="4897" spans="1:11">
      <c r="A4897">
        <v>4896</v>
      </c>
      <c r="B4897" t="s">
        <v>85</v>
      </c>
      <c r="C4897" s="1">
        <v>31778</v>
      </c>
      <c r="D4897">
        <v>39</v>
      </c>
      <c r="E4897" t="s">
        <v>15</v>
      </c>
      <c r="F4897" t="s">
        <v>45</v>
      </c>
      <c r="G4897" s="1">
        <v>45169</v>
      </c>
      <c r="H4897" s="1">
        <v>44949</v>
      </c>
      <c r="I4897">
        <v>21</v>
      </c>
      <c r="K4897">
        <v>2018.41</v>
      </c>
    </row>
    <row r="4898" spans="1:11">
      <c r="A4898">
        <v>4897</v>
      </c>
      <c r="B4898" t="s">
        <v>167</v>
      </c>
      <c r="C4898" s="1">
        <v>24838</v>
      </c>
      <c r="D4898">
        <v>58</v>
      </c>
      <c r="F4898" t="s">
        <v>18</v>
      </c>
      <c r="G4898" s="1">
        <v>45098</v>
      </c>
      <c r="H4898" s="1">
        <v>44932</v>
      </c>
      <c r="I4898">
        <v>27</v>
      </c>
      <c r="J4898" t="s">
        <v>25</v>
      </c>
      <c r="K4898">
        <v>1712.49</v>
      </c>
    </row>
    <row r="4899" spans="1:11">
      <c r="A4899">
        <v>4898</v>
      </c>
      <c r="B4899" t="s">
        <v>64</v>
      </c>
      <c r="C4899" s="1">
        <v>26299</v>
      </c>
      <c r="D4899">
        <v>54</v>
      </c>
      <c r="E4899" t="s">
        <v>15</v>
      </c>
      <c r="F4899" t="s">
        <v>21</v>
      </c>
      <c r="G4899" s="1">
        <v>45429</v>
      </c>
      <c r="H4899" s="1">
        <v>45578</v>
      </c>
      <c r="I4899">
        <v>-2</v>
      </c>
      <c r="K4899">
        <v>843.88</v>
      </c>
    </row>
    <row r="4900" spans="1:11">
      <c r="A4900">
        <v>4899</v>
      </c>
      <c r="B4900" t="s">
        <v>59</v>
      </c>
      <c r="C4900" s="1">
        <v>23742</v>
      </c>
      <c r="D4900">
        <v>61</v>
      </c>
      <c r="E4900" t="s">
        <v>12</v>
      </c>
      <c r="F4900" t="s">
        <v>13</v>
      </c>
      <c r="G4900" s="1">
        <v>45406</v>
      </c>
      <c r="H4900" s="1">
        <v>45141</v>
      </c>
      <c r="I4900">
        <v>24</v>
      </c>
      <c r="J4900" t="s">
        <v>25</v>
      </c>
      <c r="K4900">
        <v>13155.08</v>
      </c>
    </row>
    <row r="4901" spans="1:11">
      <c r="A4901">
        <v>4900</v>
      </c>
      <c r="B4901" t="s">
        <v>117</v>
      </c>
      <c r="C4901" s="1">
        <v>44927</v>
      </c>
      <c r="D4901">
        <v>3</v>
      </c>
      <c r="E4901" t="s">
        <v>15</v>
      </c>
      <c r="F4901" t="s">
        <v>16</v>
      </c>
      <c r="G4901" s="1">
        <v>45196</v>
      </c>
      <c r="H4901" s="1">
        <v>45599</v>
      </c>
      <c r="I4901">
        <v>6</v>
      </c>
      <c r="J4901" t="s">
        <v>19</v>
      </c>
      <c r="K4901">
        <v>11725.1</v>
      </c>
    </row>
    <row r="4902" spans="1:11">
      <c r="A4902">
        <v>4901</v>
      </c>
      <c r="B4902" t="s">
        <v>49</v>
      </c>
      <c r="C4902" s="1">
        <v>24473</v>
      </c>
      <c r="D4902">
        <v>59</v>
      </c>
      <c r="E4902" t="s">
        <v>12</v>
      </c>
      <c r="F4902" t="s">
        <v>13</v>
      </c>
      <c r="G4902" s="1">
        <v>45347</v>
      </c>
      <c r="H4902" s="1">
        <v>45066</v>
      </c>
      <c r="I4902">
        <v>4</v>
      </c>
      <c r="J4902" t="s">
        <v>25</v>
      </c>
      <c r="K4902">
        <v>13222.41</v>
      </c>
    </row>
    <row r="4903" spans="1:11">
      <c r="A4903">
        <v>4902</v>
      </c>
      <c r="B4903" t="s">
        <v>146</v>
      </c>
      <c r="C4903" s="1">
        <v>18994</v>
      </c>
      <c r="D4903">
        <v>74</v>
      </c>
      <c r="E4903" t="s">
        <v>12</v>
      </c>
      <c r="F4903" t="s">
        <v>18</v>
      </c>
      <c r="G4903" s="1">
        <v>45089</v>
      </c>
      <c r="H4903" s="1">
        <v>45584</v>
      </c>
      <c r="I4903">
        <v>2</v>
      </c>
      <c r="J4903" t="s">
        <v>25</v>
      </c>
      <c r="K4903">
        <v>10063.91</v>
      </c>
    </row>
    <row r="4904" spans="1:11">
      <c r="A4904">
        <v>4903</v>
      </c>
      <c r="B4904" t="s">
        <v>116</v>
      </c>
      <c r="C4904" s="1">
        <v>11689</v>
      </c>
      <c r="D4904">
        <v>94</v>
      </c>
      <c r="E4904" t="s">
        <v>12</v>
      </c>
      <c r="F4904" t="s">
        <v>21</v>
      </c>
      <c r="G4904" s="1">
        <v>44950</v>
      </c>
      <c r="H4904" s="1">
        <v>45599</v>
      </c>
      <c r="I4904">
        <v>27</v>
      </c>
      <c r="J4904" t="s">
        <v>19</v>
      </c>
      <c r="K4904">
        <v>16331.9</v>
      </c>
    </row>
    <row r="4905" spans="1:11">
      <c r="A4905">
        <v>4904</v>
      </c>
      <c r="B4905" t="s">
        <v>22</v>
      </c>
      <c r="C4905" s="1">
        <v>13150</v>
      </c>
      <c r="D4905">
        <v>90</v>
      </c>
      <c r="E4905" t="s">
        <v>12</v>
      </c>
      <c r="G4905" s="1">
        <v>45423</v>
      </c>
      <c r="H4905" s="1">
        <v>45522</v>
      </c>
      <c r="I4905">
        <v>39</v>
      </c>
      <c r="J4905" t="s">
        <v>25</v>
      </c>
      <c r="K4905">
        <v>10888.03</v>
      </c>
    </row>
    <row r="4906" spans="1:11">
      <c r="A4906">
        <v>4905</v>
      </c>
      <c r="B4906" t="s">
        <v>116</v>
      </c>
      <c r="C4906" s="1">
        <v>35430</v>
      </c>
      <c r="D4906">
        <v>29</v>
      </c>
      <c r="E4906" t="s">
        <v>12</v>
      </c>
      <c r="F4906" t="s">
        <v>16</v>
      </c>
      <c r="G4906" s="1">
        <v>45119</v>
      </c>
      <c r="H4906" s="1">
        <v>45594</v>
      </c>
      <c r="I4906">
        <v>24</v>
      </c>
      <c r="J4906" t="s">
        <v>25</v>
      </c>
      <c r="K4906">
        <v>18366.810000000001</v>
      </c>
    </row>
    <row r="4907" spans="1:11">
      <c r="A4907">
        <v>4906</v>
      </c>
      <c r="B4907" t="s">
        <v>168</v>
      </c>
      <c r="C4907" s="1">
        <v>45657</v>
      </c>
      <c r="D4907">
        <v>1</v>
      </c>
      <c r="E4907" t="s">
        <v>12</v>
      </c>
      <c r="F4907" t="s">
        <v>45</v>
      </c>
      <c r="G4907" s="1">
        <v>45316</v>
      </c>
      <c r="H4907" s="1">
        <v>45727</v>
      </c>
      <c r="I4907">
        <v>7</v>
      </c>
      <c r="J4907" t="s">
        <v>25</v>
      </c>
      <c r="K4907">
        <v>9661.5400000000009</v>
      </c>
    </row>
    <row r="4908" spans="1:11">
      <c r="A4908">
        <v>4907</v>
      </c>
      <c r="B4908" t="s">
        <v>103</v>
      </c>
      <c r="C4908" s="1">
        <v>23742</v>
      </c>
      <c r="D4908">
        <v>61</v>
      </c>
      <c r="E4908" t="s">
        <v>15</v>
      </c>
      <c r="F4908" t="s">
        <v>13</v>
      </c>
      <c r="G4908" s="1">
        <v>45423</v>
      </c>
      <c r="H4908" s="1">
        <v>45244</v>
      </c>
      <c r="I4908">
        <v>22</v>
      </c>
      <c r="J4908" t="s">
        <v>23</v>
      </c>
      <c r="K4908">
        <v>15792.24</v>
      </c>
    </row>
    <row r="4909" spans="1:11">
      <c r="A4909">
        <v>4908</v>
      </c>
      <c r="B4909" t="s">
        <v>53</v>
      </c>
      <c r="C4909" s="1">
        <v>28490</v>
      </c>
      <c r="D4909">
        <v>48</v>
      </c>
      <c r="E4909" t="s">
        <v>15</v>
      </c>
      <c r="F4909" t="s">
        <v>18</v>
      </c>
      <c r="G4909" s="1">
        <v>45055</v>
      </c>
      <c r="H4909" s="1">
        <v>45720</v>
      </c>
      <c r="I4909">
        <v>15</v>
      </c>
      <c r="K4909">
        <v>8087.94</v>
      </c>
    </row>
    <row r="4910" spans="1:11">
      <c r="A4910">
        <v>4909</v>
      </c>
      <c r="B4910" t="s">
        <v>74</v>
      </c>
      <c r="C4910" s="1">
        <v>43100</v>
      </c>
      <c r="D4910">
        <v>8</v>
      </c>
      <c r="E4910" t="s">
        <v>12</v>
      </c>
      <c r="F4910" t="s">
        <v>13</v>
      </c>
      <c r="G4910" s="1">
        <v>45479</v>
      </c>
      <c r="H4910" s="1">
        <v>45503</v>
      </c>
      <c r="I4910">
        <v>4</v>
      </c>
      <c r="J4910" t="s">
        <v>25</v>
      </c>
      <c r="K4910">
        <v>8648</v>
      </c>
    </row>
    <row r="4911" spans="1:11">
      <c r="A4911">
        <v>4910</v>
      </c>
      <c r="B4911" t="s">
        <v>153</v>
      </c>
      <c r="C4911" s="1">
        <v>12785</v>
      </c>
      <c r="D4911">
        <v>91</v>
      </c>
      <c r="E4911" t="s">
        <v>12</v>
      </c>
      <c r="G4911" s="1">
        <v>45469</v>
      </c>
      <c r="H4911" s="1">
        <v>45631</v>
      </c>
      <c r="I4911">
        <v>28</v>
      </c>
      <c r="J4911" t="s">
        <v>23</v>
      </c>
      <c r="K4911">
        <v>16964.740000000002</v>
      </c>
    </row>
    <row r="4912" spans="1:11">
      <c r="A4912">
        <v>4911</v>
      </c>
      <c r="B4912" t="s">
        <v>81</v>
      </c>
      <c r="C4912" s="1">
        <v>35065</v>
      </c>
      <c r="D4912">
        <v>30</v>
      </c>
      <c r="E4912" t="s">
        <v>15</v>
      </c>
      <c r="G4912" s="1">
        <v>44962</v>
      </c>
      <c r="H4912" s="1">
        <v>45083</v>
      </c>
      <c r="I4912">
        <v>29</v>
      </c>
      <c r="J4912" t="s">
        <v>25</v>
      </c>
      <c r="K4912">
        <v>2063.96</v>
      </c>
    </row>
    <row r="4913" spans="1:11">
      <c r="A4913">
        <v>4912</v>
      </c>
      <c r="B4913" t="s">
        <v>34</v>
      </c>
      <c r="C4913" s="1">
        <v>24107</v>
      </c>
      <c r="D4913">
        <v>60</v>
      </c>
      <c r="E4913" t="s">
        <v>15</v>
      </c>
      <c r="F4913" t="s">
        <v>21</v>
      </c>
      <c r="G4913" s="1">
        <v>45383</v>
      </c>
      <c r="H4913" s="1">
        <v>45351</v>
      </c>
      <c r="I4913">
        <v>8</v>
      </c>
      <c r="K4913">
        <v>11254.85</v>
      </c>
    </row>
    <row r="4914" spans="1:11">
      <c r="A4914">
        <v>4913</v>
      </c>
      <c r="B4914" t="s">
        <v>65</v>
      </c>
      <c r="C4914" s="1">
        <v>17533</v>
      </c>
      <c r="D4914">
        <v>78</v>
      </c>
      <c r="E4914" t="s">
        <v>12</v>
      </c>
      <c r="F4914" t="s">
        <v>45</v>
      </c>
      <c r="G4914" s="1">
        <v>45287</v>
      </c>
      <c r="H4914" s="1">
        <v>45427</v>
      </c>
      <c r="I4914">
        <v>7</v>
      </c>
      <c r="J4914" t="s">
        <v>25</v>
      </c>
      <c r="K4914">
        <v>14499.36</v>
      </c>
    </row>
    <row r="4915" spans="1:11">
      <c r="A4915">
        <v>4914</v>
      </c>
      <c r="B4915" t="s">
        <v>74</v>
      </c>
      <c r="C4915" s="1">
        <v>28856</v>
      </c>
      <c r="D4915">
        <v>47</v>
      </c>
      <c r="E4915" t="s">
        <v>15</v>
      </c>
      <c r="G4915" s="1">
        <v>45141</v>
      </c>
      <c r="H4915" s="1">
        <v>45018</v>
      </c>
      <c r="I4915">
        <v>19</v>
      </c>
      <c r="K4915">
        <v>14983.45</v>
      </c>
    </row>
    <row r="4916" spans="1:11">
      <c r="A4916">
        <v>4915</v>
      </c>
      <c r="B4916" t="s">
        <v>148</v>
      </c>
      <c r="C4916" s="1">
        <v>37256</v>
      </c>
      <c r="D4916">
        <v>24</v>
      </c>
      <c r="E4916" t="s">
        <v>12</v>
      </c>
      <c r="F4916" t="s">
        <v>21</v>
      </c>
      <c r="G4916" s="1">
        <v>45213</v>
      </c>
      <c r="H4916" s="1">
        <v>45581</v>
      </c>
      <c r="I4916">
        <v>28</v>
      </c>
      <c r="J4916" t="s">
        <v>23</v>
      </c>
      <c r="K4916">
        <v>11789.02</v>
      </c>
    </row>
    <row r="4917" spans="1:11">
      <c r="A4917">
        <v>4916</v>
      </c>
      <c r="B4917" t="s">
        <v>133</v>
      </c>
      <c r="C4917" s="1">
        <v>33239</v>
      </c>
      <c r="D4917">
        <v>35</v>
      </c>
      <c r="E4917" t="s">
        <v>12</v>
      </c>
      <c r="G4917" s="1">
        <v>45295</v>
      </c>
      <c r="H4917" s="1">
        <v>44969</v>
      </c>
      <c r="I4917">
        <v>38</v>
      </c>
      <c r="J4917" t="s">
        <v>23</v>
      </c>
      <c r="K4917">
        <v>8906.1</v>
      </c>
    </row>
    <row r="4918" spans="1:11">
      <c r="A4918">
        <v>4917</v>
      </c>
      <c r="B4918" t="s">
        <v>155</v>
      </c>
      <c r="C4918" s="1">
        <v>43466</v>
      </c>
      <c r="D4918">
        <v>7</v>
      </c>
      <c r="E4918" t="s">
        <v>12</v>
      </c>
      <c r="F4918" t="s">
        <v>16</v>
      </c>
      <c r="G4918" s="1">
        <v>45395</v>
      </c>
      <c r="H4918" s="1">
        <v>45688</v>
      </c>
      <c r="I4918">
        <v>11</v>
      </c>
      <c r="J4918" t="s">
        <v>25</v>
      </c>
      <c r="K4918">
        <v>5141.7299999999996</v>
      </c>
    </row>
    <row r="4919" spans="1:11">
      <c r="A4919">
        <v>4918</v>
      </c>
      <c r="B4919" t="s">
        <v>54</v>
      </c>
      <c r="C4919" s="1">
        <v>19724</v>
      </c>
      <c r="E4919" t="s">
        <v>15</v>
      </c>
      <c r="F4919" t="s">
        <v>32</v>
      </c>
      <c r="G4919" s="1">
        <v>45112</v>
      </c>
      <c r="H4919" s="1">
        <v>45222</v>
      </c>
      <c r="I4919">
        <v>0</v>
      </c>
      <c r="J4919" t="s">
        <v>19</v>
      </c>
      <c r="K4919">
        <v>18179.47</v>
      </c>
    </row>
    <row r="4920" spans="1:11">
      <c r="A4920">
        <v>4919</v>
      </c>
      <c r="B4920" t="s">
        <v>92</v>
      </c>
      <c r="C4920" s="1">
        <v>25203</v>
      </c>
      <c r="D4920">
        <v>57</v>
      </c>
      <c r="E4920" t="s">
        <v>15</v>
      </c>
      <c r="F4920" t="s">
        <v>21</v>
      </c>
      <c r="G4920" s="1">
        <v>45400</v>
      </c>
      <c r="H4920" s="1">
        <v>45697</v>
      </c>
      <c r="I4920">
        <v>21</v>
      </c>
      <c r="K4920">
        <v>7332.74</v>
      </c>
    </row>
    <row r="4921" spans="1:11">
      <c r="A4921">
        <v>4920</v>
      </c>
      <c r="B4921" t="s">
        <v>166</v>
      </c>
      <c r="C4921" s="1">
        <v>29951</v>
      </c>
      <c r="D4921">
        <v>44</v>
      </c>
      <c r="E4921" t="s">
        <v>15</v>
      </c>
      <c r="F4921" t="s">
        <v>21</v>
      </c>
      <c r="G4921" s="1">
        <v>44987</v>
      </c>
      <c r="H4921" s="1">
        <v>45264</v>
      </c>
      <c r="I4921">
        <v>11</v>
      </c>
      <c r="J4921" t="s">
        <v>25</v>
      </c>
      <c r="K4921">
        <v>15959.74</v>
      </c>
    </row>
    <row r="4922" spans="1:11">
      <c r="A4922">
        <v>4921</v>
      </c>
      <c r="B4922" t="s">
        <v>71</v>
      </c>
      <c r="C4922" s="1">
        <v>23742</v>
      </c>
      <c r="D4922">
        <v>61</v>
      </c>
      <c r="E4922" t="s">
        <v>15</v>
      </c>
      <c r="F4922" t="s">
        <v>13</v>
      </c>
      <c r="G4922" s="1">
        <v>45188</v>
      </c>
      <c r="H4922" s="1">
        <v>44928</v>
      </c>
      <c r="I4922">
        <v>13</v>
      </c>
      <c r="J4922" t="s">
        <v>23</v>
      </c>
      <c r="K4922">
        <v>536.48</v>
      </c>
    </row>
    <row r="4923" spans="1:11">
      <c r="A4923">
        <v>4922</v>
      </c>
      <c r="B4923" t="s">
        <v>115</v>
      </c>
      <c r="C4923" s="1">
        <v>32143</v>
      </c>
      <c r="D4923">
        <v>38</v>
      </c>
      <c r="E4923" t="s">
        <v>12</v>
      </c>
      <c r="G4923" s="1">
        <v>45037</v>
      </c>
      <c r="H4923" s="1">
        <v>45036</v>
      </c>
      <c r="I4923">
        <v>25</v>
      </c>
      <c r="J4923" t="s">
        <v>25</v>
      </c>
      <c r="K4923">
        <v>4566.6000000000004</v>
      </c>
    </row>
    <row r="4924" spans="1:11">
      <c r="A4924">
        <v>4923</v>
      </c>
      <c r="B4924" t="s">
        <v>158</v>
      </c>
      <c r="C4924" s="1">
        <v>25203</v>
      </c>
      <c r="D4924">
        <v>57</v>
      </c>
      <c r="E4924" t="s">
        <v>12</v>
      </c>
      <c r="F4924" t="s">
        <v>21</v>
      </c>
      <c r="G4924" s="1">
        <v>45067</v>
      </c>
      <c r="H4924" s="1">
        <v>45052</v>
      </c>
      <c r="I4924">
        <v>32</v>
      </c>
      <c r="K4924">
        <v>6846.25</v>
      </c>
    </row>
    <row r="4925" spans="1:11">
      <c r="A4925">
        <v>4924</v>
      </c>
      <c r="B4925" t="s">
        <v>143</v>
      </c>
      <c r="C4925" s="1">
        <v>16802</v>
      </c>
      <c r="D4925">
        <v>80</v>
      </c>
      <c r="E4925" t="s">
        <v>15</v>
      </c>
      <c r="F4925" t="s">
        <v>18</v>
      </c>
      <c r="G4925" s="1">
        <v>45461</v>
      </c>
      <c r="H4925" s="1">
        <v>44991</v>
      </c>
      <c r="I4925">
        <v>37</v>
      </c>
      <c r="J4925" t="s">
        <v>25</v>
      </c>
      <c r="K4925">
        <v>13398.64</v>
      </c>
    </row>
    <row r="4926" spans="1:11">
      <c r="A4926">
        <v>4925</v>
      </c>
      <c r="B4926" t="s">
        <v>42</v>
      </c>
      <c r="D4926">
        <v>82</v>
      </c>
      <c r="E4926" t="s">
        <v>15</v>
      </c>
      <c r="F4926" t="s">
        <v>16</v>
      </c>
      <c r="G4926" s="1">
        <v>45005</v>
      </c>
      <c r="H4926" s="1">
        <v>45133</v>
      </c>
      <c r="I4926">
        <v>-1</v>
      </c>
      <c r="K4926">
        <v>6318.55</v>
      </c>
    </row>
    <row r="4927" spans="1:11">
      <c r="A4927">
        <v>4926</v>
      </c>
      <c r="B4927" t="s">
        <v>14</v>
      </c>
      <c r="C4927" s="1">
        <v>23012</v>
      </c>
      <c r="D4927">
        <v>63</v>
      </c>
      <c r="E4927" t="s">
        <v>15</v>
      </c>
      <c r="F4927" t="s">
        <v>13</v>
      </c>
      <c r="G4927" s="1">
        <v>45420</v>
      </c>
      <c r="H4927" s="1">
        <v>45342</v>
      </c>
      <c r="I4927">
        <v>31</v>
      </c>
      <c r="J4927" t="s">
        <v>23</v>
      </c>
      <c r="K4927">
        <v>731.41</v>
      </c>
    </row>
    <row r="4928" spans="1:11">
      <c r="A4928">
        <v>4927</v>
      </c>
      <c r="B4928" t="s">
        <v>11</v>
      </c>
      <c r="C4928" s="1">
        <v>30317</v>
      </c>
      <c r="D4928">
        <v>43</v>
      </c>
      <c r="F4928" t="s">
        <v>13</v>
      </c>
      <c r="G4928" s="1">
        <v>44957</v>
      </c>
      <c r="H4928" s="1">
        <v>45777</v>
      </c>
      <c r="I4928">
        <v>15</v>
      </c>
      <c r="J4928" t="s">
        <v>19</v>
      </c>
      <c r="K4928">
        <v>3394.74</v>
      </c>
    </row>
    <row r="4929" spans="1:11">
      <c r="A4929">
        <v>4928</v>
      </c>
      <c r="B4929" t="s">
        <v>104</v>
      </c>
      <c r="C4929" s="1">
        <v>35795</v>
      </c>
      <c r="D4929">
        <v>28</v>
      </c>
      <c r="E4929" t="s">
        <v>15</v>
      </c>
      <c r="F4929" t="s">
        <v>32</v>
      </c>
      <c r="G4929" s="1">
        <v>45442</v>
      </c>
      <c r="H4929" s="1">
        <v>45171</v>
      </c>
      <c r="I4929">
        <v>4</v>
      </c>
      <c r="J4929" t="s">
        <v>19</v>
      </c>
      <c r="K4929">
        <v>5109.22</v>
      </c>
    </row>
    <row r="4930" spans="1:11">
      <c r="A4930">
        <v>4929</v>
      </c>
      <c r="B4930" t="s">
        <v>44</v>
      </c>
      <c r="C4930" s="1">
        <v>24838</v>
      </c>
      <c r="D4930">
        <v>58</v>
      </c>
      <c r="E4930" t="s">
        <v>12</v>
      </c>
      <c r="F4930" t="s">
        <v>16</v>
      </c>
      <c r="G4930" s="1">
        <v>45435</v>
      </c>
      <c r="H4930" s="1">
        <v>45517</v>
      </c>
      <c r="I4930">
        <v>35</v>
      </c>
      <c r="J4930" t="s">
        <v>23</v>
      </c>
      <c r="K4930">
        <v>3438.55</v>
      </c>
    </row>
    <row r="4931" spans="1:11">
      <c r="A4931">
        <v>4930</v>
      </c>
      <c r="B4931" t="s">
        <v>109</v>
      </c>
      <c r="C4931" s="1">
        <v>20455</v>
      </c>
      <c r="D4931">
        <v>70</v>
      </c>
      <c r="E4931" t="s">
        <v>12</v>
      </c>
      <c r="F4931" t="s">
        <v>18</v>
      </c>
      <c r="G4931" s="1">
        <v>45556</v>
      </c>
      <c r="H4931" s="1">
        <v>45550</v>
      </c>
      <c r="I4931">
        <v>39</v>
      </c>
      <c r="J4931" t="s">
        <v>23</v>
      </c>
      <c r="K4931">
        <v>3994.86</v>
      </c>
    </row>
    <row r="4932" spans="1:11">
      <c r="A4932">
        <v>4931</v>
      </c>
      <c r="B4932" t="s">
        <v>118</v>
      </c>
      <c r="C4932" s="1">
        <v>12785</v>
      </c>
      <c r="D4932">
        <v>91</v>
      </c>
      <c r="E4932" t="s">
        <v>12</v>
      </c>
      <c r="F4932" t="s">
        <v>16</v>
      </c>
      <c r="G4932" s="1">
        <v>44992</v>
      </c>
      <c r="H4932" s="1">
        <v>45581</v>
      </c>
      <c r="I4932">
        <v>4</v>
      </c>
      <c r="J4932" t="s">
        <v>25</v>
      </c>
      <c r="K4932">
        <v>15356.03</v>
      </c>
    </row>
    <row r="4933" spans="1:11">
      <c r="A4933">
        <v>4932</v>
      </c>
      <c r="B4933" t="s">
        <v>137</v>
      </c>
      <c r="C4933" s="1">
        <v>43100</v>
      </c>
      <c r="D4933">
        <v>8</v>
      </c>
      <c r="E4933" t="s">
        <v>12</v>
      </c>
      <c r="F4933" t="s">
        <v>21</v>
      </c>
      <c r="G4933" s="1">
        <v>45436</v>
      </c>
      <c r="H4933" s="1">
        <v>45143</v>
      </c>
      <c r="I4933">
        <v>1</v>
      </c>
      <c r="J4933" t="s">
        <v>23</v>
      </c>
      <c r="K4933">
        <v>8181.88</v>
      </c>
    </row>
    <row r="4934" spans="1:11">
      <c r="A4934">
        <v>4933</v>
      </c>
      <c r="B4934" t="s">
        <v>69</v>
      </c>
      <c r="C4934" s="1">
        <v>12785</v>
      </c>
      <c r="D4934">
        <v>91</v>
      </c>
      <c r="E4934" t="s">
        <v>15</v>
      </c>
      <c r="F4934" t="s">
        <v>32</v>
      </c>
      <c r="G4934" s="1">
        <v>45297</v>
      </c>
      <c r="H4934" s="1">
        <v>45455</v>
      </c>
      <c r="I4934">
        <v>13</v>
      </c>
      <c r="J4934" t="s">
        <v>23</v>
      </c>
      <c r="K4934">
        <v>8044.1</v>
      </c>
    </row>
    <row r="4935" spans="1:11">
      <c r="A4935">
        <v>4934</v>
      </c>
      <c r="B4935" t="s">
        <v>97</v>
      </c>
      <c r="C4935" s="1">
        <v>44196</v>
      </c>
      <c r="D4935">
        <v>5</v>
      </c>
      <c r="E4935" t="s">
        <v>12</v>
      </c>
      <c r="F4935" t="s">
        <v>18</v>
      </c>
      <c r="G4935" s="1">
        <v>45213</v>
      </c>
      <c r="H4935" s="1">
        <v>45493</v>
      </c>
      <c r="I4935">
        <v>3</v>
      </c>
      <c r="K4935">
        <v>19328.79</v>
      </c>
    </row>
    <row r="4936" spans="1:11">
      <c r="A4936">
        <v>4935</v>
      </c>
      <c r="B4936" t="s">
        <v>72</v>
      </c>
      <c r="C4936" s="1">
        <v>35795</v>
      </c>
      <c r="D4936">
        <v>28</v>
      </c>
      <c r="E4936" t="s">
        <v>15</v>
      </c>
      <c r="F4936" t="s">
        <v>32</v>
      </c>
      <c r="G4936" s="1">
        <v>45102</v>
      </c>
      <c r="H4936" s="1">
        <v>45580</v>
      </c>
      <c r="I4936">
        <v>17</v>
      </c>
      <c r="J4936" t="s">
        <v>25</v>
      </c>
      <c r="K4936">
        <v>8878.7099999999991</v>
      </c>
    </row>
    <row r="4937" spans="1:11">
      <c r="A4937">
        <v>4936</v>
      </c>
      <c r="B4937" t="s">
        <v>62</v>
      </c>
      <c r="C4937" s="1">
        <v>25203</v>
      </c>
      <c r="D4937">
        <v>57</v>
      </c>
      <c r="E4937" t="s">
        <v>12</v>
      </c>
      <c r="F4937" t="s">
        <v>16</v>
      </c>
      <c r="G4937" s="1">
        <v>45049</v>
      </c>
      <c r="H4937" s="1">
        <v>45307</v>
      </c>
      <c r="I4937">
        <v>28</v>
      </c>
      <c r="K4937">
        <v>18545.93</v>
      </c>
    </row>
    <row r="4938" spans="1:11">
      <c r="A4938">
        <v>4937</v>
      </c>
      <c r="B4938" t="s">
        <v>166</v>
      </c>
      <c r="C4938" s="1">
        <v>40178</v>
      </c>
      <c r="D4938">
        <v>16</v>
      </c>
      <c r="E4938" t="s">
        <v>15</v>
      </c>
      <c r="F4938" t="s">
        <v>45</v>
      </c>
      <c r="G4938" s="1">
        <v>45157</v>
      </c>
      <c r="H4938" s="1">
        <v>45775</v>
      </c>
      <c r="I4938">
        <v>16</v>
      </c>
      <c r="J4938" t="s">
        <v>25</v>
      </c>
      <c r="K4938">
        <v>5911.17</v>
      </c>
    </row>
    <row r="4939" spans="1:11">
      <c r="A4939">
        <v>4938</v>
      </c>
      <c r="B4939" t="s">
        <v>86</v>
      </c>
      <c r="C4939" s="1">
        <v>40544</v>
      </c>
      <c r="D4939">
        <v>15</v>
      </c>
      <c r="E4939" t="s">
        <v>12</v>
      </c>
      <c r="F4939" t="s">
        <v>16</v>
      </c>
      <c r="G4939" s="1">
        <v>45481</v>
      </c>
      <c r="H4939" s="1">
        <v>45006</v>
      </c>
      <c r="I4939">
        <v>19</v>
      </c>
      <c r="J4939" t="s">
        <v>25</v>
      </c>
      <c r="K4939">
        <v>7952.59</v>
      </c>
    </row>
    <row r="4940" spans="1:11">
      <c r="A4940">
        <v>4939</v>
      </c>
      <c r="B4940" t="s">
        <v>89</v>
      </c>
      <c r="C4940" s="1">
        <v>14611</v>
      </c>
      <c r="D4940">
        <v>86</v>
      </c>
      <c r="E4940" t="s">
        <v>15</v>
      </c>
      <c r="F4940" t="s">
        <v>21</v>
      </c>
      <c r="G4940" s="1">
        <v>44930</v>
      </c>
      <c r="H4940" s="1">
        <v>45342</v>
      </c>
      <c r="I4940">
        <v>18</v>
      </c>
      <c r="J4940" t="s">
        <v>19</v>
      </c>
      <c r="K4940">
        <v>7865.3</v>
      </c>
    </row>
    <row r="4941" spans="1:11">
      <c r="A4941">
        <v>4940</v>
      </c>
      <c r="B4941" t="s">
        <v>75</v>
      </c>
      <c r="C4941" s="1">
        <v>11689</v>
      </c>
      <c r="D4941">
        <v>94</v>
      </c>
      <c r="E4941" t="s">
        <v>12</v>
      </c>
      <c r="F4941" t="s">
        <v>32</v>
      </c>
      <c r="G4941" s="1">
        <v>45628</v>
      </c>
      <c r="H4941" s="1">
        <v>45380</v>
      </c>
      <c r="I4941">
        <v>15</v>
      </c>
      <c r="J4941" t="s">
        <v>19</v>
      </c>
      <c r="K4941">
        <v>10876.18</v>
      </c>
    </row>
    <row r="4942" spans="1:11">
      <c r="A4942">
        <v>4941</v>
      </c>
      <c r="B4942" t="s">
        <v>141</v>
      </c>
      <c r="C4942" s="1">
        <v>45292</v>
      </c>
      <c r="D4942">
        <v>2</v>
      </c>
      <c r="E4942" t="s">
        <v>15</v>
      </c>
      <c r="F4942" t="s">
        <v>45</v>
      </c>
      <c r="G4942" s="1">
        <v>45338</v>
      </c>
      <c r="H4942" s="1">
        <v>45076</v>
      </c>
      <c r="I4942">
        <v>29</v>
      </c>
      <c r="J4942" t="s">
        <v>23</v>
      </c>
      <c r="K4942">
        <v>11643.37</v>
      </c>
    </row>
    <row r="4943" spans="1:11">
      <c r="A4943">
        <v>4942</v>
      </c>
      <c r="B4943" t="s">
        <v>90</v>
      </c>
      <c r="C4943" s="1">
        <v>38717</v>
      </c>
      <c r="D4943">
        <v>20</v>
      </c>
      <c r="E4943" t="s">
        <v>12</v>
      </c>
      <c r="F4943" t="s">
        <v>21</v>
      </c>
      <c r="G4943" s="1">
        <v>45176</v>
      </c>
      <c r="H4943" s="1">
        <v>45566</v>
      </c>
      <c r="I4943">
        <v>31</v>
      </c>
      <c r="J4943" t="s">
        <v>25</v>
      </c>
      <c r="K4943">
        <v>4887.3100000000004</v>
      </c>
    </row>
    <row r="4944" spans="1:11">
      <c r="A4944">
        <v>4943</v>
      </c>
      <c r="B4944" t="s">
        <v>154</v>
      </c>
      <c r="C4944" s="1">
        <v>23012</v>
      </c>
      <c r="E4944" t="s">
        <v>12</v>
      </c>
      <c r="F4944" t="s">
        <v>32</v>
      </c>
      <c r="G4944" s="1">
        <v>45582</v>
      </c>
      <c r="H4944" s="1">
        <v>45597</v>
      </c>
      <c r="I4944">
        <v>24</v>
      </c>
      <c r="J4944" t="s">
        <v>23</v>
      </c>
      <c r="K4944">
        <v>15851.04</v>
      </c>
    </row>
    <row r="4945" spans="1:11">
      <c r="A4945">
        <v>4944</v>
      </c>
      <c r="B4945" t="s">
        <v>42</v>
      </c>
      <c r="C4945" s="1">
        <v>13515</v>
      </c>
      <c r="D4945">
        <v>89</v>
      </c>
      <c r="E4945" t="s">
        <v>15</v>
      </c>
      <c r="F4945" t="s">
        <v>32</v>
      </c>
      <c r="G4945" s="1">
        <v>45413</v>
      </c>
      <c r="H4945" s="1">
        <v>45718</v>
      </c>
      <c r="I4945">
        <v>35</v>
      </c>
      <c r="K4945">
        <v>9880.17</v>
      </c>
    </row>
    <row r="4946" spans="1:11">
      <c r="A4946">
        <v>4945</v>
      </c>
      <c r="B4946" t="s">
        <v>68</v>
      </c>
      <c r="C4946" s="1">
        <v>33239</v>
      </c>
      <c r="D4946">
        <v>35</v>
      </c>
      <c r="E4946" t="s">
        <v>12</v>
      </c>
      <c r="F4946" t="s">
        <v>16</v>
      </c>
      <c r="G4946" s="1">
        <v>45271</v>
      </c>
      <c r="H4946" s="1">
        <v>44965</v>
      </c>
      <c r="I4946">
        <v>27</v>
      </c>
      <c r="J4946" t="s">
        <v>23</v>
      </c>
      <c r="K4946">
        <v>41.58</v>
      </c>
    </row>
    <row r="4947" spans="1:11">
      <c r="A4947">
        <v>4946</v>
      </c>
      <c r="B4947" t="s">
        <v>20</v>
      </c>
      <c r="C4947" s="1">
        <v>14976</v>
      </c>
      <c r="D4947">
        <v>85</v>
      </c>
      <c r="E4947" t="s">
        <v>12</v>
      </c>
      <c r="G4947" s="1">
        <v>45259</v>
      </c>
      <c r="H4947" s="1">
        <v>45084</v>
      </c>
      <c r="I4947">
        <v>30</v>
      </c>
      <c r="K4947">
        <v>11785.95</v>
      </c>
    </row>
    <row r="4948" spans="1:11">
      <c r="A4948">
        <v>4947</v>
      </c>
      <c r="B4948" t="s">
        <v>113</v>
      </c>
      <c r="C4948" s="1">
        <v>23742</v>
      </c>
      <c r="D4948">
        <v>61</v>
      </c>
      <c r="E4948" t="s">
        <v>15</v>
      </c>
      <c r="F4948" t="s">
        <v>32</v>
      </c>
      <c r="G4948" s="1">
        <v>45379</v>
      </c>
      <c r="H4948" s="1">
        <v>45260</v>
      </c>
      <c r="I4948">
        <v>24</v>
      </c>
      <c r="J4948" t="s">
        <v>19</v>
      </c>
      <c r="K4948">
        <v>15940.99</v>
      </c>
    </row>
    <row r="4949" spans="1:11">
      <c r="A4949">
        <v>4948</v>
      </c>
      <c r="B4949" t="s">
        <v>77</v>
      </c>
      <c r="C4949" s="1">
        <v>31047</v>
      </c>
      <c r="D4949">
        <v>41</v>
      </c>
      <c r="E4949" t="s">
        <v>12</v>
      </c>
      <c r="F4949" t="s">
        <v>32</v>
      </c>
      <c r="G4949" s="1">
        <v>45084</v>
      </c>
      <c r="H4949" s="1">
        <v>45215</v>
      </c>
      <c r="I4949">
        <v>20</v>
      </c>
      <c r="J4949" t="s">
        <v>19</v>
      </c>
      <c r="K4949">
        <v>4934.38</v>
      </c>
    </row>
    <row r="4950" spans="1:11">
      <c r="A4950">
        <v>4949</v>
      </c>
      <c r="B4950" t="s">
        <v>46</v>
      </c>
      <c r="C4950" s="1">
        <v>18629</v>
      </c>
      <c r="D4950">
        <v>75</v>
      </c>
      <c r="E4950" t="s">
        <v>12</v>
      </c>
      <c r="F4950" t="s">
        <v>13</v>
      </c>
      <c r="G4950" s="1">
        <v>45503</v>
      </c>
      <c r="H4950" s="1">
        <v>45039</v>
      </c>
      <c r="I4950">
        <v>16</v>
      </c>
      <c r="K4950">
        <v>661.21</v>
      </c>
    </row>
    <row r="4951" spans="1:11">
      <c r="A4951">
        <v>4950</v>
      </c>
      <c r="B4951" t="s">
        <v>27</v>
      </c>
      <c r="C4951" s="1">
        <v>31047</v>
      </c>
      <c r="D4951">
        <v>41</v>
      </c>
      <c r="E4951" t="s">
        <v>12</v>
      </c>
      <c r="G4951" s="1">
        <v>45196</v>
      </c>
      <c r="H4951" s="1">
        <v>45629</v>
      </c>
      <c r="I4951">
        <v>28</v>
      </c>
      <c r="K4951">
        <v>16124.29</v>
      </c>
    </row>
    <row r="4952" spans="1:11">
      <c r="A4952">
        <v>4951</v>
      </c>
      <c r="B4952" t="s">
        <v>105</v>
      </c>
      <c r="C4952" s="1">
        <v>24107</v>
      </c>
      <c r="D4952">
        <v>60</v>
      </c>
      <c r="E4952" t="s">
        <v>15</v>
      </c>
      <c r="F4952" t="s">
        <v>32</v>
      </c>
      <c r="G4952" s="1">
        <v>45513</v>
      </c>
      <c r="H4952" s="1">
        <v>45545</v>
      </c>
      <c r="I4952">
        <v>1</v>
      </c>
      <c r="K4952">
        <v>19523.16</v>
      </c>
    </row>
    <row r="4953" spans="1:11">
      <c r="A4953">
        <v>4952</v>
      </c>
      <c r="B4953" t="s">
        <v>83</v>
      </c>
      <c r="C4953" s="1">
        <v>41639</v>
      </c>
      <c r="D4953">
        <v>12</v>
      </c>
      <c r="E4953" t="s">
        <v>15</v>
      </c>
      <c r="F4953" t="s">
        <v>16</v>
      </c>
      <c r="G4953" s="1">
        <v>45344</v>
      </c>
      <c r="H4953" s="1">
        <v>45018</v>
      </c>
      <c r="I4953">
        <v>16</v>
      </c>
      <c r="J4953" t="s">
        <v>23</v>
      </c>
      <c r="K4953">
        <v>1438.93</v>
      </c>
    </row>
    <row r="4954" spans="1:11">
      <c r="A4954">
        <v>4953</v>
      </c>
      <c r="B4954" t="s">
        <v>56</v>
      </c>
      <c r="C4954" s="1">
        <v>42370</v>
      </c>
      <c r="D4954">
        <v>10</v>
      </c>
      <c r="E4954" t="s">
        <v>12</v>
      </c>
      <c r="F4954" t="s">
        <v>13</v>
      </c>
      <c r="G4954" s="1">
        <v>45366</v>
      </c>
      <c r="H4954" s="1">
        <v>45793</v>
      </c>
      <c r="I4954">
        <v>35</v>
      </c>
      <c r="K4954">
        <v>18754.54</v>
      </c>
    </row>
    <row r="4955" spans="1:11">
      <c r="A4955">
        <v>4954</v>
      </c>
      <c r="B4955" t="s">
        <v>22</v>
      </c>
      <c r="C4955" s="1">
        <v>26664</v>
      </c>
      <c r="D4955">
        <v>53</v>
      </c>
      <c r="E4955" t="s">
        <v>15</v>
      </c>
      <c r="F4955" t="s">
        <v>13</v>
      </c>
      <c r="G4955" s="1">
        <v>44955</v>
      </c>
      <c r="H4955" s="1">
        <v>45740</v>
      </c>
      <c r="I4955">
        <v>37</v>
      </c>
      <c r="J4955" t="s">
        <v>25</v>
      </c>
      <c r="K4955">
        <v>7121.42</v>
      </c>
    </row>
    <row r="4956" spans="1:11">
      <c r="A4956">
        <v>4955</v>
      </c>
      <c r="B4956" t="s">
        <v>148</v>
      </c>
      <c r="C4956" s="1">
        <v>40544</v>
      </c>
      <c r="D4956">
        <v>15</v>
      </c>
      <c r="E4956" t="s">
        <v>12</v>
      </c>
      <c r="F4956" t="s">
        <v>45</v>
      </c>
      <c r="G4956" s="1">
        <v>45261</v>
      </c>
      <c r="H4956" s="1">
        <v>44976</v>
      </c>
      <c r="I4956">
        <v>19</v>
      </c>
      <c r="K4956">
        <v>18822.939999999999</v>
      </c>
    </row>
    <row r="4957" spans="1:11">
      <c r="A4957">
        <v>4956</v>
      </c>
      <c r="B4957" t="s">
        <v>67</v>
      </c>
      <c r="C4957" s="1">
        <v>43466</v>
      </c>
      <c r="D4957">
        <v>7</v>
      </c>
      <c r="E4957" t="s">
        <v>15</v>
      </c>
      <c r="F4957" t="s">
        <v>21</v>
      </c>
      <c r="G4957" s="1">
        <v>45164</v>
      </c>
      <c r="H4957" s="1">
        <v>45088</v>
      </c>
      <c r="I4957">
        <v>6</v>
      </c>
      <c r="J4957" t="s">
        <v>19</v>
      </c>
      <c r="K4957">
        <v>12941.67</v>
      </c>
    </row>
    <row r="4958" spans="1:11">
      <c r="A4958">
        <v>4957</v>
      </c>
      <c r="B4958" t="s">
        <v>131</v>
      </c>
      <c r="C4958" s="1">
        <v>24838</v>
      </c>
      <c r="D4958">
        <v>58</v>
      </c>
      <c r="E4958" t="s">
        <v>15</v>
      </c>
      <c r="F4958" t="s">
        <v>13</v>
      </c>
      <c r="G4958" s="1">
        <v>45079</v>
      </c>
      <c r="H4958" s="1">
        <v>45443</v>
      </c>
      <c r="I4958">
        <v>28</v>
      </c>
      <c r="K4958">
        <v>17793.91</v>
      </c>
    </row>
    <row r="4959" spans="1:11">
      <c r="A4959">
        <v>4958</v>
      </c>
      <c r="B4959" t="s">
        <v>73</v>
      </c>
      <c r="C4959" s="1">
        <v>25568</v>
      </c>
      <c r="D4959">
        <v>56</v>
      </c>
      <c r="E4959" t="s">
        <v>12</v>
      </c>
      <c r="F4959" t="s">
        <v>18</v>
      </c>
      <c r="G4959" s="1">
        <v>45532</v>
      </c>
      <c r="H4959" s="1">
        <v>45329</v>
      </c>
      <c r="I4959">
        <v>7</v>
      </c>
      <c r="J4959" t="s">
        <v>19</v>
      </c>
      <c r="K4959">
        <v>15695.24</v>
      </c>
    </row>
    <row r="4960" spans="1:11">
      <c r="A4960">
        <v>4959</v>
      </c>
      <c r="B4960" t="s">
        <v>139</v>
      </c>
      <c r="C4960" s="1">
        <v>31778</v>
      </c>
      <c r="D4960">
        <v>39</v>
      </c>
      <c r="E4960" t="s">
        <v>12</v>
      </c>
      <c r="F4960" t="s">
        <v>13</v>
      </c>
      <c r="G4960" s="1">
        <v>45041</v>
      </c>
      <c r="H4960" s="1">
        <v>45637</v>
      </c>
      <c r="I4960">
        <v>7</v>
      </c>
      <c r="J4960" t="s">
        <v>19</v>
      </c>
      <c r="K4960">
        <v>462.75</v>
      </c>
    </row>
    <row r="4961" spans="1:11">
      <c r="A4961">
        <v>4960</v>
      </c>
      <c r="B4961" t="s">
        <v>54</v>
      </c>
      <c r="C4961" s="1">
        <v>24838</v>
      </c>
      <c r="D4961">
        <v>58</v>
      </c>
      <c r="E4961" t="s">
        <v>12</v>
      </c>
      <c r="F4961" t="s">
        <v>18</v>
      </c>
      <c r="G4961" s="1">
        <v>45325</v>
      </c>
      <c r="H4961" s="1">
        <v>45247</v>
      </c>
      <c r="I4961">
        <v>27</v>
      </c>
      <c r="J4961" t="s">
        <v>23</v>
      </c>
      <c r="K4961">
        <v>1215.3900000000001</v>
      </c>
    </row>
    <row r="4962" spans="1:11">
      <c r="A4962">
        <v>4961</v>
      </c>
      <c r="B4962" t="s">
        <v>120</v>
      </c>
      <c r="C4962" s="1">
        <v>45657</v>
      </c>
      <c r="D4962">
        <v>1</v>
      </c>
      <c r="E4962" t="s">
        <v>15</v>
      </c>
      <c r="G4962" s="1">
        <v>44958</v>
      </c>
      <c r="H4962" s="1">
        <v>45291</v>
      </c>
      <c r="I4962">
        <v>7</v>
      </c>
      <c r="K4962">
        <v>10467.469999999999</v>
      </c>
    </row>
    <row r="4963" spans="1:11">
      <c r="A4963">
        <v>4962</v>
      </c>
      <c r="B4963" t="s">
        <v>126</v>
      </c>
      <c r="C4963" s="1">
        <v>12054</v>
      </c>
      <c r="D4963">
        <v>93</v>
      </c>
      <c r="E4963" t="s">
        <v>15</v>
      </c>
      <c r="F4963" t="s">
        <v>45</v>
      </c>
      <c r="G4963" s="1">
        <v>45458</v>
      </c>
      <c r="H4963" s="1">
        <v>45816</v>
      </c>
      <c r="I4963">
        <v>33</v>
      </c>
      <c r="J4963" t="s">
        <v>19</v>
      </c>
      <c r="K4963">
        <v>2505.34</v>
      </c>
    </row>
    <row r="4964" spans="1:11">
      <c r="A4964">
        <v>4963</v>
      </c>
      <c r="B4964" t="s">
        <v>43</v>
      </c>
      <c r="C4964" s="1">
        <v>12054</v>
      </c>
      <c r="D4964">
        <v>93</v>
      </c>
      <c r="E4964" t="s">
        <v>15</v>
      </c>
      <c r="F4964" t="s">
        <v>18</v>
      </c>
      <c r="G4964" s="1">
        <v>44979</v>
      </c>
      <c r="H4964" s="1">
        <v>45369</v>
      </c>
      <c r="I4964">
        <v>15</v>
      </c>
      <c r="J4964" t="s">
        <v>25</v>
      </c>
      <c r="K4964">
        <v>9166.7900000000009</v>
      </c>
    </row>
    <row r="4965" spans="1:11">
      <c r="A4965">
        <v>4964</v>
      </c>
      <c r="B4965" t="s">
        <v>144</v>
      </c>
      <c r="C4965" s="1">
        <v>18629</v>
      </c>
      <c r="D4965">
        <v>75</v>
      </c>
      <c r="E4965" t="s">
        <v>12</v>
      </c>
      <c r="F4965" t="s">
        <v>45</v>
      </c>
      <c r="G4965" s="1">
        <v>45644</v>
      </c>
      <c r="H4965" s="1">
        <v>45402</v>
      </c>
      <c r="I4965">
        <v>16</v>
      </c>
      <c r="K4965">
        <v>19088.07</v>
      </c>
    </row>
    <row r="4966" spans="1:11">
      <c r="A4966">
        <v>4965</v>
      </c>
      <c r="B4966" t="s">
        <v>119</v>
      </c>
      <c r="C4966" s="1">
        <v>42735</v>
      </c>
      <c r="E4966" t="s">
        <v>12</v>
      </c>
      <c r="F4966" t="s">
        <v>45</v>
      </c>
      <c r="G4966" s="1">
        <v>45121</v>
      </c>
      <c r="H4966" s="1">
        <v>45693</v>
      </c>
      <c r="I4966">
        <v>20</v>
      </c>
      <c r="K4966">
        <v>5824.62</v>
      </c>
    </row>
    <row r="4967" spans="1:11">
      <c r="A4967">
        <v>4966</v>
      </c>
      <c r="B4967" t="s">
        <v>154</v>
      </c>
      <c r="D4967">
        <v>43</v>
      </c>
      <c r="E4967" t="s">
        <v>12</v>
      </c>
      <c r="F4967" t="s">
        <v>45</v>
      </c>
      <c r="G4967" s="1">
        <v>45231</v>
      </c>
      <c r="H4967" s="1">
        <v>45529</v>
      </c>
      <c r="I4967">
        <v>1</v>
      </c>
      <c r="J4967" t="s">
        <v>19</v>
      </c>
      <c r="K4967">
        <v>9727.15</v>
      </c>
    </row>
    <row r="4968" spans="1:11">
      <c r="A4968">
        <v>4967</v>
      </c>
      <c r="B4968" t="s">
        <v>97</v>
      </c>
      <c r="C4968" s="1">
        <v>42370</v>
      </c>
      <c r="D4968">
        <v>10</v>
      </c>
      <c r="E4968" t="s">
        <v>15</v>
      </c>
      <c r="F4968" t="s">
        <v>18</v>
      </c>
      <c r="G4968" s="1">
        <v>45633</v>
      </c>
      <c r="H4968" s="1">
        <v>45239</v>
      </c>
      <c r="I4968">
        <v>9</v>
      </c>
      <c r="J4968" t="s">
        <v>23</v>
      </c>
      <c r="K4968">
        <v>7623.62</v>
      </c>
    </row>
    <row r="4969" spans="1:11">
      <c r="A4969">
        <v>4968</v>
      </c>
      <c r="B4969" t="s">
        <v>146</v>
      </c>
      <c r="C4969" s="1">
        <v>17533</v>
      </c>
      <c r="D4969">
        <v>78</v>
      </c>
      <c r="E4969" t="s">
        <v>12</v>
      </c>
      <c r="F4969" t="s">
        <v>18</v>
      </c>
      <c r="G4969" s="1">
        <v>45271</v>
      </c>
      <c r="H4969" s="1">
        <v>45459</v>
      </c>
      <c r="I4969">
        <v>21</v>
      </c>
      <c r="J4969" t="s">
        <v>23</v>
      </c>
      <c r="K4969">
        <v>12559.52</v>
      </c>
    </row>
    <row r="4970" spans="1:11">
      <c r="A4970">
        <v>4969</v>
      </c>
      <c r="B4970" t="s">
        <v>107</v>
      </c>
      <c r="C4970" s="1">
        <v>17168</v>
      </c>
      <c r="D4970">
        <v>79</v>
      </c>
      <c r="E4970" t="s">
        <v>15</v>
      </c>
      <c r="F4970" t="s">
        <v>45</v>
      </c>
      <c r="G4970" s="1">
        <v>45008</v>
      </c>
      <c r="H4970" s="1">
        <v>45516</v>
      </c>
      <c r="I4970">
        <v>10</v>
      </c>
      <c r="K4970">
        <v>3796.28</v>
      </c>
    </row>
    <row r="4971" spans="1:11">
      <c r="A4971">
        <v>4970</v>
      </c>
      <c r="B4971" t="s">
        <v>77</v>
      </c>
      <c r="C4971" s="1">
        <v>16802</v>
      </c>
      <c r="D4971">
        <v>80</v>
      </c>
      <c r="E4971" t="s">
        <v>12</v>
      </c>
      <c r="G4971" s="1">
        <v>44927</v>
      </c>
      <c r="H4971" s="1">
        <v>45147</v>
      </c>
      <c r="I4971">
        <v>1</v>
      </c>
      <c r="K4971">
        <v>5124.78</v>
      </c>
    </row>
    <row r="4972" spans="1:11">
      <c r="A4972">
        <v>4971</v>
      </c>
      <c r="B4972" t="s">
        <v>165</v>
      </c>
      <c r="C4972" s="1">
        <v>13515</v>
      </c>
      <c r="D4972">
        <v>89</v>
      </c>
      <c r="E4972" t="s">
        <v>15</v>
      </c>
      <c r="F4972" t="s">
        <v>45</v>
      </c>
      <c r="G4972" s="1">
        <v>45093</v>
      </c>
      <c r="H4972" s="1">
        <v>45601</v>
      </c>
      <c r="I4972">
        <v>24</v>
      </c>
      <c r="J4972" t="s">
        <v>23</v>
      </c>
      <c r="K4972">
        <v>17161.23</v>
      </c>
    </row>
    <row r="4973" spans="1:11">
      <c r="A4973">
        <v>4972</v>
      </c>
      <c r="B4973" t="s">
        <v>145</v>
      </c>
      <c r="C4973" s="1">
        <v>45657</v>
      </c>
      <c r="D4973">
        <v>1</v>
      </c>
      <c r="E4973" t="s">
        <v>12</v>
      </c>
      <c r="G4973" s="1">
        <v>45243</v>
      </c>
      <c r="H4973" s="1">
        <v>45424</v>
      </c>
      <c r="I4973">
        <v>35</v>
      </c>
      <c r="J4973" t="s">
        <v>23</v>
      </c>
      <c r="K4973">
        <v>16207.86</v>
      </c>
    </row>
    <row r="4974" spans="1:11">
      <c r="A4974">
        <v>4973</v>
      </c>
      <c r="B4974" t="s">
        <v>136</v>
      </c>
      <c r="C4974" s="1">
        <v>28125</v>
      </c>
      <c r="D4974">
        <v>49</v>
      </c>
      <c r="E4974" t="s">
        <v>15</v>
      </c>
      <c r="F4974" t="s">
        <v>21</v>
      </c>
      <c r="G4974" s="1">
        <v>45109</v>
      </c>
      <c r="H4974" s="1">
        <v>45270</v>
      </c>
      <c r="I4974">
        <v>36</v>
      </c>
      <c r="J4974" t="s">
        <v>25</v>
      </c>
      <c r="K4974">
        <v>15762.71</v>
      </c>
    </row>
    <row r="4975" spans="1:11">
      <c r="A4975">
        <v>4974</v>
      </c>
      <c r="B4975" t="s">
        <v>159</v>
      </c>
      <c r="C4975" s="1">
        <v>42005</v>
      </c>
      <c r="D4975">
        <v>11</v>
      </c>
      <c r="E4975" t="s">
        <v>15</v>
      </c>
      <c r="G4975" s="1">
        <v>45199</v>
      </c>
      <c r="H4975" s="1">
        <v>45554</v>
      </c>
      <c r="I4975">
        <v>5</v>
      </c>
      <c r="K4975">
        <v>15395.48</v>
      </c>
    </row>
    <row r="4976" spans="1:11">
      <c r="A4976">
        <v>4975</v>
      </c>
      <c r="B4976" t="s">
        <v>28</v>
      </c>
      <c r="C4976" s="1">
        <v>13515</v>
      </c>
      <c r="D4976">
        <v>89</v>
      </c>
      <c r="E4976" t="s">
        <v>15</v>
      </c>
      <c r="G4976" s="1">
        <v>45595</v>
      </c>
      <c r="H4976" s="1">
        <v>45021</v>
      </c>
      <c r="I4976">
        <v>23</v>
      </c>
      <c r="K4976">
        <v>9134.69</v>
      </c>
    </row>
    <row r="4977" spans="1:11">
      <c r="A4977">
        <v>4976</v>
      </c>
      <c r="B4977" t="s">
        <v>57</v>
      </c>
      <c r="C4977" s="1">
        <v>37987</v>
      </c>
      <c r="D4977">
        <v>22</v>
      </c>
      <c r="E4977" t="s">
        <v>15</v>
      </c>
      <c r="G4977" s="1">
        <v>45299</v>
      </c>
      <c r="H4977" s="1">
        <v>45060</v>
      </c>
      <c r="I4977">
        <v>31</v>
      </c>
      <c r="K4977">
        <v>14550.7</v>
      </c>
    </row>
    <row r="4978" spans="1:11">
      <c r="A4978">
        <v>4977</v>
      </c>
      <c r="B4978" t="s">
        <v>85</v>
      </c>
      <c r="C4978" s="1">
        <v>39813</v>
      </c>
      <c r="D4978">
        <v>17</v>
      </c>
      <c r="E4978" t="s">
        <v>15</v>
      </c>
      <c r="F4978" t="s">
        <v>45</v>
      </c>
      <c r="G4978" s="1">
        <v>45288</v>
      </c>
      <c r="H4978" s="1">
        <v>45428</v>
      </c>
      <c r="I4978">
        <v>6</v>
      </c>
      <c r="J4978" t="s">
        <v>23</v>
      </c>
      <c r="K4978">
        <v>7682.82</v>
      </c>
    </row>
    <row r="4979" spans="1:11">
      <c r="A4979">
        <v>4978</v>
      </c>
      <c r="B4979" t="s">
        <v>75</v>
      </c>
      <c r="C4979" s="1">
        <v>23742</v>
      </c>
      <c r="D4979">
        <v>61</v>
      </c>
      <c r="E4979" t="s">
        <v>15</v>
      </c>
      <c r="F4979" t="s">
        <v>32</v>
      </c>
      <c r="G4979" s="1">
        <v>45127</v>
      </c>
      <c r="H4979" s="1">
        <v>45099</v>
      </c>
      <c r="I4979">
        <v>7</v>
      </c>
      <c r="J4979" t="s">
        <v>19</v>
      </c>
      <c r="K4979">
        <v>1924.26</v>
      </c>
    </row>
    <row r="4980" spans="1:11">
      <c r="A4980">
        <v>4979</v>
      </c>
      <c r="B4980" t="s">
        <v>69</v>
      </c>
      <c r="C4980" s="1">
        <v>23742</v>
      </c>
      <c r="D4980">
        <v>61</v>
      </c>
      <c r="E4980" t="s">
        <v>15</v>
      </c>
      <c r="F4980" t="s">
        <v>21</v>
      </c>
      <c r="G4980" s="1">
        <v>45118</v>
      </c>
      <c r="H4980" s="1">
        <v>45553</v>
      </c>
      <c r="I4980">
        <v>-2</v>
      </c>
      <c r="J4980" t="s">
        <v>25</v>
      </c>
      <c r="K4980">
        <v>7806.83</v>
      </c>
    </row>
    <row r="4981" spans="1:11">
      <c r="A4981">
        <v>4980</v>
      </c>
      <c r="B4981" t="s">
        <v>115</v>
      </c>
      <c r="C4981" s="1">
        <v>32508</v>
      </c>
      <c r="D4981">
        <v>37</v>
      </c>
      <c r="E4981" t="s">
        <v>12</v>
      </c>
      <c r="F4981" t="s">
        <v>21</v>
      </c>
      <c r="G4981" s="1">
        <v>45267</v>
      </c>
      <c r="H4981" s="1">
        <v>44936</v>
      </c>
      <c r="I4981">
        <v>5</v>
      </c>
      <c r="J4981" t="s">
        <v>23</v>
      </c>
      <c r="K4981">
        <v>3089.13</v>
      </c>
    </row>
    <row r="4982" spans="1:11">
      <c r="A4982">
        <v>4981</v>
      </c>
      <c r="B4982" t="s">
        <v>24</v>
      </c>
      <c r="C4982" s="1">
        <v>21916</v>
      </c>
      <c r="D4982">
        <v>66</v>
      </c>
      <c r="E4982" t="s">
        <v>15</v>
      </c>
      <c r="F4982" t="s">
        <v>21</v>
      </c>
      <c r="G4982" s="1">
        <v>45225</v>
      </c>
      <c r="H4982" s="1">
        <v>45738</v>
      </c>
      <c r="I4982">
        <v>7</v>
      </c>
      <c r="J4982" t="s">
        <v>23</v>
      </c>
      <c r="K4982">
        <v>7756.12</v>
      </c>
    </row>
    <row r="4983" spans="1:11">
      <c r="A4983">
        <v>4982</v>
      </c>
      <c r="B4983" t="s">
        <v>62</v>
      </c>
      <c r="D4983">
        <v>37</v>
      </c>
      <c r="E4983" t="s">
        <v>12</v>
      </c>
      <c r="F4983" t="s">
        <v>32</v>
      </c>
      <c r="G4983" s="1">
        <v>45432</v>
      </c>
      <c r="H4983" s="1">
        <v>45699</v>
      </c>
      <c r="I4983">
        <v>22</v>
      </c>
      <c r="J4983" t="s">
        <v>25</v>
      </c>
      <c r="K4983">
        <v>5878.25</v>
      </c>
    </row>
    <row r="4984" spans="1:11">
      <c r="A4984">
        <v>4983</v>
      </c>
      <c r="B4984" t="s">
        <v>95</v>
      </c>
      <c r="C4984" s="1">
        <v>21916</v>
      </c>
      <c r="D4984">
        <v>66</v>
      </c>
      <c r="E4984" t="s">
        <v>15</v>
      </c>
      <c r="F4984" t="s">
        <v>21</v>
      </c>
      <c r="G4984" s="1">
        <v>45514</v>
      </c>
      <c r="H4984" s="1">
        <v>45609</v>
      </c>
      <c r="I4984">
        <v>28</v>
      </c>
      <c r="K4984">
        <v>11943.13</v>
      </c>
    </row>
    <row r="4985" spans="1:11">
      <c r="A4985">
        <v>4984</v>
      </c>
      <c r="B4985" t="s">
        <v>171</v>
      </c>
      <c r="C4985" s="1">
        <v>12054</v>
      </c>
      <c r="D4985">
        <v>93</v>
      </c>
      <c r="E4985" t="s">
        <v>12</v>
      </c>
      <c r="F4985" t="s">
        <v>21</v>
      </c>
      <c r="G4985" s="1">
        <v>45066</v>
      </c>
      <c r="H4985" s="1">
        <v>45248</v>
      </c>
      <c r="I4985">
        <v>36</v>
      </c>
      <c r="J4985" t="s">
        <v>19</v>
      </c>
      <c r="K4985">
        <v>7166.96</v>
      </c>
    </row>
    <row r="4986" spans="1:11">
      <c r="A4986">
        <v>4985</v>
      </c>
      <c r="B4986" t="s">
        <v>34</v>
      </c>
      <c r="C4986" s="1">
        <v>24107</v>
      </c>
      <c r="D4986">
        <v>60</v>
      </c>
      <c r="E4986" t="s">
        <v>12</v>
      </c>
      <c r="F4986" t="s">
        <v>18</v>
      </c>
      <c r="G4986" s="1">
        <v>45232</v>
      </c>
      <c r="H4986" s="1">
        <v>45025</v>
      </c>
      <c r="I4986">
        <v>0</v>
      </c>
      <c r="J4986" t="s">
        <v>25</v>
      </c>
      <c r="K4986">
        <v>14082.35</v>
      </c>
    </row>
    <row r="4987" spans="1:11">
      <c r="A4987">
        <v>4986</v>
      </c>
      <c r="B4987" t="s">
        <v>88</v>
      </c>
      <c r="C4987" s="1">
        <v>46022</v>
      </c>
      <c r="D4987">
        <v>0</v>
      </c>
      <c r="E4987" t="s">
        <v>15</v>
      </c>
      <c r="F4987" t="s">
        <v>16</v>
      </c>
      <c r="G4987" s="1">
        <v>45122</v>
      </c>
      <c r="H4987" s="1">
        <v>45096</v>
      </c>
      <c r="I4987">
        <v>36</v>
      </c>
      <c r="J4987" t="s">
        <v>19</v>
      </c>
      <c r="K4987">
        <v>10194.15</v>
      </c>
    </row>
    <row r="4988" spans="1:11">
      <c r="A4988">
        <v>4987</v>
      </c>
      <c r="B4988" t="s">
        <v>115</v>
      </c>
      <c r="C4988" s="1">
        <v>12054</v>
      </c>
      <c r="D4988">
        <v>93</v>
      </c>
      <c r="E4988" t="s">
        <v>12</v>
      </c>
      <c r="F4988" t="s">
        <v>18</v>
      </c>
      <c r="G4988" s="1">
        <v>44987</v>
      </c>
      <c r="H4988" s="1">
        <v>45238</v>
      </c>
      <c r="I4988">
        <v>35</v>
      </c>
      <c r="K4988">
        <v>18381.79</v>
      </c>
    </row>
    <row r="4989" spans="1:11">
      <c r="A4989">
        <v>4988</v>
      </c>
      <c r="B4989" t="s">
        <v>92</v>
      </c>
      <c r="C4989" s="1">
        <v>29951</v>
      </c>
      <c r="D4989">
        <v>44</v>
      </c>
      <c r="E4989" t="s">
        <v>15</v>
      </c>
      <c r="F4989" t="s">
        <v>45</v>
      </c>
      <c r="G4989" s="1">
        <v>45286</v>
      </c>
      <c r="H4989" s="1">
        <v>45657</v>
      </c>
      <c r="I4989">
        <v>32</v>
      </c>
      <c r="J4989" t="s">
        <v>19</v>
      </c>
      <c r="K4989">
        <v>1729.61</v>
      </c>
    </row>
    <row r="4990" spans="1:11">
      <c r="A4990">
        <v>4989</v>
      </c>
      <c r="B4990" t="s">
        <v>28</v>
      </c>
      <c r="C4990" s="1">
        <v>36161</v>
      </c>
      <c r="D4990">
        <v>27</v>
      </c>
      <c r="E4990" t="s">
        <v>12</v>
      </c>
      <c r="F4990" t="s">
        <v>45</v>
      </c>
      <c r="G4990" s="1">
        <v>45233</v>
      </c>
      <c r="H4990" s="1">
        <v>45270</v>
      </c>
      <c r="I4990">
        <v>5</v>
      </c>
      <c r="K4990">
        <v>13722.95</v>
      </c>
    </row>
    <row r="4991" spans="1:11">
      <c r="A4991">
        <v>4990</v>
      </c>
      <c r="B4991" t="s">
        <v>69</v>
      </c>
      <c r="C4991" s="1">
        <v>38717</v>
      </c>
      <c r="D4991">
        <v>20</v>
      </c>
      <c r="E4991" t="s">
        <v>12</v>
      </c>
      <c r="G4991" s="1">
        <v>45406</v>
      </c>
      <c r="H4991" s="1">
        <v>45357</v>
      </c>
      <c r="I4991">
        <v>-2</v>
      </c>
      <c r="J4991" t="s">
        <v>23</v>
      </c>
      <c r="K4991">
        <v>13415.18</v>
      </c>
    </row>
    <row r="4992" spans="1:11">
      <c r="A4992">
        <v>4991</v>
      </c>
      <c r="B4992" t="s">
        <v>78</v>
      </c>
      <c r="C4992" s="1">
        <v>41639</v>
      </c>
      <c r="D4992">
        <v>12</v>
      </c>
      <c r="E4992" t="s">
        <v>15</v>
      </c>
      <c r="F4992" t="s">
        <v>13</v>
      </c>
      <c r="G4992" s="1">
        <v>45259</v>
      </c>
      <c r="H4992" s="1">
        <v>45785</v>
      </c>
      <c r="I4992">
        <v>2</v>
      </c>
      <c r="K4992">
        <v>19007.59</v>
      </c>
    </row>
    <row r="4993" spans="1:11">
      <c r="A4993">
        <v>4992</v>
      </c>
      <c r="B4993" t="s">
        <v>121</v>
      </c>
      <c r="C4993" s="1">
        <v>36526</v>
      </c>
      <c r="D4993">
        <v>26</v>
      </c>
      <c r="E4993" t="s">
        <v>15</v>
      </c>
      <c r="F4993" t="s">
        <v>16</v>
      </c>
      <c r="G4993" s="1">
        <v>45009</v>
      </c>
      <c r="H4993" s="1">
        <v>45483</v>
      </c>
      <c r="I4993">
        <v>24</v>
      </c>
      <c r="J4993" t="s">
        <v>25</v>
      </c>
      <c r="K4993">
        <v>7368.19</v>
      </c>
    </row>
    <row r="4994" spans="1:11">
      <c r="A4994">
        <v>4993</v>
      </c>
      <c r="B4994" t="s">
        <v>89</v>
      </c>
      <c r="C4994" s="1">
        <v>43831</v>
      </c>
      <c r="D4994">
        <v>6</v>
      </c>
      <c r="E4994" t="s">
        <v>15</v>
      </c>
      <c r="F4994" t="s">
        <v>32</v>
      </c>
      <c r="G4994" s="1">
        <v>45260</v>
      </c>
      <c r="H4994" s="1">
        <v>45427</v>
      </c>
      <c r="I4994">
        <v>23</v>
      </c>
      <c r="J4994" t="s">
        <v>25</v>
      </c>
      <c r="K4994">
        <v>6039.3</v>
      </c>
    </row>
    <row r="4995" spans="1:11">
      <c r="A4995">
        <v>4994</v>
      </c>
      <c r="B4995" t="s">
        <v>75</v>
      </c>
      <c r="C4995" s="1">
        <v>38352</v>
      </c>
      <c r="D4995">
        <v>21</v>
      </c>
      <c r="E4995" t="s">
        <v>15</v>
      </c>
      <c r="F4995" t="s">
        <v>18</v>
      </c>
      <c r="G4995" s="1">
        <v>45443</v>
      </c>
      <c r="H4995" s="1">
        <v>45700</v>
      </c>
      <c r="I4995">
        <v>23</v>
      </c>
      <c r="K4995">
        <v>3365.11</v>
      </c>
    </row>
    <row r="4996" spans="1:11">
      <c r="A4996">
        <v>4995</v>
      </c>
      <c r="B4996" t="s">
        <v>63</v>
      </c>
      <c r="C4996" s="1">
        <v>19359</v>
      </c>
      <c r="D4996">
        <v>73</v>
      </c>
      <c r="E4996" t="s">
        <v>12</v>
      </c>
      <c r="F4996" t="s">
        <v>45</v>
      </c>
      <c r="G4996" s="1">
        <v>45400</v>
      </c>
      <c r="H4996" s="1">
        <v>45212</v>
      </c>
      <c r="I4996">
        <v>8</v>
      </c>
      <c r="K4996">
        <v>5232.3</v>
      </c>
    </row>
    <row r="4997" spans="1:11">
      <c r="A4997">
        <v>4996</v>
      </c>
      <c r="B4997" t="s">
        <v>70</v>
      </c>
      <c r="C4997" s="1">
        <v>27029</v>
      </c>
      <c r="D4997">
        <v>52</v>
      </c>
      <c r="E4997" t="s">
        <v>15</v>
      </c>
      <c r="F4997" t="s">
        <v>32</v>
      </c>
      <c r="G4997" s="1">
        <v>45320</v>
      </c>
      <c r="H4997" s="1">
        <v>45565</v>
      </c>
      <c r="I4997">
        <v>31</v>
      </c>
      <c r="J4997" t="s">
        <v>23</v>
      </c>
      <c r="K4997">
        <v>9988</v>
      </c>
    </row>
    <row r="4998" spans="1:11">
      <c r="A4998">
        <v>4997</v>
      </c>
      <c r="B4998" t="s">
        <v>155</v>
      </c>
      <c r="C4998" s="1">
        <v>17533</v>
      </c>
      <c r="D4998">
        <v>78</v>
      </c>
      <c r="E4998" t="s">
        <v>15</v>
      </c>
      <c r="F4998" t="s">
        <v>21</v>
      </c>
      <c r="G4998" s="1">
        <v>45526</v>
      </c>
      <c r="H4998" s="1">
        <v>45187</v>
      </c>
      <c r="I4998">
        <v>38</v>
      </c>
      <c r="J4998" t="s">
        <v>23</v>
      </c>
      <c r="K4998">
        <v>16738.03</v>
      </c>
    </row>
    <row r="4999" spans="1:11">
      <c r="A4999">
        <v>4998</v>
      </c>
      <c r="B4999" t="s">
        <v>93</v>
      </c>
      <c r="C4999" s="1">
        <v>17533</v>
      </c>
      <c r="D4999">
        <v>78</v>
      </c>
      <c r="E4999" t="s">
        <v>15</v>
      </c>
      <c r="F4999" t="s">
        <v>32</v>
      </c>
      <c r="G4999" s="1">
        <v>45647</v>
      </c>
      <c r="H4999" s="1">
        <v>45422</v>
      </c>
      <c r="I4999">
        <v>-1</v>
      </c>
      <c r="K4999">
        <v>5614.16</v>
      </c>
    </row>
    <row r="5000" spans="1:11">
      <c r="A5000">
        <v>4999</v>
      </c>
      <c r="B5000" t="s">
        <v>26</v>
      </c>
      <c r="C5000" s="1">
        <v>44927</v>
      </c>
      <c r="D5000">
        <v>3</v>
      </c>
      <c r="E5000" t="s">
        <v>15</v>
      </c>
      <c r="F5000" t="s">
        <v>18</v>
      </c>
      <c r="G5000" s="1">
        <v>45618</v>
      </c>
      <c r="H5000" s="1">
        <v>45282</v>
      </c>
      <c r="I5000">
        <v>18</v>
      </c>
      <c r="J5000" t="s">
        <v>19</v>
      </c>
      <c r="K5000">
        <v>3070.62</v>
      </c>
    </row>
    <row r="5001" spans="1:11">
      <c r="A5001">
        <v>5000</v>
      </c>
      <c r="B5001" t="s">
        <v>79</v>
      </c>
      <c r="C5001" s="1">
        <v>37987</v>
      </c>
      <c r="D5001">
        <v>22</v>
      </c>
      <c r="E5001" t="s">
        <v>15</v>
      </c>
      <c r="F5001" t="s">
        <v>16</v>
      </c>
      <c r="G5001" s="1">
        <v>45646</v>
      </c>
      <c r="H5001" s="1">
        <v>45141</v>
      </c>
      <c r="I5001">
        <v>23</v>
      </c>
      <c r="J5001" t="s">
        <v>23</v>
      </c>
      <c r="K5001">
        <v>5369.78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C90D-3F0D-4250-B5E8-21A455010A7C}">
  <dimension ref="A2:C17"/>
  <sheetViews>
    <sheetView zoomScale="175" zoomScaleNormal="175" workbookViewId="0">
      <selection activeCell="A18" sqref="A18:XFD18"/>
    </sheetView>
  </sheetViews>
  <sheetFormatPr defaultRowHeight="14.4"/>
  <cols>
    <col min="1" max="1" width="21.6640625" bestFit="1" customWidth="1"/>
    <col min="2" max="2" width="33.21875" bestFit="1" customWidth="1"/>
    <col min="3" max="3" width="49.44140625" bestFit="1" customWidth="1"/>
  </cols>
  <sheetData>
    <row r="2" spans="1:3">
      <c r="B2" s="5" t="s">
        <v>371</v>
      </c>
    </row>
    <row r="3" spans="1:3">
      <c r="B3" s="5"/>
    </row>
    <row r="5" spans="1:3">
      <c r="A5" t="s">
        <v>185</v>
      </c>
      <c r="B5" t="s">
        <v>186</v>
      </c>
      <c r="C5" t="s">
        <v>187</v>
      </c>
    </row>
    <row r="6" spans="1:3">
      <c r="A6" t="s">
        <v>2</v>
      </c>
      <c r="B6" t="s">
        <v>172</v>
      </c>
      <c r="C6" t="s">
        <v>173</v>
      </c>
    </row>
    <row r="7" spans="1:3">
      <c r="A7" t="s">
        <v>3</v>
      </c>
      <c r="B7" t="s">
        <v>172</v>
      </c>
      <c r="C7" t="s">
        <v>174</v>
      </c>
    </row>
    <row r="8" spans="1:3">
      <c r="A8" t="s">
        <v>4</v>
      </c>
      <c r="B8" t="s">
        <v>172</v>
      </c>
      <c r="C8" t="s">
        <v>175</v>
      </c>
    </row>
    <row r="9" spans="1:3">
      <c r="A9" t="s">
        <v>5</v>
      </c>
      <c r="B9" t="s">
        <v>172</v>
      </c>
      <c r="C9" t="s">
        <v>176</v>
      </c>
    </row>
    <row r="10" spans="1:3">
      <c r="A10" t="s">
        <v>9</v>
      </c>
      <c r="B10" t="s">
        <v>172</v>
      </c>
      <c r="C10" t="s">
        <v>372</v>
      </c>
    </row>
    <row r="11" spans="1:3">
      <c r="A11" t="s">
        <v>177</v>
      </c>
      <c r="B11" t="s">
        <v>178</v>
      </c>
      <c r="C11" t="s">
        <v>179</v>
      </c>
    </row>
    <row r="12" spans="1:3">
      <c r="A12" t="s">
        <v>8</v>
      </c>
      <c r="B12" t="s">
        <v>180</v>
      </c>
      <c r="C12" t="s">
        <v>181</v>
      </c>
    </row>
    <row r="13" spans="1:3">
      <c r="A13" t="s">
        <v>0</v>
      </c>
      <c r="B13" t="s">
        <v>182</v>
      </c>
      <c r="C13" t="s">
        <v>183</v>
      </c>
    </row>
    <row r="14" spans="1:3">
      <c r="A14" t="s">
        <v>184</v>
      </c>
      <c r="B14" t="s">
        <v>182</v>
      </c>
      <c r="C14" t="s">
        <v>183</v>
      </c>
    </row>
    <row r="15" spans="1:3">
      <c r="A15" t="s">
        <v>214</v>
      </c>
      <c r="B15" t="s">
        <v>215</v>
      </c>
      <c r="C15" t="s">
        <v>216</v>
      </c>
    </row>
    <row r="16" spans="1:3">
      <c r="A16" t="s">
        <v>220</v>
      </c>
      <c r="B16" t="s">
        <v>221</v>
      </c>
      <c r="C16" t="s">
        <v>222</v>
      </c>
    </row>
    <row r="17" spans="1:3">
      <c r="A17" t="s">
        <v>314</v>
      </c>
      <c r="B17" s="2" t="s">
        <v>319</v>
      </c>
      <c r="C17" s="2" t="s">
        <v>320</v>
      </c>
    </row>
  </sheetData>
  <mergeCells count="1">
    <mergeCell ref="B2:B3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8E36-9B59-48B1-8E3F-0ABB8189CDB0}">
  <dimension ref="A2:E16"/>
  <sheetViews>
    <sheetView zoomScale="130" zoomScaleNormal="130" workbookViewId="0">
      <selection activeCell="D15" sqref="D15"/>
    </sheetView>
  </sheetViews>
  <sheetFormatPr defaultRowHeight="14.4"/>
  <cols>
    <col min="1" max="1" width="17.33203125" bestFit="1" customWidth="1"/>
    <col min="2" max="2" width="25.77734375" bestFit="1" customWidth="1"/>
    <col min="3" max="3" width="31.77734375" bestFit="1" customWidth="1"/>
    <col min="4" max="4" width="30.44140625" bestFit="1" customWidth="1"/>
    <col min="5" max="5" width="47.77734375" bestFit="1" customWidth="1"/>
    <col min="6" max="6" width="18.88671875" customWidth="1"/>
  </cols>
  <sheetData>
    <row r="2" spans="1:5">
      <c r="C2" s="5" t="s">
        <v>370</v>
      </c>
    </row>
    <row r="3" spans="1:5">
      <c r="C3" s="5"/>
    </row>
    <row r="5" spans="1:5">
      <c r="A5" t="s">
        <v>185</v>
      </c>
      <c r="B5" t="s">
        <v>188</v>
      </c>
      <c r="C5" t="s">
        <v>189</v>
      </c>
      <c r="D5" t="s">
        <v>190</v>
      </c>
      <c r="E5" t="s">
        <v>191</v>
      </c>
    </row>
    <row r="6" spans="1:5">
      <c r="A6" t="s">
        <v>192</v>
      </c>
      <c r="B6" t="s">
        <v>193</v>
      </c>
      <c r="C6" t="s">
        <v>194</v>
      </c>
      <c r="D6" t="s">
        <v>195</v>
      </c>
      <c r="E6" t="s">
        <v>196</v>
      </c>
    </row>
    <row r="7" spans="1:5">
      <c r="A7" t="s">
        <v>198</v>
      </c>
      <c r="B7" t="s">
        <v>199</v>
      </c>
      <c r="C7" t="s">
        <v>194</v>
      </c>
      <c r="D7" t="s">
        <v>197</v>
      </c>
      <c r="E7" t="s">
        <v>200</v>
      </c>
    </row>
    <row r="8" spans="1:5">
      <c r="A8" t="s">
        <v>369</v>
      </c>
      <c r="B8" t="s">
        <v>199</v>
      </c>
      <c r="C8" t="s">
        <v>194</v>
      </c>
      <c r="D8" t="s">
        <v>204</v>
      </c>
      <c r="E8" t="s">
        <v>205</v>
      </c>
    </row>
    <row r="9" spans="1:5">
      <c r="A9" t="s">
        <v>206</v>
      </c>
      <c r="B9" t="s">
        <v>199</v>
      </c>
      <c r="C9" t="s">
        <v>194</v>
      </c>
      <c r="D9" t="s">
        <v>23</v>
      </c>
      <c r="E9" t="s">
        <v>207</v>
      </c>
    </row>
    <row r="10" spans="1:5">
      <c r="A10" t="s">
        <v>209</v>
      </c>
      <c r="B10" t="s">
        <v>210</v>
      </c>
      <c r="C10" t="s">
        <v>178</v>
      </c>
      <c r="D10" t="s">
        <v>373</v>
      </c>
      <c r="E10" t="s">
        <v>377</v>
      </c>
    </row>
    <row r="11" spans="1:5">
      <c r="A11" t="s">
        <v>211</v>
      </c>
      <c r="B11" t="s">
        <v>212</v>
      </c>
      <c r="C11" t="s">
        <v>213</v>
      </c>
      <c r="D11" t="s">
        <v>379</v>
      </c>
      <c r="E11" t="s">
        <v>378</v>
      </c>
    </row>
    <row r="12" spans="1:5">
      <c r="A12" t="s">
        <v>217</v>
      </c>
      <c r="B12" t="s">
        <v>228</v>
      </c>
      <c r="C12" t="s">
        <v>203</v>
      </c>
      <c r="D12" t="s">
        <v>218</v>
      </c>
      <c r="E12" t="s">
        <v>219</v>
      </c>
    </row>
    <row r="13" spans="1:5">
      <c r="A13" t="s">
        <v>223</v>
      </c>
      <c r="B13" t="s">
        <v>224</v>
      </c>
      <c r="C13" t="s">
        <v>227</v>
      </c>
      <c r="D13" t="s">
        <v>225</v>
      </c>
      <c r="E13" t="s">
        <v>226</v>
      </c>
    </row>
    <row r="14" spans="1:5">
      <c r="A14" s="2" t="s">
        <v>5</v>
      </c>
      <c r="B14" s="2" t="s">
        <v>224</v>
      </c>
      <c r="C14" s="2" t="s">
        <v>229</v>
      </c>
      <c r="D14" s="2" t="s">
        <v>225</v>
      </c>
      <c r="E14" s="2" t="s">
        <v>226</v>
      </c>
    </row>
    <row r="15" spans="1:5">
      <c r="A15" t="s">
        <v>314</v>
      </c>
      <c r="B15" t="s">
        <v>315</v>
      </c>
      <c r="C15" t="s">
        <v>316</v>
      </c>
      <c r="D15" t="s">
        <v>317</v>
      </c>
      <c r="E15" t="s">
        <v>318</v>
      </c>
    </row>
    <row r="16" spans="1:5">
      <c r="A16" t="s">
        <v>184</v>
      </c>
      <c r="B16" t="s">
        <v>321</v>
      </c>
      <c r="C16" t="s">
        <v>322</v>
      </c>
      <c r="D16" t="s">
        <v>323</v>
      </c>
      <c r="E16" t="s">
        <v>324</v>
      </c>
    </row>
  </sheetData>
  <mergeCells count="1">
    <mergeCell ref="C2:C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2CB1-65EF-4B3A-A1BA-F5A5B97DB8DB}">
  <dimension ref="A1:O5002"/>
  <sheetViews>
    <sheetView tabSelected="1" zoomScale="85" zoomScaleNormal="85" workbookViewId="0">
      <selection activeCell="J6" sqref="J6"/>
    </sheetView>
  </sheetViews>
  <sheetFormatPr defaultRowHeight="14.4"/>
  <cols>
    <col min="1" max="1" width="12" customWidth="1"/>
    <col min="2" max="2" width="17.88671875" customWidth="1"/>
    <col min="3" max="3" width="17.6640625" customWidth="1"/>
    <col min="4" max="4" width="14.21875" customWidth="1"/>
    <col min="5" max="5" width="14.77734375" style="4" bestFit="1" customWidth="1"/>
    <col min="6" max="6" width="13.5546875" bestFit="1" customWidth="1"/>
    <col min="7" max="7" width="13.88671875" customWidth="1"/>
    <col min="8" max="8" width="11.21875" customWidth="1"/>
    <col min="9" max="9" width="19.77734375" customWidth="1"/>
    <col min="10" max="10" width="14.6640625" customWidth="1"/>
    <col min="11" max="11" width="19.88671875" customWidth="1"/>
    <col min="12" max="12" width="18.77734375" hidden="1" customWidth="1"/>
    <col min="13" max="13" width="15.33203125" customWidth="1"/>
    <col min="15" max="15" width="1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208</v>
      </c>
      <c r="M1" t="s">
        <v>374</v>
      </c>
      <c r="N1" s="2" t="s">
        <v>375</v>
      </c>
      <c r="O1" t="s">
        <v>376</v>
      </c>
    </row>
    <row r="2" spans="1:15">
      <c r="A2">
        <v>1</v>
      </c>
      <c r="B2" t="s">
        <v>240</v>
      </c>
      <c r="C2" s="1">
        <v>27395</v>
      </c>
      <c r="D2">
        <v>51</v>
      </c>
      <c r="E2" s="4" t="s">
        <v>12</v>
      </c>
      <c r="F2" t="s">
        <v>13</v>
      </c>
      <c r="G2" s="1">
        <v>45634</v>
      </c>
      <c r="H2" s="1">
        <f>TablaDatos[[#This Row],[FechaIngreso]]+TablaDatos[[#This Row],[DiasNuevo]]</f>
        <v>45639</v>
      </c>
      <c r="I2">
        <v>5</v>
      </c>
      <c r="J2" t="s">
        <v>23</v>
      </c>
      <c r="K2" s="3">
        <v>16301.13</v>
      </c>
      <c r="L2" t="b">
        <f>TablaDatos[[#This Row],[FechaAlta]] &lt; TablaDatos[[#This Row],[FechaIngreso]]</f>
        <v>0</v>
      </c>
      <c r="M2">
        <f>_xlfn.XLOOKUP(TablaDatos[[#This Row],[PacienteID]],'Datos_Ejemplo.csv'!A:A,'Datos_Ejemplo.csv'!I:I)</f>
        <v>5</v>
      </c>
      <c r="N2">
        <f>ABS(TablaDatos[[#This Row],[DiasOriginal]])</f>
        <v>5</v>
      </c>
      <c r="O2" s="1">
        <f>TablaDatos[[#This Row],[FechaIngreso]]+TablaDatos[[#This Row],[DiasNuevo]]</f>
        <v>45639</v>
      </c>
    </row>
    <row r="3" spans="1:15">
      <c r="A3">
        <v>2</v>
      </c>
      <c r="B3" t="s">
        <v>297</v>
      </c>
      <c r="C3" s="1">
        <v>12419</v>
      </c>
      <c r="D3">
        <v>92</v>
      </c>
      <c r="E3" s="4" t="s">
        <v>15</v>
      </c>
      <c r="F3" t="s">
        <v>261</v>
      </c>
      <c r="G3" s="1">
        <v>45585</v>
      </c>
      <c r="H3" s="1">
        <f>TablaDatos[[#This Row],[FechaIngreso]]+TablaDatos[[#This Row],[DiasNuevo]]</f>
        <v>45603</v>
      </c>
      <c r="I3">
        <v>18</v>
      </c>
      <c r="J3" t="s">
        <v>23</v>
      </c>
      <c r="K3" s="3">
        <v>19622.52</v>
      </c>
      <c r="L3" t="b">
        <f>TablaDatos[[#This Row],[FechaAlta]] &lt; TablaDatos[[#This Row],[FechaIngreso]]</f>
        <v>0</v>
      </c>
      <c r="M3">
        <f>_xlfn.XLOOKUP(TablaDatos[[#This Row],[PacienteID]],'Datos_Ejemplo.csv'!A:A,'Datos_Ejemplo.csv'!I:I)</f>
        <v>18</v>
      </c>
      <c r="N3">
        <f>ABS(TablaDatos[[#This Row],[DiasOriginal]])</f>
        <v>18</v>
      </c>
      <c r="O3" s="1">
        <f>TablaDatos[[#This Row],[FechaIngreso]]+TablaDatos[[#This Row],[DiasNuevo]]</f>
        <v>45603</v>
      </c>
    </row>
    <row r="4" spans="1:15">
      <c r="A4">
        <v>3</v>
      </c>
      <c r="B4" t="s">
        <v>287</v>
      </c>
      <c r="C4" s="1">
        <v>40909</v>
      </c>
      <c r="D4">
        <v>14</v>
      </c>
      <c r="E4" s="4" t="s">
        <v>12</v>
      </c>
      <c r="F4" t="s">
        <v>18</v>
      </c>
      <c r="G4" s="1">
        <v>45164</v>
      </c>
      <c r="H4" s="1">
        <f>TablaDatos[[#This Row],[FechaIngreso]]+TablaDatos[[#This Row],[DiasNuevo]]</f>
        <v>45169</v>
      </c>
      <c r="I4">
        <v>5</v>
      </c>
      <c r="J4" t="s">
        <v>19</v>
      </c>
      <c r="K4" s="3">
        <v>13169.22</v>
      </c>
      <c r="L4" t="b">
        <f>TablaDatos[[#This Row],[FechaAlta]] &lt; TablaDatos[[#This Row],[FechaIngreso]]</f>
        <v>0</v>
      </c>
      <c r="M4">
        <f>_xlfn.XLOOKUP(TablaDatos[[#This Row],[PacienteID]],'Datos_Ejemplo.csv'!A:A,'Datos_Ejemplo.csv'!I:I)</f>
        <v>5</v>
      </c>
      <c r="N4">
        <f>ABS(TablaDatos[[#This Row],[DiasOriginal]])</f>
        <v>5</v>
      </c>
      <c r="O4" s="1">
        <f>TablaDatos[[#This Row],[FechaIngreso]]+TablaDatos[[#This Row],[DiasNuevo]]</f>
        <v>45169</v>
      </c>
    </row>
    <row r="5" spans="1:15">
      <c r="A5">
        <v>4</v>
      </c>
      <c r="B5" t="s">
        <v>254</v>
      </c>
      <c r="C5" s="1">
        <v>20090</v>
      </c>
      <c r="D5">
        <v>71</v>
      </c>
      <c r="E5" s="4" t="s">
        <v>15</v>
      </c>
      <c r="F5" t="s">
        <v>21</v>
      </c>
      <c r="G5" s="1">
        <v>44939</v>
      </c>
      <c r="H5" s="1">
        <f>TablaDatos[[#This Row],[FechaIngreso]]+TablaDatos[[#This Row],[DiasNuevo]]</f>
        <v>44941</v>
      </c>
      <c r="I5">
        <v>2</v>
      </c>
      <c r="J5" t="s">
        <v>19</v>
      </c>
      <c r="K5" s="3">
        <v>12458.69</v>
      </c>
      <c r="L5" t="b">
        <f>TablaDatos[[#This Row],[FechaAlta]] &lt; TablaDatos[[#This Row],[FechaIngreso]]</f>
        <v>0</v>
      </c>
      <c r="M5">
        <f>_xlfn.XLOOKUP(TablaDatos[[#This Row],[PacienteID]],'Datos_Ejemplo.csv'!A:A,'Datos_Ejemplo.csv'!I:I)</f>
        <v>2</v>
      </c>
      <c r="N5">
        <f>ABS(TablaDatos[[#This Row],[DiasOriginal]])</f>
        <v>2</v>
      </c>
      <c r="O5" s="1">
        <f>TablaDatos[[#This Row],[FechaIngreso]]+TablaDatos[[#This Row],[DiasNuevo]]</f>
        <v>44941</v>
      </c>
    </row>
    <row r="6" spans="1:15">
      <c r="A6">
        <v>5</v>
      </c>
      <c r="B6" t="s">
        <v>236</v>
      </c>
      <c r="C6" s="1">
        <v>24107</v>
      </c>
      <c r="D6">
        <v>60</v>
      </c>
      <c r="E6" s="4" t="s">
        <v>15</v>
      </c>
      <c r="F6" t="s">
        <v>201</v>
      </c>
      <c r="G6" s="1">
        <v>45183</v>
      </c>
      <c r="H6" s="1">
        <f>TablaDatos[[#This Row],[FechaIngreso]]+TablaDatos[[#This Row],[DiasNuevo]]</f>
        <v>45201</v>
      </c>
      <c r="I6">
        <v>18</v>
      </c>
      <c r="J6" t="s">
        <v>23</v>
      </c>
      <c r="K6" s="3">
        <v>6320.56</v>
      </c>
      <c r="L6" t="b">
        <f>TablaDatos[[#This Row],[FechaAlta]] &lt; TablaDatos[[#This Row],[FechaIngreso]]</f>
        <v>0</v>
      </c>
      <c r="M6">
        <f>_xlfn.XLOOKUP(TablaDatos[[#This Row],[PacienteID]],'Datos_Ejemplo.csv'!A:A,'Datos_Ejemplo.csv'!I:I)</f>
        <v>18</v>
      </c>
      <c r="N6">
        <f>ABS(TablaDatos[[#This Row],[DiasOriginal]])</f>
        <v>18</v>
      </c>
      <c r="O6" s="1">
        <f>TablaDatos[[#This Row],[FechaIngreso]]+TablaDatos[[#This Row],[DiasNuevo]]</f>
        <v>45201</v>
      </c>
    </row>
    <row r="7" spans="1:15">
      <c r="A7">
        <v>6</v>
      </c>
      <c r="B7" t="s">
        <v>290</v>
      </c>
      <c r="C7" s="1">
        <v>38717</v>
      </c>
      <c r="D7">
        <v>20</v>
      </c>
      <c r="E7" s="4" t="s">
        <v>15</v>
      </c>
      <c r="F7" t="s">
        <v>21</v>
      </c>
      <c r="G7" s="1">
        <v>45440</v>
      </c>
      <c r="H7" s="1">
        <f>TablaDatos[[#This Row],[FechaIngreso]]+TablaDatos[[#This Row],[DiasNuevo]]</f>
        <v>45464</v>
      </c>
      <c r="I7">
        <v>24</v>
      </c>
      <c r="J7" t="s">
        <v>25</v>
      </c>
      <c r="K7" s="3">
        <v>310.31</v>
      </c>
      <c r="L7" t="b">
        <f>TablaDatos[[#This Row],[FechaAlta]] &lt; TablaDatos[[#This Row],[FechaIngreso]]</f>
        <v>0</v>
      </c>
      <c r="M7">
        <f>_xlfn.XLOOKUP(TablaDatos[[#This Row],[PacienteID]],'Datos_Ejemplo.csv'!A:A,'Datos_Ejemplo.csv'!I:I)</f>
        <v>24</v>
      </c>
      <c r="N7">
        <f>ABS(TablaDatos[[#This Row],[DiasOriginal]])</f>
        <v>24</v>
      </c>
      <c r="O7" s="1">
        <f>TablaDatos[[#This Row],[FechaIngreso]]+TablaDatos[[#This Row],[DiasNuevo]]</f>
        <v>45464</v>
      </c>
    </row>
    <row r="8" spans="1:15">
      <c r="A8">
        <v>7</v>
      </c>
      <c r="B8" t="s">
        <v>238</v>
      </c>
      <c r="C8" s="1">
        <f ca="1">DATE(YEAR(TODAY())-TablaDatos[[#This Row],[Edad]],1,1)</f>
        <v>16072</v>
      </c>
      <c r="D8">
        <v>82</v>
      </c>
      <c r="E8" s="4" t="s">
        <v>15</v>
      </c>
      <c r="F8" t="s">
        <v>201</v>
      </c>
      <c r="G8" s="1">
        <v>45136</v>
      </c>
      <c r="H8" s="1">
        <f>TablaDatos[[#This Row],[FechaIngreso]]+TablaDatos[[#This Row],[DiasNuevo]]</f>
        <v>45171</v>
      </c>
      <c r="I8">
        <v>35</v>
      </c>
      <c r="J8" t="s">
        <v>19</v>
      </c>
      <c r="K8" s="3">
        <v>3755.14</v>
      </c>
      <c r="L8" t="b">
        <f>TablaDatos[[#This Row],[FechaAlta]] &lt; TablaDatos[[#This Row],[FechaIngreso]]</f>
        <v>0</v>
      </c>
      <c r="M8">
        <f>_xlfn.XLOOKUP(TablaDatos[[#This Row],[PacienteID]],'Datos_Ejemplo.csv'!A:A,'Datos_Ejemplo.csv'!I:I)</f>
        <v>35</v>
      </c>
      <c r="N8">
        <f>ABS(TablaDatos[[#This Row],[DiasOriginal]])</f>
        <v>35</v>
      </c>
      <c r="O8" s="1">
        <f>TablaDatos[[#This Row],[FechaIngreso]]+TablaDatos[[#This Row],[DiasNuevo]]</f>
        <v>45171</v>
      </c>
    </row>
    <row r="9" spans="1:15">
      <c r="A9">
        <v>8</v>
      </c>
      <c r="B9" t="s">
        <v>335</v>
      </c>
      <c r="C9" s="1">
        <v>14611</v>
      </c>
      <c r="D9">
        <v>86</v>
      </c>
      <c r="E9" s="4" t="s">
        <v>12</v>
      </c>
      <c r="F9" t="s">
        <v>18</v>
      </c>
      <c r="G9" s="1">
        <v>45410</v>
      </c>
      <c r="H9" s="1">
        <f>TablaDatos[[#This Row],[FechaIngreso]]+TablaDatos[[#This Row],[DiasNuevo]]</f>
        <v>45412</v>
      </c>
      <c r="I9">
        <v>2</v>
      </c>
      <c r="J9" t="s">
        <v>19</v>
      </c>
      <c r="K9" s="3">
        <v>11647.05</v>
      </c>
      <c r="L9" t="b">
        <f>TablaDatos[[#This Row],[FechaAlta]] &lt; TablaDatos[[#This Row],[FechaIngreso]]</f>
        <v>0</v>
      </c>
      <c r="M9">
        <f>_xlfn.XLOOKUP(TablaDatos[[#This Row],[PacienteID]],'Datos_Ejemplo.csv'!A:A,'Datos_Ejemplo.csv'!I:I)</f>
        <v>2</v>
      </c>
      <c r="N9">
        <f>ABS(TablaDatos[[#This Row],[DiasOriginal]])</f>
        <v>2</v>
      </c>
      <c r="O9" s="1">
        <f>TablaDatos[[#This Row],[FechaIngreso]]+TablaDatos[[#This Row],[DiasNuevo]]</f>
        <v>45412</v>
      </c>
    </row>
    <row r="10" spans="1:15">
      <c r="A10">
        <v>9</v>
      </c>
      <c r="B10" t="s">
        <v>267</v>
      </c>
      <c r="C10" s="1">
        <v>18994</v>
      </c>
      <c r="D10">
        <v>74</v>
      </c>
      <c r="E10" s="4" t="s">
        <v>12</v>
      </c>
      <c r="F10" t="s">
        <v>261</v>
      </c>
      <c r="G10" s="1">
        <v>45291</v>
      </c>
      <c r="H10" s="1">
        <f>TablaDatos[[#This Row],[FechaIngreso]]+TablaDatos[[#This Row],[DiasNuevo]]</f>
        <v>45309</v>
      </c>
      <c r="I10">
        <v>18</v>
      </c>
      <c r="J10" t="s">
        <v>23</v>
      </c>
      <c r="K10" s="3">
        <v>2941.46</v>
      </c>
      <c r="L10" t="b">
        <f>TablaDatos[[#This Row],[FechaAlta]] &lt; TablaDatos[[#This Row],[FechaIngreso]]</f>
        <v>0</v>
      </c>
      <c r="M10">
        <f>_xlfn.XLOOKUP(TablaDatos[[#This Row],[PacienteID]],'Datos_Ejemplo.csv'!A:A,'Datos_Ejemplo.csv'!I:I)</f>
        <v>18</v>
      </c>
      <c r="N10">
        <f>ABS(TablaDatos[[#This Row],[DiasOriginal]])</f>
        <v>18</v>
      </c>
      <c r="O10" s="1">
        <f>TablaDatos[[#This Row],[FechaIngreso]]+TablaDatos[[#This Row],[DiasNuevo]]</f>
        <v>45309</v>
      </c>
    </row>
    <row r="11" spans="1:15">
      <c r="A11">
        <v>10</v>
      </c>
      <c r="B11" t="s">
        <v>236</v>
      </c>
      <c r="C11" s="1">
        <v>18994</v>
      </c>
      <c r="D11">
        <v>74</v>
      </c>
      <c r="E11" s="4" t="s">
        <v>15</v>
      </c>
      <c r="F11" t="s">
        <v>261</v>
      </c>
      <c r="G11" s="1">
        <v>45151</v>
      </c>
      <c r="H11" s="1">
        <f>TablaDatos[[#This Row],[FechaIngreso]]+TablaDatos[[#This Row],[DiasNuevo]]</f>
        <v>45156</v>
      </c>
      <c r="I11">
        <v>5</v>
      </c>
      <c r="J11" t="s">
        <v>25</v>
      </c>
      <c r="K11" s="3">
        <v>17665.099999999999</v>
      </c>
      <c r="L11" t="b">
        <f>TablaDatos[[#This Row],[FechaAlta]] &lt; TablaDatos[[#This Row],[FechaIngreso]]</f>
        <v>0</v>
      </c>
      <c r="M11">
        <f>_xlfn.XLOOKUP(TablaDatos[[#This Row],[PacienteID]],'Datos_Ejemplo.csv'!A:A,'Datos_Ejemplo.csv'!I:I)</f>
        <v>5</v>
      </c>
      <c r="N11">
        <f>ABS(TablaDatos[[#This Row],[DiasOriginal]])</f>
        <v>5</v>
      </c>
      <c r="O11" s="1">
        <f>TablaDatos[[#This Row],[FechaIngreso]]+TablaDatos[[#This Row],[DiasNuevo]]</f>
        <v>45156</v>
      </c>
    </row>
    <row r="12" spans="1:15">
      <c r="A12">
        <v>11</v>
      </c>
      <c r="B12" t="s">
        <v>299</v>
      </c>
      <c r="C12" s="1">
        <v>14246</v>
      </c>
      <c r="D12">
        <v>87</v>
      </c>
      <c r="E12" s="4" t="s">
        <v>12</v>
      </c>
      <c r="F12" t="s">
        <v>21</v>
      </c>
      <c r="G12" s="1">
        <v>45120</v>
      </c>
      <c r="H12" s="1">
        <f>TablaDatos[[#This Row],[FechaIngreso]]+TablaDatos[[#This Row],[DiasNuevo]]</f>
        <v>45139</v>
      </c>
      <c r="I12">
        <v>19</v>
      </c>
      <c r="J12" t="s">
        <v>25</v>
      </c>
      <c r="K12" s="3">
        <v>3681.71</v>
      </c>
      <c r="L12" t="b">
        <f>TablaDatos[[#This Row],[FechaAlta]] &lt; TablaDatos[[#This Row],[FechaIngreso]]</f>
        <v>0</v>
      </c>
      <c r="M12">
        <f>_xlfn.XLOOKUP(TablaDatos[[#This Row],[PacienteID]],'Datos_Ejemplo.csv'!A:A,'Datos_Ejemplo.csv'!I:I)</f>
        <v>19</v>
      </c>
      <c r="N12">
        <f>ABS(TablaDatos[[#This Row],[DiasOriginal]])</f>
        <v>19</v>
      </c>
      <c r="O12" s="1">
        <f>TablaDatos[[#This Row],[FechaIngreso]]+TablaDatos[[#This Row],[DiasNuevo]]</f>
        <v>45139</v>
      </c>
    </row>
    <row r="13" spans="1:15">
      <c r="A13">
        <v>12</v>
      </c>
      <c r="B13" t="s">
        <v>258</v>
      </c>
      <c r="C13" s="1">
        <v>37622</v>
      </c>
      <c r="D13">
        <v>23</v>
      </c>
      <c r="E13" s="4" t="s">
        <v>12</v>
      </c>
      <c r="F13" t="s">
        <v>261</v>
      </c>
      <c r="G13" s="1">
        <v>45122</v>
      </c>
      <c r="H13" s="1">
        <f>TablaDatos[[#This Row],[FechaIngreso]]+TablaDatos[[#This Row],[DiasNuevo]]</f>
        <v>45137</v>
      </c>
      <c r="I13">
        <v>15</v>
      </c>
      <c r="J13" t="s">
        <v>19</v>
      </c>
      <c r="K13" s="3">
        <v>10394.299999999999</v>
      </c>
      <c r="L13" t="b">
        <f>TablaDatos[[#This Row],[FechaAlta]] &lt; TablaDatos[[#This Row],[FechaIngreso]]</f>
        <v>0</v>
      </c>
      <c r="M13">
        <f>_xlfn.XLOOKUP(TablaDatos[[#This Row],[PacienteID]],'Datos_Ejemplo.csv'!A:A,'Datos_Ejemplo.csv'!I:I)</f>
        <v>15</v>
      </c>
      <c r="N13">
        <f>ABS(TablaDatos[[#This Row],[DiasOriginal]])</f>
        <v>15</v>
      </c>
      <c r="O13" s="1">
        <f>TablaDatos[[#This Row],[FechaIngreso]]+TablaDatos[[#This Row],[DiasNuevo]]</f>
        <v>45137</v>
      </c>
    </row>
    <row r="14" spans="1:15">
      <c r="A14">
        <v>13</v>
      </c>
      <c r="B14" t="s">
        <v>241</v>
      </c>
      <c r="C14" s="1">
        <v>45292</v>
      </c>
      <c r="D14">
        <v>2</v>
      </c>
      <c r="E14" s="4" t="s">
        <v>15</v>
      </c>
      <c r="F14" t="s">
        <v>32</v>
      </c>
      <c r="G14" s="1">
        <v>45326</v>
      </c>
      <c r="H14" s="1">
        <f>TablaDatos[[#This Row],[FechaIngreso]]+TablaDatos[[#This Row],[DiasNuevo]]</f>
        <v>45327</v>
      </c>
      <c r="I14">
        <v>1</v>
      </c>
      <c r="J14" t="s">
        <v>25</v>
      </c>
      <c r="K14" s="3">
        <v>10191.469999999999</v>
      </c>
      <c r="L14" t="b">
        <f>TablaDatos[[#This Row],[FechaAlta]] &lt; TablaDatos[[#This Row],[FechaIngreso]]</f>
        <v>0</v>
      </c>
      <c r="M14">
        <f>_xlfn.XLOOKUP(TablaDatos[[#This Row],[PacienteID]],'Datos_Ejemplo.csv'!A:A,'Datos_Ejemplo.csv'!I:I)</f>
        <v>1</v>
      </c>
      <c r="N14">
        <f>ABS(TablaDatos[[#This Row],[DiasOriginal]])</f>
        <v>1</v>
      </c>
      <c r="O14" s="1">
        <f>TablaDatos[[#This Row],[FechaIngreso]]+TablaDatos[[#This Row],[DiasNuevo]]</f>
        <v>45327</v>
      </c>
    </row>
    <row r="15" spans="1:15">
      <c r="A15">
        <v>14</v>
      </c>
      <c r="B15" t="s">
        <v>336</v>
      </c>
      <c r="C15" s="1">
        <v>38352</v>
      </c>
      <c r="D15">
        <v>21</v>
      </c>
      <c r="E15" s="4" t="s">
        <v>15</v>
      </c>
      <c r="F15" t="s">
        <v>32</v>
      </c>
      <c r="G15" s="1">
        <v>44983</v>
      </c>
      <c r="H15" s="1">
        <f>TablaDatos[[#This Row],[FechaIngreso]]+TablaDatos[[#This Row],[DiasNuevo]]</f>
        <v>44984</v>
      </c>
      <c r="I15">
        <v>1</v>
      </c>
      <c r="J15" t="s">
        <v>25</v>
      </c>
      <c r="K15" s="3">
        <v>12039.31</v>
      </c>
      <c r="L15" t="b">
        <f>TablaDatos[[#This Row],[FechaAlta]] &lt; TablaDatos[[#This Row],[FechaIngreso]]</f>
        <v>0</v>
      </c>
      <c r="M15">
        <f>_xlfn.XLOOKUP(TablaDatos[[#This Row],[PacienteID]],'Datos_Ejemplo.csv'!A:A,'Datos_Ejemplo.csv'!I:I)</f>
        <v>1</v>
      </c>
      <c r="N15">
        <f>ABS(TablaDatos[[#This Row],[DiasOriginal]])</f>
        <v>1</v>
      </c>
      <c r="O15" s="1">
        <f>TablaDatos[[#This Row],[FechaIngreso]]+TablaDatos[[#This Row],[DiasNuevo]]</f>
        <v>44984</v>
      </c>
    </row>
    <row r="16" spans="1:15">
      <c r="A16">
        <v>15</v>
      </c>
      <c r="B16" t="s">
        <v>325</v>
      </c>
      <c r="C16" s="1">
        <v>27029</v>
      </c>
      <c r="D16">
        <v>52</v>
      </c>
      <c r="E16" s="4" t="s">
        <v>197</v>
      </c>
      <c r="F16" t="s">
        <v>201</v>
      </c>
      <c r="G16" s="1">
        <v>45551</v>
      </c>
      <c r="H16" s="1">
        <f>TablaDatos[[#This Row],[FechaIngreso]]+TablaDatos[[#This Row],[DiasNuevo]]</f>
        <v>45585</v>
      </c>
      <c r="I16">
        <v>34</v>
      </c>
      <c r="J16" t="s">
        <v>25</v>
      </c>
      <c r="K16" s="3">
        <v>6481.42</v>
      </c>
      <c r="L16" t="b">
        <f>TablaDatos[[#This Row],[FechaAlta]] &lt; TablaDatos[[#This Row],[FechaIngreso]]</f>
        <v>0</v>
      </c>
      <c r="M16">
        <f>_xlfn.XLOOKUP(TablaDatos[[#This Row],[PacienteID]],'Datos_Ejemplo.csv'!A:A,'Datos_Ejemplo.csv'!I:I)</f>
        <v>34</v>
      </c>
      <c r="N16">
        <f>ABS(TablaDatos[[#This Row],[DiasOriginal]])</f>
        <v>34</v>
      </c>
      <c r="O16" s="1">
        <f>TablaDatos[[#This Row],[FechaIngreso]]+TablaDatos[[#This Row],[DiasNuevo]]</f>
        <v>45585</v>
      </c>
    </row>
    <row r="17" spans="1:15">
      <c r="A17">
        <v>16</v>
      </c>
      <c r="B17" t="s">
        <v>300</v>
      </c>
      <c r="C17" s="1">
        <v>45657</v>
      </c>
      <c r="D17">
        <v>1</v>
      </c>
      <c r="E17" s="4" t="s">
        <v>12</v>
      </c>
      <c r="F17" t="s">
        <v>18</v>
      </c>
      <c r="G17" s="1">
        <v>45139</v>
      </c>
      <c r="H17" s="1">
        <f>TablaDatos[[#This Row],[FechaIngreso]]+TablaDatos[[#This Row],[DiasNuevo]]</f>
        <v>45151</v>
      </c>
      <c r="I17">
        <v>12</v>
      </c>
      <c r="J17" t="s">
        <v>23</v>
      </c>
      <c r="K17" s="3">
        <v>17458.04</v>
      </c>
      <c r="L17" t="b">
        <f>TablaDatos[[#This Row],[FechaAlta]] &lt; TablaDatos[[#This Row],[FechaIngreso]]</f>
        <v>0</v>
      </c>
      <c r="M17">
        <f>_xlfn.XLOOKUP(TablaDatos[[#This Row],[PacienteID]],'Datos_Ejemplo.csv'!A:A,'Datos_Ejemplo.csv'!I:I)</f>
        <v>12</v>
      </c>
      <c r="N17">
        <f>ABS(TablaDatos[[#This Row],[DiasOriginal]])</f>
        <v>12</v>
      </c>
      <c r="O17" s="1">
        <f>TablaDatos[[#This Row],[FechaIngreso]]+TablaDatos[[#This Row],[DiasNuevo]]</f>
        <v>45151</v>
      </c>
    </row>
    <row r="18" spans="1:15">
      <c r="A18">
        <v>17</v>
      </c>
      <c r="B18" t="s">
        <v>330</v>
      </c>
      <c r="C18" s="1">
        <v>14246</v>
      </c>
      <c r="D18">
        <v>87</v>
      </c>
      <c r="E18" s="4" t="s">
        <v>197</v>
      </c>
      <c r="F18" t="s">
        <v>13</v>
      </c>
      <c r="G18" s="1">
        <v>45205</v>
      </c>
      <c r="H18" s="1">
        <f>TablaDatos[[#This Row],[FechaIngreso]]+TablaDatos[[#This Row],[DiasNuevo]]</f>
        <v>45240</v>
      </c>
      <c r="I18">
        <v>35</v>
      </c>
      <c r="J18" t="s">
        <v>25</v>
      </c>
      <c r="K18" s="3">
        <v>8830.4599999999991</v>
      </c>
      <c r="L18" t="b">
        <f>TablaDatos[[#This Row],[FechaAlta]] &lt; TablaDatos[[#This Row],[FechaIngreso]]</f>
        <v>0</v>
      </c>
      <c r="M18">
        <f>_xlfn.XLOOKUP(TablaDatos[[#This Row],[PacienteID]],'Datos_Ejemplo.csv'!A:A,'Datos_Ejemplo.csv'!I:I)</f>
        <v>35</v>
      </c>
      <c r="N18">
        <f>ABS(TablaDatos[[#This Row],[DiasOriginal]])</f>
        <v>35</v>
      </c>
      <c r="O18" s="1">
        <f>TablaDatos[[#This Row],[FechaIngreso]]+TablaDatos[[#This Row],[DiasNuevo]]</f>
        <v>45240</v>
      </c>
    </row>
    <row r="19" spans="1:15">
      <c r="A19">
        <v>18</v>
      </c>
      <c r="B19" t="s">
        <v>331</v>
      </c>
      <c r="C19" s="1">
        <v>35430</v>
      </c>
      <c r="D19">
        <v>29</v>
      </c>
      <c r="E19" s="4" t="s">
        <v>15</v>
      </c>
      <c r="F19" t="s">
        <v>32</v>
      </c>
      <c r="G19" s="1">
        <v>45306</v>
      </c>
      <c r="H19" s="1">
        <f>TablaDatos[[#This Row],[FechaIngreso]]+TablaDatos[[#This Row],[DiasNuevo]]</f>
        <v>45330</v>
      </c>
      <c r="I19">
        <v>24</v>
      </c>
      <c r="J19" t="s">
        <v>23</v>
      </c>
      <c r="K19" s="3">
        <v>13973.09</v>
      </c>
      <c r="L19" t="b">
        <f>TablaDatos[[#This Row],[FechaAlta]] &lt; TablaDatos[[#This Row],[FechaIngreso]]</f>
        <v>0</v>
      </c>
      <c r="M19">
        <f>_xlfn.XLOOKUP(TablaDatos[[#This Row],[PacienteID]],'Datos_Ejemplo.csv'!A:A,'Datos_Ejemplo.csv'!I:I)</f>
        <v>24</v>
      </c>
      <c r="N19">
        <f>ABS(TablaDatos[[#This Row],[DiasOriginal]])</f>
        <v>24</v>
      </c>
      <c r="O19" s="1">
        <f>TablaDatos[[#This Row],[FechaIngreso]]+TablaDatos[[#This Row],[DiasNuevo]]</f>
        <v>45330</v>
      </c>
    </row>
    <row r="20" spans="1:15">
      <c r="A20">
        <v>19</v>
      </c>
      <c r="B20" t="s">
        <v>359</v>
      </c>
      <c r="C20" s="1">
        <v>32508</v>
      </c>
      <c r="D20">
        <v>37</v>
      </c>
      <c r="E20" s="4" t="s">
        <v>12</v>
      </c>
      <c r="F20" t="s">
        <v>201</v>
      </c>
      <c r="G20" s="1">
        <v>45043</v>
      </c>
      <c r="H20" s="1">
        <f>TablaDatos[[#This Row],[FechaIngreso]]+TablaDatos[[#This Row],[DiasNuevo]]</f>
        <v>45061</v>
      </c>
      <c r="I20">
        <v>18</v>
      </c>
      <c r="J20" t="s">
        <v>25</v>
      </c>
      <c r="K20" s="3">
        <v>12681.81</v>
      </c>
      <c r="L20" t="b">
        <f>TablaDatos[[#This Row],[FechaAlta]] &lt; TablaDatos[[#This Row],[FechaIngreso]]</f>
        <v>0</v>
      </c>
      <c r="M20">
        <f>_xlfn.XLOOKUP(TablaDatos[[#This Row],[PacienteID]],'Datos_Ejemplo.csv'!A:A,'Datos_Ejemplo.csv'!I:I)</f>
        <v>18</v>
      </c>
      <c r="N20">
        <f>ABS(TablaDatos[[#This Row],[DiasOriginal]])</f>
        <v>18</v>
      </c>
      <c r="O20" s="1">
        <f>TablaDatos[[#This Row],[FechaIngreso]]+TablaDatos[[#This Row],[DiasNuevo]]</f>
        <v>45061</v>
      </c>
    </row>
    <row r="21" spans="1:15">
      <c r="A21">
        <v>20</v>
      </c>
      <c r="B21" t="s">
        <v>39</v>
      </c>
      <c r="C21" s="1">
        <v>45657</v>
      </c>
      <c r="D21">
        <v>1</v>
      </c>
      <c r="E21" s="4" t="s">
        <v>15</v>
      </c>
      <c r="F21" t="s">
        <v>261</v>
      </c>
      <c r="G21" s="1">
        <v>45377</v>
      </c>
      <c r="H21" s="1">
        <f>TablaDatos[[#This Row],[FechaIngreso]]+TablaDatos[[#This Row],[DiasNuevo]]</f>
        <v>45378</v>
      </c>
      <c r="I21">
        <v>1</v>
      </c>
      <c r="J21" t="s">
        <v>25</v>
      </c>
      <c r="K21" s="3">
        <v>2254.84</v>
      </c>
      <c r="L21" t="b">
        <f>TablaDatos[[#This Row],[FechaAlta]] &lt; TablaDatos[[#This Row],[FechaIngreso]]</f>
        <v>0</v>
      </c>
      <c r="M21">
        <f>_xlfn.XLOOKUP(TablaDatos[[#This Row],[PacienteID]],'Datos_Ejemplo.csv'!A:A,'Datos_Ejemplo.csv'!I:I)</f>
        <v>1</v>
      </c>
      <c r="N21">
        <f>ABS(TablaDatos[[#This Row],[DiasOriginal]])</f>
        <v>1</v>
      </c>
      <c r="O21" s="1">
        <f>TablaDatos[[#This Row],[FechaIngreso]]+TablaDatos[[#This Row],[DiasNuevo]]</f>
        <v>45378</v>
      </c>
    </row>
    <row r="22" spans="1:15">
      <c r="A22">
        <v>21</v>
      </c>
      <c r="B22" t="s">
        <v>264</v>
      </c>
      <c r="C22" s="1">
        <v>23012</v>
      </c>
      <c r="D22">
        <v>63</v>
      </c>
      <c r="E22" s="4" t="s">
        <v>15</v>
      </c>
      <c r="F22" t="s">
        <v>18</v>
      </c>
      <c r="G22" s="1">
        <v>45525</v>
      </c>
      <c r="H22" s="1">
        <f>TablaDatos[[#This Row],[FechaIngreso]]+TablaDatos[[#This Row],[DiasNuevo]]</f>
        <v>45533</v>
      </c>
      <c r="I22">
        <v>8</v>
      </c>
      <c r="J22" t="s">
        <v>25</v>
      </c>
      <c r="K22" s="3">
        <v>12415.05</v>
      </c>
      <c r="L22" t="b">
        <f>TablaDatos[[#This Row],[FechaAlta]] &lt; TablaDatos[[#This Row],[FechaIngreso]]</f>
        <v>0</v>
      </c>
      <c r="M22">
        <f>_xlfn.XLOOKUP(TablaDatos[[#This Row],[PacienteID]],'Datos_Ejemplo.csv'!A:A,'Datos_Ejemplo.csv'!I:I)</f>
        <v>8</v>
      </c>
      <c r="N22">
        <f>ABS(TablaDatos[[#This Row],[DiasOriginal]])</f>
        <v>8</v>
      </c>
      <c r="O22" s="1">
        <f>TablaDatos[[#This Row],[FechaIngreso]]+TablaDatos[[#This Row],[DiasNuevo]]</f>
        <v>45533</v>
      </c>
    </row>
    <row r="23" spans="1:15">
      <c r="A23">
        <v>22</v>
      </c>
      <c r="B23" t="s">
        <v>259</v>
      </c>
      <c r="C23" s="1">
        <v>24473</v>
      </c>
      <c r="D23">
        <v>59</v>
      </c>
      <c r="E23" s="4" t="s">
        <v>12</v>
      </c>
      <c r="F23" t="s">
        <v>201</v>
      </c>
      <c r="G23" s="1">
        <v>45336</v>
      </c>
      <c r="H23" s="1">
        <f>TablaDatos[[#This Row],[FechaIngreso]]+TablaDatos[[#This Row],[DiasNuevo]]</f>
        <v>45352</v>
      </c>
      <c r="I23">
        <v>16</v>
      </c>
      <c r="J23" t="s">
        <v>19</v>
      </c>
      <c r="K23" s="3">
        <v>10969.12</v>
      </c>
      <c r="L23" t="b">
        <f>TablaDatos[[#This Row],[FechaAlta]] &lt; TablaDatos[[#This Row],[FechaIngreso]]</f>
        <v>0</v>
      </c>
      <c r="M23">
        <f>_xlfn.XLOOKUP(TablaDatos[[#This Row],[PacienteID]],'Datos_Ejemplo.csv'!A:A,'Datos_Ejemplo.csv'!I:I)</f>
        <v>16</v>
      </c>
      <c r="N23">
        <f>ABS(TablaDatos[[#This Row],[DiasOriginal]])</f>
        <v>16</v>
      </c>
      <c r="O23" s="1">
        <f>TablaDatos[[#This Row],[FechaIngreso]]+TablaDatos[[#This Row],[DiasNuevo]]</f>
        <v>45352</v>
      </c>
    </row>
    <row r="24" spans="1:15">
      <c r="A24">
        <v>23</v>
      </c>
      <c r="B24" t="s">
        <v>298</v>
      </c>
      <c r="C24" s="1">
        <v>38717</v>
      </c>
      <c r="D24">
        <v>20</v>
      </c>
      <c r="E24" s="4" t="s">
        <v>15</v>
      </c>
      <c r="F24" t="s">
        <v>201</v>
      </c>
      <c r="G24" s="1">
        <v>45293</v>
      </c>
      <c r="H24" s="1">
        <f>TablaDatos[[#This Row],[FechaIngreso]]+TablaDatos[[#This Row],[DiasNuevo]]</f>
        <v>45309</v>
      </c>
      <c r="I24">
        <v>16</v>
      </c>
      <c r="J24" t="s">
        <v>19</v>
      </c>
      <c r="K24" s="3">
        <v>17961.939999999999</v>
      </c>
      <c r="L24" t="b">
        <f>TablaDatos[[#This Row],[FechaAlta]] &lt; TablaDatos[[#This Row],[FechaIngreso]]</f>
        <v>0</v>
      </c>
      <c r="M24">
        <f>_xlfn.XLOOKUP(TablaDatos[[#This Row],[PacienteID]],'Datos_Ejemplo.csv'!A:A,'Datos_Ejemplo.csv'!I:I)</f>
        <v>16</v>
      </c>
      <c r="N24">
        <f>ABS(TablaDatos[[#This Row],[DiasOriginal]])</f>
        <v>16</v>
      </c>
      <c r="O24" s="1">
        <f>TablaDatos[[#This Row],[FechaIngreso]]+TablaDatos[[#This Row],[DiasNuevo]]</f>
        <v>45309</v>
      </c>
    </row>
    <row r="25" spans="1:15">
      <c r="A25">
        <v>24</v>
      </c>
      <c r="B25" t="s">
        <v>337</v>
      </c>
      <c r="C25" s="1">
        <v>34334</v>
      </c>
      <c r="D25">
        <v>32</v>
      </c>
      <c r="E25" s="4" t="s">
        <v>15</v>
      </c>
      <c r="F25" t="s">
        <v>32</v>
      </c>
      <c r="G25" s="1">
        <v>45039</v>
      </c>
      <c r="H25" s="1">
        <f>TablaDatos[[#This Row],[FechaIngreso]]+TablaDatos[[#This Row],[DiasNuevo]]</f>
        <v>45063</v>
      </c>
      <c r="I25">
        <v>24</v>
      </c>
      <c r="J25" t="s">
        <v>23</v>
      </c>
      <c r="K25" s="3">
        <v>17605.62</v>
      </c>
      <c r="L25" t="b">
        <f>TablaDatos[[#This Row],[FechaAlta]] &lt; TablaDatos[[#This Row],[FechaIngreso]]</f>
        <v>0</v>
      </c>
      <c r="M25">
        <f>_xlfn.XLOOKUP(TablaDatos[[#This Row],[PacienteID]],'Datos_Ejemplo.csv'!A:A,'Datos_Ejemplo.csv'!I:I)</f>
        <v>24</v>
      </c>
      <c r="N25">
        <f>ABS(TablaDatos[[#This Row],[DiasOriginal]])</f>
        <v>24</v>
      </c>
      <c r="O25" s="1">
        <f>TablaDatos[[#This Row],[FechaIngreso]]+TablaDatos[[#This Row],[DiasNuevo]]</f>
        <v>45063</v>
      </c>
    </row>
    <row r="26" spans="1:15">
      <c r="A26">
        <v>25</v>
      </c>
      <c r="B26" t="s">
        <v>246</v>
      </c>
      <c r="C26" s="1">
        <v>18629</v>
      </c>
      <c r="D26">
        <v>75</v>
      </c>
      <c r="E26" s="4" t="s">
        <v>15</v>
      </c>
      <c r="F26" t="s">
        <v>295</v>
      </c>
      <c r="G26" s="1">
        <v>45090</v>
      </c>
      <c r="H26" s="1">
        <f>TablaDatos[[#This Row],[FechaIngreso]]+TablaDatos[[#This Row],[DiasNuevo]]</f>
        <v>45127</v>
      </c>
      <c r="I26">
        <v>37</v>
      </c>
      <c r="J26" t="s">
        <v>25</v>
      </c>
      <c r="K26" s="3">
        <v>2934.19</v>
      </c>
      <c r="L26" t="b">
        <f>TablaDatos[[#This Row],[FechaAlta]] &lt; TablaDatos[[#This Row],[FechaIngreso]]</f>
        <v>0</v>
      </c>
      <c r="M26">
        <f>_xlfn.XLOOKUP(TablaDatos[[#This Row],[PacienteID]],'Datos_Ejemplo.csv'!A:A,'Datos_Ejemplo.csv'!I:I)</f>
        <v>37</v>
      </c>
      <c r="N26">
        <f>ABS(TablaDatos[[#This Row],[DiasOriginal]])</f>
        <v>37</v>
      </c>
      <c r="O26" s="1">
        <f>TablaDatos[[#This Row],[FechaIngreso]]+TablaDatos[[#This Row],[DiasNuevo]]</f>
        <v>45127</v>
      </c>
    </row>
    <row r="27" spans="1:15">
      <c r="A27">
        <v>26</v>
      </c>
      <c r="B27" t="s">
        <v>337</v>
      </c>
      <c r="C27" s="1">
        <v>25203</v>
      </c>
      <c r="D27">
        <v>57</v>
      </c>
      <c r="E27" s="4" t="s">
        <v>15</v>
      </c>
      <c r="F27" t="s">
        <v>18</v>
      </c>
      <c r="G27" s="1">
        <v>44930</v>
      </c>
      <c r="H27" s="1">
        <f>TablaDatos[[#This Row],[FechaIngreso]]+TablaDatos[[#This Row],[DiasNuevo]]</f>
        <v>44969</v>
      </c>
      <c r="I27">
        <v>39</v>
      </c>
      <c r="J27" t="s">
        <v>23</v>
      </c>
      <c r="K27" s="3">
        <v>1541.87</v>
      </c>
      <c r="L27" t="b">
        <f>TablaDatos[[#This Row],[FechaAlta]] &lt; TablaDatos[[#This Row],[FechaIngreso]]</f>
        <v>0</v>
      </c>
      <c r="M27">
        <f>_xlfn.XLOOKUP(TablaDatos[[#This Row],[PacienteID]],'Datos_Ejemplo.csv'!A:A,'Datos_Ejemplo.csv'!I:I)</f>
        <v>39</v>
      </c>
      <c r="N27">
        <f>ABS(TablaDatos[[#This Row],[DiasOriginal]])</f>
        <v>39</v>
      </c>
      <c r="O27" s="1">
        <f>TablaDatos[[#This Row],[FechaIngreso]]+TablaDatos[[#This Row],[DiasNuevo]]</f>
        <v>44969</v>
      </c>
    </row>
    <row r="28" spans="1:15">
      <c r="A28">
        <v>27</v>
      </c>
      <c r="B28" t="s">
        <v>246</v>
      </c>
      <c r="C28" s="1">
        <v>38352</v>
      </c>
      <c r="D28">
        <v>21</v>
      </c>
      <c r="E28" s="4" t="s">
        <v>12</v>
      </c>
      <c r="F28" t="s">
        <v>21</v>
      </c>
      <c r="G28" s="1">
        <v>45556</v>
      </c>
      <c r="H28" s="1">
        <f>TablaDatos[[#This Row],[FechaIngreso]]+TablaDatos[[#This Row],[DiasNuevo]]</f>
        <v>45581</v>
      </c>
      <c r="I28">
        <v>25</v>
      </c>
      <c r="J28" t="s">
        <v>25</v>
      </c>
      <c r="K28" s="3">
        <v>5821.3</v>
      </c>
      <c r="L28" t="b">
        <f>TablaDatos[[#This Row],[FechaAlta]] &lt; TablaDatos[[#This Row],[FechaIngreso]]</f>
        <v>0</v>
      </c>
      <c r="M28">
        <f>_xlfn.XLOOKUP(TablaDatos[[#This Row],[PacienteID]],'Datos_Ejemplo.csv'!A:A,'Datos_Ejemplo.csv'!I:I)</f>
        <v>25</v>
      </c>
      <c r="N28">
        <f>ABS(TablaDatos[[#This Row],[DiasOriginal]])</f>
        <v>25</v>
      </c>
      <c r="O28" s="1">
        <f>TablaDatos[[#This Row],[FechaIngreso]]+TablaDatos[[#This Row],[DiasNuevo]]</f>
        <v>45581</v>
      </c>
    </row>
    <row r="29" spans="1:15">
      <c r="A29">
        <v>28</v>
      </c>
      <c r="B29" t="s">
        <v>256</v>
      </c>
      <c r="C29" s="1">
        <v>13880</v>
      </c>
      <c r="D29">
        <v>88</v>
      </c>
      <c r="E29" s="4" t="s">
        <v>12</v>
      </c>
      <c r="F29" t="s">
        <v>201</v>
      </c>
      <c r="G29" s="1">
        <v>44949</v>
      </c>
      <c r="H29" s="1">
        <f>TablaDatos[[#This Row],[FechaIngreso]]+TablaDatos[[#This Row],[DiasNuevo]]</f>
        <v>44951</v>
      </c>
      <c r="I29">
        <v>2</v>
      </c>
      <c r="J29" t="s">
        <v>23</v>
      </c>
      <c r="K29" s="3">
        <v>19730.919999999998</v>
      </c>
      <c r="L29" t="b">
        <f>TablaDatos[[#This Row],[FechaAlta]] &lt; TablaDatos[[#This Row],[FechaIngreso]]</f>
        <v>0</v>
      </c>
      <c r="M29">
        <f>_xlfn.XLOOKUP(TablaDatos[[#This Row],[PacienteID]],'Datos_Ejemplo.csv'!A:A,'Datos_Ejemplo.csv'!I:I)</f>
        <v>2</v>
      </c>
      <c r="N29">
        <f>ABS(TablaDatos[[#This Row],[DiasOriginal]])</f>
        <v>2</v>
      </c>
      <c r="O29" s="1">
        <f>TablaDatos[[#This Row],[FechaIngreso]]+TablaDatos[[#This Row],[DiasNuevo]]</f>
        <v>44951</v>
      </c>
    </row>
    <row r="30" spans="1:15">
      <c r="A30">
        <v>29</v>
      </c>
      <c r="B30" t="s">
        <v>284</v>
      </c>
      <c r="C30" s="1">
        <f ca="1">DATE(YEAR(TODAY())-TablaDatos[[#This Row],[Edad]],1,1)</f>
        <v>28491</v>
      </c>
      <c r="D30">
        <v>48</v>
      </c>
      <c r="E30" s="4" t="s">
        <v>15</v>
      </c>
      <c r="F30" t="s">
        <v>32</v>
      </c>
      <c r="G30" s="1">
        <v>45528</v>
      </c>
      <c r="H30" s="1">
        <f>TablaDatos[[#This Row],[FechaIngreso]]+TablaDatos[[#This Row],[DiasNuevo]]</f>
        <v>45550</v>
      </c>
      <c r="I30">
        <v>22</v>
      </c>
      <c r="J30" t="s">
        <v>23</v>
      </c>
      <c r="K30" s="3">
        <v>333.63</v>
      </c>
      <c r="L30" t="b">
        <f>TablaDatos[[#This Row],[FechaAlta]] &lt; TablaDatos[[#This Row],[FechaIngreso]]</f>
        <v>0</v>
      </c>
      <c r="M30">
        <f>_xlfn.XLOOKUP(TablaDatos[[#This Row],[PacienteID]],'Datos_Ejemplo.csv'!A:A,'Datos_Ejemplo.csv'!I:I)</f>
        <v>22</v>
      </c>
      <c r="N30">
        <f>ABS(TablaDatos[[#This Row],[DiasOriginal]])</f>
        <v>22</v>
      </c>
      <c r="O30" s="1">
        <f>TablaDatos[[#This Row],[FechaIngreso]]+TablaDatos[[#This Row],[DiasNuevo]]</f>
        <v>45550</v>
      </c>
    </row>
    <row r="31" spans="1:15">
      <c r="A31">
        <v>30</v>
      </c>
      <c r="B31" t="s">
        <v>276</v>
      </c>
      <c r="C31" s="1">
        <v>13150</v>
      </c>
      <c r="D31">
        <v>90</v>
      </c>
      <c r="E31" s="4" t="s">
        <v>15</v>
      </c>
      <c r="F31" t="s">
        <v>21</v>
      </c>
      <c r="G31" s="1">
        <v>45018</v>
      </c>
      <c r="H31" s="1">
        <f>TablaDatos[[#This Row],[FechaIngreso]]+TablaDatos[[#This Row],[DiasNuevo]]</f>
        <v>45018</v>
      </c>
      <c r="I31">
        <v>0</v>
      </c>
      <c r="J31" t="s">
        <v>19</v>
      </c>
      <c r="K31" s="3">
        <v>13425.13</v>
      </c>
      <c r="L31" t="b">
        <f>TablaDatos[[#This Row],[FechaAlta]] &lt; TablaDatos[[#This Row],[FechaIngreso]]</f>
        <v>0</v>
      </c>
      <c r="M31">
        <f>_xlfn.XLOOKUP(TablaDatos[[#This Row],[PacienteID]],'Datos_Ejemplo.csv'!A:A,'Datos_Ejemplo.csv'!I:I)</f>
        <v>0</v>
      </c>
      <c r="N31">
        <f>ABS(TablaDatos[[#This Row],[DiasOriginal]])</f>
        <v>0</v>
      </c>
      <c r="O31" s="1">
        <f>TablaDatos[[#This Row],[FechaIngreso]]+TablaDatos[[#This Row],[DiasNuevo]]</f>
        <v>45018</v>
      </c>
    </row>
    <row r="32" spans="1:15">
      <c r="A32">
        <v>31</v>
      </c>
      <c r="B32" t="s">
        <v>49</v>
      </c>
      <c r="C32" s="1">
        <v>24838</v>
      </c>
      <c r="D32">
        <v>58</v>
      </c>
      <c r="E32" s="4" t="s">
        <v>15</v>
      </c>
      <c r="F32" t="s">
        <v>18</v>
      </c>
      <c r="G32" s="1">
        <v>45395</v>
      </c>
      <c r="H32" s="1">
        <f>TablaDatos[[#This Row],[FechaIngreso]]+TablaDatos[[#This Row],[DiasNuevo]]</f>
        <v>45418</v>
      </c>
      <c r="I32">
        <v>23</v>
      </c>
      <c r="J32" t="s">
        <v>23</v>
      </c>
      <c r="K32" s="3">
        <v>12131.13</v>
      </c>
      <c r="L32" t="b">
        <f>TablaDatos[[#This Row],[FechaAlta]] &lt; TablaDatos[[#This Row],[FechaIngreso]]</f>
        <v>0</v>
      </c>
      <c r="M32">
        <f>_xlfn.XLOOKUP(TablaDatos[[#This Row],[PacienteID]],'Datos_Ejemplo.csv'!A:A,'Datos_Ejemplo.csv'!I:I)</f>
        <v>23</v>
      </c>
      <c r="N32">
        <f>ABS(TablaDatos[[#This Row],[DiasOriginal]])</f>
        <v>23</v>
      </c>
      <c r="O32" s="1">
        <f>TablaDatos[[#This Row],[FechaIngreso]]+TablaDatos[[#This Row],[DiasNuevo]]</f>
        <v>45418</v>
      </c>
    </row>
    <row r="33" spans="1:15">
      <c r="A33">
        <v>32</v>
      </c>
      <c r="B33" t="s">
        <v>264</v>
      </c>
      <c r="C33" s="1">
        <v>31047</v>
      </c>
      <c r="D33">
        <v>41</v>
      </c>
      <c r="E33" s="4" t="s">
        <v>12</v>
      </c>
      <c r="F33" t="s">
        <v>32</v>
      </c>
      <c r="G33" s="1">
        <v>45081</v>
      </c>
      <c r="H33" s="1">
        <f>TablaDatos[[#This Row],[FechaIngreso]]+TablaDatos[[#This Row],[DiasNuevo]]</f>
        <v>45088</v>
      </c>
      <c r="I33">
        <v>7</v>
      </c>
      <c r="J33" t="s">
        <v>19</v>
      </c>
      <c r="K33" s="3">
        <v>12896.22</v>
      </c>
      <c r="L33" t="b">
        <f>TablaDatos[[#This Row],[FechaAlta]] &lt; TablaDatos[[#This Row],[FechaIngreso]]</f>
        <v>0</v>
      </c>
      <c r="M33">
        <f>_xlfn.XLOOKUP(TablaDatos[[#This Row],[PacienteID]],'Datos_Ejemplo.csv'!A:A,'Datos_Ejemplo.csv'!I:I)</f>
        <v>7</v>
      </c>
      <c r="N33">
        <f>ABS(TablaDatos[[#This Row],[DiasOriginal]])</f>
        <v>7</v>
      </c>
      <c r="O33" s="1">
        <f>TablaDatos[[#This Row],[FechaIngreso]]+TablaDatos[[#This Row],[DiasNuevo]]</f>
        <v>45088</v>
      </c>
    </row>
    <row r="34" spans="1:15">
      <c r="A34">
        <v>33</v>
      </c>
      <c r="B34" t="s">
        <v>288</v>
      </c>
      <c r="C34" s="1">
        <v>12785</v>
      </c>
      <c r="D34">
        <v>91</v>
      </c>
      <c r="E34" s="4" t="s">
        <v>15</v>
      </c>
      <c r="F34" t="s">
        <v>21</v>
      </c>
      <c r="G34" s="1">
        <v>45553</v>
      </c>
      <c r="H34" s="1">
        <f>TablaDatos[[#This Row],[FechaIngreso]]+TablaDatos[[#This Row],[DiasNuevo]]</f>
        <v>45574</v>
      </c>
      <c r="I34">
        <v>21</v>
      </c>
      <c r="J34" t="s">
        <v>23</v>
      </c>
      <c r="K34" s="3">
        <v>4287.55</v>
      </c>
      <c r="L34" t="b">
        <f>TablaDatos[[#This Row],[FechaAlta]] &lt; TablaDatos[[#This Row],[FechaIngreso]]</f>
        <v>0</v>
      </c>
      <c r="M34">
        <f>_xlfn.XLOOKUP(TablaDatos[[#This Row],[PacienteID]],'Datos_Ejemplo.csv'!A:A,'Datos_Ejemplo.csv'!I:I)</f>
        <v>21</v>
      </c>
      <c r="N34">
        <f>ABS(TablaDatos[[#This Row],[DiasOriginal]])</f>
        <v>21</v>
      </c>
      <c r="O34" s="1">
        <f>TablaDatos[[#This Row],[FechaIngreso]]+TablaDatos[[#This Row],[DiasNuevo]]</f>
        <v>45574</v>
      </c>
    </row>
    <row r="35" spans="1:15">
      <c r="A35">
        <v>34</v>
      </c>
      <c r="B35" t="s">
        <v>51</v>
      </c>
      <c r="C35" s="1">
        <v>24473</v>
      </c>
      <c r="D35">
        <v>59</v>
      </c>
      <c r="E35" s="4" t="s">
        <v>12</v>
      </c>
      <c r="F35" t="s">
        <v>13</v>
      </c>
      <c r="G35" s="1">
        <v>45133</v>
      </c>
      <c r="H35" s="1">
        <f>TablaDatos[[#This Row],[FechaIngreso]]+TablaDatos[[#This Row],[DiasNuevo]]</f>
        <v>45159</v>
      </c>
      <c r="I35">
        <v>26</v>
      </c>
      <c r="J35" t="s">
        <v>23</v>
      </c>
      <c r="K35" s="3">
        <v>4457.0200000000004</v>
      </c>
      <c r="L35" t="b">
        <f>TablaDatos[[#This Row],[FechaAlta]] &lt; TablaDatos[[#This Row],[FechaIngreso]]</f>
        <v>0</v>
      </c>
      <c r="M35">
        <f>_xlfn.XLOOKUP(TablaDatos[[#This Row],[PacienteID]],'Datos_Ejemplo.csv'!A:A,'Datos_Ejemplo.csv'!I:I)</f>
        <v>26</v>
      </c>
      <c r="N35">
        <f>ABS(TablaDatos[[#This Row],[DiasOriginal]])</f>
        <v>26</v>
      </c>
      <c r="O35" s="1">
        <f>TablaDatos[[#This Row],[FechaIngreso]]+TablaDatos[[#This Row],[DiasNuevo]]</f>
        <v>45159</v>
      </c>
    </row>
    <row r="36" spans="1:15">
      <c r="A36">
        <v>35</v>
      </c>
      <c r="B36" t="s">
        <v>52</v>
      </c>
      <c r="C36" s="1">
        <v>17168</v>
      </c>
      <c r="D36">
        <v>79</v>
      </c>
      <c r="E36" s="4" t="s">
        <v>15</v>
      </c>
      <c r="F36" t="s">
        <v>201</v>
      </c>
      <c r="G36" s="1">
        <v>45007</v>
      </c>
      <c r="H36" s="1">
        <f>TablaDatos[[#This Row],[FechaIngreso]]+TablaDatos[[#This Row],[DiasNuevo]]</f>
        <v>45011</v>
      </c>
      <c r="I36">
        <v>4</v>
      </c>
      <c r="J36" t="s">
        <v>23</v>
      </c>
      <c r="K36" s="3">
        <v>8555.91</v>
      </c>
      <c r="L36" t="b">
        <f>TablaDatos[[#This Row],[FechaAlta]] &lt; TablaDatos[[#This Row],[FechaIngreso]]</f>
        <v>0</v>
      </c>
      <c r="M36">
        <f>_xlfn.XLOOKUP(TablaDatos[[#This Row],[PacienteID]],'Datos_Ejemplo.csv'!A:A,'Datos_Ejemplo.csv'!I:I)</f>
        <v>4</v>
      </c>
      <c r="N36">
        <f>ABS(TablaDatos[[#This Row],[DiasOriginal]])</f>
        <v>4</v>
      </c>
      <c r="O36" s="1">
        <f>TablaDatos[[#This Row],[FechaIngreso]]+TablaDatos[[#This Row],[DiasNuevo]]</f>
        <v>45011</v>
      </c>
    </row>
    <row r="37" spans="1:15">
      <c r="A37">
        <v>36</v>
      </c>
      <c r="B37" t="s">
        <v>282</v>
      </c>
      <c r="C37" s="1">
        <v>40909</v>
      </c>
      <c r="D37">
        <v>14</v>
      </c>
      <c r="E37" s="4" t="s">
        <v>15</v>
      </c>
      <c r="F37" t="s">
        <v>13</v>
      </c>
      <c r="G37" s="1">
        <v>45541</v>
      </c>
      <c r="H37" s="1">
        <f>TablaDatos[[#This Row],[FechaIngreso]]+TablaDatos[[#This Row],[DiasNuevo]]</f>
        <v>45561</v>
      </c>
      <c r="I37">
        <v>20</v>
      </c>
      <c r="J37" t="s">
        <v>23</v>
      </c>
      <c r="K37" s="3">
        <v>1826.74</v>
      </c>
      <c r="L37" t="b">
        <f>TablaDatos[[#This Row],[FechaAlta]] &lt; TablaDatos[[#This Row],[FechaIngreso]]</f>
        <v>0</v>
      </c>
      <c r="M37">
        <f>_xlfn.XLOOKUP(TablaDatos[[#This Row],[PacienteID]],'Datos_Ejemplo.csv'!A:A,'Datos_Ejemplo.csv'!I:I)</f>
        <v>20</v>
      </c>
      <c r="N37">
        <f>ABS(TablaDatos[[#This Row],[DiasOriginal]])</f>
        <v>20</v>
      </c>
      <c r="O37" s="1">
        <f>TablaDatos[[#This Row],[FechaIngreso]]+TablaDatos[[#This Row],[DiasNuevo]]</f>
        <v>45561</v>
      </c>
    </row>
    <row r="38" spans="1:15">
      <c r="A38">
        <v>37</v>
      </c>
      <c r="B38" t="s">
        <v>313</v>
      </c>
      <c r="C38" s="1">
        <v>23742</v>
      </c>
      <c r="D38">
        <v>61</v>
      </c>
      <c r="E38" s="4" t="s">
        <v>12</v>
      </c>
      <c r="F38" t="s">
        <v>295</v>
      </c>
      <c r="G38" s="1">
        <v>45409</v>
      </c>
      <c r="H38" s="1">
        <f>TablaDatos[[#This Row],[FechaIngreso]]+TablaDatos[[#This Row],[DiasNuevo]]</f>
        <v>45433</v>
      </c>
      <c r="I38">
        <v>24</v>
      </c>
      <c r="J38" t="s">
        <v>23</v>
      </c>
      <c r="K38" s="3">
        <v>1399.73</v>
      </c>
      <c r="L38" t="b">
        <f>TablaDatos[[#This Row],[FechaAlta]] &lt; TablaDatos[[#This Row],[FechaIngreso]]</f>
        <v>0</v>
      </c>
      <c r="M38">
        <f>_xlfn.XLOOKUP(TablaDatos[[#This Row],[PacienteID]],'Datos_Ejemplo.csv'!A:A,'Datos_Ejemplo.csv'!I:I)</f>
        <v>24</v>
      </c>
      <c r="N38">
        <f>ABS(TablaDatos[[#This Row],[DiasOriginal]])</f>
        <v>24</v>
      </c>
      <c r="O38" s="1">
        <f>TablaDatos[[#This Row],[FechaIngreso]]+TablaDatos[[#This Row],[DiasNuevo]]</f>
        <v>45433</v>
      </c>
    </row>
    <row r="39" spans="1:15">
      <c r="A39">
        <v>38</v>
      </c>
      <c r="B39" t="s">
        <v>55</v>
      </c>
      <c r="C39" s="1">
        <v>23742</v>
      </c>
      <c r="D39">
        <v>61</v>
      </c>
      <c r="E39" s="4" t="s">
        <v>12</v>
      </c>
      <c r="F39" t="s">
        <v>261</v>
      </c>
      <c r="G39" s="1">
        <v>45518</v>
      </c>
      <c r="H39" s="1">
        <f>TablaDatos[[#This Row],[FechaIngreso]]+TablaDatos[[#This Row],[DiasNuevo]]</f>
        <v>45557</v>
      </c>
      <c r="I39">
        <v>39</v>
      </c>
      <c r="J39" t="s">
        <v>19</v>
      </c>
      <c r="K39" s="3">
        <v>1676.03</v>
      </c>
      <c r="L39" t="b">
        <f>TablaDatos[[#This Row],[FechaAlta]] &lt; TablaDatos[[#This Row],[FechaIngreso]]</f>
        <v>0</v>
      </c>
      <c r="M39">
        <f>_xlfn.XLOOKUP(TablaDatos[[#This Row],[PacienteID]],'Datos_Ejemplo.csv'!A:A,'Datos_Ejemplo.csv'!I:I)</f>
        <v>39</v>
      </c>
      <c r="N39">
        <f>ABS(TablaDatos[[#This Row],[DiasOriginal]])</f>
        <v>39</v>
      </c>
      <c r="O39" s="1">
        <f>TablaDatos[[#This Row],[FechaIngreso]]+TablaDatos[[#This Row],[DiasNuevo]]</f>
        <v>45557</v>
      </c>
    </row>
    <row r="40" spans="1:15">
      <c r="A40">
        <v>39</v>
      </c>
      <c r="B40" t="s">
        <v>282</v>
      </c>
      <c r="C40" s="1">
        <v>29221</v>
      </c>
      <c r="D40">
        <v>46</v>
      </c>
      <c r="E40" s="4" t="s">
        <v>15</v>
      </c>
      <c r="F40" t="s">
        <v>18</v>
      </c>
      <c r="G40" s="1">
        <v>45333</v>
      </c>
      <c r="H40" s="1">
        <f>TablaDatos[[#This Row],[FechaIngreso]]+TablaDatos[[#This Row],[DiasNuevo]]</f>
        <v>45339</v>
      </c>
      <c r="I40">
        <v>6</v>
      </c>
      <c r="J40" t="s">
        <v>23</v>
      </c>
      <c r="K40" s="3">
        <v>11416.88</v>
      </c>
      <c r="L40" t="b">
        <f>TablaDatos[[#This Row],[FechaAlta]] &lt; TablaDatos[[#This Row],[FechaIngreso]]</f>
        <v>0</v>
      </c>
      <c r="M40">
        <f>_xlfn.XLOOKUP(TablaDatos[[#This Row],[PacienteID]],'Datos_Ejemplo.csv'!A:A,'Datos_Ejemplo.csv'!I:I)</f>
        <v>6</v>
      </c>
      <c r="N40">
        <f>ABS(TablaDatos[[#This Row],[DiasOriginal]])</f>
        <v>6</v>
      </c>
      <c r="O40" s="1">
        <f>TablaDatos[[#This Row],[FechaIngreso]]+TablaDatos[[#This Row],[DiasNuevo]]</f>
        <v>45339</v>
      </c>
    </row>
    <row r="41" spans="1:15">
      <c r="A41">
        <v>40</v>
      </c>
      <c r="B41" t="s">
        <v>247</v>
      </c>
      <c r="C41" s="1">
        <v>23742</v>
      </c>
      <c r="D41">
        <f ca="1">DATEDIF(TablaDatos[[#This Row],[FechaNacimiento]],TODAY(),"Y")</f>
        <v>61</v>
      </c>
      <c r="E41" s="4" t="s">
        <v>12</v>
      </c>
      <c r="F41" t="s">
        <v>261</v>
      </c>
      <c r="G41" s="1">
        <v>45029</v>
      </c>
      <c r="H41" s="1">
        <f>TablaDatos[[#This Row],[FechaIngreso]]+TablaDatos[[#This Row],[DiasNuevo]]</f>
        <v>45029</v>
      </c>
      <c r="I41">
        <v>0</v>
      </c>
      <c r="J41" t="s">
        <v>19</v>
      </c>
      <c r="K41" s="3">
        <v>7894.61</v>
      </c>
      <c r="L41" t="b">
        <f>TablaDatos[[#This Row],[FechaAlta]] &lt; TablaDatos[[#This Row],[FechaIngreso]]</f>
        <v>0</v>
      </c>
      <c r="M41">
        <f>_xlfn.XLOOKUP(TablaDatos[[#This Row],[PacienteID]],'Datos_Ejemplo.csv'!A:A,'Datos_Ejemplo.csv'!I:I)</f>
        <v>0</v>
      </c>
      <c r="N41">
        <f>ABS(TablaDatos[[#This Row],[DiasOriginal]])</f>
        <v>0</v>
      </c>
      <c r="O41" s="1">
        <f>TablaDatos[[#This Row],[FechaIngreso]]+TablaDatos[[#This Row],[DiasNuevo]]</f>
        <v>45029</v>
      </c>
    </row>
    <row r="42" spans="1:15">
      <c r="A42">
        <v>41</v>
      </c>
      <c r="B42" t="s">
        <v>313</v>
      </c>
      <c r="C42" s="1">
        <v>27760</v>
      </c>
      <c r="D42">
        <v>50</v>
      </c>
      <c r="E42" s="4" t="s">
        <v>12</v>
      </c>
      <c r="F42" t="s">
        <v>261</v>
      </c>
      <c r="G42" s="1">
        <v>45166</v>
      </c>
      <c r="H42" s="1">
        <f>TablaDatos[[#This Row],[FechaIngreso]]+TablaDatos[[#This Row],[DiasNuevo]]</f>
        <v>45176</v>
      </c>
      <c r="I42">
        <v>10</v>
      </c>
      <c r="J42" t="s">
        <v>25</v>
      </c>
      <c r="K42" s="3">
        <v>5801.7</v>
      </c>
      <c r="L42" t="b">
        <f>TablaDatos[[#This Row],[FechaAlta]] &lt; TablaDatos[[#This Row],[FechaIngreso]]</f>
        <v>0</v>
      </c>
      <c r="M42">
        <f>_xlfn.XLOOKUP(TablaDatos[[#This Row],[PacienteID]],'Datos_Ejemplo.csv'!A:A,'Datos_Ejemplo.csv'!I:I)</f>
        <v>10</v>
      </c>
      <c r="N42">
        <f>ABS(TablaDatos[[#This Row],[DiasOriginal]])</f>
        <v>10</v>
      </c>
      <c r="O42" s="1">
        <f>TablaDatos[[#This Row],[FechaIngreso]]+TablaDatos[[#This Row],[DiasNuevo]]</f>
        <v>45176</v>
      </c>
    </row>
    <row r="43" spans="1:15">
      <c r="A43">
        <v>42</v>
      </c>
      <c r="B43" t="s">
        <v>338</v>
      </c>
      <c r="C43" s="1">
        <v>26299</v>
      </c>
      <c r="D43">
        <v>54</v>
      </c>
      <c r="E43" s="4" t="s">
        <v>12</v>
      </c>
      <c r="F43" t="s">
        <v>21</v>
      </c>
      <c r="G43" s="1">
        <v>45191</v>
      </c>
      <c r="H43" s="1">
        <f>TablaDatos[[#This Row],[FechaIngreso]]+TablaDatos[[#This Row],[DiasNuevo]]</f>
        <v>45194</v>
      </c>
      <c r="I43">
        <v>3</v>
      </c>
      <c r="J43" t="s">
        <v>19</v>
      </c>
      <c r="K43" s="3">
        <v>6247.97</v>
      </c>
      <c r="L43" t="b">
        <f>TablaDatos[[#This Row],[FechaAlta]] &lt; TablaDatos[[#This Row],[FechaIngreso]]</f>
        <v>0</v>
      </c>
      <c r="M43">
        <f>_xlfn.XLOOKUP(TablaDatos[[#This Row],[PacienteID]],'Datos_Ejemplo.csv'!A:A,'Datos_Ejemplo.csv'!I:I)</f>
        <v>3</v>
      </c>
      <c r="N43">
        <f>ABS(TablaDatos[[#This Row],[DiasOriginal]])</f>
        <v>3</v>
      </c>
      <c r="O43" s="1">
        <f>TablaDatos[[#This Row],[FechaIngreso]]+TablaDatos[[#This Row],[DiasNuevo]]</f>
        <v>45194</v>
      </c>
    </row>
    <row r="44" spans="1:15">
      <c r="A44">
        <v>43</v>
      </c>
      <c r="B44" t="s">
        <v>265</v>
      </c>
      <c r="C44" s="1">
        <v>23012</v>
      </c>
      <c r="D44">
        <v>63</v>
      </c>
      <c r="E44" s="4" t="s">
        <v>12</v>
      </c>
      <c r="F44" t="s">
        <v>295</v>
      </c>
      <c r="G44" s="1">
        <v>44959</v>
      </c>
      <c r="H44" s="1">
        <f>TablaDatos[[#This Row],[FechaIngreso]]+TablaDatos[[#This Row],[DiasNuevo]]</f>
        <v>44994</v>
      </c>
      <c r="I44">
        <v>35</v>
      </c>
      <c r="J44" t="s">
        <v>19</v>
      </c>
      <c r="K44" s="3">
        <v>4066.39</v>
      </c>
      <c r="L44" t="b">
        <f>TablaDatos[[#This Row],[FechaAlta]] &lt; TablaDatos[[#This Row],[FechaIngreso]]</f>
        <v>0</v>
      </c>
      <c r="M44">
        <f>_xlfn.XLOOKUP(TablaDatos[[#This Row],[PacienteID]],'Datos_Ejemplo.csv'!A:A,'Datos_Ejemplo.csv'!I:I)</f>
        <v>35</v>
      </c>
      <c r="N44">
        <f>ABS(TablaDatos[[#This Row],[DiasOriginal]])</f>
        <v>35</v>
      </c>
      <c r="O44" s="1">
        <f>TablaDatos[[#This Row],[FechaIngreso]]+TablaDatos[[#This Row],[DiasNuevo]]</f>
        <v>44994</v>
      </c>
    </row>
    <row r="45" spans="1:15">
      <c r="A45">
        <v>44</v>
      </c>
      <c r="B45" t="s">
        <v>267</v>
      </c>
      <c r="C45" s="1">
        <v>45292</v>
      </c>
      <c r="D45">
        <v>2</v>
      </c>
      <c r="E45" s="4" t="s">
        <v>12</v>
      </c>
      <c r="F45" t="s">
        <v>18</v>
      </c>
      <c r="G45" s="1">
        <v>44961</v>
      </c>
      <c r="H45" s="1">
        <f>TablaDatos[[#This Row],[FechaIngreso]]+TablaDatos[[#This Row],[DiasNuevo]]</f>
        <v>44979</v>
      </c>
      <c r="I45">
        <v>18</v>
      </c>
      <c r="J45" t="s">
        <v>23</v>
      </c>
      <c r="K45" s="3">
        <v>8171.26</v>
      </c>
      <c r="L45" t="b">
        <f>TablaDatos[[#This Row],[FechaAlta]] &lt; TablaDatos[[#This Row],[FechaIngreso]]</f>
        <v>0</v>
      </c>
      <c r="M45">
        <f>_xlfn.XLOOKUP(TablaDatos[[#This Row],[PacienteID]],'Datos_Ejemplo.csv'!A:A,'Datos_Ejemplo.csv'!I:I)</f>
        <v>18</v>
      </c>
      <c r="N45">
        <f>ABS(TablaDatos[[#This Row],[DiasOriginal]])</f>
        <v>18</v>
      </c>
      <c r="O45" s="1">
        <f>TablaDatos[[#This Row],[FechaIngreso]]+TablaDatos[[#This Row],[DiasNuevo]]</f>
        <v>44979</v>
      </c>
    </row>
    <row r="46" spans="1:15">
      <c r="A46">
        <v>45</v>
      </c>
      <c r="B46" t="s">
        <v>360</v>
      </c>
      <c r="C46" s="1">
        <v>27760</v>
      </c>
      <c r="D46">
        <v>50</v>
      </c>
      <c r="E46" s="4" t="s">
        <v>197</v>
      </c>
      <c r="F46" t="s">
        <v>13</v>
      </c>
      <c r="G46" s="1">
        <v>45175</v>
      </c>
      <c r="H46" s="1">
        <f>TablaDatos[[#This Row],[FechaIngreso]]+TablaDatos[[#This Row],[DiasNuevo]]</f>
        <v>45191</v>
      </c>
      <c r="I46">
        <v>16</v>
      </c>
      <c r="J46" t="s">
        <v>19</v>
      </c>
      <c r="K46" s="3">
        <v>3981.47</v>
      </c>
      <c r="L46" t="b">
        <f>TablaDatos[[#This Row],[FechaAlta]] &lt; TablaDatos[[#This Row],[FechaIngreso]]</f>
        <v>0</v>
      </c>
      <c r="M46">
        <f>_xlfn.XLOOKUP(TablaDatos[[#This Row],[PacienteID]],'Datos_Ejemplo.csv'!A:A,'Datos_Ejemplo.csv'!I:I)</f>
        <v>16</v>
      </c>
      <c r="N46">
        <f>ABS(TablaDatos[[#This Row],[DiasOriginal]])</f>
        <v>16</v>
      </c>
      <c r="O46" s="1">
        <f>TablaDatos[[#This Row],[FechaIngreso]]+TablaDatos[[#This Row],[DiasNuevo]]</f>
        <v>45191</v>
      </c>
    </row>
    <row r="47" spans="1:15">
      <c r="A47">
        <v>46</v>
      </c>
      <c r="B47" t="s">
        <v>231</v>
      </c>
      <c r="C47" s="1">
        <v>43831</v>
      </c>
      <c r="D47">
        <v>6</v>
      </c>
      <c r="E47" s="4" t="s">
        <v>15</v>
      </c>
      <c r="F47" t="s">
        <v>261</v>
      </c>
      <c r="G47" s="1">
        <v>44976</v>
      </c>
      <c r="H47" s="1">
        <f>TablaDatos[[#This Row],[FechaIngreso]]+TablaDatos[[#This Row],[DiasNuevo]]</f>
        <v>44998</v>
      </c>
      <c r="I47">
        <v>22</v>
      </c>
      <c r="J47" t="s">
        <v>23</v>
      </c>
      <c r="K47" s="3">
        <v>13930.73</v>
      </c>
      <c r="L47" t="b">
        <f>TablaDatos[[#This Row],[FechaAlta]] &lt; TablaDatos[[#This Row],[FechaIngreso]]</f>
        <v>0</v>
      </c>
      <c r="M47">
        <f>_xlfn.XLOOKUP(TablaDatos[[#This Row],[PacienteID]],'Datos_Ejemplo.csv'!A:A,'Datos_Ejemplo.csv'!I:I)</f>
        <v>22</v>
      </c>
      <c r="N47">
        <f>ABS(TablaDatos[[#This Row],[DiasOriginal]])</f>
        <v>22</v>
      </c>
      <c r="O47" s="1">
        <f>TablaDatos[[#This Row],[FechaIngreso]]+TablaDatos[[#This Row],[DiasNuevo]]</f>
        <v>44998</v>
      </c>
    </row>
    <row r="48" spans="1:15">
      <c r="A48">
        <v>47</v>
      </c>
      <c r="B48" t="s">
        <v>61</v>
      </c>
      <c r="C48" s="1">
        <v>38717</v>
      </c>
      <c r="D48">
        <v>20</v>
      </c>
      <c r="E48" s="4" t="s">
        <v>12</v>
      </c>
      <c r="F48" t="s">
        <v>21</v>
      </c>
      <c r="G48" s="1">
        <v>45206</v>
      </c>
      <c r="H48" s="1">
        <f>TablaDatos[[#This Row],[FechaIngreso]]+TablaDatos[[#This Row],[DiasNuevo]]</f>
        <v>45242</v>
      </c>
      <c r="I48">
        <v>36</v>
      </c>
      <c r="J48" t="s">
        <v>19</v>
      </c>
      <c r="K48" s="3">
        <v>2391.04</v>
      </c>
      <c r="L48" t="b">
        <f>TablaDatos[[#This Row],[FechaAlta]] &lt; TablaDatos[[#This Row],[FechaIngreso]]</f>
        <v>0</v>
      </c>
      <c r="M48">
        <f>_xlfn.XLOOKUP(TablaDatos[[#This Row],[PacienteID]],'Datos_Ejemplo.csv'!A:A,'Datos_Ejemplo.csv'!I:I)</f>
        <v>36</v>
      </c>
      <c r="N48">
        <f>ABS(TablaDatos[[#This Row],[DiasOriginal]])</f>
        <v>36</v>
      </c>
      <c r="O48" s="1">
        <f>TablaDatos[[#This Row],[FechaIngreso]]+TablaDatos[[#This Row],[DiasNuevo]]</f>
        <v>45242</v>
      </c>
    </row>
    <row r="49" spans="1:15">
      <c r="A49">
        <v>48</v>
      </c>
      <c r="B49" t="s">
        <v>231</v>
      </c>
      <c r="C49" s="1">
        <v>19724</v>
      </c>
      <c r="D49">
        <v>72</v>
      </c>
      <c r="E49" s="4" t="s">
        <v>15</v>
      </c>
      <c r="F49" t="s">
        <v>261</v>
      </c>
      <c r="G49" s="1">
        <v>45078</v>
      </c>
      <c r="H49" s="1">
        <f>TablaDatos[[#This Row],[FechaIngreso]]+TablaDatos[[#This Row],[DiasNuevo]]</f>
        <v>45079</v>
      </c>
      <c r="I49">
        <v>1</v>
      </c>
      <c r="J49" t="s">
        <v>25</v>
      </c>
      <c r="K49" s="3">
        <v>18959.669999999998</v>
      </c>
      <c r="L49" t="b">
        <f>TablaDatos[[#This Row],[FechaAlta]] &lt; TablaDatos[[#This Row],[FechaIngreso]]</f>
        <v>0</v>
      </c>
      <c r="M49">
        <f>_xlfn.XLOOKUP(TablaDatos[[#This Row],[PacienteID]],'Datos_Ejemplo.csv'!A:A,'Datos_Ejemplo.csv'!I:I)</f>
        <v>1</v>
      </c>
      <c r="N49">
        <f>ABS(TablaDatos[[#This Row],[DiasOriginal]])</f>
        <v>1</v>
      </c>
      <c r="O49" s="1">
        <f>TablaDatos[[#This Row],[FechaIngreso]]+TablaDatos[[#This Row],[DiasNuevo]]</f>
        <v>45079</v>
      </c>
    </row>
    <row r="50" spans="1:15">
      <c r="A50">
        <v>49</v>
      </c>
      <c r="B50" t="s">
        <v>302</v>
      </c>
      <c r="C50" s="1">
        <v>32143</v>
      </c>
      <c r="D50">
        <v>38</v>
      </c>
      <c r="E50" s="4" t="s">
        <v>15</v>
      </c>
      <c r="F50" t="s">
        <v>32</v>
      </c>
      <c r="G50" s="1">
        <v>45585</v>
      </c>
      <c r="H50" s="1">
        <f>TablaDatos[[#This Row],[FechaIngreso]]+TablaDatos[[#This Row],[DiasNuevo]]</f>
        <v>45604</v>
      </c>
      <c r="I50">
        <v>19</v>
      </c>
      <c r="J50" t="s">
        <v>23</v>
      </c>
      <c r="K50" s="3">
        <v>1705.36</v>
      </c>
      <c r="L50" t="b">
        <f>TablaDatos[[#This Row],[FechaAlta]] &lt; TablaDatos[[#This Row],[FechaIngreso]]</f>
        <v>0</v>
      </c>
      <c r="M50">
        <f>_xlfn.XLOOKUP(TablaDatos[[#This Row],[PacienteID]],'Datos_Ejemplo.csv'!A:A,'Datos_Ejemplo.csv'!I:I)</f>
        <v>19</v>
      </c>
      <c r="N50">
        <f>ABS(TablaDatos[[#This Row],[DiasOriginal]])</f>
        <v>19</v>
      </c>
      <c r="O50" s="1">
        <f>TablaDatos[[#This Row],[FechaIngreso]]+TablaDatos[[#This Row],[DiasNuevo]]</f>
        <v>45604</v>
      </c>
    </row>
    <row r="51" spans="1:15">
      <c r="A51">
        <v>50</v>
      </c>
      <c r="B51" t="s">
        <v>275</v>
      </c>
      <c r="C51" s="1">
        <v>39813</v>
      </c>
      <c r="D51">
        <f ca="1">DATEDIF(TablaDatos[[#This Row],[FechaNacimiento]],TODAY(),"Y")</f>
        <v>17</v>
      </c>
      <c r="E51" s="4" t="s">
        <v>15</v>
      </c>
      <c r="F51" t="s">
        <v>13</v>
      </c>
      <c r="G51" s="1">
        <v>45477</v>
      </c>
      <c r="H51" s="1">
        <f>TablaDatos[[#This Row],[FechaIngreso]]+TablaDatos[[#This Row],[DiasNuevo]]</f>
        <v>45479</v>
      </c>
      <c r="I51">
        <v>2</v>
      </c>
      <c r="J51" t="s">
        <v>23</v>
      </c>
      <c r="K51" s="3">
        <v>18863.560000000001</v>
      </c>
      <c r="L51" t="b">
        <f>TablaDatos[[#This Row],[FechaAlta]] &lt; TablaDatos[[#This Row],[FechaIngreso]]</f>
        <v>0</v>
      </c>
      <c r="M51">
        <f>_xlfn.XLOOKUP(TablaDatos[[#This Row],[PacienteID]],'Datos_Ejemplo.csv'!A:A,'Datos_Ejemplo.csv'!I:I)</f>
        <v>2</v>
      </c>
      <c r="N51">
        <f>ABS(TablaDatos[[#This Row],[DiasOriginal]])</f>
        <v>2</v>
      </c>
      <c r="O51" s="1">
        <f>TablaDatos[[#This Row],[FechaIngreso]]+TablaDatos[[#This Row],[DiasNuevo]]</f>
        <v>45479</v>
      </c>
    </row>
    <row r="52" spans="1:15">
      <c r="A52">
        <v>51</v>
      </c>
      <c r="B52" t="s">
        <v>361</v>
      </c>
      <c r="C52" s="1">
        <v>44927</v>
      </c>
      <c r="D52">
        <v>3</v>
      </c>
      <c r="E52" s="4" t="s">
        <v>15</v>
      </c>
      <c r="F52" t="s">
        <v>261</v>
      </c>
      <c r="G52" s="1">
        <v>45627</v>
      </c>
      <c r="H52" s="1">
        <f>TablaDatos[[#This Row],[FechaIngreso]]+TablaDatos[[#This Row],[DiasNuevo]]</f>
        <v>45629</v>
      </c>
      <c r="I52">
        <v>2</v>
      </c>
      <c r="J52" t="s">
        <v>25</v>
      </c>
      <c r="K52" s="3">
        <v>16649.23</v>
      </c>
      <c r="L52" t="b">
        <f>TablaDatos[[#This Row],[FechaAlta]] &lt; TablaDatos[[#This Row],[FechaIngreso]]</f>
        <v>0</v>
      </c>
      <c r="M52">
        <f>_xlfn.XLOOKUP(TablaDatos[[#This Row],[PacienteID]],'Datos_Ejemplo.csv'!A:A,'Datos_Ejemplo.csv'!I:I)</f>
        <v>-2</v>
      </c>
      <c r="N52">
        <f>ABS(TablaDatos[[#This Row],[DiasOriginal]])</f>
        <v>2</v>
      </c>
      <c r="O52" s="1">
        <f>TablaDatos[[#This Row],[FechaIngreso]]+TablaDatos[[#This Row],[DiasNuevo]]</f>
        <v>45629</v>
      </c>
    </row>
    <row r="53" spans="1:15">
      <c r="A53">
        <v>52</v>
      </c>
      <c r="B53" t="s">
        <v>336</v>
      </c>
      <c r="C53" s="1">
        <v>13880</v>
      </c>
      <c r="D53">
        <v>88</v>
      </c>
      <c r="E53" s="4" t="s">
        <v>12</v>
      </c>
      <c r="F53" t="s">
        <v>32</v>
      </c>
      <c r="G53" s="1">
        <v>45463</v>
      </c>
      <c r="H53" s="1">
        <f>TablaDatos[[#This Row],[FechaIngreso]]+TablaDatos[[#This Row],[DiasNuevo]]</f>
        <v>45477</v>
      </c>
      <c r="I53">
        <v>14</v>
      </c>
      <c r="J53" t="s">
        <v>23</v>
      </c>
      <c r="K53" s="3">
        <v>13582.31</v>
      </c>
      <c r="L53" t="b">
        <f>TablaDatos[[#This Row],[FechaAlta]] &lt; TablaDatos[[#This Row],[FechaIngreso]]</f>
        <v>0</v>
      </c>
      <c r="M53">
        <f>_xlfn.XLOOKUP(TablaDatos[[#This Row],[PacienteID]],'Datos_Ejemplo.csv'!A:A,'Datos_Ejemplo.csv'!I:I)</f>
        <v>14</v>
      </c>
      <c r="N53">
        <f>ABS(TablaDatos[[#This Row],[DiasOriginal]])</f>
        <v>14</v>
      </c>
      <c r="O53" s="1">
        <f>TablaDatos[[#This Row],[FechaIngreso]]+TablaDatos[[#This Row],[DiasNuevo]]</f>
        <v>45477</v>
      </c>
    </row>
    <row r="54" spans="1:15">
      <c r="A54">
        <v>53</v>
      </c>
      <c r="B54" t="s">
        <v>337</v>
      </c>
      <c r="C54" s="1">
        <v>24473</v>
      </c>
      <c r="D54">
        <v>59</v>
      </c>
      <c r="E54" s="4" t="s">
        <v>12</v>
      </c>
      <c r="F54" t="s">
        <v>32</v>
      </c>
      <c r="G54" s="1">
        <v>45156</v>
      </c>
      <c r="H54" s="1">
        <f>TablaDatos[[#This Row],[FechaIngreso]]+TablaDatos[[#This Row],[DiasNuevo]]</f>
        <v>45162</v>
      </c>
      <c r="I54">
        <v>6</v>
      </c>
      <c r="J54" t="s">
        <v>19</v>
      </c>
      <c r="K54" s="3">
        <v>18237.259999999998</v>
      </c>
      <c r="L54" t="b">
        <f>TablaDatos[[#This Row],[FechaAlta]] &lt; TablaDatos[[#This Row],[FechaIngreso]]</f>
        <v>0</v>
      </c>
      <c r="M54">
        <f>_xlfn.XLOOKUP(TablaDatos[[#This Row],[PacienteID]],'Datos_Ejemplo.csv'!A:A,'Datos_Ejemplo.csv'!I:I)</f>
        <v>6</v>
      </c>
      <c r="N54">
        <f>ABS(TablaDatos[[#This Row],[DiasOriginal]])</f>
        <v>6</v>
      </c>
      <c r="O54" s="1">
        <f>TablaDatos[[#This Row],[FechaIngreso]]+TablaDatos[[#This Row],[DiasNuevo]]</f>
        <v>45162</v>
      </c>
    </row>
    <row r="55" spans="1:15">
      <c r="A55">
        <v>54</v>
      </c>
      <c r="B55" t="s">
        <v>339</v>
      </c>
      <c r="C55" s="1">
        <v>41274</v>
      </c>
      <c r="D55">
        <v>13</v>
      </c>
      <c r="E55" s="4" t="s">
        <v>12</v>
      </c>
      <c r="F55" t="s">
        <v>21</v>
      </c>
      <c r="G55" s="1">
        <v>45591</v>
      </c>
      <c r="H55" s="1">
        <f>TablaDatos[[#This Row],[FechaIngreso]]+TablaDatos[[#This Row],[DiasNuevo]]</f>
        <v>45597</v>
      </c>
      <c r="I55">
        <v>6</v>
      </c>
      <c r="J55" t="s">
        <v>23</v>
      </c>
      <c r="K55" s="3">
        <v>2698.3</v>
      </c>
      <c r="L55" t="b">
        <f>TablaDatos[[#This Row],[FechaAlta]] &lt; TablaDatos[[#This Row],[FechaIngreso]]</f>
        <v>0</v>
      </c>
      <c r="M55">
        <f>_xlfn.XLOOKUP(TablaDatos[[#This Row],[PacienteID]],'Datos_Ejemplo.csv'!A:A,'Datos_Ejemplo.csv'!I:I)</f>
        <v>6</v>
      </c>
      <c r="N55">
        <f>ABS(TablaDatos[[#This Row],[DiasOriginal]])</f>
        <v>6</v>
      </c>
      <c r="O55" s="1">
        <f>TablaDatos[[#This Row],[FechaIngreso]]+TablaDatos[[#This Row],[DiasNuevo]]</f>
        <v>45597</v>
      </c>
    </row>
    <row r="56" spans="1:15">
      <c r="A56">
        <v>55</v>
      </c>
      <c r="B56" t="s">
        <v>66</v>
      </c>
      <c r="C56" s="1">
        <v>43100</v>
      </c>
      <c r="D56">
        <v>8</v>
      </c>
      <c r="E56" s="4" t="s">
        <v>15</v>
      </c>
      <c r="F56" t="s">
        <v>21</v>
      </c>
      <c r="G56" s="1">
        <v>45214</v>
      </c>
      <c r="H56" s="1">
        <f>TablaDatos[[#This Row],[FechaIngreso]]+TablaDatos[[#This Row],[DiasNuevo]]</f>
        <v>45235</v>
      </c>
      <c r="I56">
        <v>21</v>
      </c>
      <c r="J56" t="s">
        <v>23</v>
      </c>
      <c r="K56" s="3">
        <v>3443.93</v>
      </c>
      <c r="L56" t="b">
        <f>TablaDatos[[#This Row],[FechaAlta]] &lt; TablaDatos[[#This Row],[FechaIngreso]]</f>
        <v>0</v>
      </c>
      <c r="M56">
        <f>_xlfn.XLOOKUP(TablaDatos[[#This Row],[PacienteID]],'Datos_Ejemplo.csv'!A:A,'Datos_Ejemplo.csv'!I:I)</f>
        <v>21</v>
      </c>
      <c r="N56">
        <f>ABS(TablaDatos[[#This Row],[DiasOriginal]])</f>
        <v>21</v>
      </c>
      <c r="O56" s="1">
        <f>TablaDatos[[#This Row],[FechaIngreso]]+TablaDatos[[#This Row],[DiasNuevo]]</f>
        <v>45235</v>
      </c>
    </row>
    <row r="57" spans="1:15">
      <c r="A57">
        <v>56</v>
      </c>
      <c r="B57" t="s">
        <v>67</v>
      </c>
      <c r="C57" s="1">
        <v>13515</v>
      </c>
      <c r="D57">
        <v>89</v>
      </c>
      <c r="E57" s="4" t="s">
        <v>15</v>
      </c>
      <c r="F57" t="s">
        <v>32</v>
      </c>
      <c r="G57" s="1">
        <v>45321</v>
      </c>
      <c r="H57" s="1">
        <f>TablaDatos[[#This Row],[FechaIngreso]]+TablaDatos[[#This Row],[DiasNuevo]]</f>
        <v>45328</v>
      </c>
      <c r="I57">
        <v>7</v>
      </c>
      <c r="J57" t="s">
        <v>23</v>
      </c>
      <c r="K57" s="3">
        <v>4968.2700000000004</v>
      </c>
      <c r="L57" t="b">
        <f>TablaDatos[[#This Row],[FechaAlta]] &lt; TablaDatos[[#This Row],[FechaIngreso]]</f>
        <v>0</v>
      </c>
      <c r="M57">
        <f>_xlfn.XLOOKUP(TablaDatos[[#This Row],[PacienteID]],'Datos_Ejemplo.csv'!A:A,'Datos_Ejemplo.csv'!I:I)</f>
        <v>7</v>
      </c>
      <c r="N57">
        <f>ABS(TablaDatos[[#This Row],[DiasOriginal]])</f>
        <v>7</v>
      </c>
      <c r="O57" s="1">
        <f>TablaDatos[[#This Row],[FechaIngreso]]+TablaDatos[[#This Row],[DiasNuevo]]</f>
        <v>45328</v>
      </c>
    </row>
    <row r="58" spans="1:15">
      <c r="A58">
        <v>57</v>
      </c>
      <c r="B58" t="s">
        <v>340</v>
      </c>
      <c r="C58" s="1">
        <v>27029</v>
      </c>
      <c r="D58">
        <v>52</v>
      </c>
      <c r="E58" s="4" t="s">
        <v>12</v>
      </c>
      <c r="F58" t="s">
        <v>295</v>
      </c>
      <c r="G58" s="1">
        <v>45379</v>
      </c>
      <c r="H58" s="1">
        <f>TablaDatos[[#This Row],[FechaIngreso]]+TablaDatos[[#This Row],[DiasNuevo]]</f>
        <v>45396</v>
      </c>
      <c r="I58">
        <v>17</v>
      </c>
      <c r="J58" t="s">
        <v>19</v>
      </c>
      <c r="K58" s="3">
        <v>4820.71</v>
      </c>
      <c r="L58" t="b">
        <f>TablaDatos[[#This Row],[FechaAlta]] &lt; TablaDatos[[#This Row],[FechaIngreso]]</f>
        <v>0</v>
      </c>
      <c r="M58">
        <f>_xlfn.XLOOKUP(TablaDatos[[#This Row],[PacienteID]],'Datos_Ejemplo.csv'!A:A,'Datos_Ejemplo.csv'!I:I)</f>
        <v>17</v>
      </c>
      <c r="N58">
        <f>ABS(TablaDatos[[#This Row],[DiasOriginal]])</f>
        <v>17</v>
      </c>
      <c r="O58" s="1">
        <f>TablaDatos[[#This Row],[FechaIngreso]]+TablaDatos[[#This Row],[DiasNuevo]]</f>
        <v>45396</v>
      </c>
    </row>
    <row r="59" spans="1:15">
      <c r="A59">
        <v>58</v>
      </c>
      <c r="B59" t="s">
        <v>326</v>
      </c>
      <c r="C59" s="1">
        <v>45657</v>
      </c>
      <c r="D59">
        <v>1</v>
      </c>
      <c r="E59" s="4" t="s">
        <v>15</v>
      </c>
      <c r="F59" t="s">
        <v>261</v>
      </c>
      <c r="G59" s="1">
        <v>45546</v>
      </c>
      <c r="H59" s="1">
        <f>TablaDatos[[#This Row],[FechaIngreso]]+TablaDatos[[#This Row],[DiasNuevo]]</f>
        <v>45560</v>
      </c>
      <c r="I59">
        <v>14</v>
      </c>
      <c r="J59" t="s">
        <v>25</v>
      </c>
      <c r="K59" s="3">
        <v>6148.05</v>
      </c>
      <c r="L59" t="b">
        <f>TablaDatos[[#This Row],[FechaAlta]] &lt; TablaDatos[[#This Row],[FechaIngreso]]</f>
        <v>0</v>
      </c>
      <c r="M59">
        <f>_xlfn.XLOOKUP(TablaDatos[[#This Row],[PacienteID]],'Datos_Ejemplo.csv'!A:A,'Datos_Ejemplo.csv'!I:I)</f>
        <v>14</v>
      </c>
      <c r="N59">
        <f>ABS(TablaDatos[[#This Row],[DiasOriginal]])</f>
        <v>14</v>
      </c>
      <c r="O59" s="1">
        <f>TablaDatos[[#This Row],[FechaIngreso]]+TablaDatos[[#This Row],[DiasNuevo]]</f>
        <v>45560</v>
      </c>
    </row>
    <row r="60" spans="1:15">
      <c r="A60">
        <v>59</v>
      </c>
      <c r="B60" t="s">
        <v>260</v>
      </c>
      <c r="C60" s="1">
        <v>15707</v>
      </c>
      <c r="D60">
        <v>83</v>
      </c>
      <c r="E60" s="4" t="s">
        <v>12</v>
      </c>
      <c r="F60" t="s">
        <v>32</v>
      </c>
      <c r="G60" s="1">
        <v>44959</v>
      </c>
      <c r="H60" s="1">
        <f>TablaDatos[[#This Row],[FechaIngreso]]+TablaDatos[[#This Row],[DiasNuevo]]</f>
        <v>44969</v>
      </c>
      <c r="I60">
        <v>10</v>
      </c>
      <c r="J60" t="s">
        <v>23</v>
      </c>
      <c r="K60" s="3">
        <v>11470.18</v>
      </c>
      <c r="L60" t="b">
        <f>TablaDatos[[#This Row],[FechaAlta]] &lt; TablaDatos[[#This Row],[FechaIngreso]]</f>
        <v>0</v>
      </c>
      <c r="M60">
        <f>_xlfn.XLOOKUP(TablaDatos[[#This Row],[PacienteID]],'Datos_Ejemplo.csv'!A:A,'Datos_Ejemplo.csv'!I:I)</f>
        <v>10</v>
      </c>
      <c r="N60">
        <f>ABS(TablaDatos[[#This Row],[DiasOriginal]])</f>
        <v>10</v>
      </c>
      <c r="O60" s="1">
        <f>TablaDatos[[#This Row],[FechaIngreso]]+TablaDatos[[#This Row],[DiasNuevo]]</f>
        <v>44969</v>
      </c>
    </row>
    <row r="61" spans="1:15">
      <c r="A61">
        <v>60</v>
      </c>
      <c r="B61" t="s">
        <v>362</v>
      </c>
      <c r="C61" s="1">
        <v>12785</v>
      </c>
      <c r="D61">
        <v>91</v>
      </c>
      <c r="E61" s="4" t="s">
        <v>12</v>
      </c>
      <c r="F61" t="s">
        <v>32</v>
      </c>
      <c r="G61" s="1">
        <v>45289</v>
      </c>
      <c r="H61" s="1">
        <f>TablaDatos[[#This Row],[FechaIngreso]]+TablaDatos[[#This Row],[DiasNuevo]]</f>
        <v>45315</v>
      </c>
      <c r="I61">
        <v>26</v>
      </c>
      <c r="J61" t="s">
        <v>23</v>
      </c>
      <c r="K61" s="3">
        <v>466.27</v>
      </c>
      <c r="L61" t="b">
        <f>TablaDatos[[#This Row],[FechaAlta]] &lt; TablaDatos[[#This Row],[FechaIngreso]]</f>
        <v>0</v>
      </c>
      <c r="M61">
        <f>_xlfn.XLOOKUP(TablaDatos[[#This Row],[PacienteID]],'Datos_Ejemplo.csv'!A:A,'Datos_Ejemplo.csv'!I:I)</f>
        <v>26</v>
      </c>
      <c r="N61">
        <f>ABS(TablaDatos[[#This Row],[DiasOriginal]])</f>
        <v>26</v>
      </c>
      <c r="O61" s="1">
        <f>TablaDatos[[#This Row],[FechaIngreso]]+TablaDatos[[#This Row],[DiasNuevo]]</f>
        <v>45315</v>
      </c>
    </row>
    <row r="62" spans="1:15">
      <c r="A62">
        <v>61</v>
      </c>
      <c r="B62" t="s">
        <v>230</v>
      </c>
      <c r="C62" s="1">
        <v>24473</v>
      </c>
      <c r="D62">
        <v>59</v>
      </c>
      <c r="E62" s="4" t="s">
        <v>12</v>
      </c>
      <c r="F62" t="s">
        <v>21</v>
      </c>
      <c r="G62" s="1">
        <v>45037</v>
      </c>
      <c r="H62" s="1">
        <f>TablaDatos[[#This Row],[FechaIngreso]]+TablaDatos[[#This Row],[DiasNuevo]]</f>
        <v>45070</v>
      </c>
      <c r="I62">
        <v>33</v>
      </c>
      <c r="J62" t="s">
        <v>25</v>
      </c>
      <c r="K62" s="3">
        <v>7583.68</v>
      </c>
      <c r="L62" t="b">
        <f>TablaDatos[[#This Row],[FechaAlta]] &lt; TablaDatos[[#This Row],[FechaIngreso]]</f>
        <v>0</v>
      </c>
      <c r="M62">
        <f>_xlfn.XLOOKUP(TablaDatos[[#This Row],[PacienteID]],'Datos_Ejemplo.csv'!A:A,'Datos_Ejemplo.csv'!I:I)</f>
        <v>33</v>
      </c>
      <c r="N62">
        <f>ABS(TablaDatos[[#This Row],[DiasOriginal]])</f>
        <v>33</v>
      </c>
      <c r="O62" s="1">
        <f>TablaDatos[[#This Row],[FechaIngreso]]+TablaDatos[[#This Row],[DiasNuevo]]</f>
        <v>45070</v>
      </c>
    </row>
    <row r="63" spans="1:15">
      <c r="A63">
        <v>62</v>
      </c>
      <c r="B63" t="s">
        <v>234</v>
      </c>
      <c r="C63" s="1">
        <v>20455</v>
      </c>
      <c r="D63">
        <v>70</v>
      </c>
      <c r="E63" s="4" t="s">
        <v>12</v>
      </c>
      <c r="F63" t="s">
        <v>261</v>
      </c>
      <c r="G63" s="1">
        <v>45047</v>
      </c>
      <c r="H63" s="1">
        <f>TablaDatos[[#This Row],[FechaIngreso]]+TablaDatos[[#This Row],[DiasNuevo]]</f>
        <v>45067</v>
      </c>
      <c r="I63">
        <v>20</v>
      </c>
      <c r="J63" t="s">
        <v>25</v>
      </c>
      <c r="K63" s="3">
        <v>4852.34</v>
      </c>
      <c r="L63" t="b">
        <f>TablaDatos[[#This Row],[FechaAlta]] &lt; TablaDatos[[#This Row],[FechaIngreso]]</f>
        <v>0</v>
      </c>
      <c r="M63">
        <f>_xlfn.XLOOKUP(TablaDatos[[#This Row],[PacienteID]],'Datos_Ejemplo.csv'!A:A,'Datos_Ejemplo.csv'!I:I)</f>
        <v>20</v>
      </c>
      <c r="N63">
        <f>ABS(TablaDatos[[#This Row],[DiasOriginal]])</f>
        <v>20</v>
      </c>
      <c r="O63" s="1">
        <f>TablaDatos[[#This Row],[FechaIngreso]]+TablaDatos[[#This Row],[DiasNuevo]]</f>
        <v>45067</v>
      </c>
    </row>
    <row r="64" spans="1:15">
      <c r="A64">
        <v>63</v>
      </c>
      <c r="B64" t="s">
        <v>361</v>
      </c>
      <c r="C64" s="1">
        <v>30317</v>
      </c>
      <c r="D64">
        <v>43</v>
      </c>
      <c r="E64" s="4" t="s">
        <v>12</v>
      </c>
      <c r="F64" t="s">
        <v>18</v>
      </c>
      <c r="G64" s="1">
        <v>44942</v>
      </c>
      <c r="H64" s="1">
        <f>TablaDatos[[#This Row],[FechaIngreso]]+TablaDatos[[#This Row],[DiasNuevo]]</f>
        <v>44966</v>
      </c>
      <c r="I64">
        <v>24</v>
      </c>
      <c r="J64" t="s">
        <v>23</v>
      </c>
      <c r="K64" s="3">
        <v>12093.26</v>
      </c>
      <c r="L64" t="b">
        <f>TablaDatos[[#This Row],[FechaAlta]] &lt; TablaDatos[[#This Row],[FechaIngreso]]</f>
        <v>0</v>
      </c>
      <c r="M64">
        <f>_xlfn.XLOOKUP(TablaDatos[[#This Row],[PacienteID]],'Datos_Ejemplo.csv'!A:A,'Datos_Ejemplo.csv'!I:I)</f>
        <v>24</v>
      </c>
      <c r="N64">
        <f>ABS(TablaDatos[[#This Row],[DiasOriginal]])</f>
        <v>24</v>
      </c>
      <c r="O64" s="1">
        <f>TablaDatos[[#This Row],[FechaIngreso]]+TablaDatos[[#This Row],[DiasNuevo]]</f>
        <v>44966</v>
      </c>
    </row>
    <row r="65" spans="1:15">
      <c r="A65">
        <v>64</v>
      </c>
      <c r="B65" t="s">
        <v>259</v>
      </c>
      <c r="C65" s="1">
        <v>43466</v>
      </c>
      <c r="D65">
        <v>7</v>
      </c>
      <c r="E65" s="4" t="s">
        <v>15</v>
      </c>
      <c r="F65" t="s">
        <v>13</v>
      </c>
      <c r="G65" s="1">
        <v>45449</v>
      </c>
      <c r="H65" s="1">
        <f>TablaDatos[[#This Row],[FechaIngreso]]+TablaDatos[[#This Row],[DiasNuevo]]</f>
        <v>45464</v>
      </c>
      <c r="I65">
        <v>15</v>
      </c>
      <c r="J65" t="s">
        <v>23</v>
      </c>
      <c r="K65" s="3">
        <v>19701.900000000001</v>
      </c>
      <c r="L65" t="b">
        <f>TablaDatos[[#This Row],[FechaAlta]] &lt; TablaDatos[[#This Row],[FechaIngreso]]</f>
        <v>0</v>
      </c>
      <c r="M65">
        <f>_xlfn.XLOOKUP(TablaDatos[[#This Row],[PacienteID]],'Datos_Ejemplo.csv'!A:A,'Datos_Ejemplo.csv'!I:I)</f>
        <v>15</v>
      </c>
      <c r="N65">
        <f>ABS(TablaDatos[[#This Row],[DiasOriginal]])</f>
        <v>15</v>
      </c>
      <c r="O65" s="1">
        <f>TablaDatos[[#This Row],[FechaIngreso]]+TablaDatos[[#This Row],[DiasNuevo]]</f>
        <v>45464</v>
      </c>
    </row>
    <row r="66" spans="1:15">
      <c r="A66">
        <v>65</v>
      </c>
      <c r="B66" t="s">
        <v>296</v>
      </c>
      <c r="C66" s="1">
        <v>29221</v>
      </c>
      <c r="D66">
        <f ca="1">DATEDIF(TablaDatos[[#This Row],[FechaNacimiento]],TODAY(),"Y")</f>
        <v>46</v>
      </c>
      <c r="E66" s="4" t="s">
        <v>12</v>
      </c>
      <c r="F66" t="s">
        <v>21</v>
      </c>
      <c r="G66" s="1">
        <v>45641</v>
      </c>
      <c r="H66" s="1">
        <f>TablaDatos[[#This Row],[FechaIngreso]]+TablaDatos[[#This Row],[DiasNuevo]]</f>
        <v>45656</v>
      </c>
      <c r="I66">
        <v>15</v>
      </c>
      <c r="J66" t="s">
        <v>23</v>
      </c>
      <c r="K66" s="3">
        <v>10304.86</v>
      </c>
      <c r="L66" t="b">
        <f>TablaDatos[[#This Row],[FechaAlta]] &lt; TablaDatos[[#This Row],[FechaIngreso]]</f>
        <v>0</v>
      </c>
      <c r="M66">
        <f>_xlfn.XLOOKUP(TablaDatos[[#This Row],[PacienteID]],'Datos_Ejemplo.csv'!A:A,'Datos_Ejemplo.csv'!I:I)</f>
        <v>15</v>
      </c>
      <c r="N66">
        <f>ABS(TablaDatos[[#This Row],[DiasOriginal]])</f>
        <v>15</v>
      </c>
      <c r="O66" s="1">
        <f>TablaDatos[[#This Row],[FechaIngreso]]+TablaDatos[[#This Row],[DiasNuevo]]</f>
        <v>45656</v>
      </c>
    </row>
    <row r="67" spans="1:15">
      <c r="A67">
        <v>66</v>
      </c>
      <c r="B67" t="s">
        <v>304</v>
      </c>
      <c r="C67" s="1">
        <v>33604</v>
      </c>
      <c r="D67">
        <f ca="1">DATEDIF(TablaDatos[[#This Row],[FechaNacimiento]],TODAY(),"Y")</f>
        <v>34</v>
      </c>
      <c r="E67" s="4" t="s">
        <v>15</v>
      </c>
      <c r="F67" t="s">
        <v>261</v>
      </c>
      <c r="G67" s="1">
        <v>45640</v>
      </c>
      <c r="H67" s="1">
        <f>TablaDatos[[#This Row],[FechaIngreso]]+TablaDatos[[#This Row],[DiasNuevo]]</f>
        <v>45646</v>
      </c>
      <c r="I67">
        <v>6</v>
      </c>
      <c r="J67" t="s">
        <v>19</v>
      </c>
      <c r="K67" s="3">
        <v>8456.27</v>
      </c>
      <c r="L67" t="b">
        <f>TablaDatos[[#This Row],[FechaAlta]] &lt; TablaDatos[[#This Row],[FechaIngreso]]</f>
        <v>0</v>
      </c>
      <c r="M67">
        <f>_xlfn.XLOOKUP(TablaDatos[[#This Row],[PacienteID]],'Datos_Ejemplo.csv'!A:A,'Datos_Ejemplo.csv'!I:I)</f>
        <v>6</v>
      </c>
      <c r="N67">
        <f>ABS(TablaDatos[[#This Row],[DiasOriginal]])</f>
        <v>6</v>
      </c>
      <c r="O67" s="1">
        <f>TablaDatos[[#This Row],[FechaIngreso]]+TablaDatos[[#This Row],[DiasNuevo]]</f>
        <v>45646</v>
      </c>
    </row>
    <row r="68" spans="1:15">
      <c r="A68">
        <v>67</v>
      </c>
      <c r="B68" t="s">
        <v>286</v>
      </c>
      <c r="C68" s="1">
        <v>17898</v>
      </c>
      <c r="D68">
        <v>77</v>
      </c>
      <c r="E68" s="4" t="s">
        <v>15</v>
      </c>
      <c r="F68" t="s">
        <v>261</v>
      </c>
      <c r="G68" s="1">
        <v>45024</v>
      </c>
      <c r="H68" s="1">
        <f>TablaDatos[[#This Row],[FechaIngreso]]+TablaDatos[[#This Row],[DiasNuevo]]</f>
        <v>45024</v>
      </c>
      <c r="I68">
        <v>0</v>
      </c>
      <c r="J68" t="s">
        <v>25</v>
      </c>
      <c r="K68" s="3">
        <v>7301.7</v>
      </c>
      <c r="L68" t="b">
        <f>TablaDatos[[#This Row],[FechaAlta]] &lt; TablaDatos[[#This Row],[FechaIngreso]]</f>
        <v>0</v>
      </c>
      <c r="M68">
        <f>_xlfn.XLOOKUP(TablaDatos[[#This Row],[PacienteID]],'Datos_Ejemplo.csv'!A:A,'Datos_Ejemplo.csv'!I:I)</f>
        <v>0</v>
      </c>
      <c r="N68">
        <f>ABS(TablaDatos[[#This Row],[DiasOriginal]])</f>
        <v>0</v>
      </c>
      <c r="O68" s="1">
        <f>TablaDatos[[#This Row],[FechaIngreso]]+TablaDatos[[#This Row],[DiasNuevo]]</f>
        <v>45024</v>
      </c>
    </row>
    <row r="69" spans="1:15">
      <c r="A69">
        <v>68</v>
      </c>
      <c r="B69" t="s">
        <v>243</v>
      </c>
      <c r="C69" s="1">
        <v>16802</v>
      </c>
      <c r="D69">
        <v>80</v>
      </c>
      <c r="E69" s="4" t="s">
        <v>15</v>
      </c>
      <c r="F69" t="s">
        <v>201</v>
      </c>
      <c r="G69" s="1">
        <v>45042</v>
      </c>
      <c r="H69" s="1">
        <f>TablaDatos[[#This Row],[FechaIngreso]]+TablaDatos[[#This Row],[DiasNuevo]]</f>
        <v>45046</v>
      </c>
      <c r="I69">
        <v>4</v>
      </c>
      <c r="J69" t="s">
        <v>23</v>
      </c>
      <c r="K69" s="3">
        <v>15677.48</v>
      </c>
      <c r="L69" t="b">
        <f>TablaDatos[[#This Row],[FechaAlta]] &lt; TablaDatos[[#This Row],[FechaIngreso]]</f>
        <v>0</v>
      </c>
      <c r="M69">
        <f>_xlfn.XLOOKUP(TablaDatos[[#This Row],[PacienteID]],'Datos_Ejemplo.csv'!A:A,'Datos_Ejemplo.csv'!I:I)</f>
        <v>4</v>
      </c>
      <c r="N69">
        <f>ABS(TablaDatos[[#This Row],[DiasOriginal]])</f>
        <v>4</v>
      </c>
      <c r="O69" s="1">
        <f>TablaDatos[[#This Row],[FechaIngreso]]+TablaDatos[[#This Row],[DiasNuevo]]</f>
        <v>45046</v>
      </c>
    </row>
    <row r="70" spans="1:15">
      <c r="A70">
        <v>69</v>
      </c>
      <c r="B70" t="s">
        <v>307</v>
      </c>
      <c r="C70" s="1">
        <v>33239</v>
      </c>
      <c r="D70">
        <v>35</v>
      </c>
      <c r="E70" s="4" t="s">
        <v>12</v>
      </c>
      <c r="F70" t="s">
        <v>295</v>
      </c>
      <c r="G70" s="1">
        <v>45397</v>
      </c>
      <c r="H70" s="1">
        <f>TablaDatos[[#This Row],[FechaIngreso]]+TablaDatos[[#This Row],[DiasNuevo]]</f>
        <v>45409</v>
      </c>
      <c r="I70">
        <v>12</v>
      </c>
      <c r="J70" t="s">
        <v>23</v>
      </c>
      <c r="K70" s="3">
        <v>1346.82</v>
      </c>
      <c r="L70" t="b">
        <f>TablaDatos[[#This Row],[FechaAlta]] &lt; TablaDatos[[#This Row],[FechaIngreso]]</f>
        <v>0</v>
      </c>
      <c r="M70">
        <f>_xlfn.XLOOKUP(TablaDatos[[#This Row],[PacienteID]],'Datos_Ejemplo.csv'!A:A,'Datos_Ejemplo.csv'!I:I)</f>
        <v>12</v>
      </c>
      <c r="N70">
        <f>ABS(TablaDatos[[#This Row],[DiasOriginal]])</f>
        <v>12</v>
      </c>
      <c r="O70" s="1">
        <f>TablaDatos[[#This Row],[FechaIngreso]]+TablaDatos[[#This Row],[DiasNuevo]]</f>
        <v>45409</v>
      </c>
    </row>
    <row r="71" spans="1:15">
      <c r="A71">
        <v>70</v>
      </c>
      <c r="B71" t="s">
        <v>235</v>
      </c>
      <c r="C71" s="1">
        <v>28125</v>
      </c>
      <c r="D71">
        <v>49</v>
      </c>
      <c r="E71" s="4" t="s">
        <v>15</v>
      </c>
      <c r="F71" t="s">
        <v>13</v>
      </c>
      <c r="G71" s="1">
        <v>45365</v>
      </c>
      <c r="H71" s="1">
        <f>TablaDatos[[#This Row],[FechaIngreso]]+TablaDatos[[#This Row],[DiasNuevo]]</f>
        <v>45392</v>
      </c>
      <c r="I71">
        <v>27</v>
      </c>
      <c r="J71" t="s">
        <v>25</v>
      </c>
      <c r="K71" s="3">
        <v>19191.39</v>
      </c>
      <c r="L71" t="b">
        <f>TablaDatos[[#This Row],[FechaAlta]] &lt; TablaDatos[[#This Row],[FechaIngreso]]</f>
        <v>0</v>
      </c>
      <c r="M71">
        <f>_xlfn.XLOOKUP(TablaDatos[[#This Row],[PacienteID]],'Datos_Ejemplo.csv'!A:A,'Datos_Ejemplo.csv'!I:I)</f>
        <v>27</v>
      </c>
      <c r="N71">
        <f>ABS(TablaDatos[[#This Row],[DiasOriginal]])</f>
        <v>27</v>
      </c>
      <c r="O71" s="1">
        <f>TablaDatos[[#This Row],[FechaIngreso]]+TablaDatos[[#This Row],[DiasNuevo]]</f>
        <v>45392</v>
      </c>
    </row>
    <row r="72" spans="1:15">
      <c r="A72">
        <v>71</v>
      </c>
      <c r="B72" t="s">
        <v>232</v>
      </c>
      <c r="C72" s="1">
        <v>44927</v>
      </c>
      <c r="D72">
        <v>3</v>
      </c>
      <c r="E72" s="4" t="s">
        <v>15</v>
      </c>
      <c r="F72" t="s">
        <v>21</v>
      </c>
      <c r="G72" s="1">
        <v>45207</v>
      </c>
      <c r="H72" s="1">
        <f>TablaDatos[[#This Row],[FechaIngreso]]+TablaDatos[[#This Row],[DiasNuevo]]</f>
        <v>45213</v>
      </c>
      <c r="I72">
        <v>6</v>
      </c>
      <c r="J72" t="s">
        <v>23</v>
      </c>
      <c r="K72" s="3">
        <v>8300.15</v>
      </c>
      <c r="L72" t="b">
        <f>TablaDatos[[#This Row],[FechaAlta]] &lt; TablaDatos[[#This Row],[FechaIngreso]]</f>
        <v>0</v>
      </c>
      <c r="M72">
        <f>_xlfn.XLOOKUP(TablaDatos[[#This Row],[PacienteID]],'Datos_Ejemplo.csv'!A:A,'Datos_Ejemplo.csv'!I:I)</f>
        <v>6</v>
      </c>
      <c r="N72">
        <f>ABS(TablaDatos[[#This Row],[DiasOriginal]])</f>
        <v>6</v>
      </c>
      <c r="O72" s="1">
        <f>TablaDatos[[#This Row],[FechaIngreso]]+TablaDatos[[#This Row],[DiasNuevo]]</f>
        <v>45213</v>
      </c>
    </row>
    <row r="73" spans="1:15">
      <c r="A73">
        <v>72</v>
      </c>
      <c r="B73" t="s">
        <v>363</v>
      </c>
      <c r="C73" s="1">
        <v>45657</v>
      </c>
      <c r="D73">
        <v>1</v>
      </c>
      <c r="E73" s="4" t="s">
        <v>15</v>
      </c>
      <c r="F73" t="s">
        <v>21</v>
      </c>
      <c r="G73" s="1">
        <v>45275</v>
      </c>
      <c r="H73" s="1">
        <f>TablaDatos[[#This Row],[FechaIngreso]]+TablaDatos[[#This Row],[DiasNuevo]]</f>
        <v>45313</v>
      </c>
      <c r="I73">
        <v>38</v>
      </c>
      <c r="J73" t="s">
        <v>23</v>
      </c>
      <c r="K73" s="3">
        <v>6205.38</v>
      </c>
      <c r="L73" t="b">
        <f>TablaDatos[[#This Row],[FechaAlta]] &lt; TablaDatos[[#This Row],[FechaIngreso]]</f>
        <v>0</v>
      </c>
      <c r="M73">
        <f>_xlfn.XLOOKUP(TablaDatos[[#This Row],[PacienteID]],'Datos_Ejemplo.csv'!A:A,'Datos_Ejemplo.csv'!I:I)</f>
        <v>38</v>
      </c>
      <c r="N73">
        <f>ABS(TablaDatos[[#This Row],[DiasOriginal]])</f>
        <v>38</v>
      </c>
      <c r="O73" s="1">
        <f>TablaDatos[[#This Row],[FechaIngreso]]+TablaDatos[[#This Row],[DiasNuevo]]</f>
        <v>45313</v>
      </c>
    </row>
    <row r="74" spans="1:15">
      <c r="A74">
        <v>73</v>
      </c>
      <c r="B74" t="s">
        <v>252</v>
      </c>
      <c r="C74" s="1">
        <v>44196</v>
      </c>
      <c r="D74">
        <v>5</v>
      </c>
      <c r="E74" s="4" t="s">
        <v>12</v>
      </c>
      <c r="F74" t="s">
        <v>18</v>
      </c>
      <c r="G74" s="1">
        <v>45158</v>
      </c>
      <c r="H74" s="1">
        <f>TablaDatos[[#This Row],[FechaIngreso]]+TablaDatos[[#This Row],[DiasNuevo]]</f>
        <v>45182</v>
      </c>
      <c r="I74">
        <v>24</v>
      </c>
      <c r="J74" t="s">
        <v>19</v>
      </c>
      <c r="K74" s="3">
        <v>19478.77</v>
      </c>
      <c r="L74" t="b">
        <f>TablaDatos[[#This Row],[FechaAlta]] &lt; TablaDatos[[#This Row],[FechaIngreso]]</f>
        <v>0</v>
      </c>
      <c r="M74">
        <f>_xlfn.XLOOKUP(TablaDatos[[#This Row],[PacienteID]],'Datos_Ejemplo.csv'!A:A,'Datos_Ejemplo.csv'!I:I)</f>
        <v>24</v>
      </c>
      <c r="N74">
        <f>ABS(TablaDatos[[#This Row],[DiasOriginal]])</f>
        <v>24</v>
      </c>
      <c r="O74" s="1">
        <f>TablaDatos[[#This Row],[FechaIngreso]]+TablaDatos[[#This Row],[DiasNuevo]]</f>
        <v>45182</v>
      </c>
    </row>
    <row r="75" spans="1:15">
      <c r="A75">
        <v>74</v>
      </c>
      <c r="B75" t="s">
        <v>361</v>
      </c>
      <c r="C75" s="1">
        <v>26664</v>
      </c>
      <c r="D75">
        <v>53</v>
      </c>
      <c r="E75" s="4" t="s">
        <v>12</v>
      </c>
      <c r="F75" t="s">
        <v>201</v>
      </c>
      <c r="G75" s="1">
        <v>45037</v>
      </c>
      <c r="H75" s="1">
        <f>TablaDatos[[#This Row],[FechaIngreso]]+TablaDatos[[#This Row],[DiasNuevo]]</f>
        <v>45070</v>
      </c>
      <c r="I75">
        <v>33</v>
      </c>
      <c r="J75" t="s">
        <v>19</v>
      </c>
      <c r="K75" s="3">
        <v>18711.169999999998</v>
      </c>
      <c r="L75" t="b">
        <f>TablaDatos[[#This Row],[FechaAlta]] &lt; TablaDatos[[#This Row],[FechaIngreso]]</f>
        <v>0</v>
      </c>
      <c r="M75">
        <f>_xlfn.XLOOKUP(TablaDatos[[#This Row],[PacienteID]],'Datos_Ejemplo.csv'!A:A,'Datos_Ejemplo.csv'!I:I)</f>
        <v>33</v>
      </c>
      <c r="N75">
        <f>ABS(TablaDatos[[#This Row],[DiasOriginal]])</f>
        <v>33</v>
      </c>
      <c r="O75" s="1">
        <f>TablaDatos[[#This Row],[FechaIngreso]]+TablaDatos[[#This Row],[DiasNuevo]]</f>
        <v>45070</v>
      </c>
    </row>
    <row r="76" spans="1:15">
      <c r="A76">
        <v>75</v>
      </c>
      <c r="B76" t="s">
        <v>231</v>
      </c>
      <c r="C76" s="1">
        <v>44927</v>
      </c>
      <c r="D76">
        <v>3</v>
      </c>
      <c r="E76" s="4" t="s">
        <v>12</v>
      </c>
      <c r="F76" t="s">
        <v>201</v>
      </c>
      <c r="G76" s="1">
        <v>45278</v>
      </c>
      <c r="H76" s="1">
        <f>TablaDatos[[#This Row],[FechaIngreso]]+TablaDatos[[#This Row],[DiasNuevo]]</f>
        <v>45293</v>
      </c>
      <c r="I76">
        <v>15</v>
      </c>
      <c r="J76" t="s">
        <v>19</v>
      </c>
      <c r="K76" s="3">
        <v>12802.88</v>
      </c>
      <c r="L76" t="b">
        <f>TablaDatos[[#This Row],[FechaAlta]] &lt; TablaDatos[[#This Row],[FechaIngreso]]</f>
        <v>0</v>
      </c>
      <c r="M76">
        <f>_xlfn.XLOOKUP(TablaDatos[[#This Row],[PacienteID]],'Datos_Ejemplo.csv'!A:A,'Datos_Ejemplo.csv'!I:I)</f>
        <v>15</v>
      </c>
      <c r="N76">
        <f>ABS(TablaDatos[[#This Row],[DiasOriginal]])</f>
        <v>15</v>
      </c>
      <c r="O76" s="1">
        <f>TablaDatos[[#This Row],[FechaIngreso]]+TablaDatos[[#This Row],[DiasNuevo]]</f>
        <v>45293</v>
      </c>
    </row>
    <row r="77" spans="1:15">
      <c r="A77">
        <v>76</v>
      </c>
      <c r="B77" t="s">
        <v>244</v>
      </c>
      <c r="C77" s="1">
        <v>26664</v>
      </c>
      <c r="D77">
        <v>53</v>
      </c>
      <c r="E77" s="4" t="s">
        <v>12</v>
      </c>
      <c r="F77" t="s">
        <v>295</v>
      </c>
      <c r="G77" s="1">
        <v>44938</v>
      </c>
      <c r="H77" s="1">
        <f>TablaDatos[[#This Row],[FechaIngreso]]+TablaDatos[[#This Row],[DiasNuevo]]</f>
        <v>44966</v>
      </c>
      <c r="I77">
        <v>28</v>
      </c>
      <c r="J77" t="s">
        <v>23</v>
      </c>
      <c r="K77" s="3">
        <v>272</v>
      </c>
      <c r="L77" t="b">
        <f>TablaDatos[[#This Row],[FechaAlta]] &lt; TablaDatos[[#This Row],[FechaIngreso]]</f>
        <v>0</v>
      </c>
      <c r="M77">
        <f>_xlfn.XLOOKUP(TablaDatos[[#This Row],[PacienteID]],'Datos_Ejemplo.csv'!A:A,'Datos_Ejemplo.csv'!I:I)</f>
        <v>28</v>
      </c>
      <c r="N77">
        <f>ABS(TablaDatos[[#This Row],[DiasOriginal]])</f>
        <v>28</v>
      </c>
      <c r="O77" s="1">
        <f>TablaDatos[[#This Row],[FechaIngreso]]+TablaDatos[[#This Row],[DiasNuevo]]</f>
        <v>44966</v>
      </c>
    </row>
    <row r="78" spans="1:15">
      <c r="A78">
        <v>77</v>
      </c>
      <c r="B78" t="s">
        <v>236</v>
      </c>
      <c r="C78" s="1">
        <v>12419</v>
      </c>
      <c r="D78">
        <v>92</v>
      </c>
      <c r="E78" s="4" t="s">
        <v>15</v>
      </c>
      <c r="F78" t="s">
        <v>201</v>
      </c>
      <c r="G78" s="1">
        <v>45414</v>
      </c>
      <c r="H78" s="1">
        <f>TablaDatos[[#This Row],[FechaIngreso]]+TablaDatos[[#This Row],[DiasNuevo]]</f>
        <v>45428</v>
      </c>
      <c r="I78">
        <v>14</v>
      </c>
      <c r="J78" t="s">
        <v>25</v>
      </c>
      <c r="K78" s="3">
        <v>14945.55</v>
      </c>
      <c r="L78" t="b">
        <f>TablaDatos[[#This Row],[FechaAlta]] &lt; TablaDatos[[#This Row],[FechaIngreso]]</f>
        <v>0</v>
      </c>
      <c r="M78">
        <f>_xlfn.XLOOKUP(TablaDatos[[#This Row],[PacienteID]],'Datos_Ejemplo.csv'!A:A,'Datos_Ejemplo.csv'!I:I)</f>
        <v>14</v>
      </c>
      <c r="N78">
        <f>ABS(TablaDatos[[#This Row],[DiasOriginal]])</f>
        <v>14</v>
      </c>
      <c r="O78" s="1">
        <f>TablaDatos[[#This Row],[FechaIngreso]]+TablaDatos[[#This Row],[DiasNuevo]]</f>
        <v>45428</v>
      </c>
    </row>
    <row r="79" spans="1:15">
      <c r="A79">
        <v>78</v>
      </c>
      <c r="B79" t="s">
        <v>233</v>
      </c>
      <c r="C79" s="1">
        <v>23377</v>
      </c>
      <c r="D79">
        <v>62</v>
      </c>
      <c r="E79" s="4" t="s">
        <v>15</v>
      </c>
      <c r="F79" t="s">
        <v>295</v>
      </c>
      <c r="G79" s="1">
        <v>45459</v>
      </c>
      <c r="H79" s="1">
        <f>TablaDatos[[#This Row],[FechaIngreso]]+TablaDatos[[#This Row],[DiasNuevo]]</f>
        <v>45462</v>
      </c>
      <c r="I79">
        <v>3</v>
      </c>
      <c r="J79" t="s">
        <v>19</v>
      </c>
      <c r="K79" s="3">
        <v>6644.7</v>
      </c>
      <c r="L79" t="b">
        <f>TablaDatos[[#This Row],[FechaAlta]] &lt; TablaDatos[[#This Row],[FechaIngreso]]</f>
        <v>0</v>
      </c>
      <c r="M79">
        <f>_xlfn.XLOOKUP(TablaDatos[[#This Row],[PacienteID]],'Datos_Ejemplo.csv'!A:A,'Datos_Ejemplo.csv'!I:I)</f>
        <v>3</v>
      </c>
      <c r="N79">
        <f>ABS(TablaDatos[[#This Row],[DiasOriginal]])</f>
        <v>3</v>
      </c>
      <c r="O79" s="1">
        <f>TablaDatos[[#This Row],[FechaIngreso]]+TablaDatos[[#This Row],[DiasNuevo]]</f>
        <v>45462</v>
      </c>
    </row>
    <row r="80" spans="1:15">
      <c r="A80">
        <v>79</v>
      </c>
      <c r="B80" t="s">
        <v>242</v>
      </c>
      <c r="C80" s="1">
        <v>39813</v>
      </c>
      <c r="D80">
        <v>17</v>
      </c>
      <c r="E80" s="4" t="s">
        <v>12</v>
      </c>
      <c r="F80" t="s">
        <v>261</v>
      </c>
      <c r="G80" s="1">
        <v>45565</v>
      </c>
      <c r="H80" s="1">
        <f>TablaDatos[[#This Row],[FechaIngreso]]+TablaDatos[[#This Row],[DiasNuevo]]</f>
        <v>45601</v>
      </c>
      <c r="I80">
        <v>36</v>
      </c>
      <c r="J80" t="s">
        <v>19</v>
      </c>
      <c r="K80" s="3">
        <v>7704.43</v>
      </c>
      <c r="L80" t="b">
        <f>TablaDatos[[#This Row],[FechaAlta]] &lt; TablaDatos[[#This Row],[FechaIngreso]]</f>
        <v>0</v>
      </c>
      <c r="M80">
        <f>_xlfn.XLOOKUP(TablaDatos[[#This Row],[PacienteID]],'Datos_Ejemplo.csv'!A:A,'Datos_Ejemplo.csv'!I:I)</f>
        <v>36</v>
      </c>
      <c r="N80">
        <f>ABS(TablaDatos[[#This Row],[DiasOriginal]])</f>
        <v>36</v>
      </c>
      <c r="O80" s="1">
        <f>TablaDatos[[#This Row],[FechaIngreso]]+TablaDatos[[#This Row],[DiasNuevo]]</f>
        <v>45601</v>
      </c>
    </row>
    <row r="81" spans="1:15">
      <c r="A81">
        <v>80</v>
      </c>
      <c r="B81" t="s">
        <v>245</v>
      </c>
      <c r="C81" s="1">
        <v>13515</v>
      </c>
      <c r="D81">
        <v>89</v>
      </c>
      <c r="E81" s="4" t="s">
        <v>15</v>
      </c>
      <c r="F81" t="s">
        <v>261</v>
      </c>
      <c r="G81" s="1">
        <v>45211</v>
      </c>
      <c r="H81" s="1">
        <f>TablaDatos[[#This Row],[FechaIngreso]]+TablaDatos[[#This Row],[DiasNuevo]]</f>
        <v>45233</v>
      </c>
      <c r="I81">
        <v>22</v>
      </c>
      <c r="J81" t="s">
        <v>19</v>
      </c>
      <c r="K81" s="3">
        <v>3090.72</v>
      </c>
      <c r="L81" t="b">
        <f>TablaDatos[[#This Row],[FechaAlta]] &lt; TablaDatos[[#This Row],[FechaIngreso]]</f>
        <v>0</v>
      </c>
      <c r="M81">
        <f>_xlfn.XLOOKUP(TablaDatos[[#This Row],[PacienteID]],'Datos_Ejemplo.csv'!A:A,'Datos_Ejemplo.csv'!I:I)</f>
        <v>22</v>
      </c>
      <c r="N81">
        <f>ABS(TablaDatos[[#This Row],[DiasOriginal]])</f>
        <v>22</v>
      </c>
      <c r="O81" s="1">
        <f>TablaDatos[[#This Row],[FechaIngreso]]+TablaDatos[[#This Row],[DiasNuevo]]</f>
        <v>45233</v>
      </c>
    </row>
    <row r="82" spans="1:15">
      <c r="A82">
        <v>81</v>
      </c>
      <c r="B82" t="s">
        <v>332</v>
      </c>
      <c r="C82" s="1">
        <v>30317</v>
      </c>
      <c r="D82">
        <v>43</v>
      </c>
      <c r="E82" s="4" t="s">
        <v>15</v>
      </c>
      <c r="F82" t="s">
        <v>21</v>
      </c>
      <c r="G82" s="1">
        <v>45559</v>
      </c>
      <c r="H82" s="1">
        <f>TablaDatos[[#This Row],[FechaIngreso]]+TablaDatos[[#This Row],[DiasNuevo]]</f>
        <v>45598</v>
      </c>
      <c r="I82">
        <v>39</v>
      </c>
      <c r="J82" t="s">
        <v>19</v>
      </c>
      <c r="K82" s="3">
        <v>10421.51</v>
      </c>
      <c r="L82" t="b">
        <f>TablaDatos[[#This Row],[FechaAlta]] &lt; TablaDatos[[#This Row],[FechaIngreso]]</f>
        <v>0</v>
      </c>
      <c r="M82">
        <f>_xlfn.XLOOKUP(TablaDatos[[#This Row],[PacienteID]],'Datos_Ejemplo.csv'!A:A,'Datos_Ejemplo.csv'!I:I)</f>
        <v>39</v>
      </c>
      <c r="N82">
        <f>ABS(TablaDatos[[#This Row],[DiasOriginal]])</f>
        <v>39</v>
      </c>
      <c r="O82" s="1">
        <f>TablaDatos[[#This Row],[FechaIngreso]]+TablaDatos[[#This Row],[DiasNuevo]]</f>
        <v>45598</v>
      </c>
    </row>
    <row r="83" spans="1:15">
      <c r="A83">
        <v>82</v>
      </c>
      <c r="B83" t="s">
        <v>312</v>
      </c>
      <c r="C83" s="1">
        <v>33969</v>
      </c>
      <c r="D83">
        <f ca="1">DATEDIF(TablaDatos[[#This Row],[FechaNacimiento]],TODAY(),"Y")</f>
        <v>33</v>
      </c>
      <c r="E83" s="4" t="s">
        <v>15</v>
      </c>
      <c r="F83" t="s">
        <v>18</v>
      </c>
      <c r="G83" s="1">
        <v>45562</v>
      </c>
      <c r="H83" s="1">
        <f>TablaDatos[[#This Row],[FechaIngreso]]+TablaDatos[[#This Row],[DiasNuevo]]</f>
        <v>45601</v>
      </c>
      <c r="I83">
        <v>39</v>
      </c>
      <c r="J83" t="s">
        <v>23</v>
      </c>
      <c r="K83" s="3">
        <v>14865.51</v>
      </c>
      <c r="L83" t="b">
        <f>TablaDatos[[#This Row],[FechaAlta]] &lt; TablaDatos[[#This Row],[FechaIngreso]]</f>
        <v>0</v>
      </c>
      <c r="M83">
        <f>_xlfn.XLOOKUP(TablaDatos[[#This Row],[PacienteID]],'Datos_Ejemplo.csv'!A:A,'Datos_Ejemplo.csv'!I:I)</f>
        <v>39</v>
      </c>
      <c r="N83">
        <f>ABS(TablaDatos[[#This Row],[DiasOriginal]])</f>
        <v>39</v>
      </c>
      <c r="O83" s="1">
        <f>TablaDatos[[#This Row],[FechaIngreso]]+TablaDatos[[#This Row],[DiasNuevo]]</f>
        <v>45601</v>
      </c>
    </row>
    <row r="84" spans="1:15">
      <c r="A84">
        <v>83</v>
      </c>
      <c r="B84" t="s">
        <v>341</v>
      </c>
      <c r="C84" s="1">
        <v>19359</v>
      </c>
      <c r="D84">
        <v>73</v>
      </c>
      <c r="E84" s="4" t="s">
        <v>12</v>
      </c>
      <c r="F84" t="s">
        <v>21</v>
      </c>
      <c r="G84" s="1">
        <v>45471</v>
      </c>
      <c r="H84" s="1">
        <f>TablaDatos[[#This Row],[FechaIngreso]]+TablaDatos[[#This Row],[DiasNuevo]]</f>
        <v>45506</v>
      </c>
      <c r="I84">
        <v>35</v>
      </c>
      <c r="J84" t="s">
        <v>23</v>
      </c>
      <c r="K84" s="3">
        <v>5387.52</v>
      </c>
      <c r="L84" t="b">
        <f>TablaDatos[[#This Row],[FechaAlta]] &lt; TablaDatos[[#This Row],[FechaIngreso]]</f>
        <v>0</v>
      </c>
      <c r="M84">
        <f>_xlfn.XLOOKUP(TablaDatos[[#This Row],[PacienteID]],'Datos_Ejemplo.csv'!A:A,'Datos_Ejemplo.csv'!I:I)</f>
        <v>35</v>
      </c>
      <c r="N84">
        <f>ABS(TablaDatos[[#This Row],[DiasOriginal]])</f>
        <v>35</v>
      </c>
      <c r="O84" s="1">
        <f>TablaDatos[[#This Row],[FechaIngreso]]+TablaDatos[[#This Row],[DiasNuevo]]</f>
        <v>45506</v>
      </c>
    </row>
    <row r="85" spans="1:15">
      <c r="A85">
        <v>84</v>
      </c>
      <c r="B85" t="s">
        <v>245</v>
      </c>
      <c r="C85" s="1">
        <v>23742</v>
      </c>
      <c r="D85">
        <v>61</v>
      </c>
      <c r="E85" s="4" t="s">
        <v>15</v>
      </c>
      <c r="F85" t="s">
        <v>201</v>
      </c>
      <c r="G85" s="1">
        <v>45318</v>
      </c>
      <c r="H85" s="1">
        <f>TablaDatos[[#This Row],[FechaIngreso]]+TablaDatos[[#This Row],[DiasNuevo]]</f>
        <v>45353</v>
      </c>
      <c r="I85">
        <v>35</v>
      </c>
      <c r="J85" t="s">
        <v>25</v>
      </c>
      <c r="K85" s="3">
        <v>18768.53</v>
      </c>
      <c r="L85" t="b">
        <f>TablaDatos[[#This Row],[FechaAlta]] &lt; TablaDatos[[#This Row],[FechaIngreso]]</f>
        <v>0</v>
      </c>
      <c r="M85">
        <f>_xlfn.XLOOKUP(TablaDatos[[#This Row],[PacienteID]],'Datos_Ejemplo.csv'!A:A,'Datos_Ejemplo.csv'!I:I)</f>
        <v>35</v>
      </c>
      <c r="N85">
        <f>ABS(TablaDatos[[#This Row],[DiasOriginal]])</f>
        <v>35</v>
      </c>
      <c r="O85" s="1">
        <f>TablaDatos[[#This Row],[FechaIngreso]]+TablaDatos[[#This Row],[DiasNuevo]]</f>
        <v>45353</v>
      </c>
    </row>
    <row r="86" spans="1:15">
      <c r="A86">
        <v>85</v>
      </c>
      <c r="B86" t="s">
        <v>337</v>
      </c>
      <c r="C86" s="1">
        <v>41274</v>
      </c>
      <c r="D86">
        <v>13</v>
      </c>
      <c r="E86" s="4" t="s">
        <v>12</v>
      </c>
      <c r="F86" t="s">
        <v>32</v>
      </c>
      <c r="G86" s="1">
        <v>45096</v>
      </c>
      <c r="H86" s="1">
        <f>TablaDatos[[#This Row],[FechaIngreso]]+TablaDatos[[#This Row],[DiasNuevo]]</f>
        <v>45124</v>
      </c>
      <c r="I86">
        <v>28</v>
      </c>
      <c r="J86" t="s">
        <v>23</v>
      </c>
      <c r="K86" s="3">
        <v>3814.21</v>
      </c>
      <c r="L86" t="b">
        <f>TablaDatos[[#This Row],[FechaAlta]] &lt; TablaDatos[[#This Row],[FechaIngreso]]</f>
        <v>0</v>
      </c>
      <c r="M86">
        <f>_xlfn.XLOOKUP(TablaDatos[[#This Row],[PacienteID]],'Datos_Ejemplo.csv'!A:A,'Datos_Ejemplo.csv'!I:I)</f>
        <v>28</v>
      </c>
      <c r="N86">
        <f>ABS(TablaDatos[[#This Row],[DiasOriginal]])</f>
        <v>28</v>
      </c>
      <c r="O86" s="1">
        <f>TablaDatos[[#This Row],[FechaIngreso]]+TablaDatos[[#This Row],[DiasNuevo]]</f>
        <v>45124</v>
      </c>
    </row>
    <row r="87" spans="1:15">
      <c r="A87">
        <v>86</v>
      </c>
      <c r="B87" t="s">
        <v>247</v>
      </c>
      <c r="C87" s="1">
        <v>11689</v>
      </c>
      <c r="D87">
        <v>94</v>
      </c>
      <c r="E87" s="4" t="s">
        <v>15</v>
      </c>
      <c r="F87" t="s">
        <v>261</v>
      </c>
      <c r="G87" s="1">
        <v>45003</v>
      </c>
      <c r="H87" s="1">
        <f>TablaDatos[[#This Row],[FechaIngreso]]+TablaDatos[[#This Row],[DiasNuevo]]</f>
        <v>45029</v>
      </c>
      <c r="I87">
        <v>26</v>
      </c>
      <c r="J87" t="s">
        <v>23</v>
      </c>
      <c r="K87" s="3">
        <v>1231.8699999999999</v>
      </c>
      <c r="L87" t="b">
        <f>TablaDatos[[#This Row],[FechaAlta]] &lt; TablaDatos[[#This Row],[FechaIngreso]]</f>
        <v>0</v>
      </c>
      <c r="M87">
        <f>_xlfn.XLOOKUP(TablaDatos[[#This Row],[PacienteID]],'Datos_Ejemplo.csv'!A:A,'Datos_Ejemplo.csv'!I:I)</f>
        <v>26</v>
      </c>
      <c r="N87">
        <f>ABS(TablaDatos[[#This Row],[DiasOriginal]])</f>
        <v>26</v>
      </c>
      <c r="O87" s="1">
        <f>TablaDatos[[#This Row],[FechaIngreso]]+TablaDatos[[#This Row],[DiasNuevo]]</f>
        <v>45029</v>
      </c>
    </row>
    <row r="88" spans="1:15">
      <c r="A88">
        <v>87</v>
      </c>
      <c r="B88" t="s">
        <v>90</v>
      </c>
      <c r="C88" s="1">
        <v>28856</v>
      </c>
      <c r="D88">
        <v>47</v>
      </c>
      <c r="E88" s="4" t="s">
        <v>12</v>
      </c>
      <c r="F88" t="s">
        <v>32</v>
      </c>
      <c r="G88" s="1">
        <v>45223</v>
      </c>
      <c r="H88" s="1">
        <f>TablaDatos[[#This Row],[FechaIngreso]]+TablaDatos[[#This Row],[DiasNuevo]]</f>
        <v>45260</v>
      </c>
      <c r="I88">
        <v>37</v>
      </c>
      <c r="J88" t="s">
        <v>23</v>
      </c>
      <c r="K88" s="3">
        <v>12851.71</v>
      </c>
      <c r="L88" t="b">
        <f>TablaDatos[[#This Row],[FechaAlta]] &lt; TablaDatos[[#This Row],[FechaIngreso]]</f>
        <v>0</v>
      </c>
      <c r="M88">
        <f>_xlfn.XLOOKUP(TablaDatos[[#This Row],[PacienteID]],'Datos_Ejemplo.csv'!A:A,'Datos_Ejemplo.csv'!I:I)</f>
        <v>37</v>
      </c>
      <c r="N88">
        <f>ABS(TablaDatos[[#This Row],[DiasOriginal]])</f>
        <v>37</v>
      </c>
      <c r="O88" s="1">
        <f>TablaDatos[[#This Row],[FechaIngreso]]+TablaDatos[[#This Row],[DiasNuevo]]</f>
        <v>45260</v>
      </c>
    </row>
    <row r="89" spans="1:15">
      <c r="A89">
        <v>88</v>
      </c>
      <c r="B89" t="s">
        <v>264</v>
      </c>
      <c r="C89" s="1">
        <v>40909</v>
      </c>
      <c r="D89">
        <v>14</v>
      </c>
      <c r="E89" s="4" t="s">
        <v>15</v>
      </c>
      <c r="F89" t="s">
        <v>201</v>
      </c>
      <c r="G89" s="1">
        <v>45256</v>
      </c>
      <c r="H89" s="1">
        <f>TablaDatos[[#This Row],[FechaIngreso]]+TablaDatos[[#This Row],[DiasNuevo]]</f>
        <v>45262</v>
      </c>
      <c r="I89">
        <v>6</v>
      </c>
      <c r="J89" t="s">
        <v>23</v>
      </c>
      <c r="K89" s="3">
        <v>16971.310000000001</v>
      </c>
      <c r="L89" t="b">
        <f>TablaDatos[[#This Row],[FechaAlta]] &lt; TablaDatos[[#This Row],[FechaIngreso]]</f>
        <v>0</v>
      </c>
      <c r="M89">
        <f>_xlfn.XLOOKUP(TablaDatos[[#This Row],[PacienteID]],'Datos_Ejemplo.csv'!A:A,'Datos_Ejemplo.csv'!I:I)</f>
        <v>6</v>
      </c>
      <c r="N89">
        <f>ABS(TablaDatos[[#This Row],[DiasOriginal]])</f>
        <v>6</v>
      </c>
      <c r="O89" s="1">
        <f>TablaDatos[[#This Row],[FechaIngreso]]+TablaDatos[[#This Row],[DiasNuevo]]</f>
        <v>45262</v>
      </c>
    </row>
    <row r="90" spans="1:15">
      <c r="A90">
        <v>89</v>
      </c>
      <c r="B90" t="s">
        <v>292</v>
      </c>
      <c r="C90" s="1">
        <v>20090</v>
      </c>
      <c r="D90">
        <v>71</v>
      </c>
      <c r="E90" s="4" t="s">
        <v>15</v>
      </c>
      <c r="F90" t="s">
        <v>18</v>
      </c>
      <c r="G90" s="1">
        <v>44989</v>
      </c>
      <c r="H90" s="1">
        <f>TablaDatos[[#This Row],[FechaIngreso]]+TablaDatos[[#This Row],[DiasNuevo]]</f>
        <v>44991</v>
      </c>
      <c r="I90">
        <v>2</v>
      </c>
      <c r="J90" t="s">
        <v>23</v>
      </c>
      <c r="K90" s="3">
        <v>19057.97</v>
      </c>
      <c r="L90" t="b">
        <f>TablaDatos[[#This Row],[FechaAlta]] &lt; TablaDatos[[#This Row],[FechaIngreso]]</f>
        <v>0</v>
      </c>
      <c r="M90">
        <f>_xlfn.XLOOKUP(TablaDatos[[#This Row],[PacienteID]],'Datos_Ejemplo.csv'!A:A,'Datos_Ejemplo.csv'!I:I)</f>
        <v>-2</v>
      </c>
      <c r="N90">
        <f>ABS(TablaDatos[[#This Row],[DiasOriginal]])</f>
        <v>2</v>
      </c>
      <c r="O90" s="1">
        <f>TablaDatos[[#This Row],[FechaIngreso]]+TablaDatos[[#This Row],[DiasNuevo]]</f>
        <v>44991</v>
      </c>
    </row>
    <row r="91" spans="1:15">
      <c r="A91">
        <v>90</v>
      </c>
      <c r="B91" t="s">
        <v>332</v>
      </c>
      <c r="C91" s="1">
        <v>17898</v>
      </c>
      <c r="D91">
        <v>77</v>
      </c>
      <c r="E91" s="4" t="s">
        <v>15</v>
      </c>
      <c r="F91" t="s">
        <v>21</v>
      </c>
      <c r="G91" s="1">
        <v>45196</v>
      </c>
      <c r="H91" s="1">
        <f>TablaDatos[[#This Row],[FechaIngreso]]+TablaDatos[[#This Row],[DiasNuevo]]</f>
        <v>45209</v>
      </c>
      <c r="I91">
        <v>13</v>
      </c>
      <c r="J91" t="s">
        <v>23</v>
      </c>
      <c r="K91" s="3">
        <v>15320.14</v>
      </c>
      <c r="L91" t="b">
        <f>TablaDatos[[#This Row],[FechaAlta]] &lt; TablaDatos[[#This Row],[FechaIngreso]]</f>
        <v>0</v>
      </c>
      <c r="M91">
        <f>_xlfn.XLOOKUP(TablaDatos[[#This Row],[PacienteID]],'Datos_Ejemplo.csv'!A:A,'Datos_Ejemplo.csv'!I:I)</f>
        <v>13</v>
      </c>
      <c r="N91">
        <f>ABS(TablaDatos[[#This Row],[DiasOriginal]])</f>
        <v>13</v>
      </c>
      <c r="O91" s="1">
        <f>TablaDatos[[#This Row],[FechaIngreso]]+TablaDatos[[#This Row],[DiasNuevo]]</f>
        <v>45209</v>
      </c>
    </row>
    <row r="92" spans="1:15">
      <c r="A92">
        <v>91</v>
      </c>
      <c r="B92" t="s">
        <v>342</v>
      </c>
      <c r="C92" s="1">
        <v>14611</v>
      </c>
      <c r="D92">
        <v>86</v>
      </c>
      <c r="E92" s="4" t="s">
        <v>12</v>
      </c>
      <c r="F92" t="s">
        <v>261</v>
      </c>
      <c r="G92" s="1">
        <v>45142</v>
      </c>
      <c r="H92" s="1">
        <f>TablaDatos[[#This Row],[FechaIngreso]]+TablaDatos[[#This Row],[DiasNuevo]]</f>
        <v>45177</v>
      </c>
      <c r="I92">
        <v>35</v>
      </c>
      <c r="J92" t="s">
        <v>23</v>
      </c>
      <c r="K92" s="3">
        <v>3912.97</v>
      </c>
      <c r="L92" t="b">
        <f>TablaDatos[[#This Row],[FechaAlta]] &lt; TablaDatos[[#This Row],[FechaIngreso]]</f>
        <v>0</v>
      </c>
      <c r="M92">
        <f>_xlfn.XLOOKUP(TablaDatos[[#This Row],[PacienteID]],'Datos_Ejemplo.csv'!A:A,'Datos_Ejemplo.csv'!I:I)</f>
        <v>35</v>
      </c>
      <c r="N92">
        <f>ABS(TablaDatos[[#This Row],[DiasOriginal]])</f>
        <v>35</v>
      </c>
      <c r="O92" s="1">
        <f>TablaDatos[[#This Row],[FechaIngreso]]+TablaDatos[[#This Row],[DiasNuevo]]</f>
        <v>45177</v>
      </c>
    </row>
    <row r="93" spans="1:15">
      <c r="A93">
        <v>92</v>
      </c>
      <c r="B93" t="s">
        <v>289</v>
      </c>
      <c r="C93" s="1">
        <v>23742</v>
      </c>
      <c r="D93">
        <v>61</v>
      </c>
      <c r="E93" s="4" t="s">
        <v>15</v>
      </c>
      <c r="F93" t="s">
        <v>18</v>
      </c>
      <c r="G93" s="1">
        <v>45116</v>
      </c>
      <c r="H93" s="1">
        <f>TablaDatos[[#This Row],[FechaIngreso]]+TablaDatos[[#This Row],[DiasNuevo]]</f>
        <v>45136</v>
      </c>
      <c r="I93">
        <v>20</v>
      </c>
      <c r="J93" t="s">
        <v>23</v>
      </c>
      <c r="K93" s="3">
        <v>19550.990000000002</v>
      </c>
      <c r="L93" t="b">
        <f>TablaDatos[[#This Row],[FechaAlta]] &lt; TablaDatos[[#This Row],[FechaIngreso]]</f>
        <v>0</v>
      </c>
      <c r="M93">
        <f>_xlfn.XLOOKUP(TablaDatos[[#This Row],[PacienteID]],'Datos_Ejemplo.csv'!A:A,'Datos_Ejemplo.csv'!I:I)</f>
        <v>20</v>
      </c>
      <c r="N93">
        <f>ABS(TablaDatos[[#This Row],[DiasOriginal]])</f>
        <v>20</v>
      </c>
      <c r="O93" s="1">
        <f>TablaDatos[[#This Row],[FechaIngreso]]+TablaDatos[[#This Row],[DiasNuevo]]</f>
        <v>45136</v>
      </c>
    </row>
    <row r="94" spans="1:15">
      <c r="A94">
        <v>93</v>
      </c>
      <c r="B94" t="s">
        <v>265</v>
      </c>
      <c r="C94" s="1">
        <v>31778</v>
      </c>
      <c r="D94">
        <v>39</v>
      </c>
      <c r="E94" s="4" t="s">
        <v>12</v>
      </c>
      <c r="F94" t="s">
        <v>21</v>
      </c>
      <c r="G94" s="1">
        <v>45001</v>
      </c>
      <c r="H94" s="1">
        <f>TablaDatos[[#This Row],[FechaIngreso]]+TablaDatos[[#This Row],[DiasNuevo]]</f>
        <v>45006</v>
      </c>
      <c r="I94">
        <v>5</v>
      </c>
      <c r="J94" t="s">
        <v>23</v>
      </c>
      <c r="K94" s="3">
        <v>18380.66</v>
      </c>
      <c r="L94" t="b">
        <f>TablaDatos[[#This Row],[FechaAlta]] &lt; TablaDatos[[#This Row],[FechaIngreso]]</f>
        <v>0</v>
      </c>
      <c r="M94">
        <f>_xlfn.XLOOKUP(TablaDatos[[#This Row],[PacienteID]],'Datos_Ejemplo.csv'!A:A,'Datos_Ejemplo.csv'!I:I)</f>
        <v>5</v>
      </c>
      <c r="N94">
        <f>ABS(TablaDatos[[#This Row],[DiasOriginal]])</f>
        <v>5</v>
      </c>
      <c r="O94" s="1">
        <f>TablaDatos[[#This Row],[FechaIngreso]]+TablaDatos[[#This Row],[DiasNuevo]]</f>
        <v>45006</v>
      </c>
    </row>
    <row r="95" spans="1:15">
      <c r="A95">
        <v>94</v>
      </c>
      <c r="B95" t="s">
        <v>294</v>
      </c>
      <c r="C95" s="1">
        <v>15341</v>
      </c>
      <c r="D95">
        <v>84</v>
      </c>
      <c r="E95" s="4" t="s">
        <v>12</v>
      </c>
      <c r="F95" t="s">
        <v>21</v>
      </c>
      <c r="G95" s="1">
        <v>45612</v>
      </c>
      <c r="H95" s="1">
        <f>TablaDatos[[#This Row],[FechaIngreso]]+TablaDatos[[#This Row],[DiasNuevo]]</f>
        <v>45621</v>
      </c>
      <c r="I95">
        <v>9</v>
      </c>
      <c r="J95" t="s">
        <v>19</v>
      </c>
      <c r="K95" s="3">
        <v>3179.67</v>
      </c>
      <c r="L95" t="b">
        <f>TablaDatos[[#This Row],[FechaAlta]] &lt; TablaDatos[[#This Row],[FechaIngreso]]</f>
        <v>0</v>
      </c>
      <c r="M95">
        <f>_xlfn.XLOOKUP(TablaDatos[[#This Row],[PacienteID]],'Datos_Ejemplo.csv'!A:A,'Datos_Ejemplo.csv'!I:I)</f>
        <v>9</v>
      </c>
      <c r="N95">
        <f>ABS(TablaDatos[[#This Row],[DiasOriginal]])</f>
        <v>9</v>
      </c>
      <c r="O95" s="1">
        <f>TablaDatos[[#This Row],[FechaIngreso]]+TablaDatos[[#This Row],[DiasNuevo]]</f>
        <v>45621</v>
      </c>
    </row>
    <row r="96" spans="1:15">
      <c r="A96">
        <v>95</v>
      </c>
      <c r="B96" t="s">
        <v>343</v>
      </c>
      <c r="C96" s="1">
        <v>17168</v>
      </c>
      <c r="D96">
        <v>79</v>
      </c>
      <c r="E96" s="4" t="s">
        <v>12</v>
      </c>
      <c r="F96" t="s">
        <v>32</v>
      </c>
      <c r="G96" s="1">
        <v>45436</v>
      </c>
      <c r="H96" s="1">
        <f>TablaDatos[[#This Row],[FechaIngreso]]+TablaDatos[[#This Row],[DiasNuevo]]</f>
        <v>45443</v>
      </c>
      <c r="I96">
        <v>7</v>
      </c>
      <c r="J96" t="s">
        <v>25</v>
      </c>
      <c r="K96" s="3">
        <v>11131.6</v>
      </c>
      <c r="L96" t="b">
        <f>TablaDatos[[#This Row],[FechaAlta]] &lt; TablaDatos[[#This Row],[FechaIngreso]]</f>
        <v>0</v>
      </c>
      <c r="M96">
        <f>_xlfn.XLOOKUP(TablaDatos[[#This Row],[PacienteID]],'Datos_Ejemplo.csv'!A:A,'Datos_Ejemplo.csv'!I:I)</f>
        <v>7</v>
      </c>
      <c r="N96">
        <f>ABS(TablaDatos[[#This Row],[DiasOriginal]])</f>
        <v>7</v>
      </c>
      <c r="O96" s="1">
        <f>TablaDatos[[#This Row],[FechaIngreso]]+TablaDatos[[#This Row],[DiasNuevo]]</f>
        <v>45443</v>
      </c>
    </row>
    <row r="97" spans="1:15">
      <c r="A97">
        <v>96</v>
      </c>
      <c r="B97" t="s">
        <v>279</v>
      </c>
      <c r="C97" s="1">
        <v>16437</v>
      </c>
      <c r="D97">
        <v>81</v>
      </c>
      <c r="E97" s="4" t="s">
        <v>15</v>
      </c>
      <c r="F97" t="s">
        <v>13</v>
      </c>
      <c r="G97" s="1">
        <v>45505</v>
      </c>
      <c r="H97" s="1">
        <f>TablaDatos[[#This Row],[FechaIngreso]]+TablaDatos[[#This Row],[DiasNuevo]]</f>
        <v>45518</v>
      </c>
      <c r="I97">
        <v>13</v>
      </c>
      <c r="J97" t="s">
        <v>23</v>
      </c>
      <c r="K97" s="3">
        <v>11065.9</v>
      </c>
      <c r="L97" t="b">
        <f>TablaDatos[[#This Row],[FechaAlta]] &lt; TablaDatos[[#This Row],[FechaIngreso]]</f>
        <v>0</v>
      </c>
      <c r="M97">
        <f>_xlfn.XLOOKUP(TablaDatos[[#This Row],[PacienteID]],'Datos_Ejemplo.csv'!A:A,'Datos_Ejemplo.csv'!I:I)</f>
        <v>13</v>
      </c>
      <c r="N97">
        <f>ABS(TablaDatos[[#This Row],[DiasOriginal]])</f>
        <v>13</v>
      </c>
      <c r="O97" s="1">
        <f>TablaDatos[[#This Row],[FechaIngreso]]+TablaDatos[[#This Row],[DiasNuevo]]</f>
        <v>45518</v>
      </c>
    </row>
    <row r="98" spans="1:15">
      <c r="A98">
        <v>97</v>
      </c>
      <c r="B98" t="s">
        <v>333</v>
      </c>
      <c r="C98" s="1">
        <v>27029</v>
      </c>
      <c r="D98">
        <v>52</v>
      </c>
      <c r="E98" s="4" t="s">
        <v>15</v>
      </c>
      <c r="F98" t="s">
        <v>201</v>
      </c>
      <c r="G98" s="1">
        <v>45019</v>
      </c>
      <c r="H98" s="1">
        <f>TablaDatos[[#This Row],[FechaIngreso]]+TablaDatos[[#This Row],[DiasNuevo]]</f>
        <v>45040</v>
      </c>
      <c r="I98">
        <v>21</v>
      </c>
      <c r="J98" t="s">
        <v>23</v>
      </c>
      <c r="K98" s="3">
        <v>8794.9500000000007</v>
      </c>
      <c r="L98" t="b">
        <f>TablaDatos[[#This Row],[FechaAlta]] &lt; TablaDatos[[#This Row],[FechaIngreso]]</f>
        <v>0</v>
      </c>
      <c r="M98">
        <f>_xlfn.XLOOKUP(TablaDatos[[#This Row],[PacienteID]],'Datos_Ejemplo.csv'!A:A,'Datos_Ejemplo.csv'!I:I)</f>
        <v>21</v>
      </c>
      <c r="N98">
        <f>ABS(TablaDatos[[#This Row],[DiasOriginal]])</f>
        <v>21</v>
      </c>
      <c r="O98" s="1">
        <f>TablaDatos[[#This Row],[FechaIngreso]]+TablaDatos[[#This Row],[DiasNuevo]]</f>
        <v>45040</v>
      </c>
    </row>
    <row r="99" spans="1:15">
      <c r="A99">
        <v>98</v>
      </c>
      <c r="B99" t="s">
        <v>61</v>
      </c>
      <c r="C99" s="1">
        <v>37622</v>
      </c>
      <c r="D99">
        <v>23</v>
      </c>
      <c r="E99" s="4" t="s">
        <v>15</v>
      </c>
      <c r="F99" t="s">
        <v>295</v>
      </c>
      <c r="G99" s="1">
        <v>44979</v>
      </c>
      <c r="H99" s="1">
        <f>TablaDatos[[#This Row],[FechaIngreso]]+TablaDatos[[#This Row],[DiasNuevo]]</f>
        <v>45015</v>
      </c>
      <c r="I99">
        <v>36</v>
      </c>
      <c r="J99" t="s">
        <v>25</v>
      </c>
      <c r="K99" s="3">
        <v>19684.05</v>
      </c>
      <c r="L99" t="b">
        <f>TablaDatos[[#This Row],[FechaAlta]] &lt; TablaDatos[[#This Row],[FechaIngreso]]</f>
        <v>0</v>
      </c>
      <c r="M99">
        <f>_xlfn.XLOOKUP(TablaDatos[[#This Row],[PacienteID]],'Datos_Ejemplo.csv'!A:A,'Datos_Ejemplo.csv'!I:I)</f>
        <v>36</v>
      </c>
      <c r="N99">
        <f>ABS(TablaDatos[[#This Row],[DiasOriginal]])</f>
        <v>36</v>
      </c>
      <c r="O99" s="1">
        <f>TablaDatos[[#This Row],[FechaIngreso]]+TablaDatos[[#This Row],[DiasNuevo]]</f>
        <v>45015</v>
      </c>
    </row>
    <row r="100" spans="1:15">
      <c r="A100">
        <v>99</v>
      </c>
      <c r="B100" t="s">
        <v>270</v>
      </c>
      <c r="C100" s="1">
        <v>36891</v>
      </c>
      <c r="D100">
        <v>25</v>
      </c>
      <c r="E100" s="4" t="s">
        <v>12</v>
      </c>
      <c r="F100" t="s">
        <v>261</v>
      </c>
      <c r="G100" s="1">
        <v>45422</v>
      </c>
      <c r="H100" s="1">
        <f>TablaDatos[[#This Row],[FechaIngreso]]+TablaDatos[[#This Row],[DiasNuevo]]</f>
        <v>45427</v>
      </c>
      <c r="I100">
        <v>5</v>
      </c>
      <c r="J100" t="s">
        <v>23</v>
      </c>
      <c r="K100" s="3">
        <v>1098.4100000000001</v>
      </c>
      <c r="L100" t="b">
        <f>TablaDatos[[#This Row],[FechaAlta]] &lt; TablaDatos[[#This Row],[FechaIngreso]]</f>
        <v>0</v>
      </c>
      <c r="M100">
        <f>_xlfn.XLOOKUP(TablaDatos[[#This Row],[PacienteID]],'Datos_Ejemplo.csv'!A:A,'Datos_Ejemplo.csv'!I:I)</f>
        <v>5</v>
      </c>
      <c r="N100">
        <f>ABS(TablaDatos[[#This Row],[DiasOriginal]])</f>
        <v>5</v>
      </c>
      <c r="O100" s="1">
        <f>TablaDatos[[#This Row],[FechaIngreso]]+TablaDatos[[#This Row],[DiasNuevo]]</f>
        <v>45427</v>
      </c>
    </row>
    <row r="101" spans="1:15">
      <c r="A101">
        <v>100</v>
      </c>
      <c r="B101" t="s">
        <v>299</v>
      </c>
      <c r="C101" s="1">
        <v>13880</v>
      </c>
      <c r="D101">
        <v>88</v>
      </c>
      <c r="E101" s="4" t="s">
        <v>12</v>
      </c>
      <c r="F101" t="s">
        <v>295</v>
      </c>
      <c r="G101" s="1">
        <v>45020</v>
      </c>
      <c r="H101" s="1">
        <f>TablaDatos[[#This Row],[FechaIngreso]]+TablaDatos[[#This Row],[DiasNuevo]]</f>
        <v>45028</v>
      </c>
      <c r="I101">
        <v>8</v>
      </c>
      <c r="J101" t="s">
        <v>23</v>
      </c>
      <c r="K101" s="3">
        <v>12506.9</v>
      </c>
      <c r="L101" t="b">
        <f>TablaDatos[[#This Row],[FechaAlta]] &lt; TablaDatos[[#This Row],[FechaIngreso]]</f>
        <v>0</v>
      </c>
      <c r="M101">
        <f>_xlfn.XLOOKUP(TablaDatos[[#This Row],[PacienteID]],'Datos_Ejemplo.csv'!A:A,'Datos_Ejemplo.csv'!I:I)</f>
        <v>8</v>
      </c>
      <c r="N101">
        <f>ABS(TablaDatos[[#This Row],[DiasOriginal]])</f>
        <v>8</v>
      </c>
      <c r="O101" s="1">
        <f>TablaDatos[[#This Row],[FechaIngreso]]+TablaDatos[[#This Row],[DiasNuevo]]</f>
        <v>45028</v>
      </c>
    </row>
    <row r="102" spans="1:15">
      <c r="A102">
        <v>101</v>
      </c>
      <c r="B102" t="s">
        <v>344</v>
      </c>
      <c r="C102" s="1">
        <v>24473</v>
      </c>
      <c r="D102">
        <v>59</v>
      </c>
      <c r="E102" s="4" t="s">
        <v>12</v>
      </c>
      <c r="F102" t="s">
        <v>18</v>
      </c>
      <c r="G102" s="1">
        <v>45551</v>
      </c>
      <c r="H102" s="1">
        <f>TablaDatos[[#This Row],[FechaIngreso]]+TablaDatos[[#This Row],[DiasNuevo]]</f>
        <v>45589</v>
      </c>
      <c r="I102">
        <v>38</v>
      </c>
      <c r="J102" t="s">
        <v>25</v>
      </c>
      <c r="K102" s="3">
        <v>4026.6</v>
      </c>
      <c r="L102" t="b">
        <f>TablaDatos[[#This Row],[FechaAlta]] &lt; TablaDatos[[#This Row],[FechaIngreso]]</f>
        <v>0</v>
      </c>
      <c r="M102">
        <f>_xlfn.XLOOKUP(TablaDatos[[#This Row],[PacienteID]],'Datos_Ejemplo.csv'!A:A,'Datos_Ejemplo.csv'!I:I)</f>
        <v>38</v>
      </c>
      <c r="N102">
        <f>ABS(TablaDatos[[#This Row],[DiasOriginal]])</f>
        <v>38</v>
      </c>
      <c r="O102" s="1">
        <f>TablaDatos[[#This Row],[FechaIngreso]]+TablaDatos[[#This Row],[DiasNuevo]]</f>
        <v>45589</v>
      </c>
    </row>
    <row r="103" spans="1:15">
      <c r="A103">
        <v>102</v>
      </c>
      <c r="B103" t="s">
        <v>39</v>
      </c>
      <c r="C103" s="1">
        <v>31412</v>
      </c>
      <c r="D103">
        <v>40</v>
      </c>
      <c r="E103" s="4" t="s">
        <v>12</v>
      </c>
      <c r="F103" t="s">
        <v>295</v>
      </c>
      <c r="G103" s="1">
        <v>45155</v>
      </c>
      <c r="H103" s="1">
        <f>TablaDatos[[#This Row],[FechaIngreso]]+TablaDatos[[#This Row],[DiasNuevo]]</f>
        <v>45178</v>
      </c>
      <c r="I103">
        <v>23</v>
      </c>
      <c r="J103" t="s">
        <v>23</v>
      </c>
      <c r="K103" s="3">
        <v>10499.36</v>
      </c>
      <c r="L103" t="b">
        <f>TablaDatos[[#This Row],[FechaAlta]] &lt; TablaDatos[[#This Row],[FechaIngreso]]</f>
        <v>0</v>
      </c>
      <c r="M103">
        <f>_xlfn.XLOOKUP(TablaDatos[[#This Row],[PacienteID]],'Datos_Ejemplo.csv'!A:A,'Datos_Ejemplo.csv'!I:I)</f>
        <v>23</v>
      </c>
      <c r="N103">
        <f>ABS(TablaDatos[[#This Row],[DiasOriginal]])</f>
        <v>23</v>
      </c>
      <c r="O103" s="1">
        <f>TablaDatos[[#This Row],[FechaIngreso]]+TablaDatos[[#This Row],[DiasNuevo]]</f>
        <v>45178</v>
      </c>
    </row>
    <row r="104" spans="1:15">
      <c r="A104">
        <v>103</v>
      </c>
      <c r="B104" t="s">
        <v>364</v>
      </c>
      <c r="C104" s="1">
        <v>35795</v>
      </c>
      <c r="D104">
        <v>28</v>
      </c>
      <c r="E104" s="4" t="s">
        <v>15</v>
      </c>
      <c r="F104" t="s">
        <v>32</v>
      </c>
      <c r="G104" s="1">
        <v>45176</v>
      </c>
      <c r="H104" s="1">
        <f>TablaDatos[[#This Row],[FechaIngreso]]+TablaDatos[[#This Row],[DiasNuevo]]</f>
        <v>45180</v>
      </c>
      <c r="I104">
        <v>4</v>
      </c>
      <c r="J104" t="s">
        <v>19</v>
      </c>
      <c r="K104" s="3">
        <v>15572.79</v>
      </c>
      <c r="L104" t="b">
        <f>TablaDatos[[#This Row],[FechaAlta]] &lt; TablaDatos[[#This Row],[FechaIngreso]]</f>
        <v>0</v>
      </c>
      <c r="M104">
        <f>_xlfn.XLOOKUP(TablaDatos[[#This Row],[PacienteID]],'Datos_Ejemplo.csv'!A:A,'Datos_Ejemplo.csv'!I:I)</f>
        <v>4</v>
      </c>
      <c r="N104">
        <f>ABS(TablaDatos[[#This Row],[DiasOriginal]])</f>
        <v>4</v>
      </c>
      <c r="O104" s="1">
        <f>TablaDatos[[#This Row],[FechaIngreso]]+TablaDatos[[#This Row],[DiasNuevo]]</f>
        <v>45180</v>
      </c>
    </row>
    <row r="105" spans="1:15">
      <c r="A105">
        <v>104</v>
      </c>
      <c r="B105" t="s">
        <v>281</v>
      </c>
      <c r="C105" s="1">
        <v>40909</v>
      </c>
      <c r="D105">
        <v>14</v>
      </c>
      <c r="E105" s="4" t="s">
        <v>15</v>
      </c>
      <c r="F105" t="s">
        <v>13</v>
      </c>
      <c r="G105" s="1">
        <v>45317</v>
      </c>
      <c r="H105" s="1">
        <f>TablaDatos[[#This Row],[FechaIngreso]]+TablaDatos[[#This Row],[DiasNuevo]]</f>
        <v>45329</v>
      </c>
      <c r="I105">
        <v>12</v>
      </c>
      <c r="J105" t="s">
        <v>23</v>
      </c>
      <c r="K105" s="3">
        <v>4859.21</v>
      </c>
      <c r="L105" t="b">
        <f>TablaDatos[[#This Row],[FechaAlta]] &lt; TablaDatos[[#This Row],[FechaIngreso]]</f>
        <v>0</v>
      </c>
      <c r="M105">
        <f>_xlfn.XLOOKUP(TablaDatos[[#This Row],[PacienteID]],'Datos_Ejemplo.csv'!A:A,'Datos_Ejemplo.csv'!I:I)</f>
        <v>12</v>
      </c>
      <c r="N105">
        <f>ABS(TablaDatos[[#This Row],[DiasOriginal]])</f>
        <v>12</v>
      </c>
      <c r="O105" s="1">
        <f>TablaDatos[[#This Row],[FechaIngreso]]+TablaDatos[[#This Row],[DiasNuevo]]</f>
        <v>45329</v>
      </c>
    </row>
    <row r="106" spans="1:15">
      <c r="A106">
        <v>105</v>
      </c>
      <c r="B106" t="s">
        <v>102</v>
      </c>
      <c r="C106" s="1">
        <v>29951</v>
      </c>
      <c r="D106">
        <v>44</v>
      </c>
      <c r="E106" s="4" t="s">
        <v>12</v>
      </c>
      <c r="F106" t="s">
        <v>261</v>
      </c>
      <c r="G106" s="1">
        <v>45647</v>
      </c>
      <c r="H106" s="1">
        <f>TablaDatos[[#This Row],[FechaIngreso]]+TablaDatos[[#This Row],[DiasNuevo]]</f>
        <v>45659</v>
      </c>
      <c r="I106">
        <v>12</v>
      </c>
      <c r="J106" t="s">
        <v>19</v>
      </c>
      <c r="K106" s="3">
        <v>7806.53</v>
      </c>
      <c r="L106" t="b">
        <f>TablaDatos[[#This Row],[FechaAlta]] &lt; TablaDatos[[#This Row],[FechaIngreso]]</f>
        <v>0</v>
      </c>
      <c r="M106">
        <f>_xlfn.XLOOKUP(TablaDatos[[#This Row],[PacienteID]],'Datos_Ejemplo.csv'!A:A,'Datos_Ejemplo.csv'!I:I)</f>
        <v>12</v>
      </c>
      <c r="N106">
        <f>ABS(TablaDatos[[#This Row],[DiasOriginal]])</f>
        <v>12</v>
      </c>
      <c r="O106" s="1">
        <f>TablaDatos[[#This Row],[FechaIngreso]]+TablaDatos[[#This Row],[DiasNuevo]]</f>
        <v>45659</v>
      </c>
    </row>
    <row r="107" spans="1:15">
      <c r="A107">
        <v>106</v>
      </c>
      <c r="B107" t="s">
        <v>292</v>
      </c>
      <c r="C107" s="1">
        <v>22646</v>
      </c>
      <c r="D107">
        <v>64</v>
      </c>
      <c r="E107" s="4" t="s">
        <v>15</v>
      </c>
      <c r="F107" t="s">
        <v>201</v>
      </c>
      <c r="G107" s="1">
        <v>45108</v>
      </c>
      <c r="H107" s="1">
        <f>TablaDatos[[#This Row],[FechaIngreso]]+TablaDatos[[#This Row],[DiasNuevo]]</f>
        <v>45108</v>
      </c>
      <c r="I107">
        <v>0</v>
      </c>
      <c r="J107" t="s">
        <v>25</v>
      </c>
      <c r="K107" s="3">
        <v>19010.439999999999</v>
      </c>
      <c r="L107" t="b">
        <f>TablaDatos[[#This Row],[FechaAlta]] &lt; TablaDatos[[#This Row],[FechaIngreso]]</f>
        <v>0</v>
      </c>
      <c r="M107">
        <f>_xlfn.XLOOKUP(TablaDatos[[#This Row],[PacienteID]],'Datos_Ejemplo.csv'!A:A,'Datos_Ejemplo.csv'!I:I)</f>
        <v>0</v>
      </c>
      <c r="N107">
        <f>ABS(TablaDatos[[#This Row],[DiasOriginal]])</f>
        <v>0</v>
      </c>
      <c r="O107" s="1">
        <f>TablaDatos[[#This Row],[FechaIngreso]]+TablaDatos[[#This Row],[DiasNuevo]]</f>
        <v>45108</v>
      </c>
    </row>
    <row r="108" spans="1:15">
      <c r="A108">
        <v>107</v>
      </c>
      <c r="B108" t="s">
        <v>282</v>
      </c>
      <c r="C108" s="1">
        <v>13880</v>
      </c>
      <c r="D108">
        <v>88</v>
      </c>
      <c r="E108" s="4" t="s">
        <v>15</v>
      </c>
      <c r="F108" t="s">
        <v>21</v>
      </c>
      <c r="G108" s="1">
        <v>45193</v>
      </c>
      <c r="H108" s="1">
        <f>TablaDatos[[#This Row],[FechaIngreso]]+TablaDatos[[#This Row],[DiasNuevo]]</f>
        <v>45206</v>
      </c>
      <c r="I108">
        <v>13</v>
      </c>
      <c r="J108" t="s">
        <v>23</v>
      </c>
      <c r="K108" s="3">
        <v>15205.76</v>
      </c>
      <c r="L108" t="b">
        <f>TablaDatos[[#This Row],[FechaAlta]] &lt; TablaDatos[[#This Row],[FechaIngreso]]</f>
        <v>0</v>
      </c>
      <c r="M108">
        <f>_xlfn.XLOOKUP(TablaDatos[[#This Row],[PacienteID]],'Datos_Ejemplo.csv'!A:A,'Datos_Ejemplo.csv'!I:I)</f>
        <v>13</v>
      </c>
      <c r="N108">
        <f>ABS(TablaDatos[[#This Row],[DiasOriginal]])</f>
        <v>13</v>
      </c>
      <c r="O108" s="1">
        <f>TablaDatos[[#This Row],[FechaIngreso]]+TablaDatos[[#This Row],[DiasNuevo]]</f>
        <v>45206</v>
      </c>
    </row>
    <row r="109" spans="1:15">
      <c r="A109">
        <v>108</v>
      </c>
      <c r="B109" t="s">
        <v>103</v>
      </c>
      <c r="C109" s="1">
        <v>20455</v>
      </c>
      <c r="D109">
        <v>70</v>
      </c>
      <c r="E109" s="4" t="s">
        <v>12</v>
      </c>
      <c r="F109" t="s">
        <v>21</v>
      </c>
      <c r="G109" s="1">
        <v>45207</v>
      </c>
      <c r="H109" s="1">
        <f>TablaDatos[[#This Row],[FechaIngreso]]+TablaDatos[[#This Row],[DiasNuevo]]</f>
        <v>45219</v>
      </c>
      <c r="I109">
        <v>12</v>
      </c>
      <c r="J109" t="s">
        <v>23</v>
      </c>
      <c r="K109" s="3">
        <v>11411.74</v>
      </c>
      <c r="L109" t="b">
        <f>TablaDatos[[#This Row],[FechaAlta]] &lt; TablaDatos[[#This Row],[FechaIngreso]]</f>
        <v>0</v>
      </c>
      <c r="M109">
        <f>_xlfn.XLOOKUP(TablaDatos[[#This Row],[PacienteID]],'Datos_Ejemplo.csv'!A:A,'Datos_Ejemplo.csv'!I:I)</f>
        <v>12</v>
      </c>
      <c r="N109">
        <f>ABS(TablaDatos[[#This Row],[DiasOriginal]])</f>
        <v>12</v>
      </c>
      <c r="O109" s="1">
        <f>TablaDatos[[#This Row],[FechaIngreso]]+TablaDatos[[#This Row],[DiasNuevo]]</f>
        <v>45219</v>
      </c>
    </row>
    <row r="110" spans="1:15">
      <c r="A110">
        <v>109</v>
      </c>
      <c r="B110" t="s">
        <v>241</v>
      </c>
      <c r="C110" s="1">
        <v>43100</v>
      </c>
      <c r="D110">
        <v>8</v>
      </c>
      <c r="E110" s="4" t="s">
        <v>15</v>
      </c>
      <c r="F110" t="s">
        <v>201</v>
      </c>
      <c r="G110" s="1">
        <v>45593</v>
      </c>
      <c r="H110" s="1">
        <f>TablaDatos[[#This Row],[FechaIngreso]]+TablaDatos[[#This Row],[DiasNuevo]]</f>
        <v>45615</v>
      </c>
      <c r="I110">
        <v>22</v>
      </c>
      <c r="J110" t="s">
        <v>19</v>
      </c>
      <c r="K110" s="3">
        <v>4362.1499999999996</v>
      </c>
      <c r="L110" t="b">
        <f>TablaDatos[[#This Row],[FechaAlta]] &lt; TablaDatos[[#This Row],[FechaIngreso]]</f>
        <v>0</v>
      </c>
      <c r="M110">
        <f>_xlfn.XLOOKUP(TablaDatos[[#This Row],[PacienteID]],'Datos_Ejemplo.csv'!A:A,'Datos_Ejemplo.csv'!I:I)</f>
        <v>22</v>
      </c>
      <c r="N110">
        <f>ABS(TablaDatos[[#This Row],[DiasOriginal]])</f>
        <v>22</v>
      </c>
      <c r="O110" s="1">
        <f>TablaDatos[[#This Row],[FechaIngreso]]+TablaDatos[[#This Row],[DiasNuevo]]</f>
        <v>45615</v>
      </c>
    </row>
    <row r="111" spans="1:15">
      <c r="A111">
        <v>110</v>
      </c>
      <c r="B111" t="s">
        <v>241</v>
      </c>
      <c r="C111" s="1">
        <v>14246</v>
      </c>
      <c r="D111">
        <v>87</v>
      </c>
      <c r="E111" s="4" t="s">
        <v>12</v>
      </c>
      <c r="F111" t="s">
        <v>32</v>
      </c>
      <c r="G111" s="1">
        <v>45009</v>
      </c>
      <c r="H111" s="1">
        <f>TablaDatos[[#This Row],[FechaIngreso]]+TablaDatos[[#This Row],[DiasNuevo]]</f>
        <v>45039</v>
      </c>
      <c r="I111">
        <v>30</v>
      </c>
      <c r="J111" t="s">
        <v>19</v>
      </c>
      <c r="K111" s="3">
        <v>8448.64</v>
      </c>
      <c r="L111" t="b">
        <f>TablaDatos[[#This Row],[FechaAlta]] &lt; TablaDatos[[#This Row],[FechaIngreso]]</f>
        <v>0</v>
      </c>
      <c r="M111">
        <f>_xlfn.XLOOKUP(TablaDatos[[#This Row],[PacienteID]],'Datos_Ejemplo.csv'!A:A,'Datos_Ejemplo.csv'!I:I)</f>
        <v>30</v>
      </c>
      <c r="N111">
        <f>ABS(TablaDatos[[#This Row],[DiasOriginal]])</f>
        <v>30</v>
      </c>
      <c r="O111" s="1">
        <f>TablaDatos[[#This Row],[FechaIngreso]]+TablaDatos[[#This Row],[DiasNuevo]]</f>
        <v>45039</v>
      </c>
    </row>
    <row r="112" spans="1:15">
      <c r="A112">
        <v>111</v>
      </c>
      <c r="B112" t="s">
        <v>247</v>
      </c>
      <c r="C112" s="1">
        <v>46022</v>
      </c>
      <c r="D112">
        <v>0</v>
      </c>
      <c r="E112" s="4" t="s">
        <v>12</v>
      </c>
      <c r="F112" t="s">
        <v>261</v>
      </c>
      <c r="G112" s="1">
        <v>45112</v>
      </c>
      <c r="H112" s="1">
        <f>TablaDatos[[#This Row],[FechaIngreso]]+TablaDatos[[#This Row],[DiasNuevo]]</f>
        <v>45123</v>
      </c>
      <c r="I112">
        <v>11</v>
      </c>
      <c r="J112" t="s">
        <v>19</v>
      </c>
      <c r="K112" s="3">
        <v>15458.63</v>
      </c>
      <c r="L112" t="b">
        <f>TablaDatos[[#This Row],[FechaAlta]] &lt; TablaDatos[[#This Row],[FechaIngreso]]</f>
        <v>0</v>
      </c>
      <c r="M112">
        <f>_xlfn.XLOOKUP(TablaDatos[[#This Row],[PacienteID]],'Datos_Ejemplo.csv'!A:A,'Datos_Ejemplo.csv'!I:I)</f>
        <v>11</v>
      </c>
      <c r="N112">
        <f>ABS(TablaDatos[[#This Row],[DiasOriginal]])</f>
        <v>11</v>
      </c>
      <c r="O112" s="1">
        <f>TablaDatos[[#This Row],[FechaIngreso]]+TablaDatos[[#This Row],[DiasNuevo]]</f>
        <v>45123</v>
      </c>
    </row>
    <row r="113" spans="1:15">
      <c r="A113">
        <v>112</v>
      </c>
      <c r="B113" t="s">
        <v>243</v>
      </c>
      <c r="C113" s="1">
        <v>43466</v>
      </c>
      <c r="D113">
        <v>7</v>
      </c>
      <c r="E113" s="4" t="s">
        <v>12</v>
      </c>
      <c r="F113" t="s">
        <v>295</v>
      </c>
      <c r="G113" s="1">
        <v>45577</v>
      </c>
      <c r="H113" s="1">
        <f>TablaDatos[[#This Row],[FechaIngreso]]+TablaDatos[[#This Row],[DiasNuevo]]</f>
        <v>45598</v>
      </c>
      <c r="I113">
        <v>21</v>
      </c>
      <c r="J113" t="s">
        <v>19</v>
      </c>
      <c r="K113" s="3">
        <v>16392.919999999998</v>
      </c>
      <c r="L113" t="b">
        <f>TablaDatos[[#This Row],[FechaAlta]] &lt; TablaDatos[[#This Row],[FechaIngreso]]</f>
        <v>0</v>
      </c>
      <c r="M113">
        <f>_xlfn.XLOOKUP(TablaDatos[[#This Row],[PacienteID]],'Datos_Ejemplo.csv'!A:A,'Datos_Ejemplo.csv'!I:I)</f>
        <v>21</v>
      </c>
      <c r="N113">
        <f>ABS(TablaDatos[[#This Row],[DiasOriginal]])</f>
        <v>21</v>
      </c>
      <c r="O113" s="1">
        <f>TablaDatos[[#This Row],[FechaIngreso]]+TablaDatos[[#This Row],[DiasNuevo]]</f>
        <v>45598</v>
      </c>
    </row>
    <row r="114" spans="1:15">
      <c r="A114">
        <v>113</v>
      </c>
      <c r="B114" t="s">
        <v>245</v>
      </c>
      <c r="C114" s="1">
        <v>14246</v>
      </c>
      <c r="D114">
        <v>87</v>
      </c>
      <c r="E114" s="4" t="s">
        <v>15</v>
      </c>
      <c r="F114" t="s">
        <v>201</v>
      </c>
      <c r="G114" s="1">
        <v>45493</v>
      </c>
      <c r="H114" s="1">
        <f>TablaDatos[[#This Row],[FechaIngreso]]+TablaDatos[[#This Row],[DiasNuevo]]</f>
        <v>45501</v>
      </c>
      <c r="I114">
        <v>8</v>
      </c>
      <c r="J114" t="s">
        <v>23</v>
      </c>
      <c r="K114" s="3">
        <v>4816.58</v>
      </c>
      <c r="L114" t="b">
        <f>TablaDatos[[#This Row],[FechaAlta]] &lt; TablaDatos[[#This Row],[FechaIngreso]]</f>
        <v>0</v>
      </c>
      <c r="M114">
        <f>_xlfn.XLOOKUP(TablaDatos[[#This Row],[PacienteID]],'Datos_Ejemplo.csv'!A:A,'Datos_Ejemplo.csv'!I:I)</f>
        <v>8</v>
      </c>
      <c r="N114">
        <f>ABS(TablaDatos[[#This Row],[DiasOriginal]])</f>
        <v>8</v>
      </c>
      <c r="O114" s="1">
        <f>TablaDatos[[#This Row],[FechaIngreso]]+TablaDatos[[#This Row],[DiasNuevo]]</f>
        <v>45501</v>
      </c>
    </row>
    <row r="115" spans="1:15">
      <c r="A115">
        <v>114</v>
      </c>
      <c r="B115" t="s">
        <v>39</v>
      </c>
      <c r="C115" s="1">
        <v>23377</v>
      </c>
      <c r="D115">
        <v>62</v>
      </c>
      <c r="E115" s="4" t="s">
        <v>15</v>
      </c>
      <c r="F115" t="s">
        <v>21</v>
      </c>
      <c r="G115" s="1">
        <v>45457</v>
      </c>
      <c r="H115" s="1">
        <f>TablaDatos[[#This Row],[FechaIngreso]]+TablaDatos[[#This Row],[DiasNuevo]]</f>
        <v>45457</v>
      </c>
      <c r="I115">
        <v>0</v>
      </c>
      <c r="J115" t="s">
        <v>25</v>
      </c>
      <c r="K115" s="3">
        <v>13207.41</v>
      </c>
      <c r="L115" t="b">
        <f>TablaDatos[[#This Row],[FechaAlta]] &lt; TablaDatos[[#This Row],[FechaIngreso]]</f>
        <v>0</v>
      </c>
      <c r="M115">
        <f>_xlfn.XLOOKUP(TablaDatos[[#This Row],[PacienteID]],'Datos_Ejemplo.csv'!A:A,'Datos_Ejemplo.csv'!I:I)</f>
        <v>0</v>
      </c>
      <c r="N115">
        <f>ABS(TablaDatos[[#This Row],[DiasOriginal]])</f>
        <v>0</v>
      </c>
      <c r="O115" s="1">
        <f>TablaDatos[[#This Row],[FechaIngreso]]+TablaDatos[[#This Row],[DiasNuevo]]</f>
        <v>45457</v>
      </c>
    </row>
    <row r="116" spans="1:15">
      <c r="A116">
        <v>115</v>
      </c>
      <c r="B116" t="s">
        <v>253</v>
      </c>
      <c r="C116" s="1">
        <v>42370</v>
      </c>
      <c r="D116">
        <v>10</v>
      </c>
      <c r="E116" s="4" t="s">
        <v>12</v>
      </c>
      <c r="F116" t="s">
        <v>295</v>
      </c>
      <c r="G116" s="1">
        <v>45274</v>
      </c>
      <c r="H116" s="1">
        <f>TablaDatos[[#This Row],[FechaIngreso]]+TablaDatos[[#This Row],[DiasNuevo]]</f>
        <v>45280</v>
      </c>
      <c r="I116">
        <v>6</v>
      </c>
      <c r="J116" t="s">
        <v>19</v>
      </c>
      <c r="K116" s="3">
        <v>1809.56</v>
      </c>
      <c r="L116" t="b">
        <f>TablaDatos[[#This Row],[FechaAlta]] &lt; TablaDatos[[#This Row],[FechaIngreso]]</f>
        <v>0</v>
      </c>
      <c r="M116">
        <f>_xlfn.XLOOKUP(TablaDatos[[#This Row],[PacienteID]],'Datos_Ejemplo.csv'!A:A,'Datos_Ejemplo.csv'!I:I)</f>
        <v>6</v>
      </c>
      <c r="N116">
        <f>ABS(TablaDatos[[#This Row],[DiasOriginal]])</f>
        <v>6</v>
      </c>
      <c r="O116" s="1">
        <f>TablaDatos[[#This Row],[FechaIngreso]]+TablaDatos[[#This Row],[DiasNuevo]]</f>
        <v>45280</v>
      </c>
    </row>
    <row r="117" spans="1:15">
      <c r="A117">
        <v>116</v>
      </c>
      <c r="B117" t="s">
        <v>312</v>
      </c>
      <c r="C117" s="1">
        <v>16802</v>
      </c>
      <c r="D117">
        <v>80</v>
      </c>
      <c r="E117" s="4" t="s">
        <v>15</v>
      </c>
      <c r="F117" t="s">
        <v>32</v>
      </c>
      <c r="G117" s="1">
        <v>45349</v>
      </c>
      <c r="H117" s="1">
        <f>TablaDatos[[#This Row],[FechaIngreso]]+TablaDatos[[#This Row],[DiasNuevo]]</f>
        <v>45352</v>
      </c>
      <c r="I117">
        <v>3</v>
      </c>
      <c r="J117" t="s">
        <v>23</v>
      </c>
      <c r="K117" s="3">
        <v>366.57</v>
      </c>
      <c r="L117" t="b">
        <f>TablaDatos[[#This Row],[FechaAlta]] &lt; TablaDatos[[#This Row],[FechaIngreso]]</f>
        <v>0</v>
      </c>
      <c r="M117">
        <f>_xlfn.XLOOKUP(TablaDatos[[#This Row],[PacienteID]],'Datos_Ejemplo.csv'!A:A,'Datos_Ejemplo.csv'!I:I)</f>
        <v>3</v>
      </c>
      <c r="N117">
        <f>ABS(TablaDatos[[#This Row],[DiasOriginal]])</f>
        <v>3</v>
      </c>
      <c r="O117" s="1">
        <f>TablaDatos[[#This Row],[FechaIngreso]]+TablaDatos[[#This Row],[DiasNuevo]]</f>
        <v>45352</v>
      </c>
    </row>
    <row r="118" spans="1:15">
      <c r="A118">
        <v>117</v>
      </c>
      <c r="B118" t="s">
        <v>105</v>
      </c>
      <c r="C118" s="1">
        <v>43466</v>
      </c>
      <c r="D118">
        <v>7</v>
      </c>
      <c r="E118" s="4" t="s">
        <v>15</v>
      </c>
      <c r="F118" t="s">
        <v>21</v>
      </c>
      <c r="G118" s="1">
        <v>45380</v>
      </c>
      <c r="H118" s="1">
        <f>TablaDatos[[#This Row],[FechaIngreso]]+TablaDatos[[#This Row],[DiasNuevo]]</f>
        <v>45408</v>
      </c>
      <c r="I118">
        <v>28</v>
      </c>
      <c r="J118" t="s">
        <v>23</v>
      </c>
      <c r="K118" s="3">
        <v>10928.35</v>
      </c>
      <c r="L118" t="b">
        <f>TablaDatos[[#This Row],[FechaAlta]] &lt; TablaDatos[[#This Row],[FechaIngreso]]</f>
        <v>0</v>
      </c>
      <c r="M118">
        <f>_xlfn.XLOOKUP(TablaDatos[[#This Row],[PacienteID]],'Datos_Ejemplo.csv'!A:A,'Datos_Ejemplo.csv'!I:I)</f>
        <v>28</v>
      </c>
      <c r="N118">
        <f>ABS(TablaDatos[[#This Row],[DiasOriginal]])</f>
        <v>28</v>
      </c>
      <c r="O118" s="1">
        <f>TablaDatos[[#This Row],[FechaIngreso]]+TablaDatos[[#This Row],[DiasNuevo]]</f>
        <v>45408</v>
      </c>
    </row>
    <row r="119" spans="1:15">
      <c r="A119">
        <v>118</v>
      </c>
      <c r="B119" t="s">
        <v>307</v>
      </c>
      <c r="C119" s="1">
        <v>33604</v>
      </c>
      <c r="D119">
        <v>34</v>
      </c>
      <c r="E119" s="4" t="s">
        <v>15</v>
      </c>
      <c r="F119" t="s">
        <v>18</v>
      </c>
      <c r="G119" s="1">
        <v>45193</v>
      </c>
      <c r="H119" s="1">
        <f>TablaDatos[[#This Row],[FechaIngreso]]+TablaDatos[[#This Row],[DiasNuevo]]</f>
        <v>45206</v>
      </c>
      <c r="I119">
        <v>13</v>
      </c>
      <c r="J119" t="s">
        <v>23</v>
      </c>
      <c r="K119" s="3">
        <v>4410.04</v>
      </c>
      <c r="L119" t="b">
        <f>TablaDatos[[#This Row],[FechaAlta]] &lt; TablaDatos[[#This Row],[FechaIngreso]]</f>
        <v>0</v>
      </c>
      <c r="M119">
        <f>_xlfn.XLOOKUP(TablaDatos[[#This Row],[PacienteID]],'Datos_Ejemplo.csv'!A:A,'Datos_Ejemplo.csv'!I:I)</f>
        <v>13</v>
      </c>
      <c r="N119">
        <f>ABS(TablaDatos[[#This Row],[DiasOriginal]])</f>
        <v>13</v>
      </c>
      <c r="O119" s="1">
        <f>TablaDatos[[#This Row],[FechaIngreso]]+TablaDatos[[#This Row],[DiasNuevo]]</f>
        <v>45206</v>
      </c>
    </row>
    <row r="120" spans="1:15">
      <c r="A120">
        <v>119</v>
      </c>
      <c r="B120" t="s">
        <v>365</v>
      </c>
      <c r="C120" s="1">
        <v>33604</v>
      </c>
      <c r="D120">
        <v>34</v>
      </c>
      <c r="E120" s="4" t="s">
        <v>15</v>
      </c>
      <c r="F120" t="s">
        <v>13</v>
      </c>
      <c r="G120" s="1">
        <v>45433</v>
      </c>
      <c r="H120" s="1">
        <f>TablaDatos[[#This Row],[FechaIngreso]]+TablaDatos[[#This Row],[DiasNuevo]]</f>
        <v>45441</v>
      </c>
      <c r="I120">
        <v>8</v>
      </c>
      <c r="J120" t="s">
        <v>19</v>
      </c>
      <c r="K120" s="3">
        <v>1486.13</v>
      </c>
      <c r="L120" t="b">
        <f>TablaDatos[[#This Row],[FechaAlta]] &lt; TablaDatos[[#This Row],[FechaIngreso]]</f>
        <v>0</v>
      </c>
      <c r="M120">
        <f>_xlfn.XLOOKUP(TablaDatos[[#This Row],[PacienteID]],'Datos_Ejemplo.csv'!A:A,'Datos_Ejemplo.csv'!I:I)</f>
        <v>8</v>
      </c>
      <c r="N120">
        <f>ABS(TablaDatos[[#This Row],[DiasOriginal]])</f>
        <v>8</v>
      </c>
      <c r="O120" s="1">
        <f>TablaDatos[[#This Row],[FechaIngreso]]+TablaDatos[[#This Row],[DiasNuevo]]</f>
        <v>45441</v>
      </c>
    </row>
    <row r="121" spans="1:15">
      <c r="A121">
        <v>120</v>
      </c>
      <c r="B121" t="s">
        <v>256</v>
      </c>
      <c r="C121" s="1">
        <v>34334</v>
      </c>
      <c r="D121">
        <v>32</v>
      </c>
      <c r="E121" s="4" t="s">
        <v>15</v>
      </c>
      <c r="F121" t="s">
        <v>295</v>
      </c>
      <c r="G121" s="1">
        <v>45068</v>
      </c>
      <c r="H121" s="1">
        <f>TablaDatos[[#This Row],[FechaIngreso]]+TablaDatos[[#This Row],[DiasNuevo]]</f>
        <v>45082</v>
      </c>
      <c r="I121">
        <v>14</v>
      </c>
      <c r="J121" t="s">
        <v>25</v>
      </c>
      <c r="K121" s="3">
        <v>14569.55</v>
      </c>
      <c r="L121" t="b">
        <f>TablaDatos[[#This Row],[FechaAlta]] &lt; TablaDatos[[#This Row],[FechaIngreso]]</f>
        <v>0</v>
      </c>
      <c r="M121">
        <f>_xlfn.XLOOKUP(TablaDatos[[#This Row],[PacienteID]],'Datos_Ejemplo.csv'!A:A,'Datos_Ejemplo.csv'!I:I)</f>
        <v>14</v>
      </c>
      <c r="N121">
        <f>ABS(TablaDatos[[#This Row],[DiasOriginal]])</f>
        <v>14</v>
      </c>
      <c r="O121" s="1">
        <f>TablaDatos[[#This Row],[FechaIngreso]]+TablaDatos[[#This Row],[DiasNuevo]]</f>
        <v>45082</v>
      </c>
    </row>
    <row r="122" spans="1:15">
      <c r="A122">
        <v>121</v>
      </c>
      <c r="B122" t="s">
        <v>239</v>
      </c>
      <c r="C122" s="1">
        <v>44561</v>
      </c>
      <c r="D122">
        <v>4</v>
      </c>
      <c r="E122" s="4" t="s">
        <v>12</v>
      </c>
      <c r="F122" t="s">
        <v>201</v>
      </c>
      <c r="G122" s="1">
        <v>45242</v>
      </c>
      <c r="H122" s="1">
        <f>TablaDatos[[#This Row],[FechaIngreso]]+TablaDatos[[#This Row],[DiasNuevo]]</f>
        <v>45242</v>
      </c>
      <c r="I122">
        <v>0</v>
      </c>
      <c r="J122" t="s">
        <v>23</v>
      </c>
      <c r="K122" s="3">
        <v>9909.2900000000009</v>
      </c>
      <c r="L122" t="b">
        <f>TablaDatos[[#This Row],[FechaAlta]] &lt; TablaDatos[[#This Row],[FechaIngreso]]</f>
        <v>0</v>
      </c>
      <c r="M122">
        <f>_xlfn.XLOOKUP(TablaDatos[[#This Row],[PacienteID]],'Datos_Ejemplo.csv'!A:A,'Datos_Ejemplo.csv'!I:I)</f>
        <v>0</v>
      </c>
      <c r="N122">
        <f>ABS(TablaDatos[[#This Row],[DiasOriginal]])</f>
        <v>0</v>
      </c>
      <c r="O122" s="1">
        <f>TablaDatos[[#This Row],[FechaIngreso]]+TablaDatos[[#This Row],[DiasNuevo]]</f>
        <v>45242</v>
      </c>
    </row>
    <row r="123" spans="1:15">
      <c r="A123">
        <v>122</v>
      </c>
      <c r="B123" t="s">
        <v>240</v>
      </c>
      <c r="C123" s="1">
        <v>31412</v>
      </c>
      <c r="D123">
        <v>40</v>
      </c>
      <c r="E123" s="4" t="s">
        <v>15</v>
      </c>
      <c r="F123" t="s">
        <v>261</v>
      </c>
      <c r="G123" s="1">
        <v>45602</v>
      </c>
      <c r="H123" s="1">
        <f>TablaDatos[[#This Row],[FechaIngreso]]+TablaDatos[[#This Row],[DiasNuevo]]</f>
        <v>45618</v>
      </c>
      <c r="I123">
        <v>16</v>
      </c>
      <c r="J123" t="s">
        <v>19</v>
      </c>
      <c r="K123" s="3">
        <v>15905.17</v>
      </c>
      <c r="L123" t="b">
        <f>TablaDatos[[#This Row],[FechaAlta]] &lt; TablaDatos[[#This Row],[FechaIngreso]]</f>
        <v>0</v>
      </c>
      <c r="M123">
        <f>_xlfn.XLOOKUP(TablaDatos[[#This Row],[PacienteID]],'Datos_Ejemplo.csv'!A:A,'Datos_Ejemplo.csv'!I:I)</f>
        <v>16</v>
      </c>
      <c r="N123">
        <f>ABS(TablaDatos[[#This Row],[DiasOriginal]])</f>
        <v>16</v>
      </c>
      <c r="O123" s="1">
        <f>TablaDatos[[#This Row],[FechaIngreso]]+TablaDatos[[#This Row],[DiasNuevo]]</f>
        <v>45618</v>
      </c>
    </row>
    <row r="124" spans="1:15">
      <c r="A124">
        <v>123</v>
      </c>
      <c r="B124" t="s">
        <v>344</v>
      </c>
      <c r="C124" s="1">
        <v>36161</v>
      </c>
      <c r="D124">
        <v>27</v>
      </c>
      <c r="E124" s="4" t="s">
        <v>15</v>
      </c>
      <c r="F124" t="s">
        <v>295</v>
      </c>
      <c r="G124" s="1">
        <v>45158</v>
      </c>
      <c r="H124" s="1">
        <f>TablaDatos[[#This Row],[FechaIngreso]]+TablaDatos[[#This Row],[DiasNuevo]]</f>
        <v>45179</v>
      </c>
      <c r="I124">
        <v>21</v>
      </c>
      <c r="J124" t="s">
        <v>19</v>
      </c>
      <c r="K124" s="3">
        <v>13245.28</v>
      </c>
      <c r="L124" t="b">
        <f>TablaDatos[[#This Row],[FechaAlta]] &lt; TablaDatos[[#This Row],[FechaIngreso]]</f>
        <v>0</v>
      </c>
      <c r="M124">
        <f>_xlfn.XLOOKUP(TablaDatos[[#This Row],[PacienteID]],'Datos_Ejemplo.csv'!A:A,'Datos_Ejemplo.csv'!I:I)</f>
        <v>21</v>
      </c>
      <c r="N124">
        <f>ABS(TablaDatos[[#This Row],[DiasOriginal]])</f>
        <v>21</v>
      </c>
      <c r="O124" s="1">
        <f>TablaDatos[[#This Row],[FechaIngreso]]+TablaDatos[[#This Row],[DiasNuevo]]</f>
        <v>45179</v>
      </c>
    </row>
    <row r="125" spans="1:15">
      <c r="A125">
        <v>124</v>
      </c>
      <c r="B125" t="s">
        <v>337</v>
      </c>
      <c r="C125" s="1">
        <v>43831</v>
      </c>
      <c r="D125">
        <v>6</v>
      </c>
      <c r="E125" s="4" t="s">
        <v>12</v>
      </c>
      <c r="F125" t="s">
        <v>295</v>
      </c>
      <c r="G125" s="1">
        <v>45223</v>
      </c>
      <c r="H125" s="1">
        <f>TablaDatos[[#This Row],[FechaIngreso]]+TablaDatos[[#This Row],[DiasNuevo]]</f>
        <v>45262</v>
      </c>
      <c r="I125">
        <v>39</v>
      </c>
      <c r="J125" t="s">
        <v>23</v>
      </c>
      <c r="K125" s="3">
        <v>14569.08</v>
      </c>
      <c r="L125" t="b">
        <f>TablaDatos[[#This Row],[FechaAlta]] &lt; TablaDatos[[#This Row],[FechaIngreso]]</f>
        <v>0</v>
      </c>
      <c r="M125">
        <f>_xlfn.XLOOKUP(TablaDatos[[#This Row],[PacienteID]],'Datos_Ejemplo.csv'!A:A,'Datos_Ejemplo.csv'!I:I)</f>
        <v>39</v>
      </c>
      <c r="N125">
        <f>ABS(TablaDatos[[#This Row],[DiasOriginal]])</f>
        <v>39</v>
      </c>
      <c r="O125" s="1">
        <f>TablaDatos[[#This Row],[FechaIngreso]]+TablaDatos[[#This Row],[DiasNuevo]]</f>
        <v>45262</v>
      </c>
    </row>
    <row r="126" spans="1:15">
      <c r="A126">
        <v>125</v>
      </c>
      <c r="B126" t="s">
        <v>249</v>
      </c>
      <c r="C126" s="1">
        <v>19724</v>
      </c>
      <c r="D126">
        <v>72</v>
      </c>
      <c r="E126" s="4" t="s">
        <v>197</v>
      </c>
      <c r="F126" t="s">
        <v>295</v>
      </c>
      <c r="G126" s="1">
        <v>45498</v>
      </c>
      <c r="H126" s="1">
        <f>TablaDatos[[#This Row],[FechaIngreso]]+TablaDatos[[#This Row],[DiasNuevo]]</f>
        <v>45503</v>
      </c>
      <c r="I126">
        <v>5</v>
      </c>
      <c r="J126" t="s">
        <v>25</v>
      </c>
      <c r="K126" s="3">
        <v>6077.95</v>
      </c>
      <c r="L126" t="b">
        <f>TablaDatos[[#This Row],[FechaAlta]] &lt; TablaDatos[[#This Row],[FechaIngreso]]</f>
        <v>0</v>
      </c>
      <c r="M126">
        <f>_xlfn.XLOOKUP(TablaDatos[[#This Row],[PacienteID]],'Datos_Ejemplo.csv'!A:A,'Datos_Ejemplo.csv'!I:I)</f>
        <v>5</v>
      </c>
      <c r="N126">
        <f>ABS(TablaDatos[[#This Row],[DiasOriginal]])</f>
        <v>5</v>
      </c>
      <c r="O126" s="1">
        <f>TablaDatos[[#This Row],[FechaIngreso]]+TablaDatos[[#This Row],[DiasNuevo]]</f>
        <v>45503</v>
      </c>
    </row>
    <row r="127" spans="1:15">
      <c r="A127">
        <v>126</v>
      </c>
      <c r="B127" t="s">
        <v>241</v>
      </c>
      <c r="C127" s="1">
        <v>20090</v>
      </c>
      <c r="D127">
        <v>71</v>
      </c>
      <c r="E127" s="4" t="s">
        <v>15</v>
      </c>
      <c r="F127" t="s">
        <v>201</v>
      </c>
      <c r="G127" s="1">
        <v>44948</v>
      </c>
      <c r="H127" s="1">
        <f>TablaDatos[[#This Row],[FechaIngreso]]+TablaDatos[[#This Row],[DiasNuevo]]</f>
        <v>44981</v>
      </c>
      <c r="I127">
        <v>33</v>
      </c>
      <c r="J127" t="s">
        <v>19</v>
      </c>
      <c r="K127" s="3">
        <v>5191.84</v>
      </c>
      <c r="L127" t="b">
        <f>TablaDatos[[#This Row],[FechaAlta]] &lt; TablaDatos[[#This Row],[FechaIngreso]]</f>
        <v>0</v>
      </c>
      <c r="M127">
        <f>_xlfn.XLOOKUP(TablaDatos[[#This Row],[PacienteID]],'Datos_Ejemplo.csv'!A:A,'Datos_Ejemplo.csv'!I:I)</f>
        <v>33</v>
      </c>
      <c r="N127">
        <f>ABS(TablaDatos[[#This Row],[DiasOriginal]])</f>
        <v>33</v>
      </c>
      <c r="O127" s="1">
        <f>TablaDatos[[#This Row],[FechaIngreso]]+TablaDatos[[#This Row],[DiasNuevo]]</f>
        <v>44981</v>
      </c>
    </row>
    <row r="128" spans="1:15">
      <c r="A128">
        <v>127</v>
      </c>
      <c r="B128" t="s">
        <v>345</v>
      </c>
      <c r="C128" s="1">
        <v>42005</v>
      </c>
      <c r="D128">
        <v>11</v>
      </c>
      <c r="E128" s="4" t="s">
        <v>15</v>
      </c>
      <c r="F128" t="s">
        <v>32</v>
      </c>
      <c r="G128" s="1">
        <v>45310</v>
      </c>
      <c r="H128" s="1">
        <f>TablaDatos[[#This Row],[FechaIngreso]]+TablaDatos[[#This Row],[DiasNuevo]]</f>
        <v>45347</v>
      </c>
      <c r="I128">
        <v>37</v>
      </c>
      <c r="J128" t="s">
        <v>23</v>
      </c>
      <c r="K128" s="3">
        <v>11977.59</v>
      </c>
      <c r="L128" t="b">
        <f>TablaDatos[[#This Row],[FechaAlta]] &lt; TablaDatos[[#This Row],[FechaIngreso]]</f>
        <v>0</v>
      </c>
      <c r="M128">
        <f>_xlfn.XLOOKUP(TablaDatos[[#This Row],[PacienteID]],'Datos_Ejemplo.csv'!A:A,'Datos_Ejemplo.csv'!I:I)</f>
        <v>37</v>
      </c>
      <c r="N128">
        <f>ABS(TablaDatos[[#This Row],[DiasOriginal]])</f>
        <v>37</v>
      </c>
      <c r="O128" s="1">
        <f>TablaDatos[[#This Row],[FechaIngreso]]+TablaDatos[[#This Row],[DiasNuevo]]</f>
        <v>45347</v>
      </c>
    </row>
    <row r="129" spans="1:15">
      <c r="A129">
        <v>128</v>
      </c>
      <c r="B129" t="s">
        <v>334</v>
      </c>
      <c r="C129" s="1">
        <v>33969</v>
      </c>
      <c r="D129">
        <v>33</v>
      </c>
      <c r="E129" s="4" t="s">
        <v>12</v>
      </c>
      <c r="F129" t="s">
        <v>32</v>
      </c>
      <c r="G129" s="1">
        <v>45052</v>
      </c>
      <c r="H129" s="1">
        <f>TablaDatos[[#This Row],[FechaIngreso]]+TablaDatos[[#This Row],[DiasNuevo]]</f>
        <v>45053</v>
      </c>
      <c r="I129">
        <v>1</v>
      </c>
      <c r="J129" t="s">
        <v>23</v>
      </c>
      <c r="K129" s="3">
        <v>3921.65</v>
      </c>
      <c r="L129" t="b">
        <f>TablaDatos[[#This Row],[FechaAlta]] &lt; TablaDatos[[#This Row],[FechaIngreso]]</f>
        <v>0</v>
      </c>
      <c r="M129">
        <f>_xlfn.XLOOKUP(TablaDatos[[#This Row],[PacienteID]],'Datos_Ejemplo.csv'!A:A,'Datos_Ejemplo.csv'!I:I)</f>
        <v>-1</v>
      </c>
      <c r="N129">
        <f>ABS(TablaDatos[[#This Row],[DiasOriginal]])</f>
        <v>1</v>
      </c>
      <c r="O129" s="1">
        <f>TablaDatos[[#This Row],[FechaIngreso]]+TablaDatos[[#This Row],[DiasNuevo]]</f>
        <v>45053</v>
      </c>
    </row>
    <row r="130" spans="1:15">
      <c r="A130">
        <v>129</v>
      </c>
      <c r="B130" t="s">
        <v>111</v>
      </c>
      <c r="C130" s="1">
        <v>34334</v>
      </c>
      <c r="D130">
        <v>32</v>
      </c>
      <c r="E130" s="4" t="s">
        <v>12</v>
      </c>
      <c r="F130" t="s">
        <v>261</v>
      </c>
      <c r="G130" s="1">
        <v>45029</v>
      </c>
      <c r="H130" s="1">
        <f>TablaDatos[[#This Row],[FechaIngreso]]+TablaDatos[[#This Row],[DiasNuevo]]</f>
        <v>45049</v>
      </c>
      <c r="I130">
        <v>20</v>
      </c>
      <c r="J130" t="s">
        <v>19</v>
      </c>
      <c r="K130" s="3">
        <v>16289.78</v>
      </c>
      <c r="L130" t="b">
        <f>TablaDatos[[#This Row],[FechaAlta]] &lt; TablaDatos[[#This Row],[FechaIngreso]]</f>
        <v>0</v>
      </c>
      <c r="M130">
        <f>_xlfn.XLOOKUP(TablaDatos[[#This Row],[PacienteID]],'Datos_Ejemplo.csv'!A:A,'Datos_Ejemplo.csv'!I:I)</f>
        <v>20</v>
      </c>
      <c r="N130">
        <f>ABS(TablaDatos[[#This Row],[DiasOriginal]])</f>
        <v>20</v>
      </c>
      <c r="O130" s="1">
        <f>TablaDatos[[#This Row],[FechaIngreso]]+TablaDatos[[#This Row],[DiasNuevo]]</f>
        <v>45049</v>
      </c>
    </row>
    <row r="131" spans="1:15">
      <c r="A131">
        <v>130</v>
      </c>
      <c r="B131" t="s">
        <v>278</v>
      </c>
      <c r="C131" s="1">
        <v>28856</v>
      </c>
      <c r="D131">
        <v>47</v>
      </c>
      <c r="E131" s="4" t="s">
        <v>12</v>
      </c>
      <c r="F131" t="s">
        <v>32</v>
      </c>
      <c r="G131" s="1">
        <v>45036</v>
      </c>
      <c r="H131" s="1">
        <f>TablaDatos[[#This Row],[FechaIngreso]]+TablaDatos[[#This Row],[DiasNuevo]]</f>
        <v>45073</v>
      </c>
      <c r="I131">
        <v>37</v>
      </c>
      <c r="J131" t="s">
        <v>25</v>
      </c>
      <c r="K131" s="3">
        <v>10410.700000000001</v>
      </c>
      <c r="L131" t="b">
        <f>TablaDatos[[#This Row],[FechaAlta]] &lt; TablaDatos[[#This Row],[FechaIngreso]]</f>
        <v>0</v>
      </c>
      <c r="M131">
        <f>_xlfn.XLOOKUP(TablaDatos[[#This Row],[PacienteID]],'Datos_Ejemplo.csv'!A:A,'Datos_Ejemplo.csv'!I:I)</f>
        <v>37</v>
      </c>
      <c r="N131">
        <f>ABS(TablaDatos[[#This Row],[DiasOriginal]])</f>
        <v>37</v>
      </c>
      <c r="O131" s="1">
        <f>TablaDatos[[#This Row],[FechaIngreso]]+TablaDatos[[#This Row],[DiasNuevo]]</f>
        <v>45073</v>
      </c>
    </row>
    <row r="132" spans="1:15">
      <c r="A132">
        <v>131</v>
      </c>
      <c r="B132" t="s">
        <v>287</v>
      </c>
      <c r="C132" s="1">
        <v>37987</v>
      </c>
      <c r="D132">
        <v>22</v>
      </c>
      <c r="E132" s="4" t="s">
        <v>12</v>
      </c>
      <c r="F132" t="s">
        <v>201</v>
      </c>
      <c r="G132" s="1">
        <v>45496</v>
      </c>
      <c r="H132" s="1">
        <f>TablaDatos[[#This Row],[FechaIngreso]]+TablaDatos[[#This Row],[DiasNuevo]]</f>
        <v>45523</v>
      </c>
      <c r="I132">
        <v>27</v>
      </c>
      <c r="J132" t="s">
        <v>23</v>
      </c>
      <c r="K132" s="3">
        <v>4462.5</v>
      </c>
      <c r="L132" t="b">
        <f>TablaDatos[[#This Row],[FechaAlta]] &lt; TablaDatos[[#This Row],[FechaIngreso]]</f>
        <v>0</v>
      </c>
      <c r="M132">
        <f>_xlfn.XLOOKUP(TablaDatos[[#This Row],[PacienteID]],'Datos_Ejemplo.csv'!A:A,'Datos_Ejemplo.csv'!I:I)</f>
        <v>27</v>
      </c>
      <c r="N132">
        <f>ABS(TablaDatos[[#This Row],[DiasOriginal]])</f>
        <v>27</v>
      </c>
      <c r="O132" s="1">
        <f>TablaDatos[[#This Row],[FechaIngreso]]+TablaDatos[[#This Row],[DiasNuevo]]</f>
        <v>45523</v>
      </c>
    </row>
    <row r="133" spans="1:15">
      <c r="A133">
        <v>132</v>
      </c>
      <c r="B133" t="s">
        <v>366</v>
      </c>
      <c r="C133" s="1">
        <v>23742</v>
      </c>
      <c r="D133">
        <v>61</v>
      </c>
      <c r="E133" s="4" t="s">
        <v>15</v>
      </c>
      <c r="F133" t="s">
        <v>261</v>
      </c>
      <c r="G133" s="1">
        <v>45398</v>
      </c>
      <c r="H133" s="1">
        <f>TablaDatos[[#This Row],[FechaIngreso]]+TablaDatos[[#This Row],[DiasNuevo]]</f>
        <v>45420</v>
      </c>
      <c r="I133">
        <v>22</v>
      </c>
      <c r="J133" t="s">
        <v>23</v>
      </c>
      <c r="K133" s="3">
        <v>12465.88</v>
      </c>
      <c r="L133" t="b">
        <f>TablaDatos[[#This Row],[FechaAlta]] &lt; TablaDatos[[#This Row],[FechaIngreso]]</f>
        <v>0</v>
      </c>
      <c r="M133">
        <f>_xlfn.XLOOKUP(TablaDatos[[#This Row],[PacienteID]],'Datos_Ejemplo.csv'!A:A,'Datos_Ejemplo.csv'!I:I)</f>
        <v>22</v>
      </c>
      <c r="N133">
        <f>ABS(TablaDatos[[#This Row],[DiasOriginal]])</f>
        <v>22</v>
      </c>
      <c r="O133" s="1">
        <f>TablaDatos[[#This Row],[FechaIngreso]]+TablaDatos[[#This Row],[DiasNuevo]]</f>
        <v>45420</v>
      </c>
    </row>
    <row r="134" spans="1:15">
      <c r="A134">
        <v>133</v>
      </c>
      <c r="B134" t="s">
        <v>340</v>
      </c>
      <c r="C134" s="1">
        <v>14246</v>
      </c>
      <c r="D134">
        <v>87</v>
      </c>
      <c r="E134" s="4" t="s">
        <v>12</v>
      </c>
      <c r="F134" t="s">
        <v>261</v>
      </c>
      <c r="G134" s="1">
        <v>44991</v>
      </c>
      <c r="H134" s="1">
        <f>TablaDatos[[#This Row],[FechaIngreso]]+TablaDatos[[#This Row],[DiasNuevo]]</f>
        <v>44995</v>
      </c>
      <c r="I134">
        <v>4</v>
      </c>
      <c r="J134" t="s">
        <v>23</v>
      </c>
      <c r="K134" s="3">
        <v>18895.22</v>
      </c>
      <c r="L134" t="b">
        <f>TablaDatos[[#This Row],[FechaAlta]] &lt; TablaDatos[[#This Row],[FechaIngreso]]</f>
        <v>0</v>
      </c>
      <c r="M134">
        <f>_xlfn.XLOOKUP(TablaDatos[[#This Row],[PacienteID]],'Datos_Ejemplo.csv'!A:A,'Datos_Ejemplo.csv'!I:I)</f>
        <v>4</v>
      </c>
      <c r="N134">
        <f>ABS(TablaDatos[[#This Row],[DiasOriginal]])</f>
        <v>4</v>
      </c>
      <c r="O134" s="1">
        <f>TablaDatos[[#This Row],[FechaIngreso]]+TablaDatos[[#This Row],[DiasNuevo]]</f>
        <v>44995</v>
      </c>
    </row>
    <row r="135" spans="1:15">
      <c r="A135">
        <v>134</v>
      </c>
      <c r="B135" t="s">
        <v>114</v>
      </c>
      <c r="C135" s="1">
        <v>32873</v>
      </c>
      <c r="D135">
        <v>36</v>
      </c>
      <c r="E135" s="4" t="s">
        <v>15</v>
      </c>
      <c r="F135" t="s">
        <v>32</v>
      </c>
      <c r="G135" s="1">
        <v>45398</v>
      </c>
      <c r="H135" s="1">
        <f>TablaDatos[[#This Row],[FechaIngreso]]+TablaDatos[[#This Row],[DiasNuevo]]</f>
        <v>45423</v>
      </c>
      <c r="I135">
        <v>25</v>
      </c>
      <c r="J135" t="s">
        <v>25</v>
      </c>
      <c r="K135" s="3">
        <v>1550.1</v>
      </c>
      <c r="L135" t="b">
        <f>TablaDatos[[#This Row],[FechaAlta]] &lt; TablaDatos[[#This Row],[FechaIngreso]]</f>
        <v>0</v>
      </c>
      <c r="M135">
        <f>_xlfn.XLOOKUP(TablaDatos[[#This Row],[PacienteID]],'Datos_Ejemplo.csv'!A:A,'Datos_Ejemplo.csv'!I:I)</f>
        <v>25</v>
      </c>
      <c r="N135">
        <f>ABS(TablaDatos[[#This Row],[DiasOriginal]])</f>
        <v>25</v>
      </c>
      <c r="O135" s="1">
        <f>TablaDatos[[#This Row],[FechaIngreso]]+TablaDatos[[#This Row],[DiasNuevo]]</f>
        <v>45423</v>
      </c>
    </row>
    <row r="136" spans="1:15">
      <c r="A136">
        <v>135</v>
      </c>
      <c r="B136" t="s">
        <v>268</v>
      </c>
      <c r="C136" s="1">
        <v>30317</v>
      </c>
      <c r="D136">
        <v>43</v>
      </c>
      <c r="E136" s="4" t="s">
        <v>12</v>
      </c>
      <c r="F136" t="s">
        <v>21</v>
      </c>
      <c r="G136" s="1">
        <v>45496</v>
      </c>
      <c r="H136" s="1">
        <f>TablaDatos[[#This Row],[FechaIngreso]]+TablaDatos[[#This Row],[DiasNuevo]]</f>
        <v>45534</v>
      </c>
      <c r="I136">
        <v>38</v>
      </c>
      <c r="J136" t="s">
        <v>19</v>
      </c>
      <c r="K136" s="3">
        <v>2097.84</v>
      </c>
      <c r="L136" t="b">
        <f>TablaDatos[[#This Row],[FechaAlta]] &lt; TablaDatos[[#This Row],[FechaIngreso]]</f>
        <v>0</v>
      </c>
      <c r="M136">
        <f>_xlfn.XLOOKUP(TablaDatos[[#This Row],[PacienteID]],'Datos_Ejemplo.csv'!A:A,'Datos_Ejemplo.csv'!I:I)</f>
        <v>38</v>
      </c>
      <c r="N136">
        <f>ABS(TablaDatos[[#This Row],[DiasOriginal]])</f>
        <v>38</v>
      </c>
      <c r="O136" s="1">
        <f>TablaDatos[[#This Row],[FechaIngreso]]+TablaDatos[[#This Row],[DiasNuevo]]</f>
        <v>45534</v>
      </c>
    </row>
    <row r="137" spans="1:15">
      <c r="A137">
        <v>136</v>
      </c>
      <c r="B137" t="s">
        <v>236</v>
      </c>
      <c r="C137" s="1">
        <v>14976</v>
      </c>
      <c r="D137">
        <v>85</v>
      </c>
      <c r="E137" s="4" t="s">
        <v>12</v>
      </c>
      <c r="F137" t="s">
        <v>32</v>
      </c>
      <c r="G137" s="1">
        <v>45596</v>
      </c>
      <c r="H137" s="1">
        <f>TablaDatos[[#This Row],[FechaIngreso]]+TablaDatos[[#This Row],[DiasNuevo]]</f>
        <v>45610</v>
      </c>
      <c r="I137">
        <v>14</v>
      </c>
      <c r="J137" t="s">
        <v>23</v>
      </c>
      <c r="K137" s="3">
        <v>16861.169999999998</v>
      </c>
      <c r="L137" t="b">
        <f>TablaDatos[[#This Row],[FechaAlta]] &lt; TablaDatos[[#This Row],[FechaIngreso]]</f>
        <v>0</v>
      </c>
      <c r="M137">
        <f>_xlfn.XLOOKUP(TablaDatos[[#This Row],[PacienteID]],'Datos_Ejemplo.csv'!A:A,'Datos_Ejemplo.csv'!I:I)</f>
        <v>14</v>
      </c>
      <c r="N137">
        <f>ABS(TablaDatos[[#This Row],[DiasOriginal]])</f>
        <v>14</v>
      </c>
      <c r="O137" s="1">
        <f>TablaDatos[[#This Row],[FechaIngreso]]+TablaDatos[[#This Row],[DiasNuevo]]</f>
        <v>45610</v>
      </c>
    </row>
    <row r="138" spans="1:15">
      <c r="A138">
        <v>137</v>
      </c>
      <c r="B138" t="s">
        <v>61</v>
      </c>
      <c r="C138" s="1">
        <v>13150</v>
      </c>
      <c r="D138">
        <v>90</v>
      </c>
      <c r="E138" s="4" t="s">
        <v>197</v>
      </c>
      <c r="F138" t="s">
        <v>21</v>
      </c>
      <c r="G138" s="1">
        <v>45002</v>
      </c>
      <c r="H138" s="1">
        <f>TablaDatos[[#This Row],[FechaIngreso]]+TablaDatos[[#This Row],[DiasNuevo]]</f>
        <v>45031</v>
      </c>
      <c r="I138">
        <v>29</v>
      </c>
      <c r="J138" t="s">
        <v>23</v>
      </c>
      <c r="K138" s="3">
        <v>2102.83</v>
      </c>
      <c r="L138" t="b">
        <f>TablaDatos[[#This Row],[FechaAlta]] &lt; TablaDatos[[#This Row],[FechaIngreso]]</f>
        <v>0</v>
      </c>
      <c r="M138">
        <f>_xlfn.XLOOKUP(TablaDatos[[#This Row],[PacienteID]],'Datos_Ejemplo.csv'!A:A,'Datos_Ejemplo.csv'!I:I)</f>
        <v>29</v>
      </c>
      <c r="N138">
        <f>ABS(TablaDatos[[#This Row],[DiasOriginal]])</f>
        <v>29</v>
      </c>
      <c r="O138" s="1">
        <f>TablaDatos[[#This Row],[FechaIngreso]]+TablaDatos[[#This Row],[DiasNuevo]]</f>
        <v>45031</v>
      </c>
    </row>
    <row r="139" spans="1:15">
      <c r="A139">
        <v>138</v>
      </c>
      <c r="B139" t="s">
        <v>342</v>
      </c>
      <c r="C139" s="1">
        <v>33604</v>
      </c>
      <c r="D139">
        <v>34</v>
      </c>
      <c r="E139" s="4" t="s">
        <v>15</v>
      </c>
      <c r="F139" t="s">
        <v>18</v>
      </c>
      <c r="G139" s="1">
        <v>44945</v>
      </c>
      <c r="H139" s="1">
        <f>TablaDatos[[#This Row],[FechaIngreso]]+TablaDatos[[#This Row],[DiasNuevo]]</f>
        <v>44947</v>
      </c>
      <c r="I139">
        <v>2</v>
      </c>
      <c r="J139" t="s">
        <v>23</v>
      </c>
      <c r="K139" s="3">
        <v>691.44</v>
      </c>
      <c r="L139" t="b">
        <f>TablaDatos[[#This Row],[FechaAlta]] &lt; TablaDatos[[#This Row],[FechaIngreso]]</f>
        <v>0</v>
      </c>
      <c r="M139">
        <f>_xlfn.XLOOKUP(TablaDatos[[#This Row],[PacienteID]],'Datos_Ejemplo.csv'!A:A,'Datos_Ejemplo.csv'!I:I)</f>
        <v>-2</v>
      </c>
      <c r="N139">
        <f>ABS(TablaDatos[[#This Row],[DiasOriginal]])</f>
        <v>2</v>
      </c>
      <c r="O139" s="1">
        <f>TablaDatos[[#This Row],[FechaIngreso]]+TablaDatos[[#This Row],[DiasNuevo]]</f>
        <v>44947</v>
      </c>
    </row>
    <row r="140" spans="1:15">
      <c r="A140">
        <v>139</v>
      </c>
      <c r="B140" t="s">
        <v>253</v>
      </c>
      <c r="C140" s="1">
        <v>22646</v>
      </c>
      <c r="D140">
        <v>64</v>
      </c>
      <c r="E140" s="4" t="s">
        <v>15</v>
      </c>
      <c r="F140" t="s">
        <v>32</v>
      </c>
      <c r="G140" s="1">
        <v>45310</v>
      </c>
      <c r="H140" s="1">
        <f>TablaDatos[[#This Row],[FechaIngreso]]+TablaDatos[[#This Row],[DiasNuevo]]</f>
        <v>45334</v>
      </c>
      <c r="I140">
        <v>24</v>
      </c>
      <c r="J140" t="s">
        <v>25</v>
      </c>
      <c r="K140" s="3">
        <v>6893.4</v>
      </c>
      <c r="L140" t="b">
        <f>TablaDatos[[#This Row],[FechaAlta]] &lt; TablaDatos[[#This Row],[FechaIngreso]]</f>
        <v>0</v>
      </c>
      <c r="M140">
        <f>_xlfn.XLOOKUP(TablaDatos[[#This Row],[PacienteID]],'Datos_Ejemplo.csv'!A:A,'Datos_Ejemplo.csv'!I:I)</f>
        <v>24</v>
      </c>
      <c r="N140">
        <f>ABS(TablaDatos[[#This Row],[DiasOriginal]])</f>
        <v>24</v>
      </c>
      <c r="O140" s="1">
        <f>TablaDatos[[#This Row],[FechaIngreso]]+TablaDatos[[#This Row],[DiasNuevo]]</f>
        <v>45334</v>
      </c>
    </row>
    <row r="141" spans="1:15">
      <c r="A141">
        <v>140</v>
      </c>
      <c r="B141" t="s">
        <v>289</v>
      </c>
      <c r="C141" s="1">
        <v>29221</v>
      </c>
      <c r="D141">
        <v>46</v>
      </c>
      <c r="E141" s="4" t="s">
        <v>12</v>
      </c>
      <c r="F141" t="s">
        <v>18</v>
      </c>
      <c r="G141" s="1">
        <v>45116</v>
      </c>
      <c r="H141" s="1">
        <f>TablaDatos[[#This Row],[FechaIngreso]]+TablaDatos[[#This Row],[DiasNuevo]]</f>
        <v>45149</v>
      </c>
      <c r="I141">
        <v>33</v>
      </c>
      <c r="J141" t="s">
        <v>25</v>
      </c>
      <c r="K141" s="3">
        <v>9280.7900000000009</v>
      </c>
      <c r="L141" t="b">
        <f>TablaDatos[[#This Row],[FechaAlta]] &lt; TablaDatos[[#This Row],[FechaIngreso]]</f>
        <v>0</v>
      </c>
      <c r="M141">
        <f>_xlfn.XLOOKUP(TablaDatos[[#This Row],[PacienteID]],'Datos_Ejemplo.csv'!A:A,'Datos_Ejemplo.csv'!I:I)</f>
        <v>33</v>
      </c>
      <c r="N141">
        <f>ABS(TablaDatos[[#This Row],[DiasOriginal]])</f>
        <v>33</v>
      </c>
      <c r="O141" s="1">
        <f>TablaDatos[[#This Row],[FechaIngreso]]+TablaDatos[[#This Row],[DiasNuevo]]</f>
        <v>45149</v>
      </c>
    </row>
    <row r="142" spans="1:15">
      <c r="A142">
        <v>141</v>
      </c>
      <c r="B142" t="s">
        <v>116</v>
      </c>
      <c r="C142" s="1">
        <v>17898</v>
      </c>
      <c r="D142">
        <v>77</v>
      </c>
      <c r="E142" s="4" t="s">
        <v>12</v>
      </c>
      <c r="F142" t="s">
        <v>32</v>
      </c>
      <c r="G142" s="1">
        <v>45286</v>
      </c>
      <c r="H142" s="1">
        <f>TablaDatos[[#This Row],[FechaIngreso]]+TablaDatos[[#This Row],[DiasNuevo]]</f>
        <v>45290</v>
      </c>
      <c r="I142">
        <v>4</v>
      </c>
      <c r="J142" t="s">
        <v>25</v>
      </c>
      <c r="K142" s="3">
        <v>11345.83</v>
      </c>
      <c r="L142" t="b">
        <f>TablaDatos[[#This Row],[FechaAlta]] &lt; TablaDatos[[#This Row],[FechaIngreso]]</f>
        <v>0</v>
      </c>
      <c r="M142">
        <f>_xlfn.XLOOKUP(TablaDatos[[#This Row],[PacienteID]],'Datos_Ejemplo.csv'!A:A,'Datos_Ejemplo.csv'!I:I)</f>
        <v>4</v>
      </c>
      <c r="N142">
        <f>ABS(TablaDatos[[#This Row],[DiasOriginal]])</f>
        <v>4</v>
      </c>
      <c r="O142" s="1">
        <f>TablaDatos[[#This Row],[FechaIngreso]]+TablaDatos[[#This Row],[DiasNuevo]]</f>
        <v>45290</v>
      </c>
    </row>
    <row r="143" spans="1:15">
      <c r="A143">
        <v>142</v>
      </c>
      <c r="B143" t="s">
        <v>337</v>
      </c>
      <c r="C143" s="1">
        <v>45292</v>
      </c>
      <c r="D143">
        <v>2</v>
      </c>
      <c r="E143" s="4" t="s">
        <v>12</v>
      </c>
      <c r="F143" t="s">
        <v>18</v>
      </c>
      <c r="G143" s="1">
        <v>45378</v>
      </c>
      <c r="H143" s="1">
        <f>TablaDatos[[#This Row],[FechaIngreso]]+TablaDatos[[#This Row],[DiasNuevo]]</f>
        <v>45378</v>
      </c>
      <c r="I143">
        <v>0</v>
      </c>
      <c r="J143" t="s">
        <v>19</v>
      </c>
      <c r="K143" s="3">
        <v>10096.73</v>
      </c>
      <c r="L143" t="b">
        <f>TablaDatos[[#This Row],[FechaAlta]] &lt; TablaDatos[[#This Row],[FechaIngreso]]</f>
        <v>0</v>
      </c>
      <c r="M143">
        <f>_xlfn.XLOOKUP(TablaDatos[[#This Row],[PacienteID]],'Datos_Ejemplo.csv'!A:A,'Datos_Ejemplo.csv'!I:I)</f>
        <v>0</v>
      </c>
      <c r="N143">
        <f>ABS(TablaDatos[[#This Row],[DiasOriginal]])</f>
        <v>0</v>
      </c>
      <c r="O143" s="1">
        <f>TablaDatos[[#This Row],[FechaIngreso]]+TablaDatos[[#This Row],[DiasNuevo]]</f>
        <v>45378</v>
      </c>
    </row>
    <row r="144" spans="1:15">
      <c r="A144">
        <v>143</v>
      </c>
      <c r="B144" t="s">
        <v>346</v>
      </c>
      <c r="C144" s="1">
        <v>46022</v>
      </c>
      <c r="D144">
        <v>0</v>
      </c>
      <c r="E144" s="4" t="s">
        <v>15</v>
      </c>
      <c r="F144" t="s">
        <v>13</v>
      </c>
      <c r="G144" s="1">
        <v>45005</v>
      </c>
      <c r="H144" s="1">
        <f>TablaDatos[[#This Row],[FechaIngreso]]+TablaDatos[[#This Row],[DiasNuevo]]</f>
        <v>45032</v>
      </c>
      <c r="I144">
        <v>27</v>
      </c>
      <c r="J144" t="s">
        <v>25</v>
      </c>
      <c r="K144" s="3">
        <v>18255.009999999998</v>
      </c>
      <c r="L144" t="b">
        <f>TablaDatos[[#This Row],[FechaAlta]] &lt; TablaDatos[[#This Row],[FechaIngreso]]</f>
        <v>0</v>
      </c>
      <c r="M144">
        <f>_xlfn.XLOOKUP(TablaDatos[[#This Row],[PacienteID]],'Datos_Ejemplo.csv'!A:A,'Datos_Ejemplo.csv'!I:I)</f>
        <v>27</v>
      </c>
      <c r="N144">
        <f>ABS(TablaDatos[[#This Row],[DiasOriginal]])</f>
        <v>27</v>
      </c>
      <c r="O144" s="1">
        <f>TablaDatos[[#This Row],[FechaIngreso]]+TablaDatos[[#This Row],[DiasNuevo]]</f>
        <v>45032</v>
      </c>
    </row>
    <row r="145" spans="1:15">
      <c r="A145">
        <v>144</v>
      </c>
      <c r="B145" t="s">
        <v>238</v>
      </c>
      <c r="C145" s="1">
        <v>44561</v>
      </c>
      <c r="D145">
        <v>4</v>
      </c>
      <c r="E145" s="4" t="s">
        <v>15</v>
      </c>
      <c r="F145" t="s">
        <v>18</v>
      </c>
      <c r="G145" s="1">
        <v>45522</v>
      </c>
      <c r="H145" s="1">
        <f>TablaDatos[[#This Row],[FechaIngreso]]+TablaDatos[[#This Row],[DiasNuevo]]</f>
        <v>45524</v>
      </c>
      <c r="I145">
        <v>2</v>
      </c>
      <c r="J145" t="s">
        <v>23</v>
      </c>
      <c r="K145" s="3">
        <v>15350.23</v>
      </c>
      <c r="L145" t="b">
        <f>TablaDatos[[#This Row],[FechaAlta]] &lt; TablaDatos[[#This Row],[FechaIngreso]]</f>
        <v>0</v>
      </c>
      <c r="M145">
        <f>_xlfn.XLOOKUP(TablaDatos[[#This Row],[PacienteID]],'Datos_Ejemplo.csv'!A:A,'Datos_Ejemplo.csv'!I:I)</f>
        <v>-2</v>
      </c>
      <c r="N145">
        <f>ABS(TablaDatos[[#This Row],[DiasOriginal]])</f>
        <v>2</v>
      </c>
      <c r="O145" s="1">
        <f>TablaDatos[[#This Row],[FechaIngreso]]+TablaDatos[[#This Row],[DiasNuevo]]</f>
        <v>45524</v>
      </c>
    </row>
    <row r="146" spans="1:15">
      <c r="A146">
        <v>145</v>
      </c>
      <c r="B146" t="s">
        <v>345</v>
      </c>
      <c r="C146" s="1">
        <v>13515</v>
      </c>
      <c r="D146">
        <v>89</v>
      </c>
      <c r="E146" s="4" t="s">
        <v>12</v>
      </c>
      <c r="F146" t="s">
        <v>21</v>
      </c>
      <c r="G146" s="1">
        <v>45098</v>
      </c>
      <c r="H146" s="1">
        <f>TablaDatos[[#This Row],[FechaIngreso]]+TablaDatos[[#This Row],[DiasNuevo]]</f>
        <v>45129</v>
      </c>
      <c r="I146">
        <v>31</v>
      </c>
      <c r="J146" t="s">
        <v>23</v>
      </c>
      <c r="K146" s="3">
        <v>19674.59</v>
      </c>
      <c r="L146" t="b">
        <f>TablaDatos[[#This Row],[FechaAlta]] &lt; TablaDatos[[#This Row],[FechaIngreso]]</f>
        <v>0</v>
      </c>
      <c r="M146">
        <f>_xlfn.XLOOKUP(TablaDatos[[#This Row],[PacienteID]],'Datos_Ejemplo.csv'!A:A,'Datos_Ejemplo.csv'!I:I)</f>
        <v>31</v>
      </c>
      <c r="N146">
        <f>ABS(TablaDatos[[#This Row],[DiasOriginal]])</f>
        <v>31</v>
      </c>
      <c r="O146" s="1">
        <f>TablaDatos[[#This Row],[FechaIngreso]]+TablaDatos[[#This Row],[DiasNuevo]]</f>
        <v>45129</v>
      </c>
    </row>
    <row r="147" spans="1:15">
      <c r="A147">
        <v>146</v>
      </c>
      <c r="B147" t="s">
        <v>347</v>
      </c>
      <c r="C147" s="1">
        <v>41274</v>
      </c>
      <c r="D147">
        <v>13</v>
      </c>
      <c r="E147" s="4" t="s">
        <v>15</v>
      </c>
      <c r="F147" t="s">
        <v>295</v>
      </c>
      <c r="G147" s="1">
        <v>45138</v>
      </c>
      <c r="H147" s="1">
        <f>TablaDatos[[#This Row],[FechaIngreso]]+TablaDatos[[#This Row],[DiasNuevo]]</f>
        <v>45173</v>
      </c>
      <c r="I147">
        <v>35</v>
      </c>
      <c r="J147" t="s">
        <v>19</v>
      </c>
      <c r="K147" s="3">
        <v>9476.75</v>
      </c>
      <c r="L147" t="b">
        <f>TablaDatos[[#This Row],[FechaAlta]] &lt; TablaDatos[[#This Row],[FechaIngreso]]</f>
        <v>0</v>
      </c>
      <c r="M147">
        <f>_xlfn.XLOOKUP(TablaDatos[[#This Row],[PacienteID]],'Datos_Ejemplo.csv'!A:A,'Datos_Ejemplo.csv'!I:I)</f>
        <v>35</v>
      </c>
      <c r="N147">
        <f>ABS(TablaDatos[[#This Row],[DiasOriginal]])</f>
        <v>35</v>
      </c>
      <c r="O147" s="1">
        <f>TablaDatos[[#This Row],[FechaIngreso]]+TablaDatos[[#This Row],[DiasNuevo]]</f>
        <v>45173</v>
      </c>
    </row>
    <row r="148" spans="1:15">
      <c r="A148">
        <v>147</v>
      </c>
      <c r="B148" t="s">
        <v>344</v>
      </c>
      <c r="C148" s="1">
        <v>36526</v>
      </c>
      <c r="D148">
        <v>26</v>
      </c>
      <c r="E148" s="4" t="s">
        <v>12</v>
      </c>
      <c r="F148" t="s">
        <v>261</v>
      </c>
      <c r="G148" s="1">
        <v>45371</v>
      </c>
      <c r="H148" s="1">
        <f>TablaDatos[[#This Row],[FechaIngreso]]+TablaDatos[[#This Row],[DiasNuevo]]</f>
        <v>45404</v>
      </c>
      <c r="I148">
        <v>33</v>
      </c>
      <c r="J148" t="s">
        <v>19</v>
      </c>
      <c r="K148" s="3">
        <v>1595.03</v>
      </c>
      <c r="L148" t="b">
        <f>TablaDatos[[#This Row],[FechaAlta]] &lt; TablaDatos[[#This Row],[FechaIngreso]]</f>
        <v>0</v>
      </c>
      <c r="M148">
        <f>_xlfn.XLOOKUP(TablaDatos[[#This Row],[PacienteID]],'Datos_Ejemplo.csv'!A:A,'Datos_Ejemplo.csv'!I:I)</f>
        <v>33</v>
      </c>
      <c r="N148">
        <f>ABS(TablaDatos[[#This Row],[DiasOriginal]])</f>
        <v>33</v>
      </c>
      <c r="O148" s="1">
        <f>TablaDatos[[#This Row],[FechaIngreso]]+TablaDatos[[#This Row],[DiasNuevo]]</f>
        <v>45404</v>
      </c>
    </row>
    <row r="149" spans="1:15">
      <c r="A149">
        <v>148</v>
      </c>
      <c r="B149" t="s">
        <v>362</v>
      </c>
      <c r="C149" s="1">
        <v>43100</v>
      </c>
      <c r="D149">
        <v>8</v>
      </c>
      <c r="E149" s="4" t="s">
        <v>15</v>
      </c>
      <c r="F149" t="s">
        <v>18</v>
      </c>
      <c r="G149" s="1">
        <v>45075</v>
      </c>
      <c r="H149" s="1">
        <f>TablaDatos[[#This Row],[FechaIngreso]]+TablaDatos[[#This Row],[DiasNuevo]]</f>
        <v>45105</v>
      </c>
      <c r="I149">
        <v>30</v>
      </c>
      <c r="J149" t="s">
        <v>19</v>
      </c>
      <c r="K149" s="3">
        <v>19106.169999999998</v>
      </c>
      <c r="L149" t="b">
        <f>TablaDatos[[#This Row],[FechaAlta]] &lt; TablaDatos[[#This Row],[FechaIngreso]]</f>
        <v>0</v>
      </c>
      <c r="M149">
        <f>_xlfn.XLOOKUP(TablaDatos[[#This Row],[PacienteID]],'Datos_Ejemplo.csv'!A:A,'Datos_Ejemplo.csv'!I:I)</f>
        <v>30</v>
      </c>
      <c r="N149">
        <f>ABS(TablaDatos[[#This Row],[DiasOriginal]])</f>
        <v>30</v>
      </c>
      <c r="O149" s="1">
        <f>TablaDatos[[#This Row],[FechaIngreso]]+TablaDatos[[#This Row],[DiasNuevo]]</f>
        <v>45105</v>
      </c>
    </row>
    <row r="150" spans="1:15">
      <c r="A150">
        <v>149</v>
      </c>
      <c r="B150" t="s">
        <v>67</v>
      </c>
      <c r="C150" s="1">
        <v>17533</v>
      </c>
      <c r="D150">
        <v>78</v>
      </c>
      <c r="E150" s="4" t="s">
        <v>12</v>
      </c>
      <c r="F150" t="s">
        <v>295</v>
      </c>
      <c r="G150" s="1">
        <v>44936</v>
      </c>
      <c r="H150" s="1">
        <f>TablaDatos[[#This Row],[FechaIngreso]]+TablaDatos[[#This Row],[DiasNuevo]]</f>
        <v>44949</v>
      </c>
      <c r="I150">
        <v>13</v>
      </c>
      <c r="J150" t="s">
        <v>23</v>
      </c>
      <c r="K150" s="3">
        <v>-17.329999999999998</v>
      </c>
      <c r="L150" t="b">
        <f>TablaDatos[[#This Row],[FechaAlta]] &lt; TablaDatos[[#This Row],[FechaIngreso]]</f>
        <v>0</v>
      </c>
      <c r="M150">
        <f>_xlfn.XLOOKUP(TablaDatos[[#This Row],[PacienteID]],'Datos_Ejemplo.csv'!A:A,'Datos_Ejemplo.csv'!I:I)</f>
        <v>13</v>
      </c>
      <c r="N150">
        <f>ABS(TablaDatos[[#This Row],[DiasOriginal]])</f>
        <v>13</v>
      </c>
      <c r="O150" s="1">
        <f>TablaDatos[[#This Row],[FechaIngreso]]+TablaDatos[[#This Row],[DiasNuevo]]</f>
        <v>44949</v>
      </c>
    </row>
    <row r="151" spans="1:15">
      <c r="A151">
        <v>150</v>
      </c>
      <c r="B151" t="s">
        <v>248</v>
      </c>
      <c r="C151" s="1">
        <v>40909</v>
      </c>
      <c r="D151">
        <v>14</v>
      </c>
      <c r="E151" s="4" t="s">
        <v>12</v>
      </c>
      <c r="F151" t="s">
        <v>201</v>
      </c>
      <c r="G151" s="1">
        <v>45468</v>
      </c>
      <c r="H151" s="1">
        <f>TablaDatos[[#This Row],[FechaIngreso]]+TablaDatos[[#This Row],[DiasNuevo]]</f>
        <v>45503</v>
      </c>
      <c r="I151">
        <v>35</v>
      </c>
      <c r="J151" t="s">
        <v>25</v>
      </c>
      <c r="K151" s="3">
        <v>15499.53</v>
      </c>
      <c r="L151" t="b">
        <f>TablaDatos[[#This Row],[FechaAlta]] &lt; TablaDatos[[#This Row],[FechaIngreso]]</f>
        <v>0</v>
      </c>
      <c r="M151">
        <f>_xlfn.XLOOKUP(TablaDatos[[#This Row],[PacienteID]],'Datos_Ejemplo.csv'!A:A,'Datos_Ejemplo.csv'!I:I)</f>
        <v>35</v>
      </c>
      <c r="N151">
        <f>ABS(TablaDatos[[#This Row],[DiasOriginal]])</f>
        <v>35</v>
      </c>
      <c r="O151" s="1">
        <f>TablaDatos[[#This Row],[FechaIngreso]]+TablaDatos[[#This Row],[DiasNuevo]]</f>
        <v>45503</v>
      </c>
    </row>
    <row r="152" spans="1:15">
      <c r="A152">
        <v>151</v>
      </c>
      <c r="B152" t="s">
        <v>257</v>
      </c>
      <c r="C152" s="1">
        <v>13515</v>
      </c>
      <c r="D152">
        <v>89</v>
      </c>
      <c r="E152" s="4" t="s">
        <v>12</v>
      </c>
      <c r="F152" t="s">
        <v>13</v>
      </c>
      <c r="G152" s="1">
        <v>44981</v>
      </c>
      <c r="H152" s="1">
        <f>TablaDatos[[#This Row],[FechaIngreso]]+TablaDatos[[#This Row],[DiasNuevo]]</f>
        <v>44989</v>
      </c>
      <c r="I152">
        <v>8</v>
      </c>
      <c r="J152" t="s">
        <v>23</v>
      </c>
      <c r="K152" s="3">
        <v>528.77</v>
      </c>
      <c r="L152" t="b">
        <f>TablaDatos[[#This Row],[FechaAlta]] &lt; TablaDatos[[#This Row],[FechaIngreso]]</f>
        <v>0</v>
      </c>
      <c r="M152">
        <f>_xlfn.XLOOKUP(TablaDatos[[#This Row],[PacienteID]],'Datos_Ejemplo.csv'!A:A,'Datos_Ejemplo.csv'!I:I)</f>
        <v>8</v>
      </c>
      <c r="N152">
        <f>ABS(TablaDatos[[#This Row],[DiasOriginal]])</f>
        <v>8</v>
      </c>
      <c r="O152" s="1">
        <f>TablaDatos[[#This Row],[FechaIngreso]]+TablaDatos[[#This Row],[DiasNuevo]]</f>
        <v>44989</v>
      </c>
    </row>
    <row r="153" spans="1:15">
      <c r="A153">
        <v>152</v>
      </c>
      <c r="B153" t="s">
        <v>290</v>
      </c>
      <c r="C153" s="1">
        <v>31047</v>
      </c>
      <c r="D153">
        <v>41</v>
      </c>
      <c r="E153" s="4" t="s">
        <v>15</v>
      </c>
      <c r="F153" t="s">
        <v>13</v>
      </c>
      <c r="G153" s="1">
        <v>45565</v>
      </c>
      <c r="H153" s="1">
        <f>TablaDatos[[#This Row],[FechaIngreso]]+TablaDatos[[#This Row],[DiasNuevo]]</f>
        <v>45570</v>
      </c>
      <c r="I153">
        <v>5</v>
      </c>
      <c r="J153" t="s">
        <v>23</v>
      </c>
      <c r="K153" s="3">
        <v>15200.41</v>
      </c>
      <c r="L153" t="b">
        <f>TablaDatos[[#This Row],[FechaAlta]] &lt; TablaDatos[[#This Row],[FechaIngreso]]</f>
        <v>0</v>
      </c>
      <c r="M153">
        <f>_xlfn.XLOOKUP(TablaDatos[[#This Row],[PacienteID]],'Datos_Ejemplo.csv'!A:A,'Datos_Ejemplo.csv'!I:I)</f>
        <v>5</v>
      </c>
      <c r="N153">
        <f>ABS(TablaDatos[[#This Row],[DiasOriginal]])</f>
        <v>5</v>
      </c>
      <c r="O153" s="1">
        <f>TablaDatos[[#This Row],[FechaIngreso]]+TablaDatos[[#This Row],[DiasNuevo]]</f>
        <v>45570</v>
      </c>
    </row>
    <row r="154" spans="1:15">
      <c r="A154">
        <v>153</v>
      </c>
      <c r="B154" t="s">
        <v>272</v>
      </c>
      <c r="C154" s="1">
        <v>18263</v>
      </c>
      <c r="D154">
        <f ca="1">DATEDIF(TablaDatos[[#This Row],[FechaNacimiento]],TODAY(),"Y")</f>
        <v>76</v>
      </c>
      <c r="E154" s="4" t="s">
        <v>12</v>
      </c>
      <c r="F154" t="s">
        <v>201</v>
      </c>
      <c r="G154" s="1">
        <v>45106</v>
      </c>
      <c r="H154" s="1">
        <f>TablaDatos[[#This Row],[FechaIngreso]]+TablaDatos[[#This Row],[DiasNuevo]]</f>
        <v>45108</v>
      </c>
      <c r="I154">
        <v>2</v>
      </c>
      <c r="J154" t="s">
        <v>25</v>
      </c>
      <c r="K154" s="3">
        <v>18752.57</v>
      </c>
      <c r="L154" t="b">
        <f>TablaDatos[[#This Row],[FechaAlta]] &lt; TablaDatos[[#This Row],[FechaIngreso]]</f>
        <v>0</v>
      </c>
      <c r="M154">
        <f>_xlfn.XLOOKUP(TablaDatos[[#This Row],[PacienteID]],'Datos_Ejemplo.csv'!A:A,'Datos_Ejemplo.csv'!I:I)</f>
        <v>-2</v>
      </c>
      <c r="N154">
        <f>ABS(TablaDatos[[#This Row],[DiasOriginal]])</f>
        <v>2</v>
      </c>
      <c r="O154" s="1">
        <f>TablaDatos[[#This Row],[FechaIngreso]]+TablaDatos[[#This Row],[DiasNuevo]]</f>
        <v>45108</v>
      </c>
    </row>
    <row r="155" spans="1:15">
      <c r="A155">
        <v>154</v>
      </c>
      <c r="B155" t="s">
        <v>114</v>
      </c>
      <c r="C155" s="1">
        <v>27760</v>
      </c>
      <c r="D155">
        <v>50</v>
      </c>
      <c r="E155" s="4" t="s">
        <v>15</v>
      </c>
      <c r="F155" t="s">
        <v>201</v>
      </c>
      <c r="G155" s="1">
        <v>45307</v>
      </c>
      <c r="H155" s="1">
        <f>TablaDatos[[#This Row],[FechaIngreso]]+TablaDatos[[#This Row],[DiasNuevo]]</f>
        <v>45318</v>
      </c>
      <c r="I155">
        <v>11</v>
      </c>
      <c r="J155" t="s">
        <v>23</v>
      </c>
      <c r="K155" s="3">
        <v>7724.13</v>
      </c>
      <c r="L155" t="b">
        <f>TablaDatos[[#This Row],[FechaAlta]] &lt; TablaDatos[[#This Row],[FechaIngreso]]</f>
        <v>0</v>
      </c>
      <c r="M155">
        <f>_xlfn.XLOOKUP(TablaDatos[[#This Row],[PacienteID]],'Datos_Ejemplo.csv'!A:A,'Datos_Ejemplo.csv'!I:I)</f>
        <v>11</v>
      </c>
      <c r="N155">
        <f>ABS(TablaDatos[[#This Row],[DiasOriginal]])</f>
        <v>11</v>
      </c>
      <c r="O155" s="1">
        <f>TablaDatos[[#This Row],[FechaIngreso]]+TablaDatos[[#This Row],[DiasNuevo]]</f>
        <v>45318</v>
      </c>
    </row>
    <row r="156" spans="1:15">
      <c r="A156">
        <v>155</v>
      </c>
      <c r="B156" t="s">
        <v>39</v>
      </c>
      <c r="C156" s="1">
        <v>23377</v>
      </c>
      <c r="D156">
        <v>62</v>
      </c>
      <c r="E156" s="4" t="s">
        <v>12</v>
      </c>
      <c r="F156" t="s">
        <v>201</v>
      </c>
      <c r="G156" s="1">
        <v>45348</v>
      </c>
      <c r="H156" s="1">
        <f>TablaDatos[[#This Row],[FechaIngreso]]+TablaDatos[[#This Row],[DiasNuevo]]</f>
        <v>45375</v>
      </c>
      <c r="I156">
        <v>27</v>
      </c>
      <c r="J156" t="s">
        <v>19</v>
      </c>
      <c r="K156" s="3">
        <v>4743.3900000000003</v>
      </c>
      <c r="L156" t="b">
        <f>TablaDatos[[#This Row],[FechaAlta]] &lt; TablaDatos[[#This Row],[FechaIngreso]]</f>
        <v>0</v>
      </c>
      <c r="M156">
        <f>_xlfn.XLOOKUP(TablaDatos[[#This Row],[PacienteID]],'Datos_Ejemplo.csv'!A:A,'Datos_Ejemplo.csv'!I:I)</f>
        <v>27</v>
      </c>
      <c r="N156">
        <f>ABS(TablaDatos[[#This Row],[DiasOriginal]])</f>
        <v>27</v>
      </c>
      <c r="O156" s="1">
        <f>TablaDatos[[#This Row],[FechaIngreso]]+TablaDatos[[#This Row],[DiasNuevo]]</f>
        <v>45375</v>
      </c>
    </row>
    <row r="157" spans="1:15">
      <c r="A157">
        <v>156</v>
      </c>
      <c r="B157" t="s">
        <v>235</v>
      </c>
      <c r="C157" s="1">
        <v>27395</v>
      </c>
      <c r="D157">
        <v>51</v>
      </c>
      <c r="E157" s="4" t="s">
        <v>15</v>
      </c>
      <c r="F157" t="s">
        <v>21</v>
      </c>
      <c r="G157" s="1">
        <v>45377</v>
      </c>
      <c r="H157" s="1">
        <f>TablaDatos[[#This Row],[FechaIngreso]]+TablaDatos[[#This Row],[DiasNuevo]]</f>
        <v>45395</v>
      </c>
      <c r="I157">
        <v>18</v>
      </c>
      <c r="J157" t="s">
        <v>19</v>
      </c>
      <c r="K157" s="3">
        <v>4448.21</v>
      </c>
      <c r="L157" t="b">
        <f>TablaDatos[[#This Row],[FechaAlta]] &lt; TablaDatos[[#This Row],[FechaIngreso]]</f>
        <v>0</v>
      </c>
      <c r="M157">
        <f>_xlfn.XLOOKUP(TablaDatos[[#This Row],[PacienteID]],'Datos_Ejemplo.csv'!A:A,'Datos_Ejemplo.csv'!I:I)</f>
        <v>18</v>
      </c>
      <c r="N157">
        <f>ABS(TablaDatos[[#This Row],[DiasOriginal]])</f>
        <v>18</v>
      </c>
      <c r="O157" s="1">
        <f>TablaDatos[[#This Row],[FechaIngreso]]+TablaDatos[[#This Row],[DiasNuevo]]</f>
        <v>45395</v>
      </c>
    </row>
    <row r="158" spans="1:15">
      <c r="A158">
        <v>157</v>
      </c>
      <c r="B158" t="s">
        <v>276</v>
      </c>
      <c r="C158" s="1">
        <v>44927</v>
      </c>
      <c r="D158">
        <v>3</v>
      </c>
      <c r="E158" s="4" t="s">
        <v>15</v>
      </c>
      <c r="F158" t="s">
        <v>201</v>
      </c>
      <c r="G158" s="1">
        <v>45019</v>
      </c>
      <c r="H158" s="1">
        <f>TablaDatos[[#This Row],[FechaIngreso]]+TablaDatos[[#This Row],[DiasNuevo]]</f>
        <v>45037</v>
      </c>
      <c r="I158">
        <v>18</v>
      </c>
      <c r="J158" t="s">
        <v>23</v>
      </c>
      <c r="K158" s="3">
        <v>9783.52</v>
      </c>
      <c r="L158" t="b">
        <f>TablaDatos[[#This Row],[FechaAlta]] &lt; TablaDatos[[#This Row],[FechaIngreso]]</f>
        <v>0</v>
      </c>
      <c r="M158">
        <f>_xlfn.XLOOKUP(TablaDatos[[#This Row],[PacienteID]],'Datos_Ejemplo.csv'!A:A,'Datos_Ejemplo.csv'!I:I)</f>
        <v>18</v>
      </c>
      <c r="N158">
        <f>ABS(TablaDatos[[#This Row],[DiasOriginal]])</f>
        <v>18</v>
      </c>
      <c r="O158" s="1">
        <f>TablaDatos[[#This Row],[FechaIngreso]]+TablaDatos[[#This Row],[DiasNuevo]]</f>
        <v>45037</v>
      </c>
    </row>
    <row r="159" spans="1:15">
      <c r="A159">
        <v>158</v>
      </c>
      <c r="B159" t="s">
        <v>122</v>
      </c>
      <c r="C159" s="1">
        <v>12054</v>
      </c>
      <c r="D159">
        <v>93</v>
      </c>
      <c r="E159" s="4" t="s">
        <v>15</v>
      </c>
      <c r="F159" t="s">
        <v>21</v>
      </c>
      <c r="G159" s="1">
        <v>45446</v>
      </c>
      <c r="H159" s="1">
        <f>TablaDatos[[#This Row],[FechaIngreso]]+TablaDatos[[#This Row],[DiasNuevo]]</f>
        <v>45477</v>
      </c>
      <c r="I159">
        <v>31</v>
      </c>
      <c r="J159" t="s">
        <v>25</v>
      </c>
      <c r="K159" s="3">
        <v>3334.83</v>
      </c>
      <c r="L159" t="b">
        <f>TablaDatos[[#This Row],[FechaAlta]] &lt; TablaDatos[[#This Row],[FechaIngreso]]</f>
        <v>0</v>
      </c>
      <c r="M159">
        <f>_xlfn.XLOOKUP(TablaDatos[[#This Row],[PacienteID]],'Datos_Ejemplo.csv'!A:A,'Datos_Ejemplo.csv'!I:I)</f>
        <v>31</v>
      </c>
      <c r="N159">
        <f>ABS(TablaDatos[[#This Row],[DiasOriginal]])</f>
        <v>31</v>
      </c>
      <c r="O159" s="1">
        <f>TablaDatos[[#This Row],[FechaIngreso]]+TablaDatos[[#This Row],[DiasNuevo]]</f>
        <v>45477</v>
      </c>
    </row>
    <row r="160" spans="1:15">
      <c r="A160">
        <v>159</v>
      </c>
      <c r="B160" t="s">
        <v>327</v>
      </c>
      <c r="C160" s="1">
        <v>37987</v>
      </c>
      <c r="D160">
        <f ca="1">DATEDIF(TablaDatos[[#This Row],[FechaNacimiento]],TODAY(),"Y")</f>
        <v>22</v>
      </c>
      <c r="E160" s="4" t="s">
        <v>15</v>
      </c>
      <c r="F160" t="s">
        <v>18</v>
      </c>
      <c r="G160" s="1">
        <v>45339</v>
      </c>
      <c r="H160" s="1">
        <f>TablaDatos[[#This Row],[FechaIngreso]]+TablaDatos[[#This Row],[DiasNuevo]]</f>
        <v>45374</v>
      </c>
      <c r="I160">
        <v>35</v>
      </c>
      <c r="J160" t="s">
        <v>19</v>
      </c>
      <c r="K160" s="3">
        <v>13425.76</v>
      </c>
      <c r="L160" t="b">
        <f>TablaDatos[[#This Row],[FechaAlta]] &lt; TablaDatos[[#This Row],[FechaIngreso]]</f>
        <v>0</v>
      </c>
      <c r="M160">
        <f>_xlfn.XLOOKUP(TablaDatos[[#This Row],[PacienteID]],'Datos_Ejemplo.csv'!A:A,'Datos_Ejemplo.csv'!I:I)</f>
        <v>35</v>
      </c>
      <c r="N160">
        <f>ABS(TablaDatos[[#This Row],[DiasOriginal]])</f>
        <v>35</v>
      </c>
      <c r="O160" s="1">
        <f>TablaDatos[[#This Row],[FechaIngreso]]+TablaDatos[[#This Row],[DiasNuevo]]</f>
        <v>45374</v>
      </c>
    </row>
    <row r="161" spans="1:15">
      <c r="A161">
        <v>160</v>
      </c>
      <c r="B161" t="s">
        <v>238</v>
      </c>
      <c r="C161" s="1">
        <v>40909</v>
      </c>
      <c r="D161">
        <v>14</v>
      </c>
      <c r="E161" s="4" t="s">
        <v>197</v>
      </c>
      <c r="F161" t="s">
        <v>32</v>
      </c>
      <c r="G161" s="1">
        <v>45320</v>
      </c>
      <c r="H161" s="1">
        <f>TablaDatos[[#This Row],[FechaIngreso]]+TablaDatos[[#This Row],[DiasNuevo]]</f>
        <v>45343</v>
      </c>
      <c r="I161">
        <v>23</v>
      </c>
      <c r="J161" t="s">
        <v>23</v>
      </c>
      <c r="K161" s="3">
        <v>7303.88</v>
      </c>
      <c r="L161" t="b">
        <f>TablaDatos[[#This Row],[FechaAlta]] &lt; TablaDatos[[#This Row],[FechaIngreso]]</f>
        <v>0</v>
      </c>
      <c r="M161">
        <f>_xlfn.XLOOKUP(TablaDatos[[#This Row],[PacienteID]],'Datos_Ejemplo.csv'!A:A,'Datos_Ejemplo.csv'!I:I)</f>
        <v>23</v>
      </c>
      <c r="N161">
        <f>ABS(TablaDatos[[#This Row],[DiasOriginal]])</f>
        <v>23</v>
      </c>
      <c r="O161" s="1">
        <f>TablaDatos[[#This Row],[FechaIngreso]]+TablaDatos[[#This Row],[DiasNuevo]]</f>
        <v>45343</v>
      </c>
    </row>
    <row r="162" spans="1:15">
      <c r="A162">
        <v>161</v>
      </c>
      <c r="B162" t="s">
        <v>348</v>
      </c>
      <c r="C162" s="1">
        <v>30682</v>
      </c>
      <c r="D162">
        <v>42</v>
      </c>
      <c r="E162" s="4" t="s">
        <v>15</v>
      </c>
      <c r="F162" t="s">
        <v>201</v>
      </c>
      <c r="G162" s="1">
        <v>45257</v>
      </c>
      <c r="H162" s="1">
        <f>TablaDatos[[#This Row],[FechaIngreso]]+TablaDatos[[#This Row],[DiasNuevo]]</f>
        <v>45295</v>
      </c>
      <c r="I162">
        <v>38</v>
      </c>
      <c r="J162" t="s">
        <v>23</v>
      </c>
      <c r="K162" s="3">
        <v>6394.5</v>
      </c>
      <c r="L162" t="b">
        <f>TablaDatos[[#This Row],[FechaAlta]] &lt; TablaDatos[[#This Row],[FechaIngreso]]</f>
        <v>0</v>
      </c>
      <c r="M162">
        <f>_xlfn.XLOOKUP(TablaDatos[[#This Row],[PacienteID]],'Datos_Ejemplo.csv'!A:A,'Datos_Ejemplo.csv'!I:I)</f>
        <v>38</v>
      </c>
      <c r="N162">
        <f>ABS(TablaDatos[[#This Row],[DiasOriginal]])</f>
        <v>38</v>
      </c>
      <c r="O162" s="1">
        <f>TablaDatos[[#This Row],[FechaIngreso]]+TablaDatos[[#This Row],[DiasNuevo]]</f>
        <v>45295</v>
      </c>
    </row>
    <row r="163" spans="1:15">
      <c r="A163">
        <v>162</v>
      </c>
      <c r="B163" t="s">
        <v>270</v>
      </c>
      <c r="C163" s="1">
        <v>35795</v>
      </c>
      <c r="D163">
        <v>28</v>
      </c>
      <c r="E163" s="4" t="s">
        <v>12</v>
      </c>
      <c r="F163" t="s">
        <v>201</v>
      </c>
      <c r="G163" s="1">
        <v>45634</v>
      </c>
      <c r="H163" s="1">
        <f>TablaDatos[[#This Row],[FechaIngreso]]+TablaDatos[[#This Row],[DiasNuevo]]</f>
        <v>45645</v>
      </c>
      <c r="I163">
        <v>11</v>
      </c>
      <c r="J163" t="s">
        <v>23</v>
      </c>
      <c r="K163" s="3">
        <v>9171.84</v>
      </c>
      <c r="L163" t="b">
        <f>TablaDatos[[#This Row],[FechaAlta]] &lt; TablaDatos[[#This Row],[FechaIngreso]]</f>
        <v>0</v>
      </c>
      <c r="M163">
        <f>_xlfn.XLOOKUP(TablaDatos[[#This Row],[PacienteID]],'Datos_Ejemplo.csv'!A:A,'Datos_Ejemplo.csv'!I:I)</f>
        <v>11</v>
      </c>
      <c r="N163">
        <f>ABS(TablaDatos[[#This Row],[DiasOriginal]])</f>
        <v>11</v>
      </c>
      <c r="O163" s="1">
        <f>TablaDatos[[#This Row],[FechaIngreso]]+TablaDatos[[#This Row],[DiasNuevo]]</f>
        <v>45645</v>
      </c>
    </row>
    <row r="164" spans="1:15">
      <c r="A164">
        <v>163</v>
      </c>
      <c r="B164" t="s">
        <v>277</v>
      </c>
      <c r="C164" s="1">
        <v>33239</v>
      </c>
      <c r="D164">
        <v>35</v>
      </c>
      <c r="E164" s="4" t="s">
        <v>197</v>
      </c>
      <c r="F164" t="s">
        <v>13</v>
      </c>
      <c r="G164" s="1">
        <v>45359</v>
      </c>
      <c r="H164" s="1">
        <f>TablaDatos[[#This Row],[FechaIngreso]]+TablaDatos[[#This Row],[DiasNuevo]]</f>
        <v>45396</v>
      </c>
      <c r="I164">
        <v>37</v>
      </c>
      <c r="J164" t="s">
        <v>25</v>
      </c>
      <c r="K164" s="3">
        <v>10806.01</v>
      </c>
      <c r="L164" t="b">
        <f>TablaDatos[[#This Row],[FechaAlta]] &lt; TablaDatos[[#This Row],[FechaIngreso]]</f>
        <v>0</v>
      </c>
      <c r="M164">
        <f>_xlfn.XLOOKUP(TablaDatos[[#This Row],[PacienteID]],'Datos_Ejemplo.csv'!A:A,'Datos_Ejemplo.csv'!I:I)</f>
        <v>37</v>
      </c>
      <c r="N164">
        <f>ABS(TablaDatos[[#This Row],[DiasOriginal]])</f>
        <v>37</v>
      </c>
      <c r="O164" s="1">
        <f>TablaDatos[[#This Row],[FechaIngreso]]+TablaDatos[[#This Row],[DiasNuevo]]</f>
        <v>45396</v>
      </c>
    </row>
    <row r="165" spans="1:15">
      <c r="A165">
        <v>164</v>
      </c>
      <c r="B165" t="s">
        <v>327</v>
      </c>
      <c r="C165" s="1">
        <v>41639</v>
      </c>
      <c r="D165">
        <v>12</v>
      </c>
      <c r="E165" s="4" t="s">
        <v>15</v>
      </c>
      <c r="F165" t="s">
        <v>295</v>
      </c>
      <c r="G165" s="1">
        <v>45089</v>
      </c>
      <c r="H165" s="1">
        <f>TablaDatos[[#This Row],[FechaIngreso]]+TablaDatos[[#This Row],[DiasNuevo]]</f>
        <v>45121</v>
      </c>
      <c r="I165">
        <v>32</v>
      </c>
      <c r="J165" t="s">
        <v>25</v>
      </c>
      <c r="K165" s="3">
        <v>2752.8</v>
      </c>
      <c r="L165" t="b">
        <f>TablaDatos[[#This Row],[FechaAlta]] &lt; TablaDatos[[#This Row],[FechaIngreso]]</f>
        <v>0</v>
      </c>
      <c r="M165">
        <f>_xlfn.XLOOKUP(TablaDatos[[#This Row],[PacienteID]],'Datos_Ejemplo.csv'!A:A,'Datos_Ejemplo.csv'!I:I)</f>
        <v>32</v>
      </c>
      <c r="N165">
        <f>ABS(TablaDatos[[#This Row],[DiasOriginal]])</f>
        <v>32</v>
      </c>
      <c r="O165" s="1">
        <f>TablaDatos[[#This Row],[FechaIngreso]]+TablaDatos[[#This Row],[DiasNuevo]]</f>
        <v>45121</v>
      </c>
    </row>
    <row r="166" spans="1:15">
      <c r="A166">
        <v>165</v>
      </c>
      <c r="B166" t="s">
        <v>281</v>
      </c>
      <c r="C166" s="1">
        <v>34700</v>
      </c>
      <c r="D166">
        <v>31</v>
      </c>
      <c r="E166" s="4" t="s">
        <v>12</v>
      </c>
      <c r="F166" t="s">
        <v>32</v>
      </c>
      <c r="G166" s="1">
        <v>44966</v>
      </c>
      <c r="H166" s="1">
        <f>TablaDatos[[#This Row],[FechaIngreso]]+TablaDatos[[#This Row],[DiasNuevo]]</f>
        <v>45005</v>
      </c>
      <c r="I166">
        <v>39</v>
      </c>
      <c r="J166" t="s">
        <v>25</v>
      </c>
      <c r="K166" s="3">
        <v>14126.04</v>
      </c>
      <c r="L166" t="b">
        <f>TablaDatos[[#This Row],[FechaAlta]] &lt; TablaDatos[[#This Row],[FechaIngreso]]</f>
        <v>0</v>
      </c>
      <c r="M166">
        <f>_xlfn.XLOOKUP(TablaDatos[[#This Row],[PacienteID]],'Datos_Ejemplo.csv'!A:A,'Datos_Ejemplo.csv'!I:I)</f>
        <v>39</v>
      </c>
      <c r="N166">
        <f>ABS(TablaDatos[[#This Row],[DiasOriginal]])</f>
        <v>39</v>
      </c>
      <c r="O166" s="1">
        <f>TablaDatos[[#This Row],[FechaIngreso]]+TablaDatos[[#This Row],[DiasNuevo]]</f>
        <v>45005</v>
      </c>
    </row>
    <row r="167" spans="1:15">
      <c r="A167">
        <v>166</v>
      </c>
      <c r="B167" t="s">
        <v>327</v>
      </c>
      <c r="C167" s="1">
        <v>20455</v>
      </c>
      <c r="D167">
        <v>70</v>
      </c>
      <c r="E167" s="4" t="s">
        <v>15</v>
      </c>
      <c r="F167" t="s">
        <v>13</v>
      </c>
      <c r="G167" s="1">
        <v>45011</v>
      </c>
      <c r="H167" s="1">
        <f>TablaDatos[[#This Row],[FechaIngreso]]+TablaDatos[[#This Row],[DiasNuevo]]</f>
        <v>45026</v>
      </c>
      <c r="I167">
        <v>15</v>
      </c>
      <c r="J167" t="s">
        <v>19</v>
      </c>
      <c r="K167" s="3">
        <v>17647.240000000002</v>
      </c>
      <c r="L167" t="b">
        <f>TablaDatos[[#This Row],[FechaAlta]] &lt; TablaDatos[[#This Row],[FechaIngreso]]</f>
        <v>0</v>
      </c>
      <c r="M167">
        <f>_xlfn.XLOOKUP(TablaDatos[[#This Row],[PacienteID]],'Datos_Ejemplo.csv'!A:A,'Datos_Ejemplo.csv'!I:I)</f>
        <v>15</v>
      </c>
      <c r="N167">
        <f>ABS(TablaDatos[[#This Row],[DiasOriginal]])</f>
        <v>15</v>
      </c>
      <c r="O167" s="1">
        <f>TablaDatos[[#This Row],[FechaIngreso]]+TablaDatos[[#This Row],[DiasNuevo]]</f>
        <v>45026</v>
      </c>
    </row>
    <row r="168" spans="1:15">
      <c r="A168">
        <v>167</v>
      </c>
      <c r="B168" t="s">
        <v>336</v>
      </c>
      <c r="C168" s="1">
        <v>24838</v>
      </c>
      <c r="D168">
        <v>58</v>
      </c>
      <c r="E168" s="4" t="s">
        <v>15</v>
      </c>
      <c r="F168" t="s">
        <v>18</v>
      </c>
      <c r="G168" s="1">
        <v>45516</v>
      </c>
      <c r="H168" s="1">
        <f>TablaDatos[[#This Row],[FechaIngreso]]+TablaDatos[[#This Row],[DiasNuevo]]</f>
        <v>45533</v>
      </c>
      <c r="I168">
        <v>17</v>
      </c>
      <c r="J168" t="s">
        <v>23</v>
      </c>
      <c r="K168" s="3">
        <v>5487.54</v>
      </c>
      <c r="L168" t="b">
        <f>TablaDatos[[#This Row],[FechaAlta]] &lt; TablaDatos[[#This Row],[FechaIngreso]]</f>
        <v>0</v>
      </c>
      <c r="M168">
        <f>_xlfn.XLOOKUP(TablaDatos[[#This Row],[PacienteID]],'Datos_Ejemplo.csv'!A:A,'Datos_Ejemplo.csv'!I:I)</f>
        <v>17</v>
      </c>
      <c r="N168">
        <f>ABS(TablaDatos[[#This Row],[DiasOriginal]])</f>
        <v>17</v>
      </c>
      <c r="O168" s="1">
        <f>TablaDatos[[#This Row],[FechaIngreso]]+TablaDatos[[#This Row],[DiasNuevo]]</f>
        <v>45533</v>
      </c>
    </row>
    <row r="169" spans="1:15">
      <c r="A169">
        <v>168</v>
      </c>
      <c r="B169" t="s">
        <v>122</v>
      </c>
      <c r="C169" s="1">
        <v>14976</v>
      </c>
      <c r="D169">
        <v>85</v>
      </c>
      <c r="E169" s="4" t="s">
        <v>15</v>
      </c>
      <c r="F169" t="s">
        <v>201</v>
      </c>
      <c r="G169" s="1">
        <v>45651</v>
      </c>
      <c r="H169" s="1">
        <f>TablaDatos[[#This Row],[FechaIngreso]]+TablaDatos[[#This Row],[DiasNuevo]]</f>
        <v>45657</v>
      </c>
      <c r="I169">
        <v>6</v>
      </c>
      <c r="J169" t="s">
        <v>23</v>
      </c>
      <c r="K169" s="3">
        <v>3525.86</v>
      </c>
      <c r="L169" t="b">
        <f>TablaDatos[[#This Row],[FechaAlta]] &lt; TablaDatos[[#This Row],[FechaIngreso]]</f>
        <v>0</v>
      </c>
      <c r="M169">
        <f>_xlfn.XLOOKUP(TablaDatos[[#This Row],[PacienteID]],'Datos_Ejemplo.csv'!A:A,'Datos_Ejemplo.csv'!I:I)</f>
        <v>6</v>
      </c>
      <c r="N169">
        <f>ABS(TablaDatos[[#This Row],[DiasOriginal]])</f>
        <v>6</v>
      </c>
      <c r="O169" s="1">
        <f>TablaDatos[[#This Row],[FechaIngreso]]+TablaDatos[[#This Row],[DiasNuevo]]</f>
        <v>45657</v>
      </c>
    </row>
    <row r="170" spans="1:15">
      <c r="A170">
        <v>169</v>
      </c>
      <c r="B170" t="s">
        <v>272</v>
      </c>
      <c r="C170" s="1">
        <v>36161</v>
      </c>
      <c r="D170">
        <v>27</v>
      </c>
      <c r="E170" s="4" t="s">
        <v>12</v>
      </c>
      <c r="F170" t="s">
        <v>13</v>
      </c>
      <c r="G170" s="1">
        <v>45017</v>
      </c>
      <c r="H170" s="1">
        <f>TablaDatos[[#This Row],[FechaIngreso]]+TablaDatos[[#This Row],[DiasNuevo]]</f>
        <v>45055</v>
      </c>
      <c r="I170">
        <v>38</v>
      </c>
      <c r="J170" t="s">
        <v>25</v>
      </c>
      <c r="K170" s="3">
        <v>15186.16</v>
      </c>
      <c r="L170" t="b">
        <f>TablaDatos[[#This Row],[FechaAlta]] &lt; TablaDatos[[#This Row],[FechaIngreso]]</f>
        <v>0</v>
      </c>
      <c r="M170">
        <f>_xlfn.XLOOKUP(TablaDatos[[#This Row],[PacienteID]],'Datos_Ejemplo.csv'!A:A,'Datos_Ejemplo.csv'!I:I)</f>
        <v>38</v>
      </c>
      <c r="N170">
        <f>ABS(TablaDatos[[#This Row],[DiasOriginal]])</f>
        <v>38</v>
      </c>
      <c r="O170" s="1">
        <f>TablaDatos[[#This Row],[FechaIngreso]]+TablaDatos[[#This Row],[DiasNuevo]]</f>
        <v>45055</v>
      </c>
    </row>
    <row r="171" spans="1:15">
      <c r="A171">
        <v>170</v>
      </c>
      <c r="B171" t="s">
        <v>349</v>
      </c>
      <c r="C171" s="1">
        <v>22281</v>
      </c>
      <c r="D171">
        <v>65</v>
      </c>
      <c r="E171" s="4" t="s">
        <v>15</v>
      </c>
      <c r="F171" t="s">
        <v>21</v>
      </c>
      <c r="G171" s="1">
        <v>45410</v>
      </c>
      <c r="H171" s="1">
        <f>TablaDatos[[#This Row],[FechaIngreso]]+TablaDatos[[#This Row],[DiasNuevo]]</f>
        <v>45440</v>
      </c>
      <c r="I171">
        <v>30</v>
      </c>
      <c r="J171" t="s">
        <v>23</v>
      </c>
      <c r="K171" s="3">
        <v>3589.19</v>
      </c>
      <c r="L171" t="b">
        <f>TablaDatos[[#This Row],[FechaAlta]] &lt; TablaDatos[[#This Row],[FechaIngreso]]</f>
        <v>0</v>
      </c>
      <c r="M171">
        <f>_xlfn.XLOOKUP(TablaDatos[[#This Row],[PacienteID]],'Datos_Ejemplo.csv'!A:A,'Datos_Ejemplo.csv'!I:I)</f>
        <v>30</v>
      </c>
      <c r="N171">
        <f>ABS(TablaDatos[[#This Row],[DiasOriginal]])</f>
        <v>30</v>
      </c>
      <c r="O171" s="1">
        <f>TablaDatos[[#This Row],[FechaIngreso]]+TablaDatos[[#This Row],[DiasNuevo]]</f>
        <v>45440</v>
      </c>
    </row>
    <row r="172" spans="1:15">
      <c r="A172">
        <v>171</v>
      </c>
      <c r="B172" t="s">
        <v>251</v>
      </c>
      <c r="C172" s="1">
        <v>31047</v>
      </c>
      <c r="D172">
        <v>41</v>
      </c>
      <c r="E172" s="4" t="s">
        <v>12</v>
      </c>
      <c r="F172" t="s">
        <v>295</v>
      </c>
      <c r="G172" s="1">
        <v>45311</v>
      </c>
      <c r="H172" s="1">
        <f>TablaDatos[[#This Row],[FechaIngreso]]+TablaDatos[[#This Row],[DiasNuevo]]</f>
        <v>45312</v>
      </c>
      <c r="I172">
        <v>1</v>
      </c>
      <c r="J172" t="s">
        <v>19</v>
      </c>
      <c r="K172" s="3">
        <v>729.23</v>
      </c>
      <c r="L172" t="b">
        <f>TablaDatos[[#This Row],[FechaAlta]] &lt; TablaDatos[[#This Row],[FechaIngreso]]</f>
        <v>0</v>
      </c>
      <c r="M172">
        <f>_xlfn.XLOOKUP(TablaDatos[[#This Row],[PacienteID]],'Datos_Ejemplo.csv'!A:A,'Datos_Ejemplo.csv'!I:I)</f>
        <v>1</v>
      </c>
      <c r="N172">
        <f>ABS(TablaDatos[[#This Row],[DiasOriginal]])</f>
        <v>1</v>
      </c>
      <c r="O172" s="1">
        <f>TablaDatos[[#This Row],[FechaIngreso]]+TablaDatos[[#This Row],[DiasNuevo]]</f>
        <v>45312</v>
      </c>
    </row>
    <row r="173" spans="1:15">
      <c r="A173">
        <v>172</v>
      </c>
      <c r="B173" t="s">
        <v>337</v>
      </c>
      <c r="C173" s="1">
        <v>29951</v>
      </c>
      <c r="D173">
        <v>44</v>
      </c>
      <c r="E173" s="4" t="s">
        <v>12</v>
      </c>
      <c r="F173" t="s">
        <v>295</v>
      </c>
      <c r="G173" s="1">
        <v>45119</v>
      </c>
      <c r="H173" s="1">
        <f>TablaDatos[[#This Row],[FechaIngreso]]+TablaDatos[[#This Row],[DiasNuevo]]</f>
        <v>45120</v>
      </c>
      <c r="I173">
        <v>1</v>
      </c>
      <c r="J173" t="s">
        <v>23</v>
      </c>
      <c r="K173" s="3">
        <v>12346.79</v>
      </c>
      <c r="L173" t="b">
        <f>TablaDatos[[#This Row],[FechaAlta]] &lt; TablaDatos[[#This Row],[FechaIngreso]]</f>
        <v>0</v>
      </c>
      <c r="M173">
        <f>_xlfn.XLOOKUP(TablaDatos[[#This Row],[PacienteID]],'Datos_Ejemplo.csv'!A:A,'Datos_Ejemplo.csv'!I:I)</f>
        <v>1</v>
      </c>
      <c r="N173">
        <f>ABS(TablaDatos[[#This Row],[DiasOriginal]])</f>
        <v>1</v>
      </c>
      <c r="O173" s="1">
        <f>TablaDatos[[#This Row],[FechaIngreso]]+TablaDatos[[#This Row],[DiasNuevo]]</f>
        <v>45120</v>
      </c>
    </row>
    <row r="174" spans="1:15">
      <c r="A174">
        <v>173</v>
      </c>
      <c r="B174" t="s">
        <v>294</v>
      </c>
      <c r="C174" s="1">
        <v>23742</v>
      </c>
      <c r="D174">
        <v>61</v>
      </c>
      <c r="E174" s="4" t="s">
        <v>12</v>
      </c>
      <c r="F174" t="s">
        <v>21</v>
      </c>
      <c r="G174" s="1">
        <v>45179</v>
      </c>
      <c r="H174" s="1">
        <f>TablaDatos[[#This Row],[FechaIngreso]]+TablaDatos[[#This Row],[DiasNuevo]]</f>
        <v>45192</v>
      </c>
      <c r="I174">
        <v>13</v>
      </c>
      <c r="J174" t="s">
        <v>23</v>
      </c>
      <c r="K174" s="3">
        <v>4719</v>
      </c>
      <c r="L174" t="b">
        <f>TablaDatos[[#This Row],[FechaAlta]] &lt; TablaDatos[[#This Row],[FechaIngreso]]</f>
        <v>0</v>
      </c>
      <c r="M174">
        <f>_xlfn.XLOOKUP(TablaDatos[[#This Row],[PacienteID]],'Datos_Ejemplo.csv'!A:A,'Datos_Ejemplo.csv'!I:I)</f>
        <v>13</v>
      </c>
      <c r="N174">
        <f>ABS(TablaDatos[[#This Row],[DiasOriginal]])</f>
        <v>13</v>
      </c>
      <c r="O174" s="1">
        <f>TablaDatos[[#This Row],[FechaIngreso]]+TablaDatos[[#This Row],[DiasNuevo]]</f>
        <v>45192</v>
      </c>
    </row>
    <row r="175" spans="1:15">
      <c r="A175">
        <v>174</v>
      </c>
      <c r="B175" t="s">
        <v>350</v>
      </c>
      <c r="C175" s="1">
        <v>25568</v>
      </c>
      <c r="D175">
        <v>56</v>
      </c>
      <c r="E175" s="4" t="s">
        <v>15</v>
      </c>
      <c r="F175" t="s">
        <v>201</v>
      </c>
      <c r="G175" s="1">
        <v>45581</v>
      </c>
      <c r="H175" s="1">
        <f>TablaDatos[[#This Row],[FechaIngreso]]+TablaDatos[[#This Row],[DiasNuevo]]</f>
        <v>45604</v>
      </c>
      <c r="I175">
        <v>23</v>
      </c>
      <c r="J175" t="s">
        <v>23</v>
      </c>
      <c r="K175" s="3">
        <v>3353.39</v>
      </c>
      <c r="L175" t="b">
        <f>TablaDatos[[#This Row],[FechaAlta]] &lt; TablaDatos[[#This Row],[FechaIngreso]]</f>
        <v>0</v>
      </c>
      <c r="M175">
        <f>_xlfn.XLOOKUP(TablaDatos[[#This Row],[PacienteID]],'Datos_Ejemplo.csv'!A:A,'Datos_Ejemplo.csv'!I:I)</f>
        <v>23</v>
      </c>
      <c r="N175">
        <f>ABS(TablaDatos[[#This Row],[DiasOriginal]])</f>
        <v>23</v>
      </c>
      <c r="O175" s="1">
        <f>TablaDatos[[#This Row],[FechaIngreso]]+TablaDatos[[#This Row],[DiasNuevo]]</f>
        <v>45604</v>
      </c>
    </row>
    <row r="176" spans="1:15">
      <c r="A176">
        <v>175</v>
      </c>
      <c r="B176" t="s">
        <v>265</v>
      </c>
      <c r="C176" s="1">
        <v>44196</v>
      </c>
      <c r="D176">
        <v>5</v>
      </c>
      <c r="E176" s="4" t="s">
        <v>12</v>
      </c>
      <c r="F176" t="s">
        <v>201</v>
      </c>
      <c r="G176" s="1">
        <v>45170</v>
      </c>
      <c r="H176" s="1">
        <f>TablaDatos[[#This Row],[FechaIngreso]]+TablaDatos[[#This Row],[DiasNuevo]]</f>
        <v>45173</v>
      </c>
      <c r="I176">
        <v>3</v>
      </c>
      <c r="J176" t="s">
        <v>19</v>
      </c>
      <c r="K176" s="3">
        <v>19630.22</v>
      </c>
      <c r="L176" t="b">
        <f>TablaDatos[[#This Row],[FechaAlta]] &lt; TablaDatos[[#This Row],[FechaIngreso]]</f>
        <v>0</v>
      </c>
      <c r="M176">
        <f>_xlfn.XLOOKUP(TablaDatos[[#This Row],[PacienteID]],'Datos_Ejemplo.csv'!A:A,'Datos_Ejemplo.csv'!I:I)</f>
        <v>3</v>
      </c>
      <c r="N176">
        <f>ABS(TablaDatos[[#This Row],[DiasOriginal]])</f>
        <v>3</v>
      </c>
      <c r="O176" s="1">
        <f>TablaDatos[[#This Row],[FechaIngreso]]+TablaDatos[[#This Row],[DiasNuevo]]</f>
        <v>45173</v>
      </c>
    </row>
    <row r="177" spans="1:15">
      <c r="A177">
        <v>176</v>
      </c>
      <c r="B177" t="s">
        <v>305</v>
      </c>
      <c r="C177" s="1">
        <f ca="1">DATE(YEAR(TODAY())-TablaDatos[[#This Row],[Edad]],1,1)</f>
        <v>0</v>
      </c>
      <c r="D177">
        <f ca="1">DATEDIF(TablaDatos[[#This Row],[FechaNacimiento]],TODAY(),"Y")</f>
        <v>126</v>
      </c>
      <c r="E177" s="4" t="s">
        <v>12</v>
      </c>
      <c r="F177" t="s">
        <v>32</v>
      </c>
      <c r="G177" s="1">
        <v>45650</v>
      </c>
      <c r="H177" s="1">
        <f>TablaDatos[[#This Row],[FechaIngreso]]+TablaDatos[[#This Row],[DiasNuevo]]</f>
        <v>45684</v>
      </c>
      <c r="I177">
        <v>34</v>
      </c>
      <c r="J177" t="s">
        <v>25</v>
      </c>
      <c r="K177" s="3">
        <v>5766.49</v>
      </c>
      <c r="L177" t="b">
        <f>TablaDatos[[#This Row],[FechaAlta]] &lt; TablaDatos[[#This Row],[FechaIngreso]]</f>
        <v>0</v>
      </c>
      <c r="M177">
        <f>_xlfn.XLOOKUP(TablaDatos[[#This Row],[PacienteID]],'Datos_Ejemplo.csv'!A:A,'Datos_Ejemplo.csv'!I:I)</f>
        <v>34</v>
      </c>
      <c r="N177">
        <f>ABS(TablaDatos[[#This Row],[DiasOriginal]])</f>
        <v>34</v>
      </c>
      <c r="O177" s="1">
        <f>TablaDatos[[#This Row],[FechaIngreso]]+TablaDatos[[#This Row],[DiasNuevo]]</f>
        <v>45684</v>
      </c>
    </row>
    <row r="178" spans="1:15">
      <c r="A178">
        <v>177</v>
      </c>
      <c r="B178" t="s">
        <v>240</v>
      </c>
      <c r="C178" s="1">
        <v>36161</v>
      </c>
      <c r="D178">
        <v>27</v>
      </c>
      <c r="E178" s="4" t="s">
        <v>12</v>
      </c>
      <c r="F178" t="s">
        <v>21</v>
      </c>
      <c r="G178" s="1">
        <v>45633</v>
      </c>
      <c r="H178" s="1">
        <f>TablaDatos[[#This Row],[FechaIngreso]]+TablaDatos[[#This Row],[DiasNuevo]]</f>
        <v>45652</v>
      </c>
      <c r="I178">
        <v>19</v>
      </c>
      <c r="J178" t="s">
        <v>19</v>
      </c>
      <c r="K178" s="3">
        <v>18059.21</v>
      </c>
      <c r="L178" t="b">
        <f>TablaDatos[[#This Row],[FechaAlta]] &lt; TablaDatos[[#This Row],[FechaIngreso]]</f>
        <v>0</v>
      </c>
      <c r="M178">
        <f>_xlfn.XLOOKUP(TablaDatos[[#This Row],[PacienteID]],'Datos_Ejemplo.csv'!A:A,'Datos_Ejemplo.csv'!I:I)</f>
        <v>19</v>
      </c>
      <c r="N178">
        <f>ABS(TablaDatos[[#This Row],[DiasOriginal]])</f>
        <v>19</v>
      </c>
      <c r="O178" s="1">
        <f>TablaDatos[[#This Row],[FechaIngreso]]+TablaDatos[[#This Row],[DiasNuevo]]</f>
        <v>45652</v>
      </c>
    </row>
    <row r="179" spans="1:15">
      <c r="A179">
        <v>178</v>
      </c>
      <c r="B179" t="s">
        <v>116</v>
      </c>
      <c r="C179" s="1">
        <v>30317</v>
      </c>
      <c r="D179">
        <v>43</v>
      </c>
      <c r="E179" s="4" t="s">
        <v>12</v>
      </c>
      <c r="F179" t="s">
        <v>201</v>
      </c>
      <c r="G179" s="1">
        <v>45196</v>
      </c>
      <c r="H179" s="1">
        <f>TablaDatos[[#This Row],[FechaIngreso]]+TablaDatos[[#This Row],[DiasNuevo]]</f>
        <v>45235</v>
      </c>
      <c r="I179">
        <v>39</v>
      </c>
      <c r="J179" t="s">
        <v>23</v>
      </c>
      <c r="K179" s="3">
        <v>3482.2</v>
      </c>
      <c r="L179" t="b">
        <f>TablaDatos[[#This Row],[FechaAlta]] &lt; TablaDatos[[#This Row],[FechaIngreso]]</f>
        <v>0</v>
      </c>
      <c r="M179">
        <f>_xlfn.XLOOKUP(TablaDatos[[#This Row],[PacienteID]],'Datos_Ejemplo.csv'!A:A,'Datos_Ejemplo.csv'!I:I)</f>
        <v>39</v>
      </c>
      <c r="N179">
        <f>ABS(TablaDatos[[#This Row],[DiasOriginal]])</f>
        <v>39</v>
      </c>
      <c r="O179" s="1">
        <f>TablaDatos[[#This Row],[FechaIngreso]]+TablaDatos[[#This Row],[DiasNuevo]]</f>
        <v>45235</v>
      </c>
    </row>
    <row r="180" spans="1:15">
      <c r="A180">
        <v>179</v>
      </c>
      <c r="B180" t="s">
        <v>284</v>
      </c>
      <c r="C180" s="1">
        <v>15707</v>
      </c>
      <c r="D180">
        <v>83</v>
      </c>
      <c r="E180" s="4" t="s">
        <v>12</v>
      </c>
      <c r="F180" t="s">
        <v>295</v>
      </c>
      <c r="G180" s="1">
        <v>44945</v>
      </c>
      <c r="H180" s="1">
        <f>TablaDatos[[#This Row],[FechaIngreso]]+TablaDatos[[#This Row],[DiasNuevo]]</f>
        <v>44981</v>
      </c>
      <c r="I180">
        <v>36</v>
      </c>
      <c r="J180" t="s">
        <v>23</v>
      </c>
      <c r="K180" s="3">
        <v>16361.44</v>
      </c>
      <c r="L180" t="b">
        <f>TablaDatos[[#This Row],[FechaAlta]] &lt; TablaDatos[[#This Row],[FechaIngreso]]</f>
        <v>0</v>
      </c>
      <c r="M180">
        <f>_xlfn.XLOOKUP(TablaDatos[[#This Row],[PacienteID]],'Datos_Ejemplo.csv'!A:A,'Datos_Ejemplo.csv'!I:I)</f>
        <v>36</v>
      </c>
      <c r="N180">
        <f>ABS(TablaDatos[[#This Row],[DiasOriginal]])</f>
        <v>36</v>
      </c>
      <c r="O180" s="1">
        <f>TablaDatos[[#This Row],[FechaIngreso]]+TablaDatos[[#This Row],[DiasNuevo]]</f>
        <v>44981</v>
      </c>
    </row>
    <row r="181" spans="1:15">
      <c r="A181">
        <v>180</v>
      </c>
      <c r="B181" t="s">
        <v>312</v>
      </c>
      <c r="C181" s="1">
        <v>35430</v>
      </c>
      <c r="D181">
        <v>29</v>
      </c>
      <c r="E181" s="4" t="s">
        <v>15</v>
      </c>
      <c r="F181" t="s">
        <v>201</v>
      </c>
      <c r="G181" s="1">
        <v>44966</v>
      </c>
      <c r="H181" s="1">
        <f>TablaDatos[[#This Row],[FechaIngreso]]+TablaDatos[[#This Row],[DiasNuevo]]</f>
        <v>44970</v>
      </c>
      <c r="I181">
        <v>4</v>
      </c>
      <c r="J181" t="s">
        <v>23</v>
      </c>
      <c r="K181" s="3">
        <v>9990.58</v>
      </c>
      <c r="L181" t="b">
        <f>TablaDatos[[#This Row],[FechaAlta]] &lt; TablaDatos[[#This Row],[FechaIngreso]]</f>
        <v>0</v>
      </c>
      <c r="M181">
        <f>_xlfn.XLOOKUP(TablaDatos[[#This Row],[PacienteID]],'Datos_Ejemplo.csv'!A:A,'Datos_Ejemplo.csv'!I:I)</f>
        <v>4</v>
      </c>
      <c r="N181">
        <f>ABS(TablaDatos[[#This Row],[DiasOriginal]])</f>
        <v>4</v>
      </c>
      <c r="O181" s="1">
        <f>TablaDatos[[#This Row],[FechaIngreso]]+TablaDatos[[#This Row],[DiasNuevo]]</f>
        <v>44970</v>
      </c>
    </row>
    <row r="182" spans="1:15">
      <c r="A182">
        <v>181</v>
      </c>
      <c r="B182" t="s">
        <v>257</v>
      </c>
      <c r="C182" s="1">
        <v>23742</v>
      </c>
      <c r="D182">
        <v>61</v>
      </c>
      <c r="E182" s="4" t="s">
        <v>15</v>
      </c>
      <c r="F182" t="s">
        <v>18</v>
      </c>
      <c r="G182" s="1">
        <v>45536</v>
      </c>
      <c r="H182" s="1">
        <f>TablaDatos[[#This Row],[FechaIngreso]]+TablaDatos[[#This Row],[DiasNuevo]]</f>
        <v>45575</v>
      </c>
      <c r="I182">
        <v>39</v>
      </c>
      <c r="J182" t="s">
        <v>23</v>
      </c>
      <c r="K182" s="3">
        <v>1479.75</v>
      </c>
      <c r="L182" t="b">
        <f>TablaDatos[[#This Row],[FechaAlta]] &lt; TablaDatos[[#This Row],[FechaIngreso]]</f>
        <v>0</v>
      </c>
      <c r="M182">
        <f>_xlfn.XLOOKUP(TablaDatos[[#This Row],[PacienteID]],'Datos_Ejemplo.csv'!A:A,'Datos_Ejemplo.csv'!I:I)</f>
        <v>39</v>
      </c>
      <c r="N182">
        <f>ABS(TablaDatos[[#This Row],[DiasOriginal]])</f>
        <v>39</v>
      </c>
      <c r="O182" s="1">
        <f>TablaDatos[[#This Row],[FechaIngreso]]+TablaDatos[[#This Row],[DiasNuevo]]</f>
        <v>45575</v>
      </c>
    </row>
    <row r="183" spans="1:15">
      <c r="A183">
        <v>182</v>
      </c>
      <c r="B183" t="s">
        <v>307</v>
      </c>
      <c r="C183" s="1">
        <f ca="1">DATE(YEAR(TODAY())-TablaDatos[[#This Row],[Edad]],1,1)</f>
        <v>18994</v>
      </c>
      <c r="D183">
        <v>74</v>
      </c>
      <c r="E183" s="4" t="s">
        <v>15</v>
      </c>
      <c r="F183" t="s">
        <v>201</v>
      </c>
      <c r="G183" s="1">
        <v>45442</v>
      </c>
      <c r="H183" s="1">
        <f>TablaDatos[[#This Row],[FechaIngreso]]+TablaDatos[[#This Row],[DiasNuevo]]</f>
        <v>45469</v>
      </c>
      <c r="I183">
        <v>27</v>
      </c>
      <c r="J183" t="s">
        <v>19</v>
      </c>
      <c r="K183" s="3">
        <v>14645.47</v>
      </c>
      <c r="L183" t="b">
        <f>TablaDatos[[#This Row],[FechaAlta]] &lt; TablaDatos[[#This Row],[FechaIngreso]]</f>
        <v>0</v>
      </c>
      <c r="M183">
        <f>_xlfn.XLOOKUP(TablaDatos[[#This Row],[PacienteID]],'Datos_Ejemplo.csv'!A:A,'Datos_Ejemplo.csv'!I:I)</f>
        <v>27</v>
      </c>
      <c r="N183">
        <f>ABS(TablaDatos[[#This Row],[DiasOriginal]])</f>
        <v>27</v>
      </c>
      <c r="O183" s="1">
        <f>TablaDatos[[#This Row],[FechaIngreso]]+TablaDatos[[#This Row],[DiasNuevo]]</f>
        <v>45469</v>
      </c>
    </row>
    <row r="184" spans="1:15">
      <c r="A184">
        <v>183</v>
      </c>
      <c r="B184" t="s">
        <v>334</v>
      </c>
      <c r="C184" s="1">
        <v>12785</v>
      </c>
      <c r="D184">
        <v>91</v>
      </c>
      <c r="E184" s="4" t="s">
        <v>15</v>
      </c>
      <c r="F184" t="s">
        <v>32</v>
      </c>
      <c r="G184" s="1">
        <v>44959</v>
      </c>
      <c r="H184" s="1">
        <f>TablaDatos[[#This Row],[FechaIngreso]]+TablaDatos[[#This Row],[DiasNuevo]]</f>
        <v>44966</v>
      </c>
      <c r="I184">
        <v>7</v>
      </c>
      <c r="J184" t="s">
        <v>19</v>
      </c>
      <c r="K184" s="3">
        <v>17830.669999999998</v>
      </c>
      <c r="L184" t="b">
        <f>TablaDatos[[#This Row],[FechaAlta]] &lt; TablaDatos[[#This Row],[FechaIngreso]]</f>
        <v>0</v>
      </c>
      <c r="M184">
        <f>_xlfn.XLOOKUP(TablaDatos[[#This Row],[PacienteID]],'Datos_Ejemplo.csv'!A:A,'Datos_Ejemplo.csv'!I:I)</f>
        <v>7</v>
      </c>
      <c r="N184">
        <f>ABS(TablaDatos[[#This Row],[DiasOriginal]])</f>
        <v>7</v>
      </c>
      <c r="O184" s="1">
        <f>TablaDatos[[#This Row],[FechaIngreso]]+TablaDatos[[#This Row],[DiasNuevo]]</f>
        <v>44966</v>
      </c>
    </row>
    <row r="185" spans="1:15">
      <c r="A185">
        <v>184</v>
      </c>
      <c r="B185" t="s">
        <v>259</v>
      </c>
      <c r="C185" s="1">
        <v>13880</v>
      </c>
      <c r="D185">
        <v>88</v>
      </c>
      <c r="E185" s="4" t="s">
        <v>15</v>
      </c>
      <c r="F185" t="s">
        <v>261</v>
      </c>
      <c r="G185" s="1">
        <v>45603</v>
      </c>
      <c r="H185" s="1">
        <f>TablaDatos[[#This Row],[FechaIngreso]]+TablaDatos[[#This Row],[DiasNuevo]]</f>
        <v>45615</v>
      </c>
      <c r="I185">
        <v>12</v>
      </c>
      <c r="J185" t="s">
        <v>19</v>
      </c>
      <c r="K185" s="3">
        <v>3176.64</v>
      </c>
      <c r="L185" t="b">
        <f>TablaDatos[[#This Row],[FechaAlta]] &lt; TablaDatos[[#This Row],[FechaIngreso]]</f>
        <v>0</v>
      </c>
      <c r="M185">
        <f>_xlfn.XLOOKUP(TablaDatos[[#This Row],[PacienteID]],'Datos_Ejemplo.csv'!A:A,'Datos_Ejemplo.csv'!I:I)</f>
        <v>12</v>
      </c>
      <c r="N185">
        <f>ABS(TablaDatos[[#This Row],[DiasOriginal]])</f>
        <v>12</v>
      </c>
      <c r="O185" s="1">
        <f>TablaDatos[[#This Row],[FechaIngreso]]+TablaDatos[[#This Row],[DiasNuevo]]</f>
        <v>45615</v>
      </c>
    </row>
    <row r="186" spans="1:15">
      <c r="A186">
        <v>185</v>
      </c>
      <c r="B186" t="s">
        <v>102</v>
      </c>
      <c r="C186" s="1">
        <v>23742</v>
      </c>
      <c r="D186">
        <v>61</v>
      </c>
      <c r="E186" s="4" t="s">
        <v>15</v>
      </c>
      <c r="F186" t="s">
        <v>13</v>
      </c>
      <c r="G186" s="1">
        <v>45376</v>
      </c>
      <c r="H186" s="1">
        <f>TablaDatos[[#This Row],[FechaIngreso]]+TablaDatos[[#This Row],[DiasNuevo]]</f>
        <v>45379</v>
      </c>
      <c r="I186">
        <v>3</v>
      </c>
      <c r="J186" t="s">
        <v>23</v>
      </c>
      <c r="K186" s="3">
        <v>14484.36</v>
      </c>
      <c r="L186" t="b">
        <f>TablaDatos[[#This Row],[FechaAlta]] &lt; TablaDatos[[#This Row],[FechaIngreso]]</f>
        <v>0</v>
      </c>
      <c r="M186">
        <f>_xlfn.XLOOKUP(TablaDatos[[#This Row],[PacienteID]],'Datos_Ejemplo.csv'!A:A,'Datos_Ejemplo.csv'!I:I)</f>
        <v>3</v>
      </c>
      <c r="N186">
        <f>ABS(TablaDatos[[#This Row],[DiasOriginal]])</f>
        <v>3</v>
      </c>
      <c r="O186" s="1">
        <f>TablaDatos[[#This Row],[FechaIngreso]]+TablaDatos[[#This Row],[DiasNuevo]]</f>
        <v>45379</v>
      </c>
    </row>
    <row r="187" spans="1:15">
      <c r="A187">
        <v>186</v>
      </c>
      <c r="B187" t="s">
        <v>366</v>
      </c>
      <c r="C187" s="1">
        <v>46022</v>
      </c>
      <c r="D187">
        <v>0</v>
      </c>
      <c r="E187" s="4" t="s">
        <v>15</v>
      </c>
      <c r="F187" t="s">
        <v>261</v>
      </c>
      <c r="G187" s="1">
        <v>45465</v>
      </c>
      <c r="H187" s="1">
        <f>TablaDatos[[#This Row],[FechaIngreso]]+TablaDatos[[#This Row],[DiasNuevo]]</f>
        <v>45486</v>
      </c>
      <c r="I187">
        <v>21</v>
      </c>
      <c r="J187" t="s">
        <v>19</v>
      </c>
      <c r="K187" s="3">
        <v>8845.56</v>
      </c>
      <c r="L187" t="b">
        <f>TablaDatos[[#This Row],[FechaAlta]] &lt; TablaDatos[[#This Row],[FechaIngreso]]</f>
        <v>0</v>
      </c>
      <c r="M187">
        <f>_xlfn.XLOOKUP(TablaDatos[[#This Row],[PacienteID]],'Datos_Ejemplo.csv'!A:A,'Datos_Ejemplo.csv'!I:I)</f>
        <v>21</v>
      </c>
      <c r="N187">
        <f>ABS(TablaDatos[[#This Row],[DiasOriginal]])</f>
        <v>21</v>
      </c>
      <c r="O187" s="1">
        <f>TablaDatos[[#This Row],[FechaIngreso]]+TablaDatos[[#This Row],[DiasNuevo]]</f>
        <v>45486</v>
      </c>
    </row>
    <row r="188" spans="1:15">
      <c r="A188">
        <v>187</v>
      </c>
      <c r="B188" t="s">
        <v>275</v>
      </c>
      <c r="C188" s="1">
        <v>36526</v>
      </c>
      <c r="D188">
        <v>26</v>
      </c>
      <c r="E188" s="4" t="s">
        <v>197</v>
      </c>
      <c r="F188" t="s">
        <v>18</v>
      </c>
      <c r="G188" s="1">
        <v>45611</v>
      </c>
      <c r="H188" s="1">
        <f>TablaDatos[[#This Row],[FechaIngreso]]+TablaDatos[[#This Row],[DiasNuevo]]</f>
        <v>45612</v>
      </c>
      <c r="I188">
        <v>1</v>
      </c>
      <c r="J188" t="s">
        <v>25</v>
      </c>
      <c r="K188" s="3">
        <v>15052.8</v>
      </c>
      <c r="L188" t="b">
        <f>TablaDatos[[#This Row],[FechaAlta]] &lt; TablaDatos[[#This Row],[FechaIngreso]]</f>
        <v>0</v>
      </c>
      <c r="M188">
        <f>_xlfn.XLOOKUP(TablaDatos[[#This Row],[PacienteID]],'Datos_Ejemplo.csv'!A:A,'Datos_Ejemplo.csv'!I:I)</f>
        <v>-1</v>
      </c>
      <c r="N188">
        <f>ABS(TablaDatos[[#This Row],[DiasOriginal]])</f>
        <v>1</v>
      </c>
      <c r="O188" s="1">
        <f>TablaDatos[[#This Row],[FechaIngreso]]+TablaDatos[[#This Row],[DiasNuevo]]</f>
        <v>45612</v>
      </c>
    </row>
    <row r="189" spans="1:15">
      <c r="A189">
        <v>188</v>
      </c>
      <c r="B189" t="s">
        <v>248</v>
      </c>
      <c r="C189" s="1">
        <v>23742</v>
      </c>
      <c r="D189">
        <v>61</v>
      </c>
      <c r="E189" s="4" t="s">
        <v>15</v>
      </c>
      <c r="F189" t="s">
        <v>261</v>
      </c>
      <c r="G189" s="1">
        <v>45551</v>
      </c>
      <c r="H189" s="1">
        <f>TablaDatos[[#This Row],[FechaIngreso]]+TablaDatos[[#This Row],[DiasNuevo]]</f>
        <v>45588</v>
      </c>
      <c r="I189">
        <v>37</v>
      </c>
      <c r="J189" t="s">
        <v>23</v>
      </c>
      <c r="K189" s="3">
        <v>14249.95</v>
      </c>
      <c r="L189" t="b">
        <f>TablaDatos[[#This Row],[FechaAlta]] &lt; TablaDatos[[#This Row],[FechaIngreso]]</f>
        <v>0</v>
      </c>
      <c r="M189">
        <f>_xlfn.XLOOKUP(TablaDatos[[#This Row],[PacienteID]],'Datos_Ejemplo.csv'!A:A,'Datos_Ejemplo.csv'!I:I)</f>
        <v>37</v>
      </c>
      <c r="N189">
        <f>ABS(TablaDatos[[#This Row],[DiasOriginal]])</f>
        <v>37</v>
      </c>
      <c r="O189" s="1">
        <f>TablaDatos[[#This Row],[FechaIngreso]]+TablaDatos[[#This Row],[DiasNuevo]]</f>
        <v>45588</v>
      </c>
    </row>
    <row r="190" spans="1:15">
      <c r="A190">
        <v>189</v>
      </c>
      <c r="B190" t="s">
        <v>102</v>
      </c>
      <c r="C190" s="1">
        <v>18263</v>
      </c>
      <c r="D190">
        <v>76</v>
      </c>
      <c r="E190" s="4" t="s">
        <v>12</v>
      </c>
      <c r="F190" t="s">
        <v>201</v>
      </c>
      <c r="G190" s="1">
        <v>45533</v>
      </c>
      <c r="H190" s="1">
        <f>TablaDatos[[#This Row],[FechaIngreso]]+TablaDatos[[#This Row],[DiasNuevo]]</f>
        <v>45545</v>
      </c>
      <c r="I190">
        <v>12</v>
      </c>
      <c r="J190" t="s">
        <v>25</v>
      </c>
      <c r="K190" s="3">
        <v>434.66</v>
      </c>
      <c r="L190" t="b">
        <f>TablaDatos[[#This Row],[FechaAlta]] &lt; TablaDatos[[#This Row],[FechaIngreso]]</f>
        <v>0</v>
      </c>
      <c r="M190">
        <f>_xlfn.XLOOKUP(TablaDatos[[#This Row],[PacienteID]],'Datos_Ejemplo.csv'!A:A,'Datos_Ejemplo.csv'!I:I)</f>
        <v>12</v>
      </c>
      <c r="N190">
        <f>ABS(TablaDatos[[#This Row],[DiasOriginal]])</f>
        <v>12</v>
      </c>
      <c r="O190" s="1">
        <f>TablaDatos[[#This Row],[FechaIngreso]]+TablaDatos[[#This Row],[DiasNuevo]]</f>
        <v>45545</v>
      </c>
    </row>
    <row r="191" spans="1:15">
      <c r="A191">
        <v>190</v>
      </c>
      <c r="B191" t="s">
        <v>342</v>
      </c>
      <c r="C191" s="1">
        <v>45292</v>
      </c>
      <c r="D191">
        <v>2</v>
      </c>
      <c r="E191" s="4" t="s">
        <v>12</v>
      </c>
      <c r="F191" t="s">
        <v>32</v>
      </c>
      <c r="G191" s="1">
        <v>45245</v>
      </c>
      <c r="H191" s="1">
        <f>TablaDatos[[#This Row],[FechaIngreso]]+TablaDatos[[#This Row],[DiasNuevo]]</f>
        <v>45263</v>
      </c>
      <c r="I191">
        <v>18</v>
      </c>
      <c r="J191" t="s">
        <v>23</v>
      </c>
      <c r="K191" s="3">
        <v>3492.29</v>
      </c>
      <c r="L191" t="b">
        <f>TablaDatos[[#This Row],[FechaAlta]] &lt; TablaDatos[[#This Row],[FechaIngreso]]</f>
        <v>0</v>
      </c>
      <c r="M191">
        <f>_xlfn.XLOOKUP(TablaDatos[[#This Row],[PacienteID]],'Datos_Ejemplo.csv'!A:A,'Datos_Ejemplo.csv'!I:I)</f>
        <v>18</v>
      </c>
      <c r="N191">
        <f>ABS(TablaDatos[[#This Row],[DiasOriginal]])</f>
        <v>18</v>
      </c>
      <c r="O191" s="1">
        <f>TablaDatos[[#This Row],[FechaIngreso]]+TablaDatos[[#This Row],[DiasNuevo]]</f>
        <v>45263</v>
      </c>
    </row>
    <row r="192" spans="1:15">
      <c r="A192">
        <v>191</v>
      </c>
      <c r="B192" t="s">
        <v>252</v>
      </c>
      <c r="C192" s="1">
        <v>20820</v>
      </c>
      <c r="D192">
        <v>69</v>
      </c>
      <c r="E192" s="4" t="s">
        <v>12</v>
      </c>
      <c r="F192" t="s">
        <v>295</v>
      </c>
      <c r="G192" s="1">
        <v>45572</v>
      </c>
      <c r="H192" s="1">
        <f>TablaDatos[[#This Row],[FechaIngreso]]+TablaDatos[[#This Row],[DiasNuevo]]</f>
        <v>45587</v>
      </c>
      <c r="I192">
        <v>15</v>
      </c>
      <c r="J192" t="s">
        <v>19</v>
      </c>
      <c r="K192" s="3">
        <v>9367.65</v>
      </c>
      <c r="L192" t="b">
        <f>TablaDatos[[#This Row],[FechaAlta]] &lt; TablaDatos[[#This Row],[FechaIngreso]]</f>
        <v>0</v>
      </c>
      <c r="M192">
        <f>_xlfn.XLOOKUP(TablaDatos[[#This Row],[PacienteID]],'Datos_Ejemplo.csv'!A:A,'Datos_Ejemplo.csv'!I:I)</f>
        <v>15</v>
      </c>
      <c r="N192">
        <f>ABS(TablaDatos[[#This Row],[DiasOriginal]])</f>
        <v>15</v>
      </c>
      <c r="O192" s="1">
        <f>TablaDatos[[#This Row],[FechaIngreso]]+TablaDatos[[#This Row],[DiasNuevo]]</f>
        <v>45587</v>
      </c>
    </row>
    <row r="193" spans="1:15">
      <c r="A193">
        <v>192</v>
      </c>
      <c r="B193" t="s">
        <v>130</v>
      </c>
      <c r="C193" s="1">
        <v>20090</v>
      </c>
      <c r="D193">
        <f ca="1">DATEDIF(TablaDatos[[#This Row],[FechaNacimiento]],TODAY(),"Y")</f>
        <v>71</v>
      </c>
      <c r="E193" s="4" t="s">
        <v>12</v>
      </c>
      <c r="F193" t="s">
        <v>295</v>
      </c>
      <c r="G193" s="1">
        <v>45050</v>
      </c>
      <c r="H193" s="1">
        <f>TablaDatos[[#This Row],[FechaIngreso]]+TablaDatos[[#This Row],[DiasNuevo]]</f>
        <v>45052</v>
      </c>
      <c r="I193">
        <v>2</v>
      </c>
      <c r="J193" t="s">
        <v>23</v>
      </c>
      <c r="K193" s="3">
        <v>18665.240000000002</v>
      </c>
      <c r="L193" t="b">
        <f>TablaDatos[[#This Row],[FechaAlta]] &lt; TablaDatos[[#This Row],[FechaIngreso]]</f>
        <v>0</v>
      </c>
      <c r="M193">
        <f>_xlfn.XLOOKUP(TablaDatos[[#This Row],[PacienteID]],'Datos_Ejemplo.csv'!A:A,'Datos_Ejemplo.csv'!I:I)</f>
        <v>2</v>
      </c>
      <c r="N193">
        <f>ABS(TablaDatos[[#This Row],[DiasOriginal]])</f>
        <v>2</v>
      </c>
      <c r="O193" s="1">
        <f>TablaDatos[[#This Row],[FechaIngreso]]+TablaDatos[[#This Row],[DiasNuevo]]</f>
        <v>45052</v>
      </c>
    </row>
    <row r="194" spans="1:15">
      <c r="A194">
        <v>193</v>
      </c>
      <c r="B194" t="s">
        <v>269</v>
      </c>
      <c r="C194" s="1">
        <v>36526</v>
      </c>
      <c r="D194">
        <v>26</v>
      </c>
      <c r="E194" s="4" t="s">
        <v>15</v>
      </c>
      <c r="F194" t="s">
        <v>18</v>
      </c>
      <c r="G194" s="1">
        <v>45298</v>
      </c>
      <c r="H194" s="1">
        <f>TablaDatos[[#This Row],[FechaIngreso]]+TablaDatos[[#This Row],[DiasNuevo]]</f>
        <v>45320</v>
      </c>
      <c r="I194">
        <v>22</v>
      </c>
      <c r="J194" t="s">
        <v>19</v>
      </c>
      <c r="K194" s="3">
        <v>6775.68</v>
      </c>
      <c r="L194" t="b">
        <f>TablaDatos[[#This Row],[FechaAlta]] &lt; TablaDatos[[#This Row],[FechaIngreso]]</f>
        <v>0</v>
      </c>
      <c r="M194">
        <f>_xlfn.XLOOKUP(TablaDatos[[#This Row],[PacienteID]],'Datos_Ejemplo.csv'!A:A,'Datos_Ejemplo.csv'!I:I)</f>
        <v>22</v>
      </c>
      <c r="N194">
        <f>ABS(TablaDatos[[#This Row],[DiasOriginal]])</f>
        <v>22</v>
      </c>
      <c r="O194" s="1">
        <f>TablaDatos[[#This Row],[FechaIngreso]]+TablaDatos[[#This Row],[DiasNuevo]]</f>
        <v>45320</v>
      </c>
    </row>
    <row r="195" spans="1:15">
      <c r="A195">
        <v>194</v>
      </c>
      <c r="B195" t="s">
        <v>281</v>
      </c>
      <c r="C195" s="1">
        <v>43100</v>
      </c>
      <c r="D195">
        <v>8</v>
      </c>
      <c r="E195" s="4" t="s">
        <v>15</v>
      </c>
      <c r="F195" t="s">
        <v>261</v>
      </c>
      <c r="G195" s="1">
        <v>45277</v>
      </c>
      <c r="H195" s="1">
        <f>TablaDatos[[#This Row],[FechaIngreso]]+TablaDatos[[#This Row],[DiasNuevo]]</f>
        <v>45310</v>
      </c>
      <c r="I195">
        <v>33</v>
      </c>
      <c r="J195" t="s">
        <v>19</v>
      </c>
      <c r="K195" s="3">
        <v>12540.36</v>
      </c>
      <c r="L195" t="b">
        <f>TablaDatos[[#This Row],[FechaAlta]] &lt; TablaDatos[[#This Row],[FechaIngreso]]</f>
        <v>0</v>
      </c>
      <c r="M195">
        <f>_xlfn.XLOOKUP(TablaDatos[[#This Row],[PacienteID]],'Datos_Ejemplo.csv'!A:A,'Datos_Ejemplo.csv'!I:I)</f>
        <v>33</v>
      </c>
      <c r="N195">
        <f>ABS(TablaDatos[[#This Row],[DiasOriginal]])</f>
        <v>33</v>
      </c>
      <c r="O195" s="1">
        <f>TablaDatos[[#This Row],[FechaIngreso]]+TablaDatos[[#This Row],[DiasNuevo]]</f>
        <v>45310</v>
      </c>
    </row>
    <row r="196" spans="1:15">
      <c r="A196">
        <v>195</v>
      </c>
      <c r="B196" t="s">
        <v>284</v>
      </c>
      <c r="C196" s="1">
        <v>23742</v>
      </c>
      <c r="D196">
        <v>61</v>
      </c>
      <c r="E196" s="4" t="s">
        <v>15</v>
      </c>
      <c r="F196" t="s">
        <v>32</v>
      </c>
      <c r="G196" s="1">
        <v>45249</v>
      </c>
      <c r="H196" s="1">
        <f>TablaDatos[[#This Row],[FechaIngreso]]+TablaDatos[[#This Row],[DiasNuevo]]</f>
        <v>45256</v>
      </c>
      <c r="I196">
        <v>7</v>
      </c>
      <c r="J196" t="s">
        <v>23</v>
      </c>
      <c r="K196" s="3">
        <v>142.88</v>
      </c>
      <c r="L196" t="b">
        <f>TablaDatos[[#This Row],[FechaAlta]] &lt; TablaDatos[[#This Row],[FechaIngreso]]</f>
        <v>0</v>
      </c>
      <c r="M196">
        <f>_xlfn.XLOOKUP(TablaDatos[[#This Row],[PacienteID]],'Datos_Ejemplo.csv'!A:A,'Datos_Ejemplo.csv'!I:I)</f>
        <v>7</v>
      </c>
      <c r="N196">
        <f>ABS(TablaDatos[[#This Row],[DiasOriginal]])</f>
        <v>7</v>
      </c>
      <c r="O196" s="1">
        <f>TablaDatos[[#This Row],[FechaIngreso]]+TablaDatos[[#This Row],[DiasNuevo]]</f>
        <v>45256</v>
      </c>
    </row>
    <row r="197" spans="1:15">
      <c r="A197">
        <v>196</v>
      </c>
      <c r="B197" t="s">
        <v>291</v>
      </c>
      <c r="C197" s="1">
        <v>32873</v>
      </c>
      <c r="D197">
        <v>36</v>
      </c>
      <c r="E197" s="4" t="s">
        <v>15</v>
      </c>
      <c r="F197" t="s">
        <v>13</v>
      </c>
      <c r="G197" s="1">
        <v>45414</v>
      </c>
      <c r="H197" s="1">
        <f>TablaDatos[[#This Row],[FechaIngreso]]+TablaDatos[[#This Row],[DiasNuevo]]</f>
        <v>45434</v>
      </c>
      <c r="I197">
        <v>20</v>
      </c>
      <c r="J197" t="s">
        <v>23</v>
      </c>
      <c r="K197" s="3">
        <v>14193.65</v>
      </c>
      <c r="L197" t="b">
        <f>TablaDatos[[#This Row],[FechaAlta]] &lt; TablaDatos[[#This Row],[FechaIngreso]]</f>
        <v>0</v>
      </c>
      <c r="M197">
        <f>_xlfn.XLOOKUP(TablaDatos[[#This Row],[PacienteID]],'Datos_Ejemplo.csv'!A:A,'Datos_Ejemplo.csv'!I:I)</f>
        <v>20</v>
      </c>
      <c r="N197">
        <f>ABS(TablaDatos[[#This Row],[DiasOriginal]])</f>
        <v>20</v>
      </c>
      <c r="O197" s="1">
        <f>TablaDatos[[#This Row],[FechaIngreso]]+TablaDatos[[#This Row],[DiasNuevo]]</f>
        <v>45434</v>
      </c>
    </row>
    <row r="198" spans="1:15">
      <c r="A198">
        <v>197</v>
      </c>
      <c r="B198" t="s">
        <v>296</v>
      </c>
      <c r="C198" s="1">
        <v>27760</v>
      </c>
      <c r="D198">
        <v>50</v>
      </c>
      <c r="E198" s="4" t="s">
        <v>12</v>
      </c>
      <c r="F198" t="s">
        <v>201</v>
      </c>
      <c r="G198" s="1">
        <v>45377</v>
      </c>
      <c r="H198" s="1">
        <f>TablaDatos[[#This Row],[FechaIngreso]]+TablaDatos[[#This Row],[DiasNuevo]]</f>
        <v>45398</v>
      </c>
      <c r="I198">
        <v>21</v>
      </c>
      <c r="J198" t="s">
        <v>25</v>
      </c>
      <c r="K198" s="3">
        <v>12021.67</v>
      </c>
      <c r="L198" t="b">
        <f>TablaDatos[[#This Row],[FechaAlta]] &lt; TablaDatos[[#This Row],[FechaIngreso]]</f>
        <v>0</v>
      </c>
      <c r="M198">
        <f>_xlfn.XLOOKUP(TablaDatos[[#This Row],[PacienteID]],'Datos_Ejemplo.csv'!A:A,'Datos_Ejemplo.csv'!I:I)</f>
        <v>21</v>
      </c>
      <c r="N198">
        <f>ABS(TablaDatos[[#This Row],[DiasOriginal]])</f>
        <v>21</v>
      </c>
      <c r="O198" s="1">
        <f>TablaDatos[[#This Row],[FechaIngreso]]+TablaDatos[[#This Row],[DiasNuevo]]</f>
        <v>45398</v>
      </c>
    </row>
    <row r="199" spans="1:15">
      <c r="A199">
        <v>198</v>
      </c>
      <c r="B199" t="s">
        <v>296</v>
      </c>
      <c r="C199" s="1">
        <f ca="1">DATE(YEAR(TODAY())-TablaDatos[[#This Row],[Edad]],1,1)</f>
        <v>0</v>
      </c>
      <c r="D199">
        <f ca="1">DATEDIF(TablaDatos[[#This Row],[FechaNacimiento]],TODAY(),"Y")</f>
        <v>126</v>
      </c>
      <c r="E199" s="4" t="s">
        <v>12</v>
      </c>
      <c r="F199" t="s">
        <v>261</v>
      </c>
      <c r="G199" s="1">
        <v>45279</v>
      </c>
      <c r="H199" s="1">
        <f>TablaDatos[[#This Row],[FechaIngreso]]+TablaDatos[[#This Row],[DiasNuevo]]</f>
        <v>45286</v>
      </c>
      <c r="I199">
        <v>7</v>
      </c>
      <c r="J199" t="s">
        <v>25</v>
      </c>
      <c r="K199" s="3">
        <v>14279.43</v>
      </c>
      <c r="L199" t="b">
        <f>TablaDatos[[#This Row],[FechaAlta]] &lt; TablaDatos[[#This Row],[FechaIngreso]]</f>
        <v>0</v>
      </c>
      <c r="M199">
        <f>_xlfn.XLOOKUP(TablaDatos[[#This Row],[PacienteID]],'Datos_Ejemplo.csv'!A:A,'Datos_Ejemplo.csv'!I:I)</f>
        <v>7</v>
      </c>
      <c r="N199">
        <f>ABS(TablaDatos[[#This Row],[DiasOriginal]])</f>
        <v>7</v>
      </c>
      <c r="O199" s="1">
        <f>TablaDatos[[#This Row],[FechaIngreso]]+TablaDatos[[#This Row],[DiasNuevo]]</f>
        <v>45286</v>
      </c>
    </row>
    <row r="200" spans="1:15">
      <c r="A200">
        <v>199</v>
      </c>
      <c r="B200" t="s">
        <v>280</v>
      </c>
      <c r="C200" s="1">
        <v>37622</v>
      </c>
      <c r="D200">
        <v>23</v>
      </c>
      <c r="E200" s="4" t="s">
        <v>15</v>
      </c>
      <c r="F200" t="s">
        <v>261</v>
      </c>
      <c r="G200" s="1">
        <v>45042</v>
      </c>
      <c r="H200" s="1">
        <f>TablaDatos[[#This Row],[FechaIngreso]]+TablaDatos[[#This Row],[DiasNuevo]]</f>
        <v>45045</v>
      </c>
      <c r="I200">
        <v>3</v>
      </c>
      <c r="J200" t="s">
        <v>25</v>
      </c>
      <c r="K200" s="3">
        <v>18083.68</v>
      </c>
      <c r="L200" t="b">
        <f>TablaDatos[[#This Row],[FechaAlta]] &lt; TablaDatos[[#This Row],[FechaIngreso]]</f>
        <v>0</v>
      </c>
      <c r="M200">
        <f>_xlfn.XLOOKUP(TablaDatos[[#This Row],[PacienteID]],'Datos_Ejemplo.csv'!A:A,'Datos_Ejemplo.csv'!I:I)</f>
        <v>3</v>
      </c>
      <c r="N200">
        <f>ABS(TablaDatos[[#This Row],[DiasOriginal]])</f>
        <v>3</v>
      </c>
      <c r="O200" s="1">
        <f>TablaDatos[[#This Row],[FechaIngreso]]+TablaDatos[[#This Row],[DiasNuevo]]</f>
        <v>45045</v>
      </c>
    </row>
    <row r="201" spans="1:15">
      <c r="A201">
        <v>200</v>
      </c>
      <c r="B201" t="s">
        <v>351</v>
      </c>
      <c r="C201" s="1">
        <v>17533</v>
      </c>
      <c r="D201">
        <v>78</v>
      </c>
      <c r="E201" s="4" t="s">
        <v>15</v>
      </c>
      <c r="F201" t="s">
        <v>13</v>
      </c>
      <c r="G201" s="1">
        <v>44939</v>
      </c>
      <c r="H201" s="1">
        <f>TablaDatos[[#This Row],[FechaIngreso]]+TablaDatos[[#This Row],[DiasNuevo]]</f>
        <v>44949</v>
      </c>
      <c r="I201">
        <v>10</v>
      </c>
      <c r="J201" t="s">
        <v>25</v>
      </c>
      <c r="K201" s="3">
        <v>2844.63</v>
      </c>
      <c r="L201" t="b">
        <f>TablaDatos[[#This Row],[FechaAlta]] &lt; TablaDatos[[#This Row],[FechaIngreso]]</f>
        <v>0</v>
      </c>
      <c r="M201">
        <f>_xlfn.XLOOKUP(TablaDatos[[#This Row],[PacienteID]],'Datos_Ejemplo.csv'!A:A,'Datos_Ejemplo.csv'!I:I)</f>
        <v>10</v>
      </c>
      <c r="N201">
        <f>ABS(TablaDatos[[#This Row],[DiasOriginal]])</f>
        <v>10</v>
      </c>
      <c r="O201" s="1">
        <f>TablaDatos[[#This Row],[FechaIngreso]]+TablaDatos[[#This Row],[DiasNuevo]]</f>
        <v>44949</v>
      </c>
    </row>
    <row r="202" spans="1:15">
      <c r="A202">
        <v>201</v>
      </c>
      <c r="B202" t="s">
        <v>253</v>
      </c>
      <c r="C202" s="1">
        <v>24838</v>
      </c>
      <c r="D202">
        <v>58</v>
      </c>
      <c r="E202" s="4" t="s">
        <v>15</v>
      </c>
      <c r="F202" t="s">
        <v>21</v>
      </c>
      <c r="G202" s="1">
        <v>45246</v>
      </c>
      <c r="H202" s="1">
        <f>TablaDatos[[#This Row],[FechaIngreso]]+TablaDatos[[#This Row],[DiasNuevo]]</f>
        <v>45264</v>
      </c>
      <c r="I202">
        <v>18</v>
      </c>
      <c r="J202" t="s">
        <v>25</v>
      </c>
      <c r="K202" s="3">
        <v>5157.95</v>
      </c>
      <c r="L202" t="b">
        <f>TablaDatos[[#This Row],[FechaAlta]] &lt; TablaDatos[[#This Row],[FechaIngreso]]</f>
        <v>0</v>
      </c>
      <c r="M202">
        <f>_xlfn.XLOOKUP(TablaDatos[[#This Row],[PacienteID]],'Datos_Ejemplo.csv'!A:A,'Datos_Ejemplo.csv'!I:I)</f>
        <v>18</v>
      </c>
      <c r="N202">
        <f>ABS(TablaDatos[[#This Row],[DiasOriginal]])</f>
        <v>18</v>
      </c>
      <c r="O202" s="1">
        <f>TablaDatos[[#This Row],[FechaIngreso]]+TablaDatos[[#This Row],[DiasNuevo]]</f>
        <v>45264</v>
      </c>
    </row>
    <row r="203" spans="1:15">
      <c r="A203">
        <v>202</v>
      </c>
      <c r="B203" t="s">
        <v>274</v>
      </c>
      <c r="C203" s="1">
        <v>34700</v>
      </c>
      <c r="D203">
        <v>31</v>
      </c>
      <c r="E203" s="4" t="s">
        <v>15</v>
      </c>
      <c r="F203" t="s">
        <v>201</v>
      </c>
      <c r="G203" s="1">
        <v>45091</v>
      </c>
      <c r="H203" s="1">
        <f>TablaDatos[[#This Row],[FechaIngreso]]+TablaDatos[[#This Row],[DiasNuevo]]</f>
        <v>45120</v>
      </c>
      <c r="I203">
        <v>29</v>
      </c>
      <c r="J203" t="s">
        <v>23</v>
      </c>
      <c r="K203" s="3">
        <v>19915.2</v>
      </c>
      <c r="L203" t="b">
        <f>TablaDatos[[#This Row],[FechaAlta]] &lt; TablaDatos[[#This Row],[FechaIngreso]]</f>
        <v>0</v>
      </c>
      <c r="M203">
        <f>_xlfn.XLOOKUP(TablaDatos[[#This Row],[PacienteID]],'Datos_Ejemplo.csv'!A:A,'Datos_Ejemplo.csv'!I:I)</f>
        <v>29</v>
      </c>
      <c r="N203">
        <f>ABS(TablaDatos[[#This Row],[DiasOriginal]])</f>
        <v>29</v>
      </c>
      <c r="O203" s="1">
        <f>TablaDatos[[#This Row],[FechaIngreso]]+TablaDatos[[#This Row],[DiasNuevo]]</f>
        <v>45120</v>
      </c>
    </row>
    <row r="204" spans="1:15">
      <c r="A204">
        <v>203</v>
      </c>
      <c r="B204" t="s">
        <v>136</v>
      </c>
      <c r="C204" s="1">
        <v>14246</v>
      </c>
      <c r="D204">
        <v>87</v>
      </c>
      <c r="E204" s="4" t="s">
        <v>12</v>
      </c>
      <c r="F204" t="s">
        <v>18</v>
      </c>
      <c r="G204" s="1">
        <v>45646</v>
      </c>
      <c r="H204" s="1">
        <f>TablaDatos[[#This Row],[FechaIngreso]]+TablaDatos[[#This Row],[DiasNuevo]]</f>
        <v>45658</v>
      </c>
      <c r="I204">
        <v>12</v>
      </c>
      <c r="J204" t="s">
        <v>23</v>
      </c>
      <c r="K204" s="3">
        <v>3041.31</v>
      </c>
      <c r="L204" t="b">
        <f>TablaDatos[[#This Row],[FechaAlta]] &lt; TablaDatos[[#This Row],[FechaIngreso]]</f>
        <v>0</v>
      </c>
      <c r="M204">
        <f>_xlfn.XLOOKUP(TablaDatos[[#This Row],[PacienteID]],'Datos_Ejemplo.csv'!A:A,'Datos_Ejemplo.csv'!I:I)</f>
        <v>12</v>
      </c>
      <c r="N204">
        <f>ABS(TablaDatos[[#This Row],[DiasOriginal]])</f>
        <v>12</v>
      </c>
      <c r="O204" s="1">
        <f>TablaDatos[[#This Row],[FechaIngreso]]+TablaDatos[[#This Row],[DiasNuevo]]</f>
        <v>45658</v>
      </c>
    </row>
    <row r="205" spans="1:15">
      <c r="A205">
        <v>204</v>
      </c>
      <c r="B205" t="s">
        <v>116</v>
      </c>
      <c r="C205" s="1">
        <v>27395</v>
      </c>
      <c r="D205">
        <f ca="1">DATEDIF(TablaDatos[[#This Row],[FechaNacimiento]],TODAY(),"Y")</f>
        <v>51</v>
      </c>
      <c r="E205" s="4" t="s">
        <v>15</v>
      </c>
      <c r="F205" t="s">
        <v>201</v>
      </c>
      <c r="G205" s="1">
        <v>45011</v>
      </c>
      <c r="H205" s="1">
        <f>TablaDatos[[#This Row],[FechaIngreso]]+TablaDatos[[#This Row],[DiasNuevo]]</f>
        <v>45012</v>
      </c>
      <c r="I205">
        <v>1</v>
      </c>
      <c r="J205" t="s">
        <v>19</v>
      </c>
      <c r="K205" s="3">
        <v>14384.6</v>
      </c>
      <c r="L205" t="b">
        <f>TablaDatos[[#This Row],[FechaAlta]] &lt; TablaDatos[[#This Row],[FechaIngreso]]</f>
        <v>0</v>
      </c>
      <c r="M205">
        <f>_xlfn.XLOOKUP(TablaDatos[[#This Row],[PacienteID]],'Datos_Ejemplo.csv'!A:A,'Datos_Ejemplo.csv'!I:I)</f>
        <v>-1</v>
      </c>
      <c r="N205">
        <f>ABS(TablaDatos[[#This Row],[DiasOriginal]])</f>
        <v>1</v>
      </c>
      <c r="O205" s="1">
        <f>TablaDatos[[#This Row],[FechaIngreso]]+TablaDatos[[#This Row],[DiasNuevo]]</f>
        <v>45012</v>
      </c>
    </row>
    <row r="206" spans="1:15">
      <c r="A206">
        <v>205</v>
      </c>
      <c r="B206" t="s">
        <v>339</v>
      </c>
      <c r="C206" s="1">
        <v>23742</v>
      </c>
      <c r="D206">
        <v>61</v>
      </c>
      <c r="E206" s="4" t="s">
        <v>12</v>
      </c>
      <c r="F206" t="s">
        <v>32</v>
      </c>
      <c r="G206" s="1">
        <v>45174</v>
      </c>
      <c r="H206" s="1">
        <f>TablaDatos[[#This Row],[FechaIngreso]]+TablaDatos[[#This Row],[DiasNuevo]]</f>
        <v>45186</v>
      </c>
      <c r="I206">
        <v>12</v>
      </c>
      <c r="J206" t="s">
        <v>19</v>
      </c>
      <c r="K206" s="3">
        <v>14474.03</v>
      </c>
      <c r="L206" t="b">
        <f>TablaDatos[[#This Row],[FechaAlta]] &lt; TablaDatos[[#This Row],[FechaIngreso]]</f>
        <v>0</v>
      </c>
      <c r="M206">
        <f>_xlfn.XLOOKUP(TablaDatos[[#This Row],[PacienteID]],'Datos_Ejemplo.csv'!A:A,'Datos_Ejemplo.csv'!I:I)</f>
        <v>12</v>
      </c>
      <c r="N206">
        <f>ABS(TablaDatos[[#This Row],[DiasOriginal]])</f>
        <v>12</v>
      </c>
      <c r="O206" s="1">
        <f>TablaDatos[[#This Row],[FechaIngreso]]+TablaDatos[[#This Row],[DiasNuevo]]</f>
        <v>45186</v>
      </c>
    </row>
    <row r="207" spans="1:15">
      <c r="A207">
        <v>206</v>
      </c>
      <c r="B207" t="s">
        <v>362</v>
      </c>
      <c r="C207" s="1">
        <v>25203</v>
      </c>
      <c r="D207">
        <v>57</v>
      </c>
      <c r="E207" s="4" t="s">
        <v>15</v>
      </c>
      <c r="F207" t="s">
        <v>18</v>
      </c>
      <c r="G207" s="1">
        <v>45358</v>
      </c>
      <c r="H207" s="1">
        <f>TablaDatos[[#This Row],[FechaIngreso]]+TablaDatos[[#This Row],[DiasNuevo]]</f>
        <v>45372</v>
      </c>
      <c r="I207">
        <v>14</v>
      </c>
      <c r="J207" t="s">
        <v>25</v>
      </c>
      <c r="K207" s="3">
        <v>13628.17</v>
      </c>
      <c r="L207" t="b">
        <f>TablaDatos[[#This Row],[FechaAlta]] &lt; TablaDatos[[#This Row],[FechaIngreso]]</f>
        <v>0</v>
      </c>
      <c r="M207">
        <f>_xlfn.XLOOKUP(TablaDatos[[#This Row],[PacienteID]],'Datos_Ejemplo.csv'!A:A,'Datos_Ejemplo.csv'!I:I)</f>
        <v>14</v>
      </c>
      <c r="N207">
        <f>ABS(TablaDatos[[#This Row],[DiasOriginal]])</f>
        <v>14</v>
      </c>
      <c r="O207" s="1">
        <f>TablaDatos[[#This Row],[FechaIngreso]]+TablaDatos[[#This Row],[DiasNuevo]]</f>
        <v>45372</v>
      </c>
    </row>
    <row r="208" spans="1:15">
      <c r="A208">
        <v>207</v>
      </c>
      <c r="B208" t="s">
        <v>250</v>
      </c>
      <c r="C208" s="1">
        <v>27395</v>
      </c>
      <c r="D208">
        <v>51</v>
      </c>
      <c r="E208" s="4" t="s">
        <v>15</v>
      </c>
      <c r="F208" t="s">
        <v>13</v>
      </c>
      <c r="G208" s="1">
        <v>45494</v>
      </c>
      <c r="H208" s="1">
        <f>TablaDatos[[#This Row],[FechaIngreso]]+TablaDatos[[#This Row],[DiasNuevo]]</f>
        <v>45511</v>
      </c>
      <c r="I208">
        <v>17</v>
      </c>
      <c r="J208" t="s">
        <v>19</v>
      </c>
      <c r="K208" s="3">
        <v>4471.5600000000004</v>
      </c>
      <c r="L208" t="b">
        <f>TablaDatos[[#This Row],[FechaAlta]] &lt; TablaDatos[[#This Row],[FechaIngreso]]</f>
        <v>0</v>
      </c>
      <c r="M208">
        <f>_xlfn.XLOOKUP(TablaDatos[[#This Row],[PacienteID]],'Datos_Ejemplo.csv'!A:A,'Datos_Ejemplo.csv'!I:I)</f>
        <v>17</v>
      </c>
      <c r="N208">
        <f>ABS(TablaDatos[[#This Row],[DiasOriginal]])</f>
        <v>17</v>
      </c>
      <c r="O208" s="1">
        <f>TablaDatos[[#This Row],[FechaIngreso]]+TablaDatos[[#This Row],[DiasNuevo]]</f>
        <v>45511</v>
      </c>
    </row>
    <row r="209" spans="1:15">
      <c r="A209">
        <v>208</v>
      </c>
      <c r="B209" t="s">
        <v>308</v>
      </c>
      <c r="C209" s="1">
        <v>42005</v>
      </c>
      <c r="D209">
        <v>11</v>
      </c>
      <c r="E209" s="4" t="s">
        <v>12</v>
      </c>
      <c r="F209" t="s">
        <v>32</v>
      </c>
      <c r="G209" s="1">
        <v>45610</v>
      </c>
      <c r="H209" s="1">
        <f>TablaDatos[[#This Row],[FechaIngreso]]+TablaDatos[[#This Row],[DiasNuevo]]</f>
        <v>45613</v>
      </c>
      <c r="I209">
        <v>3</v>
      </c>
      <c r="J209" t="s">
        <v>23</v>
      </c>
      <c r="K209" s="3">
        <v>4224.1899999999996</v>
      </c>
      <c r="L209" t="b">
        <f>TablaDatos[[#This Row],[FechaAlta]] &lt; TablaDatos[[#This Row],[FechaIngreso]]</f>
        <v>0</v>
      </c>
      <c r="M209">
        <f>_xlfn.XLOOKUP(TablaDatos[[#This Row],[PacienteID]],'Datos_Ejemplo.csv'!A:A,'Datos_Ejemplo.csv'!I:I)</f>
        <v>3</v>
      </c>
      <c r="N209">
        <f>ABS(TablaDatos[[#This Row],[DiasOriginal]])</f>
        <v>3</v>
      </c>
      <c r="O209" s="1">
        <f>TablaDatos[[#This Row],[FechaIngreso]]+TablaDatos[[#This Row],[DiasNuevo]]</f>
        <v>45613</v>
      </c>
    </row>
    <row r="210" spans="1:15">
      <c r="A210">
        <v>209</v>
      </c>
      <c r="B210" t="s">
        <v>340</v>
      </c>
      <c r="C210" s="1">
        <v>32143</v>
      </c>
      <c r="D210">
        <v>38</v>
      </c>
      <c r="E210" s="4" t="s">
        <v>12</v>
      </c>
      <c r="F210" t="s">
        <v>295</v>
      </c>
      <c r="G210" s="1">
        <v>45579</v>
      </c>
      <c r="H210" s="1">
        <f>TablaDatos[[#This Row],[FechaIngreso]]+TablaDatos[[#This Row],[DiasNuevo]]</f>
        <v>45591</v>
      </c>
      <c r="I210">
        <v>12</v>
      </c>
      <c r="J210" t="s">
        <v>23</v>
      </c>
      <c r="K210" s="3">
        <v>13293.46</v>
      </c>
      <c r="L210" t="b">
        <f>TablaDatos[[#This Row],[FechaAlta]] &lt; TablaDatos[[#This Row],[FechaIngreso]]</f>
        <v>0</v>
      </c>
      <c r="M210">
        <f>_xlfn.XLOOKUP(TablaDatos[[#This Row],[PacienteID]],'Datos_Ejemplo.csv'!A:A,'Datos_Ejemplo.csv'!I:I)</f>
        <v>12</v>
      </c>
      <c r="N210">
        <f>ABS(TablaDatos[[#This Row],[DiasOriginal]])</f>
        <v>12</v>
      </c>
      <c r="O210" s="1">
        <f>TablaDatos[[#This Row],[FechaIngreso]]+TablaDatos[[#This Row],[DiasNuevo]]</f>
        <v>45591</v>
      </c>
    </row>
    <row r="211" spans="1:15">
      <c r="A211">
        <v>210</v>
      </c>
      <c r="B211" t="s">
        <v>259</v>
      </c>
      <c r="C211" s="1">
        <v>45657</v>
      </c>
      <c r="D211">
        <v>1</v>
      </c>
      <c r="E211" s="4" t="s">
        <v>197</v>
      </c>
      <c r="F211" t="s">
        <v>295</v>
      </c>
      <c r="G211" s="1">
        <v>45570</v>
      </c>
      <c r="H211" s="1">
        <f>TablaDatos[[#This Row],[FechaIngreso]]+TablaDatos[[#This Row],[DiasNuevo]]</f>
        <v>45584</v>
      </c>
      <c r="I211">
        <v>14</v>
      </c>
      <c r="J211" t="s">
        <v>19</v>
      </c>
      <c r="K211" s="3">
        <v>3643.63</v>
      </c>
      <c r="L211" t="b">
        <f>TablaDatos[[#This Row],[FechaAlta]] &lt; TablaDatos[[#This Row],[FechaIngreso]]</f>
        <v>0</v>
      </c>
      <c r="M211">
        <f>_xlfn.XLOOKUP(TablaDatos[[#This Row],[PacienteID]],'Datos_Ejemplo.csv'!A:A,'Datos_Ejemplo.csv'!I:I)</f>
        <v>14</v>
      </c>
      <c r="N211">
        <f>ABS(TablaDatos[[#This Row],[DiasOriginal]])</f>
        <v>14</v>
      </c>
      <c r="O211" s="1">
        <f>TablaDatos[[#This Row],[FechaIngreso]]+TablaDatos[[#This Row],[DiasNuevo]]</f>
        <v>45584</v>
      </c>
    </row>
    <row r="212" spans="1:15">
      <c r="A212">
        <v>211</v>
      </c>
      <c r="B212" t="s">
        <v>277</v>
      </c>
      <c r="C212" s="1">
        <v>45292</v>
      </c>
      <c r="D212">
        <v>2</v>
      </c>
      <c r="E212" s="4" t="s">
        <v>12</v>
      </c>
      <c r="F212" t="s">
        <v>201</v>
      </c>
      <c r="G212" s="1">
        <v>45405</v>
      </c>
      <c r="H212" s="1">
        <f>TablaDatos[[#This Row],[FechaIngreso]]+TablaDatos[[#This Row],[DiasNuevo]]</f>
        <v>45428</v>
      </c>
      <c r="I212">
        <v>23</v>
      </c>
      <c r="J212" t="s">
        <v>25</v>
      </c>
      <c r="K212" s="3">
        <v>13197.42</v>
      </c>
      <c r="L212" t="b">
        <f>TablaDatos[[#This Row],[FechaAlta]] &lt; TablaDatos[[#This Row],[FechaIngreso]]</f>
        <v>0</v>
      </c>
      <c r="M212">
        <f>_xlfn.XLOOKUP(TablaDatos[[#This Row],[PacienteID]],'Datos_Ejemplo.csv'!A:A,'Datos_Ejemplo.csv'!I:I)</f>
        <v>23</v>
      </c>
      <c r="N212">
        <f>ABS(TablaDatos[[#This Row],[DiasOriginal]])</f>
        <v>23</v>
      </c>
      <c r="O212" s="1">
        <f>TablaDatos[[#This Row],[FechaIngreso]]+TablaDatos[[#This Row],[DiasNuevo]]</f>
        <v>45428</v>
      </c>
    </row>
    <row r="213" spans="1:15">
      <c r="A213">
        <v>212</v>
      </c>
      <c r="B213" t="s">
        <v>313</v>
      </c>
      <c r="C213" s="1">
        <v>25934</v>
      </c>
      <c r="D213">
        <v>55</v>
      </c>
      <c r="E213" s="4" t="s">
        <v>15</v>
      </c>
      <c r="F213" t="s">
        <v>32</v>
      </c>
      <c r="G213" s="1">
        <v>45639</v>
      </c>
      <c r="H213" s="1">
        <f>TablaDatos[[#This Row],[FechaIngreso]]+TablaDatos[[#This Row],[DiasNuevo]]</f>
        <v>45658</v>
      </c>
      <c r="I213">
        <v>19</v>
      </c>
      <c r="J213" t="s">
        <v>23</v>
      </c>
      <c r="K213" s="3">
        <v>9799.82</v>
      </c>
      <c r="L213" t="b">
        <f>TablaDatos[[#This Row],[FechaAlta]] &lt; TablaDatos[[#This Row],[FechaIngreso]]</f>
        <v>0</v>
      </c>
      <c r="M213">
        <f>_xlfn.XLOOKUP(TablaDatos[[#This Row],[PacienteID]],'Datos_Ejemplo.csv'!A:A,'Datos_Ejemplo.csv'!I:I)</f>
        <v>19</v>
      </c>
      <c r="N213">
        <f>ABS(TablaDatos[[#This Row],[DiasOriginal]])</f>
        <v>19</v>
      </c>
      <c r="O213" s="1">
        <f>TablaDatos[[#This Row],[FechaIngreso]]+TablaDatos[[#This Row],[DiasNuevo]]</f>
        <v>45658</v>
      </c>
    </row>
    <row r="214" spans="1:15">
      <c r="A214">
        <v>213</v>
      </c>
      <c r="B214" t="s">
        <v>266</v>
      </c>
      <c r="C214" s="1">
        <v>16802</v>
      </c>
      <c r="D214">
        <v>80</v>
      </c>
      <c r="E214" s="4" t="s">
        <v>15</v>
      </c>
      <c r="F214" t="s">
        <v>18</v>
      </c>
      <c r="G214" s="1">
        <v>45294</v>
      </c>
      <c r="H214" s="1">
        <f>TablaDatos[[#This Row],[FechaIngreso]]+TablaDatos[[#This Row],[DiasNuevo]]</f>
        <v>45300</v>
      </c>
      <c r="I214">
        <v>6</v>
      </c>
      <c r="J214" t="s">
        <v>23</v>
      </c>
      <c r="K214" s="3">
        <v>7671.24</v>
      </c>
      <c r="L214" t="b">
        <f>TablaDatos[[#This Row],[FechaAlta]] &lt; TablaDatos[[#This Row],[FechaIngreso]]</f>
        <v>0</v>
      </c>
      <c r="M214">
        <f>_xlfn.XLOOKUP(TablaDatos[[#This Row],[PacienteID]],'Datos_Ejemplo.csv'!A:A,'Datos_Ejemplo.csv'!I:I)</f>
        <v>6</v>
      </c>
      <c r="N214">
        <f>ABS(TablaDatos[[#This Row],[DiasOriginal]])</f>
        <v>6</v>
      </c>
      <c r="O214" s="1">
        <f>TablaDatos[[#This Row],[FechaIngreso]]+TablaDatos[[#This Row],[DiasNuevo]]</f>
        <v>45300</v>
      </c>
    </row>
    <row r="215" spans="1:15">
      <c r="A215">
        <v>214</v>
      </c>
      <c r="B215" t="s">
        <v>114</v>
      </c>
      <c r="C215" s="1">
        <v>24838</v>
      </c>
      <c r="D215">
        <f ca="1">DATEDIF(TablaDatos[[#This Row],[FechaNacimiento]],TODAY(),"Y")</f>
        <v>58</v>
      </c>
      <c r="E215" s="4" t="s">
        <v>12</v>
      </c>
      <c r="F215" t="s">
        <v>18</v>
      </c>
      <c r="G215" s="1">
        <v>45283</v>
      </c>
      <c r="H215" s="1">
        <f>TablaDatos[[#This Row],[FechaIngreso]]+TablaDatos[[#This Row],[DiasNuevo]]</f>
        <v>45292</v>
      </c>
      <c r="I215">
        <v>9</v>
      </c>
      <c r="J215" t="s">
        <v>23</v>
      </c>
      <c r="K215" s="3">
        <v>5934.67</v>
      </c>
      <c r="L215" t="b">
        <f>TablaDatos[[#This Row],[FechaAlta]] &lt; TablaDatos[[#This Row],[FechaIngreso]]</f>
        <v>0</v>
      </c>
      <c r="M215">
        <f>_xlfn.XLOOKUP(TablaDatos[[#This Row],[PacienteID]],'Datos_Ejemplo.csv'!A:A,'Datos_Ejemplo.csv'!I:I)</f>
        <v>9</v>
      </c>
      <c r="N215">
        <f>ABS(TablaDatos[[#This Row],[DiasOriginal]])</f>
        <v>9</v>
      </c>
      <c r="O215" s="1">
        <f>TablaDatos[[#This Row],[FechaIngreso]]+TablaDatos[[#This Row],[DiasNuevo]]</f>
        <v>45292</v>
      </c>
    </row>
    <row r="216" spans="1:15">
      <c r="A216">
        <v>215</v>
      </c>
      <c r="B216" t="s">
        <v>289</v>
      </c>
      <c r="C216" s="1">
        <v>45657</v>
      </c>
      <c r="D216">
        <v>1</v>
      </c>
      <c r="E216" s="4" t="s">
        <v>12</v>
      </c>
      <c r="F216" t="s">
        <v>295</v>
      </c>
      <c r="G216" s="1">
        <v>45334</v>
      </c>
      <c r="H216" s="1">
        <f>TablaDatos[[#This Row],[FechaIngreso]]+TablaDatos[[#This Row],[DiasNuevo]]</f>
        <v>45353</v>
      </c>
      <c r="I216">
        <v>19</v>
      </c>
      <c r="J216" t="s">
        <v>19</v>
      </c>
      <c r="K216" s="3">
        <v>18946.3</v>
      </c>
      <c r="L216" t="b">
        <f>TablaDatos[[#This Row],[FechaAlta]] &lt; TablaDatos[[#This Row],[FechaIngreso]]</f>
        <v>0</v>
      </c>
      <c r="M216">
        <f>_xlfn.XLOOKUP(TablaDatos[[#This Row],[PacienteID]],'Datos_Ejemplo.csv'!A:A,'Datos_Ejemplo.csv'!I:I)</f>
        <v>19</v>
      </c>
      <c r="N216">
        <f>ABS(TablaDatos[[#This Row],[DiasOriginal]])</f>
        <v>19</v>
      </c>
      <c r="O216" s="1">
        <f>TablaDatos[[#This Row],[FechaIngreso]]+TablaDatos[[#This Row],[DiasNuevo]]</f>
        <v>45353</v>
      </c>
    </row>
    <row r="217" spans="1:15">
      <c r="A217">
        <v>216</v>
      </c>
      <c r="B217" t="s">
        <v>330</v>
      </c>
      <c r="C217" s="1">
        <v>45657</v>
      </c>
      <c r="D217">
        <v>1</v>
      </c>
      <c r="E217" s="4" t="s">
        <v>12</v>
      </c>
      <c r="F217" t="s">
        <v>295</v>
      </c>
      <c r="G217" s="1">
        <v>45271</v>
      </c>
      <c r="H217" s="1">
        <f>TablaDatos[[#This Row],[FechaIngreso]]+TablaDatos[[#This Row],[DiasNuevo]]</f>
        <v>45291</v>
      </c>
      <c r="I217">
        <v>20</v>
      </c>
      <c r="J217" t="s">
        <v>25</v>
      </c>
      <c r="K217" s="3">
        <v>10112.68</v>
      </c>
      <c r="L217" t="b">
        <f>TablaDatos[[#This Row],[FechaAlta]] &lt; TablaDatos[[#This Row],[FechaIngreso]]</f>
        <v>0</v>
      </c>
      <c r="M217">
        <f>_xlfn.XLOOKUP(TablaDatos[[#This Row],[PacienteID]],'Datos_Ejemplo.csv'!A:A,'Datos_Ejemplo.csv'!I:I)</f>
        <v>20</v>
      </c>
      <c r="N217">
        <f>ABS(TablaDatos[[#This Row],[DiasOriginal]])</f>
        <v>20</v>
      </c>
      <c r="O217" s="1">
        <f>TablaDatos[[#This Row],[FechaIngreso]]+TablaDatos[[#This Row],[DiasNuevo]]</f>
        <v>45291</v>
      </c>
    </row>
    <row r="218" spans="1:15">
      <c r="A218">
        <v>217</v>
      </c>
      <c r="B218" t="s">
        <v>243</v>
      </c>
      <c r="C218" s="1">
        <v>12785</v>
      </c>
      <c r="D218">
        <v>91</v>
      </c>
      <c r="E218" s="4" t="s">
        <v>15</v>
      </c>
      <c r="F218" t="s">
        <v>13</v>
      </c>
      <c r="G218" s="1">
        <v>45105</v>
      </c>
      <c r="H218" s="1">
        <f>TablaDatos[[#This Row],[FechaIngreso]]+TablaDatos[[#This Row],[DiasNuevo]]</f>
        <v>45139</v>
      </c>
      <c r="I218">
        <v>34</v>
      </c>
      <c r="J218" t="s">
        <v>19</v>
      </c>
      <c r="K218" s="3">
        <v>11181.16</v>
      </c>
      <c r="L218" t="b">
        <f>TablaDatos[[#This Row],[FechaAlta]] &lt; TablaDatos[[#This Row],[FechaIngreso]]</f>
        <v>0</v>
      </c>
      <c r="M218">
        <f>_xlfn.XLOOKUP(TablaDatos[[#This Row],[PacienteID]],'Datos_Ejemplo.csv'!A:A,'Datos_Ejemplo.csv'!I:I)</f>
        <v>34</v>
      </c>
      <c r="N218">
        <f>ABS(TablaDatos[[#This Row],[DiasOriginal]])</f>
        <v>34</v>
      </c>
      <c r="O218" s="1">
        <f>TablaDatos[[#This Row],[FechaIngreso]]+TablaDatos[[#This Row],[DiasNuevo]]</f>
        <v>45139</v>
      </c>
    </row>
    <row r="219" spans="1:15">
      <c r="A219">
        <v>218</v>
      </c>
      <c r="B219" t="s">
        <v>349</v>
      </c>
      <c r="C219" s="1">
        <v>26664</v>
      </c>
      <c r="D219">
        <v>53</v>
      </c>
      <c r="E219" s="4" t="s">
        <v>197</v>
      </c>
      <c r="F219" t="s">
        <v>32</v>
      </c>
      <c r="G219" s="1">
        <v>45351</v>
      </c>
      <c r="H219" s="1">
        <f>TablaDatos[[#This Row],[FechaIngreso]]+TablaDatos[[#This Row],[DiasNuevo]]</f>
        <v>45362</v>
      </c>
      <c r="I219">
        <v>11</v>
      </c>
      <c r="J219" t="s">
        <v>25</v>
      </c>
      <c r="K219" s="3">
        <v>18980.05</v>
      </c>
      <c r="L219" t="b">
        <f>TablaDatos[[#This Row],[FechaAlta]] &lt; TablaDatos[[#This Row],[FechaIngreso]]</f>
        <v>0</v>
      </c>
      <c r="M219">
        <f>_xlfn.XLOOKUP(TablaDatos[[#This Row],[PacienteID]],'Datos_Ejemplo.csv'!A:A,'Datos_Ejemplo.csv'!I:I)</f>
        <v>11</v>
      </c>
      <c r="N219">
        <f>ABS(TablaDatos[[#This Row],[DiasOriginal]])</f>
        <v>11</v>
      </c>
      <c r="O219" s="1">
        <f>TablaDatos[[#This Row],[FechaIngreso]]+TablaDatos[[#This Row],[DiasNuevo]]</f>
        <v>45362</v>
      </c>
    </row>
    <row r="220" spans="1:15">
      <c r="A220">
        <v>219</v>
      </c>
      <c r="B220" t="s">
        <v>275</v>
      </c>
      <c r="C220" s="1">
        <v>14611</v>
      </c>
      <c r="D220">
        <v>86</v>
      </c>
      <c r="E220" s="4" t="s">
        <v>15</v>
      </c>
      <c r="F220" t="s">
        <v>18</v>
      </c>
      <c r="G220" s="1">
        <v>45467</v>
      </c>
      <c r="H220" s="1">
        <f>TablaDatos[[#This Row],[FechaIngreso]]+TablaDatos[[#This Row],[DiasNuevo]]</f>
        <v>45488</v>
      </c>
      <c r="I220">
        <v>21</v>
      </c>
      <c r="J220" t="s">
        <v>25</v>
      </c>
      <c r="K220" s="3">
        <v>13042.93</v>
      </c>
      <c r="L220" t="b">
        <f>TablaDatos[[#This Row],[FechaAlta]] &lt; TablaDatos[[#This Row],[FechaIngreso]]</f>
        <v>0</v>
      </c>
      <c r="M220">
        <f>_xlfn.XLOOKUP(TablaDatos[[#This Row],[PacienteID]],'Datos_Ejemplo.csv'!A:A,'Datos_Ejemplo.csv'!I:I)</f>
        <v>21</v>
      </c>
      <c r="N220">
        <f>ABS(TablaDatos[[#This Row],[DiasOriginal]])</f>
        <v>21</v>
      </c>
      <c r="O220" s="1">
        <f>TablaDatos[[#This Row],[FechaIngreso]]+TablaDatos[[#This Row],[DiasNuevo]]</f>
        <v>45488</v>
      </c>
    </row>
    <row r="221" spans="1:15">
      <c r="A221">
        <v>220</v>
      </c>
      <c r="B221" t="s">
        <v>251</v>
      </c>
      <c r="C221" s="1">
        <v>46022</v>
      </c>
      <c r="D221">
        <v>0</v>
      </c>
      <c r="E221" s="4" t="s">
        <v>12</v>
      </c>
      <c r="F221" t="s">
        <v>13</v>
      </c>
      <c r="G221" s="1">
        <v>45369</v>
      </c>
      <c r="H221" s="1">
        <f>TablaDatos[[#This Row],[FechaIngreso]]+TablaDatos[[#This Row],[DiasNuevo]]</f>
        <v>45374</v>
      </c>
      <c r="I221">
        <v>5</v>
      </c>
      <c r="J221" t="s">
        <v>23</v>
      </c>
      <c r="K221" s="3">
        <v>19152.84</v>
      </c>
      <c r="L221" t="b">
        <f>TablaDatos[[#This Row],[FechaAlta]] &lt; TablaDatos[[#This Row],[FechaIngreso]]</f>
        <v>0</v>
      </c>
      <c r="M221">
        <f>_xlfn.XLOOKUP(TablaDatos[[#This Row],[PacienteID]],'Datos_Ejemplo.csv'!A:A,'Datos_Ejemplo.csv'!I:I)</f>
        <v>5</v>
      </c>
      <c r="N221">
        <f>ABS(TablaDatos[[#This Row],[DiasOriginal]])</f>
        <v>5</v>
      </c>
      <c r="O221" s="1">
        <f>TablaDatos[[#This Row],[FechaIngreso]]+TablaDatos[[#This Row],[DiasNuevo]]</f>
        <v>45374</v>
      </c>
    </row>
    <row r="222" spans="1:15">
      <c r="A222">
        <v>221</v>
      </c>
      <c r="B222" t="s">
        <v>61</v>
      </c>
      <c r="C222" s="1">
        <v>39448</v>
      </c>
      <c r="D222">
        <v>18</v>
      </c>
      <c r="E222" s="4" t="s">
        <v>12</v>
      </c>
      <c r="F222" t="s">
        <v>18</v>
      </c>
      <c r="G222" s="1">
        <v>45232</v>
      </c>
      <c r="H222" s="1">
        <f>TablaDatos[[#This Row],[FechaIngreso]]+TablaDatos[[#This Row],[DiasNuevo]]</f>
        <v>45255</v>
      </c>
      <c r="I222">
        <v>23</v>
      </c>
      <c r="J222" t="s">
        <v>23</v>
      </c>
      <c r="K222" s="3">
        <v>2037.97</v>
      </c>
      <c r="L222" t="b">
        <f>TablaDatos[[#This Row],[FechaAlta]] &lt; TablaDatos[[#This Row],[FechaIngreso]]</f>
        <v>0</v>
      </c>
      <c r="M222">
        <f>_xlfn.XLOOKUP(TablaDatos[[#This Row],[PacienteID]],'Datos_Ejemplo.csv'!A:A,'Datos_Ejemplo.csv'!I:I)</f>
        <v>23</v>
      </c>
      <c r="N222">
        <f>ABS(TablaDatos[[#This Row],[DiasOriginal]])</f>
        <v>23</v>
      </c>
      <c r="O222" s="1">
        <f>TablaDatos[[#This Row],[FechaIngreso]]+TablaDatos[[#This Row],[DiasNuevo]]</f>
        <v>45255</v>
      </c>
    </row>
    <row r="223" spans="1:15">
      <c r="A223">
        <v>222</v>
      </c>
      <c r="B223" t="s">
        <v>280</v>
      </c>
      <c r="C223" s="1">
        <v>45657</v>
      </c>
      <c r="D223">
        <v>1</v>
      </c>
      <c r="E223" s="4" t="s">
        <v>15</v>
      </c>
      <c r="F223" t="s">
        <v>295</v>
      </c>
      <c r="G223" s="1">
        <v>45293</v>
      </c>
      <c r="H223" s="1">
        <f>TablaDatos[[#This Row],[FechaIngreso]]+TablaDatos[[#This Row],[DiasNuevo]]</f>
        <v>45322</v>
      </c>
      <c r="I223">
        <v>29</v>
      </c>
      <c r="J223" t="s">
        <v>23</v>
      </c>
      <c r="K223" s="3">
        <v>16917.46</v>
      </c>
      <c r="L223" t="b">
        <f>TablaDatos[[#This Row],[FechaAlta]] &lt; TablaDatos[[#This Row],[FechaIngreso]]</f>
        <v>0</v>
      </c>
      <c r="M223">
        <f>_xlfn.XLOOKUP(TablaDatos[[#This Row],[PacienteID]],'Datos_Ejemplo.csv'!A:A,'Datos_Ejemplo.csv'!I:I)</f>
        <v>29</v>
      </c>
      <c r="N223">
        <f>ABS(TablaDatos[[#This Row],[DiasOriginal]])</f>
        <v>29</v>
      </c>
      <c r="O223" s="1">
        <f>TablaDatos[[#This Row],[FechaIngreso]]+TablaDatos[[#This Row],[DiasNuevo]]</f>
        <v>45322</v>
      </c>
    </row>
    <row r="224" spans="1:15">
      <c r="A224">
        <v>223</v>
      </c>
      <c r="B224" t="s">
        <v>328</v>
      </c>
      <c r="C224" s="1">
        <v>27029</v>
      </c>
      <c r="D224">
        <v>52</v>
      </c>
      <c r="E224" s="4" t="s">
        <v>12</v>
      </c>
      <c r="F224" t="s">
        <v>32</v>
      </c>
      <c r="G224" s="1">
        <v>44962</v>
      </c>
      <c r="H224" s="1">
        <f>TablaDatos[[#This Row],[FechaIngreso]]+TablaDatos[[#This Row],[DiasNuevo]]</f>
        <v>44987</v>
      </c>
      <c r="I224">
        <v>25</v>
      </c>
      <c r="J224" t="s">
        <v>19</v>
      </c>
      <c r="K224" s="3">
        <v>6641.83</v>
      </c>
      <c r="L224" t="b">
        <f>TablaDatos[[#This Row],[FechaAlta]] &lt; TablaDatos[[#This Row],[FechaIngreso]]</f>
        <v>0</v>
      </c>
      <c r="M224">
        <f>_xlfn.XLOOKUP(TablaDatos[[#This Row],[PacienteID]],'Datos_Ejemplo.csv'!A:A,'Datos_Ejemplo.csv'!I:I)</f>
        <v>25</v>
      </c>
      <c r="N224">
        <f>ABS(TablaDatos[[#This Row],[DiasOriginal]])</f>
        <v>25</v>
      </c>
      <c r="O224" s="1">
        <f>TablaDatos[[#This Row],[FechaIngreso]]+TablaDatos[[#This Row],[DiasNuevo]]</f>
        <v>44987</v>
      </c>
    </row>
    <row r="225" spans="1:15">
      <c r="A225">
        <v>224</v>
      </c>
      <c r="B225" t="s">
        <v>247</v>
      </c>
      <c r="C225" s="1">
        <v>30317</v>
      </c>
      <c r="D225">
        <v>43</v>
      </c>
      <c r="E225" s="4" t="s">
        <v>15</v>
      </c>
      <c r="F225" t="s">
        <v>21</v>
      </c>
      <c r="G225" s="1">
        <v>45389</v>
      </c>
      <c r="H225" s="1">
        <f>TablaDatos[[#This Row],[FechaIngreso]]+TablaDatos[[#This Row],[DiasNuevo]]</f>
        <v>45418</v>
      </c>
      <c r="I225">
        <v>29</v>
      </c>
      <c r="J225" t="s">
        <v>19</v>
      </c>
      <c r="K225" s="3">
        <v>16190.8</v>
      </c>
      <c r="L225" t="b">
        <f>TablaDatos[[#This Row],[FechaAlta]] &lt; TablaDatos[[#This Row],[FechaIngreso]]</f>
        <v>0</v>
      </c>
      <c r="M225">
        <f>_xlfn.XLOOKUP(TablaDatos[[#This Row],[PacienteID]],'Datos_Ejemplo.csv'!A:A,'Datos_Ejemplo.csv'!I:I)</f>
        <v>29</v>
      </c>
      <c r="N225">
        <f>ABS(TablaDatos[[#This Row],[DiasOriginal]])</f>
        <v>29</v>
      </c>
      <c r="O225" s="1">
        <f>TablaDatos[[#This Row],[FechaIngreso]]+TablaDatos[[#This Row],[DiasNuevo]]</f>
        <v>45418</v>
      </c>
    </row>
    <row r="226" spans="1:15">
      <c r="A226">
        <v>225</v>
      </c>
      <c r="B226" t="s">
        <v>331</v>
      </c>
      <c r="C226" s="1">
        <v>13515</v>
      </c>
      <c r="D226">
        <v>89</v>
      </c>
      <c r="E226" s="4" t="s">
        <v>197</v>
      </c>
      <c r="F226" t="s">
        <v>32</v>
      </c>
      <c r="G226" s="1">
        <v>45547</v>
      </c>
      <c r="H226" s="1">
        <f>TablaDatos[[#This Row],[FechaIngreso]]+TablaDatos[[#This Row],[DiasNuevo]]</f>
        <v>45566</v>
      </c>
      <c r="I226">
        <v>19</v>
      </c>
      <c r="J226" t="s">
        <v>25</v>
      </c>
      <c r="K226" s="3">
        <v>17098.3</v>
      </c>
      <c r="L226" t="b">
        <f>TablaDatos[[#This Row],[FechaAlta]] &lt; TablaDatos[[#This Row],[FechaIngreso]]</f>
        <v>0</v>
      </c>
      <c r="M226">
        <f>_xlfn.XLOOKUP(TablaDatos[[#This Row],[PacienteID]],'Datos_Ejemplo.csv'!A:A,'Datos_Ejemplo.csv'!I:I)</f>
        <v>19</v>
      </c>
      <c r="N226">
        <f>ABS(TablaDatos[[#This Row],[DiasOriginal]])</f>
        <v>19</v>
      </c>
      <c r="O226" s="1">
        <f>TablaDatos[[#This Row],[FechaIngreso]]+TablaDatos[[#This Row],[DiasNuevo]]</f>
        <v>45566</v>
      </c>
    </row>
    <row r="227" spans="1:15">
      <c r="A227">
        <v>226</v>
      </c>
      <c r="B227" t="s">
        <v>281</v>
      </c>
      <c r="C227" s="1">
        <v>34700</v>
      </c>
      <c r="D227">
        <v>31</v>
      </c>
      <c r="E227" s="4" t="s">
        <v>15</v>
      </c>
      <c r="F227" t="s">
        <v>261</v>
      </c>
      <c r="G227" s="1">
        <v>45072</v>
      </c>
      <c r="H227" s="1">
        <f>TablaDatos[[#This Row],[FechaIngreso]]+TablaDatos[[#This Row],[DiasNuevo]]</f>
        <v>45078</v>
      </c>
      <c r="I227">
        <v>6</v>
      </c>
      <c r="J227" t="s">
        <v>23</v>
      </c>
      <c r="K227" s="3">
        <v>5356.91</v>
      </c>
      <c r="L227" t="b">
        <f>TablaDatos[[#This Row],[FechaAlta]] &lt; TablaDatos[[#This Row],[FechaIngreso]]</f>
        <v>0</v>
      </c>
      <c r="M227">
        <f>_xlfn.XLOOKUP(TablaDatos[[#This Row],[PacienteID]],'Datos_Ejemplo.csv'!A:A,'Datos_Ejemplo.csv'!I:I)</f>
        <v>6</v>
      </c>
      <c r="N227">
        <f>ABS(TablaDatos[[#This Row],[DiasOriginal]])</f>
        <v>6</v>
      </c>
      <c r="O227" s="1">
        <f>TablaDatos[[#This Row],[FechaIngreso]]+TablaDatos[[#This Row],[DiasNuevo]]</f>
        <v>45078</v>
      </c>
    </row>
    <row r="228" spans="1:15">
      <c r="A228">
        <v>227</v>
      </c>
      <c r="B228" t="s">
        <v>352</v>
      </c>
      <c r="C228" s="1">
        <v>20820</v>
      </c>
      <c r="D228">
        <v>69</v>
      </c>
      <c r="E228" s="4" t="s">
        <v>12</v>
      </c>
      <c r="F228" t="s">
        <v>21</v>
      </c>
      <c r="G228" s="1">
        <v>45072</v>
      </c>
      <c r="H228" s="1">
        <f>TablaDatos[[#This Row],[FechaIngreso]]+TablaDatos[[#This Row],[DiasNuevo]]</f>
        <v>45072</v>
      </c>
      <c r="I228">
        <v>0</v>
      </c>
      <c r="J228" t="s">
        <v>25</v>
      </c>
      <c r="K228" s="3">
        <v>8117.5</v>
      </c>
      <c r="L228" t="b">
        <f>TablaDatos[[#This Row],[FechaAlta]] &lt; TablaDatos[[#This Row],[FechaIngreso]]</f>
        <v>0</v>
      </c>
      <c r="M228">
        <f>_xlfn.XLOOKUP(TablaDatos[[#This Row],[PacienteID]],'Datos_Ejemplo.csv'!A:A,'Datos_Ejemplo.csv'!I:I)</f>
        <v>0</v>
      </c>
      <c r="N228">
        <f>ABS(TablaDatos[[#This Row],[DiasOriginal]])</f>
        <v>0</v>
      </c>
      <c r="O228" s="1">
        <f>TablaDatos[[#This Row],[FechaIngreso]]+TablaDatos[[#This Row],[DiasNuevo]]</f>
        <v>45072</v>
      </c>
    </row>
    <row r="229" spans="1:15">
      <c r="A229">
        <v>228</v>
      </c>
      <c r="B229" t="s">
        <v>256</v>
      </c>
      <c r="C229" s="1">
        <v>34700</v>
      </c>
      <c r="D229">
        <v>31</v>
      </c>
      <c r="E229" s="4" t="s">
        <v>15</v>
      </c>
      <c r="F229" t="s">
        <v>201</v>
      </c>
      <c r="G229" s="1">
        <v>45306</v>
      </c>
      <c r="H229" s="1">
        <f>TablaDatos[[#This Row],[FechaIngreso]]+TablaDatos[[#This Row],[DiasNuevo]]</f>
        <v>45328</v>
      </c>
      <c r="I229">
        <v>22</v>
      </c>
      <c r="J229" t="s">
        <v>23</v>
      </c>
      <c r="K229" s="3">
        <v>14492.89</v>
      </c>
      <c r="L229" t="b">
        <f>TablaDatos[[#This Row],[FechaAlta]] &lt; TablaDatos[[#This Row],[FechaIngreso]]</f>
        <v>0</v>
      </c>
      <c r="M229">
        <f>_xlfn.XLOOKUP(TablaDatos[[#This Row],[PacienteID]],'Datos_Ejemplo.csv'!A:A,'Datos_Ejemplo.csv'!I:I)</f>
        <v>22</v>
      </c>
      <c r="N229">
        <f>ABS(TablaDatos[[#This Row],[DiasOriginal]])</f>
        <v>22</v>
      </c>
      <c r="O229" s="1">
        <f>TablaDatos[[#This Row],[FechaIngreso]]+TablaDatos[[#This Row],[DiasNuevo]]</f>
        <v>45328</v>
      </c>
    </row>
    <row r="230" spans="1:15">
      <c r="A230">
        <v>229</v>
      </c>
      <c r="B230" t="s">
        <v>266</v>
      </c>
      <c r="C230" s="1">
        <v>21551</v>
      </c>
      <c r="D230">
        <v>67</v>
      </c>
      <c r="E230" s="4" t="s">
        <v>12</v>
      </c>
      <c r="F230" t="s">
        <v>201</v>
      </c>
      <c r="G230" s="1">
        <v>45094</v>
      </c>
      <c r="H230" s="1">
        <f>TablaDatos[[#This Row],[FechaIngreso]]+TablaDatos[[#This Row],[DiasNuevo]]</f>
        <v>45130</v>
      </c>
      <c r="I230">
        <v>36</v>
      </c>
      <c r="J230" t="s">
        <v>23</v>
      </c>
      <c r="K230" s="3">
        <v>1891.02</v>
      </c>
      <c r="L230" t="b">
        <f>TablaDatos[[#This Row],[FechaAlta]] &lt; TablaDatos[[#This Row],[FechaIngreso]]</f>
        <v>0</v>
      </c>
      <c r="M230">
        <f>_xlfn.XLOOKUP(TablaDatos[[#This Row],[PacienteID]],'Datos_Ejemplo.csv'!A:A,'Datos_Ejemplo.csv'!I:I)</f>
        <v>36</v>
      </c>
      <c r="N230">
        <f>ABS(TablaDatos[[#This Row],[DiasOriginal]])</f>
        <v>36</v>
      </c>
      <c r="O230" s="1">
        <f>TablaDatos[[#This Row],[FechaIngreso]]+TablaDatos[[#This Row],[DiasNuevo]]</f>
        <v>45130</v>
      </c>
    </row>
    <row r="231" spans="1:15">
      <c r="A231">
        <v>230</v>
      </c>
      <c r="B231" t="s">
        <v>264</v>
      </c>
      <c r="C231" s="1">
        <v>26299</v>
      </c>
      <c r="D231">
        <v>54</v>
      </c>
      <c r="E231" s="4" t="s">
        <v>12</v>
      </c>
      <c r="F231" t="s">
        <v>13</v>
      </c>
      <c r="G231" s="1">
        <v>45201</v>
      </c>
      <c r="H231" s="1">
        <f>TablaDatos[[#This Row],[FechaIngreso]]+TablaDatos[[#This Row],[DiasNuevo]]</f>
        <v>45210</v>
      </c>
      <c r="I231">
        <v>9</v>
      </c>
      <c r="J231" t="s">
        <v>25</v>
      </c>
      <c r="K231" s="3">
        <v>15086.22</v>
      </c>
      <c r="L231" t="b">
        <f>TablaDatos[[#This Row],[FechaAlta]] &lt; TablaDatos[[#This Row],[FechaIngreso]]</f>
        <v>0</v>
      </c>
      <c r="M231">
        <f>_xlfn.XLOOKUP(TablaDatos[[#This Row],[PacienteID]],'Datos_Ejemplo.csv'!A:A,'Datos_Ejemplo.csv'!I:I)</f>
        <v>9</v>
      </c>
      <c r="N231">
        <f>ABS(TablaDatos[[#This Row],[DiasOriginal]])</f>
        <v>9</v>
      </c>
      <c r="O231" s="1">
        <f>TablaDatos[[#This Row],[FechaIngreso]]+TablaDatos[[#This Row],[DiasNuevo]]</f>
        <v>45210</v>
      </c>
    </row>
    <row r="232" spans="1:15">
      <c r="A232">
        <v>231</v>
      </c>
      <c r="B232" t="s">
        <v>243</v>
      </c>
      <c r="C232" s="1">
        <v>18994</v>
      </c>
      <c r="D232">
        <v>74</v>
      </c>
      <c r="E232" s="4" t="s">
        <v>15</v>
      </c>
      <c r="F232" t="s">
        <v>21</v>
      </c>
      <c r="G232" s="1">
        <v>45013</v>
      </c>
      <c r="H232" s="1">
        <f>TablaDatos[[#This Row],[FechaIngreso]]+TablaDatos[[#This Row],[DiasNuevo]]</f>
        <v>45039</v>
      </c>
      <c r="I232">
        <v>26</v>
      </c>
      <c r="J232" t="s">
        <v>25</v>
      </c>
      <c r="K232" s="3">
        <v>2120.5100000000002</v>
      </c>
      <c r="L232" t="b">
        <f>TablaDatos[[#This Row],[FechaAlta]] &lt; TablaDatos[[#This Row],[FechaIngreso]]</f>
        <v>0</v>
      </c>
      <c r="M232">
        <f>_xlfn.XLOOKUP(TablaDatos[[#This Row],[PacienteID]],'Datos_Ejemplo.csv'!A:A,'Datos_Ejemplo.csv'!I:I)</f>
        <v>26</v>
      </c>
      <c r="N232">
        <f>ABS(TablaDatos[[#This Row],[DiasOriginal]])</f>
        <v>26</v>
      </c>
      <c r="O232" s="1">
        <f>TablaDatos[[#This Row],[FechaIngreso]]+TablaDatos[[#This Row],[DiasNuevo]]</f>
        <v>45039</v>
      </c>
    </row>
    <row r="233" spans="1:15">
      <c r="A233">
        <v>232</v>
      </c>
      <c r="B233" t="s">
        <v>290</v>
      </c>
      <c r="C233" s="1">
        <v>25934</v>
      </c>
      <c r="D233">
        <v>55</v>
      </c>
      <c r="E233" s="4" t="s">
        <v>15</v>
      </c>
      <c r="F233" t="s">
        <v>21</v>
      </c>
      <c r="G233" s="1">
        <v>45080</v>
      </c>
      <c r="H233" s="1">
        <f>TablaDatos[[#This Row],[FechaIngreso]]+TablaDatos[[#This Row],[DiasNuevo]]</f>
        <v>45080</v>
      </c>
      <c r="I233">
        <v>0</v>
      </c>
      <c r="J233" t="s">
        <v>25</v>
      </c>
      <c r="K233" s="3">
        <v>18280.560000000001</v>
      </c>
      <c r="L233" t="b">
        <f>TablaDatos[[#This Row],[FechaAlta]] &lt; TablaDatos[[#This Row],[FechaIngreso]]</f>
        <v>0</v>
      </c>
      <c r="M233">
        <f>_xlfn.XLOOKUP(TablaDatos[[#This Row],[PacienteID]],'Datos_Ejemplo.csv'!A:A,'Datos_Ejemplo.csv'!I:I)</f>
        <v>0</v>
      </c>
      <c r="N233">
        <f>ABS(TablaDatos[[#This Row],[DiasOriginal]])</f>
        <v>0</v>
      </c>
      <c r="O233" s="1">
        <f>TablaDatos[[#This Row],[FechaIngreso]]+TablaDatos[[#This Row],[DiasNuevo]]</f>
        <v>45080</v>
      </c>
    </row>
    <row r="234" spans="1:15">
      <c r="A234">
        <v>233</v>
      </c>
      <c r="B234" t="s">
        <v>311</v>
      </c>
      <c r="C234" s="1">
        <v>40178</v>
      </c>
      <c r="D234">
        <v>16</v>
      </c>
      <c r="E234" s="4" t="s">
        <v>12</v>
      </c>
      <c r="F234" t="s">
        <v>13</v>
      </c>
      <c r="G234" s="1">
        <v>45423</v>
      </c>
      <c r="H234" s="1">
        <f>TablaDatos[[#This Row],[FechaIngreso]]+TablaDatos[[#This Row],[DiasNuevo]]</f>
        <v>45461</v>
      </c>
      <c r="I234">
        <v>38</v>
      </c>
      <c r="J234" t="s">
        <v>25</v>
      </c>
      <c r="K234" s="3">
        <v>5454.42</v>
      </c>
      <c r="L234" t="b">
        <f>TablaDatos[[#This Row],[FechaAlta]] &lt; TablaDatos[[#This Row],[FechaIngreso]]</f>
        <v>0</v>
      </c>
      <c r="M234">
        <f>_xlfn.XLOOKUP(TablaDatos[[#This Row],[PacienteID]],'Datos_Ejemplo.csv'!A:A,'Datos_Ejemplo.csv'!I:I)</f>
        <v>38</v>
      </c>
      <c r="N234">
        <f>ABS(TablaDatos[[#This Row],[DiasOriginal]])</f>
        <v>38</v>
      </c>
      <c r="O234" s="1">
        <f>TablaDatos[[#This Row],[FechaIngreso]]+TablaDatos[[#This Row],[DiasNuevo]]</f>
        <v>45461</v>
      </c>
    </row>
    <row r="235" spans="1:15">
      <c r="A235">
        <v>234</v>
      </c>
      <c r="B235" t="s">
        <v>239</v>
      </c>
      <c r="C235" s="1">
        <v>32508</v>
      </c>
      <c r="D235">
        <v>37</v>
      </c>
      <c r="E235" s="4" t="s">
        <v>15</v>
      </c>
      <c r="F235" t="s">
        <v>32</v>
      </c>
      <c r="G235" s="1">
        <v>45241</v>
      </c>
      <c r="H235" s="1">
        <f>TablaDatos[[#This Row],[FechaIngreso]]+TablaDatos[[#This Row],[DiasNuevo]]</f>
        <v>45261</v>
      </c>
      <c r="I235">
        <v>20</v>
      </c>
      <c r="J235" t="s">
        <v>25</v>
      </c>
      <c r="K235" s="3">
        <v>11469.55</v>
      </c>
      <c r="L235" t="b">
        <f>TablaDatos[[#This Row],[FechaAlta]] &lt; TablaDatos[[#This Row],[FechaIngreso]]</f>
        <v>0</v>
      </c>
      <c r="M235">
        <f>_xlfn.XLOOKUP(TablaDatos[[#This Row],[PacienteID]],'Datos_Ejemplo.csv'!A:A,'Datos_Ejemplo.csv'!I:I)</f>
        <v>20</v>
      </c>
      <c r="N235">
        <f>ABS(TablaDatos[[#This Row],[DiasOriginal]])</f>
        <v>20</v>
      </c>
      <c r="O235" s="1">
        <f>TablaDatos[[#This Row],[FechaIngreso]]+TablaDatos[[#This Row],[DiasNuevo]]</f>
        <v>45261</v>
      </c>
    </row>
    <row r="236" spans="1:15">
      <c r="A236">
        <v>235</v>
      </c>
      <c r="B236" t="s">
        <v>345</v>
      </c>
      <c r="C236" s="1">
        <v>37622</v>
      </c>
      <c r="D236">
        <v>23</v>
      </c>
      <c r="E236" s="4" t="s">
        <v>12</v>
      </c>
      <c r="F236" t="s">
        <v>13</v>
      </c>
      <c r="G236" s="1">
        <v>45536</v>
      </c>
      <c r="H236" s="1">
        <f>TablaDatos[[#This Row],[FechaIngreso]]+TablaDatos[[#This Row],[DiasNuevo]]</f>
        <v>45556</v>
      </c>
      <c r="I236">
        <v>20</v>
      </c>
      <c r="J236" t="s">
        <v>23</v>
      </c>
      <c r="K236" s="3">
        <v>2254.79</v>
      </c>
      <c r="L236" t="b">
        <f>TablaDatos[[#This Row],[FechaAlta]] &lt; TablaDatos[[#This Row],[FechaIngreso]]</f>
        <v>0</v>
      </c>
      <c r="M236">
        <f>_xlfn.XLOOKUP(TablaDatos[[#This Row],[PacienteID]],'Datos_Ejemplo.csv'!A:A,'Datos_Ejemplo.csv'!I:I)</f>
        <v>20</v>
      </c>
      <c r="N236">
        <f>ABS(TablaDatos[[#This Row],[DiasOriginal]])</f>
        <v>20</v>
      </c>
      <c r="O236" s="1">
        <f>TablaDatos[[#This Row],[FechaIngreso]]+TablaDatos[[#This Row],[DiasNuevo]]</f>
        <v>45556</v>
      </c>
    </row>
    <row r="237" spans="1:15">
      <c r="A237">
        <v>236</v>
      </c>
      <c r="B237" t="s">
        <v>333</v>
      </c>
      <c r="C237" s="1">
        <v>21185</v>
      </c>
      <c r="D237">
        <v>68</v>
      </c>
      <c r="E237" s="4" t="s">
        <v>15</v>
      </c>
      <c r="F237" t="s">
        <v>261</v>
      </c>
      <c r="G237" s="1">
        <v>45649</v>
      </c>
      <c r="H237" s="1">
        <f>TablaDatos[[#This Row],[FechaIngreso]]+TablaDatos[[#This Row],[DiasNuevo]]</f>
        <v>45664</v>
      </c>
      <c r="I237">
        <v>15</v>
      </c>
      <c r="J237" t="s">
        <v>23</v>
      </c>
      <c r="K237" s="3">
        <v>5316.81</v>
      </c>
      <c r="L237" t="b">
        <f>TablaDatos[[#This Row],[FechaAlta]] &lt; TablaDatos[[#This Row],[FechaIngreso]]</f>
        <v>0</v>
      </c>
      <c r="M237">
        <f>_xlfn.XLOOKUP(TablaDatos[[#This Row],[PacienteID]],'Datos_Ejemplo.csv'!A:A,'Datos_Ejemplo.csv'!I:I)</f>
        <v>15</v>
      </c>
      <c r="N237">
        <f>ABS(TablaDatos[[#This Row],[DiasOriginal]])</f>
        <v>15</v>
      </c>
      <c r="O237" s="1">
        <f>TablaDatos[[#This Row],[FechaIngreso]]+TablaDatos[[#This Row],[DiasNuevo]]</f>
        <v>45664</v>
      </c>
    </row>
    <row r="238" spans="1:15">
      <c r="A238">
        <v>237</v>
      </c>
      <c r="B238" t="s">
        <v>272</v>
      </c>
      <c r="C238" s="1">
        <v>20820</v>
      </c>
      <c r="D238">
        <v>69</v>
      </c>
      <c r="E238" s="4" t="s">
        <v>12</v>
      </c>
      <c r="F238" t="s">
        <v>295</v>
      </c>
      <c r="G238" s="1">
        <v>45486</v>
      </c>
      <c r="H238" s="1">
        <f>TablaDatos[[#This Row],[FechaIngreso]]+TablaDatos[[#This Row],[DiasNuevo]]</f>
        <v>45494</v>
      </c>
      <c r="I238">
        <v>8</v>
      </c>
      <c r="J238" t="s">
        <v>23</v>
      </c>
      <c r="K238" s="3">
        <v>8019.5</v>
      </c>
      <c r="L238" t="b">
        <f>TablaDatos[[#This Row],[FechaAlta]] &lt; TablaDatos[[#This Row],[FechaIngreso]]</f>
        <v>0</v>
      </c>
      <c r="M238">
        <f>_xlfn.XLOOKUP(TablaDatos[[#This Row],[PacienteID]],'Datos_Ejemplo.csv'!A:A,'Datos_Ejemplo.csv'!I:I)</f>
        <v>8</v>
      </c>
      <c r="N238">
        <f>ABS(TablaDatos[[#This Row],[DiasOriginal]])</f>
        <v>8</v>
      </c>
      <c r="O238" s="1">
        <f>TablaDatos[[#This Row],[FechaIngreso]]+TablaDatos[[#This Row],[DiasNuevo]]</f>
        <v>45494</v>
      </c>
    </row>
    <row r="239" spans="1:15">
      <c r="A239">
        <v>238</v>
      </c>
      <c r="B239" t="s">
        <v>325</v>
      </c>
      <c r="C239" s="1">
        <v>14976</v>
      </c>
      <c r="D239">
        <v>85</v>
      </c>
      <c r="E239" s="4" t="s">
        <v>15</v>
      </c>
      <c r="F239" t="s">
        <v>201</v>
      </c>
      <c r="G239" s="1">
        <v>45200</v>
      </c>
      <c r="H239" s="1">
        <f>TablaDatos[[#This Row],[FechaIngreso]]+TablaDatos[[#This Row],[DiasNuevo]]</f>
        <v>45233</v>
      </c>
      <c r="I239">
        <v>33</v>
      </c>
      <c r="J239" t="s">
        <v>19</v>
      </c>
      <c r="K239" s="3">
        <v>9689.68</v>
      </c>
      <c r="L239" t="b">
        <f>TablaDatos[[#This Row],[FechaAlta]] &lt; TablaDatos[[#This Row],[FechaIngreso]]</f>
        <v>0</v>
      </c>
      <c r="M239">
        <f>_xlfn.XLOOKUP(TablaDatos[[#This Row],[PacienteID]],'Datos_Ejemplo.csv'!A:A,'Datos_Ejemplo.csv'!I:I)</f>
        <v>33</v>
      </c>
      <c r="N239">
        <f>ABS(TablaDatos[[#This Row],[DiasOriginal]])</f>
        <v>33</v>
      </c>
      <c r="O239" s="1">
        <f>TablaDatos[[#This Row],[FechaIngreso]]+TablaDatos[[#This Row],[DiasNuevo]]</f>
        <v>45233</v>
      </c>
    </row>
    <row r="240" spans="1:15">
      <c r="A240">
        <v>239</v>
      </c>
      <c r="B240" t="s">
        <v>360</v>
      </c>
      <c r="C240" s="1">
        <v>42370</v>
      </c>
      <c r="D240">
        <v>10</v>
      </c>
      <c r="E240" s="4" t="s">
        <v>15</v>
      </c>
      <c r="F240" t="s">
        <v>295</v>
      </c>
      <c r="G240" s="1">
        <v>45632</v>
      </c>
      <c r="H240" s="1">
        <f>TablaDatos[[#This Row],[FechaIngreso]]+TablaDatos[[#This Row],[DiasNuevo]]</f>
        <v>45655</v>
      </c>
      <c r="I240">
        <v>23</v>
      </c>
      <c r="J240" t="s">
        <v>23</v>
      </c>
      <c r="K240" s="3">
        <v>-98.64</v>
      </c>
      <c r="L240" t="b">
        <f>TablaDatos[[#This Row],[FechaAlta]] &lt; TablaDatos[[#This Row],[FechaIngreso]]</f>
        <v>0</v>
      </c>
      <c r="M240">
        <f>_xlfn.XLOOKUP(TablaDatos[[#This Row],[PacienteID]],'Datos_Ejemplo.csv'!A:A,'Datos_Ejemplo.csv'!I:I)</f>
        <v>23</v>
      </c>
      <c r="N240">
        <f>ABS(TablaDatos[[#This Row],[DiasOriginal]])</f>
        <v>23</v>
      </c>
      <c r="O240" s="1">
        <f>TablaDatos[[#This Row],[FechaIngreso]]+TablaDatos[[#This Row],[DiasNuevo]]</f>
        <v>45655</v>
      </c>
    </row>
    <row r="241" spans="1:15">
      <c r="A241">
        <v>240</v>
      </c>
      <c r="B241" t="s">
        <v>262</v>
      </c>
      <c r="C241" s="1">
        <v>40544</v>
      </c>
      <c r="D241">
        <v>15</v>
      </c>
      <c r="E241" s="4" t="s">
        <v>15</v>
      </c>
      <c r="F241" t="s">
        <v>201</v>
      </c>
      <c r="G241" s="1">
        <v>45188</v>
      </c>
      <c r="H241" s="1">
        <f>TablaDatos[[#This Row],[FechaIngreso]]+TablaDatos[[#This Row],[DiasNuevo]]</f>
        <v>45193</v>
      </c>
      <c r="I241">
        <v>5</v>
      </c>
      <c r="J241" t="s">
        <v>23</v>
      </c>
      <c r="K241" s="3">
        <v>17761.98</v>
      </c>
      <c r="L241" t="b">
        <f>TablaDatos[[#This Row],[FechaAlta]] &lt; TablaDatos[[#This Row],[FechaIngreso]]</f>
        <v>0</v>
      </c>
      <c r="M241">
        <f>_xlfn.XLOOKUP(TablaDatos[[#This Row],[PacienteID]],'Datos_Ejemplo.csv'!A:A,'Datos_Ejemplo.csv'!I:I)</f>
        <v>5</v>
      </c>
      <c r="N241">
        <f>ABS(TablaDatos[[#This Row],[DiasOriginal]])</f>
        <v>5</v>
      </c>
      <c r="O241" s="1">
        <f>TablaDatos[[#This Row],[FechaIngreso]]+TablaDatos[[#This Row],[DiasNuevo]]</f>
        <v>45193</v>
      </c>
    </row>
    <row r="242" spans="1:15">
      <c r="A242">
        <v>241</v>
      </c>
      <c r="B242" t="s">
        <v>352</v>
      </c>
      <c r="C242" s="1">
        <v>19724</v>
      </c>
      <c r="D242">
        <v>72</v>
      </c>
      <c r="E242" s="4" t="s">
        <v>15</v>
      </c>
      <c r="F242" t="s">
        <v>21</v>
      </c>
      <c r="G242" s="1">
        <v>45413</v>
      </c>
      <c r="H242" s="1">
        <f>TablaDatos[[#This Row],[FechaIngreso]]+TablaDatos[[#This Row],[DiasNuevo]]</f>
        <v>45438</v>
      </c>
      <c r="I242">
        <v>25</v>
      </c>
      <c r="J242" t="s">
        <v>23</v>
      </c>
      <c r="K242" s="3">
        <v>54.26</v>
      </c>
      <c r="L242" t="b">
        <f>TablaDatos[[#This Row],[FechaAlta]] &lt; TablaDatos[[#This Row],[FechaIngreso]]</f>
        <v>0</v>
      </c>
      <c r="M242">
        <f>_xlfn.XLOOKUP(TablaDatos[[#This Row],[PacienteID]],'Datos_Ejemplo.csv'!A:A,'Datos_Ejemplo.csv'!I:I)</f>
        <v>25</v>
      </c>
      <c r="N242">
        <f>ABS(TablaDatos[[#This Row],[DiasOriginal]])</f>
        <v>25</v>
      </c>
      <c r="O242" s="1">
        <f>TablaDatos[[#This Row],[FechaIngreso]]+TablaDatos[[#This Row],[DiasNuevo]]</f>
        <v>45438</v>
      </c>
    </row>
    <row r="243" spans="1:15">
      <c r="A243">
        <v>242</v>
      </c>
      <c r="B243" t="s">
        <v>312</v>
      </c>
      <c r="C243" s="1">
        <v>24838</v>
      </c>
      <c r="D243">
        <v>58</v>
      </c>
      <c r="E243" s="4" t="s">
        <v>15</v>
      </c>
      <c r="F243" t="s">
        <v>13</v>
      </c>
      <c r="G243" s="1">
        <v>45380</v>
      </c>
      <c r="H243" s="1">
        <f>TablaDatos[[#This Row],[FechaIngreso]]+TablaDatos[[#This Row],[DiasNuevo]]</f>
        <v>45395</v>
      </c>
      <c r="I243">
        <v>15</v>
      </c>
      <c r="J243" t="s">
        <v>25</v>
      </c>
      <c r="K243" s="3">
        <v>15451.06</v>
      </c>
      <c r="L243" t="b">
        <f>TablaDatos[[#This Row],[FechaAlta]] &lt; TablaDatos[[#This Row],[FechaIngreso]]</f>
        <v>0</v>
      </c>
      <c r="M243">
        <f>_xlfn.XLOOKUP(TablaDatos[[#This Row],[PacienteID]],'Datos_Ejemplo.csv'!A:A,'Datos_Ejemplo.csv'!I:I)</f>
        <v>15</v>
      </c>
      <c r="N243">
        <f>ABS(TablaDatos[[#This Row],[DiasOriginal]])</f>
        <v>15</v>
      </c>
      <c r="O243" s="1">
        <f>TablaDatos[[#This Row],[FechaIngreso]]+TablaDatos[[#This Row],[DiasNuevo]]</f>
        <v>45395</v>
      </c>
    </row>
    <row r="244" spans="1:15">
      <c r="A244">
        <v>243</v>
      </c>
      <c r="B244" t="s">
        <v>249</v>
      </c>
      <c r="C244" s="1">
        <f ca="1">DATE(YEAR(TODAY())-TablaDatos[[#This Row],[Edad]],1,1)</f>
        <v>20821</v>
      </c>
      <c r="D244">
        <v>69</v>
      </c>
      <c r="E244" s="4" t="s">
        <v>12</v>
      </c>
      <c r="F244" t="s">
        <v>13</v>
      </c>
      <c r="G244" s="1">
        <v>45369</v>
      </c>
      <c r="H244" s="1">
        <f>TablaDatos[[#This Row],[FechaIngreso]]+TablaDatos[[#This Row],[DiasNuevo]]</f>
        <v>45379</v>
      </c>
      <c r="I244">
        <v>10</v>
      </c>
      <c r="J244" t="s">
        <v>23</v>
      </c>
      <c r="K244" s="3">
        <v>9358.64</v>
      </c>
      <c r="L244" t="b">
        <f>TablaDatos[[#This Row],[FechaAlta]] &lt; TablaDatos[[#This Row],[FechaIngreso]]</f>
        <v>0</v>
      </c>
      <c r="M244">
        <f>_xlfn.XLOOKUP(TablaDatos[[#This Row],[PacienteID]],'Datos_Ejemplo.csv'!A:A,'Datos_Ejemplo.csv'!I:I)</f>
        <v>10</v>
      </c>
      <c r="N244">
        <f>ABS(TablaDatos[[#This Row],[DiasOriginal]])</f>
        <v>10</v>
      </c>
      <c r="O244" s="1">
        <f>TablaDatos[[#This Row],[FechaIngreso]]+TablaDatos[[#This Row],[DiasNuevo]]</f>
        <v>45379</v>
      </c>
    </row>
    <row r="245" spans="1:15">
      <c r="A245">
        <v>244</v>
      </c>
      <c r="B245" t="s">
        <v>309</v>
      </c>
      <c r="C245" s="1">
        <v>17168</v>
      </c>
      <c r="D245">
        <v>79</v>
      </c>
      <c r="E245" s="4" t="s">
        <v>12</v>
      </c>
      <c r="F245" t="s">
        <v>13</v>
      </c>
      <c r="G245" s="1">
        <v>45188</v>
      </c>
      <c r="H245" s="1">
        <f>TablaDatos[[#This Row],[FechaIngreso]]+TablaDatos[[#This Row],[DiasNuevo]]</f>
        <v>45221</v>
      </c>
      <c r="I245">
        <v>33</v>
      </c>
      <c r="J245" t="s">
        <v>25</v>
      </c>
      <c r="K245" s="3">
        <v>10429.99</v>
      </c>
      <c r="L245" t="b">
        <f>TablaDatos[[#This Row],[FechaAlta]] &lt; TablaDatos[[#This Row],[FechaIngreso]]</f>
        <v>0</v>
      </c>
      <c r="M245">
        <f>_xlfn.XLOOKUP(TablaDatos[[#This Row],[PacienteID]],'Datos_Ejemplo.csv'!A:A,'Datos_Ejemplo.csv'!I:I)</f>
        <v>33</v>
      </c>
      <c r="N245">
        <f>ABS(TablaDatos[[#This Row],[DiasOriginal]])</f>
        <v>33</v>
      </c>
      <c r="O245" s="1">
        <f>TablaDatos[[#This Row],[FechaIngreso]]+TablaDatos[[#This Row],[DiasNuevo]]</f>
        <v>45221</v>
      </c>
    </row>
    <row r="246" spans="1:15">
      <c r="A246">
        <v>245</v>
      </c>
      <c r="B246" t="s">
        <v>305</v>
      </c>
      <c r="C246" s="1">
        <v>12419</v>
      </c>
      <c r="D246">
        <v>92</v>
      </c>
      <c r="E246" s="4" t="s">
        <v>12</v>
      </c>
      <c r="F246" t="s">
        <v>261</v>
      </c>
      <c r="G246" s="1">
        <v>45469</v>
      </c>
      <c r="H246" s="1">
        <f>TablaDatos[[#This Row],[FechaIngreso]]+TablaDatos[[#This Row],[DiasNuevo]]</f>
        <v>45508</v>
      </c>
      <c r="I246">
        <v>39</v>
      </c>
      <c r="J246" t="s">
        <v>25</v>
      </c>
      <c r="K246" s="3">
        <v>4086.14</v>
      </c>
      <c r="L246" t="b">
        <f>TablaDatos[[#This Row],[FechaAlta]] &lt; TablaDatos[[#This Row],[FechaIngreso]]</f>
        <v>0</v>
      </c>
      <c r="M246">
        <f>_xlfn.XLOOKUP(TablaDatos[[#This Row],[PacienteID]],'Datos_Ejemplo.csv'!A:A,'Datos_Ejemplo.csv'!I:I)</f>
        <v>39</v>
      </c>
      <c r="N246">
        <f>ABS(TablaDatos[[#This Row],[DiasOriginal]])</f>
        <v>39</v>
      </c>
      <c r="O246" s="1">
        <f>TablaDatos[[#This Row],[FechaIngreso]]+TablaDatos[[#This Row],[DiasNuevo]]</f>
        <v>45508</v>
      </c>
    </row>
    <row r="247" spans="1:15">
      <c r="A247">
        <v>246</v>
      </c>
      <c r="B247" t="s">
        <v>332</v>
      </c>
      <c r="C247" s="1">
        <v>45292</v>
      </c>
      <c r="D247">
        <v>2</v>
      </c>
      <c r="E247" s="4" t="s">
        <v>12</v>
      </c>
      <c r="F247" t="s">
        <v>261</v>
      </c>
      <c r="G247" s="1">
        <v>45031</v>
      </c>
      <c r="H247" s="1">
        <f>TablaDatos[[#This Row],[FechaIngreso]]+TablaDatos[[#This Row],[DiasNuevo]]</f>
        <v>45068</v>
      </c>
      <c r="I247">
        <v>37</v>
      </c>
      <c r="J247" t="s">
        <v>23</v>
      </c>
      <c r="K247" s="3">
        <v>12108.1</v>
      </c>
      <c r="L247" t="b">
        <f>TablaDatos[[#This Row],[FechaAlta]] &lt; TablaDatos[[#This Row],[FechaIngreso]]</f>
        <v>0</v>
      </c>
      <c r="M247">
        <f>_xlfn.XLOOKUP(TablaDatos[[#This Row],[PacienteID]],'Datos_Ejemplo.csv'!A:A,'Datos_Ejemplo.csv'!I:I)</f>
        <v>37</v>
      </c>
      <c r="N247">
        <f>ABS(TablaDatos[[#This Row],[DiasOriginal]])</f>
        <v>37</v>
      </c>
      <c r="O247" s="1">
        <f>TablaDatos[[#This Row],[FechaIngreso]]+TablaDatos[[#This Row],[DiasNuevo]]</f>
        <v>45068</v>
      </c>
    </row>
    <row r="248" spans="1:15">
      <c r="A248">
        <v>247</v>
      </c>
      <c r="B248" t="s">
        <v>308</v>
      </c>
      <c r="C248" s="1">
        <v>39083</v>
      </c>
      <c r="D248">
        <v>19</v>
      </c>
      <c r="E248" s="4" t="s">
        <v>15</v>
      </c>
      <c r="F248" t="s">
        <v>32</v>
      </c>
      <c r="G248" s="1">
        <v>45276</v>
      </c>
      <c r="H248" s="1">
        <f>TablaDatos[[#This Row],[FechaIngreso]]+TablaDatos[[#This Row],[DiasNuevo]]</f>
        <v>45285</v>
      </c>
      <c r="I248">
        <v>9</v>
      </c>
      <c r="J248" t="s">
        <v>23</v>
      </c>
      <c r="K248" s="3">
        <v>10698.36</v>
      </c>
      <c r="L248" t="b">
        <f>TablaDatos[[#This Row],[FechaAlta]] &lt; TablaDatos[[#This Row],[FechaIngreso]]</f>
        <v>0</v>
      </c>
      <c r="M248">
        <f>_xlfn.XLOOKUP(TablaDatos[[#This Row],[PacienteID]],'Datos_Ejemplo.csv'!A:A,'Datos_Ejemplo.csv'!I:I)</f>
        <v>9</v>
      </c>
      <c r="N248">
        <f>ABS(TablaDatos[[#This Row],[DiasOriginal]])</f>
        <v>9</v>
      </c>
      <c r="O248" s="1">
        <f>TablaDatos[[#This Row],[FechaIngreso]]+TablaDatos[[#This Row],[DiasNuevo]]</f>
        <v>45285</v>
      </c>
    </row>
    <row r="249" spans="1:15">
      <c r="A249">
        <v>248</v>
      </c>
      <c r="B249" t="s">
        <v>271</v>
      </c>
      <c r="C249" s="1">
        <v>24838</v>
      </c>
      <c r="D249">
        <v>58</v>
      </c>
      <c r="E249" s="4" t="s">
        <v>12</v>
      </c>
      <c r="F249" t="s">
        <v>18</v>
      </c>
      <c r="G249" s="1">
        <v>45364</v>
      </c>
      <c r="H249" s="1">
        <f>TablaDatos[[#This Row],[FechaIngreso]]+TablaDatos[[#This Row],[DiasNuevo]]</f>
        <v>45383</v>
      </c>
      <c r="I249">
        <v>19</v>
      </c>
      <c r="J249" t="s">
        <v>25</v>
      </c>
      <c r="K249" s="3">
        <v>3201.15</v>
      </c>
      <c r="L249" t="b">
        <f>TablaDatos[[#This Row],[FechaAlta]] &lt; TablaDatos[[#This Row],[FechaIngreso]]</f>
        <v>0</v>
      </c>
      <c r="M249">
        <f>_xlfn.XLOOKUP(TablaDatos[[#This Row],[PacienteID]],'Datos_Ejemplo.csv'!A:A,'Datos_Ejemplo.csv'!I:I)</f>
        <v>19</v>
      </c>
      <c r="N249">
        <f>ABS(TablaDatos[[#This Row],[DiasOriginal]])</f>
        <v>19</v>
      </c>
      <c r="O249" s="1">
        <f>TablaDatos[[#This Row],[FechaIngreso]]+TablaDatos[[#This Row],[DiasNuevo]]</f>
        <v>45383</v>
      </c>
    </row>
    <row r="250" spans="1:15">
      <c r="A250">
        <v>249</v>
      </c>
      <c r="B250" t="s">
        <v>349</v>
      </c>
      <c r="C250" s="1">
        <v>33239</v>
      </c>
      <c r="D250">
        <v>35</v>
      </c>
      <c r="E250" s="4" t="s">
        <v>15</v>
      </c>
      <c r="F250" t="s">
        <v>201</v>
      </c>
      <c r="G250" s="1">
        <v>45095</v>
      </c>
      <c r="H250" s="1">
        <f>TablaDatos[[#This Row],[FechaIngreso]]+TablaDatos[[#This Row],[DiasNuevo]]</f>
        <v>45096</v>
      </c>
      <c r="I250">
        <v>1</v>
      </c>
      <c r="J250" t="s">
        <v>23</v>
      </c>
      <c r="K250" s="3">
        <v>4686.1899999999996</v>
      </c>
      <c r="L250" t="b">
        <f>TablaDatos[[#This Row],[FechaAlta]] &lt; TablaDatos[[#This Row],[FechaIngreso]]</f>
        <v>0</v>
      </c>
      <c r="M250">
        <f>_xlfn.XLOOKUP(TablaDatos[[#This Row],[PacienteID]],'Datos_Ejemplo.csv'!A:A,'Datos_Ejemplo.csv'!I:I)</f>
        <v>-1</v>
      </c>
      <c r="N250">
        <f>ABS(TablaDatos[[#This Row],[DiasOriginal]])</f>
        <v>1</v>
      </c>
      <c r="O250" s="1">
        <f>TablaDatos[[#This Row],[FechaIngreso]]+TablaDatos[[#This Row],[DiasNuevo]]</f>
        <v>45096</v>
      </c>
    </row>
    <row r="251" spans="1:15">
      <c r="A251">
        <v>250</v>
      </c>
      <c r="B251" t="s">
        <v>248</v>
      </c>
      <c r="C251" s="1">
        <v>39448</v>
      </c>
      <c r="D251">
        <v>18</v>
      </c>
      <c r="E251" s="4" t="s">
        <v>12</v>
      </c>
      <c r="F251" t="s">
        <v>18</v>
      </c>
      <c r="G251" s="1">
        <v>45269</v>
      </c>
      <c r="H251" s="1">
        <f>TablaDatos[[#This Row],[FechaIngreso]]+TablaDatos[[#This Row],[DiasNuevo]]</f>
        <v>45306</v>
      </c>
      <c r="I251">
        <v>37</v>
      </c>
      <c r="J251" t="s">
        <v>25</v>
      </c>
      <c r="K251" s="3">
        <v>1244.76</v>
      </c>
      <c r="L251" t="b">
        <f>TablaDatos[[#This Row],[FechaAlta]] &lt; TablaDatos[[#This Row],[FechaIngreso]]</f>
        <v>0</v>
      </c>
      <c r="M251">
        <f>_xlfn.XLOOKUP(TablaDatos[[#This Row],[PacienteID]],'Datos_Ejemplo.csv'!A:A,'Datos_Ejemplo.csv'!I:I)</f>
        <v>37</v>
      </c>
      <c r="N251">
        <f>ABS(TablaDatos[[#This Row],[DiasOriginal]])</f>
        <v>37</v>
      </c>
      <c r="O251" s="1">
        <f>TablaDatos[[#This Row],[FechaIngreso]]+TablaDatos[[#This Row],[DiasNuevo]]</f>
        <v>45306</v>
      </c>
    </row>
    <row r="252" spans="1:15">
      <c r="A252">
        <v>251</v>
      </c>
      <c r="B252" t="s">
        <v>330</v>
      </c>
      <c r="C252" s="1">
        <v>13515</v>
      </c>
      <c r="D252">
        <v>89</v>
      </c>
      <c r="E252" s="4" t="s">
        <v>15</v>
      </c>
      <c r="F252" t="s">
        <v>18</v>
      </c>
      <c r="G252" s="1">
        <v>45156</v>
      </c>
      <c r="H252" s="1">
        <f>TablaDatos[[#This Row],[FechaIngreso]]+TablaDatos[[#This Row],[DiasNuevo]]</f>
        <v>45181</v>
      </c>
      <c r="I252">
        <v>25</v>
      </c>
      <c r="J252" t="s">
        <v>25</v>
      </c>
      <c r="K252" s="3">
        <v>1232.3</v>
      </c>
      <c r="L252" t="b">
        <f>TablaDatos[[#This Row],[FechaAlta]] &lt; TablaDatos[[#This Row],[FechaIngreso]]</f>
        <v>0</v>
      </c>
      <c r="M252">
        <f>_xlfn.XLOOKUP(TablaDatos[[#This Row],[PacienteID]],'Datos_Ejemplo.csv'!A:A,'Datos_Ejemplo.csv'!I:I)</f>
        <v>25</v>
      </c>
      <c r="N252">
        <f>ABS(TablaDatos[[#This Row],[DiasOriginal]])</f>
        <v>25</v>
      </c>
      <c r="O252" s="1">
        <f>TablaDatos[[#This Row],[FechaIngreso]]+TablaDatos[[#This Row],[DiasNuevo]]</f>
        <v>45181</v>
      </c>
    </row>
    <row r="253" spans="1:15">
      <c r="A253">
        <v>252</v>
      </c>
      <c r="B253" t="s">
        <v>363</v>
      </c>
      <c r="C253" s="1">
        <v>21916</v>
      </c>
      <c r="D253">
        <v>66</v>
      </c>
      <c r="E253" s="4" t="s">
        <v>15</v>
      </c>
      <c r="F253" t="s">
        <v>201</v>
      </c>
      <c r="G253" s="1">
        <v>44949</v>
      </c>
      <c r="H253" s="1">
        <f>TablaDatos[[#This Row],[FechaIngreso]]+TablaDatos[[#This Row],[DiasNuevo]]</f>
        <v>44959</v>
      </c>
      <c r="I253">
        <v>10</v>
      </c>
      <c r="J253" t="s">
        <v>25</v>
      </c>
      <c r="K253" s="3">
        <v>176.89</v>
      </c>
      <c r="L253" t="b">
        <f>TablaDatos[[#This Row],[FechaAlta]] &lt; TablaDatos[[#This Row],[FechaIngreso]]</f>
        <v>0</v>
      </c>
      <c r="M253">
        <f>_xlfn.XLOOKUP(TablaDatos[[#This Row],[PacienteID]],'Datos_Ejemplo.csv'!A:A,'Datos_Ejemplo.csv'!I:I)</f>
        <v>10</v>
      </c>
      <c r="N253">
        <f>ABS(TablaDatos[[#This Row],[DiasOriginal]])</f>
        <v>10</v>
      </c>
      <c r="O253" s="1">
        <f>TablaDatos[[#This Row],[FechaIngreso]]+TablaDatos[[#This Row],[DiasNuevo]]</f>
        <v>44959</v>
      </c>
    </row>
    <row r="254" spans="1:15">
      <c r="A254">
        <v>253</v>
      </c>
      <c r="B254" t="s">
        <v>330</v>
      </c>
      <c r="C254" s="1">
        <v>39448</v>
      </c>
      <c r="D254">
        <v>18</v>
      </c>
      <c r="E254" s="4" t="s">
        <v>15</v>
      </c>
      <c r="F254" t="s">
        <v>32</v>
      </c>
      <c r="G254" s="1">
        <v>45602</v>
      </c>
      <c r="H254" s="1">
        <f>TablaDatos[[#This Row],[FechaIngreso]]+TablaDatos[[#This Row],[DiasNuevo]]</f>
        <v>45632</v>
      </c>
      <c r="I254">
        <v>30</v>
      </c>
      <c r="J254" t="s">
        <v>19</v>
      </c>
      <c r="K254" s="3">
        <v>4331.53</v>
      </c>
      <c r="L254" t="b">
        <f>TablaDatos[[#This Row],[FechaAlta]] &lt; TablaDatos[[#This Row],[FechaIngreso]]</f>
        <v>0</v>
      </c>
      <c r="M254">
        <f>_xlfn.XLOOKUP(TablaDatos[[#This Row],[PacienteID]],'Datos_Ejemplo.csv'!A:A,'Datos_Ejemplo.csv'!I:I)</f>
        <v>30</v>
      </c>
      <c r="N254">
        <f>ABS(TablaDatos[[#This Row],[DiasOriginal]])</f>
        <v>30</v>
      </c>
      <c r="O254" s="1">
        <f>TablaDatos[[#This Row],[FechaIngreso]]+TablaDatos[[#This Row],[DiasNuevo]]</f>
        <v>45632</v>
      </c>
    </row>
    <row r="255" spans="1:15">
      <c r="A255">
        <v>254</v>
      </c>
      <c r="B255" t="s">
        <v>239</v>
      </c>
      <c r="C255" s="1">
        <v>39083</v>
      </c>
      <c r="D255">
        <v>19</v>
      </c>
      <c r="E255" s="4" t="s">
        <v>12</v>
      </c>
      <c r="F255" t="s">
        <v>13</v>
      </c>
      <c r="G255" s="1">
        <v>45207</v>
      </c>
      <c r="H255" s="1">
        <f>TablaDatos[[#This Row],[FechaIngreso]]+TablaDatos[[#This Row],[DiasNuevo]]</f>
        <v>45207</v>
      </c>
      <c r="I255">
        <v>0</v>
      </c>
      <c r="J255" t="s">
        <v>23</v>
      </c>
      <c r="K255" s="3">
        <v>13561.19</v>
      </c>
      <c r="L255" t="b">
        <f>TablaDatos[[#This Row],[FechaAlta]] &lt; TablaDatos[[#This Row],[FechaIngreso]]</f>
        <v>0</v>
      </c>
      <c r="M255">
        <f>_xlfn.XLOOKUP(TablaDatos[[#This Row],[PacienteID]],'Datos_Ejemplo.csv'!A:A,'Datos_Ejemplo.csv'!I:I)</f>
        <v>0</v>
      </c>
      <c r="N255">
        <f>ABS(TablaDatos[[#This Row],[DiasOriginal]])</f>
        <v>0</v>
      </c>
      <c r="O255" s="1">
        <f>TablaDatos[[#This Row],[FechaIngreso]]+TablaDatos[[#This Row],[DiasNuevo]]</f>
        <v>45207</v>
      </c>
    </row>
    <row r="256" spans="1:15">
      <c r="A256">
        <v>255</v>
      </c>
      <c r="B256" t="s">
        <v>366</v>
      </c>
      <c r="C256" s="1">
        <v>20455</v>
      </c>
      <c r="D256">
        <v>70</v>
      </c>
      <c r="E256" s="4" t="s">
        <v>15</v>
      </c>
      <c r="F256" t="s">
        <v>18</v>
      </c>
      <c r="G256" s="1">
        <v>45445</v>
      </c>
      <c r="H256" s="1">
        <f>TablaDatos[[#This Row],[FechaIngreso]]+TablaDatos[[#This Row],[DiasNuevo]]</f>
        <v>45476</v>
      </c>
      <c r="I256">
        <v>31</v>
      </c>
      <c r="J256" t="s">
        <v>23</v>
      </c>
      <c r="K256" s="3">
        <v>6255.93</v>
      </c>
      <c r="L256" t="b">
        <f>TablaDatos[[#This Row],[FechaAlta]] &lt; TablaDatos[[#This Row],[FechaIngreso]]</f>
        <v>0</v>
      </c>
      <c r="M256">
        <f>_xlfn.XLOOKUP(TablaDatos[[#This Row],[PacienteID]],'Datos_Ejemplo.csv'!A:A,'Datos_Ejemplo.csv'!I:I)</f>
        <v>31</v>
      </c>
      <c r="N256">
        <f>ABS(TablaDatos[[#This Row],[DiasOriginal]])</f>
        <v>31</v>
      </c>
      <c r="O256" s="1">
        <f>TablaDatos[[#This Row],[FechaIngreso]]+TablaDatos[[#This Row],[DiasNuevo]]</f>
        <v>45476</v>
      </c>
    </row>
    <row r="257" spans="1:15">
      <c r="A257">
        <v>256</v>
      </c>
      <c r="B257" t="s">
        <v>231</v>
      </c>
      <c r="C257" s="1">
        <v>27395</v>
      </c>
      <c r="D257">
        <v>51</v>
      </c>
      <c r="E257" s="4" t="s">
        <v>12</v>
      </c>
      <c r="F257" t="s">
        <v>13</v>
      </c>
      <c r="G257" s="1">
        <v>45648</v>
      </c>
      <c r="H257" s="1">
        <f>TablaDatos[[#This Row],[FechaIngreso]]+TablaDatos[[#This Row],[DiasNuevo]]</f>
        <v>45668</v>
      </c>
      <c r="I257">
        <v>20</v>
      </c>
      <c r="J257" t="s">
        <v>23</v>
      </c>
      <c r="K257" s="3">
        <v>6788.96</v>
      </c>
      <c r="L257" t="b">
        <f>TablaDatos[[#This Row],[FechaAlta]] &lt; TablaDatos[[#This Row],[FechaIngreso]]</f>
        <v>0</v>
      </c>
      <c r="M257">
        <f>_xlfn.XLOOKUP(TablaDatos[[#This Row],[PacienteID]],'Datos_Ejemplo.csv'!A:A,'Datos_Ejemplo.csv'!I:I)</f>
        <v>20</v>
      </c>
      <c r="N257">
        <f>ABS(TablaDatos[[#This Row],[DiasOriginal]])</f>
        <v>20</v>
      </c>
      <c r="O257" s="1">
        <f>TablaDatos[[#This Row],[FechaIngreso]]+TablaDatos[[#This Row],[DiasNuevo]]</f>
        <v>45668</v>
      </c>
    </row>
    <row r="258" spans="1:15">
      <c r="A258">
        <v>257</v>
      </c>
      <c r="B258" t="s">
        <v>130</v>
      </c>
      <c r="C258" s="1">
        <f ca="1">DATE(YEAR(TODAY())-TablaDatos[[#This Row],[Edad]],1,1)</f>
        <v>34335</v>
      </c>
      <c r="D258">
        <v>32</v>
      </c>
      <c r="E258" s="4" t="s">
        <v>15</v>
      </c>
      <c r="F258" t="s">
        <v>21</v>
      </c>
      <c r="G258" s="1">
        <v>45179</v>
      </c>
      <c r="H258" s="1">
        <f>TablaDatos[[#This Row],[FechaIngreso]]+TablaDatos[[#This Row],[DiasNuevo]]</f>
        <v>45208</v>
      </c>
      <c r="I258">
        <v>29</v>
      </c>
      <c r="J258" t="s">
        <v>23</v>
      </c>
      <c r="K258" s="3">
        <v>2551.3000000000002</v>
      </c>
      <c r="L258" t="b">
        <f>TablaDatos[[#This Row],[FechaAlta]] &lt; TablaDatos[[#This Row],[FechaIngreso]]</f>
        <v>0</v>
      </c>
      <c r="M258">
        <f>_xlfn.XLOOKUP(TablaDatos[[#This Row],[PacienteID]],'Datos_Ejemplo.csv'!A:A,'Datos_Ejemplo.csv'!I:I)</f>
        <v>29</v>
      </c>
      <c r="N258">
        <f>ABS(TablaDatos[[#This Row],[DiasOriginal]])</f>
        <v>29</v>
      </c>
      <c r="O258" s="1">
        <f>TablaDatos[[#This Row],[FechaIngreso]]+TablaDatos[[#This Row],[DiasNuevo]]</f>
        <v>45208</v>
      </c>
    </row>
    <row r="259" spans="1:15">
      <c r="A259">
        <v>258</v>
      </c>
      <c r="B259" t="s">
        <v>239</v>
      </c>
      <c r="C259" s="1">
        <v>31778</v>
      </c>
      <c r="D259">
        <v>39</v>
      </c>
      <c r="E259" s="4" t="s">
        <v>12</v>
      </c>
      <c r="F259" t="s">
        <v>18</v>
      </c>
      <c r="G259" s="1">
        <v>45330</v>
      </c>
      <c r="H259" s="1">
        <f>TablaDatos[[#This Row],[FechaIngreso]]+TablaDatos[[#This Row],[DiasNuevo]]</f>
        <v>45347</v>
      </c>
      <c r="I259">
        <v>17</v>
      </c>
      <c r="J259" t="s">
        <v>23</v>
      </c>
      <c r="K259" s="3">
        <v>11466.96</v>
      </c>
      <c r="L259" t="b">
        <f>TablaDatos[[#This Row],[FechaAlta]] &lt; TablaDatos[[#This Row],[FechaIngreso]]</f>
        <v>0</v>
      </c>
      <c r="M259">
        <f>_xlfn.XLOOKUP(TablaDatos[[#This Row],[PacienteID]],'Datos_Ejemplo.csv'!A:A,'Datos_Ejemplo.csv'!I:I)</f>
        <v>17</v>
      </c>
      <c r="N259">
        <f>ABS(TablaDatos[[#This Row],[DiasOriginal]])</f>
        <v>17</v>
      </c>
      <c r="O259" s="1">
        <f>TablaDatos[[#This Row],[FechaIngreso]]+TablaDatos[[#This Row],[DiasNuevo]]</f>
        <v>45347</v>
      </c>
    </row>
    <row r="260" spans="1:15">
      <c r="A260">
        <v>259</v>
      </c>
      <c r="B260" t="s">
        <v>236</v>
      </c>
      <c r="C260" s="1">
        <v>32143</v>
      </c>
      <c r="D260">
        <v>38</v>
      </c>
      <c r="E260" s="4" t="s">
        <v>12</v>
      </c>
      <c r="F260" t="s">
        <v>21</v>
      </c>
      <c r="G260" s="1">
        <v>45059</v>
      </c>
      <c r="H260" s="1">
        <f>TablaDatos[[#This Row],[FechaIngreso]]+TablaDatos[[#This Row],[DiasNuevo]]</f>
        <v>45084</v>
      </c>
      <c r="I260">
        <v>25</v>
      </c>
      <c r="J260" t="s">
        <v>25</v>
      </c>
      <c r="K260" s="3">
        <v>6777.09</v>
      </c>
      <c r="L260" t="b">
        <f>TablaDatos[[#This Row],[FechaAlta]] &lt; TablaDatos[[#This Row],[FechaIngreso]]</f>
        <v>0</v>
      </c>
      <c r="M260">
        <f>_xlfn.XLOOKUP(TablaDatos[[#This Row],[PacienteID]],'Datos_Ejemplo.csv'!A:A,'Datos_Ejemplo.csv'!I:I)</f>
        <v>25</v>
      </c>
      <c r="N260">
        <f>ABS(TablaDatos[[#This Row],[DiasOriginal]])</f>
        <v>25</v>
      </c>
      <c r="O260" s="1">
        <f>TablaDatos[[#This Row],[FechaIngreso]]+TablaDatos[[#This Row],[DiasNuevo]]</f>
        <v>45084</v>
      </c>
    </row>
    <row r="261" spans="1:15">
      <c r="A261">
        <v>260</v>
      </c>
      <c r="B261" t="s">
        <v>66</v>
      </c>
      <c r="C261" s="1">
        <v>16437</v>
      </c>
      <c r="D261">
        <v>81</v>
      </c>
      <c r="E261" s="4" t="s">
        <v>15</v>
      </c>
      <c r="F261" t="s">
        <v>32</v>
      </c>
      <c r="G261" s="1">
        <v>45200</v>
      </c>
      <c r="H261" s="1">
        <f>TablaDatos[[#This Row],[FechaIngreso]]+TablaDatos[[#This Row],[DiasNuevo]]</f>
        <v>45205</v>
      </c>
      <c r="I261">
        <v>5</v>
      </c>
      <c r="J261" t="s">
        <v>19</v>
      </c>
      <c r="K261" s="3">
        <v>13493.97</v>
      </c>
      <c r="L261" t="b">
        <f>TablaDatos[[#This Row],[FechaAlta]] &lt; TablaDatos[[#This Row],[FechaIngreso]]</f>
        <v>0</v>
      </c>
      <c r="M261">
        <f>_xlfn.XLOOKUP(TablaDatos[[#This Row],[PacienteID]],'Datos_Ejemplo.csv'!A:A,'Datos_Ejemplo.csv'!I:I)</f>
        <v>5</v>
      </c>
      <c r="N261">
        <f>ABS(TablaDatos[[#This Row],[DiasOriginal]])</f>
        <v>5</v>
      </c>
      <c r="O261" s="1">
        <f>TablaDatos[[#This Row],[FechaIngreso]]+TablaDatos[[#This Row],[DiasNuevo]]</f>
        <v>45205</v>
      </c>
    </row>
    <row r="262" spans="1:15">
      <c r="A262">
        <v>261</v>
      </c>
      <c r="B262" t="s">
        <v>365</v>
      </c>
      <c r="C262" s="1">
        <v>46022</v>
      </c>
      <c r="D262">
        <v>0</v>
      </c>
      <c r="E262" s="4" t="s">
        <v>12</v>
      </c>
      <c r="F262" t="s">
        <v>295</v>
      </c>
      <c r="G262" s="1">
        <v>45544</v>
      </c>
      <c r="H262" s="1">
        <f>TablaDatos[[#This Row],[FechaIngreso]]+TablaDatos[[#This Row],[DiasNuevo]]</f>
        <v>45544</v>
      </c>
      <c r="I262">
        <v>0</v>
      </c>
      <c r="J262" t="s">
        <v>25</v>
      </c>
      <c r="K262" s="3">
        <v>14803.34</v>
      </c>
      <c r="L262" t="b">
        <f>TablaDatos[[#This Row],[FechaAlta]] &lt; TablaDatos[[#This Row],[FechaIngreso]]</f>
        <v>0</v>
      </c>
      <c r="M262">
        <f>_xlfn.XLOOKUP(TablaDatos[[#This Row],[PacienteID]],'Datos_Ejemplo.csv'!A:A,'Datos_Ejemplo.csv'!I:I)</f>
        <v>0</v>
      </c>
      <c r="N262">
        <f>ABS(TablaDatos[[#This Row],[DiasOriginal]])</f>
        <v>0</v>
      </c>
      <c r="O262" s="1">
        <f>TablaDatos[[#This Row],[FechaIngreso]]+TablaDatos[[#This Row],[DiasNuevo]]</f>
        <v>45544</v>
      </c>
    </row>
    <row r="263" spans="1:15">
      <c r="A263">
        <v>262</v>
      </c>
      <c r="B263" t="s">
        <v>146</v>
      </c>
      <c r="C263" s="1">
        <v>42370</v>
      </c>
      <c r="D263">
        <v>10</v>
      </c>
      <c r="E263" s="4" t="s">
        <v>12</v>
      </c>
      <c r="F263" t="s">
        <v>261</v>
      </c>
      <c r="G263" s="1">
        <v>45158</v>
      </c>
      <c r="H263" s="1">
        <f>TablaDatos[[#This Row],[FechaIngreso]]+TablaDatos[[#This Row],[DiasNuevo]]</f>
        <v>45185</v>
      </c>
      <c r="I263">
        <v>27</v>
      </c>
      <c r="J263" t="s">
        <v>25</v>
      </c>
      <c r="K263" s="3">
        <v>11652.33</v>
      </c>
      <c r="L263" t="b">
        <f>TablaDatos[[#This Row],[FechaAlta]] &lt; TablaDatos[[#This Row],[FechaIngreso]]</f>
        <v>0</v>
      </c>
      <c r="M263">
        <f>_xlfn.XLOOKUP(TablaDatos[[#This Row],[PacienteID]],'Datos_Ejemplo.csv'!A:A,'Datos_Ejemplo.csv'!I:I)</f>
        <v>27</v>
      </c>
      <c r="N263">
        <f>ABS(TablaDatos[[#This Row],[DiasOriginal]])</f>
        <v>27</v>
      </c>
      <c r="O263" s="1">
        <f>TablaDatos[[#This Row],[FechaIngreso]]+TablaDatos[[#This Row],[DiasNuevo]]</f>
        <v>45185</v>
      </c>
    </row>
    <row r="264" spans="1:15">
      <c r="A264">
        <v>263</v>
      </c>
      <c r="B264" t="s">
        <v>325</v>
      </c>
      <c r="C264" s="1">
        <v>12785</v>
      </c>
      <c r="D264">
        <v>91</v>
      </c>
      <c r="E264" s="4" t="s">
        <v>12</v>
      </c>
      <c r="F264" t="s">
        <v>201</v>
      </c>
      <c r="G264" s="1">
        <v>45471</v>
      </c>
      <c r="H264" s="1">
        <f>TablaDatos[[#This Row],[FechaIngreso]]+TablaDatos[[#This Row],[DiasNuevo]]</f>
        <v>45493</v>
      </c>
      <c r="I264">
        <v>22</v>
      </c>
      <c r="J264" t="s">
        <v>25</v>
      </c>
      <c r="K264" s="3">
        <v>5449</v>
      </c>
      <c r="L264" t="b">
        <f>TablaDatos[[#This Row],[FechaAlta]] &lt; TablaDatos[[#This Row],[FechaIngreso]]</f>
        <v>0</v>
      </c>
      <c r="M264">
        <f>_xlfn.XLOOKUP(TablaDatos[[#This Row],[PacienteID]],'Datos_Ejemplo.csv'!A:A,'Datos_Ejemplo.csv'!I:I)</f>
        <v>22</v>
      </c>
      <c r="N264">
        <f>ABS(TablaDatos[[#This Row],[DiasOriginal]])</f>
        <v>22</v>
      </c>
      <c r="O264" s="1">
        <f>TablaDatos[[#This Row],[FechaIngreso]]+TablaDatos[[#This Row],[DiasNuevo]]</f>
        <v>45493</v>
      </c>
    </row>
    <row r="265" spans="1:15">
      <c r="A265">
        <v>264</v>
      </c>
      <c r="B265" t="s">
        <v>55</v>
      </c>
      <c r="C265" s="1">
        <v>25568</v>
      </c>
      <c r="D265">
        <v>56</v>
      </c>
      <c r="E265" s="4" t="s">
        <v>12</v>
      </c>
      <c r="F265" t="s">
        <v>32</v>
      </c>
      <c r="G265" s="1">
        <v>45005</v>
      </c>
      <c r="H265" s="1">
        <f>TablaDatos[[#This Row],[FechaIngreso]]+TablaDatos[[#This Row],[DiasNuevo]]</f>
        <v>45032</v>
      </c>
      <c r="I265">
        <v>27</v>
      </c>
      <c r="J265" t="s">
        <v>23</v>
      </c>
      <c r="K265" s="3">
        <v>10123.02</v>
      </c>
      <c r="L265" t="b">
        <f>TablaDatos[[#This Row],[FechaAlta]] &lt; TablaDatos[[#This Row],[FechaIngreso]]</f>
        <v>0</v>
      </c>
      <c r="M265">
        <f>_xlfn.XLOOKUP(TablaDatos[[#This Row],[PacienteID]],'Datos_Ejemplo.csv'!A:A,'Datos_Ejemplo.csv'!I:I)</f>
        <v>27</v>
      </c>
      <c r="N265">
        <f>ABS(TablaDatos[[#This Row],[DiasOriginal]])</f>
        <v>27</v>
      </c>
      <c r="O265" s="1">
        <f>TablaDatos[[#This Row],[FechaIngreso]]+TablaDatos[[#This Row],[DiasNuevo]]</f>
        <v>45032</v>
      </c>
    </row>
    <row r="266" spans="1:15">
      <c r="A266">
        <v>265</v>
      </c>
      <c r="B266" t="s">
        <v>305</v>
      </c>
      <c r="C266" s="1">
        <v>13880</v>
      </c>
      <c r="D266">
        <v>88</v>
      </c>
      <c r="E266" s="4" t="s">
        <v>12</v>
      </c>
      <c r="F266" t="s">
        <v>32</v>
      </c>
      <c r="G266" s="1">
        <v>44961</v>
      </c>
      <c r="H266" s="1">
        <f>TablaDatos[[#This Row],[FechaIngreso]]+TablaDatos[[#This Row],[DiasNuevo]]</f>
        <v>44987</v>
      </c>
      <c r="I266">
        <v>26</v>
      </c>
      <c r="J266" t="s">
        <v>19</v>
      </c>
      <c r="K266" s="3">
        <v>4963.8100000000004</v>
      </c>
      <c r="L266" t="b">
        <f>TablaDatos[[#This Row],[FechaAlta]] &lt; TablaDatos[[#This Row],[FechaIngreso]]</f>
        <v>0</v>
      </c>
      <c r="M266">
        <f>_xlfn.XLOOKUP(TablaDatos[[#This Row],[PacienteID]],'Datos_Ejemplo.csv'!A:A,'Datos_Ejemplo.csv'!I:I)</f>
        <v>26</v>
      </c>
      <c r="N266">
        <f>ABS(TablaDatos[[#This Row],[DiasOriginal]])</f>
        <v>26</v>
      </c>
      <c r="O266" s="1">
        <f>TablaDatos[[#This Row],[FechaIngreso]]+TablaDatos[[#This Row],[DiasNuevo]]</f>
        <v>44987</v>
      </c>
    </row>
    <row r="267" spans="1:15">
      <c r="A267">
        <v>266</v>
      </c>
      <c r="B267" t="s">
        <v>102</v>
      </c>
      <c r="C267" s="1">
        <v>28125</v>
      </c>
      <c r="D267">
        <v>49</v>
      </c>
      <c r="E267" s="4" t="s">
        <v>12</v>
      </c>
      <c r="F267" t="s">
        <v>32</v>
      </c>
      <c r="G267" s="1">
        <v>45421</v>
      </c>
      <c r="H267" s="1">
        <f>TablaDatos[[#This Row],[FechaIngreso]]+TablaDatos[[#This Row],[DiasNuevo]]</f>
        <v>45448</v>
      </c>
      <c r="I267">
        <v>27</v>
      </c>
      <c r="J267" t="s">
        <v>25</v>
      </c>
      <c r="K267" s="3">
        <v>18048.55</v>
      </c>
      <c r="L267" t="b">
        <f>TablaDatos[[#This Row],[FechaAlta]] &lt; TablaDatos[[#This Row],[FechaIngreso]]</f>
        <v>0</v>
      </c>
      <c r="M267">
        <f>_xlfn.XLOOKUP(TablaDatos[[#This Row],[PacienteID]],'Datos_Ejemplo.csv'!A:A,'Datos_Ejemplo.csv'!I:I)</f>
        <v>27</v>
      </c>
      <c r="N267">
        <f>ABS(TablaDatos[[#This Row],[DiasOriginal]])</f>
        <v>27</v>
      </c>
      <c r="O267" s="1">
        <f>TablaDatos[[#This Row],[FechaIngreso]]+TablaDatos[[#This Row],[DiasNuevo]]</f>
        <v>45448</v>
      </c>
    </row>
    <row r="268" spans="1:15">
      <c r="A268">
        <v>267</v>
      </c>
      <c r="B268" t="s">
        <v>264</v>
      </c>
      <c r="C268" s="1">
        <v>37987</v>
      </c>
      <c r="D268">
        <v>22</v>
      </c>
      <c r="E268" s="4" t="s">
        <v>15</v>
      </c>
      <c r="F268" t="s">
        <v>18</v>
      </c>
      <c r="G268" s="1">
        <v>45036</v>
      </c>
      <c r="H268" s="1">
        <f>TablaDatos[[#This Row],[FechaIngreso]]+TablaDatos[[#This Row],[DiasNuevo]]</f>
        <v>45067</v>
      </c>
      <c r="I268">
        <v>31</v>
      </c>
      <c r="J268" t="s">
        <v>23</v>
      </c>
      <c r="K268" s="3">
        <v>15304.35</v>
      </c>
      <c r="L268" t="b">
        <f>TablaDatos[[#This Row],[FechaAlta]] &lt; TablaDatos[[#This Row],[FechaIngreso]]</f>
        <v>0</v>
      </c>
      <c r="M268">
        <f>_xlfn.XLOOKUP(TablaDatos[[#This Row],[PacienteID]],'Datos_Ejemplo.csv'!A:A,'Datos_Ejemplo.csv'!I:I)</f>
        <v>31</v>
      </c>
      <c r="N268">
        <f>ABS(TablaDatos[[#This Row],[DiasOriginal]])</f>
        <v>31</v>
      </c>
      <c r="O268" s="1">
        <f>TablaDatos[[#This Row],[FechaIngreso]]+TablaDatos[[#This Row],[DiasNuevo]]</f>
        <v>45067</v>
      </c>
    </row>
    <row r="269" spans="1:15">
      <c r="A269">
        <v>268</v>
      </c>
      <c r="B269" t="s">
        <v>348</v>
      </c>
      <c r="C269" s="1">
        <v>35065</v>
      </c>
      <c r="D269">
        <f ca="1">DATEDIF(TablaDatos[[#This Row],[FechaNacimiento]],TODAY(),"Y")</f>
        <v>30</v>
      </c>
      <c r="E269" s="4" t="s">
        <v>12</v>
      </c>
      <c r="F269" t="s">
        <v>21</v>
      </c>
      <c r="G269" s="1">
        <v>45247</v>
      </c>
      <c r="H269" s="1">
        <f>TablaDatos[[#This Row],[FechaIngreso]]+TablaDatos[[#This Row],[DiasNuevo]]</f>
        <v>45269</v>
      </c>
      <c r="I269">
        <v>22</v>
      </c>
      <c r="J269" t="s">
        <v>25</v>
      </c>
      <c r="K269" s="3">
        <v>9809.42</v>
      </c>
      <c r="L269" t="b">
        <f>TablaDatos[[#This Row],[FechaAlta]] &lt; TablaDatos[[#This Row],[FechaIngreso]]</f>
        <v>0</v>
      </c>
      <c r="M269">
        <f>_xlfn.XLOOKUP(TablaDatos[[#This Row],[PacienteID]],'Datos_Ejemplo.csv'!A:A,'Datos_Ejemplo.csv'!I:I)</f>
        <v>22</v>
      </c>
      <c r="N269">
        <f>ABS(TablaDatos[[#This Row],[DiasOriginal]])</f>
        <v>22</v>
      </c>
      <c r="O269" s="1">
        <f>TablaDatos[[#This Row],[FechaIngreso]]+TablaDatos[[#This Row],[DiasNuevo]]</f>
        <v>45269</v>
      </c>
    </row>
    <row r="270" spans="1:15">
      <c r="A270">
        <v>269</v>
      </c>
      <c r="B270" t="s">
        <v>146</v>
      </c>
      <c r="C270" s="1">
        <v>12054</v>
      </c>
      <c r="D270">
        <v>93</v>
      </c>
      <c r="E270" s="4" t="s">
        <v>15</v>
      </c>
      <c r="F270" t="s">
        <v>261</v>
      </c>
      <c r="G270" s="1">
        <v>45501</v>
      </c>
      <c r="H270" s="1">
        <f>TablaDatos[[#This Row],[FechaIngreso]]+TablaDatos[[#This Row],[DiasNuevo]]</f>
        <v>45515</v>
      </c>
      <c r="I270">
        <v>14</v>
      </c>
      <c r="J270" t="s">
        <v>19</v>
      </c>
      <c r="K270" s="3">
        <v>19305.689999999999</v>
      </c>
      <c r="L270" t="b">
        <f>TablaDatos[[#This Row],[FechaAlta]] &lt; TablaDatos[[#This Row],[FechaIngreso]]</f>
        <v>0</v>
      </c>
      <c r="M270">
        <f>_xlfn.XLOOKUP(TablaDatos[[#This Row],[PacienteID]],'Datos_Ejemplo.csv'!A:A,'Datos_Ejemplo.csv'!I:I)</f>
        <v>14</v>
      </c>
      <c r="N270">
        <f>ABS(TablaDatos[[#This Row],[DiasOriginal]])</f>
        <v>14</v>
      </c>
      <c r="O270" s="1">
        <f>TablaDatos[[#This Row],[FechaIngreso]]+TablaDatos[[#This Row],[DiasNuevo]]</f>
        <v>45515</v>
      </c>
    </row>
    <row r="271" spans="1:15">
      <c r="A271">
        <v>270</v>
      </c>
      <c r="B271" t="s">
        <v>251</v>
      </c>
      <c r="C271" s="1">
        <v>31047</v>
      </c>
      <c r="D271">
        <v>41</v>
      </c>
      <c r="E271" s="4" t="s">
        <v>15</v>
      </c>
      <c r="F271" t="s">
        <v>18</v>
      </c>
      <c r="G271" s="1">
        <v>45254</v>
      </c>
      <c r="H271" s="1">
        <f>TablaDatos[[#This Row],[FechaIngreso]]+TablaDatos[[#This Row],[DiasNuevo]]</f>
        <v>45275</v>
      </c>
      <c r="I271">
        <v>21</v>
      </c>
      <c r="J271" t="s">
        <v>25</v>
      </c>
      <c r="K271" s="3">
        <v>10889.78</v>
      </c>
      <c r="L271" t="b">
        <f>TablaDatos[[#This Row],[FechaAlta]] &lt; TablaDatos[[#This Row],[FechaIngreso]]</f>
        <v>0</v>
      </c>
      <c r="M271">
        <f>_xlfn.XLOOKUP(TablaDatos[[#This Row],[PacienteID]],'Datos_Ejemplo.csv'!A:A,'Datos_Ejemplo.csv'!I:I)</f>
        <v>21</v>
      </c>
      <c r="N271">
        <f>ABS(TablaDatos[[#This Row],[DiasOriginal]])</f>
        <v>21</v>
      </c>
      <c r="O271" s="1">
        <f>TablaDatos[[#This Row],[FechaIngreso]]+TablaDatos[[#This Row],[DiasNuevo]]</f>
        <v>45275</v>
      </c>
    </row>
    <row r="272" spans="1:15">
      <c r="A272">
        <v>271</v>
      </c>
      <c r="B272" t="s">
        <v>353</v>
      </c>
      <c r="C272" s="1">
        <v>43831</v>
      </c>
      <c r="D272">
        <v>6</v>
      </c>
      <c r="E272" s="4" t="s">
        <v>12</v>
      </c>
      <c r="F272" t="s">
        <v>295</v>
      </c>
      <c r="G272" s="1">
        <v>45616</v>
      </c>
      <c r="H272" s="1">
        <f>TablaDatos[[#This Row],[FechaIngreso]]+TablaDatos[[#This Row],[DiasNuevo]]</f>
        <v>45651</v>
      </c>
      <c r="I272">
        <v>35</v>
      </c>
      <c r="J272" t="s">
        <v>25</v>
      </c>
      <c r="K272" s="3">
        <v>6503.56</v>
      </c>
      <c r="L272" t="b">
        <f>TablaDatos[[#This Row],[FechaAlta]] &lt; TablaDatos[[#This Row],[FechaIngreso]]</f>
        <v>0</v>
      </c>
      <c r="M272">
        <f>_xlfn.XLOOKUP(TablaDatos[[#This Row],[PacienteID]],'Datos_Ejemplo.csv'!A:A,'Datos_Ejemplo.csv'!I:I)</f>
        <v>35</v>
      </c>
      <c r="N272">
        <f>ABS(TablaDatos[[#This Row],[DiasOriginal]])</f>
        <v>35</v>
      </c>
      <c r="O272" s="1">
        <f>TablaDatos[[#This Row],[FechaIngreso]]+TablaDatos[[#This Row],[DiasNuevo]]</f>
        <v>45651</v>
      </c>
    </row>
    <row r="273" spans="1:15">
      <c r="A273">
        <v>272</v>
      </c>
      <c r="B273" t="s">
        <v>130</v>
      </c>
      <c r="C273" s="1">
        <v>40544</v>
      </c>
      <c r="D273">
        <v>15</v>
      </c>
      <c r="E273" s="4" t="s">
        <v>15</v>
      </c>
      <c r="F273" t="s">
        <v>201</v>
      </c>
      <c r="G273" s="1">
        <v>45310</v>
      </c>
      <c r="H273" s="1">
        <f>TablaDatos[[#This Row],[FechaIngreso]]+TablaDatos[[#This Row],[DiasNuevo]]</f>
        <v>45335</v>
      </c>
      <c r="I273">
        <v>25</v>
      </c>
      <c r="J273" t="s">
        <v>23</v>
      </c>
      <c r="K273" s="3">
        <v>1818.89</v>
      </c>
      <c r="L273" t="b">
        <f>TablaDatos[[#This Row],[FechaAlta]] &lt; TablaDatos[[#This Row],[FechaIngreso]]</f>
        <v>0</v>
      </c>
      <c r="M273">
        <f>_xlfn.XLOOKUP(TablaDatos[[#This Row],[PacienteID]],'Datos_Ejemplo.csv'!A:A,'Datos_Ejemplo.csv'!I:I)</f>
        <v>25</v>
      </c>
      <c r="N273">
        <f>ABS(TablaDatos[[#This Row],[DiasOriginal]])</f>
        <v>25</v>
      </c>
      <c r="O273" s="1">
        <f>TablaDatos[[#This Row],[FechaIngreso]]+TablaDatos[[#This Row],[DiasNuevo]]</f>
        <v>45335</v>
      </c>
    </row>
    <row r="274" spans="1:15">
      <c r="A274">
        <v>273</v>
      </c>
      <c r="B274" t="s">
        <v>105</v>
      </c>
      <c r="C274" s="1">
        <v>13515</v>
      </c>
      <c r="D274">
        <v>89</v>
      </c>
      <c r="E274" s="4" t="s">
        <v>15</v>
      </c>
      <c r="F274" t="s">
        <v>201</v>
      </c>
      <c r="G274" s="1">
        <v>45290</v>
      </c>
      <c r="H274" s="1">
        <f>TablaDatos[[#This Row],[FechaIngreso]]+TablaDatos[[#This Row],[DiasNuevo]]</f>
        <v>45320</v>
      </c>
      <c r="I274">
        <v>30</v>
      </c>
      <c r="J274" t="s">
        <v>23</v>
      </c>
      <c r="K274" s="3">
        <v>10829.29</v>
      </c>
      <c r="L274" t="b">
        <f>TablaDatos[[#This Row],[FechaAlta]] &lt; TablaDatos[[#This Row],[FechaIngreso]]</f>
        <v>0</v>
      </c>
      <c r="M274">
        <f>_xlfn.XLOOKUP(TablaDatos[[#This Row],[PacienteID]],'Datos_Ejemplo.csv'!A:A,'Datos_Ejemplo.csv'!I:I)</f>
        <v>30</v>
      </c>
      <c r="N274">
        <f>ABS(TablaDatos[[#This Row],[DiasOriginal]])</f>
        <v>30</v>
      </c>
      <c r="O274" s="1">
        <f>TablaDatos[[#This Row],[FechaIngreso]]+TablaDatos[[#This Row],[DiasNuevo]]</f>
        <v>45320</v>
      </c>
    </row>
    <row r="275" spans="1:15">
      <c r="A275">
        <v>274</v>
      </c>
      <c r="B275" t="s">
        <v>365</v>
      </c>
      <c r="C275" s="1">
        <v>24473</v>
      </c>
      <c r="D275">
        <f ca="1">DATEDIF(TablaDatos[[#This Row],[FechaNacimiento]],TODAY(),"Y")</f>
        <v>59</v>
      </c>
      <c r="E275" s="4" t="s">
        <v>12</v>
      </c>
      <c r="F275" t="s">
        <v>261</v>
      </c>
      <c r="G275" s="1">
        <v>45158</v>
      </c>
      <c r="H275" s="1">
        <f>TablaDatos[[#This Row],[FechaIngreso]]+TablaDatos[[#This Row],[DiasNuevo]]</f>
        <v>45191</v>
      </c>
      <c r="I275">
        <v>33</v>
      </c>
      <c r="J275" t="s">
        <v>19</v>
      </c>
      <c r="K275" s="3">
        <v>17194.37</v>
      </c>
      <c r="L275" t="b">
        <f>TablaDatos[[#This Row],[FechaAlta]] &lt; TablaDatos[[#This Row],[FechaIngreso]]</f>
        <v>0</v>
      </c>
      <c r="M275">
        <f>_xlfn.XLOOKUP(TablaDatos[[#This Row],[PacienteID]],'Datos_Ejemplo.csv'!A:A,'Datos_Ejemplo.csv'!I:I)</f>
        <v>33</v>
      </c>
      <c r="N275">
        <f>ABS(TablaDatos[[#This Row],[DiasOriginal]])</f>
        <v>33</v>
      </c>
      <c r="O275" s="1">
        <f>TablaDatos[[#This Row],[FechaIngreso]]+TablaDatos[[#This Row],[DiasNuevo]]</f>
        <v>45191</v>
      </c>
    </row>
    <row r="276" spans="1:15">
      <c r="A276">
        <v>275</v>
      </c>
      <c r="B276" t="s">
        <v>303</v>
      </c>
      <c r="C276" s="1">
        <v>45657</v>
      </c>
      <c r="D276">
        <v>1</v>
      </c>
      <c r="E276" s="4" t="s">
        <v>12</v>
      </c>
      <c r="F276" t="s">
        <v>201</v>
      </c>
      <c r="G276" s="1">
        <v>45542</v>
      </c>
      <c r="H276" s="1">
        <f>TablaDatos[[#This Row],[FechaIngreso]]+TablaDatos[[#This Row],[DiasNuevo]]</f>
        <v>45546</v>
      </c>
      <c r="I276">
        <v>4</v>
      </c>
      <c r="J276" t="s">
        <v>23</v>
      </c>
      <c r="K276" s="3">
        <v>17321.05</v>
      </c>
      <c r="L276" t="b">
        <f>TablaDatos[[#This Row],[FechaAlta]] &lt; TablaDatos[[#This Row],[FechaIngreso]]</f>
        <v>0</v>
      </c>
      <c r="M276">
        <f>_xlfn.XLOOKUP(TablaDatos[[#This Row],[PacienteID]],'Datos_Ejemplo.csv'!A:A,'Datos_Ejemplo.csv'!I:I)</f>
        <v>4</v>
      </c>
      <c r="N276">
        <f>ABS(TablaDatos[[#This Row],[DiasOriginal]])</f>
        <v>4</v>
      </c>
      <c r="O276" s="1">
        <f>TablaDatos[[#This Row],[FechaIngreso]]+TablaDatos[[#This Row],[DiasNuevo]]</f>
        <v>45546</v>
      </c>
    </row>
    <row r="277" spans="1:15">
      <c r="A277">
        <v>276</v>
      </c>
      <c r="B277" t="s">
        <v>276</v>
      </c>
      <c r="C277" s="1">
        <v>46022</v>
      </c>
      <c r="D277">
        <v>0</v>
      </c>
      <c r="E277" s="4" t="s">
        <v>12</v>
      </c>
      <c r="F277" t="s">
        <v>201</v>
      </c>
      <c r="G277" s="1">
        <v>45340</v>
      </c>
      <c r="H277" s="1">
        <f>TablaDatos[[#This Row],[FechaIngreso]]+TablaDatos[[#This Row],[DiasNuevo]]</f>
        <v>45360</v>
      </c>
      <c r="I277">
        <v>20</v>
      </c>
      <c r="J277" t="s">
        <v>23</v>
      </c>
      <c r="K277" s="3">
        <v>12051.8</v>
      </c>
      <c r="L277" t="b">
        <f>TablaDatos[[#This Row],[FechaAlta]] &lt; TablaDatos[[#This Row],[FechaIngreso]]</f>
        <v>0</v>
      </c>
      <c r="M277">
        <f>_xlfn.XLOOKUP(TablaDatos[[#This Row],[PacienteID]],'Datos_Ejemplo.csv'!A:A,'Datos_Ejemplo.csv'!I:I)</f>
        <v>20</v>
      </c>
      <c r="N277">
        <f>ABS(TablaDatos[[#This Row],[DiasOriginal]])</f>
        <v>20</v>
      </c>
      <c r="O277" s="1">
        <f>TablaDatos[[#This Row],[FechaIngreso]]+TablaDatos[[#This Row],[DiasNuevo]]</f>
        <v>45360</v>
      </c>
    </row>
    <row r="278" spans="1:15">
      <c r="A278">
        <v>277</v>
      </c>
      <c r="B278" t="s">
        <v>276</v>
      </c>
      <c r="C278" s="1">
        <v>28856</v>
      </c>
      <c r="D278">
        <v>47</v>
      </c>
      <c r="E278" s="4" t="s">
        <v>12</v>
      </c>
      <c r="F278" t="s">
        <v>32</v>
      </c>
      <c r="G278" s="1">
        <v>45220</v>
      </c>
      <c r="H278" s="1">
        <f>TablaDatos[[#This Row],[FechaIngreso]]+TablaDatos[[#This Row],[DiasNuevo]]</f>
        <v>45243</v>
      </c>
      <c r="I278">
        <v>23</v>
      </c>
      <c r="J278" t="s">
        <v>25</v>
      </c>
      <c r="K278" s="3">
        <v>7808.11</v>
      </c>
      <c r="L278" t="b">
        <f>TablaDatos[[#This Row],[FechaAlta]] &lt; TablaDatos[[#This Row],[FechaIngreso]]</f>
        <v>0</v>
      </c>
      <c r="M278">
        <f>_xlfn.XLOOKUP(TablaDatos[[#This Row],[PacienteID]],'Datos_Ejemplo.csv'!A:A,'Datos_Ejemplo.csv'!I:I)</f>
        <v>23</v>
      </c>
      <c r="N278">
        <f>ABS(TablaDatos[[#This Row],[DiasOriginal]])</f>
        <v>23</v>
      </c>
      <c r="O278" s="1">
        <f>TablaDatos[[#This Row],[FechaIngreso]]+TablaDatos[[#This Row],[DiasNuevo]]</f>
        <v>45243</v>
      </c>
    </row>
    <row r="279" spans="1:15">
      <c r="A279">
        <v>278</v>
      </c>
      <c r="B279" t="s">
        <v>253</v>
      </c>
      <c r="C279" s="1">
        <v>42005</v>
      </c>
      <c r="D279">
        <v>11</v>
      </c>
      <c r="E279" s="4" t="s">
        <v>12</v>
      </c>
      <c r="F279" t="s">
        <v>13</v>
      </c>
      <c r="G279" s="1">
        <v>45473</v>
      </c>
      <c r="H279" s="1">
        <f>TablaDatos[[#This Row],[FechaIngreso]]+TablaDatos[[#This Row],[DiasNuevo]]</f>
        <v>45484</v>
      </c>
      <c r="I279">
        <v>11</v>
      </c>
      <c r="J279" t="s">
        <v>19</v>
      </c>
      <c r="K279" s="3">
        <v>12970.96</v>
      </c>
      <c r="L279" t="b">
        <f>TablaDatos[[#This Row],[FechaAlta]] &lt; TablaDatos[[#This Row],[FechaIngreso]]</f>
        <v>0</v>
      </c>
      <c r="M279">
        <f>_xlfn.XLOOKUP(TablaDatos[[#This Row],[PacienteID]],'Datos_Ejemplo.csv'!A:A,'Datos_Ejemplo.csv'!I:I)</f>
        <v>11</v>
      </c>
      <c r="N279">
        <f>ABS(TablaDatos[[#This Row],[DiasOriginal]])</f>
        <v>11</v>
      </c>
      <c r="O279" s="1">
        <f>TablaDatos[[#This Row],[FechaIngreso]]+TablaDatos[[#This Row],[DiasNuevo]]</f>
        <v>45484</v>
      </c>
    </row>
    <row r="280" spans="1:15">
      <c r="A280">
        <v>279</v>
      </c>
      <c r="B280" t="s">
        <v>258</v>
      </c>
      <c r="C280" s="1">
        <v>21185</v>
      </c>
      <c r="D280">
        <v>68</v>
      </c>
      <c r="E280" s="4" t="s">
        <v>15</v>
      </c>
      <c r="F280" t="s">
        <v>295</v>
      </c>
      <c r="G280" s="1">
        <v>45632</v>
      </c>
      <c r="H280" s="1">
        <f>TablaDatos[[#This Row],[FechaIngreso]]+TablaDatos[[#This Row],[DiasNuevo]]</f>
        <v>45671</v>
      </c>
      <c r="I280">
        <v>39</v>
      </c>
      <c r="J280" t="s">
        <v>19</v>
      </c>
      <c r="K280" s="3">
        <v>15219.02</v>
      </c>
      <c r="L280" t="b">
        <f>TablaDatos[[#This Row],[FechaAlta]] &lt; TablaDatos[[#This Row],[FechaIngreso]]</f>
        <v>0</v>
      </c>
      <c r="M280">
        <f>_xlfn.XLOOKUP(TablaDatos[[#This Row],[PacienteID]],'Datos_Ejemplo.csv'!A:A,'Datos_Ejemplo.csv'!I:I)</f>
        <v>39</v>
      </c>
      <c r="N280">
        <f>ABS(TablaDatos[[#This Row],[DiasOriginal]])</f>
        <v>39</v>
      </c>
      <c r="O280" s="1">
        <f>TablaDatos[[#This Row],[FechaIngreso]]+TablaDatos[[#This Row],[DiasNuevo]]</f>
        <v>45671</v>
      </c>
    </row>
    <row r="281" spans="1:15">
      <c r="A281">
        <v>280</v>
      </c>
      <c r="B281" t="s">
        <v>268</v>
      </c>
      <c r="C281" s="1">
        <v>32873</v>
      </c>
      <c r="D281">
        <v>36</v>
      </c>
      <c r="E281" s="4" t="s">
        <v>15</v>
      </c>
      <c r="F281" t="s">
        <v>21</v>
      </c>
      <c r="G281" s="1">
        <v>45100</v>
      </c>
      <c r="H281" s="1">
        <f>TablaDatos[[#This Row],[FechaIngreso]]+TablaDatos[[#This Row],[DiasNuevo]]</f>
        <v>45125</v>
      </c>
      <c r="I281">
        <v>25</v>
      </c>
      <c r="J281" t="s">
        <v>23</v>
      </c>
      <c r="K281" s="3">
        <v>8173.66</v>
      </c>
      <c r="L281" t="b">
        <f>TablaDatos[[#This Row],[FechaAlta]] &lt; TablaDatos[[#This Row],[FechaIngreso]]</f>
        <v>0</v>
      </c>
      <c r="M281">
        <f>_xlfn.XLOOKUP(TablaDatos[[#This Row],[PacienteID]],'Datos_Ejemplo.csv'!A:A,'Datos_Ejemplo.csv'!I:I)</f>
        <v>25</v>
      </c>
      <c r="N281">
        <f>ABS(TablaDatos[[#This Row],[DiasOriginal]])</f>
        <v>25</v>
      </c>
      <c r="O281" s="1">
        <f>TablaDatos[[#This Row],[FechaIngreso]]+TablaDatos[[#This Row],[DiasNuevo]]</f>
        <v>45125</v>
      </c>
    </row>
    <row r="282" spans="1:15">
      <c r="A282">
        <v>281</v>
      </c>
      <c r="B282" t="s">
        <v>287</v>
      </c>
      <c r="C282" s="1">
        <v>34700</v>
      </c>
      <c r="D282">
        <v>31</v>
      </c>
      <c r="E282" s="4" t="s">
        <v>12</v>
      </c>
      <c r="F282" t="s">
        <v>295</v>
      </c>
      <c r="G282" s="1">
        <v>45318</v>
      </c>
      <c r="H282" s="1">
        <f>TablaDatos[[#This Row],[FechaIngreso]]+TablaDatos[[#This Row],[DiasNuevo]]</f>
        <v>45339</v>
      </c>
      <c r="I282">
        <v>21</v>
      </c>
      <c r="J282" t="s">
        <v>25</v>
      </c>
      <c r="K282" s="3">
        <v>9472.7099999999991</v>
      </c>
      <c r="L282" t="b">
        <f>TablaDatos[[#This Row],[FechaAlta]] &lt; TablaDatos[[#This Row],[FechaIngreso]]</f>
        <v>0</v>
      </c>
      <c r="M282">
        <f>_xlfn.XLOOKUP(TablaDatos[[#This Row],[PacienteID]],'Datos_Ejemplo.csv'!A:A,'Datos_Ejemplo.csv'!I:I)</f>
        <v>21</v>
      </c>
      <c r="N282">
        <f>ABS(TablaDatos[[#This Row],[DiasOriginal]])</f>
        <v>21</v>
      </c>
      <c r="O282" s="1">
        <f>TablaDatos[[#This Row],[FechaIngreso]]+TablaDatos[[#This Row],[DiasNuevo]]</f>
        <v>45339</v>
      </c>
    </row>
    <row r="283" spans="1:15">
      <c r="A283">
        <v>282</v>
      </c>
      <c r="B283" t="s">
        <v>308</v>
      </c>
      <c r="C283" s="1">
        <v>43100</v>
      </c>
      <c r="D283">
        <v>8</v>
      </c>
      <c r="E283" s="4" t="s">
        <v>15</v>
      </c>
      <c r="F283" t="s">
        <v>18</v>
      </c>
      <c r="G283" s="1">
        <v>45028</v>
      </c>
      <c r="H283" s="1">
        <f>TablaDatos[[#This Row],[FechaIngreso]]+TablaDatos[[#This Row],[DiasNuevo]]</f>
        <v>45032</v>
      </c>
      <c r="I283">
        <v>4</v>
      </c>
      <c r="J283" t="s">
        <v>23</v>
      </c>
      <c r="K283" s="3">
        <v>13580.39</v>
      </c>
      <c r="L283" t="b">
        <f>TablaDatos[[#This Row],[FechaAlta]] &lt; TablaDatos[[#This Row],[FechaIngreso]]</f>
        <v>0</v>
      </c>
      <c r="M283">
        <f>_xlfn.XLOOKUP(TablaDatos[[#This Row],[PacienteID]],'Datos_Ejemplo.csv'!A:A,'Datos_Ejemplo.csv'!I:I)</f>
        <v>4</v>
      </c>
      <c r="N283">
        <f>ABS(TablaDatos[[#This Row],[DiasOriginal]])</f>
        <v>4</v>
      </c>
      <c r="O283" s="1">
        <f>TablaDatos[[#This Row],[FechaIngreso]]+TablaDatos[[#This Row],[DiasNuevo]]</f>
        <v>45032</v>
      </c>
    </row>
    <row r="284" spans="1:15">
      <c r="A284">
        <v>283</v>
      </c>
      <c r="B284" t="s">
        <v>309</v>
      </c>
      <c r="C284" s="1">
        <v>39448</v>
      </c>
      <c r="D284">
        <f ca="1">DATEDIF(TablaDatos[[#This Row],[FechaNacimiento]],TODAY(),"Y")</f>
        <v>18</v>
      </c>
      <c r="E284" s="4" t="s">
        <v>12</v>
      </c>
      <c r="F284" t="s">
        <v>201</v>
      </c>
      <c r="G284" s="1">
        <v>45219</v>
      </c>
      <c r="H284" s="1">
        <f>TablaDatos[[#This Row],[FechaIngreso]]+TablaDatos[[#This Row],[DiasNuevo]]</f>
        <v>45252</v>
      </c>
      <c r="I284">
        <v>33</v>
      </c>
      <c r="J284" t="s">
        <v>25</v>
      </c>
      <c r="K284" s="3">
        <v>17520.72</v>
      </c>
      <c r="L284" t="b">
        <f>TablaDatos[[#This Row],[FechaAlta]] &lt; TablaDatos[[#This Row],[FechaIngreso]]</f>
        <v>0</v>
      </c>
      <c r="M284">
        <f>_xlfn.XLOOKUP(TablaDatos[[#This Row],[PacienteID]],'Datos_Ejemplo.csv'!A:A,'Datos_Ejemplo.csv'!I:I)</f>
        <v>33</v>
      </c>
      <c r="N284">
        <f>ABS(TablaDatos[[#This Row],[DiasOriginal]])</f>
        <v>33</v>
      </c>
      <c r="O284" s="1">
        <f>TablaDatos[[#This Row],[FechaIngreso]]+TablaDatos[[#This Row],[DiasNuevo]]</f>
        <v>45252</v>
      </c>
    </row>
    <row r="285" spans="1:15">
      <c r="A285">
        <v>284</v>
      </c>
      <c r="B285" t="s">
        <v>335</v>
      </c>
      <c r="C285" s="1">
        <v>28856</v>
      </c>
      <c r="D285">
        <v>47</v>
      </c>
      <c r="E285" s="4" t="s">
        <v>12</v>
      </c>
      <c r="F285" t="s">
        <v>13</v>
      </c>
      <c r="G285" s="1">
        <v>45011</v>
      </c>
      <c r="H285" s="1">
        <f>TablaDatos[[#This Row],[FechaIngreso]]+TablaDatos[[#This Row],[DiasNuevo]]</f>
        <v>45047</v>
      </c>
      <c r="I285">
        <v>36</v>
      </c>
      <c r="J285" t="s">
        <v>23</v>
      </c>
      <c r="K285" s="3">
        <v>15799.31</v>
      </c>
      <c r="L285" t="b">
        <f>TablaDatos[[#This Row],[FechaAlta]] &lt; TablaDatos[[#This Row],[FechaIngreso]]</f>
        <v>0</v>
      </c>
      <c r="M285">
        <f>_xlfn.XLOOKUP(TablaDatos[[#This Row],[PacienteID]],'Datos_Ejemplo.csv'!A:A,'Datos_Ejemplo.csv'!I:I)</f>
        <v>36</v>
      </c>
      <c r="N285">
        <f>ABS(TablaDatos[[#This Row],[DiasOriginal]])</f>
        <v>36</v>
      </c>
      <c r="O285" s="1">
        <f>TablaDatos[[#This Row],[FechaIngreso]]+TablaDatos[[#This Row],[DiasNuevo]]</f>
        <v>45047</v>
      </c>
    </row>
    <row r="286" spans="1:15">
      <c r="A286">
        <v>285</v>
      </c>
      <c r="B286" t="s">
        <v>250</v>
      </c>
      <c r="C286" s="1">
        <v>17168</v>
      </c>
      <c r="D286">
        <v>79</v>
      </c>
      <c r="E286" s="4" t="s">
        <v>15</v>
      </c>
      <c r="F286" t="s">
        <v>18</v>
      </c>
      <c r="G286" s="1">
        <v>45127</v>
      </c>
      <c r="H286" s="1">
        <f>TablaDatos[[#This Row],[FechaIngreso]]+TablaDatos[[#This Row],[DiasNuevo]]</f>
        <v>45139</v>
      </c>
      <c r="I286">
        <v>12</v>
      </c>
      <c r="J286" t="s">
        <v>19</v>
      </c>
      <c r="K286" s="3">
        <v>350.07</v>
      </c>
      <c r="L286" t="b">
        <f>TablaDatos[[#This Row],[FechaAlta]] &lt; TablaDatos[[#This Row],[FechaIngreso]]</f>
        <v>0</v>
      </c>
      <c r="M286">
        <f>_xlfn.XLOOKUP(TablaDatos[[#This Row],[PacienteID]],'Datos_Ejemplo.csv'!A:A,'Datos_Ejemplo.csv'!I:I)</f>
        <v>12</v>
      </c>
      <c r="N286">
        <f>ABS(TablaDatos[[#This Row],[DiasOriginal]])</f>
        <v>12</v>
      </c>
      <c r="O286" s="1">
        <f>TablaDatos[[#This Row],[FechaIngreso]]+TablaDatos[[#This Row],[DiasNuevo]]</f>
        <v>45139</v>
      </c>
    </row>
    <row r="287" spans="1:15">
      <c r="A287">
        <v>286</v>
      </c>
      <c r="B287" t="s">
        <v>231</v>
      </c>
      <c r="C287" s="1">
        <v>45292</v>
      </c>
      <c r="D287">
        <v>2</v>
      </c>
      <c r="E287" s="4" t="s">
        <v>12</v>
      </c>
      <c r="F287" t="s">
        <v>261</v>
      </c>
      <c r="G287" s="1">
        <v>45611</v>
      </c>
      <c r="H287" s="1">
        <f>TablaDatos[[#This Row],[FechaIngreso]]+TablaDatos[[#This Row],[DiasNuevo]]</f>
        <v>45611</v>
      </c>
      <c r="I287">
        <v>0</v>
      </c>
      <c r="J287" t="s">
        <v>19</v>
      </c>
      <c r="K287" s="3">
        <v>2399.88</v>
      </c>
      <c r="L287" t="b">
        <f>TablaDatos[[#This Row],[FechaAlta]] &lt; TablaDatos[[#This Row],[FechaIngreso]]</f>
        <v>0</v>
      </c>
      <c r="M287">
        <f>_xlfn.XLOOKUP(TablaDatos[[#This Row],[PacienteID]],'Datos_Ejemplo.csv'!A:A,'Datos_Ejemplo.csv'!I:I)</f>
        <v>0</v>
      </c>
      <c r="N287">
        <f>ABS(TablaDatos[[#This Row],[DiasOriginal]])</f>
        <v>0</v>
      </c>
      <c r="O287" s="1">
        <f>TablaDatos[[#This Row],[FechaIngreso]]+TablaDatos[[#This Row],[DiasNuevo]]</f>
        <v>45611</v>
      </c>
    </row>
    <row r="288" spans="1:15">
      <c r="A288">
        <v>287</v>
      </c>
      <c r="B288" t="s">
        <v>51</v>
      </c>
      <c r="C288" s="1">
        <v>39083</v>
      </c>
      <c r="D288">
        <v>19</v>
      </c>
      <c r="E288" s="4" t="s">
        <v>12</v>
      </c>
      <c r="F288" t="s">
        <v>32</v>
      </c>
      <c r="G288" s="1">
        <v>45467</v>
      </c>
      <c r="H288" s="1">
        <f>TablaDatos[[#This Row],[FechaIngreso]]+TablaDatos[[#This Row],[DiasNuevo]]</f>
        <v>45468</v>
      </c>
      <c r="I288">
        <v>1</v>
      </c>
      <c r="J288" t="s">
        <v>25</v>
      </c>
      <c r="K288" s="3">
        <v>17040.84</v>
      </c>
      <c r="L288" t="b">
        <f>TablaDatos[[#This Row],[FechaAlta]] &lt; TablaDatos[[#This Row],[FechaIngreso]]</f>
        <v>0</v>
      </c>
      <c r="M288">
        <f>_xlfn.XLOOKUP(TablaDatos[[#This Row],[PacienteID]],'Datos_Ejemplo.csv'!A:A,'Datos_Ejemplo.csv'!I:I)</f>
        <v>-1</v>
      </c>
      <c r="N288">
        <f>ABS(TablaDatos[[#This Row],[DiasOriginal]])</f>
        <v>1</v>
      </c>
      <c r="O288" s="1">
        <f>TablaDatos[[#This Row],[FechaIngreso]]+TablaDatos[[#This Row],[DiasNuevo]]</f>
        <v>45468</v>
      </c>
    </row>
    <row r="289" spans="1:15">
      <c r="A289">
        <v>288</v>
      </c>
      <c r="B289" t="s">
        <v>305</v>
      </c>
      <c r="C289" s="1">
        <v>37622</v>
      </c>
      <c r="D289">
        <v>23</v>
      </c>
      <c r="E289" s="4" t="s">
        <v>15</v>
      </c>
      <c r="F289" t="s">
        <v>201</v>
      </c>
      <c r="G289" s="1">
        <v>45223</v>
      </c>
      <c r="H289" s="1">
        <f>TablaDatos[[#This Row],[FechaIngreso]]+TablaDatos[[#This Row],[DiasNuevo]]</f>
        <v>45227</v>
      </c>
      <c r="I289">
        <v>4</v>
      </c>
      <c r="J289" t="s">
        <v>25</v>
      </c>
      <c r="K289" s="3">
        <v>16659.84</v>
      </c>
      <c r="L289" t="b">
        <f>TablaDatos[[#This Row],[FechaAlta]] &lt; TablaDatos[[#This Row],[FechaIngreso]]</f>
        <v>0</v>
      </c>
      <c r="M289">
        <f>_xlfn.XLOOKUP(TablaDatos[[#This Row],[PacienteID]],'Datos_Ejemplo.csv'!A:A,'Datos_Ejemplo.csv'!I:I)</f>
        <v>4</v>
      </c>
      <c r="N289">
        <f>ABS(TablaDatos[[#This Row],[DiasOriginal]])</f>
        <v>4</v>
      </c>
      <c r="O289" s="1">
        <f>TablaDatos[[#This Row],[FechaIngreso]]+TablaDatos[[#This Row],[DiasNuevo]]</f>
        <v>45227</v>
      </c>
    </row>
    <row r="290" spans="1:15">
      <c r="A290">
        <v>289</v>
      </c>
      <c r="B290" t="s">
        <v>90</v>
      </c>
      <c r="C290" s="1">
        <v>26664</v>
      </c>
      <c r="D290">
        <v>53</v>
      </c>
      <c r="E290" s="4" t="s">
        <v>197</v>
      </c>
      <c r="F290" t="s">
        <v>32</v>
      </c>
      <c r="G290" s="1">
        <v>44982</v>
      </c>
      <c r="H290" s="1">
        <f>TablaDatos[[#This Row],[FechaIngreso]]+TablaDatos[[#This Row],[DiasNuevo]]</f>
        <v>44995</v>
      </c>
      <c r="I290">
        <v>13</v>
      </c>
      <c r="J290" t="s">
        <v>25</v>
      </c>
      <c r="K290" s="3">
        <v>7715.02</v>
      </c>
      <c r="L290" t="b">
        <f>TablaDatos[[#This Row],[FechaAlta]] &lt; TablaDatos[[#This Row],[FechaIngreso]]</f>
        <v>0</v>
      </c>
      <c r="M290">
        <f>_xlfn.XLOOKUP(TablaDatos[[#This Row],[PacienteID]],'Datos_Ejemplo.csv'!A:A,'Datos_Ejemplo.csv'!I:I)</f>
        <v>13</v>
      </c>
      <c r="N290">
        <f>ABS(TablaDatos[[#This Row],[DiasOriginal]])</f>
        <v>13</v>
      </c>
      <c r="O290" s="1">
        <f>TablaDatos[[#This Row],[FechaIngreso]]+TablaDatos[[#This Row],[DiasNuevo]]</f>
        <v>44995</v>
      </c>
    </row>
    <row r="291" spans="1:15">
      <c r="A291">
        <v>290</v>
      </c>
      <c r="B291" t="s">
        <v>328</v>
      </c>
      <c r="C291" s="1">
        <v>34334</v>
      </c>
      <c r="D291">
        <v>32</v>
      </c>
      <c r="E291" s="4" t="s">
        <v>12</v>
      </c>
      <c r="F291" t="s">
        <v>295</v>
      </c>
      <c r="G291" s="1">
        <v>45398</v>
      </c>
      <c r="H291" s="1">
        <f>TablaDatos[[#This Row],[FechaIngreso]]+TablaDatos[[#This Row],[DiasNuevo]]</f>
        <v>45416</v>
      </c>
      <c r="I291">
        <v>18</v>
      </c>
      <c r="J291" t="s">
        <v>25</v>
      </c>
      <c r="K291" s="3">
        <v>11643.99</v>
      </c>
      <c r="L291" t="b">
        <f>TablaDatos[[#This Row],[FechaAlta]] &lt; TablaDatos[[#This Row],[FechaIngreso]]</f>
        <v>0</v>
      </c>
      <c r="M291">
        <f>_xlfn.XLOOKUP(TablaDatos[[#This Row],[PacienteID]],'Datos_Ejemplo.csv'!A:A,'Datos_Ejemplo.csv'!I:I)</f>
        <v>18</v>
      </c>
      <c r="N291">
        <f>ABS(TablaDatos[[#This Row],[DiasOriginal]])</f>
        <v>18</v>
      </c>
      <c r="O291" s="1">
        <f>TablaDatos[[#This Row],[FechaIngreso]]+TablaDatos[[#This Row],[DiasNuevo]]</f>
        <v>45416</v>
      </c>
    </row>
    <row r="292" spans="1:15">
      <c r="A292">
        <v>291</v>
      </c>
      <c r="B292" t="s">
        <v>273</v>
      </c>
      <c r="C292" s="1">
        <v>37622</v>
      </c>
      <c r="D292">
        <v>23</v>
      </c>
      <c r="E292" s="4" t="s">
        <v>15</v>
      </c>
      <c r="F292" t="s">
        <v>32</v>
      </c>
      <c r="G292" s="1">
        <v>44942</v>
      </c>
      <c r="H292" s="1">
        <f>TablaDatos[[#This Row],[FechaIngreso]]+TablaDatos[[#This Row],[DiasNuevo]]</f>
        <v>44948</v>
      </c>
      <c r="I292">
        <v>6</v>
      </c>
      <c r="J292" t="s">
        <v>23</v>
      </c>
      <c r="K292" s="3">
        <v>18107.48</v>
      </c>
      <c r="L292" t="b">
        <f>TablaDatos[[#This Row],[FechaAlta]] &lt; TablaDatos[[#This Row],[FechaIngreso]]</f>
        <v>0</v>
      </c>
      <c r="M292">
        <f>_xlfn.XLOOKUP(TablaDatos[[#This Row],[PacienteID]],'Datos_Ejemplo.csv'!A:A,'Datos_Ejemplo.csv'!I:I)</f>
        <v>6</v>
      </c>
      <c r="N292">
        <f>ABS(TablaDatos[[#This Row],[DiasOriginal]])</f>
        <v>6</v>
      </c>
      <c r="O292" s="1">
        <f>TablaDatos[[#This Row],[FechaIngreso]]+TablaDatos[[#This Row],[DiasNuevo]]</f>
        <v>44948</v>
      </c>
    </row>
    <row r="293" spans="1:15">
      <c r="A293">
        <v>292</v>
      </c>
      <c r="B293" t="s">
        <v>237</v>
      </c>
      <c r="C293" s="1">
        <f ca="1">DATE(YEAR(TODAY())-TablaDatos[[#This Row],[Edad]],1,1)</f>
        <v>18994</v>
      </c>
      <c r="D293">
        <v>74</v>
      </c>
      <c r="E293" s="4" t="s">
        <v>12</v>
      </c>
      <c r="F293" t="s">
        <v>32</v>
      </c>
      <c r="G293" s="1">
        <v>45578</v>
      </c>
      <c r="H293" s="1">
        <f>TablaDatos[[#This Row],[FechaIngreso]]+TablaDatos[[#This Row],[DiasNuevo]]</f>
        <v>45587</v>
      </c>
      <c r="I293">
        <v>9</v>
      </c>
      <c r="J293" t="s">
        <v>23</v>
      </c>
      <c r="K293" s="3">
        <v>18222.330000000002</v>
      </c>
      <c r="L293" t="b">
        <f>TablaDatos[[#This Row],[FechaAlta]] &lt; TablaDatos[[#This Row],[FechaIngreso]]</f>
        <v>0</v>
      </c>
      <c r="M293">
        <f>_xlfn.XLOOKUP(TablaDatos[[#This Row],[PacienteID]],'Datos_Ejemplo.csv'!A:A,'Datos_Ejemplo.csv'!I:I)</f>
        <v>9</v>
      </c>
      <c r="N293">
        <f>ABS(TablaDatos[[#This Row],[DiasOriginal]])</f>
        <v>9</v>
      </c>
      <c r="O293" s="1">
        <f>TablaDatos[[#This Row],[FechaIngreso]]+TablaDatos[[#This Row],[DiasNuevo]]</f>
        <v>45587</v>
      </c>
    </row>
    <row r="294" spans="1:15">
      <c r="A294">
        <v>293</v>
      </c>
      <c r="B294" t="s">
        <v>286</v>
      </c>
      <c r="C294" s="1">
        <v>20090</v>
      </c>
      <c r="D294">
        <v>71</v>
      </c>
      <c r="E294" s="4" t="s">
        <v>12</v>
      </c>
      <c r="F294" t="s">
        <v>261</v>
      </c>
      <c r="G294" s="1">
        <v>44992</v>
      </c>
      <c r="H294" s="1">
        <f>TablaDatos[[#This Row],[FechaIngreso]]+TablaDatos[[#This Row],[DiasNuevo]]</f>
        <v>45018</v>
      </c>
      <c r="I294">
        <v>26</v>
      </c>
      <c r="J294" t="s">
        <v>23</v>
      </c>
      <c r="K294" s="3">
        <v>15640.17</v>
      </c>
      <c r="L294" t="b">
        <f>TablaDatos[[#This Row],[FechaAlta]] &lt; TablaDatos[[#This Row],[FechaIngreso]]</f>
        <v>0</v>
      </c>
      <c r="M294">
        <f>_xlfn.XLOOKUP(TablaDatos[[#This Row],[PacienteID]],'Datos_Ejemplo.csv'!A:A,'Datos_Ejemplo.csv'!I:I)</f>
        <v>26</v>
      </c>
      <c r="N294">
        <f>ABS(TablaDatos[[#This Row],[DiasOriginal]])</f>
        <v>26</v>
      </c>
      <c r="O294" s="1">
        <f>TablaDatos[[#This Row],[FechaIngreso]]+TablaDatos[[#This Row],[DiasNuevo]]</f>
        <v>45018</v>
      </c>
    </row>
    <row r="295" spans="1:15">
      <c r="A295">
        <v>294</v>
      </c>
      <c r="B295" t="s">
        <v>304</v>
      </c>
      <c r="C295" s="1">
        <v>33239</v>
      </c>
      <c r="D295">
        <v>35</v>
      </c>
      <c r="E295" s="4" t="s">
        <v>12</v>
      </c>
      <c r="F295" t="s">
        <v>21</v>
      </c>
      <c r="G295" s="1">
        <v>45585</v>
      </c>
      <c r="H295" s="1">
        <f>TablaDatos[[#This Row],[FechaIngreso]]+TablaDatos[[#This Row],[DiasNuevo]]</f>
        <v>45606</v>
      </c>
      <c r="I295">
        <v>21</v>
      </c>
      <c r="J295" t="s">
        <v>23</v>
      </c>
      <c r="K295" s="3">
        <v>4112.74</v>
      </c>
      <c r="L295" t="b">
        <f>TablaDatos[[#This Row],[FechaAlta]] &lt; TablaDatos[[#This Row],[FechaIngreso]]</f>
        <v>0</v>
      </c>
      <c r="M295">
        <f>_xlfn.XLOOKUP(TablaDatos[[#This Row],[PacienteID]],'Datos_Ejemplo.csv'!A:A,'Datos_Ejemplo.csv'!I:I)</f>
        <v>21</v>
      </c>
      <c r="N295">
        <f>ABS(TablaDatos[[#This Row],[DiasOriginal]])</f>
        <v>21</v>
      </c>
      <c r="O295" s="1">
        <f>TablaDatos[[#This Row],[FechaIngreso]]+TablaDatos[[#This Row],[DiasNuevo]]</f>
        <v>45606</v>
      </c>
    </row>
    <row r="296" spans="1:15">
      <c r="A296">
        <v>295</v>
      </c>
      <c r="B296" t="s">
        <v>352</v>
      </c>
      <c r="C296" s="1">
        <v>32508</v>
      </c>
      <c r="D296">
        <v>37</v>
      </c>
      <c r="E296" s="4" t="s">
        <v>12</v>
      </c>
      <c r="F296" t="s">
        <v>21</v>
      </c>
      <c r="G296" s="1">
        <v>45596</v>
      </c>
      <c r="H296" s="1">
        <f>TablaDatos[[#This Row],[FechaIngreso]]+TablaDatos[[#This Row],[DiasNuevo]]</f>
        <v>45626</v>
      </c>
      <c r="I296">
        <v>30</v>
      </c>
      <c r="J296" t="s">
        <v>23</v>
      </c>
      <c r="K296" s="3">
        <v>14578.68</v>
      </c>
      <c r="L296" t="b">
        <f>TablaDatos[[#This Row],[FechaAlta]] &lt; TablaDatos[[#This Row],[FechaIngreso]]</f>
        <v>0</v>
      </c>
      <c r="M296">
        <f>_xlfn.XLOOKUP(TablaDatos[[#This Row],[PacienteID]],'Datos_Ejemplo.csv'!A:A,'Datos_Ejemplo.csv'!I:I)</f>
        <v>30</v>
      </c>
      <c r="N296">
        <f>ABS(TablaDatos[[#This Row],[DiasOriginal]])</f>
        <v>30</v>
      </c>
      <c r="O296" s="1">
        <f>TablaDatos[[#This Row],[FechaIngreso]]+TablaDatos[[#This Row],[DiasNuevo]]</f>
        <v>45626</v>
      </c>
    </row>
    <row r="297" spans="1:15">
      <c r="A297">
        <v>296</v>
      </c>
      <c r="B297" t="s">
        <v>256</v>
      </c>
      <c r="C297" s="1">
        <v>15707</v>
      </c>
      <c r="D297">
        <v>83</v>
      </c>
      <c r="E297" s="4" t="s">
        <v>12</v>
      </c>
      <c r="F297" t="s">
        <v>18</v>
      </c>
      <c r="G297" s="1">
        <v>45398</v>
      </c>
      <c r="H297" s="1">
        <f>TablaDatos[[#This Row],[FechaIngreso]]+TablaDatos[[#This Row],[DiasNuevo]]</f>
        <v>45409</v>
      </c>
      <c r="I297">
        <v>11</v>
      </c>
      <c r="J297" t="s">
        <v>19</v>
      </c>
      <c r="K297" s="3">
        <v>1932.08</v>
      </c>
      <c r="L297" t="b">
        <f>TablaDatos[[#This Row],[FechaAlta]] &lt; TablaDatos[[#This Row],[FechaIngreso]]</f>
        <v>0</v>
      </c>
      <c r="M297">
        <f>_xlfn.XLOOKUP(TablaDatos[[#This Row],[PacienteID]],'Datos_Ejemplo.csv'!A:A,'Datos_Ejemplo.csv'!I:I)</f>
        <v>11</v>
      </c>
      <c r="N297">
        <f>ABS(TablaDatos[[#This Row],[DiasOriginal]])</f>
        <v>11</v>
      </c>
      <c r="O297" s="1">
        <f>TablaDatos[[#This Row],[FechaIngreso]]+TablaDatos[[#This Row],[DiasNuevo]]</f>
        <v>45409</v>
      </c>
    </row>
    <row r="298" spans="1:15">
      <c r="A298">
        <v>297</v>
      </c>
      <c r="B298" t="s">
        <v>271</v>
      </c>
      <c r="C298" s="1">
        <v>13880</v>
      </c>
      <c r="D298">
        <f ca="1">DATEDIF(TablaDatos[[#This Row],[FechaNacimiento]],TODAY(),"Y")</f>
        <v>88</v>
      </c>
      <c r="E298" s="4" t="s">
        <v>15</v>
      </c>
      <c r="F298" t="s">
        <v>201</v>
      </c>
      <c r="G298" s="1">
        <v>45507</v>
      </c>
      <c r="H298" s="1">
        <f>TablaDatos[[#This Row],[FechaIngreso]]+TablaDatos[[#This Row],[DiasNuevo]]</f>
        <v>45522</v>
      </c>
      <c r="I298">
        <v>15</v>
      </c>
      <c r="J298" t="s">
        <v>19</v>
      </c>
      <c r="K298" s="3">
        <v>17868.16</v>
      </c>
      <c r="L298" t="b">
        <f>TablaDatos[[#This Row],[FechaAlta]] &lt; TablaDatos[[#This Row],[FechaIngreso]]</f>
        <v>0</v>
      </c>
      <c r="M298">
        <f>_xlfn.XLOOKUP(TablaDatos[[#This Row],[PacienteID]],'Datos_Ejemplo.csv'!A:A,'Datos_Ejemplo.csv'!I:I)</f>
        <v>15</v>
      </c>
      <c r="N298">
        <f>ABS(TablaDatos[[#This Row],[DiasOriginal]])</f>
        <v>15</v>
      </c>
      <c r="O298" s="1">
        <f>TablaDatos[[#This Row],[FechaIngreso]]+TablaDatos[[#This Row],[DiasNuevo]]</f>
        <v>45522</v>
      </c>
    </row>
    <row r="299" spans="1:15">
      <c r="A299">
        <v>298</v>
      </c>
      <c r="B299" t="s">
        <v>366</v>
      </c>
      <c r="C299" s="1">
        <v>37256</v>
      </c>
      <c r="D299">
        <v>24</v>
      </c>
      <c r="E299" s="4" t="s">
        <v>12</v>
      </c>
      <c r="F299" t="s">
        <v>18</v>
      </c>
      <c r="G299" s="1">
        <v>44949</v>
      </c>
      <c r="H299" s="1">
        <f>TablaDatos[[#This Row],[FechaIngreso]]+TablaDatos[[#This Row],[DiasNuevo]]</f>
        <v>44951</v>
      </c>
      <c r="I299">
        <v>2</v>
      </c>
      <c r="J299" t="s">
        <v>23</v>
      </c>
      <c r="K299" s="3">
        <v>2897.89</v>
      </c>
      <c r="L299" t="b">
        <f>TablaDatos[[#This Row],[FechaAlta]] &lt; TablaDatos[[#This Row],[FechaIngreso]]</f>
        <v>0</v>
      </c>
      <c r="M299">
        <f>_xlfn.XLOOKUP(TablaDatos[[#This Row],[PacienteID]],'Datos_Ejemplo.csv'!A:A,'Datos_Ejemplo.csv'!I:I)</f>
        <v>2</v>
      </c>
      <c r="N299">
        <f>ABS(TablaDatos[[#This Row],[DiasOriginal]])</f>
        <v>2</v>
      </c>
      <c r="O299" s="1">
        <f>TablaDatos[[#This Row],[FechaIngreso]]+TablaDatos[[#This Row],[DiasNuevo]]</f>
        <v>44951</v>
      </c>
    </row>
    <row r="300" spans="1:15">
      <c r="A300">
        <v>299</v>
      </c>
      <c r="B300" t="s">
        <v>55</v>
      </c>
      <c r="C300" s="1">
        <v>12419</v>
      </c>
      <c r="D300">
        <v>92</v>
      </c>
      <c r="E300" s="4" t="s">
        <v>12</v>
      </c>
      <c r="F300" t="s">
        <v>21</v>
      </c>
      <c r="G300" s="1">
        <v>45628</v>
      </c>
      <c r="H300" s="1">
        <f>TablaDatos[[#This Row],[FechaIngreso]]+TablaDatos[[#This Row],[DiasNuevo]]</f>
        <v>45640</v>
      </c>
      <c r="I300">
        <v>12</v>
      </c>
      <c r="J300" t="s">
        <v>23</v>
      </c>
      <c r="K300" s="3">
        <v>13213.21</v>
      </c>
      <c r="L300" t="b">
        <f>TablaDatos[[#This Row],[FechaAlta]] &lt; TablaDatos[[#This Row],[FechaIngreso]]</f>
        <v>0</v>
      </c>
      <c r="M300">
        <f>_xlfn.XLOOKUP(TablaDatos[[#This Row],[PacienteID]],'Datos_Ejemplo.csv'!A:A,'Datos_Ejemplo.csv'!I:I)</f>
        <v>12</v>
      </c>
      <c r="N300">
        <f>ABS(TablaDatos[[#This Row],[DiasOriginal]])</f>
        <v>12</v>
      </c>
      <c r="O300" s="1">
        <f>TablaDatos[[#This Row],[FechaIngreso]]+TablaDatos[[#This Row],[DiasNuevo]]</f>
        <v>45640</v>
      </c>
    </row>
    <row r="301" spans="1:15">
      <c r="A301">
        <v>300</v>
      </c>
      <c r="B301" t="s">
        <v>254</v>
      </c>
      <c r="C301" s="1">
        <v>39813</v>
      </c>
      <c r="D301">
        <v>17</v>
      </c>
      <c r="E301" s="4" t="s">
        <v>15</v>
      </c>
      <c r="F301" t="s">
        <v>295</v>
      </c>
      <c r="G301" s="1">
        <v>45412</v>
      </c>
      <c r="H301" s="1">
        <f>TablaDatos[[#This Row],[FechaIngreso]]+TablaDatos[[#This Row],[DiasNuevo]]</f>
        <v>45416</v>
      </c>
      <c r="I301">
        <v>4</v>
      </c>
      <c r="J301" t="s">
        <v>23</v>
      </c>
      <c r="K301" s="3">
        <v>12165.89</v>
      </c>
      <c r="L301" t="b">
        <f>TablaDatos[[#This Row],[FechaAlta]] &lt; TablaDatos[[#This Row],[FechaIngreso]]</f>
        <v>0</v>
      </c>
      <c r="M301">
        <f>_xlfn.XLOOKUP(TablaDatos[[#This Row],[PacienteID]],'Datos_Ejemplo.csv'!A:A,'Datos_Ejemplo.csv'!I:I)</f>
        <v>4</v>
      </c>
      <c r="N301">
        <f>ABS(TablaDatos[[#This Row],[DiasOriginal]])</f>
        <v>4</v>
      </c>
      <c r="O301" s="1">
        <f>TablaDatos[[#This Row],[FechaIngreso]]+TablaDatos[[#This Row],[DiasNuevo]]</f>
        <v>45416</v>
      </c>
    </row>
    <row r="302" spans="1:15">
      <c r="A302">
        <v>301</v>
      </c>
      <c r="B302" t="s">
        <v>336</v>
      </c>
      <c r="C302" s="1">
        <v>16437</v>
      </c>
      <c r="D302">
        <v>81</v>
      </c>
      <c r="E302" s="4" t="s">
        <v>15</v>
      </c>
      <c r="F302" t="s">
        <v>21</v>
      </c>
      <c r="G302" s="1">
        <v>45341</v>
      </c>
      <c r="H302" s="1">
        <f>TablaDatos[[#This Row],[FechaIngreso]]+TablaDatos[[#This Row],[DiasNuevo]]</f>
        <v>45363</v>
      </c>
      <c r="I302">
        <v>22</v>
      </c>
      <c r="J302" t="s">
        <v>25</v>
      </c>
      <c r="K302" s="3">
        <v>15515.68</v>
      </c>
      <c r="L302" t="b">
        <f>TablaDatos[[#This Row],[FechaAlta]] &lt; TablaDatos[[#This Row],[FechaIngreso]]</f>
        <v>0</v>
      </c>
      <c r="M302">
        <f>_xlfn.XLOOKUP(TablaDatos[[#This Row],[PacienteID]],'Datos_Ejemplo.csv'!A:A,'Datos_Ejemplo.csv'!I:I)</f>
        <v>22</v>
      </c>
      <c r="N302">
        <f>ABS(TablaDatos[[#This Row],[DiasOriginal]])</f>
        <v>22</v>
      </c>
      <c r="O302" s="1">
        <f>TablaDatos[[#This Row],[FechaIngreso]]+TablaDatos[[#This Row],[DiasNuevo]]</f>
        <v>45363</v>
      </c>
    </row>
    <row r="303" spans="1:15">
      <c r="A303">
        <v>302</v>
      </c>
      <c r="B303" t="s">
        <v>337</v>
      </c>
      <c r="C303" s="1">
        <v>22281</v>
      </c>
      <c r="D303">
        <v>65</v>
      </c>
      <c r="E303" s="4" t="s">
        <v>197</v>
      </c>
      <c r="F303" t="s">
        <v>18</v>
      </c>
      <c r="G303" s="1">
        <v>45583</v>
      </c>
      <c r="H303" s="1">
        <f>TablaDatos[[#This Row],[FechaIngreso]]+TablaDatos[[#This Row],[DiasNuevo]]</f>
        <v>45594</v>
      </c>
      <c r="I303">
        <v>11</v>
      </c>
      <c r="J303" t="s">
        <v>19</v>
      </c>
      <c r="K303" s="3">
        <v>10986.71</v>
      </c>
      <c r="L303" t="b">
        <f>TablaDatos[[#This Row],[FechaAlta]] &lt; TablaDatos[[#This Row],[FechaIngreso]]</f>
        <v>0</v>
      </c>
      <c r="M303">
        <f>_xlfn.XLOOKUP(TablaDatos[[#This Row],[PacienteID]],'Datos_Ejemplo.csv'!A:A,'Datos_Ejemplo.csv'!I:I)</f>
        <v>11</v>
      </c>
      <c r="N303">
        <f>ABS(TablaDatos[[#This Row],[DiasOriginal]])</f>
        <v>11</v>
      </c>
      <c r="O303" s="1">
        <f>TablaDatos[[#This Row],[FechaIngreso]]+TablaDatos[[#This Row],[DiasNuevo]]</f>
        <v>45594</v>
      </c>
    </row>
    <row r="304" spans="1:15">
      <c r="A304">
        <v>303</v>
      </c>
      <c r="B304" t="s">
        <v>287</v>
      </c>
      <c r="C304" s="1">
        <v>26664</v>
      </c>
      <c r="D304">
        <v>53</v>
      </c>
      <c r="E304" s="4" t="s">
        <v>12</v>
      </c>
      <c r="F304" t="s">
        <v>13</v>
      </c>
      <c r="G304" s="1">
        <v>45231</v>
      </c>
      <c r="H304" s="1">
        <f>TablaDatos[[#This Row],[FechaIngreso]]+TablaDatos[[#This Row],[DiasNuevo]]</f>
        <v>45268</v>
      </c>
      <c r="I304">
        <v>37</v>
      </c>
      <c r="J304" t="s">
        <v>23</v>
      </c>
      <c r="K304" s="3">
        <v>1097.29</v>
      </c>
      <c r="L304" t="b">
        <f>TablaDatos[[#This Row],[FechaAlta]] &lt; TablaDatos[[#This Row],[FechaIngreso]]</f>
        <v>0</v>
      </c>
      <c r="M304">
        <f>_xlfn.XLOOKUP(TablaDatos[[#This Row],[PacienteID]],'Datos_Ejemplo.csv'!A:A,'Datos_Ejemplo.csv'!I:I)</f>
        <v>37</v>
      </c>
      <c r="N304">
        <f>ABS(TablaDatos[[#This Row],[DiasOriginal]])</f>
        <v>37</v>
      </c>
      <c r="O304" s="1">
        <f>TablaDatos[[#This Row],[FechaIngreso]]+TablaDatos[[#This Row],[DiasNuevo]]</f>
        <v>45268</v>
      </c>
    </row>
    <row r="305" spans="1:15">
      <c r="A305">
        <v>304</v>
      </c>
      <c r="B305" t="s">
        <v>338</v>
      </c>
      <c r="C305" s="1">
        <v>33604</v>
      </c>
      <c r="D305">
        <v>34</v>
      </c>
      <c r="E305" s="4" t="s">
        <v>12</v>
      </c>
      <c r="F305" t="s">
        <v>201</v>
      </c>
      <c r="G305" s="1">
        <v>45103</v>
      </c>
      <c r="H305" s="1">
        <f>TablaDatos[[#This Row],[FechaIngreso]]+TablaDatos[[#This Row],[DiasNuevo]]</f>
        <v>45136</v>
      </c>
      <c r="I305">
        <v>33</v>
      </c>
      <c r="J305" t="s">
        <v>25</v>
      </c>
      <c r="K305" s="3">
        <v>14087.51</v>
      </c>
      <c r="L305" t="b">
        <f>TablaDatos[[#This Row],[FechaAlta]] &lt; TablaDatos[[#This Row],[FechaIngreso]]</f>
        <v>0</v>
      </c>
      <c r="M305">
        <f>_xlfn.XLOOKUP(TablaDatos[[#This Row],[PacienteID]],'Datos_Ejemplo.csv'!A:A,'Datos_Ejemplo.csv'!I:I)</f>
        <v>33</v>
      </c>
      <c r="N305">
        <f>ABS(TablaDatos[[#This Row],[DiasOriginal]])</f>
        <v>33</v>
      </c>
      <c r="O305" s="1">
        <f>TablaDatos[[#This Row],[FechaIngreso]]+TablaDatos[[#This Row],[DiasNuevo]]</f>
        <v>45136</v>
      </c>
    </row>
    <row r="306" spans="1:15">
      <c r="A306">
        <v>305</v>
      </c>
      <c r="B306" t="s">
        <v>325</v>
      </c>
      <c r="C306" s="1">
        <v>17168</v>
      </c>
      <c r="D306">
        <v>79</v>
      </c>
      <c r="E306" s="4" t="s">
        <v>12</v>
      </c>
      <c r="F306" t="s">
        <v>32</v>
      </c>
      <c r="G306" s="1">
        <v>45121</v>
      </c>
      <c r="H306" s="1">
        <f>TablaDatos[[#This Row],[FechaIngreso]]+TablaDatos[[#This Row],[DiasNuevo]]</f>
        <v>45153</v>
      </c>
      <c r="I306">
        <v>32</v>
      </c>
      <c r="J306" t="s">
        <v>23</v>
      </c>
      <c r="K306" s="3">
        <v>7601.41</v>
      </c>
      <c r="L306" t="b">
        <f>TablaDatos[[#This Row],[FechaAlta]] &lt; TablaDatos[[#This Row],[FechaIngreso]]</f>
        <v>0</v>
      </c>
      <c r="M306">
        <f>_xlfn.XLOOKUP(TablaDatos[[#This Row],[PacienteID]],'Datos_Ejemplo.csv'!A:A,'Datos_Ejemplo.csv'!I:I)</f>
        <v>32</v>
      </c>
      <c r="N306">
        <f>ABS(TablaDatos[[#This Row],[DiasOriginal]])</f>
        <v>32</v>
      </c>
      <c r="O306" s="1">
        <f>TablaDatos[[#This Row],[FechaIngreso]]+TablaDatos[[#This Row],[DiasNuevo]]</f>
        <v>45153</v>
      </c>
    </row>
    <row r="307" spans="1:15">
      <c r="A307">
        <v>306</v>
      </c>
      <c r="B307" t="s">
        <v>280</v>
      </c>
      <c r="C307" s="1">
        <v>24107</v>
      </c>
      <c r="D307">
        <v>60</v>
      </c>
      <c r="E307" s="4" t="s">
        <v>12</v>
      </c>
      <c r="F307" t="s">
        <v>261</v>
      </c>
      <c r="G307" s="1">
        <v>44939</v>
      </c>
      <c r="H307" s="1">
        <f>TablaDatos[[#This Row],[FechaIngreso]]+TablaDatos[[#This Row],[DiasNuevo]]</f>
        <v>44960</v>
      </c>
      <c r="I307">
        <v>21</v>
      </c>
      <c r="J307" t="s">
        <v>23</v>
      </c>
      <c r="K307" s="3">
        <v>6337.73</v>
      </c>
      <c r="L307" t="b">
        <f>TablaDatos[[#This Row],[FechaAlta]] &lt; TablaDatos[[#This Row],[FechaIngreso]]</f>
        <v>0</v>
      </c>
      <c r="M307">
        <f>_xlfn.XLOOKUP(TablaDatos[[#This Row],[PacienteID]],'Datos_Ejemplo.csv'!A:A,'Datos_Ejemplo.csv'!I:I)</f>
        <v>21</v>
      </c>
      <c r="N307">
        <f>ABS(TablaDatos[[#This Row],[DiasOriginal]])</f>
        <v>21</v>
      </c>
      <c r="O307" s="1">
        <f>TablaDatos[[#This Row],[FechaIngreso]]+TablaDatos[[#This Row],[DiasNuevo]]</f>
        <v>44960</v>
      </c>
    </row>
    <row r="308" spans="1:15">
      <c r="A308">
        <v>307</v>
      </c>
      <c r="B308" t="s">
        <v>302</v>
      </c>
      <c r="C308" s="1">
        <v>31412</v>
      </c>
      <c r="D308">
        <v>40</v>
      </c>
      <c r="E308" s="4" t="s">
        <v>12</v>
      </c>
      <c r="F308" t="s">
        <v>13</v>
      </c>
      <c r="G308" s="1">
        <v>45092</v>
      </c>
      <c r="H308" s="1">
        <f>TablaDatos[[#This Row],[FechaIngreso]]+TablaDatos[[#This Row],[DiasNuevo]]</f>
        <v>45104</v>
      </c>
      <c r="I308">
        <v>12</v>
      </c>
      <c r="J308" t="s">
        <v>19</v>
      </c>
      <c r="K308" s="3">
        <v>19832.64</v>
      </c>
      <c r="L308" t="b">
        <f>TablaDatos[[#This Row],[FechaAlta]] &lt; TablaDatos[[#This Row],[FechaIngreso]]</f>
        <v>0</v>
      </c>
      <c r="M308">
        <f>_xlfn.XLOOKUP(TablaDatos[[#This Row],[PacienteID]],'Datos_Ejemplo.csv'!A:A,'Datos_Ejemplo.csv'!I:I)</f>
        <v>12</v>
      </c>
      <c r="N308">
        <f>ABS(TablaDatos[[#This Row],[DiasOriginal]])</f>
        <v>12</v>
      </c>
      <c r="O308" s="1">
        <f>TablaDatos[[#This Row],[FechaIngreso]]+TablaDatos[[#This Row],[DiasNuevo]]</f>
        <v>45104</v>
      </c>
    </row>
    <row r="309" spans="1:15">
      <c r="A309">
        <v>308</v>
      </c>
      <c r="B309" t="s">
        <v>230</v>
      </c>
      <c r="C309" s="1">
        <v>34334</v>
      </c>
      <c r="D309">
        <v>32</v>
      </c>
      <c r="E309" s="4" t="s">
        <v>12</v>
      </c>
      <c r="F309" t="s">
        <v>13</v>
      </c>
      <c r="G309" s="1">
        <v>45076</v>
      </c>
      <c r="H309" s="1">
        <f>TablaDatos[[#This Row],[FechaIngreso]]+TablaDatos[[#This Row],[DiasNuevo]]</f>
        <v>45084</v>
      </c>
      <c r="I309">
        <v>8</v>
      </c>
      <c r="J309" t="s">
        <v>19</v>
      </c>
      <c r="K309" s="3">
        <v>11767.04</v>
      </c>
      <c r="L309" t="b">
        <f>TablaDatos[[#This Row],[FechaAlta]] &lt; TablaDatos[[#This Row],[FechaIngreso]]</f>
        <v>0</v>
      </c>
      <c r="M309">
        <f>_xlfn.XLOOKUP(TablaDatos[[#This Row],[PacienteID]],'Datos_Ejemplo.csv'!A:A,'Datos_Ejemplo.csv'!I:I)</f>
        <v>8</v>
      </c>
      <c r="N309">
        <f>ABS(TablaDatos[[#This Row],[DiasOriginal]])</f>
        <v>8</v>
      </c>
      <c r="O309" s="1">
        <f>TablaDatos[[#This Row],[FechaIngreso]]+TablaDatos[[#This Row],[DiasNuevo]]</f>
        <v>45084</v>
      </c>
    </row>
    <row r="310" spans="1:15">
      <c r="A310">
        <v>309</v>
      </c>
      <c r="B310" t="s">
        <v>277</v>
      </c>
      <c r="C310" s="1">
        <v>21551</v>
      </c>
      <c r="D310">
        <v>67</v>
      </c>
      <c r="E310" s="4" t="s">
        <v>15</v>
      </c>
      <c r="F310" t="s">
        <v>32</v>
      </c>
      <c r="G310" s="1">
        <v>45267</v>
      </c>
      <c r="H310" s="1">
        <f>TablaDatos[[#This Row],[FechaIngreso]]+TablaDatos[[#This Row],[DiasNuevo]]</f>
        <v>45288</v>
      </c>
      <c r="I310">
        <v>21</v>
      </c>
      <c r="J310" t="s">
        <v>19</v>
      </c>
      <c r="K310" s="3">
        <v>14185.45</v>
      </c>
      <c r="L310" t="b">
        <f>TablaDatos[[#This Row],[FechaAlta]] &lt; TablaDatos[[#This Row],[FechaIngreso]]</f>
        <v>0</v>
      </c>
      <c r="M310">
        <f>_xlfn.XLOOKUP(TablaDatos[[#This Row],[PacienteID]],'Datos_Ejemplo.csv'!A:A,'Datos_Ejemplo.csv'!I:I)</f>
        <v>21</v>
      </c>
      <c r="N310">
        <f>ABS(TablaDatos[[#This Row],[DiasOriginal]])</f>
        <v>21</v>
      </c>
      <c r="O310" s="1">
        <f>TablaDatos[[#This Row],[FechaIngreso]]+TablaDatos[[#This Row],[DiasNuevo]]</f>
        <v>45288</v>
      </c>
    </row>
    <row r="311" spans="1:15">
      <c r="A311">
        <v>310</v>
      </c>
      <c r="B311" t="s">
        <v>291</v>
      </c>
      <c r="C311" s="1">
        <v>34334</v>
      </c>
      <c r="D311">
        <v>32</v>
      </c>
      <c r="E311" s="4" t="s">
        <v>12</v>
      </c>
      <c r="F311" t="s">
        <v>21</v>
      </c>
      <c r="G311" s="1">
        <v>45483</v>
      </c>
      <c r="H311" s="1">
        <f>TablaDatos[[#This Row],[FechaIngreso]]+TablaDatos[[#This Row],[DiasNuevo]]</f>
        <v>45491</v>
      </c>
      <c r="I311">
        <v>8</v>
      </c>
      <c r="J311" t="s">
        <v>23</v>
      </c>
      <c r="K311" s="3">
        <v>10479.16</v>
      </c>
      <c r="L311" t="b">
        <f>TablaDatos[[#This Row],[FechaAlta]] &lt; TablaDatos[[#This Row],[FechaIngreso]]</f>
        <v>0</v>
      </c>
      <c r="M311">
        <f>_xlfn.XLOOKUP(TablaDatos[[#This Row],[PacienteID]],'Datos_Ejemplo.csv'!A:A,'Datos_Ejemplo.csv'!I:I)</f>
        <v>8</v>
      </c>
      <c r="N311">
        <f>ABS(TablaDatos[[#This Row],[DiasOriginal]])</f>
        <v>8</v>
      </c>
      <c r="O311" s="1">
        <f>TablaDatos[[#This Row],[FechaIngreso]]+TablaDatos[[#This Row],[DiasNuevo]]</f>
        <v>45491</v>
      </c>
    </row>
    <row r="312" spans="1:15">
      <c r="A312">
        <v>311</v>
      </c>
      <c r="B312" t="s">
        <v>244</v>
      </c>
      <c r="C312" s="1">
        <v>41274</v>
      </c>
      <c r="D312">
        <v>13</v>
      </c>
      <c r="E312" s="4" t="s">
        <v>12</v>
      </c>
      <c r="F312" t="s">
        <v>201</v>
      </c>
      <c r="G312" s="1">
        <v>45100</v>
      </c>
      <c r="H312" s="1">
        <f>TablaDatos[[#This Row],[FechaIngreso]]+TablaDatos[[#This Row],[DiasNuevo]]</f>
        <v>45114</v>
      </c>
      <c r="I312">
        <v>14</v>
      </c>
      <c r="J312" t="s">
        <v>19</v>
      </c>
      <c r="K312" s="3">
        <v>15376.45</v>
      </c>
      <c r="L312" t="b">
        <f>TablaDatos[[#This Row],[FechaAlta]] &lt; TablaDatos[[#This Row],[FechaIngreso]]</f>
        <v>0</v>
      </c>
      <c r="M312">
        <f>_xlfn.XLOOKUP(TablaDatos[[#This Row],[PacienteID]],'Datos_Ejemplo.csv'!A:A,'Datos_Ejemplo.csv'!I:I)</f>
        <v>14</v>
      </c>
      <c r="N312">
        <f>ABS(TablaDatos[[#This Row],[DiasOriginal]])</f>
        <v>14</v>
      </c>
      <c r="O312" s="1">
        <f>TablaDatos[[#This Row],[FechaIngreso]]+TablaDatos[[#This Row],[DiasNuevo]]</f>
        <v>45114</v>
      </c>
    </row>
    <row r="313" spans="1:15">
      <c r="A313">
        <v>312</v>
      </c>
      <c r="B313" t="s">
        <v>238</v>
      </c>
      <c r="C313" s="1">
        <v>38717</v>
      </c>
      <c r="D313">
        <f ca="1">DATEDIF(TablaDatos[[#This Row],[FechaNacimiento]],TODAY(),"Y")</f>
        <v>20</v>
      </c>
      <c r="E313" s="4" t="s">
        <v>12</v>
      </c>
      <c r="F313" t="s">
        <v>295</v>
      </c>
      <c r="G313" s="1">
        <v>45093</v>
      </c>
      <c r="H313" s="1">
        <f>TablaDatos[[#This Row],[FechaIngreso]]+TablaDatos[[#This Row],[DiasNuevo]]</f>
        <v>45096</v>
      </c>
      <c r="I313">
        <v>3</v>
      </c>
      <c r="J313" t="s">
        <v>23</v>
      </c>
      <c r="K313" s="3">
        <v>15016.66</v>
      </c>
      <c r="L313" t="b">
        <f>TablaDatos[[#This Row],[FechaAlta]] &lt; TablaDatos[[#This Row],[FechaIngreso]]</f>
        <v>0</v>
      </c>
      <c r="M313">
        <f>_xlfn.XLOOKUP(TablaDatos[[#This Row],[PacienteID]],'Datos_Ejemplo.csv'!A:A,'Datos_Ejemplo.csv'!I:I)</f>
        <v>3</v>
      </c>
      <c r="N313">
        <f>ABS(TablaDatos[[#This Row],[DiasOriginal]])</f>
        <v>3</v>
      </c>
      <c r="O313" s="1">
        <f>TablaDatos[[#This Row],[FechaIngreso]]+TablaDatos[[#This Row],[DiasNuevo]]</f>
        <v>45096</v>
      </c>
    </row>
    <row r="314" spans="1:15">
      <c r="A314">
        <v>313</v>
      </c>
      <c r="B314" t="s">
        <v>39</v>
      </c>
      <c r="C314" s="1">
        <v>28856</v>
      </c>
      <c r="D314">
        <v>47</v>
      </c>
      <c r="E314" s="4" t="s">
        <v>12</v>
      </c>
      <c r="F314" t="s">
        <v>13</v>
      </c>
      <c r="G314" s="1">
        <v>45635</v>
      </c>
      <c r="H314" s="1">
        <f>TablaDatos[[#This Row],[FechaIngreso]]+TablaDatos[[#This Row],[DiasNuevo]]</f>
        <v>45653</v>
      </c>
      <c r="I314">
        <v>18</v>
      </c>
      <c r="J314" t="s">
        <v>19</v>
      </c>
      <c r="K314" s="3">
        <v>13108.64</v>
      </c>
      <c r="L314" t="b">
        <f>TablaDatos[[#This Row],[FechaAlta]] &lt; TablaDatos[[#This Row],[FechaIngreso]]</f>
        <v>0</v>
      </c>
      <c r="M314">
        <f>_xlfn.XLOOKUP(TablaDatos[[#This Row],[PacienteID]],'Datos_Ejemplo.csv'!A:A,'Datos_Ejemplo.csv'!I:I)</f>
        <v>18</v>
      </c>
      <c r="N314">
        <f>ABS(TablaDatos[[#This Row],[DiasOriginal]])</f>
        <v>18</v>
      </c>
      <c r="O314" s="1">
        <f>TablaDatos[[#This Row],[FechaIngreso]]+TablaDatos[[#This Row],[DiasNuevo]]</f>
        <v>45653</v>
      </c>
    </row>
    <row r="315" spans="1:15">
      <c r="A315">
        <v>314</v>
      </c>
      <c r="B315" t="s">
        <v>151</v>
      </c>
      <c r="C315" s="1">
        <v>39083</v>
      </c>
      <c r="D315">
        <v>19</v>
      </c>
      <c r="E315" s="4" t="s">
        <v>12</v>
      </c>
      <c r="F315" t="s">
        <v>295</v>
      </c>
      <c r="G315" s="1">
        <v>45644</v>
      </c>
      <c r="H315" s="1">
        <f>TablaDatos[[#This Row],[FechaIngreso]]+TablaDatos[[#This Row],[DiasNuevo]]</f>
        <v>45649</v>
      </c>
      <c r="I315">
        <v>5</v>
      </c>
      <c r="J315" t="s">
        <v>23</v>
      </c>
      <c r="K315" s="3">
        <v>19954.64</v>
      </c>
      <c r="L315" t="b">
        <f>TablaDatos[[#This Row],[FechaAlta]] &lt; TablaDatos[[#This Row],[FechaIngreso]]</f>
        <v>0</v>
      </c>
      <c r="M315">
        <f>_xlfn.XLOOKUP(TablaDatos[[#This Row],[PacienteID]],'Datos_Ejemplo.csv'!A:A,'Datos_Ejemplo.csv'!I:I)</f>
        <v>5</v>
      </c>
      <c r="N315">
        <f>ABS(TablaDatos[[#This Row],[DiasOriginal]])</f>
        <v>5</v>
      </c>
      <c r="O315" s="1">
        <f>TablaDatos[[#This Row],[FechaIngreso]]+TablaDatos[[#This Row],[DiasNuevo]]</f>
        <v>45649</v>
      </c>
    </row>
    <row r="316" spans="1:15">
      <c r="A316">
        <v>315</v>
      </c>
      <c r="B316" t="s">
        <v>111</v>
      </c>
      <c r="C316" s="1">
        <v>43466</v>
      </c>
      <c r="D316">
        <v>7</v>
      </c>
      <c r="E316" s="4" t="s">
        <v>15</v>
      </c>
      <c r="F316" t="s">
        <v>261</v>
      </c>
      <c r="G316" s="1">
        <v>45520</v>
      </c>
      <c r="H316" s="1">
        <f>TablaDatos[[#This Row],[FechaIngreso]]+TablaDatos[[#This Row],[DiasNuevo]]</f>
        <v>45532</v>
      </c>
      <c r="I316">
        <v>12</v>
      </c>
      <c r="J316" t="s">
        <v>19</v>
      </c>
      <c r="K316" s="3">
        <v>9141.85</v>
      </c>
      <c r="L316" t="b">
        <f>TablaDatos[[#This Row],[FechaAlta]] &lt; TablaDatos[[#This Row],[FechaIngreso]]</f>
        <v>0</v>
      </c>
      <c r="M316">
        <f>_xlfn.XLOOKUP(TablaDatos[[#This Row],[PacienteID]],'Datos_Ejemplo.csv'!A:A,'Datos_Ejemplo.csv'!I:I)</f>
        <v>12</v>
      </c>
      <c r="N316">
        <f>ABS(TablaDatos[[#This Row],[DiasOriginal]])</f>
        <v>12</v>
      </c>
      <c r="O316" s="1">
        <f>TablaDatos[[#This Row],[FechaIngreso]]+TablaDatos[[#This Row],[DiasNuevo]]</f>
        <v>45532</v>
      </c>
    </row>
    <row r="317" spans="1:15">
      <c r="A317">
        <v>316</v>
      </c>
      <c r="B317" t="s">
        <v>328</v>
      </c>
      <c r="C317" s="1">
        <v>43831</v>
      </c>
      <c r="D317">
        <v>6</v>
      </c>
      <c r="E317" s="4" t="s">
        <v>15</v>
      </c>
      <c r="F317" t="s">
        <v>261</v>
      </c>
      <c r="G317" s="1">
        <v>45506</v>
      </c>
      <c r="H317" s="1">
        <f>TablaDatos[[#This Row],[FechaIngreso]]+TablaDatos[[#This Row],[DiasNuevo]]</f>
        <v>45535</v>
      </c>
      <c r="I317">
        <v>29</v>
      </c>
      <c r="J317" t="s">
        <v>23</v>
      </c>
      <c r="K317" s="3">
        <v>14094.47</v>
      </c>
      <c r="L317" t="b">
        <f>TablaDatos[[#This Row],[FechaAlta]] &lt; TablaDatos[[#This Row],[FechaIngreso]]</f>
        <v>0</v>
      </c>
      <c r="M317">
        <f>_xlfn.XLOOKUP(TablaDatos[[#This Row],[PacienteID]],'Datos_Ejemplo.csv'!A:A,'Datos_Ejemplo.csv'!I:I)</f>
        <v>29</v>
      </c>
      <c r="N317">
        <f>ABS(TablaDatos[[#This Row],[DiasOriginal]])</f>
        <v>29</v>
      </c>
      <c r="O317" s="1">
        <f>TablaDatos[[#This Row],[FechaIngreso]]+TablaDatos[[#This Row],[DiasNuevo]]</f>
        <v>45535</v>
      </c>
    </row>
    <row r="318" spans="1:15">
      <c r="A318">
        <v>317</v>
      </c>
      <c r="B318" t="s">
        <v>365</v>
      </c>
      <c r="C318" s="1">
        <v>21916</v>
      </c>
      <c r="D318">
        <v>66</v>
      </c>
      <c r="E318" s="4" t="s">
        <v>15</v>
      </c>
      <c r="F318" t="s">
        <v>261</v>
      </c>
      <c r="G318" s="1">
        <v>45023</v>
      </c>
      <c r="H318" s="1">
        <f>TablaDatos[[#This Row],[FechaIngreso]]+TablaDatos[[#This Row],[DiasNuevo]]</f>
        <v>45030</v>
      </c>
      <c r="I318">
        <v>7</v>
      </c>
      <c r="J318" t="s">
        <v>23</v>
      </c>
      <c r="K318" s="3">
        <v>15935.34</v>
      </c>
      <c r="L318" t="b">
        <f>TablaDatos[[#This Row],[FechaAlta]] &lt; TablaDatos[[#This Row],[FechaIngreso]]</f>
        <v>0</v>
      </c>
      <c r="M318">
        <f>_xlfn.XLOOKUP(TablaDatos[[#This Row],[PacienteID]],'Datos_Ejemplo.csv'!A:A,'Datos_Ejemplo.csv'!I:I)</f>
        <v>7</v>
      </c>
      <c r="N318">
        <f>ABS(TablaDatos[[#This Row],[DiasOriginal]])</f>
        <v>7</v>
      </c>
      <c r="O318" s="1">
        <f>TablaDatos[[#This Row],[FechaIngreso]]+TablaDatos[[#This Row],[DiasNuevo]]</f>
        <v>45030</v>
      </c>
    </row>
    <row r="319" spans="1:15">
      <c r="A319">
        <v>318</v>
      </c>
      <c r="B319" t="s">
        <v>362</v>
      </c>
      <c r="C319" s="1">
        <v>40178</v>
      </c>
      <c r="D319">
        <v>16</v>
      </c>
      <c r="E319" s="4" t="s">
        <v>15</v>
      </c>
      <c r="F319" t="s">
        <v>18</v>
      </c>
      <c r="G319" s="1">
        <v>45605</v>
      </c>
      <c r="H319" s="1">
        <f>TablaDatos[[#This Row],[FechaIngreso]]+TablaDatos[[#This Row],[DiasNuevo]]</f>
        <v>45630</v>
      </c>
      <c r="I319">
        <v>25</v>
      </c>
      <c r="J319" t="s">
        <v>23</v>
      </c>
      <c r="K319" s="3">
        <v>7458.3</v>
      </c>
      <c r="L319" t="b">
        <f>TablaDatos[[#This Row],[FechaAlta]] &lt; TablaDatos[[#This Row],[FechaIngreso]]</f>
        <v>0</v>
      </c>
      <c r="M319">
        <f>_xlfn.XLOOKUP(TablaDatos[[#This Row],[PacienteID]],'Datos_Ejemplo.csv'!A:A,'Datos_Ejemplo.csv'!I:I)</f>
        <v>25</v>
      </c>
      <c r="N319">
        <f>ABS(TablaDatos[[#This Row],[DiasOriginal]])</f>
        <v>25</v>
      </c>
      <c r="O319" s="1">
        <f>TablaDatos[[#This Row],[FechaIngreso]]+TablaDatos[[#This Row],[DiasNuevo]]</f>
        <v>45630</v>
      </c>
    </row>
    <row r="320" spans="1:15">
      <c r="A320">
        <v>319</v>
      </c>
      <c r="B320" t="s">
        <v>266</v>
      </c>
      <c r="C320" s="1">
        <v>34334</v>
      </c>
      <c r="D320">
        <v>32</v>
      </c>
      <c r="E320" s="4" t="s">
        <v>197</v>
      </c>
      <c r="F320" t="s">
        <v>13</v>
      </c>
      <c r="G320" s="1">
        <v>45330</v>
      </c>
      <c r="H320" s="1">
        <f>TablaDatos[[#This Row],[FechaIngreso]]+TablaDatos[[#This Row],[DiasNuevo]]</f>
        <v>45342</v>
      </c>
      <c r="I320">
        <v>12</v>
      </c>
      <c r="J320" t="s">
        <v>23</v>
      </c>
      <c r="K320" s="3">
        <v>9089.2199999999993</v>
      </c>
      <c r="L320" t="b">
        <f>TablaDatos[[#This Row],[FechaAlta]] &lt; TablaDatos[[#This Row],[FechaIngreso]]</f>
        <v>0</v>
      </c>
      <c r="M320">
        <f>_xlfn.XLOOKUP(TablaDatos[[#This Row],[PacienteID]],'Datos_Ejemplo.csv'!A:A,'Datos_Ejemplo.csv'!I:I)</f>
        <v>12</v>
      </c>
      <c r="N320">
        <f>ABS(TablaDatos[[#This Row],[DiasOriginal]])</f>
        <v>12</v>
      </c>
      <c r="O320" s="1">
        <f>TablaDatos[[#This Row],[FechaIngreso]]+TablaDatos[[#This Row],[DiasNuevo]]</f>
        <v>45342</v>
      </c>
    </row>
    <row r="321" spans="1:15">
      <c r="A321">
        <v>320</v>
      </c>
      <c r="B321" t="s">
        <v>240</v>
      </c>
      <c r="C321" s="1">
        <v>28856</v>
      </c>
      <c r="D321">
        <v>47</v>
      </c>
      <c r="E321" s="4" t="s">
        <v>15</v>
      </c>
      <c r="F321" t="s">
        <v>261</v>
      </c>
      <c r="G321" s="1">
        <v>45003</v>
      </c>
      <c r="H321" s="1">
        <f>TablaDatos[[#This Row],[FechaIngreso]]+TablaDatos[[#This Row],[DiasNuevo]]</f>
        <v>45012</v>
      </c>
      <c r="I321">
        <v>9</v>
      </c>
      <c r="J321" t="s">
        <v>25</v>
      </c>
      <c r="K321" s="3">
        <v>19380.259999999998</v>
      </c>
      <c r="L321" t="b">
        <f>TablaDatos[[#This Row],[FechaAlta]] &lt; TablaDatos[[#This Row],[FechaIngreso]]</f>
        <v>0</v>
      </c>
      <c r="M321">
        <f>_xlfn.XLOOKUP(TablaDatos[[#This Row],[PacienteID]],'Datos_Ejemplo.csv'!A:A,'Datos_Ejemplo.csv'!I:I)</f>
        <v>9</v>
      </c>
      <c r="N321">
        <f>ABS(TablaDatos[[#This Row],[DiasOriginal]])</f>
        <v>9</v>
      </c>
      <c r="O321" s="1">
        <f>TablaDatos[[#This Row],[FechaIngreso]]+TablaDatos[[#This Row],[DiasNuevo]]</f>
        <v>45012</v>
      </c>
    </row>
    <row r="322" spans="1:15">
      <c r="A322">
        <v>321</v>
      </c>
      <c r="B322" t="s">
        <v>348</v>
      </c>
      <c r="C322" s="1">
        <v>18629</v>
      </c>
      <c r="D322">
        <v>75</v>
      </c>
      <c r="E322" s="4" t="s">
        <v>15</v>
      </c>
      <c r="F322" t="s">
        <v>18</v>
      </c>
      <c r="G322" s="1">
        <v>45163</v>
      </c>
      <c r="H322" s="1">
        <f>TablaDatos[[#This Row],[FechaIngreso]]+TablaDatos[[#This Row],[DiasNuevo]]</f>
        <v>45178</v>
      </c>
      <c r="I322">
        <v>15</v>
      </c>
      <c r="J322" t="s">
        <v>23</v>
      </c>
      <c r="K322" s="3">
        <v>549.04999999999995</v>
      </c>
      <c r="L322" t="b">
        <f>TablaDatos[[#This Row],[FechaAlta]] &lt; TablaDatos[[#This Row],[FechaIngreso]]</f>
        <v>0</v>
      </c>
      <c r="M322">
        <f>_xlfn.XLOOKUP(TablaDatos[[#This Row],[PacienteID]],'Datos_Ejemplo.csv'!A:A,'Datos_Ejemplo.csv'!I:I)</f>
        <v>15</v>
      </c>
      <c r="N322">
        <f>ABS(TablaDatos[[#This Row],[DiasOriginal]])</f>
        <v>15</v>
      </c>
      <c r="O322" s="1">
        <f>TablaDatos[[#This Row],[FechaIngreso]]+TablaDatos[[#This Row],[DiasNuevo]]</f>
        <v>45178</v>
      </c>
    </row>
    <row r="323" spans="1:15">
      <c r="A323">
        <v>322</v>
      </c>
      <c r="B323" t="s">
        <v>259</v>
      </c>
      <c r="C323" s="1">
        <v>24838</v>
      </c>
      <c r="D323">
        <v>58</v>
      </c>
      <c r="E323" s="4" t="s">
        <v>12</v>
      </c>
      <c r="F323" t="s">
        <v>261</v>
      </c>
      <c r="G323" s="1">
        <v>45634</v>
      </c>
      <c r="H323" s="1">
        <f>TablaDatos[[#This Row],[FechaIngreso]]+TablaDatos[[#This Row],[DiasNuevo]]</f>
        <v>45668</v>
      </c>
      <c r="I323">
        <v>34</v>
      </c>
      <c r="J323" t="s">
        <v>23</v>
      </c>
      <c r="K323" s="3">
        <v>6639.44</v>
      </c>
      <c r="L323" t="b">
        <f>TablaDatos[[#This Row],[FechaAlta]] &lt; TablaDatos[[#This Row],[FechaIngreso]]</f>
        <v>0</v>
      </c>
      <c r="M323">
        <f>_xlfn.XLOOKUP(TablaDatos[[#This Row],[PacienteID]],'Datos_Ejemplo.csv'!A:A,'Datos_Ejemplo.csv'!I:I)</f>
        <v>34</v>
      </c>
      <c r="N323">
        <f>ABS(TablaDatos[[#This Row],[DiasOriginal]])</f>
        <v>34</v>
      </c>
      <c r="O323" s="1">
        <f>TablaDatos[[#This Row],[FechaIngreso]]+TablaDatos[[#This Row],[DiasNuevo]]</f>
        <v>45668</v>
      </c>
    </row>
    <row r="324" spans="1:15">
      <c r="A324">
        <v>323</v>
      </c>
      <c r="B324" t="s">
        <v>152</v>
      </c>
      <c r="C324" s="1">
        <v>14976</v>
      </c>
      <c r="D324">
        <v>85</v>
      </c>
      <c r="E324" s="4" t="s">
        <v>12</v>
      </c>
      <c r="F324" t="s">
        <v>21</v>
      </c>
      <c r="G324" s="1">
        <v>45217</v>
      </c>
      <c r="H324" s="1">
        <f>TablaDatos[[#This Row],[FechaIngreso]]+TablaDatos[[#This Row],[DiasNuevo]]</f>
        <v>45238</v>
      </c>
      <c r="I324">
        <v>21</v>
      </c>
      <c r="J324" t="s">
        <v>25</v>
      </c>
      <c r="K324" s="3">
        <v>9672.8799999999992</v>
      </c>
      <c r="L324" t="b">
        <f>TablaDatos[[#This Row],[FechaAlta]] &lt; TablaDatos[[#This Row],[FechaIngreso]]</f>
        <v>0</v>
      </c>
      <c r="M324">
        <f>_xlfn.XLOOKUP(TablaDatos[[#This Row],[PacienteID]],'Datos_Ejemplo.csv'!A:A,'Datos_Ejemplo.csv'!I:I)</f>
        <v>21</v>
      </c>
      <c r="N324">
        <f>ABS(TablaDatos[[#This Row],[DiasOriginal]])</f>
        <v>21</v>
      </c>
      <c r="O324" s="1">
        <f>TablaDatos[[#This Row],[FechaIngreso]]+TablaDatos[[#This Row],[DiasNuevo]]</f>
        <v>45238</v>
      </c>
    </row>
    <row r="325" spans="1:15">
      <c r="A325">
        <v>324</v>
      </c>
      <c r="B325" t="s">
        <v>49</v>
      </c>
      <c r="C325" s="1">
        <v>38352</v>
      </c>
      <c r="D325">
        <v>21</v>
      </c>
      <c r="E325" s="4" t="s">
        <v>15</v>
      </c>
      <c r="F325" t="s">
        <v>13</v>
      </c>
      <c r="G325" s="1">
        <v>45062</v>
      </c>
      <c r="H325" s="1">
        <f>TablaDatos[[#This Row],[FechaIngreso]]+TablaDatos[[#This Row],[DiasNuevo]]</f>
        <v>45096</v>
      </c>
      <c r="I325">
        <v>34</v>
      </c>
      <c r="J325" t="s">
        <v>19</v>
      </c>
      <c r="K325" s="3">
        <v>-70.55</v>
      </c>
      <c r="L325" t="b">
        <f>TablaDatos[[#This Row],[FechaAlta]] &lt; TablaDatos[[#This Row],[FechaIngreso]]</f>
        <v>0</v>
      </c>
      <c r="M325">
        <f>_xlfn.XLOOKUP(TablaDatos[[#This Row],[PacienteID]],'Datos_Ejemplo.csv'!A:A,'Datos_Ejemplo.csv'!I:I)</f>
        <v>34</v>
      </c>
      <c r="N325">
        <f>ABS(TablaDatos[[#This Row],[DiasOriginal]])</f>
        <v>34</v>
      </c>
      <c r="O325" s="1">
        <f>TablaDatos[[#This Row],[FechaIngreso]]+TablaDatos[[#This Row],[DiasNuevo]]</f>
        <v>45096</v>
      </c>
    </row>
    <row r="326" spans="1:15">
      <c r="A326">
        <v>325</v>
      </c>
      <c r="B326" t="s">
        <v>249</v>
      </c>
      <c r="C326" s="1">
        <v>35430</v>
      </c>
      <c r="D326">
        <v>29</v>
      </c>
      <c r="E326" s="4" t="s">
        <v>12</v>
      </c>
      <c r="F326" t="s">
        <v>18</v>
      </c>
      <c r="G326" s="1">
        <v>45293</v>
      </c>
      <c r="H326" s="1">
        <f>TablaDatos[[#This Row],[FechaIngreso]]+TablaDatos[[#This Row],[DiasNuevo]]</f>
        <v>45319</v>
      </c>
      <c r="I326">
        <v>26</v>
      </c>
      <c r="J326" t="s">
        <v>25</v>
      </c>
      <c r="K326" s="3">
        <v>17972.45</v>
      </c>
      <c r="L326" t="b">
        <f>TablaDatos[[#This Row],[FechaAlta]] &lt; TablaDatos[[#This Row],[FechaIngreso]]</f>
        <v>0</v>
      </c>
      <c r="M326">
        <f>_xlfn.XLOOKUP(TablaDatos[[#This Row],[PacienteID]],'Datos_Ejemplo.csv'!A:A,'Datos_Ejemplo.csv'!I:I)</f>
        <v>26</v>
      </c>
      <c r="N326">
        <f>ABS(TablaDatos[[#This Row],[DiasOriginal]])</f>
        <v>26</v>
      </c>
      <c r="O326" s="1">
        <f>TablaDatos[[#This Row],[FechaIngreso]]+TablaDatos[[#This Row],[DiasNuevo]]</f>
        <v>45319</v>
      </c>
    </row>
    <row r="327" spans="1:15">
      <c r="A327">
        <v>326</v>
      </c>
      <c r="B327" t="s">
        <v>252</v>
      </c>
      <c r="C327" s="1">
        <v>32508</v>
      </c>
      <c r="D327">
        <v>37</v>
      </c>
      <c r="E327" s="4" t="s">
        <v>12</v>
      </c>
      <c r="F327" t="s">
        <v>261</v>
      </c>
      <c r="G327" s="1">
        <v>45474</v>
      </c>
      <c r="H327" s="1">
        <f>TablaDatos[[#This Row],[FechaIngreso]]+TablaDatos[[#This Row],[DiasNuevo]]</f>
        <v>45481</v>
      </c>
      <c r="I327">
        <v>7</v>
      </c>
      <c r="J327" t="s">
        <v>23</v>
      </c>
      <c r="K327" s="3">
        <v>5653.51</v>
      </c>
      <c r="L327" t="b">
        <f>TablaDatos[[#This Row],[FechaAlta]] &lt; TablaDatos[[#This Row],[FechaIngreso]]</f>
        <v>0</v>
      </c>
      <c r="M327">
        <f>_xlfn.XLOOKUP(TablaDatos[[#This Row],[PacienteID]],'Datos_Ejemplo.csv'!A:A,'Datos_Ejemplo.csv'!I:I)</f>
        <v>7</v>
      </c>
      <c r="N327">
        <f>ABS(TablaDatos[[#This Row],[DiasOriginal]])</f>
        <v>7</v>
      </c>
      <c r="O327" s="1">
        <f>TablaDatos[[#This Row],[FechaIngreso]]+TablaDatos[[#This Row],[DiasNuevo]]</f>
        <v>45481</v>
      </c>
    </row>
    <row r="328" spans="1:15">
      <c r="A328">
        <v>327</v>
      </c>
      <c r="B328" t="s">
        <v>331</v>
      </c>
      <c r="C328" s="1">
        <v>27760</v>
      </c>
      <c r="D328">
        <v>50</v>
      </c>
      <c r="E328" s="4" t="s">
        <v>15</v>
      </c>
      <c r="F328" t="s">
        <v>201</v>
      </c>
      <c r="G328" s="1">
        <v>45174</v>
      </c>
      <c r="H328" s="1">
        <f>TablaDatos[[#This Row],[FechaIngreso]]+TablaDatos[[#This Row],[DiasNuevo]]</f>
        <v>45185</v>
      </c>
      <c r="I328">
        <v>11</v>
      </c>
      <c r="J328" t="s">
        <v>25</v>
      </c>
      <c r="K328" s="3">
        <v>5079.87</v>
      </c>
      <c r="L328" t="b">
        <f>TablaDatos[[#This Row],[FechaAlta]] &lt; TablaDatos[[#This Row],[FechaIngreso]]</f>
        <v>0</v>
      </c>
      <c r="M328">
        <f>_xlfn.XLOOKUP(TablaDatos[[#This Row],[PacienteID]],'Datos_Ejemplo.csv'!A:A,'Datos_Ejemplo.csv'!I:I)</f>
        <v>11</v>
      </c>
      <c r="N328">
        <f>ABS(TablaDatos[[#This Row],[DiasOriginal]])</f>
        <v>11</v>
      </c>
      <c r="O328" s="1">
        <f>TablaDatos[[#This Row],[FechaIngreso]]+TablaDatos[[#This Row],[DiasNuevo]]</f>
        <v>45185</v>
      </c>
    </row>
    <row r="329" spans="1:15">
      <c r="A329">
        <v>328</v>
      </c>
      <c r="B329" t="s">
        <v>232</v>
      </c>
      <c r="C329" s="1">
        <v>26664</v>
      </c>
      <c r="D329">
        <v>53</v>
      </c>
      <c r="E329" s="4" t="s">
        <v>15</v>
      </c>
      <c r="F329" t="s">
        <v>18</v>
      </c>
      <c r="G329" s="1">
        <v>45140</v>
      </c>
      <c r="H329" s="1">
        <f>TablaDatos[[#This Row],[FechaIngreso]]+TablaDatos[[#This Row],[DiasNuevo]]</f>
        <v>45153</v>
      </c>
      <c r="I329">
        <v>13</v>
      </c>
      <c r="J329" t="s">
        <v>19</v>
      </c>
      <c r="K329" s="3">
        <v>16388.560000000001</v>
      </c>
      <c r="L329" t="b">
        <f>TablaDatos[[#This Row],[FechaAlta]] &lt; TablaDatos[[#This Row],[FechaIngreso]]</f>
        <v>0</v>
      </c>
      <c r="M329">
        <f>_xlfn.XLOOKUP(TablaDatos[[#This Row],[PacienteID]],'Datos_Ejemplo.csv'!A:A,'Datos_Ejemplo.csv'!I:I)</f>
        <v>13</v>
      </c>
      <c r="N329">
        <f>ABS(TablaDatos[[#This Row],[DiasOriginal]])</f>
        <v>13</v>
      </c>
      <c r="O329" s="1">
        <f>TablaDatos[[#This Row],[FechaIngreso]]+TablaDatos[[#This Row],[DiasNuevo]]</f>
        <v>45153</v>
      </c>
    </row>
    <row r="330" spans="1:15">
      <c r="A330">
        <v>329</v>
      </c>
      <c r="B330" t="s">
        <v>250</v>
      </c>
      <c r="C330" s="1">
        <v>43466</v>
      </c>
      <c r="D330">
        <v>7</v>
      </c>
      <c r="E330" s="4" t="s">
        <v>12</v>
      </c>
      <c r="F330" t="s">
        <v>261</v>
      </c>
      <c r="G330" s="1">
        <v>44996</v>
      </c>
      <c r="H330" s="1">
        <f>TablaDatos[[#This Row],[FechaIngreso]]+TablaDatos[[#This Row],[DiasNuevo]]</f>
        <v>45030</v>
      </c>
      <c r="I330">
        <v>34</v>
      </c>
      <c r="J330" t="s">
        <v>25</v>
      </c>
      <c r="K330" s="3">
        <v>5487.46</v>
      </c>
      <c r="L330" t="b">
        <f>TablaDatos[[#This Row],[FechaAlta]] &lt; TablaDatos[[#This Row],[FechaIngreso]]</f>
        <v>0</v>
      </c>
      <c r="M330">
        <f>_xlfn.XLOOKUP(TablaDatos[[#This Row],[PacienteID]],'Datos_Ejemplo.csv'!A:A,'Datos_Ejemplo.csv'!I:I)</f>
        <v>34</v>
      </c>
      <c r="N330">
        <f>ABS(TablaDatos[[#This Row],[DiasOriginal]])</f>
        <v>34</v>
      </c>
      <c r="O330" s="1">
        <f>TablaDatos[[#This Row],[FechaIngreso]]+TablaDatos[[#This Row],[DiasNuevo]]</f>
        <v>45030</v>
      </c>
    </row>
    <row r="331" spans="1:15">
      <c r="A331">
        <v>330</v>
      </c>
      <c r="B331" t="s">
        <v>329</v>
      </c>
      <c r="C331" s="1">
        <v>36526</v>
      </c>
      <c r="D331">
        <v>26</v>
      </c>
      <c r="E331" s="4" t="s">
        <v>12</v>
      </c>
      <c r="F331" t="s">
        <v>21</v>
      </c>
      <c r="G331" s="1">
        <v>45255</v>
      </c>
      <c r="H331" s="1">
        <f>TablaDatos[[#This Row],[FechaIngreso]]+TablaDatos[[#This Row],[DiasNuevo]]</f>
        <v>45263</v>
      </c>
      <c r="I331">
        <v>8</v>
      </c>
      <c r="J331" t="s">
        <v>23</v>
      </c>
      <c r="K331" s="3">
        <v>13118.21</v>
      </c>
      <c r="L331" t="b">
        <f>TablaDatos[[#This Row],[FechaAlta]] &lt; TablaDatos[[#This Row],[FechaIngreso]]</f>
        <v>0</v>
      </c>
      <c r="M331">
        <f>_xlfn.XLOOKUP(TablaDatos[[#This Row],[PacienteID]],'Datos_Ejemplo.csv'!A:A,'Datos_Ejemplo.csv'!I:I)</f>
        <v>8</v>
      </c>
      <c r="N331">
        <f>ABS(TablaDatos[[#This Row],[DiasOriginal]])</f>
        <v>8</v>
      </c>
      <c r="O331" s="1">
        <f>TablaDatos[[#This Row],[FechaIngreso]]+TablaDatos[[#This Row],[DiasNuevo]]</f>
        <v>45263</v>
      </c>
    </row>
    <row r="332" spans="1:15">
      <c r="A332">
        <v>331</v>
      </c>
      <c r="B332" t="s">
        <v>332</v>
      </c>
      <c r="C332" s="1">
        <v>36526</v>
      </c>
      <c r="D332">
        <v>26</v>
      </c>
      <c r="E332" s="4" t="s">
        <v>12</v>
      </c>
      <c r="F332" t="s">
        <v>295</v>
      </c>
      <c r="G332" s="1">
        <v>44942</v>
      </c>
      <c r="H332" s="1">
        <f>TablaDatos[[#This Row],[FechaIngreso]]+TablaDatos[[#This Row],[DiasNuevo]]</f>
        <v>44965</v>
      </c>
      <c r="I332">
        <v>23</v>
      </c>
      <c r="J332" t="s">
        <v>23</v>
      </c>
      <c r="K332" s="3">
        <v>16412.21</v>
      </c>
      <c r="L332" t="b">
        <f>TablaDatos[[#This Row],[FechaAlta]] &lt; TablaDatos[[#This Row],[FechaIngreso]]</f>
        <v>0</v>
      </c>
      <c r="M332">
        <f>_xlfn.XLOOKUP(TablaDatos[[#This Row],[PacienteID]],'Datos_Ejemplo.csv'!A:A,'Datos_Ejemplo.csv'!I:I)</f>
        <v>23</v>
      </c>
      <c r="N332">
        <f>ABS(TablaDatos[[#This Row],[DiasOriginal]])</f>
        <v>23</v>
      </c>
      <c r="O332" s="1">
        <f>TablaDatos[[#This Row],[FechaIngreso]]+TablaDatos[[#This Row],[DiasNuevo]]</f>
        <v>44965</v>
      </c>
    </row>
    <row r="333" spans="1:15">
      <c r="A333">
        <v>332</v>
      </c>
      <c r="B333" t="s">
        <v>255</v>
      </c>
      <c r="C333" s="1">
        <v>38717</v>
      </c>
      <c r="D333">
        <f ca="1">DATEDIF(TablaDatos[[#This Row],[FechaNacimiento]],TODAY(),"Y")</f>
        <v>20</v>
      </c>
      <c r="E333" s="4" t="s">
        <v>15</v>
      </c>
      <c r="F333" t="s">
        <v>261</v>
      </c>
      <c r="G333" s="1">
        <v>45413</v>
      </c>
      <c r="H333" s="1">
        <f>TablaDatos[[#This Row],[FechaIngreso]]+TablaDatos[[#This Row],[DiasNuevo]]</f>
        <v>45450</v>
      </c>
      <c r="I333">
        <v>37</v>
      </c>
      <c r="J333" t="s">
        <v>23</v>
      </c>
      <c r="K333" s="3">
        <v>15828.78</v>
      </c>
      <c r="L333" t="b">
        <f>TablaDatos[[#This Row],[FechaAlta]] &lt; TablaDatos[[#This Row],[FechaIngreso]]</f>
        <v>0</v>
      </c>
      <c r="M333">
        <f>_xlfn.XLOOKUP(TablaDatos[[#This Row],[PacienteID]],'Datos_Ejemplo.csv'!A:A,'Datos_Ejemplo.csv'!I:I)</f>
        <v>37</v>
      </c>
      <c r="N333">
        <f>ABS(TablaDatos[[#This Row],[DiasOriginal]])</f>
        <v>37</v>
      </c>
      <c r="O333" s="1">
        <f>TablaDatos[[#This Row],[FechaIngreso]]+TablaDatos[[#This Row],[DiasNuevo]]</f>
        <v>45450</v>
      </c>
    </row>
    <row r="334" spans="1:15">
      <c r="A334">
        <v>333</v>
      </c>
      <c r="B334" t="s">
        <v>235</v>
      </c>
      <c r="C334" s="1">
        <v>35430</v>
      </c>
      <c r="D334">
        <v>29</v>
      </c>
      <c r="E334" s="4" t="s">
        <v>15</v>
      </c>
      <c r="F334" t="s">
        <v>295</v>
      </c>
      <c r="G334" s="1">
        <v>45100</v>
      </c>
      <c r="H334" s="1">
        <f>TablaDatos[[#This Row],[FechaIngreso]]+TablaDatos[[#This Row],[DiasNuevo]]</f>
        <v>45116</v>
      </c>
      <c r="I334">
        <v>16</v>
      </c>
      <c r="J334" t="s">
        <v>19</v>
      </c>
      <c r="K334" s="3">
        <v>15617.21</v>
      </c>
      <c r="L334" t="b">
        <f>TablaDatos[[#This Row],[FechaAlta]] &lt; TablaDatos[[#This Row],[FechaIngreso]]</f>
        <v>0</v>
      </c>
      <c r="M334">
        <f>_xlfn.XLOOKUP(TablaDatos[[#This Row],[PacienteID]],'Datos_Ejemplo.csv'!A:A,'Datos_Ejemplo.csv'!I:I)</f>
        <v>16</v>
      </c>
      <c r="N334">
        <f>ABS(TablaDatos[[#This Row],[DiasOriginal]])</f>
        <v>16</v>
      </c>
      <c r="O334" s="1">
        <f>TablaDatos[[#This Row],[FechaIngreso]]+TablaDatos[[#This Row],[DiasNuevo]]</f>
        <v>45116</v>
      </c>
    </row>
    <row r="335" spans="1:15">
      <c r="A335">
        <v>334</v>
      </c>
      <c r="B335" t="s">
        <v>232</v>
      </c>
      <c r="C335" s="1">
        <v>36161</v>
      </c>
      <c r="D335">
        <v>27</v>
      </c>
      <c r="E335" s="4" t="s">
        <v>12</v>
      </c>
      <c r="F335" t="s">
        <v>13</v>
      </c>
      <c r="G335" s="1">
        <v>45625</v>
      </c>
      <c r="H335" s="1">
        <f>TablaDatos[[#This Row],[FechaIngreso]]+TablaDatos[[#This Row],[DiasNuevo]]</f>
        <v>45640</v>
      </c>
      <c r="I335">
        <v>15</v>
      </c>
      <c r="J335" t="s">
        <v>19</v>
      </c>
      <c r="K335" s="3">
        <v>1681.62</v>
      </c>
      <c r="L335" t="b">
        <f>TablaDatos[[#This Row],[FechaAlta]] &lt; TablaDatos[[#This Row],[FechaIngreso]]</f>
        <v>0</v>
      </c>
      <c r="M335">
        <f>_xlfn.XLOOKUP(TablaDatos[[#This Row],[PacienteID]],'Datos_Ejemplo.csv'!A:A,'Datos_Ejemplo.csv'!I:I)</f>
        <v>15</v>
      </c>
      <c r="N335">
        <f>ABS(TablaDatos[[#This Row],[DiasOriginal]])</f>
        <v>15</v>
      </c>
      <c r="O335" s="1">
        <f>TablaDatos[[#This Row],[FechaIngreso]]+TablaDatos[[#This Row],[DiasNuevo]]</f>
        <v>45640</v>
      </c>
    </row>
    <row r="336" spans="1:15">
      <c r="A336">
        <v>335</v>
      </c>
      <c r="B336" t="s">
        <v>327</v>
      </c>
      <c r="C336" s="1">
        <v>23012</v>
      </c>
      <c r="D336">
        <v>63</v>
      </c>
      <c r="E336" s="4" t="s">
        <v>15</v>
      </c>
      <c r="F336" t="s">
        <v>21</v>
      </c>
      <c r="G336" s="1">
        <v>45200</v>
      </c>
      <c r="H336" s="1">
        <f>TablaDatos[[#This Row],[FechaIngreso]]+TablaDatos[[#This Row],[DiasNuevo]]</f>
        <v>45227</v>
      </c>
      <c r="I336">
        <v>27</v>
      </c>
      <c r="J336" t="s">
        <v>25</v>
      </c>
      <c r="K336" s="3">
        <v>1504.92</v>
      </c>
      <c r="L336" t="b">
        <f>TablaDatos[[#This Row],[FechaAlta]] &lt; TablaDatos[[#This Row],[FechaIngreso]]</f>
        <v>0</v>
      </c>
      <c r="M336">
        <f>_xlfn.XLOOKUP(TablaDatos[[#This Row],[PacienteID]],'Datos_Ejemplo.csv'!A:A,'Datos_Ejemplo.csv'!I:I)</f>
        <v>27</v>
      </c>
      <c r="N336">
        <f>ABS(TablaDatos[[#This Row],[DiasOriginal]])</f>
        <v>27</v>
      </c>
      <c r="O336" s="1">
        <f>TablaDatos[[#This Row],[FechaIngreso]]+TablaDatos[[#This Row],[DiasNuevo]]</f>
        <v>45227</v>
      </c>
    </row>
    <row r="337" spans="1:15">
      <c r="A337">
        <v>336</v>
      </c>
      <c r="B337" t="s">
        <v>257</v>
      </c>
      <c r="C337" s="1">
        <v>21185</v>
      </c>
      <c r="D337">
        <v>68</v>
      </c>
      <c r="E337" s="4" t="s">
        <v>15</v>
      </c>
      <c r="F337" t="s">
        <v>201</v>
      </c>
      <c r="G337" s="1">
        <v>45450</v>
      </c>
      <c r="H337" s="1">
        <f>TablaDatos[[#This Row],[FechaIngreso]]+TablaDatos[[#This Row],[DiasNuevo]]</f>
        <v>45479</v>
      </c>
      <c r="I337">
        <v>29</v>
      </c>
      <c r="J337" t="s">
        <v>19</v>
      </c>
      <c r="K337" s="3">
        <v>6066.08</v>
      </c>
      <c r="L337" t="b">
        <f>TablaDatos[[#This Row],[FechaAlta]] &lt; TablaDatos[[#This Row],[FechaIngreso]]</f>
        <v>0</v>
      </c>
      <c r="M337">
        <f>_xlfn.XLOOKUP(TablaDatos[[#This Row],[PacienteID]],'Datos_Ejemplo.csv'!A:A,'Datos_Ejemplo.csv'!I:I)</f>
        <v>29</v>
      </c>
      <c r="N337">
        <f>ABS(TablaDatos[[#This Row],[DiasOriginal]])</f>
        <v>29</v>
      </c>
      <c r="O337" s="1">
        <f>TablaDatos[[#This Row],[FechaIngreso]]+TablaDatos[[#This Row],[DiasNuevo]]</f>
        <v>45479</v>
      </c>
    </row>
    <row r="338" spans="1:15">
      <c r="A338">
        <v>337</v>
      </c>
      <c r="B338" t="s">
        <v>265</v>
      </c>
      <c r="C338" s="1">
        <v>24107</v>
      </c>
      <c r="D338">
        <v>60</v>
      </c>
      <c r="E338" s="4" t="s">
        <v>12</v>
      </c>
      <c r="F338" t="s">
        <v>13</v>
      </c>
      <c r="G338" s="1">
        <v>45145</v>
      </c>
      <c r="H338" s="1">
        <f>TablaDatos[[#This Row],[FechaIngreso]]+TablaDatos[[#This Row],[DiasNuevo]]</f>
        <v>45165</v>
      </c>
      <c r="I338">
        <v>20</v>
      </c>
      <c r="J338" t="s">
        <v>23</v>
      </c>
      <c r="K338" s="3">
        <v>622.54999999999995</v>
      </c>
      <c r="L338" t="b">
        <f>TablaDatos[[#This Row],[FechaAlta]] &lt; TablaDatos[[#This Row],[FechaIngreso]]</f>
        <v>0</v>
      </c>
      <c r="M338">
        <f>_xlfn.XLOOKUP(TablaDatos[[#This Row],[PacienteID]],'Datos_Ejemplo.csv'!A:A,'Datos_Ejemplo.csv'!I:I)</f>
        <v>20</v>
      </c>
      <c r="N338">
        <f>ABS(TablaDatos[[#This Row],[DiasOriginal]])</f>
        <v>20</v>
      </c>
      <c r="O338" s="1">
        <f>TablaDatos[[#This Row],[FechaIngreso]]+TablaDatos[[#This Row],[DiasNuevo]]</f>
        <v>45165</v>
      </c>
    </row>
    <row r="339" spans="1:15">
      <c r="A339">
        <v>338</v>
      </c>
      <c r="B339" t="s">
        <v>274</v>
      </c>
      <c r="C339" s="1">
        <v>28856</v>
      </c>
      <c r="D339">
        <v>47</v>
      </c>
      <c r="E339" s="4" t="s">
        <v>15</v>
      </c>
      <c r="F339" t="s">
        <v>201</v>
      </c>
      <c r="G339" s="1">
        <v>45439</v>
      </c>
      <c r="H339" s="1">
        <f>TablaDatos[[#This Row],[FechaIngreso]]+TablaDatos[[#This Row],[DiasNuevo]]</f>
        <v>45448</v>
      </c>
      <c r="I339">
        <v>9</v>
      </c>
      <c r="J339" t="s">
        <v>25</v>
      </c>
      <c r="K339" s="3">
        <v>9958.64</v>
      </c>
      <c r="L339" t="b">
        <f>TablaDatos[[#This Row],[FechaAlta]] &lt; TablaDatos[[#This Row],[FechaIngreso]]</f>
        <v>0</v>
      </c>
      <c r="M339">
        <f>_xlfn.XLOOKUP(TablaDatos[[#This Row],[PacienteID]],'Datos_Ejemplo.csv'!A:A,'Datos_Ejemplo.csv'!I:I)</f>
        <v>9</v>
      </c>
      <c r="N339">
        <f>ABS(TablaDatos[[#This Row],[DiasOriginal]])</f>
        <v>9</v>
      </c>
      <c r="O339" s="1">
        <f>TablaDatos[[#This Row],[FechaIngreso]]+TablaDatos[[#This Row],[DiasNuevo]]</f>
        <v>45448</v>
      </c>
    </row>
    <row r="340" spans="1:15">
      <c r="A340">
        <v>339</v>
      </c>
      <c r="B340" t="s">
        <v>234</v>
      </c>
      <c r="C340" s="1">
        <v>39448</v>
      </c>
      <c r="D340">
        <v>18</v>
      </c>
      <c r="E340" s="4" t="s">
        <v>12</v>
      </c>
      <c r="F340" t="s">
        <v>295</v>
      </c>
      <c r="G340" s="1">
        <v>45325</v>
      </c>
      <c r="H340" s="1">
        <f>TablaDatos[[#This Row],[FechaIngreso]]+TablaDatos[[#This Row],[DiasNuevo]]</f>
        <v>45335</v>
      </c>
      <c r="I340">
        <v>10</v>
      </c>
      <c r="J340" t="s">
        <v>23</v>
      </c>
      <c r="K340" s="3">
        <v>7835.12</v>
      </c>
      <c r="L340" t="b">
        <f>TablaDatos[[#This Row],[FechaAlta]] &lt; TablaDatos[[#This Row],[FechaIngreso]]</f>
        <v>0</v>
      </c>
      <c r="M340">
        <f>_xlfn.XLOOKUP(TablaDatos[[#This Row],[PacienteID]],'Datos_Ejemplo.csv'!A:A,'Datos_Ejemplo.csv'!I:I)</f>
        <v>10</v>
      </c>
      <c r="N340">
        <f>ABS(TablaDatos[[#This Row],[DiasOriginal]])</f>
        <v>10</v>
      </c>
      <c r="O340" s="1">
        <f>TablaDatos[[#This Row],[FechaIngreso]]+TablaDatos[[#This Row],[DiasNuevo]]</f>
        <v>45335</v>
      </c>
    </row>
    <row r="341" spans="1:15">
      <c r="A341">
        <v>340</v>
      </c>
      <c r="B341" t="s">
        <v>237</v>
      </c>
      <c r="C341" s="1">
        <v>44927</v>
      </c>
      <c r="D341">
        <v>3</v>
      </c>
      <c r="E341" s="4" t="s">
        <v>12</v>
      </c>
      <c r="F341" t="s">
        <v>21</v>
      </c>
      <c r="G341" s="1">
        <v>45037</v>
      </c>
      <c r="H341" s="1">
        <f>TablaDatos[[#This Row],[FechaIngreso]]+TablaDatos[[#This Row],[DiasNuevo]]</f>
        <v>45055</v>
      </c>
      <c r="I341">
        <v>18</v>
      </c>
      <c r="J341" t="s">
        <v>25</v>
      </c>
      <c r="K341" s="3">
        <v>11096.22</v>
      </c>
      <c r="L341" t="b">
        <f>TablaDatos[[#This Row],[FechaAlta]] &lt; TablaDatos[[#This Row],[FechaIngreso]]</f>
        <v>0</v>
      </c>
      <c r="M341">
        <f>_xlfn.XLOOKUP(TablaDatos[[#This Row],[PacienteID]],'Datos_Ejemplo.csv'!A:A,'Datos_Ejemplo.csv'!I:I)</f>
        <v>18</v>
      </c>
      <c r="N341">
        <f>ABS(TablaDatos[[#This Row],[DiasOriginal]])</f>
        <v>18</v>
      </c>
      <c r="O341" s="1">
        <f>TablaDatos[[#This Row],[FechaIngreso]]+TablaDatos[[#This Row],[DiasNuevo]]</f>
        <v>45055</v>
      </c>
    </row>
    <row r="342" spans="1:15">
      <c r="A342">
        <v>341</v>
      </c>
      <c r="B342" t="s">
        <v>332</v>
      </c>
      <c r="C342" s="1">
        <v>33604</v>
      </c>
      <c r="D342">
        <v>34</v>
      </c>
      <c r="E342" s="4" t="s">
        <v>15</v>
      </c>
      <c r="F342" t="s">
        <v>32</v>
      </c>
      <c r="G342" s="1">
        <v>45390</v>
      </c>
      <c r="H342" s="1">
        <f>TablaDatos[[#This Row],[FechaIngreso]]+TablaDatos[[#This Row],[DiasNuevo]]</f>
        <v>45408</v>
      </c>
      <c r="I342">
        <v>18</v>
      </c>
      <c r="J342" t="s">
        <v>25</v>
      </c>
      <c r="K342" s="3">
        <v>5905.65</v>
      </c>
      <c r="L342" t="b">
        <f>TablaDatos[[#This Row],[FechaAlta]] &lt; TablaDatos[[#This Row],[FechaIngreso]]</f>
        <v>0</v>
      </c>
      <c r="M342">
        <f>_xlfn.XLOOKUP(TablaDatos[[#This Row],[PacienteID]],'Datos_Ejemplo.csv'!A:A,'Datos_Ejemplo.csv'!I:I)</f>
        <v>18</v>
      </c>
      <c r="N342">
        <f>ABS(TablaDatos[[#This Row],[DiasOriginal]])</f>
        <v>18</v>
      </c>
      <c r="O342" s="1">
        <f>TablaDatos[[#This Row],[FechaIngreso]]+TablaDatos[[#This Row],[DiasNuevo]]</f>
        <v>45408</v>
      </c>
    </row>
    <row r="343" spans="1:15">
      <c r="A343">
        <v>342</v>
      </c>
      <c r="B343" t="s">
        <v>66</v>
      </c>
      <c r="C343" s="1">
        <v>23012</v>
      </c>
      <c r="D343">
        <v>63</v>
      </c>
      <c r="E343" s="4" t="s">
        <v>12</v>
      </c>
      <c r="F343" t="s">
        <v>21</v>
      </c>
      <c r="G343" s="1">
        <v>45567</v>
      </c>
      <c r="H343" s="1">
        <f>TablaDatos[[#This Row],[FechaIngreso]]+TablaDatos[[#This Row],[DiasNuevo]]</f>
        <v>45593</v>
      </c>
      <c r="I343">
        <v>26</v>
      </c>
      <c r="J343" t="s">
        <v>23</v>
      </c>
      <c r="K343" s="3">
        <v>9663.66</v>
      </c>
      <c r="L343" t="b">
        <f>TablaDatos[[#This Row],[FechaAlta]] &lt; TablaDatos[[#This Row],[FechaIngreso]]</f>
        <v>0</v>
      </c>
      <c r="M343">
        <f>_xlfn.XLOOKUP(TablaDatos[[#This Row],[PacienteID]],'Datos_Ejemplo.csv'!A:A,'Datos_Ejemplo.csv'!I:I)</f>
        <v>26</v>
      </c>
      <c r="N343">
        <f>ABS(TablaDatos[[#This Row],[DiasOriginal]])</f>
        <v>26</v>
      </c>
      <c r="O343" s="1">
        <f>TablaDatos[[#This Row],[FechaIngreso]]+TablaDatos[[#This Row],[DiasNuevo]]</f>
        <v>45593</v>
      </c>
    </row>
    <row r="344" spans="1:15">
      <c r="A344">
        <v>343</v>
      </c>
      <c r="B344" t="s">
        <v>263</v>
      </c>
      <c r="C344" s="1">
        <v>28490</v>
      </c>
      <c r="D344">
        <v>48</v>
      </c>
      <c r="E344" s="4" t="s">
        <v>15</v>
      </c>
      <c r="F344" t="s">
        <v>21</v>
      </c>
      <c r="G344" s="1">
        <v>45019</v>
      </c>
      <c r="H344" s="1">
        <f>TablaDatos[[#This Row],[FechaIngreso]]+TablaDatos[[#This Row],[DiasNuevo]]</f>
        <v>45045</v>
      </c>
      <c r="I344">
        <v>26</v>
      </c>
      <c r="J344" t="s">
        <v>25</v>
      </c>
      <c r="K344" s="3">
        <v>6628.37</v>
      </c>
      <c r="L344" t="b">
        <f>TablaDatos[[#This Row],[FechaAlta]] &lt; TablaDatos[[#This Row],[FechaIngreso]]</f>
        <v>0</v>
      </c>
      <c r="M344">
        <f>_xlfn.XLOOKUP(TablaDatos[[#This Row],[PacienteID]],'Datos_Ejemplo.csv'!A:A,'Datos_Ejemplo.csv'!I:I)</f>
        <v>26</v>
      </c>
      <c r="N344">
        <f>ABS(TablaDatos[[#This Row],[DiasOriginal]])</f>
        <v>26</v>
      </c>
      <c r="O344" s="1">
        <f>TablaDatos[[#This Row],[FechaIngreso]]+TablaDatos[[#This Row],[DiasNuevo]]</f>
        <v>45045</v>
      </c>
    </row>
    <row r="345" spans="1:15">
      <c r="A345">
        <v>344</v>
      </c>
      <c r="B345" t="s">
        <v>265</v>
      </c>
      <c r="C345" s="1">
        <v>40178</v>
      </c>
      <c r="D345">
        <v>16</v>
      </c>
      <c r="E345" s="4" t="s">
        <v>12</v>
      </c>
      <c r="F345" t="s">
        <v>201</v>
      </c>
      <c r="G345" s="1">
        <v>45377</v>
      </c>
      <c r="H345" s="1">
        <f>TablaDatos[[#This Row],[FechaIngreso]]+TablaDatos[[#This Row],[DiasNuevo]]</f>
        <v>45401</v>
      </c>
      <c r="I345">
        <v>24</v>
      </c>
      <c r="J345" t="s">
        <v>19</v>
      </c>
      <c r="K345" s="3">
        <v>3823.68</v>
      </c>
      <c r="L345" t="b">
        <f>TablaDatos[[#This Row],[FechaAlta]] &lt; TablaDatos[[#This Row],[FechaIngreso]]</f>
        <v>0</v>
      </c>
      <c r="M345">
        <f>_xlfn.XLOOKUP(TablaDatos[[#This Row],[PacienteID]],'Datos_Ejemplo.csv'!A:A,'Datos_Ejemplo.csv'!I:I)</f>
        <v>24</v>
      </c>
      <c r="N345">
        <f>ABS(TablaDatos[[#This Row],[DiasOriginal]])</f>
        <v>24</v>
      </c>
      <c r="O345" s="1">
        <f>TablaDatos[[#This Row],[FechaIngreso]]+TablaDatos[[#This Row],[DiasNuevo]]</f>
        <v>45401</v>
      </c>
    </row>
    <row r="346" spans="1:15">
      <c r="A346">
        <v>345</v>
      </c>
      <c r="B346" t="s">
        <v>305</v>
      </c>
      <c r="C346" s="1">
        <v>30317</v>
      </c>
      <c r="D346">
        <v>43</v>
      </c>
      <c r="E346" s="4" t="s">
        <v>15</v>
      </c>
      <c r="F346" t="s">
        <v>32</v>
      </c>
      <c r="G346" s="1">
        <v>45322</v>
      </c>
      <c r="H346" s="1">
        <f>TablaDatos[[#This Row],[FechaIngreso]]+TablaDatos[[#This Row],[DiasNuevo]]</f>
        <v>45348</v>
      </c>
      <c r="I346">
        <v>26</v>
      </c>
      <c r="J346" t="s">
        <v>25</v>
      </c>
      <c r="K346" s="3">
        <v>12952.27</v>
      </c>
      <c r="L346" t="b">
        <f>TablaDatos[[#This Row],[FechaAlta]] &lt; TablaDatos[[#This Row],[FechaIngreso]]</f>
        <v>0</v>
      </c>
      <c r="M346">
        <f>_xlfn.XLOOKUP(TablaDatos[[#This Row],[PacienteID]],'Datos_Ejemplo.csv'!A:A,'Datos_Ejemplo.csv'!I:I)</f>
        <v>26</v>
      </c>
      <c r="N346">
        <f>ABS(TablaDatos[[#This Row],[DiasOriginal]])</f>
        <v>26</v>
      </c>
      <c r="O346" s="1">
        <f>TablaDatos[[#This Row],[FechaIngreso]]+TablaDatos[[#This Row],[DiasNuevo]]</f>
        <v>45348</v>
      </c>
    </row>
    <row r="347" spans="1:15">
      <c r="A347">
        <v>346</v>
      </c>
      <c r="B347" t="s">
        <v>331</v>
      </c>
      <c r="C347" s="1">
        <v>12785</v>
      </c>
      <c r="D347">
        <v>91</v>
      </c>
      <c r="E347" s="4" t="s">
        <v>15</v>
      </c>
      <c r="F347" t="s">
        <v>18</v>
      </c>
      <c r="G347" s="1">
        <v>45477</v>
      </c>
      <c r="H347" s="1">
        <f>TablaDatos[[#This Row],[FechaIngreso]]+TablaDatos[[#This Row],[DiasNuevo]]</f>
        <v>45489</v>
      </c>
      <c r="I347">
        <v>12</v>
      </c>
      <c r="J347" t="s">
        <v>25</v>
      </c>
      <c r="K347" s="3">
        <v>13436.06</v>
      </c>
      <c r="L347" t="b">
        <f>TablaDatos[[#This Row],[FechaAlta]] &lt; TablaDatos[[#This Row],[FechaIngreso]]</f>
        <v>0</v>
      </c>
      <c r="M347">
        <f>_xlfn.XLOOKUP(TablaDatos[[#This Row],[PacienteID]],'Datos_Ejemplo.csv'!A:A,'Datos_Ejemplo.csv'!I:I)</f>
        <v>12</v>
      </c>
      <c r="N347">
        <f>ABS(TablaDatos[[#This Row],[DiasOriginal]])</f>
        <v>12</v>
      </c>
      <c r="O347" s="1">
        <f>TablaDatos[[#This Row],[FechaIngreso]]+TablaDatos[[#This Row],[DiasNuevo]]</f>
        <v>45489</v>
      </c>
    </row>
    <row r="348" spans="1:15">
      <c r="A348">
        <v>347</v>
      </c>
      <c r="B348" t="s">
        <v>313</v>
      </c>
      <c r="C348" s="1">
        <v>35430</v>
      </c>
      <c r="D348">
        <v>29</v>
      </c>
      <c r="E348" s="4" t="s">
        <v>12</v>
      </c>
      <c r="F348" t="s">
        <v>18</v>
      </c>
      <c r="G348" s="1">
        <v>45405</v>
      </c>
      <c r="H348" s="1">
        <f>TablaDatos[[#This Row],[FechaIngreso]]+TablaDatos[[#This Row],[DiasNuevo]]</f>
        <v>45414</v>
      </c>
      <c r="I348">
        <v>9</v>
      </c>
      <c r="J348" t="s">
        <v>25</v>
      </c>
      <c r="K348" s="3">
        <v>16567.560000000001</v>
      </c>
      <c r="L348" t="b">
        <f>TablaDatos[[#This Row],[FechaAlta]] &lt; TablaDatos[[#This Row],[FechaIngreso]]</f>
        <v>0</v>
      </c>
      <c r="M348">
        <f>_xlfn.XLOOKUP(TablaDatos[[#This Row],[PacienteID]],'Datos_Ejemplo.csv'!A:A,'Datos_Ejemplo.csv'!I:I)</f>
        <v>9</v>
      </c>
      <c r="N348">
        <f>ABS(TablaDatos[[#This Row],[DiasOriginal]])</f>
        <v>9</v>
      </c>
      <c r="O348" s="1">
        <f>TablaDatos[[#This Row],[FechaIngreso]]+TablaDatos[[#This Row],[DiasNuevo]]</f>
        <v>45414</v>
      </c>
    </row>
    <row r="349" spans="1:15">
      <c r="A349">
        <v>348</v>
      </c>
      <c r="B349" t="s">
        <v>364</v>
      </c>
      <c r="C349" s="1">
        <v>12419</v>
      </c>
      <c r="D349">
        <v>92</v>
      </c>
      <c r="E349" s="4" t="s">
        <v>15</v>
      </c>
      <c r="F349" t="s">
        <v>18</v>
      </c>
      <c r="G349" s="1">
        <v>45242</v>
      </c>
      <c r="H349" s="1">
        <f>TablaDatos[[#This Row],[FechaIngreso]]+TablaDatos[[#This Row],[DiasNuevo]]</f>
        <v>45280</v>
      </c>
      <c r="I349">
        <v>38</v>
      </c>
      <c r="J349" t="s">
        <v>23</v>
      </c>
      <c r="K349" s="3">
        <v>17482.509999999998</v>
      </c>
      <c r="L349" t="b">
        <f>TablaDatos[[#This Row],[FechaAlta]] &lt; TablaDatos[[#This Row],[FechaIngreso]]</f>
        <v>0</v>
      </c>
      <c r="M349">
        <f>_xlfn.XLOOKUP(TablaDatos[[#This Row],[PacienteID]],'Datos_Ejemplo.csv'!A:A,'Datos_Ejemplo.csv'!I:I)</f>
        <v>38</v>
      </c>
      <c r="N349">
        <f>ABS(TablaDatos[[#This Row],[DiasOriginal]])</f>
        <v>38</v>
      </c>
      <c r="O349" s="1">
        <f>TablaDatos[[#This Row],[FechaIngreso]]+TablaDatos[[#This Row],[DiasNuevo]]</f>
        <v>45280</v>
      </c>
    </row>
    <row r="350" spans="1:15">
      <c r="A350">
        <v>349</v>
      </c>
      <c r="B350" t="s">
        <v>152</v>
      </c>
      <c r="C350" s="1">
        <v>29586</v>
      </c>
      <c r="D350">
        <v>45</v>
      </c>
      <c r="E350" s="4" t="s">
        <v>12</v>
      </c>
      <c r="F350" t="s">
        <v>295</v>
      </c>
      <c r="G350" s="1">
        <v>45597</v>
      </c>
      <c r="H350" s="1">
        <f>TablaDatos[[#This Row],[FechaIngreso]]+TablaDatos[[#This Row],[DiasNuevo]]</f>
        <v>45613</v>
      </c>
      <c r="I350">
        <v>16</v>
      </c>
      <c r="J350" t="s">
        <v>23</v>
      </c>
      <c r="K350" s="3">
        <v>14059.68</v>
      </c>
      <c r="L350" t="b">
        <f>TablaDatos[[#This Row],[FechaAlta]] &lt; TablaDatos[[#This Row],[FechaIngreso]]</f>
        <v>0</v>
      </c>
      <c r="M350">
        <f>_xlfn.XLOOKUP(TablaDatos[[#This Row],[PacienteID]],'Datos_Ejemplo.csv'!A:A,'Datos_Ejemplo.csv'!I:I)</f>
        <v>16</v>
      </c>
      <c r="N350">
        <f>ABS(TablaDatos[[#This Row],[DiasOriginal]])</f>
        <v>16</v>
      </c>
      <c r="O350" s="1">
        <f>TablaDatos[[#This Row],[FechaIngreso]]+TablaDatos[[#This Row],[DiasNuevo]]</f>
        <v>45613</v>
      </c>
    </row>
    <row r="351" spans="1:15">
      <c r="A351">
        <v>350</v>
      </c>
      <c r="B351" t="s">
        <v>291</v>
      </c>
      <c r="C351" s="1">
        <v>44196</v>
      </c>
      <c r="D351">
        <v>5</v>
      </c>
      <c r="E351" s="4" t="s">
        <v>15</v>
      </c>
      <c r="F351" t="s">
        <v>21</v>
      </c>
      <c r="G351" s="1">
        <v>45624</v>
      </c>
      <c r="H351" s="1">
        <f>TablaDatos[[#This Row],[FechaIngreso]]+TablaDatos[[#This Row],[DiasNuevo]]</f>
        <v>45633</v>
      </c>
      <c r="I351">
        <v>9</v>
      </c>
      <c r="J351" t="s">
        <v>19</v>
      </c>
      <c r="K351" s="3">
        <v>13718.71</v>
      </c>
      <c r="L351" t="b">
        <f>TablaDatos[[#This Row],[FechaAlta]] &lt; TablaDatos[[#This Row],[FechaIngreso]]</f>
        <v>0</v>
      </c>
      <c r="M351">
        <f>_xlfn.XLOOKUP(TablaDatos[[#This Row],[PacienteID]],'Datos_Ejemplo.csv'!A:A,'Datos_Ejemplo.csv'!I:I)</f>
        <v>9</v>
      </c>
      <c r="N351">
        <f>ABS(TablaDatos[[#This Row],[DiasOriginal]])</f>
        <v>9</v>
      </c>
      <c r="O351" s="1">
        <f>TablaDatos[[#This Row],[FechaIngreso]]+TablaDatos[[#This Row],[DiasNuevo]]</f>
        <v>45633</v>
      </c>
    </row>
    <row r="352" spans="1:15">
      <c r="A352">
        <v>351</v>
      </c>
      <c r="B352" t="s">
        <v>343</v>
      </c>
      <c r="C352" s="1">
        <v>32873</v>
      </c>
      <c r="D352">
        <v>36</v>
      </c>
      <c r="E352" s="4" t="s">
        <v>15</v>
      </c>
      <c r="F352" t="s">
        <v>261</v>
      </c>
      <c r="G352" s="1">
        <v>45279</v>
      </c>
      <c r="H352" s="1">
        <f>TablaDatos[[#This Row],[FechaIngreso]]+TablaDatos[[#This Row],[DiasNuevo]]</f>
        <v>45299</v>
      </c>
      <c r="I352">
        <v>20</v>
      </c>
      <c r="J352" t="s">
        <v>23</v>
      </c>
      <c r="K352" s="3">
        <v>1039.18</v>
      </c>
      <c r="L352" t="b">
        <f>TablaDatos[[#This Row],[FechaAlta]] &lt; TablaDatos[[#This Row],[FechaIngreso]]</f>
        <v>0</v>
      </c>
      <c r="M352">
        <f>_xlfn.XLOOKUP(TablaDatos[[#This Row],[PacienteID]],'Datos_Ejemplo.csv'!A:A,'Datos_Ejemplo.csv'!I:I)</f>
        <v>20</v>
      </c>
      <c r="N352">
        <f>ABS(TablaDatos[[#This Row],[DiasOriginal]])</f>
        <v>20</v>
      </c>
      <c r="O352" s="1">
        <f>TablaDatos[[#This Row],[FechaIngreso]]+TablaDatos[[#This Row],[DiasNuevo]]</f>
        <v>45299</v>
      </c>
    </row>
    <row r="353" spans="1:15">
      <c r="A353">
        <v>352</v>
      </c>
      <c r="B353" t="s">
        <v>353</v>
      </c>
      <c r="C353" s="1">
        <v>37622</v>
      </c>
      <c r="D353">
        <v>23</v>
      </c>
      <c r="E353" s="4" t="s">
        <v>12</v>
      </c>
      <c r="F353" t="s">
        <v>32</v>
      </c>
      <c r="G353" s="1">
        <v>45165</v>
      </c>
      <c r="H353" s="1">
        <f>TablaDatos[[#This Row],[FechaIngreso]]+TablaDatos[[#This Row],[DiasNuevo]]</f>
        <v>45167</v>
      </c>
      <c r="I353">
        <v>2</v>
      </c>
      <c r="J353" t="s">
        <v>23</v>
      </c>
      <c r="K353" s="3">
        <v>2106.56</v>
      </c>
      <c r="L353" t="b">
        <f>TablaDatos[[#This Row],[FechaAlta]] &lt; TablaDatos[[#This Row],[FechaIngreso]]</f>
        <v>0</v>
      </c>
      <c r="M353">
        <f>_xlfn.XLOOKUP(TablaDatos[[#This Row],[PacienteID]],'Datos_Ejemplo.csv'!A:A,'Datos_Ejemplo.csv'!I:I)</f>
        <v>2</v>
      </c>
      <c r="N353">
        <f>ABS(TablaDatos[[#This Row],[DiasOriginal]])</f>
        <v>2</v>
      </c>
      <c r="O353" s="1">
        <f>TablaDatos[[#This Row],[FechaIngreso]]+TablaDatos[[#This Row],[DiasNuevo]]</f>
        <v>45167</v>
      </c>
    </row>
    <row r="354" spans="1:15">
      <c r="A354">
        <v>353</v>
      </c>
      <c r="B354" t="s">
        <v>353</v>
      </c>
      <c r="C354" s="1">
        <v>12419</v>
      </c>
      <c r="D354">
        <v>92</v>
      </c>
      <c r="E354" s="4" t="s">
        <v>15</v>
      </c>
      <c r="F354" t="s">
        <v>261</v>
      </c>
      <c r="G354" s="1">
        <v>45030</v>
      </c>
      <c r="H354" s="1">
        <f>TablaDatos[[#This Row],[FechaIngreso]]+TablaDatos[[#This Row],[DiasNuevo]]</f>
        <v>45053</v>
      </c>
      <c r="I354">
        <v>23</v>
      </c>
      <c r="J354" t="s">
        <v>23</v>
      </c>
      <c r="K354" s="3">
        <v>16232.51</v>
      </c>
      <c r="L354" t="b">
        <f>TablaDatos[[#This Row],[FechaAlta]] &lt; TablaDatos[[#This Row],[FechaIngreso]]</f>
        <v>0</v>
      </c>
      <c r="M354">
        <f>_xlfn.XLOOKUP(TablaDatos[[#This Row],[PacienteID]],'Datos_Ejemplo.csv'!A:A,'Datos_Ejemplo.csv'!I:I)</f>
        <v>23</v>
      </c>
      <c r="N354">
        <f>ABS(TablaDatos[[#This Row],[DiasOriginal]])</f>
        <v>23</v>
      </c>
      <c r="O354" s="1">
        <f>TablaDatos[[#This Row],[FechaIngreso]]+TablaDatos[[#This Row],[DiasNuevo]]</f>
        <v>45053</v>
      </c>
    </row>
    <row r="355" spans="1:15">
      <c r="A355">
        <v>354</v>
      </c>
      <c r="B355" t="s">
        <v>354</v>
      </c>
      <c r="C355" s="1">
        <v>29586</v>
      </c>
      <c r="D355">
        <v>45</v>
      </c>
      <c r="E355" s="4" t="s">
        <v>15</v>
      </c>
      <c r="F355" t="s">
        <v>295</v>
      </c>
      <c r="G355" s="1">
        <v>44955</v>
      </c>
      <c r="H355" s="1">
        <f>TablaDatos[[#This Row],[FechaIngreso]]+TablaDatos[[#This Row],[DiasNuevo]]</f>
        <v>44962</v>
      </c>
      <c r="I355">
        <v>7</v>
      </c>
      <c r="J355" t="s">
        <v>19</v>
      </c>
      <c r="K355" s="3">
        <v>4582.32</v>
      </c>
      <c r="L355" t="b">
        <f>TablaDatos[[#This Row],[FechaAlta]] &lt; TablaDatos[[#This Row],[FechaIngreso]]</f>
        <v>0</v>
      </c>
      <c r="M355">
        <f>_xlfn.XLOOKUP(TablaDatos[[#This Row],[PacienteID]],'Datos_Ejemplo.csv'!A:A,'Datos_Ejemplo.csv'!I:I)</f>
        <v>7</v>
      </c>
      <c r="N355">
        <f>ABS(TablaDatos[[#This Row],[DiasOriginal]])</f>
        <v>7</v>
      </c>
      <c r="O355" s="1">
        <f>TablaDatos[[#This Row],[FechaIngreso]]+TablaDatos[[#This Row],[DiasNuevo]]</f>
        <v>44962</v>
      </c>
    </row>
    <row r="356" spans="1:15">
      <c r="A356">
        <v>355</v>
      </c>
      <c r="B356" t="s">
        <v>298</v>
      </c>
      <c r="C356" s="1">
        <v>27029</v>
      </c>
      <c r="D356">
        <v>52</v>
      </c>
      <c r="E356" s="4" t="s">
        <v>12</v>
      </c>
      <c r="F356" t="s">
        <v>32</v>
      </c>
      <c r="G356" s="1">
        <v>45015</v>
      </c>
      <c r="H356" s="1">
        <f>TablaDatos[[#This Row],[FechaIngreso]]+TablaDatos[[#This Row],[DiasNuevo]]</f>
        <v>45034</v>
      </c>
      <c r="I356">
        <v>19</v>
      </c>
      <c r="J356" t="s">
        <v>19</v>
      </c>
      <c r="K356" s="3">
        <v>7046.86</v>
      </c>
      <c r="L356" t="b">
        <f>TablaDatos[[#This Row],[FechaAlta]] &lt; TablaDatos[[#This Row],[FechaIngreso]]</f>
        <v>0</v>
      </c>
      <c r="M356">
        <f>_xlfn.XLOOKUP(TablaDatos[[#This Row],[PacienteID]],'Datos_Ejemplo.csv'!A:A,'Datos_Ejemplo.csv'!I:I)</f>
        <v>19</v>
      </c>
      <c r="N356">
        <f>ABS(TablaDatos[[#This Row],[DiasOriginal]])</f>
        <v>19</v>
      </c>
      <c r="O356" s="1">
        <f>TablaDatos[[#This Row],[FechaIngreso]]+TablaDatos[[#This Row],[DiasNuevo]]</f>
        <v>45034</v>
      </c>
    </row>
    <row r="357" spans="1:15">
      <c r="A357">
        <v>356</v>
      </c>
      <c r="B357" t="s">
        <v>282</v>
      </c>
      <c r="C357" s="1">
        <v>11689</v>
      </c>
      <c r="D357">
        <v>94</v>
      </c>
      <c r="E357" s="4" t="s">
        <v>12</v>
      </c>
      <c r="F357" t="s">
        <v>261</v>
      </c>
      <c r="G357" s="1">
        <v>45301</v>
      </c>
      <c r="H357" s="1">
        <f>TablaDatos[[#This Row],[FechaIngreso]]+TablaDatos[[#This Row],[DiasNuevo]]</f>
        <v>45337</v>
      </c>
      <c r="I357">
        <v>36</v>
      </c>
      <c r="J357" t="s">
        <v>23</v>
      </c>
      <c r="K357" s="3">
        <v>2820.48</v>
      </c>
      <c r="L357" t="b">
        <f>TablaDatos[[#This Row],[FechaAlta]] &lt; TablaDatos[[#This Row],[FechaIngreso]]</f>
        <v>0</v>
      </c>
      <c r="M357">
        <f>_xlfn.XLOOKUP(TablaDatos[[#This Row],[PacienteID]],'Datos_Ejemplo.csv'!A:A,'Datos_Ejemplo.csv'!I:I)</f>
        <v>36</v>
      </c>
      <c r="N357">
        <f>ABS(TablaDatos[[#This Row],[DiasOriginal]])</f>
        <v>36</v>
      </c>
      <c r="O357" s="1">
        <f>TablaDatos[[#This Row],[FechaIngreso]]+TablaDatos[[#This Row],[DiasNuevo]]</f>
        <v>45337</v>
      </c>
    </row>
    <row r="358" spans="1:15">
      <c r="A358">
        <v>357</v>
      </c>
      <c r="B358" t="s">
        <v>244</v>
      </c>
      <c r="C358" s="1">
        <v>24473</v>
      </c>
      <c r="D358">
        <v>59</v>
      </c>
      <c r="E358" s="4" t="s">
        <v>12</v>
      </c>
      <c r="F358" t="s">
        <v>201</v>
      </c>
      <c r="G358" s="1">
        <v>45323</v>
      </c>
      <c r="H358" s="1">
        <f>TablaDatos[[#This Row],[FechaIngreso]]+TablaDatos[[#This Row],[DiasNuevo]]</f>
        <v>45343</v>
      </c>
      <c r="I358">
        <v>20</v>
      </c>
      <c r="J358" t="s">
        <v>25</v>
      </c>
      <c r="K358" s="3">
        <v>3822.55</v>
      </c>
      <c r="L358" t="b">
        <f>TablaDatos[[#This Row],[FechaAlta]] &lt; TablaDatos[[#This Row],[FechaIngreso]]</f>
        <v>0</v>
      </c>
      <c r="M358">
        <f>_xlfn.XLOOKUP(TablaDatos[[#This Row],[PacienteID]],'Datos_Ejemplo.csv'!A:A,'Datos_Ejemplo.csv'!I:I)</f>
        <v>20</v>
      </c>
      <c r="N358">
        <f>ABS(TablaDatos[[#This Row],[DiasOriginal]])</f>
        <v>20</v>
      </c>
      <c r="O358" s="1">
        <f>TablaDatos[[#This Row],[FechaIngreso]]+TablaDatos[[#This Row],[DiasNuevo]]</f>
        <v>45343</v>
      </c>
    </row>
    <row r="359" spans="1:15">
      <c r="A359">
        <v>358</v>
      </c>
      <c r="B359" t="s">
        <v>330</v>
      </c>
      <c r="C359" s="1">
        <v>23377</v>
      </c>
      <c r="D359">
        <v>62</v>
      </c>
      <c r="E359" s="4" t="s">
        <v>197</v>
      </c>
      <c r="F359" t="s">
        <v>295</v>
      </c>
      <c r="G359" s="1">
        <v>45489</v>
      </c>
      <c r="H359" s="1">
        <f>TablaDatos[[#This Row],[FechaIngreso]]+TablaDatos[[#This Row],[DiasNuevo]]</f>
        <v>45497</v>
      </c>
      <c r="I359">
        <v>8</v>
      </c>
      <c r="J359" t="s">
        <v>25</v>
      </c>
      <c r="K359" s="3">
        <v>15485.89</v>
      </c>
      <c r="L359" t="b">
        <f>TablaDatos[[#This Row],[FechaAlta]] &lt; TablaDatos[[#This Row],[FechaIngreso]]</f>
        <v>0</v>
      </c>
      <c r="M359">
        <f>_xlfn.XLOOKUP(TablaDatos[[#This Row],[PacienteID]],'Datos_Ejemplo.csv'!A:A,'Datos_Ejemplo.csv'!I:I)</f>
        <v>8</v>
      </c>
      <c r="N359">
        <f>ABS(TablaDatos[[#This Row],[DiasOriginal]])</f>
        <v>8</v>
      </c>
      <c r="O359" s="1">
        <f>TablaDatos[[#This Row],[FechaIngreso]]+TablaDatos[[#This Row],[DiasNuevo]]</f>
        <v>45497</v>
      </c>
    </row>
    <row r="360" spans="1:15">
      <c r="A360">
        <v>359</v>
      </c>
      <c r="B360" t="s">
        <v>303</v>
      </c>
      <c r="C360" s="1">
        <v>15341</v>
      </c>
      <c r="D360">
        <v>84</v>
      </c>
      <c r="E360" s="4" t="s">
        <v>15</v>
      </c>
      <c r="F360" t="s">
        <v>295</v>
      </c>
      <c r="G360" s="1">
        <v>45290</v>
      </c>
      <c r="H360" s="1">
        <f>TablaDatos[[#This Row],[FechaIngreso]]+TablaDatos[[#This Row],[DiasNuevo]]</f>
        <v>45315</v>
      </c>
      <c r="I360">
        <v>25</v>
      </c>
      <c r="J360" t="s">
        <v>23</v>
      </c>
      <c r="K360" s="3">
        <v>5163.38</v>
      </c>
      <c r="L360" t="b">
        <f>TablaDatos[[#This Row],[FechaAlta]] &lt; TablaDatos[[#This Row],[FechaIngreso]]</f>
        <v>0</v>
      </c>
      <c r="M360">
        <f>_xlfn.XLOOKUP(TablaDatos[[#This Row],[PacienteID]],'Datos_Ejemplo.csv'!A:A,'Datos_Ejemplo.csv'!I:I)</f>
        <v>25</v>
      </c>
      <c r="N360">
        <f>ABS(TablaDatos[[#This Row],[DiasOriginal]])</f>
        <v>25</v>
      </c>
      <c r="O360" s="1">
        <f>TablaDatos[[#This Row],[FechaIngreso]]+TablaDatos[[#This Row],[DiasNuevo]]</f>
        <v>45315</v>
      </c>
    </row>
    <row r="361" spans="1:15">
      <c r="A361">
        <v>360</v>
      </c>
      <c r="B361" t="s">
        <v>354</v>
      </c>
      <c r="C361" s="1">
        <v>34700</v>
      </c>
      <c r="D361">
        <v>31</v>
      </c>
      <c r="E361" s="4" t="s">
        <v>12</v>
      </c>
      <c r="F361" t="s">
        <v>295</v>
      </c>
      <c r="G361" s="1">
        <v>45073</v>
      </c>
      <c r="H361" s="1">
        <f>TablaDatos[[#This Row],[FechaIngreso]]+TablaDatos[[#This Row],[DiasNuevo]]</f>
        <v>45101</v>
      </c>
      <c r="I361">
        <v>28</v>
      </c>
      <c r="J361" t="s">
        <v>23</v>
      </c>
      <c r="K361" s="3">
        <v>8925.6</v>
      </c>
      <c r="L361" t="b">
        <f>TablaDatos[[#This Row],[FechaAlta]] &lt; TablaDatos[[#This Row],[FechaIngreso]]</f>
        <v>0</v>
      </c>
      <c r="M361">
        <f>_xlfn.XLOOKUP(TablaDatos[[#This Row],[PacienteID]],'Datos_Ejemplo.csv'!A:A,'Datos_Ejemplo.csv'!I:I)</f>
        <v>28</v>
      </c>
      <c r="N361">
        <f>ABS(TablaDatos[[#This Row],[DiasOriginal]])</f>
        <v>28</v>
      </c>
      <c r="O361" s="1">
        <f>TablaDatos[[#This Row],[FechaIngreso]]+TablaDatos[[#This Row],[DiasNuevo]]</f>
        <v>45101</v>
      </c>
    </row>
    <row r="362" spans="1:15">
      <c r="A362">
        <v>361</v>
      </c>
      <c r="B362" t="s">
        <v>231</v>
      </c>
      <c r="C362" s="1">
        <v>14611</v>
      </c>
      <c r="D362">
        <v>86</v>
      </c>
      <c r="E362" s="4" t="s">
        <v>15</v>
      </c>
      <c r="F362" t="s">
        <v>32</v>
      </c>
      <c r="G362" s="1">
        <v>45240</v>
      </c>
      <c r="H362" s="1">
        <f>TablaDatos[[#This Row],[FechaIngreso]]+TablaDatos[[#This Row],[DiasNuevo]]</f>
        <v>45245</v>
      </c>
      <c r="I362">
        <v>5</v>
      </c>
      <c r="J362" t="s">
        <v>23</v>
      </c>
      <c r="K362" s="3">
        <v>2948.59</v>
      </c>
      <c r="L362" t="b">
        <f>TablaDatos[[#This Row],[FechaAlta]] &lt; TablaDatos[[#This Row],[FechaIngreso]]</f>
        <v>0</v>
      </c>
      <c r="M362">
        <f>_xlfn.XLOOKUP(TablaDatos[[#This Row],[PacienteID]],'Datos_Ejemplo.csv'!A:A,'Datos_Ejemplo.csv'!I:I)</f>
        <v>5</v>
      </c>
      <c r="N362">
        <f>ABS(TablaDatos[[#This Row],[DiasOriginal]])</f>
        <v>5</v>
      </c>
      <c r="O362" s="1">
        <f>TablaDatos[[#This Row],[FechaIngreso]]+TablaDatos[[#This Row],[DiasNuevo]]</f>
        <v>45245</v>
      </c>
    </row>
    <row r="363" spans="1:15">
      <c r="A363">
        <v>362</v>
      </c>
      <c r="B363" t="s">
        <v>287</v>
      </c>
      <c r="C363" s="1">
        <v>34334</v>
      </c>
      <c r="D363">
        <v>32</v>
      </c>
      <c r="E363" s="4" t="s">
        <v>12</v>
      </c>
      <c r="F363" t="s">
        <v>261</v>
      </c>
      <c r="G363" s="1">
        <v>45474</v>
      </c>
      <c r="H363" s="1">
        <f>TablaDatos[[#This Row],[FechaIngreso]]+TablaDatos[[#This Row],[DiasNuevo]]</f>
        <v>45510</v>
      </c>
      <c r="I363">
        <v>36</v>
      </c>
      <c r="J363" t="s">
        <v>19</v>
      </c>
      <c r="K363" s="3">
        <v>13526.39</v>
      </c>
      <c r="L363" t="b">
        <f>TablaDatos[[#This Row],[FechaAlta]] &lt; TablaDatos[[#This Row],[FechaIngreso]]</f>
        <v>0</v>
      </c>
      <c r="M363">
        <f>_xlfn.XLOOKUP(TablaDatos[[#This Row],[PacienteID]],'Datos_Ejemplo.csv'!A:A,'Datos_Ejemplo.csv'!I:I)</f>
        <v>36</v>
      </c>
      <c r="N363">
        <f>ABS(TablaDatos[[#This Row],[DiasOriginal]])</f>
        <v>36</v>
      </c>
      <c r="O363" s="1">
        <f>TablaDatos[[#This Row],[FechaIngreso]]+TablaDatos[[#This Row],[DiasNuevo]]</f>
        <v>45510</v>
      </c>
    </row>
    <row r="364" spans="1:15">
      <c r="A364">
        <v>363</v>
      </c>
      <c r="B364" t="s">
        <v>301</v>
      </c>
      <c r="C364" s="1">
        <v>21916</v>
      </c>
      <c r="D364">
        <v>66</v>
      </c>
      <c r="E364" s="4" t="s">
        <v>15</v>
      </c>
      <c r="F364" t="s">
        <v>261</v>
      </c>
      <c r="G364" s="1">
        <v>45378</v>
      </c>
      <c r="H364" s="1">
        <f>TablaDatos[[#This Row],[FechaIngreso]]+TablaDatos[[#This Row],[DiasNuevo]]</f>
        <v>45403</v>
      </c>
      <c r="I364">
        <v>25</v>
      </c>
      <c r="J364" t="s">
        <v>25</v>
      </c>
      <c r="K364" s="3">
        <v>14538.22</v>
      </c>
      <c r="L364" t="b">
        <f>TablaDatos[[#This Row],[FechaAlta]] &lt; TablaDatos[[#This Row],[FechaIngreso]]</f>
        <v>0</v>
      </c>
      <c r="M364">
        <f>_xlfn.XLOOKUP(TablaDatos[[#This Row],[PacienteID]],'Datos_Ejemplo.csv'!A:A,'Datos_Ejemplo.csv'!I:I)</f>
        <v>25</v>
      </c>
      <c r="N364">
        <f>ABS(TablaDatos[[#This Row],[DiasOriginal]])</f>
        <v>25</v>
      </c>
      <c r="O364" s="1">
        <f>TablaDatos[[#This Row],[FechaIngreso]]+TablaDatos[[#This Row],[DiasNuevo]]</f>
        <v>45403</v>
      </c>
    </row>
    <row r="365" spans="1:15">
      <c r="A365">
        <v>364</v>
      </c>
      <c r="B365" t="s">
        <v>297</v>
      </c>
      <c r="C365" s="1">
        <v>39813</v>
      </c>
      <c r="D365">
        <v>17</v>
      </c>
      <c r="E365" s="4" t="s">
        <v>197</v>
      </c>
      <c r="F365" t="s">
        <v>13</v>
      </c>
      <c r="G365" s="1">
        <v>45432</v>
      </c>
      <c r="H365" s="1">
        <f>TablaDatos[[#This Row],[FechaIngreso]]+TablaDatos[[#This Row],[DiasNuevo]]</f>
        <v>45445</v>
      </c>
      <c r="I365">
        <v>13</v>
      </c>
      <c r="J365" t="s">
        <v>23</v>
      </c>
      <c r="K365" s="3">
        <v>7170.02</v>
      </c>
      <c r="L365" t="b">
        <f>TablaDatos[[#This Row],[FechaAlta]] &lt; TablaDatos[[#This Row],[FechaIngreso]]</f>
        <v>0</v>
      </c>
      <c r="M365">
        <f>_xlfn.XLOOKUP(TablaDatos[[#This Row],[PacienteID]],'Datos_Ejemplo.csv'!A:A,'Datos_Ejemplo.csv'!I:I)</f>
        <v>13</v>
      </c>
      <c r="N365">
        <f>ABS(TablaDatos[[#This Row],[DiasOriginal]])</f>
        <v>13</v>
      </c>
      <c r="O365" s="1">
        <f>TablaDatos[[#This Row],[FechaIngreso]]+TablaDatos[[#This Row],[DiasNuevo]]</f>
        <v>45445</v>
      </c>
    </row>
    <row r="366" spans="1:15">
      <c r="A366">
        <v>365</v>
      </c>
      <c r="B366" t="s">
        <v>51</v>
      </c>
      <c r="C366" s="1">
        <v>37256</v>
      </c>
      <c r="D366">
        <v>24</v>
      </c>
      <c r="E366" s="4" t="s">
        <v>12</v>
      </c>
      <c r="F366" t="s">
        <v>295</v>
      </c>
      <c r="G366" s="1">
        <v>45412</v>
      </c>
      <c r="H366" s="1">
        <f>TablaDatos[[#This Row],[FechaIngreso]]+TablaDatos[[#This Row],[DiasNuevo]]</f>
        <v>45440</v>
      </c>
      <c r="I366">
        <v>28</v>
      </c>
      <c r="J366" t="s">
        <v>23</v>
      </c>
      <c r="K366" s="3">
        <v>15673.41</v>
      </c>
      <c r="L366" t="b">
        <f>TablaDatos[[#This Row],[FechaAlta]] &lt; TablaDatos[[#This Row],[FechaIngreso]]</f>
        <v>0</v>
      </c>
      <c r="M366">
        <f>_xlfn.XLOOKUP(TablaDatos[[#This Row],[PacienteID]],'Datos_Ejemplo.csv'!A:A,'Datos_Ejemplo.csv'!I:I)</f>
        <v>28</v>
      </c>
      <c r="N366">
        <f>ABS(TablaDatos[[#This Row],[DiasOriginal]])</f>
        <v>28</v>
      </c>
      <c r="O366" s="1">
        <f>TablaDatos[[#This Row],[FechaIngreso]]+TablaDatos[[#This Row],[DiasNuevo]]</f>
        <v>45440</v>
      </c>
    </row>
    <row r="367" spans="1:15">
      <c r="A367">
        <v>366</v>
      </c>
      <c r="B367" t="s">
        <v>360</v>
      </c>
      <c r="C367" s="1">
        <v>11689</v>
      </c>
      <c r="D367">
        <v>94</v>
      </c>
      <c r="E367" s="4" t="s">
        <v>12</v>
      </c>
      <c r="F367" t="s">
        <v>18</v>
      </c>
      <c r="G367" s="1">
        <v>45027</v>
      </c>
      <c r="H367" s="1">
        <f>TablaDatos[[#This Row],[FechaIngreso]]+TablaDatos[[#This Row],[DiasNuevo]]</f>
        <v>45065</v>
      </c>
      <c r="I367">
        <v>38</v>
      </c>
      <c r="J367" t="s">
        <v>25</v>
      </c>
      <c r="K367" s="3">
        <v>4722.12</v>
      </c>
      <c r="L367" t="b">
        <f>TablaDatos[[#This Row],[FechaAlta]] &lt; TablaDatos[[#This Row],[FechaIngreso]]</f>
        <v>0</v>
      </c>
      <c r="M367">
        <f>_xlfn.XLOOKUP(TablaDatos[[#This Row],[PacienteID]],'Datos_Ejemplo.csv'!A:A,'Datos_Ejemplo.csv'!I:I)</f>
        <v>38</v>
      </c>
      <c r="N367">
        <f>ABS(TablaDatos[[#This Row],[DiasOriginal]])</f>
        <v>38</v>
      </c>
      <c r="O367" s="1">
        <f>TablaDatos[[#This Row],[FechaIngreso]]+TablaDatos[[#This Row],[DiasNuevo]]</f>
        <v>45065</v>
      </c>
    </row>
    <row r="368" spans="1:15">
      <c r="A368">
        <v>367</v>
      </c>
      <c r="B368" t="s">
        <v>353</v>
      </c>
      <c r="C368" s="1">
        <v>26664</v>
      </c>
      <c r="D368">
        <v>53</v>
      </c>
      <c r="E368" s="4" t="s">
        <v>12</v>
      </c>
      <c r="F368" t="s">
        <v>21</v>
      </c>
      <c r="G368" s="1">
        <v>45033</v>
      </c>
      <c r="H368" s="1">
        <f>TablaDatos[[#This Row],[FechaIngreso]]+TablaDatos[[#This Row],[DiasNuevo]]</f>
        <v>45046</v>
      </c>
      <c r="I368">
        <v>13</v>
      </c>
      <c r="J368" t="s">
        <v>25</v>
      </c>
      <c r="K368" s="3">
        <v>13807.27</v>
      </c>
      <c r="L368" t="b">
        <f>TablaDatos[[#This Row],[FechaAlta]] &lt; TablaDatos[[#This Row],[FechaIngreso]]</f>
        <v>0</v>
      </c>
      <c r="M368">
        <f>_xlfn.XLOOKUP(TablaDatos[[#This Row],[PacienteID]],'Datos_Ejemplo.csv'!A:A,'Datos_Ejemplo.csv'!I:I)</f>
        <v>13</v>
      </c>
      <c r="N368">
        <f>ABS(TablaDatos[[#This Row],[DiasOriginal]])</f>
        <v>13</v>
      </c>
      <c r="O368" s="1">
        <f>TablaDatos[[#This Row],[FechaIngreso]]+TablaDatos[[#This Row],[DiasNuevo]]</f>
        <v>45046</v>
      </c>
    </row>
    <row r="369" spans="1:15">
      <c r="A369">
        <v>368</v>
      </c>
      <c r="B369" t="s">
        <v>256</v>
      </c>
      <c r="C369" s="1">
        <v>25203</v>
      </c>
      <c r="D369">
        <f ca="1">DATEDIF(TablaDatos[[#This Row],[FechaNacimiento]],TODAY(),"Y")</f>
        <v>57</v>
      </c>
      <c r="E369" s="4" t="s">
        <v>12</v>
      </c>
      <c r="F369" t="s">
        <v>201</v>
      </c>
      <c r="G369" s="1">
        <v>45217</v>
      </c>
      <c r="H369" s="1">
        <f>TablaDatos[[#This Row],[FechaIngreso]]+TablaDatos[[#This Row],[DiasNuevo]]</f>
        <v>45219</v>
      </c>
      <c r="I369">
        <v>2</v>
      </c>
      <c r="J369" t="s">
        <v>19</v>
      </c>
      <c r="K369" s="3">
        <v>14572.29</v>
      </c>
      <c r="L369" t="b">
        <f>TablaDatos[[#This Row],[FechaAlta]] &lt; TablaDatos[[#This Row],[FechaIngreso]]</f>
        <v>0</v>
      </c>
      <c r="M369">
        <f>_xlfn.XLOOKUP(TablaDatos[[#This Row],[PacienteID]],'Datos_Ejemplo.csv'!A:A,'Datos_Ejemplo.csv'!I:I)</f>
        <v>2</v>
      </c>
      <c r="N369">
        <f>ABS(TablaDatos[[#This Row],[DiasOriginal]])</f>
        <v>2</v>
      </c>
      <c r="O369" s="1">
        <f>TablaDatos[[#This Row],[FechaIngreso]]+TablaDatos[[#This Row],[DiasNuevo]]</f>
        <v>45219</v>
      </c>
    </row>
    <row r="370" spans="1:15">
      <c r="A370">
        <v>369</v>
      </c>
      <c r="B370" t="s">
        <v>122</v>
      </c>
      <c r="C370" s="1">
        <v>21916</v>
      </c>
      <c r="D370">
        <v>66</v>
      </c>
      <c r="E370" s="4" t="s">
        <v>12</v>
      </c>
      <c r="F370" t="s">
        <v>201</v>
      </c>
      <c r="G370" s="1">
        <v>45275</v>
      </c>
      <c r="H370" s="1">
        <f>TablaDatos[[#This Row],[FechaIngreso]]+TablaDatos[[#This Row],[DiasNuevo]]</f>
        <v>45307</v>
      </c>
      <c r="I370">
        <v>32</v>
      </c>
      <c r="J370" t="s">
        <v>23</v>
      </c>
      <c r="K370" s="3">
        <v>19370.009999999998</v>
      </c>
      <c r="L370" t="b">
        <f>TablaDatos[[#This Row],[FechaAlta]] &lt; TablaDatos[[#This Row],[FechaIngreso]]</f>
        <v>0</v>
      </c>
      <c r="M370">
        <f>_xlfn.XLOOKUP(TablaDatos[[#This Row],[PacienteID]],'Datos_Ejemplo.csv'!A:A,'Datos_Ejemplo.csv'!I:I)</f>
        <v>32</v>
      </c>
      <c r="N370">
        <f>ABS(TablaDatos[[#This Row],[DiasOriginal]])</f>
        <v>32</v>
      </c>
      <c r="O370" s="1">
        <f>TablaDatos[[#This Row],[FechaIngreso]]+TablaDatos[[#This Row],[DiasNuevo]]</f>
        <v>45307</v>
      </c>
    </row>
    <row r="371" spans="1:15">
      <c r="A371">
        <v>370</v>
      </c>
      <c r="B371" t="s">
        <v>303</v>
      </c>
      <c r="C371" s="1">
        <v>29586</v>
      </c>
      <c r="D371">
        <v>45</v>
      </c>
      <c r="E371" s="4" t="s">
        <v>15</v>
      </c>
      <c r="F371" t="s">
        <v>13</v>
      </c>
      <c r="G371" s="1">
        <v>45543</v>
      </c>
      <c r="H371" s="1">
        <f>TablaDatos[[#This Row],[FechaIngreso]]+TablaDatos[[#This Row],[DiasNuevo]]</f>
        <v>45565</v>
      </c>
      <c r="I371">
        <v>22</v>
      </c>
      <c r="J371" t="s">
        <v>23</v>
      </c>
      <c r="K371" s="3">
        <v>4569.67</v>
      </c>
      <c r="L371" t="b">
        <f>TablaDatos[[#This Row],[FechaAlta]] &lt; TablaDatos[[#This Row],[FechaIngreso]]</f>
        <v>0</v>
      </c>
      <c r="M371">
        <f>_xlfn.XLOOKUP(TablaDatos[[#This Row],[PacienteID]],'Datos_Ejemplo.csv'!A:A,'Datos_Ejemplo.csv'!I:I)</f>
        <v>22</v>
      </c>
      <c r="N371">
        <f>ABS(TablaDatos[[#This Row],[DiasOriginal]])</f>
        <v>22</v>
      </c>
      <c r="O371" s="1">
        <f>TablaDatos[[#This Row],[FechaIngreso]]+TablaDatos[[#This Row],[DiasNuevo]]</f>
        <v>45565</v>
      </c>
    </row>
    <row r="372" spans="1:15">
      <c r="A372">
        <v>371</v>
      </c>
      <c r="B372" t="s">
        <v>336</v>
      </c>
      <c r="C372" s="1">
        <v>37622</v>
      </c>
      <c r="D372">
        <f ca="1">DATEDIF(TablaDatos[[#This Row],[FechaNacimiento]],TODAY(),"Y")</f>
        <v>23</v>
      </c>
      <c r="E372" s="4" t="s">
        <v>15</v>
      </c>
      <c r="F372" t="s">
        <v>13</v>
      </c>
      <c r="G372" s="1">
        <v>45514</v>
      </c>
      <c r="H372" s="1">
        <f>TablaDatos[[#This Row],[FechaIngreso]]+TablaDatos[[#This Row],[DiasNuevo]]</f>
        <v>45524</v>
      </c>
      <c r="I372">
        <v>10</v>
      </c>
      <c r="J372" t="s">
        <v>19</v>
      </c>
      <c r="K372" s="3">
        <v>1783.58</v>
      </c>
      <c r="L372" t="b">
        <f>TablaDatos[[#This Row],[FechaAlta]] &lt; TablaDatos[[#This Row],[FechaIngreso]]</f>
        <v>0</v>
      </c>
      <c r="M372">
        <f>_xlfn.XLOOKUP(TablaDatos[[#This Row],[PacienteID]],'Datos_Ejemplo.csv'!A:A,'Datos_Ejemplo.csv'!I:I)</f>
        <v>10</v>
      </c>
      <c r="N372">
        <f>ABS(TablaDatos[[#This Row],[DiasOriginal]])</f>
        <v>10</v>
      </c>
      <c r="O372" s="1">
        <f>TablaDatos[[#This Row],[FechaIngreso]]+TablaDatos[[#This Row],[DiasNuevo]]</f>
        <v>45524</v>
      </c>
    </row>
    <row r="373" spans="1:15">
      <c r="A373">
        <v>372</v>
      </c>
      <c r="B373" t="s">
        <v>274</v>
      </c>
      <c r="C373" s="1">
        <v>34700</v>
      </c>
      <c r="D373">
        <v>31</v>
      </c>
      <c r="E373" s="4" t="s">
        <v>15</v>
      </c>
      <c r="F373" t="s">
        <v>32</v>
      </c>
      <c r="G373" s="1">
        <v>45153</v>
      </c>
      <c r="H373" s="1">
        <f>TablaDatos[[#This Row],[FechaIngreso]]+TablaDatos[[#This Row],[DiasNuevo]]</f>
        <v>45179</v>
      </c>
      <c r="I373">
        <v>26</v>
      </c>
      <c r="J373" t="s">
        <v>19</v>
      </c>
      <c r="K373" s="3">
        <v>5187.01</v>
      </c>
      <c r="L373" t="b">
        <f>TablaDatos[[#This Row],[FechaAlta]] &lt; TablaDatos[[#This Row],[FechaIngreso]]</f>
        <v>0</v>
      </c>
      <c r="M373">
        <f>_xlfn.XLOOKUP(TablaDatos[[#This Row],[PacienteID]],'Datos_Ejemplo.csv'!A:A,'Datos_Ejemplo.csv'!I:I)</f>
        <v>26</v>
      </c>
      <c r="N373">
        <f>ABS(TablaDatos[[#This Row],[DiasOriginal]])</f>
        <v>26</v>
      </c>
      <c r="O373" s="1">
        <f>TablaDatos[[#This Row],[FechaIngreso]]+TablaDatos[[#This Row],[DiasNuevo]]</f>
        <v>45179</v>
      </c>
    </row>
    <row r="374" spans="1:15">
      <c r="A374">
        <v>373</v>
      </c>
      <c r="B374" t="s">
        <v>111</v>
      </c>
      <c r="C374" s="1">
        <v>29221</v>
      </c>
      <c r="D374">
        <v>46</v>
      </c>
      <c r="E374" s="4" t="s">
        <v>15</v>
      </c>
      <c r="F374" t="s">
        <v>13</v>
      </c>
      <c r="G374" s="1">
        <v>45522</v>
      </c>
      <c r="H374" s="1">
        <f>TablaDatos[[#This Row],[FechaIngreso]]+TablaDatos[[#This Row],[DiasNuevo]]</f>
        <v>45546</v>
      </c>
      <c r="I374">
        <v>24</v>
      </c>
      <c r="J374" t="s">
        <v>25</v>
      </c>
      <c r="K374" s="3">
        <v>2369.5300000000002</v>
      </c>
      <c r="L374" t="b">
        <f>TablaDatos[[#This Row],[FechaAlta]] &lt; TablaDatos[[#This Row],[FechaIngreso]]</f>
        <v>0</v>
      </c>
      <c r="M374">
        <f>_xlfn.XLOOKUP(TablaDatos[[#This Row],[PacienteID]],'Datos_Ejemplo.csv'!A:A,'Datos_Ejemplo.csv'!I:I)</f>
        <v>24</v>
      </c>
      <c r="N374">
        <f>ABS(TablaDatos[[#This Row],[DiasOriginal]])</f>
        <v>24</v>
      </c>
      <c r="O374" s="1">
        <f>TablaDatos[[#This Row],[FechaIngreso]]+TablaDatos[[#This Row],[DiasNuevo]]</f>
        <v>45546</v>
      </c>
    </row>
    <row r="375" spans="1:15">
      <c r="A375">
        <v>374</v>
      </c>
      <c r="B375" t="s">
        <v>114</v>
      </c>
      <c r="C375" s="1">
        <v>14976</v>
      </c>
      <c r="D375">
        <v>85</v>
      </c>
      <c r="E375" s="4" t="s">
        <v>12</v>
      </c>
      <c r="F375" t="s">
        <v>261</v>
      </c>
      <c r="G375" s="1">
        <v>45514</v>
      </c>
      <c r="H375" s="1">
        <f>TablaDatos[[#This Row],[FechaIngreso]]+TablaDatos[[#This Row],[DiasNuevo]]</f>
        <v>45551</v>
      </c>
      <c r="I375">
        <v>37</v>
      </c>
      <c r="J375" t="s">
        <v>19</v>
      </c>
      <c r="K375" s="3">
        <v>3310.86</v>
      </c>
      <c r="L375" t="b">
        <f>TablaDatos[[#This Row],[FechaAlta]] &lt; TablaDatos[[#This Row],[FechaIngreso]]</f>
        <v>0</v>
      </c>
      <c r="M375">
        <f>_xlfn.XLOOKUP(TablaDatos[[#This Row],[PacienteID]],'Datos_Ejemplo.csv'!A:A,'Datos_Ejemplo.csv'!I:I)</f>
        <v>37</v>
      </c>
      <c r="N375">
        <f>ABS(TablaDatos[[#This Row],[DiasOriginal]])</f>
        <v>37</v>
      </c>
      <c r="O375" s="1">
        <f>TablaDatos[[#This Row],[FechaIngreso]]+TablaDatos[[#This Row],[DiasNuevo]]</f>
        <v>45551</v>
      </c>
    </row>
    <row r="376" spans="1:15">
      <c r="A376">
        <v>375</v>
      </c>
      <c r="B376" t="s">
        <v>146</v>
      </c>
      <c r="C376" s="1">
        <f ca="1">DATE(YEAR(TODAY())-TablaDatos[[#This Row],[Edad]],1,1)</f>
        <v>37987</v>
      </c>
      <c r="D376">
        <v>22</v>
      </c>
      <c r="E376" s="4" t="s">
        <v>12</v>
      </c>
      <c r="F376" t="s">
        <v>32</v>
      </c>
      <c r="G376" s="1">
        <v>44976</v>
      </c>
      <c r="H376" s="1">
        <f>TablaDatos[[#This Row],[FechaIngreso]]+TablaDatos[[#This Row],[DiasNuevo]]</f>
        <v>44990</v>
      </c>
      <c r="I376">
        <v>14</v>
      </c>
      <c r="J376" t="s">
        <v>19</v>
      </c>
      <c r="K376" s="3">
        <v>6615.7</v>
      </c>
      <c r="L376" t="b">
        <f>TablaDatos[[#This Row],[FechaAlta]] &lt; TablaDatos[[#This Row],[FechaIngreso]]</f>
        <v>0</v>
      </c>
      <c r="M376">
        <f>_xlfn.XLOOKUP(TablaDatos[[#This Row],[PacienteID]],'Datos_Ejemplo.csv'!A:A,'Datos_Ejemplo.csv'!I:I)</f>
        <v>14</v>
      </c>
      <c r="N376">
        <f>ABS(TablaDatos[[#This Row],[DiasOriginal]])</f>
        <v>14</v>
      </c>
      <c r="O376" s="1">
        <f>TablaDatos[[#This Row],[FechaIngreso]]+TablaDatos[[#This Row],[DiasNuevo]]</f>
        <v>44990</v>
      </c>
    </row>
    <row r="377" spans="1:15">
      <c r="A377">
        <v>376</v>
      </c>
      <c r="B377" t="s">
        <v>361</v>
      </c>
      <c r="C377" s="1">
        <v>22281</v>
      </c>
      <c r="D377">
        <v>65</v>
      </c>
      <c r="E377" s="4" t="s">
        <v>12</v>
      </c>
      <c r="F377" t="s">
        <v>32</v>
      </c>
      <c r="G377" s="1">
        <v>45648</v>
      </c>
      <c r="H377" s="1">
        <f>TablaDatos[[#This Row],[FechaIngreso]]+TablaDatos[[#This Row],[DiasNuevo]]</f>
        <v>45682</v>
      </c>
      <c r="I377">
        <v>34</v>
      </c>
      <c r="J377" t="s">
        <v>23</v>
      </c>
      <c r="K377" s="3">
        <v>8221.2099999999991</v>
      </c>
      <c r="L377" t="b">
        <f>TablaDatos[[#This Row],[FechaAlta]] &lt; TablaDatos[[#This Row],[FechaIngreso]]</f>
        <v>0</v>
      </c>
      <c r="M377">
        <f>_xlfn.XLOOKUP(TablaDatos[[#This Row],[PacienteID]],'Datos_Ejemplo.csv'!A:A,'Datos_Ejemplo.csv'!I:I)</f>
        <v>34</v>
      </c>
      <c r="N377">
        <f>ABS(TablaDatos[[#This Row],[DiasOriginal]])</f>
        <v>34</v>
      </c>
      <c r="O377" s="1">
        <f>TablaDatos[[#This Row],[FechaIngreso]]+TablaDatos[[#This Row],[DiasNuevo]]</f>
        <v>45682</v>
      </c>
    </row>
    <row r="378" spans="1:15">
      <c r="A378">
        <v>377</v>
      </c>
      <c r="B378" t="s">
        <v>285</v>
      </c>
      <c r="C378" s="1">
        <v>36526</v>
      </c>
      <c r="D378">
        <v>26</v>
      </c>
      <c r="E378" s="4" t="s">
        <v>197</v>
      </c>
      <c r="F378" t="s">
        <v>201</v>
      </c>
      <c r="G378" s="1">
        <v>45084</v>
      </c>
      <c r="H378" s="1">
        <f>TablaDatos[[#This Row],[FechaIngreso]]+TablaDatos[[#This Row],[DiasNuevo]]</f>
        <v>45119</v>
      </c>
      <c r="I378">
        <v>35</v>
      </c>
      <c r="J378" t="s">
        <v>19</v>
      </c>
      <c r="K378" s="3">
        <v>18064.86</v>
      </c>
      <c r="L378" t="b">
        <f>TablaDatos[[#This Row],[FechaAlta]] &lt; TablaDatos[[#This Row],[FechaIngreso]]</f>
        <v>0</v>
      </c>
      <c r="M378">
        <f>_xlfn.XLOOKUP(TablaDatos[[#This Row],[PacienteID]],'Datos_Ejemplo.csv'!A:A,'Datos_Ejemplo.csv'!I:I)</f>
        <v>35</v>
      </c>
      <c r="N378">
        <f>ABS(TablaDatos[[#This Row],[DiasOriginal]])</f>
        <v>35</v>
      </c>
      <c r="O378" s="1">
        <f>TablaDatos[[#This Row],[FechaIngreso]]+TablaDatos[[#This Row],[DiasNuevo]]</f>
        <v>45119</v>
      </c>
    </row>
    <row r="379" spans="1:15">
      <c r="A379">
        <v>378</v>
      </c>
      <c r="B379" t="s">
        <v>279</v>
      </c>
      <c r="C379" s="1">
        <v>45657</v>
      </c>
      <c r="D379">
        <v>1</v>
      </c>
      <c r="E379" s="4" t="s">
        <v>12</v>
      </c>
      <c r="F379" t="s">
        <v>201</v>
      </c>
      <c r="G379" s="1">
        <v>45254</v>
      </c>
      <c r="H379" s="1">
        <f>TablaDatos[[#This Row],[FechaIngreso]]+TablaDatos[[#This Row],[DiasNuevo]]</f>
        <v>45280</v>
      </c>
      <c r="I379">
        <v>26</v>
      </c>
      <c r="J379" t="s">
        <v>19</v>
      </c>
      <c r="K379" s="3">
        <v>3831.88</v>
      </c>
      <c r="L379" t="b">
        <f>TablaDatos[[#This Row],[FechaAlta]] &lt; TablaDatos[[#This Row],[FechaIngreso]]</f>
        <v>0</v>
      </c>
      <c r="M379">
        <f>_xlfn.XLOOKUP(TablaDatos[[#This Row],[PacienteID]],'Datos_Ejemplo.csv'!A:A,'Datos_Ejemplo.csv'!I:I)</f>
        <v>26</v>
      </c>
      <c r="N379">
        <f>ABS(TablaDatos[[#This Row],[DiasOriginal]])</f>
        <v>26</v>
      </c>
      <c r="O379" s="1">
        <f>TablaDatos[[#This Row],[FechaIngreso]]+TablaDatos[[#This Row],[DiasNuevo]]</f>
        <v>45280</v>
      </c>
    </row>
    <row r="380" spans="1:15">
      <c r="A380">
        <v>379</v>
      </c>
      <c r="B380" t="s">
        <v>360</v>
      </c>
      <c r="C380" s="1">
        <v>13515</v>
      </c>
      <c r="D380">
        <v>89</v>
      </c>
      <c r="E380" s="4" t="s">
        <v>15</v>
      </c>
      <c r="F380" t="s">
        <v>18</v>
      </c>
      <c r="G380" s="1">
        <v>45003</v>
      </c>
      <c r="H380" s="1">
        <f>TablaDatos[[#This Row],[FechaIngreso]]+TablaDatos[[#This Row],[DiasNuevo]]</f>
        <v>45034</v>
      </c>
      <c r="I380">
        <v>31</v>
      </c>
      <c r="J380" t="s">
        <v>23</v>
      </c>
      <c r="K380" s="3">
        <v>19432.36</v>
      </c>
      <c r="L380" t="b">
        <f>TablaDatos[[#This Row],[FechaAlta]] &lt; TablaDatos[[#This Row],[FechaIngreso]]</f>
        <v>0</v>
      </c>
      <c r="M380">
        <f>_xlfn.XLOOKUP(TablaDatos[[#This Row],[PacienteID]],'Datos_Ejemplo.csv'!A:A,'Datos_Ejemplo.csv'!I:I)</f>
        <v>31</v>
      </c>
      <c r="N380">
        <f>ABS(TablaDatos[[#This Row],[DiasOriginal]])</f>
        <v>31</v>
      </c>
      <c r="O380" s="1">
        <f>TablaDatos[[#This Row],[FechaIngreso]]+TablaDatos[[#This Row],[DiasNuevo]]</f>
        <v>45034</v>
      </c>
    </row>
    <row r="381" spans="1:15">
      <c r="A381">
        <v>380</v>
      </c>
      <c r="B381" t="s">
        <v>275</v>
      </c>
      <c r="C381" s="1">
        <v>40178</v>
      </c>
      <c r="D381">
        <v>16</v>
      </c>
      <c r="E381" s="4" t="s">
        <v>15</v>
      </c>
      <c r="F381" t="s">
        <v>295</v>
      </c>
      <c r="G381" s="1">
        <v>45559</v>
      </c>
      <c r="H381" s="1">
        <f>TablaDatos[[#This Row],[FechaIngreso]]+TablaDatos[[#This Row],[DiasNuevo]]</f>
        <v>45586</v>
      </c>
      <c r="I381">
        <v>27</v>
      </c>
      <c r="J381" t="s">
        <v>25</v>
      </c>
      <c r="K381" s="3">
        <v>16184.08</v>
      </c>
      <c r="L381" t="b">
        <f>TablaDatos[[#This Row],[FechaAlta]] &lt; TablaDatos[[#This Row],[FechaIngreso]]</f>
        <v>0</v>
      </c>
      <c r="M381">
        <f>_xlfn.XLOOKUP(TablaDatos[[#This Row],[PacienteID]],'Datos_Ejemplo.csv'!A:A,'Datos_Ejemplo.csv'!I:I)</f>
        <v>27</v>
      </c>
      <c r="N381">
        <f>ABS(TablaDatos[[#This Row],[DiasOriginal]])</f>
        <v>27</v>
      </c>
      <c r="O381" s="1">
        <f>TablaDatos[[#This Row],[FechaIngreso]]+TablaDatos[[#This Row],[DiasNuevo]]</f>
        <v>45586</v>
      </c>
    </row>
    <row r="382" spans="1:15">
      <c r="A382">
        <v>381</v>
      </c>
      <c r="B382" t="s">
        <v>237</v>
      </c>
      <c r="C382" s="1">
        <v>34334</v>
      </c>
      <c r="D382">
        <v>32</v>
      </c>
      <c r="E382" s="4" t="s">
        <v>15</v>
      </c>
      <c r="F382" t="s">
        <v>13</v>
      </c>
      <c r="G382" s="1">
        <v>45380</v>
      </c>
      <c r="H382" s="1">
        <f>TablaDatos[[#This Row],[FechaIngreso]]+TablaDatos[[#This Row],[DiasNuevo]]</f>
        <v>45408</v>
      </c>
      <c r="I382">
        <v>28</v>
      </c>
      <c r="J382" t="s">
        <v>25</v>
      </c>
      <c r="K382" s="3">
        <v>17617.57</v>
      </c>
      <c r="L382" t="b">
        <f>TablaDatos[[#This Row],[FechaAlta]] &lt; TablaDatos[[#This Row],[FechaIngreso]]</f>
        <v>0</v>
      </c>
      <c r="M382">
        <f>_xlfn.XLOOKUP(TablaDatos[[#This Row],[PacienteID]],'Datos_Ejemplo.csv'!A:A,'Datos_Ejemplo.csv'!I:I)</f>
        <v>28</v>
      </c>
      <c r="N382">
        <f>ABS(TablaDatos[[#This Row],[DiasOriginal]])</f>
        <v>28</v>
      </c>
      <c r="O382" s="1">
        <f>TablaDatos[[#This Row],[FechaIngreso]]+TablaDatos[[#This Row],[DiasNuevo]]</f>
        <v>45408</v>
      </c>
    </row>
    <row r="383" spans="1:15">
      <c r="A383">
        <v>382</v>
      </c>
      <c r="B383" t="s">
        <v>102</v>
      </c>
      <c r="C383" s="1">
        <v>43100</v>
      </c>
      <c r="D383">
        <v>8</v>
      </c>
      <c r="E383" s="4" t="s">
        <v>15</v>
      </c>
      <c r="F383" t="s">
        <v>295</v>
      </c>
      <c r="G383" s="1">
        <v>45236</v>
      </c>
      <c r="H383" s="1">
        <f>TablaDatos[[#This Row],[FechaIngreso]]+TablaDatos[[#This Row],[DiasNuevo]]</f>
        <v>45255</v>
      </c>
      <c r="I383">
        <v>19</v>
      </c>
      <c r="J383" t="s">
        <v>19</v>
      </c>
      <c r="K383" s="3">
        <v>18581.82</v>
      </c>
      <c r="L383" t="b">
        <f>TablaDatos[[#This Row],[FechaAlta]] &lt; TablaDatos[[#This Row],[FechaIngreso]]</f>
        <v>0</v>
      </c>
      <c r="M383">
        <f>_xlfn.XLOOKUP(TablaDatos[[#This Row],[PacienteID]],'Datos_Ejemplo.csv'!A:A,'Datos_Ejemplo.csv'!I:I)</f>
        <v>19</v>
      </c>
      <c r="N383">
        <f>ABS(TablaDatos[[#This Row],[DiasOriginal]])</f>
        <v>19</v>
      </c>
      <c r="O383" s="1">
        <f>TablaDatos[[#This Row],[FechaIngreso]]+TablaDatos[[#This Row],[DiasNuevo]]</f>
        <v>45255</v>
      </c>
    </row>
    <row r="384" spans="1:15">
      <c r="A384">
        <v>383</v>
      </c>
      <c r="B384" t="s">
        <v>367</v>
      </c>
      <c r="C384" s="1">
        <v>30682</v>
      </c>
      <c r="D384">
        <v>42</v>
      </c>
      <c r="E384" s="4" t="s">
        <v>12</v>
      </c>
      <c r="F384" t="s">
        <v>295</v>
      </c>
      <c r="G384" s="1">
        <v>45253</v>
      </c>
      <c r="H384" s="1">
        <f>TablaDatos[[#This Row],[FechaIngreso]]+TablaDatos[[#This Row],[DiasNuevo]]</f>
        <v>45275</v>
      </c>
      <c r="I384">
        <v>22</v>
      </c>
      <c r="J384" t="s">
        <v>19</v>
      </c>
      <c r="K384" s="3">
        <v>15040.15</v>
      </c>
      <c r="L384" t="b">
        <f>TablaDatos[[#This Row],[FechaAlta]] &lt; TablaDatos[[#This Row],[FechaIngreso]]</f>
        <v>0</v>
      </c>
      <c r="M384">
        <f>_xlfn.XLOOKUP(TablaDatos[[#This Row],[PacienteID]],'Datos_Ejemplo.csv'!A:A,'Datos_Ejemplo.csv'!I:I)</f>
        <v>22</v>
      </c>
      <c r="N384">
        <f>ABS(TablaDatos[[#This Row],[DiasOriginal]])</f>
        <v>22</v>
      </c>
      <c r="O384" s="1">
        <f>TablaDatos[[#This Row],[FechaIngreso]]+TablaDatos[[#This Row],[DiasNuevo]]</f>
        <v>45275</v>
      </c>
    </row>
    <row r="385" spans="1:15">
      <c r="A385">
        <v>384</v>
      </c>
      <c r="B385" t="s">
        <v>269</v>
      </c>
      <c r="C385" s="1">
        <v>28856</v>
      </c>
      <c r="D385">
        <v>47</v>
      </c>
      <c r="E385" s="4" t="s">
        <v>12</v>
      </c>
      <c r="F385" t="s">
        <v>295</v>
      </c>
      <c r="G385" s="1">
        <v>45434</v>
      </c>
      <c r="H385" s="1">
        <f>TablaDatos[[#This Row],[FechaIngreso]]+TablaDatos[[#This Row],[DiasNuevo]]</f>
        <v>45435</v>
      </c>
      <c r="I385">
        <v>1</v>
      </c>
      <c r="J385" t="s">
        <v>23</v>
      </c>
      <c r="K385" s="3">
        <v>15754.47</v>
      </c>
      <c r="L385" t="b">
        <f>TablaDatos[[#This Row],[FechaAlta]] &lt; TablaDatos[[#This Row],[FechaIngreso]]</f>
        <v>0</v>
      </c>
      <c r="M385">
        <f>_xlfn.XLOOKUP(TablaDatos[[#This Row],[PacienteID]],'Datos_Ejemplo.csv'!A:A,'Datos_Ejemplo.csv'!I:I)</f>
        <v>1</v>
      </c>
      <c r="N385">
        <f>ABS(TablaDatos[[#This Row],[DiasOriginal]])</f>
        <v>1</v>
      </c>
      <c r="O385" s="1">
        <f>TablaDatos[[#This Row],[FechaIngreso]]+TablaDatos[[#This Row],[DiasNuevo]]</f>
        <v>45435</v>
      </c>
    </row>
    <row r="386" spans="1:15">
      <c r="A386">
        <v>385</v>
      </c>
      <c r="B386" t="s">
        <v>249</v>
      </c>
      <c r="C386" s="1">
        <v>32143</v>
      </c>
      <c r="D386">
        <v>38</v>
      </c>
      <c r="E386" s="4" t="s">
        <v>12</v>
      </c>
      <c r="F386" t="s">
        <v>32</v>
      </c>
      <c r="G386" s="1">
        <v>45033</v>
      </c>
      <c r="H386" s="1">
        <f>TablaDatos[[#This Row],[FechaIngreso]]+TablaDatos[[#This Row],[DiasNuevo]]</f>
        <v>45065</v>
      </c>
      <c r="I386">
        <v>32</v>
      </c>
      <c r="J386" t="s">
        <v>23</v>
      </c>
      <c r="K386" s="3">
        <v>8700.15</v>
      </c>
      <c r="L386" t="b">
        <f>TablaDatos[[#This Row],[FechaAlta]] &lt; TablaDatos[[#This Row],[FechaIngreso]]</f>
        <v>0</v>
      </c>
      <c r="M386">
        <f>_xlfn.XLOOKUP(TablaDatos[[#This Row],[PacienteID]],'Datos_Ejemplo.csv'!A:A,'Datos_Ejemplo.csv'!I:I)</f>
        <v>32</v>
      </c>
      <c r="N386">
        <f>ABS(TablaDatos[[#This Row],[DiasOriginal]])</f>
        <v>32</v>
      </c>
      <c r="O386" s="1">
        <f>TablaDatos[[#This Row],[FechaIngreso]]+TablaDatos[[#This Row],[DiasNuevo]]</f>
        <v>45065</v>
      </c>
    </row>
    <row r="387" spans="1:15">
      <c r="A387">
        <v>386</v>
      </c>
      <c r="B387" t="s">
        <v>355</v>
      </c>
      <c r="C387" s="1">
        <v>12419</v>
      </c>
      <c r="D387">
        <v>92</v>
      </c>
      <c r="E387" s="4" t="s">
        <v>12</v>
      </c>
      <c r="F387" t="s">
        <v>295</v>
      </c>
      <c r="G387" s="1">
        <v>45167</v>
      </c>
      <c r="H387" s="1">
        <f>TablaDatos[[#This Row],[FechaIngreso]]+TablaDatos[[#This Row],[DiasNuevo]]</f>
        <v>45205</v>
      </c>
      <c r="I387">
        <v>38</v>
      </c>
      <c r="J387" t="s">
        <v>23</v>
      </c>
      <c r="K387" s="3">
        <v>10160.049999999999</v>
      </c>
      <c r="L387" t="b">
        <f>TablaDatos[[#This Row],[FechaAlta]] &lt; TablaDatos[[#This Row],[FechaIngreso]]</f>
        <v>0</v>
      </c>
      <c r="M387">
        <f>_xlfn.XLOOKUP(TablaDatos[[#This Row],[PacienteID]],'Datos_Ejemplo.csv'!A:A,'Datos_Ejemplo.csv'!I:I)</f>
        <v>38</v>
      </c>
      <c r="N387">
        <f>ABS(TablaDatos[[#This Row],[DiasOriginal]])</f>
        <v>38</v>
      </c>
      <c r="O387" s="1">
        <f>TablaDatos[[#This Row],[FechaIngreso]]+TablaDatos[[#This Row],[DiasNuevo]]</f>
        <v>45205</v>
      </c>
    </row>
    <row r="388" spans="1:15">
      <c r="A388">
        <v>387</v>
      </c>
      <c r="B388" t="s">
        <v>55</v>
      </c>
      <c r="C388" s="1">
        <v>31047</v>
      </c>
      <c r="D388">
        <v>41</v>
      </c>
      <c r="E388" s="4" t="s">
        <v>12</v>
      </c>
      <c r="F388" t="s">
        <v>13</v>
      </c>
      <c r="G388" s="1">
        <v>45361</v>
      </c>
      <c r="H388" s="1">
        <f>TablaDatos[[#This Row],[FechaIngreso]]+TablaDatos[[#This Row],[DiasNuevo]]</f>
        <v>45367</v>
      </c>
      <c r="I388">
        <v>6</v>
      </c>
      <c r="J388" t="s">
        <v>19</v>
      </c>
      <c r="K388" s="3">
        <v>18642.96</v>
      </c>
      <c r="L388" t="b">
        <f>TablaDatos[[#This Row],[FechaAlta]] &lt; TablaDatos[[#This Row],[FechaIngreso]]</f>
        <v>0</v>
      </c>
      <c r="M388">
        <f>_xlfn.XLOOKUP(TablaDatos[[#This Row],[PacienteID]],'Datos_Ejemplo.csv'!A:A,'Datos_Ejemplo.csv'!I:I)</f>
        <v>6</v>
      </c>
      <c r="N388">
        <f>ABS(TablaDatos[[#This Row],[DiasOriginal]])</f>
        <v>6</v>
      </c>
      <c r="O388" s="1">
        <f>TablaDatos[[#This Row],[FechaIngreso]]+TablaDatos[[#This Row],[DiasNuevo]]</f>
        <v>45367</v>
      </c>
    </row>
    <row r="389" spans="1:15">
      <c r="A389">
        <v>388</v>
      </c>
      <c r="B389" t="s">
        <v>105</v>
      </c>
      <c r="C389" s="1">
        <v>36891</v>
      </c>
      <c r="D389">
        <v>25</v>
      </c>
      <c r="E389" s="4" t="s">
        <v>15</v>
      </c>
      <c r="F389" t="s">
        <v>32</v>
      </c>
      <c r="G389" s="1">
        <v>44954</v>
      </c>
      <c r="H389" s="1">
        <f>TablaDatos[[#This Row],[FechaIngreso]]+TablaDatos[[#This Row],[DiasNuevo]]</f>
        <v>44977</v>
      </c>
      <c r="I389">
        <v>23</v>
      </c>
      <c r="J389" t="s">
        <v>23</v>
      </c>
      <c r="K389" s="3">
        <v>7502.94</v>
      </c>
      <c r="L389" t="b">
        <f>TablaDatos[[#This Row],[FechaAlta]] &lt; TablaDatos[[#This Row],[FechaIngreso]]</f>
        <v>0</v>
      </c>
      <c r="M389">
        <f>_xlfn.XLOOKUP(TablaDatos[[#This Row],[PacienteID]],'Datos_Ejemplo.csv'!A:A,'Datos_Ejemplo.csv'!I:I)</f>
        <v>23</v>
      </c>
      <c r="N389">
        <f>ABS(TablaDatos[[#This Row],[DiasOriginal]])</f>
        <v>23</v>
      </c>
      <c r="O389" s="1">
        <f>TablaDatos[[#This Row],[FechaIngreso]]+TablaDatos[[#This Row],[DiasNuevo]]</f>
        <v>44977</v>
      </c>
    </row>
    <row r="390" spans="1:15">
      <c r="A390">
        <v>389</v>
      </c>
      <c r="B390" t="s">
        <v>231</v>
      </c>
      <c r="C390" s="1">
        <v>28125</v>
      </c>
      <c r="D390">
        <v>49</v>
      </c>
      <c r="E390" s="4" t="s">
        <v>12</v>
      </c>
      <c r="F390" t="s">
        <v>13</v>
      </c>
      <c r="G390" s="1">
        <v>45630</v>
      </c>
      <c r="H390" s="1">
        <f>TablaDatos[[#This Row],[FechaIngreso]]+TablaDatos[[#This Row],[DiasNuevo]]</f>
        <v>45654</v>
      </c>
      <c r="I390">
        <v>24</v>
      </c>
      <c r="J390" t="s">
        <v>23</v>
      </c>
      <c r="K390" s="3">
        <v>743.14</v>
      </c>
      <c r="L390" t="b">
        <f>TablaDatos[[#This Row],[FechaAlta]] &lt; TablaDatos[[#This Row],[FechaIngreso]]</f>
        <v>0</v>
      </c>
      <c r="M390">
        <f>_xlfn.XLOOKUP(TablaDatos[[#This Row],[PacienteID]],'Datos_Ejemplo.csv'!A:A,'Datos_Ejemplo.csv'!I:I)</f>
        <v>24</v>
      </c>
      <c r="N390">
        <f>ABS(TablaDatos[[#This Row],[DiasOriginal]])</f>
        <v>24</v>
      </c>
      <c r="O390" s="1">
        <f>TablaDatos[[#This Row],[FechaIngreso]]+TablaDatos[[#This Row],[DiasNuevo]]</f>
        <v>45654</v>
      </c>
    </row>
    <row r="391" spans="1:15">
      <c r="A391">
        <v>390</v>
      </c>
      <c r="B391" t="s">
        <v>274</v>
      </c>
      <c r="C391" s="1">
        <v>37256</v>
      </c>
      <c r="D391">
        <v>24</v>
      </c>
      <c r="E391" s="4" t="s">
        <v>15</v>
      </c>
      <c r="F391" t="s">
        <v>32</v>
      </c>
      <c r="G391" s="1">
        <v>45175</v>
      </c>
      <c r="H391" s="1">
        <f>TablaDatos[[#This Row],[FechaIngreso]]+TablaDatos[[#This Row],[DiasNuevo]]</f>
        <v>45199</v>
      </c>
      <c r="I391">
        <v>24</v>
      </c>
      <c r="J391" t="s">
        <v>25</v>
      </c>
      <c r="K391" s="3">
        <v>15231.36</v>
      </c>
      <c r="L391" t="b">
        <f>TablaDatos[[#This Row],[FechaAlta]] &lt; TablaDatos[[#This Row],[FechaIngreso]]</f>
        <v>0</v>
      </c>
      <c r="M391">
        <f>_xlfn.XLOOKUP(TablaDatos[[#This Row],[PacienteID]],'Datos_Ejemplo.csv'!A:A,'Datos_Ejemplo.csv'!I:I)</f>
        <v>24</v>
      </c>
      <c r="N391">
        <f>ABS(TablaDatos[[#This Row],[DiasOriginal]])</f>
        <v>24</v>
      </c>
      <c r="O391" s="1">
        <f>TablaDatos[[#This Row],[FechaIngreso]]+TablaDatos[[#This Row],[DiasNuevo]]</f>
        <v>45199</v>
      </c>
    </row>
    <row r="392" spans="1:15">
      <c r="A392">
        <v>391</v>
      </c>
      <c r="B392" t="s">
        <v>332</v>
      </c>
      <c r="C392" s="1">
        <v>37622</v>
      </c>
      <c r="D392">
        <v>23</v>
      </c>
      <c r="E392" s="4" t="s">
        <v>15</v>
      </c>
      <c r="F392" t="s">
        <v>21</v>
      </c>
      <c r="G392" s="1">
        <v>45290</v>
      </c>
      <c r="H392" s="1">
        <f>TablaDatos[[#This Row],[FechaIngreso]]+TablaDatos[[#This Row],[DiasNuevo]]</f>
        <v>45305</v>
      </c>
      <c r="I392">
        <v>15</v>
      </c>
      <c r="J392" t="s">
        <v>23</v>
      </c>
      <c r="K392" s="3">
        <v>11420.47</v>
      </c>
      <c r="L392" t="b">
        <f>TablaDatos[[#This Row],[FechaAlta]] &lt; TablaDatos[[#This Row],[FechaIngreso]]</f>
        <v>0</v>
      </c>
      <c r="M392">
        <f>_xlfn.XLOOKUP(TablaDatos[[#This Row],[PacienteID]],'Datos_Ejemplo.csv'!A:A,'Datos_Ejemplo.csv'!I:I)</f>
        <v>15</v>
      </c>
      <c r="N392">
        <f>ABS(TablaDatos[[#This Row],[DiasOriginal]])</f>
        <v>15</v>
      </c>
      <c r="O392" s="1">
        <f>TablaDatos[[#This Row],[FechaIngreso]]+TablaDatos[[#This Row],[DiasNuevo]]</f>
        <v>45305</v>
      </c>
    </row>
    <row r="393" spans="1:15">
      <c r="A393">
        <v>392</v>
      </c>
      <c r="B393" t="s">
        <v>312</v>
      </c>
      <c r="C393" s="1">
        <v>41639</v>
      </c>
      <c r="D393">
        <v>12</v>
      </c>
      <c r="E393" s="4" t="s">
        <v>15</v>
      </c>
      <c r="F393" t="s">
        <v>21</v>
      </c>
      <c r="G393" s="1">
        <v>45651</v>
      </c>
      <c r="H393" s="1">
        <f>TablaDatos[[#This Row],[FechaIngreso]]+TablaDatos[[#This Row],[DiasNuevo]]</f>
        <v>45678</v>
      </c>
      <c r="I393">
        <v>27</v>
      </c>
      <c r="J393" t="s">
        <v>25</v>
      </c>
      <c r="K393" s="3">
        <v>16279.01</v>
      </c>
      <c r="L393" t="b">
        <f>TablaDatos[[#This Row],[FechaAlta]] &lt; TablaDatos[[#This Row],[FechaIngreso]]</f>
        <v>0</v>
      </c>
      <c r="M393">
        <f>_xlfn.XLOOKUP(TablaDatos[[#This Row],[PacienteID]],'Datos_Ejemplo.csv'!A:A,'Datos_Ejemplo.csv'!I:I)</f>
        <v>27</v>
      </c>
      <c r="N393">
        <f>ABS(TablaDatos[[#This Row],[DiasOriginal]])</f>
        <v>27</v>
      </c>
      <c r="O393" s="1">
        <f>TablaDatos[[#This Row],[FechaIngreso]]+TablaDatos[[#This Row],[DiasNuevo]]</f>
        <v>45678</v>
      </c>
    </row>
    <row r="394" spans="1:15">
      <c r="A394">
        <v>393</v>
      </c>
      <c r="B394" t="s">
        <v>152</v>
      </c>
      <c r="C394" s="1">
        <v>24473</v>
      </c>
      <c r="D394">
        <v>59</v>
      </c>
      <c r="E394" s="4" t="s">
        <v>12</v>
      </c>
      <c r="F394" t="s">
        <v>21</v>
      </c>
      <c r="G394" s="1">
        <v>45459</v>
      </c>
      <c r="H394" s="1">
        <f>TablaDatos[[#This Row],[FechaIngreso]]+TablaDatos[[#This Row],[DiasNuevo]]</f>
        <v>45487</v>
      </c>
      <c r="I394">
        <v>28</v>
      </c>
      <c r="J394" t="s">
        <v>25</v>
      </c>
      <c r="K394" s="3">
        <v>1418.58</v>
      </c>
      <c r="L394" t="b">
        <f>TablaDatos[[#This Row],[FechaAlta]] &lt; TablaDatos[[#This Row],[FechaIngreso]]</f>
        <v>0</v>
      </c>
      <c r="M394">
        <f>_xlfn.XLOOKUP(TablaDatos[[#This Row],[PacienteID]],'Datos_Ejemplo.csv'!A:A,'Datos_Ejemplo.csv'!I:I)</f>
        <v>28</v>
      </c>
      <c r="N394">
        <f>ABS(TablaDatos[[#This Row],[DiasOriginal]])</f>
        <v>28</v>
      </c>
      <c r="O394" s="1">
        <f>TablaDatos[[#This Row],[FechaIngreso]]+TablaDatos[[#This Row],[DiasNuevo]]</f>
        <v>45487</v>
      </c>
    </row>
    <row r="395" spans="1:15">
      <c r="A395">
        <v>394</v>
      </c>
      <c r="B395" t="s">
        <v>267</v>
      </c>
      <c r="C395" s="1">
        <v>43831</v>
      </c>
      <c r="D395">
        <f ca="1">DATEDIF(TablaDatos[[#This Row],[FechaNacimiento]],TODAY(),"Y")</f>
        <v>6</v>
      </c>
      <c r="E395" s="4" t="s">
        <v>15</v>
      </c>
      <c r="F395" t="s">
        <v>21</v>
      </c>
      <c r="G395" s="1">
        <v>45398</v>
      </c>
      <c r="H395" s="1">
        <f>TablaDatos[[#This Row],[FechaIngreso]]+TablaDatos[[#This Row],[DiasNuevo]]</f>
        <v>45437</v>
      </c>
      <c r="I395">
        <v>39</v>
      </c>
      <c r="J395" t="s">
        <v>23</v>
      </c>
      <c r="K395" s="3">
        <v>12386.76</v>
      </c>
      <c r="L395" t="b">
        <f>TablaDatos[[#This Row],[FechaAlta]] &lt; TablaDatos[[#This Row],[FechaIngreso]]</f>
        <v>0</v>
      </c>
      <c r="M395">
        <f>_xlfn.XLOOKUP(TablaDatos[[#This Row],[PacienteID]],'Datos_Ejemplo.csv'!A:A,'Datos_Ejemplo.csv'!I:I)</f>
        <v>39</v>
      </c>
      <c r="N395">
        <f>ABS(TablaDatos[[#This Row],[DiasOriginal]])</f>
        <v>39</v>
      </c>
      <c r="O395" s="1">
        <f>TablaDatos[[#This Row],[FechaIngreso]]+TablaDatos[[#This Row],[DiasNuevo]]</f>
        <v>45437</v>
      </c>
    </row>
    <row r="396" spans="1:15">
      <c r="A396">
        <v>395</v>
      </c>
      <c r="B396" t="s">
        <v>256</v>
      </c>
      <c r="C396" s="1">
        <v>25568</v>
      </c>
      <c r="D396">
        <v>56</v>
      </c>
      <c r="E396" s="4" t="s">
        <v>15</v>
      </c>
      <c r="F396" t="s">
        <v>32</v>
      </c>
      <c r="G396" s="1">
        <v>45593</v>
      </c>
      <c r="H396" s="1">
        <f>TablaDatos[[#This Row],[FechaIngreso]]+TablaDatos[[#This Row],[DiasNuevo]]</f>
        <v>45593</v>
      </c>
      <c r="I396">
        <v>0</v>
      </c>
      <c r="J396" t="s">
        <v>23</v>
      </c>
      <c r="K396" s="3">
        <v>4878.8900000000003</v>
      </c>
      <c r="L396" t="b">
        <f>TablaDatos[[#This Row],[FechaAlta]] &lt; TablaDatos[[#This Row],[FechaIngreso]]</f>
        <v>0</v>
      </c>
      <c r="M396">
        <f>_xlfn.XLOOKUP(TablaDatos[[#This Row],[PacienteID]],'Datos_Ejemplo.csv'!A:A,'Datos_Ejemplo.csv'!I:I)</f>
        <v>0</v>
      </c>
      <c r="N396">
        <f>ABS(TablaDatos[[#This Row],[DiasOriginal]])</f>
        <v>0</v>
      </c>
      <c r="O396" s="1">
        <f>TablaDatos[[#This Row],[FechaIngreso]]+TablaDatos[[#This Row],[DiasNuevo]]</f>
        <v>45593</v>
      </c>
    </row>
    <row r="397" spans="1:15">
      <c r="A397">
        <v>396</v>
      </c>
      <c r="B397" t="s">
        <v>272</v>
      </c>
      <c r="C397" s="1">
        <v>33239</v>
      </c>
      <c r="D397">
        <v>35</v>
      </c>
      <c r="E397" s="4" t="s">
        <v>12</v>
      </c>
      <c r="F397" t="s">
        <v>295</v>
      </c>
      <c r="G397" s="1">
        <v>45465</v>
      </c>
      <c r="H397" s="1">
        <f>TablaDatos[[#This Row],[FechaIngreso]]+TablaDatos[[#This Row],[DiasNuevo]]</f>
        <v>45491</v>
      </c>
      <c r="I397">
        <v>26</v>
      </c>
      <c r="J397" t="s">
        <v>19</v>
      </c>
      <c r="K397" s="3">
        <v>18055.7</v>
      </c>
      <c r="L397" t="b">
        <f>TablaDatos[[#This Row],[FechaAlta]] &lt; TablaDatos[[#This Row],[FechaIngreso]]</f>
        <v>0</v>
      </c>
      <c r="M397">
        <f>_xlfn.XLOOKUP(TablaDatos[[#This Row],[PacienteID]],'Datos_Ejemplo.csv'!A:A,'Datos_Ejemplo.csv'!I:I)</f>
        <v>26</v>
      </c>
      <c r="N397">
        <f>ABS(TablaDatos[[#This Row],[DiasOriginal]])</f>
        <v>26</v>
      </c>
      <c r="O397" s="1">
        <f>TablaDatos[[#This Row],[FechaIngreso]]+TablaDatos[[#This Row],[DiasNuevo]]</f>
        <v>45491</v>
      </c>
    </row>
    <row r="398" spans="1:15">
      <c r="A398">
        <v>397</v>
      </c>
      <c r="B398" t="s">
        <v>255</v>
      </c>
      <c r="C398" s="1">
        <v>29951</v>
      </c>
      <c r="D398">
        <v>44</v>
      </c>
      <c r="E398" s="4" t="s">
        <v>12</v>
      </c>
      <c r="F398" t="s">
        <v>18</v>
      </c>
      <c r="G398" s="1">
        <v>45515</v>
      </c>
      <c r="H398" s="1">
        <f>TablaDatos[[#This Row],[FechaIngreso]]+TablaDatos[[#This Row],[DiasNuevo]]</f>
        <v>45519</v>
      </c>
      <c r="I398">
        <v>4</v>
      </c>
      <c r="J398" t="s">
        <v>23</v>
      </c>
      <c r="K398" s="3">
        <v>2109.19</v>
      </c>
      <c r="L398" t="b">
        <f>TablaDatos[[#This Row],[FechaAlta]] &lt; TablaDatos[[#This Row],[FechaIngreso]]</f>
        <v>0</v>
      </c>
      <c r="M398">
        <f>_xlfn.XLOOKUP(TablaDatos[[#This Row],[PacienteID]],'Datos_Ejemplo.csv'!A:A,'Datos_Ejemplo.csv'!I:I)</f>
        <v>4</v>
      </c>
      <c r="N398">
        <f>ABS(TablaDatos[[#This Row],[DiasOriginal]])</f>
        <v>4</v>
      </c>
      <c r="O398" s="1">
        <f>TablaDatos[[#This Row],[FechaIngreso]]+TablaDatos[[#This Row],[DiasNuevo]]</f>
        <v>45519</v>
      </c>
    </row>
    <row r="399" spans="1:15">
      <c r="A399">
        <v>398</v>
      </c>
      <c r="B399" t="s">
        <v>231</v>
      </c>
      <c r="C399" s="1">
        <v>39083</v>
      </c>
      <c r="D399">
        <v>19</v>
      </c>
      <c r="E399" s="4" t="s">
        <v>15</v>
      </c>
      <c r="F399" t="s">
        <v>201</v>
      </c>
      <c r="G399" s="1">
        <v>45339</v>
      </c>
      <c r="H399" s="1">
        <f>TablaDatos[[#This Row],[FechaIngreso]]+TablaDatos[[#This Row],[DiasNuevo]]</f>
        <v>45354</v>
      </c>
      <c r="I399">
        <v>15</v>
      </c>
      <c r="J399" t="s">
        <v>25</v>
      </c>
      <c r="K399" s="3">
        <v>16845.689999999999</v>
      </c>
      <c r="L399" t="b">
        <f>TablaDatos[[#This Row],[FechaAlta]] &lt; TablaDatos[[#This Row],[FechaIngreso]]</f>
        <v>0</v>
      </c>
      <c r="M399">
        <f>_xlfn.XLOOKUP(TablaDatos[[#This Row],[PacienteID]],'Datos_Ejemplo.csv'!A:A,'Datos_Ejemplo.csv'!I:I)</f>
        <v>15</v>
      </c>
      <c r="N399">
        <f>ABS(TablaDatos[[#This Row],[DiasOriginal]])</f>
        <v>15</v>
      </c>
      <c r="O399" s="1">
        <f>TablaDatos[[#This Row],[FechaIngreso]]+TablaDatos[[#This Row],[DiasNuevo]]</f>
        <v>45354</v>
      </c>
    </row>
    <row r="400" spans="1:15">
      <c r="A400">
        <v>399</v>
      </c>
      <c r="B400" t="s">
        <v>111</v>
      </c>
      <c r="C400" s="1">
        <v>22646</v>
      </c>
      <c r="D400">
        <v>64</v>
      </c>
      <c r="E400" s="4" t="s">
        <v>15</v>
      </c>
      <c r="F400" t="s">
        <v>261</v>
      </c>
      <c r="G400" s="1">
        <v>45495</v>
      </c>
      <c r="H400" s="1">
        <f>TablaDatos[[#This Row],[FechaIngreso]]+TablaDatos[[#This Row],[DiasNuevo]]</f>
        <v>45508</v>
      </c>
      <c r="I400">
        <v>13</v>
      </c>
      <c r="J400" t="s">
        <v>23</v>
      </c>
      <c r="K400" s="3">
        <v>1679.94</v>
      </c>
      <c r="L400" t="b">
        <f>TablaDatos[[#This Row],[FechaAlta]] &lt; TablaDatos[[#This Row],[FechaIngreso]]</f>
        <v>0</v>
      </c>
      <c r="M400">
        <f>_xlfn.XLOOKUP(TablaDatos[[#This Row],[PacienteID]],'Datos_Ejemplo.csv'!A:A,'Datos_Ejemplo.csv'!I:I)</f>
        <v>13</v>
      </c>
      <c r="N400">
        <f>ABS(TablaDatos[[#This Row],[DiasOriginal]])</f>
        <v>13</v>
      </c>
      <c r="O400" s="1">
        <f>TablaDatos[[#This Row],[FechaIngreso]]+TablaDatos[[#This Row],[DiasNuevo]]</f>
        <v>45508</v>
      </c>
    </row>
    <row r="401" spans="1:15">
      <c r="A401">
        <v>400</v>
      </c>
      <c r="B401" t="s">
        <v>52</v>
      </c>
      <c r="C401" s="1">
        <v>43466</v>
      </c>
      <c r="D401">
        <v>7</v>
      </c>
      <c r="E401" s="4" t="s">
        <v>12</v>
      </c>
      <c r="F401" t="s">
        <v>18</v>
      </c>
      <c r="G401" s="1">
        <v>45557</v>
      </c>
      <c r="H401" s="1">
        <f>TablaDatos[[#This Row],[FechaIngreso]]+TablaDatos[[#This Row],[DiasNuevo]]</f>
        <v>45586</v>
      </c>
      <c r="I401">
        <v>29</v>
      </c>
      <c r="J401" t="s">
        <v>19</v>
      </c>
      <c r="K401" s="3">
        <v>404.46</v>
      </c>
      <c r="L401" t="b">
        <f>TablaDatos[[#This Row],[FechaAlta]] &lt; TablaDatos[[#This Row],[FechaIngreso]]</f>
        <v>0</v>
      </c>
      <c r="M401">
        <f>_xlfn.XLOOKUP(TablaDatos[[#This Row],[PacienteID]],'Datos_Ejemplo.csv'!A:A,'Datos_Ejemplo.csv'!I:I)</f>
        <v>29</v>
      </c>
      <c r="N401">
        <f>ABS(TablaDatos[[#This Row],[DiasOriginal]])</f>
        <v>29</v>
      </c>
      <c r="O401" s="1">
        <f>TablaDatos[[#This Row],[FechaIngreso]]+TablaDatos[[#This Row],[DiasNuevo]]</f>
        <v>45586</v>
      </c>
    </row>
    <row r="402" spans="1:15">
      <c r="A402">
        <v>401</v>
      </c>
      <c r="B402" t="s">
        <v>343</v>
      </c>
      <c r="C402" s="1">
        <v>40544</v>
      </c>
      <c r="D402">
        <v>15</v>
      </c>
      <c r="E402" s="4" t="s">
        <v>15</v>
      </c>
      <c r="F402" t="s">
        <v>21</v>
      </c>
      <c r="G402" s="1">
        <v>45091</v>
      </c>
      <c r="H402" s="1">
        <f>TablaDatos[[#This Row],[FechaIngreso]]+TablaDatos[[#This Row],[DiasNuevo]]</f>
        <v>45126</v>
      </c>
      <c r="I402">
        <v>35</v>
      </c>
      <c r="J402" t="s">
        <v>25</v>
      </c>
      <c r="K402" s="3">
        <v>4624.6899999999996</v>
      </c>
      <c r="L402" t="b">
        <f>TablaDatos[[#This Row],[FechaAlta]] &lt; TablaDatos[[#This Row],[FechaIngreso]]</f>
        <v>0</v>
      </c>
      <c r="M402">
        <f>_xlfn.XLOOKUP(TablaDatos[[#This Row],[PacienteID]],'Datos_Ejemplo.csv'!A:A,'Datos_Ejemplo.csv'!I:I)</f>
        <v>35</v>
      </c>
      <c r="N402">
        <f>ABS(TablaDatos[[#This Row],[DiasOriginal]])</f>
        <v>35</v>
      </c>
      <c r="O402" s="1">
        <f>TablaDatos[[#This Row],[FechaIngreso]]+TablaDatos[[#This Row],[DiasNuevo]]</f>
        <v>45126</v>
      </c>
    </row>
    <row r="403" spans="1:15">
      <c r="A403">
        <v>402</v>
      </c>
      <c r="B403" t="s">
        <v>250</v>
      </c>
      <c r="C403" s="1">
        <v>41274</v>
      </c>
      <c r="D403">
        <v>13</v>
      </c>
      <c r="E403" s="4" t="s">
        <v>12</v>
      </c>
      <c r="F403" t="s">
        <v>295</v>
      </c>
      <c r="G403" s="1">
        <v>45502</v>
      </c>
      <c r="H403" s="1">
        <f>TablaDatos[[#This Row],[FechaIngreso]]+TablaDatos[[#This Row],[DiasNuevo]]</f>
        <v>45524</v>
      </c>
      <c r="I403">
        <v>22</v>
      </c>
      <c r="J403" t="s">
        <v>23</v>
      </c>
      <c r="K403" s="3">
        <v>6594.2</v>
      </c>
      <c r="L403" t="b">
        <f>TablaDatos[[#This Row],[FechaAlta]] &lt; TablaDatos[[#This Row],[FechaIngreso]]</f>
        <v>0</v>
      </c>
      <c r="M403">
        <f>_xlfn.XLOOKUP(TablaDatos[[#This Row],[PacienteID]],'Datos_Ejemplo.csv'!A:A,'Datos_Ejemplo.csv'!I:I)</f>
        <v>22</v>
      </c>
      <c r="N403">
        <f>ABS(TablaDatos[[#This Row],[DiasOriginal]])</f>
        <v>22</v>
      </c>
      <c r="O403" s="1">
        <f>TablaDatos[[#This Row],[FechaIngreso]]+TablaDatos[[#This Row],[DiasNuevo]]</f>
        <v>45524</v>
      </c>
    </row>
    <row r="404" spans="1:15">
      <c r="A404">
        <v>403</v>
      </c>
      <c r="B404" t="s">
        <v>284</v>
      </c>
      <c r="C404" s="1">
        <v>18629</v>
      </c>
      <c r="D404">
        <v>75</v>
      </c>
      <c r="E404" s="4" t="s">
        <v>12</v>
      </c>
      <c r="F404" t="s">
        <v>13</v>
      </c>
      <c r="G404" s="1">
        <v>44974</v>
      </c>
      <c r="H404" s="1">
        <f>TablaDatos[[#This Row],[FechaIngreso]]+TablaDatos[[#This Row],[DiasNuevo]]</f>
        <v>45003</v>
      </c>
      <c r="I404">
        <v>29</v>
      </c>
      <c r="J404" t="s">
        <v>25</v>
      </c>
      <c r="K404" s="3">
        <v>12493.23</v>
      </c>
      <c r="L404" t="b">
        <f>TablaDatos[[#This Row],[FechaAlta]] &lt; TablaDatos[[#This Row],[FechaIngreso]]</f>
        <v>0</v>
      </c>
      <c r="M404">
        <f>_xlfn.XLOOKUP(TablaDatos[[#This Row],[PacienteID]],'Datos_Ejemplo.csv'!A:A,'Datos_Ejemplo.csv'!I:I)</f>
        <v>29</v>
      </c>
      <c r="N404">
        <f>ABS(TablaDatos[[#This Row],[DiasOriginal]])</f>
        <v>29</v>
      </c>
      <c r="O404" s="1">
        <f>TablaDatos[[#This Row],[FechaIngreso]]+TablaDatos[[#This Row],[DiasNuevo]]</f>
        <v>45003</v>
      </c>
    </row>
    <row r="405" spans="1:15">
      <c r="A405">
        <v>404</v>
      </c>
      <c r="B405" t="s">
        <v>67</v>
      </c>
      <c r="C405" s="1">
        <v>14611</v>
      </c>
      <c r="D405">
        <v>86</v>
      </c>
      <c r="E405" s="4" t="s">
        <v>15</v>
      </c>
      <c r="F405" t="s">
        <v>295</v>
      </c>
      <c r="G405" s="1">
        <v>45588</v>
      </c>
      <c r="H405" s="1">
        <f>TablaDatos[[#This Row],[FechaIngreso]]+TablaDatos[[#This Row],[DiasNuevo]]</f>
        <v>45604</v>
      </c>
      <c r="I405">
        <v>16</v>
      </c>
      <c r="J405" t="s">
        <v>23</v>
      </c>
      <c r="K405" s="3">
        <v>2547.66</v>
      </c>
      <c r="L405" t="b">
        <f>TablaDatos[[#This Row],[FechaAlta]] &lt; TablaDatos[[#This Row],[FechaIngreso]]</f>
        <v>0</v>
      </c>
      <c r="M405">
        <f>_xlfn.XLOOKUP(TablaDatos[[#This Row],[PacienteID]],'Datos_Ejemplo.csv'!A:A,'Datos_Ejemplo.csv'!I:I)</f>
        <v>16</v>
      </c>
      <c r="N405">
        <f>ABS(TablaDatos[[#This Row],[DiasOriginal]])</f>
        <v>16</v>
      </c>
      <c r="O405" s="1">
        <f>TablaDatos[[#This Row],[FechaIngreso]]+TablaDatos[[#This Row],[DiasNuevo]]</f>
        <v>45604</v>
      </c>
    </row>
    <row r="406" spans="1:15">
      <c r="A406">
        <v>405</v>
      </c>
      <c r="B406" t="s">
        <v>278</v>
      </c>
      <c r="C406" s="1">
        <v>40909</v>
      </c>
      <c r="D406">
        <v>14</v>
      </c>
      <c r="E406" s="4" t="s">
        <v>15</v>
      </c>
      <c r="F406" t="s">
        <v>13</v>
      </c>
      <c r="G406" s="1">
        <v>45410</v>
      </c>
      <c r="H406" s="1">
        <f>TablaDatos[[#This Row],[FechaIngreso]]+TablaDatos[[#This Row],[DiasNuevo]]</f>
        <v>45410</v>
      </c>
      <c r="I406">
        <v>0</v>
      </c>
      <c r="J406" t="s">
        <v>23</v>
      </c>
      <c r="K406" s="3">
        <v>8690.33</v>
      </c>
      <c r="L406" t="b">
        <f>TablaDatos[[#This Row],[FechaAlta]] &lt; TablaDatos[[#This Row],[FechaIngreso]]</f>
        <v>0</v>
      </c>
      <c r="M406">
        <f>_xlfn.XLOOKUP(TablaDatos[[#This Row],[PacienteID]],'Datos_Ejemplo.csv'!A:A,'Datos_Ejemplo.csv'!I:I)</f>
        <v>0</v>
      </c>
      <c r="N406">
        <f>ABS(TablaDatos[[#This Row],[DiasOriginal]])</f>
        <v>0</v>
      </c>
      <c r="O406" s="1">
        <f>TablaDatos[[#This Row],[FechaIngreso]]+TablaDatos[[#This Row],[DiasNuevo]]</f>
        <v>45410</v>
      </c>
    </row>
    <row r="407" spans="1:15">
      <c r="A407">
        <v>406</v>
      </c>
      <c r="B407" t="s">
        <v>349</v>
      </c>
      <c r="C407" s="1">
        <v>12785</v>
      </c>
      <c r="D407">
        <v>91</v>
      </c>
      <c r="E407" s="4" t="s">
        <v>15</v>
      </c>
      <c r="F407" t="s">
        <v>18</v>
      </c>
      <c r="G407" s="1">
        <v>45084</v>
      </c>
      <c r="H407" s="1">
        <f>TablaDatos[[#This Row],[FechaIngreso]]+TablaDatos[[#This Row],[DiasNuevo]]</f>
        <v>45116</v>
      </c>
      <c r="I407">
        <v>32</v>
      </c>
      <c r="J407" t="s">
        <v>25</v>
      </c>
      <c r="K407" s="3">
        <v>4005.7</v>
      </c>
      <c r="L407" t="b">
        <f>TablaDatos[[#This Row],[FechaAlta]] &lt; TablaDatos[[#This Row],[FechaIngreso]]</f>
        <v>0</v>
      </c>
      <c r="M407">
        <f>_xlfn.XLOOKUP(TablaDatos[[#This Row],[PacienteID]],'Datos_Ejemplo.csv'!A:A,'Datos_Ejemplo.csv'!I:I)</f>
        <v>32</v>
      </c>
      <c r="N407">
        <f>ABS(TablaDatos[[#This Row],[DiasOriginal]])</f>
        <v>32</v>
      </c>
      <c r="O407" s="1">
        <f>TablaDatos[[#This Row],[FechaIngreso]]+TablaDatos[[#This Row],[DiasNuevo]]</f>
        <v>45116</v>
      </c>
    </row>
    <row r="408" spans="1:15">
      <c r="A408">
        <v>407</v>
      </c>
      <c r="B408" t="s">
        <v>280</v>
      </c>
      <c r="C408" s="1">
        <v>22281</v>
      </c>
      <c r="D408">
        <v>65</v>
      </c>
      <c r="E408" s="4" t="s">
        <v>15</v>
      </c>
      <c r="F408" t="s">
        <v>295</v>
      </c>
      <c r="G408" s="1">
        <v>45594</v>
      </c>
      <c r="H408" s="1">
        <f>TablaDatos[[#This Row],[FechaIngreso]]+TablaDatos[[#This Row],[DiasNuevo]]</f>
        <v>45620</v>
      </c>
      <c r="I408">
        <v>26</v>
      </c>
      <c r="J408" t="s">
        <v>23</v>
      </c>
      <c r="K408" s="3">
        <v>17091.599999999999</v>
      </c>
      <c r="L408" t="b">
        <f>TablaDatos[[#This Row],[FechaAlta]] &lt; TablaDatos[[#This Row],[FechaIngreso]]</f>
        <v>0</v>
      </c>
      <c r="M408">
        <f>_xlfn.XLOOKUP(TablaDatos[[#This Row],[PacienteID]],'Datos_Ejemplo.csv'!A:A,'Datos_Ejemplo.csv'!I:I)</f>
        <v>26</v>
      </c>
      <c r="N408">
        <f>ABS(TablaDatos[[#This Row],[DiasOriginal]])</f>
        <v>26</v>
      </c>
      <c r="O408" s="1">
        <f>TablaDatos[[#This Row],[FechaIngreso]]+TablaDatos[[#This Row],[DiasNuevo]]</f>
        <v>45620</v>
      </c>
    </row>
    <row r="409" spans="1:15">
      <c r="A409">
        <v>408</v>
      </c>
      <c r="B409" t="s">
        <v>301</v>
      </c>
      <c r="C409" s="1">
        <v>34700</v>
      </c>
      <c r="D409">
        <v>31</v>
      </c>
      <c r="E409" s="4" t="s">
        <v>15</v>
      </c>
      <c r="F409" t="s">
        <v>295</v>
      </c>
      <c r="G409" s="1">
        <v>45077</v>
      </c>
      <c r="H409" s="1">
        <f>TablaDatos[[#This Row],[FechaIngreso]]+TablaDatos[[#This Row],[DiasNuevo]]</f>
        <v>45085</v>
      </c>
      <c r="I409">
        <v>8</v>
      </c>
      <c r="J409" t="s">
        <v>23</v>
      </c>
      <c r="K409" s="3">
        <v>803.83</v>
      </c>
      <c r="L409" t="b">
        <f>TablaDatos[[#This Row],[FechaAlta]] &lt; TablaDatos[[#This Row],[FechaIngreso]]</f>
        <v>0</v>
      </c>
      <c r="M409">
        <f>_xlfn.XLOOKUP(TablaDatos[[#This Row],[PacienteID]],'Datos_Ejemplo.csv'!A:A,'Datos_Ejemplo.csv'!I:I)</f>
        <v>8</v>
      </c>
      <c r="N409">
        <f>ABS(TablaDatos[[#This Row],[DiasOriginal]])</f>
        <v>8</v>
      </c>
      <c r="O409" s="1">
        <f>TablaDatos[[#This Row],[FechaIngreso]]+TablaDatos[[#This Row],[DiasNuevo]]</f>
        <v>45085</v>
      </c>
    </row>
    <row r="410" spans="1:15">
      <c r="A410">
        <v>409</v>
      </c>
      <c r="B410" t="s">
        <v>66</v>
      </c>
      <c r="C410" s="1">
        <v>14611</v>
      </c>
      <c r="D410">
        <v>86</v>
      </c>
      <c r="E410" s="4" t="s">
        <v>12</v>
      </c>
      <c r="F410" t="s">
        <v>261</v>
      </c>
      <c r="G410" s="1">
        <v>45151</v>
      </c>
      <c r="H410" s="1">
        <f>TablaDatos[[#This Row],[FechaIngreso]]+TablaDatos[[#This Row],[DiasNuevo]]</f>
        <v>45154</v>
      </c>
      <c r="I410">
        <v>3</v>
      </c>
      <c r="J410" t="s">
        <v>23</v>
      </c>
      <c r="K410" s="3">
        <v>7054.35</v>
      </c>
      <c r="L410" t="b">
        <f>TablaDatos[[#This Row],[FechaAlta]] &lt; TablaDatos[[#This Row],[FechaIngreso]]</f>
        <v>0</v>
      </c>
      <c r="M410">
        <f>_xlfn.XLOOKUP(TablaDatos[[#This Row],[PacienteID]],'Datos_Ejemplo.csv'!A:A,'Datos_Ejemplo.csv'!I:I)</f>
        <v>3</v>
      </c>
      <c r="N410">
        <f>ABS(TablaDatos[[#This Row],[DiasOriginal]])</f>
        <v>3</v>
      </c>
      <c r="O410" s="1">
        <f>TablaDatos[[#This Row],[FechaIngreso]]+TablaDatos[[#This Row],[DiasNuevo]]</f>
        <v>45154</v>
      </c>
    </row>
    <row r="411" spans="1:15">
      <c r="A411">
        <v>410</v>
      </c>
      <c r="B411" t="s">
        <v>360</v>
      </c>
      <c r="C411" s="1">
        <v>23377</v>
      </c>
      <c r="D411">
        <v>62</v>
      </c>
      <c r="E411" s="4" t="s">
        <v>15</v>
      </c>
      <c r="F411" t="s">
        <v>18</v>
      </c>
      <c r="G411" s="1">
        <v>45186</v>
      </c>
      <c r="H411" s="1">
        <f>TablaDatos[[#This Row],[FechaIngreso]]+TablaDatos[[#This Row],[DiasNuevo]]</f>
        <v>45202</v>
      </c>
      <c r="I411">
        <v>16</v>
      </c>
      <c r="J411" t="s">
        <v>19</v>
      </c>
      <c r="K411" s="3">
        <v>12590.62</v>
      </c>
      <c r="L411" t="b">
        <f>TablaDatos[[#This Row],[FechaAlta]] &lt; TablaDatos[[#This Row],[FechaIngreso]]</f>
        <v>0</v>
      </c>
      <c r="M411">
        <f>_xlfn.XLOOKUP(TablaDatos[[#This Row],[PacienteID]],'Datos_Ejemplo.csv'!A:A,'Datos_Ejemplo.csv'!I:I)</f>
        <v>16</v>
      </c>
      <c r="N411">
        <f>ABS(TablaDatos[[#This Row],[DiasOriginal]])</f>
        <v>16</v>
      </c>
      <c r="O411" s="1">
        <f>TablaDatos[[#This Row],[FechaIngreso]]+TablaDatos[[#This Row],[DiasNuevo]]</f>
        <v>45202</v>
      </c>
    </row>
    <row r="412" spans="1:15">
      <c r="A412">
        <v>411</v>
      </c>
      <c r="B412" t="s">
        <v>245</v>
      </c>
      <c r="C412" s="1">
        <v>14976</v>
      </c>
      <c r="D412">
        <v>85</v>
      </c>
      <c r="E412" s="4" t="s">
        <v>12</v>
      </c>
      <c r="F412" t="s">
        <v>295</v>
      </c>
      <c r="G412" s="1">
        <v>45313</v>
      </c>
      <c r="H412" s="1">
        <f>TablaDatos[[#This Row],[FechaIngreso]]+TablaDatos[[#This Row],[DiasNuevo]]</f>
        <v>45347</v>
      </c>
      <c r="I412">
        <v>34</v>
      </c>
      <c r="J412" t="s">
        <v>23</v>
      </c>
      <c r="K412" s="3">
        <v>18253.07</v>
      </c>
      <c r="L412" t="b">
        <f>TablaDatos[[#This Row],[FechaAlta]] &lt; TablaDatos[[#This Row],[FechaIngreso]]</f>
        <v>0</v>
      </c>
      <c r="M412">
        <f>_xlfn.XLOOKUP(TablaDatos[[#This Row],[PacienteID]],'Datos_Ejemplo.csv'!A:A,'Datos_Ejemplo.csv'!I:I)</f>
        <v>34</v>
      </c>
      <c r="N412">
        <f>ABS(TablaDatos[[#This Row],[DiasOriginal]])</f>
        <v>34</v>
      </c>
      <c r="O412" s="1">
        <f>TablaDatos[[#This Row],[FechaIngreso]]+TablaDatos[[#This Row],[DiasNuevo]]</f>
        <v>45347</v>
      </c>
    </row>
    <row r="413" spans="1:15">
      <c r="A413">
        <v>412</v>
      </c>
      <c r="B413" t="s">
        <v>90</v>
      </c>
      <c r="C413" s="1">
        <v>27760</v>
      </c>
      <c r="D413">
        <v>50</v>
      </c>
      <c r="E413" s="4" t="s">
        <v>12</v>
      </c>
      <c r="F413" t="s">
        <v>13</v>
      </c>
      <c r="G413" s="1">
        <v>45182</v>
      </c>
      <c r="H413" s="1">
        <f>TablaDatos[[#This Row],[FechaIngreso]]+TablaDatos[[#This Row],[DiasNuevo]]</f>
        <v>45206</v>
      </c>
      <c r="I413">
        <v>24</v>
      </c>
      <c r="J413" t="s">
        <v>25</v>
      </c>
      <c r="K413" s="3">
        <v>17346.669999999998</v>
      </c>
      <c r="L413" t="b">
        <f>TablaDatos[[#This Row],[FechaAlta]] &lt; TablaDatos[[#This Row],[FechaIngreso]]</f>
        <v>0</v>
      </c>
      <c r="M413">
        <f>_xlfn.XLOOKUP(TablaDatos[[#This Row],[PacienteID]],'Datos_Ejemplo.csv'!A:A,'Datos_Ejemplo.csv'!I:I)</f>
        <v>24</v>
      </c>
      <c r="N413">
        <f>ABS(TablaDatos[[#This Row],[DiasOriginal]])</f>
        <v>24</v>
      </c>
      <c r="O413" s="1">
        <f>TablaDatos[[#This Row],[FechaIngreso]]+TablaDatos[[#This Row],[DiasNuevo]]</f>
        <v>45206</v>
      </c>
    </row>
    <row r="414" spans="1:15">
      <c r="A414">
        <v>413</v>
      </c>
      <c r="B414" t="s">
        <v>161</v>
      </c>
      <c r="C414" s="1">
        <v>37256</v>
      </c>
      <c r="D414">
        <v>24</v>
      </c>
      <c r="E414" s="4" t="s">
        <v>15</v>
      </c>
      <c r="F414" t="s">
        <v>201</v>
      </c>
      <c r="G414" s="1">
        <v>44987</v>
      </c>
      <c r="H414" s="1">
        <f>TablaDatos[[#This Row],[FechaIngreso]]+TablaDatos[[#This Row],[DiasNuevo]]</f>
        <v>44989</v>
      </c>
      <c r="I414">
        <v>2</v>
      </c>
      <c r="J414" t="s">
        <v>25</v>
      </c>
      <c r="K414" s="3">
        <v>17893.36</v>
      </c>
      <c r="L414" t="b">
        <f>TablaDatos[[#This Row],[FechaAlta]] &lt; TablaDatos[[#This Row],[FechaIngreso]]</f>
        <v>0</v>
      </c>
      <c r="M414">
        <f>_xlfn.XLOOKUP(TablaDatos[[#This Row],[PacienteID]],'Datos_Ejemplo.csv'!A:A,'Datos_Ejemplo.csv'!I:I)</f>
        <v>2</v>
      </c>
      <c r="N414">
        <f>ABS(TablaDatos[[#This Row],[DiasOriginal]])</f>
        <v>2</v>
      </c>
      <c r="O414" s="1">
        <f>TablaDatos[[#This Row],[FechaIngreso]]+TablaDatos[[#This Row],[DiasNuevo]]</f>
        <v>44989</v>
      </c>
    </row>
    <row r="415" spans="1:15">
      <c r="A415">
        <v>414</v>
      </c>
      <c r="B415" t="s">
        <v>273</v>
      </c>
      <c r="C415" s="1">
        <v>25203</v>
      </c>
      <c r="D415">
        <v>57</v>
      </c>
      <c r="E415" s="4" t="s">
        <v>15</v>
      </c>
      <c r="F415" t="s">
        <v>295</v>
      </c>
      <c r="G415" s="1">
        <v>45322</v>
      </c>
      <c r="H415" s="1">
        <f>TablaDatos[[#This Row],[FechaIngreso]]+TablaDatos[[#This Row],[DiasNuevo]]</f>
        <v>45345</v>
      </c>
      <c r="I415">
        <v>23</v>
      </c>
      <c r="J415" t="s">
        <v>23</v>
      </c>
      <c r="K415" s="3">
        <v>1163.3499999999999</v>
      </c>
      <c r="L415" t="b">
        <f>TablaDatos[[#This Row],[FechaAlta]] &lt; TablaDatos[[#This Row],[FechaIngreso]]</f>
        <v>0</v>
      </c>
      <c r="M415">
        <f>_xlfn.XLOOKUP(TablaDatos[[#This Row],[PacienteID]],'Datos_Ejemplo.csv'!A:A,'Datos_Ejemplo.csv'!I:I)</f>
        <v>23</v>
      </c>
      <c r="N415">
        <f>ABS(TablaDatos[[#This Row],[DiasOriginal]])</f>
        <v>23</v>
      </c>
      <c r="O415" s="1">
        <f>TablaDatos[[#This Row],[FechaIngreso]]+TablaDatos[[#This Row],[DiasNuevo]]</f>
        <v>45345</v>
      </c>
    </row>
    <row r="416" spans="1:15">
      <c r="A416">
        <v>415</v>
      </c>
      <c r="B416" t="s">
        <v>291</v>
      </c>
      <c r="C416" s="1">
        <v>23377</v>
      </c>
      <c r="D416">
        <v>62</v>
      </c>
      <c r="E416" s="4" t="s">
        <v>15</v>
      </c>
      <c r="F416" t="s">
        <v>13</v>
      </c>
      <c r="G416" s="1">
        <v>45323</v>
      </c>
      <c r="H416" s="1">
        <f>TablaDatos[[#This Row],[FechaIngreso]]+TablaDatos[[#This Row],[DiasNuevo]]</f>
        <v>45355</v>
      </c>
      <c r="I416">
        <v>32</v>
      </c>
      <c r="J416" t="s">
        <v>23</v>
      </c>
      <c r="K416" s="3">
        <v>16802.560000000001</v>
      </c>
      <c r="L416" t="b">
        <f>TablaDatos[[#This Row],[FechaAlta]] &lt; TablaDatos[[#This Row],[FechaIngreso]]</f>
        <v>0</v>
      </c>
      <c r="M416">
        <f>_xlfn.XLOOKUP(TablaDatos[[#This Row],[PacienteID]],'Datos_Ejemplo.csv'!A:A,'Datos_Ejemplo.csv'!I:I)</f>
        <v>32</v>
      </c>
      <c r="N416">
        <f>ABS(TablaDatos[[#This Row],[DiasOriginal]])</f>
        <v>32</v>
      </c>
      <c r="O416" s="1">
        <f>TablaDatos[[#This Row],[FechaIngreso]]+TablaDatos[[#This Row],[DiasNuevo]]</f>
        <v>45355</v>
      </c>
    </row>
    <row r="417" spans="1:15">
      <c r="A417">
        <v>416</v>
      </c>
      <c r="B417" t="s">
        <v>90</v>
      </c>
      <c r="C417" s="1">
        <v>23742</v>
      </c>
      <c r="D417">
        <v>61</v>
      </c>
      <c r="E417" s="4" t="s">
        <v>15</v>
      </c>
      <c r="F417" t="s">
        <v>21</v>
      </c>
      <c r="G417" s="1">
        <v>45088</v>
      </c>
      <c r="H417" s="1">
        <f>TablaDatos[[#This Row],[FechaIngreso]]+TablaDatos[[#This Row],[DiasNuevo]]</f>
        <v>45104</v>
      </c>
      <c r="I417">
        <v>16</v>
      </c>
      <c r="J417" t="s">
        <v>19</v>
      </c>
      <c r="K417" s="3">
        <v>15576.24</v>
      </c>
      <c r="L417" t="b">
        <f>TablaDatos[[#This Row],[FechaAlta]] &lt; TablaDatos[[#This Row],[FechaIngreso]]</f>
        <v>0</v>
      </c>
      <c r="M417">
        <f>_xlfn.XLOOKUP(TablaDatos[[#This Row],[PacienteID]],'Datos_Ejemplo.csv'!A:A,'Datos_Ejemplo.csv'!I:I)</f>
        <v>16</v>
      </c>
      <c r="N417">
        <f>ABS(TablaDatos[[#This Row],[DiasOriginal]])</f>
        <v>16</v>
      </c>
      <c r="O417" s="1">
        <f>TablaDatos[[#This Row],[FechaIngreso]]+TablaDatos[[#This Row],[DiasNuevo]]</f>
        <v>45104</v>
      </c>
    </row>
    <row r="418" spans="1:15">
      <c r="A418">
        <v>417</v>
      </c>
      <c r="B418" t="s">
        <v>347</v>
      </c>
      <c r="C418" s="1">
        <v>38352</v>
      </c>
      <c r="D418">
        <v>21</v>
      </c>
      <c r="E418" s="4" t="s">
        <v>12</v>
      </c>
      <c r="F418" t="s">
        <v>295</v>
      </c>
      <c r="G418" s="1">
        <v>45306</v>
      </c>
      <c r="H418" s="1">
        <f>TablaDatos[[#This Row],[FechaIngreso]]+TablaDatos[[#This Row],[DiasNuevo]]</f>
        <v>45320</v>
      </c>
      <c r="I418">
        <v>14</v>
      </c>
      <c r="J418" t="s">
        <v>19</v>
      </c>
      <c r="K418" s="3">
        <v>18038.88</v>
      </c>
      <c r="L418" t="b">
        <f>TablaDatos[[#This Row],[FechaAlta]] &lt; TablaDatos[[#This Row],[FechaIngreso]]</f>
        <v>0</v>
      </c>
      <c r="M418">
        <f>_xlfn.XLOOKUP(TablaDatos[[#This Row],[PacienteID]],'Datos_Ejemplo.csv'!A:A,'Datos_Ejemplo.csv'!I:I)</f>
        <v>14</v>
      </c>
      <c r="N418">
        <f>ABS(TablaDatos[[#This Row],[DiasOriginal]])</f>
        <v>14</v>
      </c>
      <c r="O418" s="1">
        <f>TablaDatos[[#This Row],[FechaIngreso]]+TablaDatos[[#This Row],[DiasNuevo]]</f>
        <v>45320</v>
      </c>
    </row>
    <row r="419" spans="1:15">
      <c r="A419">
        <v>418</v>
      </c>
      <c r="B419" t="s">
        <v>304</v>
      </c>
      <c r="C419" s="1">
        <v>25203</v>
      </c>
      <c r="D419">
        <v>57</v>
      </c>
      <c r="E419" s="4" t="s">
        <v>15</v>
      </c>
      <c r="F419" t="s">
        <v>13</v>
      </c>
      <c r="G419" s="1">
        <v>45369</v>
      </c>
      <c r="H419" s="1">
        <f>TablaDatos[[#This Row],[FechaIngreso]]+TablaDatos[[#This Row],[DiasNuevo]]</f>
        <v>45401</v>
      </c>
      <c r="I419">
        <v>32</v>
      </c>
      <c r="J419" t="s">
        <v>25</v>
      </c>
      <c r="K419" s="3">
        <v>6162.68</v>
      </c>
      <c r="L419" t="b">
        <f>TablaDatos[[#This Row],[FechaAlta]] &lt; TablaDatos[[#This Row],[FechaIngreso]]</f>
        <v>0</v>
      </c>
      <c r="M419">
        <f>_xlfn.XLOOKUP(TablaDatos[[#This Row],[PacienteID]],'Datos_Ejemplo.csv'!A:A,'Datos_Ejemplo.csv'!I:I)</f>
        <v>32</v>
      </c>
      <c r="N419">
        <f>ABS(TablaDatos[[#This Row],[DiasOriginal]])</f>
        <v>32</v>
      </c>
      <c r="O419" s="1">
        <f>TablaDatos[[#This Row],[FechaIngreso]]+TablaDatos[[#This Row],[DiasNuevo]]</f>
        <v>45401</v>
      </c>
    </row>
    <row r="420" spans="1:15">
      <c r="A420">
        <v>419</v>
      </c>
      <c r="B420" t="s">
        <v>349</v>
      </c>
      <c r="C420" s="1">
        <v>25203</v>
      </c>
      <c r="D420">
        <v>57</v>
      </c>
      <c r="E420" s="4" t="s">
        <v>12</v>
      </c>
      <c r="F420" t="s">
        <v>201</v>
      </c>
      <c r="G420" s="1">
        <v>45275</v>
      </c>
      <c r="H420" s="1">
        <f>TablaDatos[[#This Row],[FechaIngreso]]+TablaDatos[[#This Row],[DiasNuevo]]</f>
        <v>45285</v>
      </c>
      <c r="I420">
        <v>10</v>
      </c>
      <c r="J420" t="s">
        <v>23</v>
      </c>
      <c r="K420" s="3">
        <v>18226.48</v>
      </c>
      <c r="L420" t="b">
        <f>TablaDatos[[#This Row],[FechaAlta]] &lt; TablaDatos[[#This Row],[FechaIngreso]]</f>
        <v>0</v>
      </c>
      <c r="M420">
        <f>_xlfn.XLOOKUP(TablaDatos[[#This Row],[PacienteID]],'Datos_Ejemplo.csv'!A:A,'Datos_Ejemplo.csv'!I:I)</f>
        <v>10</v>
      </c>
      <c r="N420">
        <f>ABS(TablaDatos[[#This Row],[DiasOriginal]])</f>
        <v>10</v>
      </c>
      <c r="O420" s="1">
        <f>TablaDatos[[#This Row],[FechaIngreso]]+TablaDatos[[#This Row],[DiasNuevo]]</f>
        <v>45285</v>
      </c>
    </row>
    <row r="421" spans="1:15">
      <c r="A421">
        <v>420</v>
      </c>
      <c r="B421" t="s">
        <v>337</v>
      </c>
      <c r="C421" s="1">
        <v>14976</v>
      </c>
      <c r="D421">
        <v>85</v>
      </c>
      <c r="E421" s="4" t="s">
        <v>15</v>
      </c>
      <c r="F421" t="s">
        <v>18</v>
      </c>
      <c r="G421" s="1">
        <v>44957</v>
      </c>
      <c r="H421" s="1">
        <f>TablaDatos[[#This Row],[FechaIngreso]]+TablaDatos[[#This Row],[DiasNuevo]]</f>
        <v>44968</v>
      </c>
      <c r="I421">
        <v>11</v>
      </c>
      <c r="J421" t="s">
        <v>23</v>
      </c>
      <c r="K421" s="3">
        <v>7993.09</v>
      </c>
      <c r="L421" t="b">
        <f>TablaDatos[[#This Row],[FechaAlta]] &lt; TablaDatos[[#This Row],[FechaIngreso]]</f>
        <v>0</v>
      </c>
      <c r="M421">
        <f>_xlfn.XLOOKUP(TablaDatos[[#This Row],[PacienteID]],'Datos_Ejemplo.csv'!A:A,'Datos_Ejemplo.csv'!I:I)</f>
        <v>11</v>
      </c>
      <c r="N421">
        <f>ABS(TablaDatos[[#This Row],[DiasOriginal]])</f>
        <v>11</v>
      </c>
      <c r="O421" s="1">
        <f>TablaDatos[[#This Row],[FechaIngreso]]+TablaDatos[[#This Row],[DiasNuevo]]</f>
        <v>44968</v>
      </c>
    </row>
    <row r="422" spans="1:15">
      <c r="A422">
        <v>421</v>
      </c>
      <c r="B422" t="s">
        <v>237</v>
      </c>
      <c r="C422" s="1">
        <v>28490</v>
      </c>
      <c r="D422">
        <v>48</v>
      </c>
      <c r="E422" s="4" t="s">
        <v>15</v>
      </c>
      <c r="F422" t="s">
        <v>21</v>
      </c>
      <c r="G422" s="1">
        <v>44997</v>
      </c>
      <c r="H422" s="1">
        <f>TablaDatos[[#This Row],[FechaIngreso]]+TablaDatos[[#This Row],[DiasNuevo]]</f>
        <v>45024</v>
      </c>
      <c r="I422">
        <v>27</v>
      </c>
      <c r="J422" t="s">
        <v>25</v>
      </c>
      <c r="K422" s="3">
        <v>12645.4</v>
      </c>
      <c r="L422" t="b">
        <f>TablaDatos[[#This Row],[FechaAlta]] &lt; TablaDatos[[#This Row],[FechaIngreso]]</f>
        <v>0</v>
      </c>
      <c r="M422">
        <f>_xlfn.XLOOKUP(TablaDatos[[#This Row],[PacienteID]],'Datos_Ejemplo.csv'!A:A,'Datos_Ejemplo.csv'!I:I)</f>
        <v>27</v>
      </c>
      <c r="N422">
        <f>ABS(TablaDatos[[#This Row],[DiasOriginal]])</f>
        <v>27</v>
      </c>
      <c r="O422" s="1">
        <f>TablaDatos[[#This Row],[FechaIngreso]]+TablaDatos[[#This Row],[DiasNuevo]]</f>
        <v>45024</v>
      </c>
    </row>
    <row r="423" spans="1:15">
      <c r="A423">
        <v>422</v>
      </c>
      <c r="B423" t="s">
        <v>269</v>
      </c>
      <c r="C423" s="1">
        <v>27395</v>
      </c>
      <c r="D423">
        <v>51</v>
      </c>
      <c r="E423" s="4" t="s">
        <v>12</v>
      </c>
      <c r="F423" t="s">
        <v>295</v>
      </c>
      <c r="G423" s="1">
        <v>45323</v>
      </c>
      <c r="H423" s="1">
        <f>TablaDatos[[#This Row],[FechaIngreso]]+TablaDatos[[#This Row],[DiasNuevo]]</f>
        <v>45337</v>
      </c>
      <c r="I423">
        <v>14</v>
      </c>
      <c r="J423" t="s">
        <v>23</v>
      </c>
      <c r="K423" s="3">
        <v>8426</v>
      </c>
      <c r="L423" t="b">
        <f>TablaDatos[[#This Row],[FechaAlta]] &lt; TablaDatos[[#This Row],[FechaIngreso]]</f>
        <v>0</v>
      </c>
      <c r="M423">
        <f>_xlfn.XLOOKUP(TablaDatos[[#This Row],[PacienteID]],'Datos_Ejemplo.csv'!A:A,'Datos_Ejemplo.csv'!I:I)</f>
        <v>14</v>
      </c>
      <c r="N423">
        <f>ABS(TablaDatos[[#This Row],[DiasOriginal]])</f>
        <v>14</v>
      </c>
      <c r="O423" s="1">
        <f>TablaDatos[[#This Row],[FechaIngreso]]+TablaDatos[[#This Row],[DiasNuevo]]</f>
        <v>45337</v>
      </c>
    </row>
    <row r="424" spans="1:15">
      <c r="A424">
        <v>423</v>
      </c>
      <c r="B424" t="s">
        <v>253</v>
      </c>
      <c r="C424" s="1">
        <v>31047</v>
      </c>
      <c r="D424">
        <v>41</v>
      </c>
      <c r="E424" s="4" t="s">
        <v>12</v>
      </c>
      <c r="F424" t="s">
        <v>261</v>
      </c>
      <c r="G424" s="1">
        <v>45364</v>
      </c>
      <c r="H424" s="1">
        <f>TablaDatos[[#This Row],[FechaIngreso]]+TablaDatos[[#This Row],[DiasNuevo]]</f>
        <v>45398</v>
      </c>
      <c r="I424">
        <v>34</v>
      </c>
      <c r="J424" t="s">
        <v>19</v>
      </c>
      <c r="K424" s="3">
        <v>8495.73</v>
      </c>
      <c r="L424" t="b">
        <f>TablaDatos[[#This Row],[FechaAlta]] &lt; TablaDatos[[#This Row],[FechaIngreso]]</f>
        <v>0</v>
      </c>
      <c r="M424">
        <f>_xlfn.XLOOKUP(TablaDatos[[#This Row],[PacienteID]],'Datos_Ejemplo.csv'!A:A,'Datos_Ejemplo.csv'!I:I)</f>
        <v>34</v>
      </c>
      <c r="N424">
        <f>ABS(TablaDatos[[#This Row],[DiasOriginal]])</f>
        <v>34</v>
      </c>
      <c r="O424" s="1">
        <f>TablaDatos[[#This Row],[FechaIngreso]]+TablaDatos[[#This Row],[DiasNuevo]]</f>
        <v>45398</v>
      </c>
    </row>
    <row r="425" spans="1:15">
      <c r="A425">
        <v>424</v>
      </c>
      <c r="B425" t="s">
        <v>299</v>
      </c>
      <c r="C425" s="1">
        <v>20820</v>
      </c>
      <c r="D425">
        <v>69</v>
      </c>
      <c r="E425" s="4" t="s">
        <v>15</v>
      </c>
      <c r="F425" t="s">
        <v>13</v>
      </c>
      <c r="G425" s="1">
        <v>44928</v>
      </c>
      <c r="H425" s="1">
        <f>TablaDatos[[#This Row],[FechaIngreso]]+TablaDatos[[#This Row],[DiasNuevo]]</f>
        <v>44940</v>
      </c>
      <c r="I425">
        <v>12</v>
      </c>
      <c r="J425" t="s">
        <v>25</v>
      </c>
      <c r="K425" s="3">
        <v>10887.4</v>
      </c>
      <c r="L425" t="b">
        <f>TablaDatos[[#This Row],[FechaAlta]] &lt; TablaDatos[[#This Row],[FechaIngreso]]</f>
        <v>0</v>
      </c>
      <c r="M425">
        <f>_xlfn.XLOOKUP(TablaDatos[[#This Row],[PacienteID]],'Datos_Ejemplo.csv'!A:A,'Datos_Ejemplo.csv'!I:I)</f>
        <v>12</v>
      </c>
      <c r="N425">
        <f>ABS(TablaDatos[[#This Row],[DiasOriginal]])</f>
        <v>12</v>
      </c>
      <c r="O425" s="1">
        <f>TablaDatos[[#This Row],[FechaIngreso]]+TablaDatos[[#This Row],[DiasNuevo]]</f>
        <v>44940</v>
      </c>
    </row>
    <row r="426" spans="1:15">
      <c r="A426">
        <v>425</v>
      </c>
      <c r="B426" t="s">
        <v>130</v>
      </c>
      <c r="C426" s="1">
        <v>40909</v>
      </c>
      <c r="D426">
        <v>14</v>
      </c>
      <c r="E426" s="4" t="s">
        <v>15</v>
      </c>
      <c r="F426" t="s">
        <v>201</v>
      </c>
      <c r="G426" s="1">
        <v>45488</v>
      </c>
      <c r="H426" s="1">
        <f>TablaDatos[[#This Row],[FechaIngreso]]+TablaDatos[[#This Row],[DiasNuevo]]</f>
        <v>45503</v>
      </c>
      <c r="I426">
        <v>15</v>
      </c>
      <c r="J426" t="s">
        <v>23</v>
      </c>
      <c r="K426" s="3">
        <v>7054.13</v>
      </c>
      <c r="L426" t="b">
        <f>TablaDatos[[#This Row],[FechaAlta]] &lt; TablaDatos[[#This Row],[FechaIngreso]]</f>
        <v>0</v>
      </c>
      <c r="M426">
        <f>_xlfn.XLOOKUP(TablaDatos[[#This Row],[PacienteID]],'Datos_Ejemplo.csv'!A:A,'Datos_Ejemplo.csv'!I:I)</f>
        <v>15</v>
      </c>
      <c r="N426">
        <f>ABS(TablaDatos[[#This Row],[DiasOriginal]])</f>
        <v>15</v>
      </c>
      <c r="O426" s="1">
        <f>TablaDatos[[#This Row],[FechaIngreso]]+TablaDatos[[#This Row],[DiasNuevo]]</f>
        <v>45503</v>
      </c>
    </row>
    <row r="427" spans="1:15">
      <c r="A427">
        <v>426</v>
      </c>
      <c r="B427" t="s">
        <v>363</v>
      </c>
      <c r="C427" s="1">
        <v>26664</v>
      </c>
      <c r="D427">
        <v>53</v>
      </c>
      <c r="E427" s="4" t="s">
        <v>12</v>
      </c>
      <c r="F427" t="s">
        <v>261</v>
      </c>
      <c r="G427" s="1">
        <v>45061</v>
      </c>
      <c r="H427" s="1">
        <f>TablaDatos[[#This Row],[FechaIngreso]]+TablaDatos[[#This Row],[DiasNuevo]]</f>
        <v>45072</v>
      </c>
      <c r="I427">
        <v>11</v>
      </c>
      <c r="J427" t="s">
        <v>19</v>
      </c>
      <c r="K427" s="3">
        <v>15834.01</v>
      </c>
      <c r="L427" t="b">
        <f>TablaDatos[[#This Row],[FechaAlta]] &lt; TablaDatos[[#This Row],[FechaIngreso]]</f>
        <v>0</v>
      </c>
      <c r="M427">
        <f>_xlfn.XLOOKUP(TablaDatos[[#This Row],[PacienteID]],'Datos_Ejemplo.csv'!A:A,'Datos_Ejemplo.csv'!I:I)</f>
        <v>11</v>
      </c>
      <c r="N427">
        <f>ABS(TablaDatos[[#This Row],[DiasOriginal]])</f>
        <v>11</v>
      </c>
      <c r="O427" s="1">
        <f>TablaDatos[[#This Row],[FechaIngreso]]+TablaDatos[[#This Row],[DiasNuevo]]</f>
        <v>45072</v>
      </c>
    </row>
    <row r="428" spans="1:15">
      <c r="A428">
        <v>427</v>
      </c>
      <c r="B428" t="s">
        <v>255</v>
      </c>
      <c r="C428" s="1">
        <v>24473</v>
      </c>
      <c r="D428">
        <v>59</v>
      </c>
      <c r="E428" s="4" t="s">
        <v>15</v>
      </c>
      <c r="F428" t="s">
        <v>295</v>
      </c>
      <c r="G428" s="1">
        <v>45072</v>
      </c>
      <c r="H428" s="1">
        <f>TablaDatos[[#This Row],[FechaIngreso]]+TablaDatos[[#This Row],[DiasNuevo]]</f>
        <v>45083</v>
      </c>
      <c r="I428">
        <v>11</v>
      </c>
      <c r="J428" t="s">
        <v>23</v>
      </c>
      <c r="K428" s="3">
        <v>12636.14</v>
      </c>
      <c r="L428" t="b">
        <f>TablaDatos[[#This Row],[FechaAlta]] &lt; TablaDatos[[#This Row],[FechaIngreso]]</f>
        <v>0</v>
      </c>
      <c r="M428">
        <f>_xlfn.XLOOKUP(TablaDatos[[#This Row],[PacienteID]],'Datos_Ejemplo.csv'!A:A,'Datos_Ejemplo.csv'!I:I)</f>
        <v>11</v>
      </c>
      <c r="N428">
        <f>ABS(TablaDatos[[#This Row],[DiasOriginal]])</f>
        <v>11</v>
      </c>
      <c r="O428" s="1">
        <f>TablaDatos[[#This Row],[FechaIngreso]]+TablaDatos[[#This Row],[DiasNuevo]]</f>
        <v>45083</v>
      </c>
    </row>
    <row r="429" spans="1:15">
      <c r="A429">
        <v>428</v>
      </c>
      <c r="B429" t="s">
        <v>311</v>
      </c>
      <c r="C429" s="1">
        <v>43466</v>
      </c>
      <c r="D429">
        <v>7</v>
      </c>
      <c r="E429" s="4" t="s">
        <v>15</v>
      </c>
      <c r="F429" t="s">
        <v>13</v>
      </c>
      <c r="G429" s="1">
        <v>45105</v>
      </c>
      <c r="H429" s="1">
        <f>TablaDatos[[#This Row],[FechaIngreso]]+TablaDatos[[#This Row],[DiasNuevo]]</f>
        <v>45135</v>
      </c>
      <c r="I429">
        <v>30</v>
      </c>
      <c r="J429" t="s">
        <v>25</v>
      </c>
      <c r="K429" s="3">
        <v>13764.09</v>
      </c>
      <c r="L429" t="b">
        <f>TablaDatos[[#This Row],[FechaAlta]] &lt; TablaDatos[[#This Row],[FechaIngreso]]</f>
        <v>0</v>
      </c>
      <c r="M429">
        <f>_xlfn.XLOOKUP(TablaDatos[[#This Row],[PacienteID]],'Datos_Ejemplo.csv'!A:A,'Datos_Ejemplo.csv'!I:I)</f>
        <v>30</v>
      </c>
      <c r="N429">
        <f>ABS(TablaDatos[[#This Row],[DiasOriginal]])</f>
        <v>30</v>
      </c>
      <c r="O429" s="1">
        <f>TablaDatos[[#This Row],[FechaIngreso]]+TablaDatos[[#This Row],[DiasNuevo]]</f>
        <v>45135</v>
      </c>
    </row>
    <row r="430" spans="1:15">
      <c r="A430">
        <v>429</v>
      </c>
      <c r="B430" t="s">
        <v>267</v>
      </c>
      <c r="C430" s="1">
        <v>27029</v>
      </c>
      <c r="D430">
        <v>52</v>
      </c>
      <c r="E430" s="4" t="s">
        <v>12</v>
      </c>
      <c r="F430" t="s">
        <v>295</v>
      </c>
      <c r="G430" s="1">
        <v>45190</v>
      </c>
      <c r="H430" s="1">
        <f>TablaDatos[[#This Row],[FechaIngreso]]+TablaDatos[[#This Row],[DiasNuevo]]</f>
        <v>45225</v>
      </c>
      <c r="I430">
        <v>35</v>
      </c>
      <c r="J430" t="s">
        <v>23</v>
      </c>
      <c r="K430" s="3">
        <v>4543.8</v>
      </c>
      <c r="L430" t="b">
        <f>TablaDatos[[#This Row],[FechaAlta]] &lt; TablaDatos[[#This Row],[FechaIngreso]]</f>
        <v>0</v>
      </c>
      <c r="M430">
        <f>_xlfn.XLOOKUP(TablaDatos[[#This Row],[PacienteID]],'Datos_Ejemplo.csv'!A:A,'Datos_Ejemplo.csv'!I:I)</f>
        <v>35</v>
      </c>
      <c r="N430">
        <f>ABS(TablaDatos[[#This Row],[DiasOriginal]])</f>
        <v>35</v>
      </c>
      <c r="O430" s="1">
        <f>TablaDatos[[#This Row],[FechaIngreso]]+TablaDatos[[#This Row],[DiasNuevo]]</f>
        <v>45225</v>
      </c>
    </row>
    <row r="431" spans="1:15">
      <c r="A431">
        <v>430</v>
      </c>
      <c r="B431" t="s">
        <v>162</v>
      </c>
      <c r="C431" s="1">
        <f ca="1">DATE(YEAR(TODAY())-TablaDatos[[#This Row],[Edad]],1,1)</f>
        <v>24473</v>
      </c>
      <c r="D431">
        <v>59</v>
      </c>
      <c r="E431" s="4" t="s">
        <v>12</v>
      </c>
      <c r="F431" t="s">
        <v>21</v>
      </c>
      <c r="G431" s="1">
        <v>45237</v>
      </c>
      <c r="H431" s="1">
        <f>TablaDatos[[#This Row],[FechaIngreso]]+TablaDatos[[#This Row],[DiasNuevo]]</f>
        <v>45245</v>
      </c>
      <c r="I431">
        <v>8</v>
      </c>
      <c r="J431" t="s">
        <v>23</v>
      </c>
      <c r="K431" s="3">
        <v>19388.46</v>
      </c>
      <c r="L431" t="b">
        <f>TablaDatos[[#This Row],[FechaAlta]] &lt; TablaDatos[[#This Row],[FechaIngreso]]</f>
        <v>0</v>
      </c>
      <c r="M431">
        <f>_xlfn.XLOOKUP(TablaDatos[[#This Row],[PacienteID]],'Datos_Ejemplo.csv'!A:A,'Datos_Ejemplo.csv'!I:I)</f>
        <v>8</v>
      </c>
      <c r="N431">
        <f>ABS(TablaDatos[[#This Row],[DiasOriginal]])</f>
        <v>8</v>
      </c>
      <c r="O431" s="1">
        <f>TablaDatos[[#This Row],[FechaIngreso]]+TablaDatos[[#This Row],[DiasNuevo]]</f>
        <v>45245</v>
      </c>
    </row>
    <row r="432" spans="1:15">
      <c r="A432">
        <v>431</v>
      </c>
      <c r="B432" t="s">
        <v>258</v>
      </c>
      <c r="C432" s="1">
        <v>44561</v>
      </c>
      <c r="D432">
        <v>4</v>
      </c>
      <c r="E432" s="4" t="s">
        <v>12</v>
      </c>
      <c r="F432" t="s">
        <v>201</v>
      </c>
      <c r="G432" s="1">
        <v>45130</v>
      </c>
      <c r="H432" s="1">
        <f>TablaDatos[[#This Row],[FechaIngreso]]+TablaDatos[[#This Row],[DiasNuevo]]</f>
        <v>45138</v>
      </c>
      <c r="I432">
        <v>8</v>
      </c>
      <c r="J432" t="s">
        <v>23</v>
      </c>
      <c r="K432" s="3">
        <v>13169.54</v>
      </c>
      <c r="L432" t="b">
        <f>TablaDatos[[#This Row],[FechaAlta]] &lt; TablaDatos[[#This Row],[FechaIngreso]]</f>
        <v>0</v>
      </c>
      <c r="M432">
        <f>_xlfn.XLOOKUP(TablaDatos[[#This Row],[PacienteID]],'Datos_Ejemplo.csv'!A:A,'Datos_Ejemplo.csv'!I:I)</f>
        <v>8</v>
      </c>
      <c r="N432">
        <f>ABS(TablaDatos[[#This Row],[DiasOriginal]])</f>
        <v>8</v>
      </c>
      <c r="O432" s="1">
        <f>TablaDatos[[#This Row],[FechaIngreso]]+TablaDatos[[#This Row],[DiasNuevo]]</f>
        <v>45138</v>
      </c>
    </row>
    <row r="433" spans="1:15">
      <c r="A433">
        <v>432</v>
      </c>
      <c r="B433" t="s">
        <v>39</v>
      </c>
      <c r="C433" s="1">
        <v>21551</v>
      </c>
      <c r="D433">
        <v>67</v>
      </c>
      <c r="E433" s="4" t="s">
        <v>12</v>
      </c>
      <c r="F433" t="s">
        <v>201</v>
      </c>
      <c r="G433" s="1">
        <v>45625</v>
      </c>
      <c r="H433" s="1">
        <f>TablaDatos[[#This Row],[FechaIngreso]]+TablaDatos[[#This Row],[DiasNuevo]]</f>
        <v>45648</v>
      </c>
      <c r="I433">
        <v>23</v>
      </c>
      <c r="J433" t="s">
        <v>25</v>
      </c>
      <c r="K433" s="3">
        <v>3863.64</v>
      </c>
      <c r="L433" t="b">
        <f>TablaDatos[[#This Row],[FechaAlta]] &lt; TablaDatos[[#This Row],[FechaIngreso]]</f>
        <v>0</v>
      </c>
      <c r="M433">
        <f>_xlfn.XLOOKUP(TablaDatos[[#This Row],[PacienteID]],'Datos_Ejemplo.csv'!A:A,'Datos_Ejemplo.csv'!I:I)</f>
        <v>23</v>
      </c>
      <c r="N433">
        <f>ABS(TablaDatos[[#This Row],[DiasOriginal]])</f>
        <v>23</v>
      </c>
      <c r="O433" s="1">
        <f>TablaDatos[[#This Row],[FechaIngreso]]+TablaDatos[[#This Row],[DiasNuevo]]</f>
        <v>45648</v>
      </c>
    </row>
    <row r="434" spans="1:15">
      <c r="A434">
        <v>433</v>
      </c>
      <c r="B434" t="s">
        <v>293</v>
      </c>
      <c r="C434" s="1">
        <v>44196</v>
      </c>
      <c r="D434">
        <v>5</v>
      </c>
      <c r="E434" s="4" t="s">
        <v>12</v>
      </c>
      <c r="F434" t="s">
        <v>21</v>
      </c>
      <c r="G434" s="1">
        <v>44956</v>
      </c>
      <c r="H434" s="1">
        <f>TablaDatos[[#This Row],[FechaIngreso]]+TablaDatos[[#This Row],[DiasNuevo]]</f>
        <v>44956</v>
      </c>
      <c r="I434">
        <v>0</v>
      </c>
      <c r="J434" t="s">
        <v>19</v>
      </c>
      <c r="K434" s="3">
        <v>14984.85</v>
      </c>
      <c r="L434" t="b">
        <f>TablaDatos[[#This Row],[FechaAlta]] &lt; TablaDatos[[#This Row],[FechaIngreso]]</f>
        <v>0</v>
      </c>
      <c r="M434">
        <f>_xlfn.XLOOKUP(TablaDatos[[#This Row],[PacienteID]],'Datos_Ejemplo.csv'!A:A,'Datos_Ejemplo.csv'!I:I)</f>
        <v>0</v>
      </c>
      <c r="N434">
        <f>ABS(TablaDatos[[#This Row],[DiasOriginal]])</f>
        <v>0</v>
      </c>
      <c r="O434" s="1">
        <f>TablaDatos[[#This Row],[FechaIngreso]]+TablaDatos[[#This Row],[DiasNuevo]]</f>
        <v>44956</v>
      </c>
    </row>
    <row r="435" spans="1:15">
      <c r="A435">
        <v>434</v>
      </c>
      <c r="B435" t="s">
        <v>240</v>
      </c>
      <c r="C435" s="1">
        <v>12054</v>
      </c>
      <c r="D435">
        <v>93</v>
      </c>
      <c r="E435" s="4" t="s">
        <v>12</v>
      </c>
      <c r="F435" t="s">
        <v>295</v>
      </c>
      <c r="G435" s="1">
        <v>44985</v>
      </c>
      <c r="H435" s="1">
        <f>TablaDatos[[#This Row],[FechaIngreso]]+TablaDatos[[#This Row],[DiasNuevo]]</f>
        <v>45007</v>
      </c>
      <c r="I435">
        <v>22</v>
      </c>
      <c r="J435" t="s">
        <v>23</v>
      </c>
      <c r="K435" s="3">
        <v>3391.65</v>
      </c>
      <c r="L435" t="b">
        <f>TablaDatos[[#This Row],[FechaAlta]] &lt; TablaDatos[[#This Row],[FechaIngreso]]</f>
        <v>0</v>
      </c>
      <c r="M435">
        <f>_xlfn.XLOOKUP(TablaDatos[[#This Row],[PacienteID]],'Datos_Ejemplo.csv'!A:A,'Datos_Ejemplo.csv'!I:I)</f>
        <v>22</v>
      </c>
      <c r="N435">
        <f>ABS(TablaDatos[[#This Row],[DiasOriginal]])</f>
        <v>22</v>
      </c>
      <c r="O435" s="1">
        <f>TablaDatos[[#This Row],[FechaIngreso]]+TablaDatos[[#This Row],[DiasNuevo]]</f>
        <v>45007</v>
      </c>
    </row>
    <row r="436" spans="1:15">
      <c r="A436">
        <v>435</v>
      </c>
      <c r="B436" t="s">
        <v>263</v>
      </c>
      <c r="C436" s="1">
        <f ca="1">DATE(YEAR(TODAY())-TablaDatos[[#This Row],[Edad]],1,1)</f>
        <v>29221</v>
      </c>
      <c r="D436">
        <v>46</v>
      </c>
      <c r="E436" s="4" t="s">
        <v>12</v>
      </c>
      <c r="F436" t="s">
        <v>295</v>
      </c>
      <c r="G436" s="1">
        <v>44935</v>
      </c>
      <c r="H436" s="1">
        <f>TablaDatos[[#This Row],[FechaIngreso]]+TablaDatos[[#This Row],[DiasNuevo]]</f>
        <v>44949</v>
      </c>
      <c r="I436">
        <v>14</v>
      </c>
      <c r="J436" t="s">
        <v>19</v>
      </c>
      <c r="K436" s="3">
        <v>1174.04</v>
      </c>
      <c r="L436" t="b">
        <f>TablaDatos[[#This Row],[FechaAlta]] &lt; TablaDatos[[#This Row],[FechaIngreso]]</f>
        <v>0</v>
      </c>
      <c r="M436">
        <f>_xlfn.XLOOKUP(TablaDatos[[#This Row],[PacienteID]],'Datos_Ejemplo.csv'!A:A,'Datos_Ejemplo.csv'!I:I)</f>
        <v>14</v>
      </c>
      <c r="N436">
        <f>ABS(TablaDatos[[#This Row],[DiasOriginal]])</f>
        <v>14</v>
      </c>
      <c r="O436" s="1">
        <f>TablaDatos[[#This Row],[FechaIngreso]]+TablaDatos[[#This Row],[DiasNuevo]]</f>
        <v>44949</v>
      </c>
    </row>
    <row r="437" spans="1:15">
      <c r="A437">
        <v>436</v>
      </c>
      <c r="B437" t="s">
        <v>243</v>
      </c>
      <c r="C437" s="1">
        <v>26299</v>
      </c>
      <c r="D437">
        <v>54</v>
      </c>
      <c r="E437" s="4" t="s">
        <v>12</v>
      </c>
      <c r="F437" t="s">
        <v>32</v>
      </c>
      <c r="G437" s="1">
        <v>45250</v>
      </c>
      <c r="H437" s="1">
        <f>TablaDatos[[#This Row],[FechaIngreso]]+TablaDatos[[#This Row],[DiasNuevo]]</f>
        <v>45269</v>
      </c>
      <c r="I437">
        <v>19</v>
      </c>
      <c r="J437" t="s">
        <v>23</v>
      </c>
      <c r="K437" s="3">
        <v>10503.82</v>
      </c>
      <c r="L437" t="b">
        <f>TablaDatos[[#This Row],[FechaAlta]] &lt; TablaDatos[[#This Row],[FechaIngreso]]</f>
        <v>0</v>
      </c>
      <c r="M437">
        <f>_xlfn.XLOOKUP(TablaDatos[[#This Row],[PacienteID]],'Datos_Ejemplo.csv'!A:A,'Datos_Ejemplo.csv'!I:I)</f>
        <v>19</v>
      </c>
      <c r="N437">
        <f>ABS(TablaDatos[[#This Row],[DiasOriginal]])</f>
        <v>19</v>
      </c>
      <c r="O437" s="1">
        <f>TablaDatos[[#This Row],[FechaIngreso]]+TablaDatos[[#This Row],[DiasNuevo]]</f>
        <v>45269</v>
      </c>
    </row>
    <row r="438" spans="1:15">
      <c r="A438">
        <v>437</v>
      </c>
      <c r="B438" t="s">
        <v>341</v>
      </c>
      <c r="C438" s="1">
        <v>31778</v>
      </c>
      <c r="D438">
        <v>39</v>
      </c>
      <c r="E438" s="4" t="s">
        <v>12</v>
      </c>
      <c r="F438" t="s">
        <v>295</v>
      </c>
      <c r="G438" s="1">
        <v>45093</v>
      </c>
      <c r="H438" s="1">
        <f>TablaDatos[[#This Row],[FechaIngreso]]+TablaDatos[[#This Row],[DiasNuevo]]</f>
        <v>45119</v>
      </c>
      <c r="I438">
        <v>26</v>
      </c>
      <c r="J438" t="s">
        <v>23</v>
      </c>
      <c r="K438" s="3">
        <v>11025.83</v>
      </c>
      <c r="L438" t="b">
        <f>TablaDatos[[#This Row],[FechaAlta]] &lt; TablaDatos[[#This Row],[FechaIngreso]]</f>
        <v>0</v>
      </c>
      <c r="M438">
        <f>_xlfn.XLOOKUP(TablaDatos[[#This Row],[PacienteID]],'Datos_Ejemplo.csv'!A:A,'Datos_Ejemplo.csv'!I:I)</f>
        <v>26</v>
      </c>
      <c r="N438">
        <f>ABS(TablaDatos[[#This Row],[DiasOriginal]])</f>
        <v>26</v>
      </c>
      <c r="O438" s="1">
        <f>TablaDatos[[#This Row],[FechaIngreso]]+TablaDatos[[#This Row],[DiasNuevo]]</f>
        <v>45119</v>
      </c>
    </row>
    <row r="439" spans="1:15">
      <c r="A439">
        <v>438</v>
      </c>
      <c r="B439" t="s">
        <v>248</v>
      </c>
      <c r="C439" s="1">
        <v>27395</v>
      </c>
      <c r="D439">
        <v>51</v>
      </c>
      <c r="E439" s="4" t="s">
        <v>15</v>
      </c>
      <c r="F439" t="s">
        <v>201</v>
      </c>
      <c r="G439" s="1">
        <v>45263</v>
      </c>
      <c r="H439" s="1">
        <f>TablaDatos[[#This Row],[FechaIngreso]]+TablaDatos[[#This Row],[DiasNuevo]]</f>
        <v>45286</v>
      </c>
      <c r="I439">
        <v>23</v>
      </c>
      <c r="J439" t="s">
        <v>19</v>
      </c>
      <c r="K439" s="3">
        <v>3698.21</v>
      </c>
      <c r="L439" t="b">
        <f>TablaDatos[[#This Row],[FechaAlta]] &lt; TablaDatos[[#This Row],[FechaIngreso]]</f>
        <v>0</v>
      </c>
      <c r="M439">
        <f>_xlfn.XLOOKUP(TablaDatos[[#This Row],[PacienteID]],'Datos_Ejemplo.csv'!A:A,'Datos_Ejemplo.csv'!I:I)</f>
        <v>23</v>
      </c>
      <c r="N439">
        <f>ABS(TablaDatos[[#This Row],[DiasOriginal]])</f>
        <v>23</v>
      </c>
      <c r="O439" s="1">
        <f>TablaDatos[[#This Row],[FechaIngreso]]+TablaDatos[[#This Row],[DiasNuevo]]</f>
        <v>45286</v>
      </c>
    </row>
    <row r="440" spans="1:15">
      <c r="A440">
        <v>439</v>
      </c>
      <c r="B440" t="s">
        <v>333</v>
      </c>
      <c r="C440" s="1">
        <v>40544</v>
      </c>
      <c r="D440">
        <v>15</v>
      </c>
      <c r="E440" s="4" t="s">
        <v>15</v>
      </c>
      <c r="F440" t="s">
        <v>295</v>
      </c>
      <c r="G440" s="1">
        <v>45305</v>
      </c>
      <c r="H440" s="1">
        <f>TablaDatos[[#This Row],[FechaIngreso]]+TablaDatos[[#This Row],[DiasNuevo]]</f>
        <v>45336</v>
      </c>
      <c r="I440">
        <v>31</v>
      </c>
      <c r="J440" t="s">
        <v>25</v>
      </c>
      <c r="K440" s="3">
        <v>6902.42</v>
      </c>
      <c r="L440" t="b">
        <f>TablaDatos[[#This Row],[FechaAlta]] &lt; TablaDatos[[#This Row],[FechaIngreso]]</f>
        <v>0</v>
      </c>
      <c r="M440">
        <f>_xlfn.XLOOKUP(TablaDatos[[#This Row],[PacienteID]],'Datos_Ejemplo.csv'!A:A,'Datos_Ejemplo.csv'!I:I)</f>
        <v>31</v>
      </c>
      <c r="N440">
        <f>ABS(TablaDatos[[#This Row],[DiasOriginal]])</f>
        <v>31</v>
      </c>
      <c r="O440" s="1">
        <f>TablaDatos[[#This Row],[FechaIngreso]]+TablaDatos[[#This Row],[DiasNuevo]]</f>
        <v>45336</v>
      </c>
    </row>
    <row r="441" spans="1:15">
      <c r="A441">
        <v>440</v>
      </c>
      <c r="B441" t="s">
        <v>259</v>
      </c>
      <c r="C441" s="1">
        <f ca="1">DATE(YEAR(TODAY())-TablaDatos[[#This Row],[Edad]],1,1)</f>
        <v>41640</v>
      </c>
      <c r="D441">
        <v>12</v>
      </c>
      <c r="E441" s="4" t="s">
        <v>12</v>
      </c>
      <c r="F441" t="s">
        <v>261</v>
      </c>
      <c r="G441" s="1">
        <v>45629</v>
      </c>
      <c r="H441" s="1">
        <f>TablaDatos[[#This Row],[FechaIngreso]]+TablaDatos[[#This Row],[DiasNuevo]]</f>
        <v>45652</v>
      </c>
      <c r="I441">
        <v>23</v>
      </c>
      <c r="J441" t="s">
        <v>23</v>
      </c>
      <c r="K441" s="3">
        <v>18909.96</v>
      </c>
      <c r="L441" t="b">
        <f>TablaDatos[[#This Row],[FechaAlta]] &lt; TablaDatos[[#This Row],[FechaIngreso]]</f>
        <v>0</v>
      </c>
      <c r="M441">
        <f>_xlfn.XLOOKUP(TablaDatos[[#This Row],[PacienteID]],'Datos_Ejemplo.csv'!A:A,'Datos_Ejemplo.csv'!I:I)</f>
        <v>23</v>
      </c>
      <c r="N441">
        <f>ABS(TablaDatos[[#This Row],[DiasOriginal]])</f>
        <v>23</v>
      </c>
      <c r="O441" s="1">
        <f>TablaDatos[[#This Row],[FechaIngreso]]+TablaDatos[[#This Row],[DiasNuevo]]</f>
        <v>45652</v>
      </c>
    </row>
    <row r="442" spans="1:15">
      <c r="A442">
        <v>441</v>
      </c>
      <c r="B442" t="s">
        <v>297</v>
      </c>
      <c r="C442" s="1">
        <v>35430</v>
      </c>
      <c r="D442">
        <v>29</v>
      </c>
      <c r="E442" s="4" t="s">
        <v>12</v>
      </c>
      <c r="F442" t="s">
        <v>261</v>
      </c>
      <c r="G442" s="1">
        <v>45168</v>
      </c>
      <c r="H442" s="1">
        <f>TablaDatos[[#This Row],[FechaIngreso]]+TablaDatos[[#This Row],[DiasNuevo]]</f>
        <v>45174</v>
      </c>
      <c r="I442">
        <v>6</v>
      </c>
      <c r="J442" t="s">
        <v>25</v>
      </c>
      <c r="K442" s="3">
        <v>5628.56</v>
      </c>
      <c r="L442" t="b">
        <f>TablaDatos[[#This Row],[FechaAlta]] &lt; TablaDatos[[#This Row],[FechaIngreso]]</f>
        <v>0</v>
      </c>
      <c r="M442">
        <f>_xlfn.XLOOKUP(TablaDatos[[#This Row],[PacienteID]],'Datos_Ejemplo.csv'!A:A,'Datos_Ejemplo.csv'!I:I)</f>
        <v>6</v>
      </c>
      <c r="N442">
        <f>ABS(TablaDatos[[#This Row],[DiasOriginal]])</f>
        <v>6</v>
      </c>
      <c r="O442" s="1">
        <f>TablaDatos[[#This Row],[FechaIngreso]]+TablaDatos[[#This Row],[DiasNuevo]]</f>
        <v>45174</v>
      </c>
    </row>
    <row r="443" spans="1:15">
      <c r="A443">
        <v>442</v>
      </c>
      <c r="B443" t="s">
        <v>328</v>
      </c>
      <c r="C443" s="1">
        <v>39448</v>
      </c>
      <c r="D443">
        <v>18</v>
      </c>
      <c r="E443" s="4" t="s">
        <v>15</v>
      </c>
      <c r="F443" t="s">
        <v>21</v>
      </c>
      <c r="G443" s="1">
        <v>45592</v>
      </c>
      <c r="H443" s="1">
        <f>TablaDatos[[#This Row],[FechaIngreso]]+TablaDatos[[#This Row],[DiasNuevo]]</f>
        <v>45629</v>
      </c>
      <c r="I443">
        <v>37</v>
      </c>
      <c r="J443" t="s">
        <v>19</v>
      </c>
      <c r="K443" s="3">
        <v>3026.92</v>
      </c>
      <c r="L443" t="b">
        <f>TablaDatos[[#This Row],[FechaAlta]] &lt; TablaDatos[[#This Row],[FechaIngreso]]</f>
        <v>0</v>
      </c>
      <c r="M443">
        <f>_xlfn.XLOOKUP(TablaDatos[[#This Row],[PacienteID]],'Datos_Ejemplo.csv'!A:A,'Datos_Ejemplo.csv'!I:I)</f>
        <v>37</v>
      </c>
      <c r="N443">
        <f>ABS(TablaDatos[[#This Row],[DiasOriginal]])</f>
        <v>37</v>
      </c>
      <c r="O443" s="1">
        <f>TablaDatos[[#This Row],[FechaIngreso]]+TablaDatos[[#This Row],[DiasNuevo]]</f>
        <v>45629</v>
      </c>
    </row>
    <row r="444" spans="1:15">
      <c r="A444">
        <v>443</v>
      </c>
      <c r="B444" t="s">
        <v>105</v>
      </c>
      <c r="C444" s="1">
        <v>40178</v>
      </c>
      <c r="D444">
        <v>16</v>
      </c>
      <c r="E444" s="4" t="s">
        <v>12</v>
      </c>
      <c r="F444" t="s">
        <v>261</v>
      </c>
      <c r="G444" s="1">
        <v>45086</v>
      </c>
      <c r="H444" s="1">
        <f>TablaDatos[[#This Row],[FechaIngreso]]+TablaDatos[[#This Row],[DiasNuevo]]</f>
        <v>45094</v>
      </c>
      <c r="I444">
        <v>8</v>
      </c>
      <c r="J444" t="s">
        <v>25</v>
      </c>
      <c r="K444" s="3">
        <v>19850.5</v>
      </c>
      <c r="L444" t="b">
        <f>TablaDatos[[#This Row],[FechaAlta]] &lt; TablaDatos[[#This Row],[FechaIngreso]]</f>
        <v>0</v>
      </c>
      <c r="M444">
        <f>_xlfn.XLOOKUP(TablaDatos[[#This Row],[PacienteID]],'Datos_Ejemplo.csv'!A:A,'Datos_Ejemplo.csv'!I:I)</f>
        <v>8</v>
      </c>
      <c r="N444">
        <f>ABS(TablaDatos[[#This Row],[DiasOriginal]])</f>
        <v>8</v>
      </c>
      <c r="O444" s="1">
        <f>TablaDatos[[#This Row],[FechaIngreso]]+TablaDatos[[#This Row],[DiasNuevo]]</f>
        <v>45094</v>
      </c>
    </row>
    <row r="445" spans="1:15">
      <c r="A445">
        <v>444</v>
      </c>
      <c r="B445" t="s">
        <v>231</v>
      </c>
      <c r="C445" s="1">
        <f ca="1">DATE(YEAR(TODAY())-TablaDatos[[#This Row],[Edad]],1,1)</f>
        <v>23377</v>
      </c>
      <c r="D445">
        <v>62</v>
      </c>
      <c r="E445" s="4" t="s">
        <v>15</v>
      </c>
      <c r="F445" t="s">
        <v>295</v>
      </c>
      <c r="G445" s="1">
        <v>45161</v>
      </c>
      <c r="H445" s="1">
        <f>TablaDatos[[#This Row],[FechaIngreso]]+TablaDatos[[#This Row],[DiasNuevo]]</f>
        <v>45165</v>
      </c>
      <c r="I445">
        <v>4</v>
      </c>
      <c r="J445" t="s">
        <v>23</v>
      </c>
      <c r="K445" s="3">
        <v>5976.34</v>
      </c>
      <c r="L445" t="b">
        <f>TablaDatos[[#This Row],[FechaAlta]] &lt; TablaDatos[[#This Row],[FechaIngreso]]</f>
        <v>0</v>
      </c>
      <c r="M445">
        <f>_xlfn.XLOOKUP(TablaDatos[[#This Row],[PacienteID]],'Datos_Ejemplo.csv'!A:A,'Datos_Ejemplo.csv'!I:I)</f>
        <v>4</v>
      </c>
      <c r="N445">
        <f>ABS(TablaDatos[[#This Row],[DiasOriginal]])</f>
        <v>4</v>
      </c>
      <c r="O445" s="1">
        <f>TablaDatos[[#This Row],[FechaIngreso]]+TablaDatos[[#This Row],[DiasNuevo]]</f>
        <v>45165</v>
      </c>
    </row>
    <row r="446" spans="1:15">
      <c r="A446">
        <v>445</v>
      </c>
      <c r="B446" t="s">
        <v>280</v>
      </c>
      <c r="C446" s="1">
        <v>39448</v>
      </c>
      <c r="D446">
        <v>18</v>
      </c>
      <c r="E446" s="4" t="s">
        <v>12</v>
      </c>
      <c r="F446" t="s">
        <v>18</v>
      </c>
      <c r="G446" s="1">
        <v>45379</v>
      </c>
      <c r="H446" s="1">
        <f>TablaDatos[[#This Row],[FechaIngreso]]+TablaDatos[[#This Row],[DiasNuevo]]</f>
        <v>45406</v>
      </c>
      <c r="I446">
        <v>27</v>
      </c>
      <c r="J446" t="s">
        <v>19</v>
      </c>
      <c r="K446" s="3">
        <v>13573.1</v>
      </c>
      <c r="L446" t="b">
        <f>TablaDatos[[#This Row],[FechaAlta]] &lt; TablaDatos[[#This Row],[FechaIngreso]]</f>
        <v>0</v>
      </c>
      <c r="M446">
        <f>_xlfn.XLOOKUP(TablaDatos[[#This Row],[PacienteID]],'Datos_Ejemplo.csv'!A:A,'Datos_Ejemplo.csv'!I:I)</f>
        <v>27</v>
      </c>
      <c r="N446">
        <f>ABS(TablaDatos[[#This Row],[DiasOriginal]])</f>
        <v>27</v>
      </c>
      <c r="O446" s="1">
        <f>TablaDatos[[#This Row],[FechaIngreso]]+TablaDatos[[#This Row],[DiasNuevo]]</f>
        <v>45406</v>
      </c>
    </row>
    <row r="447" spans="1:15">
      <c r="A447">
        <v>446</v>
      </c>
      <c r="B447" t="s">
        <v>291</v>
      </c>
      <c r="C447" s="1">
        <v>12785</v>
      </c>
      <c r="D447">
        <v>91</v>
      </c>
      <c r="E447" s="4" t="s">
        <v>12</v>
      </c>
      <c r="F447" t="s">
        <v>295</v>
      </c>
      <c r="G447" s="1">
        <v>45125</v>
      </c>
      <c r="H447" s="1">
        <f>TablaDatos[[#This Row],[FechaIngreso]]+TablaDatos[[#This Row],[DiasNuevo]]</f>
        <v>45126</v>
      </c>
      <c r="I447">
        <v>1</v>
      </c>
      <c r="J447" t="s">
        <v>25</v>
      </c>
      <c r="K447" s="3">
        <v>4554.3599999999997</v>
      </c>
      <c r="L447" t="b">
        <f>TablaDatos[[#This Row],[FechaAlta]] &lt; TablaDatos[[#This Row],[FechaIngreso]]</f>
        <v>0</v>
      </c>
      <c r="M447">
        <f>_xlfn.XLOOKUP(TablaDatos[[#This Row],[PacienteID]],'Datos_Ejemplo.csv'!A:A,'Datos_Ejemplo.csv'!I:I)</f>
        <v>-1</v>
      </c>
      <c r="N447">
        <f>ABS(TablaDatos[[#This Row],[DiasOriginal]])</f>
        <v>1</v>
      </c>
      <c r="O447" s="1">
        <f>TablaDatos[[#This Row],[FechaIngreso]]+TablaDatos[[#This Row],[DiasNuevo]]</f>
        <v>45126</v>
      </c>
    </row>
    <row r="448" spans="1:15">
      <c r="A448">
        <v>447</v>
      </c>
      <c r="B448" t="s">
        <v>164</v>
      </c>
      <c r="C448" s="1">
        <v>25203</v>
      </c>
      <c r="D448">
        <v>57</v>
      </c>
      <c r="E448" s="4" t="s">
        <v>12</v>
      </c>
      <c r="F448" t="s">
        <v>201</v>
      </c>
      <c r="G448" s="1">
        <v>45403</v>
      </c>
      <c r="H448" s="1">
        <f>TablaDatos[[#This Row],[FechaIngreso]]+TablaDatos[[#This Row],[DiasNuevo]]</f>
        <v>45430</v>
      </c>
      <c r="I448">
        <v>27</v>
      </c>
      <c r="J448" t="s">
        <v>25</v>
      </c>
      <c r="K448" s="3">
        <v>10957.44</v>
      </c>
      <c r="L448" t="b">
        <f>TablaDatos[[#This Row],[FechaAlta]] &lt; TablaDatos[[#This Row],[FechaIngreso]]</f>
        <v>0</v>
      </c>
      <c r="M448">
        <f>_xlfn.XLOOKUP(TablaDatos[[#This Row],[PacienteID]],'Datos_Ejemplo.csv'!A:A,'Datos_Ejemplo.csv'!I:I)</f>
        <v>27</v>
      </c>
      <c r="N448">
        <f>ABS(TablaDatos[[#This Row],[DiasOriginal]])</f>
        <v>27</v>
      </c>
      <c r="O448" s="1">
        <f>TablaDatos[[#This Row],[FechaIngreso]]+TablaDatos[[#This Row],[DiasNuevo]]</f>
        <v>45430</v>
      </c>
    </row>
    <row r="449" spans="1:15">
      <c r="A449">
        <v>448</v>
      </c>
      <c r="B449" t="s">
        <v>362</v>
      </c>
      <c r="C449" s="1">
        <v>26299</v>
      </c>
      <c r="D449">
        <v>54</v>
      </c>
      <c r="E449" s="4" t="s">
        <v>15</v>
      </c>
      <c r="F449" t="s">
        <v>32</v>
      </c>
      <c r="G449" s="1">
        <v>44959</v>
      </c>
      <c r="H449" s="1">
        <f>TablaDatos[[#This Row],[FechaIngreso]]+TablaDatos[[#This Row],[DiasNuevo]]</f>
        <v>44960</v>
      </c>
      <c r="I449">
        <v>1</v>
      </c>
      <c r="J449" t="s">
        <v>23</v>
      </c>
      <c r="K449" s="3">
        <v>7664.27</v>
      </c>
      <c r="L449" t="b">
        <f>TablaDatos[[#This Row],[FechaAlta]] &lt; TablaDatos[[#This Row],[FechaIngreso]]</f>
        <v>0</v>
      </c>
      <c r="M449">
        <f>_xlfn.XLOOKUP(TablaDatos[[#This Row],[PacienteID]],'Datos_Ejemplo.csv'!A:A,'Datos_Ejemplo.csv'!I:I)</f>
        <v>1</v>
      </c>
      <c r="N449">
        <f>ABS(TablaDatos[[#This Row],[DiasOriginal]])</f>
        <v>1</v>
      </c>
      <c r="O449" s="1">
        <f>TablaDatos[[#This Row],[FechaIngreso]]+TablaDatos[[#This Row],[DiasNuevo]]</f>
        <v>44960</v>
      </c>
    </row>
    <row r="450" spans="1:15">
      <c r="A450">
        <v>449</v>
      </c>
      <c r="B450" t="s">
        <v>339</v>
      </c>
      <c r="C450" s="1">
        <v>13515</v>
      </c>
      <c r="D450">
        <v>89</v>
      </c>
      <c r="E450" s="4" t="s">
        <v>12</v>
      </c>
      <c r="F450" t="s">
        <v>13</v>
      </c>
      <c r="G450" s="1">
        <v>45334</v>
      </c>
      <c r="H450" s="1">
        <f>TablaDatos[[#This Row],[FechaIngreso]]+TablaDatos[[#This Row],[DiasNuevo]]</f>
        <v>45345</v>
      </c>
      <c r="I450">
        <v>11</v>
      </c>
      <c r="J450" t="s">
        <v>23</v>
      </c>
      <c r="K450" s="3">
        <v>19227.740000000002</v>
      </c>
      <c r="L450" t="b">
        <f>TablaDatos[[#This Row],[FechaAlta]] &lt; TablaDatos[[#This Row],[FechaIngreso]]</f>
        <v>0</v>
      </c>
      <c r="M450">
        <f>_xlfn.XLOOKUP(TablaDatos[[#This Row],[PacienteID]],'Datos_Ejemplo.csv'!A:A,'Datos_Ejemplo.csv'!I:I)</f>
        <v>11</v>
      </c>
      <c r="N450">
        <f>ABS(TablaDatos[[#This Row],[DiasOriginal]])</f>
        <v>11</v>
      </c>
      <c r="O450" s="1">
        <f>TablaDatos[[#This Row],[FechaIngreso]]+TablaDatos[[#This Row],[DiasNuevo]]</f>
        <v>45345</v>
      </c>
    </row>
    <row r="451" spans="1:15">
      <c r="A451">
        <v>450</v>
      </c>
      <c r="B451" t="s">
        <v>356</v>
      </c>
      <c r="C451" s="1">
        <v>13515</v>
      </c>
      <c r="D451">
        <v>89</v>
      </c>
      <c r="E451" s="4" t="s">
        <v>15</v>
      </c>
      <c r="F451" t="s">
        <v>201</v>
      </c>
      <c r="G451" s="1">
        <v>45015</v>
      </c>
      <c r="H451" s="1">
        <f>TablaDatos[[#This Row],[FechaIngreso]]+TablaDatos[[#This Row],[DiasNuevo]]</f>
        <v>45025</v>
      </c>
      <c r="I451">
        <v>10</v>
      </c>
      <c r="J451" t="s">
        <v>23</v>
      </c>
      <c r="K451" s="3">
        <v>8599.4</v>
      </c>
      <c r="L451" t="b">
        <f>TablaDatos[[#This Row],[FechaAlta]] &lt; TablaDatos[[#This Row],[FechaIngreso]]</f>
        <v>0</v>
      </c>
      <c r="M451">
        <f>_xlfn.XLOOKUP(TablaDatos[[#This Row],[PacienteID]],'Datos_Ejemplo.csv'!A:A,'Datos_Ejemplo.csv'!I:I)</f>
        <v>10</v>
      </c>
      <c r="N451">
        <f>ABS(TablaDatos[[#This Row],[DiasOriginal]])</f>
        <v>10</v>
      </c>
      <c r="O451" s="1">
        <f>TablaDatos[[#This Row],[FechaIngreso]]+TablaDatos[[#This Row],[DiasNuevo]]</f>
        <v>45025</v>
      </c>
    </row>
    <row r="452" spans="1:15">
      <c r="A452">
        <v>451</v>
      </c>
      <c r="B452" t="s">
        <v>301</v>
      </c>
      <c r="C452" s="1">
        <v>23742</v>
      </c>
      <c r="D452">
        <v>61</v>
      </c>
      <c r="E452" s="4" t="s">
        <v>15</v>
      </c>
      <c r="F452" t="s">
        <v>21</v>
      </c>
      <c r="G452" s="1">
        <v>45533</v>
      </c>
      <c r="H452" s="1">
        <f>TablaDatos[[#This Row],[FechaIngreso]]+TablaDatos[[#This Row],[DiasNuevo]]</f>
        <v>45555</v>
      </c>
      <c r="I452">
        <v>22</v>
      </c>
      <c r="J452" t="s">
        <v>25</v>
      </c>
      <c r="K452" s="3">
        <v>11641.9</v>
      </c>
      <c r="L452" t="b">
        <f>TablaDatos[[#This Row],[FechaAlta]] &lt; TablaDatos[[#This Row],[FechaIngreso]]</f>
        <v>0</v>
      </c>
      <c r="M452">
        <f>_xlfn.XLOOKUP(TablaDatos[[#This Row],[PacienteID]],'Datos_Ejemplo.csv'!A:A,'Datos_Ejemplo.csv'!I:I)</f>
        <v>22</v>
      </c>
      <c r="N452">
        <f>ABS(TablaDatos[[#This Row],[DiasOriginal]])</f>
        <v>22</v>
      </c>
      <c r="O452" s="1">
        <f>TablaDatos[[#This Row],[FechaIngreso]]+TablaDatos[[#This Row],[DiasNuevo]]</f>
        <v>45555</v>
      </c>
    </row>
    <row r="453" spans="1:15">
      <c r="A453">
        <v>452</v>
      </c>
      <c r="B453" t="s">
        <v>301</v>
      </c>
      <c r="C453" s="1">
        <v>37987</v>
      </c>
      <c r="D453">
        <v>22</v>
      </c>
      <c r="E453" s="4" t="s">
        <v>15</v>
      </c>
      <c r="F453" t="s">
        <v>261</v>
      </c>
      <c r="G453" s="1">
        <v>45147</v>
      </c>
      <c r="H453" s="1">
        <f>TablaDatos[[#This Row],[FechaIngreso]]+TablaDatos[[#This Row],[DiasNuevo]]</f>
        <v>45157</v>
      </c>
      <c r="I453">
        <v>10</v>
      </c>
      <c r="J453" t="s">
        <v>23</v>
      </c>
      <c r="K453" s="3">
        <v>18889.8</v>
      </c>
      <c r="L453" t="b">
        <f>TablaDatos[[#This Row],[FechaAlta]] &lt; TablaDatos[[#This Row],[FechaIngreso]]</f>
        <v>0</v>
      </c>
      <c r="M453">
        <f>_xlfn.XLOOKUP(TablaDatos[[#This Row],[PacienteID]],'Datos_Ejemplo.csv'!A:A,'Datos_Ejemplo.csv'!I:I)</f>
        <v>10</v>
      </c>
      <c r="N453">
        <f>ABS(TablaDatos[[#This Row],[DiasOriginal]])</f>
        <v>10</v>
      </c>
      <c r="O453" s="1">
        <f>TablaDatos[[#This Row],[FechaIngreso]]+TablaDatos[[#This Row],[DiasNuevo]]</f>
        <v>45157</v>
      </c>
    </row>
    <row r="454" spans="1:15">
      <c r="A454">
        <v>453</v>
      </c>
      <c r="B454" t="s">
        <v>146</v>
      </c>
      <c r="C454" s="1">
        <v>43100</v>
      </c>
      <c r="D454">
        <v>8</v>
      </c>
      <c r="E454" s="4" t="s">
        <v>12</v>
      </c>
      <c r="F454" t="s">
        <v>18</v>
      </c>
      <c r="G454" s="1">
        <v>44995</v>
      </c>
      <c r="H454" s="1">
        <f>TablaDatos[[#This Row],[FechaIngreso]]+TablaDatos[[#This Row],[DiasNuevo]]</f>
        <v>45005</v>
      </c>
      <c r="I454">
        <v>10</v>
      </c>
      <c r="J454" t="s">
        <v>19</v>
      </c>
      <c r="K454" s="3">
        <v>19783.61</v>
      </c>
      <c r="L454" t="b">
        <f>TablaDatos[[#This Row],[FechaAlta]] &lt; TablaDatos[[#This Row],[FechaIngreso]]</f>
        <v>0</v>
      </c>
      <c r="M454">
        <f>_xlfn.XLOOKUP(TablaDatos[[#This Row],[PacienteID]],'Datos_Ejemplo.csv'!A:A,'Datos_Ejemplo.csv'!I:I)</f>
        <v>10</v>
      </c>
      <c r="N454">
        <f>ABS(TablaDatos[[#This Row],[DiasOriginal]])</f>
        <v>10</v>
      </c>
      <c r="O454" s="1">
        <f>TablaDatos[[#This Row],[FechaIngreso]]+TablaDatos[[#This Row],[DiasNuevo]]</f>
        <v>45005</v>
      </c>
    </row>
    <row r="455" spans="1:15">
      <c r="A455">
        <v>454</v>
      </c>
      <c r="B455" t="s">
        <v>288</v>
      </c>
      <c r="C455" s="1">
        <v>42005</v>
      </c>
      <c r="D455">
        <v>11</v>
      </c>
      <c r="E455" s="4" t="s">
        <v>15</v>
      </c>
      <c r="F455" t="s">
        <v>201</v>
      </c>
      <c r="G455" s="1">
        <v>45220</v>
      </c>
      <c r="H455" s="1">
        <f>TablaDatos[[#This Row],[FechaIngreso]]+TablaDatos[[#This Row],[DiasNuevo]]</f>
        <v>45254</v>
      </c>
      <c r="I455">
        <v>34</v>
      </c>
      <c r="J455" t="s">
        <v>19</v>
      </c>
      <c r="K455" s="3">
        <v>1943.33</v>
      </c>
      <c r="L455" t="b">
        <f>TablaDatos[[#This Row],[FechaAlta]] &lt; TablaDatos[[#This Row],[FechaIngreso]]</f>
        <v>0</v>
      </c>
      <c r="M455">
        <f>_xlfn.XLOOKUP(TablaDatos[[#This Row],[PacienteID]],'Datos_Ejemplo.csv'!A:A,'Datos_Ejemplo.csv'!I:I)</f>
        <v>34</v>
      </c>
      <c r="N455">
        <f>ABS(TablaDatos[[#This Row],[DiasOriginal]])</f>
        <v>34</v>
      </c>
      <c r="O455" s="1">
        <f>TablaDatos[[#This Row],[FechaIngreso]]+TablaDatos[[#This Row],[DiasNuevo]]</f>
        <v>45254</v>
      </c>
    </row>
    <row r="456" spans="1:15">
      <c r="A456">
        <v>455</v>
      </c>
      <c r="B456" t="s">
        <v>275</v>
      </c>
      <c r="C456" s="1">
        <v>46022</v>
      </c>
      <c r="D456">
        <v>0</v>
      </c>
      <c r="E456" s="4" t="s">
        <v>15</v>
      </c>
      <c r="F456" t="s">
        <v>13</v>
      </c>
      <c r="G456" s="1">
        <v>45163</v>
      </c>
      <c r="H456" s="1">
        <f>TablaDatos[[#This Row],[FechaIngreso]]+TablaDatos[[#This Row],[DiasNuevo]]</f>
        <v>45166</v>
      </c>
      <c r="I456">
        <v>3</v>
      </c>
      <c r="J456" t="s">
        <v>19</v>
      </c>
      <c r="K456" s="3">
        <v>16669.849999999999</v>
      </c>
      <c r="L456" t="b">
        <f>TablaDatos[[#This Row],[FechaAlta]] &lt; TablaDatos[[#This Row],[FechaIngreso]]</f>
        <v>0</v>
      </c>
      <c r="M456">
        <f>_xlfn.XLOOKUP(TablaDatos[[#This Row],[PacienteID]],'Datos_Ejemplo.csv'!A:A,'Datos_Ejemplo.csv'!I:I)</f>
        <v>3</v>
      </c>
      <c r="N456">
        <f>ABS(TablaDatos[[#This Row],[DiasOriginal]])</f>
        <v>3</v>
      </c>
      <c r="O456" s="1">
        <f>TablaDatos[[#This Row],[FechaIngreso]]+TablaDatos[[#This Row],[DiasNuevo]]</f>
        <v>45166</v>
      </c>
    </row>
    <row r="457" spans="1:15">
      <c r="A457">
        <v>456</v>
      </c>
      <c r="B457" t="s">
        <v>312</v>
      </c>
      <c r="C457" s="1">
        <v>25203</v>
      </c>
      <c r="D457">
        <v>57</v>
      </c>
      <c r="E457" s="4" t="s">
        <v>12</v>
      </c>
      <c r="F457" t="s">
        <v>18</v>
      </c>
      <c r="G457" s="1">
        <v>45086</v>
      </c>
      <c r="H457" s="1">
        <f>TablaDatos[[#This Row],[FechaIngreso]]+TablaDatos[[#This Row],[DiasNuevo]]</f>
        <v>45109</v>
      </c>
      <c r="I457">
        <v>23</v>
      </c>
      <c r="J457" t="s">
        <v>25</v>
      </c>
      <c r="K457" s="3">
        <v>7580.54</v>
      </c>
      <c r="L457" t="b">
        <f>TablaDatos[[#This Row],[FechaAlta]] &lt; TablaDatos[[#This Row],[FechaIngreso]]</f>
        <v>0</v>
      </c>
      <c r="M457">
        <f>_xlfn.XLOOKUP(TablaDatos[[#This Row],[PacienteID]],'Datos_Ejemplo.csv'!A:A,'Datos_Ejemplo.csv'!I:I)</f>
        <v>23</v>
      </c>
      <c r="N457">
        <f>ABS(TablaDatos[[#This Row],[DiasOriginal]])</f>
        <v>23</v>
      </c>
      <c r="O457" s="1">
        <f>TablaDatos[[#This Row],[FechaIngreso]]+TablaDatos[[#This Row],[DiasNuevo]]</f>
        <v>45109</v>
      </c>
    </row>
    <row r="458" spans="1:15">
      <c r="A458">
        <v>457</v>
      </c>
      <c r="B458" t="s">
        <v>340</v>
      </c>
      <c r="C458" s="1">
        <v>46022</v>
      </c>
      <c r="D458">
        <v>0</v>
      </c>
      <c r="E458" s="4" t="s">
        <v>12</v>
      </c>
      <c r="F458" t="s">
        <v>21</v>
      </c>
      <c r="G458" s="1">
        <v>45216</v>
      </c>
      <c r="H458" s="1">
        <f>TablaDatos[[#This Row],[FechaIngreso]]+TablaDatos[[#This Row],[DiasNuevo]]</f>
        <v>45227</v>
      </c>
      <c r="I458">
        <v>11</v>
      </c>
      <c r="J458" t="s">
        <v>25</v>
      </c>
      <c r="K458" s="3">
        <v>11856.06</v>
      </c>
      <c r="L458" t="b">
        <f>TablaDatos[[#This Row],[FechaAlta]] &lt; TablaDatos[[#This Row],[FechaIngreso]]</f>
        <v>0</v>
      </c>
      <c r="M458">
        <f>_xlfn.XLOOKUP(TablaDatos[[#This Row],[PacienteID]],'Datos_Ejemplo.csv'!A:A,'Datos_Ejemplo.csv'!I:I)</f>
        <v>11</v>
      </c>
      <c r="N458">
        <f>ABS(TablaDatos[[#This Row],[DiasOriginal]])</f>
        <v>11</v>
      </c>
      <c r="O458" s="1">
        <f>TablaDatos[[#This Row],[FechaIngreso]]+TablaDatos[[#This Row],[DiasNuevo]]</f>
        <v>45227</v>
      </c>
    </row>
    <row r="459" spans="1:15">
      <c r="A459">
        <v>458</v>
      </c>
      <c r="B459" t="s">
        <v>301</v>
      </c>
      <c r="C459" s="1">
        <v>33969</v>
      </c>
      <c r="D459">
        <v>33</v>
      </c>
      <c r="E459" s="4" t="s">
        <v>12</v>
      </c>
      <c r="F459" t="s">
        <v>261</v>
      </c>
      <c r="G459" s="1">
        <v>45480</v>
      </c>
      <c r="H459" s="1">
        <f>TablaDatos[[#This Row],[FechaIngreso]]+TablaDatos[[#This Row],[DiasNuevo]]</f>
        <v>45485</v>
      </c>
      <c r="I459">
        <v>5</v>
      </c>
      <c r="J459" t="s">
        <v>19</v>
      </c>
      <c r="K459" s="3">
        <v>7438.47</v>
      </c>
      <c r="L459" t="b">
        <f>TablaDatos[[#This Row],[FechaAlta]] &lt; TablaDatos[[#This Row],[FechaIngreso]]</f>
        <v>0</v>
      </c>
      <c r="M459">
        <f>_xlfn.XLOOKUP(TablaDatos[[#This Row],[PacienteID]],'Datos_Ejemplo.csv'!A:A,'Datos_Ejemplo.csv'!I:I)</f>
        <v>5</v>
      </c>
      <c r="N459">
        <f>ABS(TablaDatos[[#This Row],[DiasOriginal]])</f>
        <v>5</v>
      </c>
      <c r="O459" s="1">
        <f>TablaDatos[[#This Row],[FechaIngreso]]+TablaDatos[[#This Row],[DiasNuevo]]</f>
        <v>45485</v>
      </c>
    </row>
    <row r="460" spans="1:15">
      <c r="A460">
        <v>459</v>
      </c>
      <c r="B460" t="s">
        <v>281</v>
      </c>
      <c r="C460" s="1">
        <v>28856</v>
      </c>
      <c r="D460">
        <v>47</v>
      </c>
      <c r="E460" s="4" t="s">
        <v>12</v>
      </c>
      <c r="F460" t="s">
        <v>32</v>
      </c>
      <c r="G460" s="1">
        <v>45504</v>
      </c>
      <c r="H460" s="1">
        <f>TablaDatos[[#This Row],[FechaIngreso]]+TablaDatos[[#This Row],[DiasNuevo]]</f>
        <v>45525</v>
      </c>
      <c r="I460">
        <v>21</v>
      </c>
      <c r="J460" t="s">
        <v>23</v>
      </c>
      <c r="K460" s="3">
        <v>7962.44</v>
      </c>
      <c r="L460" t="b">
        <f>TablaDatos[[#This Row],[FechaAlta]] &lt; TablaDatos[[#This Row],[FechaIngreso]]</f>
        <v>0</v>
      </c>
      <c r="M460">
        <f>_xlfn.XLOOKUP(TablaDatos[[#This Row],[PacienteID]],'Datos_Ejemplo.csv'!A:A,'Datos_Ejemplo.csv'!I:I)</f>
        <v>21</v>
      </c>
      <c r="N460">
        <f>ABS(TablaDatos[[#This Row],[DiasOriginal]])</f>
        <v>21</v>
      </c>
      <c r="O460" s="1">
        <f>TablaDatos[[#This Row],[FechaIngreso]]+TablaDatos[[#This Row],[DiasNuevo]]</f>
        <v>45525</v>
      </c>
    </row>
    <row r="461" spans="1:15">
      <c r="A461">
        <v>460</v>
      </c>
      <c r="B461" t="s">
        <v>285</v>
      </c>
      <c r="C461" s="1">
        <f ca="1">DATE(YEAR(TODAY())-TablaDatos[[#This Row],[Edad]],1,1)</f>
        <v>13881</v>
      </c>
      <c r="D461">
        <v>88</v>
      </c>
      <c r="E461" s="4" t="s">
        <v>15</v>
      </c>
      <c r="F461" t="s">
        <v>201</v>
      </c>
      <c r="G461" s="1">
        <v>45459</v>
      </c>
      <c r="H461" s="1">
        <f>TablaDatos[[#This Row],[FechaIngreso]]+TablaDatos[[#This Row],[DiasNuevo]]</f>
        <v>45478</v>
      </c>
      <c r="I461">
        <v>19</v>
      </c>
      <c r="J461" t="s">
        <v>23</v>
      </c>
      <c r="K461" s="3">
        <v>3093.04</v>
      </c>
      <c r="L461" t="b">
        <f>TablaDatos[[#This Row],[FechaAlta]] &lt; TablaDatos[[#This Row],[FechaIngreso]]</f>
        <v>0</v>
      </c>
      <c r="M461">
        <f>_xlfn.XLOOKUP(TablaDatos[[#This Row],[PacienteID]],'Datos_Ejemplo.csv'!A:A,'Datos_Ejemplo.csv'!I:I)</f>
        <v>19</v>
      </c>
      <c r="N461">
        <f>ABS(TablaDatos[[#This Row],[DiasOriginal]])</f>
        <v>19</v>
      </c>
      <c r="O461" s="1">
        <f>TablaDatos[[#This Row],[FechaIngreso]]+TablaDatos[[#This Row],[DiasNuevo]]</f>
        <v>45478</v>
      </c>
    </row>
    <row r="462" spans="1:15">
      <c r="A462">
        <v>461</v>
      </c>
      <c r="B462" t="s">
        <v>307</v>
      </c>
      <c r="C462" s="1">
        <v>46022</v>
      </c>
      <c r="D462">
        <v>0</v>
      </c>
      <c r="E462" s="4" t="s">
        <v>12</v>
      </c>
      <c r="F462" t="s">
        <v>201</v>
      </c>
      <c r="G462" s="1">
        <v>45261</v>
      </c>
      <c r="H462" s="1">
        <f>TablaDatos[[#This Row],[FechaIngreso]]+TablaDatos[[#This Row],[DiasNuevo]]</f>
        <v>45298</v>
      </c>
      <c r="I462">
        <v>37</v>
      </c>
      <c r="J462" t="s">
        <v>23</v>
      </c>
      <c r="K462" s="3">
        <v>11412.61</v>
      </c>
      <c r="L462" t="b">
        <f>TablaDatos[[#This Row],[FechaAlta]] &lt; TablaDatos[[#This Row],[FechaIngreso]]</f>
        <v>0</v>
      </c>
      <c r="M462">
        <f>_xlfn.XLOOKUP(TablaDatos[[#This Row],[PacienteID]],'Datos_Ejemplo.csv'!A:A,'Datos_Ejemplo.csv'!I:I)</f>
        <v>37</v>
      </c>
      <c r="N462">
        <f>ABS(TablaDatos[[#This Row],[DiasOriginal]])</f>
        <v>37</v>
      </c>
      <c r="O462" s="1">
        <f>TablaDatos[[#This Row],[FechaIngreso]]+TablaDatos[[#This Row],[DiasNuevo]]</f>
        <v>45298</v>
      </c>
    </row>
    <row r="463" spans="1:15">
      <c r="A463">
        <v>462</v>
      </c>
      <c r="B463" t="s">
        <v>270</v>
      </c>
      <c r="C463" s="1">
        <v>40544</v>
      </c>
      <c r="D463">
        <v>15</v>
      </c>
      <c r="E463" s="4" t="s">
        <v>12</v>
      </c>
      <c r="F463" t="s">
        <v>201</v>
      </c>
      <c r="G463" s="1">
        <v>45508</v>
      </c>
      <c r="H463" s="1">
        <f>TablaDatos[[#This Row],[FechaIngreso]]+TablaDatos[[#This Row],[DiasNuevo]]</f>
        <v>45544</v>
      </c>
      <c r="I463">
        <v>36</v>
      </c>
      <c r="J463" t="s">
        <v>23</v>
      </c>
      <c r="K463" s="3">
        <v>10888.99</v>
      </c>
      <c r="L463" t="b">
        <f>TablaDatos[[#This Row],[FechaAlta]] &lt; TablaDatos[[#This Row],[FechaIngreso]]</f>
        <v>0</v>
      </c>
      <c r="M463">
        <f>_xlfn.XLOOKUP(TablaDatos[[#This Row],[PacienteID]],'Datos_Ejemplo.csv'!A:A,'Datos_Ejemplo.csv'!I:I)</f>
        <v>36</v>
      </c>
      <c r="N463">
        <f>ABS(TablaDatos[[#This Row],[DiasOriginal]])</f>
        <v>36</v>
      </c>
      <c r="O463" s="1">
        <f>TablaDatos[[#This Row],[FechaIngreso]]+TablaDatos[[#This Row],[DiasNuevo]]</f>
        <v>45544</v>
      </c>
    </row>
    <row r="464" spans="1:15">
      <c r="A464">
        <v>463</v>
      </c>
      <c r="B464" t="s">
        <v>303</v>
      </c>
      <c r="C464" s="1">
        <v>24107</v>
      </c>
      <c r="D464">
        <v>60</v>
      </c>
      <c r="E464" s="4" t="s">
        <v>15</v>
      </c>
      <c r="F464" t="s">
        <v>21</v>
      </c>
      <c r="G464" s="1">
        <v>45428</v>
      </c>
      <c r="H464" s="1">
        <f>TablaDatos[[#This Row],[FechaIngreso]]+TablaDatos[[#This Row],[DiasNuevo]]</f>
        <v>45446</v>
      </c>
      <c r="I464">
        <v>18</v>
      </c>
      <c r="J464" t="s">
        <v>19</v>
      </c>
      <c r="K464" s="3">
        <v>3706.05</v>
      </c>
      <c r="L464" t="b">
        <f>TablaDatos[[#This Row],[FechaAlta]] &lt; TablaDatos[[#This Row],[FechaIngreso]]</f>
        <v>0</v>
      </c>
      <c r="M464">
        <f>_xlfn.XLOOKUP(TablaDatos[[#This Row],[PacienteID]],'Datos_Ejemplo.csv'!A:A,'Datos_Ejemplo.csv'!I:I)</f>
        <v>18</v>
      </c>
      <c r="N464">
        <f>ABS(TablaDatos[[#This Row],[DiasOriginal]])</f>
        <v>18</v>
      </c>
      <c r="O464" s="1">
        <f>TablaDatos[[#This Row],[FechaIngreso]]+TablaDatos[[#This Row],[DiasNuevo]]</f>
        <v>45446</v>
      </c>
    </row>
    <row r="465" spans="1:15">
      <c r="A465">
        <v>464</v>
      </c>
      <c r="B465" t="s">
        <v>327</v>
      </c>
      <c r="C465" s="1">
        <v>23012</v>
      </c>
      <c r="D465">
        <v>63</v>
      </c>
      <c r="E465" s="4" t="s">
        <v>15</v>
      </c>
      <c r="F465" t="s">
        <v>18</v>
      </c>
      <c r="G465" s="1">
        <v>45172</v>
      </c>
      <c r="H465" s="1">
        <f>TablaDatos[[#This Row],[FechaIngreso]]+TablaDatos[[#This Row],[DiasNuevo]]</f>
        <v>45195</v>
      </c>
      <c r="I465">
        <v>23</v>
      </c>
      <c r="J465" t="s">
        <v>25</v>
      </c>
      <c r="K465" s="3">
        <v>10788.78</v>
      </c>
      <c r="L465" t="b">
        <f>TablaDatos[[#This Row],[FechaAlta]] &lt; TablaDatos[[#This Row],[FechaIngreso]]</f>
        <v>0</v>
      </c>
      <c r="M465">
        <f>_xlfn.XLOOKUP(TablaDatos[[#This Row],[PacienteID]],'Datos_Ejemplo.csv'!A:A,'Datos_Ejemplo.csv'!I:I)</f>
        <v>23</v>
      </c>
      <c r="N465">
        <f>ABS(TablaDatos[[#This Row],[DiasOriginal]])</f>
        <v>23</v>
      </c>
      <c r="O465" s="1">
        <f>TablaDatos[[#This Row],[FechaIngreso]]+TablaDatos[[#This Row],[DiasNuevo]]</f>
        <v>45195</v>
      </c>
    </row>
    <row r="466" spans="1:15">
      <c r="A466">
        <v>465</v>
      </c>
      <c r="B466" t="s">
        <v>367</v>
      </c>
      <c r="C466" s="1">
        <v>23377</v>
      </c>
      <c r="D466">
        <v>62</v>
      </c>
      <c r="E466" s="4" t="s">
        <v>15</v>
      </c>
      <c r="F466" t="s">
        <v>18</v>
      </c>
      <c r="G466" s="1">
        <v>45249</v>
      </c>
      <c r="H466" s="1">
        <f>TablaDatos[[#This Row],[FechaIngreso]]+TablaDatos[[#This Row],[DiasNuevo]]</f>
        <v>45256</v>
      </c>
      <c r="I466">
        <v>7</v>
      </c>
      <c r="J466" t="s">
        <v>25</v>
      </c>
      <c r="K466" s="3">
        <v>19459.349999999999</v>
      </c>
      <c r="L466" t="b">
        <f>TablaDatos[[#This Row],[FechaAlta]] &lt; TablaDatos[[#This Row],[FechaIngreso]]</f>
        <v>0</v>
      </c>
      <c r="M466">
        <f>_xlfn.XLOOKUP(TablaDatos[[#This Row],[PacienteID]],'Datos_Ejemplo.csv'!A:A,'Datos_Ejemplo.csv'!I:I)</f>
        <v>7</v>
      </c>
      <c r="N466">
        <f>ABS(TablaDatos[[#This Row],[DiasOriginal]])</f>
        <v>7</v>
      </c>
      <c r="O466" s="1">
        <f>TablaDatos[[#This Row],[FechaIngreso]]+TablaDatos[[#This Row],[DiasNuevo]]</f>
        <v>45256</v>
      </c>
    </row>
    <row r="467" spans="1:15">
      <c r="A467">
        <v>466</v>
      </c>
      <c r="B467" t="s">
        <v>307</v>
      </c>
      <c r="C467" s="1">
        <v>21185</v>
      </c>
      <c r="D467">
        <v>68</v>
      </c>
      <c r="E467" s="4" t="s">
        <v>15</v>
      </c>
      <c r="F467" t="s">
        <v>21</v>
      </c>
      <c r="G467" s="1">
        <v>45537</v>
      </c>
      <c r="H467" s="1">
        <f>TablaDatos[[#This Row],[FechaIngreso]]+TablaDatos[[#This Row],[DiasNuevo]]</f>
        <v>45547</v>
      </c>
      <c r="I467">
        <v>10</v>
      </c>
      <c r="J467" t="s">
        <v>23</v>
      </c>
      <c r="K467" s="3">
        <v>14259.61</v>
      </c>
      <c r="L467" t="b">
        <f>TablaDatos[[#This Row],[FechaAlta]] &lt; TablaDatos[[#This Row],[FechaIngreso]]</f>
        <v>0</v>
      </c>
      <c r="M467">
        <f>_xlfn.XLOOKUP(TablaDatos[[#This Row],[PacienteID]],'Datos_Ejemplo.csv'!A:A,'Datos_Ejemplo.csv'!I:I)</f>
        <v>10</v>
      </c>
      <c r="N467">
        <f>ABS(TablaDatos[[#This Row],[DiasOriginal]])</f>
        <v>10</v>
      </c>
      <c r="O467" s="1">
        <f>TablaDatos[[#This Row],[FechaIngreso]]+TablaDatos[[#This Row],[DiasNuevo]]</f>
        <v>45547</v>
      </c>
    </row>
    <row r="468" spans="1:15">
      <c r="A468">
        <v>467</v>
      </c>
      <c r="B468" t="s">
        <v>312</v>
      </c>
      <c r="C468" s="1">
        <v>38352</v>
      </c>
      <c r="D468">
        <v>21</v>
      </c>
      <c r="E468" s="4" t="s">
        <v>12</v>
      </c>
      <c r="F468" t="s">
        <v>201</v>
      </c>
      <c r="G468" s="1">
        <v>45255</v>
      </c>
      <c r="H468" s="1">
        <f>TablaDatos[[#This Row],[FechaIngreso]]+TablaDatos[[#This Row],[DiasNuevo]]</f>
        <v>45294</v>
      </c>
      <c r="I468">
        <v>39</v>
      </c>
      <c r="J468" t="s">
        <v>19</v>
      </c>
      <c r="K468" s="3">
        <v>9567.75</v>
      </c>
      <c r="L468" t="b">
        <f>TablaDatos[[#This Row],[FechaAlta]] &lt; TablaDatos[[#This Row],[FechaIngreso]]</f>
        <v>0</v>
      </c>
      <c r="M468">
        <f>_xlfn.XLOOKUP(TablaDatos[[#This Row],[PacienteID]],'Datos_Ejemplo.csv'!A:A,'Datos_Ejemplo.csv'!I:I)</f>
        <v>39</v>
      </c>
      <c r="N468">
        <f>ABS(TablaDatos[[#This Row],[DiasOriginal]])</f>
        <v>39</v>
      </c>
      <c r="O468" s="1">
        <f>TablaDatos[[#This Row],[FechaIngreso]]+TablaDatos[[#This Row],[DiasNuevo]]</f>
        <v>45294</v>
      </c>
    </row>
    <row r="469" spans="1:15">
      <c r="A469">
        <v>468</v>
      </c>
      <c r="B469" t="s">
        <v>278</v>
      </c>
      <c r="C469" s="1">
        <v>12419</v>
      </c>
      <c r="D469">
        <v>92</v>
      </c>
      <c r="E469" s="4" t="s">
        <v>12</v>
      </c>
      <c r="F469" t="s">
        <v>295</v>
      </c>
      <c r="G469" s="1">
        <v>45473</v>
      </c>
      <c r="H469" s="1">
        <f>TablaDatos[[#This Row],[FechaIngreso]]+TablaDatos[[#This Row],[DiasNuevo]]</f>
        <v>45484</v>
      </c>
      <c r="I469">
        <v>11</v>
      </c>
      <c r="J469" t="s">
        <v>23</v>
      </c>
      <c r="K469" s="3">
        <v>18313.29</v>
      </c>
      <c r="L469" t="b">
        <f>TablaDatos[[#This Row],[FechaAlta]] &lt; TablaDatos[[#This Row],[FechaIngreso]]</f>
        <v>0</v>
      </c>
      <c r="M469">
        <f>_xlfn.XLOOKUP(TablaDatos[[#This Row],[PacienteID]],'Datos_Ejemplo.csv'!A:A,'Datos_Ejemplo.csv'!I:I)</f>
        <v>11</v>
      </c>
      <c r="N469">
        <f>ABS(TablaDatos[[#This Row],[DiasOriginal]])</f>
        <v>11</v>
      </c>
      <c r="O469" s="1">
        <f>TablaDatos[[#This Row],[FechaIngreso]]+TablaDatos[[#This Row],[DiasNuevo]]</f>
        <v>45484</v>
      </c>
    </row>
    <row r="470" spans="1:15">
      <c r="A470">
        <v>469</v>
      </c>
      <c r="B470" t="s">
        <v>264</v>
      </c>
      <c r="C470" s="1">
        <v>21916</v>
      </c>
      <c r="D470">
        <v>66</v>
      </c>
      <c r="E470" s="4" t="s">
        <v>12</v>
      </c>
      <c r="F470" t="s">
        <v>21</v>
      </c>
      <c r="G470" s="1">
        <v>45265</v>
      </c>
      <c r="H470" s="1">
        <f>TablaDatos[[#This Row],[FechaIngreso]]+TablaDatos[[#This Row],[DiasNuevo]]</f>
        <v>45271</v>
      </c>
      <c r="I470">
        <v>6</v>
      </c>
      <c r="J470" t="s">
        <v>23</v>
      </c>
      <c r="K470" s="3">
        <v>11463.82</v>
      </c>
      <c r="L470" t="b">
        <f>TablaDatos[[#This Row],[FechaAlta]] &lt; TablaDatos[[#This Row],[FechaIngreso]]</f>
        <v>0</v>
      </c>
      <c r="M470">
        <f>_xlfn.XLOOKUP(TablaDatos[[#This Row],[PacienteID]],'Datos_Ejemplo.csv'!A:A,'Datos_Ejemplo.csv'!I:I)</f>
        <v>6</v>
      </c>
      <c r="N470">
        <f>ABS(TablaDatos[[#This Row],[DiasOriginal]])</f>
        <v>6</v>
      </c>
      <c r="O470" s="1">
        <f>TablaDatos[[#This Row],[FechaIngreso]]+TablaDatos[[#This Row],[DiasNuevo]]</f>
        <v>45271</v>
      </c>
    </row>
    <row r="471" spans="1:15">
      <c r="A471">
        <v>470</v>
      </c>
      <c r="B471" t="s">
        <v>331</v>
      </c>
      <c r="C471" s="1">
        <v>18629</v>
      </c>
      <c r="D471">
        <v>75</v>
      </c>
      <c r="E471" s="4" t="s">
        <v>12</v>
      </c>
      <c r="F471" t="s">
        <v>261</v>
      </c>
      <c r="G471" s="1">
        <v>45097</v>
      </c>
      <c r="H471" s="1">
        <f>TablaDatos[[#This Row],[FechaIngreso]]+TablaDatos[[#This Row],[DiasNuevo]]</f>
        <v>45101</v>
      </c>
      <c r="I471">
        <v>4</v>
      </c>
      <c r="J471" t="s">
        <v>19</v>
      </c>
      <c r="K471" s="3">
        <v>2614.46</v>
      </c>
      <c r="L471" t="b">
        <f>TablaDatos[[#This Row],[FechaAlta]] &lt; TablaDatos[[#This Row],[FechaIngreso]]</f>
        <v>0</v>
      </c>
      <c r="M471">
        <f>_xlfn.XLOOKUP(TablaDatos[[#This Row],[PacienteID]],'Datos_Ejemplo.csv'!A:A,'Datos_Ejemplo.csv'!I:I)</f>
        <v>4</v>
      </c>
      <c r="N471">
        <f>ABS(TablaDatos[[#This Row],[DiasOriginal]])</f>
        <v>4</v>
      </c>
      <c r="O471" s="1">
        <f>TablaDatos[[#This Row],[FechaIngreso]]+TablaDatos[[#This Row],[DiasNuevo]]</f>
        <v>45101</v>
      </c>
    </row>
    <row r="472" spans="1:15">
      <c r="A472">
        <v>471</v>
      </c>
      <c r="B472" t="s">
        <v>136</v>
      </c>
      <c r="C472" s="1">
        <v>36891</v>
      </c>
      <c r="D472">
        <v>25</v>
      </c>
      <c r="E472" s="4" t="s">
        <v>15</v>
      </c>
      <c r="F472" t="s">
        <v>261</v>
      </c>
      <c r="G472" s="1">
        <v>45036</v>
      </c>
      <c r="H472" s="1">
        <f>TablaDatos[[#This Row],[FechaIngreso]]+TablaDatos[[#This Row],[DiasNuevo]]</f>
        <v>45072</v>
      </c>
      <c r="I472">
        <v>36</v>
      </c>
      <c r="J472" t="s">
        <v>19</v>
      </c>
      <c r="K472" s="3">
        <v>10904.94</v>
      </c>
      <c r="L472" t="b">
        <f>TablaDatos[[#This Row],[FechaAlta]] &lt; TablaDatos[[#This Row],[FechaIngreso]]</f>
        <v>0</v>
      </c>
      <c r="M472">
        <f>_xlfn.XLOOKUP(TablaDatos[[#This Row],[PacienteID]],'Datos_Ejemplo.csv'!A:A,'Datos_Ejemplo.csv'!I:I)</f>
        <v>36</v>
      </c>
      <c r="N472">
        <f>ABS(TablaDatos[[#This Row],[DiasOriginal]])</f>
        <v>36</v>
      </c>
      <c r="O472" s="1">
        <f>TablaDatos[[#This Row],[FechaIngreso]]+TablaDatos[[#This Row],[DiasNuevo]]</f>
        <v>45072</v>
      </c>
    </row>
    <row r="473" spans="1:15">
      <c r="A473">
        <v>472</v>
      </c>
      <c r="B473" t="s">
        <v>136</v>
      </c>
      <c r="C473" s="1">
        <v>40544</v>
      </c>
      <c r="D473">
        <v>15</v>
      </c>
      <c r="E473" s="4" t="s">
        <v>12</v>
      </c>
      <c r="F473" t="s">
        <v>32</v>
      </c>
      <c r="G473" s="1">
        <v>44936</v>
      </c>
      <c r="H473" s="1">
        <f>TablaDatos[[#This Row],[FechaIngreso]]+TablaDatos[[#This Row],[DiasNuevo]]</f>
        <v>44964</v>
      </c>
      <c r="I473">
        <v>28</v>
      </c>
      <c r="J473" t="s">
        <v>19</v>
      </c>
      <c r="K473" s="3">
        <v>3537.56</v>
      </c>
      <c r="L473" t="b">
        <f>TablaDatos[[#This Row],[FechaAlta]] &lt; TablaDatos[[#This Row],[FechaIngreso]]</f>
        <v>0</v>
      </c>
      <c r="M473">
        <f>_xlfn.XLOOKUP(TablaDatos[[#This Row],[PacienteID]],'Datos_Ejemplo.csv'!A:A,'Datos_Ejemplo.csv'!I:I)</f>
        <v>28</v>
      </c>
      <c r="N473">
        <f>ABS(TablaDatos[[#This Row],[DiasOriginal]])</f>
        <v>28</v>
      </c>
      <c r="O473" s="1">
        <f>TablaDatos[[#This Row],[FechaIngreso]]+TablaDatos[[#This Row],[DiasNuevo]]</f>
        <v>44964</v>
      </c>
    </row>
    <row r="474" spans="1:15">
      <c r="A474">
        <v>473</v>
      </c>
      <c r="B474" t="s">
        <v>304</v>
      </c>
      <c r="C474" s="1">
        <v>27760</v>
      </c>
      <c r="D474">
        <v>50</v>
      </c>
      <c r="E474" s="4" t="s">
        <v>15</v>
      </c>
      <c r="F474" t="s">
        <v>21</v>
      </c>
      <c r="G474" s="1">
        <v>45128</v>
      </c>
      <c r="H474" s="1">
        <f>TablaDatos[[#This Row],[FechaIngreso]]+TablaDatos[[#This Row],[DiasNuevo]]</f>
        <v>45141</v>
      </c>
      <c r="I474">
        <v>13</v>
      </c>
      <c r="J474" t="s">
        <v>23</v>
      </c>
      <c r="K474" s="3">
        <v>15326.85</v>
      </c>
      <c r="L474" t="b">
        <f>TablaDatos[[#This Row],[FechaAlta]] &lt; TablaDatos[[#This Row],[FechaIngreso]]</f>
        <v>0</v>
      </c>
      <c r="M474">
        <f>_xlfn.XLOOKUP(TablaDatos[[#This Row],[PacienteID]],'Datos_Ejemplo.csv'!A:A,'Datos_Ejemplo.csv'!I:I)</f>
        <v>13</v>
      </c>
      <c r="N474">
        <f>ABS(TablaDatos[[#This Row],[DiasOriginal]])</f>
        <v>13</v>
      </c>
      <c r="O474" s="1">
        <f>TablaDatos[[#This Row],[FechaIngreso]]+TablaDatos[[#This Row],[DiasNuevo]]</f>
        <v>45141</v>
      </c>
    </row>
    <row r="475" spans="1:15">
      <c r="A475">
        <v>474</v>
      </c>
      <c r="B475" t="s">
        <v>285</v>
      </c>
      <c r="C475" s="1">
        <v>14976</v>
      </c>
      <c r="D475">
        <v>85</v>
      </c>
      <c r="E475" s="4" t="s">
        <v>197</v>
      </c>
      <c r="F475" t="s">
        <v>13</v>
      </c>
      <c r="G475" s="1">
        <v>45183</v>
      </c>
      <c r="H475" s="1">
        <f>TablaDatos[[#This Row],[FechaIngreso]]+TablaDatos[[#This Row],[DiasNuevo]]</f>
        <v>45188</v>
      </c>
      <c r="I475">
        <v>5</v>
      </c>
      <c r="J475" t="s">
        <v>19</v>
      </c>
      <c r="K475" s="3">
        <v>19340.2</v>
      </c>
      <c r="L475" t="b">
        <f>TablaDatos[[#This Row],[FechaAlta]] &lt; TablaDatos[[#This Row],[FechaIngreso]]</f>
        <v>0</v>
      </c>
      <c r="M475">
        <f>_xlfn.XLOOKUP(TablaDatos[[#This Row],[PacienteID]],'Datos_Ejemplo.csv'!A:A,'Datos_Ejemplo.csv'!I:I)</f>
        <v>5</v>
      </c>
      <c r="N475">
        <f>ABS(TablaDatos[[#This Row],[DiasOriginal]])</f>
        <v>5</v>
      </c>
      <c r="O475" s="1">
        <f>TablaDatos[[#This Row],[FechaIngreso]]+TablaDatos[[#This Row],[DiasNuevo]]</f>
        <v>45188</v>
      </c>
    </row>
    <row r="476" spans="1:15">
      <c r="A476">
        <v>475</v>
      </c>
      <c r="B476" t="s">
        <v>276</v>
      </c>
      <c r="C476" s="1">
        <v>25568</v>
      </c>
      <c r="D476">
        <v>56</v>
      </c>
      <c r="E476" s="4" t="s">
        <v>15</v>
      </c>
      <c r="F476" t="s">
        <v>261</v>
      </c>
      <c r="G476" s="1">
        <v>45188</v>
      </c>
      <c r="H476" s="1">
        <f>TablaDatos[[#This Row],[FechaIngreso]]+TablaDatos[[#This Row],[DiasNuevo]]</f>
        <v>45200</v>
      </c>
      <c r="I476">
        <v>12</v>
      </c>
      <c r="J476" t="s">
        <v>23</v>
      </c>
      <c r="K476" s="3">
        <v>7152.45</v>
      </c>
      <c r="L476" t="b">
        <f>TablaDatos[[#This Row],[FechaAlta]] &lt; TablaDatos[[#This Row],[FechaIngreso]]</f>
        <v>0</v>
      </c>
      <c r="M476">
        <f>_xlfn.XLOOKUP(TablaDatos[[#This Row],[PacienteID]],'Datos_Ejemplo.csv'!A:A,'Datos_Ejemplo.csv'!I:I)</f>
        <v>12</v>
      </c>
      <c r="N476">
        <f>ABS(TablaDatos[[#This Row],[DiasOriginal]])</f>
        <v>12</v>
      </c>
      <c r="O476" s="1">
        <f>TablaDatos[[#This Row],[FechaIngreso]]+TablaDatos[[#This Row],[DiasNuevo]]</f>
        <v>45200</v>
      </c>
    </row>
    <row r="477" spans="1:15">
      <c r="A477">
        <v>476</v>
      </c>
      <c r="B477" t="s">
        <v>351</v>
      </c>
      <c r="C477" s="1">
        <v>35795</v>
      </c>
      <c r="D477">
        <v>28</v>
      </c>
      <c r="E477" s="4" t="s">
        <v>12</v>
      </c>
      <c r="F477" t="s">
        <v>261</v>
      </c>
      <c r="G477" s="1">
        <v>45619</v>
      </c>
      <c r="H477" s="1">
        <f>TablaDatos[[#This Row],[FechaIngreso]]+TablaDatos[[#This Row],[DiasNuevo]]</f>
        <v>45641</v>
      </c>
      <c r="I477">
        <v>22</v>
      </c>
      <c r="J477" t="s">
        <v>23</v>
      </c>
      <c r="K477" s="3">
        <v>8641.85</v>
      </c>
      <c r="L477" t="b">
        <f>TablaDatos[[#This Row],[FechaAlta]] &lt; TablaDatos[[#This Row],[FechaIngreso]]</f>
        <v>0</v>
      </c>
      <c r="M477">
        <f>_xlfn.XLOOKUP(TablaDatos[[#This Row],[PacienteID]],'Datos_Ejemplo.csv'!A:A,'Datos_Ejemplo.csv'!I:I)</f>
        <v>22</v>
      </c>
      <c r="N477">
        <f>ABS(TablaDatos[[#This Row],[DiasOriginal]])</f>
        <v>22</v>
      </c>
      <c r="O477" s="1">
        <f>TablaDatos[[#This Row],[FechaIngreso]]+TablaDatos[[#This Row],[DiasNuevo]]</f>
        <v>45641</v>
      </c>
    </row>
    <row r="478" spans="1:15">
      <c r="A478">
        <v>477</v>
      </c>
      <c r="B478" t="s">
        <v>249</v>
      </c>
      <c r="C478" s="1">
        <v>17898</v>
      </c>
      <c r="D478">
        <v>77</v>
      </c>
      <c r="E478" s="4" t="s">
        <v>15</v>
      </c>
      <c r="F478" t="s">
        <v>261</v>
      </c>
      <c r="G478" s="1">
        <v>45356</v>
      </c>
      <c r="H478" s="1">
        <f>TablaDatos[[#This Row],[FechaIngreso]]+TablaDatos[[#This Row],[DiasNuevo]]</f>
        <v>45391</v>
      </c>
      <c r="I478">
        <v>35</v>
      </c>
      <c r="J478" t="s">
        <v>25</v>
      </c>
      <c r="K478" s="3">
        <v>8372.08</v>
      </c>
      <c r="L478" t="b">
        <f>TablaDatos[[#This Row],[FechaAlta]] &lt; TablaDatos[[#This Row],[FechaIngreso]]</f>
        <v>0</v>
      </c>
      <c r="M478">
        <f>_xlfn.XLOOKUP(TablaDatos[[#This Row],[PacienteID]],'Datos_Ejemplo.csv'!A:A,'Datos_Ejemplo.csv'!I:I)</f>
        <v>35</v>
      </c>
      <c r="N478">
        <f>ABS(TablaDatos[[#This Row],[DiasOriginal]])</f>
        <v>35</v>
      </c>
      <c r="O478" s="1">
        <f>TablaDatos[[#This Row],[FechaIngreso]]+TablaDatos[[#This Row],[DiasNuevo]]</f>
        <v>45391</v>
      </c>
    </row>
    <row r="479" spans="1:15">
      <c r="A479">
        <v>478</v>
      </c>
      <c r="B479" t="s">
        <v>304</v>
      </c>
      <c r="C479" s="1">
        <f ca="1">DATE(YEAR(TODAY())-TablaDatos[[#This Row],[Edad]],1,1)</f>
        <v>12785</v>
      </c>
      <c r="D479">
        <v>91</v>
      </c>
      <c r="E479" s="4" t="s">
        <v>15</v>
      </c>
      <c r="F479" t="s">
        <v>295</v>
      </c>
      <c r="G479" s="1">
        <v>45433</v>
      </c>
      <c r="H479" s="1">
        <f>TablaDatos[[#This Row],[FechaIngreso]]+TablaDatos[[#This Row],[DiasNuevo]]</f>
        <v>45471</v>
      </c>
      <c r="I479">
        <v>38</v>
      </c>
      <c r="J479" t="s">
        <v>23</v>
      </c>
      <c r="K479" s="3">
        <v>5634.53</v>
      </c>
      <c r="L479" t="b">
        <f>TablaDatos[[#This Row],[FechaAlta]] &lt; TablaDatos[[#This Row],[FechaIngreso]]</f>
        <v>0</v>
      </c>
      <c r="M479">
        <f>_xlfn.XLOOKUP(TablaDatos[[#This Row],[PacienteID]],'Datos_Ejemplo.csv'!A:A,'Datos_Ejemplo.csv'!I:I)</f>
        <v>38</v>
      </c>
      <c r="N479">
        <f>ABS(TablaDatos[[#This Row],[DiasOriginal]])</f>
        <v>38</v>
      </c>
      <c r="O479" s="1">
        <f>TablaDatos[[#This Row],[FechaIngreso]]+TablaDatos[[#This Row],[DiasNuevo]]</f>
        <v>45471</v>
      </c>
    </row>
    <row r="480" spans="1:15">
      <c r="A480">
        <v>479</v>
      </c>
      <c r="B480" t="s">
        <v>51</v>
      </c>
      <c r="C480" s="1">
        <v>21185</v>
      </c>
      <c r="D480">
        <v>68</v>
      </c>
      <c r="E480" s="4" t="s">
        <v>15</v>
      </c>
      <c r="F480" t="s">
        <v>13</v>
      </c>
      <c r="G480" s="1">
        <v>44992</v>
      </c>
      <c r="H480" s="1">
        <f>TablaDatos[[#This Row],[FechaIngreso]]+TablaDatos[[#This Row],[DiasNuevo]]</f>
        <v>45004</v>
      </c>
      <c r="I480">
        <v>12</v>
      </c>
      <c r="J480" t="s">
        <v>23</v>
      </c>
      <c r="K480" s="3">
        <v>15863.02</v>
      </c>
      <c r="L480" t="b">
        <f>TablaDatos[[#This Row],[FechaAlta]] &lt; TablaDatos[[#This Row],[FechaIngreso]]</f>
        <v>0</v>
      </c>
      <c r="M480">
        <f>_xlfn.XLOOKUP(TablaDatos[[#This Row],[PacienteID]],'Datos_Ejemplo.csv'!A:A,'Datos_Ejemplo.csv'!I:I)</f>
        <v>12</v>
      </c>
      <c r="N480">
        <f>ABS(TablaDatos[[#This Row],[DiasOriginal]])</f>
        <v>12</v>
      </c>
      <c r="O480" s="1">
        <f>TablaDatos[[#This Row],[FechaIngreso]]+TablaDatos[[#This Row],[DiasNuevo]]</f>
        <v>45004</v>
      </c>
    </row>
    <row r="481" spans="1:15">
      <c r="A481">
        <v>480</v>
      </c>
      <c r="B481" t="s">
        <v>273</v>
      </c>
      <c r="C481" s="1">
        <v>29221</v>
      </c>
      <c r="D481">
        <v>46</v>
      </c>
      <c r="E481" s="4" t="s">
        <v>12</v>
      </c>
      <c r="F481" t="s">
        <v>201</v>
      </c>
      <c r="G481" s="1">
        <v>45599</v>
      </c>
      <c r="H481" s="1">
        <f>TablaDatos[[#This Row],[FechaIngreso]]+TablaDatos[[#This Row],[DiasNuevo]]</f>
        <v>45621</v>
      </c>
      <c r="I481">
        <v>22</v>
      </c>
      <c r="J481" t="s">
        <v>23</v>
      </c>
      <c r="K481" s="3">
        <v>12316.34</v>
      </c>
      <c r="L481" t="b">
        <f>TablaDatos[[#This Row],[FechaAlta]] &lt; TablaDatos[[#This Row],[FechaIngreso]]</f>
        <v>0</v>
      </c>
      <c r="M481">
        <f>_xlfn.XLOOKUP(TablaDatos[[#This Row],[PacienteID]],'Datos_Ejemplo.csv'!A:A,'Datos_Ejemplo.csv'!I:I)</f>
        <v>22</v>
      </c>
      <c r="N481">
        <f>ABS(TablaDatos[[#This Row],[DiasOriginal]])</f>
        <v>22</v>
      </c>
      <c r="O481" s="1">
        <f>TablaDatos[[#This Row],[FechaIngreso]]+TablaDatos[[#This Row],[DiasNuevo]]</f>
        <v>45621</v>
      </c>
    </row>
    <row r="482" spans="1:15">
      <c r="A482">
        <v>481</v>
      </c>
      <c r="B482" t="s">
        <v>342</v>
      </c>
      <c r="C482" s="1">
        <v>12054</v>
      </c>
      <c r="D482">
        <v>93</v>
      </c>
      <c r="E482" s="4" t="s">
        <v>12</v>
      </c>
      <c r="F482" t="s">
        <v>201</v>
      </c>
      <c r="G482" s="1">
        <v>45505</v>
      </c>
      <c r="H482" s="1">
        <f>TablaDatos[[#This Row],[FechaIngreso]]+TablaDatos[[#This Row],[DiasNuevo]]</f>
        <v>45509</v>
      </c>
      <c r="I482">
        <v>4</v>
      </c>
      <c r="J482" t="s">
        <v>23</v>
      </c>
      <c r="K482" s="3">
        <v>1187.44</v>
      </c>
      <c r="L482" t="b">
        <f>TablaDatos[[#This Row],[FechaAlta]] &lt; TablaDatos[[#This Row],[FechaIngreso]]</f>
        <v>0</v>
      </c>
      <c r="M482">
        <f>_xlfn.XLOOKUP(TablaDatos[[#This Row],[PacienteID]],'Datos_Ejemplo.csv'!A:A,'Datos_Ejemplo.csv'!I:I)</f>
        <v>4</v>
      </c>
      <c r="N482">
        <f>ABS(TablaDatos[[#This Row],[DiasOriginal]])</f>
        <v>4</v>
      </c>
      <c r="O482" s="1">
        <f>TablaDatos[[#This Row],[FechaIngreso]]+TablaDatos[[#This Row],[DiasNuevo]]</f>
        <v>45509</v>
      </c>
    </row>
    <row r="483" spans="1:15">
      <c r="A483">
        <v>482</v>
      </c>
      <c r="B483" t="s">
        <v>282</v>
      </c>
      <c r="C483" s="1">
        <v>23742</v>
      </c>
      <c r="D483">
        <v>61</v>
      </c>
      <c r="E483" s="4" t="s">
        <v>15</v>
      </c>
      <c r="F483" t="s">
        <v>21</v>
      </c>
      <c r="G483" s="1">
        <v>45538</v>
      </c>
      <c r="H483" s="1">
        <f>TablaDatos[[#This Row],[FechaIngreso]]+TablaDatos[[#This Row],[DiasNuevo]]</f>
        <v>45561</v>
      </c>
      <c r="I483">
        <v>23</v>
      </c>
      <c r="J483" t="s">
        <v>23</v>
      </c>
      <c r="K483" s="3">
        <v>16760.009999999998</v>
      </c>
      <c r="L483" t="b">
        <f>TablaDatos[[#This Row],[FechaAlta]] &lt; TablaDatos[[#This Row],[FechaIngreso]]</f>
        <v>0</v>
      </c>
      <c r="M483">
        <f>_xlfn.XLOOKUP(TablaDatos[[#This Row],[PacienteID]],'Datos_Ejemplo.csv'!A:A,'Datos_Ejemplo.csv'!I:I)</f>
        <v>23</v>
      </c>
      <c r="N483">
        <f>ABS(TablaDatos[[#This Row],[DiasOriginal]])</f>
        <v>23</v>
      </c>
      <c r="O483" s="1">
        <f>TablaDatos[[#This Row],[FechaIngreso]]+TablaDatos[[#This Row],[DiasNuevo]]</f>
        <v>45561</v>
      </c>
    </row>
    <row r="484" spans="1:15">
      <c r="A484">
        <v>483</v>
      </c>
      <c r="B484" t="s">
        <v>349</v>
      </c>
      <c r="C484" s="1">
        <v>21185</v>
      </c>
      <c r="D484">
        <v>68</v>
      </c>
      <c r="E484" s="4" t="s">
        <v>12</v>
      </c>
      <c r="F484" t="s">
        <v>295</v>
      </c>
      <c r="G484" s="1">
        <v>45515</v>
      </c>
      <c r="H484" s="1">
        <f>TablaDatos[[#This Row],[FechaIngreso]]+TablaDatos[[#This Row],[DiasNuevo]]</f>
        <v>45520</v>
      </c>
      <c r="I484">
        <v>5</v>
      </c>
      <c r="J484" t="s">
        <v>23</v>
      </c>
      <c r="K484" s="3">
        <v>3660.47</v>
      </c>
      <c r="L484" t="b">
        <f>TablaDatos[[#This Row],[FechaAlta]] &lt; TablaDatos[[#This Row],[FechaIngreso]]</f>
        <v>0</v>
      </c>
      <c r="M484">
        <f>_xlfn.XLOOKUP(TablaDatos[[#This Row],[PacienteID]],'Datos_Ejemplo.csv'!A:A,'Datos_Ejemplo.csv'!I:I)</f>
        <v>5</v>
      </c>
      <c r="N484">
        <f>ABS(TablaDatos[[#This Row],[DiasOriginal]])</f>
        <v>5</v>
      </c>
      <c r="O484" s="1">
        <f>TablaDatos[[#This Row],[FechaIngreso]]+TablaDatos[[#This Row],[DiasNuevo]]</f>
        <v>45520</v>
      </c>
    </row>
    <row r="485" spans="1:15">
      <c r="A485">
        <v>484</v>
      </c>
      <c r="B485" t="s">
        <v>357</v>
      </c>
      <c r="C485" s="1">
        <v>18629</v>
      </c>
      <c r="D485">
        <v>75</v>
      </c>
      <c r="E485" s="4" t="s">
        <v>12</v>
      </c>
      <c r="F485" t="s">
        <v>261</v>
      </c>
      <c r="G485" s="1">
        <v>44961</v>
      </c>
      <c r="H485" s="1">
        <f>TablaDatos[[#This Row],[FechaIngreso]]+TablaDatos[[#This Row],[DiasNuevo]]</f>
        <v>44976</v>
      </c>
      <c r="I485">
        <v>15</v>
      </c>
      <c r="J485" t="s">
        <v>19</v>
      </c>
      <c r="K485" s="3">
        <v>19580.939999999999</v>
      </c>
      <c r="L485" t="b">
        <f>TablaDatos[[#This Row],[FechaAlta]] &lt; TablaDatos[[#This Row],[FechaIngreso]]</f>
        <v>0</v>
      </c>
      <c r="M485">
        <f>_xlfn.XLOOKUP(TablaDatos[[#This Row],[PacienteID]],'Datos_Ejemplo.csv'!A:A,'Datos_Ejemplo.csv'!I:I)</f>
        <v>15</v>
      </c>
      <c r="N485">
        <f>ABS(TablaDatos[[#This Row],[DiasOriginal]])</f>
        <v>15</v>
      </c>
      <c r="O485" s="1">
        <f>TablaDatos[[#This Row],[FechaIngreso]]+TablaDatos[[#This Row],[DiasNuevo]]</f>
        <v>44976</v>
      </c>
    </row>
    <row r="486" spans="1:15">
      <c r="A486">
        <v>485</v>
      </c>
      <c r="B486" t="s">
        <v>356</v>
      </c>
      <c r="C486" s="1">
        <v>40544</v>
      </c>
      <c r="D486">
        <v>15</v>
      </c>
      <c r="E486" s="4" t="s">
        <v>12</v>
      </c>
      <c r="F486" t="s">
        <v>201</v>
      </c>
      <c r="G486" s="1">
        <v>45483</v>
      </c>
      <c r="H486" s="1">
        <f>TablaDatos[[#This Row],[FechaIngreso]]+TablaDatos[[#This Row],[DiasNuevo]]</f>
        <v>45501</v>
      </c>
      <c r="I486">
        <v>18</v>
      </c>
      <c r="J486" t="s">
        <v>25</v>
      </c>
      <c r="K486" s="3">
        <v>7470.93</v>
      </c>
      <c r="L486" t="b">
        <f>TablaDatos[[#This Row],[FechaAlta]] &lt; TablaDatos[[#This Row],[FechaIngreso]]</f>
        <v>0</v>
      </c>
      <c r="M486">
        <f>_xlfn.XLOOKUP(TablaDatos[[#This Row],[PacienteID]],'Datos_Ejemplo.csv'!A:A,'Datos_Ejemplo.csv'!I:I)</f>
        <v>18</v>
      </c>
      <c r="N486">
        <f>ABS(TablaDatos[[#This Row],[DiasOriginal]])</f>
        <v>18</v>
      </c>
      <c r="O486" s="1">
        <f>TablaDatos[[#This Row],[FechaIngreso]]+TablaDatos[[#This Row],[DiasNuevo]]</f>
        <v>45501</v>
      </c>
    </row>
    <row r="487" spans="1:15">
      <c r="A487">
        <v>486</v>
      </c>
      <c r="B487" t="s">
        <v>265</v>
      </c>
      <c r="C487" s="1">
        <v>13515</v>
      </c>
      <c r="D487">
        <v>89</v>
      </c>
      <c r="E487" s="4" t="s">
        <v>12</v>
      </c>
      <c r="F487" t="s">
        <v>13</v>
      </c>
      <c r="G487" s="1">
        <v>45588</v>
      </c>
      <c r="H487" s="1">
        <f>TablaDatos[[#This Row],[FechaIngreso]]+TablaDatos[[#This Row],[DiasNuevo]]</f>
        <v>45601</v>
      </c>
      <c r="I487">
        <v>13</v>
      </c>
      <c r="J487" t="s">
        <v>19</v>
      </c>
      <c r="K487" s="3">
        <v>12290.64</v>
      </c>
      <c r="L487" t="b">
        <f>TablaDatos[[#This Row],[FechaAlta]] &lt; TablaDatos[[#This Row],[FechaIngreso]]</f>
        <v>0</v>
      </c>
      <c r="M487">
        <f>_xlfn.XLOOKUP(TablaDatos[[#This Row],[PacienteID]],'Datos_Ejemplo.csv'!A:A,'Datos_Ejemplo.csv'!I:I)</f>
        <v>13</v>
      </c>
      <c r="N487">
        <f>ABS(TablaDatos[[#This Row],[DiasOriginal]])</f>
        <v>13</v>
      </c>
      <c r="O487" s="1">
        <f>TablaDatos[[#This Row],[FechaIngreso]]+TablaDatos[[#This Row],[DiasNuevo]]</f>
        <v>45601</v>
      </c>
    </row>
    <row r="488" spans="1:15">
      <c r="A488">
        <v>487</v>
      </c>
      <c r="B488" t="s">
        <v>364</v>
      </c>
      <c r="C488" s="1">
        <v>13515</v>
      </c>
      <c r="D488">
        <v>89</v>
      </c>
      <c r="E488" s="4" t="s">
        <v>15</v>
      </c>
      <c r="F488" t="s">
        <v>201</v>
      </c>
      <c r="G488" s="1">
        <v>45417</v>
      </c>
      <c r="H488" s="1">
        <f>TablaDatos[[#This Row],[FechaIngreso]]+TablaDatos[[#This Row],[DiasNuevo]]</f>
        <v>45417</v>
      </c>
      <c r="I488">
        <v>0</v>
      </c>
      <c r="J488" t="s">
        <v>23</v>
      </c>
      <c r="K488" s="3">
        <v>1464.25</v>
      </c>
      <c r="L488" t="b">
        <f>TablaDatos[[#This Row],[FechaAlta]] &lt; TablaDatos[[#This Row],[FechaIngreso]]</f>
        <v>0</v>
      </c>
      <c r="M488">
        <f>_xlfn.XLOOKUP(TablaDatos[[#This Row],[PacienteID]],'Datos_Ejemplo.csv'!A:A,'Datos_Ejemplo.csv'!I:I)</f>
        <v>0</v>
      </c>
      <c r="N488">
        <f>ABS(TablaDatos[[#This Row],[DiasOriginal]])</f>
        <v>0</v>
      </c>
      <c r="O488" s="1">
        <f>TablaDatos[[#This Row],[FechaIngreso]]+TablaDatos[[#This Row],[DiasNuevo]]</f>
        <v>45417</v>
      </c>
    </row>
    <row r="489" spans="1:15">
      <c r="A489">
        <v>488</v>
      </c>
      <c r="B489" t="s">
        <v>363</v>
      </c>
      <c r="C489" s="1">
        <v>28856</v>
      </c>
      <c r="D489">
        <v>47</v>
      </c>
      <c r="E489" s="4" t="s">
        <v>15</v>
      </c>
      <c r="F489" t="s">
        <v>13</v>
      </c>
      <c r="G489" s="1">
        <v>45506</v>
      </c>
      <c r="H489" s="1">
        <f>TablaDatos[[#This Row],[FechaIngreso]]+TablaDatos[[#This Row],[DiasNuevo]]</f>
        <v>45508</v>
      </c>
      <c r="I489">
        <v>2</v>
      </c>
      <c r="J489" t="s">
        <v>23</v>
      </c>
      <c r="K489" s="3">
        <v>6827.73</v>
      </c>
      <c r="L489" t="b">
        <f>TablaDatos[[#This Row],[FechaAlta]] &lt; TablaDatos[[#This Row],[FechaIngreso]]</f>
        <v>0</v>
      </c>
      <c r="M489">
        <f>_xlfn.XLOOKUP(TablaDatos[[#This Row],[PacienteID]],'Datos_Ejemplo.csv'!A:A,'Datos_Ejemplo.csv'!I:I)</f>
        <v>-2</v>
      </c>
      <c r="N489">
        <f>ABS(TablaDatos[[#This Row],[DiasOriginal]])</f>
        <v>2</v>
      </c>
      <c r="O489" s="1">
        <f>TablaDatos[[#This Row],[FechaIngreso]]+TablaDatos[[#This Row],[DiasNuevo]]</f>
        <v>45508</v>
      </c>
    </row>
    <row r="490" spans="1:15">
      <c r="A490">
        <v>489</v>
      </c>
      <c r="B490" t="s">
        <v>355</v>
      </c>
      <c r="C490" s="1">
        <v>15341</v>
      </c>
      <c r="D490">
        <v>84</v>
      </c>
      <c r="E490" s="4" t="s">
        <v>12</v>
      </c>
      <c r="F490" t="s">
        <v>295</v>
      </c>
      <c r="G490" s="1">
        <v>45180</v>
      </c>
      <c r="H490" s="1">
        <f>TablaDatos[[#This Row],[FechaIngreso]]+TablaDatos[[#This Row],[DiasNuevo]]</f>
        <v>45190</v>
      </c>
      <c r="I490">
        <v>10</v>
      </c>
      <c r="J490" t="s">
        <v>23</v>
      </c>
      <c r="K490" s="3">
        <v>16027.31</v>
      </c>
      <c r="L490" t="b">
        <f>TablaDatos[[#This Row],[FechaAlta]] &lt; TablaDatos[[#This Row],[FechaIngreso]]</f>
        <v>0</v>
      </c>
      <c r="M490">
        <f>_xlfn.XLOOKUP(TablaDatos[[#This Row],[PacienteID]],'Datos_Ejemplo.csv'!A:A,'Datos_Ejemplo.csv'!I:I)</f>
        <v>10</v>
      </c>
      <c r="N490">
        <f>ABS(TablaDatos[[#This Row],[DiasOriginal]])</f>
        <v>10</v>
      </c>
      <c r="O490" s="1">
        <f>TablaDatos[[#This Row],[FechaIngreso]]+TablaDatos[[#This Row],[DiasNuevo]]</f>
        <v>45190</v>
      </c>
    </row>
    <row r="491" spans="1:15">
      <c r="A491">
        <v>490</v>
      </c>
      <c r="B491" t="s">
        <v>286</v>
      </c>
      <c r="C491" s="1">
        <v>32143</v>
      </c>
      <c r="D491">
        <v>38</v>
      </c>
      <c r="E491" s="4" t="s">
        <v>12</v>
      </c>
      <c r="F491" t="s">
        <v>201</v>
      </c>
      <c r="G491" s="1">
        <v>44943</v>
      </c>
      <c r="H491" s="1">
        <f>TablaDatos[[#This Row],[FechaIngreso]]+TablaDatos[[#This Row],[DiasNuevo]]</f>
        <v>44972</v>
      </c>
      <c r="I491">
        <v>29</v>
      </c>
      <c r="J491" t="s">
        <v>19</v>
      </c>
      <c r="K491" s="3">
        <v>9491.89</v>
      </c>
      <c r="L491" t="b">
        <f>TablaDatos[[#This Row],[FechaAlta]] &lt; TablaDatos[[#This Row],[FechaIngreso]]</f>
        <v>0</v>
      </c>
      <c r="M491">
        <f>_xlfn.XLOOKUP(TablaDatos[[#This Row],[PacienteID]],'Datos_Ejemplo.csv'!A:A,'Datos_Ejemplo.csv'!I:I)</f>
        <v>29</v>
      </c>
      <c r="N491">
        <f>ABS(TablaDatos[[#This Row],[DiasOriginal]])</f>
        <v>29</v>
      </c>
      <c r="O491" s="1">
        <f>TablaDatos[[#This Row],[FechaIngreso]]+TablaDatos[[#This Row],[DiasNuevo]]</f>
        <v>44972</v>
      </c>
    </row>
    <row r="492" spans="1:15">
      <c r="A492">
        <v>491</v>
      </c>
      <c r="B492" t="s">
        <v>328</v>
      </c>
      <c r="C492" s="1">
        <v>34334</v>
      </c>
      <c r="D492">
        <v>32</v>
      </c>
      <c r="E492" s="4" t="s">
        <v>197</v>
      </c>
      <c r="F492" t="s">
        <v>261</v>
      </c>
      <c r="G492" s="1">
        <v>45187</v>
      </c>
      <c r="H492" s="1">
        <f>TablaDatos[[#This Row],[FechaIngreso]]+TablaDatos[[#This Row],[DiasNuevo]]</f>
        <v>45196</v>
      </c>
      <c r="I492">
        <v>9</v>
      </c>
      <c r="J492" t="s">
        <v>23</v>
      </c>
      <c r="K492" s="3">
        <v>18082.53</v>
      </c>
      <c r="L492" t="b">
        <f>TablaDatos[[#This Row],[FechaAlta]] &lt; TablaDatos[[#This Row],[FechaIngreso]]</f>
        <v>0</v>
      </c>
      <c r="M492">
        <f>_xlfn.XLOOKUP(TablaDatos[[#This Row],[PacienteID]],'Datos_Ejemplo.csv'!A:A,'Datos_Ejemplo.csv'!I:I)</f>
        <v>9</v>
      </c>
      <c r="N492">
        <f>ABS(TablaDatos[[#This Row],[DiasOriginal]])</f>
        <v>9</v>
      </c>
      <c r="O492" s="1">
        <f>TablaDatos[[#This Row],[FechaIngreso]]+TablaDatos[[#This Row],[DiasNuevo]]</f>
        <v>45196</v>
      </c>
    </row>
    <row r="493" spans="1:15">
      <c r="A493">
        <v>492</v>
      </c>
      <c r="B493" t="s">
        <v>286</v>
      </c>
      <c r="C493" s="1">
        <v>12054</v>
      </c>
      <c r="D493">
        <v>93</v>
      </c>
      <c r="E493" s="4" t="s">
        <v>12</v>
      </c>
      <c r="F493" t="s">
        <v>295</v>
      </c>
      <c r="G493" s="1">
        <v>45651</v>
      </c>
      <c r="H493" s="1">
        <f>TablaDatos[[#This Row],[FechaIngreso]]+TablaDatos[[#This Row],[DiasNuevo]]</f>
        <v>45679</v>
      </c>
      <c r="I493">
        <v>28</v>
      </c>
      <c r="J493" t="s">
        <v>25</v>
      </c>
      <c r="K493" s="3">
        <v>11460.28</v>
      </c>
      <c r="L493" t="b">
        <f>TablaDatos[[#This Row],[FechaAlta]] &lt; TablaDatos[[#This Row],[FechaIngreso]]</f>
        <v>0</v>
      </c>
      <c r="M493">
        <f>_xlfn.XLOOKUP(TablaDatos[[#This Row],[PacienteID]],'Datos_Ejemplo.csv'!A:A,'Datos_Ejemplo.csv'!I:I)</f>
        <v>28</v>
      </c>
      <c r="N493">
        <f>ABS(TablaDatos[[#This Row],[DiasOriginal]])</f>
        <v>28</v>
      </c>
      <c r="O493" s="1">
        <f>TablaDatos[[#This Row],[FechaIngreso]]+TablaDatos[[#This Row],[DiasNuevo]]</f>
        <v>45679</v>
      </c>
    </row>
    <row r="494" spans="1:15">
      <c r="A494">
        <v>493</v>
      </c>
      <c r="B494" t="s">
        <v>368</v>
      </c>
      <c r="C494" s="1">
        <v>37987</v>
      </c>
      <c r="D494">
        <v>22</v>
      </c>
      <c r="E494" s="4" t="s">
        <v>15</v>
      </c>
      <c r="F494" t="s">
        <v>18</v>
      </c>
      <c r="G494" s="1">
        <v>45182</v>
      </c>
      <c r="H494" s="1">
        <f>TablaDatos[[#This Row],[FechaIngreso]]+TablaDatos[[#This Row],[DiasNuevo]]</f>
        <v>45220</v>
      </c>
      <c r="I494">
        <v>38</v>
      </c>
      <c r="J494" t="s">
        <v>23</v>
      </c>
      <c r="K494" s="3">
        <v>18564.3</v>
      </c>
      <c r="L494" t="b">
        <f>TablaDatos[[#This Row],[FechaAlta]] &lt; TablaDatos[[#This Row],[FechaIngreso]]</f>
        <v>0</v>
      </c>
      <c r="M494">
        <f>_xlfn.XLOOKUP(TablaDatos[[#This Row],[PacienteID]],'Datos_Ejemplo.csv'!A:A,'Datos_Ejemplo.csv'!I:I)</f>
        <v>38</v>
      </c>
      <c r="N494">
        <f>ABS(TablaDatos[[#This Row],[DiasOriginal]])</f>
        <v>38</v>
      </c>
      <c r="O494" s="1">
        <f>TablaDatos[[#This Row],[FechaIngreso]]+TablaDatos[[#This Row],[DiasNuevo]]</f>
        <v>45220</v>
      </c>
    </row>
    <row r="495" spans="1:15">
      <c r="A495">
        <v>494</v>
      </c>
      <c r="B495" t="s">
        <v>111</v>
      </c>
      <c r="C495" s="1">
        <v>42735</v>
      </c>
      <c r="D495">
        <v>9</v>
      </c>
      <c r="E495" s="4" t="s">
        <v>12</v>
      </c>
      <c r="F495" t="s">
        <v>261</v>
      </c>
      <c r="G495" s="1">
        <v>45654</v>
      </c>
      <c r="H495" s="1">
        <f>TablaDatos[[#This Row],[FechaIngreso]]+TablaDatos[[#This Row],[DiasNuevo]]</f>
        <v>45655</v>
      </c>
      <c r="I495">
        <v>1</v>
      </c>
      <c r="J495" t="s">
        <v>23</v>
      </c>
      <c r="K495" s="3">
        <v>19650.46</v>
      </c>
      <c r="L495" t="b">
        <f>TablaDatos[[#This Row],[FechaAlta]] &lt; TablaDatos[[#This Row],[FechaIngreso]]</f>
        <v>0</v>
      </c>
      <c r="M495">
        <f>_xlfn.XLOOKUP(TablaDatos[[#This Row],[PacienteID]],'Datos_Ejemplo.csv'!A:A,'Datos_Ejemplo.csv'!I:I)</f>
        <v>-1</v>
      </c>
      <c r="N495">
        <f>ABS(TablaDatos[[#This Row],[DiasOriginal]])</f>
        <v>1</v>
      </c>
      <c r="O495" s="1">
        <f>TablaDatos[[#This Row],[FechaIngreso]]+TablaDatos[[#This Row],[DiasNuevo]]</f>
        <v>45655</v>
      </c>
    </row>
    <row r="496" spans="1:15">
      <c r="A496">
        <v>495</v>
      </c>
      <c r="B496" t="s">
        <v>365</v>
      </c>
      <c r="C496" s="1">
        <v>21185</v>
      </c>
      <c r="D496">
        <v>68</v>
      </c>
      <c r="E496" s="4" t="s">
        <v>15</v>
      </c>
      <c r="F496" t="s">
        <v>295</v>
      </c>
      <c r="G496" s="1">
        <v>45350</v>
      </c>
      <c r="H496" s="1">
        <f>TablaDatos[[#This Row],[FechaIngreso]]+TablaDatos[[#This Row],[DiasNuevo]]</f>
        <v>45388</v>
      </c>
      <c r="I496">
        <v>38</v>
      </c>
      <c r="J496" t="s">
        <v>23</v>
      </c>
      <c r="K496" s="3">
        <v>9023.2800000000007</v>
      </c>
      <c r="L496" t="b">
        <f>TablaDatos[[#This Row],[FechaAlta]] &lt; TablaDatos[[#This Row],[FechaIngreso]]</f>
        <v>0</v>
      </c>
      <c r="M496">
        <f>_xlfn.XLOOKUP(TablaDatos[[#This Row],[PacienteID]],'Datos_Ejemplo.csv'!A:A,'Datos_Ejemplo.csv'!I:I)</f>
        <v>38</v>
      </c>
      <c r="N496">
        <f>ABS(TablaDatos[[#This Row],[DiasOriginal]])</f>
        <v>38</v>
      </c>
      <c r="O496" s="1">
        <f>TablaDatos[[#This Row],[FechaIngreso]]+TablaDatos[[#This Row],[DiasNuevo]]</f>
        <v>45388</v>
      </c>
    </row>
    <row r="497" spans="1:15">
      <c r="A497">
        <v>496</v>
      </c>
      <c r="B497" t="s">
        <v>333</v>
      </c>
      <c r="C497" s="1">
        <v>33969</v>
      </c>
      <c r="D497">
        <v>33</v>
      </c>
      <c r="E497" s="4" t="s">
        <v>197</v>
      </c>
      <c r="F497" t="s">
        <v>21</v>
      </c>
      <c r="G497" s="1">
        <v>45427</v>
      </c>
      <c r="H497" s="1">
        <f>TablaDatos[[#This Row],[FechaIngreso]]+TablaDatos[[#This Row],[DiasNuevo]]</f>
        <v>45432</v>
      </c>
      <c r="I497">
        <v>5</v>
      </c>
      <c r="J497" t="s">
        <v>23</v>
      </c>
      <c r="K497" s="3">
        <v>11259.65</v>
      </c>
      <c r="L497" t="b">
        <f>TablaDatos[[#This Row],[FechaAlta]] &lt; TablaDatos[[#This Row],[FechaIngreso]]</f>
        <v>0</v>
      </c>
      <c r="M497">
        <f>_xlfn.XLOOKUP(TablaDatos[[#This Row],[PacienteID]],'Datos_Ejemplo.csv'!A:A,'Datos_Ejemplo.csv'!I:I)</f>
        <v>5</v>
      </c>
      <c r="N497">
        <f>ABS(TablaDatos[[#This Row],[DiasOriginal]])</f>
        <v>5</v>
      </c>
      <c r="O497" s="1">
        <f>TablaDatos[[#This Row],[FechaIngreso]]+TablaDatos[[#This Row],[DiasNuevo]]</f>
        <v>45432</v>
      </c>
    </row>
    <row r="498" spans="1:15">
      <c r="A498">
        <v>497</v>
      </c>
      <c r="B498" t="s">
        <v>334</v>
      </c>
      <c r="C498" s="1">
        <v>27395</v>
      </c>
      <c r="D498">
        <v>51</v>
      </c>
      <c r="E498" s="4" t="s">
        <v>15</v>
      </c>
      <c r="F498" t="s">
        <v>201</v>
      </c>
      <c r="G498" s="1">
        <v>45212</v>
      </c>
      <c r="H498" s="1">
        <f>TablaDatos[[#This Row],[FechaIngreso]]+TablaDatos[[#This Row],[DiasNuevo]]</f>
        <v>45234</v>
      </c>
      <c r="I498">
        <v>22</v>
      </c>
      <c r="J498" t="s">
        <v>23</v>
      </c>
      <c r="K498" s="3">
        <v>16681.900000000001</v>
      </c>
      <c r="L498" t="b">
        <f>TablaDatos[[#This Row],[FechaAlta]] &lt; TablaDatos[[#This Row],[FechaIngreso]]</f>
        <v>0</v>
      </c>
      <c r="M498">
        <f>_xlfn.XLOOKUP(TablaDatos[[#This Row],[PacienteID]],'Datos_Ejemplo.csv'!A:A,'Datos_Ejemplo.csv'!I:I)</f>
        <v>22</v>
      </c>
      <c r="N498">
        <f>ABS(TablaDatos[[#This Row],[DiasOriginal]])</f>
        <v>22</v>
      </c>
      <c r="O498" s="1">
        <f>TablaDatos[[#This Row],[FechaIngreso]]+TablaDatos[[#This Row],[DiasNuevo]]</f>
        <v>45234</v>
      </c>
    </row>
    <row r="499" spans="1:15">
      <c r="A499">
        <v>498</v>
      </c>
      <c r="B499" t="s">
        <v>265</v>
      </c>
      <c r="C499" s="1">
        <v>11689</v>
      </c>
      <c r="D499">
        <v>94</v>
      </c>
      <c r="E499" s="4" t="s">
        <v>12</v>
      </c>
      <c r="F499" t="s">
        <v>261</v>
      </c>
      <c r="G499" s="1">
        <v>44933</v>
      </c>
      <c r="H499" s="1">
        <f>TablaDatos[[#This Row],[FechaIngreso]]+TablaDatos[[#This Row],[DiasNuevo]]</f>
        <v>44935</v>
      </c>
      <c r="I499">
        <v>2</v>
      </c>
      <c r="J499" t="s">
        <v>23</v>
      </c>
      <c r="K499" s="3">
        <v>4352.8100000000004</v>
      </c>
      <c r="L499" t="b">
        <f>TablaDatos[[#This Row],[FechaAlta]] &lt; TablaDatos[[#This Row],[FechaIngreso]]</f>
        <v>0</v>
      </c>
      <c r="M499">
        <f>_xlfn.XLOOKUP(TablaDatos[[#This Row],[PacienteID]],'Datos_Ejemplo.csv'!A:A,'Datos_Ejemplo.csv'!I:I)</f>
        <v>2</v>
      </c>
      <c r="N499">
        <f>ABS(TablaDatos[[#This Row],[DiasOriginal]])</f>
        <v>2</v>
      </c>
      <c r="O499" s="1">
        <f>TablaDatos[[#This Row],[FechaIngreso]]+TablaDatos[[#This Row],[DiasNuevo]]</f>
        <v>44935</v>
      </c>
    </row>
    <row r="500" spans="1:15">
      <c r="A500">
        <v>499</v>
      </c>
      <c r="B500" t="s">
        <v>283</v>
      </c>
      <c r="C500" s="1">
        <v>42735</v>
      </c>
      <c r="D500">
        <v>9</v>
      </c>
      <c r="E500" s="4" t="s">
        <v>12</v>
      </c>
      <c r="F500" t="s">
        <v>32</v>
      </c>
      <c r="G500" s="1">
        <v>45423</v>
      </c>
      <c r="H500" s="1">
        <f>TablaDatos[[#This Row],[FechaIngreso]]+TablaDatos[[#This Row],[DiasNuevo]]</f>
        <v>45424</v>
      </c>
      <c r="I500">
        <v>1</v>
      </c>
      <c r="J500" t="s">
        <v>25</v>
      </c>
      <c r="K500" s="3">
        <v>17218.75</v>
      </c>
      <c r="L500" t="b">
        <f>TablaDatos[[#This Row],[FechaAlta]] &lt; TablaDatos[[#This Row],[FechaIngreso]]</f>
        <v>0</v>
      </c>
      <c r="M500">
        <f>_xlfn.XLOOKUP(TablaDatos[[#This Row],[PacienteID]],'Datos_Ejemplo.csv'!A:A,'Datos_Ejemplo.csv'!I:I)</f>
        <v>-1</v>
      </c>
      <c r="N500">
        <f>ABS(TablaDatos[[#This Row],[DiasOriginal]])</f>
        <v>1</v>
      </c>
      <c r="O500" s="1">
        <f>TablaDatos[[#This Row],[FechaIngreso]]+TablaDatos[[#This Row],[DiasNuevo]]</f>
        <v>45424</v>
      </c>
    </row>
    <row r="501" spans="1:15">
      <c r="A501">
        <v>500</v>
      </c>
      <c r="B501" t="s">
        <v>263</v>
      </c>
      <c r="C501" s="1">
        <v>39448</v>
      </c>
      <c r="D501">
        <v>18</v>
      </c>
      <c r="E501" s="4" t="s">
        <v>15</v>
      </c>
      <c r="F501" t="s">
        <v>261</v>
      </c>
      <c r="G501" s="1">
        <v>45125</v>
      </c>
      <c r="H501" s="1">
        <f>TablaDatos[[#This Row],[FechaIngreso]]+TablaDatos[[#This Row],[DiasNuevo]]</f>
        <v>45164</v>
      </c>
      <c r="I501">
        <v>39</v>
      </c>
      <c r="J501" t="s">
        <v>23</v>
      </c>
      <c r="K501" s="3">
        <v>11797.59</v>
      </c>
      <c r="L501" t="b">
        <f>TablaDatos[[#This Row],[FechaAlta]] &lt; TablaDatos[[#This Row],[FechaIngreso]]</f>
        <v>0</v>
      </c>
      <c r="M501">
        <f>_xlfn.XLOOKUP(TablaDatos[[#This Row],[PacienteID]],'Datos_Ejemplo.csv'!A:A,'Datos_Ejemplo.csv'!I:I)</f>
        <v>39</v>
      </c>
      <c r="N501">
        <f>ABS(TablaDatos[[#This Row],[DiasOriginal]])</f>
        <v>39</v>
      </c>
      <c r="O501" s="1">
        <f>TablaDatos[[#This Row],[FechaIngreso]]+TablaDatos[[#This Row],[DiasNuevo]]</f>
        <v>45164</v>
      </c>
    </row>
    <row r="502" spans="1:15">
      <c r="A502">
        <v>501</v>
      </c>
      <c r="B502" t="s">
        <v>297</v>
      </c>
      <c r="C502" s="1">
        <v>25203</v>
      </c>
      <c r="D502">
        <v>57</v>
      </c>
      <c r="E502" s="4" t="s">
        <v>15</v>
      </c>
      <c r="F502" t="s">
        <v>18</v>
      </c>
      <c r="G502" s="1">
        <v>45529</v>
      </c>
      <c r="H502" s="1">
        <f>TablaDatos[[#This Row],[FechaIngreso]]+TablaDatos[[#This Row],[DiasNuevo]]</f>
        <v>45564</v>
      </c>
      <c r="I502">
        <v>35</v>
      </c>
      <c r="J502" t="s">
        <v>19</v>
      </c>
      <c r="K502" s="3">
        <v>14482.55</v>
      </c>
      <c r="L502" t="b">
        <f>TablaDatos[[#This Row],[FechaAlta]] &lt; TablaDatos[[#This Row],[FechaIngreso]]</f>
        <v>0</v>
      </c>
      <c r="M502">
        <f>_xlfn.XLOOKUP(TablaDatos[[#This Row],[PacienteID]],'Datos_Ejemplo.csv'!A:A,'Datos_Ejemplo.csv'!I:I)</f>
        <v>35</v>
      </c>
      <c r="N502">
        <f>ABS(TablaDatos[[#This Row],[DiasOriginal]])</f>
        <v>35</v>
      </c>
      <c r="O502" s="1">
        <f>TablaDatos[[#This Row],[FechaIngreso]]+TablaDatos[[#This Row],[DiasNuevo]]</f>
        <v>45564</v>
      </c>
    </row>
    <row r="503" spans="1:15">
      <c r="A503">
        <v>502</v>
      </c>
      <c r="B503" t="s">
        <v>277</v>
      </c>
      <c r="C503" s="1">
        <v>46022</v>
      </c>
      <c r="D503">
        <f ca="1">DATEDIF(TablaDatos[[#This Row],[FechaNacimiento]],TODAY(),"Y")</f>
        <v>0</v>
      </c>
      <c r="E503" s="4" t="s">
        <v>12</v>
      </c>
      <c r="F503" t="s">
        <v>295</v>
      </c>
      <c r="G503" s="1">
        <v>45585</v>
      </c>
      <c r="H503" s="1">
        <f>TablaDatos[[#This Row],[FechaIngreso]]+TablaDatos[[#This Row],[DiasNuevo]]</f>
        <v>45621</v>
      </c>
      <c r="I503">
        <v>36</v>
      </c>
      <c r="J503" t="s">
        <v>25</v>
      </c>
      <c r="K503" s="3">
        <v>1505.07</v>
      </c>
      <c r="L503" t="b">
        <f>TablaDatos[[#This Row],[FechaAlta]] &lt; TablaDatos[[#This Row],[FechaIngreso]]</f>
        <v>0</v>
      </c>
      <c r="M503">
        <f>_xlfn.XLOOKUP(TablaDatos[[#This Row],[PacienteID]],'Datos_Ejemplo.csv'!A:A,'Datos_Ejemplo.csv'!I:I)</f>
        <v>36</v>
      </c>
      <c r="N503">
        <f>ABS(TablaDatos[[#This Row],[DiasOriginal]])</f>
        <v>36</v>
      </c>
      <c r="O503" s="1">
        <f>TablaDatos[[#This Row],[FechaIngreso]]+TablaDatos[[#This Row],[DiasNuevo]]</f>
        <v>45621</v>
      </c>
    </row>
    <row r="504" spans="1:15">
      <c r="A504">
        <v>503</v>
      </c>
      <c r="B504" t="s">
        <v>244</v>
      </c>
      <c r="C504" s="1">
        <v>21185</v>
      </c>
      <c r="D504">
        <v>68</v>
      </c>
      <c r="E504" s="4" t="s">
        <v>12</v>
      </c>
      <c r="F504" t="s">
        <v>32</v>
      </c>
      <c r="G504" s="1">
        <v>45344</v>
      </c>
      <c r="H504" s="1">
        <f>TablaDatos[[#This Row],[FechaIngreso]]+TablaDatos[[#This Row],[DiasNuevo]]</f>
        <v>45344</v>
      </c>
      <c r="I504">
        <v>0</v>
      </c>
      <c r="J504" t="s">
        <v>23</v>
      </c>
      <c r="K504" s="3">
        <v>15300.37</v>
      </c>
      <c r="L504" t="b">
        <f>TablaDatos[[#This Row],[FechaAlta]] &lt; TablaDatos[[#This Row],[FechaIngreso]]</f>
        <v>0</v>
      </c>
      <c r="M504">
        <f>_xlfn.XLOOKUP(TablaDatos[[#This Row],[PacienteID]],'Datos_Ejemplo.csv'!A:A,'Datos_Ejemplo.csv'!I:I)</f>
        <v>0</v>
      </c>
      <c r="N504">
        <f>ABS(TablaDatos[[#This Row],[DiasOriginal]])</f>
        <v>0</v>
      </c>
      <c r="O504" s="1">
        <f>TablaDatos[[#This Row],[FechaIngreso]]+TablaDatos[[#This Row],[DiasNuevo]]</f>
        <v>45344</v>
      </c>
    </row>
    <row r="505" spans="1:15">
      <c r="A505">
        <v>504</v>
      </c>
      <c r="B505" t="s">
        <v>268</v>
      </c>
      <c r="C505" s="1">
        <v>44927</v>
      </c>
      <c r="D505">
        <v>3</v>
      </c>
      <c r="E505" s="4" t="s">
        <v>15</v>
      </c>
      <c r="F505" t="s">
        <v>18</v>
      </c>
      <c r="G505" s="1">
        <v>45588</v>
      </c>
      <c r="H505" s="1">
        <f>TablaDatos[[#This Row],[FechaIngreso]]+TablaDatos[[#This Row],[DiasNuevo]]</f>
        <v>45623</v>
      </c>
      <c r="I505">
        <v>35</v>
      </c>
      <c r="J505" t="s">
        <v>23</v>
      </c>
      <c r="K505" s="3">
        <v>6146.82</v>
      </c>
      <c r="L505" t="b">
        <f>TablaDatos[[#This Row],[FechaAlta]] &lt; TablaDatos[[#This Row],[FechaIngreso]]</f>
        <v>0</v>
      </c>
      <c r="M505">
        <f>_xlfn.XLOOKUP(TablaDatos[[#This Row],[PacienteID]],'Datos_Ejemplo.csv'!A:A,'Datos_Ejemplo.csv'!I:I)</f>
        <v>35</v>
      </c>
      <c r="N505">
        <f>ABS(TablaDatos[[#This Row],[DiasOriginal]])</f>
        <v>35</v>
      </c>
      <c r="O505" s="1">
        <f>TablaDatos[[#This Row],[FechaIngreso]]+TablaDatos[[#This Row],[DiasNuevo]]</f>
        <v>45623</v>
      </c>
    </row>
    <row r="506" spans="1:15">
      <c r="A506">
        <v>505</v>
      </c>
      <c r="B506" t="s">
        <v>277</v>
      </c>
      <c r="C506" s="1">
        <v>40544</v>
      </c>
      <c r="D506">
        <v>15</v>
      </c>
      <c r="E506" s="4" t="s">
        <v>12</v>
      </c>
      <c r="F506" t="s">
        <v>21</v>
      </c>
      <c r="G506" s="1">
        <v>44978</v>
      </c>
      <c r="H506" s="1">
        <f>TablaDatos[[#This Row],[FechaIngreso]]+TablaDatos[[#This Row],[DiasNuevo]]</f>
        <v>44997</v>
      </c>
      <c r="I506">
        <v>19</v>
      </c>
      <c r="J506" t="s">
        <v>25</v>
      </c>
      <c r="K506" s="3">
        <v>16085.17</v>
      </c>
      <c r="L506" t="b">
        <f>TablaDatos[[#This Row],[FechaAlta]] &lt; TablaDatos[[#This Row],[FechaIngreso]]</f>
        <v>0</v>
      </c>
      <c r="M506">
        <f>_xlfn.XLOOKUP(TablaDatos[[#This Row],[PacienteID]],'Datos_Ejemplo.csv'!A:A,'Datos_Ejemplo.csv'!I:I)</f>
        <v>19</v>
      </c>
      <c r="N506">
        <f>ABS(TablaDatos[[#This Row],[DiasOriginal]])</f>
        <v>19</v>
      </c>
      <c r="O506" s="1">
        <f>TablaDatos[[#This Row],[FechaIngreso]]+TablaDatos[[#This Row],[DiasNuevo]]</f>
        <v>44997</v>
      </c>
    </row>
    <row r="507" spans="1:15">
      <c r="A507">
        <v>506</v>
      </c>
      <c r="B507" t="s">
        <v>332</v>
      </c>
      <c r="C507" s="1">
        <v>37622</v>
      </c>
      <c r="D507">
        <v>23</v>
      </c>
      <c r="E507" s="4" t="s">
        <v>12</v>
      </c>
      <c r="F507" t="s">
        <v>261</v>
      </c>
      <c r="G507" s="1">
        <v>45169</v>
      </c>
      <c r="H507" s="1">
        <f>TablaDatos[[#This Row],[FechaIngreso]]+TablaDatos[[#This Row],[DiasNuevo]]</f>
        <v>45206</v>
      </c>
      <c r="I507">
        <v>37</v>
      </c>
      <c r="J507" t="s">
        <v>23</v>
      </c>
      <c r="K507" s="3">
        <v>10133.969999999999</v>
      </c>
      <c r="L507" t="b">
        <f>TablaDatos[[#This Row],[FechaAlta]] &lt; TablaDatos[[#This Row],[FechaIngreso]]</f>
        <v>0</v>
      </c>
      <c r="M507">
        <f>_xlfn.XLOOKUP(TablaDatos[[#This Row],[PacienteID]],'Datos_Ejemplo.csv'!A:A,'Datos_Ejemplo.csv'!I:I)</f>
        <v>37</v>
      </c>
      <c r="N507">
        <f>ABS(TablaDatos[[#This Row],[DiasOriginal]])</f>
        <v>37</v>
      </c>
      <c r="O507" s="1">
        <f>TablaDatos[[#This Row],[FechaIngreso]]+TablaDatos[[#This Row],[DiasNuevo]]</f>
        <v>45206</v>
      </c>
    </row>
    <row r="508" spans="1:15">
      <c r="A508">
        <v>507</v>
      </c>
      <c r="B508" t="s">
        <v>361</v>
      </c>
      <c r="C508" s="1">
        <v>17168</v>
      </c>
      <c r="D508">
        <v>79</v>
      </c>
      <c r="E508" s="4" t="s">
        <v>15</v>
      </c>
      <c r="F508" t="s">
        <v>201</v>
      </c>
      <c r="G508" s="1">
        <v>45145</v>
      </c>
      <c r="H508" s="1">
        <f>TablaDatos[[#This Row],[FechaIngreso]]+TablaDatos[[#This Row],[DiasNuevo]]</f>
        <v>45175</v>
      </c>
      <c r="I508">
        <v>30</v>
      </c>
      <c r="J508" t="s">
        <v>25</v>
      </c>
      <c r="K508" s="3">
        <v>5419.75</v>
      </c>
      <c r="L508" t="b">
        <f>TablaDatos[[#This Row],[FechaAlta]] &lt; TablaDatos[[#This Row],[FechaIngreso]]</f>
        <v>0</v>
      </c>
      <c r="M508">
        <f>_xlfn.XLOOKUP(TablaDatos[[#This Row],[PacienteID]],'Datos_Ejemplo.csv'!A:A,'Datos_Ejemplo.csv'!I:I)</f>
        <v>30</v>
      </c>
      <c r="N508">
        <f>ABS(TablaDatos[[#This Row],[DiasOriginal]])</f>
        <v>30</v>
      </c>
      <c r="O508" s="1">
        <f>TablaDatos[[#This Row],[FechaIngreso]]+TablaDatos[[#This Row],[DiasNuevo]]</f>
        <v>45175</v>
      </c>
    </row>
    <row r="509" spans="1:15">
      <c r="A509">
        <v>508</v>
      </c>
      <c r="B509" t="s">
        <v>310</v>
      </c>
      <c r="C509" s="1">
        <v>45657</v>
      </c>
      <c r="D509">
        <v>1</v>
      </c>
      <c r="E509" s="4" t="s">
        <v>15</v>
      </c>
      <c r="F509" t="s">
        <v>32</v>
      </c>
      <c r="G509" s="1">
        <v>45444</v>
      </c>
      <c r="H509" s="1">
        <f>TablaDatos[[#This Row],[FechaIngreso]]+TablaDatos[[#This Row],[DiasNuevo]]</f>
        <v>45473</v>
      </c>
      <c r="I509">
        <v>29</v>
      </c>
      <c r="J509" t="s">
        <v>23</v>
      </c>
      <c r="K509" s="3">
        <v>19050.47</v>
      </c>
      <c r="L509" t="b">
        <f>TablaDatos[[#This Row],[FechaAlta]] &lt; TablaDatos[[#This Row],[FechaIngreso]]</f>
        <v>0</v>
      </c>
      <c r="M509">
        <f>_xlfn.XLOOKUP(TablaDatos[[#This Row],[PacienteID]],'Datos_Ejemplo.csv'!A:A,'Datos_Ejemplo.csv'!I:I)</f>
        <v>29</v>
      </c>
      <c r="N509">
        <f>ABS(TablaDatos[[#This Row],[DiasOriginal]])</f>
        <v>29</v>
      </c>
      <c r="O509" s="1">
        <f>TablaDatos[[#This Row],[FechaIngreso]]+TablaDatos[[#This Row],[DiasNuevo]]</f>
        <v>45473</v>
      </c>
    </row>
    <row r="510" spans="1:15">
      <c r="A510">
        <v>509</v>
      </c>
      <c r="B510" t="s">
        <v>234</v>
      </c>
      <c r="C510" s="1">
        <v>12785</v>
      </c>
      <c r="D510">
        <v>91</v>
      </c>
      <c r="E510" s="4" t="s">
        <v>12</v>
      </c>
      <c r="F510" t="s">
        <v>201</v>
      </c>
      <c r="G510" s="1">
        <v>45035</v>
      </c>
      <c r="H510" s="1">
        <f>TablaDatos[[#This Row],[FechaIngreso]]+TablaDatos[[#This Row],[DiasNuevo]]</f>
        <v>45049</v>
      </c>
      <c r="I510">
        <v>14</v>
      </c>
      <c r="J510" t="s">
        <v>25</v>
      </c>
      <c r="K510" s="3">
        <v>15277.75</v>
      </c>
      <c r="L510" t="b">
        <f>TablaDatos[[#This Row],[FechaAlta]] &lt; TablaDatos[[#This Row],[FechaIngreso]]</f>
        <v>0</v>
      </c>
      <c r="M510">
        <f>_xlfn.XLOOKUP(TablaDatos[[#This Row],[PacienteID]],'Datos_Ejemplo.csv'!A:A,'Datos_Ejemplo.csv'!I:I)</f>
        <v>14</v>
      </c>
      <c r="N510">
        <f>ABS(TablaDatos[[#This Row],[DiasOriginal]])</f>
        <v>14</v>
      </c>
      <c r="O510" s="1">
        <f>TablaDatos[[#This Row],[FechaIngreso]]+TablaDatos[[#This Row],[DiasNuevo]]</f>
        <v>45049</v>
      </c>
    </row>
    <row r="511" spans="1:15">
      <c r="A511">
        <v>510</v>
      </c>
      <c r="B511" t="s">
        <v>294</v>
      </c>
      <c r="C511" s="1">
        <v>34700</v>
      </c>
      <c r="D511">
        <v>31</v>
      </c>
      <c r="E511" s="4" t="s">
        <v>12</v>
      </c>
      <c r="F511" t="s">
        <v>295</v>
      </c>
      <c r="G511" s="1">
        <v>45277</v>
      </c>
      <c r="H511" s="1">
        <f>TablaDatos[[#This Row],[FechaIngreso]]+TablaDatos[[#This Row],[DiasNuevo]]</f>
        <v>45292</v>
      </c>
      <c r="I511">
        <v>15</v>
      </c>
      <c r="J511" t="s">
        <v>25</v>
      </c>
      <c r="K511" s="3">
        <v>19712.29</v>
      </c>
      <c r="L511" t="b">
        <f>TablaDatos[[#This Row],[FechaAlta]] &lt; TablaDatos[[#This Row],[FechaIngreso]]</f>
        <v>0</v>
      </c>
      <c r="M511">
        <f>_xlfn.XLOOKUP(TablaDatos[[#This Row],[PacienteID]],'Datos_Ejemplo.csv'!A:A,'Datos_Ejemplo.csv'!I:I)</f>
        <v>15</v>
      </c>
      <c r="N511">
        <f>ABS(TablaDatos[[#This Row],[DiasOriginal]])</f>
        <v>15</v>
      </c>
      <c r="O511" s="1">
        <f>TablaDatos[[#This Row],[FechaIngreso]]+TablaDatos[[#This Row],[DiasNuevo]]</f>
        <v>45292</v>
      </c>
    </row>
    <row r="512" spans="1:15">
      <c r="A512">
        <v>511</v>
      </c>
      <c r="B512" t="s">
        <v>258</v>
      </c>
      <c r="C512" s="1">
        <v>13150</v>
      </c>
      <c r="D512">
        <f ca="1">DATEDIF(TablaDatos[[#This Row],[FechaNacimiento]],TODAY(),"Y")</f>
        <v>90</v>
      </c>
      <c r="E512" s="4" t="s">
        <v>12</v>
      </c>
      <c r="F512" t="s">
        <v>295</v>
      </c>
      <c r="G512" s="1">
        <v>44992</v>
      </c>
      <c r="H512" s="1">
        <f>TablaDatos[[#This Row],[FechaIngreso]]+TablaDatos[[#This Row],[DiasNuevo]]</f>
        <v>44992</v>
      </c>
      <c r="I512">
        <v>0</v>
      </c>
      <c r="J512" t="s">
        <v>19</v>
      </c>
      <c r="K512" s="3">
        <v>7225.84</v>
      </c>
      <c r="L512" t="b">
        <f>TablaDatos[[#This Row],[FechaAlta]] &lt; TablaDatos[[#This Row],[FechaIngreso]]</f>
        <v>0</v>
      </c>
      <c r="M512">
        <f>_xlfn.XLOOKUP(TablaDatos[[#This Row],[PacienteID]],'Datos_Ejemplo.csv'!A:A,'Datos_Ejemplo.csv'!I:I)</f>
        <v>0</v>
      </c>
      <c r="N512">
        <f>ABS(TablaDatos[[#This Row],[DiasOriginal]])</f>
        <v>0</v>
      </c>
      <c r="O512" s="1">
        <f>TablaDatos[[#This Row],[FechaIngreso]]+TablaDatos[[#This Row],[DiasNuevo]]</f>
        <v>44992</v>
      </c>
    </row>
    <row r="513" spans="1:15">
      <c r="A513">
        <v>512</v>
      </c>
      <c r="B513" t="s">
        <v>51</v>
      </c>
      <c r="C513" s="1">
        <v>15707</v>
      </c>
      <c r="D513">
        <f ca="1">DATEDIF(TablaDatos[[#This Row],[FechaNacimiento]],TODAY(),"Y")</f>
        <v>83</v>
      </c>
      <c r="E513" s="4" t="s">
        <v>12</v>
      </c>
      <c r="F513" t="s">
        <v>21</v>
      </c>
      <c r="G513" s="1">
        <v>44936</v>
      </c>
      <c r="H513" s="1">
        <f>TablaDatos[[#This Row],[FechaIngreso]]+TablaDatos[[#This Row],[DiasNuevo]]</f>
        <v>44939</v>
      </c>
      <c r="I513">
        <v>3</v>
      </c>
      <c r="J513" t="s">
        <v>25</v>
      </c>
      <c r="K513" s="3">
        <v>12949.31</v>
      </c>
      <c r="L513" t="b">
        <f>TablaDatos[[#This Row],[FechaAlta]] &lt; TablaDatos[[#This Row],[FechaIngreso]]</f>
        <v>0</v>
      </c>
      <c r="M513">
        <f>_xlfn.XLOOKUP(TablaDatos[[#This Row],[PacienteID]],'Datos_Ejemplo.csv'!A:A,'Datos_Ejemplo.csv'!I:I)</f>
        <v>3</v>
      </c>
      <c r="N513">
        <f>ABS(TablaDatos[[#This Row],[DiasOriginal]])</f>
        <v>3</v>
      </c>
      <c r="O513" s="1">
        <f>TablaDatos[[#This Row],[FechaIngreso]]+TablaDatos[[#This Row],[DiasNuevo]]</f>
        <v>44939</v>
      </c>
    </row>
    <row r="514" spans="1:15">
      <c r="A514">
        <v>513</v>
      </c>
      <c r="B514" t="s">
        <v>39</v>
      </c>
      <c r="C514" s="1">
        <v>37622</v>
      </c>
      <c r="D514">
        <v>23</v>
      </c>
      <c r="E514" s="4" t="s">
        <v>15</v>
      </c>
      <c r="F514" t="s">
        <v>18</v>
      </c>
      <c r="G514" s="1">
        <v>45128</v>
      </c>
      <c r="H514" s="1">
        <f>TablaDatos[[#This Row],[FechaIngreso]]+TablaDatos[[#This Row],[DiasNuevo]]</f>
        <v>45138</v>
      </c>
      <c r="I514">
        <v>10</v>
      </c>
      <c r="J514" t="s">
        <v>19</v>
      </c>
      <c r="K514" s="3">
        <v>12192.93</v>
      </c>
      <c r="L514" t="b">
        <f>TablaDatos[[#This Row],[FechaAlta]] &lt; TablaDatos[[#This Row],[FechaIngreso]]</f>
        <v>0</v>
      </c>
      <c r="M514">
        <f>_xlfn.XLOOKUP(TablaDatos[[#This Row],[PacienteID]],'Datos_Ejemplo.csv'!A:A,'Datos_Ejemplo.csv'!I:I)</f>
        <v>10</v>
      </c>
      <c r="N514">
        <f>ABS(TablaDatos[[#This Row],[DiasOriginal]])</f>
        <v>10</v>
      </c>
      <c r="O514" s="1">
        <f>TablaDatos[[#This Row],[FechaIngreso]]+TablaDatos[[#This Row],[DiasNuevo]]</f>
        <v>45138</v>
      </c>
    </row>
    <row r="515" spans="1:15">
      <c r="A515">
        <v>514</v>
      </c>
      <c r="B515" t="s">
        <v>330</v>
      </c>
      <c r="C515" s="1">
        <v>42005</v>
      </c>
      <c r="D515">
        <v>11</v>
      </c>
      <c r="E515" s="4" t="s">
        <v>15</v>
      </c>
      <c r="F515" t="s">
        <v>32</v>
      </c>
      <c r="G515" s="1">
        <v>45140</v>
      </c>
      <c r="H515" s="1">
        <f>TablaDatos[[#This Row],[FechaIngreso]]+TablaDatos[[#This Row],[DiasNuevo]]</f>
        <v>45168</v>
      </c>
      <c r="I515">
        <v>28</v>
      </c>
      <c r="J515" t="s">
        <v>23</v>
      </c>
      <c r="K515" s="3">
        <v>13719.89</v>
      </c>
      <c r="L515" t="b">
        <f>TablaDatos[[#This Row],[FechaAlta]] &lt; TablaDatos[[#This Row],[FechaIngreso]]</f>
        <v>0</v>
      </c>
      <c r="M515">
        <f>_xlfn.XLOOKUP(TablaDatos[[#This Row],[PacienteID]],'Datos_Ejemplo.csv'!A:A,'Datos_Ejemplo.csv'!I:I)</f>
        <v>28</v>
      </c>
      <c r="N515">
        <f>ABS(TablaDatos[[#This Row],[DiasOriginal]])</f>
        <v>28</v>
      </c>
      <c r="O515" s="1">
        <f>TablaDatos[[#This Row],[FechaIngreso]]+TablaDatos[[#This Row],[DiasNuevo]]</f>
        <v>45168</v>
      </c>
    </row>
    <row r="516" spans="1:15">
      <c r="A516">
        <v>515</v>
      </c>
      <c r="B516" t="s">
        <v>245</v>
      </c>
      <c r="C516" s="1">
        <v>28125</v>
      </c>
      <c r="D516">
        <v>49</v>
      </c>
      <c r="E516" s="4" t="s">
        <v>15</v>
      </c>
      <c r="F516" t="s">
        <v>21</v>
      </c>
      <c r="G516" s="1">
        <v>44994</v>
      </c>
      <c r="H516" s="1">
        <f>TablaDatos[[#This Row],[FechaIngreso]]+TablaDatos[[#This Row],[DiasNuevo]]</f>
        <v>45008</v>
      </c>
      <c r="I516">
        <v>14</v>
      </c>
      <c r="J516" t="s">
        <v>23</v>
      </c>
      <c r="K516" s="3">
        <v>670.16</v>
      </c>
      <c r="L516" t="b">
        <f>TablaDatos[[#This Row],[FechaAlta]] &lt; TablaDatos[[#This Row],[FechaIngreso]]</f>
        <v>0</v>
      </c>
      <c r="M516">
        <f>_xlfn.XLOOKUP(TablaDatos[[#This Row],[PacienteID]],'Datos_Ejemplo.csv'!A:A,'Datos_Ejemplo.csv'!I:I)</f>
        <v>14</v>
      </c>
      <c r="N516">
        <f>ABS(TablaDatos[[#This Row],[DiasOriginal]])</f>
        <v>14</v>
      </c>
      <c r="O516" s="1">
        <f>TablaDatos[[#This Row],[FechaIngreso]]+TablaDatos[[#This Row],[DiasNuevo]]</f>
        <v>45008</v>
      </c>
    </row>
    <row r="517" spans="1:15">
      <c r="A517">
        <v>516</v>
      </c>
      <c r="B517" t="s">
        <v>340</v>
      </c>
      <c r="C517" s="1">
        <v>33604</v>
      </c>
      <c r="D517">
        <v>34</v>
      </c>
      <c r="E517" s="4" t="s">
        <v>15</v>
      </c>
      <c r="F517" t="s">
        <v>18</v>
      </c>
      <c r="G517" s="1">
        <v>45253</v>
      </c>
      <c r="H517" s="1">
        <f>TablaDatos[[#This Row],[FechaIngreso]]+TablaDatos[[#This Row],[DiasNuevo]]</f>
        <v>45271</v>
      </c>
      <c r="I517">
        <v>18</v>
      </c>
      <c r="J517" t="s">
        <v>23</v>
      </c>
      <c r="K517" s="3">
        <v>5763.56</v>
      </c>
      <c r="L517" t="b">
        <f>TablaDatos[[#This Row],[FechaAlta]] &lt; TablaDatos[[#This Row],[FechaIngreso]]</f>
        <v>0</v>
      </c>
      <c r="M517">
        <f>_xlfn.XLOOKUP(TablaDatos[[#This Row],[PacienteID]],'Datos_Ejemplo.csv'!A:A,'Datos_Ejemplo.csv'!I:I)</f>
        <v>18</v>
      </c>
      <c r="N517">
        <f>ABS(TablaDatos[[#This Row],[DiasOriginal]])</f>
        <v>18</v>
      </c>
      <c r="O517" s="1">
        <f>TablaDatos[[#This Row],[FechaIngreso]]+TablaDatos[[#This Row],[DiasNuevo]]</f>
        <v>45271</v>
      </c>
    </row>
    <row r="518" spans="1:15">
      <c r="A518">
        <v>517</v>
      </c>
      <c r="B518" t="s">
        <v>287</v>
      </c>
      <c r="C518" s="1">
        <v>34334</v>
      </c>
      <c r="D518">
        <v>32</v>
      </c>
      <c r="E518" s="4" t="s">
        <v>12</v>
      </c>
      <c r="F518" t="s">
        <v>13</v>
      </c>
      <c r="G518" s="1">
        <v>44976</v>
      </c>
      <c r="H518" s="1">
        <f>TablaDatos[[#This Row],[FechaIngreso]]+TablaDatos[[#This Row],[DiasNuevo]]</f>
        <v>44989</v>
      </c>
      <c r="I518">
        <v>13</v>
      </c>
      <c r="J518" t="s">
        <v>19</v>
      </c>
      <c r="K518" s="3">
        <v>18177.689999999999</v>
      </c>
      <c r="L518" t="b">
        <f>TablaDatos[[#This Row],[FechaAlta]] &lt; TablaDatos[[#This Row],[FechaIngreso]]</f>
        <v>0</v>
      </c>
      <c r="M518">
        <f>_xlfn.XLOOKUP(TablaDatos[[#This Row],[PacienteID]],'Datos_Ejemplo.csv'!A:A,'Datos_Ejemplo.csv'!I:I)</f>
        <v>13</v>
      </c>
      <c r="N518">
        <f>ABS(TablaDatos[[#This Row],[DiasOriginal]])</f>
        <v>13</v>
      </c>
      <c r="O518" s="1">
        <f>TablaDatos[[#This Row],[FechaIngreso]]+TablaDatos[[#This Row],[DiasNuevo]]</f>
        <v>44989</v>
      </c>
    </row>
    <row r="519" spans="1:15">
      <c r="A519">
        <v>518</v>
      </c>
      <c r="B519" t="s">
        <v>331</v>
      </c>
      <c r="C519" s="1">
        <v>34334</v>
      </c>
      <c r="D519">
        <v>32</v>
      </c>
      <c r="E519" s="4" t="s">
        <v>12</v>
      </c>
      <c r="F519" t="s">
        <v>13</v>
      </c>
      <c r="G519" s="1">
        <v>44943</v>
      </c>
      <c r="H519" s="1">
        <f>TablaDatos[[#This Row],[FechaIngreso]]+TablaDatos[[#This Row],[DiasNuevo]]</f>
        <v>44957</v>
      </c>
      <c r="I519">
        <v>14</v>
      </c>
      <c r="J519" t="s">
        <v>23</v>
      </c>
      <c r="K519" s="3">
        <v>8418.7800000000007</v>
      </c>
      <c r="L519" t="b">
        <f>TablaDatos[[#This Row],[FechaAlta]] &lt; TablaDatos[[#This Row],[FechaIngreso]]</f>
        <v>0</v>
      </c>
      <c r="M519">
        <f>_xlfn.XLOOKUP(TablaDatos[[#This Row],[PacienteID]],'Datos_Ejemplo.csv'!A:A,'Datos_Ejemplo.csv'!I:I)</f>
        <v>14</v>
      </c>
      <c r="N519">
        <f>ABS(TablaDatos[[#This Row],[DiasOriginal]])</f>
        <v>14</v>
      </c>
      <c r="O519" s="1">
        <f>TablaDatos[[#This Row],[FechaIngreso]]+TablaDatos[[#This Row],[DiasNuevo]]</f>
        <v>44957</v>
      </c>
    </row>
    <row r="520" spans="1:15">
      <c r="A520">
        <v>519</v>
      </c>
      <c r="B520" t="s">
        <v>308</v>
      </c>
      <c r="C520" s="1">
        <v>24107</v>
      </c>
      <c r="D520">
        <v>60</v>
      </c>
      <c r="E520" s="4" t="s">
        <v>15</v>
      </c>
      <c r="F520" t="s">
        <v>18</v>
      </c>
      <c r="G520" s="1">
        <v>45449</v>
      </c>
      <c r="H520" s="1">
        <f>TablaDatos[[#This Row],[FechaIngreso]]+TablaDatos[[#This Row],[DiasNuevo]]</f>
        <v>45478</v>
      </c>
      <c r="I520">
        <v>29</v>
      </c>
      <c r="J520" t="s">
        <v>23</v>
      </c>
      <c r="K520" s="3">
        <v>19208.939999999999</v>
      </c>
      <c r="L520" t="b">
        <f>TablaDatos[[#This Row],[FechaAlta]] &lt; TablaDatos[[#This Row],[FechaIngreso]]</f>
        <v>0</v>
      </c>
      <c r="M520">
        <f>_xlfn.XLOOKUP(TablaDatos[[#This Row],[PacienteID]],'Datos_Ejemplo.csv'!A:A,'Datos_Ejemplo.csv'!I:I)</f>
        <v>29</v>
      </c>
      <c r="N520">
        <f>ABS(TablaDatos[[#This Row],[DiasOriginal]])</f>
        <v>29</v>
      </c>
      <c r="O520" s="1">
        <f>TablaDatos[[#This Row],[FechaIngreso]]+TablaDatos[[#This Row],[DiasNuevo]]</f>
        <v>45478</v>
      </c>
    </row>
    <row r="521" spans="1:15">
      <c r="A521">
        <v>520</v>
      </c>
      <c r="B521" t="s">
        <v>346</v>
      </c>
      <c r="C521" s="1">
        <v>27760</v>
      </c>
      <c r="D521">
        <v>50</v>
      </c>
      <c r="E521" s="4" t="s">
        <v>15</v>
      </c>
      <c r="F521" t="s">
        <v>295</v>
      </c>
      <c r="G521" s="1">
        <v>45232</v>
      </c>
      <c r="H521" s="1">
        <f>TablaDatos[[#This Row],[FechaIngreso]]+TablaDatos[[#This Row],[DiasNuevo]]</f>
        <v>45234</v>
      </c>
      <c r="I521">
        <v>2</v>
      </c>
      <c r="J521" t="s">
        <v>25</v>
      </c>
      <c r="K521" s="3">
        <v>4191.41</v>
      </c>
      <c r="L521" t="b">
        <f>TablaDatos[[#This Row],[FechaAlta]] &lt; TablaDatos[[#This Row],[FechaIngreso]]</f>
        <v>0</v>
      </c>
      <c r="M521">
        <f>_xlfn.XLOOKUP(TablaDatos[[#This Row],[PacienteID]],'Datos_Ejemplo.csv'!A:A,'Datos_Ejemplo.csv'!I:I)</f>
        <v>-2</v>
      </c>
      <c r="N521">
        <f>ABS(TablaDatos[[#This Row],[DiasOriginal]])</f>
        <v>2</v>
      </c>
      <c r="O521" s="1">
        <f>TablaDatos[[#This Row],[FechaIngreso]]+TablaDatos[[#This Row],[DiasNuevo]]</f>
        <v>45234</v>
      </c>
    </row>
    <row r="522" spans="1:15">
      <c r="A522">
        <v>521</v>
      </c>
      <c r="B522" t="s">
        <v>263</v>
      </c>
      <c r="C522" s="1">
        <v>30682</v>
      </c>
      <c r="D522">
        <v>42</v>
      </c>
      <c r="E522" s="4" t="s">
        <v>12</v>
      </c>
      <c r="F522" t="s">
        <v>295</v>
      </c>
      <c r="G522" s="1">
        <v>45318</v>
      </c>
      <c r="H522" s="1">
        <f>TablaDatos[[#This Row],[FechaIngreso]]+TablaDatos[[#This Row],[DiasNuevo]]</f>
        <v>45353</v>
      </c>
      <c r="I522">
        <v>35</v>
      </c>
      <c r="J522" t="s">
        <v>19</v>
      </c>
      <c r="K522" s="3">
        <v>19948.22</v>
      </c>
      <c r="L522" t="b">
        <f>TablaDatos[[#This Row],[FechaAlta]] &lt; TablaDatos[[#This Row],[FechaIngreso]]</f>
        <v>0</v>
      </c>
      <c r="M522">
        <f>_xlfn.XLOOKUP(TablaDatos[[#This Row],[PacienteID]],'Datos_Ejemplo.csv'!A:A,'Datos_Ejemplo.csv'!I:I)</f>
        <v>35</v>
      </c>
      <c r="N522">
        <f>ABS(TablaDatos[[#This Row],[DiasOriginal]])</f>
        <v>35</v>
      </c>
      <c r="O522" s="1">
        <f>TablaDatos[[#This Row],[FechaIngreso]]+TablaDatos[[#This Row],[DiasNuevo]]</f>
        <v>45353</v>
      </c>
    </row>
    <row r="523" spans="1:15">
      <c r="A523">
        <v>522</v>
      </c>
      <c r="B523" t="s">
        <v>302</v>
      </c>
      <c r="C523" s="1">
        <v>42005</v>
      </c>
      <c r="D523">
        <v>11</v>
      </c>
      <c r="E523" s="4" t="s">
        <v>12</v>
      </c>
      <c r="F523" t="s">
        <v>13</v>
      </c>
      <c r="G523" s="1">
        <v>45050</v>
      </c>
      <c r="H523" s="1">
        <f>TablaDatos[[#This Row],[FechaIngreso]]+TablaDatos[[#This Row],[DiasNuevo]]</f>
        <v>45055</v>
      </c>
      <c r="I523">
        <v>5</v>
      </c>
      <c r="J523" t="s">
        <v>23</v>
      </c>
      <c r="K523" s="3">
        <v>13921.38</v>
      </c>
      <c r="L523" t="b">
        <f>TablaDatos[[#This Row],[FechaAlta]] &lt; TablaDatos[[#This Row],[FechaIngreso]]</f>
        <v>0</v>
      </c>
      <c r="M523">
        <f>_xlfn.XLOOKUP(TablaDatos[[#This Row],[PacienteID]],'Datos_Ejemplo.csv'!A:A,'Datos_Ejemplo.csv'!I:I)</f>
        <v>5</v>
      </c>
      <c r="N523">
        <f>ABS(TablaDatos[[#This Row],[DiasOriginal]])</f>
        <v>5</v>
      </c>
      <c r="O523" s="1">
        <f>TablaDatos[[#This Row],[FechaIngreso]]+TablaDatos[[#This Row],[DiasNuevo]]</f>
        <v>45055</v>
      </c>
    </row>
    <row r="524" spans="1:15">
      <c r="A524">
        <v>523</v>
      </c>
      <c r="B524" t="s">
        <v>236</v>
      </c>
      <c r="C524" s="1">
        <v>21916</v>
      </c>
      <c r="D524">
        <v>66</v>
      </c>
      <c r="E524" s="4" t="s">
        <v>12</v>
      </c>
      <c r="F524" t="s">
        <v>295</v>
      </c>
      <c r="G524" s="1">
        <v>45430</v>
      </c>
      <c r="H524" s="1">
        <f>TablaDatos[[#This Row],[FechaIngreso]]+TablaDatos[[#This Row],[DiasNuevo]]</f>
        <v>45432</v>
      </c>
      <c r="I524">
        <v>2</v>
      </c>
      <c r="J524" t="s">
        <v>23</v>
      </c>
      <c r="K524" s="3">
        <v>15505.51</v>
      </c>
      <c r="L524" t="b">
        <f>TablaDatos[[#This Row],[FechaAlta]] &lt; TablaDatos[[#This Row],[FechaIngreso]]</f>
        <v>0</v>
      </c>
      <c r="M524">
        <f>_xlfn.XLOOKUP(TablaDatos[[#This Row],[PacienteID]],'Datos_Ejemplo.csv'!A:A,'Datos_Ejemplo.csv'!I:I)</f>
        <v>-2</v>
      </c>
      <c r="N524">
        <f>ABS(TablaDatos[[#This Row],[DiasOriginal]])</f>
        <v>2</v>
      </c>
      <c r="O524" s="1">
        <f>TablaDatos[[#This Row],[FechaIngreso]]+TablaDatos[[#This Row],[DiasNuevo]]</f>
        <v>45432</v>
      </c>
    </row>
    <row r="525" spans="1:15">
      <c r="A525">
        <v>524</v>
      </c>
      <c r="B525" t="s">
        <v>273</v>
      </c>
      <c r="C525" s="1">
        <v>22646</v>
      </c>
      <c r="D525">
        <v>64</v>
      </c>
      <c r="E525" s="4" t="s">
        <v>12</v>
      </c>
      <c r="F525" t="s">
        <v>201</v>
      </c>
      <c r="G525" s="1">
        <v>45151</v>
      </c>
      <c r="H525" s="1">
        <f>TablaDatos[[#This Row],[FechaIngreso]]+TablaDatos[[#This Row],[DiasNuevo]]</f>
        <v>45152</v>
      </c>
      <c r="I525">
        <v>1</v>
      </c>
      <c r="J525" t="s">
        <v>19</v>
      </c>
      <c r="K525" s="3">
        <v>7876.91</v>
      </c>
      <c r="L525" t="b">
        <f>TablaDatos[[#This Row],[FechaAlta]] &lt; TablaDatos[[#This Row],[FechaIngreso]]</f>
        <v>0</v>
      </c>
      <c r="M525">
        <f>_xlfn.XLOOKUP(TablaDatos[[#This Row],[PacienteID]],'Datos_Ejemplo.csv'!A:A,'Datos_Ejemplo.csv'!I:I)</f>
        <v>-1</v>
      </c>
      <c r="N525">
        <f>ABS(TablaDatos[[#This Row],[DiasOriginal]])</f>
        <v>1</v>
      </c>
      <c r="O525" s="1">
        <f>TablaDatos[[#This Row],[FechaIngreso]]+TablaDatos[[#This Row],[DiasNuevo]]</f>
        <v>45152</v>
      </c>
    </row>
    <row r="526" spans="1:15">
      <c r="A526">
        <v>525</v>
      </c>
      <c r="B526" t="s">
        <v>273</v>
      </c>
      <c r="C526" s="1">
        <v>34334</v>
      </c>
      <c r="D526">
        <v>32</v>
      </c>
      <c r="E526" s="4" t="s">
        <v>12</v>
      </c>
      <c r="F526" t="s">
        <v>295</v>
      </c>
      <c r="G526" s="1">
        <v>45244</v>
      </c>
      <c r="H526" s="1">
        <f>TablaDatos[[#This Row],[FechaIngreso]]+TablaDatos[[#This Row],[DiasNuevo]]</f>
        <v>45278</v>
      </c>
      <c r="I526">
        <v>34</v>
      </c>
      <c r="J526" t="s">
        <v>25</v>
      </c>
      <c r="K526" s="3">
        <v>18130.86</v>
      </c>
      <c r="L526" t="b">
        <f>TablaDatos[[#This Row],[FechaAlta]] &lt; TablaDatos[[#This Row],[FechaIngreso]]</f>
        <v>0</v>
      </c>
      <c r="M526">
        <f>_xlfn.XLOOKUP(TablaDatos[[#This Row],[PacienteID]],'Datos_Ejemplo.csv'!A:A,'Datos_Ejemplo.csv'!I:I)</f>
        <v>34</v>
      </c>
      <c r="N526">
        <f>ABS(TablaDatos[[#This Row],[DiasOriginal]])</f>
        <v>34</v>
      </c>
      <c r="O526" s="1">
        <f>TablaDatos[[#This Row],[FechaIngreso]]+TablaDatos[[#This Row],[DiasNuevo]]</f>
        <v>45278</v>
      </c>
    </row>
    <row r="527" spans="1:15">
      <c r="A527">
        <v>526</v>
      </c>
      <c r="B527" t="s">
        <v>302</v>
      </c>
      <c r="C527" s="1">
        <v>31778</v>
      </c>
      <c r="D527">
        <f ca="1">DATEDIF(TablaDatos[[#This Row],[FechaNacimiento]],TODAY(),"Y")</f>
        <v>39</v>
      </c>
      <c r="E527" s="4" t="s">
        <v>12</v>
      </c>
      <c r="F527" t="s">
        <v>18</v>
      </c>
      <c r="G527" s="1">
        <v>45399</v>
      </c>
      <c r="H527" s="1">
        <f>TablaDatos[[#This Row],[FechaIngreso]]+TablaDatos[[#This Row],[DiasNuevo]]</f>
        <v>45420</v>
      </c>
      <c r="I527">
        <v>21</v>
      </c>
      <c r="J527" t="s">
        <v>23</v>
      </c>
      <c r="K527" s="3">
        <v>10863.8</v>
      </c>
      <c r="L527" t="b">
        <f>TablaDatos[[#This Row],[FechaAlta]] &lt; TablaDatos[[#This Row],[FechaIngreso]]</f>
        <v>0</v>
      </c>
      <c r="M527">
        <f>_xlfn.XLOOKUP(TablaDatos[[#This Row],[PacienteID]],'Datos_Ejemplo.csv'!A:A,'Datos_Ejemplo.csv'!I:I)</f>
        <v>21</v>
      </c>
      <c r="N527">
        <f>ABS(TablaDatos[[#This Row],[DiasOriginal]])</f>
        <v>21</v>
      </c>
      <c r="O527" s="1">
        <f>TablaDatos[[#This Row],[FechaIngreso]]+TablaDatos[[#This Row],[DiasNuevo]]</f>
        <v>45420</v>
      </c>
    </row>
    <row r="528" spans="1:15">
      <c r="A528">
        <v>527</v>
      </c>
      <c r="B528" t="s">
        <v>276</v>
      </c>
      <c r="C528" s="1">
        <f ca="1">DATE(YEAR(TODAY())-TablaDatos[[#This Row],[Edad]],1,1)</f>
        <v>19360</v>
      </c>
      <c r="D528">
        <v>73</v>
      </c>
      <c r="E528" s="4" t="s">
        <v>15</v>
      </c>
      <c r="F528" t="s">
        <v>261</v>
      </c>
      <c r="G528" s="1">
        <v>45467</v>
      </c>
      <c r="H528" s="1">
        <f>TablaDatos[[#This Row],[FechaIngreso]]+TablaDatos[[#This Row],[DiasNuevo]]</f>
        <v>45491</v>
      </c>
      <c r="I528">
        <v>24</v>
      </c>
      <c r="J528" t="s">
        <v>23</v>
      </c>
      <c r="K528" s="3">
        <v>13586.86</v>
      </c>
      <c r="L528" t="b">
        <f>TablaDatos[[#This Row],[FechaAlta]] &lt; TablaDatos[[#This Row],[FechaIngreso]]</f>
        <v>0</v>
      </c>
      <c r="M528">
        <f>_xlfn.XLOOKUP(TablaDatos[[#This Row],[PacienteID]],'Datos_Ejemplo.csv'!A:A,'Datos_Ejemplo.csv'!I:I)</f>
        <v>24</v>
      </c>
      <c r="N528">
        <f>ABS(TablaDatos[[#This Row],[DiasOriginal]])</f>
        <v>24</v>
      </c>
      <c r="O528" s="1">
        <f>TablaDatos[[#This Row],[FechaIngreso]]+TablaDatos[[#This Row],[DiasNuevo]]</f>
        <v>45491</v>
      </c>
    </row>
    <row r="529" spans="1:15">
      <c r="A529">
        <v>528</v>
      </c>
      <c r="B529" t="s">
        <v>360</v>
      </c>
      <c r="C529" s="1">
        <v>30682</v>
      </c>
      <c r="D529">
        <f ca="1">DATEDIF(TablaDatos[[#This Row],[FechaNacimiento]],TODAY(),"Y")</f>
        <v>42</v>
      </c>
      <c r="E529" s="4" t="s">
        <v>15</v>
      </c>
      <c r="F529" t="s">
        <v>18</v>
      </c>
      <c r="G529" s="1">
        <v>45284</v>
      </c>
      <c r="H529" s="1">
        <f>TablaDatos[[#This Row],[FechaIngreso]]+TablaDatos[[#This Row],[DiasNuevo]]</f>
        <v>45301</v>
      </c>
      <c r="I529">
        <v>17</v>
      </c>
      <c r="J529" t="s">
        <v>23</v>
      </c>
      <c r="K529" s="3">
        <v>1805.65</v>
      </c>
      <c r="L529" t="b">
        <f>TablaDatos[[#This Row],[FechaAlta]] &lt; TablaDatos[[#This Row],[FechaIngreso]]</f>
        <v>0</v>
      </c>
      <c r="M529">
        <f>_xlfn.XLOOKUP(TablaDatos[[#This Row],[PacienteID]],'Datos_Ejemplo.csv'!A:A,'Datos_Ejemplo.csv'!I:I)</f>
        <v>17</v>
      </c>
      <c r="N529">
        <f>ABS(TablaDatos[[#This Row],[DiasOriginal]])</f>
        <v>17</v>
      </c>
      <c r="O529" s="1">
        <f>TablaDatos[[#This Row],[FechaIngreso]]+TablaDatos[[#This Row],[DiasNuevo]]</f>
        <v>45301</v>
      </c>
    </row>
    <row r="530" spans="1:15">
      <c r="A530">
        <v>529</v>
      </c>
      <c r="B530" t="s">
        <v>354</v>
      </c>
      <c r="C530" s="1">
        <v>30317</v>
      </c>
      <c r="D530">
        <v>43</v>
      </c>
      <c r="E530" s="4" t="s">
        <v>15</v>
      </c>
      <c r="F530" t="s">
        <v>295</v>
      </c>
      <c r="G530" s="1">
        <v>45409</v>
      </c>
      <c r="H530" s="1">
        <f>TablaDatos[[#This Row],[FechaIngreso]]+TablaDatos[[#This Row],[DiasNuevo]]</f>
        <v>45427</v>
      </c>
      <c r="I530">
        <v>18</v>
      </c>
      <c r="J530" t="s">
        <v>19</v>
      </c>
      <c r="K530" s="3">
        <v>12596.78</v>
      </c>
      <c r="L530" t="b">
        <f>TablaDatos[[#This Row],[FechaAlta]] &lt; TablaDatos[[#This Row],[FechaIngreso]]</f>
        <v>0</v>
      </c>
      <c r="M530">
        <f>_xlfn.XLOOKUP(TablaDatos[[#This Row],[PacienteID]],'Datos_Ejemplo.csv'!A:A,'Datos_Ejemplo.csv'!I:I)</f>
        <v>18</v>
      </c>
      <c r="N530">
        <f>ABS(TablaDatos[[#This Row],[DiasOriginal]])</f>
        <v>18</v>
      </c>
      <c r="O530" s="1">
        <f>TablaDatos[[#This Row],[FechaIngreso]]+TablaDatos[[#This Row],[DiasNuevo]]</f>
        <v>45427</v>
      </c>
    </row>
    <row r="531" spans="1:15">
      <c r="A531">
        <v>530</v>
      </c>
      <c r="B531" t="s">
        <v>293</v>
      </c>
      <c r="C531" s="1">
        <v>35795</v>
      </c>
      <c r="D531">
        <v>28</v>
      </c>
      <c r="E531" s="4" t="s">
        <v>12</v>
      </c>
      <c r="F531" t="s">
        <v>18</v>
      </c>
      <c r="G531" s="1">
        <v>45355</v>
      </c>
      <c r="H531" s="1">
        <f>TablaDatos[[#This Row],[FechaIngreso]]+TablaDatos[[#This Row],[DiasNuevo]]</f>
        <v>45394</v>
      </c>
      <c r="I531">
        <v>39</v>
      </c>
      <c r="J531" t="s">
        <v>23</v>
      </c>
      <c r="K531" s="3">
        <v>17569.490000000002</v>
      </c>
      <c r="L531" t="b">
        <f>TablaDatos[[#This Row],[FechaAlta]] &lt; TablaDatos[[#This Row],[FechaIngreso]]</f>
        <v>0</v>
      </c>
      <c r="M531">
        <f>_xlfn.XLOOKUP(TablaDatos[[#This Row],[PacienteID]],'Datos_Ejemplo.csv'!A:A,'Datos_Ejemplo.csv'!I:I)</f>
        <v>39</v>
      </c>
      <c r="N531">
        <f>ABS(TablaDatos[[#This Row],[DiasOriginal]])</f>
        <v>39</v>
      </c>
      <c r="O531" s="1">
        <f>TablaDatos[[#This Row],[FechaIngreso]]+TablaDatos[[#This Row],[DiasNuevo]]</f>
        <v>45394</v>
      </c>
    </row>
    <row r="532" spans="1:15">
      <c r="A532">
        <v>531</v>
      </c>
      <c r="B532" t="s">
        <v>325</v>
      </c>
      <c r="C532" s="1">
        <v>41639</v>
      </c>
      <c r="D532">
        <v>12</v>
      </c>
      <c r="E532" s="4" t="s">
        <v>12</v>
      </c>
      <c r="F532" t="s">
        <v>32</v>
      </c>
      <c r="G532" s="1">
        <v>45423</v>
      </c>
      <c r="H532" s="1">
        <f>TablaDatos[[#This Row],[FechaIngreso]]+TablaDatos[[#This Row],[DiasNuevo]]</f>
        <v>45457</v>
      </c>
      <c r="I532">
        <v>34</v>
      </c>
      <c r="J532" t="s">
        <v>19</v>
      </c>
      <c r="K532" s="3">
        <v>3483.49</v>
      </c>
      <c r="L532" t="b">
        <f>TablaDatos[[#This Row],[FechaAlta]] &lt; TablaDatos[[#This Row],[FechaIngreso]]</f>
        <v>0</v>
      </c>
      <c r="M532">
        <f>_xlfn.XLOOKUP(TablaDatos[[#This Row],[PacienteID]],'Datos_Ejemplo.csv'!A:A,'Datos_Ejemplo.csv'!I:I)</f>
        <v>34</v>
      </c>
      <c r="N532">
        <f>ABS(TablaDatos[[#This Row],[DiasOriginal]])</f>
        <v>34</v>
      </c>
      <c r="O532" s="1">
        <f>TablaDatos[[#This Row],[FechaIngreso]]+TablaDatos[[#This Row],[DiasNuevo]]</f>
        <v>45457</v>
      </c>
    </row>
    <row r="533" spans="1:15">
      <c r="A533">
        <v>532</v>
      </c>
      <c r="B533" t="s">
        <v>313</v>
      </c>
      <c r="C533" s="1">
        <v>42005</v>
      </c>
      <c r="D533">
        <v>11</v>
      </c>
      <c r="E533" s="4" t="s">
        <v>12</v>
      </c>
      <c r="F533" t="s">
        <v>13</v>
      </c>
      <c r="G533" s="1">
        <v>45398</v>
      </c>
      <c r="H533" s="1">
        <f>TablaDatos[[#This Row],[FechaIngreso]]+TablaDatos[[#This Row],[DiasNuevo]]</f>
        <v>45430</v>
      </c>
      <c r="I533">
        <v>32</v>
      </c>
      <c r="J533" t="s">
        <v>23</v>
      </c>
      <c r="K533" s="3">
        <v>14728.29</v>
      </c>
      <c r="L533" t="b">
        <f>TablaDatos[[#This Row],[FechaAlta]] &lt; TablaDatos[[#This Row],[FechaIngreso]]</f>
        <v>0</v>
      </c>
      <c r="M533">
        <f>_xlfn.XLOOKUP(TablaDatos[[#This Row],[PacienteID]],'Datos_Ejemplo.csv'!A:A,'Datos_Ejemplo.csv'!I:I)</f>
        <v>32</v>
      </c>
      <c r="N533">
        <f>ABS(TablaDatos[[#This Row],[DiasOriginal]])</f>
        <v>32</v>
      </c>
      <c r="O533" s="1">
        <f>TablaDatos[[#This Row],[FechaIngreso]]+TablaDatos[[#This Row],[DiasNuevo]]</f>
        <v>45430</v>
      </c>
    </row>
    <row r="534" spans="1:15">
      <c r="A534">
        <v>533</v>
      </c>
      <c r="B534" t="s">
        <v>90</v>
      </c>
      <c r="C534" s="1">
        <v>11689</v>
      </c>
      <c r="D534">
        <v>94</v>
      </c>
      <c r="E534" s="4" t="s">
        <v>15</v>
      </c>
      <c r="F534" t="s">
        <v>261</v>
      </c>
      <c r="G534" s="1">
        <v>45497</v>
      </c>
      <c r="H534" s="1">
        <f>TablaDatos[[#This Row],[FechaIngreso]]+TablaDatos[[#This Row],[DiasNuevo]]</f>
        <v>45532</v>
      </c>
      <c r="I534">
        <v>35</v>
      </c>
      <c r="J534" t="s">
        <v>23</v>
      </c>
      <c r="K534" s="3">
        <v>410.56</v>
      </c>
      <c r="L534" t="b">
        <f>TablaDatos[[#This Row],[FechaAlta]] &lt; TablaDatos[[#This Row],[FechaIngreso]]</f>
        <v>0</v>
      </c>
      <c r="M534">
        <f>_xlfn.XLOOKUP(TablaDatos[[#This Row],[PacienteID]],'Datos_Ejemplo.csv'!A:A,'Datos_Ejemplo.csv'!I:I)</f>
        <v>35</v>
      </c>
      <c r="N534">
        <f>ABS(TablaDatos[[#This Row],[DiasOriginal]])</f>
        <v>35</v>
      </c>
      <c r="O534" s="1">
        <f>TablaDatos[[#This Row],[FechaIngreso]]+TablaDatos[[#This Row],[DiasNuevo]]</f>
        <v>45532</v>
      </c>
    </row>
    <row r="535" spans="1:15">
      <c r="A535">
        <v>534</v>
      </c>
      <c r="B535" t="s">
        <v>299</v>
      </c>
      <c r="C535" s="1">
        <v>29586</v>
      </c>
      <c r="D535">
        <v>45</v>
      </c>
      <c r="E535" s="4" t="s">
        <v>15</v>
      </c>
      <c r="F535" t="s">
        <v>32</v>
      </c>
      <c r="G535" s="1">
        <v>45581</v>
      </c>
      <c r="H535" s="1">
        <f>TablaDatos[[#This Row],[FechaIngreso]]+TablaDatos[[#This Row],[DiasNuevo]]</f>
        <v>45593</v>
      </c>
      <c r="I535">
        <v>12</v>
      </c>
      <c r="J535" t="s">
        <v>25</v>
      </c>
      <c r="K535" s="3">
        <v>18516.68</v>
      </c>
      <c r="L535" t="b">
        <f>TablaDatos[[#This Row],[FechaAlta]] &lt; TablaDatos[[#This Row],[FechaIngreso]]</f>
        <v>0</v>
      </c>
      <c r="M535">
        <f>_xlfn.XLOOKUP(TablaDatos[[#This Row],[PacienteID]],'Datos_Ejemplo.csv'!A:A,'Datos_Ejemplo.csv'!I:I)</f>
        <v>12</v>
      </c>
      <c r="N535">
        <f>ABS(TablaDatos[[#This Row],[DiasOriginal]])</f>
        <v>12</v>
      </c>
      <c r="O535" s="1">
        <f>TablaDatos[[#This Row],[FechaIngreso]]+TablaDatos[[#This Row],[DiasNuevo]]</f>
        <v>45593</v>
      </c>
    </row>
    <row r="536" spans="1:15">
      <c r="A536">
        <v>535</v>
      </c>
      <c r="B536" t="s">
        <v>280</v>
      </c>
      <c r="C536" s="1">
        <f ca="1">DATE(YEAR(TODAY())-TablaDatos[[#This Row],[Edad]],1,1)</f>
        <v>45658</v>
      </c>
      <c r="D536">
        <v>1</v>
      </c>
      <c r="E536" s="4" t="s">
        <v>15</v>
      </c>
      <c r="F536" t="s">
        <v>32</v>
      </c>
      <c r="G536" s="1">
        <v>45226</v>
      </c>
      <c r="H536" s="1">
        <f>TablaDatos[[#This Row],[FechaIngreso]]+TablaDatos[[#This Row],[DiasNuevo]]</f>
        <v>45265</v>
      </c>
      <c r="I536">
        <v>39</v>
      </c>
      <c r="J536" t="s">
        <v>23</v>
      </c>
      <c r="K536" s="3">
        <v>19656.63</v>
      </c>
      <c r="L536" t="b">
        <f>TablaDatos[[#This Row],[FechaAlta]] &lt; TablaDatos[[#This Row],[FechaIngreso]]</f>
        <v>0</v>
      </c>
      <c r="M536">
        <f>_xlfn.XLOOKUP(TablaDatos[[#This Row],[PacienteID]],'Datos_Ejemplo.csv'!A:A,'Datos_Ejemplo.csv'!I:I)</f>
        <v>39</v>
      </c>
      <c r="N536">
        <f>ABS(TablaDatos[[#This Row],[DiasOriginal]])</f>
        <v>39</v>
      </c>
      <c r="O536" s="1">
        <f>TablaDatos[[#This Row],[FechaIngreso]]+TablaDatos[[#This Row],[DiasNuevo]]</f>
        <v>45265</v>
      </c>
    </row>
    <row r="537" spans="1:15">
      <c r="A537">
        <v>536</v>
      </c>
      <c r="B537" t="s">
        <v>293</v>
      </c>
      <c r="C537" s="1">
        <v>33604</v>
      </c>
      <c r="D537">
        <v>34</v>
      </c>
      <c r="E537" s="4" t="s">
        <v>15</v>
      </c>
      <c r="F537" t="s">
        <v>295</v>
      </c>
      <c r="G537" s="1">
        <v>45602</v>
      </c>
      <c r="H537" s="1">
        <f>TablaDatos[[#This Row],[FechaIngreso]]+TablaDatos[[#This Row],[DiasNuevo]]</f>
        <v>45629</v>
      </c>
      <c r="I537">
        <v>27</v>
      </c>
      <c r="J537" t="s">
        <v>25</v>
      </c>
      <c r="K537" s="3">
        <v>7019.02</v>
      </c>
      <c r="L537" t="b">
        <f>TablaDatos[[#This Row],[FechaAlta]] &lt; TablaDatos[[#This Row],[FechaIngreso]]</f>
        <v>0</v>
      </c>
      <c r="M537">
        <f>_xlfn.XLOOKUP(TablaDatos[[#This Row],[PacienteID]],'Datos_Ejemplo.csv'!A:A,'Datos_Ejemplo.csv'!I:I)</f>
        <v>27</v>
      </c>
      <c r="N537">
        <f>ABS(TablaDatos[[#This Row],[DiasOriginal]])</f>
        <v>27</v>
      </c>
      <c r="O537" s="1">
        <f>TablaDatos[[#This Row],[FechaIngreso]]+TablaDatos[[#This Row],[DiasNuevo]]</f>
        <v>45629</v>
      </c>
    </row>
    <row r="538" spans="1:15">
      <c r="A538">
        <v>537</v>
      </c>
      <c r="B538" t="s">
        <v>269</v>
      </c>
      <c r="C538" s="1">
        <f ca="1">DATE(YEAR(TODAY())-TablaDatos[[#This Row],[Edad]],1,1)</f>
        <v>14611</v>
      </c>
      <c r="D538">
        <v>86</v>
      </c>
      <c r="E538" s="4" t="s">
        <v>12</v>
      </c>
      <c r="F538" t="s">
        <v>295</v>
      </c>
      <c r="G538" s="1">
        <v>45010</v>
      </c>
      <c r="H538" s="1">
        <f>TablaDatos[[#This Row],[FechaIngreso]]+TablaDatos[[#This Row],[DiasNuevo]]</f>
        <v>45011</v>
      </c>
      <c r="I538">
        <v>1</v>
      </c>
      <c r="J538" t="s">
        <v>19</v>
      </c>
      <c r="K538" s="3">
        <v>2052.1799999999998</v>
      </c>
      <c r="L538" t="b">
        <f>TablaDatos[[#This Row],[FechaAlta]] &lt; TablaDatos[[#This Row],[FechaIngreso]]</f>
        <v>0</v>
      </c>
      <c r="M538">
        <f>_xlfn.XLOOKUP(TablaDatos[[#This Row],[PacienteID]],'Datos_Ejemplo.csv'!A:A,'Datos_Ejemplo.csv'!I:I)</f>
        <v>1</v>
      </c>
      <c r="N538">
        <f>ABS(TablaDatos[[#This Row],[DiasOriginal]])</f>
        <v>1</v>
      </c>
      <c r="O538" s="1">
        <f>TablaDatos[[#This Row],[FechaIngreso]]+TablaDatos[[#This Row],[DiasNuevo]]</f>
        <v>45011</v>
      </c>
    </row>
    <row r="539" spans="1:15">
      <c r="A539">
        <v>538</v>
      </c>
      <c r="B539" t="s">
        <v>348</v>
      </c>
      <c r="C539" s="1">
        <v>16802</v>
      </c>
      <c r="D539">
        <v>80</v>
      </c>
      <c r="E539" s="4" t="s">
        <v>12</v>
      </c>
      <c r="F539" t="s">
        <v>32</v>
      </c>
      <c r="G539" s="1">
        <v>45303</v>
      </c>
      <c r="H539" s="1">
        <f>TablaDatos[[#This Row],[FechaIngreso]]+TablaDatos[[#This Row],[DiasNuevo]]</f>
        <v>45339</v>
      </c>
      <c r="I539">
        <v>36</v>
      </c>
      <c r="J539" t="s">
        <v>23</v>
      </c>
      <c r="K539" s="3">
        <v>13137.39</v>
      </c>
      <c r="L539" t="b">
        <f>TablaDatos[[#This Row],[FechaAlta]] &lt; TablaDatos[[#This Row],[FechaIngreso]]</f>
        <v>0</v>
      </c>
      <c r="M539">
        <f>_xlfn.XLOOKUP(TablaDatos[[#This Row],[PacienteID]],'Datos_Ejemplo.csv'!A:A,'Datos_Ejemplo.csv'!I:I)</f>
        <v>36</v>
      </c>
      <c r="N539">
        <f>ABS(TablaDatos[[#This Row],[DiasOriginal]])</f>
        <v>36</v>
      </c>
      <c r="O539" s="1">
        <f>TablaDatos[[#This Row],[FechaIngreso]]+TablaDatos[[#This Row],[DiasNuevo]]</f>
        <v>45339</v>
      </c>
    </row>
    <row r="540" spans="1:15">
      <c r="A540">
        <v>539</v>
      </c>
      <c r="B540" t="s">
        <v>287</v>
      </c>
      <c r="C540" s="1">
        <v>13515</v>
      </c>
      <c r="D540">
        <v>89</v>
      </c>
      <c r="E540" s="4" t="s">
        <v>197</v>
      </c>
      <c r="F540" t="s">
        <v>32</v>
      </c>
      <c r="G540" s="1">
        <v>45239</v>
      </c>
      <c r="H540" s="1">
        <f>TablaDatos[[#This Row],[FechaIngreso]]+TablaDatos[[#This Row],[DiasNuevo]]</f>
        <v>45251</v>
      </c>
      <c r="I540">
        <v>12</v>
      </c>
      <c r="J540" t="s">
        <v>23</v>
      </c>
      <c r="K540" s="3">
        <v>499.67</v>
      </c>
      <c r="L540" t="b">
        <f>TablaDatos[[#This Row],[FechaAlta]] &lt; TablaDatos[[#This Row],[FechaIngreso]]</f>
        <v>0</v>
      </c>
      <c r="M540">
        <f>_xlfn.XLOOKUP(TablaDatos[[#This Row],[PacienteID]],'Datos_Ejemplo.csv'!A:A,'Datos_Ejemplo.csv'!I:I)</f>
        <v>12</v>
      </c>
      <c r="N540">
        <f>ABS(TablaDatos[[#This Row],[DiasOriginal]])</f>
        <v>12</v>
      </c>
      <c r="O540" s="1">
        <f>TablaDatos[[#This Row],[FechaIngreso]]+TablaDatos[[#This Row],[DiasNuevo]]</f>
        <v>45251</v>
      </c>
    </row>
    <row r="541" spans="1:15">
      <c r="A541">
        <v>540</v>
      </c>
      <c r="B541" t="s">
        <v>355</v>
      </c>
      <c r="C541" s="1">
        <v>43466</v>
      </c>
      <c r="D541">
        <v>7</v>
      </c>
      <c r="E541" s="4" t="s">
        <v>12</v>
      </c>
      <c r="F541" t="s">
        <v>21</v>
      </c>
      <c r="G541" s="1">
        <v>45555</v>
      </c>
      <c r="H541" s="1">
        <f>TablaDatos[[#This Row],[FechaIngreso]]+TablaDatos[[#This Row],[DiasNuevo]]</f>
        <v>45575</v>
      </c>
      <c r="I541">
        <v>20</v>
      </c>
      <c r="J541" t="s">
        <v>23</v>
      </c>
      <c r="K541" s="3">
        <v>9597.9699999999993</v>
      </c>
      <c r="L541" t="b">
        <f>TablaDatos[[#This Row],[FechaAlta]] &lt; TablaDatos[[#This Row],[FechaIngreso]]</f>
        <v>0</v>
      </c>
      <c r="M541">
        <f>_xlfn.XLOOKUP(TablaDatos[[#This Row],[PacienteID]],'Datos_Ejemplo.csv'!A:A,'Datos_Ejemplo.csv'!I:I)</f>
        <v>20</v>
      </c>
      <c r="N541">
        <f>ABS(TablaDatos[[#This Row],[DiasOriginal]])</f>
        <v>20</v>
      </c>
      <c r="O541" s="1">
        <f>TablaDatos[[#This Row],[FechaIngreso]]+TablaDatos[[#This Row],[DiasNuevo]]</f>
        <v>45575</v>
      </c>
    </row>
    <row r="542" spans="1:15">
      <c r="A542">
        <v>541</v>
      </c>
      <c r="B542" t="s">
        <v>299</v>
      </c>
      <c r="C542" s="1">
        <v>12419</v>
      </c>
      <c r="D542">
        <v>92</v>
      </c>
      <c r="E542" s="4" t="s">
        <v>12</v>
      </c>
      <c r="F542" t="s">
        <v>21</v>
      </c>
      <c r="G542" s="1">
        <v>45246</v>
      </c>
      <c r="H542" s="1">
        <f>TablaDatos[[#This Row],[FechaIngreso]]+TablaDatos[[#This Row],[DiasNuevo]]</f>
        <v>45284</v>
      </c>
      <c r="I542">
        <v>38</v>
      </c>
      <c r="J542" t="s">
        <v>19</v>
      </c>
      <c r="K542" s="3">
        <v>5362.76</v>
      </c>
      <c r="L542" t="b">
        <f>TablaDatos[[#This Row],[FechaAlta]] &lt; TablaDatos[[#This Row],[FechaIngreso]]</f>
        <v>0</v>
      </c>
      <c r="M542">
        <f>_xlfn.XLOOKUP(TablaDatos[[#This Row],[PacienteID]],'Datos_Ejemplo.csv'!A:A,'Datos_Ejemplo.csv'!I:I)</f>
        <v>38</v>
      </c>
      <c r="N542">
        <f>ABS(TablaDatos[[#This Row],[DiasOriginal]])</f>
        <v>38</v>
      </c>
      <c r="O542" s="1">
        <f>TablaDatos[[#This Row],[FechaIngreso]]+TablaDatos[[#This Row],[DiasNuevo]]</f>
        <v>45284</v>
      </c>
    </row>
    <row r="543" spans="1:15">
      <c r="A543">
        <v>542</v>
      </c>
      <c r="B543" t="s">
        <v>326</v>
      </c>
      <c r="C543" s="1">
        <v>36891</v>
      </c>
      <c r="D543">
        <v>25</v>
      </c>
      <c r="E543" s="4" t="s">
        <v>12</v>
      </c>
      <c r="F543" t="s">
        <v>201</v>
      </c>
      <c r="G543" s="1">
        <v>45130</v>
      </c>
      <c r="H543" s="1">
        <f>TablaDatos[[#This Row],[FechaIngreso]]+TablaDatos[[#This Row],[DiasNuevo]]</f>
        <v>45142</v>
      </c>
      <c r="I543">
        <v>12</v>
      </c>
      <c r="J543" t="s">
        <v>25</v>
      </c>
      <c r="K543" s="3">
        <v>9414.11</v>
      </c>
      <c r="L543" t="b">
        <f>TablaDatos[[#This Row],[FechaAlta]] &lt; TablaDatos[[#This Row],[FechaIngreso]]</f>
        <v>0</v>
      </c>
      <c r="M543">
        <f>_xlfn.XLOOKUP(TablaDatos[[#This Row],[PacienteID]],'Datos_Ejemplo.csv'!A:A,'Datos_Ejemplo.csv'!I:I)</f>
        <v>12</v>
      </c>
      <c r="N543">
        <f>ABS(TablaDatos[[#This Row],[DiasOriginal]])</f>
        <v>12</v>
      </c>
      <c r="O543" s="1">
        <f>TablaDatos[[#This Row],[FechaIngreso]]+TablaDatos[[#This Row],[DiasNuevo]]</f>
        <v>45142</v>
      </c>
    </row>
    <row r="544" spans="1:15">
      <c r="A544">
        <v>543</v>
      </c>
      <c r="B544" t="s">
        <v>325</v>
      </c>
      <c r="C544" s="1">
        <v>19359</v>
      </c>
      <c r="D544">
        <v>73</v>
      </c>
      <c r="E544" s="4" t="s">
        <v>15</v>
      </c>
      <c r="F544" t="s">
        <v>13</v>
      </c>
      <c r="G544" s="1">
        <v>45281</v>
      </c>
      <c r="H544" s="1">
        <f>TablaDatos[[#This Row],[FechaIngreso]]+TablaDatos[[#This Row],[DiasNuevo]]</f>
        <v>45304</v>
      </c>
      <c r="I544">
        <v>23</v>
      </c>
      <c r="J544" t="s">
        <v>23</v>
      </c>
      <c r="K544" s="3">
        <v>267.33999999999997</v>
      </c>
      <c r="L544" t="b">
        <f>TablaDatos[[#This Row],[FechaAlta]] &lt; TablaDatos[[#This Row],[FechaIngreso]]</f>
        <v>0</v>
      </c>
      <c r="M544">
        <f>_xlfn.XLOOKUP(TablaDatos[[#This Row],[PacienteID]],'Datos_Ejemplo.csv'!A:A,'Datos_Ejemplo.csv'!I:I)</f>
        <v>23</v>
      </c>
      <c r="N544">
        <f>ABS(TablaDatos[[#This Row],[DiasOriginal]])</f>
        <v>23</v>
      </c>
      <c r="O544" s="1">
        <f>TablaDatos[[#This Row],[FechaIngreso]]+TablaDatos[[#This Row],[DiasNuevo]]</f>
        <v>45304</v>
      </c>
    </row>
    <row r="545" spans="1:15">
      <c r="A545">
        <v>544</v>
      </c>
      <c r="B545" t="s">
        <v>312</v>
      </c>
      <c r="C545" s="1">
        <v>13515</v>
      </c>
      <c r="D545">
        <v>89</v>
      </c>
      <c r="E545" s="4" t="s">
        <v>12</v>
      </c>
      <c r="F545" t="s">
        <v>32</v>
      </c>
      <c r="G545" s="1">
        <v>45220</v>
      </c>
      <c r="H545" s="1">
        <f>TablaDatos[[#This Row],[FechaIngreso]]+TablaDatos[[#This Row],[DiasNuevo]]</f>
        <v>45229</v>
      </c>
      <c r="I545">
        <v>9</v>
      </c>
      <c r="J545" t="s">
        <v>25</v>
      </c>
      <c r="K545" s="3">
        <v>937.4</v>
      </c>
      <c r="L545" t="b">
        <f>TablaDatos[[#This Row],[FechaAlta]] &lt; TablaDatos[[#This Row],[FechaIngreso]]</f>
        <v>0</v>
      </c>
      <c r="M545">
        <f>_xlfn.XLOOKUP(TablaDatos[[#This Row],[PacienteID]],'Datos_Ejemplo.csv'!A:A,'Datos_Ejemplo.csv'!I:I)</f>
        <v>9</v>
      </c>
      <c r="N545">
        <f>ABS(TablaDatos[[#This Row],[DiasOriginal]])</f>
        <v>9</v>
      </c>
      <c r="O545" s="1">
        <f>TablaDatos[[#This Row],[FechaIngreso]]+TablaDatos[[#This Row],[DiasNuevo]]</f>
        <v>45229</v>
      </c>
    </row>
    <row r="546" spans="1:15">
      <c r="A546">
        <v>545</v>
      </c>
      <c r="B546" t="s">
        <v>307</v>
      </c>
      <c r="C546" s="1">
        <v>33969</v>
      </c>
      <c r="D546">
        <v>33</v>
      </c>
      <c r="E546" s="4" t="s">
        <v>12</v>
      </c>
      <c r="F546" t="s">
        <v>18</v>
      </c>
      <c r="G546" s="1">
        <v>45430</v>
      </c>
      <c r="H546" s="1">
        <f>TablaDatos[[#This Row],[FechaIngreso]]+TablaDatos[[#This Row],[DiasNuevo]]</f>
        <v>45445</v>
      </c>
      <c r="I546">
        <v>15</v>
      </c>
      <c r="J546" t="s">
        <v>25</v>
      </c>
      <c r="K546" s="3">
        <v>221.11</v>
      </c>
      <c r="L546" t="b">
        <f>TablaDatos[[#This Row],[FechaAlta]] &lt; TablaDatos[[#This Row],[FechaIngreso]]</f>
        <v>0</v>
      </c>
      <c r="M546">
        <f>_xlfn.XLOOKUP(TablaDatos[[#This Row],[PacienteID]],'Datos_Ejemplo.csv'!A:A,'Datos_Ejemplo.csv'!I:I)</f>
        <v>15</v>
      </c>
      <c r="N546">
        <f>ABS(TablaDatos[[#This Row],[DiasOriginal]])</f>
        <v>15</v>
      </c>
      <c r="O546" s="1">
        <f>TablaDatos[[#This Row],[FechaIngreso]]+TablaDatos[[#This Row],[DiasNuevo]]</f>
        <v>45445</v>
      </c>
    </row>
    <row r="547" spans="1:15">
      <c r="A547">
        <v>546</v>
      </c>
      <c r="B547" t="s">
        <v>122</v>
      </c>
      <c r="C547" s="1">
        <v>43831</v>
      </c>
      <c r="D547">
        <v>6</v>
      </c>
      <c r="E547" s="4" t="s">
        <v>12</v>
      </c>
      <c r="F547" t="s">
        <v>261</v>
      </c>
      <c r="G547" s="1">
        <v>45071</v>
      </c>
      <c r="H547" s="1">
        <f>TablaDatos[[#This Row],[FechaIngreso]]+TablaDatos[[#This Row],[DiasNuevo]]</f>
        <v>45074</v>
      </c>
      <c r="I547">
        <v>3</v>
      </c>
      <c r="J547" t="s">
        <v>19</v>
      </c>
      <c r="K547" s="3">
        <v>12344.55</v>
      </c>
      <c r="L547" t="b">
        <f>TablaDatos[[#This Row],[FechaAlta]] &lt; TablaDatos[[#This Row],[FechaIngreso]]</f>
        <v>0</v>
      </c>
      <c r="M547">
        <f>_xlfn.XLOOKUP(TablaDatos[[#This Row],[PacienteID]],'Datos_Ejemplo.csv'!A:A,'Datos_Ejemplo.csv'!I:I)</f>
        <v>3</v>
      </c>
      <c r="N547">
        <f>ABS(TablaDatos[[#This Row],[DiasOriginal]])</f>
        <v>3</v>
      </c>
      <c r="O547" s="1">
        <f>TablaDatos[[#This Row],[FechaIngreso]]+TablaDatos[[#This Row],[DiasNuevo]]</f>
        <v>45074</v>
      </c>
    </row>
    <row r="548" spans="1:15">
      <c r="A548">
        <v>547</v>
      </c>
      <c r="B548" t="s">
        <v>309</v>
      </c>
      <c r="C548" s="1">
        <v>21551</v>
      </c>
      <c r="D548">
        <v>67</v>
      </c>
      <c r="E548" s="4" t="s">
        <v>15</v>
      </c>
      <c r="F548" t="s">
        <v>21</v>
      </c>
      <c r="G548" s="1">
        <v>45465</v>
      </c>
      <c r="H548" s="1">
        <f>TablaDatos[[#This Row],[FechaIngreso]]+TablaDatos[[#This Row],[DiasNuevo]]</f>
        <v>45480</v>
      </c>
      <c r="I548">
        <v>15</v>
      </c>
      <c r="J548" t="s">
        <v>25</v>
      </c>
      <c r="K548" s="3">
        <v>11157.87</v>
      </c>
      <c r="L548" t="b">
        <f>TablaDatos[[#This Row],[FechaAlta]] &lt; TablaDatos[[#This Row],[FechaIngreso]]</f>
        <v>0</v>
      </c>
      <c r="M548">
        <f>_xlfn.XLOOKUP(TablaDatos[[#This Row],[PacienteID]],'Datos_Ejemplo.csv'!A:A,'Datos_Ejemplo.csv'!I:I)</f>
        <v>15</v>
      </c>
      <c r="N548">
        <f>ABS(TablaDatos[[#This Row],[DiasOriginal]])</f>
        <v>15</v>
      </c>
      <c r="O548" s="1">
        <f>TablaDatos[[#This Row],[FechaIngreso]]+TablaDatos[[#This Row],[DiasNuevo]]</f>
        <v>45480</v>
      </c>
    </row>
    <row r="549" spans="1:15">
      <c r="A549">
        <v>548</v>
      </c>
      <c r="B549" t="s">
        <v>304</v>
      </c>
      <c r="C549" s="1">
        <v>25203</v>
      </c>
      <c r="D549">
        <v>57</v>
      </c>
      <c r="E549" s="4" t="s">
        <v>15</v>
      </c>
      <c r="F549" t="s">
        <v>295</v>
      </c>
      <c r="G549" s="1">
        <v>44943</v>
      </c>
      <c r="H549" s="1">
        <f>TablaDatos[[#This Row],[FechaIngreso]]+TablaDatos[[#This Row],[DiasNuevo]]</f>
        <v>44964</v>
      </c>
      <c r="I549">
        <v>21</v>
      </c>
      <c r="J549" t="s">
        <v>19</v>
      </c>
      <c r="K549" s="3">
        <v>4586.4799999999996</v>
      </c>
      <c r="L549" t="b">
        <f>TablaDatos[[#This Row],[FechaAlta]] &lt; TablaDatos[[#This Row],[FechaIngreso]]</f>
        <v>0</v>
      </c>
      <c r="M549">
        <f>_xlfn.XLOOKUP(TablaDatos[[#This Row],[PacienteID]],'Datos_Ejemplo.csv'!A:A,'Datos_Ejemplo.csv'!I:I)</f>
        <v>21</v>
      </c>
      <c r="N549">
        <f>ABS(TablaDatos[[#This Row],[DiasOriginal]])</f>
        <v>21</v>
      </c>
      <c r="O549" s="1">
        <f>TablaDatos[[#This Row],[FechaIngreso]]+TablaDatos[[#This Row],[DiasNuevo]]</f>
        <v>44964</v>
      </c>
    </row>
    <row r="550" spans="1:15">
      <c r="A550">
        <v>549</v>
      </c>
      <c r="B550" t="s">
        <v>272</v>
      </c>
      <c r="C550" s="1">
        <v>18994</v>
      </c>
      <c r="D550">
        <v>74</v>
      </c>
      <c r="E550" s="4" t="s">
        <v>15</v>
      </c>
      <c r="F550" t="s">
        <v>32</v>
      </c>
      <c r="G550" s="1">
        <v>45501</v>
      </c>
      <c r="H550" s="1">
        <f>TablaDatos[[#This Row],[FechaIngreso]]+TablaDatos[[#This Row],[DiasNuevo]]</f>
        <v>45536</v>
      </c>
      <c r="I550">
        <v>35</v>
      </c>
      <c r="J550" t="s">
        <v>25</v>
      </c>
      <c r="K550" s="3">
        <v>12897.53</v>
      </c>
      <c r="L550" t="b">
        <f>TablaDatos[[#This Row],[FechaAlta]] &lt; TablaDatos[[#This Row],[FechaIngreso]]</f>
        <v>0</v>
      </c>
      <c r="M550">
        <f>_xlfn.XLOOKUP(TablaDatos[[#This Row],[PacienteID]],'Datos_Ejemplo.csv'!A:A,'Datos_Ejemplo.csv'!I:I)</f>
        <v>35</v>
      </c>
      <c r="N550">
        <f>ABS(TablaDatos[[#This Row],[DiasOriginal]])</f>
        <v>35</v>
      </c>
      <c r="O550" s="1">
        <f>TablaDatos[[#This Row],[FechaIngreso]]+TablaDatos[[#This Row],[DiasNuevo]]</f>
        <v>45536</v>
      </c>
    </row>
    <row r="551" spans="1:15">
      <c r="A551">
        <v>550</v>
      </c>
      <c r="B551" t="s">
        <v>338</v>
      </c>
      <c r="C551" s="1">
        <v>35795</v>
      </c>
      <c r="D551">
        <v>28</v>
      </c>
      <c r="E551" s="4" t="s">
        <v>12</v>
      </c>
      <c r="F551" t="s">
        <v>18</v>
      </c>
      <c r="G551" s="1">
        <v>45502</v>
      </c>
      <c r="H551" s="1">
        <f>TablaDatos[[#This Row],[FechaIngreso]]+TablaDatos[[#This Row],[DiasNuevo]]</f>
        <v>45527</v>
      </c>
      <c r="I551">
        <v>25</v>
      </c>
      <c r="J551" t="s">
        <v>25</v>
      </c>
      <c r="K551" s="3">
        <v>17672.57</v>
      </c>
      <c r="L551" t="b">
        <f>TablaDatos[[#This Row],[FechaAlta]] &lt; TablaDatos[[#This Row],[FechaIngreso]]</f>
        <v>0</v>
      </c>
      <c r="M551">
        <f>_xlfn.XLOOKUP(TablaDatos[[#This Row],[PacienteID]],'Datos_Ejemplo.csv'!A:A,'Datos_Ejemplo.csv'!I:I)</f>
        <v>25</v>
      </c>
      <c r="N551">
        <f>ABS(TablaDatos[[#This Row],[DiasOriginal]])</f>
        <v>25</v>
      </c>
      <c r="O551" s="1">
        <f>TablaDatos[[#This Row],[FechaIngreso]]+TablaDatos[[#This Row],[DiasNuevo]]</f>
        <v>45527</v>
      </c>
    </row>
    <row r="552" spans="1:15">
      <c r="A552">
        <v>551</v>
      </c>
      <c r="B552" t="s">
        <v>292</v>
      </c>
      <c r="C552" s="1">
        <v>33239</v>
      </c>
      <c r="D552">
        <f ca="1">DATEDIF(TablaDatos[[#This Row],[FechaNacimiento]],TODAY(),"Y")</f>
        <v>35</v>
      </c>
      <c r="E552" s="4" t="s">
        <v>15</v>
      </c>
      <c r="F552" t="s">
        <v>261</v>
      </c>
      <c r="G552" s="1">
        <v>44965</v>
      </c>
      <c r="H552" s="1">
        <f>TablaDatos[[#This Row],[FechaIngreso]]+TablaDatos[[#This Row],[DiasNuevo]]</f>
        <v>44977</v>
      </c>
      <c r="I552">
        <v>12</v>
      </c>
      <c r="J552" t="s">
        <v>23</v>
      </c>
      <c r="K552" s="3">
        <v>5474.17</v>
      </c>
      <c r="L552" t="b">
        <f>TablaDatos[[#This Row],[FechaAlta]] &lt; TablaDatos[[#This Row],[FechaIngreso]]</f>
        <v>0</v>
      </c>
      <c r="M552">
        <f>_xlfn.XLOOKUP(TablaDatos[[#This Row],[PacienteID]],'Datos_Ejemplo.csv'!A:A,'Datos_Ejemplo.csv'!I:I)</f>
        <v>12</v>
      </c>
      <c r="N552">
        <f>ABS(TablaDatos[[#This Row],[DiasOriginal]])</f>
        <v>12</v>
      </c>
      <c r="O552" s="1">
        <f>TablaDatos[[#This Row],[FechaIngreso]]+TablaDatos[[#This Row],[DiasNuevo]]</f>
        <v>44977</v>
      </c>
    </row>
    <row r="553" spans="1:15">
      <c r="A553">
        <v>552</v>
      </c>
      <c r="B553" t="s">
        <v>274</v>
      </c>
      <c r="C553" s="1">
        <v>13880</v>
      </c>
      <c r="D553">
        <v>88</v>
      </c>
      <c r="E553" s="4" t="s">
        <v>12</v>
      </c>
      <c r="F553" t="s">
        <v>18</v>
      </c>
      <c r="G553" s="1">
        <v>45056</v>
      </c>
      <c r="H553" s="1">
        <f>TablaDatos[[#This Row],[FechaIngreso]]+TablaDatos[[#This Row],[DiasNuevo]]</f>
        <v>45072</v>
      </c>
      <c r="I553">
        <v>16</v>
      </c>
      <c r="J553" t="s">
        <v>19</v>
      </c>
      <c r="K553" s="3">
        <v>16623.080000000002</v>
      </c>
      <c r="L553" t="b">
        <f>TablaDatos[[#This Row],[FechaAlta]] &lt; TablaDatos[[#This Row],[FechaIngreso]]</f>
        <v>0</v>
      </c>
      <c r="M553">
        <f>_xlfn.XLOOKUP(TablaDatos[[#This Row],[PacienteID]],'Datos_Ejemplo.csv'!A:A,'Datos_Ejemplo.csv'!I:I)</f>
        <v>16</v>
      </c>
      <c r="N553">
        <f>ABS(TablaDatos[[#This Row],[DiasOriginal]])</f>
        <v>16</v>
      </c>
      <c r="O553" s="1">
        <f>TablaDatos[[#This Row],[FechaIngreso]]+TablaDatos[[#This Row],[DiasNuevo]]</f>
        <v>45072</v>
      </c>
    </row>
    <row r="554" spans="1:15">
      <c r="A554">
        <v>553</v>
      </c>
      <c r="B554" t="s">
        <v>291</v>
      </c>
      <c r="C554" s="1">
        <v>38717</v>
      </c>
      <c r="D554">
        <v>20</v>
      </c>
      <c r="E554" s="4" t="s">
        <v>12</v>
      </c>
      <c r="F554" t="s">
        <v>201</v>
      </c>
      <c r="G554" s="1">
        <v>45041</v>
      </c>
      <c r="H554" s="1">
        <f>TablaDatos[[#This Row],[FechaIngreso]]+TablaDatos[[#This Row],[DiasNuevo]]</f>
        <v>45043</v>
      </c>
      <c r="I554">
        <v>2</v>
      </c>
      <c r="J554" t="s">
        <v>23</v>
      </c>
      <c r="K554" s="3">
        <v>13216.43</v>
      </c>
      <c r="L554" t="b">
        <f>TablaDatos[[#This Row],[FechaAlta]] &lt; TablaDatos[[#This Row],[FechaIngreso]]</f>
        <v>0</v>
      </c>
      <c r="M554">
        <f>_xlfn.XLOOKUP(TablaDatos[[#This Row],[PacienteID]],'Datos_Ejemplo.csv'!A:A,'Datos_Ejemplo.csv'!I:I)</f>
        <v>2</v>
      </c>
      <c r="N554">
        <f>ABS(TablaDatos[[#This Row],[DiasOriginal]])</f>
        <v>2</v>
      </c>
      <c r="O554" s="1">
        <f>TablaDatos[[#This Row],[FechaIngreso]]+TablaDatos[[#This Row],[DiasNuevo]]</f>
        <v>45043</v>
      </c>
    </row>
    <row r="555" spans="1:15">
      <c r="A555">
        <v>554</v>
      </c>
      <c r="B555" t="s">
        <v>238</v>
      </c>
      <c r="C555" s="1">
        <v>33239</v>
      </c>
      <c r="D555">
        <v>35</v>
      </c>
      <c r="E555" s="4" t="s">
        <v>15</v>
      </c>
      <c r="F555" t="s">
        <v>18</v>
      </c>
      <c r="G555" s="1">
        <v>45376</v>
      </c>
      <c r="H555" s="1">
        <f>TablaDatos[[#This Row],[FechaIngreso]]+TablaDatos[[#This Row],[DiasNuevo]]</f>
        <v>45377</v>
      </c>
      <c r="I555">
        <v>1</v>
      </c>
      <c r="J555" t="s">
        <v>23</v>
      </c>
      <c r="K555" s="3">
        <v>579.79</v>
      </c>
      <c r="L555" t="b">
        <f>TablaDatos[[#This Row],[FechaAlta]] &lt; TablaDatos[[#This Row],[FechaIngreso]]</f>
        <v>0</v>
      </c>
      <c r="M555">
        <f>_xlfn.XLOOKUP(TablaDatos[[#This Row],[PacienteID]],'Datos_Ejemplo.csv'!A:A,'Datos_Ejemplo.csv'!I:I)</f>
        <v>1</v>
      </c>
      <c r="N555">
        <f>ABS(TablaDatos[[#This Row],[DiasOriginal]])</f>
        <v>1</v>
      </c>
      <c r="O555" s="1">
        <f>TablaDatos[[#This Row],[FechaIngreso]]+TablaDatos[[#This Row],[DiasNuevo]]</f>
        <v>45377</v>
      </c>
    </row>
    <row r="556" spans="1:15">
      <c r="A556">
        <v>555</v>
      </c>
      <c r="B556" t="s">
        <v>333</v>
      </c>
      <c r="C556" s="1">
        <v>42735</v>
      </c>
      <c r="D556">
        <v>9</v>
      </c>
      <c r="E556" s="4" t="s">
        <v>12</v>
      </c>
      <c r="F556" t="s">
        <v>295</v>
      </c>
      <c r="G556" s="1">
        <v>44971</v>
      </c>
      <c r="H556" s="1">
        <f>TablaDatos[[#This Row],[FechaIngreso]]+TablaDatos[[#This Row],[DiasNuevo]]</f>
        <v>44985</v>
      </c>
      <c r="I556">
        <v>14</v>
      </c>
      <c r="J556" t="s">
        <v>23</v>
      </c>
      <c r="K556" s="3">
        <v>7440.51</v>
      </c>
      <c r="L556" t="b">
        <f>TablaDatos[[#This Row],[FechaAlta]] &lt; TablaDatos[[#This Row],[FechaIngreso]]</f>
        <v>0</v>
      </c>
      <c r="M556">
        <f>_xlfn.XLOOKUP(TablaDatos[[#This Row],[PacienteID]],'Datos_Ejemplo.csv'!A:A,'Datos_Ejemplo.csv'!I:I)</f>
        <v>14</v>
      </c>
      <c r="N556">
        <f>ABS(TablaDatos[[#This Row],[DiasOriginal]])</f>
        <v>14</v>
      </c>
      <c r="O556" s="1">
        <f>TablaDatos[[#This Row],[FechaIngreso]]+TablaDatos[[#This Row],[DiasNuevo]]</f>
        <v>44985</v>
      </c>
    </row>
    <row r="557" spans="1:15">
      <c r="A557">
        <v>556</v>
      </c>
      <c r="B557" t="s">
        <v>269</v>
      </c>
      <c r="C557" s="1">
        <v>19724</v>
      </c>
      <c r="D557">
        <v>72</v>
      </c>
      <c r="E557" s="4" t="s">
        <v>12</v>
      </c>
      <c r="F557" t="s">
        <v>21</v>
      </c>
      <c r="G557" s="1">
        <v>45142</v>
      </c>
      <c r="H557" s="1">
        <f>TablaDatos[[#This Row],[FechaIngreso]]+TablaDatos[[#This Row],[DiasNuevo]]</f>
        <v>45149</v>
      </c>
      <c r="I557">
        <v>7</v>
      </c>
      <c r="J557" t="s">
        <v>23</v>
      </c>
      <c r="K557" s="3">
        <v>10105.92</v>
      </c>
      <c r="L557" t="b">
        <f>TablaDatos[[#This Row],[FechaAlta]] &lt; TablaDatos[[#This Row],[FechaIngreso]]</f>
        <v>0</v>
      </c>
      <c r="M557">
        <f>_xlfn.XLOOKUP(TablaDatos[[#This Row],[PacienteID]],'Datos_Ejemplo.csv'!A:A,'Datos_Ejemplo.csv'!I:I)</f>
        <v>7</v>
      </c>
      <c r="N557">
        <f>ABS(TablaDatos[[#This Row],[DiasOriginal]])</f>
        <v>7</v>
      </c>
      <c r="O557" s="1">
        <f>TablaDatos[[#This Row],[FechaIngreso]]+TablaDatos[[#This Row],[DiasNuevo]]</f>
        <v>45149</v>
      </c>
    </row>
    <row r="558" spans="1:15">
      <c r="A558">
        <v>557</v>
      </c>
      <c r="B558" t="s">
        <v>291</v>
      </c>
      <c r="C558" s="1">
        <v>37622</v>
      </c>
      <c r="D558">
        <v>23</v>
      </c>
      <c r="E558" s="4" t="s">
        <v>15</v>
      </c>
      <c r="F558" t="s">
        <v>18</v>
      </c>
      <c r="G558" s="1">
        <v>45526</v>
      </c>
      <c r="H558" s="1">
        <f>TablaDatos[[#This Row],[FechaIngreso]]+TablaDatos[[#This Row],[DiasNuevo]]</f>
        <v>45535</v>
      </c>
      <c r="I558">
        <v>9</v>
      </c>
      <c r="J558" t="s">
        <v>23</v>
      </c>
      <c r="K558" s="3">
        <v>14607.15</v>
      </c>
      <c r="L558" t="b">
        <f>TablaDatos[[#This Row],[FechaAlta]] &lt; TablaDatos[[#This Row],[FechaIngreso]]</f>
        <v>0</v>
      </c>
      <c r="M558">
        <f>_xlfn.XLOOKUP(TablaDatos[[#This Row],[PacienteID]],'Datos_Ejemplo.csv'!A:A,'Datos_Ejemplo.csv'!I:I)</f>
        <v>9</v>
      </c>
      <c r="N558">
        <f>ABS(TablaDatos[[#This Row],[DiasOriginal]])</f>
        <v>9</v>
      </c>
      <c r="O558" s="1">
        <f>TablaDatos[[#This Row],[FechaIngreso]]+TablaDatos[[#This Row],[DiasNuevo]]</f>
        <v>45535</v>
      </c>
    </row>
    <row r="559" spans="1:15">
      <c r="A559">
        <v>558</v>
      </c>
      <c r="B559" t="s">
        <v>250</v>
      </c>
      <c r="C559" s="1">
        <f ca="1">DATE(YEAR(TODAY())-TablaDatos[[#This Row],[Edad]],1,1)</f>
        <v>23012</v>
      </c>
      <c r="D559">
        <v>63</v>
      </c>
      <c r="E559" s="4" t="s">
        <v>12</v>
      </c>
      <c r="F559" t="s">
        <v>261</v>
      </c>
      <c r="G559" s="1">
        <v>45341</v>
      </c>
      <c r="H559" s="1">
        <f>TablaDatos[[#This Row],[FechaIngreso]]+TablaDatos[[#This Row],[DiasNuevo]]</f>
        <v>45343</v>
      </c>
      <c r="I559">
        <v>2</v>
      </c>
      <c r="J559" t="s">
        <v>25</v>
      </c>
      <c r="K559" s="3">
        <v>5671.32</v>
      </c>
      <c r="L559" t="b">
        <f>TablaDatos[[#This Row],[FechaAlta]] &lt; TablaDatos[[#This Row],[FechaIngreso]]</f>
        <v>0</v>
      </c>
      <c r="M559">
        <f>_xlfn.XLOOKUP(TablaDatos[[#This Row],[PacienteID]],'Datos_Ejemplo.csv'!A:A,'Datos_Ejemplo.csv'!I:I)</f>
        <v>2</v>
      </c>
      <c r="N559">
        <f>ABS(TablaDatos[[#This Row],[DiasOriginal]])</f>
        <v>2</v>
      </c>
      <c r="O559" s="1">
        <f>TablaDatos[[#This Row],[FechaIngreso]]+TablaDatos[[#This Row],[DiasNuevo]]</f>
        <v>45343</v>
      </c>
    </row>
    <row r="560" spans="1:15">
      <c r="A560">
        <v>559</v>
      </c>
      <c r="B560" t="s">
        <v>340</v>
      </c>
      <c r="C560" s="1">
        <v>28490</v>
      </c>
      <c r="D560">
        <v>48</v>
      </c>
      <c r="E560" s="4" t="s">
        <v>15</v>
      </c>
      <c r="F560" t="s">
        <v>21</v>
      </c>
      <c r="G560" s="1">
        <v>45615</v>
      </c>
      <c r="H560" s="1">
        <f>TablaDatos[[#This Row],[FechaIngreso]]+TablaDatos[[#This Row],[DiasNuevo]]</f>
        <v>45619</v>
      </c>
      <c r="I560">
        <v>4</v>
      </c>
      <c r="J560" t="s">
        <v>25</v>
      </c>
      <c r="K560" s="3">
        <v>19652.88</v>
      </c>
      <c r="L560" t="b">
        <f>TablaDatos[[#This Row],[FechaAlta]] &lt; TablaDatos[[#This Row],[FechaIngreso]]</f>
        <v>0</v>
      </c>
      <c r="M560">
        <f>_xlfn.XLOOKUP(TablaDatos[[#This Row],[PacienteID]],'Datos_Ejemplo.csv'!A:A,'Datos_Ejemplo.csv'!I:I)</f>
        <v>4</v>
      </c>
      <c r="N560">
        <f>ABS(TablaDatos[[#This Row],[DiasOriginal]])</f>
        <v>4</v>
      </c>
      <c r="O560" s="1">
        <f>TablaDatos[[#This Row],[FechaIngreso]]+TablaDatos[[#This Row],[DiasNuevo]]</f>
        <v>45619</v>
      </c>
    </row>
    <row r="561" spans="1:15">
      <c r="A561">
        <v>560</v>
      </c>
      <c r="B561" t="s">
        <v>365</v>
      </c>
      <c r="C561" s="1">
        <v>33239</v>
      </c>
      <c r="D561">
        <v>35</v>
      </c>
      <c r="E561" s="4" t="s">
        <v>15</v>
      </c>
      <c r="F561" t="s">
        <v>201</v>
      </c>
      <c r="G561" s="1">
        <v>45191</v>
      </c>
      <c r="H561" s="1">
        <f>TablaDatos[[#This Row],[FechaIngreso]]+TablaDatos[[#This Row],[DiasNuevo]]</f>
        <v>45211</v>
      </c>
      <c r="I561">
        <v>20</v>
      </c>
      <c r="J561" t="s">
        <v>23</v>
      </c>
      <c r="K561" s="3">
        <v>13659.25</v>
      </c>
      <c r="L561" t="b">
        <f>TablaDatos[[#This Row],[FechaAlta]] &lt; TablaDatos[[#This Row],[FechaIngreso]]</f>
        <v>0</v>
      </c>
      <c r="M561">
        <f>_xlfn.XLOOKUP(TablaDatos[[#This Row],[PacienteID]],'Datos_Ejemplo.csv'!A:A,'Datos_Ejemplo.csv'!I:I)</f>
        <v>20</v>
      </c>
      <c r="N561">
        <f>ABS(TablaDatos[[#This Row],[DiasOriginal]])</f>
        <v>20</v>
      </c>
      <c r="O561" s="1">
        <f>TablaDatos[[#This Row],[FechaIngreso]]+TablaDatos[[#This Row],[DiasNuevo]]</f>
        <v>45211</v>
      </c>
    </row>
    <row r="562" spans="1:15">
      <c r="A562">
        <v>561</v>
      </c>
      <c r="B562" t="s">
        <v>368</v>
      </c>
      <c r="C562" s="1">
        <v>16437</v>
      </c>
      <c r="D562">
        <v>81</v>
      </c>
      <c r="E562" s="4" t="s">
        <v>12</v>
      </c>
      <c r="F562" t="s">
        <v>201</v>
      </c>
      <c r="G562" s="1">
        <v>45366</v>
      </c>
      <c r="H562" s="1">
        <f>TablaDatos[[#This Row],[FechaIngreso]]+TablaDatos[[#This Row],[DiasNuevo]]</f>
        <v>45367</v>
      </c>
      <c r="I562">
        <v>1</v>
      </c>
      <c r="J562" t="s">
        <v>25</v>
      </c>
      <c r="K562" s="3">
        <v>7393.55</v>
      </c>
      <c r="L562" t="b">
        <f>TablaDatos[[#This Row],[FechaAlta]] &lt; TablaDatos[[#This Row],[FechaIngreso]]</f>
        <v>0</v>
      </c>
      <c r="M562">
        <f>_xlfn.XLOOKUP(TablaDatos[[#This Row],[PacienteID]],'Datos_Ejemplo.csv'!A:A,'Datos_Ejemplo.csv'!I:I)</f>
        <v>-1</v>
      </c>
      <c r="N562">
        <f>ABS(TablaDatos[[#This Row],[DiasOriginal]])</f>
        <v>1</v>
      </c>
      <c r="O562" s="1">
        <f>TablaDatos[[#This Row],[FechaIngreso]]+TablaDatos[[#This Row],[DiasNuevo]]</f>
        <v>45367</v>
      </c>
    </row>
    <row r="563" spans="1:15">
      <c r="A563">
        <v>562</v>
      </c>
      <c r="B563" t="s">
        <v>247</v>
      </c>
      <c r="C563" s="1">
        <v>37622</v>
      </c>
      <c r="D563">
        <v>23</v>
      </c>
      <c r="E563" s="4" t="s">
        <v>12</v>
      </c>
      <c r="F563" t="s">
        <v>13</v>
      </c>
      <c r="G563" s="1">
        <v>45543</v>
      </c>
      <c r="H563" s="1">
        <f>TablaDatos[[#This Row],[FechaIngreso]]+TablaDatos[[#This Row],[DiasNuevo]]</f>
        <v>45570</v>
      </c>
      <c r="I563">
        <v>27</v>
      </c>
      <c r="J563" t="s">
        <v>25</v>
      </c>
      <c r="K563" s="3">
        <v>1850.2</v>
      </c>
      <c r="L563" t="b">
        <f>TablaDatos[[#This Row],[FechaAlta]] &lt; TablaDatos[[#This Row],[FechaIngreso]]</f>
        <v>0</v>
      </c>
      <c r="M563">
        <f>_xlfn.XLOOKUP(TablaDatos[[#This Row],[PacienteID]],'Datos_Ejemplo.csv'!A:A,'Datos_Ejemplo.csv'!I:I)</f>
        <v>27</v>
      </c>
      <c r="N563">
        <f>ABS(TablaDatos[[#This Row],[DiasOriginal]])</f>
        <v>27</v>
      </c>
      <c r="O563" s="1">
        <f>TablaDatos[[#This Row],[FechaIngreso]]+TablaDatos[[#This Row],[DiasNuevo]]</f>
        <v>45570</v>
      </c>
    </row>
    <row r="564" spans="1:15">
      <c r="A564">
        <v>563</v>
      </c>
      <c r="B564" t="s">
        <v>251</v>
      </c>
      <c r="C564" s="1">
        <v>37987</v>
      </c>
      <c r="D564">
        <v>22</v>
      </c>
      <c r="E564" s="4" t="s">
        <v>197</v>
      </c>
      <c r="F564" t="s">
        <v>295</v>
      </c>
      <c r="G564" s="1">
        <v>45307</v>
      </c>
      <c r="H564" s="1">
        <f>TablaDatos[[#This Row],[FechaIngreso]]+TablaDatos[[#This Row],[DiasNuevo]]</f>
        <v>45341</v>
      </c>
      <c r="I564">
        <v>34</v>
      </c>
      <c r="J564" t="s">
        <v>23</v>
      </c>
      <c r="K564" s="3">
        <v>3545.49</v>
      </c>
      <c r="L564" t="b">
        <f>TablaDatos[[#This Row],[FechaAlta]] &lt; TablaDatos[[#This Row],[FechaIngreso]]</f>
        <v>0</v>
      </c>
      <c r="M564">
        <f>_xlfn.XLOOKUP(TablaDatos[[#This Row],[PacienteID]],'Datos_Ejemplo.csv'!A:A,'Datos_Ejemplo.csv'!I:I)</f>
        <v>34</v>
      </c>
      <c r="N564">
        <f>ABS(TablaDatos[[#This Row],[DiasOriginal]])</f>
        <v>34</v>
      </c>
      <c r="O564" s="1">
        <f>TablaDatos[[#This Row],[FechaIngreso]]+TablaDatos[[#This Row],[DiasNuevo]]</f>
        <v>45341</v>
      </c>
    </row>
    <row r="565" spans="1:15">
      <c r="A565">
        <v>564</v>
      </c>
      <c r="B565" t="s">
        <v>352</v>
      </c>
      <c r="C565" s="1">
        <v>23742</v>
      </c>
      <c r="D565">
        <v>61</v>
      </c>
      <c r="E565" s="4" t="s">
        <v>12</v>
      </c>
      <c r="F565" t="s">
        <v>21</v>
      </c>
      <c r="G565" s="1">
        <v>45227</v>
      </c>
      <c r="H565" s="1">
        <f>TablaDatos[[#This Row],[FechaIngreso]]+TablaDatos[[#This Row],[DiasNuevo]]</f>
        <v>45229</v>
      </c>
      <c r="I565">
        <v>2</v>
      </c>
      <c r="J565" t="s">
        <v>23</v>
      </c>
      <c r="K565" s="3">
        <v>9700.92</v>
      </c>
      <c r="L565" t="b">
        <f>TablaDatos[[#This Row],[FechaAlta]] &lt; TablaDatos[[#This Row],[FechaIngreso]]</f>
        <v>0</v>
      </c>
      <c r="M565">
        <f>_xlfn.XLOOKUP(TablaDatos[[#This Row],[PacienteID]],'Datos_Ejemplo.csv'!A:A,'Datos_Ejemplo.csv'!I:I)</f>
        <v>2</v>
      </c>
      <c r="N565">
        <f>ABS(TablaDatos[[#This Row],[DiasOriginal]])</f>
        <v>2</v>
      </c>
      <c r="O565" s="1">
        <f>TablaDatos[[#This Row],[FechaIngreso]]+TablaDatos[[#This Row],[DiasNuevo]]</f>
        <v>45229</v>
      </c>
    </row>
    <row r="566" spans="1:15">
      <c r="A566">
        <v>565</v>
      </c>
      <c r="B566" t="s">
        <v>354</v>
      </c>
      <c r="C566" s="1">
        <v>32873</v>
      </c>
      <c r="D566">
        <v>36</v>
      </c>
      <c r="E566" s="4" t="s">
        <v>12</v>
      </c>
      <c r="F566" t="s">
        <v>201</v>
      </c>
      <c r="G566" s="1">
        <v>45097</v>
      </c>
      <c r="H566" s="1">
        <f>TablaDatos[[#This Row],[FechaIngreso]]+TablaDatos[[#This Row],[DiasNuevo]]</f>
        <v>45114</v>
      </c>
      <c r="I566">
        <v>17</v>
      </c>
      <c r="J566" t="s">
        <v>19</v>
      </c>
      <c r="K566" s="3">
        <v>9843.3799999999992</v>
      </c>
      <c r="L566" t="b">
        <f>TablaDatos[[#This Row],[FechaAlta]] &lt; TablaDatos[[#This Row],[FechaIngreso]]</f>
        <v>0</v>
      </c>
      <c r="M566">
        <f>_xlfn.XLOOKUP(TablaDatos[[#This Row],[PacienteID]],'Datos_Ejemplo.csv'!A:A,'Datos_Ejemplo.csv'!I:I)</f>
        <v>17</v>
      </c>
      <c r="N566">
        <f>ABS(TablaDatos[[#This Row],[DiasOriginal]])</f>
        <v>17</v>
      </c>
      <c r="O566" s="1">
        <f>TablaDatos[[#This Row],[FechaIngreso]]+TablaDatos[[#This Row],[DiasNuevo]]</f>
        <v>45114</v>
      </c>
    </row>
    <row r="567" spans="1:15">
      <c r="A567">
        <v>566</v>
      </c>
      <c r="B567" t="s">
        <v>235</v>
      </c>
      <c r="C567" s="1">
        <v>42005</v>
      </c>
      <c r="D567">
        <v>11</v>
      </c>
      <c r="E567" s="4" t="s">
        <v>12</v>
      </c>
      <c r="F567" t="s">
        <v>201</v>
      </c>
      <c r="G567" s="1">
        <v>45546</v>
      </c>
      <c r="H567" s="1">
        <f>TablaDatos[[#This Row],[FechaIngreso]]+TablaDatos[[#This Row],[DiasNuevo]]</f>
        <v>45569</v>
      </c>
      <c r="I567">
        <v>23</v>
      </c>
      <c r="J567" t="s">
        <v>23</v>
      </c>
      <c r="K567" s="3">
        <v>15331.15</v>
      </c>
      <c r="L567" t="b">
        <f>TablaDatos[[#This Row],[FechaAlta]] &lt; TablaDatos[[#This Row],[FechaIngreso]]</f>
        <v>0</v>
      </c>
      <c r="M567">
        <f>_xlfn.XLOOKUP(TablaDatos[[#This Row],[PacienteID]],'Datos_Ejemplo.csv'!A:A,'Datos_Ejemplo.csv'!I:I)</f>
        <v>23</v>
      </c>
      <c r="N567">
        <f>ABS(TablaDatos[[#This Row],[DiasOriginal]])</f>
        <v>23</v>
      </c>
      <c r="O567" s="1">
        <f>TablaDatos[[#This Row],[FechaIngreso]]+TablaDatos[[#This Row],[DiasNuevo]]</f>
        <v>45569</v>
      </c>
    </row>
    <row r="568" spans="1:15">
      <c r="A568">
        <v>567</v>
      </c>
      <c r="B568" t="s">
        <v>291</v>
      </c>
      <c r="C568" s="1">
        <v>26299</v>
      </c>
      <c r="D568">
        <v>54</v>
      </c>
      <c r="E568" s="4" t="s">
        <v>12</v>
      </c>
      <c r="F568" t="s">
        <v>21</v>
      </c>
      <c r="G568" s="1">
        <v>45332</v>
      </c>
      <c r="H568" s="1">
        <f>TablaDatos[[#This Row],[FechaIngreso]]+TablaDatos[[#This Row],[DiasNuevo]]</f>
        <v>45368</v>
      </c>
      <c r="I568">
        <v>36</v>
      </c>
      <c r="J568" t="s">
        <v>23</v>
      </c>
      <c r="K568" s="3">
        <v>14496.15</v>
      </c>
      <c r="L568" t="b">
        <f>TablaDatos[[#This Row],[FechaAlta]] &lt; TablaDatos[[#This Row],[FechaIngreso]]</f>
        <v>0</v>
      </c>
      <c r="M568">
        <f>_xlfn.XLOOKUP(TablaDatos[[#This Row],[PacienteID]],'Datos_Ejemplo.csv'!A:A,'Datos_Ejemplo.csv'!I:I)</f>
        <v>36</v>
      </c>
      <c r="N568">
        <f>ABS(TablaDatos[[#This Row],[DiasOriginal]])</f>
        <v>36</v>
      </c>
      <c r="O568" s="1">
        <f>TablaDatos[[#This Row],[FechaIngreso]]+TablaDatos[[#This Row],[DiasNuevo]]</f>
        <v>45368</v>
      </c>
    </row>
    <row r="569" spans="1:15">
      <c r="A569">
        <v>568</v>
      </c>
      <c r="B569" t="s">
        <v>297</v>
      </c>
      <c r="C569" s="1">
        <v>41639</v>
      </c>
      <c r="D569">
        <v>12</v>
      </c>
      <c r="E569" s="4" t="s">
        <v>12</v>
      </c>
      <c r="F569" t="s">
        <v>18</v>
      </c>
      <c r="G569" s="1">
        <v>45281</v>
      </c>
      <c r="H569" s="1">
        <f>TablaDatos[[#This Row],[FechaIngreso]]+TablaDatos[[#This Row],[DiasNuevo]]</f>
        <v>45284</v>
      </c>
      <c r="I569">
        <v>3</v>
      </c>
      <c r="J569" t="s">
        <v>23</v>
      </c>
      <c r="K569" s="3">
        <v>3945.59</v>
      </c>
      <c r="L569" t="b">
        <f>TablaDatos[[#This Row],[FechaAlta]] &lt; TablaDatos[[#This Row],[FechaIngreso]]</f>
        <v>0</v>
      </c>
      <c r="M569">
        <f>_xlfn.XLOOKUP(TablaDatos[[#This Row],[PacienteID]],'Datos_Ejemplo.csv'!A:A,'Datos_Ejemplo.csv'!I:I)</f>
        <v>3</v>
      </c>
      <c r="N569">
        <f>ABS(TablaDatos[[#This Row],[DiasOriginal]])</f>
        <v>3</v>
      </c>
      <c r="O569" s="1">
        <f>TablaDatos[[#This Row],[FechaIngreso]]+TablaDatos[[#This Row],[DiasNuevo]]</f>
        <v>45284</v>
      </c>
    </row>
    <row r="570" spans="1:15">
      <c r="A570">
        <v>569</v>
      </c>
      <c r="B570" t="s">
        <v>267</v>
      </c>
      <c r="C570" s="1">
        <v>37987</v>
      </c>
      <c r="D570">
        <v>22</v>
      </c>
      <c r="E570" s="4" t="s">
        <v>15</v>
      </c>
      <c r="F570" t="s">
        <v>261</v>
      </c>
      <c r="G570" s="1">
        <v>45087</v>
      </c>
      <c r="H570" s="1">
        <f>TablaDatos[[#This Row],[FechaIngreso]]+TablaDatos[[#This Row],[DiasNuevo]]</f>
        <v>45113</v>
      </c>
      <c r="I570">
        <v>26</v>
      </c>
      <c r="J570" t="s">
        <v>19</v>
      </c>
      <c r="K570" s="3">
        <v>11858.63</v>
      </c>
      <c r="L570" t="b">
        <f>TablaDatos[[#This Row],[FechaAlta]] &lt; TablaDatos[[#This Row],[FechaIngreso]]</f>
        <v>0</v>
      </c>
      <c r="M570">
        <f>_xlfn.XLOOKUP(TablaDatos[[#This Row],[PacienteID]],'Datos_Ejemplo.csv'!A:A,'Datos_Ejemplo.csv'!I:I)</f>
        <v>26</v>
      </c>
      <c r="N570">
        <f>ABS(TablaDatos[[#This Row],[DiasOriginal]])</f>
        <v>26</v>
      </c>
      <c r="O570" s="1">
        <f>TablaDatos[[#This Row],[FechaIngreso]]+TablaDatos[[#This Row],[DiasNuevo]]</f>
        <v>45113</v>
      </c>
    </row>
    <row r="571" spans="1:15">
      <c r="A571">
        <v>570</v>
      </c>
      <c r="B571" t="s">
        <v>340</v>
      </c>
      <c r="C571" s="1">
        <v>13880</v>
      </c>
      <c r="D571">
        <f ca="1">DATEDIF(TablaDatos[[#This Row],[FechaNacimiento]],TODAY(),"Y")</f>
        <v>88</v>
      </c>
      <c r="E571" s="4" t="s">
        <v>12</v>
      </c>
      <c r="F571" t="s">
        <v>18</v>
      </c>
      <c r="G571" s="1">
        <v>45478</v>
      </c>
      <c r="H571" s="1">
        <f>TablaDatos[[#This Row],[FechaIngreso]]+TablaDatos[[#This Row],[DiasNuevo]]</f>
        <v>45485</v>
      </c>
      <c r="I571">
        <v>7</v>
      </c>
      <c r="J571" t="s">
        <v>25</v>
      </c>
      <c r="K571" s="3">
        <v>314.5</v>
      </c>
      <c r="L571" t="b">
        <f>TablaDatos[[#This Row],[FechaAlta]] &lt; TablaDatos[[#This Row],[FechaIngreso]]</f>
        <v>0</v>
      </c>
      <c r="M571">
        <f>_xlfn.XLOOKUP(TablaDatos[[#This Row],[PacienteID]],'Datos_Ejemplo.csv'!A:A,'Datos_Ejemplo.csv'!I:I)</f>
        <v>7</v>
      </c>
      <c r="N571">
        <f>ABS(TablaDatos[[#This Row],[DiasOriginal]])</f>
        <v>7</v>
      </c>
      <c r="O571" s="1">
        <f>TablaDatos[[#This Row],[FechaIngreso]]+TablaDatos[[#This Row],[DiasNuevo]]</f>
        <v>45485</v>
      </c>
    </row>
    <row r="572" spans="1:15">
      <c r="A572">
        <v>571</v>
      </c>
      <c r="B572" t="s">
        <v>90</v>
      </c>
      <c r="C572" s="1">
        <v>35430</v>
      </c>
      <c r="D572">
        <v>29</v>
      </c>
      <c r="E572" s="4" t="s">
        <v>15</v>
      </c>
      <c r="F572" t="s">
        <v>261</v>
      </c>
      <c r="G572" s="1">
        <v>44952</v>
      </c>
      <c r="H572" s="1">
        <f>TablaDatos[[#This Row],[FechaIngreso]]+TablaDatos[[#This Row],[DiasNuevo]]</f>
        <v>44965</v>
      </c>
      <c r="I572">
        <v>13</v>
      </c>
      <c r="J572" t="s">
        <v>23</v>
      </c>
      <c r="K572" s="3">
        <v>7910.8</v>
      </c>
      <c r="L572" t="b">
        <f>TablaDatos[[#This Row],[FechaAlta]] &lt; TablaDatos[[#This Row],[FechaIngreso]]</f>
        <v>0</v>
      </c>
      <c r="M572">
        <f>_xlfn.XLOOKUP(TablaDatos[[#This Row],[PacienteID]],'Datos_Ejemplo.csv'!A:A,'Datos_Ejemplo.csv'!I:I)</f>
        <v>13</v>
      </c>
      <c r="N572">
        <f>ABS(TablaDatos[[#This Row],[DiasOriginal]])</f>
        <v>13</v>
      </c>
      <c r="O572" s="1">
        <f>TablaDatos[[#This Row],[FechaIngreso]]+TablaDatos[[#This Row],[DiasNuevo]]</f>
        <v>44965</v>
      </c>
    </row>
    <row r="573" spans="1:15">
      <c r="A573">
        <v>572</v>
      </c>
      <c r="B573" t="s">
        <v>238</v>
      </c>
      <c r="C573" s="1">
        <v>40178</v>
      </c>
      <c r="D573">
        <f ca="1">DATEDIF(TablaDatos[[#This Row],[FechaNacimiento]],TODAY(),"Y")</f>
        <v>16</v>
      </c>
      <c r="E573" s="4" t="s">
        <v>12</v>
      </c>
      <c r="F573" t="s">
        <v>201</v>
      </c>
      <c r="G573" s="1">
        <v>45009</v>
      </c>
      <c r="H573" s="1">
        <f>TablaDatos[[#This Row],[FechaIngreso]]+TablaDatos[[#This Row],[DiasNuevo]]</f>
        <v>45040</v>
      </c>
      <c r="I573">
        <v>31</v>
      </c>
      <c r="J573" t="s">
        <v>23</v>
      </c>
      <c r="K573" s="3">
        <v>15258.52</v>
      </c>
      <c r="L573" t="b">
        <f>TablaDatos[[#This Row],[FechaAlta]] &lt; TablaDatos[[#This Row],[FechaIngreso]]</f>
        <v>0</v>
      </c>
      <c r="M573">
        <f>_xlfn.XLOOKUP(TablaDatos[[#This Row],[PacienteID]],'Datos_Ejemplo.csv'!A:A,'Datos_Ejemplo.csv'!I:I)</f>
        <v>31</v>
      </c>
      <c r="N573">
        <f>ABS(TablaDatos[[#This Row],[DiasOriginal]])</f>
        <v>31</v>
      </c>
      <c r="O573" s="1">
        <f>TablaDatos[[#This Row],[FechaIngreso]]+TablaDatos[[#This Row],[DiasNuevo]]</f>
        <v>45040</v>
      </c>
    </row>
    <row r="574" spans="1:15">
      <c r="A574">
        <v>573</v>
      </c>
      <c r="B574" t="s">
        <v>285</v>
      </c>
      <c r="C574" s="1">
        <v>23742</v>
      </c>
      <c r="D574">
        <v>61</v>
      </c>
      <c r="E574" s="4" t="s">
        <v>15</v>
      </c>
      <c r="F574" t="s">
        <v>201</v>
      </c>
      <c r="G574" s="1">
        <v>45099</v>
      </c>
      <c r="H574" s="1">
        <f>TablaDatos[[#This Row],[FechaIngreso]]+TablaDatos[[#This Row],[DiasNuevo]]</f>
        <v>45127</v>
      </c>
      <c r="I574">
        <v>28</v>
      </c>
      <c r="J574" t="s">
        <v>23</v>
      </c>
      <c r="K574" s="3">
        <v>7930.12</v>
      </c>
      <c r="L574" t="b">
        <f>TablaDatos[[#This Row],[FechaAlta]] &lt; TablaDatos[[#This Row],[FechaIngreso]]</f>
        <v>0</v>
      </c>
      <c r="M574">
        <f>_xlfn.XLOOKUP(TablaDatos[[#This Row],[PacienteID]],'Datos_Ejemplo.csv'!A:A,'Datos_Ejemplo.csv'!I:I)</f>
        <v>28</v>
      </c>
      <c r="N574">
        <f>ABS(TablaDatos[[#This Row],[DiasOriginal]])</f>
        <v>28</v>
      </c>
      <c r="O574" s="1">
        <f>TablaDatos[[#This Row],[FechaIngreso]]+TablaDatos[[#This Row],[DiasNuevo]]</f>
        <v>45127</v>
      </c>
    </row>
    <row r="575" spans="1:15">
      <c r="A575">
        <v>574</v>
      </c>
      <c r="B575" t="s">
        <v>130</v>
      </c>
      <c r="C575" s="1">
        <v>15707</v>
      </c>
      <c r="D575">
        <v>83</v>
      </c>
      <c r="E575" s="4" t="s">
        <v>12</v>
      </c>
      <c r="F575" t="s">
        <v>295</v>
      </c>
      <c r="G575" s="1">
        <v>45611</v>
      </c>
      <c r="H575" s="1">
        <f>TablaDatos[[#This Row],[FechaIngreso]]+TablaDatos[[#This Row],[DiasNuevo]]</f>
        <v>45644</v>
      </c>
      <c r="I575">
        <v>33</v>
      </c>
      <c r="J575" t="s">
        <v>23</v>
      </c>
      <c r="K575" s="3">
        <v>16695.48</v>
      </c>
      <c r="L575" t="b">
        <f>TablaDatos[[#This Row],[FechaAlta]] &lt; TablaDatos[[#This Row],[FechaIngreso]]</f>
        <v>0</v>
      </c>
      <c r="M575">
        <f>_xlfn.XLOOKUP(TablaDatos[[#This Row],[PacienteID]],'Datos_Ejemplo.csv'!A:A,'Datos_Ejemplo.csv'!I:I)</f>
        <v>33</v>
      </c>
      <c r="N575">
        <f>ABS(TablaDatos[[#This Row],[DiasOriginal]])</f>
        <v>33</v>
      </c>
      <c r="O575" s="1">
        <f>TablaDatos[[#This Row],[FechaIngreso]]+TablaDatos[[#This Row],[DiasNuevo]]</f>
        <v>45644</v>
      </c>
    </row>
    <row r="576" spans="1:15">
      <c r="A576">
        <v>575</v>
      </c>
      <c r="B576" t="s">
        <v>336</v>
      </c>
      <c r="C576" s="1">
        <v>13880</v>
      </c>
      <c r="D576">
        <v>88</v>
      </c>
      <c r="E576" s="4" t="s">
        <v>15</v>
      </c>
      <c r="F576" t="s">
        <v>21</v>
      </c>
      <c r="G576" s="1">
        <v>44996</v>
      </c>
      <c r="H576" s="1">
        <f>TablaDatos[[#This Row],[FechaIngreso]]+TablaDatos[[#This Row],[DiasNuevo]]</f>
        <v>45034</v>
      </c>
      <c r="I576">
        <v>38</v>
      </c>
      <c r="J576" t="s">
        <v>25</v>
      </c>
      <c r="K576" s="3">
        <v>19520.72</v>
      </c>
      <c r="L576" t="b">
        <f>TablaDatos[[#This Row],[FechaAlta]] &lt; TablaDatos[[#This Row],[FechaIngreso]]</f>
        <v>0</v>
      </c>
      <c r="M576">
        <f>_xlfn.XLOOKUP(TablaDatos[[#This Row],[PacienteID]],'Datos_Ejemplo.csv'!A:A,'Datos_Ejemplo.csv'!I:I)</f>
        <v>38</v>
      </c>
      <c r="N576">
        <f>ABS(TablaDatos[[#This Row],[DiasOriginal]])</f>
        <v>38</v>
      </c>
      <c r="O576" s="1">
        <f>TablaDatos[[#This Row],[FechaIngreso]]+TablaDatos[[#This Row],[DiasNuevo]]</f>
        <v>45034</v>
      </c>
    </row>
    <row r="577" spans="1:15">
      <c r="A577">
        <v>576</v>
      </c>
      <c r="B577" t="s">
        <v>309</v>
      </c>
      <c r="C577" s="1">
        <v>14976</v>
      </c>
      <c r="D577">
        <v>85</v>
      </c>
      <c r="E577" s="4" t="s">
        <v>15</v>
      </c>
      <c r="F577" t="s">
        <v>32</v>
      </c>
      <c r="G577" s="1">
        <v>44932</v>
      </c>
      <c r="H577" s="1">
        <f>TablaDatos[[#This Row],[FechaIngreso]]+TablaDatos[[#This Row],[DiasNuevo]]</f>
        <v>44934</v>
      </c>
      <c r="I577">
        <v>2</v>
      </c>
      <c r="J577" t="s">
        <v>25</v>
      </c>
      <c r="K577" s="3">
        <v>12104.97</v>
      </c>
      <c r="L577" t="b">
        <f>TablaDatos[[#This Row],[FechaAlta]] &lt; TablaDatos[[#This Row],[FechaIngreso]]</f>
        <v>0</v>
      </c>
      <c r="M577">
        <f>_xlfn.XLOOKUP(TablaDatos[[#This Row],[PacienteID]],'Datos_Ejemplo.csv'!A:A,'Datos_Ejemplo.csv'!I:I)</f>
        <v>2</v>
      </c>
      <c r="N577">
        <f>ABS(TablaDatos[[#This Row],[DiasOriginal]])</f>
        <v>2</v>
      </c>
      <c r="O577" s="1">
        <f>TablaDatos[[#This Row],[FechaIngreso]]+TablaDatos[[#This Row],[DiasNuevo]]</f>
        <v>44934</v>
      </c>
    </row>
    <row r="578" spans="1:15">
      <c r="A578">
        <v>577</v>
      </c>
      <c r="B578" t="s">
        <v>343</v>
      </c>
      <c r="C578" s="1">
        <v>41639</v>
      </c>
      <c r="D578">
        <v>12</v>
      </c>
      <c r="E578" s="4" t="s">
        <v>12</v>
      </c>
      <c r="F578" t="s">
        <v>201</v>
      </c>
      <c r="G578" s="1">
        <v>45121</v>
      </c>
      <c r="H578" s="1">
        <f>TablaDatos[[#This Row],[FechaIngreso]]+TablaDatos[[#This Row],[DiasNuevo]]</f>
        <v>45151</v>
      </c>
      <c r="I578">
        <v>30</v>
      </c>
      <c r="J578" t="s">
        <v>23</v>
      </c>
      <c r="K578" s="3">
        <v>2814.58</v>
      </c>
      <c r="L578" t="b">
        <f>TablaDatos[[#This Row],[FechaAlta]] &lt; TablaDatos[[#This Row],[FechaIngreso]]</f>
        <v>0</v>
      </c>
      <c r="M578">
        <f>_xlfn.XLOOKUP(TablaDatos[[#This Row],[PacienteID]],'Datos_Ejemplo.csv'!A:A,'Datos_Ejemplo.csv'!I:I)</f>
        <v>30</v>
      </c>
      <c r="N578">
        <f>ABS(TablaDatos[[#This Row],[DiasOriginal]])</f>
        <v>30</v>
      </c>
      <c r="O578" s="1">
        <f>TablaDatos[[#This Row],[FechaIngreso]]+TablaDatos[[#This Row],[DiasNuevo]]</f>
        <v>45151</v>
      </c>
    </row>
    <row r="579" spans="1:15">
      <c r="A579">
        <v>578</v>
      </c>
      <c r="B579" t="s">
        <v>275</v>
      </c>
      <c r="C579" s="1">
        <v>24838</v>
      </c>
      <c r="D579">
        <v>58</v>
      </c>
      <c r="E579" s="4" t="s">
        <v>15</v>
      </c>
      <c r="F579" t="s">
        <v>261</v>
      </c>
      <c r="G579" s="1">
        <v>45451</v>
      </c>
      <c r="H579" s="1">
        <f>TablaDatos[[#This Row],[FechaIngreso]]+TablaDatos[[#This Row],[DiasNuevo]]</f>
        <v>45467</v>
      </c>
      <c r="I579">
        <v>16</v>
      </c>
      <c r="J579" t="s">
        <v>23</v>
      </c>
      <c r="K579" s="3">
        <v>7531.51</v>
      </c>
      <c r="L579" t="b">
        <f>TablaDatos[[#This Row],[FechaAlta]] &lt; TablaDatos[[#This Row],[FechaIngreso]]</f>
        <v>0</v>
      </c>
      <c r="M579">
        <f>_xlfn.XLOOKUP(TablaDatos[[#This Row],[PacienteID]],'Datos_Ejemplo.csv'!A:A,'Datos_Ejemplo.csv'!I:I)</f>
        <v>16</v>
      </c>
      <c r="N579">
        <f>ABS(TablaDatos[[#This Row],[DiasOriginal]])</f>
        <v>16</v>
      </c>
      <c r="O579" s="1">
        <f>TablaDatos[[#This Row],[FechaIngreso]]+TablaDatos[[#This Row],[DiasNuevo]]</f>
        <v>45467</v>
      </c>
    </row>
    <row r="580" spans="1:15">
      <c r="A580">
        <v>579</v>
      </c>
      <c r="B580" t="s">
        <v>238</v>
      </c>
      <c r="C580" s="1">
        <v>39448</v>
      </c>
      <c r="D580">
        <v>18</v>
      </c>
      <c r="E580" s="4" t="s">
        <v>12</v>
      </c>
      <c r="F580" t="s">
        <v>261</v>
      </c>
      <c r="G580" s="1">
        <v>44989</v>
      </c>
      <c r="H580" s="1">
        <f>TablaDatos[[#This Row],[FechaIngreso]]+TablaDatos[[#This Row],[DiasNuevo]]</f>
        <v>45018</v>
      </c>
      <c r="I580">
        <v>29</v>
      </c>
      <c r="J580" t="s">
        <v>19</v>
      </c>
      <c r="K580" s="3">
        <v>90.62</v>
      </c>
      <c r="L580" t="b">
        <f>TablaDatos[[#This Row],[FechaAlta]] &lt; TablaDatos[[#This Row],[FechaIngreso]]</f>
        <v>0</v>
      </c>
      <c r="M580">
        <f>_xlfn.XLOOKUP(TablaDatos[[#This Row],[PacienteID]],'Datos_Ejemplo.csv'!A:A,'Datos_Ejemplo.csv'!I:I)</f>
        <v>29</v>
      </c>
      <c r="N580">
        <f>ABS(TablaDatos[[#This Row],[DiasOriginal]])</f>
        <v>29</v>
      </c>
      <c r="O580" s="1">
        <f>TablaDatos[[#This Row],[FechaIngreso]]+TablaDatos[[#This Row],[DiasNuevo]]</f>
        <v>45018</v>
      </c>
    </row>
    <row r="581" spans="1:15">
      <c r="A581">
        <v>580</v>
      </c>
      <c r="B581" t="s">
        <v>325</v>
      </c>
      <c r="C581" s="1">
        <v>28490</v>
      </c>
      <c r="D581">
        <v>48</v>
      </c>
      <c r="E581" s="4" t="s">
        <v>15</v>
      </c>
      <c r="F581" t="s">
        <v>18</v>
      </c>
      <c r="G581" s="1">
        <v>44939</v>
      </c>
      <c r="H581" s="1">
        <f>TablaDatos[[#This Row],[FechaIngreso]]+TablaDatos[[#This Row],[DiasNuevo]]</f>
        <v>44959</v>
      </c>
      <c r="I581">
        <v>20</v>
      </c>
      <c r="J581" t="s">
        <v>25</v>
      </c>
      <c r="K581" s="3">
        <v>12014.79</v>
      </c>
      <c r="L581" t="b">
        <f>TablaDatos[[#This Row],[FechaAlta]] &lt; TablaDatos[[#This Row],[FechaIngreso]]</f>
        <v>0</v>
      </c>
      <c r="M581">
        <f>_xlfn.XLOOKUP(TablaDatos[[#This Row],[PacienteID]],'Datos_Ejemplo.csv'!A:A,'Datos_Ejemplo.csv'!I:I)</f>
        <v>20</v>
      </c>
      <c r="N581">
        <f>ABS(TablaDatos[[#This Row],[DiasOriginal]])</f>
        <v>20</v>
      </c>
      <c r="O581" s="1">
        <f>TablaDatos[[#This Row],[FechaIngreso]]+TablaDatos[[#This Row],[DiasNuevo]]</f>
        <v>44959</v>
      </c>
    </row>
    <row r="582" spans="1:15">
      <c r="A582">
        <v>581</v>
      </c>
      <c r="B582" t="s">
        <v>349</v>
      </c>
      <c r="C582" s="1">
        <v>42005</v>
      </c>
      <c r="D582">
        <v>11</v>
      </c>
      <c r="E582" s="4" t="s">
        <v>15</v>
      </c>
      <c r="F582" t="s">
        <v>18</v>
      </c>
      <c r="G582" s="1">
        <v>45131</v>
      </c>
      <c r="H582" s="1">
        <f>TablaDatos[[#This Row],[FechaIngreso]]+TablaDatos[[#This Row],[DiasNuevo]]</f>
        <v>45131</v>
      </c>
      <c r="I582">
        <v>0</v>
      </c>
      <c r="J582" t="s">
        <v>23</v>
      </c>
      <c r="K582" s="3">
        <v>16413.53</v>
      </c>
      <c r="L582" t="b">
        <f>TablaDatos[[#This Row],[FechaAlta]] &lt; TablaDatos[[#This Row],[FechaIngreso]]</f>
        <v>0</v>
      </c>
      <c r="M582">
        <f>_xlfn.XLOOKUP(TablaDatos[[#This Row],[PacienteID]],'Datos_Ejemplo.csv'!A:A,'Datos_Ejemplo.csv'!I:I)</f>
        <v>0</v>
      </c>
      <c r="N582">
        <f>ABS(TablaDatos[[#This Row],[DiasOriginal]])</f>
        <v>0</v>
      </c>
      <c r="O582" s="1">
        <f>TablaDatos[[#This Row],[FechaIngreso]]+TablaDatos[[#This Row],[DiasNuevo]]</f>
        <v>45131</v>
      </c>
    </row>
    <row r="583" spans="1:15">
      <c r="A583">
        <v>582</v>
      </c>
      <c r="B583" t="s">
        <v>282</v>
      </c>
      <c r="C583" s="1">
        <v>24107</v>
      </c>
      <c r="D583">
        <v>60</v>
      </c>
      <c r="E583" s="4" t="s">
        <v>15</v>
      </c>
      <c r="F583" t="s">
        <v>201</v>
      </c>
      <c r="G583" s="1">
        <v>44966</v>
      </c>
      <c r="H583" s="1">
        <f>TablaDatos[[#This Row],[FechaIngreso]]+TablaDatos[[#This Row],[DiasNuevo]]</f>
        <v>44968</v>
      </c>
      <c r="I583">
        <v>2</v>
      </c>
      <c r="J583" t="s">
        <v>23</v>
      </c>
      <c r="K583" s="3">
        <v>12561.8</v>
      </c>
      <c r="L583" t="b">
        <f>TablaDatos[[#This Row],[FechaAlta]] &lt; TablaDatos[[#This Row],[FechaIngreso]]</f>
        <v>0</v>
      </c>
      <c r="M583">
        <f>_xlfn.XLOOKUP(TablaDatos[[#This Row],[PacienteID]],'Datos_Ejemplo.csv'!A:A,'Datos_Ejemplo.csv'!I:I)</f>
        <v>-2</v>
      </c>
      <c r="N583">
        <f>ABS(TablaDatos[[#This Row],[DiasOriginal]])</f>
        <v>2</v>
      </c>
      <c r="O583" s="1">
        <f>TablaDatos[[#This Row],[FechaIngreso]]+TablaDatos[[#This Row],[DiasNuevo]]</f>
        <v>44968</v>
      </c>
    </row>
    <row r="584" spans="1:15">
      <c r="A584">
        <v>583</v>
      </c>
      <c r="B584" t="s">
        <v>61</v>
      </c>
      <c r="C584" s="1">
        <v>39448</v>
      </c>
      <c r="D584">
        <v>18</v>
      </c>
      <c r="E584" s="4" t="s">
        <v>12</v>
      </c>
      <c r="F584" t="s">
        <v>201</v>
      </c>
      <c r="G584" s="1">
        <v>45091</v>
      </c>
      <c r="H584" s="1">
        <f>TablaDatos[[#This Row],[FechaIngreso]]+TablaDatos[[#This Row],[DiasNuevo]]</f>
        <v>45124</v>
      </c>
      <c r="I584">
        <v>33</v>
      </c>
      <c r="J584" t="s">
        <v>23</v>
      </c>
      <c r="K584" s="3">
        <v>15700.33</v>
      </c>
      <c r="L584" t="b">
        <f>TablaDatos[[#This Row],[FechaAlta]] &lt; TablaDatos[[#This Row],[FechaIngreso]]</f>
        <v>0</v>
      </c>
      <c r="M584">
        <f>_xlfn.XLOOKUP(TablaDatos[[#This Row],[PacienteID]],'Datos_Ejemplo.csv'!A:A,'Datos_Ejemplo.csv'!I:I)</f>
        <v>33</v>
      </c>
      <c r="N584">
        <f>ABS(TablaDatos[[#This Row],[DiasOriginal]])</f>
        <v>33</v>
      </c>
      <c r="O584" s="1">
        <f>TablaDatos[[#This Row],[FechaIngreso]]+TablaDatos[[#This Row],[DiasNuevo]]</f>
        <v>45124</v>
      </c>
    </row>
    <row r="585" spans="1:15">
      <c r="A585">
        <v>584</v>
      </c>
      <c r="B585" t="s">
        <v>252</v>
      </c>
      <c r="C585" s="1">
        <v>18629</v>
      </c>
      <c r="D585">
        <f ca="1">DATEDIF(TablaDatos[[#This Row],[FechaNacimiento]],TODAY(),"Y")</f>
        <v>75</v>
      </c>
      <c r="E585" s="4" t="s">
        <v>15</v>
      </c>
      <c r="F585" t="s">
        <v>13</v>
      </c>
      <c r="G585" s="1">
        <v>44957</v>
      </c>
      <c r="H585" s="1">
        <f>TablaDatos[[#This Row],[FechaIngreso]]+TablaDatos[[#This Row],[DiasNuevo]]</f>
        <v>44995</v>
      </c>
      <c r="I585">
        <v>38</v>
      </c>
      <c r="J585" t="s">
        <v>23</v>
      </c>
      <c r="K585" s="3">
        <v>15978.07</v>
      </c>
      <c r="L585" t="b">
        <f>TablaDatos[[#This Row],[FechaAlta]] &lt; TablaDatos[[#This Row],[FechaIngreso]]</f>
        <v>0</v>
      </c>
      <c r="M585">
        <f>_xlfn.XLOOKUP(TablaDatos[[#This Row],[PacienteID]],'Datos_Ejemplo.csv'!A:A,'Datos_Ejemplo.csv'!I:I)</f>
        <v>38</v>
      </c>
      <c r="N585">
        <f>ABS(TablaDatos[[#This Row],[DiasOriginal]])</f>
        <v>38</v>
      </c>
      <c r="O585" s="1">
        <f>TablaDatos[[#This Row],[FechaIngreso]]+TablaDatos[[#This Row],[DiasNuevo]]</f>
        <v>44995</v>
      </c>
    </row>
    <row r="586" spans="1:15">
      <c r="A586">
        <v>585</v>
      </c>
      <c r="B586" t="s">
        <v>310</v>
      </c>
      <c r="C586" s="1">
        <v>43100</v>
      </c>
      <c r="D586">
        <v>8</v>
      </c>
      <c r="E586" s="4" t="s">
        <v>12</v>
      </c>
      <c r="F586" t="s">
        <v>261</v>
      </c>
      <c r="G586" s="1">
        <v>45455</v>
      </c>
      <c r="H586" s="1">
        <f>TablaDatos[[#This Row],[FechaIngreso]]+TablaDatos[[#This Row],[DiasNuevo]]</f>
        <v>45480</v>
      </c>
      <c r="I586">
        <v>25</v>
      </c>
      <c r="J586" t="s">
        <v>23</v>
      </c>
      <c r="K586" s="3">
        <v>17005.349999999999</v>
      </c>
      <c r="L586" t="b">
        <f>TablaDatos[[#This Row],[FechaAlta]] &lt; TablaDatos[[#This Row],[FechaIngreso]]</f>
        <v>0</v>
      </c>
      <c r="M586">
        <f>_xlfn.XLOOKUP(TablaDatos[[#This Row],[PacienteID]],'Datos_Ejemplo.csv'!A:A,'Datos_Ejemplo.csv'!I:I)</f>
        <v>25</v>
      </c>
      <c r="N586">
        <f>ABS(TablaDatos[[#This Row],[DiasOriginal]])</f>
        <v>25</v>
      </c>
      <c r="O586" s="1">
        <f>TablaDatos[[#This Row],[FechaIngreso]]+TablaDatos[[#This Row],[DiasNuevo]]</f>
        <v>45480</v>
      </c>
    </row>
    <row r="587" spans="1:15">
      <c r="A587">
        <v>586</v>
      </c>
      <c r="B587" t="s">
        <v>367</v>
      </c>
      <c r="C587" s="1">
        <v>20455</v>
      </c>
      <c r="D587">
        <v>70</v>
      </c>
      <c r="E587" s="4" t="s">
        <v>15</v>
      </c>
      <c r="F587" t="s">
        <v>295</v>
      </c>
      <c r="G587" s="1">
        <v>45575</v>
      </c>
      <c r="H587" s="1">
        <f>TablaDatos[[#This Row],[FechaIngreso]]+TablaDatos[[#This Row],[DiasNuevo]]</f>
        <v>45611</v>
      </c>
      <c r="I587">
        <v>36</v>
      </c>
      <c r="J587" t="s">
        <v>25</v>
      </c>
      <c r="K587" s="3">
        <v>5259.94</v>
      </c>
      <c r="L587" t="b">
        <f>TablaDatos[[#This Row],[FechaAlta]] &lt; TablaDatos[[#This Row],[FechaIngreso]]</f>
        <v>0</v>
      </c>
      <c r="M587">
        <f>_xlfn.XLOOKUP(TablaDatos[[#This Row],[PacienteID]],'Datos_Ejemplo.csv'!A:A,'Datos_Ejemplo.csv'!I:I)</f>
        <v>36</v>
      </c>
      <c r="N587">
        <f>ABS(TablaDatos[[#This Row],[DiasOriginal]])</f>
        <v>36</v>
      </c>
      <c r="O587" s="1">
        <f>TablaDatos[[#This Row],[FechaIngreso]]+TablaDatos[[#This Row],[DiasNuevo]]</f>
        <v>45611</v>
      </c>
    </row>
    <row r="588" spans="1:15">
      <c r="A588">
        <v>587</v>
      </c>
      <c r="B588" t="s">
        <v>256</v>
      </c>
      <c r="C588" s="1">
        <v>36161</v>
      </c>
      <c r="D588">
        <v>27</v>
      </c>
      <c r="E588" s="4" t="s">
        <v>15</v>
      </c>
      <c r="F588" t="s">
        <v>21</v>
      </c>
      <c r="G588" s="1">
        <v>45603</v>
      </c>
      <c r="H588" s="1">
        <f>TablaDatos[[#This Row],[FechaIngreso]]+TablaDatos[[#This Row],[DiasNuevo]]</f>
        <v>45605</v>
      </c>
      <c r="I588">
        <v>2</v>
      </c>
      <c r="J588" t="s">
        <v>23</v>
      </c>
      <c r="K588" s="3">
        <v>17412.5</v>
      </c>
      <c r="L588" t="b">
        <f>TablaDatos[[#This Row],[FechaAlta]] &lt; TablaDatos[[#This Row],[FechaIngreso]]</f>
        <v>0</v>
      </c>
      <c r="M588">
        <f>_xlfn.XLOOKUP(TablaDatos[[#This Row],[PacienteID]],'Datos_Ejemplo.csv'!A:A,'Datos_Ejemplo.csv'!I:I)</f>
        <v>2</v>
      </c>
      <c r="N588">
        <f>ABS(TablaDatos[[#This Row],[DiasOriginal]])</f>
        <v>2</v>
      </c>
      <c r="O588" s="1">
        <f>TablaDatos[[#This Row],[FechaIngreso]]+TablaDatos[[#This Row],[DiasNuevo]]</f>
        <v>45605</v>
      </c>
    </row>
    <row r="589" spans="1:15">
      <c r="A589">
        <v>588</v>
      </c>
      <c r="B589" t="s">
        <v>356</v>
      </c>
      <c r="C589" s="1">
        <v>17898</v>
      </c>
      <c r="D589">
        <v>77</v>
      </c>
      <c r="E589" s="4" t="s">
        <v>15</v>
      </c>
      <c r="F589" t="s">
        <v>21</v>
      </c>
      <c r="G589" s="1">
        <v>45324</v>
      </c>
      <c r="H589" s="1">
        <f>TablaDatos[[#This Row],[FechaIngreso]]+TablaDatos[[#This Row],[DiasNuevo]]</f>
        <v>45334</v>
      </c>
      <c r="I589">
        <v>10</v>
      </c>
      <c r="J589" t="s">
        <v>25</v>
      </c>
      <c r="K589" s="3">
        <v>13047.29</v>
      </c>
      <c r="L589" t="b">
        <f>TablaDatos[[#This Row],[FechaAlta]] &lt; TablaDatos[[#This Row],[FechaIngreso]]</f>
        <v>0</v>
      </c>
      <c r="M589">
        <f>_xlfn.XLOOKUP(TablaDatos[[#This Row],[PacienteID]],'Datos_Ejemplo.csv'!A:A,'Datos_Ejemplo.csv'!I:I)</f>
        <v>10</v>
      </c>
      <c r="N589">
        <f>ABS(TablaDatos[[#This Row],[DiasOriginal]])</f>
        <v>10</v>
      </c>
      <c r="O589" s="1">
        <f>TablaDatos[[#This Row],[FechaIngreso]]+TablaDatos[[#This Row],[DiasNuevo]]</f>
        <v>45334</v>
      </c>
    </row>
    <row r="590" spans="1:15">
      <c r="A590">
        <v>589</v>
      </c>
      <c r="B590" t="s">
        <v>354</v>
      </c>
      <c r="C590" s="1">
        <v>11689</v>
      </c>
      <c r="D590">
        <v>94</v>
      </c>
      <c r="E590" s="4" t="s">
        <v>15</v>
      </c>
      <c r="F590" t="s">
        <v>21</v>
      </c>
      <c r="G590" s="1">
        <v>45385</v>
      </c>
      <c r="H590" s="1">
        <f>TablaDatos[[#This Row],[FechaIngreso]]+TablaDatos[[#This Row],[DiasNuevo]]</f>
        <v>45393</v>
      </c>
      <c r="I590">
        <v>8</v>
      </c>
      <c r="J590" t="s">
        <v>19</v>
      </c>
      <c r="K590" s="3">
        <v>5723.48</v>
      </c>
      <c r="L590" t="b">
        <f>TablaDatos[[#This Row],[FechaAlta]] &lt; TablaDatos[[#This Row],[FechaIngreso]]</f>
        <v>0</v>
      </c>
      <c r="M590">
        <f>_xlfn.XLOOKUP(TablaDatos[[#This Row],[PacienteID]],'Datos_Ejemplo.csv'!A:A,'Datos_Ejemplo.csv'!I:I)</f>
        <v>8</v>
      </c>
      <c r="N590">
        <f>ABS(TablaDatos[[#This Row],[DiasOriginal]])</f>
        <v>8</v>
      </c>
      <c r="O590" s="1">
        <f>TablaDatos[[#This Row],[FechaIngreso]]+TablaDatos[[#This Row],[DiasNuevo]]</f>
        <v>45393</v>
      </c>
    </row>
    <row r="591" spans="1:15">
      <c r="A591">
        <v>590</v>
      </c>
      <c r="B591" t="s">
        <v>277</v>
      </c>
      <c r="C591" s="1">
        <v>27395</v>
      </c>
      <c r="D591">
        <v>51</v>
      </c>
      <c r="E591" s="4" t="s">
        <v>12</v>
      </c>
      <c r="F591" t="s">
        <v>261</v>
      </c>
      <c r="G591" s="1">
        <v>45149</v>
      </c>
      <c r="H591" s="1">
        <f>TablaDatos[[#This Row],[FechaIngreso]]+TablaDatos[[#This Row],[DiasNuevo]]</f>
        <v>45168</v>
      </c>
      <c r="I591">
        <v>19</v>
      </c>
      <c r="J591" t="s">
        <v>19</v>
      </c>
      <c r="K591" s="3">
        <v>19744.62</v>
      </c>
      <c r="L591" t="b">
        <f>TablaDatos[[#This Row],[FechaAlta]] &lt; TablaDatos[[#This Row],[FechaIngreso]]</f>
        <v>0</v>
      </c>
      <c r="M591">
        <f>_xlfn.XLOOKUP(TablaDatos[[#This Row],[PacienteID]],'Datos_Ejemplo.csv'!A:A,'Datos_Ejemplo.csv'!I:I)</f>
        <v>19</v>
      </c>
      <c r="N591">
        <f>ABS(TablaDatos[[#This Row],[DiasOriginal]])</f>
        <v>19</v>
      </c>
      <c r="O591" s="1">
        <f>TablaDatos[[#This Row],[FechaIngreso]]+TablaDatos[[#This Row],[DiasNuevo]]</f>
        <v>45168</v>
      </c>
    </row>
    <row r="592" spans="1:15">
      <c r="A592">
        <v>591</v>
      </c>
      <c r="B592" t="s">
        <v>368</v>
      </c>
      <c r="C592" s="1">
        <v>16072</v>
      </c>
      <c r="D592">
        <v>82</v>
      </c>
      <c r="E592" s="4" t="s">
        <v>12</v>
      </c>
      <c r="F592" t="s">
        <v>18</v>
      </c>
      <c r="G592" s="1">
        <v>45560</v>
      </c>
      <c r="H592" s="1">
        <f>TablaDatos[[#This Row],[FechaIngreso]]+TablaDatos[[#This Row],[DiasNuevo]]</f>
        <v>45580</v>
      </c>
      <c r="I592">
        <v>20</v>
      </c>
      <c r="J592" t="s">
        <v>23</v>
      </c>
      <c r="K592" s="3">
        <v>18998.669999999998</v>
      </c>
      <c r="L592" t="b">
        <f>TablaDatos[[#This Row],[FechaAlta]] &lt; TablaDatos[[#This Row],[FechaIngreso]]</f>
        <v>0</v>
      </c>
      <c r="M592">
        <f>_xlfn.XLOOKUP(TablaDatos[[#This Row],[PacienteID]],'Datos_Ejemplo.csv'!A:A,'Datos_Ejemplo.csv'!I:I)</f>
        <v>20</v>
      </c>
      <c r="N592">
        <f>ABS(TablaDatos[[#This Row],[DiasOriginal]])</f>
        <v>20</v>
      </c>
      <c r="O592" s="1">
        <f>TablaDatos[[#This Row],[FechaIngreso]]+TablaDatos[[#This Row],[DiasNuevo]]</f>
        <v>45580</v>
      </c>
    </row>
    <row r="593" spans="1:15">
      <c r="A593">
        <v>592</v>
      </c>
      <c r="B593" t="s">
        <v>367</v>
      </c>
      <c r="C593" s="1">
        <v>40544</v>
      </c>
      <c r="D593">
        <v>15</v>
      </c>
      <c r="E593" s="4" t="s">
        <v>12</v>
      </c>
      <c r="F593" t="s">
        <v>295</v>
      </c>
      <c r="G593" s="1">
        <v>45004</v>
      </c>
      <c r="H593" s="1">
        <f>TablaDatos[[#This Row],[FechaIngreso]]+TablaDatos[[#This Row],[DiasNuevo]]</f>
        <v>45013</v>
      </c>
      <c r="I593">
        <v>9</v>
      </c>
      <c r="J593" t="s">
        <v>23</v>
      </c>
      <c r="K593" s="3">
        <v>11446.26</v>
      </c>
      <c r="L593" t="b">
        <f>TablaDatos[[#This Row],[FechaAlta]] &lt; TablaDatos[[#This Row],[FechaIngreso]]</f>
        <v>0</v>
      </c>
      <c r="M593">
        <f>_xlfn.XLOOKUP(TablaDatos[[#This Row],[PacienteID]],'Datos_Ejemplo.csv'!A:A,'Datos_Ejemplo.csv'!I:I)</f>
        <v>9</v>
      </c>
      <c r="N593">
        <f>ABS(TablaDatos[[#This Row],[DiasOriginal]])</f>
        <v>9</v>
      </c>
      <c r="O593" s="1">
        <f>TablaDatos[[#This Row],[FechaIngreso]]+TablaDatos[[#This Row],[DiasNuevo]]</f>
        <v>45013</v>
      </c>
    </row>
    <row r="594" spans="1:15">
      <c r="A594">
        <v>593</v>
      </c>
      <c r="B594" t="s">
        <v>278</v>
      </c>
      <c r="C594" s="1">
        <v>21185</v>
      </c>
      <c r="D594">
        <v>68</v>
      </c>
      <c r="E594" s="4" t="s">
        <v>15</v>
      </c>
      <c r="F594" t="s">
        <v>21</v>
      </c>
      <c r="G594" s="1">
        <v>45526</v>
      </c>
      <c r="H594" s="1">
        <f>TablaDatos[[#This Row],[FechaIngreso]]+TablaDatos[[#This Row],[DiasNuevo]]</f>
        <v>45544</v>
      </c>
      <c r="I594">
        <v>18</v>
      </c>
      <c r="J594" t="s">
        <v>23</v>
      </c>
      <c r="K594" s="3">
        <v>16848.490000000002</v>
      </c>
      <c r="L594" t="b">
        <f>TablaDatos[[#This Row],[FechaAlta]] &lt; TablaDatos[[#This Row],[FechaIngreso]]</f>
        <v>0</v>
      </c>
      <c r="M594">
        <f>_xlfn.XLOOKUP(TablaDatos[[#This Row],[PacienteID]],'Datos_Ejemplo.csv'!A:A,'Datos_Ejemplo.csv'!I:I)</f>
        <v>18</v>
      </c>
      <c r="N594">
        <f>ABS(TablaDatos[[#This Row],[DiasOriginal]])</f>
        <v>18</v>
      </c>
      <c r="O594" s="1">
        <f>TablaDatos[[#This Row],[FechaIngreso]]+TablaDatos[[#This Row],[DiasNuevo]]</f>
        <v>45544</v>
      </c>
    </row>
    <row r="595" spans="1:15">
      <c r="A595">
        <v>594</v>
      </c>
      <c r="B595" t="s">
        <v>282</v>
      </c>
      <c r="C595" s="1">
        <v>42005</v>
      </c>
      <c r="D595">
        <v>11</v>
      </c>
      <c r="E595" s="4" t="s">
        <v>15</v>
      </c>
      <c r="F595" t="s">
        <v>261</v>
      </c>
      <c r="G595" s="1">
        <v>45551</v>
      </c>
      <c r="H595" s="1">
        <f>TablaDatos[[#This Row],[FechaIngreso]]+TablaDatos[[#This Row],[DiasNuevo]]</f>
        <v>45567</v>
      </c>
      <c r="I595">
        <v>16</v>
      </c>
      <c r="J595" t="s">
        <v>25</v>
      </c>
      <c r="K595" s="3">
        <v>5156.04</v>
      </c>
      <c r="L595" t="b">
        <f>TablaDatos[[#This Row],[FechaAlta]] &lt; TablaDatos[[#This Row],[FechaIngreso]]</f>
        <v>0</v>
      </c>
      <c r="M595">
        <f>_xlfn.XLOOKUP(TablaDatos[[#This Row],[PacienteID]],'Datos_Ejemplo.csv'!A:A,'Datos_Ejemplo.csv'!I:I)</f>
        <v>16</v>
      </c>
      <c r="N595">
        <f>ABS(TablaDatos[[#This Row],[DiasOriginal]])</f>
        <v>16</v>
      </c>
      <c r="O595" s="1">
        <f>TablaDatos[[#This Row],[FechaIngreso]]+TablaDatos[[#This Row],[DiasNuevo]]</f>
        <v>45567</v>
      </c>
    </row>
    <row r="596" spans="1:15">
      <c r="A596">
        <v>595</v>
      </c>
      <c r="B596" t="s">
        <v>272</v>
      </c>
      <c r="C596" s="1">
        <v>37256</v>
      </c>
      <c r="D596">
        <v>24</v>
      </c>
      <c r="E596" s="4" t="s">
        <v>15</v>
      </c>
      <c r="F596" t="s">
        <v>32</v>
      </c>
      <c r="G596" s="1">
        <v>45538</v>
      </c>
      <c r="H596" s="1">
        <f>TablaDatos[[#This Row],[FechaIngreso]]+TablaDatos[[#This Row],[DiasNuevo]]</f>
        <v>45540</v>
      </c>
      <c r="I596">
        <v>2</v>
      </c>
      <c r="J596" t="s">
        <v>23</v>
      </c>
      <c r="K596" s="3">
        <v>8262.34</v>
      </c>
      <c r="L596" t="b">
        <f>TablaDatos[[#This Row],[FechaAlta]] &lt; TablaDatos[[#This Row],[FechaIngreso]]</f>
        <v>0</v>
      </c>
      <c r="M596">
        <f>_xlfn.XLOOKUP(TablaDatos[[#This Row],[PacienteID]],'Datos_Ejemplo.csv'!A:A,'Datos_Ejemplo.csv'!I:I)</f>
        <v>2</v>
      </c>
      <c r="N596">
        <f>ABS(TablaDatos[[#This Row],[DiasOriginal]])</f>
        <v>2</v>
      </c>
      <c r="O596" s="1">
        <f>TablaDatos[[#This Row],[FechaIngreso]]+TablaDatos[[#This Row],[DiasNuevo]]</f>
        <v>45540</v>
      </c>
    </row>
    <row r="597" spans="1:15">
      <c r="A597">
        <v>596</v>
      </c>
      <c r="B597" t="s">
        <v>258</v>
      </c>
      <c r="C597" s="1">
        <v>27395</v>
      </c>
      <c r="D597">
        <v>51</v>
      </c>
      <c r="E597" s="4" t="s">
        <v>12</v>
      </c>
      <c r="F597" t="s">
        <v>201</v>
      </c>
      <c r="G597" s="1">
        <v>45354</v>
      </c>
      <c r="H597" s="1">
        <f>TablaDatos[[#This Row],[FechaIngreso]]+TablaDatos[[#This Row],[DiasNuevo]]</f>
        <v>45375</v>
      </c>
      <c r="I597">
        <v>21</v>
      </c>
      <c r="J597" t="s">
        <v>23</v>
      </c>
      <c r="K597" s="3">
        <v>3597.83</v>
      </c>
      <c r="L597" t="b">
        <f>TablaDatos[[#This Row],[FechaAlta]] &lt; TablaDatos[[#This Row],[FechaIngreso]]</f>
        <v>0</v>
      </c>
      <c r="M597">
        <f>_xlfn.XLOOKUP(TablaDatos[[#This Row],[PacienteID]],'Datos_Ejemplo.csv'!A:A,'Datos_Ejemplo.csv'!I:I)</f>
        <v>21</v>
      </c>
      <c r="N597">
        <f>ABS(TablaDatos[[#This Row],[DiasOriginal]])</f>
        <v>21</v>
      </c>
      <c r="O597" s="1">
        <f>TablaDatos[[#This Row],[FechaIngreso]]+TablaDatos[[#This Row],[DiasNuevo]]</f>
        <v>45375</v>
      </c>
    </row>
    <row r="598" spans="1:15">
      <c r="A598">
        <v>597</v>
      </c>
      <c r="B598" t="s">
        <v>307</v>
      </c>
      <c r="C598" s="1">
        <v>15341</v>
      </c>
      <c r="D598">
        <f ca="1">DATEDIF(TablaDatos[[#This Row],[FechaNacimiento]],TODAY(),"Y")</f>
        <v>84</v>
      </c>
      <c r="E598" s="4" t="s">
        <v>15</v>
      </c>
      <c r="F598" t="s">
        <v>13</v>
      </c>
      <c r="G598" s="1">
        <v>45351</v>
      </c>
      <c r="H598" s="1">
        <f>TablaDatos[[#This Row],[FechaIngreso]]+TablaDatos[[#This Row],[DiasNuevo]]</f>
        <v>45378</v>
      </c>
      <c r="I598">
        <v>27</v>
      </c>
      <c r="J598" t="s">
        <v>23</v>
      </c>
      <c r="K598" s="3">
        <v>10354.06</v>
      </c>
      <c r="L598" t="b">
        <f>TablaDatos[[#This Row],[FechaAlta]] &lt; TablaDatos[[#This Row],[FechaIngreso]]</f>
        <v>0</v>
      </c>
      <c r="M598">
        <f>_xlfn.XLOOKUP(TablaDatos[[#This Row],[PacienteID]],'Datos_Ejemplo.csv'!A:A,'Datos_Ejemplo.csv'!I:I)</f>
        <v>27</v>
      </c>
      <c r="N598">
        <f>ABS(TablaDatos[[#This Row],[DiasOriginal]])</f>
        <v>27</v>
      </c>
      <c r="O598" s="1">
        <f>TablaDatos[[#This Row],[FechaIngreso]]+TablaDatos[[#This Row],[DiasNuevo]]</f>
        <v>45378</v>
      </c>
    </row>
    <row r="599" spans="1:15">
      <c r="A599">
        <v>598</v>
      </c>
      <c r="B599" t="s">
        <v>265</v>
      </c>
      <c r="C599" s="1">
        <v>27029</v>
      </c>
      <c r="D599">
        <v>52</v>
      </c>
      <c r="E599" s="4" t="s">
        <v>12</v>
      </c>
      <c r="F599" t="s">
        <v>13</v>
      </c>
      <c r="G599" s="1">
        <v>45313</v>
      </c>
      <c r="H599" s="1">
        <f>TablaDatos[[#This Row],[FechaIngreso]]+TablaDatos[[#This Row],[DiasNuevo]]</f>
        <v>45318</v>
      </c>
      <c r="I599">
        <v>5</v>
      </c>
      <c r="J599" t="s">
        <v>25</v>
      </c>
      <c r="K599" s="3">
        <v>9869.6299999999992</v>
      </c>
      <c r="L599" t="b">
        <f>TablaDatos[[#This Row],[FechaAlta]] &lt; TablaDatos[[#This Row],[FechaIngreso]]</f>
        <v>0</v>
      </c>
      <c r="M599">
        <f>_xlfn.XLOOKUP(TablaDatos[[#This Row],[PacienteID]],'Datos_Ejemplo.csv'!A:A,'Datos_Ejemplo.csv'!I:I)</f>
        <v>5</v>
      </c>
      <c r="N599">
        <f>ABS(TablaDatos[[#This Row],[DiasOriginal]])</f>
        <v>5</v>
      </c>
      <c r="O599" s="1">
        <f>TablaDatos[[#This Row],[FechaIngreso]]+TablaDatos[[#This Row],[DiasNuevo]]</f>
        <v>45318</v>
      </c>
    </row>
    <row r="600" spans="1:15">
      <c r="A600">
        <v>599</v>
      </c>
      <c r="B600" t="s">
        <v>327</v>
      </c>
      <c r="C600" s="1">
        <v>37987</v>
      </c>
      <c r="D600">
        <v>22</v>
      </c>
      <c r="E600" s="4" t="s">
        <v>15</v>
      </c>
      <c r="F600" t="s">
        <v>21</v>
      </c>
      <c r="G600" s="1">
        <v>45165</v>
      </c>
      <c r="H600" s="1">
        <f>TablaDatos[[#This Row],[FechaIngreso]]+TablaDatos[[#This Row],[DiasNuevo]]</f>
        <v>45166</v>
      </c>
      <c r="I600">
        <v>1</v>
      </c>
      <c r="J600" t="s">
        <v>25</v>
      </c>
      <c r="K600" s="3">
        <v>4177.55</v>
      </c>
      <c r="L600" t="b">
        <f>TablaDatos[[#This Row],[FechaAlta]] &lt; TablaDatos[[#This Row],[FechaIngreso]]</f>
        <v>0</v>
      </c>
      <c r="M600">
        <f>_xlfn.XLOOKUP(TablaDatos[[#This Row],[PacienteID]],'Datos_Ejemplo.csv'!A:A,'Datos_Ejemplo.csv'!I:I)</f>
        <v>-1</v>
      </c>
      <c r="N600">
        <f>ABS(TablaDatos[[#This Row],[DiasOriginal]])</f>
        <v>1</v>
      </c>
      <c r="O600" s="1">
        <f>TablaDatos[[#This Row],[FechaIngreso]]+TablaDatos[[#This Row],[DiasNuevo]]</f>
        <v>45166</v>
      </c>
    </row>
    <row r="601" spans="1:15">
      <c r="A601">
        <v>600</v>
      </c>
      <c r="B601" t="s">
        <v>358</v>
      </c>
      <c r="C601" s="1">
        <v>40544</v>
      </c>
      <c r="D601">
        <v>15</v>
      </c>
      <c r="E601" s="4" t="s">
        <v>15</v>
      </c>
      <c r="F601" t="s">
        <v>18</v>
      </c>
      <c r="G601" s="1">
        <v>45549</v>
      </c>
      <c r="H601" s="1">
        <f>TablaDatos[[#This Row],[FechaIngreso]]+TablaDatos[[#This Row],[DiasNuevo]]</f>
        <v>45580</v>
      </c>
      <c r="I601">
        <v>31</v>
      </c>
      <c r="J601" t="s">
        <v>23</v>
      </c>
      <c r="K601" s="3">
        <v>13423.31</v>
      </c>
      <c r="L601" t="b">
        <f>TablaDatos[[#This Row],[FechaAlta]] &lt; TablaDatos[[#This Row],[FechaIngreso]]</f>
        <v>0</v>
      </c>
      <c r="M601">
        <f>_xlfn.XLOOKUP(TablaDatos[[#This Row],[PacienteID]],'Datos_Ejemplo.csv'!A:A,'Datos_Ejemplo.csv'!I:I)</f>
        <v>31</v>
      </c>
      <c r="N601">
        <f>ABS(TablaDatos[[#This Row],[DiasOriginal]])</f>
        <v>31</v>
      </c>
      <c r="O601" s="1">
        <f>TablaDatos[[#This Row],[FechaIngreso]]+TablaDatos[[#This Row],[DiasNuevo]]</f>
        <v>45580</v>
      </c>
    </row>
    <row r="602" spans="1:15">
      <c r="A602">
        <v>601</v>
      </c>
      <c r="B602" t="s">
        <v>297</v>
      </c>
      <c r="C602" s="1">
        <v>25568</v>
      </c>
      <c r="D602">
        <v>56</v>
      </c>
      <c r="E602" s="4" t="s">
        <v>15</v>
      </c>
      <c r="F602" t="s">
        <v>13</v>
      </c>
      <c r="G602" s="1">
        <v>45016</v>
      </c>
      <c r="H602" s="1">
        <f>TablaDatos[[#This Row],[FechaIngreso]]+TablaDatos[[#This Row],[DiasNuevo]]</f>
        <v>45036</v>
      </c>
      <c r="I602">
        <v>20</v>
      </c>
      <c r="J602" t="s">
        <v>25</v>
      </c>
      <c r="K602" s="3">
        <v>2267.58</v>
      </c>
      <c r="L602" t="b">
        <f>TablaDatos[[#This Row],[FechaAlta]] &lt; TablaDatos[[#This Row],[FechaIngreso]]</f>
        <v>0</v>
      </c>
      <c r="M602">
        <f>_xlfn.XLOOKUP(TablaDatos[[#This Row],[PacienteID]],'Datos_Ejemplo.csv'!A:A,'Datos_Ejemplo.csv'!I:I)</f>
        <v>20</v>
      </c>
      <c r="N602">
        <f>ABS(TablaDatos[[#This Row],[DiasOriginal]])</f>
        <v>20</v>
      </c>
      <c r="O602" s="1">
        <f>TablaDatos[[#This Row],[FechaIngreso]]+TablaDatos[[#This Row],[DiasNuevo]]</f>
        <v>45036</v>
      </c>
    </row>
    <row r="603" spans="1:15">
      <c r="A603">
        <v>602</v>
      </c>
      <c r="B603" t="s">
        <v>102</v>
      </c>
      <c r="C603" s="1">
        <v>32143</v>
      </c>
      <c r="D603">
        <v>38</v>
      </c>
      <c r="E603" s="4" t="s">
        <v>15</v>
      </c>
      <c r="F603" t="s">
        <v>13</v>
      </c>
      <c r="G603" s="1">
        <v>45311</v>
      </c>
      <c r="H603" s="1">
        <f>TablaDatos[[#This Row],[FechaIngreso]]+TablaDatos[[#This Row],[DiasNuevo]]</f>
        <v>45311</v>
      </c>
      <c r="I603">
        <v>0</v>
      </c>
      <c r="J603" t="s">
        <v>19</v>
      </c>
      <c r="K603" s="3">
        <v>1140</v>
      </c>
      <c r="L603" t="b">
        <f>TablaDatos[[#This Row],[FechaAlta]] &lt; TablaDatos[[#This Row],[FechaIngreso]]</f>
        <v>0</v>
      </c>
      <c r="M603">
        <f>_xlfn.XLOOKUP(TablaDatos[[#This Row],[PacienteID]],'Datos_Ejemplo.csv'!A:A,'Datos_Ejemplo.csv'!I:I)</f>
        <v>0</v>
      </c>
      <c r="N603">
        <f>ABS(TablaDatos[[#This Row],[DiasOriginal]])</f>
        <v>0</v>
      </c>
      <c r="O603" s="1">
        <f>TablaDatos[[#This Row],[FechaIngreso]]+TablaDatos[[#This Row],[DiasNuevo]]</f>
        <v>45311</v>
      </c>
    </row>
    <row r="604" spans="1:15">
      <c r="A604">
        <v>603</v>
      </c>
      <c r="B604" t="s">
        <v>349</v>
      </c>
      <c r="C604" s="1">
        <v>27029</v>
      </c>
      <c r="D604">
        <v>52</v>
      </c>
      <c r="E604" s="4" t="s">
        <v>12</v>
      </c>
      <c r="F604" t="s">
        <v>13</v>
      </c>
      <c r="G604" s="1">
        <v>45065</v>
      </c>
      <c r="H604" s="1">
        <f>TablaDatos[[#This Row],[FechaIngreso]]+TablaDatos[[#This Row],[DiasNuevo]]</f>
        <v>45086</v>
      </c>
      <c r="I604">
        <v>21</v>
      </c>
      <c r="J604" t="s">
        <v>23</v>
      </c>
      <c r="K604" s="3">
        <v>7636.59</v>
      </c>
      <c r="L604" t="b">
        <f>TablaDatos[[#This Row],[FechaAlta]] &lt; TablaDatos[[#This Row],[FechaIngreso]]</f>
        <v>0</v>
      </c>
      <c r="M604">
        <f>_xlfn.XLOOKUP(TablaDatos[[#This Row],[PacienteID]],'Datos_Ejemplo.csv'!A:A,'Datos_Ejemplo.csv'!I:I)</f>
        <v>21</v>
      </c>
      <c r="N604">
        <f>ABS(TablaDatos[[#This Row],[DiasOriginal]])</f>
        <v>21</v>
      </c>
      <c r="O604" s="1">
        <f>TablaDatos[[#This Row],[FechaIngreso]]+TablaDatos[[#This Row],[DiasNuevo]]</f>
        <v>45086</v>
      </c>
    </row>
    <row r="605" spans="1:15">
      <c r="A605">
        <v>604</v>
      </c>
      <c r="B605" t="s">
        <v>283</v>
      </c>
      <c r="C605" s="1">
        <v>31047</v>
      </c>
      <c r="D605">
        <v>41</v>
      </c>
      <c r="E605" s="4" t="s">
        <v>15</v>
      </c>
      <c r="F605" t="s">
        <v>13</v>
      </c>
      <c r="G605" s="1">
        <v>45573</v>
      </c>
      <c r="H605" s="1">
        <f>TablaDatos[[#This Row],[FechaIngreso]]+TablaDatos[[#This Row],[DiasNuevo]]</f>
        <v>45588</v>
      </c>
      <c r="I605">
        <v>15</v>
      </c>
      <c r="J605" t="s">
        <v>23</v>
      </c>
      <c r="K605" s="3">
        <v>8137.48</v>
      </c>
      <c r="L605" t="b">
        <f>TablaDatos[[#This Row],[FechaAlta]] &lt; TablaDatos[[#This Row],[FechaIngreso]]</f>
        <v>0</v>
      </c>
      <c r="M605">
        <f>_xlfn.XLOOKUP(TablaDatos[[#This Row],[PacienteID]],'Datos_Ejemplo.csv'!A:A,'Datos_Ejemplo.csv'!I:I)</f>
        <v>15</v>
      </c>
      <c r="N605">
        <f>ABS(TablaDatos[[#This Row],[DiasOriginal]])</f>
        <v>15</v>
      </c>
      <c r="O605" s="1">
        <f>TablaDatos[[#This Row],[FechaIngreso]]+TablaDatos[[#This Row],[DiasNuevo]]</f>
        <v>45588</v>
      </c>
    </row>
    <row r="606" spans="1:15">
      <c r="A606">
        <v>605</v>
      </c>
      <c r="B606" t="s">
        <v>67</v>
      </c>
      <c r="C606" s="1">
        <v>25203</v>
      </c>
      <c r="D606">
        <v>57</v>
      </c>
      <c r="E606" s="4" t="s">
        <v>12</v>
      </c>
      <c r="F606" t="s">
        <v>21</v>
      </c>
      <c r="G606" s="1">
        <v>45450</v>
      </c>
      <c r="H606" s="1">
        <f>TablaDatos[[#This Row],[FechaIngreso]]+TablaDatos[[#This Row],[DiasNuevo]]</f>
        <v>45484</v>
      </c>
      <c r="I606">
        <v>34</v>
      </c>
      <c r="J606" t="s">
        <v>23</v>
      </c>
      <c r="K606" s="3">
        <v>6326.79</v>
      </c>
      <c r="L606" t="b">
        <f>TablaDatos[[#This Row],[FechaAlta]] &lt; TablaDatos[[#This Row],[FechaIngreso]]</f>
        <v>0</v>
      </c>
      <c r="M606">
        <f>_xlfn.XLOOKUP(TablaDatos[[#This Row],[PacienteID]],'Datos_Ejemplo.csv'!A:A,'Datos_Ejemplo.csv'!I:I)</f>
        <v>34</v>
      </c>
      <c r="N606">
        <f>ABS(TablaDatos[[#This Row],[DiasOriginal]])</f>
        <v>34</v>
      </c>
      <c r="O606" s="1">
        <f>TablaDatos[[#This Row],[FechaIngreso]]+TablaDatos[[#This Row],[DiasNuevo]]</f>
        <v>45484</v>
      </c>
    </row>
    <row r="607" spans="1:15">
      <c r="A607">
        <v>606</v>
      </c>
      <c r="B607" t="s">
        <v>242</v>
      </c>
      <c r="C607" s="1">
        <v>32143</v>
      </c>
      <c r="D607">
        <v>38</v>
      </c>
      <c r="E607" s="4" t="s">
        <v>15</v>
      </c>
      <c r="F607" t="s">
        <v>261</v>
      </c>
      <c r="G607" s="1">
        <v>45170</v>
      </c>
      <c r="H607" s="1">
        <f>TablaDatos[[#This Row],[FechaIngreso]]+TablaDatos[[#This Row],[DiasNuevo]]</f>
        <v>45198</v>
      </c>
      <c r="I607">
        <v>28</v>
      </c>
      <c r="J607" t="s">
        <v>19</v>
      </c>
      <c r="K607" s="3">
        <v>5084.7299999999996</v>
      </c>
      <c r="L607" t="b">
        <f>TablaDatos[[#This Row],[FechaAlta]] &lt; TablaDatos[[#This Row],[FechaIngreso]]</f>
        <v>0</v>
      </c>
      <c r="M607">
        <f>_xlfn.XLOOKUP(TablaDatos[[#This Row],[PacienteID]],'Datos_Ejemplo.csv'!A:A,'Datos_Ejemplo.csv'!I:I)</f>
        <v>28</v>
      </c>
      <c r="N607">
        <f>ABS(TablaDatos[[#This Row],[DiasOriginal]])</f>
        <v>28</v>
      </c>
      <c r="O607" s="1">
        <f>TablaDatos[[#This Row],[FechaIngreso]]+TablaDatos[[#This Row],[DiasNuevo]]</f>
        <v>45198</v>
      </c>
    </row>
    <row r="608" spans="1:15">
      <c r="A608">
        <v>607</v>
      </c>
      <c r="B608" t="s">
        <v>345</v>
      </c>
      <c r="C608" s="1">
        <v>41274</v>
      </c>
      <c r="D608">
        <v>13</v>
      </c>
      <c r="E608" s="4" t="s">
        <v>12</v>
      </c>
      <c r="F608" t="s">
        <v>295</v>
      </c>
      <c r="G608" s="1">
        <v>45431</v>
      </c>
      <c r="H608" s="1">
        <f>TablaDatos[[#This Row],[FechaIngreso]]+TablaDatos[[#This Row],[DiasNuevo]]</f>
        <v>45442</v>
      </c>
      <c r="I608">
        <v>11</v>
      </c>
      <c r="J608" t="s">
        <v>25</v>
      </c>
      <c r="K608" s="3">
        <v>6709.4</v>
      </c>
      <c r="L608" t="b">
        <f>TablaDatos[[#This Row],[FechaAlta]] &lt; TablaDatos[[#This Row],[FechaIngreso]]</f>
        <v>0</v>
      </c>
      <c r="M608">
        <f>_xlfn.XLOOKUP(TablaDatos[[#This Row],[PacienteID]],'Datos_Ejemplo.csv'!A:A,'Datos_Ejemplo.csv'!I:I)</f>
        <v>11</v>
      </c>
      <c r="N608">
        <f>ABS(TablaDatos[[#This Row],[DiasOriginal]])</f>
        <v>11</v>
      </c>
      <c r="O608" s="1">
        <f>TablaDatos[[#This Row],[FechaIngreso]]+TablaDatos[[#This Row],[DiasNuevo]]</f>
        <v>45442</v>
      </c>
    </row>
    <row r="609" spans="1:15">
      <c r="A609">
        <v>608</v>
      </c>
      <c r="B609" t="s">
        <v>345</v>
      </c>
      <c r="C609" s="1">
        <v>11689</v>
      </c>
      <c r="D609">
        <v>94</v>
      </c>
      <c r="E609" s="4" t="s">
        <v>15</v>
      </c>
      <c r="F609" t="s">
        <v>295</v>
      </c>
      <c r="G609" s="1">
        <v>45348</v>
      </c>
      <c r="H609" s="1">
        <f>TablaDatos[[#This Row],[FechaIngreso]]+TablaDatos[[#This Row],[DiasNuevo]]</f>
        <v>45350</v>
      </c>
      <c r="I609">
        <v>2</v>
      </c>
      <c r="J609" t="s">
        <v>19</v>
      </c>
      <c r="K609" s="3">
        <v>3183.85</v>
      </c>
      <c r="L609" t="b">
        <f>TablaDatos[[#This Row],[FechaAlta]] &lt; TablaDatos[[#This Row],[FechaIngreso]]</f>
        <v>0</v>
      </c>
      <c r="M609">
        <f>_xlfn.XLOOKUP(TablaDatos[[#This Row],[PacienteID]],'Datos_Ejemplo.csv'!A:A,'Datos_Ejemplo.csv'!I:I)</f>
        <v>-2</v>
      </c>
      <c r="N609">
        <f>ABS(TablaDatos[[#This Row],[DiasOriginal]])</f>
        <v>2</v>
      </c>
      <c r="O609" s="1">
        <f>TablaDatos[[#This Row],[FechaIngreso]]+TablaDatos[[#This Row],[DiasNuevo]]</f>
        <v>45350</v>
      </c>
    </row>
    <row r="610" spans="1:15">
      <c r="A610">
        <v>609</v>
      </c>
      <c r="B610" t="s">
        <v>164</v>
      </c>
      <c r="C610" s="1">
        <v>44561</v>
      </c>
      <c r="D610">
        <v>4</v>
      </c>
      <c r="E610" s="4" t="s">
        <v>12</v>
      </c>
      <c r="F610" t="s">
        <v>18</v>
      </c>
      <c r="G610" s="1">
        <v>45108</v>
      </c>
      <c r="H610" s="1">
        <f>TablaDatos[[#This Row],[FechaIngreso]]+TablaDatos[[#This Row],[DiasNuevo]]</f>
        <v>45119</v>
      </c>
      <c r="I610">
        <v>11</v>
      </c>
      <c r="J610" t="s">
        <v>19</v>
      </c>
      <c r="K610" s="3">
        <v>8009.39</v>
      </c>
      <c r="L610" t="b">
        <f>TablaDatos[[#This Row],[FechaAlta]] &lt; TablaDatos[[#This Row],[FechaIngreso]]</f>
        <v>0</v>
      </c>
      <c r="M610">
        <f>_xlfn.XLOOKUP(TablaDatos[[#This Row],[PacienteID]],'Datos_Ejemplo.csv'!A:A,'Datos_Ejemplo.csv'!I:I)</f>
        <v>11</v>
      </c>
      <c r="N610">
        <f>ABS(TablaDatos[[#This Row],[DiasOriginal]])</f>
        <v>11</v>
      </c>
      <c r="O610" s="1">
        <f>TablaDatos[[#This Row],[FechaIngreso]]+TablaDatos[[#This Row],[DiasNuevo]]</f>
        <v>45119</v>
      </c>
    </row>
    <row r="611" spans="1:15">
      <c r="A611">
        <v>610</v>
      </c>
      <c r="B611" t="s">
        <v>326</v>
      </c>
      <c r="C611" s="1">
        <v>33604</v>
      </c>
      <c r="D611">
        <v>34</v>
      </c>
      <c r="E611" s="4" t="s">
        <v>12</v>
      </c>
      <c r="F611" t="s">
        <v>261</v>
      </c>
      <c r="G611" s="1">
        <v>45121</v>
      </c>
      <c r="H611" s="1">
        <f>TablaDatos[[#This Row],[FechaIngreso]]+TablaDatos[[#This Row],[DiasNuevo]]</f>
        <v>45159</v>
      </c>
      <c r="I611">
        <v>38</v>
      </c>
      <c r="J611" t="s">
        <v>19</v>
      </c>
      <c r="K611" s="3">
        <v>18082.53</v>
      </c>
      <c r="L611" t="b">
        <f>TablaDatos[[#This Row],[FechaAlta]] &lt; TablaDatos[[#This Row],[FechaIngreso]]</f>
        <v>0</v>
      </c>
      <c r="M611">
        <f>_xlfn.XLOOKUP(TablaDatos[[#This Row],[PacienteID]],'Datos_Ejemplo.csv'!A:A,'Datos_Ejemplo.csv'!I:I)</f>
        <v>38</v>
      </c>
      <c r="N611">
        <f>ABS(TablaDatos[[#This Row],[DiasOriginal]])</f>
        <v>38</v>
      </c>
      <c r="O611" s="1">
        <f>TablaDatos[[#This Row],[FechaIngreso]]+TablaDatos[[#This Row],[DiasNuevo]]</f>
        <v>45159</v>
      </c>
    </row>
    <row r="612" spans="1:15">
      <c r="A612">
        <v>611</v>
      </c>
      <c r="B612" t="s">
        <v>268</v>
      </c>
      <c r="C612" s="1">
        <v>14611</v>
      </c>
      <c r="D612">
        <v>86</v>
      </c>
      <c r="E612" s="4" t="s">
        <v>197</v>
      </c>
      <c r="F612" t="s">
        <v>201</v>
      </c>
      <c r="G612" s="1">
        <v>45560</v>
      </c>
      <c r="H612" s="1">
        <f>TablaDatos[[#This Row],[FechaIngreso]]+TablaDatos[[#This Row],[DiasNuevo]]</f>
        <v>45562</v>
      </c>
      <c r="I612">
        <v>2</v>
      </c>
      <c r="J612" t="s">
        <v>23</v>
      </c>
      <c r="K612" s="3">
        <v>4410.9799999999996</v>
      </c>
      <c r="L612" t="b">
        <f>TablaDatos[[#This Row],[FechaAlta]] &lt; TablaDatos[[#This Row],[FechaIngreso]]</f>
        <v>0</v>
      </c>
      <c r="M612">
        <f>_xlfn.XLOOKUP(TablaDatos[[#This Row],[PacienteID]],'Datos_Ejemplo.csv'!A:A,'Datos_Ejemplo.csv'!I:I)</f>
        <v>2</v>
      </c>
      <c r="N612">
        <f>ABS(TablaDatos[[#This Row],[DiasOriginal]])</f>
        <v>2</v>
      </c>
      <c r="O612" s="1">
        <f>TablaDatos[[#This Row],[FechaIngreso]]+TablaDatos[[#This Row],[DiasNuevo]]</f>
        <v>45562</v>
      </c>
    </row>
    <row r="613" spans="1:15">
      <c r="A613">
        <v>612</v>
      </c>
      <c r="B613" t="s">
        <v>307</v>
      </c>
      <c r="C613" s="1">
        <v>12419</v>
      </c>
      <c r="D613">
        <v>92</v>
      </c>
      <c r="E613" s="4" t="s">
        <v>15</v>
      </c>
      <c r="F613" t="s">
        <v>32</v>
      </c>
      <c r="G613" s="1">
        <v>44979</v>
      </c>
      <c r="H613" s="1">
        <f>TablaDatos[[#This Row],[FechaIngreso]]+TablaDatos[[#This Row],[DiasNuevo]]</f>
        <v>45007</v>
      </c>
      <c r="I613">
        <v>28</v>
      </c>
      <c r="J613" t="s">
        <v>25</v>
      </c>
      <c r="K613" s="3">
        <v>13657.47</v>
      </c>
      <c r="L613" t="b">
        <f>TablaDatos[[#This Row],[FechaAlta]] &lt; TablaDatos[[#This Row],[FechaIngreso]]</f>
        <v>0</v>
      </c>
      <c r="M613">
        <f>_xlfn.XLOOKUP(TablaDatos[[#This Row],[PacienteID]],'Datos_Ejemplo.csv'!A:A,'Datos_Ejemplo.csv'!I:I)</f>
        <v>28</v>
      </c>
      <c r="N613">
        <f>ABS(TablaDatos[[#This Row],[DiasOriginal]])</f>
        <v>28</v>
      </c>
      <c r="O613" s="1">
        <f>TablaDatos[[#This Row],[FechaIngreso]]+TablaDatos[[#This Row],[DiasNuevo]]</f>
        <v>45007</v>
      </c>
    </row>
    <row r="614" spans="1:15">
      <c r="A614">
        <v>613</v>
      </c>
      <c r="B614" t="s">
        <v>255</v>
      </c>
      <c r="C614" s="1">
        <v>18994</v>
      </c>
      <c r="D614">
        <v>74</v>
      </c>
      <c r="E614" s="4" t="s">
        <v>12</v>
      </c>
      <c r="F614" t="s">
        <v>295</v>
      </c>
      <c r="G614" s="1">
        <v>45611</v>
      </c>
      <c r="H614" s="1">
        <f>TablaDatos[[#This Row],[FechaIngreso]]+TablaDatos[[#This Row],[DiasNuevo]]</f>
        <v>45639</v>
      </c>
      <c r="I614">
        <v>28</v>
      </c>
      <c r="J614" t="s">
        <v>25</v>
      </c>
      <c r="K614" s="3">
        <v>2749.87</v>
      </c>
      <c r="L614" t="b">
        <f>TablaDatos[[#This Row],[FechaAlta]] &lt; TablaDatos[[#This Row],[FechaIngreso]]</f>
        <v>0</v>
      </c>
      <c r="M614">
        <f>_xlfn.XLOOKUP(TablaDatos[[#This Row],[PacienteID]],'Datos_Ejemplo.csv'!A:A,'Datos_Ejemplo.csv'!I:I)</f>
        <v>28</v>
      </c>
      <c r="N614">
        <f>ABS(TablaDatos[[#This Row],[DiasOriginal]])</f>
        <v>28</v>
      </c>
      <c r="O614" s="1">
        <f>TablaDatos[[#This Row],[FechaIngreso]]+TablaDatos[[#This Row],[DiasNuevo]]</f>
        <v>45639</v>
      </c>
    </row>
    <row r="615" spans="1:15">
      <c r="A615">
        <v>614</v>
      </c>
      <c r="B615" t="s">
        <v>332</v>
      </c>
      <c r="C615" s="1">
        <v>39813</v>
      </c>
      <c r="D615">
        <v>17</v>
      </c>
      <c r="E615" s="4" t="s">
        <v>15</v>
      </c>
      <c r="F615" t="s">
        <v>32</v>
      </c>
      <c r="G615" s="1">
        <v>45105</v>
      </c>
      <c r="H615" s="1">
        <f>TablaDatos[[#This Row],[FechaIngreso]]+TablaDatos[[#This Row],[DiasNuevo]]</f>
        <v>45132</v>
      </c>
      <c r="I615">
        <v>27</v>
      </c>
      <c r="J615" t="s">
        <v>23</v>
      </c>
      <c r="K615" s="3">
        <v>7013.52</v>
      </c>
      <c r="L615" t="b">
        <f>TablaDatos[[#This Row],[FechaAlta]] &lt; TablaDatos[[#This Row],[FechaIngreso]]</f>
        <v>0</v>
      </c>
      <c r="M615">
        <f>_xlfn.XLOOKUP(TablaDatos[[#This Row],[PacienteID]],'Datos_Ejemplo.csv'!A:A,'Datos_Ejemplo.csv'!I:I)</f>
        <v>27</v>
      </c>
      <c r="N615">
        <f>ABS(TablaDatos[[#This Row],[DiasOriginal]])</f>
        <v>27</v>
      </c>
      <c r="O615" s="1">
        <f>TablaDatos[[#This Row],[FechaIngreso]]+TablaDatos[[#This Row],[DiasNuevo]]</f>
        <v>45132</v>
      </c>
    </row>
    <row r="616" spans="1:15">
      <c r="A616">
        <v>615</v>
      </c>
      <c r="B616" t="s">
        <v>232</v>
      </c>
      <c r="C616" s="1">
        <v>18629</v>
      </c>
      <c r="D616">
        <v>75</v>
      </c>
      <c r="E616" s="4" t="s">
        <v>15</v>
      </c>
      <c r="F616" t="s">
        <v>295</v>
      </c>
      <c r="G616" s="1">
        <v>45219</v>
      </c>
      <c r="H616" s="1">
        <f>TablaDatos[[#This Row],[FechaIngreso]]+TablaDatos[[#This Row],[DiasNuevo]]</f>
        <v>45252</v>
      </c>
      <c r="I616">
        <v>33</v>
      </c>
      <c r="J616" t="s">
        <v>23</v>
      </c>
      <c r="K616" s="3">
        <v>6355.61</v>
      </c>
      <c r="L616" t="b">
        <f>TablaDatos[[#This Row],[FechaAlta]] &lt; TablaDatos[[#This Row],[FechaIngreso]]</f>
        <v>0</v>
      </c>
      <c r="M616">
        <f>_xlfn.XLOOKUP(TablaDatos[[#This Row],[PacienteID]],'Datos_Ejemplo.csv'!A:A,'Datos_Ejemplo.csv'!I:I)</f>
        <v>33</v>
      </c>
      <c r="N616">
        <f>ABS(TablaDatos[[#This Row],[DiasOriginal]])</f>
        <v>33</v>
      </c>
      <c r="O616" s="1">
        <f>TablaDatos[[#This Row],[FechaIngreso]]+TablaDatos[[#This Row],[DiasNuevo]]</f>
        <v>45252</v>
      </c>
    </row>
    <row r="617" spans="1:15">
      <c r="A617">
        <v>616</v>
      </c>
      <c r="B617" t="s">
        <v>297</v>
      </c>
      <c r="C617" s="1">
        <v>43100</v>
      </c>
      <c r="D617">
        <v>8</v>
      </c>
      <c r="E617" s="4" t="s">
        <v>15</v>
      </c>
      <c r="F617" t="s">
        <v>295</v>
      </c>
      <c r="G617" s="1">
        <v>45301</v>
      </c>
      <c r="H617" s="1">
        <f>TablaDatos[[#This Row],[FechaIngreso]]+TablaDatos[[#This Row],[DiasNuevo]]</f>
        <v>45303</v>
      </c>
      <c r="I617">
        <v>2</v>
      </c>
      <c r="J617" t="s">
        <v>23</v>
      </c>
      <c r="K617" s="3">
        <v>18734.29</v>
      </c>
      <c r="L617" t="b">
        <f>TablaDatos[[#This Row],[FechaAlta]] &lt; TablaDatos[[#This Row],[FechaIngreso]]</f>
        <v>0</v>
      </c>
      <c r="M617">
        <f>_xlfn.XLOOKUP(TablaDatos[[#This Row],[PacienteID]],'Datos_Ejemplo.csv'!A:A,'Datos_Ejemplo.csv'!I:I)</f>
        <v>-2</v>
      </c>
      <c r="N617">
        <f>ABS(TablaDatos[[#This Row],[DiasOriginal]])</f>
        <v>2</v>
      </c>
      <c r="O617" s="1">
        <f>TablaDatos[[#This Row],[FechaIngreso]]+TablaDatos[[#This Row],[DiasNuevo]]</f>
        <v>45303</v>
      </c>
    </row>
    <row r="618" spans="1:15">
      <c r="A618">
        <v>617</v>
      </c>
      <c r="B618" t="s">
        <v>256</v>
      </c>
      <c r="C618" s="1">
        <v>19359</v>
      </c>
      <c r="D618">
        <v>73</v>
      </c>
      <c r="E618" s="4" t="s">
        <v>15</v>
      </c>
      <c r="F618" t="s">
        <v>18</v>
      </c>
      <c r="G618" s="1">
        <v>44985</v>
      </c>
      <c r="H618" s="1">
        <f>TablaDatos[[#This Row],[FechaIngreso]]+TablaDatos[[#This Row],[DiasNuevo]]</f>
        <v>44985</v>
      </c>
      <c r="I618">
        <v>0</v>
      </c>
      <c r="J618" t="s">
        <v>19</v>
      </c>
      <c r="K618" s="3">
        <v>8502.44</v>
      </c>
      <c r="L618" t="b">
        <f>TablaDatos[[#This Row],[FechaAlta]] &lt; TablaDatos[[#This Row],[FechaIngreso]]</f>
        <v>0</v>
      </c>
      <c r="M618">
        <f>_xlfn.XLOOKUP(TablaDatos[[#This Row],[PacienteID]],'Datos_Ejemplo.csv'!A:A,'Datos_Ejemplo.csv'!I:I)</f>
        <v>0</v>
      </c>
      <c r="N618">
        <f>ABS(TablaDatos[[#This Row],[DiasOriginal]])</f>
        <v>0</v>
      </c>
      <c r="O618" s="1">
        <f>TablaDatos[[#This Row],[FechaIngreso]]+TablaDatos[[#This Row],[DiasNuevo]]</f>
        <v>44985</v>
      </c>
    </row>
    <row r="619" spans="1:15">
      <c r="A619">
        <v>618</v>
      </c>
      <c r="B619" t="s">
        <v>341</v>
      </c>
      <c r="C619" s="1">
        <v>25203</v>
      </c>
      <c r="D619">
        <v>57</v>
      </c>
      <c r="E619" s="4" t="s">
        <v>197</v>
      </c>
      <c r="F619" t="s">
        <v>13</v>
      </c>
      <c r="G619" s="1">
        <v>44980</v>
      </c>
      <c r="H619" s="1">
        <f>TablaDatos[[#This Row],[FechaIngreso]]+TablaDatos[[#This Row],[DiasNuevo]]</f>
        <v>44997</v>
      </c>
      <c r="I619">
        <v>17</v>
      </c>
      <c r="J619" t="s">
        <v>23</v>
      </c>
      <c r="K619" s="3">
        <v>13778.37</v>
      </c>
      <c r="L619" t="b">
        <f>TablaDatos[[#This Row],[FechaAlta]] &lt; TablaDatos[[#This Row],[FechaIngreso]]</f>
        <v>0</v>
      </c>
      <c r="M619">
        <f>_xlfn.XLOOKUP(TablaDatos[[#This Row],[PacienteID]],'Datos_Ejemplo.csv'!A:A,'Datos_Ejemplo.csv'!I:I)</f>
        <v>17</v>
      </c>
      <c r="N619">
        <f>ABS(TablaDatos[[#This Row],[DiasOriginal]])</f>
        <v>17</v>
      </c>
      <c r="O619" s="1">
        <f>TablaDatos[[#This Row],[FechaIngreso]]+TablaDatos[[#This Row],[DiasNuevo]]</f>
        <v>44997</v>
      </c>
    </row>
    <row r="620" spans="1:15">
      <c r="A620">
        <v>619</v>
      </c>
      <c r="B620" t="s">
        <v>367</v>
      </c>
      <c r="C620" s="1">
        <v>40178</v>
      </c>
      <c r="D620">
        <v>16</v>
      </c>
      <c r="E620" s="4" t="s">
        <v>15</v>
      </c>
      <c r="F620" t="s">
        <v>18</v>
      </c>
      <c r="G620" s="1">
        <v>45171</v>
      </c>
      <c r="H620" s="1">
        <f>TablaDatos[[#This Row],[FechaIngreso]]+TablaDatos[[#This Row],[DiasNuevo]]</f>
        <v>45189</v>
      </c>
      <c r="I620">
        <v>18</v>
      </c>
      <c r="J620" t="s">
        <v>25</v>
      </c>
      <c r="K620" s="3">
        <v>12009.5</v>
      </c>
      <c r="L620" t="b">
        <f>TablaDatos[[#This Row],[FechaAlta]] &lt; TablaDatos[[#This Row],[FechaIngreso]]</f>
        <v>0</v>
      </c>
      <c r="M620">
        <f>_xlfn.XLOOKUP(TablaDatos[[#This Row],[PacienteID]],'Datos_Ejemplo.csv'!A:A,'Datos_Ejemplo.csv'!I:I)</f>
        <v>18</v>
      </c>
      <c r="N620">
        <f>ABS(TablaDatos[[#This Row],[DiasOriginal]])</f>
        <v>18</v>
      </c>
      <c r="O620" s="1">
        <f>TablaDatos[[#This Row],[FechaIngreso]]+TablaDatos[[#This Row],[DiasNuevo]]</f>
        <v>45189</v>
      </c>
    </row>
    <row r="621" spans="1:15">
      <c r="A621">
        <v>620</v>
      </c>
      <c r="B621" t="s">
        <v>273</v>
      </c>
      <c r="C621" s="1">
        <v>43831</v>
      </c>
      <c r="D621">
        <v>6</v>
      </c>
      <c r="E621" s="4" t="s">
        <v>12</v>
      </c>
      <c r="F621" t="s">
        <v>295</v>
      </c>
      <c r="G621" s="1">
        <v>45075</v>
      </c>
      <c r="H621" s="1">
        <f>TablaDatos[[#This Row],[FechaIngreso]]+TablaDatos[[#This Row],[DiasNuevo]]</f>
        <v>45102</v>
      </c>
      <c r="I621">
        <v>27</v>
      </c>
      <c r="J621" t="s">
        <v>23</v>
      </c>
      <c r="K621" s="3">
        <v>2734.7</v>
      </c>
      <c r="L621" t="b">
        <f>TablaDatos[[#This Row],[FechaAlta]] &lt; TablaDatos[[#This Row],[FechaIngreso]]</f>
        <v>0</v>
      </c>
      <c r="M621">
        <f>_xlfn.XLOOKUP(TablaDatos[[#This Row],[PacienteID]],'Datos_Ejemplo.csv'!A:A,'Datos_Ejemplo.csv'!I:I)</f>
        <v>27</v>
      </c>
      <c r="N621">
        <f>ABS(TablaDatos[[#This Row],[DiasOriginal]])</f>
        <v>27</v>
      </c>
      <c r="O621" s="1">
        <f>TablaDatos[[#This Row],[FechaIngreso]]+TablaDatos[[#This Row],[DiasNuevo]]</f>
        <v>45102</v>
      </c>
    </row>
    <row r="622" spans="1:15">
      <c r="A622">
        <v>621</v>
      </c>
      <c r="B622" t="s">
        <v>272</v>
      </c>
      <c r="C622" s="1">
        <v>29586</v>
      </c>
      <c r="D622">
        <v>45</v>
      </c>
      <c r="E622" s="4" t="s">
        <v>12</v>
      </c>
      <c r="F622" t="s">
        <v>261</v>
      </c>
      <c r="G622" s="1">
        <v>45294</v>
      </c>
      <c r="H622" s="1">
        <f>TablaDatos[[#This Row],[FechaIngreso]]+TablaDatos[[#This Row],[DiasNuevo]]</f>
        <v>45333</v>
      </c>
      <c r="I622">
        <v>39</v>
      </c>
      <c r="J622" t="s">
        <v>19</v>
      </c>
      <c r="K622" s="3">
        <v>18784.759999999998</v>
      </c>
      <c r="L622" t="b">
        <f>TablaDatos[[#This Row],[FechaAlta]] &lt; TablaDatos[[#This Row],[FechaIngreso]]</f>
        <v>0</v>
      </c>
      <c r="M622">
        <f>_xlfn.XLOOKUP(TablaDatos[[#This Row],[PacienteID]],'Datos_Ejemplo.csv'!A:A,'Datos_Ejemplo.csv'!I:I)</f>
        <v>39</v>
      </c>
      <c r="N622">
        <f>ABS(TablaDatos[[#This Row],[DiasOriginal]])</f>
        <v>39</v>
      </c>
      <c r="O622" s="1">
        <f>TablaDatos[[#This Row],[FechaIngreso]]+TablaDatos[[#This Row],[DiasNuevo]]</f>
        <v>45333</v>
      </c>
    </row>
    <row r="623" spans="1:15">
      <c r="A623">
        <v>622</v>
      </c>
      <c r="B623" t="s">
        <v>288</v>
      </c>
      <c r="C623" s="1">
        <v>41639</v>
      </c>
      <c r="D623">
        <v>12</v>
      </c>
      <c r="E623" s="4" t="s">
        <v>12</v>
      </c>
      <c r="F623" t="s">
        <v>13</v>
      </c>
      <c r="G623" s="1">
        <v>44942</v>
      </c>
      <c r="H623" s="1">
        <f>TablaDatos[[#This Row],[FechaIngreso]]+TablaDatos[[#This Row],[DiasNuevo]]</f>
        <v>44969</v>
      </c>
      <c r="I623">
        <v>27</v>
      </c>
      <c r="J623" t="s">
        <v>23</v>
      </c>
      <c r="K623" s="3">
        <v>6851.97</v>
      </c>
      <c r="L623" t="b">
        <f>TablaDatos[[#This Row],[FechaAlta]] &lt; TablaDatos[[#This Row],[FechaIngreso]]</f>
        <v>0</v>
      </c>
      <c r="M623">
        <f>_xlfn.XLOOKUP(TablaDatos[[#This Row],[PacienteID]],'Datos_Ejemplo.csv'!A:A,'Datos_Ejemplo.csv'!I:I)</f>
        <v>27</v>
      </c>
      <c r="N623">
        <f>ABS(TablaDatos[[#This Row],[DiasOriginal]])</f>
        <v>27</v>
      </c>
      <c r="O623" s="1">
        <f>TablaDatos[[#This Row],[FechaIngreso]]+TablaDatos[[#This Row],[DiasNuevo]]</f>
        <v>44969</v>
      </c>
    </row>
    <row r="624" spans="1:15">
      <c r="A624">
        <v>623</v>
      </c>
      <c r="B624" t="s">
        <v>351</v>
      </c>
      <c r="C624" s="1">
        <v>31778</v>
      </c>
      <c r="D624">
        <v>39</v>
      </c>
      <c r="E624" s="4" t="s">
        <v>12</v>
      </c>
      <c r="F624" t="s">
        <v>261</v>
      </c>
      <c r="G624" s="1">
        <v>45102</v>
      </c>
      <c r="H624" s="1">
        <f>TablaDatos[[#This Row],[FechaIngreso]]+TablaDatos[[#This Row],[DiasNuevo]]</f>
        <v>45104</v>
      </c>
      <c r="I624">
        <v>2</v>
      </c>
      <c r="J624" t="s">
        <v>19</v>
      </c>
      <c r="K624" s="3">
        <v>799.64</v>
      </c>
      <c r="L624" t="b">
        <f>TablaDatos[[#This Row],[FechaAlta]] &lt; TablaDatos[[#This Row],[FechaIngreso]]</f>
        <v>0</v>
      </c>
      <c r="M624">
        <f>_xlfn.XLOOKUP(TablaDatos[[#This Row],[PacienteID]],'Datos_Ejemplo.csv'!A:A,'Datos_Ejemplo.csv'!I:I)</f>
        <v>2</v>
      </c>
      <c r="N624">
        <f>ABS(TablaDatos[[#This Row],[DiasOriginal]])</f>
        <v>2</v>
      </c>
      <c r="O624" s="1">
        <f>TablaDatos[[#This Row],[FechaIngreso]]+TablaDatos[[#This Row],[DiasNuevo]]</f>
        <v>45104</v>
      </c>
    </row>
    <row r="625" spans="1:15">
      <c r="A625">
        <v>624</v>
      </c>
      <c r="B625" t="s">
        <v>122</v>
      </c>
      <c r="C625" s="1">
        <v>31047</v>
      </c>
      <c r="D625">
        <v>41</v>
      </c>
      <c r="E625" s="4" t="s">
        <v>15</v>
      </c>
      <c r="F625" t="s">
        <v>261</v>
      </c>
      <c r="G625" s="1">
        <v>45466</v>
      </c>
      <c r="H625" s="1">
        <f>TablaDatos[[#This Row],[FechaIngreso]]+TablaDatos[[#This Row],[DiasNuevo]]</f>
        <v>45473</v>
      </c>
      <c r="I625">
        <v>7</v>
      </c>
      <c r="J625" t="s">
        <v>23</v>
      </c>
      <c r="K625" s="3">
        <v>5938.92</v>
      </c>
      <c r="L625" t="b">
        <f>TablaDatos[[#This Row],[FechaAlta]] &lt; TablaDatos[[#This Row],[FechaIngreso]]</f>
        <v>0</v>
      </c>
      <c r="M625">
        <f>_xlfn.XLOOKUP(TablaDatos[[#This Row],[PacienteID]],'Datos_Ejemplo.csv'!A:A,'Datos_Ejemplo.csv'!I:I)</f>
        <v>7</v>
      </c>
      <c r="N625">
        <f>ABS(TablaDatos[[#This Row],[DiasOriginal]])</f>
        <v>7</v>
      </c>
      <c r="O625" s="1">
        <f>TablaDatos[[#This Row],[FechaIngreso]]+TablaDatos[[#This Row],[DiasNuevo]]</f>
        <v>45473</v>
      </c>
    </row>
    <row r="626" spans="1:15">
      <c r="A626">
        <v>625</v>
      </c>
      <c r="B626" t="s">
        <v>114</v>
      </c>
      <c r="C626" s="1">
        <v>43100</v>
      </c>
      <c r="D626">
        <v>8</v>
      </c>
      <c r="E626" s="4" t="s">
        <v>12</v>
      </c>
      <c r="F626" t="s">
        <v>261</v>
      </c>
      <c r="G626" s="1">
        <v>45332</v>
      </c>
      <c r="H626" s="1">
        <f>TablaDatos[[#This Row],[FechaIngreso]]+TablaDatos[[#This Row],[DiasNuevo]]</f>
        <v>45353</v>
      </c>
      <c r="I626">
        <v>21</v>
      </c>
      <c r="J626" t="s">
        <v>23</v>
      </c>
      <c r="K626" s="3">
        <v>6646.24</v>
      </c>
      <c r="L626" t="b">
        <f>TablaDatos[[#This Row],[FechaAlta]] &lt; TablaDatos[[#This Row],[FechaIngreso]]</f>
        <v>0</v>
      </c>
      <c r="M626">
        <f>_xlfn.XLOOKUP(TablaDatos[[#This Row],[PacienteID]],'Datos_Ejemplo.csv'!A:A,'Datos_Ejemplo.csv'!I:I)</f>
        <v>21</v>
      </c>
      <c r="N626">
        <f>ABS(TablaDatos[[#This Row],[DiasOriginal]])</f>
        <v>21</v>
      </c>
      <c r="O626" s="1">
        <f>TablaDatos[[#This Row],[FechaIngreso]]+TablaDatos[[#This Row],[DiasNuevo]]</f>
        <v>45353</v>
      </c>
    </row>
    <row r="627" spans="1:15">
      <c r="A627">
        <v>626</v>
      </c>
      <c r="B627" t="s">
        <v>327</v>
      </c>
      <c r="C627" s="1">
        <v>28125</v>
      </c>
      <c r="D627">
        <v>49</v>
      </c>
      <c r="E627" s="4" t="s">
        <v>15</v>
      </c>
      <c r="F627" t="s">
        <v>13</v>
      </c>
      <c r="G627" s="1">
        <v>45393</v>
      </c>
      <c r="H627" s="1">
        <f>TablaDatos[[#This Row],[FechaIngreso]]+TablaDatos[[#This Row],[DiasNuevo]]</f>
        <v>45429</v>
      </c>
      <c r="I627">
        <v>36</v>
      </c>
      <c r="J627" t="s">
        <v>23</v>
      </c>
      <c r="K627" s="3">
        <v>1764.18</v>
      </c>
      <c r="L627" t="b">
        <f>TablaDatos[[#This Row],[FechaAlta]] &lt; TablaDatos[[#This Row],[FechaIngreso]]</f>
        <v>0</v>
      </c>
      <c r="M627">
        <f>_xlfn.XLOOKUP(TablaDatos[[#This Row],[PacienteID]],'Datos_Ejemplo.csv'!A:A,'Datos_Ejemplo.csv'!I:I)</f>
        <v>36</v>
      </c>
      <c r="N627">
        <f>ABS(TablaDatos[[#This Row],[DiasOriginal]])</f>
        <v>36</v>
      </c>
      <c r="O627" s="1">
        <f>TablaDatos[[#This Row],[FechaIngreso]]+TablaDatos[[#This Row],[DiasNuevo]]</f>
        <v>45429</v>
      </c>
    </row>
    <row r="628" spans="1:15">
      <c r="A628">
        <v>627</v>
      </c>
      <c r="B628" t="s">
        <v>258</v>
      </c>
      <c r="C628" s="1">
        <v>36526</v>
      </c>
      <c r="D628">
        <v>26</v>
      </c>
      <c r="E628" s="4" t="s">
        <v>12</v>
      </c>
      <c r="F628" t="s">
        <v>261</v>
      </c>
      <c r="G628" s="1">
        <v>45055</v>
      </c>
      <c r="H628" s="1">
        <f>TablaDatos[[#This Row],[FechaIngreso]]+TablaDatos[[#This Row],[DiasNuevo]]</f>
        <v>45058</v>
      </c>
      <c r="I628">
        <v>3</v>
      </c>
      <c r="J628" t="s">
        <v>19</v>
      </c>
      <c r="K628" s="3">
        <v>12361.55</v>
      </c>
      <c r="L628" t="b">
        <f>TablaDatos[[#This Row],[FechaAlta]] &lt; TablaDatos[[#This Row],[FechaIngreso]]</f>
        <v>0</v>
      </c>
      <c r="M628">
        <f>_xlfn.XLOOKUP(TablaDatos[[#This Row],[PacienteID]],'Datos_Ejemplo.csv'!A:A,'Datos_Ejemplo.csv'!I:I)</f>
        <v>3</v>
      </c>
      <c r="N628">
        <f>ABS(TablaDatos[[#This Row],[DiasOriginal]])</f>
        <v>3</v>
      </c>
      <c r="O628" s="1">
        <f>TablaDatos[[#This Row],[FechaIngreso]]+TablaDatos[[#This Row],[DiasNuevo]]</f>
        <v>45058</v>
      </c>
    </row>
    <row r="629" spans="1:15">
      <c r="A629">
        <v>628</v>
      </c>
      <c r="B629" t="s">
        <v>231</v>
      </c>
      <c r="C629" s="1">
        <v>22281</v>
      </c>
      <c r="D629">
        <v>65</v>
      </c>
      <c r="E629" s="4" t="s">
        <v>12</v>
      </c>
      <c r="F629" t="s">
        <v>13</v>
      </c>
      <c r="G629" s="1">
        <v>45149</v>
      </c>
      <c r="H629" s="1">
        <f>TablaDatos[[#This Row],[FechaIngreso]]+TablaDatos[[#This Row],[DiasNuevo]]</f>
        <v>45156</v>
      </c>
      <c r="I629">
        <v>7</v>
      </c>
      <c r="J629" t="s">
        <v>23</v>
      </c>
      <c r="K629" s="3">
        <v>6869.96</v>
      </c>
      <c r="L629" t="b">
        <f>TablaDatos[[#This Row],[FechaAlta]] &lt; TablaDatos[[#This Row],[FechaIngreso]]</f>
        <v>0</v>
      </c>
      <c r="M629">
        <f>_xlfn.XLOOKUP(TablaDatos[[#This Row],[PacienteID]],'Datos_Ejemplo.csv'!A:A,'Datos_Ejemplo.csv'!I:I)</f>
        <v>7</v>
      </c>
      <c r="N629">
        <f>ABS(TablaDatos[[#This Row],[DiasOriginal]])</f>
        <v>7</v>
      </c>
      <c r="O629" s="1">
        <f>TablaDatos[[#This Row],[FechaIngreso]]+TablaDatos[[#This Row],[DiasNuevo]]</f>
        <v>45156</v>
      </c>
    </row>
    <row r="630" spans="1:15">
      <c r="A630">
        <v>629</v>
      </c>
      <c r="B630" t="s">
        <v>254</v>
      </c>
      <c r="C630" s="1">
        <v>44561</v>
      </c>
      <c r="D630">
        <v>4</v>
      </c>
      <c r="E630" s="4" t="s">
        <v>197</v>
      </c>
      <c r="F630" t="s">
        <v>32</v>
      </c>
      <c r="G630" s="1">
        <v>45170</v>
      </c>
      <c r="H630" s="1">
        <f>TablaDatos[[#This Row],[FechaIngreso]]+TablaDatos[[#This Row],[DiasNuevo]]</f>
        <v>45209</v>
      </c>
      <c r="I630">
        <v>39</v>
      </c>
      <c r="J630" t="s">
        <v>19</v>
      </c>
      <c r="K630" s="3">
        <v>12545.61</v>
      </c>
      <c r="L630" t="b">
        <f>TablaDatos[[#This Row],[FechaAlta]] &lt; TablaDatos[[#This Row],[FechaIngreso]]</f>
        <v>0</v>
      </c>
      <c r="M630">
        <f>_xlfn.XLOOKUP(TablaDatos[[#This Row],[PacienteID]],'Datos_Ejemplo.csv'!A:A,'Datos_Ejemplo.csv'!I:I)</f>
        <v>39</v>
      </c>
      <c r="N630">
        <f>ABS(TablaDatos[[#This Row],[DiasOriginal]])</f>
        <v>39</v>
      </c>
      <c r="O630" s="1">
        <f>TablaDatos[[#This Row],[FechaIngreso]]+TablaDatos[[#This Row],[DiasNuevo]]</f>
        <v>45209</v>
      </c>
    </row>
    <row r="631" spans="1:15">
      <c r="A631">
        <v>630</v>
      </c>
      <c r="B631" t="s">
        <v>111</v>
      </c>
      <c r="C631" s="1">
        <v>35795</v>
      </c>
      <c r="D631">
        <v>28</v>
      </c>
      <c r="E631" s="4" t="s">
        <v>15</v>
      </c>
      <c r="F631" t="s">
        <v>201</v>
      </c>
      <c r="G631" s="1">
        <v>45352</v>
      </c>
      <c r="H631" s="1">
        <f>TablaDatos[[#This Row],[FechaIngreso]]+TablaDatos[[#This Row],[DiasNuevo]]</f>
        <v>45359</v>
      </c>
      <c r="I631">
        <v>7</v>
      </c>
      <c r="J631" t="s">
        <v>23</v>
      </c>
      <c r="K631" s="3">
        <v>35.49</v>
      </c>
      <c r="L631" t="b">
        <f>TablaDatos[[#This Row],[FechaAlta]] &lt; TablaDatos[[#This Row],[FechaIngreso]]</f>
        <v>0</v>
      </c>
      <c r="M631">
        <f>_xlfn.XLOOKUP(TablaDatos[[#This Row],[PacienteID]],'Datos_Ejemplo.csv'!A:A,'Datos_Ejemplo.csv'!I:I)</f>
        <v>7</v>
      </c>
      <c r="N631">
        <f>ABS(TablaDatos[[#This Row],[DiasOriginal]])</f>
        <v>7</v>
      </c>
      <c r="O631" s="1">
        <f>TablaDatos[[#This Row],[FechaIngreso]]+TablaDatos[[#This Row],[DiasNuevo]]</f>
        <v>45359</v>
      </c>
    </row>
    <row r="632" spans="1:15">
      <c r="A632">
        <v>631</v>
      </c>
      <c r="B632" t="s">
        <v>233</v>
      </c>
      <c r="C632" s="1">
        <v>32873</v>
      </c>
      <c r="D632">
        <v>36</v>
      </c>
      <c r="E632" s="4" t="s">
        <v>15</v>
      </c>
      <c r="F632" t="s">
        <v>295</v>
      </c>
      <c r="G632" s="1">
        <v>45280</v>
      </c>
      <c r="H632" s="1">
        <f>TablaDatos[[#This Row],[FechaIngreso]]+TablaDatos[[#This Row],[DiasNuevo]]</f>
        <v>45302</v>
      </c>
      <c r="I632">
        <v>22</v>
      </c>
      <c r="J632" t="s">
        <v>23</v>
      </c>
      <c r="K632" s="3">
        <v>19639.169999999998</v>
      </c>
      <c r="L632" t="b">
        <f>TablaDatos[[#This Row],[FechaAlta]] &lt; TablaDatos[[#This Row],[FechaIngreso]]</f>
        <v>0</v>
      </c>
      <c r="M632">
        <f>_xlfn.XLOOKUP(TablaDatos[[#This Row],[PacienteID]],'Datos_Ejemplo.csv'!A:A,'Datos_Ejemplo.csv'!I:I)</f>
        <v>22</v>
      </c>
      <c r="N632">
        <f>ABS(TablaDatos[[#This Row],[DiasOriginal]])</f>
        <v>22</v>
      </c>
      <c r="O632" s="1">
        <f>TablaDatos[[#This Row],[FechaIngreso]]+TablaDatos[[#This Row],[DiasNuevo]]</f>
        <v>45302</v>
      </c>
    </row>
    <row r="633" spans="1:15">
      <c r="A633">
        <v>632</v>
      </c>
      <c r="B633" t="s">
        <v>278</v>
      </c>
      <c r="C633" s="1">
        <v>32508</v>
      </c>
      <c r="D633">
        <v>37</v>
      </c>
      <c r="E633" s="4" t="s">
        <v>15</v>
      </c>
      <c r="F633" t="s">
        <v>21</v>
      </c>
      <c r="G633" s="1">
        <v>45252</v>
      </c>
      <c r="H633" s="1">
        <f>TablaDatos[[#This Row],[FechaIngreso]]+TablaDatos[[#This Row],[DiasNuevo]]</f>
        <v>45263</v>
      </c>
      <c r="I633">
        <v>11</v>
      </c>
      <c r="J633" t="s">
        <v>25</v>
      </c>
      <c r="K633" s="3">
        <v>3327.38</v>
      </c>
      <c r="L633" t="b">
        <f>TablaDatos[[#This Row],[FechaAlta]] &lt; TablaDatos[[#This Row],[FechaIngreso]]</f>
        <v>0</v>
      </c>
      <c r="M633">
        <f>_xlfn.XLOOKUP(TablaDatos[[#This Row],[PacienteID]],'Datos_Ejemplo.csv'!A:A,'Datos_Ejemplo.csv'!I:I)</f>
        <v>11</v>
      </c>
      <c r="N633">
        <f>ABS(TablaDatos[[#This Row],[DiasOriginal]])</f>
        <v>11</v>
      </c>
      <c r="O633" s="1">
        <f>TablaDatos[[#This Row],[FechaIngreso]]+TablaDatos[[#This Row],[DiasNuevo]]</f>
        <v>45263</v>
      </c>
    </row>
    <row r="634" spans="1:15">
      <c r="A634">
        <v>633</v>
      </c>
      <c r="B634" t="s">
        <v>269</v>
      </c>
      <c r="C634" s="1">
        <v>16072</v>
      </c>
      <c r="D634">
        <v>82</v>
      </c>
      <c r="E634" s="4" t="s">
        <v>15</v>
      </c>
      <c r="F634" t="s">
        <v>261</v>
      </c>
      <c r="G634" s="1">
        <v>45530</v>
      </c>
      <c r="H634" s="1">
        <f>TablaDatos[[#This Row],[FechaIngreso]]+TablaDatos[[#This Row],[DiasNuevo]]</f>
        <v>45566</v>
      </c>
      <c r="I634">
        <v>36</v>
      </c>
      <c r="J634" t="s">
        <v>23</v>
      </c>
      <c r="K634" s="3">
        <v>13152.55</v>
      </c>
      <c r="L634" t="b">
        <f>TablaDatos[[#This Row],[FechaAlta]] &lt; TablaDatos[[#This Row],[FechaIngreso]]</f>
        <v>0</v>
      </c>
      <c r="M634">
        <f>_xlfn.XLOOKUP(TablaDatos[[#This Row],[PacienteID]],'Datos_Ejemplo.csv'!A:A,'Datos_Ejemplo.csv'!I:I)</f>
        <v>36</v>
      </c>
      <c r="N634">
        <f>ABS(TablaDatos[[#This Row],[DiasOriginal]])</f>
        <v>36</v>
      </c>
      <c r="O634" s="1">
        <f>TablaDatos[[#This Row],[FechaIngreso]]+TablaDatos[[#This Row],[DiasNuevo]]</f>
        <v>45566</v>
      </c>
    </row>
    <row r="635" spans="1:15">
      <c r="A635">
        <v>634</v>
      </c>
      <c r="B635" t="s">
        <v>346</v>
      </c>
      <c r="C635" s="1">
        <v>43466</v>
      </c>
      <c r="D635">
        <v>7</v>
      </c>
      <c r="E635" s="4" t="s">
        <v>15</v>
      </c>
      <c r="F635" t="s">
        <v>18</v>
      </c>
      <c r="G635" s="1">
        <v>44929</v>
      </c>
      <c r="H635" s="1">
        <f>TablaDatos[[#This Row],[FechaIngreso]]+TablaDatos[[#This Row],[DiasNuevo]]</f>
        <v>44939</v>
      </c>
      <c r="I635">
        <v>10</v>
      </c>
      <c r="J635" t="s">
        <v>23</v>
      </c>
      <c r="K635" s="3">
        <v>14287.26</v>
      </c>
      <c r="L635" t="b">
        <f>TablaDatos[[#This Row],[FechaAlta]] &lt; TablaDatos[[#This Row],[FechaIngreso]]</f>
        <v>0</v>
      </c>
      <c r="M635">
        <f>_xlfn.XLOOKUP(TablaDatos[[#This Row],[PacienteID]],'Datos_Ejemplo.csv'!A:A,'Datos_Ejemplo.csv'!I:I)</f>
        <v>10</v>
      </c>
      <c r="N635">
        <f>ABS(TablaDatos[[#This Row],[DiasOriginal]])</f>
        <v>10</v>
      </c>
      <c r="O635" s="1">
        <f>TablaDatos[[#This Row],[FechaIngreso]]+TablaDatos[[#This Row],[DiasNuevo]]</f>
        <v>44939</v>
      </c>
    </row>
    <row r="636" spans="1:15">
      <c r="A636">
        <v>635</v>
      </c>
      <c r="B636" t="s">
        <v>55</v>
      </c>
      <c r="C636" s="1">
        <v>22646</v>
      </c>
      <c r="D636">
        <v>64</v>
      </c>
      <c r="E636" s="4" t="s">
        <v>12</v>
      </c>
      <c r="F636" t="s">
        <v>32</v>
      </c>
      <c r="G636" s="1">
        <v>45405</v>
      </c>
      <c r="H636" s="1">
        <f>TablaDatos[[#This Row],[FechaIngreso]]+TablaDatos[[#This Row],[DiasNuevo]]</f>
        <v>45413</v>
      </c>
      <c r="I636">
        <v>8</v>
      </c>
      <c r="J636" t="s">
        <v>19</v>
      </c>
      <c r="K636" s="3">
        <v>3349.33</v>
      </c>
      <c r="L636" t="b">
        <f>TablaDatos[[#This Row],[FechaAlta]] &lt; TablaDatos[[#This Row],[FechaIngreso]]</f>
        <v>0</v>
      </c>
      <c r="M636">
        <f>_xlfn.XLOOKUP(TablaDatos[[#This Row],[PacienteID]],'Datos_Ejemplo.csv'!A:A,'Datos_Ejemplo.csv'!I:I)</f>
        <v>8</v>
      </c>
      <c r="N636">
        <f>ABS(TablaDatos[[#This Row],[DiasOriginal]])</f>
        <v>8</v>
      </c>
      <c r="O636" s="1">
        <f>TablaDatos[[#This Row],[FechaIngreso]]+TablaDatos[[#This Row],[DiasNuevo]]</f>
        <v>45413</v>
      </c>
    </row>
    <row r="637" spans="1:15">
      <c r="A637">
        <v>636</v>
      </c>
      <c r="B637" t="s">
        <v>272</v>
      </c>
      <c r="C637" s="1">
        <v>14976</v>
      </c>
      <c r="D637">
        <v>85</v>
      </c>
      <c r="E637" s="4" t="s">
        <v>15</v>
      </c>
      <c r="F637" t="s">
        <v>18</v>
      </c>
      <c r="G637" s="1">
        <v>45007</v>
      </c>
      <c r="H637" s="1">
        <f>TablaDatos[[#This Row],[FechaIngreso]]+TablaDatos[[#This Row],[DiasNuevo]]</f>
        <v>45043</v>
      </c>
      <c r="I637">
        <v>36</v>
      </c>
      <c r="J637" t="s">
        <v>19</v>
      </c>
      <c r="K637" s="3">
        <v>2145.42</v>
      </c>
      <c r="L637" t="b">
        <f>TablaDatos[[#This Row],[FechaAlta]] &lt; TablaDatos[[#This Row],[FechaIngreso]]</f>
        <v>0</v>
      </c>
      <c r="M637">
        <f>_xlfn.XLOOKUP(TablaDatos[[#This Row],[PacienteID]],'Datos_Ejemplo.csv'!A:A,'Datos_Ejemplo.csv'!I:I)</f>
        <v>36</v>
      </c>
      <c r="N637">
        <f>ABS(TablaDatos[[#This Row],[DiasOriginal]])</f>
        <v>36</v>
      </c>
      <c r="O637" s="1">
        <f>TablaDatos[[#This Row],[FechaIngreso]]+TablaDatos[[#This Row],[DiasNuevo]]</f>
        <v>45043</v>
      </c>
    </row>
    <row r="638" spans="1:15">
      <c r="A638">
        <v>637</v>
      </c>
      <c r="B638" t="s">
        <v>309</v>
      </c>
      <c r="C638" s="1">
        <v>40178</v>
      </c>
      <c r="D638">
        <v>16</v>
      </c>
      <c r="E638" s="4" t="s">
        <v>12</v>
      </c>
      <c r="F638" t="s">
        <v>21</v>
      </c>
      <c r="G638" s="1">
        <v>44970</v>
      </c>
      <c r="H638" s="1">
        <f>TablaDatos[[#This Row],[FechaIngreso]]+TablaDatos[[#This Row],[DiasNuevo]]</f>
        <v>44978</v>
      </c>
      <c r="I638">
        <v>8</v>
      </c>
      <c r="J638" t="s">
        <v>25</v>
      </c>
      <c r="K638" s="3">
        <v>2966.8</v>
      </c>
      <c r="L638" t="b">
        <f>TablaDatos[[#This Row],[FechaAlta]] &lt; TablaDatos[[#This Row],[FechaIngreso]]</f>
        <v>0</v>
      </c>
      <c r="M638">
        <f>_xlfn.XLOOKUP(TablaDatos[[#This Row],[PacienteID]],'Datos_Ejemplo.csv'!A:A,'Datos_Ejemplo.csv'!I:I)</f>
        <v>8</v>
      </c>
      <c r="N638">
        <f>ABS(TablaDatos[[#This Row],[DiasOriginal]])</f>
        <v>8</v>
      </c>
      <c r="O638" s="1">
        <f>TablaDatos[[#This Row],[FechaIngreso]]+TablaDatos[[#This Row],[DiasNuevo]]</f>
        <v>44978</v>
      </c>
    </row>
    <row r="639" spans="1:15">
      <c r="A639">
        <v>638</v>
      </c>
      <c r="B639" t="s">
        <v>270</v>
      </c>
      <c r="C639" s="1">
        <v>20455</v>
      </c>
      <c r="D639">
        <v>70</v>
      </c>
      <c r="E639" s="4" t="s">
        <v>12</v>
      </c>
      <c r="F639" t="s">
        <v>13</v>
      </c>
      <c r="G639" s="1">
        <v>45081</v>
      </c>
      <c r="H639" s="1">
        <f>TablaDatos[[#This Row],[FechaIngreso]]+TablaDatos[[#This Row],[DiasNuevo]]</f>
        <v>45094</v>
      </c>
      <c r="I639">
        <v>13</v>
      </c>
      <c r="J639" t="s">
        <v>25</v>
      </c>
      <c r="K639" s="3">
        <v>4861.05</v>
      </c>
      <c r="L639" t="b">
        <f>TablaDatos[[#This Row],[FechaAlta]] &lt; TablaDatos[[#This Row],[FechaIngreso]]</f>
        <v>0</v>
      </c>
      <c r="M639">
        <f>_xlfn.XLOOKUP(TablaDatos[[#This Row],[PacienteID]],'Datos_Ejemplo.csv'!A:A,'Datos_Ejemplo.csv'!I:I)</f>
        <v>13</v>
      </c>
      <c r="N639">
        <f>ABS(TablaDatos[[#This Row],[DiasOriginal]])</f>
        <v>13</v>
      </c>
      <c r="O639" s="1">
        <f>TablaDatos[[#This Row],[FechaIngreso]]+TablaDatos[[#This Row],[DiasNuevo]]</f>
        <v>45094</v>
      </c>
    </row>
    <row r="640" spans="1:15">
      <c r="A640">
        <v>639</v>
      </c>
      <c r="B640" t="s">
        <v>250</v>
      </c>
      <c r="C640" s="1">
        <v>13880</v>
      </c>
      <c r="D640">
        <f ca="1">DATEDIF(TablaDatos[[#This Row],[FechaNacimiento]],TODAY(),"Y")</f>
        <v>88</v>
      </c>
      <c r="E640" s="4" t="s">
        <v>12</v>
      </c>
      <c r="F640" t="s">
        <v>21</v>
      </c>
      <c r="G640" s="1">
        <v>45462</v>
      </c>
      <c r="H640" s="1">
        <f>TablaDatos[[#This Row],[FechaIngreso]]+TablaDatos[[#This Row],[DiasNuevo]]</f>
        <v>45492</v>
      </c>
      <c r="I640">
        <v>30</v>
      </c>
      <c r="J640" t="s">
        <v>25</v>
      </c>
      <c r="K640" s="3">
        <v>3281.47</v>
      </c>
      <c r="L640" t="b">
        <f>TablaDatos[[#This Row],[FechaAlta]] &lt; TablaDatos[[#This Row],[FechaIngreso]]</f>
        <v>0</v>
      </c>
      <c r="M640">
        <f>_xlfn.XLOOKUP(TablaDatos[[#This Row],[PacienteID]],'Datos_Ejemplo.csv'!A:A,'Datos_Ejemplo.csv'!I:I)</f>
        <v>30</v>
      </c>
      <c r="N640">
        <f>ABS(TablaDatos[[#This Row],[DiasOriginal]])</f>
        <v>30</v>
      </c>
      <c r="O640" s="1">
        <f>TablaDatos[[#This Row],[FechaIngreso]]+TablaDatos[[#This Row],[DiasNuevo]]</f>
        <v>45492</v>
      </c>
    </row>
    <row r="641" spans="1:15">
      <c r="A641">
        <v>640</v>
      </c>
      <c r="B641" t="s">
        <v>298</v>
      </c>
      <c r="C641" s="1">
        <v>29951</v>
      </c>
      <c r="D641">
        <v>44</v>
      </c>
      <c r="E641" s="4" t="s">
        <v>15</v>
      </c>
      <c r="F641" t="s">
        <v>18</v>
      </c>
      <c r="G641" s="1">
        <v>45025</v>
      </c>
      <c r="H641" s="1">
        <f>TablaDatos[[#This Row],[FechaIngreso]]+TablaDatos[[#This Row],[DiasNuevo]]</f>
        <v>45063</v>
      </c>
      <c r="I641">
        <v>38</v>
      </c>
      <c r="J641" t="s">
        <v>23</v>
      </c>
      <c r="K641" s="3">
        <v>13447.39</v>
      </c>
      <c r="L641" t="b">
        <f>TablaDatos[[#This Row],[FechaAlta]] &lt; TablaDatos[[#This Row],[FechaIngreso]]</f>
        <v>0</v>
      </c>
      <c r="M641">
        <f>_xlfn.XLOOKUP(TablaDatos[[#This Row],[PacienteID]],'Datos_Ejemplo.csv'!A:A,'Datos_Ejemplo.csv'!I:I)</f>
        <v>38</v>
      </c>
      <c r="N641">
        <f>ABS(TablaDatos[[#This Row],[DiasOriginal]])</f>
        <v>38</v>
      </c>
      <c r="O641" s="1">
        <f>TablaDatos[[#This Row],[FechaIngreso]]+TablaDatos[[#This Row],[DiasNuevo]]</f>
        <v>45063</v>
      </c>
    </row>
    <row r="642" spans="1:15">
      <c r="A642">
        <v>641</v>
      </c>
      <c r="B642" t="s">
        <v>245</v>
      </c>
      <c r="C642" s="1">
        <v>44927</v>
      </c>
      <c r="D642">
        <v>3</v>
      </c>
      <c r="E642" s="4" t="s">
        <v>15</v>
      </c>
      <c r="F642" t="s">
        <v>21</v>
      </c>
      <c r="G642" s="1">
        <v>45323</v>
      </c>
      <c r="H642" s="1">
        <f>TablaDatos[[#This Row],[FechaIngreso]]+TablaDatos[[#This Row],[DiasNuevo]]</f>
        <v>45361</v>
      </c>
      <c r="I642">
        <v>38</v>
      </c>
      <c r="J642" t="s">
        <v>25</v>
      </c>
      <c r="K642" s="3">
        <v>8358.75</v>
      </c>
      <c r="L642" t="b">
        <f>TablaDatos[[#This Row],[FechaAlta]] &lt; TablaDatos[[#This Row],[FechaIngreso]]</f>
        <v>0</v>
      </c>
      <c r="M642">
        <f>_xlfn.XLOOKUP(TablaDatos[[#This Row],[PacienteID]],'Datos_Ejemplo.csv'!A:A,'Datos_Ejemplo.csv'!I:I)</f>
        <v>38</v>
      </c>
      <c r="N642">
        <f>ABS(TablaDatos[[#This Row],[DiasOriginal]])</f>
        <v>38</v>
      </c>
      <c r="O642" s="1">
        <f>TablaDatos[[#This Row],[FechaIngreso]]+TablaDatos[[#This Row],[DiasNuevo]]</f>
        <v>45361</v>
      </c>
    </row>
    <row r="643" spans="1:15">
      <c r="A643">
        <v>642</v>
      </c>
      <c r="B643" t="s">
        <v>347</v>
      </c>
      <c r="C643" s="1">
        <v>33239</v>
      </c>
      <c r="D643">
        <v>35</v>
      </c>
      <c r="E643" s="4" t="s">
        <v>15</v>
      </c>
      <c r="F643" t="s">
        <v>295</v>
      </c>
      <c r="G643" s="1">
        <v>45097</v>
      </c>
      <c r="H643" s="1">
        <f>TablaDatos[[#This Row],[FechaIngreso]]+TablaDatos[[#This Row],[DiasNuevo]]</f>
        <v>45126</v>
      </c>
      <c r="I643">
        <v>29</v>
      </c>
      <c r="J643" t="s">
        <v>23</v>
      </c>
      <c r="K643" s="3">
        <v>10709.61</v>
      </c>
      <c r="L643" t="b">
        <f>TablaDatos[[#This Row],[FechaAlta]] &lt; TablaDatos[[#This Row],[FechaIngreso]]</f>
        <v>0</v>
      </c>
      <c r="M643">
        <f>_xlfn.XLOOKUP(TablaDatos[[#This Row],[PacienteID]],'Datos_Ejemplo.csv'!A:A,'Datos_Ejemplo.csv'!I:I)</f>
        <v>29</v>
      </c>
      <c r="N643">
        <f>ABS(TablaDatos[[#This Row],[DiasOriginal]])</f>
        <v>29</v>
      </c>
      <c r="O643" s="1">
        <f>TablaDatos[[#This Row],[FechaIngreso]]+TablaDatos[[#This Row],[DiasNuevo]]</f>
        <v>45126</v>
      </c>
    </row>
    <row r="644" spans="1:15">
      <c r="A644">
        <v>643</v>
      </c>
      <c r="B644" t="s">
        <v>249</v>
      </c>
      <c r="C644" s="1">
        <v>20820</v>
      </c>
      <c r="D644">
        <f ca="1">DATEDIF(TablaDatos[[#This Row],[FechaNacimiento]],TODAY(),"Y")</f>
        <v>69</v>
      </c>
      <c r="E644" s="4" t="s">
        <v>15</v>
      </c>
      <c r="F644" t="s">
        <v>21</v>
      </c>
      <c r="G644" s="1">
        <v>45074</v>
      </c>
      <c r="H644" s="1">
        <f>TablaDatos[[#This Row],[FechaIngreso]]+TablaDatos[[#This Row],[DiasNuevo]]</f>
        <v>45081</v>
      </c>
      <c r="I644">
        <v>7</v>
      </c>
      <c r="J644" t="s">
        <v>25</v>
      </c>
      <c r="K644" s="3">
        <v>851.47</v>
      </c>
      <c r="L644" t="b">
        <f>TablaDatos[[#This Row],[FechaAlta]] &lt; TablaDatos[[#This Row],[FechaIngreso]]</f>
        <v>0</v>
      </c>
      <c r="M644">
        <f>_xlfn.XLOOKUP(TablaDatos[[#This Row],[PacienteID]],'Datos_Ejemplo.csv'!A:A,'Datos_Ejemplo.csv'!I:I)</f>
        <v>7</v>
      </c>
      <c r="N644">
        <f>ABS(TablaDatos[[#This Row],[DiasOriginal]])</f>
        <v>7</v>
      </c>
      <c r="O644" s="1">
        <f>TablaDatos[[#This Row],[FechaIngreso]]+TablaDatos[[#This Row],[DiasNuevo]]</f>
        <v>45081</v>
      </c>
    </row>
    <row r="645" spans="1:15">
      <c r="A645">
        <v>644</v>
      </c>
      <c r="B645" t="s">
        <v>337</v>
      </c>
      <c r="C645" s="1">
        <v>35065</v>
      </c>
      <c r="D645">
        <v>30</v>
      </c>
      <c r="E645" s="4" t="s">
        <v>12</v>
      </c>
      <c r="F645" t="s">
        <v>261</v>
      </c>
      <c r="G645" s="1">
        <v>45049</v>
      </c>
      <c r="H645" s="1">
        <f>TablaDatos[[#This Row],[FechaIngreso]]+TablaDatos[[#This Row],[DiasNuevo]]</f>
        <v>45061</v>
      </c>
      <c r="I645">
        <v>12</v>
      </c>
      <c r="J645" t="s">
        <v>23</v>
      </c>
      <c r="K645" s="3">
        <v>17211.099999999999</v>
      </c>
      <c r="L645" t="b">
        <f>TablaDatos[[#This Row],[FechaAlta]] &lt; TablaDatos[[#This Row],[FechaIngreso]]</f>
        <v>0</v>
      </c>
      <c r="M645">
        <f>_xlfn.XLOOKUP(TablaDatos[[#This Row],[PacienteID]],'Datos_Ejemplo.csv'!A:A,'Datos_Ejemplo.csv'!I:I)</f>
        <v>12</v>
      </c>
      <c r="N645">
        <f>ABS(TablaDatos[[#This Row],[DiasOriginal]])</f>
        <v>12</v>
      </c>
      <c r="O645" s="1">
        <f>TablaDatos[[#This Row],[FechaIngreso]]+TablaDatos[[#This Row],[DiasNuevo]]</f>
        <v>45061</v>
      </c>
    </row>
    <row r="646" spans="1:15">
      <c r="A646">
        <v>645</v>
      </c>
      <c r="B646" t="s">
        <v>307</v>
      </c>
      <c r="C646" s="1">
        <v>39448</v>
      </c>
      <c r="D646">
        <v>18</v>
      </c>
      <c r="E646" s="4" t="s">
        <v>15</v>
      </c>
      <c r="F646" t="s">
        <v>295</v>
      </c>
      <c r="G646" s="1">
        <v>45038</v>
      </c>
      <c r="H646" s="1">
        <f>TablaDatos[[#This Row],[FechaIngreso]]+TablaDatos[[#This Row],[DiasNuevo]]</f>
        <v>45051</v>
      </c>
      <c r="I646">
        <v>13</v>
      </c>
      <c r="J646" t="s">
        <v>23</v>
      </c>
      <c r="K646" s="3">
        <v>3328.49</v>
      </c>
      <c r="L646" t="b">
        <f>TablaDatos[[#This Row],[FechaAlta]] &lt; TablaDatos[[#This Row],[FechaIngreso]]</f>
        <v>0</v>
      </c>
      <c r="M646">
        <f>_xlfn.XLOOKUP(TablaDatos[[#This Row],[PacienteID]],'Datos_Ejemplo.csv'!A:A,'Datos_Ejemplo.csv'!I:I)</f>
        <v>13</v>
      </c>
      <c r="N646">
        <f>ABS(TablaDatos[[#This Row],[DiasOriginal]])</f>
        <v>13</v>
      </c>
      <c r="O646" s="1">
        <f>TablaDatos[[#This Row],[FechaIngreso]]+TablaDatos[[#This Row],[DiasNuevo]]</f>
        <v>45051</v>
      </c>
    </row>
    <row r="647" spans="1:15">
      <c r="A647">
        <v>646</v>
      </c>
      <c r="B647" t="s">
        <v>326</v>
      </c>
      <c r="C647" s="1">
        <v>24107</v>
      </c>
      <c r="D647">
        <v>60</v>
      </c>
      <c r="E647" s="4" t="s">
        <v>12</v>
      </c>
      <c r="F647" t="s">
        <v>261</v>
      </c>
      <c r="G647" s="1">
        <v>45056</v>
      </c>
      <c r="H647" s="1">
        <f>TablaDatos[[#This Row],[FechaIngreso]]+TablaDatos[[#This Row],[DiasNuevo]]</f>
        <v>45080</v>
      </c>
      <c r="I647">
        <v>24</v>
      </c>
      <c r="J647" t="s">
        <v>25</v>
      </c>
      <c r="K647" s="3">
        <v>7139.06</v>
      </c>
      <c r="L647" t="b">
        <f>TablaDatos[[#This Row],[FechaAlta]] &lt; TablaDatos[[#This Row],[FechaIngreso]]</f>
        <v>0</v>
      </c>
      <c r="M647">
        <f>_xlfn.XLOOKUP(TablaDatos[[#This Row],[PacienteID]],'Datos_Ejemplo.csv'!A:A,'Datos_Ejemplo.csv'!I:I)</f>
        <v>24</v>
      </c>
      <c r="N647">
        <f>ABS(TablaDatos[[#This Row],[DiasOriginal]])</f>
        <v>24</v>
      </c>
      <c r="O647" s="1">
        <f>TablaDatos[[#This Row],[FechaIngreso]]+TablaDatos[[#This Row],[DiasNuevo]]</f>
        <v>45080</v>
      </c>
    </row>
    <row r="648" spans="1:15">
      <c r="A648">
        <v>647</v>
      </c>
      <c r="B648" t="s">
        <v>66</v>
      </c>
      <c r="C648" s="1">
        <v>26664</v>
      </c>
      <c r="D648">
        <v>53</v>
      </c>
      <c r="E648" s="4" t="s">
        <v>12</v>
      </c>
      <c r="F648" t="s">
        <v>201</v>
      </c>
      <c r="G648" s="1">
        <v>44994</v>
      </c>
      <c r="H648" s="1">
        <f>TablaDatos[[#This Row],[FechaIngreso]]+TablaDatos[[#This Row],[DiasNuevo]]</f>
        <v>45023</v>
      </c>
      <c r="I648">
        <v>29</v>
      </c>
      <c r="J648" t="s">
        <v>23</v>
      </c>
      <c r="K648" s="3">
        <v>1345.22</v>
      </c>
      <c r="L648" t="b">
        <f>TablaDatos[[#This Row],[FechaAlta]] &lt; TablaDatos[[#This Row],[FechaIngreso]]</f>
        <v>0</v>
      </c>
      <c r="M648">
        <f>_xlfn.XLOOKUP(TablaDatos[[#This Row],[PacienteID]],'Datos_Ejemplo.csv'!A:A,'Datos_Ejemplo.csv'!I:I)</f>
        <v>29</v>
      </c>
      <c r="N648">
        <f>ABS(TablaDatos[[#This Row],[DiasOriginal]])</f>
        <v>29</v>
      </c>
      <c r="O648" s="1">
        <f>TablaDatos[[#This Row],[FechaIngreso]]+TablaDatos[[#This Row],[DiasNuevo]]</f>
        <v>45023</v>
      </c>
    </row>
    <row r="649" spans="1:15">
      <c r="A649">
        <v>648</v>
      </c>
      <c r="B649" t="s">
        <v>283</v>
      </c>
      <c r="C649" s="1">
        <v>32143</v>
      </c>
      <c r="D649">
        <v>38</v>
      </c>
      <c r="E649" s="4" t="s">
        <v>12</v>
      </c>
      <c r="F649" t="s">
        <v>201</v>
      </c>
      <c r="G649" s="1">
        <v>45655</v>
      </c>
      <c r="H649" s="1">
        <f>TablaDatos[[#This Row],[FechaIngreso]]+TablaDatos[[#This Row],[DiasNuevo]]</f>
        <v>45658</v>
      </c>
      <c r="I649">
        <v>3</v>
      </c>
      <c r="J649" t="s">
        <v>23</v>
      </c>
      <c r="K649" s="3">
        <v>2649.54</v>
      </c>
      <c r="L649" t="b">
        <f>TablaDatos[[#This Row],[FechaAlta]] &lt; TablaDatos[[#This Row],[FechaIngreso]]</f>
        <v>0</v>
      </c>
      <c r="M649">
        <f>_xlfn.XLOOKUP(TablaDatos[[#This Row],[PacienteID]],'Datos_Ejemplo.csv'!A:A,'Datos_Ejemplo.csv'!I:I)</f>
        <v>3</v>
      </c>
      <c r="N649">
        <f>ABS(TablaDatos[[#This Row],[DiasOriginal]])</f>
        <v>3</v>
      </c>
      <c r="O649" s="1">
        <f>TablaDatos[[#This Row],[FechaIngreso]]+TablaDatos[[#This Row],[DiasNuevo]]</f>
        <v>45658</v>
      </c>
    </row>
    <row r="650" spans="1:15">
      <c r="A650">
        <v>649</v>
      </c>
      <c r="B650" t="s">
        <v>255</v>
      </c>
      <c r="C650" s="1">
        <v>13150</v>
      </c>
      <c r="D650">
        <f ca="1">DATEDIF(TablaDatos[[#This Row],[FechaNacimiento]],TODAY(),"Y")</f>
        <v>90</v>
      </c>
      <c r="E650" s="4" t="s">
        <v>15</v>
      </c>
      <c r="F650" t="s">
        <v>21</v>
      </c>
      <c r="G650" s="1">
        <v>45534</v>
      </c>
      <c r="H650" s="1">
        <f>TablaDatos[[#This Row],[FechaIngreso]]+TablaDatos[[#This Row],[DiasNuevo]]</f>
        <v>45567</v>
      </c>
      <c r="I650">
        <v>33</v>
      </c>
      <c r="J650" t="s">
        <v>25</v>
      </c>
      <c r="K650" s="3">
        <v>13282.57</v>
      </c>
      <c r="L650" t="b">
        <f>TablaDatos[[#This Row],[FechaAlta]] &lt; TablaDatos[[#This Row],[FechaIngreso]]</f>
        <v>0</v>
      </c>
      <c r="M650">
        <f>_xlfn.XLOOKUP(TablaDatos[[#This Row],[PacienteID]],'Datos_Ejemplo.csv'!A:A,'Datos_Ejemplo.csv'!I:I)</f>
        <v>33</v>
      </c>
      <c r="N650">
        <f>ABS(TablaDatos[[#This Row],[DiasOriginal]])</f>
        <v>33</v>
      </c>
      <c r="O650" s="1">
        <f>TablaDatos[[#This Row],[FechaIngreso]]+TablaDatos[[#This Row],[DiasNuevo]]</f>
        <v>45567</v>
      </c>
    </row>
    <row r="651" spans="1:15">
      <c r="A651">
        <v>650</v>
      </c>
      <c r="B651" t="s">
        <v>284</v>
      </c>
      <c r="C651" s="1">
        <v>19359</v>
      </c>
      <c r="D651">
        <v>73</v>
      </c>
      <c r="E651" s="4" t="s">
        <v>15</v>
      </c>
      <c r="F651" t="s">
        <v>295</v>
      </c>
      <c r="G651" s="1">
        <v>45583</v>
      </c>
      <c r="H651" s="1">
        <f>TablaDatos[[#This Row],[FechaIngreso]]+TablaDatos[[#This Row],[DiasNuevo]]</f>
        <v>45588</v>
      </c>
      <c r="I651">
        <v>5</v>
      </c>
      <c r="J651" t="s">
        <v>23</v>
      </c>
      <c r="K651" s="3">
        <v>13821</v>
      </c>
      <c r="L651" t="b">
        <f>TablaDatos[[#This Row],[FechaAlta]] &lt; TablaDatos[[#This Row],[FechaIngreso]]</f>
        <v>0</v>
      </c>
      <c r="M651">
        <f>_xlfn.XLOOKUP(TablaDatos[[#This Row],[PacienteID]],'Datos_Ejemplo.csv'!A:A,'Datos_Ejemplo.csv'!I:I)</f>
        <v>5</v>
      </c>
      <c r="N651">
        <f>ABS(TablaDatos[[#This Row],[DiasOriginal]])</f>
        <v>5</v>
      </c>
      <c r="O651" s="1">
        <f>TablaDatos[[#This Row],[FechaIngreso]]+TablaDatos[[#This Row],[DiasNuevo]]</f>
        <v>45588</v>
      </c>
    </row>
    <row r="652" spans="1:15">
      <c r="A652">
        <v>651</v>
      </c>
      <c r="B652" t="s">
        <v>273</v>
      </c>
      <c r="C652" s="1">
        <v>13515</v>
      </c>
      <c r="D652">
        <v>89</v>
      </c>
      <c r="E652" s="4" t="s">
        <v>12</v>
      </c>
      <c r="F652" t="s">
        <v>295</v>
      </c>
      <c r="G652" s="1">
        <v>45471</v>
      </c>
      <c r="H652" s="1">
        <f>TablaDatos[[#This Row],[FechaIngreso]]+TablaDatos[[#This Row],[DiasNuevo]]</f>
        <v>45493</v>
      </c>
      <c r="I652">
        <v>22</v>
      </c>
      <c r="J652" t="s">
        <v>25</v>
      </c>
      <c r="K652" s="3">
        <v>13507.01</v>
      </c>
      <c r="L652" t="b">
        <f>TablaDatos[[#This Row],[FechaAlta]] &lt; TablaDatos[[#This Row],[FechaIngreso]]</f>
        <v>0</v>
      </c>
      <c r="M652">
        <f>_xlfn.XLOOKUP(TablaDatos[[#This Row],[PacienteID]],'Datos_Ejemplo.csv'!A:A,'Datos_Ejemplo.csv'!I:I)</f>
        <v>22</v>
      </c>
      <c r="N652">
        <f>ABS(TablaDatos[[#This Row],[DiasOriginal]])</f>
        <v>22</v>
      </c>
      <c r="O652" s="1">
        <f>TablaDatos[[#This Row],[FechaIngreso]]+TablaDatos[[#This Row],[DiasNuevo]]</f>
        <v>45493</v>
      </c>
    </row>
    <row r="653" spans="1:15">
      <c r="A653">
        <v>652</v>
      </c>
      <c r="B653" t="s">
        <v>55</v>
      </c>
      <c r="C653" s="1">
        <v>39448</v>
      </c>
      <c r="D653">
        <v>18</v>
      </c>
      <c r="E653" s="4" t="s">
        <v>12</v>
      </c>
      <c r="F653" t="s">
        <v>201</v>
      </c>
      <c r="G653" s="1">
        <v>45212</v>
      </c>
      <c r="H653" s="1">
        <f>TablaDatos[[#This Row],[FechaIngreso]]+TablaDatos[[#This Row],[DiasNuevo]]</f>
        <v>45216</v>
      </c>
      <c r="I653">
        <v>4</v>
      </c>
      <c r="J653" t="s">
        <v>19</v>
      </c>
      <c r="K653" s="3">
        <v>10997.95</v>
      </c>
      <c r="L653" t="b">
        <f>TablaDatos[[#This Row],[FechaAlta]] &lt; TablaDatos[[#This Row],[FechaIngreso]]</f>
        <v>0</v>
      </c>
      <c r="M653">
        <f>_xlfn.XLOOKUP(TablaDatos[[#This Row],[PacienteID]],'Datos_Ejemplo.csv'!A:A,'Datos_Ejemplo.csv'!I:I)</f>
        <v>4</v>
      </c>
      <c r="N653">
        <f>ABS(TablaDatos[[#This Row],[DiasOriginal]])</f>
        <v>4</v>
      </c>
      <c r="O653" s="1">
        <f>TablaDatos[[#This Row],[FechaIngreso]]+TablaDatos[[#This Row],[DiasNuevo]]</f>
        <v>45216</v>
      </c>
    </row>
    <row r="654" spans="1:15">
      <c r="A654">
        <v>653</v>
      </c>
      <c r="B654" t="s">
        <v>303</v>
      </c>
      <c r="C654" s="1">
        <v>32143</v>
      </c>
      <c r="D654">
        <v>38</v>
      </c>
      <c r="E654" s="4" t="s">
        <v>15</v>
      </c>
      <c r="F654" t="s">
        <v>21</v>
      </c>
      <c r="G654" s="1">
        <v>44931</v>
      </c>
      <c r="H654" s="1">
        <f>TablaDatos[[#This Row],[FechaIngreso]]+TablaDatos[[#This Row],[DiasNuevo]]</f>
        <v>44945</v>
      </c>
      <c r="I654">
        <v>14</v>
      </c>
      <c r="J654" t="s">
        <v>23</v>
      </c>
      <c r="K654" s="3">
        <v>19045.689999999999</v>
      </c>
      <c r="L654" t="b">
        <f>TablaDatos[[#This Row],[FechaAlta]] &lt; TablaDatos[[#This Row],[FechaIngreso]]</f>
        <v>0</v>
      </c>
      <c r="M654">
        <f>_xlfn.XLOOKUP(TablaDatos[[#This Row],[PacienteID]],'Datos_Ejemplo.csv'!A:A,'Datos_Ejemplo.csv'!I:I)</f>
        <v>14</v>
      </c>
      <c r="N654">
        <f>ABS(TablaDatos[[#This Row],[DiasOriginal]])</f>
        <v>14</v>
      </c>
      <c r="O654" s="1">
        <f>TablaDatos[[#This Row],[FechaIngreso]]+TablaDatos[[#This Row],[DiasNuevo]]</f>
        <v>44945</v>
      </c>
    </row>
    <row r="655" spans="1:15">
      <c r="A655">
        <v>654</v>
      </c>
      <c r="B655" t="s">
        <v>307</v>
      </c>
      <c r="C655" s="1">
        <v>21916</v>
      </c>
      <c r="D655">
        <v>66</v>
      </c>
      <c r="E655" s="4" t="s">
        <v>15</v>
      </c>
      <c r="F655" t="s">
        <v>32</v>
      </c>
      <c r="G655" s="1">
        <v>45044</v>
      </c>
      <c r="H655" s="1">
        <f>TablaDatos[[#This Row],[FechaIngreso]]+TablaDatos[[#This Row],[DiasNuevo]]</f>
        <v>45071</v>
      </c>
      <c r="I655">
        <v>27</v>
      </c>
      <c r="J655" t="s">
        <v>19</v>
      </c>
      <c r="K655" s="3">
        <v>10094.26</v>
      </c>
      <c r="L655" t="b">
        <f>TablaDatos[[#This Row],[FechaAlta]] &lt; TablaDatos[[#This Row],[FechaIngreso]]</f>
        <v>0</v>
      </c>
      <c r="M655">
        <f>_xlfn.XLOOKUP(TablaDatos[[#This Row],[PacienteID]],'Datos_Ejemplo.csv'!A:A,'Datos_Ejemplo.csv'!I:I)</f>
        <v>27</v>
      </c>
      <c r="N655">
        <f>ABS(TablaDatos[[#This Row],[DiasOriginal]])</f>
        <v>27</v>
      </c>
      <c r="O655" s="1">
        <f>TablaDatos[[#This Row],[FechaIngreso]]+TablaDatos[[#This Row],[DiasNuevo]]</f>
        <v>45071</v>
      </c>
    </row>
    <row r="656" spans="1:15">
      <c r="A656">
        <v>655</v>
      </c>
      <c r="B656" t="s">
        <v>334</v>
      </c>
      <c r="C656" s="1">
        <v>29951</v>
      </c>
      <c r="D656">
        <v>44</v>
      </c>
      <c r="E656" s="4" t="s">
        <v>15</v>
      </c>
      <c r="F656" t="s">
        <v>13</v>
      </c>
      <c r="G656" s="1">
        <v>45578</v>
      </c>
      <c r="H656" s="1">
        <f>TablaDatos[[#This Row],[FechaIngreso]]+TablaDatos[[#This Row],[DiasNuevo]]</f>
        <v>45579</v>
      </c>
      <c r="I656">
        <v>1</v>
      </c>
      <c r="J656" t="s">
        <v>23</v>
      </c>
      <c r="K656" s="3">
        <v>8933.18</v>
      </c>
      <c r="L656" t="b">
        <f>TablaDatos[[#This Row],[FechaAlta]] &lt; TablaDatos[[#This Row],[FechaIngreso]]</f>
        <v>0</v>
      </c>
      <c r="M656">
        <f>_xlfn.XLOOKUP(TablaDatos[[#This Row],[PacienteID]],'Datos_Ejemplo.csv'!A:A,'Datos_Ejemplo.csv'!I:I)</f>
        <v>-1</v>
      </c>
      <c r="N656">
        <f>ABS(TablaDatos[[#This Row],[DiasOriginal]])</f>
        <v>1</v>
      </c>
      <c r="O656" s="1">
        <f>TablaDatos[[#This Row],[FechaIngreso]]+TablaDatos[[#This Row],[DiasNuevo]]</f>
        <v>45579</v>
      </c>
    </row>
    <row r="657" spans="1:15">
      <c r="A657">
        <v>656</v>
      </c>
      <c r="B657" t="s">
        <v>339</v>
      </c>
      <c r="C657" s="1">
        <v>41639</v>
      </c>
      <c r="D657">
        <v>12</v>
      </c>
      <c r="E657" s="4" t="s">
        <v>12</v>
      </c>
      <c r="F657" t="s">
        <v>13</v>
      </c>
      <c r="G657" s="1">
        <v>45156</v>
      </c>
      <c r="H657" s="1">
        <f>TablaDatos[[#This Row],[FechaIngreso]]+TablaDatos[[#This Row],[DiasNuevo]]</f>
        <v>45170</v>
      </c>
      <c r="I657">
        <v>14</v>
      </c>
      <c r="J657" t="s">
        <v>19</v>
      </c>
      <c r="K657" s="3">
        <v>4875.67</v>
      </c>
      <c r="L657" t="b">
        <f>TablaDatos[[#This Row],[FechaAlta]] &lt; TablaDatos[[#This Row],[FechaIngreso]]</f>
        <v>0</v>
      </c>
      <c r="M657">
        <f>_xlfn.XLOOKUP(TablaDatos[[#This Row],[PacienteID]],'Datos_Ejemplo.csv'!A:A,'Datos_Ejemplo.csv'!I:I)</f>
        <v>14</v>
      </c>
      <c r="N657">
        <f>ABS(TablaDatos[[#This Row],[DiasOriginal]])</f>
        <v>14</v>
      </c>
      <c r="O657" s="1">
        <f>TablaDatos[[#This Row],[FechaIngreso]]+TablaDatos[[#This Row],[DiasNuevo]]</f>
        <v>45170</v>
      </c>
    </row>
    <row r="658" spans="1:15">
      <c r="A658">
        <v>657</v>
      </c>
      <c r="B658" t="s">
        <v>360</v>
      </c>
      <c r="C658" s="1">
        <v>12785</v>
      </c>
      <c r="D658">
        <f ca="1">DATEDIF(TablaDatos[[#This Row],[FechaNacimiento]],TODAY(),"Y")</f>
        <v>91</v>
      </c>
      <c r="E658" s="4" t="s">
        <v>15</v>
      </c>
      <c r="F658" t="s">
        <v>13</v>
      </c>
      <c r="G658" s="1">
        <v>45086</v>
      </c>
      <c r="H658" s="1">
        <f>TablaDatos[[#This Row],[FechaIngreso]]+TablaDatos[[#This Row],[DiasNuevo]]</f>
        <v>45087</v>
      </c>
      <c r="I658">
        <v>1</v>
      </c>
      <c r="J658" t="s">
        <v>25</v>
      </c>
      <c r="K658" s="3">
        <v>1886.88</v>
      </c>
      <c r="L658" t="b">
        <f>TablaDatos[[#This Row],[FechaAlta]] &lt; TablaDatos[[#This Row],[FechaIngreso]]</f>
        <v>0</v>
      </c>
      <c r="M658">
        <f>_xlfn.XLOOKUP(TablaDatos[[#This Row],[PacienteID]],'Datos_Ejemplo.csv'!A:A,'Datos_Ejemplo.csv'!I:I)</f>
        <v>1</v>
      </c>
      <c r="N658">
        <f>ABS(TablaDatos[[#This Row],[DiasOriginal]])</f>
        <v>1</v>
      </c>
      <c r="O658" s="1">
        <f>TablaDatos[[#This Row],[FechaIngreso]]+TablaDatos[[#This Row],[DiasNuevo]]</f>
        <v>45087</v>
      </c>
    </row>
    <row r="659" spans="1:15">
      <c r="A659">
        <v>658</v>
      </c>
      <c r="B659" t="s">
        <v>254</v>
      </c>
      <c r="C659" s="1">
        <v>25203</v>
      </c>
      <c r="D659">
        <v>57</v>
      </c>
      <c r="E659" s="4" t="s">
        <v>12</v>
      </c>
      <c r="F659" t="s">
        <v>295</v>
      </c>
      <c r="G659" s="1">
        <v>45220</v>
      </c>
      <c r="H659" s="1">
        <f>TablaDatos[[#This Row],[FechaIngreso]]+TablaDatos[[#This Row],[DiasNuevo]]</f>
        <v>45243</v>
      </c>
      <c r="I659">
        <v>23</v>
      </c>
      <c r="J659" t="s">
        <v>19</v>
      </c>
      <c r="K659" s="3">
        <v>10917.91</v>
      </c>
      <c r="L659" t="b">
        <f>TablaDatos[[#This Row],[FechaAlta]] &lt; TablaDatos[[#This Row],[FechaIngreso]]</f>
        <v>0</v>
      </c>
      <c r="M659">
        <f>_xlfn.XLOOKUP(TablaDatos[[#This Row],[PacienteID]],'Datos_Ejemplo.csv'!A:A,'Datos_Ejemplo.csv'!I:I)</f>
        <v>23</v>
      </c>
      <c r="N659">
        <f>ABS(TablaDatos[[#This Row],[DiasOriginal]])</f>
        <v>23</v>
      </c>
      <c r="O659" s="1">
        <f>TablaDatos[[#This Row],[FechaIngreso]]+TablaDatos[[#This Row],[DiasNuevo]]</f>
        <v>45243</v>
      </c>
    </row>
    <row r="660" spans="1:15">
      <c r="A660">
        <v>659</v>
      </c>
      <c r="B660" t="s">
        <v>231</v>
      </c>
      <c r="C660" s="1">
        <v>39083</v>
      </c>
      <c r="D660">
        <v>19</v>
      </c>
      <c r="E660" s="4" t="s">
        <v>15</v>
      </c>
      <c r="F660" t="s">
        <v>201</v>
      </c>
      <c r="G660" s="1">
        <v>45112</v>
      </c>
      <c r="H660" s="1">
        <f>TablaDatos[[#This Row],[FechaIngreso]]+TablaDatos[[#This Row],[DiasNuevo]]</f>
        <v>45123</v>
      </c>
      <c r="I660">
        <v>11</v>
      </c>
      <c r="J660" t="s">
        <v>25</v>
      </c>
      <c r="K660" s="3">
        <v>6229.29</v>
      </c>
      <c r="L660" t="b">
        <f>TablaDatos[[#This Row],[FechaAlta]] &lt; TablaDatos[[#This Row],[FechaIngreso]]</f>
        <v>0</v>
      </c>
      <c r="M660">
        <f>_xlfn.XLOOKUP(TablaDatos[[#This Row],[PacienteID]],'Datos_Ejemplo.csv'!A:A,'Datos_Ejemplo.csv'!I:I)</f>
        <v>11</v>
      </c>
      <c r="N660">
        <f>ABS(TablaDatos[[#This Row],[DiasOriginal]])</f>
        <v>11</v>
      </c>
      <c r="O660" s="1">
        <f>TablaDatos[[#This Row],[FechaIngreso]]+TablaDatos[[#This Row],[DiasNuevo]]</f>
        <v>45123</v>
      </c>
    </row>
    <row r="661" spans="1:15">
      <c r="A661">
        <v>660</v>
      </c>
      <c r="B661" t="s">
        <v>305</v>
      </c>
      <c r="C661" s="1">
        <v>12785</v>
      </c>
      <c r="D661">
        <v>91</v>
      </c>
      <c r="E661" s="4" t="s">
        <v>12</v>
      </c>
      <c r="F661" t="s">
        <v>13</v>
      </c>
      <c r="G661" s="1">
        <v>45478</v>
      </c>
      <c r="H661" s="1">
        <f>TablaDatos[[#This Row],[FechaIngreso]]+TablaDatos[[#This Row],[DiasNuevo]]</f>
        <v>45483</v>
      </c>
      <c r="I661">
        <v>5</v>
      </c>
      <c r="J661" t="s">
        <v>23</v>
      </c>
      <c r="K661" s="3">
        <v>10432.91</v>
      </c>
      <c r="L661" t="b">
        <f>TablaDatos[[#This Row],[FechaAlta]] &lt; TablaDatos[[#This Row],[FechaIngreso]]</f>
        <v>0</v>
      </c>
      <c r="M661">
        <f>_xlfn.XLOOKUP(TablaDatos[[#This Row],[PacienteID]],'Datos_Ejemplo.csv'!A:A,'Datos_Ejemplo.csv'!I:I)</f>
        <v>5</v>
      </c>
      <c r="N661">
        <f>ABS(TablaDatos[[#This Row],[DiasOriginal]])</f>
        <v>5</v>
      </c>
      <c r="O661" s="1">
        <f>TablaDatos[[#This Row],[FechaIngreso]]+TablaDatos[[#This Row],[DiasNuevo]]</f>
        <v>45483</v>
      </c>
    </row>
    <row r="662" spans="1:15">
      <c r="A662">
        <v>661</v>
      </c>
      <c r="B662" t="s">
        <v>286</v>
      </c>
      <c r="C662" s="1">
        <v>20090</v>
      </c>
      <c r="D662">
        <v>71</v>
      </c>
      <c r="E662" s="4" t="s">
        <v>12</v>
      </c>
      <c r="F662" t="s">
        <v>201</v>
      </c>
      <c r="G662" s="1">
        <v>45150</v>
      </c>
      <c r="H662" s="1">
        <f>TablaDatos[[#This Row],[FechaIngreso]]+TablaDatos[[#This Row],[DiasNuevo]]</f>
        <v>45152</v>
      </c>
      <c r="I662">
        <v>2</v>
      </c>
      <c r="J662" t="s">
        <v>25</v>
      </c>
      <c r="K662" s="3">
        <v>4042.99</v>
      </c>
      <c r="L662" t="b">
        <f>TablaDatos[[#This Row],[FechaAlta]] &lt; TablaDatos[[#This Row],[FechaIngreso]]</f>
        <v>0</v>
      </c>
      <c r="M662">
        <f>_xlfn.XLOOKUP(TablaDatos[[#This Row],[PacienteID]],'Datos_Ejemplo.csv'!A:A,'Datos_Ejemplo.csv'!I:I)</f>
        <v>2</v>
      </c>
      <c r="N662">
        <f>ABS(TablaDatos[[#This Row],[DiasOriginal]])</f>
        <v>2</v>
      </c>
      <c r="O662" s="1">
        <f>TablaDatos[[#This Row],[FechaIngreso]]+TablaDatos[[#This Row],[DiasNuevo]]</f>
        <v>45152</v>
      </c>
    </row>
    <row r="663" spans="1:15">
      <c r="A663">
        <v>662</v>
      </c>
      <c r="B663" t="s">
        <v>299</v>
      </c>
      <c r="C663" s="1">
        <v>24107</v>
      </c>
      <c r="D663">
        <v>60</v>
      </c>
      <c r="E663" s="4" t="s">
        <v>12</v>
      </c>
      <c r="F663" t="s">
        <v>295</v>
      </c>
      <c r="G663" s="1">
        <v>45078</v>
      </c>
      <c r="H663" s="1">
        <f>TablaDatos[[#This Row],[FechaIngreso]]+TablaDatos[[#This Row],[DiasNuevo]]</f>
        <v>45080</v>
      </c>
      <c r="I663">
        <v>2</v>
      </c>
      <c r="J663" t="s">
        <v>19</v>
      </c>
      <c r="K663" s="3">
        <v>16747.27</v>
      </c>
      <c r="L663" t="b">
        <f>TablaDatos[[#This Row],[FechaAlta]] &lt; TablaDatos[[#This Row],[FechaIngreso]]</f>
        <v>0</v>
      </c>
      <c r="M663">
        <f>_xlfn.XLOOKUP(TablaDatos[[#This Row],[PacienteID]],'Datos_Ejemplo.csv'!A:A,'Datos_Ejemplo.csv'!I:I)</f>
        <v>2</v>
      </c>
      <c r="N663">
        <f>ABS(TablaDatos[[#This Row],[DiasOriginal]])</f>
        <v>2</v>
      </c>
      <c r="O663" s="1">
        <f>TablaDatos[[#This Row],[FechaIngreso]]+TablaDatos[[#This Row],[DiasNuevo]]</f>
        <v>45080</v>
      </c>
    </row>
    <row r="664" spans="1:15">
      <c r="A664">
        <v>663</v>
      </c>
      <c r="B664" t="s">
        <v>347</v>
      </c>
      <c r="C664" s="1">
        <v>32143</v>
      </c>
      <c r="D664">
        <v>38</v>
      </c>
      <c r="E664" s="4" t="s">
        <v>15</v>
      </c>
      <c r="F664" t="s">
        <v>201</v>
      </c>
      <c r="G664" s="1">
        <v>45066</v>
      </c>
      <c r="H664" s="1">
        <f>TablaDatos[[#This Row],[FechaIngreso]]+TablaDatos[[#This Row],[DiasNuevo]]</f>
        <v>45068</v>
      </c>
      <c r="I664">
        <v>2</v>
      </c>
      <c r="J664" t="s">
        <v>23</v>
      </c>
      <c r="K664" s="3">
        <v>19993.91</v>
      </c>
      <c r="L664" t="b">
        <f>TablaDatos[[#This Row],[FechaAlta]] &lt; TablaDatos[[#This Row],[FechaIngreso]]</f>
        <v>0</v>
      </c>
      <c r="M664">
        <f>_xlfn.XLOOKUP(TablaDatos[[#This Row],[PacienteID]],'Datos_Ejemplo.csv'!A:A,'Datos_Ejemplo.csv'!I:I)</f>
        <v>2</v>
      </c>
      <c r="N664">
        <f>ABS(TablaDatos[[#This Row],[DiasOriginal]])</f>
        <v>2</v>
      </c>
      <c r="O664" s="1">
        <f>TablaDatos[[#This Row],[FechaIngreso]]+TablaDatos[[#This Row],[DiasNuevo]]</f>
        <v>45068</v>
      </c>
    </row>
    <row r="665" spans="1:15">
      <c r="A665">
        <v>664</v>
      </c>
      <c r="B665" t="s">
        <v>241</v>
      </c>
      <c r="C665" s="1">
        <v>46022</v>
      </c>
      <c r="D665">
        <v>0</v>
      </c>
      <c r="E665" s="4" t="s">
        <v>15</v>
      </c>
      <c r="F665" t="s">
        <v>32</v>
      </c>
      <c r="G665" s="1">
        <v>45293</v>
      </c>
      <c r="H665" s="1">
        <f>TablaDatos[[#This Row],[FechaIngreso]]+TablaDatos[[#This Row],[DiasNuevo]]</f>
        <v>45317</v>
      </c>
      <c r="I665">
        <v>24</v>
      </c>
      <c r="J665" t="s">
        <v>23</v>
      </c>
      <c r="K665" s="3">
        <v>6380.31</v>
      </c>
      <c r="L665" t="b">
        <f>TablaDatos[[#This Row],[FechaAlta]] &lt; TablaDatos[[#This Row],[FechaIngreso]]</f>
        <v>0</v>
      </c>
      <c r="M665">
        <f>_xlfn.XLOOKUP(TablaDatos[[#This Row],[PacienteID]],'Datos_Ejemplo.csv'!A:A,'Datos_Ejemplo.csv'!I:I)</f>
        <v>24</v>
      </c>
      <c r="N665">
        <f>ABS(TablaDatos[[#This Row],[DiasOriginal]])</f>
        <v>24</v>
      </c>
      <c r="O665" s="1">
        <f>TablaDatos[[#This Row],[FechaIngreso]]+TablaDatos[[#This Row],[DiasNuevo]]</f>
        <v>45317</v>
      </c>
    </row>
    <row r="666" spans="1:15">
      <c r="A666">
        <v>665</v>
      </c>
      <c r="B666" t="s">
        <v>298</v>
      </c>
      <c r="C666" s="1">
        <v>45292</v>
      </c>
      <c r="D666">
        <v>2</v>
      </c>
      <c r="E666" s="4" t="s">
        <v>15</v>
      </c>
      <c r="F666" t="s">
        <v>21</v>
      </c>
      <c r="G666" s="1">
        <v>45054</v>
      </c>
      <c r="H666" s="1">
        <f>TablaDatos[[#This Row],[FechaIngreso]]+TablaDatos[[#This Row],[DiasNuevo]]</f>
        <v>45056</v>
      </c>
      <c r="I666">
        <v>2</v>
      </c>
      <c r="J666" t="s">
        <v>23</v>
      </c>
      <c r="K666" s="3">
        <v>16830.78</v>
      </c>
      <c r="L666" t="b">
        <f>TablaDatos[[#This Row],[FechaAlta]] &lt; TablaDatos[[#This Row],[FechaIngreso]]</f>
        <v>0</v>
      </c>
      <c r="M666">
        <f>_xlfn.XLOOKUP(TablaDatos[[#This Row],[PacienteID]],'Datos_Ejemplo.csv'!A:A,'Datos_Ejemplo.csv'!I:I)</f>
        <v>2</v>
      </c>
      <c r="N666">
        <f>ABS(TablaDatos[[#This Row],[DiasOriginal]])</f>
        <v>2</v>
      </c>
      <c r="O666" s="1">
        <f>TablaDatos[[#This Row],[FechaIngreso]]+TablaDatos[[#This Row],[DiasNuevo]]</f>
        <v>45056</v>
      </c>
    </row>
    <row r="667" spans="1:15">
      <c r="A667">
        <v>666</v>
      </c>
      <c r="B667" t="s">
        <v>364</v>
      </c>
      <c r="C667" s="1">
        <v>18263</v>
      </c>
      <c r="D667">
        <v>76</v>
      </c>
      <c r="E667" s="4" t="s">
        <v>12</v>
      </c>
      <c r="F667" t="s">
        <v>201</v>
      </c>
      <c r="G667" s="1">
        <v>45277</v>
      </c>
      <c r="H667" s="1">
        <f>TablaDatos[[#This Row],[FechaIngreso]]+TablaDatos[[#This Row],[DiasNuevo]]</f>
        <v>45277</v>
      </c>
      <c r="I667">
        <v>0</v>
      </c>
      <c r="J667" t="s">
        <v>23</v>
      </c>
      <c r="K667" s="3">
        <v>17447.02</v>
      </c>
      <c r="L667" t="b">
        <f>TablaDatos[[#This Row],[FechaAlta]] &lt; TablaDatos[[#This Row],[FechaIngreso]]</f>
        <v>0</v>
      </c>
      <c r="M667">
        <f>_xlfn.XLOOKUP(TablaDatos[[#This Row],[PacienteID]],'Datos_Ejemplo.csv'!A:A,'Datos_Ejemplo.csv'!I:I)</f>
        <v>0</v>
      </c>
      <c r="N667">
        <f>ABS(TablaDatos[[#This Row],[DiasOriginal]])</f>
        <v>0</v>
      </c>
      <c r="O667" s="1">
        <f>TablaDatos[[#This Row],[FechaIngreso]]+TablaDatos[[#This Row],[DiasNuevo]]</f>
        <v>45277</v>
      </c>
    </row>
    <row r="668" spans="1:15">
      <c r="A668">
        <v>667</v>
      </c>
      <c r="B668" t="s">
        <v>67</v>
      </c>
      <c r="C668" s="1">
        <v>12785</v>
      </c>
      <c r="D668">
        <v>91</v>
      </c>
      <c r="E668" s="4" t="s">
        <v>12</v>
      </c>
      <c r="F668" t="s">
        <v>201</v>
      </c>
      <c r="G668" s="1">
        <v>45073</v>
      </c>
      <c r="H668" s="1">
        <f>TablaDatos[[#This Row],[FechaIngreso]]+TablaDatos[[#This Row],[DiasNuevo]]</f>
        <v>45108</v>
      </c>
      <c r="I668">
        <v>35</v>
      </c>
      <c r="J668" t="s">
        <v>23</v>
      </c>
      <c r="K668" s="3">
        <v>19921.080000000002</v>
      </c>
      <c r="L668" t="b">
        <f>TablaDatos[[#This Row],[FechaAlta]] &lt; TablaDatos[[#This Row],[FechaIngreso]]</f>
        <v>0</v>
      </c>
      <c r="M668">
        <f>_xlfn.XLOOKUP(TablaDatos[[#This Row],[PacienteID]],'Datos_Ejemplo.csv'!A:A,'Datos_Ejemplo.csv'!I:I)</f>
        <v>35</v>
      </c>
      <c r="N668">
        <f>ABS(TablaDatos[[#This Row],[DiasOriginal]])</f>
        <v>35</v>
      </c>
      <c r="O668" s="1">
        <f>TablaDatos[[#This Row],[FechaIngreso]]+TablaDatos[[#This Row],[DiasNuevo]]</f>
        <v>45108</v>
      </c>
    </row>
    <row r="669" spans="1:15">
      <c r="A669">
        <v>668</v>
      </c>
      <c r="B669" t="s">
        <v>268</v>
      </c>
      <c r="C669" s="1">
        <f ca="1">DATE(YEAR(TODAY())-TablaDatos[[#This Row],[Edad]],1,1)</f>
        <v>23743</v>
      </c>
      <c r="D669">
        <v>61</v>
      </c>
      <c r="E669" s="4" t="s">
        <v>12</v>
      </c>
      <c r="F669" t="s">
        <v>21</v>
      </c>
      <c r="G669" s="1">
        <v>45211</v>
      </c>
      <c r="H669" s="1">
        <f>TablaDatos[[#This Row],[FechaIngreso]]+TablaDatos[[#This Row],[DiasNuevo]]</f>
        <v>45238</v>
      </c>
      <c r="I669">
        <v>27</v>
      </c>
      <c r="J669" t="s">
        <v>23</v>
      </c>
      <c r="K669" s="3">
        <v>6788.67</v>
      </c>
      <c r="L669" t="b">
        <f>TablaDatos[[#This Row],[FechaAlta]] &lt; TablaDatos[[#This Row],[FechaIngreso]]</f>
        <v>0</v>
      </c>
      <c r="M669">
        <f>_xlfn.XLOOKUP(TablaDatos[[#This Row],[PacienteID]],'Datos_Ejemplo.csv'!A:A,'Datos_Ejemplo.csv'!I:I)</f>
        <v>27</v>
      </c>
      <c r="N669">
        <f>ABS(TablaDatos[[#This Row],[DiasOriginal]])</f>
        <v>27</v>
      </c>
      <c r="O669" s="1">
        <f>TablaDatos[[#This Row],[FechaIngreso]]+TablaDatos[[#This Row],[DiasNuevo]]</f>
        <v>45238</v>
      </c>
    </row>
    <row r="670" spans="1:15">
      <c r="A670">
        <v>669</v>
      </c>
      <c r="B670" t="s">
        <v>301</v>
      </c>
      <c r="C670" s="1">
        <v>23377</v>
      </c>
      <c r="D670">
        <v>62</v>
      </c>
      <c r="E670" s="4" t="s">
        <v>15</v>
      </c>
      <c r="F670" t="s">
        <v>295</v>
      </c>
      <c r="G670" s="1">
        <v>45395</v>
      </c>
      <c r="H670" s="1">
        <f>TablaDatos[[#This Row],[FechaIngreso]]+TablaDatos[[#This Row],[DiasNuevo]]</f>
        <v>45397</v>
      </c>
      <c r="I670">
        <v>2</v>
      </c>
      <c r="J670" t="s">
        <v>23</v>
      </c>
      <c r="K670" s="3">
        <v>15096.43</v>
      </c>
      <c r="L670" t="b">
        <f>TablaDatos[[#This Row],[FechaAlta]] &lt; TablaDatos[[#This Row],[FechaIngreso]]</f>
        <v>0</v>
      </c>
      <c r="M670">
        <f>_xlfn.XLOOKUP(TablaDatos[[#This Row],[PacienteID]],'Datos_Ejemplo.csv'!A:A,'Datos_Ejemplo.csv'!I:I)</f>
        <v>-2</v>
      </c>
      <c r="N670">
        <f>ABS(TablaDatos[[#This Row],[DiasOriginal]])</f>
        <v>2</v>
      </c>
      <c r="O670" s="1">
        <f>TablaDatos[[#This Row],[FechaIngreso]]+TablaDatos[[#This Row],[DiasNuevo]]</f>
        <v>45397</v>
      </c>
    </row>
    <row r="671" spans="1:15">
      <c r="A671">
        <v>670</v>
      </c>
      <c r="B671" t="s">
        <v>252</v>
      </c>
      <c r="C671" s="1">
        <v>37256</v>
      </c>
      <c r="D671">
        <v>24</v>
      </c>
      <c r="E671" s="4" t="s">
        <v>12</v>
      </c>
      <c r="F671" t="s">
        <v>295</v>
      </c>
      <c r="G671" s="1">
        <v>45144</v>
      </c>
      <c r="H671" s="1">
        <f>TablaDatos[[#This Row],[FechaIngreso]]+TablaDatos[[#This Row],[DiasNuevo]]</f>
        <v>45149</v>
      </c>
      <c r="I671">
        <v>5</v>
      </c>
      <c r="J671" t="s">
        <v>19</v>
      </c>
      <c r="K671" s="3">
        <v>4499.0600000000004</v>
      </c>
      <c r="L671" t="b">
        <f>TablaDatos[[#This Row],[FechaAlta]] &lt; TablaDatos[[#This Row],[FechaIngreso]]</f>
        <v>0</v>
      </c>
      <c r="M671">
        <f>_xlfn.XLOOKUP(TablaDatos[[#This Row],[PacienteID]],'Datos_Ejemplo.csv'!A:A,'Datos_Ejemplo.csv'!I:I)</f>
        <v>5</v>
      </c>
      <c r="N671">
        <f>ABS(TablaDatos[[#This Row],[DiasOriginal]])</f>
        <v>5</v>
      </c>
      <c r="O671" s="1">
        <f>TablaDatos[[#This Row],[FechaIngreso]]+TablaDatos[[#This Row],[DiasNuevo]]</f>
        <v>45149</v>
      </c>
    </row>
    <row r="672" spans="1:15">
      <c r="A672">
        <v>671</v>
      </c>
      <c r="B672" t="s">
        <v>111</v>
      </c>
      <c r="C672" s="1">
        <f ca="1">DATE(YEAR(TODAY())-TablaDatos[[#This Row],[Edad]],1,1)</f>
        <v>25934</v>
      </c>
      <c r="D672">
        <v>55</v>
      </c>
      <c r="E672" s="4" t="s">
        <v>15</v>
      </c>
      <c r="F672" t="s">
        <v>201</v>
      </c>
      <c r="G672" s="1">
        <v>45362</v>
      </c>
      <c r="H672" s="1">
        <f>TablaDatos[[#This Row],[FechaIngreso]]+TablaDatos[[#This Row],[DiasNuevo]]</f>
        <v>45372</v>
      </c>
      <c r="I672">
        <v>10</v>
      </c>
      <c r="J672" t="s">
        <v>25</v>
      </c>
      <c r="K672" s="3">
        <v>12458.4</v>
      </c>
      <c r="L672" t="b">
        <f>TablaDatos[[#This Row],[FechaAlta]] &lt; TablaDatos[[#This Row],[FechaIngreso]]</f>
        <v>0</v>
      </c>
      <c r="M672">
        <f>_xlfn.XLOOKUP(TablaDatos[[#This Row],[PacienteID]],'Datos_Ejemplo.csv'!A:A,'Datos_Ejemplo.csv'!I:I)</f>
        <v>10</v>
      </c>
      <c r="N672">
        <f>ABS(TablaDatos[[#This Row],[DiasOriginal]])</f>
        <v>10</v>
      </c>
      <c r="O672" s="1">
        <f>TablaDatos[[#This Row],[FechaIngreso]]+TablaDatos[[#This Row],[DiasNuevo]]</f>
        <v>45372</v>
      </c>
    </row>
    <row r="673" spans="1:15">
      <c r="A673">
        <v>672</v>
      </c>
      <c r="B673" t="s">
        <v>66</v>
      </c>
      <c r="C673" s="1">
        <v>34334</v>
      </c>
      <c r="D673">
        <f ca="1">DATEDIF(TablaDatos[[#This Row],[FechaNacimiento]],TODAY(),"Y")</f>
        <v>32</v>
      </c>
      <c r="E673" s="4" t="s">
        <v>12</v>
      </c>
      <c r="F673" t="s">
        <v>32</v>
      </c>
      <c r="G673" s="1">
        <v>45071</v>
      </c>
      <c r="H673" s="1">
        <f>TablaDatos[[#This Row],[FechaIngreso]]+TablaDatos[[#This Row],[DiasNuevo]]</f>
        <v>45088</v>
      </c>
      <c r="I673">
        <v>17</v>
      </c>
      <c r="J673" t="s">
        <v>25</v>
      </c>
      <c r="K673" s="3">
        <v>14067.34</v>
      </c>
      <c r="L673" t="b">
        <f>TablaDatos[[#This Row],[FechaAlta]] &lt; TablaDatos[[#This Row],[FechaIngreso]]</f>
        <v>0</v>
      </c>
      <c r="M673">
        <f>_xlfn.XLOOKUP(TablaDatos[[#This Row],[PacienteID]],'Datos_Ejemplo.csv'!A:A,'Datos_Ejemplo.csv'!I:I)</f>
        <v>17</v>
      </c>
      <c r="N673">
        <f>ABS(TablaDatos[[#This Row],[DiasOriginal]])</f>
        <v>17</v>
      </c>
      <c r="O673" s="1">
        <f>TablaDatos[[#This Row],[FechaIngreso]]+TablaDatos[[#This Row],[DiasNuevo]]</f>
        <v>45088</v>
      </c>
    </row>
    <row r="674" spans="1:15">
      <c r="A674">
        <v>673</v>
      </c>
      <c r="B674" t="s">
        <v>231</v>
      </c>
      <c r="C674" s="1">
        <v>32508</v>
      </c>
      <c r="D674">
        <v>37</v>
      </c>
      <c r="E674" s="4" t="s">
        <v>15</v>
      </c>
      <c r="F674" t="s">
        <v>13</v>
      </c>
      <c r="G674" s="1">
        <v>45203</v>
      </c>
      <c r="H674" s="1">
        <f>TablaDatos[[#This Row],[FechaIngreso]]+TablaDatos[[#This Row],[DiasNuevo]]</f>
        <v>45206</v>
      </c>
      <c r="I674">
        <v>3</v>
      </c>
      <c r="J674" t="s">
        <v>23</v>
      </c>
      <c r="K674" s="3">
        <v>14796.53</v>
      </c>
      <c r="L674" t="b">
        <f>TablaDatos[[#This Row],[FechaAlta]] &lt; TablaDatos[[#This Row],[FechaIngreso]]</f>
        <v>0</v>
      </c>
      <c r="M674">
        <f>_xlfn.XLOOKUP(TablaDatos[[#This Row],[PacienteID]],'Datos_Ejemplo.csv'!A:A,'Datos_Ejemplo.csv'!I:I)</f>
        <v>3</v>
      </c>
      <c r="N674">
        <f>ABS(TablaDatos[[#This Row],[DiasOriginal]])</f>
        <v>3</v>
      </c>
      <c r="O674" s="1">
        <f>TablaDatos[[#This Row],[FechaIngreso]]+TablaDatos[[#This Row],[DiasNuevo]]</f>
        <v>45206</v>
      </c>
    </row>
    <row r="675" spans="1:15">
      <c r="A675">
        <v>674</v>
      </c>
      <c r="B675" t="s">
        <v>313</v>
      </c>
      <c r="C675" s="1">
        <v>44196</v>
      </c>
      <c r="D675">
        <v>5</v>
      </c>
      <c r="E675" s="4" t="s">
        <v>12</v>
      </c>
      <c r="F675" t="s">
        <v>32</v>
      </c>
      <c r="G675" s="1">
        <v>44986</v>
      </c>
      <c r="H675" s="1">
        <f>TablaDatos[[#This Row],[FechaIngreso]]+TablaDatos[[#This Row],[DiasNuevo]]</f>
        <v>44991</v>
      </c>
      <c r="I675">
        <v>5</v>
      </c>
      <c r="J675" t="s">
        <v>19</v>
      </c>
      <c r="K675" s="3">
        <v>4064.16</v>
      </c>
      <c r="L675" t="b">
        <f>TablaDatos[[#This Row],[FechaAlta]] &lt; TablaDatos[[#This Row],[FechaIngreso]]</f>
        <v>0</v>
      </c>
      <c r="M675">
        <f>_xlfn.XLOOKUP(TablaDatos[[#This Row],[PacienteID]],'Datos_Ejemplo.csv'!A:A,'Datos_Ejemplo.csv'!I:I)</f>
        <v>5</v>
      </c>
      <c r="N675">
        <f>ABS(TablaDatos[[#This Row],[DiasOriginal]])</f>
        <v>5</v>
      </c>
      <c r="O675" s="1">
        <f>TablaDatos[[#This Row],[FechaIngreso]]+TablaDatos[[#This Row],[DiasNuevo]]</f>
        <v>44991</v>
      </c>
    </row>
    <row r="676" spans="1:15">
      <c r="A676">
        <v>675</v>
      </c>
      <c r="B676" t="s">
        <v>293</v>
      </c>
      <c r="C676" s="1">
        <f ca="1">DATE(YEAR(TODAY())-TablaDatos[[#This Row],[Edad]],1,1)</f>
        <v>25204</v>
      </c>
      <c r="D676">
        <v>57</v>
      </c>
      <c r="E676" s="4" t="s">
        <v>15</v>
      </c>
      <c r="F676" t="s">
        <v>21</v>
      </c>
      <c r="G676" s="1">
        <v>45536</v>
      </c>
      <c r="H676" s="1">
        <f>TablaDatos[[#This Row],[FechaIngreso]]+TablaDatos[[#This Row],[DiasNuevo]]</f>
        <v>45563</v>
      </c>
      <c r="I676">
        <v>27</v>
      </c>
      <c r="J676" t="s">
        <v>23</v>
      </c>
      <c r="K676" s="3">
        <v>16959.38</v>
      </c>
      <c r="L676" t="b">
        <f>TablaDatos[[#This Row],[FechaAlta]] &lt; TablaDatos[[#This Row],[FechaIngreso]]</f>
        <v>0</v>
      </c>
      <c r="M676">
        <f>_xlfn.XLOOKUP(TablaDatos[[#This Row],[PacienteID]],'Datos_Ejemplo.csv'!A:A,'Datos_Ejemplo.csv'!I:I)</f>
        <v>27</v>
      </c>
      <c r="N676">
        <f>ABS(TablaDatos[[#This Row],[DiasOriginal]])</f>
        <v>27</v>
      </c>
      <c r="O676" s="1">
        <f>TablaDatos[[#This Row],[FechaIngreso]]+TablaDatos[[#This Row],[DiasNuevo]]</f>
        <v>45563</v>
      </c>
    </row>
    <row r="677" spans="1:15">
      <c r="A677">
        <v>676</v>
      </c>
      <c r="B677" t="s">
        <v>263</v>
      </c>
      <c r="C677" s="1">
        <v>30317</v>
      </c>
      <c r="D677">
        <v>43</v>
      </c>
      <c r="E677" s="4" t="s">
        <v>15</v>
      </c>
      <c r="F677" t="s">
        <v>21</v>
      </c>
      <c r="G677" s="1">
        <v>45301</v>
      </c>
      <c r="H677" s="1">
        <f>TablaDatos[[#This Row],[FechaIngreso]]+TablaDatos[[#This Row],[DiasNuevo]]</f>
        <v>45338</v>
      </c>
      <c r="I677">
        <v>37</v>
      </c>
      <c r="J677" t="s">
        <v>23</v>
      </c>
      <c r="K677" s="3">
        <v>8361.5300000000007</v>
      </c>
      <c r="L677" t="b">
        <f>TablaDatos[[#This Row],[FechaAlta]] &lt; TablaDatos[[#This Row],[FechaIngreso]]</f>
        <v>0</v>
      </c>
      <c r="M677">
        <f>_xlfn.XLOOKUP(TablaDatos[[#This Row],[PacienteID]],'Datos_Ejemplo.csv'!A:A,'Datos_Ejemplo.csv'!I:I)</f>
        <v>37</v>
      </c>
      <c r="N677">
        <f>ABS(TablaDatos[[#This Row],[DiasOriginal]])</f>
        <v>37</v>
      </c>
      <c r="O677" s="1">
        <f>TablaDatos[[#This Row],[FechaIngreso]]+TablaDatos[[#This Row],[DiasNuevo]]</f>
        <v>45338</v>
      </c>
    </row>
    <row r="678" spans="1:15">
      <c r="A678">
        <v>677</v>
      </c>
      <c r="B678" t="s">
        <v>279</v>
      </c>
      <c r="C678" s="1">
        <v>29951</v>
      </c>
      <c r="D678">
        <v>44</v>
      </c>
      <c r="E678" s="4" t="s">
        <v>12</v>
      </c>
      <c r="F678" t="s">
        <v>261</v>
      </c>
      <c r="G678" s="1">
        <v>45330</v>
      </c>
      <c r="H678" s="1">
        <f>TablaDatos[[#This Row],[FechaIngreso]]+TablaDatos[[#This Row],[DiasNuevo]]</f>
        <v>45342</v>
      </c>
      <c r="I678">
        <v>12</v>
      </c>
      <c r="J678" t="s">
        <v>23</v>
      </c>
      <c r="K678" s="3">
        <v>4249.03</v>
      </c>
      <c r="L678" t="b">
        <f>TablaDatos[[#This Row],[FechaAlta]] &lt; TablaDatos[[#This Row],[FechaIngreso]]</f>
        <v>0</v>
      </c>
      <c r="M678">
        <f>_xlfn.XLOOKUP(TablaDatos[[#This Row],[PacienteID]],'Datos_Ejemplo.csv'!A:A,'Datos_Ejemplo.csv'!I:I)</f>
        <v>12</v>
      </c>
      <c r="N678">
        <f>ABS(TablaDatos[[#This Row],[DiasOriginal]])</f>
        <v>12</v>
      </c>
      <c r="O678" s="1">
        <f>TablaDatos[[#This Row],[FechaIngreso]]+TablaDatos[[#This Row],[DiasNuevo]]</f>
        <v>45342</v>
      </c>
    </row>
    <row r="679" spans="1:15">
      <c r="A679">
        <v>678</v>
      </c>
      <c r="B679" t="s">
        <v>257</v>
      </c>
      <c r="C679" s="1">
        <v>34700</v>
      </c>
      <c r="D679">
        <v>31</v>
      </c>
      <c r="E679" s="4" t="s">
        <v>15</v>
      </c>
      <c r="F679" t="s">
        <v>13</v>
      </c>
      <c r="G679" s="1">
        <v>45619</v>
      </c>
      <c r="H679" s="1">
        <f>TablaDatos[[#This Row],[FechaIngreso]]+TablaDatos[[#This Row],[DiasNuevo]]</f>
        <v>45626</v>
      </c>
      <c r="I679">
        <v>7</v>
      </c>
      <c r="J679" t="s">
        <v>19</v>
      </c>
      <c r="K679" s="3">
        <v>10804.87</v>
      </c>
      <c r="L679" t="b">
        <f>TablaDatos[[#This Row],[FechaAlta]] &lt; TablaDatos[[#This Row],[FechaIngreso]]</f>
        <v>0</v>
      </c>
      <c r="M679">
        <f>_xlfn.XLOOKUP(TablaDatos[[#This Row],[PacienteID]],'Datos_Ejemplo.csv'!A:A,'Datos_Ejemplo.csv'!I:I)</f>
        <v>7</v>
      </c>
      <c r="N679">
        <f>ABS(TablaDatos[[#This Row],[DiasOriginal]])</f>
        <v>7</v>
      </c>
      <c r="O679" s="1">
        <f>TablaDatos[[#This Row],[FechaIngreso]]+TablaDatos[[#This Row],[DiasNuevo]]</f>
        <v>45626</v>
      </c>
    </row>
    <row r="680" spans="1:15">
      <c r="A680">
        <v>679</v>
      </c>
      <c r="B680" t="s">
        <v>49</v>
      </c>
      <c r="C680" s="1">
        <v>29951</v>
      </c>
      <c r="D680">
        <v>44</v>
      </c>
      <c r="E680" s="4" t="s">
        <v>12</v>
      </c>
      <c r="F680" t="s">
        <v>201</v>
      </c>
      <c r="G680" s="1">
        <v>45040</v>
      </c>
      <c r="H680" s="1">
        <f>TablaDatos[[#This Row],[FechaIngreso]]+TablaDatos[[#This Row],[DiasNuevo]]</f>
        <v>45070</v>
      </c>
      <c r="I680">
        <v>30</v>
      </c>
      <c r="J680" t="s">
        <v>23</v>
      </c>
      <c r="K680" s="3">
        <v>17253.48</v>
      </c>
      <c r="L680" t="b">
        <f>TablaDatos[[#This Row],[FechaAlta]] &lt; TablaDatos[[#This Row],[FechaIngreso]]</f>
        <v>0</v>
      </c>
      <c r="M680">
        <f>_xlfn.XLOOKUP(TablaDatos[[#This Row],[PacienteID]],'Datos_Ejemplo.csv'!A:A,'Datos_Ejemplo.csv'!I:I)</f>
        <v>30</v>
      </c>
      <c r="N680">
        <f>ABS(TablaDatos[[#This Row],[DiasOriginal]])</f>
        <v>30</v>
      </c>
      <c r="O680" s="1">
        <f>TablaDatos[[#This Row],[FechaIngreso]]+TablaDatos[[#This Row],[DiasNuevo]]</f>
        <v>45070</v>
      </c>
    </row>
    <row r="681" spans="1:15">
      <c r="A681">
        <v>680</v>
      </c>
      <c r="B681" t="s">
        <v>283</v>
      </c>
      <c r="C681" s="1">
        <v>24107</v>
      </c>
      <c r="D681">
        <v>60</v>
      </c>
      <c r="E681" s="4" t="s">
        <v>12</v>
      </c>
      <c r="F681" t="s">
        <v>21</v>
      </c>
      <c r="G681" s="1">
        <v>45421</v>
      </c>
      <c r="H681" s="1">
        <f>TablaDatos[[#This Row],[FechaIngreso]]+TablaDatos[[#This Row],[DiasNuevo]]</f>
        <v>45427</v>
      </c>
      <c r="I681">
        <v>6</v>
      </c>
      <c r="J681" t="s">
        <v>25</v>
      </c>
      <c r="K681" s="3">
        <v>19338.47</v>
      </c>
      <c r="L681" t="b">
        <f>TablaDatos[[#This Row],[FechaAlta]] &lt; TablaDatos[[#This Row],[FechaIngreso]]</f>
        <v>0</v>
      </c>
      <c r="M681">
        <f>_xlfn.XLOOKUP(TablaDatos[[#This Row],[PacienteID]],'Datos_Ejemplo.csv'!A:A,'Datos_Ejemplo.csv'!I:I)</f>
        <v>6</v>
      </c>
      <c r="N681">
        <f>ABS(TablaDatos[[#This Row],[DiasOriginal]])</f>
        <v>6</v>
      </c>
      <c r="O681" s="1">
        <f>TablaDatos[[#This Row],[FechaIngreso]]+TablaDatos[[#This Row],[DiasNuevo]]</f>
        <v>45427</v>
      </c>
    </row>
    <row r="682" spans="1:15">
      <c r="A682">
        <v>681</v>
      </c>
      <c r="B682" t="s">
        <v>326</v>
      </c>
      <c r="C682" s="1">
        <v>29221</v>
      </c>
      <c r="D682">
        <v>46</v>
      </c>
      <c r="E682" s="4" t="s">
        <v>12</v>
      </c>
      <c r="F682" t="s">
        <v>261</v>
      </c>
      <c r="G682" s="1">
        <v>45541</v>
      </c>
      <c r="H682" s="1">
        <f>TablaDatos[[#This Row],[FechaIngreso]]+TablaDatos[[#This Row],[DiasNuevo]]</f>
        <v>45571</v>
      </c>
      <c r="I682">
        <v>30</v>
      </c>
      <c r="J682" t="s">
        <v>23</v>
      </c>
      <c r="K682" s="3">
        <v>14938.98</v>
      </c>
      <c r="L682" t="b">
        <f>TablaDatos[[#This Row],[FechaAlta]] &lt; TablaDatos[[#This Row],[FechaIngreso]]</f>
        <v>0</v>
      </c>
      <c r="M682">
        <f>_xlfn.XLOOKUP(TablaDatos[[#This Row],[PacienteID]],'Datos_Ejemplo.csv'!A:A,'Datos_Ejemplo.csv'!I:I)</f>
        <v>30</v>
      </c>
      <c r="N682">
        <f>ABS(TablaDatos[[#This Row],[DiasOriginal]])</f>
        <v>30</v>
      </c>
      <c r="O682" s="1">
        <f>TablaDatos[[#This Row],[FechaIngreso]]+TablaDatos[[#This Row],[DiasNuevo]]</f>
        <v>45571</v>
      </c>
    </row>
    <row r="683" spans="1:15">
      <c r="A683">
        <v>682</v>
      </c>
      <c r="B683" t="s">
        <v>256</v>
      </c>
      <c r="C683" s="1">
        <v>38717</v>
      </c>
      <c r="D683">
        <v>20</v>
      </c>
      <c r="E683" s="4" t="s">
        <v>15</v>
      </c>
      <c r="F683" t="s">
        <v>295</v>
      </c>
      <c r="G683" s="1">
        <v>45262</v>
      </c>
      <c r="H683" s="1">
        <f>TablaDatos[[#This Row],[FechaIngreso]]+TablaDatos[[#This Row],[DiasNuevo]]</f>
        <v>45268</v>
      </c>
      <c r="I683">
        <v>6</v>
      </c>
      <c r="J683" t="s">
        <v>23</v>
      </c>
      <c r="K683" s="3">
        <v>13.02</v>
      </c>
      <c r="L683" t="b">
        <f>TablaDatos[[#This Row],[FechaAlta]] &lt; TablaDatos[[#This Row],[FechaIngreso]]</f>
        <v>0</v>
      </c>
      <c r="M683">
        <f>_xlfn.XLOOKUP(TablaDatos[[#This Row],[PacienteID]],'Datos_Ejemplo.csv'!A:A,'Datos_Ejemplo.csv'!I:I)</f>
        <v>6</v>
      </c>
      <c r="N683">
        <f>ABS(TablaDatos[[#This Row],[DiasOriginal]])</f>
        <v>6</v>
      </c>
      <c r="O683" s="1">
        <f>TablaDatos[[#This Row],[FechaIngreso]]+TablaDatos[[#This Row],[DiasNuevo]]</f>
        <v>45268</v>
      </c>
    </row>
    <row r="684" spans="1:15">
      <c r="A684">
        <v>683</v>
      </c>
      <c r="B684" t="s">
        <v>325</v>
      </c>
      <c r="C684" s="1">
        <v>17168</v>
      </c>
      <c r="D684">
        <v>79</v>
      </c>
      <c r="E684" s="4" t="s">
        <v>12</v>
      </c>
      <c r="F684" t="s">
        <v>21</v>
      </c>
      <c r="G684" s="1">
        <v>45495</v>
      </c>
      <c r="H684" s="1">
        <f>TablaDatos[[#This Row],[FechaIngreso]]+TablaDatos[[#This Row],[DiasNuevo]]</f>
        <v>45506</v>
      </c>
      <c r="I684">
        <v>11</v>
      </c>
      <c r="J684" t="s">
        <v>23</v>
      </c>
      <c r="K684" s="3">
        <v>2607.4899999999998</v>
      </c>
      <c r="L684" t="b">
        <f>TablaDatos[[#This Row],[FechaAlta]] &lt; TablaDatos[[#This Row],[FechaIngreso]]</f>
        <v>0</v>
      </c>
      <c r="M684">
        <f>_xlfn.XLOOKUP(TablaDatos[[#This Row],[PacienteID]],'Datos_Ejemplo.csv'!A:A,'Datos_Ejemplo.csv'!I:I)</f>
        <v>11</v>
      </c>
      <c r="N684">
        <f>ABS(TablaDatos[[#This Row],[DiasOriginal]])</f>
        <v>11</v>
      </c>
      <c r="O684" s="1">
        <f>TablaDatos[[#This Row],[FechaIngreso]]+TablaDatos[[#This Row],[DiasNuevo]]</f>
        <v>45506</v>
      </c>
    </row>
    <row r="685" spans="1:15">
      <c r="A685">
        <v>684</v>
      </c>
      <c r="B685" t="s">
        <v>267</v>
      </c>
      <c r="C685" s="1">
        <v>15341</v>
      </c>
      <c r="D685">
        <v>84</v>
      </c>
      <c r="E685" s="4" t="s">
        <v>12</v>
      </c>
      <c r="F685" t="s">
        <v>18</v>
      </c>
      <c r="G685" s="1">
        <v>45211</v>
      </c>
      <c r="H685" s="1">
        <f>TablaDatos[[#This Row],[FechaIngreso]]+TablaDatos[[#This Row],[DiasNuevo]]</f>
        <v>45240</v>
      </c>
      <c r="I685">
        <v>29</v>
      </c>
      <c r="J685" t="s">
        <v>23</v>
      </c>
      <c r="K685" s="3">
        <v>1433.11</v>
      </c>
      <c r="L685" t="b">
        <f>TablaDatos[[#This Row],[FechaAlta]] &lt; TablaDatos[[#This Row],[FechaIngreso]]</f>
        <v>0</v>
      </c>
      <c r="M685">
        <f>_xlfn.XLOOKUP(TablaDatos[[#This Row],[PacienteID]],'Datos_Ejemplo.csv'!A:A,'Datos_Ejemplo.csv'!I:I)</f>
        <v>29</v>
      </c>
      <c r="N685">
        <f>ABS(TablaDatos[[#This Row],[DiasOriginal]])</f>
        <v>29</v>
      </c>
      <c r="O685" s="1">
        <f>TablaDatos[[#This Row],[FechaIngreso]]+TablaDatos[[#This Row],[DiasNuevo]]</f>
        <v>45240</v>
      </c>
    </row>
    <row r="686" spans="1:15">
      <c r="A686">
        <v>685</v>
      </c>
      <c r="B686" t="s">
        <v>285</v>
      </c>
      <c r="C686" s="1">
        <v>18994</v>
      </c>
      <c r="D686">
        <v>74</v>
      </c>
      <c r="E686" s="4" t="s">
        <v>15</v>
      </c>
      <c r="F686" t="s">
        <v>13</v>
      </c>
      <c r="G686" s="1">
        <v>45055</v>
      </c>
      <c r="H686" s="1">
        <f>TablaDatos[[#This Row],[FechaIngreso]]+TablaDatos[[#This Row],[DiasNuevo]]</f>
        <v>45089</v>
      </c>
      <c r="I686">
        <v>34</v>
      </c>
      <c r="J686" t="s">
        <v>19</v>
      </c>
      <c r="K686" s="3">
        <v>1934.4</v>
      </c>
      <c r="L686" t="b">
        <f>TablaDatos[[#This Row],[FechaAlta]] &lt; TablaDatos[[#This Row],[FechaIngreso]]</f>
        <v>0</v>
      </c>
      <c r="M686">
        <f>_xlfn.XLOOKUP(TablaDatos[[#This Row],[PacienteID]],'Datos_Ejemplo.csv'!A:A,'Datos_Ejemplo.csv'!I:I)</f>
        <v>34</v>
      </c>
      <c r="N686">
        <f>ABS(TablaDatos[[#This Row],[DiasOriginal]])</f>
        <v>34</v>
      </c>
      <c r="O686" s="1">
        <f>TablaDatos[[#This Row],[FechaIngreso]]+TablaDatos[[#This Row],[DiasNuevo]]</f>
        <v>45089</v>
      </c>
    </row>
    <row r="687" spans="1:15">
      <c r="A687">
        <v>686</v>
      </c>
      <c r="B687" t="s">
        <v>151</v>
      </c>
      <c r="C687" s="1">
        <v>33239</v>
      </c>
      <c r="D687">
        <v>35</v>
      </c>
      <c r="E687" s="4" t="s">
        <v>12</v>
      </c>
      <c r="F687" t="s">
        <v>261</v>
      </c>
      <c r="G687" s="1">
        <v>45241</v>
      </c>
      <c r="H687" s="1">
        <f>TablaDatos[[#This Row],[FechaIngreso]]+TablaDatos[[#This Row],[DiasNuevo]]</f>
        <v>45244</v>
      </c>
      <c r="I687">
        <v>3</v>
      </c>
      <c r="J687" t="s">
        <v>23</v>
      </c>
      <c r="K687" s="3">
        <v>7599</v>
      </c>
      <c r="L687" t="b">
        <f>TablaDatos[[#This Row],[FechaAlta]] &lt; TablaDatos[[#This Row],[FechaIngreso]]</f>
        <v>0</v>
      </c>
      <c r="M687">
        <f>_xlfn.XLOOKUP(TablaDatos[[#This Row],[PacienteID]],'Datos_Ejemplo.csv'!A:A,'Datos_Ejemplo.csv'!I:I)</f>
        <v>3</v>
      </c>
      <c r="N687">
        <f>ABS(TablaDatos[[#This Row],[DiasOriginal]])</f>
        <v>3</v>
      </c>
      <c r="O687" s="1">
        <f>TablaDatos[[#This Row],[FechaIngreso]]+TablaDatos[[#This Row],[DiasNuevo]]</f>
        <v>45244</v>
      </c>
    </row>
    <row r="688" spans="1:15">
      <c r="A688">
        <v>687</v>
      </c>
      <c r="B688" t="s">
        <v>332</v>
      </c>
      <c r="C688" s="1">
        <v>39448</v>
      </c>
      <c r="D688">
        <v>18</v>
      </c>
      <c r="E688" s="4" t="s">
        <v>15</v>
      </c>
      <c r="F688" t="s">
        <v>13</v>
      </c>
      <c r="G688" s="1">
        <v>45524</v>
      </c>
      <c r="H688" s="1">
        <f>TablaDatos[[#This Row],[FechaIngreso]]+TablaDatos[[#This Row],[DiasNuevo]]</f>
        <v>45526</v>
      </c>
      <c r="I688">
        <v>2</v>
      </c>
      <c r="J688" t="s">
        <v>25</v>
      </c>
      <c r="K688" s="3">
        <v>6703.72</v>
      </c>
      <c r="L688" t="b">
        <f>TablaDatos[[#This Row],[FechaAlta]] &lt; TablaDatos[[#This Row],[FechaIngreso]]</f>
        <v>0</v>
      </c>
      <c r="M688">
        <f>_xlfn.XLOOKUP(TablaDatos[[#This Row],[PacienteID]],'Datos_Ejemplo.csv'!A:A,'Datos_Ejemplo.csv'!I:I)</f>
        <v>2</v>
      </c>
      <c r="N688">
        <f>ABS(TablaDatos[[#This Row],[DiasOriginal]])</f>
        <v>2</v>
      </c>
      <c r="O688" s="1">
        <f>TablaDatos[[#This Row],[FechaIngreso]]+TablaDatos[[#This Row],[DiasNuevo]]</f>
        <v>45526</v>
      </c>
    </row>
    <row r="689" spans="1:15">
      <c r="A689">
        <v>688</v>
      </c>
      <c r="B689" t="s">
        <v>287</v>
      </c>
      <c r="C689" s="1">
        <f ca="1">DATE(YEAR(TODAY())-TablaDatos[[#This Row],[Edad]],1,1)</f>
        <v>39083</v>
      </c>
      <c r="D689">
        <v>19</v>
      </c>
      <c r="E689" s="4" t="s">
        <v>15</v>
      </c>
      <c r="F689" t="s">
        <v>13</v>
      </c>
      <c r="G689" s="1">
        <v>45638</v>
      </c>
      <c r="H689" s="1">
        <f>TablaDatos[[#This Row],[FechaIngreso]]+TablaDatos[[#This Row],[DiasNuevo]]</f>
        <v>45639</v>
      </c>
      <c r="I689">
        <v>1</v>
      </c>
      <c r="J689" t="s">
        <v>23</v>
      </c>
      <c r="K689" s="3">
        <v>2185.0700000000002</v>
      </c>
      <c r="L689" t="b">
        <f>TablaDatos[[#This Row],[FechaAlta]] &lt; TablaDatos[[#This Row],[FechaIngreso]]</f>
        <v>0</v>
      </c>
      <c r="M689">
        <f>_xlfn.XLOOKUP(TablaDatos[[#This Row],[PacienteID]],'Datos_Ejemplo.csv'!A:A,'Datos_Ejemplo.csv'!I:I)</f>
        <v>1</v>
      </c>
      <c r="N689">
        <f>ABS(TablaDatos[[#This Row],[DiasOriginal]])</f>
        <v>1</v>
      </c>
      <c r="O689" s="1">
        <f>TablaDatos[[#This Row],[FechaIngreso]]+TablaDatos[[#This Row],[DiasNuevo]]</f>
        <v>45639</v>
      </c>
    </row>
    <row r="690" spans="1:15">
      <c r="A690">
        <v>689</v>
      </c>
      <c r="B690" t="s">
        <v>234</v>
      </c>
      <c r="C690" s="1">
        <v>25568</v>
      </c>
      <c r="D690">
        <v>56</v>
      </c>
      <c r="E690" s="4" t="s">
        <v>15</v>
      </c>
      <c r="F690" t="s">
        <v>18</v>
      </c>
      <c r="G690" s="1">
        <v>44997</v>
      </c>
      <c r="H690" s="1">
        <f>TablaDatos[[#This Row],[FechaIngreso]]+TablaDatos[[#This Row],[DiasNuevo]]</f>
        <v>45010</v>
      </c>
      <c r="I690">
        <v>13</v>
      </c>
      <c r="J690" t="s">
        <v>19</v>
      </c>
      <c r="K690" s="3">
        <v>17632.93</v>
      </c>
      <c r="L690" t="b">
        <f>TablaDatos[[#This Row],[FechaAlta]] &lt; TablaDatos[[#This Row],[FechaIngreso]]</f>
        <v>0</v>
      </c>
      <c r="M690">
        <f>_xlfn.XLOOKUP(TablaDatos[[#This Row],[PacienteID]],'Datos_Ejemplo.csv'!A:A,'Datos_Ejemplo.csv'!I:I)</f>
        <v>13</v>
      </c>
      <c r="N690">
        <f>ABS(TablaDatos[[#This Row],[DiasOriginal]])</f>
        <v>13</v>
      </c>
      <c r="O690" s="1">
        <f>TablaDatos[[#This Row],[FechaIngreso]]+TablaDatos[[#This Row],[DiasNuevo]]</f>
        <v>45010</v>
      </c>
    </row>
    <row r="691" spans="1:15">
      <c r="A691">
        <v>690</v>
      </c>
      <c r="B691" t="s">
        <v>291</v>
      </c>
      <c r="C691" s="1">
        <v>39813</v>
      </c>
      <c r="D691">
        <v>17</v>
      </c>
      <c r="E691" s="4" t="s">
        <v>15</v>
      </c>
      <c r="F691" t="s">
        <v>32</v>
      </c>
      <c r="G691" s="1">
        <v>45271</v>
      </c>
      <c r="H691" s="1">
        <f>TablaDatos[[#This Row],[FechaIngreso]]+TablaDatos[[#This Row],[DiasNuevo]]</f>
        <v>45278</v>
      </c>
      <c r="I691">
        <v>7</v>
      </c>
      <c r="J691" t="s">
        <v>23</v>
      </c>
      <c r="K691" s="3">
        <v>12270.09</v>
      </c>
      <c r="L691" t="b">
        <f>TablaDatos[[#This Row],[FechaAlta]] &lt; TablaDatos[[#This Row],[FechaIngreso]]</f>
        <v>0</v>
      </c>
      <c r="M691">
        <f>_xlfn.XLOOKUP(TablaDatos[[#This Row],[PacienteID]],'Datos_Ejemplo.csv'!A:A,'Datos_Ejemplo.csv'!I:I)</f>
        <v>7</v>
      </c>
      <c r="N691">
        <f>ABS(TablaDatos[[#This Row],[DiasOriginal]])</f>
        <v>7</v>
      </c>
      <c r="O691" s="1">
        <f>TablaDatos[[#This Row],[FechaIngreso]]+TablaDatos[[#This Row],[DiasNuevo]]</f>
        <v>45278</v>
      </c>
    </row>
    <row r="692" spans="1:15">
      <c r="A692">
        <v>691</v>
      </c>
      <c r="B692" t="s">
        <v>340</v>
      </c>
      <c r="C692" s="1">
        <v>29221</v>
      </c>
      <c r="D692">
        <v>46</v>
      </c>
      <c r="E692" s="4" t="s">
        <v>15</v>
      </c>
      <c r="F692" t="s">
        <v>295</v>
      </c>
      <c r="G692" s="1">
        <v>45024</v>
      </c>
      <c r="H692" s="1">
        <f>TablaDatos[[#This Row],[FechaIngreso]]+TablaDatos[[#This Row],[DiasNuevo]]</f>
        <v>45052</v>
      </c>
      <c r="I692">
        <v>28</v>
      </c>
      <c r="J692" t="s">
        <v>25</v>
      </c>
      <c r="K692" s="3">
        <v>15908.91</v>
      </c>
      <c r="L692" t="b">
        <f>TablaDatos[[#This Row],[FechaAlta]] &lt; TablaDatos[[#This Row],[FechaIngreso]]</f>
        <v>0</v>
      </c>
      <c r="M692">
        <f>_xlfn.XLOOKUP(TablaDatos[[#This Row],[PacienteID]],'Datos_Ejemplo.csv'!A:A,'Datos_Ejemplo.csv'!I:I)</f>
        <v>28</v>
      </c>
      <c r="N692">
        <f>ABS(TablaDatos[[#This Row],[DiasOriginal]])</f>
        <v>28</v>
      </c>
      <c r="O692" s="1">
        <f>TablaDatos[[#This Row],[FechaIngreso]]+TablaDatos[[#This Row],[DiasNuevo]]</f>
        <v>45052</v>
      </c>
    </row>
    <row r="693" spans="1:15">
      <c r="A693">
        <v>692</v>
      </c>
      <c r="B693" t="s">
        <v>279</v>
      </c>
      <c r="C693" s="1">
        <v>28490</v>
      </c>
      <c r="D693">
        <v>48</v>
      </c>
      <c r="E693" s="4" t="s">
        <v>12</v>
      </c>
      <c r="F693" t="s">
        <v>13</v>
      </c>
      <c r="G693" s="1">
        <v>45226</v>
      </c>
      <c r="H693" s="1">
        <f>TablaDatos[[#This Row],[FechaIngreso]]+TablaDatos[[#This Row],[DiasNuevo]]</f>
        <v>45254</v>
      </c>
      <c r="I693">
        <v>28</v>
      </c>
      <c r="J693" t="s">
        <v>23</v>
      </c>
      <c r="K693" s="3">
        <v>7368.14</v>
      </c>
      <c r="L693" t="b">
        <f>TablaDatos[[#This Row],[FechaAlta]] &lt; TablaDatos[[#This Row],[FechaIngreso]]</f>
        <v>0</v>
      </c>
      <c r="M693">
        <f>_xlfn.XLOOKUP(TablaDatos[[#This Row],[PacienteID]],'Datos_Ejemplo.csv'!A:A,'Datos_Ejemplo.csv'!I:I)</f>
        <v>28</v>
      </c>
      <c r="N693">
        <f>ABS(TablaDatos[[#This Row],[DiasOriginal]])</f>
        <v>28</v>
      </c>
      <c r="O693" s="1">
        <f>TablaDatos[[#This Row],[FechaIngreso]]+TablaDatos[[#This Row],[DiasNuevo]]</f>
        <v>45254</v>
      </c>
    </row>
    <row r="694" spans="1:15">
      <c r="A694">
        <v>693</v>
      </c>
      <c r="B694" t="s">
        <v>257</v>
      </c>
      <c r="C694" s="1">
        <v>41274</v>
      </c>
      <c r="D694">
        <v>13</v>
      </c>
      <c r="E694" s="4" t="s">
        <v>12</v>
      </c>
      <c r="F694" t="s">
        <v>21</v>
      </c>
      <c r="G694" s="1">
        <v>45102</v>
      </c>
      <c r="H694" s="1">
        <f>TablaDatos[[#This Row],[FechaIngreso]]+TablaDatos[[#This Row],[DiasNuevo]]</f>
        <v>45113</v>
      </c>
      <c r="I694">
        <v>11</v>
      </c>
      <c r="J694" t="s">
        <v>19</v>
      </c>
      <c r="K694" s="3">
        <v>8145.74</v>
      </c>
      <c r="L694" t="b">
        <f>TablaDatos[[#This Row],[FechaAlta]] &lt; TablaDatos[[#This Row],[FechaIngreso]]</f>
        <v>0</v>
      </c>
      <c r="M694">
        <f>_xlfn.XLOOKUP(TablaDatos[[#This Row],[PacienteID]],'Datos_Ejemplo.csv'!A:A,'Datos_Ejemplo.csv'!I:I)</f>
        <v>11</v>
      </c>
      <c r="N694">
        <f>ABS(TablaDatos[[#This Row],[DiasOriginal]])</f>
        <v>11</v>
      </c>
      <c r="O694" s="1">
        <f>TablaDatos[[#This Row],[FechaIngreso]]+TablaDatos[[#This Row],[DiasNuevo]]</f>
        <v>45113</v>
      </c>
    </row>
    <row r="695" spans="1:15">
      <c r="A695">
        <v>694</v>
      </c>
      <c r="B695" t="s">
        <v>337</v>
      </c>
      <c r="C695" s="1">
        <v>40909</v>
      </c>
      <c r="D695">
        <v>14</v>
      </c>
      <c r="E695" s="4" t="s">
        <v>15</v>
      </c>
      <c r="F695" t="s">
        <v>295</v>
      </c>
      <c r="G695" s="1">
        <v>45001</v>
      </c>
      <c r="H695" s="1">
        <f>TablaDatos[[#This Row],[FechaIngreso]]+TablaDatos[[#This Row],[DiasNuevo]]</f>
        <v>45011</v>
      </c>
      <c r="I695">
        <v>10</v>
      </c>
      <c r="J695" t="s">
        <v>23</v>
      </c>
      <c r="K695" s="3">
        <v>6284.19</v>
      </c>
      <c r="L695" t="b">
        <f>TablaDatos[[#This Row],[FechaAlta]] &lt; TablaDatos[[#This Row],[FechaIngreso]]</f>
        <v>0</v>
      </c>
      <c r="M695">
        <f>_xlfn.XLOOKUP(TablaDatos[[#This Row],[PacienteID]],'Datos_Ejemplo.csv'!A:A,'Datos_Ejemplo.csv'!I:I)</f>
        <v>10</v>
      </c>
      <c r="N695">
        <f>ABS(TablaDatos[[#This Row],[DiasOriginal]])</f>
        <v>10</v>
      </c>
      <c r="O695" s="1">
        <f>TablaDatos[[#This Row],[FechaIngreso]]+TablaDatos[[#This Row],[DiasNuevo]]</f>
        <v>45011</v>
      </c>
    </row>
    <row r="696" spans="1:15">
      <c r="A696">
        <v>695</v>
      </c>
      <c r="B696" t="s">
        <v>365</v>
      </c>
      <c r="C696" s="1">
        <v>35065</v>
      </c>
      <c r="D696">
        <v>30</v>
      </c>
      <c r="E696" s="4" t="s">
        <v>12</v>
      </c>
      <c r="F696" t="s">
        <v>21</v>
      </c>
      <c r="G696" s="1">
        <v>45069</v>
      </c>
      <c r="H696" s="1">
        <f>TablaDatos[[#This Row],[FechaIngreso]]+TablaDatos[[#This Row],[DiasNuevo]]</f>
        <v>45070</v>
      </c>
      <c r="I696">
        <v>1</v>
      </c>
      <c r="J696" t="s">
        <v>19</v>
      </c>
      <c r="K696" s="3">
        <v>8712.3700000000008</v>
      </c>
      <c r="L696" t="b">
        <f>TablaDatos[[#This Row],[FechaAlta]] &lt; TablaDatos[[#This Row],[FechaIngreso]]</f>
        <v>0</v>
      </c>
      <c r="M696">
        <f>_xlfn.XLOOKUP(TablaDatos[[#This Row],[PacienteID]],'Datos_Ejemplo.csv'!A:A,'Datos_Ejemplo.csv'!I:I)</f>
        <v>1</v>
      </c>
      <c r="N696">
        <f>ABS(TablaDatos[[#This Row],[DiasOriginal]])</f>
        <v>1</v>
      </c>
      <c r="O696" s="1">
        <f>TablaDatos[[#This Row],[FechaIngreso]]+TablaDatos[[#This Row],[DiasNuevo]]</f>
        <v>45070</v>
      </c>
    </row>
    <row r="697" spans="1:15">
      <c r="A697">
        <v>696</v>
      </c>
      <c r="B697" t="s">
        <v>276</v>
      </c>
      <c r="C697" s="1">
        <v>46022</v>
      </c>
      <c r="D697">
        <v>0</v>
      </c>
      <c r="E697" s="4" t="s">
        <v>12</v>
      </c>
      <c r="F697" t="s">
        <v>295</v>
      </c>
      <c r="G697" s="1">
        <v>44949</v>
      </c>
      <c r="H697" s="1">
        <f>TablaDatos[[#This Row],[FechaIngreso]]+TablaDatos[[#This Row],[DiasNuevo]]</f>
        <v>44972</v>
      </c>
      <c r="I697">
        <v>23</v>
      </c>
      <c r="J697" t="s">
        <v>23</v>
      </c>
      <c r="K697" s="3">
        <v>12168.58</v>
      </c>
      <c r="L697" t="b">
        <f>TablaDatos[[#This Row],[FechaAlta]] &lt; TablaDatos[[#This Row],[FechaIngreso]]</f>
        <v>0</v>
      </c>
      <c r="M697">
        <f>_xlfn.XLOOKUP(TablaDatos[[#This Row],[PacienteID]],'Datos_Ejemplo.csv'!A:A,'Datos_Ejemplo.csv'!I:I)</f>
        <v>23</v>
      </c>
      <c r="N697">
        <f>ABS(TablaDatos[[#This Row],[DiasOriginal]])</f>
        <v>23</v>
      </c>
      <c r="O697" s="1">
        <f>TablaDatos[[#This Row],[FechaIngreso]]+TablaDatos[[#This Row],[DiasNuevo]]</f>
        <v>44972</v>
      </c>
    </row>
    <row r="698" spans="1:15">
      <c r="A698">
        <v>697</v>
      </c>
      <c r="B698" t="s">
        <v>237</v>
      </c>
      <c r="C698" s="1">
        <v>26664</v>
      </c>
      <c r="D698">
        <v>53</v>
      </c>
      <c r="E698" s="4" t="s">
        <v>12</v>
      </c>
      <c r="F698" t="s">
        <v>201</v>
      </c>
      <c r="G698" s="1">
        <v>45107</v>
      </c>
      <c r="H698" s="1">
        <f>TablaDatos[[#This Row],[FechaIngreso]]+TablaDatos[[#This Row],[DiasNuevo]]</f>
        <v>45128</v>
      </c>
      <c r="I698">
        <v>21</v>
      </c>
      <c r="J698" t="s">
        <v>25</v>
      </c>
      <c r="K698" s="3">
        <v>9808.98</v>
      </c>
      <c r="L698" t="b">
        <f>TablaDatos[[#This Row],[FechaAlta]] &lt; TablaDatos[[#This Row],[FechaIngreso]]</f>
        <v>0</v>
      </c>
      <c r="M698">
        <f>_xlfn.XLOOKUP(TablaDatos[[#This Row],[PacienteID]],'Datos_Ejemplo.csv'!A:A,'Datos_Ejemplo.csv'!I:I)</f>
        <v>21</v>
      </c>
      <c r="N698">
        <f>ABS(TablaDatos[[#This Row],[DiasOriginal]])</f>
        <v>21</v>
      </c>
      <c r="O698" s="1">
        <f>TablaDatos[[#This Row],[FechaIngreso]]+TablaDatos[[#This Row],[DiasNuevo]]</f>
        <v>45128</v>
      </c>
    </row>
    <row r="699" spans="1:15">
      <c r="A699">
        <v>698</v>
      </c>
      <c r="B699" t="s">
        <v>268</v>
      </c>
      <c r="C699" s="1">
        <v>45292</v>
      </c>
      <c r="D699">
        <v>2</v>
      </c>
      <c r="E699" s="4" t="s">
        <v>12</v>
      </c>
      <c r="F699" t="s">
        <v>295</v>
      </c>
      <c r="G699" s="1">
        <v>44971</v>
      </c>
      <c r="H699" s="1">
        <f>TablaDatos[[#This Row],[FechaIngreso]]+TablaDatos[[#This Row],[DiasNuevo]]</f>
        <v>44977</v>
      </c>
      <c r="I699">
        <v>6</v>
      </c>
      <c r="J699" t="s">
        <v>25</v>
      </c>
      <c r="K699" s="3">
        <v>16742.13</v>
      </c>
      <c r="L699" t="b">
        <f>TablaDatos[[#This Row],[FechaAlta]] &lt; TablaDatos[[#This Row],[FechaIngreso]]</f>
        <v>0</v>
      </c>
      <c r="M699">
        <f>_xlfn.XLOOKUP(TablaDatos[[#This Row],[PacienteID]],'Datos_Ejemplo.csv'!A:A,'Datos_Ejemplo.csv'!I:I)</f>
        <v>6</v>
      </c>
      <c r="N699">
        <f>ABS(TablaDatos[[#This Row],[DiasOriginal]])</f>
        <v>6</v>
      </c>
      <c r="O699" s="1">
        <f>TablaDatos[[#This Row],[FechaIngreso]]+TablaDatos[[#This Row],[DiasNuevo]]</f>
        <v>44977</v>
      </c>
    </row>
    <row r="700" spans="1:15">
      <c r="A700">
        <v>699</v>
      </c>
      <c r="B700" t="s">
        <v>303</v>
      </c>
      <c r="C700" s="1">
        <v>40544</v>
      </c>
      <c r="D700">
        <v>15</v>
      </c>
      <c r="E700" s="4" t="s">
        <v>12</v>
      </c>
      <c r="F700" t="s">
        <v>261</v>
      </c>
      <c r="G700" s="1">
        <v>45395</v>
      </c>
      <c r="H700" s="1">
        <f>TablaDatos[[#This Row],[FechaIngreso]]+TablaDatos[[#This Row],[DiasNuevo]]</f>
        <v>45427</v>
      </c>
      <c r="I700">
        <v>32</v>
      </c>
      <c r="J700" t="s">
        <v>23</v>
      </c>
      <c r="K700" s="3">
        <v>17992.8</v>
      </c>
      <c r="L700" t="b">
        <f>TablaDatos[[#This Row],[FechaAlta]] &lt; TablaDatos[[#This Row],[FechaIngreso]]</f>
        <v>0</v>
      </c>
      <c r="M700">
        <f>_xlfn.XLOOKUP(TablaDatos[[#This Row],[PacienteID]],'Datos_Ejemplo.csv'!A:A,'Datos_Ejemplo.csv'!I:I)</f>
        <v>32</v>
      </c>
      <c r="N700">
        <f>ABS(TablaDatos[[#This Row],[DiasOriginal]])</f>
        <v>32</v>
      </c>
      <c r="O700" s="1">
        <f>TablaDatos[[#This Row],[FechaIngreso]]+TablaDatos[[#This Row],[DiasNuevo]]</f>
        <v>45427</v>
      </c>
    </row>
    <row r="701" spans="1:15">
      <c r="A701">
        <v>700</v>
      </c>
      <c r="B701" t="s">
        <v>234</v>
      </c>
      <c r="C701" s="1">
        <v>14611</v>
      </c>
      <c r="D701">
        <v>86</v>
      </c>
      <c r="E701" s="4" t="s">
        <v>15</v>
      </c>
      <c r="F701" t="s">
        <v>21</v>
      </c>
      <c r="G701" s="1">
        <v>45018</v>
      </c>
      <c r="H701" s="1">
        <f>TablaDatos[[#This Row],[FechaIngreso]]+TablaDatos[[#This Row],[DiasNuevo]]</f>
        <v>45057</v>
      </c>
      <c r="I701">
        <v>39</v>
      </c>
      <c r="J701" t="s">
        <v>25</v>
      </c>
      <c r="K701" s="3">
        <v>9340.65</v>
      </c>
      <c r="L701" t="b">
        <f>TablaDatos[[#This Row],[FechaAlta]] &lt; TablaDatos[[#This Row],[FechaIngreso]]</f>
        <v>0</v>
      </c>
      <c r="M701">
        <f>_xlfn.XLOOKUP(TablaDatos[[#This Row],[PacienteID]],'Datos_Ejemplo.csv'!A:A,'Datos_Ejemplo.csv'!I:I)</f>
        <v>39</v>
      </c>
      <c r="N701">
        <f>ABS(TablaDatos[[#This Row],[DiasOriginal]])</f>
        <v>39</v>
      </c>
      <c r="O701" s="1">
        <f>TablaDatos[[#This Row],[FechaIngreso]]+TablaDatos[[#This Row],[DiasNuevo]]</f>
        <v>45057</v>
      </c>
    </row>
    <row r="702" spans="1:15">
      <c r="A702">
        <v>701</v>
      </c>
      <c r="B702" t="s">
        <v>105</v>
      </c>
      <c r="C702" s="1">
        <v>25568</v>
      </c>
      <c r="D702">
        <v>56</v>
      </c>
      <c r="E702" s="4" t="s">
        <v>15</v>
      </c>
      <c r="F702" t="s">
        <v>21</v>
      </c>
      <c r="G702" s="1">
        <v>45195</v>
      </c>
      <c r="H702" s="1">
        <f>TablaDatos[[#This Row],[FechaIngreso]]+TablaDatos[[#This Row],[DiasNuevo]]</f>
        <v>45207</v>
      </c>
      <c r="I702">
        <v>12</v>
      </c>
      <c r="J702" t="s">
        <v>23</v>
      </c>
      <c r="K702" s="3">
        <v>4718.93</v>
      </c>
      <c r="L702" t="b">
        <f>TablaDatos[[#This Row],[FechaAlta]] &lt; TablaDatos[[#This Row],[FechaIngreso]]</f>
        <v>0</v>
      </c>
      <c r="M702">
        <f>_xlfn.XLOOKUP(TablaDatos[[#This Row],[PacienteID]],'Datos_Ejemplo.csv'!A:A,'Datos_Ejemplo.csv'!I:I)</f>
        <v>12</v>
      </c>
      <c r="N702">
        <f>ABS(TablaDatos[[#This Row],[DiasOriginal]])</f>
        <v>12</v>
      </c>
      <c r="O702" s="1">
        <f>TablaDatos[[#This Row],[FechaIngreso]]+TablaDatos[[#This Row],[DiasNuevo]]</f>
        <v>45207</v>
      </c>
    </row>
    <row r="703" spans="1:15">
      <c r="A703">
        <v>702</v>
      </c>
      <c r="B703" t="s">
        <v>61</v>
      </c>
      <c r="C703" s="1">
        <v>18994</v>
      </c>
      <c r="D703">
        <v>74</v>
      </c>
      <c r="E703" s="4" t="s">
        <v>15</v>
      </c>
      <c r="F703" t="s">
        <v>201</v>
      </c>
      <c r="G703" s="1">
        <v>44960</v>
      </c>
      <c r="H703" s="1">
        <f>TablaDatos[[#This Row],[FechaIngreso]]+TablaDatos[[#This Row],[DiasNuevo]]</f>
        <v>44981</v>
      </c>
      <c r="I703">
        <v>21</v>
      </c>
      <c r="J703" t="s">
        <v>19</v>
      </c>
      <c r="K703" s="3">
        <v>18898.37</v>
      </c>
      <c r="L703" t="b">
        <f>TablaDatos[[#This Row],[FechaAlta]] &lt; TablaDatos[[#This Row],[FechaIngreso]]</f>
        <v>0</v>
      </c>
      <c r="M703">
        <f>_xlfn.XLOOKUP(TablaDatos[[#This Row],[PacienteID]],'Datos_Ejemplo.csv'!A:A,'Datos_Ejemplo.csv'!I:I)</f>
        <v>21</v>
      </c>
      <c r="N703">
        <f>ABS(TablaDatos[[#This Row],[DiasOriginal]])</f>
        <v>21</v>
      </c>
      <c r="O703" s="1">
        <f>TablaDatos[[#This Row],[FechaIngreso]]+TablaDatos[[#This Row],[DiasNuevo]]</f>
        <v>44981</v>
      </c>
    </row>
    <row r="704" spans="1:15">
      <c r="A704">
        <v>703</v>
      </c>
      <c r="B704" t="s">
        <v>359</v>
      </c>
      <c r="C704" s="1">
        <v>42005</v>
      </c>
      <c r="D704">
        <v>11</v>
      </c>
      <c r="E704" s="4" t="s">
        <v>12</v>
      </c>
      <c r="F704" t="s">
        <v>295</v>
      </c>
      <c r="G704" s="1">
        <v>45604</v>
      </c>
      <c r="H704" s="1">
        <f>TablaDatos[[#This Row],[FechaIngreso]]+TablaDatos[[#This Row],[DiasNuevo]]</f>
        <v>45632</v>
      </c>
      <c r="I704">
        <v>28</v>
      </c>
      <c r="J704" t="s">
        <v>25</v>
      </c>
      <c r="K704" s="3">
        <v>14674.28</v>
      </c>
      <c r="L704" t="b">
        <f>TablaDatos[[#This Row],[FechaAlta]] &lt; TablaDatos[[#This Row],[FechaIngreso]]</f>
        <v>0</v>
      </c>
      <c r="M704">
        <f>_xlfn.XLOOKUP(TablaDatos[[#This Row],[PacienteID]],'Datos_Ejemplo.csv'!A:A,'Datos_Ejemplo.csv'!I:I)</f>
        <v>28</v>
      </c>
      <c r="N704">
        <f>ABS(TablaDatos[[#This Row],[DiasOriginal]])</f>
        <v>28</v>
      </c>
      <c r="O704" s="1">
        <f>TablaDatos[[#This Row],[FechaIngreso]]+TablaDatos[[#This Row],[DiasNuevo]]</f>
        <v>45632</v>
      </c>
    </row>
    <row r="705" spans="1:15">
      <c r="A705">
        <v>704</v>
      </c>
      <c r="B705" t="s">
        <v>313</v>
      </c>
      <c r="C705" s="1">
        <v>19359</v>
      </c>
      <c r="D705">
        <v>73</v>
      </c>
      <c r="E705" s="4" t="s">
        <v>15</v>
      </c>
      <c r="F705" t="s">
        <v>13</v>
      </c>
      <c r="G705" s="1">
        <v>45508</v>
      </c>
      <c r="H705" s="1">
        <f>TablaDatos[[#This Row],[FechaIngreso]]+TablaDatos[[#This Row],[DiasNuevo]]</f>
        <v>45524</v>
      </c>
      <c r="I705">
        <v>16</v>
      </c>
      <c r="J705" t="s">
        <v>19</v>
      </c>
      <c r="K705" s="3">
        <v>12766.55</v>
      </c>
      <c r="L705" t="b">
        <f>TablaDatos[[#This Row],[FechaAlta]] &lt; TablaDatos[[#This Row],[FechaIngreso]]</f>
        <v>0</v>
      </c>
      <c r="M705">
        <f>_xlfn.XLOOKUP(TablaDatos[[#This Row],[PacienteID]],'Datos_Ejemplo.csv'!A:A,'Datos_Ejemplo.csv'!I:I)</f>
        <v>16</v>
      </c>
      <c r="N705">
        <f>ABS(TablaDatos[[#This Row],[DiasOriginal]])</f>
        <v>16</v>
      </c>
      <c r="O705" s="1">
        <f>TablaDatos[[#This Row],[FechaIngreso]]+TablaDatos[[#This Row],[DiasNuevo]]</f>
        <v>45524</v>
      </c>
    </row>
    <row r="706" spans="1:15">
      <c r="A706">
        <v>705</v>
      </c>
      <c r="B706" t="s">
        <v>254</v>
      </c>
      <c r="C706" s="1">
        <v>40544</v>
      </c>
      <c r="D706">
        <f ca="1">DATEDIF(TablaDatos[[#This Row],[FechaNacimiento]],TODAY(),"Y")</f>
        <v>15</v>
      </c>
      <c r="E706" s="4" t="s">
        <v>12</v>
      </c>
      <c r="F706" t="s">
        <v>21</v>
      </c>
      <c r="G706" s="1">
        <v>45290</v>
      </c>
      <c r="H706" s="1">
        <f>TablaDatos[[#This Row],[FechaIngreso]]+TablaDatos[[#This Row],[DiasNuevo]]</f>
        <v>45291</v>
      </c>
      <c r="I706">
        <v>1</v>
      </c>
      <c r="J706" t="s">
        <v>23</v>
      </c>
      <c r="K706" s="3">
        <v>14882.82</v>
      </c>
      <c r="L706" t="b">
        <f>TablaDatos[[#This Row],[FechaAlta]] &lt; TablaDatos[[#This Row],[FechaIngreso]]</f>
        <v>0</v>
      </c>
      <c r="M706">
        <f>_xlfn.XLOOKUP(TablaDatos[[#This Row],[PacienteID]],'Datos_Ejemplo.csv'!A:A,'Datos_Ejemplo.csv'!I:I)</f>
        <v>-1</v>
      </c>
      <c r="N706">
        <f>ABS(TablaDatos[[#This Row],[DiasOriginal]])</f>
        <v>1</v>
      </c>
      <c r="O706" s="1">
        <f>TablaDatos[[#This Row],[FechaIngreso]]+TablaDatos[[#This Row],[DiasNuevo]]</f>
        <v>45291</v>
      </c>
    </row>
    <row r="707" spans="1:15">
      <c r="A707">
        <v>706</v>
      </c>
      <c r="B707" t="s">
        <v>355</v>
      </c>
      <c r="C707" s="1">
        <v>20090</v>
      </c>
      <c r="D707">
        <v>71</v>
      </c>
      <c r="E707" s="4" t="s">
        <v>15</v>
      </c>
      <c r="F707" t="s">
        <v>201</v>
      </c>
      <c r="G707" s="1">
        <v>45634</v>
      </c>
      <c r="H707" s="1">
        <f>TablaDatos[[#This Row],[FechaIngreso]]+TablaDatos[[#This Row],[DiasNuevo]]</f>
        <v>45635</v>
      </c>
      <c r="I707">
        <v>1</v>
      </c>
      <c r="J707" t="s">
        <v>19</v>
      </c>
      <c r="K707" s="3">
        <v>1427.23</v>
      </c>
      <c r="L707" t="b">
        <f>TablaDatos[[#This Row],[FechaAlta]] &lt; TablaDatos[[#This Row],[FechaIngreso]]</f>
        <v>0</v>
      </c>
      <c r="M707">
        <f>_xlfn.XLOOKUP(TablaDatos[[#This Row],[PacienteID]],'Datos_Ejemplo.csv'!A:A,'Datos_Ejemplo.csv'!I:I)</f>
        <v>-1</v>
      </c>
      <c r="N707">
        <f>ABS(TablaDatos[[#This Row],[DiasOriginal]])</f>
        <v>1</v>
      </c>
      <c r="O707" s="1">
        <f>TablaDatos[[#This Row],[FechaIngreso]]+TablaDatos[[#This Row],[DiasNuevo]]</f>
        <v>45635</v>
      </c>
    </row>
    <row r="708" spans="1:15">
      <c r="A708">
        <v>707</v>
      </c>
      <c r="B708" t="s">
        <v>361</v>
      </c>
      <c r="C708" s="1">
        <v>18629</v>
      </c>
      <c r="D708">
        <v>75</v>
      </c>
      <c r="E708" s="4" t="s">
        <v>12</v>
      </c>
      <c r="F708" t="s">
        <v>18</v>
      </c>
      <c r="G708" s="1">
        <v>45059</v>
      </c>
      <c r="H708" s="1">
        <f>TablaDatos[[#This Row],[FechaIngreso]]+TablaDatos[[#This Row],[DiasNuevo]]</f>
        <v>45097</v>
      </c>
      <c r="I708">
        <v>38</v>
      </c>
      <c r="J708" t="s">
        <v>23</v>
      </c>
      <c r="K708" s="3">
        <v>1259.29</v>
      </c>
      <c r="L708" t="b">
        <f>TablaDatos[[#This Row],[FechaAlta]] &lt; TablaDatos[[#This Row],[FechaIngreso]]</f>
        <v>0</v>
      </c>
      <c r="M708">
        <f>_xlfn.XLOOKUP(TablaDatos[[#This Row],[PacienteID]],'Datos_Ejemplo.csv'!A:A,'Datos_Ejemplo.csv'!I:I)</f>
        <v>38</v>
      </c>
      <c r="N708">
        <f>ABS(TablaDatos[[#This Row],[DiasOriginal]])</f>
        <v>38</v>
      </c>
      <c r="O708" s="1">
        <f>TablaDatos[[#This Row],[FechaIngreso]]+TablaDatos[[#This Row],[DiasNuevo]]</f>
        <v>45097</v>
      </c>
    </row>
    <row r="709" spans="1:15">
      <c r="A709">
        <v>708</v>
      </c>
      <c r="B709" t="s">
        <v>234</v>
      </c>
      <c r="C709" s="1">
        <v>37622</v>
      </c>
      <c r="D709">
        <v>23</v>
      </c>
      <c r="E709" s="4" t="s">
        <v>15</v>
      </c>
      <c r="F709" t="s">
        <v>18</v>
      </c>
      <c r="G709" s="1">
        <v>45308</v>
      </c>
      <c r="H709" s="1">
        <f>TablaDatos[[#This Row],[FechaIngreso]]+TablaDatos[[#This Row],[DiasNuevo]]</f>
        <v>45341</v>
      </c>
      <c r="I709">
        <v>33</v>
      </c>
      <c r="J709" t="s">
        <v>23</v>
      </c>
      <c r="K709" s="3">
        <v>2977.73</v>
      </c>
      <c r="L709" t="b">
        <f>TablaDatos[[#This Row],[FechaAlta]] &lt; TablaDatos[[#This Row],[FechaIngreso]]</f>
        <v>0</v>
      </c>
      <c r="M709">
        <f>_xlfn.XLOOKUP(TablaDatos[[#This Row],[PacienteID]],'Datos_Ejemplo.csv'!A:A,'Datos_Ejemplo.csv'!I:I)</f>
        <v>33</v>
      </c>
      <c r="N709">
        <f>ABS(TablaDatos[[#This Row],[DiasOriginal]])</f>
        <v>33</v>
      </c>
      <c r="O709" s="1">
        <f>TablaDatos[[#This Row],[FechaIngreso]]+TablaDatos[[#This Row],[DiasNuevo]]</f>
        <v>45341</v>
      </c>
    </row>
    <row r="710" spans="1:15">
      <c r="A710">
        <v>709</v>
      </c>
      <c r="B710" t="s">
        <v>55</v>
      </c>
      <c r="C710" s="1">
        <v>36161</v>
      </c>
      <c r="D710">
        <f ca="1">DATEDIF(TablaDatos[[#This Row],[FechaNacimiento]],TODAY(),"Y")</f>
        <v>27</v>
      </c>
      <c r="E710" s="4" t="s">
        <v>15</v>
      </c>
      <c r="F710" t="s">
        <v>295</v>
      </c>
      <c r="G710" s="1">
        <v>45606</v>
      </c>
      <c r="H710" s="1">
        <f>TablaDatos[[#This Row],[FechaIngreso]]+TablaDatos[[#This Row],[DiasNuevo]]</f>
        <v>45640</v>
      </c>
      <c r="I710">
        <v>34</v>
      </c>
      <c r="J710" t="s">
        <v>25</v>
      </c>
      <c r="K710" s="3">
        <v>2863.76</v>
      </c>
      <c r="L710" t="b">
        <f>TablaDatos[[#This Row],[FechaAlta]] &lt; TablaDatos[[#This Row],[FechaIngreso]]</f>
        <v>0</v>
      </c>
      <c r="M710">
        <f>_xlfn.XLOOKUP(TablaDatos[[#This Row],[PacienteID]],'Datos_Ejemplo.csv'!A:A,'Datos_Ejemplo.csv'!I:I)</f>
        <v>34</v>
      </c>
      <c r="N710">
        <f>ABS(TablaDatos[[#This Row],[DiasOriginal]])</f>
        <v>34</v>
      </c>
      <c r="O710" s="1">
        <f>TablaDatos[[#This Row],[FechaIngreso]]+TablaDatos[[#This Row],[DiasNuevo]]</f>
        <v>45640</v>
      </c>
    </row>
    <row r="711" spans="1:15">
      <c r="A711">
        <v>710</v>
      </c>
      <c r="B711" t="s">
        <v>66</v>
      </c>
      <c r="C711" s="1">
        <v>43466</v>
      </c>
      <c r="D711">
        <v>7</v>
      </c>
      <c r="E711" s="4" t="s">
        <v>15</v>
      </c>
      <c r="F711" t="s">
        <v>32</v>
      </c>
      <c r="G711" s="1">
        <v>45203</v>
      </c>
      <c r="H711" s="1">
        <f>TablaDatos[[#This Row],[FechaIngreso]]+TablaDatos[[#This Row],[DiasNuevo]]</f>
        <v>45234</v>
      </c>
      <c r="I711">
        <v>31</v>
      </c>
      <c r="J711" t="s">
        <v>25</v>
      </c>
      <c r="K711" s="3">
        <v>8355.48</v>
      </c>
      <c r="L711" t="b">
        <f>TablaDatos[[#This Row],[FechaAlta]] &lt; TablaDatos[[#This Row],[FechaIngreso]]</f>
        <v>0</v>
      </c>
      <c r="M711">
        <f>_xlfn.XLOOKUP(TablaDatos[[#This Row],[PacienteID]],'Datos_Ejemplo.csv'!A:A,'Datos_Ejemplo.csv'!I:I)</f>
        <v>31</v>
      </c>
      <c r="N711">
        <f>ABS(TablaDatos[[#This Row],[DiasOriginal]])</f>
        <v>31</v>
      </c>
      <c r="O711" s="1">
        <f>TablaDatos[[#This Row],[FechaIngreso]]+TablaDatos[[#This Row],[DiasNuevo]]</f>
        <v>45234</v>
      </c>
    </row>
    <row r="712" spans="1:15">
      <c r="A712">
        <v>711</v>
      </c>
      <c r="B712" t="s">
        <v>279</v>
      </c>
      <c r="C712" s="1">
        <v>12785</v>
      </c>
      <c r="D712">
        <v>91</v>
      </c>
      <c r="E712" s="4" t="s">
        <v>15</v>
      </c>
      <c r="F712" t="s">
        <v>295</v>
      </c>
      <c r="G712" s="1">
        <v>45082</v>
      </c>
      <c r="H712" s="1">
        <f>TablaDatos[[#This Row],[FechaIngreso]]+TablaDatos[[#This Row],[DiasNuevo]]</f>
        <v>45118</v>
      </c>
      <c r="I712">
        <v>36</v>
      </c>
      <c r="J712" t="s">
        <v>23</v>
      </c>
      <c r="K712" s="3">
        <v>3063.82</v>
      </c>
      <c r="L712" t="b">
        <f>TablaDatos[[#This Row],[FechaAlta]] &lt; TablaDatos[[#This Row],[FechaIngreso]]</f>
        <v>0</v>
      </c>
      <c r="M712">
        <f>_xlfn.XLOOKUP(TablaDatos[[#This Row],[PacienteID]],'Datos_Ejemplo.csv'!A:A,'Datos_Ejemplo.csv'!I:I)</f>
        <v>36</v>
      </c>
      <c r="N712">
        <f>ABS(TablaDatos[[#This Row],[DiasOriginal]])</f>
        <v>36</v>
      </c>
      <c r="O712" s="1">
        <f>TablaDatos[[#This Row],[FechaIngreso]]+TablaDatos[[#This Row],[DiasNuevo]]</f>
        <v>45118</v>
      </c>
    </row>
    <row r="713" spans="1:15">
      <c r="A713">
        <v>712</v>
      </c>
      <c r="B713" t="s">
        <v>275</v>
      </c>
      <c r="C713" s="1">
        <v>33239</v>
      </c>
      <c r="D713">
        <v>35</v>
      </c>
      <c r="E713" s="4" t="s">
        <v>15</v>
      </c>
      <c r="F713" t="s">
        <v>201</v>
      </c>
      <c r="G713" s="1">
        <v>45313</v>
      </c>
      <c r="H713" s="1">
        <f>TablaDatos[[#This Row],[FechaIngreso]]+TablaDatos[[#This Row],[DiasNuevo]]</f>
        <v>45329</v>
      </c>
      <c r="I713">
        <v>16</v>
      </c>
      <c r="J713" t="s">
        <v>23</v>
      </c>
      <c r="K713" s="3">
        <v>17075.97</v>
      </c>
      <c r="L713" t="b">
        <f>TablaDatos[[#This Row],[FechaAlta]] &lt; TablaDatos[[#This Row],[FechaIngreso]]</f>
        <v>0</v>
      </c>
      <c r="M713">
        <f>_xlfn.XLOOKUP(TablaDatos[[#This Row],[PacienteID]],'Datos_Ejemplo.csv'!A:A,'Datos_Ejemplo.csv'!I:I)</f>
        <v>16</v>
      </c>
      <c r="N713">
        <f>ABS(TablaDatos[[#This Row],[DiasOriginal]])</f>
        <v>16</v>
      </c>
      <c r="O713" s="1">
        <f>TablaDatos[[#This Row],[FechaIngreso]]+TablaDatos[[#This Row],[DiasNuevo]]</f>
        <v>45329</v>
      </c>
    </row>
    <row r="714" spans="1:15">
      <c r="A714">
        <v>713</v>
      </c>
      <c r="B714" t="s">
        <v>277</v>
      </c>
      <c r="C714" s="1">
        <v>13515</v>
      </c>
      <c r="D714">
        <v>89</v>
      </c>
      <c r="E714" s="4" t="s">
        <v>12</v>
      </c>
      <c r="F714" t="s">
        <v>295</v>
      </c>
      <c r="G714" s="1">
        <v>45461</v>
      </c>
      <c r="H714" s="1">
        <f>TablaDatos[[#This Row],[FechaIngreso]]+TablaDatos[[#This Row],[DiasNuevo]]</f>
        <v>45496</v>
      </c>
      <c r="I714">
        <v>35</v>
      </c>
      <c r="J714" t="s">
        <v>23</v>
      </c>
      <c r="K714" s="3">
        <v>11519.75</v>
      </c>
      <c r="L714" t="b">
        <f>TablaDatos[[#This Row],[FechaAlta]] &lt; TablaDatos[[#This Row],[FechaIngreso]]</f>
        <v>0</v>
      </c>
      <c r="M714">
        <f>_xlfn.XLOOKUP(TablaDatos[[#This Row],[PacienteID]],'Datos_Ejemplo.csv'!A:A,'Datos_Ejemplo.csv'!I:I)</f>
        <v>35</v>
      </c>
      <c r="N714">
        <f>ABS(TablaDatos[[#This Row],[DiasOriginal]])</f>
        <v>35</v>
      </c>
      <c r="O714" s="1">
        <f>TablaDatos[[#This Row],[FechaIngreso]]+TablaDatos[[#This Row],[DiasNuevo]]</f>
        <v>45496</v>
      </c>
    </row>
    <row r="715" spans="1:15">
      <c r="A715">
        <v>714</v>
      </c>
      <c r="B715" t="s">
        <v>253</v>
      </c>
      <c r="C715" s="1">
        <v>43466</v>
      </c>
      <c r="D715">
        <v>7</v>
      </c>
      <c r="E715" s="4" t="s">
        <v>15</v>
      </c>
      <c r="F715" t="s">
        <v>13</v>
      </c>
      <c r="G715" s="1">
        <v>45126</v>
      </c>
      <c r="H715" s="1">
        <f>TablaDatos[[#This Row],[FechaIngreso]]+TablaDatos[[#This Row],[DiasNuevo]]</f>
        <v>45146</v>
      </c>
      <c r="I715">
        <v>20</v>
      </c>
      <c r="J715" t="s">
        <v>23</v>
      </c>
      <c r="K715" s="3">
        <v>7302.06</v>
      </c>
      <c r="L715" t="b">
        <f>TablaDatos[[#This Row],[FechaAlta]] &lt; TablaDatos[[#This Row],[FechaIngreso]]</f>
        <v>0</v>
      </c>
      <c r="M715">
        <f>_xlfn.XLOOKUP(TablaDatos[[#This Row],[PacienteID]],'Datos_Ejemplo.csv'!A:A,'Datos_Ejemplo.csv'!I:I)</f>
        <v>20</v>
      </c>
      <c r="N715">
        <f>ABS(TablaDatos[[#This Row],[DiasOriginal]])</f>
        <v>20</v>
      </c>
      <c r="O715" s="1">
        <f>TablaDatos[[#This Row],[FechaIngreso]]+TablaDatos[[#This Row],[DiasNuevo]]</f>
        <v>45146</v>
      </c>
    </row>
    <row r="716" spans="1:15">
      <c r="A716">
        <v>715</v>
      </c>
      <c r="B716" t="s">
        <v>273</v>
      </c>
      <c r="C716" s="1">
        <v>25203</v>
      </c>
      <c r="D716">
        <v>57</v>
      </c>
      <c r="E716" s="4" t="s">
        <v>15</v>
      </c>
      <c r="F716" t="s">
        <v>13</v>
      </c>
      <c r="G716" s="1">
        <v>45201</v>
      </c>
      <c r="H716" s="1">
        <f>TablaDatos[[#This Row],[FechaIngreso]]+TablaDatos[[#This Row],[DiasNuevo]]</f>
        <v>45214</v>
      </c>
      <c r="I716">
        <v>13</v>
      </c>
      <c r="J716" t="s">
        <v>23</v>
      </c>
      <c r="K716" s="3">
        <v>1299.4100000000001</v>
      </c>
      <c r="L716" t="b">
        <f>TablaDatos[[#This Row],[FechaAlta]] &lt; TablaDatos[[#This Row],[FechaIngreso]]</f>
        <v>0</v>
      </c>
      <c r="M716">
        <f>_xlfn.XLOOKUP(TablaDatos[[#This Row],[PacienteID]],'Datos_Ejemplo.csv'!A:A,'Datos_Ejemplo.csv'!I:I)</f>
        <v>13</v>
      </c>
      <c r="N716">
        <f>ABS(TablaDatos[[#This Row],[DiasOriginal]])</f>
        <v>13</v>
      </c>
      <c r="O716" s="1">
        <f>TablaDatos[[#This Row],[FechaIngreso]]+TablaDatos[[#This Row],[DiasNuevo]]</f>
        <v>45214</v>
      </c>
    </row>
    <row r="717" spans="1:15">
      <c r="A717">
        <v>716</v>
      </c>
      <c r="B717" t="s">
        <v>327</v>
      </c>
      <c r="C717" s="1">
        <v>24473</v>
      </c>
      <c r="D717">
        <v>59</v>
      </c>
      <c r="E717" s="4" t="s">
        <v>12</v>
      </c>
      <c r="F717" t="s">
        <v>261</v>
      </c>
      <c r="G717" s="1">
        <v>45427</v>
      </c>
      <c r="H717" s="1">
        <f>TablaDatos[[#This Row],[FechaIngreso]]+TablaDatos[[#This Row],[DiasNuevo]]</f>
        <v>45430</v>
      </c>
      <c r="I717">
        <v>3</v>
      </c>
      <c r="J717" t="s">
        <v>19</v>
      </c>
      <c r="K717" s="3">
        <v>11779.66</v>
      </c>
      <c r="L717" t="b">
        <f>TablaDatos[[#This Row],[FechaAlta]] &lt; TablaDatos[[#This Row],[FechaIngreso]]</f>
        <v>0</v>
      </c>
      <c r="M717">
        <f>_xlfn.XLOOKUP(TablaDatos[[#This Row],[PacienteID]],'Datos_Ejemplo.csv'!A:A,'Datos_Ejemplo.csv'!I:I)</f>
        <v>3</v>
      </c>
      <c r="N717">
        <f>ABS(TablaDatos[[#This Row],[DiasOriginal]])</f>
        <v>3</v>
      </c>
      <c r="O717" s="1">
        <f>TablaDatos[[#This Row],[FechaIngreso]]+TablaDatos[[#This Row],[DiasNuevo]]</f>
        <v>45430</v>
      </c>
    </row>
    <row r="718" spans="1:15">
      <c r="A718">
        <v>717</v>
      </c>
      <c r="B718" t="s">
        <v>279</v>
      </c>
      <c r="C718" s="1">
        <f ca="1">DATE(YEAR(TODAY())-TablaDatos[[#This Row],[Edad]],1,1)</f>
        <v>28126</v>
      </c>
      <c r="D718">
        <v>49</v>
      </c>
      <c r="E718" s="4" t="s">
        <v>15</v>
      </c>
      <c r="F718" t="s">
        <v>201</v>
      </c>
      <c r="G718" s="1">
        <v>45385</v>
      </c>
      <c r="H718" s="1">
        <f>TablaDatos[[#This Row],[FechaIngreso]]+TablaDatos[[#This Row],[DiasNuevo]]</f>
        <v>45408</v>
      </c>
      <c r="I718">
        <v>23</v>
      </c>
      <c r="J718" t="s">
        <v>23</v>
      </c>
      <c r="K718" s="3">
        <v>2242.31</v>
      </c>
      <c r="L718" t="b">
        <f>TablaDatos[[#This Row],[FechaAlta]] &lt; TablaDatos[[#This Row],[FechaIngreso]]</f>
        <v>0</v>
      </c>
      <c r="M718">
        <f>_xlfn.XLOOKUP(TablaDatos[[#This Row],[PacienteID]],'Datos_Ejemplo.csv'!A:A,'Datos_Ejemplo.csv'!I:I)</f>
        <v>23</v>
      </c>
      <c r="N718">
        <f>ABS(TablaDatos[[#This Row],[DiasOriginal]])</f>
        <v>23</v>
      </c>
      <c r="O718" s="1">
        <f>TablaDatos[[#This Row],[FechaIngreso]]+TablaDatos[[#This Row],[DiasNuevo]]</f>
        <v>45408</v>
      </c>
    </row>
    <row r="719" spans="1:15">
      <c r="A719">
        <v>718</v>
      </c>
      <c r="B719" t="s">
        <v>105</v>
      </c>
      <c r="C719" s="1">
        <v>36161</v>
      </c>
      <c r="D719">
        <v>27</v>
      </c>
      <c r="E719" s="4" t="s">
        <v>12</v>
      </c>
      <c r="F719" t="s">
        <v>32</v>
      </c>
      <c r="G719" s="1">
        <v>44976</v>
      </c>
      <c r="H719" s="1">
        <f>TablaDatos[[#This Row],[FechaIngreso]]+TablaDatos[[#This Row],[DiasNuevo]]</f>
        <v>44995</v>
      </c>
      <c r="I719">
        <v>19</v>
      </c>
      <c r="J719" t="s">
        <v>19</v>
      </c>
      <c r="K719" s="3">
        <v>14838.73</v>
      </c>
      <c r="L719" t="b">
        <f>TablaDatos[[#This Row],[FechaAlta]] &lt; TablaDatos[[#This Row],[FechaIngreso]]</f>
        <v>0</v>
      </c>
      <c r="M719">
        <f>_xlfn.XLOOKUP(TablaDatos[[#This Row],[PacienteID]],'Datos_Ejemplo.csv'!A:A,'Datos_Ejemplo.csv'!I:I)</f>
        <v>19</v>
      </c>
      <c r="N719">
        <f>ABS(TablaDatos[[#This Row],[DiasOriginal]])</f>
        <v>19</v>
      </c>
      <c r="O719" s="1">
        <f>TablaDatos[[#This Row],[FechaIngreso]]+TablaDatos[[#This Row],[DiasNuevo]]</f>
        <v>44995</v>
      </c>
    </row>
    <row r="720" spans="1:15">
      <c r="A720">
        <v>719</v>
      </c>
      <c r="B720" t="s">
        <v>105</v>
      </c>
      <c r="C720" s="1">
        <v>12785</v>
      </c>
      <c r="D720">
        <v>91</v>
      </c>
      <c r="E720" s="4" t="s">
        <v>197</v>
      </c>
      <c r="F720" t="s">
        <v>201</v>
      </c>
      <c r="G720" s="1">
        <v>45624</v>
      </c>
      <c r="H720" s="1">
        <f>TablaDatos[[#This Row],[FechaIngreso]]+TablaDatos[[#This Row],[DiasNuevo]]</f>
        <v>45645</v>
      </c>
      <c r="I720">
        <v>21</v>
      </c>
      <c r="J720" t="s">
        <v>19</v>
      </c>
      <c r="K720" s="3">
        <v>16035.44</v>
      </c>
      <c r="L720" t="b">
        <f>TablaDatos[[#This Row],[FechaAlta]] &lt; TablaDatos[[#This Row],[FechaIngreso]]</f>
        <v>0</v>
      </c>
      <c r="M720">
        <f>_xlfn.XLOOKUP(TablaDatos[[#This Row],[PacienteID]],'Datos_Ejemplo.csv'!A:A,'Datos_Ejemplo.csv'!I:I)</f>
        <v>21</v>
      </c>
      <c r="N720">
        <f>ABS(TablaDatos[[#This Row],[DiasOriginal]])</f>
        <v>21</v>
      </c>
      <c r="O720" s="1">
        <f>TablaDatos[[#This Row],[FechaIngreso]]+TablaDatos[[#This Row],[DiasNuevo]]</f>
        <v>45645</v>
      </c>
    </row>
    <row r="721" spans="1:15">
      <c r="A721">
        <v>720</v>
      </c>
      <c r="B721" t="s">
        <v>275</v>
      </c>
      <c r="C721" s="1">
        <v>31412</v>
      </c>
      <c r="D721">
        <v>40</v>
      </c>
      <c r="E721" s="4" t="s">
        <v>15</v>
      </c>
      <c r="F721" t="s">
        <v>201</v>
      </c>
      <c r="G721" s="1">
        <v>45458</v>
      </c>
      <c r="H721" s="1">
        <f>TablaDatos[[#This Row],[FechaIngreso]]+TablaDatos[[#This Row],[DiasNuevo]]</f>
        <v>45495</v>
      </c>
      <c r="I721">
        <v>37</v>
      </c>
      <c r="J721" t="s">
        <v>25</v>
      </c>
      <c r="K721" s="3">
        <v>10833.92</v>
      </c>
      <c r="L721" t="b">
        <f>TablaDatos[[#This Row],[FechaAlta]] &lt; TablaDatos[[#This Row],[FechaIngreso]]</f>
        <v>0</v>
      </c>
      <c r="M721">
        <f>_xlfn.XLOOKUP(TablaDatos[[#This Row],[PacienteID]],'Datos_Ejemplo.csv'!A:A,'Datos_Ejemplo.csv'!I:I)</f>
        <v>37</v>
      </c>
      <c r="N721">
        <f>ABS(TablaDatos[[#This Row],[DiasOriginal]])</f>
        <v>37</v>
      </c>
      <c r="O721" s="1">
        <f>TablaDatos[[#This Row],[FechaIngreso]]+TablaDatos[[#This Row],[DiasNuevo]]</f>
        <v>45495</v>
      </c>
    </row>
    <row r="722" spans="1:15">
      <c r="A722">
        <v>721</v>
      </c>
      <c r="B722" t="s">
        <v>283</v>
      </c>
      <c r="C722" s="1">
        <v>23012</v>
      </c>
      <c r="D722">
        <v>63</v>
      </c>
      <c r="E722" s="4" t="s">
        <v>15</v>
      </c>
      <c r="F722" t="s">
        <v>32</v>
      </c>
      <c r="G722" s="1">
        <v>45554</v>
      </c>
      <c r="H722" s="1">
        <f>TablaDatos[[#This Row],[FechaIngreso]]+TablaDatos[[#This Row],[DiasNuevo]]</f>
        <v>45572</v>
      </c>
      <c r="I722">
        <v>18</v>
      </c>
      <c r="J722" t="s">
        <v>23</v>
      </c>
      <c r="K722" s="3">
        <v>2907.02</v>
      </c>
      <c r="L722" t="b">
        <f>TablaDatos[[#This Row],[FechaAlta]] &lt; TablaDatos[[#This Row],[FechaIngreso]]</f>
        <v>0</v>
      </c>
      <c r="M722">
        <f>_xlfn.XLOOKUP(TablaDatos[[#This Row],[PacienteID]],'Datos_Ejemplo.csv'!A:A,'Datos_Ejemplo.csv'!I:I)</f>
        <v>18</v>
      </c>
      <c r="N722">
        <f>ABS(TablaDatos[[#This Row],[DiasOriginal]])</f>
        <v>18</v>
      </c>
      <c r="O722" s="1">
        <f>TablaDatos[[#This Row],[FechaIngreso]]+TablaDatos[[#This Row],[DiasNuevo]]</f>
        <v>45572</v>
      </c>
    </row>
    <row r="723" spans="1:15">
      <c r="A723">
        <v>722</v>
      </c>
      <c r="B723" t="s">
        <v>356</v>
      </c>
      <c r="C723" s="1">
        <v>36526</v>
      </c>
      <c r="D723">
        <v>26</v>
      </c>
      <c r="E723" s="4" t="s">
        <v>15</v>
      </c>
      <c r="F723" t="s">
        <v>201</v>
      </c>
      <c r="G723" s="1">
        <v>45018</v>
      </c>
      <c r="H723" s="1">
        <f>TablaDatos[[#This Row],[FechaIngreso]]+TablaDatos[[#This Row],[DiasNuevo]]</f>
        <v>45045</v>
      </c>
      <c r="I723">
        <v>27</v>
      </c>
      <c r="J723" t="s">
        <v>19</v>
      </c>
      <c r="K723" s="3">
        <v>15715.94</v>
      </c>
      <c r="L723" t="b">
        <f>TablaDatos[[#This Row],[FechaAlta]] &lt; TablaDatos[[#This Row],[FechaIngreso]]</f>
        <v>0</v>
      </c>
      <c r="M723">
        <f>_xlfn.XLOOKUP(TablaDatos[[#This Row],[PacienteID]],'Datos_Ejemplo.csv'!A:A,'Datos_Ejemplo.csv'!I:I)</f>
        <v>27</v>
      </c>
      <c r="N723">
        <f>ABS(TablaDatos[[#This Row],[DiasOriginal]])</f>
        <v>27</v>
      </c>
      <c r="O723" s="1">
        <f>TablaDatos[[#This Row],[FechaIngreso]]+TablaDatos[[#This Row],[DiasNuevo]]</f>
        <v>45045</v>
      </c>
    </row>
    <row r="724" spans="1:15">
      <c r="A724">
        <v>723</v>
      </c>
      <c r="B724" t="s">
        <v>146</v>
      </c>
      <c r="C724" s="1">
        <v>23377</v>
      </c>
      <c r="D724">
        <v>62</v>
      </c>
      <c r="E724" s="4" t="s">
        <v>12</v>
      </c>
      <c r="F724" t="s">
        <v>32</v>
      </c>
      <c r="G724" s="1">
        <v>45382</v>
      </c>
      <c r="H724" s="1">
        <f>TablaDatos[[#This Row],[FechaIngreso]]+TablaDatos[[#This Row],[DiasNuevo]]</f>
        <v>45390</v>
      </c>
      <c r="I724">
        <v>8</v>
      </c>
      <c r="J724" t="s">
        <v>23</v>
      </c>
      <c r="K724" s="3">
        <v>6087.34</v>
      </c>
      <c r="L724" t="b">
        <f>TablaDatos[[#This Row],[FechaAlta]] &lt; TablaDatos[[#This Row],[FechaIngreso]]</f>
        <v>0</v>
      </c>
      <c r="M724">
        <f>_xlfn.XLOOKUP(TablaDatos[[#This Row],[PacienteID]],'Datos_Ejemplo.csv'!A:A,'Datos_Ejemplo.csv'!I:I)</f>
        <v>8</v>
      </c>
      <c r="N724">
        <f>ABS(TablaDatos[[#This Row],[DiasOriginal]])</f>
        <v>8</v>
      </c>
      <c r="O724" s="1">
        <f>TablaDatos[[#This Row],[FechaIngreso]]+TablaDatos[[#This Row],[DiasNuevo]]</f>
        <v>45390</v>
      </c>
    </row>
    <row r="725" spans="1:15">
      <c r="A725">
        <v>724</v>
      </c>
      <c r="B725" t="s">
        <v>277</v>
      </c>
      <c r="C725" s="1">
        <v>40178</v>
      </c>
      <c r="D725">
        <v>16</v>
      </c>
      <c r="E725" s="4" t="s">
        <v>12</v>
      </c>
      <c r="F725" t="s">
        <v>32</v>
      </c>
      <c r="G725" s="1">
        <v>45265</v>
      </c>
      <c r="H725" s="1">
        <f>TablaDatos[[#This Row],[FechaIngreso]]+TablaDatos[[#This Row],[DiasNuevo]]</f>
        <v>45271</v>
      </c>
      <c r="I725">
        <v>6</v>
      </c>
      <c r="J725" t="s">
        <v>23</v>
      </c>
      <c r="K725" s="3">
        <v>4375.33</v>
      </c>
      <c r="L725" t="b">
        <f>TablaDatos[[#This Row],[FechaAlta]] &lt; TablaDatos[[#This Row],[FechaIngreso]]</f>
        <v>0</v>
      </c>
      <c r="M725">
        <f>_xlfn.XLOOKUP(TablaDatos[[#This Row],[PacienteID]],'Datos_Ejemplo.csv'!A:A,'Datos_Ejemplo.csv'!I:I)</f>
        <v>6</v>
      </c>
      <c r="N725">
        <f>ABS(TablaDatos[[#This Row],[DiasOriginal]])</f>
        <v>6</v>
      </c>
      <c r="O725" s="1">
        <f>TablaDatos[[#This Row],[FechaIngreso]]+TablaDatos[[#This Row],[DiasNuevo]]</f>
        <v>45271</v>
      </c>
    </row>
    <row r="726" spans="1:15">
      <c r="A726">
        <v>725</v>
      </c>
      <c r="B726" t="s">
        <v>331</v>
      </c>
      <c r="C726" s="1">
        <v>19724</v>
      </c>
      <c r="D726">
        <v>72</v>
      </c>
      <c r="E726" s="4" t="s">
        <v>12</v>
      </c>
      <c r="F726" t="s">
        <v>32</v>
      </c>
      <c r="G726" s="1">
        <v>44979</v>
      </c>
      <c r="H726" s="1">
        <f>TablaDatos[[#This Row],[FechaIngreso]]+TablaDatos[[#This Row],[DiasNuevo]]</f>
        <v>44988</v>
      </c>
      <c r="I726">
        <v>9</v>
      </c>
      <c r="J726" t="s">
        <v>19</v>
      </c>
      <c r="K726" s="3">
        <v>9358.19</v>
      </c>
      <c r="L726" t="b">
        <f>TablaDatos[[#This Row],[FechaAlta]] &lt; TablaDatos[[#This Row],[FechaIngreso]]</f>
        <v>0</v>
      </c>
      <c r="M726">
        <f>_xlfn.XLOOKUP(TablaDatos[[#This Row],[PacienteID]],'Datos_Ejemplo.csv'!A:A,'Datos_Ejemplo.csv'!I:I)</f>
        <v>9</v>
      </c>
      <c r="N726">
        <f>ABS(TablaDatos[[#This Row],[DiasOriginal]])</f>
        <v>9</v>
      </c>
      <c r="O726" s="1">
        <f>TablaDatos[[#This Row],[FechaIngreso]]+TablaDatos[[#This Row],[DiasNuevo]]</f>
        <v>44988</v>
      </c>
    </row>
    <row r="727" spans="1:15">
      <c r="A727">
        <v>726</v>
      </c>
      <c r="B727" t="s">
        <v>356</v>
      </c>
      <c r="C727" s="1">
        <v>34334</v>
      </c>
      <c r="D727">
        <v>32</v>
      </c>
      <c r="E727" s="4" t="s">
        <v>12</v>
      </c>
      <c r="F727" t="s">
        <v>201</v>
      </c>
      <c r="G727" s="1">
        <v>45422</v>
      </c>
      <c r="H727" s="1">
        <f>TablaDatos[[#This Row],[FechaIngreso]]+TablaDatos[[#This Row],[DiasNuevo]]</f>
        <v>45445</v>
      </c>
      <c r="I727">
        <v>23</v>
      </c>
      <c r="J727" t="s">
        <v>25</v>
      </c>
      <c r="K727" s="3">
        <v>18445.189999999999</v>
      </c>
      <c r="L727" t="b">
        <f>TablaDatos[[#This Row],[FechaAlta]] &lt; TablaDatos[[#This Row],[FechaIngreso]]</f>
        <v>0</v>
      </c>
      <c r="M727">
        <f>_xlfn.XLOOKUP(TablaDatos[[#This Row],[PacienteID]],'Datos_Ejemplo.csv'!A:A,'Datos_Ejemplo.csv'!I:I)</f>
        <v>23</v>
      </c>
      <c r="N727">
        <f>ABS(TablaDatos[[#This Row],[DiasOriginal]])</f>
        <v>23</v>
      </c>
      <c r="O727" s="1">
        <f>TablaDatos[[#This Row],[FechaIngreso]]+TablaDatos[[#This Row],[DiasNuevo]]</f>
        <v>45445</v>
      </c>
    </row>
    <row r="728" spans="1:15">
      <c r="A728">
        <v>727</v>
      </c>
      <c r="B728" t="s">
        <v>232</v>
      </c>
      <c r="C728" s="1">
        <v>15707</v>
      </c>
      <c r="D728">
        <v>83</v>
      </c>
      <c r="E728" s="4" t="s">
        <v>15</v>
      </c>
      <c r="F728" t="s">
        <v>201</v>
      </c>
      <c r="G728" s="1">
        <v>45561</v>
      </c>
      <c r="H728" s="1">
        <f>TablaDatos[[#This Row],[FechaIngreso]]+TablaDatos[[#This Row],[DiasNuevo]]</f>
        <v>45596</v>
      </c>
      <c r="I728">
        <v>35</v>
      </c>
      <c r="J728" t="s">
        <v>23</v>
      </c>
      <c r="K728" s="3">
        <v>5877.2</v>
      </c>
      <c r="L728" t="b">
        <f>TablaDatos[[#This Row],[FechaAlta]] &lt; TablaDatos[[#This Row],[FechaIngreso]]</f>
        <v>0</v>
      </c>
      <c r="M728">
        <f>_xlfn.XLOOKUP(TablaDatos[[#This Row],[PacienteID]],'Datos_Ejemplo.csv'!A:A,'Datos_Ejemplo.csv'!I:I)</f>
        <v>35</v>
      </c>
      <c r="N728">
        <f>ABS(TablaDatos[[#This Row],[DiasOriginal]])</f>
        <v>35</v>
      </c>
      <c r="O728" s="1">
        <f>TablaDatos[[#This Row],[FechaIngreso]]+TablaDatos[[#This Row],[DiasNuevo]]</f>
        <v>45596</v>
      </c>
    </row>
    <row r="729" spans="1:15">
      <c r="A729">
        <v>728</v>
      </c>
      <c r="B729" t="s">
        <v>336</v>
      </c>
      <c r="C729" s="1">
        <v>18263</v>
      </c>
      <c r="D729">
        <v>76</v>
      </c>
      <c r="E729" s="4" t="s">
        <v>12</v>
      </c>
      <c r="F729" t="s">
        <v>295</v>
      </c>
      <c r="G729" s="1">
        <v>44930</v>
      </c>
      <c r="H729" s="1">
        <f>TablaDatos[[#This Row],[FechaIngreso]]+TablaDatos[[#This Row],[DiasNuevo]]</f>
        <v>44930</v>
      </c>
      <c r="I729">
        <v>0</v>
      </c>
      <c r="J729" t="s">
        <v>25</v>
      </c>
      <c r="K729" s="3">
        <v>18102.13</v>
      </c>
      <c r="L729" t="b">
        <f>TablaDatos[[#This Row],[FechaAlta]] &lt; TablaDatos[[#This Row],[FechaIngreso]]</f>
        <v>0</v>
      </c>
      <c r="M729">
        <f>_xlfn.XLOOKUP(TablaDatos[[#This Row],[PacienteID]],'Datos_Ejemplo.csv'!A:A,'Datos_Ejemplo.csv'!I:I)</f>
        <v>0</v>
      </c>
      <c r="N729">
        <f>ABS(TablaDatos[[#This Row],[DiasOriginal]])</f>
        <v>0</v>
      </c>
      <c r="O729" s="1">
        <f>TablaDatos[[#This Row],[FechaIngreso]]+TablaDatos[[#This Row],[DiasNuevo]]</f>
        <v>44930</v>
      </c>
    </row>
    <row r="730" spans="1:15">
      <c r="A730">
        <v>729</v>
      </c>
      <c r="B730" t="s">
        <v>305</v>
      </c>
      <c r="C730" s="1">
        <v>12785</v>
      </c>
      <c r="D730">
        <v>91</v>
      </c>
      <c r="E730" s="4" t="s">
        <v>12</v>
      </c>
      <c r="F730" t="s">
        <v>201</v>
      </c>
      <c r="G730" s="1">
        <v>45607</v>
      </c>
      <c r="H730" s="1">
        <f>TablaDatos[[#This Row],[FechaIngreso]]+TablaDatos[[#This Row],[DiasNuevo]]</f>
        <v>45637</v>
      </c>
      <c r="I730">
        <v>30</v>
      </c>
      <c r="J730" t="s">
        <v>19</v>
      </c>
      <c r="K730" s="3">
        <v>978.43</v>
      </c>
      <c r="L730" t="b">
        <f>TablaDatos[[#This Row],[FechaAlta]] &lt; TablaDatos[[#This Row],[FechaIngreso]]</f>
        <v>0</v>
      </c>
      <c r="M730">
        <f>_xlfn.XLOOKUP(TablaDatos[[#This Row],[PacienteID]],'Datos_Ejemplo.csv'!A:A,'Datos_Ejemplo.csv'!I:I)</f>
        <v>30</v>
      </c>
      <c r="N730">
        <f>ABS(TablaDatos[[#This Row],[DiasOriginal]])</f>
        <v>30</v>
      </c>
      <c r="O730" s="1">
        <f>TablaDatos[[#This Row],[FechaIngreso]]+TablaDatos[[#This Row],[DiasNuevo]]</f>
        <v>45637</v>
      </c>
    </row>
    <row r="731" spans="1:15">
      <c r="A731">
        <v>730</v>
      </c>
      <c r="B731" t="s">
        <v>301</v>
      </c>
      <c r="C731" s="1">
        <v>35795</v>
      </c>
      <c r="D731">
        <f ca="1">DATEDIF(TablaDatos[[#This Row],[FechaNacimiento]],TODAY(),"Y")</f>
        <v>28</v>
      </c>
      <c r="E731" s="4" t="s">
        <v>12</v>
      </c>
      <c r="F731" t="s">
        <v>295</v>
      </c>
      <c r="G731" s="1">
        <v>45207</v>
      </c>
      <c r="H731" s="1">
        <f>TablaDatos[[#This Row],[FechaIngreso]]+TablaDatos[[#This Row],[DiasNuevo]]</f>
        <v>45219</v>
      </c>
      <c r="I731">
        <v>12</v>
      </c>
      <c r="J731" t="s">
        <v>19</v>
      </c>
      <c r="K731" s="3">
        <v>1578.83</v>
      </c>
      <c r="L731" t="b">
        <f>TablaDatos[[#This Row],[FechaAlta]] &lt; TablaDatos[[#This Row],[FechaIngreso]]</f>
        <v>0</v>
      </c>
      <c r="M731">
        <f>_xlfn.XLOOKUP(TablaDatos[[#This Row],[PacienteID]],'Datos_Ejemplo.csv'!A:A,'Datos_Ejemplo.csv'!I:I)</f>
        <v>12</v>
      </c>
      <c r="N731">
        <f>ABS(TablaDatos[[#This Row],[DiasOriginal]])</f>
        <v>12</v>
      </c>
      <c r="O731" s="1">
        <f>TablaDatos[[#This Row],[FechaIngreso]]+TablaDatos[[#This Row],[DiasNuevo]]</f>
        <v>45219</v>
      </c>
    </row>
    <row r="732" spans="1:15">
      <c r="A732">
        <v>731</v>
      </c>
      <c r="B732" t="s">
        <v>267</v>
      </c>
      <c r="C732" s="1">
        <v>41639</v>
      </c>
      <c r="D732">
        <v>12</v>
      </c>
      <c r="E732" s="4" t="s">
        <v>12</v>
      </c>
      <c r="F732" t="s">
        <v>261</v>
      </c>
      <c r="G732" s="1">
        <v>45216</v>
      </c>
      <c r="H732" s="1">
        <f>TablaDatos[[#This Row],[FechaIngreso]]+TablaDatos[[#This Row],[DiasNuevo]]</f>
        <v>45218</v>
      </c>
      <c r="I732">
        <v>2</v>
      </c>
      <c r="J732" t="s">
        <v>25</v>
      </c>
      <c r="K732" s="3">
        <v>13941.08</v>
      </c>
      <c r="L732" t="b">
        <f>TablaDatos[[#This Row],[FechaAlta]] &lt; TablaDatos[[#This Row],[FechaIngreso]]</f>
        <v>0</v>
      </c>
      <c r="M732">
        <f>_xlfn.XLOOKUP(TablaDatos[[#This Row],[PacienteID]],'Datos_Ejemplo.csv'!A:A,'Datos_Ejemplo.csv'!I:I)</f>
        <v>2</v>
      </c>
      <c r="N732">
        <f>ABS(TablaDatos[[#This Row],[DiasOriginal]])</f>
        <v>2</v>
      </c>
      <c r="O732" s="1">
        <f>TablaDatos[[#This Row],[FechaIngreso]]+TablaDatos[[#This Row],[DiasNuevo]]</f>
        <v>45218</v>
      </c>
    </row>
    <row r="733" spans="1:15">
      <c r="A733">
        <v>732</v>
      </c>
      <c r="B733" t="s">
        <v>232</v>
      </c>
      <c r="C733" s="1">
        <v>29586</v>
      </c>
      <c r="D733">
        <v>45</v>
      </c>
      <c r="E733" s="4" t="s">
        <v>12</v>
      </c>
      <c r="F733" t="s">
        <v>18</v>
      </c>
      <c r="G733" s="1">
        <v>44999</v>
      </c>
      <c r="H733" s="1">
        <f>TablaDatos[[#This Row],[FechaIngreso]]+TablaDatos[[#This Row],[DiasNuevo]]</f>
        <v>45020</v>
      </c>
      <c r="I733">
        <v>21</v>
      </c>
      <c r="J733" t="s">
        <v>23</v>
      </c>
      <c r="K733" s="3">
        <v>3730.91</v>
      </c>
      <c r="L733" t="b">
        <f>TablaDatos[[#This Row],[FechaAlta]] &lt; TablaDatos[[#This Row],[FechaIngreso]]</f>
        <v>0</v>
      </c>
      <c r="M733">
        <f>_xlfn.XLOOKUP(TablaDatos[[#This Row],[PacienteID]],'Datos_Ejemplo.csv'!A:A,'Datos_Ejemplo.csv'!I:I)</f>
        <v>21</v>
      </c>
      <c r="N733">
        <f>ABS(TablaDatos[[#This Row],[DiasOriginal]])</f>
        <v>21</v>
      </c>
      <c r="O733" s="1">
        <f>TablaDatos[[#This Row],[FechaIngreso]]+TablaDatos[[#This Row],[DiasNuevo]]</f>
        <v>45020</v>
      </c>
    </row>
    <row r="734" spans="1:15">
      <c r="A734">
        <v>733</v>
      </c>
      <c r="B734" t="s">
        <v>271</v>
      </c>
      <c r="C734" s="1">
        <v>33604</v>
      </c>
      <c r="D734">
        <v>34</v>
      </c>
      <c r="E734" s="4" t="s">
        <v>15</v>
      </c>
      <c r="F734" t="s">
        <v>18</v>
      </c>
      <c r="G734" s="1">
        <v>45063</v>
      </c>
      <c r="H734" s="1">
        <f>TablaDatos[[#This Row],[FechaIngreso]]+TablaDatos[[#This Row],[DiasNuevo]]</f>
        <v>45071</v>
      </c>
      <c r="I734">
        <v>8</v>
      </c>
      <c r="J734" t="s">
        <v>19</v>
      </c>
      <c r="K734" s="3">
        <v>6264.08</v>
      </c>
      <c r="L734" t="b">
        <f>TablaDatos[[#This Row],[FechaAlta]] &lt; TablaDatos[[#This Row],[FechaIngreso]]</f>
        <v>0</v>
      </c>
      <c r="M734">
        <f>_xlfn.XLOOKUP(TablaDatos[[#This Row],[PacienteID]],'Datos_Ejemplo.csv'!A:A,'Datos_Ejemplo.csv'!I:I)</f>
        <v>8</v>
      </c>
      <c r="N734">
        <f>ABS(TablaDatos[[#This Row],[DiasOriginal]])</f>
        <v>8</v>
      </c>
      <c r="O734" s="1">
        <f>TablaDatos[[#This Row],[FechaIngreso]]+TablaDatos[[#This Row],[DiasNuevo]]</f>
        <v>45071</v>
      </c>
    </row>
    <row r="735" spans="1:15">
      <c r="A735">
        <v>734</v>
      </c>
      <c r="B735" t="s">
        <v>357</v>
      </c>
      <c r="C735" s="1">
        <v>44196</v>
      </c>
      <c r="D735">
        <v>5</v>
      </c>
      <c r="E735" s="4" t="s">
        <v>15</v>
      </c>
      <c r="F735" t="s">
        <v>261</v>
      </c>
      <c r="G735" s="1">
        <v>45579</v>
      </c>
      <c r="H735" s="1">
        <f>TablaDatos[[#This Row],[FechaIngreso]]+TablaDatos[[#This Row],[DiasNuevo]]</f>
        <v>45609</v>
      </c>
      <c r="I735">
        <v>30</v>
      </c>
      <c r="J735" t="s">
        <v>23</v>
      </c>
      <c r="K735" s="3">
        <v>2641.1</v>
      </c>
      <c r="L735" t="b">
        <f>TablaDatos[[#This Row],[FechaAlta]] &lt; TablaDatos[[#This Row],[FechaIngreso]]</f>
        <v>0</v>
      </c>
      <c r="M735">
        <f>_xlfn.XLOOKUP(TablaDatos[[#This Row],[PacienteID]],'Datos_Ejemplo.csv'!A:A,'Datos_Ejemplo.csv'!I:I)</f>
        <v>30</v>
      </c>
      <c r="N735">
        <f>ABS(TablaDatos[[#This Row],[DiasOriginal]])</f>
        <v>30</v>
      </c>
      <c r="O735" s="1">
        <f>TablaDatos[[#This Row],[FechaIngreso]]+TablaDatos[[#This Row],[DiasNuevo]]</f>
        <v>45609</v>
      </c>
    </row>
    <row r="736" spans="1:15">
      <c r="A736">
        <v>735</v>
      </c>
      <c r="B736" t="s">
        <v>278</v>
      </c>
      <c r="C736" s="1">
        <v>16437</v>
      </c>
      <c r="D736">
        <v>81</v>
      </c>
      <c r="E736" s="4" t="s">
        <v>12</v>
      </c>
      <c r="F736" t="s">
        <v>261</v>
      </c>
      <c r="G736" s="1">
        <v>45319</v>
      </c>
      <c r="H736" s="1">
        <f>TablaDatos[[#This Row],[FechaIngreso]]+TablaDatos[[#This Row],[DiasNuevo]]</f>
        <v>45339</v>
      </c>
      <c r="I736">
        <v>20</v>
      </c>
      <c r="J736" t="s">
        <v>25</v>
      </c>
      <c r="K736" s="3">
        <v>6578.19</v>
      </c>
      <c r="L736" t="b">
        <f>TablaDatos[[#This Row],[FechaAlta]] &lt; TablaDatos[[#This Row],[FechaIngreso]]</f>
        <v>0</v>
      </c>
      <c r="M736">
        <f>_xlfn.XLOOKUP(TablaDatos[[#This Row],[PacienteID]],'Datos_Ejemplo.csv'!A:A,'Datos_Ejemplo.csv'!I:I)</f>
        <v>20</v>
      </c>
      <c r="N736">
        <f>ABS(TablaDatos[[#This Row],[DiasOriginal]])</f>
        <v>20</v>
      </c>
      <c r="O736" s="1">
        <f>TablaDatos[[#This Row],[FechaIngreso]]+TablaDatos[[#This Row],[DiasNuevo]]</f>
        <v>45339</v>
      </c>
    </row>
    <row r="737" spans="1:15">
      <c r="A737">
        <v>736</v>
      </c>
      <c r="B737" t="s">
        <v>342</v>
      </c>
      <c r="C737" s="1">
        <v>21185</v>
      </c>
      <c r="D737">
        <v>68</v>
      </c>
      <c r="E737" s="4" t="s">
        <v>15</v>
      </c>
      <c r="F737" t="s">
        <v>21</v>
      </c>
      <c r="G737" s="1">
        <v>45134</v>
      </c>
      <c r="H737" s="1">
        <f>TablaDatos[[#This Row],[FechaIngreso]]+TablaDatos[[#This Row],[DiasNuevo]]</f>
        <v>45141</v>
      </c>
      <c r="I737">
        <v>7</v>
      </c>
      <c r="J737" t="s">
        <v>19</v>
      </c>
      <c r="K737" s="3">
        <v>5537.25</v>
      </c>
      <c r="L737" t="b">
        <f>TablaDatos[[#This Row],[FechaAlta]] &lt; TablaDatos[[#This Row],[FechaIngreso]]</f>
        <v>0</v>
      </c>
      <c r="M737">
        <f>_xlfn.XLOOKUP(TablaDatos[[#This Row],[PacienteID]],'Datos_Ejemplo.csv'!A:A,'Datos_Ejemplo.csv'!I:I)</f>
        <v>7</v>
      </c>
      <c r="N737">
        <f>ABS(TablaDatos[[#This Row],[DiasOriginal]])</f>
        <v>7</v>
      </c>
      <c r="O737" s="1">
        <f>TablaDatos[[#This Row],[FechaIngreso]]+TablaDatos[[#This Row],[DiasNuevo]]</f>
        <v>45141</v>
      </c>
    </row>
    <row r="738" spans="1:15">
      <c r="A738">
        <v>737</v>
      </c>
      <c r="B738" t="s">
        <v>361</v>
      </c>
      <c r="C738" s="1">
        <v>29221</v>
      </c>
      <c r="D738">
        <v>46</v>
      </c>
      <c r="E738" s="4" t="s">
        <v>12</v>
      </c>
      <c r="F738" t="s">
        <v>295</v>
      </c>
      <c r="G738" s="1">
        <v>45186</v>
      </c>
      <c r="H738" s="1">
        <f>TablaDatos[[#This Row],[FechaIngreso]]+TablaDatos[[#This Row],[DiasNuevo]]</f>
        <v>45211</v>
      </c>
      <c r="I738">
        <v>25</v>
      </c>
      <c r="J738" t="s">
        <v>23</v>
      </c>
      <c r="K738" s="3">
        <v>14700.39</v>
      </c>
      <c r="L738" t="b">
        <f>TablaDatos[[#This Row],[FechaAlta]] &lt; TablaDatos[[#This Row],[FechaIngreso]]</f>
        <v>0</v>
      </c>
      <c r="M738">
        <f>_xlfn.XLOOKUP(TablaDatos[[#This Row],[PacienteID]],'Datos_Ejemplo.csv'!A:A,'Datos_Ejemplo.csv'!I:I)</f>
        <v>25</v>
      </c>
      <c r="N738">
        <f>ABS(TablaDatos[[#This Row],[DiasOriginal]])</f>
        <v>25</v>
      </c>
      <c r="O738" s="1">
        <f>TablaDatos[[#This Row],[FechaIngreso]]+TablaDatos[[#This Row],[DiasNuevo]]</f>
        <v>45211</v>
      </c>
    </row>
    <row r="739" spans="1:15">
      <c r="A739">
        <v>738</v>
      </c>
      <c r="B739" t="s">
        <v>340</v>
      </c>
      <c r="C739" s="1">
        <v>37256</v>
      </c>
      <c r="D739">
        <v>24</v>
      </c>
      <c r="E739" s="4" t="s">
        <v>15</v>
      </c>
      <c r="F739" t="s">
        <v>32</v>
      </c>
      <c r="G739" s="1">
        <v>45189</v>
      </c>
      <c r="H739" s="1">
        <f>TablaDatos[[#This Row],[FechaIngreso]]+TablaDatos[[#This Row],[DiasNuevo]]</f>
        <v>45225</v>
      </c>
      <c r="I739">
        <v>36</v>
      </c>
      <c r="J739" t="s">
        <v>19</v>
      </c>
      <c r="K739" s="3">
        <v>14010.67</v>
      </c>
      <c r="L739" t="b">
        <f>TablaDatos[[#This Row],[FechaAlta]] &lt; TablaDatos[[#This Row],[FechaIngreso]]</f>
        <v>0</v>
      </c>
      <c r="M739">
        <f>_xlfn.XLOOKUP(TablaDatos[[#This Row],[PacienteID]],'Datos_Ejemplo.csv'!A:A,'Datos_Ejemplo.csv'!I:I)</f>
        <v>36</v>
      </c>
      <c r="N739">
        <f>ABS(TablaDatos[[#This Row],[DiasOriginal]])</f>
        <v>36</v>
      </c>
      <c r="O739" s="1">
        <f>TablaDatos[[#This Row],[FechaIngreso]]+TablaDatos[[#This Row],[DiasNuevo]]</f>
        <v>45225</v>
      </c>
    </row>
    <row r="740" spans="1:15">
      <c r="A740">
        <v>739</v>
      </c>
      <c r="B740" t="s">
        <v>330</v>
      </c>
      <c r="C740" s="1">
        <v>22281</v>
      </c>
      <c r="D740">
        <f ca="1">DATEDIF(TablaDatos[[#This Row],[FechaNacimiento]],TODAY(),"Y")</f>
        <v>65</v>
      </c>
      <c r="E740" s="4" t="s">
        <v>12</v>
      </c>
      <c r="F740" t="s">
        <v>21</v>
      </c>
      <c r="G740" s="1">
        <v>45431</v>
      </c>
      <c r="H740" s="1">
        <f>TablaDatos[[#This Row],[FechaIngreso]]+TablaDatos[[#This Row],[DiasNuevo]]</f>
        <v>45445</v>
      </c>
      <c r="I740">
        <v>14</v>
      </c>
      <c r="J740" t="s">
        <v>23</v>
      </c>
      <c r="K740" s="3">
        <v>19094.04</v>
      </c>
      <c r="L740" t="b">
        <f>TablaDatos[[#This Row],[FechaAlta]] &lt; TablaDatos[[#This Row],[FechaIngreso]]</f>
        <v>0</v>
      </c>
      <c r="M740">
        <f>_xlfn.XLOOKUP(TablaDatos[[#This Row],[PacienteID]],'Datos_Ejemplo.csv'!A:A,'Datos_Ejemplo.csv'!I:I)</f>
        <v>14</v>
      </c>
      <c r="N740">
        <f>ABS(TablaDatos[[#This Row],[DiasOriginal]])</f>
        <v>14</v>
      </c>
      <c r="O740" s="1">
        <f>TablaDatos[[#This Row],[FechaIngreso]]+TablaDatos[[#This Row],[DiasNuevo]]</f>
        <v>45445</v>
      </c>
    </row>
    <row r="741" spans="1:15">
      <c r="A741">
        <v>740</v>
      </c>
      <c r="B741" t="s">
        <v>252</v>
      </c>
      <c r="C741" s="1">
        <v>42735</v>
      </c>
      <c r="D741">
        <v>9</v>
      </c>
      <c r="E741" s="4" t="s">
        <v>12</v>
      </c>
      <c r="F741" t="s">
        <v>13</v>
      </c>
      <c r="G741" s="1">
        <v>45476</v>
      </c>
      <c r="H741" s="1">
        <f>TablaDatos[[#This Row],[FechaIngreso]]+TablaDatos[[#This Row],[DiasNuevo]]</f>
        <v>45499</v>
      </c>
      <c r="I741">
        <v>23</v>
      </c>
      <c r="J741" t="s">
        <v>23</v>
      </c>
      <c r="K741" s="3">
        <v>14460.88</v>
      </c>
      <c r="L741" t="b">
        <f>TablaDatos[[#This Row],[FechaAlta]] &lt; TablaDatos[[#This Row],[FechaIngreso]]</f>
        <v>0</v>
      </c>
      <c r="M741">
        <f>_xlfn.XLOOKUP(TablaDatos[[#This Row],[PacienteID]],'Datos_Ejemplo.csv'!A:A,'Datos_Ejemplo.csv'!I:I)</f>
        <v>23</v>
      </c>
      <c r="N741">
        <f>ABS(TablaDatos[[#This Row],[DiasOriginal]])</f>
        <v>23</v>
      </c>
      <c r="O741" s="1">
        <f>TablaDatos[[#This Row],[FechaIngreso]]+TablaDatos[[#This Row],[DiasNuevo]]</f>
        <v>45499</v>
      </c>
    </row>
    <row r="742" spans="1:15">
      <c r="A742">
        <v>741</v>
      </c>
      <c r="B742" t="s">
        <v>244</v>
      </c>
      <c r="C742" s="1">
        <v>25934</v>
      </c>
      <c r="D742">
        <v>55</v>
      </c>
      <c r="E742" s="4" t="s">
        <v>15</v>
      </c>
      <c r="F742" t="s">
        <v>295</v>
      </c>
      <c r="G742" s="1">
        <v>45129</v>
      </c>
      <c r="H742" s="1">
        <f>TablaDatos[[#This Row],[FechaIngreso]]+TablaDatos[[#This Row],[DiasNuevo]]</f>
        <v>45151</v>
      </c>
      <c r="I742">
        <v>22</v>
      </c>
      <c r="J742" t="s">
        <v>19</v>
      </c>
      <c r="K742" s="3">
        <v>13865.84</v>
      </c>
      <c r="L742" t="b">
        <f>TablaDatos[[#This Row],[FechaAlta]] &lt; TablaDatos[[#This Row],[FechaIngreso]]</f>
        <v>0</v>
      </c>
      <c r="M742">
        <f>_xlfn.XLOOKUP(TablaDatos[[#This Row],[PacienteID]],'Datos_Ejemplo.csv'!A:A,'Datos_Ejemplo.csv'!I:I)</f>
        <v>22</v>
      </c>
      <c r="N742">
        <f>ABS(TablaDatos[[#This Row],[DiasOriginal]])</f>
        <v>22</v>
      </c>
      <c r="O742" s="1">
        <f>TablaDatos[[#This Row],[FechaIngreso]]+TablaDatos[[#This Row],[DiasNuevo]]</f>
        <v>45151</v>
      </c>
    </row>
    <row r="743" spans="1:15">
      <c r="A743">
        <v>742</v>
      </c>
      <c r="B743" t="s">
        <v>330</v>
      </c>
      <c r="C743" s="1">
        <v>35430</v>
      </c>
      <c r="D743">
        <v>29</v>
      </c>
      <c r="E743" s="4" t="s">
        <v>12</v>
      </c>
      <c r="F743" t="s">
        <v>201</v>
      </c>
      <c r="G743" s="1">
        <v>45273</v>
      </c>
      <c r="H743" s="1">
        <f>TablaDatos[[#This Row],[FechaIngreso]]+TablaDatos[[#This Row],[DiasNuevo]]</f>
        <v>45306</v>
      </c>
      <c r="I743">
        <v>33</v>
      </c>
      <c r="J743" t="s">
        <v>23</v>
      </c>
      <c r="K743" s="3">
        <v>13853.5</v>
      </c>
      <c r="L743" t="b">
        <f>TablaDatos[[#This Row],[FechaAlta]] &lt; TablaDatos[[#This Row],[FechaIngreso]]</f>
        <v>0</v>
      </c>
      <c r="M743">
        <f>_xlfn.XLOOKUP(TablaDatos[[#This Row],[PacienteID]],'Datos_Ejemplo.csv'!A:A,'Datos_Ejemplo.csv'!I:I)</f>
        <v>33</v>
      </c>
      <c r="N743">
        <f>ABS(TablaDatos[[#This Row],[DiasOriginal]])</f>
        <v>33</v>
      </c>
      <c r="O743" s="1">
        <f>TablaDatos[[#This Row],[FechaIngreso]]+TablaDatos[[#This Row],[DiasNuevo]]</f>
        <v>45306</v>
      </c>
    </row>
    <row r="744" spans="1:15">
      <c r="A744">
        <v>743</v>
      </c>
      <c r="B744" t="s">
        <v>302</v>
      </c>
      <c r="C744" s="1">
        <v>44561</v>
      </c>
      <c r="D744">
        <v>4</v>
      </c>
      <c r="E744" s="4" t="s">
        <v>12</v>
      </c>
      <c r="F744" t="s">
        <v>261</v>
      </c>
      <c r="G744" s="1">
        <v>44978</v>
      </c>
      <c r="H744" s="1">
        <f>TablaDatos[[#This Row],[FechaIngreso]]+TablaDatos[[#This Row],[DiasNuevo]]</f>
        <v>44987</v>
      </c>
      <c r="I744">
        <v>9</v>
      </c>
      <c r="J744" t="s">
        <v>23</v>
      </c>
      <c r="K744" s="3">
        <v>17647.650000000001</v>
      </c>
      <c r="L744" t="b">
        <f>TablaDatos[[#This Row],[FechaAlta]] &lt; TablaDatos[[#This Row],[FechaIngreso]]</f>
        <v>0</v>
      </c>
      <c r="M744">
        <f>_xlfn.XLOOKUP(TablaDatos[[#This Row],[PacienteID]],'Datos_Ejemplo.csv'!A:A,'Datos_Ejemplo.csv'!I:I)</f>
        <v>9</v>
      </c>
      <c r="N744">
        <f>ABS(TablaDatos[[#This Row],[DiasOriginal]])</f>
        <v>9</v>
      </c>
      <c r="O744" s="1">
        <f>TablaDatos[[#This Row],[FechaIngreso]]+TablaDatos[[#This Row],[DiasNuevo]]</f>
        <v>44987</v>
      </c>
    </row>
    <row r="745" spans="1:15">
      <c r="A745">
        <v>744</v>
      </c>
      <c r="B745" t="s">
        <v>130</v>
      </c>
      <c r="C745" s="1">
        <v>34334</v>
      </c>
      <c r="D745">
        <v>32</v>
      </c>
      <c r="E745" s="4" t="s">
        <v>12</v>
      </c>
      <c r="F745" t="s">
        <v>18</v>
      </c>
      <c r="G745" s="1">
        <v>45519</v>
      </c>
      <c r="H745" s="1">
        <f>TablaDatos[[#This Row],[FechaIngreso]]+TablaDatos[[#This Row],[DiasNuevo]]</f>
        <v>45519</v>
      </c>
      <c r="I745">
        <v>0</v>
      </c>
      <c r="J745" t="s">
        <v>25</v>
      </c>
      <c r="K745" s="3">
        <v>5854.36</v>
      </c>
      <c r="L745" t="b">
        <f>TablaDatos[[#This Row],[FechaAlta]] &lt; TablaDatos[[#This Row],[FechaIngreso]]</f>
        <v>0</v>
      </c>
      <c r="M745">
        <f>_xlfn.XLOOKUP(TablaDatos[[#This Row],[PacienteID]],'Datos_Ejemplo.csv'!A:A,'Datos_Ejemplo.csv'!I:I)</f>
        <v>0</v>
      </c>
      <c r="N745">
        <f>ABS(TablaDatos[[#This Row],[DiasOriginal]])</f>
        <v>0</v>
      </c>
      <c r="O745" s="1">
        <f>TablaDatos[[#This Row],[FechaIngreso]]+TablaDatos[[#This Row],[DiasNuevo]]</f>
        <v>45519</v>
      </c>
    </row>
    <row r="746" spans="1:15">
      <c r="A746">
        <v>745</v>
      </c>
      <c r="B746" t="s">
        <v>61</v>
      </c>
      <c r="C746" s="1">
        <v>22646</v>
      </c>
      <c r="D746">
        <v>64</v>
      </c>
      <c r="E746" s="4" t="s">
        <v>15</v>
      </c>
      <c r="F746" t="s">
        <v>295</v>
      </c>
      <c r="G746" s="1">
        <v>45282</v>
      </c>
      <c r="H746" s="1">
        <f>TablaDatos[[#This Row],[FechaIngreso]]+TablaDatos[[#This Row],[DiasNuevo]]</f>
        <v>45308</v>
      </c>
      <c r="I746">
        <v>26</v>
      </c>
      <c r="J746" t="s">
        <v>23</v>
      </c>
      <c r="K746" s="3">
        <v>5931.85</v>
      </c>
      <c r="L746" t="b">
        <f>TablaDatos[[#This Row],[FechaAlta]] &lt; TablaDatos[[#This Row],[FechaIngreso]]</f>
        <v>0</v>
      </c>
      <c r="M746">
        <f>_xlfn.XLOOKUP(TablaDatos[[#This Row],[PacienteID]],'Datos_Ejemplo.csv'!A:A,'Datos_Ejemplo.csv'!I:I)</f>
        <v>26</v>
      </c>
      <c r="N746">
        <f>ABS(TablaDatos[[#This Row],[DiasOriginal]])</f>
        <v>26</v>
      </c>
      <c r="O746" s="1">
        <f>TablaDatos[[#This Row],[FechaIngreso]]+TablaDatos[[#This Row],[DiasNuevo]]</f>
        <v>45308</v>
      </c>
    </row>
    <row r="747" spans="1:15">
      <c r="A747">
        <v>746</v>
      </c>
      <c r="B747" t="s">
        <v>151</v>
      </c>
      <c r="C747" s="1">
        <v>39813</v>
      </c>
      <c r="D747">
        <v>17</v>
      </c>
      <c r="E747" s="4" t="s">
        <v>15</v>
      </c>
      <c r="F747" t="s">
        <v>261</v>
      </c>
      <c r="G747" s="1">
        <v>45649</v>
      </c>
      <c r="H747" s="1">
        <f>TablaDatos[[#This Row],[FechaIngreso]]+TablaDatos[[#This Row],[DiasNuevo]]</f>
        <v>45670</v>
      </c>
      <c r="I747">
        <v>21</v>
      </c>
      <c r="J747" t="s">
        <v>23</v>
      </c>
      <c r="K747" s="3">
        <v>14798.4</v>
      </c>
      <c r="L747" t="b">
        <f>TablaDatos[[#This Row],[FechaAlta]] &lt; TablaDatos[[#This Row],[FechaIngreso]]</f>
        <v>0</v>
      </c>
      <c r="M747">
        <f>_xlfn.XLOOKUP(TablaDatos[[#This Row],[PacienteID]],'Datos_Ejemplo.csv'!A:A,'Datos_Ejemplo.csv'!I:I)</f>
        <v>21</v>
      </c>
      <c r="N747">
        <f>ABS(TablaDatos[[#This Row],[DiasOriginal]])</f>
        <v>21</v>
      </c>
      <c r="O747" s="1">
        <f>TablaDatos[[#This Row],[FechaIngreso]]+TablaDatos[[#This Row],[DiasNuevo]]</f>
        <v>45670</v>
      </c>
    </row>
    <row r="748" spans="1:15">
      <c r="A748">
        <v>747</v>
      </c>
      <c r="B748" t="s">
        <v>136</v>
      </c>
      <c r="C748" s="1">
        <v>28490</v>
      </c>
      <c r="D748">
        <v>48</v>
      </c>
      <c r="E748" s="4" t="s">
        <v>15</v>
      </c>
      <c r="F748" t="s">
        <v>295</v>
      </c>
      <c r="G748" s="1">
        <v>45445</v>
      </c>
      <c r="H748" s="1">
        <f>TablaDatos[[#This Row],[FechaIngreso]]+TablaDatos[[#This Row],[DiasNuevo]]</f>
        <v>45461</v>
      </c>
      <c r="I748">
        <v>16</v>
      </c>
      <c r="J748" t="s">
        <v>23</v>
      </c>
      <c r="K748" s="3">
        <v>4496.97</v>
      </c>
      <c r="L748" t="b">
        <f>TablaDatos[[#This Row],[FechaAlta]] &lt; TablaDatos[[#This Row],[FechaIngreso]]</f>
        <v>0</v>
      </c>
      <c r="M748">
        <f>_xlfn.XLOOKUP(TablaDatos[[#This Row],[PacienteID]],'Datos_Ejemplo.csv'!A:A,'Datos_Ejemplo.csv'!I:I)</f>
        <v>16</v>
      </c>
      <c r="N748">
        <f>ABS(TablaDatos[[#This Row],[DiasOriginal]])</f>
        <v>16</v>
      </c>
      <c r="O748" s="1">
        <f>TablaDatos[[#This Row],[FechaIngreso]]+TablaDatos[[#This Row],[DiasNuevo]]</f>
        <v>45461</v>
      </c>
    </row>
    <row r="749" spans="1:15">
      <c r="A749">
        <v>748</v>
      </c>
      <c r="B749" t="s">
        <v>240</v>
      </c>
      <c r="C749" s="1">
        <f ca="1">DATE(YEAR(TODAY())-TablaDatos[[#This Row],[Edad]],1,1)</f>
        <v>42370</v>
      </c>
      <c r="D749">
        <v>10</v>
      </c>
      <c r="E749" s="4" t="s">
        <v>15</v>
      </c>
      <c r="F749" t="s">
        <v>201</v>
      </c>
      <c r="G749" s="1">
        <v>45289</v>
      </c>
      <c r="H749" s="1">
        <f>TablaDatos[[#This Row],[FechaIngreso]]+TablaDatos[[#This Row],[DiasNuevo]]</f>
        <v>45299</v>
      </c>
      <c r="I749">
        <v>10</v>
      </c>
      <c r="J749" t="s">
        <v>23</v>
      </c>
      <c r="K749" s="3">
        <v>18231.599999999999</v>
      </c>
      <c r="L749" t="b">
        <f>TablaDatos[[#This Row],[FechaAlta]] &lt; TablaDatos[[#This Row],[FechaIngreso]]</f>
        <v>0</v>
      </c>
      <c r="M749">
        <f>_xlfn.XLOOKUP(TablaDatos[[#This Row],[PacienteID]],'Datos_Ejemplo.csv'!A:A,'Datos_Ejemplo.csv'!I:I)</f>
        <v>10</v>
      </c>
      <c r="N749">
        <f>ABS(TablaDatos[[#This Row],[DiasOriginal]])</f>
        <v>10</v>
      </c>
      <c r="O749" s="1">
        <f>TablaDatos[[#This Row],[FechaIngreso]]+TablaDatos[[#This Row],[DiasNuevo]]</f>
        <v>45299</v>
      </c>
    </row>
    <row r="750" spans="1:15">
      <c r="A750">
        <v>749</v>
      </c>
      <c r="B750" t="s">
        <v>265</v>
      </c>
      <c r="C750" s="1">
        <v>15341</v>
      </c>
      <c r="D750">
        <v>84</v>
      </c>
      <c r="E750" s="4" t="s">
        <v>12</v>
      </c>
      <c r="F750" t="s">
        <v>295</v>
      </c>
      <c r="G750" s="1">
        <v>44971</v>
      </c>
      <c r="H750" s="1">
        <f>TablaDatos[[#This Row],[FechaIngreso]]+TablaDatos[[#This Row],[DiasNuevo]]</f>
        <v>44984</v>
      </c>
      <c r="I750">
        <v>13</v>
      </c>
      <c r="J750" t="s">
        <v>19</v>
      </c>
      <c r="K750" s="3">
        <v>10649.11</v>
      </c>
      <c r="L750" t="b">
        <f>TablaDatos[[#This Row],[FechaAlta]] &lt; TablaDatos[[#This Row],[FechaIngreso]]</f>
        <v>0</v>
      </c>
      <c r="M750">
        <f>_xlfn.XLOOKUP(TablaDatos[[#This Row],[PacienteID]],'Datos_Ejemplo.csv'!A:A,'Datos_Ejemplo.csv'!I:I)</f>
        <v>13</v>
      </c>
      <c r="N750">
        <f>ABS(TablaDatos[[#This Row],[DiasOriginal]])</f>
        <v>13</v>
      </c>
      <c r="O750" s="1">
        <f>TablaDatos[[#This Row],[FechaIngreso]]+TablaDatos[[#This Row],[DiasNuevo]]</f>
        <v>44984</v>
      </c>
    </row>
    <row r="751" spans="1:15">
      <c r="A751">
        <v>750</v>
      </c>
      <c r="B751" t="s">
        <v>67</v>
      </c>
      <c r="C751" s="1">
        <v>36891</v>
      </c>
      <c r="D751">
        <v>25</v>
      </c>
      <c r="E751" s="4" t="s">
        <v>197</v>
      </c>
      <c r="F751" t="s">
        <v>201</v>
      </c>
      <c r="G751" s="1">
        <v>45304</v>
      </c>
      <c r="H751" s="1">
        <f>TablaDatos[[#This Row],[FechaIngreso]]+TablaDatos[[#This Row],[DiasNuevo]]</f>
        <v>45341</v>
      </c>
      <c r="I751">
        <v>37</v>
      </c>
      <c r="J751" t="s">
        <v>23</v>
      </c>
      <c r="K751" s="3">
        <v>5932.51</v>
      </c>
      <c r="L751" t="b">
        <f>TablaDatos[[#This Row],[FechaAlta]] &lt; TablaDatos[[#This Row],[FechaIngreso]]</f>
        <v>0</v>
      </c>
      <c r="M751">
        <f>_xlfn.XLOOKUP(TablaDatos[[#This Row],[PacienteID]],'Datos_Ejemplo.csv'!A:A,'Datos_Ejemplo.csv'!I:I)</f>
        <v>37</v>
      </c>
      <c r="N751">
        <f>ABS(TablaDatos[[#This Row],[DiasOriginal]])</f>
        <v>37</v>
      </c>
      <c r="O751" s="1">
        <f>TablaDatos[[#This Row],[FechaIngreso]]+TablaDatos[[#This Row],[DiasNuevo]]</f>
        <v>45341</v>
      </c>
    </row>
    <row r="752" spans="1:15">
      <c r="A752">
        <v>751</v>
      </c>
      <c r="B752" t="s">
        <v>300</v>
      </c>
      <c r="C752" s="1">
        <v>23377</v>
      </c>
      <c r="D752">
        <v>62</v>
      </c>
      <c r="E752" s="4" t="s">
        <v>12</v>
      </c>
      <c r="F752" t="s">
        <v>295</v>
      </c>
      <c r="G752" s="1">
        <v>45338</v>
      </c>
      <c r="H752" s="1">
        <f>TablaDatos[[#This Row],[FechaIngreso]]+TablaDatos[[#This Row],[DiasNuevo]]</f>
        <v>45362</v>
      </c>
      <c r="I752">
        <v>24</v>
      </c>
      <c r="J752" t="s">
        <v>23</v>
      </c>
      <c r="K752" s="3">
        <v>15499.61</v>
      </c>
      <c r="L752" t="b">
        <f>TablaDatos[[#This Row],[FechaAlta]] &lt; TablaDatos[[#This Row],[FechaIngreso]]</f>
        <v>0</v>
      </c>
      <c r="M752">
        <f>_xlfn.XLOOKUP(TablaDatos[[#This Row],[PacienteID]],'Datos_Ejemplo.csv'!A:A,'Datos_Ejemplo.csv'!I:I)</f>
        <v>24</v>
      </c>
      <c r="N752">
        <f>ABS(TablaDatos[[#This Row],[DiasOriginal]])</f>
        <v>24</v>
      </c>
      <c r="O752" s="1">
        <f>TablaDatos[[#This Row],[FechaIngreso]]+TablaDatos[[#This Row],[DiasNuevo]]</f>
        <v>45362</v>
      </c>
    </row>
    <row r="753" spans="1:15">
      <c r="A753">
        <v>752</v>
      </c>
      <c r="B753" t="s">
        <v>67</v>
      </c>
      <c r="C753" s="1">
        <v>13880</v>
      </c>
      <c r="D753">
        <v>88</v>
      </c>
      <c r="E753" s="4" t="s">
        <v>12</v>
      </c>
      <c r="F753" t="s">
        <v>13</v>
      </c>
      <c r="G753" s="1">
        <v>45068</v>
      </c>
      <c r="H753" s="1">
        <f>TablaDatos[[#This Row],[FechaIngreso]]+TablaDatos[[#This Row],[DiasNuevo]]</f>
        <v>45071</v>
      </c>
      <c r="I753">
        <v>3</v>
      </c>
      <c r="J753" t="s">
        <v>19</v>
      </c>
      <c r="K753" s="3">
        <v>6177.64</v>
      </c>
      <c r="L753" t="b">
        <f>TablaDatos[[#This Row],[FechaAlta]] &lt; TablaDatos[[#This Row],[FechaIngreso]]</f>
        <v>0</v>
      </c>
      <c r="M753">
        <f>_xlfn.XLOOKUP(TablaDatos[[#This Row],[PacienteID]],'Datos_Ejemplo.csv'!A:A,'Datos_Ejemplo.csv'!I:I)</f>
        <v>3</v>
      </c>
      <c r="N753">
        <f>ABS(TablaDatos[[#This Row],[DiasOriginal]])</f>
        <v>3</v>
      </c>
      <c r="O753" s="1">
        <f>TablaDatos[[#This Row],[FechaIngreso]]+TablaDatos[[#This Row],[DiasNuevo]]</f>
        <v>45071</v>
      </c>
    </row>
    <row r="754" spans="1:15">
      <c r="A754">
        <v>753</v>
      </c>
      <c r="B754" t="s">
        <v>277</v>
      </c>
      <c r="C754" s="1">
        <v>14976</v>
      </c>
      <c r="D754">
        <v>85</v>
      </c>
      <c r="E754" s="4" t="s">
        <v>12</v>
      </c>
      <c r="F754" t="s">
        <v>18</v>
      </c>
      <c r="G754" s="1">
        <v>45184</v>
      </c>
      <c r="H754" s="1">
        <f>TablaDatos[[#This Row],[FechaIngreso]]+TablaDatos[[#This Row],[DiasNuevo]]</f>
        <v>45223</v>
      </c>
      <c r="I754">
        <v>39</v>
      </c>
      <c r="J754" t="s">
        <v>19</v>
      </c>
      <c r="K754" s="3">
        <v>19261.89</v>
      </c>
      <c r="L754" t="b">
        <f>TablaDatos[[#This Row],[FechaAlta]] &lt; TablaDatos[[#This Row],[FechaIngreso]]</f>
        <v>0</v>
      </c>
      <c r="M754">
        <f>_xlfn.XLOOKUP(TablaDatos[[#This Row],[PacienteID]],'Datos_Ejemplo.csv'!A:A,'Datos_Ejemplo.csv'!I:I)</f>
        <v>39</v>
      </c>
      <c r="N754">
        <f>ABS(TablaDatos[[#This Row],[DiasOriginal]])</f>
        <v>39</v>
      </c>
      <c r="O754" s="1">
        <f>TablaDatos[[#This Row],[FechaIngreso]]+TablaDatos[[#This Row],[DiasNuevo]]</f>
        <v>45223</v>
      </c>
    </row>
    <row r="755" spans="1:15">
      <c r="A755">
        <v>754</v>
      </c>
      <c r="B755" t="s">
        <v>122</v>
      </c>
      <c r="C755" s="1">
        <f ca="1">DATE(YEAR(TODAY())-TablaDatos[[#This Row],[Edad]],1,1)</f>
        <v>24838</v>
      </c>
      <c r="D755">
        <v>58</v>
      </c>
      <c r="E755" s="4" t="s">
        <v>15</v>
      </c>
      <c r="F755" t="s">
        <v>295</v>
      </c>
      <c r="G755" s="1">
        <v>44963</v>
      </c>
      <c r="H755" s="1">
        <f>TablaDatos[[#This Row],[FechaIngreso]]+TablaDatos[[#This Row],[DiasNuevo]]</f>
        <v>44970</v>
      </c>
      <c r="I755">
        <v>7</v>
      </c>
      <c r="J755" t="s">
        <v>23</v>
      </c>
      <c r="K755" s="3">
        <v>19658.080000000002</v>
      </c>
      <c r="L755" t="b">
        <f>TablaDatos[[#This Row],[FechaAlta]] &lt; TablaDatos[[#This Row],[FechaIngreso]]</f>
        <v>0</v>
      </c>
      <c r="M755">
        <f>_xlfn.XLOOKUP(TablaDatos[[#This Row],[PacienteID]],'Datos_Ejemplo.csv'!A:A,'Datos_Ejemplo.csv'!I:I)</f>
        <v>7</v>
      </c>
      <c r="N755">
        <f>ABS(TablaDatos[[#This Row],[DiasOriginal]])</f>
        <v>7</v>
      </c>
      <c r="O755" s="1">
        <f>TablaDatos[[#This Row],[FechaIngreso]]+TablaDatos[[#This Row],[DiasNuevo]]</f>
        <v>44970</v>
      </c>
    </row>
    <row r="756" spans="1:15">
      <c r="A756">
        <v>755</v>
      </c>
      <c r="B756" t="s">
        <v>297</v>
      </c>
      <c r="C756" s="1">
        <v>36526</v>
      </c>
      <c r="D756">
        <v>26</v>
      </c>
      <c r="E756" s="4" t="s">
        <v>12</v>
      </c>
      <c r="F756" t="s">
        <v>261</v>
      </c>
      <c r="G756" s="1">
        <v>44971</v>
      </c>
      <c r="H756" s="1">
        <f>TablaDatos[[#This Row],[FechaIngreso]]+TablaDatos[[#This Row],[DiasNuevo]]</f>
        <v>45006</v>
      </c>
      <c r="I756">
        <v>35</v>
      </c>
      <c r="J756" t="s">
        <v>25</v>
      </c>
      <c r="K756" s="3">
        <v>13302.6</v>
      </c>
      <c r="L756" t="b">
        <f>TablaDatos[[#This Row],[FechaAlta]] &lt; TablaDatos[[#This Row],[FechaIngreso]]</f>
        <v>0</v>
      </c>
      <c r="M756">
        <f>_xlfn.XLOOKUP(TablaDatos[[#This Row],[PacienteID]],'Datos_Ejemplo.csv'!A:A,'Datos_Ejemplo.csv'!I:I)</f>
        <v>35</v>
      </c>
      <c r="N756">
        <f>ABS(TablaDatos[[#This Row],[DiasOriginal]])</f>
        <v>35</v>
      </c>
      <c r="O756" s="1">
        <f>TablaDatos[[#This Row],[FechaIngreso]]+TablaDatos[[#This Row],[DiasNuevo]]</f>
        <v>45006</v>
      </c>
    </row>
    <row r="757" spans="1:15">
      <c r="A757">
        <v>756</v>
      </c>
      <c r="B757" t="s">
        <v>333</v>
      </c>
      <c r="C757" s="1">
        <v>28490</v>
      </c>
      <c r="D757">
        <v>48</v>
      </c>
      <c r="E757" s="4" t="s">
        <v>15</v>
      </c>
      <c r="F757" t="s">
        <v>13</v>
      </c>
      <c r="G757" s="1">
        <v>45558</v>
      </c>
      <c r="H757" s="1">
        <f>TablaDatos[[#This Row],[FechaIngreso]]+TablaDatos[[#This Row],[DiasNuevo]]</f>
        <v>45563</v>
      </c>
      <c r="I757">
        <v>5</v>
      </c>
      <c r="J757" t="s">
        <v>25</v>
      </c>
      <c r="K757" s="3">
        <v>2184.04</v>
      </c>
      <c r="L757" t="b">
        <f>TablaDatos[[#This Row],[FechaAlta]] &lt; TablaDatos[[#This Row],[FechaIngreso]]</f>
        <v>0</v>
      </c>
      <c r="M757">
        <f>_xlfn.XLOOKUP(TablaDatos[[#This Row],[PacienteID]],'Datos_Ejemplo.csv'!A:A,'Datos_Ejemplo.csv'!I:I)</f>
        <v>5</v>
      </c>
      <c r="N757">
        <f>ABS(TablaDatos[[#This Row],[DiasOriginal]])</f>
        <v>5</v>
      </c>
      <c r="O757" s="1">
        <f>TablaDatos[[#This Row],[FechaIngreso]]+TablaDatos[[#This Row],[DiasNuevo]]</f>
        <v>45563</v>
      </c>
    </row>
    <row r="758" spans="1:15">
      <c r="A758">
        <v>757</v>
      </c>
      <c r="B758" t="s">
        <v>136</v>
      </c>
      <c r="C758" s="1">
        <v>18263</v>
      </c>
      <c r="D758">
        <v>76</v>
      </c>
      <c r="E758" s="4" t="s">
        <v>12</v>
      </c>
      <c r="F758" t="s">
        <v>21</v>
      </c>
      <c r="G758" s="1">
        <v>44972</v>
      </c>
      <c r="H758" s="1">
        <f>TablaDatos[[#This Row],[FechaIngreso]]+TablaDatos[[#This Row],[DiasNuevo]]</f>
        <v>44987</v>
      </c>
      <c r="I758">
        <v>15</v>
      </c>
      <c r="J758" t="s">
        <v>23</v>
      </c>
      <c r="K758" s="3">
        <v>5190.5</v>
      </c>
      <c r="L758" t="b">
        <f>TablaDatos[[#This Row],[FechaAlta]] &lt; TablaDatos[[#This Row],[FechaIngreso]]</f>
        <v>0</v>
      </c>
      <c r="M758">
        <f>_xlfn.XLOOKUP(TablaDatos[[#This Row],[PacienteID]],'Datos_Ejemplo.csv'!A:A,'Datos_Ejemplo.csv'!I:I)</f>
        <v>15</v>
      </c>
      <c r="N758">
        <f>ABS(TablaDatos[[#This Row],[DiasOriginal]])</f>
        <v>15</v>
      </c>
      <c r="O758" s="1">
        <f>TablaDatos[[#This Row],[FechaIngreso]]+TablaDatos[[#This Row],[DiasNuevo]]</f>
        <v>44987</v>
      </c>
    </row>
    <row r="759" spans="1:15">
      <c r="A759">
        <v>758</v>
      </c>
      <c r="B759" t="s">
        <v>268</v>
      </c>
      <c r="C759" s="1">
        <v>34334</v>
      </c>
      <c r="D759">
        <v>32</v>
      </c>
      <c r="E759" s="4" t="s">
        <v>15</v>
      </c>
      <c r="F759" t="s">
        <v>295</v>
      </c>
      <c r="G759" s="1">
        <v>45578</v>
      </c>
      <c r="H759" s="1">
        <f>TablaDatos[[#This Row],[FechaIngreso]]+TablaDatos[[#This Row],[DiasNuevo]]</f>
        <v>45607</v>
      </c>
      <c r="I759">
        <v>29</v>
      </c>
      <c r="J759" t="s">
        <v>23</v>
      </c>
      <c r="K759" s="3">
        <v>10259.879999999999</v>
      </c>
      <c r="L759" t="b">
        <f>TablaDatos[[#This Row],[FechaAlta]] &lt; TablaDatos[[#This Row],[FechaIngreso]]</f>
        <v>0</v>
      </c>
      <c r="M759">
        <f>_xlfn.XLOOKUP(TablaDatos[[#This Row],[PacienteID]],'Datos_Ejemplo.csv'!A:A,'Datos_Ejemplo.csv'!I:I)</f>
        <v>29</v>
      </c>
      <c r="N759">
        <f>ABS(TablaDatos[[#This Row],[DiasOriginal]])</f>
        <v>29</v>
      </c>
      <c r="O759" s="1">
        <f>TablaDatos[[#This Row],[FechaIngreso]]+TablaDatos[[#This Row],[DiasNuevo]]</f>
        <v>45607</v>
      </c>
    </row>
    <row r="760" spans="1:15">
      <c r="A760">
        <v>759</v>
      </c>
      <c r="B760" t="s">
        <v>244</v>
      </c>
      <c r="C760" s="1">
        <v>46022</v>
      </c>
      <c r="D760">
        <v>0</v>
      </c>
      <c r="E760" s="4" t="s">
        <v>15</v>
      </c>
      <c r="F760" t="s">
        <v>201</v>
      </c>
      <c r="G760" s="1">
        <v>45491</v>
      </c>
      <c r="H760" s="1">
        <f>TablaDatos[[#This Row],[FechaIngreso]]+TablaDatos[[#This Row],[DiasNuevo]]</f>
        <v>45505</v>
      </c>
      <c r="I760">
        <v>14</v>
      </c>
      <c r="J760" t="s">
        <v>19</v>
      </c>
      <c r="K760" s="3">
        <v>17014.09</v>
      </c>
      <c r="L760" t="b">
        <f>TablaDatos[[#This Row],[FechaAlta]] &lt; TablaDatos[[#This Row],[FechaIngreso]]</f>
        <v>0</v>
      </c>
      <c r="M760">
        <f>_xlfn.XLOOKUP(TablaDatos[[#This Row],[PacienteID]],'Datos_Ejemplo.csv'!A:A,'Datos_Ejemplo.csv'!I:I)</f>
        <v>14</v>
      </c>
      <c r="N760">
        <f>ABS(TablaDatos[[#This Row],[DiasOriginal]])</f>
        <v>14</v>
      </c>
      <c r="O760" s="1">
        <f>TablaDatos[[#This Row],[FechaIngreso]]+TablaDatos[[#This Row],[DiasNuevo]]</f>
        <v>45505</v>
      </c>
    </row>
    <row r="761" spans="1:15">
      <c r="A761">
        <v>760</v>
      </c>
      <c r="B761" t="s">
        <v>256</v>
      </c>
      <c r="C761" s="1">
        <v>38717</v>
      </c>
      <c r="D761">
        <v>20</v>
      </c>
      <c r="E761" s="4" t="s">
        <v>12</v>
      </c>
      <c r="F761" t="s">
        <v>13</v>
      </c>
      <c r="G761" s="1">
        <v>45227</v>
      </c>
      <c r="H761" s="1">
        <f>TablaDatos[[#This Row],[FechaIngreso]]+TablaDatos[[#This Row],[DiasNuevo]]</f>
        <v>45266</v>
      </c>
      <c r="I761">
        <v>39</v>
      </c>
      <c r="J761" t="s">
        <v>23</v>
      </c>
      <c r="K761" s="3">
        <v>3616.22</v>
      </c>
      <c r="L761" t="b">
        <f>TablaDatos[[#This Row],[FechaAlta]] &lt; TablaDatos[[#This Row],[FechaIngreso]]</f>
        <v>0</v>
      </c>
      <c r="M761">
        <f>_xlfn.XLOOKUP(TablaDatos[[#This Row],[PacienteID]],'Datos_Ejemplo.csv'!A:A,'Datos_Ejemplo.csv'!I:I)</f>
        <v>39</v>
      </c>
      <c r="N761">
        <f>ABS(TablaDatos[[#This Row],[DiasOriginal]])</f>
        <v>39</v>
      </c>
      <c r="O761" s="1">
        <f>TablaDatos[[#This Row],[FechaIngreso]]+TablaDatos[[#This Row],[DiasNuevo]]</f>
        <v>45266</v>
      </c>
    </row>
    <row r="762" spans="1:15">
      <c r="A762">
        <v>761</v>
      </c>
      <c r="B762" t="s">
        <v>338</v>
      </c>
      <c r="C762" s="1">
        <v>26299</v>
      </c>
      <c r="D762">
        <v>54</v>
      </c>
      <c r="E762" s="4" t="s">
        <v>12</v>
      </c>
      <c r="F762" t="s">
        <v>32</v>
      </c>
      <c r="G762" s="1">
        <v>45214</v>
      </c>
      <c r="H762" s="1">
        <f>TablaDatos[[#This Row],[FechaIngreso]]+TablaDatos[[#This Row],[DiasNuevo]]</f>
        <v>45215</v>
      </c>
      <c r="I762">
        <v>1</v>
      </c>
      <c r="J762" t="s">
        <v>23</v>
      </c>
      <c r="K762" s="3">
        <v>1998.51</v>
      </c>
      <c r="L762" t="b">
        <f>TablaDatos[[#This Row],[FechaAlta]] &lt; TablaDatos[[#This Row],[FechaIngreso]]</f>
        <v>0</v>
      </c>
      <c r="M762">
        <f>_xlfn.XLOOKUP(TablaDatos[[#This Row],[PacienteID]],'Datos_Ejemplo.csv'!A:A,'Datos_Ejemplo.csv'!I:I)</f>
        <v>-1</v>
      </c>
      <c r="N762">
        <f>ABS(TablaDatos[[#This Row],[DiasOriginal]])</f>
        <v>1</v>
      </c>
      <c r="O762" s="1">
        <f>TablaDatos[[#This Row],[FechaIngreso]]+TablaDatos[[#This Row],[DiasNuevo]]</f>
        <v>45215</v>
      </c>
    </row>
    <row r="763" spans="1:15">
      <c r="A763">
        <v>762</v>
      </c>
      <c r="B763" t="s">
        <v>308</v>
      </c>
      <c r="C763" s="1">
        <v>44196</v>
      </c>
      <c r="D763">
        <v>5</v>
      </c>
      <c r="E763" s="4" t="s">
        <v>12</v>
      </c>
      <c r="F763" t="s">
        <v>21</v>
      </c>
      <c r="G763" s="1">
        <v>45195</v>
      </c>
      <c r="H763" s="1">
        <f>TablaDatos[[#This Row],[FechaIngreso]]+TablaDatos[[#This Row],[DiasNuevo]]</f>
        <v>45212</v>
      </c>
      <c r="I763">
        <v>17</v>
      </c>
      <c r="J763" t="s">
        <v>19</v>
      </c>
      <c r="K763" s="3">
        <v>1397</v>
      </c>
      <c r="L763" t="b">
        <f>TablaDatos[[#This Row],[FechaAlta]] &lt; TablaDatos[[#This Row],[FechaIngreso]]</f>
        <v>0</v>
      </c>
      <c r="M763">
        <f>_xlfn.XLOOKUP(TablaDatos[[#This Row],[PacienteID]],'Datos_Ejemplo.csv'!A:A,'Datos_Ejemplo.csv'!I:I)</f>
        <v>17</v>
      </c>
      <c r="N763">
        <f>ABS(TablaDatos[[#This Row],[DiasOriginal]])</f>
        <v>17</v>
      </c>
      <c r="O763" s="1">
        <f>TablaDatos[[#This Row],[FechaIngreso]]+TablaDatos[[#This Row],[DiasNuevo]]</f>
        <v>45212</v>
      </c>
    </row>
    <row r="764" spans="1:15">
      <c r="A764">
        <v>763</v>
      </c>
      <c r="B764" t="s">
        <v>361</v>
      </c>
      <c r="C764" s="1">
        <v>12785</v>
      </c>
      <c r="D764">
        <v>91</v>
      </c>
      <c r="E764" s="4" t="s">
        <v>12</v>
      </c>
      <c r="F764" t="s">
        <v>18</v>
      </c>
      <c r="G764" s="1">
        <v>44988</v>
      </c>
      <c r="H764" s="1">
        <f>TablaDatos[[#This Row],[FechaIngreso]]+TablaDatos[[#This Row],[DiasNuevo]]</f>
        <v>44995</v>
      </c>
      <c r="I764">
        <v>7</v>
      </c>
      <c r="J764" t="s">
        <v>23</v>
      </c>
      <c r="K764" s="3">
        <v>10090.049999999999</v>
      </c>
      <c r="L764" t="b">
        <f>TablaDatos[[#This Row],[FechaAlta]] &lt; TablaDatos[[#This Row],[FechaIngreso]]</f>
        <v>0</v>
      </c>
      <c r="M764">
        <f>_xlfn.XLOOKUP(TablaDatos[[#This Row],[PacienteID]],'Datos_Ejemplo.csv'!A:A,'Datos_Ejemplo.csv'!I:I)</f>
        <v>7</v>
      </c>
      <c r="N764">
        <f>ABS(TablaDatos[[#This Row],[DiasOriginal]])</f>
        <v>7</v>
      </c>
      <c r="O764" s="1">
        <f>TablaDatos[[#This Row],[FechaIngreso]]+TablaDatos[[#This Row],[DiasNuevo]]</f>
        <v>44995</v>
      </c>
    </row>
    <row r="765" spans="1:15">
      <c r="A765">
        <v>764</v>
      </c>
      <c r="B765" t="s">
        <v>365</v>
      </c>
      <c r="C765" s="1">
        <v>16802</v>
      </c>
      <c r="D765">
        <v>80</v>
      </c>
      <c r="E765" s="4" t="s">
        <v>15</v>
      </c>
      <c r="F765" t="s">
        <v>295</v>
      </c>
      <c r="G765" s="1">
        <v>45492</v>
      </c>
      <c r="H765" s="1">
        <f>TablaDatos[[#This Row],[FechaIngreso]]+TablaDatos[[#This Row],[DiasNuevo]]</f>
        <v>45498</v>
      </c>
      <c r="I765">
        <v>6</v>
      </c>
      <c r="J765" t="s">
        <v>23</v>
      </c>
      <c r="K765" s="3">
        <v>17682.490000000002</v>
      </c>
      <c r="L765" t="b">
        <f>TablaDatos[[#This Row],[FechaAlta]] &lt; TablaDatos[[#This Row],[FechaIngreso]]</f>
        <v>0</v>
      </c>
      <c r="M765">
        <f>_xlfn.XLOOKUP(TablaDatos[[#This Row],[PacienteID]],'Datos_Ejemplo.csv'!A:A,'Datos_Ejemplo.csv'!I:I)</f>
        <v>6</v>
      </c>
      <c r="N765">
        <f>ABS(TablaDatos[[#This Row],[DiasOriginal]])</f>
        <v>6</v>
      </c>
      <c r="O765" s="1">
        <f>TablaDatos[[#This Row],[FechaIngreso]]+TablaDatos[[#This Row],[DiasNuevo]]</f>
        <v>45498</v>
      </c>
    </row>
    <row r="766" spans="1:15">
      <c r="A766">
        <v>765</v>
      </c>
      <c r="B766" t="s">
        <v>263</v>
      </c>
      <c r="C766" s="1">
        <v>21185</v>
      </c>
      <c r="D766">
        <v>68</v>
      </c>
      <c r="E766" s="4" t="s">
        <v>12</v>
      </c>
      <c r="F766" t="s">
        <v>295</v>
      </c>
      <c r="G766" s="1">
        <v>45507</v>
      </c>
      <c r="H766" s="1">
        <f>TablaDatos[[#This Row],[FechaIngreso]]+TablaDatos[[#This Row],[DiasNuevo]]</f>
        <v>45543</v>
      </c>
      <c r="I766">
        <v>36</v>
      </c>
      <c r="J766" t="s">
        <v>23</v>
      </c>
      <c r="K766" s="3">
        <v>751.42</v>
      </c>
      <c r="L766" t="b">
        <f>TablaDatos[[#This Row],[FechaAlta]] &lt; TablaDatos[[#This Row],[FechaIngreso]]</f>
        <v>0</v>
      </c>
      <c r="M766">
        <f>_xlfn.XLOOKUP(TablaDatos[[#This Row],[PacienteID]],'Datos_Ejemplo.csv'!A:A,'Datos_Ejemplo.csv'!I:I)</f>
        <v>36</v>
      </c>
      <c r="N766">
        <f>ABS(TablaDatos[[#This Row],[DiasOriginal]])</f>
        <v>36</v>
      </c>
      <c r="O766" s="1">
        <f>TablaDatos[[#This Row],[FechaIngreso]]+TablaDatos[[#This Row],[DiasNuevo]]</f>
        <v>45543</v>
      </c>
    </row>
    <row r="767" spans="1:15">
      <c r="A767">
        <v>766</v>
      </c>
      <c r="B767" t="s">
        <v>303</v>
      </c>
      <c r="C767" s="1">
        <v>11689</v>
      </c>
      <c r="D767">
        <v>94</v>
      </c>
      <c r="E767" s="4" t="s">
        <v>15</v>
      </c>
      <c r="F767" t="s">
        <v>13</v>
      </c>
      <c r="G767" s="1">
        <v>45168</v>
      </c>
      <c r="H767" s="1">
        <f>TablaDatos[[#This Row],[FechaIngreso]]+TablaDatos[[#This Row],[DiasNuevo]]</f>
        <v>45206</v>
      </c>
      <c r="I767">
        <v>38</v>
      </c>
      <c r="J767" t="s">
        <v>19</v>
      </c>
      <c r="K767" s="3">
        <v>4167.66</v>
      </c>
      <c r="L767" t="b">
        <f>TablaDatos[[#This Row],[FechaAlta]] &lt; TablaDatos[[#This Row],[FechaIngreso]]</f>
        <v>0</v>
      </c>
      <c r="M767">
        <f>_xlfn.XLOOKUP(TablaDatos[[#This Row],[PacienteID]],'Datos_Ejemplo.csv'!A:A,'Datos_Ejemplo.csv'!I:I)</f>
        <v>38</v>
      </c>
      <c r="N767">
        <f>ABS(TablaDatos[[#This Row],[DiasOriginal]])</f>
        <v>38</v>
      </c>
      <c r="O767" s="1">
        <f>TablaDatos[[#This Row],[FechaIngreso]]+TablaDatos[[#This Row],[DiasNuevo]]</f>
        <v>45206</v>
      </c>
    </row>
    <row r="768" spans="1:15">
      <c r="A768">
        <v>767</v>
      </c>
      <c r="B768" t="s">
        <v>365</v>
      </c>
      <c r="C768" s="1">
        <v>44561</v>
      </c>
      <c r="D768">
        <v>4</v>
      </c>
      <c r="E768" s="4" t="s">
        <v>12</v>
      </c>
      <c r="F768" t="s">
        <v>18</v>
      </c>
      <c r="G768" s="1">
        <v>45280</v>
      </c>
      <c r="H768" s="1">
        <f>TablaDatos[[#This Row],[FechaIngreso]]+TablaDatos[[#This Row],[DiasNuevo]]</f>
        <v>45302</v>
      </c>
      <c r="I768">
        <v>22</v>
      </c>
      <c r="J768" t="s">
        <v>23</v>
      </c>
      <c r="K768" s="3">
        <v>13834.47</v>
      </c>
      <c r="L768" t="b">
        <f>TablaDatos[[#This Row],[FechaAlta]] &lt; TablaDatos[[#This Row],[FechaIngreso]]</f>
        <v>0</v>
      </c>
      <c r="M768">
        <f>_xlfn.XLOOKUP(TablaDatos[[#This Row],[PacienteID]],'Datos_Ejemplo.csv'!A:A,'Datos_Ejemplo.csv'!I:I)</f>
        <v>22</v>
      </c>
      <c r="N768">
        <f>ABS(TablaDatos[[#This Row],[DiasOriginal]])</f>
        <v>22</v>
      </c>
      <c r="O768" s="1">
        <f>TablaDatos[[#This Row],[FechaIngreso]]+TablaDatos[[#This Row],[DiasNuevo]]</f>
        <v>45302</v>
      </c>
    </row>
    <row r="769" spans="1:15">
      <c r="A769">
        <v>768</v>
      </c>
      <c r="B769" t="s">
        <v>90</v>
      </c>
      <c r="C769" s="1">
        <v>45292</v>
      </c>
      <c r="D769">
        <v>2</v>
      </c>
      <c r="E769" s="4" t="s">
        <v>12</v>
      </c>
      <c r="F769" t="s">
        <v>32</v>
      </c>
      <c r="G769" s="1">
        <v>44997</v>
      </c>
      <c r="H769" s="1">
        <f>TablaDatos[[#This Row],[FechaIngreso]]+TablaDatos[[#This Row],[DiasNuevo]]</f>
        <v>45019</v>
      </c>
      <c r="I769">
        <v>22</v>
      </c>
      <c r="J769" t="s">
        <v>25</v>
      </c>
      <c r="K769" s="3">
        <v>16499.86</v>
      </c>
      <c r="L769" t="b">
        <f>TablaDatos[[#This Row],[FechaAlta]] &lt; TablaDatos[[#This Row],[FechaIngreso]]</f>
        <v>0</v>
      </c>
      <c r="M769">
        <f>_xlfn.XLOOKUP(TablaDatos[[#This Row],[PacienteID]],'Datos_Ejemplo.csv'!A:A,'Datos_Ejemplo.csv'!I:I)</f>
        <v>22</v>
      </c>
      <c r="N769">
        <f>ABS(TablaDatos[[#This Row],[DiasOriginal]])</f>
        <v>22</v>
      </c>
      <c r="O769" s="1">
        <f>TablaDatos[[#This Row],[FechaIngreso]]+TablaDatos[[#This Row],[DiasNuevo]]</f>
        <v>45019</v>
      </c>
    </row>
    <row r="770" spans="1:15">
      <c r="A770">
        <v>769</v>
      </c>
      <c r="B770" t="s">
        <v>271</v>
      </c>
      <c r="C770" s="1">
        <v>27029</v>
      </c>
      <c r="D770">
        <v>52</v>
      </c>
      <c r="E770" s="4" t="s">
        <v>15</v>
      </c>
      <c r="F770" t="s">
        <v>21</v>
      </c>
      <c r="G770" s="1">
        <v>45339</v>
      </c>
      <c r="H770" s="1">
        <f>TablaDatos[[#This Row],[FechaIngreso]]+TablaDatos[[#This Row],[DiasNuevo]]</f>
        <v>45360</v>
      </c>
      <c r="I770">
        <v>21</v>
      </c>
      <c r="J770" t="s">
        <v>23</v>
      </c>
      <c r="K770" s="3">
        <v>16128.73</v>
      </c>
      <c r="L770" t="b">
        <f>TablaDatos[[#This Row],[FechaAlta]] &lt; TablaDatos[[#This Row],[FechaIngreso]]</f>
        <v>0</v>
      </c>
      <c r="M770">
        <f>_xlfn.XLOOKUP(TablaDatos[[#This Row],[PacienteID]],'Datos_Ejemplo.csv'!A:A,'Datos_Ejemplo.csv'!I:I)</f>
        <v>21</v>
      </c>
      <c r="N770">
        <f>ABS(TablaDatos[[#This Row],[DiasOriginal]])</f>
        <v>21</v>
      </c>
      <c r="O770" s="1">
        <f>TablaDatos[[#This Row],[FechaIngreso]]+TablaDatos[[#This Row],[DiasNuevo]]</f>
        <v>45360</v>
      </c>
    </row>
    <row r="771" spans="1:15">
      <c r="A771">
        <v>770</v>
      </c>
      <c r="B771" t="s">
        <v>345</v>
      </c>
      <c r="C771" s="1">
        <v>37987</v>
      </c>
      <c r="D771">
        <v>22</v>
      </c>
      <c r="E771" s="4" t="s">
        <v>12</v>
      </c>
      <c r="F771" t="s">
        <v>261</v>
      </c>
      <c r="G771" s="1">
        <v>45538</v>
      </c>
      <c r="H771" s="1">
        <f>TablaDatos[[#This Row],[FechaIngreso]]+TablaDatos[[#This Row],[DiasNuevo]]</f>
        <v>45541</v>
      </c>
      <c r="I771">
        <v>3</v>
      </c>
      <c r="J771" t="s">
        <v>25</v>
      </c>
      <c r="K771" s="3">
        <v>15679.87</v>
      </c>
      <c r="L771" t="b">
        <f>TablaDatos[[#This Row],[FechaAlta]] &lt; TablaDatos[[#This Row],[FechaIngreso]]</f>
        <v>0</v>
      </c>
      <c r="M771">
        <f>_xlfn.XLOOKUP(TablaDatos[[#This Row],[PacienteID]],'Datos_Ejemplo.csv'!A:A,'Datos_Ejemplo.csv'!I:I)</f>
        <v>3</v>
      </c>
      <c r="N771">
        <f>ABS(TablaDatos[[#This Row],[DiasOriginal]])</f>
        <v>3</v>
      </c>
      <c r="O771" s="1">
        <f>TablaDatos[[#This Row],[FechaIngreso]]+TablaDatos[[#This Row],[DiasNuevo]]</f>
        <v>45541</v>
      </c>
    </row>
    <row r="772" spans="1:15">
      <c r="A772">
        <v>771</v>
      </c>
      <c r="B772" t="s">
        <v>105</v>
      </c>
      <c r="C772" s="1">
        <v>27029</v>
      </c>
      <c r="D772">
        <v>52</v>
      </c>
      <c r="E772" s="4" t="s">
        <v>12</v>
      </c>
      <c r="F772" t="s">
        <v>18</v>
      </c>
      <c r="G772" s="1">
        <v>44987</v>
      </c>
      <c r="H772" s="1">
        <f>TablaDatos[[#This Row],[FechaIngreso]]+TablaDatos[[#This Row],[DiasNuevo]]</f>
        <v>45014</v>
      </c>
      <c r="I772">
        <v>27</v>
      </c>
      <c r="J772" t="s">
        <v>23</v>
      </c>
      <c r="K772" s="3">
        <v>2508.98</v>
      </c>
      <c r="L772" t="b">
        <f>TablaDatos[[#This Row],[FechaAlta]] &lt; TablaDatos[[#This Row],[FechaIngreso]]</f>
        <v>0</v>
      </c>
      <c r="M772">
        <f>_xlfn.XLOOKUP(TablaDatos[[#This Row],[PacienteID]],'Datos_Ejemplo.csv'!A:A,'Datos_Ejemplo.csv'!I:I)</f>
        <v>27</v>
      </c>
      <c r="N772">
        <f>ABS(TablaDatos[[#This Row],[DiasOriginal]])</f>
        <v>27</v>
      </c>
      <c r="O772" s="1">
        <f>TablaDatos[[#This Row],[FechaIngreso]]+TablaDatos[[#This Row],[DiasNuevo]]</f>
        <v>45014</v>
      </c>
    </row>
    <row r="773" spans="1:15">
      <c r="A773">
        <v>772</v>
      </c>
      <c r="B773" t="s">
        <v>235</v>
      </c>
      <c r="C773" s="1">
        <v>32873</v>
      </c>
      <c r="D773">
        <v>36</v>
      </c>
      <c r="E773" s="4" t="s">
        <v>15</v>
      </c>
      <c r="F773" t="s">
        <v>295</v>
      </c>
      <c r="G773" s="1">
        <v>45541</v>
      </c>
      <c r="H773" s="1">
        <f>TablaDatos[[#This Row],[FechaIngreso]]+TablaDatos[[#This Row],[DiasNuevo]]</f>
        <v>45548</v>
      </c>
      <c r="I773">
        <v>7</v>
      </c>
      <c r="J773" t="s">
        <v>19</v>
      </c>
      <c r="K773" s="3">
        <v>7884.48</v>
      </c>
      <c r="L773" t="b">
        <f>TablaDatos[[#This Row],[FechaAlta]] &lt; TablaDatos[[#This Row],[FechaIngreso]]</f>
        <v>0</v>
      </c>
      <c r="M773">
        <f>_xlfn.XLOOKUP(TablaDatos[[#This Row],[PacienteID]],'Datos_Ejemplo.csv'!A:A,'Datos_Ejemplo.csv'!I:I)</f>
        <v>7</v>
      </c>
      <c r="N773">
        <f>ABS(TablaDatos[[#This Row],[DiasOriginal]])</f>
        <v>7</v>
      </c>
      <c r="O773" s="1">
        <f>TablaDatos[[#This Row],[FechaIngreso]]+TablaDatos[[#This Row],[DiasNuevo]]</f>
        <v>45548</v>
      </c>
    </row>
    <row r="774" spans="1:15">
      <c r="A774">
        <v>773</v>
      </c>
      <c r="B774" t="s">
        <v>245</v>
      </c>
      <c r="C774" s="1">
        <v>19359</v>
      </c>
      <c r="D774">
        <v>73</v>
      </c>
      <c r="E774" s="4" t="s">
        <v>12</v>
      </c>
      <c r="F774" t="s">
        <v>13</v>
      </c>
      <c r="G774" s="1">
        <v>45378</v>
      </c>
      <c r="H774" s="1">
        <f>TablaDatos[[#This Row],[FechaIngreso]]+TablaDatos[[#This Row],[DiasNuevo]]</f>
        <v>45414</v>
      </c>
      <c r="I774">
        <v>36</v>
      </c>
      <c r="J774" t="s">
        <v>25</v>
      </c>
      <c r="K774" s="3">
        <v>19693.37</v>
      </c>
      <c r="L774" t="b">
        <f>TablaDatos[[#This Row],[FechaAlta]] &lt; TablaDatos[[#This Row],[FechaIngreso]]</f>
        <v>0</v>
      </c>
      <c r="M774">
        <f>_xlfn.XLOOKUP(TablaDatos[[#This Row],[PacienteID]],'Datos_Ejemplo.csv'!A:A,'Datos_Ejemplo.csv'!I:I)</f>
        <v>36</v>
      </c>
      <c r="N774">
        <f>ABS(TablaDatos[[#This Row],[DiasOriginal]])</f>
        <v>36</v>
      </c>
      <c r="O774" s="1">
        <f>TablaDatos[[#This Row],[FechaIngreso]]+TablaDatos[[#This Row],[DiasNuevo]]</f>
        <v>45414</v>
      </c>
    </row>
    <row r="775" spans="1:15">
      <c r="A775">
        <v>774</v>
      </c>
      <c r="B775" t="s">
        <v>266</v>
      </c>
      <c r="C775" s="1">
        <v>19359</v>
      </c>
      <c r="D775">
        <v>73</v>
      </c>
      <c r="E775" s="4" t="s">
        <v>12</v>
      </c>
      <c r="F775" t="s">
        <v>32</v>
      </c>
      <c r="G775" s="1">
        <v>45319</v>
      </c>
      <c r="H775" s="1">
        <f>TablaDatos[[#This Row],[FechaIngreso]]+TablaDatos[[#This Row],[DiasNuevo]]</f>
        <v>45347</v>
      </c>
      <c r="I775">
        <v>28</v>
      </c>
      <c r="J775" t="s">
        <v>23</v>
      </c>
      <c r="K775" s="3">
        <v>19776.64</v>
      </c>
      <c r="L775" t="b">
        <f>TablaDatos[[#This Row],[FechaAlta]] &lt; TablaDatos[[#This Row],[FechaIngreso]]</f>
        <v>0</v>
      </c>
      <c r="M775">
        <f>_xlfn.XLOOKUP(TablaDatos[[#This Row],[PacienteID]],'Datos_Ejemplo.csv'!A:A,'Datos_Ejemplo.csv'!I:I)</f>
        <v>28</v>
      </c>
      <c r="N775">
        <f>ABS(TablaDatos[[#This Row],[DiasOriginal]])</f>
        <v>28</v>
      </c>
      <c r="O775" s="1">
        <f>TablaDatos[[#This Row],[FechaIngreso]]+TablaDatos[[#This Row],[DiasNuevo]]</f>
        <v>45347</v>
      </c>
    </row>
    <row r="776" spans="1:15">
      <c r="A776">
        <v>775</v>
      </c>
      <c r="B776" t="s">
        <v>345</v>
      </c>
      <c r="C776" s="1">
        <v>16072</v>
      </c>
      <c r="D776">
        <v>82</v>
      </c>
      <c r="E776" s="4" t="s">
        <v>12</v>
      </c>
      <c r="F776" t="s">
        <v>13</v>
      </c>
      <c r="G776" s="1">
        <v>45557</v>
      </c>
      <c r="H776" s="1">
        <f>TablaDatos[[#This Row],[FechaIngreso]]+TablaDatos[[#This Row],[DiasNuevo]]</f>
        <v>45572</v>
      </c>
      <c r="I776">
        <v>15</v>
      </c>
      <c r="J776" t="s">
        <v>23</v>
      </c>
      <c r="K776" s="3">
        <v>12008.79</v>
      </c>
      <c r="L776" t="b">
        <f>TablaDatos[[#This Row],[FechaAlta]] &lt; TablaDatos[[#This Row],[FechaIngreso]]</f>
        <v>0</v>
      </c>
      <c r="M776">
        <f>_xlfn.XLOOKUP(TablaDatos[[#This Row],[PacienteID]],'Datos_Ejemplo.csv'!A:A,'Datos_Ejemplo.csv'!I:I)</f>
        <v>15</v>
      </c>
      <c r="N776">
        <f>ABS(TablaDatos[[#This Row],[DiasOriginal]])</f>
        <v>15</v>
      </c>
      <c r="O776" s="1">
        <f>TablaDatos[[#This Row],[FechaIngreso]]+TablaDatos[[#This Row],[DiasNuevo]]</f>
        <v>45572</v>
      </c>
    </row>
    <row r="777" spans="1:15">
      <c r="A777">
        <v>776</v>
      </c>
      <c r="B777" t="s">
        <v>262</v>
      </c>
      <c r="C777" s="1">
        <v>40178</v>
      </c>
      <c r="D777">
        <v>16</v>
      </c>
      <c r="E777" s="4" t="s">
        <v>15</v>
      </c>
      <c r="F777" t="s">
        <v>21</v>
      </c>
      <c r="G777" s="1">
        <v>45455</v>
      </c>
      <c r="H777" s="1">
        <f>TablaDatos[[#This Row],[FechaIngreso]]+TablaDatos[[#This Row],[DiasNuevo]]</f>
        <v>45485</v>
      </c>
      <c r="I777">
        <v>30</v>
      </c>
      <c r="J777" t="s">
        <v>23</v>
      </c>
      <c r="K777" s="3">
        <v>14156.27</v>
      </c>
      <c r="L777" t="b">
        <f>TablaDatos[[#This Row],[FechaAlta]] &lt; TablaDatos[[#This Row],[FechaIngreso]]</f>
        <v>0</v>
      </c>
      <c r="M777">
        <f>_xlfn.XLOOKUP(TablaDatos[[#This Row],[PacienteID]],'Datos_Ejemplo.csv'!A:A,'Datos_Ejemplo.csv'!I:I)</f>
        <v>30</v>
      </c>
      <c r="N777">
        <f>ABS(TablaDatos[[#This Row],[DiasOriginal]])</f>
        <v>30</v>
      </c>
      <c r="O777" s="1">
        <f>TablaDatos[[#This Row],[FechaIngreso]]+TablaDatos[[#This Row],[DiasNuevo]]</f>
        <v>45485</v>
      </c>
    </row>
    <row r="778" spans="1:15">
      <c r="A778">
        <v>777</v>
      </c>
      <c r="B778" t="s">
        <v>325</v>
      </c>
      <c r="C778" s="1">
        <v>15341</v>
      </c>
      <c r="D778">
        <v>84</v>
      </c>
      <c r="E778" s="4" t="s">
        <v>15</v>
      </c>
      <c r="F778" t="s">
        <v>201</v>
      </c>
      <c r="G778" s="1">
        <v>45231</v>
      </c>
      <c r="H778" s="1">
        <f>TablaDatos[[#This Row],[FechaIngreso]]+TablaDatos[[#This Row],[DiasNuevo]]</f>
        <v>45247</v>
      </c>
      <c r="I778">
        <v>16</v>
      </c>
      <c r="J778" t="s">
        <v>23</v>
      </c>
      <c r="K778" s="3">
        <v>19020.8</v>
      </c>
      <c r="L778" t="b">
        <f>TablaDatos[[#This Row],[FechaAlta]] &lt; TablaDatos[[#This Row],[FechaIngreso]]</f>
        <v>0</v>
      </c>
      <c r="M778">
        <f>_xlfn.XLOOKUP(TablaDatos[[#This Row],[PacienteID]],'Datos_Ejemplo.csv'!A:A,'Datos_Ejemplo.csv'!I:I)</f>
        <v>16</v>
      </c>
      <c r="N778">
        <f>ABS(TablaDatos[[#This Row],[DiasOriginal]])</f>
        <v>16</v>
      </c>
      <c r="O778" s="1">
        <f>TablaDatos[[#This Row],[FechaIngreso]]+TablaDatos[[#This Row],[DiasNuevo]]</f>
        <v>45247</v>
      </c>
    </row>
    <row r="779" spans="1:15">
      <c r="A779">
        <v>778</v>
      </c>
      <c r="B779" t="s">
        <v>311</v>
      </c>
      <c r="C779" s="1">
        <v>17898</v>
      </c>
      <c r="D779">
        <v>77</v>
      </c>
      <c r="E779" s="4" t="s">
        <v>12</v>
      </c>
      <c r="F779" t="s">
        <v>201</v>
      </c>
      <c r="G779" s="1">
        <v>45117</v>
      </c>
      <c r="H779" s="1">
        <f>TablaDatos[[#This Row],[FechaIngreso]]+TablaDatos[[#This Row],[DiasNuevo]]</f>
        <v>45137</v>
      </c>
      <c r="I779">
        <v>20</v>
      </c>
      <c r="J779" t="s">
        <v>19</v>
      </c>
      <c r="K779" s="3">
        <v>8943.5499999999993</v>
      </c>
      <c r="L779" t="b">
        <f>TablaDatos[[#This Row],[FechaAlta]] &lt; TablaDatos[[#This Row],[FechaIngreso]]</f>
        <v>0</v>
      </c>
      <c r="M779">
        <f>_xlfn.XLOOKUP(TablaDatos[[#This Row],[PacienteID]],'Datos_Ejemplo.csv'!A:A,'Datos_Ejemplo.csv'!I:I)</f>
        <v>20</v>
      </c>
      <c r="N779">
        <f>ABS(TablaDatos[[#This Row],[DiasOriginal]])</f>
        <v>20</v>
      </c>
      <c r="O779" s="1">
        <f>TablaDatos[[#This Row],[FechaIngreso]]+TablaDatos[[#This Row],[DiasNuevo]]</f>
        <v>45137</v>
      </c>
    </row>
    <row r="780" spans="1:15">
      <c r="A780">
        <v>779</v>
      </c>
      <c r="B780" t="s">
        <v>343</v>
      </c>
      <c r="C780" s="1">
        <v>19724</v>
      </c>
      <c r="D780">
        <v>72</v>
      </c>
      <c r="E780" s="4" t="s">
        <v>15</v>
      </c>
      <c r="F780" t="s">
        <v>18</v>
      </c>
      <c r="G780" s="1">
        <v>45650</v>
      </c>
      <c r="H780" s="1">
        <f>TablaDatos[[#This Row],[FechaIngreso]]+TablaDatos[[#This Row],[DiasNuevo]]</f>
        <v>45652</v>
      </c>
      <c r="I780">
        <v>2</v>
      </c>
      <c r="J780" t="s">
        <v>23</v>
      </c>
      <c r="K780" s="3">
        <v>2651.02</v>
      </c>
      <c r="L780" t="b">
        <f>TablaDatos[[#This Row],[FechaAlta]] &lt; TablaDatos[[#This Row],[FechaIngreso]]</f>
        <v>0</v>
      </c>
      <c r="M780">
        <f>_xlfn.XLOOKUP(TablaDatos[[#This Row],[PacienteID]],'Datos_Ejemplo.csv'!A:A,'Datos_Ejemplo.csv'!I:I)</f>
        <v>2</v>
      </c>
      <c r="N780">
        <f>ABS(TablaDatos[[#This Row],[DiasOriginal]])</f>
        <v>2</v>
      </c>
      <c r="O780" s="1">
        <f>TablaDatos[[#This Row],[FechaIngreso]]+TablaDatos[[#This Row],[DiasNuevo]]</f>
        <v>45652</v>
      </c>
    </row>
    <row r="781" spans="1:15">
      <c r="A781">
        <v>780</v>
      </c>
      <c r="B781" t="s">
        <v>333</v>
      </c>
      <c r="C781" s="1">
        <v>46022</v>
      </c>
      <c r="D781">
        <v>0</v>
      </c>
      <c r="E781" s="4" t="s">
        <v>197</v>
      </c>
      <c r="F781" t="s">
        <v>13</v>
      </c>
      <c r="G781" s="1">
        <v>45004</v>
      </c>
      <c r="H781" s="1">
        <f>TablaDatos[[#This Row],[FechaIngreso]]+TablaDatos[[#This Row],[DiasNuevo]]</f>
        <v>45027</v>
      </c>
      <c r="I781">
        <v>23</v>
      </c>
      <c r="J781" t="s">
        <v>25</v>
      </c>
      <c r="K781" s="3">
        <v>13345.87</v>
      </c>
      <c r="L781" t="b">
        <f>TablaDatos[[#This Row],[FechaAlta]] &lt; TablaDatos[[#This Row],[FechaIngreso]]</f>
        <v>0</v>
      </c>
      <c r="M781">
        <f>_xlfn.XLOOKUP(TablaDatos[[#This Row],[PacienteID]],'Datos_Ejemplo.csv'!A:A,'Datos_Ejemplo.csv'!I:I)</f>
        <v>23</v>
      </c>
      <c r="N781">
        <f>ABS(TablaDatos[[#This Row],[DiasOriginal]])</f>
        <v>23</v>
      </c>
      <c r="O781" s="1">
        <f>TablaDatos[[#This Row],[FechaIngreso]]+TablaDatos[[#This Row],[DiasNuevo]]</f>
        <v>45027</v>
      </c>
    </row>
    <row r="782" spans="1:15">
      <c r="A782">
        <v>781</v>
      </c>
      <c r="B782" t="s">
        <v>298</v>
      </c>
      <c r="C782" s="1">
        <v>27760</v>
      </c>
      <c r="D782">
        <v>50</v>
      </c>
      <c r="E782" s="4" t="s">
        <v>15</v>
      </c>
      <c r="F782" t="s">
        <v>261</v>
      </c>
      <c r="G782" s="1">
        <v>45484</v>
      </c>
      <c r="H782" s="1">
        <f>TablaDatos[[#This Row],[FechaIngreso]]+TablaDatos[[#This Row],[DiasNuevo]]</f>
        <v>45510</v>
      </c>
      <c r="I782">
        <v>26</v>
      </c>
      <c r="J782" t="s">
        <v>23</v>
      </c>
      <c r="K782" s="3">
        <v>19198.060000000001</v>
      </c>
      <c r="L782" t="b">
        <f>TablaDatos[[#This Row],[FechaAlta]] &lt; TablaDatos[[#This Row],[FechaIngreso]]</f>
        <v>0</v>
      </c>
      <c r="M782">
        <f>_xlfn.XLOOKUP(TablaDatos[[#This Row],[PacienteID]],'Datos_Ejemplo.csv'!A:A,'Datos_Ejemplo.csv'!I:I)</f>
        <v>26</v>
      </c>
      <c r="N782">
        <f>ABS(TablaDatos[[#This Row],[DiasOriginal]])</f>
        <v>26</v>
      </c>
      <c r="O782" s="1">
        <f>TablaDatos[[#This Row],[FechaIngreso]]+TablaDatos[[#This Row],[DiasNuevo]]</f>
        <v>45510</v>
      </c>
    </row>
    <row r="783" spans="1:15">
      <c r="A783">
        <v>782</v>
      </c>
      <c r="B783" t="s">
        <v>257</v>
      </c>
      <c r="C783" s="1">
        <v>29951</v>
      </c>
      <c r="D783">
        <v>44</v>
      </c>
      <c r="E783" s="4" t="s">
        <v>12</v>
      </c>
      <c r="F783" t="s">
        <v>261</v>
      </c>
      <c r="G783" s="1">
        <v>45531</v>
      </c>
      <c r="H783" s="1">
        <f>TablaDatos[[#This Row],[FechaIngreso]]+TablaDatos[[#This Row],[DiasNuevo]]</f>
        <v>45552</v>
      </c>
      <c r="I783">
        <v>21</v>
      </c>
      <c r="J783" t="s">
        <v>19</v>
      </c>
      <c r="K783" s="3">
        <v>13913.84</v>
      </c>
      <c r="L783" t="b">
        <f>TablaDatos[[#This Row],[FechaAlta]] &lt; TablaDatos[[#This Row],[FechaIngreso]]</f>
        <v>0</v>
      </c>
      <c r="M783">
        <f>_xlfn.XLOOKUP(TablaDatos[[#This Row],[PacienteID]],'Datos_Ejemplo.csv'!A:A,'Datos_Ejemplo.csv'!I:I)</f>
        <v>21</v>
      </c>
      <c r="N783">
        <f>ABS(TablaDatos[[#This Row],[DiasOriginal]])</f>
        <v>21</v>
      </c>
      <c r="O783" s="1">
        <f>TablaDatos[[#This Row],[FechaIngreso]]+TablaDatos[[#This Row],[DiasNuevo]]</f>
        <v>45552</v>
      </c>
    </row>
    <row r="784" spans="1:15">
      <c r="A784">
        <v>783</v>
      </c>
      <c r="B784" t="s">
        <v>105</v>
      </c>
      <c r="C784" s="1">
        <v>18263</v>
      </c>
      <c r="D784">
        <v>76</v>
      </c>
      <c r="E784" s="4" t="s">
        <v>12</v>
      </c>
      <c r="F784" t="s">
        <v>201</v>
      </c>
      <c r="G784" s="1">
        <v>45451</v>
      </c>
      <c r="H784" s="1">
        <f>TablaDatos[[#This Row],[FechaIngreso]]+TablaDatos[[#This Row],[DiasNuevo]]</f>
        <v>45454</v>
      </c>
      <c r="I784">
        <v>3</v>
      </c>
      <c r="J784" t="s">
        <v>23</v>
      </c>
      <c r="K784" s="3">
        <v>16046.75</v>
      </c>
      <c r="L784" t="b">
        <f>TablaDatos[[#This Row],[FechaAlta]] &lt; TablaDatos[[#This Row],[FechaIngreso]]</f>
        <v>0</v>
      </c>
      <c r="M784">
        <f>_xlfn.XLOOKUP(TablaDatos[[#This Row],[PacienteID]],'Datos_Ejemplo.csv'!A:A,'Datos_Ejemplo.csv'!I:I)</f>
        <v>3</v>
      </c>
      <c r="N784">
        <f>ABS(TablaDatos[[#This Row],[DiasOriginal]])</f>
        <v>3</v>
      </c>
      <c r="O784" s="1">
        <f>TablaDatos[[#This Row],[FechaIngreso]]+TablaDatos[[#This Row],[DiasNuevo]]</f>
        <v>45454</v>
      </c>
    </row>
    <row r="785" spans="1:15">
      <c r="A785">
        <v>784</v>
      </c>
      <c r="B785" t="s">
        <v>311</v>
      </c>
      <c r="C785" s="1">
        <v>44927</v>
      </c>
      <c r="D785">
        <v>3</v>
      </c>
      <c r="E785" s="4" t="s">
        <v>15</v>
      </c>
      <c r="F785" t="s">
        <v>201</v>
      </c>
      <c r="G785" s="1">
        <v>45227</v>
      </c>
      <c r="H785" s="1">
        <f>TablaDatos[[#This Row],[FechaIngreso]]+TablaDatos[[#This Row],[DiasNuevo]]</f>
        <v>45263</v>
      </c>
      <c r="I785">
        <v>36</v>
      </c>
      <c r="J785" t="s">
        <v>19</v>
      </c>
      <c r="K785" s="3">
        <v>8397.25</v>
      </c>
      <c r="L785" t="b">
        <f>TablaDatos[[#This Row],[FechaAlta]] &lt; TablaDatos[[#This Row],[FechaIngreso]]</f>
        <v>0</v>
      </c>
      <c r="M785">
        <f>_xlfn.XLOOKUP(TablaDatos[[#This Row],[PacienteID]],'Datos_Ejemplo.csv'!A:A,'Datos_Ejemplo.csv'!I:I)</f>
        <v>36</v>
      </c>
      <c r="N785">
        <f>ABS(TablaDatos[[#This Row],[DiasOriginal]])</f>
        <v>36</v>
      </c>
      <c r="O785" s="1">
        <f>TablaDatos[[#This Row],[FechaIngreso]]+TablaDatos[[#This Row],[DiasNuevo]]</f>
        <v>45263</v>
      </c>
    </row>
    <row r="786" spans="1:15">
      <c r="A786">
        <v>785</v>
      </c>
      <c r="B786" t="s">
        <v>353</v>
      </c>
      <c r="C786" s="1">
        <v>23742</v>
      </c>
      <c r="D786">
        <v>61</v>
      </c>
      <c r="E786" s="4" t="s">
        <v>15</v>
      </c>
      <c r="F786" t="s">
        <v>13</v>
      </c>
      <c r="G786" s="1">
        <v>44943</v>
      </c>
      <c r="H786" s="1">
        <f>TablaDatos[[#This Row],[FechaIngreso]]+TablaDatos[[#This Row],[DiasNuevo]]</f>
        <v>44944</v>
      </c>
      <c r="I786">
        <v>1</v>
      </c>
      <c r="J786" t="s">
        <v>23</v>
      </c>
      <c r="K786" s="3">
        <v>1838.91</v>
      </c>
      <c r="L786" t="b">
        <f>TablaDatos[[#This Row],[FechaAlta]] &lt; TablaDatos[[#This Row],[FechaIngreso]]</f>
        <v>0</v>
      </c>
      <c r="M786">
        <f>_xlfn.XLOOKUP(TablaDatos[[#This Row],[PacienteID]],'Datos_Ejemplo.csv'!A:A,'Datos_Ejemplo.csv'!I:I)</f>
        <v>1</v>
      </c>
      <c r="N786">
        <f>ABS(TablaDatos[[#This Row],[DiasOriginal]])</f>
        <v>1</v>
      </c>
      <c r="O786" s="1">
        <f>TablaDatos[[#This Row],[FechaIngreso]]+TablaDatos[[#This Row],[DiasNuevo]]</f>
        <v>44944</v>
      </c>
    </row>
    <row r="787" spans="1:15">
      <c r="A787">
        <v>786</v>
      </c>
      <c r="B787" t="s">
        <v>325</v>
      </c>
      <c r="C787" s="1">
        <v>22646</v>
      </c>
      <c r="D787">
        <v>64</v>
      </c>
      <c r="E787" s="4" t="s">
        <v>12</v>
      </c>
      <c r="F787" t="s">
        <v>295</v>
      </c>
      <c r="G787" s="1">
        <v>45500</v>
      </c>
      <c r="H787" s="1">
        <f>TablaDatos[[#This Row],[FechaIngreso]]+TablaDatos[[#This Row],[DiasNuevo]]</f>
        <v>45539</v>
      </c>
      <c r="I787">
        <v>39</v>
      </c>
      <c r="J787" t="s">
        <v>23</v>
      </c>
      <c r="K787" s="3">
        <v>3294.53</v>
      </c>
      <c r="L787" t="b">
        <f>TablaDatos[[#This Row],[FechaAlta]] &lt; TablaDatos[[#This Row],[FechaIngreso]]</f>
        <v>0</v>
      </c>
      <c r="M787">
        <f>_xlfn.XLOOKUP(TablaDatos[[#This Row],[PacienteID]],'Datos_Ejemplo.csv'!A:A,'Datos_Ejemplo.csv'!I:I)</f>
        <v>39</v>
      </c>
      <c r="N787">
        <f>ABS(TablaDatos[[#This Row],[DiasOriginal]])</f>
        <v>39</v>
      </c>
      <c r="O787" s="1">
        <f>TablaDatos[[#This Row],[FechaIngreso]]+TablaDatos[[#This Row],[DiasNuevo]]</f>
        <v>45539</v>
      </c>
    </row>
    <row r="788" spans="1:15">
      <c r="A788">
        <v>787</v>
      </c>
      <c r="B788" t="s">
        <v>269</v>
      </c>
      <c r="C788" s="1">
        <v>34700</v>
      </c>
      <c r="D788">
        <v>31</v>
      </c>
      <c r="E788" s="4" t="s">
        <v>12</v>
      </c>
      <c r="F788" t="s">
        <v>13</v>
      </c>
      <c r="G788" s="1">
        <v>45360</v>
      </c>
      <c r="H788" s="1">
        <f>TablaDatos[[#This Row],[FechaIngreso]]+TablaDatos[[#This Row],[DiasNuevo]]</f>
        <v>45383</v>
      </c>
      <c r="I788">
        <v>23</v>
      </c>
      <c r="J788" t="s">
        <v>25</v>
      </c>
      <c r="K788" s="3">
        <v>19651.36</v>
      </c>
      <c r="L788" t="b">
        <f>TablaDatos[[#This Row],[FechaAlta]] &lt; TablaDatos[[#This Row],[FechaIngreso]]</f>
        <v>0</v>
      </c>
      <c r="M788">
        <f>_xlfn.XLOOKUP(TablaDatos[[#This Row],[PacienteID]],'Datos_Ejemplo.csv'!A:A,'Datos_Ejemplo.csv'!I:I)</f>
        <v>23</v>
      </c>
      <c r="N788">
        <f>ABS(TablaDatos[[#This Row],[DiasOriginal]])</f>
        <v>23</v>
      </c>
      <c r="O788" s="1">
        <f>TablaDatos[[#This Row],[FechaIngreso]]+TablaDatos[[#This Row],[DiasNuevo]]</f>
        <v>45383</v>
      </c>
    </row>
    <row r="789" spans="1:15">
      <c r="A789">
        <v>788</v>
      </c>
      <c r="B789" t="s">
        <v>234</v>
      </c>
      <c r="C789" s="1">
        <v>33969</v>
      </c>
      <c r="D789">
        <v>33</v>
      </c>
      <c r="E789" s="4" t="s">
        <v>15</v>
      </c>
      <c r="F789" t="s">
        <v>32</v>
      </c>
      <c r="G789" s="1">
        <v>44969</v>
      </c>
      <c r="H789" s="1">
        <f>TablaDatos[[#This Row],[FechaIngreso]]+TablaDatos[[#This Row],[DiasNuevo]]</f>
        <v>44981</v>
      </c>
      <c r="I789">
        <v>12</v>
      </c>
      <c r="J789" t="s">
        <v>25</v>
      </c>
      <c r="K789" s="3">
        <v>9813</v>
      </c>
      <c r="L789" t="b">
        <f>TablaDatos[[#This Row],[FechaAlta]] &lt; TablaDatos[[#This Row],[FechaIngreso]]</f>
        <v>0</v>
      </c>
      <c r="M789">
        <f>_xlfn.XLOOKUP(TablaDatos[[#This Row],[PacienteID]],'Datos_Ejemplo.csv'!A:A,'Datos_Ejemplo.csv'!I:I)</f>
        <v>12</v>
      </c>
      <c r="N789">
        <f>ABS(TablaDatos[[#This Row],[DiasOriginal]])</f>
        <v>12</v>
      </c>
      <c r="O789" s="1">
        <f>TablaDatos[[#This Row],[FechaIngreso]]+TablaDatos[[#This Row],[DiasNuevo]]</f>
        <v>44981</v>
      </c>
    </row>
    <row r="790" spans="1:15">
      <c r="A790">
        <v>789</v>
      </c>
      <c r="B790" t="s">
        <v>272</v>
      </c>
      <c r="C790" s="1">
        <v>12785</v>
      </c>
      <c r="D790">
        <v>91</v>
      </c>
      <c r="E790" s="4" t="s">
        <v>12</v>
      </c>
      <c r="F790" t="s">
        <v>18</v>
      </c>
      <c r="G790" s="1">
        <v>44994</v>
      </c>
      <c r="H790" s="1">
        <f>TablaDatos[[#This Row],[FechaIngreso]]+TablaDatos[[#This Row],[DiasNuevo]]</f>
        <v>45004</v>
      </c>
      <c r="I790">
        <v>10</v>
      </c>
      <c r="J790" t="s">
        <v>19</v>
      </c>
      <c r="K790" s="3">
        <v>141.61000000000001</v>
      </c>
      <c r="L790" t="b">
        <f>TablaDatos[[#This Row],[FechaAlta]] &lt; TablaDatos[[#This Row],[FechaIngreso]]</f>
        <v>0</v>
      </c>
      <c r="M790">
        <f>_xlfn.XLOOKUP(TablaDatos[[#This Row],[PacienteID]],'Datos_Ejemplo.csv'!A:A,'Datos_Ejemplo.csv'!I:I)</f>
        <v>10</v>
      </c>
      <c r="N790">
        <f>ABS(TablaDatos[[#This Row],[DiasOriginal]])</f>
        <v>10</v>
      </c>
      <c r="O790" s="1">
        <f>TablaDatos[[#This Row],[FechaIngreso]]+TablaDatos[[#This Row],[DiasNuevo]]</f>
        <v>45004</v>
      </c>
    </row>
    <row r="791" spans="1:15">
      <c r="A791">
        <v>790</v>
      </c>
      <c r="B791" t="s">
        <v>236</v>
      </c>
      <c r="C791" s="1">
        <v>11689</v>
      </c>
      <c r="D791">
        <v>94</v>
      </c>
      <c r="E791" s="4" t="s">
        <v>15</v>
      </c>
      <c r="F791" t="s">
        <v>21</v>
      </c>
      <c r="G791" s="1">
        <v>45306</v>
      </c>
      <c r="H791" s="1">
        <f>TablaDatos[[#This Row],[FechaIngreso]]+TablaDatos[[#This Row],[DiasNuevo]]</f>
        <v>45343</v>
      </c>
      <c r="I791">
        <v>37</v>
      </c>
      <c r="J791" t="s">
        <v>25</v>
      </c>
      <c r="K791" s="3">
        <v>19102.88</v>
      </c>
      <c r="L791" t="b">
        <f>TablaDatos[[#This Row],[FechaAlta]] &lt; TablaDatos[[#This Row],[FechaIngreso]]</f>
        <v>0</v>
      </c>
      <c r="M791">
        <f>_xlfn.XLOOKUP(TablaDatos[[#This Row],[PacienteID]],'Datos_Ejemplo.csv'!A:A,'Datos_Ejemplo.csv'!I:I)</f>
        <v>37</v>
      </c>
      <c r="N791">
        <f>ABS(TablaDatos[[#This Row],[DiasOriginal]])</f>
        <v>37</v>
      </c>
      <c r="O791" s="1">
        <f>TablaDatos[[#This Row],[FechaIngreso]]+TablaDatos[[#This Row],[DiasNuevo]]</f>
        <v>45343</v>
      </c>
    </row>
    <row r="792" spans="1:15">
      <c r="A792">
        <v>791</v>
      </c>
      <c r="B792" t="s">
        <v>343</v>
      </c>
      <c r="C792" s="1">
        <v>20090</v>
      </c>
      <c r="D792">
        <v>71</v>
      </c>
      <c r="E792" s="4" t="s">
        <v>15</v>
      </c>
      <c r="F792" t="s">
        <v>261</v>
      </c>
      <c r="G792" s="1">
        <v>45138</v>
      </c>
      <c r="H792" s="1">
        <f>TablaDatos[[#This Row],[FechaIngreso]]+TablaDatos[[#This Row],[DiasNuevo]]</f>
        <v>45157</v>
      </c>
      <c r="I792">
        <v>19</v>
      </c>
      <c r="J792" t="s">
        <v>25</v>
      </c>
      <c r="K792" s="3">
        <v>9905.3799999999992</v>
      </c>
      <c r="L792" t="b">
        <f>TablaDatos[[#This Row],[FechaAlta]] &lt; TablaDatos[[#This Row],[FechaIngreso]]</f>
        <v>0</v>
      </c>
      <c r="M792">
        <f>_xlfn.XLOOKUP(TablaDatos[[#This Row],[PacienteID]],'Datos_Ejemplo.csv'!A:A,'Datos_Ejemplo.csv'!I:I)</f>
        <v>19</v>
      </c>
      <c r="N792">
        <f>ABS(TablaDatos[[#This Row],[DiasOriginal]])</f>
        <v>19</v>
      </c>
      <c r="O792" s="1">
        <f>TablaDatos[[#This Row],[FechaIngreso]]+TablaDatos[[#This Row],[DiasNuevo]]</f>
        <v>45157</v>
      </c>
    </row>
    <row r="793" spans="1:15">
      <c r="A793">
        <v>792</v>
      </c>
      <c r="B793" t="s">
        <v>240</v>
      </c>
      <c r="C793" s="1">
        <v>32143</v>
      </c>
      <c r="D793">
        <v>38</v>
      </c>
      <c r="E793" s="4" t="s">
        <v>12</v>
      </c>
      <c r="F793" t="s">
        <v>13</v>
      </c>
      <c r="G793" s="1">
        <v>45129</v>
      </c>
      <c r="H793" s="1">
        <f>TablaDatos[[#This Row],[FechaIngreso]]+TablaDatos[[#This Row],[DiasNuevo]]</f>
        <v>45139</v>
      </c>
      <c r="I793">
        <v>10</v>
      </c>
      <c r="J793" t="s">
        <v>23</v>
      </c>
      <c r="K793" s="3">
        <v>16708.990000000002</v>
      </c>
      <c r="L793" t="b">
        <f>TablaDatos[[#This Row],[FechaAlta]] &lt; TablaDatos[[#This Row],[FechaIngreso]]</f>
        <v>0</v>
      </c>
      <c r="M793">
        <f>_xlfn.XLOOKUP(TablaDatos[[#This Row],[PacienteID]],'Datos_Ejemplo.csv'!A:A,'Datos_Ejemplo.csv'!I:I)</f>
        <v>10</v>
      </c>
      <c r="N793">
        <f>ABS(TablaDatos[[#This Row],[DiasOriginal]])</f>
        <v>10</v>
      </c>
      <c r="O793" s="1">
        <f>TablaDatos[[#This Row],[FechaIngreso]]+TablaDatos[[#This Row],[DiasNuevo]]</f>
        <v>45139</v>
      </c>
    </row>
    <row r="794" spans="1:15">
      <c r="A794">
        <v>793</v>
      </c>
      <c r="B794" t="s">
        <v>105</v>
      </c>
      <c r="C794" s="1">
        <v>36891</v>
      </c>
      <c r="D794">
        <v>25</v>
      </c>
      <c r="E794" s="4" t="s">
        <v>15</v>
      </c>
      <c r="F794" t="s">
        <v>32</v>
      </c>
      <c r="G794" s="1">
        <v>45652</v>
      </c>
      <c r="H794" s="1">
        <f>TablaDatos[[#This Row],[FechaIngreso]]+TablaDatos[[#This Row],[DiasNuevo]]</f>
        <v>45688</v>
      </c>
      <c r="I794">
        <v>36</v>
      </c>
      <c r="J794" t="s">
        <v>25</v>
      </c>
      <c r="K794" s="3">
        <v>10924.01</v>
      </c>
      <c r="L794" t="b">
        <f>TablaDatos[[#This Row],[FechaAlta]] &lt; TablaDatos[[#This Row],[FechaIngreso]]</f>
        <v>0</v>
      </c>
      <c r="M794">
        <f>_xlfn.XLOOKUP(TablaDatos[[#This Row],[PacienteID]],'Datos_Ejemplo.csv'!A:A,'Datos_Ejemplo.csv'!I:I)</f>
        <v>36</v>
      </c>
      <c r="N794">
        <f>ABS(TablaDatos[[#This Row],[DiasOriginal]])</f>
        <v>36</v>
      </c>
      <c r="O794" s="1">
        <f>TablaDatos[[#This Row],[FechaIngreso]]+TablaDatos[[#This Row],[DiasNuevo]]</f>
        <v>45688</v>
      </c>
    </row>
    <row r="795" spans="1:15">
      <c r="A795">
        <v>794</v>
      </c>
      <c r="B795" t="s">
        <v>348</v>
      </c>
      <c r="C795" s="1">
        <v>33969</v>
      </c>
      <c r="D795">
        <v>33</v>
      </c>
      <c r="E795" s="4" t="s">
        <v>12</v>
      </c>
      <c r="F795" t="s">
        <v>201</v>
      </c>
      <c r="G795" s="1">
        <v>45035</v>
      </c>
      <c r="H795" s="1">
        <f>TablaDatos[[#This Row],[FechaIngreso]]+TablaDatos[[#This Row],[DiasNuevo]]</f>
        <v>45049</v>
      </c>
      <c r="I795">
        <v>14</v>
      </c>
      <c r="J795" t="s">
        <v>23</v>
      </c>
      <c r="K795" s="3">
        <v>1944.22</v>
      </c>
      <c r="L795" t="b">
        <f>TablaDatos[[#This Row],[FechaAlta]] &lt; TablaDatos[[#This Row],[FechaIngreso]]</f>
        <v>0</v>
      </c>
      <c r="M795">
        <f>_xlfn.XLOOKUP(TablaDatos[[#This Row],[PacienteID]],'Datos_Ejemplo.csv'!A:A,'Datos_Ejemplo.csv'!I:I)</f>
        <v>14</v>
      </c>
      <c r="N795">
        <f>ABS(TablaDatos[[#This Row],[DiasOriginal]])</f>
        <v>14</v>
      </c>
      <c r="O795" s="1">
        <f>TablaDatos[[#This Row],[FechaIngreso]]+TablaDatos[[#This Row],[DiasNuevo]]</f>
        <v>45049</v>
      </c>
    </row>
    <row r="796" spans="1:15">
      <c r="A796">
        <v>795</v>
      </c>
      <c r="B796" t="s">
        <v>350</v>
      </c>
      <c r="C796" s="1">
        <v>26664</v>
      </c>
      <c r="D796">
        <v>53</v>
      </c>
      <c r="E796" s="4" t="s">
        <v>15</v>
      </c>
      <c r="F796" t="s">
        <v>261</v>
      </c>
      <c r="G796" s="1">
        <v>45210</v>
      </c>
      <c r="H796" s="1">
        <f>TablaDatos[[#This Row],[FechaIngreso]]+TablaDatos[[#This Row],[DiasNuevo]]</f>
        <v>45243</v>
      </c>
      <c r="I796">
        <v>33</v>
      </c>
      <c r="J796" t="s">
        <v>23</v>
      </c>
      <c r="K796" s="3">
        <v>12272.95</v>
      </c>
      <c r="L796" t="b">
        <f>TablaDatos[[#This Row],[FechaAlta]] &lt; TablaDatos[[#This Row],[FechaIngreso]]</f>
        <v>0</v>
      </c>
      <c r="M796">
        <f>_xlfn.XLOOKUP(TablaDatos[[#This Row],[PacienteID]],'Datos_Ejemplo.csv'!A:A,'Datos_Ejemplo.csv'!I:I)</f>
        <v>33</v>
      </c>
      <c r="N796">
        <f>ABS(TablaDatos[[#This Row],[DiasOriginal]])</f>
        <v>33</v>
      </c>
      <c r="O796" s="1">
        <f>TablaDatos[[#This Row],[FechaIngreso]]+TablaDatos[[#This Row],[DiasNuevo]]</f>
        <v>45243</v>
      </c>
    </row>
    <row r="797" spans="1:15">
      <c r="A797">
        <v>796</v>
      </c>
      <c r="B797" t="s">
        <v>329</v>
      </c>
      <c r="C797" s="1">
        <v>45292</v>
      </c>
      <c r="D797">
        <v>2</v>
      </c>
      <c r="E797" s="4" t="s">
        <v>15</v>
      </c>
      <c r="F797" t="s">
        <v>261</v>
      </c>
      <c r="G797" s="1">
        <v>45532</v>
      </c>
      <c r="H797" s="1">
        <f>TablaDatos[[#This Row],[FechaIngreso]]+TablaDatos[[#This Row],[DiasNuevo]]</f>
        <v>45568</v>
      </c>
      <c r="I797">
        <v>36</v>
      </c>
      <c r="J797" t="s">
        <v>23</v>
      </c>
      <c r="K797" s="3">
        <v>19947.75</v>
      </c>
      <c r="L797" t="b">
        <f>TablaDatos[[#This Row],[FechaAlta]] &lt; TablaDatos[[#This Row],[FechaIngreso]]</f>
        <v>0</v>
      </c>
      <c r="M797">
        <f>_xlfn.XLOOKUP(TablaDatos[[#This Row],[PacienteID]],'Datos_Ejemplo.csv'!A:A,'Datos_Ejemplo.csv'!I:I)</f>
        <v>36</v>
      </c>
      <c r="N797">
        <f>ABS(TablaDatos[[#This Row],[DiasOriginal]])</f>
        <v>36</v>
      </c>
      <c r="O797" s="1">
        <f>TablaDatos[[#This Row],[FechaIngreso]]+TablaDatos[[#This Row],[DiasNuevo]]</f>
        <v>45568</v>
      </c>
    </row>
    <row r="798" spans="1:15">
      <c r="A798">
        <v>797</v>
      </c>
      <c r="B798" t="s">
        <v>271</v>
      </c>
      <c r="C798" s="1">
        <v>28125</v>
      </c>
      <c r="D798">
        <v>49</v>
      </c>
      <c r="E798" s="4" t="s">
        <v>15</v>
      </c>
      <c r="F798" t="s">
        <v>21</v>
      </c>
      <c r="G798" s="1">
        <v>45151</v>
      </c>
      <c r="H798" s="1">
        <f>TablaDatos[[#This Row],[FechaIngreso]]+TablaDatos[[#This Row],[DiasNuevo]]</f>
        <v>45173</v>
      </c>
      <c r="I798">
        <v>22</v>
      </c>
      <c r="J798" t="s">
        <v>25</v>
      </c>
      <c r="K798" s="3">
        <v>598.23</v>
      </c>
      <c r="L798" t="b">
        <f>TablaDatos[[#This Row],[FechaAlta]] &lt; TablaDatos[[#This Row],[FechaIngreso]]</f>
        <v>0</v>
      </c>
      <c r="M798">
        <f>_xlfn.XLOOKUP(TablaDatos[[#This Row],[PacienteID]],'Datos_Ejemplo.csv'!A:A,'Datos_Ejemplo.csv'!I:I)</f>
        <v>22</v>
      </c>
      <c r="N798">
        <f>ABS(TablaDatos[[#This Row],[DiasOriginal]])</f>
        <v>22</v>
      </c>
      <c r="O798" s="1">
        <f>TablaDatos[[#This Row],[FechaIngreso]]+TablaDatos[[#This Row],[DiasNuevo]]</f>
        <v>45173</v>
      </c>
    </row>
    <row r="799" spans="1:15">
      <c r="A799">
        <v>798</v>
      </c>
      <c r="B799" t="s">
        <v>341</v>
      </c>
      <c r="C799" s="1">
        <v>42005</v>
      </c>
      <c r="D799">
        <v>11</v>
      </c>
      <c r="E799" s="4" t="s">
        <v>12</v>
      </c>
      <c r="F799" t="s">
        <v>261</v>
      </c>
      <c r="G799" s="1">
        <v>45044</v>
      </c>
      <c r="H799" s="1">
        <f>TablaDatos[[#This Row],[FechaIngreso]]+TablaDatos[[#This Row],[DiasNuevo]]</f>
        <v>45075</v>
      </c>
      <c r="I799">
        <v>31</v>
      </c>
      <c r="J799" t="s">
        <v>19</v>
      </c>
      <c r="K799" s="3">
        <v>16820.060000000001</v>
      </c>
      <c r="L799" t="b">
        <f>TablaDatos[[#This Row],[FechaAlta]] &lt; TablaDatos[[#This Row],[FechaIngreso]]</f>
        <v>0</v>
      </c>
      <c r="M799">
        <f>_xlfn.XLOOKUP(TablaDatos[[#This Row],[PacienteID]],'Datos_Ejemplo.csv'!A:A,'Datos_Ejemplo.csv'!I:I)</f>
        <v>31</v>
      </c>
      <c r="N799">
        <f>ABS(TablaDatos[[#This Row],[DiasOriginal]])</f>
        <v>31</v>
      </c>
      <c r="O799" s="1">
        <f>TablaDatos[[#This Row],[FechaIngreso]]+TablaDatos[[#This Row],[DiasNuevo]]</f>
        <v>45075</v>
      </c>
    </row>
    <row r="800" spans="1:15">
      <c r="A800">
        <v>799</v>
      </c>
      <c r="B800" t="s">
        <v>299</v>
      </c>
      <c r="C800" s="1">
        <v>22646</v>
      </c>
      <c r="D800">
        <v>64</v>
      </c>
      <c r="E800" s="4" t="s">
        <v>12</v>
      </c>
      <c r="F800" t="s">
        <v>32</v>
      </c>
      <c r="G800" s="1">
        <v>45529</v>
      </c>
      <c r="H800" s="1">
        <f>TablaDatos[[#This Row],[FechaIngreso]]+TablaDatos[[#This Row],[DiasNuevo]]</f>
        <v>45547</v>
      </c>
      <c r="I800">
        <v>18</v>
      </c>
      <c r="J800" t="s">
        <v>19</v>
      </c>
      <c r="K800" s="3">
        <v>4633.16</v>
      </c>
      <c r="L800" t="b">
        <f>TablaDatos[[#This Row],[FechaAlta]] &lt; TablaDatos[[#This Row],[FechaIngreso]]</f>
        <v>0</v>
      </c>
      <c r="M800">
        <f>_xlfn.XLOOKUP(TablaDatos[[#This Row],[PacienteID]],'Datos_Ejemplo.csv'!A:A,'Datos_Ejemplo.csv'!I:I)</f>
        <v>18</v>
      </c>
      <c r="N800">
        <f>ABS(TablaDatos[[#This Row],[DiasOriginal]])</f>
        <v>18</v>
      </c>
      <c r="O800" s="1">
        <f>TablaDatos[[#This Row],[FechaIngreso]]+TablaDatos[[#This Row],[DiasNuevo]]</f>
        <v>45547</v>
      </c>
    </row>
    <row r="801" spans="1:15">
      <c r="A801">
        <v>800</v>
      </c>
      <c r="B801" t="s">
        <v>253</v>
      </c>
      <c r="C801" s="1">
        <v>26664</v>
      </c>
      <c r="D801">
        <v>53</v>
      </c>
      <c r="E801" s="4" t="s">
        <v>12</v>
      </c>
      <c r="F801" t="s">
        <v>261</v>
      </c>
      <c r="G801" s="1">
        <v>45266</v>
      </c>
      <c r="H801" s="1">
        <f>TablaDatos[[#This Row],[FechaIngreso]]+TablaDatos[[#This Row],[DiasNuevo]]</f>
        <v>45288</v>
      </c>
      <c r="I801">
        <v>22</v>
      </c>
      <c r="J801" t="s">
        <v>25</v>
      </c>
      <c r="K801" s="3">
        <v>7816.71</v>
      </c>
      <c r="L801" t="b">
        <f>TablaDatos[[#This Row],[FechaAlta]] &lt; TablaDatos[[#This Row],[FechaIngreso]]</f>
        <v>0</v>
      </c>
      <c r="M801">
        <f>_xlfn.XLOOKUP(TablaDatos[[#This Row],[PacienteID]],'Datos_Ejemplo.csv'!A:A,'Datos_Ejemplo.csv'!I:I)</f>
        <v>22</v>
      </c>
      <c r="N801">
        <f>ABS(TablaDatos[[#This Row],[DiasOriginal]])</f>
        <v>22</v>
      </c>
      <c r="O801" s="1">
        <f>TablaDatos[[#This Row],[FechaIngreso]]+TablaDatos[[#This Row],[DiasNuevo]]</f>
        <v>45288</v>
      </c>
    </row>
    <row r="802" spans="1:15">
      <c r="A802">
        <v>801</v>
      </c>
      <c r="B802" t="s">
        <v>103</v>
      </c>
      <c r="C802" s="1">
        <v>44561</v>
      </c>
      <c r="D802">
        <f ca="1">DATEDIF(TablaDatos[[#This Row],[FechaNacimiento]],TODAY(),"Y")</f>
        <v>4</v>
      </c>
      <c r="E802" s="4" t="s">
        <v>15</v>
      </c>
      <c r="F802" t="s">
        <v>261</v>
      </c>
      <c r="G802" s="1">
        <v>45207</v>
      </c>
      <c r="H802" s="1">
        <f>TablaDatos[[#This Row],[FechaIngreso]]+TablaDatos[[#This Row],[DiasNuevo]]</f>
        <v>45229</v>
      </c>
      <c r="I802">
        <v>22</v>
      </c>
      <c r="J802" t="s">
        <v>23</v>
      </c>
      <c r="K802" s="3">
        <v>7391.46</v>
      </c>
      <c r="L802" t="b">
        <f>TablaDatos[[#This Row],[FechaAlta]] &lt; TablaDatos[[#This Row],[FechaIngreso]]</f>
        <v>0</v>
      </c>
      <c r="M802">
        <f>_xlfn.XLOOKUP(TablaDatos[[#This Row],[PacienteID]],'Datos_Ejemplo.csv'!A:A,'Datos_Ejemplo.csv'!I:I)</f>
        <v>22</v>
      </c>
      <c r="N802">
        <f>ABS(TablaDatos[[#This Row],[DiasOriginal]])</f>
        <v>22</v>
      </c>
      <c r="O802" s="1">
        <f>TablaDatos[[#This Row],[FechaIngreso]]+TablaDatos[[#This Row],[DiasNuevo]]</f>
        <v>45229</v>
      </c>
    </row>
    <row r="803" spans="1:15">
      <c r="A803">
        <v>802</v>
      </c>
      <c r="B803" t="s">
        <v>341</v>
      </c>
      <c r="C803" s="1">
        <v>12054</v>
      </c>
      <c r="D803">
        <v>93</v>
      </c>
      <c r="E803" s="4" t="s">
        <v>15</v>
      </c>
      <c r="F803" t="s">
        <v>13</v>
      </c>
      <c r="G803" s="1">
        <v>45417</v>
      </c>
      <c r="H803" s="1">
        <f>TablaDatos[[#This Row],[FechaIngreso]]+TablaDatos[[#This Row],[DiasNuevo]]</f>
        <v>45436</v>
      </c>
      <c r="I803">
        <v>19</v>
      </c>
      <c r="J803" t="s">
        <v>25</v>
      </c>
      <c r="K803" s="3">
        <v>17965.82</v>
      </c>
      <c r="L803" t="b">
        <f>TablaDatos[[#This Row],[FechaAlta]] &lt; TablaDatos[[#This Row],[FechaIngreso]]</f>
        <v>0</v>
      </c>
      <c r="M803">
        <f>_xlfn.XLOOKUP(TablaDatos[[#This Row],[PacienteID]],'Datos_Ejemplo.csv'!A:A,'Datos_Ejemplo.csv'!I:I)</f>
        <v>19</v>
      </c>
      <c r="N803">
        <f>ABS(TablaDatos[[#This Row],[DiasOriginal]])</f>
        <v>19</v>
      </c>
      <c r="O803" s="1">
        <f>TablaDatos[[#This Row],[FechaIngreso]]+TablaDatos[[#This Row],[DiasNuevo]]</f>
        <v>45436</v>
      </c>
    </row>
    <row r="804" spans="1:15">
      <c r="A804">
        <v>803</v>
      </c>
      <c r="B804" t="s">
        <v>313</v>
      </c>
      <c r="C804" s="1">
        <v>12054</v>
      </c>
      <c r="D804">
        <v>93</v>
      </c>
      <c r="E804" s="4" t="s">
        <v>12</v>
      </c>
      <c r="F804" t="s">
        <v>13</v>
      </c>
      <c r="G804" s="1">
        <v>44945</v>
      </c>
      <c r="H804" s="1">
        <f>TablaDatos[[#This Row],[FechaIngreso]]+TablaDatos[[#This Row],[DiasNuevo]]</f>
        <v>44965</v>
      </c>
      <c r="I804">
        <v>20</v>
      </c>
      <c r="J804" t="s">
        <v>23</v>
      </c>
      <c r="K804" s="3">
        <v>10040.17</v>
      </c>
      <c r="L804" t="b">
        <f>TablaDatos[[#This Row],[FechaAlta]] &lt; TablaDatos[[#This Row],[FechaIngreso]]</f>
        <v>0</v>
      </c>
      <c r="M804">
        <f>_xlfn.XLOOKUP(TablaDatos[[#This Row],[PacienteID]],'Datos_Ejemplo.csv'!A:A,'Datos_Ejemplo.csv'!I:I)</f>
        <v>20</v>
      </c>
      <c r="N804">
        <f>ABS(TablaDatos[[#This Row],[DiasOriginal]])</f>
        <v>20</v>
      </c>
      <c r="O804" s="1">
        <f>TablaDatos[[#This Row],[FechaIngreso]]+TablaDatos[[#This Row],[DiasNuevo]]</f>
        <v>44965</v>
      </c>
    </row>
    <row r="805" spans="1:15">
      <c r="A805">
        <v>804</v>
      </c>
      <c r="B805" t="s">
        <v>274</v>
      </c>
      <c r="C805" s="1">
        <v>25568</v>
      </c>
      <c r="D805">
        <v>56</v>
      </c>
      <c r="E805" s="4" t="s">
        <v>15</v>
      </c>
      <c r="F805" t="s">
        <v>201</v>
      </c>
      <c r="G805" s="1">
        <v>45101</v>
      </c>
      <c r="H805" s="1">
        <f>TablaDatos[[#This Row],[FechaIngreso]]+TablaDatos[[#This Row],[DiasNuevo]]</f>
        <v>45123</v>
      </c>
      <c r="I805">
        <v>22</v>
      </c>
      <c r="J805" t="s">
        <v>19</v>
      </c>
      <c r="K805" s="3">
        <v>8888.2000000000007</v>
      </c>
      <c r="L805" t="b">
        <f>TablaDatos[[#This Row],[FechaAlta]] &lt; TablaDatos[[#This Row],[FechaIngreso]]</f>
        <v>0</v>
      </c>
      <c r="M805">
        <f>_xlfn.XLOOKUP(TablaDatos[[#This Row],[PacienteID]],'Datos_Ejemplo.csv'!A:A,'Datos_Ejemplo.csv'!I:I)</f>
        <v>22</v>
      </c>
      <c r="N805">
        <f>ABS(TablaDatos[[#This Row],[DiasOriginal]])</f>
        <v>22</v>
      </c>
      <c r="O805" s="1">
        <f>TablaDatos[[#This Row],[FechaIngreso]]+TablaDatos[[#This Row],[DiasNuevo]]</f>
        <v>45123</v>
      </c>
    </row>
    <row r="806" spans="1:15">
      <c r="A806">
        <v>805</v>
      </c>
      <c r="B806" t="s">
        <v>239</v>
      </c>
      <c r="C806" s="1">
        <v>40178</v>
      </c>
      <c r="D806">
        <v>16</v>
      </c>
      <c r="E806" s="4" t="s">
        <v>12</v>
      </c>
      <c r="F806" t="s">
        <v>18</v>
      </c>
      <c r="G806" s="1">
        <v>45395</v>
      </c>
      <c r="H806" s="1">
        <f>TablaDatos[[#This Row],[FechaIngreso]]+TablaDatos[[#This Row],[DiasNuevo]]</f>
        <v>45406</v>
      </c>
      <c r="I806">
        <v>11</v>
      </c>
      <c r="J806" t="s">
        <v>23</v>
      </c>
      <c r="K806" s="3">
        <v>16342.3</v>
      </c>
      <c r="L806" t="b">
        <f>TablaDatos[[#This Row],[FechaAlta]] &lt; TablaDatos[[#This Row],[FechaIngreso]]</f>
        <v>0</v>
      </c>
      <c r="M806">
        <f>_xlfn.XLOOKUP(TablaDatos[[#This Row],[PacienteID]],'Datos_Ejemplo.csv'!A:A,'Datos_Ejemplo.csv'!I:I)</f>
        <v>11</v>
      </c>
      <c r="N806">
        <f>ABS(TablaDatos[[#This Row],[DiasOriginal]])</f>
        <v>11</v>
      </c>
      <c r="O806" s="1">
        <f>TablaDatos[[#This Row],[FechaIngreso]]+TablaDatos[[#This Row],[DiasNuevo]]</f>
        <v>45406</v>
      </c>
    </row>
    <row r="807" spans="1:15">
      <c r="A807">
        <v>806</v>
      </c>
      <c r="B807" t="s">
        <v>146</v>
      </c>
      <c r="C807" s="1">
        <v>29221</v>
      </c>
      <c r="D807">
        <v>46</v>
      </c>
      <c r="E807" s="4" t="s">
        <v>15</v>
      </c>
      <c r="F807" t="s">
        <v>295</v>
      </c>
      <c r="G807" s="1">
        <v>45544</v>
      </c>
      <c r="H807" s="1">
        <f>TablaDatos[[#This Row],[FechaIngreso]]+TablaDatos[[#This Row],[DiasNuevo]]</f>
        <v>45555</v>
      </c>
      <c r="I807">
        <v>11</v>
      </c>
      <c r="J807" t="s">
        <v>25</v>
      </c>
      <c r="K807" s="3">
        <v>883.03</v>
      </c>
      <c r="L807" t="b">
        <f>TablaDatos[[#This Row],[FechaAlta]] &lt; TablaDatos[[#This Row],[FechaIngreso]]</f>
        <v>0</v>
      </c>
      <c r="M807">
        <f>_xlfn.XLOOKUP(TablaDatos[[#This Row],[PacienteID]],'Datos_Ejemplo.csv'!A:A,'Datos_Ejemplo.csv'!I:I)</f>
        <v>11</v>
      </c>
      <c r="N807">
        <f>ABS(TablaDatos[[#This Row],[DiasOriginal]])</f>
        <v>11</v>
      </c>
      <c r="O807" s="1">
        <f>TablaDatos[[#This Row],[FechaIngreso]]+TablaDatos[[#This Row],[DiasNuevo]]</f>
        <v>45555</v>
      </c>
    </row>
    <row r="808" spans="1:15">
      <c r="A808">
        <v>807</v>
      </c>
      <c r="B808" t="s">
        <v>303</v>
      </c>
      <c r="C808" s="1">
        <v>37987</v>
      </c>
      <c r="D808">
        <f ca="1">DATEDIF(TablaDatos[[#This Row],[FechaNacimiento]],TODAY(),"Y")</f>
        <v>22</v>
      </c>
      <c r="E808" s="4" t="s">
        <v>12</v>
      </c>
      <c r="F808" t="s">
        <v>32</v>
      </c>
      <c r="G808" s="1">
        <v>45068</v>
      </c>
      <c r="H808" s="1">
        <f>TablaDatos[[#This Row],[FechaIngreso]]+TablaDatos[[#This Row],[DiasNuevo]]</f>
        <v>45091</v>
      </c>
      <c r="I808">
        <v>23</v>
      </c>
      <c r="J808" t="s">
        <v>23</v>
      </c>
      <c r="K808" s="3">
        <v>1637.77</v>
      </c>
      <c r="L808" t="b">
        <f>TablaDatos[[#This Row],[FechaAlta]] &lt; TablaDatos[[#This Row],[FechaIngreso]]</f>
        <v>0</v>
      </c>
      <c r="M808">
        <f>_xlfn.XLOOKUP(TablaDatos[[#This Row],[PacienteID]],'Datos_Ejemplo.csv'!A:A,'Datos_Ejemplo.csv'!I:I)</f>
        <v>23</v>
      </c>
      <c r="N808">
        <f>ABS(TablaDatos[[#This Row],[DiasOriginal]])</f>
        <v>23</v>
      </c>
      <c r="O808" s="1">
        <f>TablaDatos[[#This Row],[FechaIngreso]]+TablaDatos[[#This Row],[DiasNuevo]]</f>
        <v>45091</v>
      </c>
    </row>
    <row r="809" spans="1:15">
      <c r="A809">
        <v>808</v>
      </c>
      <c r="B809" t="s">
        <v>231</v>
      </c>
      <c r="C809" s="1">
        <v>17533</v>
      </c>
      <c r="D809">
        <v>78</v>
      </c>
      <c r="E809" s="4" t="s">
        <v>15</v>
      </c>
      <c r="F809" t="s">
        <v>295</v>
      </c>
      <c r="G809" s="1">
        <v>45389</v>
      </c>
      <c r="H809" s="1">
        <f>TablaDatos[[#This Row],[FechaIngreso]]+TablaDatos[[#This Row],[DiasNuevo]]</f>
        <v>45426</v>
      </c>
      <c r="I809">
        <v>37</v>
      </c>
      <c r="J809" t="s">
        <v>23</v>
      </c>
      <c r="K809" s="3">
        <v>335.95</v>
      </c>
      <c r="L809" t="b">
        <f>TablaDatos[[#This Row],[FechaAlta]] &lt; TablaDatos[[#This Row],[FechaIngreso]]</f>
        <v>0</v>
      </c>
      <c r="M809">
        <f>_xlfn.XLOOKUP(TablaDatos[[#This Row],[PacienteID]],'Datos_Ejemplo.csv'!A:A,'Datos_Ejemplo.csv'!I:I)</f>
        <v>37</v>
      </c>
      <c r="N809">
        <f>ABS(TablaDatos[[#This Row],[DiasOriginal]])</f>
        <v>37</v>
      </c>
      <c r="O809" s="1">
        <f>TablaDatos[[#This Row],[FechaIngreso]]+TablaDatos[[#This Row],[DiasNuevo]]</f>
        <v>45426</v>
      </c>
    </row>
    <row r="810" spans="1:15">
      <c r="A810">
        <v>809</v>
      </c>
      <c r="B810" t="s">
        <v>67</v>
      </c>
      <c r="C810" s="1">
        <v>15341</v>
      </c>
      <c r="D810">
        <v>84</v>
      </c>
      <c r="E810" s="4" t="s">
        <v>12</v>
      </c>
      <c r="F810" t="s">
        <v>295</v>
      </c>
      <c r="G810" s="1">
        <v>45224</v>
      </c>
      <c r="H810" s="1">
        <f>TablaDatos[[#This Row],[FechaIngreso]]+TablaDatos[[#This Row],[DiasNuevo]]</f>
        <v>45251</v>
      </c>
      <c r="I810">
        <v>27</v>
      </c>
      <c r="J810" t="s">
        <v>23</v>
      </c>
      <c r="K810" s="3">
        <v>13728.46</v>
      </c>
      <c r="L810" t="b">
        <f>TablaDatos[[#This Row],[FechaAlta]] &lt; TablaDatos[[#This Row],[FechaIngreso]]</f>
        <v>0</v>
      </c>
      <c r="M810">
        <f>_xlfn.XLOOKUP(TablaDatos[[#This Row],[PacienteID]],'Datos_Ejemplo.csv'!A:A,'Datos_Ejemplo.csv'!I:I)</f>
        <v>27</v>
      </c>
      <c r="N810">
        <f>ABS(TablaDatos[[#This Row],[DiasOriginal]])</f>
        <v>27</v>
      </c>
      <c r="O810" s="1">
        <f>TablaDatos[[#This Row],[FechaIngreso]]+TablaDatos[[#This Row],[DiasNuevo]]</f>
        <v>45251</v>
      </c>
    </row>
    <row r="811" spans="1:15">
      <c r="A811">
        <v>810</v>
      </c>
      <c r="B811" t="s">
        <v>103</v>
      </c>
      <c r="C811" s="1">
        <v>41274</v>
      </c>
      <c r="D811">
        <v>13</v>
      </c>
      <c r="E811" s="4" t="s">
        <v>15</v>
      </c>
      <c r="F811" t="s">
        <v>261</v>
      </c>
      <c r="G811" s="1">
        <v>45396</v>
      </c>
      <c r="H811" s="1">
        <f>TablaDatos[[#This Row],[FechaIngreso]]+TablaDatos[[#This Row],[DiasNuevo]]</f>
        <v>45419</v>
      </c>
      <c r="I811">
        <v>23</v>
      </c>
      <c r="J811" t="s">
        <v>23</v>
      </c>
      <c r="K811" s="3">
        <v>10464.879999999999</v>
      </c>
      <c r="L811" t="b">
        <f>TablaDatos[[#This Row],[FechaAlta]] &lt; TablaDatos[[#This Row],[FechaIngreso]]</f>
        <v>0</v>
      </c>
      <c r="M811">
        <f>_xlfn.XLOOKUP(TablaDatos[[#This Row],[PacienteID]],'Datos_Ejemplo.csv'!A:A,'Datos_Ejemplo.csv'!I:I)</f>
        <v>23</v>
      </c>
      <c r="N811">
        <f>ABS(TablaDatos[[#This Row],[DiasOriginal]])</f>
        <v>23</v>
      </c>
      <c r="O811" s="1">
        <f>TablaDatos[[#This Row],[FechaIngreso]]+TablaDatos[[#This Row],[DiasNuevo]]</f>
        <v>45419</v>
      </c>
    </row>
    <row r="812" spans="1:15">
      <c r="A812">
        <v>811</v>
      </c>
      <c r="B812" t="s">
        <v>265</v>
      </c>
      <c r="C812" s="1">
        <v>22281</v>
      </c>
      <c r="D812">
        <v>65</v>
      </c>
      <c r="E812" s="4" t="s">
        <v>15</v>
      </c>
      <c r="F812" t="s">
        <v>201</v>
      </c>
      <c r="G812" s="1">
        <v>45631</v>
      </c>
      <c r="H812" s="1">
        <f>TablaDatos[[#This Row],[FechaIngreso]]+TablaDatos[[#This Row],[DiasNuevo]]</f>
        <v>45666</v>
      </c>
      <c r="I812">
        <v>35</v>
      </c>
      <c r="J812" t="s">
        <v>19</v>
      </c>
      <c r="K812" s="3">
        <v>17508.04</v>
      </c>
      <c r="L812" t="b">
        <f>TablaDatos[[#This Row],[FechaAlta]] &lt; TablaDatos[[#This Row],[FechaIngreso]]</f>
        <v>0</v>
      </c>
      <c r="M812">
        <f>_xlfn.XLOOKUP(TablaDatos[[#This Row],[PacienteID]],'Datos_Ejemplo.csv'!A:A,'Datos_Ejemplo.csv'!I:I)</f>
        <v>35</v>
      </c>
      <c r="N812">
        <f>ABS(TablaDatos[[#This Row],[DiasOriginal]])</f>
        <v>35</v>
      </c>
      <c r="O812" s="1">
        <f>TablaDatos[[#This Row],[FechaIngreso]]+TablaDatos[[#This Row],[DiasNuevo]]</f>
        <v>45666</v>
      </c>
    </row>
    <row r="813" spans="1:15">
      <c r="A813">
        <v>812</v>
      </c>
      <c r="B813" t="s">
        <v>244</v>
      </c>
      <c r="C813" s="1">
        <v>18994</v>
      </c>
      <c r="D813">
        <v>74</v>
      </c>
      <c r="E813" s="4" t="s">
        <v>15</v>
      </c>
      <c r="F813" t="s">
        <v>21</v>
      </c>
      <c r="G813" s="1">
        <v>45299</v>
      </c>
      <c r="H813" s="1">
        <f>TablaDatos[[#This Row],[FechaIngreso]]+TablaDatos[[#This Row],[DiasNuevo]]</f>
        <v>45318</v>
      </c>
      <c r="I813">
        <v>19</v>
      </c>
      <c r="J813" t="s">
        <v>23</v>
      </c>
      <c r="K813" s="3">
        <v>9920.51</v>
      </c>
      <c r="L813" t="b">
        <f>TablaDatos[[#This Row],[FechaAlta]] &lt; TablaDatos[[#This Row],[FechaIngreso]]</f>
        <v>0</v>
      </c>
      <c r="M813">
        <f>_xlfn.XLOOKUP(TablaDatos[[#This Row],[PacienteID]],'Datos_Ejemplo.csv'!A:A,'Datos_Ejemplo.csv'!I:I)</f>
        <v>19</v>
      </c>
      <c r="N813">
        <f>ABS(TablaDatos[[#This Row],[DiasOriginal]])</f>
        <v>19</v>
      </c>
      <c r="O813" s="1">
        <f>TablaDatos[[#This Row],[FechaIngreso]]+TablaDatos[[#This Row],[DiasNuevo]]</f>
        <v>45318</v>
      </c>
    </row>
    <row r="814" spans="1:15">
      <c r="A814">
        <v>813</v>
      </c>
      <c r="B814" t="s">
        <v>257</v>
      </c>
      <c r="C814" s="1">
        <v>27760</v>
      </c>
      <c r="D814">
        <v>50</v>
      </c>
      <c r="E814" s="4" t="s">
        <v>15</v>
      </c>
      <c r="F814" t="s">
        <v>21</v>
      </c>
      <c r="G814" s="1">
        <v>45394</v>
      </c>
      <c r="H814" s="1">
        <f>TablaDatos[[#This Row],[FechaIngreso]]+TablaDatos[[#This Row],[DiasNuevo]]</f>
        <v>45430</v>
      </c>
      <c r="I814">
        <v>36</v>
      </c>
      <c r="J814" t="s">
        <v>25</v>
      </c>
      <c r="K814" s="3">
        <v>4358.57</v>
      </c>
      <c r="L814" t="b">
        <f>TablaDatos[[#This Row],[FechaAlta]] &lt; TablaDatos[[#This Row],[FechaIngreso]]</f>
        <v>0</v>
      </c>
      <c r="M814">
        <f>_xlfn.XLOOKUP(TablaDatos[[#This Row],[PacienteID]],'Datos_Ejemplo.csv'!A:A,'Datos_Ejemplo.csv'!I:I)</f>
        <v>36</v>
      </c>
      <c r="N814">
        <f>ABS(TablaDatos[[#This Row],[DiasOriginal]])</f>
        <v>36</v>
      </c>
      <c r="O814" s="1">
        <f>TablaDatos[[#This Row],[FechaIngreso]]+TablaDatos[[#This Row],[DiasNuevo]]</f>
        <v>45430</v>
      </c>
    </row>
    <row r="815" spans="1:15">
      <c r="A815">
        <v>814</v>
      </c>
      <c r="B815" t="s">
        <v>362</v>
      </c>
      <c r="C815" s="1">
        <v>32508</v>
      </c>
      <c r="D815">
        <v>37</v>
      </c>
      <c r="E815" s="4" t="s">
        <v>15</v>
      </c>
      <c r="F815" t="s">
        <v>261</v>
      </c>
      <c r="G815" s="1">
        <v>45364</v>
      </c>
      <c r="H815" s="1">
        <f>TablaDatos[[#This Row],[FechaIngreso]]+TablaDatos[[#This Row],[DiasNuevo]]</f>
        <v>45400</v>
      </c>
      <c r="I815">
        <v>36</v>
      </c>
      <c r="J815" t="s">
        <v>23</v>
      </c>
      <c r="K815" s="3">
        <v>16083.46</v>
      </c>
      <c r="L815" t="b">
        <f>TablaDatos[[#This Row],[FechaAlta]] &lt; TablaDatos[[#This Row],[FechaIngreso]]</f>
        <v>0</v>
      </c>
      <c r="M815">
        <f>_xlfn.XLOOKUP(TablaDatos[[#This Row],[PacienteID]],'Datos_Ejemplo.csv'!A:A,'Datos_Ejemplo.csv'!I:I)</f>
        <v>36</v>
      </c>
      <c r="N815">
        <f>ABS(TablaDatos[[#This Row],[DiasOriginal]])</f>
        <v>36</v>
      </c>
      <c r="O815" s="1">
        <f>TablaDatos[[#This Row],[FechaIngreso]]+TablaDatos[[#This Row],[DiasNuevo]]</f>
        <v>45400</v>
      </c>
    </row>
    <row r="816" spans="1:15">
      <c r="A816">
        <v>815</v>
      </c>
      <c r="B816" t="s">
        <v>237</v>
      </c>
      <c r="C816" s="1">
        <v>23012</v>
      </c>
      <c r="D816">
        <v>63</v>
      </c>
      <c r="E816" s="4" t="s">
        <v>12</v>
      </c>
      <c r="F816" t="s">
        <v>201</v>
      </c>
      <c r="G816" s="1">
        <v>45646</v>
      </c>
      <c r="H816" s="1">
        <f>TablaDatos[[#This Row],[FechaIngreso]]+TablaDatos[[#This Row],[DiasNuevo]]</f>
        <v>45677</v>
      </c>
      <c r="I816">
        <v>31</v>
      </c>
      <c r="J816" t="s">
        <v>23</v>
      </c>
      <c r="K816" s="3">
        <v>5815.91</v>
      </c>
      <c r="L816" t="b">
        <f>TablaDatos[[#This Row],[FechaAlta]] &lt; TablaDatos[[#This Row],[FechaIngreso]]</f>
        <v>0</v>
      </c>
      <c r="M816">
        <f>_xlfn.XLOOKUP(TablaDatos[[#This Row],[PacienteID]],'Datos_Ejemplo.csv'!A:A,'Datos_Ejemplo.csv'!I:I)</f>
        <v>31</v>
      </c>
      <c r="N816">
        <f>ABS(TablaDatos[[#This Row],[DiasOriginal]])</f>
        <v>31</v>
      </c>
      <c r="O816" s="1">
        <f>TablaDatos[[#This Row],[FechaIngreso]]+TablaDatos[[#This Row],[DiasNuevo]]</f>
        <v>45677</v>
      </c>
    </row>
    <row r="817" spans="1:15">
      <c r="A817">
        <v>816</v>
      </c>
      <c r="B817" t="s">
        <v>252</v>
      </c>
      <c r="C817" s="1">
        <v>32508</v>
      </c>
      <c r="D817">
        <v>37</v>
      </c>
      <c r="E817" s="4" t="s">
        <v>12</v>
      </c>
      <c r="F817" t="s">
        <v>32</v>
      </c>
      <c r="G817" s="1">
        <v>45369</v>
      </c>
      <c r="H817" s="1">
        <f>TablaDatos[[#This Row],[FechaIngreso]]+TablaDatos[[#This Row],[DiasNuevo]]</f>
        <v>45391</v>
      </c>
      <c r="I817">
        <v>22</v>
      </c>
      <c r="J817" t="s">
        <v>23</v>
      </c>
      <c r="K817" s="3">
        <v>18707.36</v>
      </c>
      <c r="L817" t="b">
        <f>TablaDatos[[#This Row],[FechaAlta]] &lt; TablaDatos[[#This Row],[FechaIngreso]]</f>
        <v>0</v>
      </c>
      <c r="M817">
        <f>_xlfn.XLOOKUP(TablaDatos[[#This Row],[PacienteID]],'Datos_Ejemplo.csv'!A:A,'Datos_Ejemplo.csv'!I:I)</f>
        <v>22</v>
      </c>
      <c r="N817">
        <f>ABS(TablaDatos[[#This Row],[DiasOriginal]])</f>
        <v>22</v>
      </c>
      <c r="O817" s="1">
        <f>TablaDatos[[#This Row],[FechaIngreso]]+TablaDatos[[#This Row],[DiasNuevo]]</f>
        <v>45391</v>
      </c>
    </row>
    <row r="818" spans="1:15">
      <c r="A818">
        <v>817</v>
      </c>
      <c r="B818" t="s">
        <v>130</v>
      </c>
      <c r="C818" s="1">
        <v>28125</v>
      </c>
      <c r="D818">
        <v>49</v>
      </c>
      <c r="E818" s="4" t="s">
        <v>12</v>
      </c>
      <c r="F818" t="s">
        <v>295</v>
      </c>
      <c r="G818" s="1">
        <v>45382</v>
      </c>
      <c r="H818" s="1">
        <f>TablaDatos[[#This Row],[FechaIngreso]]+TablaDatos[[#This Row],[DiasNuevo]]</f>
        <v>45415</v>
      </c>
      <c r="I818">
        <v>33</v>
      </c>
      <c r="J818" t="s">
        <v>23</v>
      </c>
      <c r="K818" s="3">
        <v>4933.5200000000004</v>
      </c>
      <c r="L818" t="b">
        <f>TablaDatos[[#This Row],[FechaAlta]] &lt; TablaDatos[[#This Row],[FechaIngreso]]</f>
        <v>0</v>
      </c>
      <c r="M818">
        <f>_xlfn.XLOOKUP(TablaDatos[[#This Row],[PacienteID]],'Datos_Ejemplo.csv'!A:A,'Datos_Ejemplo.csv'!I:I)</f>
        <v>33</v>
      </c>
      <c r="N818">
        <f>ABS(TablaDatos[[#This Row],[DiasOriginal]])</f>
        <v>33</v>
      </c>
      <c r="O818" s="1">
        <f>TablaDatos[[#This Row],[FechaIngreso]]+TablaDatos[[#This Row],[DiasNuevo]]</f>
        <v>45415</v>
      </c>
    </row>
    <row r="819" spans="1:15">
      <c r="A819">
        <v>818</v>
      </c>
      <c r="B819" t="s">
        <v>346</v>
      </c>
      <c r="C819" s="1">
        <v>16437</v>
      </c>
      <c r="D819">
        <v>81</v>
      </c>
      <c r="E819" s="4" t="s">
        <v>12</v>
      </c>
      <c r="F819" t="s">
        <v>18</v>
      </c>
      <c r="G819" s="1">
        <v>45174</v>
      </c>
      <c r="H819" s="1">
        <f>TablaDatos[[#This Row],[FechaIngreso]]+TablaDatos[[#This Row],[DiasNuevo]]</f>
        <v>45184</v>
      </c>
      <c r="I819">
        <v>10</v>
      </c>
      <c r="J819" t="s">
        <v>25</v>
      </c>
      <c r="K819" s="3">
        <v>3271.19</v>
      </c>
      <c r="L819" t="b">
        <f>TablaDatos[[#This Row],[FechaAlta]] &lt; TablaDatos[[#This Row],[FechaIngreso]]</f>
        <v>0</v>
      </c>
      <c r="M819">
        <f>_xlfn.XLOOKUP(TablaDatos[[#This Row],[PacienteID]],'Datos_Ejemplo.csv'!A:A,'Datos_Ejemplo.csv'!I:I)</f>
        <v>10</v>
      </c>
      <c r="N819">
        <f>ABS(TablaDatos[[#This Row],[DiasOriginal]])</f>
        <v>10</v>
      </c>
      <c r="O819" s="1">
        <f>TablaDatos[[#This Row],[FechaIngreso]]+TablaDatos[[#This Row],[DiasNuevo]]</f>
        <v>45184</v>
      </c>
    </row>
    <row r="820" spans="1:15">
      <c r="A820">
        <v>819</v>
      </c>
      <c r="B820" t="s">
        <v>363</v>
      </c>
      <c r="C820" s="1">
        <v>35430</v>
      </c>
      <c r="D820">
        <v>29</v>
      </c>
      <c r="E820" s="4" t="s">
        <v>12</v>
      </c>
      <c r="F820" t="s">
        <v>201</v>
      </c>
      <c r="G820" s="1">
        <v>45068</v>
      </c>
      <c r="H820" s="1">
        <f>TablaDatos[[#This Row],[FechaIngreso]]+TablaDatos[[#This Row],[DiasNuevo]]</f>
        <v>45094</v>
      </c>
      <c r="I820">
        <v>26</v>
      </c>
      <c r="J820" t="s">
        <v>19</v>
      </c>
      <c r="K820" s="3">
        <v>9815.81</v>
      </c>
      <c r="L820" t="b">
        <f>TablaDatos[[#This Row],[FechaAlta]] &lt; TablaDatos[[#This Row],[FechaIngreso]]</f>
        <v>0</v>
      </c>
      <c r="M820">
        <f>_xlfn.XLOOKUP(TablaDatos[[#This Row],[PacienteID]],'Datos_Ejemplo.csv'!A:A,'Datos_Ejemplo.csv'!I:I)</f>
        <v>26</v>
      </c>
      <c r="N820">
        <f>ABS(TablaDatos[[#This Row],[DiasOriginal]])</f>
        <v>26</v>
      </c>
      <c r="O820" s="1">
        <f>TablaDatos[[#This Row],[FechaIngreso]]+TablaDatos[[#This Row],[DiasNuevo]]</f>
        <v>45094</v>
      </c>
    </row>
    <row r="821" spans="1:15">
      <c r="A821">
        <v>820</v>
      </c>
      <c r="B821" t="s">
        <v>340</v>
      </c>
      <c r="C821" s="1">
        <v>17533</v>
      </c>
      <c r="D821">
        <v>78</v>
      </c>
      <c r="E821" s="4" t="s">
        <v>15</v>
      </c>
      <c r="F821" t="s">
        <v>295</v>
      </c>
      <c r="G821" s="1">
        <v>45328</v>
      </c>
      <c r="H821" s="1">
        <f>TablaDatos[[#This Row],[FechaIngreso]]+TablaDatos[[#This Row],[DiasNuevo]]</f>
        <v>45367</v>
      </c>
      <c r="I821">
        <v>39</v>
      </c>
      <c r="J821" t="s">
        <v>19</v>
      </c>
      <c r="K821" s="3">
        <v>915.35</v>
      </c>
      <c r="L821" t="b">
        <f>TablaDatos[[#This Row],[FechaAlta]] &lt; TablaDatos[[#This Row],[FechaIngreso]]</f>
        <v>0</v>
      </c>
      <c r="M821">
        <f>_xlfn.XLOOKUP(TablaDatos[[#This Row],[PacienteID]],'Datos_Ejemplo.csv'!A:A,'Datos_Ejemplo.csv'!I:I)</f>
        <v>39</v>
      </c>
      <c r="N821">
        <f>ABS(TablaDatos[[#This Row],[DiasOriginal]])</f>
        <v>39</v>
      </c>
      <c r="O821" s="1">
        <f>TablaDatos[[#This Row],[FechaIngreso]]+TablaDatos[[#This Row],[DiasNuevo]]</f>
        <v>45367</v>
      </c>
    </row>
    <row r="822" spans="1:15">
      <c r="A822">
        <v>821</v>
      </c>
      <c r="B822" t="s">
        <v>67</v>
      </c>
      <c r="C822" s="1">
        <v>13150</v>
      </c>
      <c r="D822">
        <v>90</v>
      </c>
      <c r="E822" s="4" t="s">
        <v>15</v>
      </c>
      <c r="F822" t="s">
        <v>21</v>
      </c>
      <c r="G822" s="1">
        <v>45148</v>
      </c>
      <c r="H822" s="1">
        <f>TablaDatos[[#This Row],[FechaIngreso]]+TablaDatos[[#This Row],[DiasNuevo]]</f>
        <v>45154</v>
      </c>
      <c r="I822">
        <v>6</v>
      </c>
      <c r="J822" t="s">
        <v>23</v>
      </c>
      <c r="K822" s="3">
        <v>631.88</v>
      </c>
      <c r="L822" t="b">
        <f>TablaDatos[[#This Row],[FechaAlta]] &lt; TablaDatos[[#This Row],[FechaIngreso]]</f>
        <v>0</v>
      </c>
      <c r="M822">
        <f>_xlfn.XLOOKUP(TablaDatos[[#This Row],[PacienteID]],'Datos_Ejemplo.csv'!A:A,'Datos_Ejemplo.csv'!I:I)</f>
        <v>6</v>
      </c>
      <c r="N822">
        <f>ABS(TablaDatos[[#This Row],[DiasOriginal]])</f>
        <v>6</v>
      </c>
      <c r="O822" s="1">
        <f>TablaDatos[[#This Row],[FechaIngreso]]+TablaDatos[[#This Row],[DiasNuevo]]</f>
        <v>45154</v>
      </c>
    </row>
    <row r="823" spans="1:15">
      <c r="A823">
        <v>822</v>
      </c>
      <c r="B823" t="s">
        <v>327</v>
      </c>
      <c r="C823" s="1">
        <v>27760</v>
      </c>
      <c r="D823">
        <v>50</v>
      </c>
      <c r="E823" s="4" t="s">
        <v>15</v>
      </c>
      <c r="F823" t="s">
        <v>295</v>
      </c>
      <c r="G823" s="1">
        <v>45110</v>
      </c>
      <c r="H823" s="1">
        <f>TablaDatos[[#This Row],[FechaIngreso]]+TablaDatos[[#This Row],[DiasNuevo]]</f>
        <v>45122</v>
      </c>
      <c r="I823">
        <v>12</v>
      </c>
      <c r="J823" t="s">
        <v>25</v>
      </c>
      <c r="K823" s="3">
        <v>9869.89</v>
      </c>
      <c r="L823" t="b">
        <f>TablaDatos[[#This Row],[FechaAlta]] &lt; TablaDatos[[#This Row],[FechaIngreso]]</f>
        <v>0</v>
      </c>
      <c r="M823">
        <f>_xlfn.XLOOKUP(TablaDatos[[#This Row],[PacienteID]],'Datos_Ejemplo.csv'!A:A,'Datos_Ejemplo.csv'!I:I)</f>
        <v>12</v>
      </c>
      <c r="N823">
        <f>ABS(TablaDatos[[#This Row],[DiasOriginal]])</f>
        <v>12</v>
      </c>
      <c r="O823" s="1">
        <f>TablaDatos[[#This Row],[FechaIngreso]]+TablaDatos[[#This Row],[DiasNuevo]]</f>
        <v>45122</v>
      </c>
    </row>
    <row r="824" spans="1:15">
      <c r="A824">
        <v>823</v>
      </c>
      <c r="B824" t="s">
        <v>361</v>
      </c>
      <c r="C824" s="1">
        <v>23377</v>
      </c>
      <c r="D824">
        <v>62</v>
      </c>
      <c r="E824" s="4" t="s">
        <v>12</v>
      </c>
      <c r="F824" t="s">
        <v>13</v>
      </c>
      <c r="G824" s="1">
        <v>45290</v>
      </c>
      <c r="H824" s="1">
        <f>TablaDatos[[#This Row],[FechaIngreso]]+TablaDatos[[#This Row],[DiasNuevo]]</f>
        <v>45318</v>
      </c>
      <c r="I824">
        <v>28</v>
      </c>
      <c r="J824" t="s">
        <v>23</v>
      </c>
      <c r="K824" s="3">
        <v>4223.6499999999996</v>
      </c>
      <c r="L824" t="b">
        <f>TablaDatos[[#This Row],[FechaAlta]] &lt; TablaDatos[[#This Row],[FechaIngreso]]</f>
        <v>0</v>
      </c>
      <c r="M824">
        <f>_xlfn.XLOOKUP(TablaDatos[[#This Row],[PacienteID]],'Datos_Ejemplo.csv'!A:A,'Datos_Ejemplo.csv'!I:I)</f>
        <v>28</v>
      </c>
      <c r="N824">
        <f>ABS(TablaDatos[[#This Row],[DiasOriginal]])</f>
        <v>28</v>
      </c>
      <c r="O824" s="1">
        <f>TablaDatos[[#This Row],[FechaIngreso]]+TablaDatos[[#This Row],[DiasNuevo]]</f>
        <v>45318</v>
      </c>
    </row>
    <row r="825" spans="1:15">
      <c r="A825">
        <v>824</v>
      </c>
      <c r="B825" t="s">
        <v>274</v>
      </c>
      <c r="C825" s="1">
        <v>27395</v>
      </c>
      <c r="D825">
        <v>51</v>
      </c>
      <c r="E825" s="4" t="s">
        <v>15</v>
      </c>
      <c r="F825" t="s">
        <v>13</v>
      </c>
      <c r="G825" s="1">
        <v>45114</v>
      </c>
      <c r="H825" s="1">
        <f>TablaDatos[[#This Row],[FechaIngreso]]+TablaDatos[[#This Row],[DiasNuevo]]</f>
        <v>45138</v>
      </c>
      <c r="I825">
        <v>24</v>
      </c>
      <c r="J825" t="s">
        <v>25</v>
      </c>
      <c r="K825" s="3">
        <v>87.99</v>
      </c>
      <c r="L825" t="b">
        <f>TablaDatos[[#This Row],[FechaAlta]] &lt; TablaDatos[[#This Row],[FechaIngreso]]</f>
        <v>0</v>
      </c>
      <c r="M825">
        <f>_xlfn.XLOOKUP(TablaDatos[[#This Row],[PacienteID]],'Datos_Ejemplo.csv'!A:A,'Datos_Ejemplo.csv'!I:I)</f>
        <v>24</v>
      </c>
      <c r="N825">
        <f>ABS(TablaDatos[[#This Row],[DiasOriginal]])</f>
        <v>24</v>
      </c>
      <c r="O825" s="1">
        <f>TablaDatos[[#This Row],[FechaIngreso]]+TablaDatos[[#This Row],[DiasNuevo]]</f>
        <v>45138</v>
      </c>
    </row>
    <row r="826" spans="1:15">
      <c r="A826">
        <v>825</v>
      </c>
      <c r="B826" t="s">
        <v>338</v>
      </c>
      <c r="C826" s="1">
        <v>32508</v>
      </c>
      <c r="D826">
        <v>37</v>
      </c>
      <c r="E826" s="4" t="s">
        <v>15</v>
      </c>
      <c r="F826" t="s">
        <v>18</v>
      </c>
      <c r="G826" s="1">
        <v>45039</v>
      </c>
      <c r="H826" s="1">
        <f>TablaDatos[[#This Row],[FechaIngreso]]+TablaDatos[[#This Row],[DiasNuevo]]</f>
        <v>45067</v>
      </c>
      <c r="I826">
        <v>28</v>
      </c>
      <c r="J826" t="s">
        <v>25</v>
      </c>
      <c r="K826" s="3">
        <v>5850.74</v>
      </c>
      <c r="L826" t="b">
        <f>TablaDatos[[#This Row],[FechaAlta]] &lt; TablaDatos[[#This Row],[FechaIngreso]]</f>
        <v>0</v>
      </c>
      <c r="M826">
        <f>_xlfn.XLOOKUP(TablaDatos[[#This Row],[PacienteID]],'Datos_Ejemplo.csv'!A:A,'Datos_Ejemplo.csv'!I:I)</f>
        <v>28</v>
      </c>
      <c r="N826">
        <f>ABS(TablaDatos[[#This Row],[DiasOriginal]])</f>
        <v>28</v>
      </c>
      <c r="O826" s="1">
        <f>TablaDatos[[#This Row],[FechaIngreso]]+TablaDatos[[#This Row],[DiasNuevo]]</f>
        <v>45067</v>
      </c>
    </row>
    <row r="827" spans="1:15">
      <c r="A827">
        <v>826</v>
      </c>
      <c r="B827" t="s">
        <v>260</v>
      </c>
      <c r="C827" s="1">
        <v>14246</v>
      </c>
      <c r="D827">
        <v>87</v>
      </c>
      <c r="E827" s="4" t="s">
        <v>12</v>
      </c>
      <c r="F827" t="s">
        <v>32</v>
      </c>
      <c r="G827" s="1">
        <v>45107</v>
      </c>
      <c r="H827" s="1">
        <f>TablaDatos[[#This Row],[FechaIngreso]]+TablaDatos[[#This Row],[DiasNuevo]]</f>
        <v>45114</v>
      </c>
      <c r="I827">
        <v>7</v>
      </c>
      <c r="J827" t="s">
        <v>25</v>
      </c>
      <c r="K827" s="3">
        <v>9495.08</v>
      </c>
      <c r="L827" t="b">
        <f>TablaDatos[[#This Row],[FechaAlta]] &lt; TablaDatos[[#This Row],[FechaIngreso]]</f>
        <v>0</v>
      </c>
      <c r="M827">
        <f>_xlfn.XLOOKUP(TablaDatos[[#This Row],[PacienteID]],'Datos_Ejemplo.csv'!A:A,'Datos_Ejemplo.csv'!I:I)</f>
        <v>7</v>
      </c>
      <c r="N827">
        <f>ABS(TablaDatos[[#This Row],[DiasOriginal]])</f>
        <v>7</v>
      </c>
      <c r="O827" s="1">
        <f>TablaDatos[[#This Row],[FechaIngreso]]+TablaDatos[[#This Row],[DiasNuevo]]</f>
        <v>45114</v>
      </c>
    </row>
    <row r="828" spans="1:15">
      <c r="A828">
        <v>827</v>
      </c>
      <c r="B828" t="s">
        <v>274</v>
      </c>
      <c r="C828" s="1">
        <v>17533</v>
      </c>
      <c r="D828">
        <v>78</v>
      </c>
      <c r="E828" s="4" t="s">
        <v>15</v>
      </c>
      <c r="F828" t="s">
        <v>295</v>
      </c>
      <c r="G828" s="1">
        <v>45125</v>
      </c>
      <c r="H828" s="1">
        <f>TablaDatos[[#This Row],[FechaIngreso]]+TablaDatos[[#This Row],[DiasNuevo]]</f>
        <v>45159</v>
      </c>
      <c r="I828">
        <v>34</v>
      </c>
      <c r="J828" t="s">
        <v>19</v>
      </c>
      <c r="K828" s="3">
        <v>7825.2</v>
      </c>
      <c r="L828" t="b">
        <f>TablaDatos[[#This Row],[FechaAlta]] &lt; TablaDatos[[#This Row],[FechaIngreso]]</f>
        <v>0</v>
      </c>
      <c r="M828">
        <f>_xlfn.XLOOKUP(TablaDatos[[#This Row],[PacienteID]],'Datos_Ejemplo.csv'!A:A,'Datos_Ejemplo.csv'!I:I)</f>
        <v>34</v>
      </c>
      <c r="N828">
        <f>ABS(TablaDatos[[#This Row],[DiasOriginal]])</f>
        <v>34</v>
      </c>
      <c r="O828" s="1">
        <f>TablaDatos[[#This Row],[FechaIngreso]]+TablaDatos[[#This Row],[DiasNuevo]]</f>
        <v>45159</v>
      </c>
    </row>
    <row r="829" spans="1:15">
      <c r="A829">
        <v>828</v>
      </c>
      <c r="B829" t="s">
        <v>284</v>
      </c>
      <c r="C829" s="1">
        <v>35430</v>
      </c>
      <c r="D829">
        <v>29</v>
      </c>
      <c r="E829" s="4" t="s">
        <v>12</v>
      </c>
      <c r="F829" t="s">
        <v>13</v>
      </c>
      <c r="G829" s="1">
        <v>44996</v>
      </c>
      <c r="H829" s="1">
        <f>TablaDatos[[#This Row],[FechaIngreso]]+TablaDatos[[#This Row],[DiasNuevo]]</f>
        <v>45000</v>
      </c>
      <c r="I829">
        <v>4</v>
      </c>
      <c r="J829" t="s">
        <v>23</v>
      </c>
      <c r="K829" s="3">
        <v>2622.94</v>
      </c>
      <c r="L829" t="b">
        <f>TablaDatos[[#This Row],[FechaAlta]] &lt; TablaDatos[[#This Row],[FechaIngreso]]</f>
        <v>0</v>
      </c>
      <c r="M829">
        <f>_xlfn.XLOOKUP(TablaDatos[[#This Row],[PacienteID]],'Datos_Ejemplo.csv'!A:A,'Datos_Ejemplo.csv'!I:I)</f>
        <v>4</v>
      </c>
      <c r="N829">
        <f>ABS(TablaDatos[[#This Row],[DiasOriginal]])</f>
        <v>4</v>
      </c>
      <c r="O829" s="1">
        <f>TablaDatos[[#This Row],[FechaIngreso]]+TablaDatos[[#This Row],[DiasNuevo]]</f>
        <v>45000</v>
      </c>
    </row>
    <row r="830" spans="1:15">
      <c r="A830">
        <v>829</v>
      </c>
      <c r="B830" t="s">
        <v>242</v>
      </c>
      <c r="C830" s="1">
        <v>27760</v>
      </c>
      <c r="D830">
        <v>50</v>
      </c>
      <c r="E830" s="4" t="s">
        <v>12</v>
      </c>
      <c r="F830" t="s">
        <v>32</v>
      </c>
      <c r="G830" s="1">
        <v>45524</v>
      </c>
      <c r="H830" s="1">
        <f>TablaDatos[[#This Row],[FechaIngreso]]+TablaDatos[[#This Row],[DiasNuevo]]</f>
        <v>45553</v>
      </c>
      <c r="I830">
        <v>29</v>
      </c>
      <c r="J830" t="s">
        <v>25</v>
      </c>
      <c r="K830" s="3">
        <v>11551.46</v>
      </c>
      <c r="L830" t="b">
        <f>TablaDatos[[#This Row],[FechaAlta]] &lt; TablaDatos[[#This Row],[FechaIngreso]]</f>
        <v>0</v>
      </c>
      <c r="M830">
        <f>_xlfn.XLOOKUP(TablaDatos[[#This Row],[PacienteID]],'Datos_Ejemplo.csv'!A:A,'Datos_Ejemplo.csv'!I:I)</f>
        <v>29</v>
      </c>
      <c r="N830">
        <f>ABS(TablaDatos[[#This Row],[DiasOriginal]])</f>
        <v>29</v>
      </c>
      <c r="O830" s="1">
        <f>TablaDatos[[#This Row],[FechaIngreso]]+TablaDatos[[#This Row],[DiasNuevo]]</f>
        <v>45553</v>
      </c>
    </row>
    <row r="831" spans="1:15">
      <c r="A831">
        <v>830</v>
      </c>
      <c r="B831" t="s">
        <v>356</v>
      </c>
      <c r="C831" s="1">
        <v>16802</v>
      </c>
      <c r="D831">
        <v>80</v>
      </c>
      <c r="E831" s="4" t="s">
        <v>15</v>
      </c>
      <c r="F831" t="s">
        <v>201</v>
      </c>
      <c r="G831" s="1">
        <v>45411</v>
      </c>
      <c r="H831" s="1">
        <f>TablaDatos[[#This Row],[FechaIngreso]]+TablaDatos[[#This Row],[DiasNuevo]]</f>
        <v>45419</v>
      </c>
      <c r="I831">
        <v>8</v>
      </c>
      <c r="J831" t="s">
        <v>19</v>
      </c>
      <c r="K831" s="3">
        <v>14177.69</v>
      </c>
      <c r="L831" t="b">
        <f>TablaDatos[[#This Row],[FechaAlta]] &lt; TablaDatos[[#This Row],[FechaIngreso]]</f>
        <v>0</v>
      </c>
      <c r="M831">
        <f>_xlfn.XLOOKUP(TablaDatos[[#This Row],[PacienteID]],'Datos_Ejemplo.csv'!A:A,'Datos_Ejemplo.csv'!I:I)</f>
        <v>8</v>
      </c>
      <c r="N831">
        <f>ABS(TablaDatos[[#This Row],[DiasOriginal]])</f>
        <v>8</v>
      </c>
      <c r="O831" s="1">
        <f>TablaDatos[[#This Row],[FechaIngreso]]+TablaDatos[[#This Row],[DiasNuevo]]</f>
        <v>45419</v>
      </c>
    </row>
    <row r="832" spans="1:15">
      <c r="A832">
        <v>831</v>
      </c>
      <c r="B832" t="s">
        <v>250</v>
      </c>
      <c r="C832" s="1">
        <v>44561</v>
      </c>
      <c r="D832">
        <v>4</v>
      </c>
      <c r="E832" s="4" t="s">
        <v>15</v>
      </c>
      <c r="F832" t="s">
        <v>201</v>
      </c>
      <c r="G832" s="1">
        <v>45325</v>
      </c>
      <c r="H832" s="1">
        <f>TablaDatos[[#This Row],[FechaIngreso]]+TablaDatos[[#This Row],[DiasNuevo]]</f>
        <v>45350</v>
      </c>
      <c r="I832">
        <v>25</v>
      </c>
      <c r="J832" t="s">
        <v>19</v>
      </c>
      <c r="K832" s="3">
        <v>13478.34</v>
      </c>
      <c r="L832" t="b">
        <f>TablaDatos[[#This Row],[FechaAlta]] &lt; TablaDatos[[#This Row],[FechaIngreso]]</f>
        <v>0</v>
      </c>
      <c r="M832">
        <f>_xlfn.XLOOKUP(TablaDatos[[#This Row],[PacienteID]],'Datos_Ejemplo.csv'!A:A,'Datos_Ejemplo.csv'!I:I)</f>
        <v>25</v>
      </c>
      <c r="N832">
        <f>ABS(TablaDatos[[#This Row],[DiasOriginal]])</f>
        <v>25</v>
      </c>
      <c r="O832" s="1">
        <f>TablaDatos[[#This Row],[FechaIngreso]]+TablaDatos[[#This Row],[DiasNuevo]]</f>
        <v>45350</v>
      </c>
    </row>
    <row r="833" spans="1:15">
      <c r="A833">
        <v>832</v>
      </c>
      <c r="B833" t="s">
        <v>136</v>
      </c>
      <c r="C833" s="1">
        <v>35795</v>
      </c>
      <c r="D833">
        <f ca="1">DATEDIF(TablaDatos[[#This Row],[FechaNacimiento]],TODAY(),"Y")</f>
        <v>28</v>
      </c>
      <c r="E833" s="4" t="s">
        <v>12</v>
      </c>
      <c r="F833" t="s">
        <v>13</v>
      </c>
      <c r="G833" s="1">
        <v>45477</v>
      </c>
      <c r="H833" s="1">
        <f>TablaDatos[[#This Row],[FechaIngreso]]+TablaDatos[[#This Row],[DiasNuevo]]</f>
        <v>45478</v>
      </c>
      <c r="I833">
        <v>1</v>
      </c>
      <c r="J833" t="s">
        <v>23</v>
      </c>
      <c r="K833" s="3">
        <v>7814.61</v>
      </c>
      <c r="L833" t="b">
        <f>TablaDatos[[#This Row],[FechaAlta]] &lt; TablaDatos[[#This Row],[FechaIngreso]]</f>
        <v>0</v>
      </c>
      <c r="M833">
        <f>_xlfn.XLOOKUP(TablaDatos[[#This Row],[PacienteID]],'Datos_Ejemplo.csv'!A:A,'Datos_Ejemplo.csv'!I:I)</f>
        <v>1</v>
      </c>
      <c r="N833">
        <f>ABS(TablaDatos[[#This Row],[DiasOriginal]])</f>
        <v>1</v>
      </c>
      <c r="O833" s="1">
        <f>TablaDatos[[#This Row],[FechaIngreso]]+TablaDatos[[#This Row],[DiasNuevo]]</f>
        <v>45478</v>
      </c>
    </row>
    <row r="834" spans="1:15">
      <c r="A834">
        <v>833</v>
      </c>
      <c r="B834" t="s">
        <v>257</v>
      </c>
      <c r="C834" s="1">
        <v>44927</v>
      </c>
      <c r="D834">
        <v>3</v>
      </c>
      <c r="E834" s="4" t="s">
        <v>12</v>
      </c>
      <c r="F834" t="s">
        <v>32</v>
      </c>
      <c r="G834" s="1">
        <v>45569</v>
      </c>
      <c r="H834" s="1">
        <f>TablaDatos[[#This Row],[FechaIngreso]]+TablaDatos[[#This Row],[DiasNuevo]]</f>
        <v>45597</v>
      </c>
      <c r="I834">
        <v>28</v>
      </c>
      <c r="J834" t="s">
        <v>23</v>
      </c>
      <c r="K834" s="3">
        <v>2665.68</v>
      </c>
      <c r="L834" t="b">
        <f>TablaDatos[[#This Row],[FechaAlta]] &lt; TablaDatos[[#This Row],[FechaIngreso]]</f>
        <v>0</v>
      </c>
      <c r="M834">
        <f>_xlfn.XLOOKUP(TablaDatos[[#This Row],[PacienteID]],'Datos_Ejemplo.csv'!A:A,'Datos_Ejemplo.csv'!I:I)</f>
        <v>28</v>
      </c>
      <c r="N834">
        <f>ABS(TablaDatos[[#This Row],[DiasOriginal]])</f>
        <v>28</v>
      </c>
      <c r="O834" s="1">
        <f>TablaDatos[[#This Row],[FechaIngreso]]+TablaDatos[[#This Row],[DiasNuevo]]</f>
        <v>45597</v>
      </c>
    </row>
    <row r="835" spans="1:15">
      <c r="A835">
        <v>834</v>
      </c>
      <c r="B835" t="s">
        <v>360</v>
      </c>
      <c r="C835" s="1">
        <v>42735</v>
      </c>
      <c r="D835">
        <v>9</v>
      </c>
      <c r="E835" s="4" t="s">
        <v>15</v>
      </c>
      <c r="F835" t="s">
        <v>32</v>
      </c>
      <c r="G835" s="1">
        <v>44936</v>
      </c>
      <c r="H835" s="1">
        <f>TablaDatos[[#This Row],[FechaIngreso]]+TablaDatos[[#This Row],[DiasNuevo]]</f>
        <v>44962</v>
      </c>
      <c r="I835">
        <v>26</v>
      </c>
      <c r="J835" t="s">
        <v>25</v>
      </c>
      <c r="K835" s="3">
        <v>9939.68</v>
      </c>
      <c r="L835" t="b">
        <f>TablaDatos[[#This Row],[FechaAlta]] &lt; TablaDatos[[#This Row],[FechaIngreso]]</f>
        <v>0</v>
      </c>
      <c r="M835">
        <f>_xlfn.XLOOKUP(TablaDatos[[#This Row],[PacienteID]],'Datos_Ejemplo.csv'!A:A,'Datos_Ejemplo.csv'!I:I)</f>
        <v>26</v>
      </c>
      <c r="N835">
        <f>ABS(TablaDatos[[#This Row],[DiasOriginal]])</f>
        <v>26</v>
      </c>
      <c r="O835" s="1">
        <f>TablaDatos[[#This Row],[FechaIngreso]]+TablaDatos[[#This Row],[DiasNuevo]]</f>
        <v>44962</v>
      </c>
    </row>
    <row r="836" spans="1:15">
      <c r="A836">
        <v>835</v>
      </c>
      <c r="B836" t="s">
        <v>302</v>
      </c>
      <c r="C836" s="1">
        <f ca="1">DATE(YEAR(TODAY())-TablaDatos[[#This Row],[Edad]],1,1)</f>
        <v>25934</v>
      </c>
      <c r="D836">
        <v>55</v>
      </c>
      <c r="E836" s="4" t="s">
        <v>12</v>
      </c>
      <c r="F836" t="s">
        <v>13</v>
      </c>
      <c r="G836" s="1">
        <v>44929</v>
      </c>
      <c r="H836" s="1">
        <f>TablaDatos[[#This Row],[FechaIngreso]]+TablaDatos[[#This Row],[DiasNuevo]]</f>
        <v>44959</v>
      </c>
      <c r="I836">
        <v>30</v>
      </c>
      <c r="J836" t="s">
        <v>23</v>
      </c>
      <c r="K836" s="3">
        <v>17797.68</v>
      </c>
      <c r="L836" t="b">
        <f>TablaDatos[[#This Row],[FechaAlta]] &lt; TablaDatos[[#This Row],[FechaIngreso]]</f>
        <v>0</v>
      </c>
      <c r="M836">
        <f>_xlfn.XLOOKUP(TablaDatos[[#This Row],[PacienteID]],'Datos_Ejemplo.csv'!A:A,'Datos_Ejemplo.csv'!I:I)</f>
        <v>30</v>
      </c>
      <c r="N836">
        <f>ABS(TablaDatos[[#This Row],[DiasOriginal]])</f>
        <v>30</v>
      </c>
      <c r="O836" s="1">
        <f>TablaDatos[[#This Row],[FechaIngreso]]+TablaDatos[[#This Row],[DiasNuevo]]</f>
        <v>44959</v>
      </c>
    </row>
    <row r="837" spans="1:15">
      <c r="A837">
        <v>836</v>
      </c>
      <c r="B837" t="s">
        <v>356</v>
      </c>
      <c r="C837" s="1">
        <v>40178</v>
      </c>
      <c r="D837">
        <v>16</v>
      </c>
      <c r="E837" s="4" t="s">
        <v>12</v>
      </c>
      <c r="F837" t="s">
        <v>261</v>
      </c>
      <c r="G837" s="1">
        <v>45404</v>
      </c>
      <c r="H837" s="1">
        <f>TablaDatos[[#This Row],[FechaIngreso]]+TablaDatos[[#This Row],[DiasNuevo]]</f>
        <v>45405</v>
      </c>
      <c r="I837">
        <v>1</v>
      </c>
      <c r="J837" t="s">
        <v>23</v>
      </c>
      <c r="K837" s="3">
        <v>9321.33</v>
      </c>
      <c r="L837" t="b">
        <f>TablaDatos[[#This Row],[FechaAlta]] &lt; TablaDatos[[#This Row],[FechaIngreso]]</f>
        <v>0</v>
      </c>
      <c r="M837">
        <f>_xlfn.XLOOKUP(TablaDatos[[#This Row],[PacienteID]],'Datos_Ejemplo.csv'!A:A,'Datos_Ejemplo.csv'!I:I)</f>
        <v>1</v>
      </c>
      <c r="N837">
        <f>ABS(TablaDatos[[#This Row],[DiasOriginal]])</f>
        <v>1</v>
      </c>
      <c r="O837" s="1">
        <f>TablaDatos[[#This Row],[FechaIngreso]]+TablaDatos[[#This Row],[DiasNuevo]]</f>
        <v>45405</v>
      </c>
    </row>
    <row r="838" spans="1:15">
      <c r="A838">
        <v>837</v>
      </c>
      <c r="B838" t="s">
        <v>271</v>
      </c>
      <c r="C838" s="1">
        <v>19359</v>
      </c>
      <c r="D838">
        <v>73</v>
      </c>
      <c r="E838" s="4" t="s">
        <v>15</v>
      </c>
      <c r="F838" t="s">
        <v>21</v>
      </c>
      <c r="G838" s="1">
        <v>45588</v>
      </c>
      <c r="H838" s="1">
        <f>TablaDatos[[#This Row],[FechaIngreso]]+TablaDatos[[#This Row],[DiasNuevo]]</f>
        <v>45611</v>
      </c>
      <c r="I838">
        <v>23</v>
      </c>
      <c r="J838" t="s">
        <v>23</v>
      </c>
      <c r="K838" s="3">
        <v>3833.19</v>
      </c>
      <c r="L838" t="b">
        <f>TablaDatos[[#This Row],[FechaAlta]] &lt; TablaDatos[[#This Row],[FechaIngreso]]</f>
        <v>0</v>
      </c>
      <c r="M838">
        <f>_xlfn.XLOOKUP(TablaDatos[[#This Row],[PacienteID]],'Datos_Ejemplo.csv'!A:A,'Datos_Ejemplo.csv'!I:I)</f>
        <v>23</v>
      </c>
      <c r="N838">
        <f>ABS(TablaDatos[[#This Row],[DiasOriginal]])</f>
        <v>23</v>
      </c>
      <c r="O838" s="1">
        <f>TablaDatos[[#This Row],[FechaIngreso]]+TablaDatos[[#This Row],[DiasNuevo]]</f>
        <v>45611</v>
      </c>
    </row>
    <row r="839" spans="1:15">
      <c r="A839">
        <v>838</v>
      </c>
      <c r="B839" t="s">
        <v>340</v>
      </c>
      <c r="C839" s="1">
        <v>40178</v>
      </c>
      <c r="D839">
        <v>16</v>
      </c>
      <c r="E839" s="4" t="s">
        <v>15</v>
      </c>
      <c r="F839" t="s">
        <v>32</v>
      </c>
      <c r="G839" s="1">
        <v>44993</v>
      </c>
      <c r="H839" s="1">
        <f>TablaDatos[[#This Row],[FechaIngreso]]+TablaDatos[[#This Row],[DiasNuevo]]</f>
        <v>45021</v>
      </c>
      <c r="I839">
        <v>28</v>
      </c>
      <c r="J839" t="s">
        <v>25</v>
      </c>
      <c r="K839" s="3">
        <v>1770.37</v>
      </c>
      <c r="L839" t="b">
        <f>TablaDatos[[#This Row],[FechaAlta]] &lt; TablaDatos[[#This Row],[FechaIngreso]]</f>
        <v>0</v>
      </c>
      <c r="M839">
        <f>_xlfn.XLOOKUP(TablaDatos[[#This Row],[PacienteID]],'Datos_Ejemplo.csv'!A:A,'Datos_Ejemplo.csv'!I:I)</f>
        <v>28</v>
      </c>
      <c r="N839">
        <f>ABS(TablaDatos[[#This Row],[DiasOriginal]])</f>
        <v>28</v>
      </c>
      <c r="O839" s="1">
        <f>TablaDatos[[#This Row],[FechaIngreso]]+TablaDatos[[#This Row],[DiasNuevo]]</f>
        <v>45021</v>
      </c>
    </row>
    <row r="840" spans="1:15">
      <c r="A840">
        <v>839</v>
      </c>
      <c r="B840" t="s">
        <v>52</v>
      </c>
      <c r="C840" s="1">
        <v>15707</v>
      </c>
      <c r="D840">
        <v>83</v>
      </c>
      <c r="E840" s="4" t="s">
        <v>12</v>
      </c>
      <c r="F840" t="s">
        <v>201</v>
      </c>
      <c r="G840" s="1">
        <v>45631</v>
      </c>
      <c r="H840" s="1">
        <f>TablaDatos[[#This Row],[FechaIngreso]]+TablaDatos[[#This Row],[DiasNuevo]]</f>
        <v>45659</v>
      </c>
      <c r="I840">
        <v>28</v>
      </c>
      <c r="J840" t="s">
        <v>19</v>
      </c>
      <c r="K840" s="3">
        <v>18872.93</v>
      </c>
      <c r="L840" t="b">
        <f>TablaDatos[[#This Row],[FechaAlta]] &lt; TablaDatos[[#This Row],[FechaIngreso]]</f>
        <v>0</v>
      </c>
      <c r="M840">
        <f>_xlfn.XLOOKUP(TablaDatos[[#This Row],[PacienteID]],'Datos_Ejemplo.csv'!A:A,'Datos_Ejemplo.csv'!I:I)</f>
        <v>28</v>
      </c>
      <c r="N840">
        <f>ABS(TablaDatos[[#This Row],[DiasOriginal]])</f>
        <v>28</v>
      </c>
      <c r="O840" s="1">
        <f>TablaDatos[[#This Row],[FechaIngreso]]+TablaDatos[[#This Row],[DiasNuevo]]</f>
        <v>45659</v>
      </c>
    </row>
    <row r="841" spans="1:15">
      <c r="A841">
        <v>840</v>
      </c>
      <c r="B841" t="s">
        <v>61</v>
      </c>
      <c r="C841" s="1">
        <v>14246</v>
      </c>
      <c r="D841">
        <v>87</v>
      </c>
      <c r="E841" s="4" t="s">
        <v>15</v>
      </c>
      <c r="F841" t="s">
        <v>261</v>
      </c>
      <c r="G841" s="1">
        <v>45023</v>
      </c>
      <c r="H841" s="1">
        <f>TablaDatos[[#This Row],[FechaIngreso]]+TablaDatos[[#This Row],[DiasNuevo]]</f>
        <v>45047</v>
      </c>
      <c r="I841">
        <v>24</v>
      </c>
      <c r="J841" t="s">
        <v>23</v>
      </c>
      <c r="K841" s="3">
        <v>14834.49</v>
      </c>
      <c r="L841" t="b">
        <f>TablaDatos[[#This Row],[FechaAlta]] &lt; TablaDatos[[#This Row],[FechaIngreso]]</f>
        <v>0</v>
      </c>
      <c r="M841">
        <f>_xlfn.XLOOKUP(TablaDatos[[#This Row],[PacienteID]],'Datos_Ejemplo.csv'!A:A,'Datos_Ejemplo.csv'!I:I)</f>
        <v>24</v>
      </c>
      <c r="N841">
        <f>ABS(TablaDatos[[#This Row],[DiasOriginal]])</f>
        <v>24</v>
      </c>
      <c r="O841" s="1">
        <f>TablaDatos[[#This Row],[FechaIngreso]]+TablaDatos[[#This Row],[DiasNuevo]]</f>
        <v>45047</v>
      </c>
    </row>
    <row r="842" spans="1:15">
      <c r="A842">
        <v>841</v>
      </c>
      <c r="B842" t="s">
        <v>260</v>
      </c>
      <c r="C842" s="1">
        <v>21185</v>
      </c>
      <c r="D842">
        <v>68</v>
      </c>
      <c r="E842" s="4" t="s">
        <v>12</v>
      </c>
      <c r="F842" t="s">
        <v>295</v>
      </c>
      <c r="G842" s="1">
        <v>45457</v>
      </c>
      <c r="H842" s="1">
        <f>TablaDatos[[#This Row],[FechaIngreso]]+TablaDatos[[#This Row],[DiasNuevo]]</f>
        <v>45479</v>
      </c>
      <c r="I842">
        <v>22</v>
      </c>
      <c r="J842" t="s">
        <v>19</v>
      </c>
      <c r="K842" s="3">
        <v>6190.64</v>
      </c>
      <c r="L842" t="b">
        <f>TablaDatos[[#This Row],[FechaAlta]] &lt; TablaDatos[[#This Row],[FechaIngreso]]</f>
        <v>0</v>
      </c>
      <c r="M842">
        <f>_xlfn.XLOOKUP(TablaDatos[[#This Row],[PacienteID]],'Datos_Ejemplo.csv'!A:A,'Datos_Ejemplo.csv'!I:I)</f>
        <v>22</v>
      </c>
      <c r="N842">
        <f>ABS(TablaDatos[[#This Row],[DiasOriginal]])</f>
        <v>22</v>
      </c>
      <c r="O842" s="1">
        <f>TablaDatos[[#This Row],[FechaIngreso]]+TablaDatos[[#This Row],[DiasNuevo]]</f>
        <v>45479</v>
      </c>
    </row>
    <row r="843" spans="1:15">
      <c r="A843">
        <v>842</v>
      </c>
      <c r="B843" t="s">
        <v>355</v>
      </c>
      <c r="C843" s="1">
        <v>33969</v>
      </c>
      <c r="D843">
        <v>33</v>
      </c>
      <c r="E843" s="4" t="s">
        <v>15</v>
      </c>
      <c r="F843" t="s">
        <v>261</v>
      </c>
      <c r="G843" s="1">
        <v>45244</v>
      </c>
      <c r="H843" s="1">
        <f>TablaDatos[[#This Row],[FechaIngreso]]+TablaDatos[[#This Row],[DiasNuevo]]</f>
        <v>45277</v>
      </c>
      <c r="I843">
        <v>33</v>
      </c>
      <c r="J843" t="s">
        <v>23</v>
      </c>
      <c r="K843" s="3">
        <v>5836.58</v>
      </c>
      <c r="L843" t="b">
        <f>TablaDatos[[#This Row],[FechaAlta]] &lt; TablaDatos[[#This Row],[FechaIngreso]]</f>
        <v>0</v>
      </c>
      <c r="M843">
        <f>_xlfn.XLOOKUP(TablaDatos[[#This Row],[PacienteID]],'Datos_Ejemplo.csv'!A:A,'Datos_Ejemplo.csv'!I:I)</f>
        <v>33</v>
      </c>
      <c r="N843">
        <f>ABS(TablaDatos[[#This Row],[DiasOriginal]])</f>
        <v>33</v>
      </c>
      <c r="O843" s="1">
        <f>TablaDatos[[#This Row],[FechaIngreso]]+TablaDatos[[#This Row],[DiasNuevo]]</f>
        <v>45277</v>
      </c>
    </row>
    <row r="844" spans="1:15">
      <c r="A844">
        <v>843</v>
      </c>
      <c r="B844" t="s">
        <v>303</v>
      </c>
      <c r="C844" s="1">
        <v>44196</v>
      </c>
      <c r="D844">
        <f ca="1">DATEDIF(TablaDatos[[#This Row],[FechaNacimiento]],TODAY(),"Y")</f>
        <v>5</v>
      </c>
      <c r="E844" s="4" t="s">
        <v>12</v>
      </c>
      <c r="F844" t="s">
        <v>13</v>
      </c>
      <c r="G844" s="1">
        <v>45024</v>
      </c>
      <c r="H844" s="1">
        <f>TablaDatos[[#This Row],[FechaIngreso]]+TablaDatos[[#This Row],[DiasNuevo]]</f>
        <v>45052</v>
      </c>
      <c r="I844">
        <v>28</v>
      </c>
      <c r="J844" t="s">
        <v>23</v>
      </c>
      <c r="K844" s="3">
        <v>17893.89</v>
      </c>
      <c r="L844" t="b">
        <f>TablaDatos[[#This Row],[FechaAlta]] &lt; TablaDatos[[#This Row],[FechaIngreso]]</f>
        <v>0</v>
      </c>
      <c r="M844">
        <f>_xlfn.XLOOKUP(TablaDatos[[#This Row],[PacienteID]],'Datos_Ejemplo.csv'!A:A,'Datos_Ejemplo.csv'!I:I)</f>
        <v>28</v>
      </c>
      <c r="N844">
        <f>ABS(TablaDatos[[#This Row],[DiasOriginal]])</f>
        <v>28</v>
      </c>
      <c r="O844" s="1">
        <f>TablaDatos[[#This Row],[FechaIngreso]]+TablaDatos[[#This Row],[DiasNuevo]]</f>
        <v>45052</v>
      </c>
    </row>
    <row r="845" spans="1:15">
      <c r="A845">
        <v>844</v>
      </c>
      <c r="B845" t="s">
        <v>346</v>
      </c>
      <c r="C845" s="1">
        <v>27029</v>
      </c>
      <c r="D845">
        <f ca="1">DATEDIF(TablaDatos[[#This Row],[FechaNacimiento]],TODAY(),"Y")</f>
        <v>52</v>
      </c>
      <c r="E845" s="4" t="s">
        <v>12</v>
      </c>
      <c r="F845" t="s">
        <v>261</v>
      </c>
      <c r="G845" s="1">
        <v>44983</v>
      </c>
      <c r="H845" s="1">
        <f>TablaDatos[[#This Row],[FechaIngreso]]+TablaDatos[[#This Row],[DiasNuevo]]</f>
        <v>45017</v>
      </c>
      <c r="I845">
        <v>34</v>
      </c>
      <c r="J845" t="s">
        <v>25</v>
      </c>
      <c r="K845" s="3">
        <v>3469.12</v>
      </c>
      <c r="L845" t="b">
        <f>TablaDatos[[#This Row],[FechaAlta]] &lt; TablaDatos[[#This Row],[FechaIngreso]]</f>
        <v>0</v>
      </c>
      <c r="M845">
        <f>_xlfn.XLOOKUP(TablaDatos[[#This Row],[PacienteID]],'Datos_Ejemplo.csv'!A:A,'Datos_Ejemplo.csv'!I:I)</f>
        <v>34</v>
      </c>
      <c r="N845">
        <f>ABS(TablaDatos[[#This Row],[DiasOriginal]])</f>
        <v>34</v>
      </c>
      <c r="O845" s="1">
        <f>TablaDatos[[#This Row],[FechaIngreso]]+TablaDatos[[#This Row],[DiasNuevo]]</f>
        <v>45017</v>
      </c>
    </row>
    <row r="846" spans="1:15">
      <c r="A846">
        <v>845</v>
      </c>
      <c r="B846" t="s">
        <v>327</v>
      </c>
      <c r="C846" s="1">
        <v>22281</v>
      </c>
      <c r="D846">
        <v>65</v>
      </c>
      <c r="E846" s="4" t="s">
        <v>12</v>
      </c>
      <c r="F846" t="s">
        <v>21</v>
      </c>
      <c r="G846" s="1">
        <v>45033</v>
      </c>
      <c r="H846" s="1">
        <f>TablaDatos[[#This Row],[FechaIngreso]]+TablaDatos[[#This Row],[DiasNuevo]]</f>
        <v>45053</v>
      </c>
      <c r="I846">
        <v>20</v>
      </c>
      <c r="J846" t="s">
        <v>23</v>
      </c>
      <c r="K846" s="3">
        <v>10654.25</v>
      </c>
      <c r="L846" t="b">
        <f>TablaDatos[[#This Row],[FechaAlta]] &lt; TablaDatos[[#This Row],[FechaIngreso]]</f>
        <v>0</v>
      </c>
      <c r="M846">
        <f>_xlfn.XLOOKUP(TablaDatos[[#This Row],[PacienteID]],'Datos_Ejemplo.csv'!A:A,'Datos_Ejemplo.csv'!I:I)</f>
        <v>20</v>
      </c>
      <c r="N846">
        <f>ABS(TablaDatos[[#This Row],[DiasOriginal]])</f>
        <v>20</v>
      </c>
      <c r="O846" s="1">
        <f>TablaDatos[[#This Row],[FechaIngreso]]+TablaDatos[[#This Row],[DiasNuevo]]</f>
        <v>45053</v>
      </c>
    </row>
    <row r="847" spans="1:15">
      <c r="A847">
        <v>846</v>
      </c>
      <c r="B847" t="s">
        <v>105</v>
      </c>
      <c r="C847" s="1">
        <v>18263</v>
      </c>
      <c r="D847">
        <v>76</v>
      </c>
      <c r="E847" s="4" t="s">
        <v>15</v>
      </c>
      <c r="F847" t="s">
        <v>13</v>
      </c>
      <c r="G847" s="1">
        <v>45014</v>
      </c>
      <c r="H847" s="1">
        <f>TablaDatos[[#This Row],[FechaIngreso]]+TablaDatos[[#This Row],[DiasNuevo]]</f>
        <v>45046</v>
      </c>
      <c r="I847">
        <v>32</v>
      </c>
      <c r="J847" t="s">
        <v>23</v>
      </c>
      <c r="K847" s="3">
        <v>14241.44</v>
      </c>
      <c r="L847" t="b">
        <f>TablaDatos[[#This Row],[FechaAlta]] &lt; TablaDatos[[#This Row],[FechaIngreso]]</f>
        <v>0</v>
      </c>
      <c r="M847">
        <f>_xlfn.XLOOKUP(TablaDatos[[#This Row],[PacienteID]],'Datos_Ejemplo.csv'!A:A,'Datos_Ejemplo.csv'!I:I)</f>
        <v>32</v>
      </c>
      <c r="N847">
        <f>ABS(TablaDatos[[#This Row],[DiasOriginal]])</f>
        <v>32</v>
      </c>
      <c r="O847" s="1">
        <f>TablaDatos[[#This Row],[FechaIngreso]]+TablaDatos[[#This Row],[DiasNuevo]]</f>
        <v>45046</v>
      </c>
    </row>
    <row r="848" spans="1:15">
      <c r="A848">
        <v>847</v>
      </c>
      <c r="B848" t="s">
        <v>258</v>
      </c>
      <c r="C848" s="1">
        <v>30682</v>
      </c>
      <c r="D848">
        <v>42</v>
      </c>
      <c r="E848" s="4" t="s">
        <v>15</v>
      </c>
      <c r="F848" t="s">
        <v>18</v>
      </c>
      <c r="G848" s="1">
        <v>45579</v>
      </c>
      <c r="H848" s="1">
        <f>TablaDatos[[#This Row],[FechaIngreso]]+TablaDatos[[#This Row],[DiasNuevo]]</f>
        <v>45580</v>
      </c>
      <c r="I848">
        <v>1</v>
      </c>
      <c r="J848" t="s">
        <v>23</v>
      </c>
      <c r="K848" s="3">
        <v>7867.45</v>
      </c>
      <c r="L848" t="b">
        <f>TablaDatos[[#This Row],[FechaAlta]] &lt; TablaDatos[[#This Row],[FechaIngreso]]</f>
        <v>0</v>
      </c>
      <c r="M848">
        <f>_xlfn.XLOOKUP(TablaDatos[[#This Row],[PacienteID]],'Datos_Ejemplo.csv'!A:A,'Datos_Ejemplo.csv'!I:I)</f>
        <v>1</v>
      </c>
      <c r="N848">
        <f>ABS(TablaDatos[[#This Row],[DiasOriginal]])</f>
        <v>1</v>
      </c>
      <c r="O848" s="1">
        <f>TablaDatos[[#This Row],[FechaIngreso]]+TablaDatos[[#This Row],[DiasNuevo]]</f>
        <v>45580</v>
      </c>
    </row>
    <row r="849" spans="1:15">
      <c r="A849">
        <v>848</v>
      </c>
      <c r="B849" t="s">
        <v>275</v>
      </c>
      <c r="C849" s="1">
        <v>18994</v>
      </c>
      <c r="D849">
        <v>74</v>
      </c>
      <c r="E849" s="4" t="s">
        <v>12</v>
      </c>
      <c r="F849" t="s">
        <v>295</v>
      </c>
      <c r="G849" s="1">
        <v>45582</v>
      </c>
      <c r="H849" s="1">
        <f>TablaDatos[[#This Row],[FechaIngreso]]+TablaDatos[[#This Row],[DiasNuevo]]</f>
        <v>45607</v>
      </c>
      <c r="I849">
        <v>25</v>
      </c>
      <c r="J849" t="s">
        <v>25</v>
      </c>
      <c r="K849" s="3">
        <v>702.04</v>
      </c>
      <c r="L849" t="b">
        <f>TablaDatos[[#This Row],[FechaAlta]] &lt; TablaDatos[[#This Row],[FechaIngreso]]</f>
        <v>0</v>
      </c>
      <c r="M849">
        <f>_xlfn.XLOOKUP(TablaDatos[[#This Row],[PacienteID]],'Datos_Ejemplo.csv'!A:A,'Datos_Ejemplo.csv'!I:I)</f>
        <v>25</v>
      </c>
      <c r="N849">
        <f>ABS(TablaDatos[[#This Row],[DiasOriginal]])</f>
        <v>25</v>
      </c>
      <c r="O849" s="1">
        <f>TablaDatos[[#This Row],[FechaIngreso]]+TablaDatos[[#This Row],[DiasNuevo]]</f>
        <v>45607</v>
      </c>
    </row>
    <row r="850" spans="1:15">
      <c r="A850">
        <v>849</v>
      </c>
      <c r="B850" t="s">
        <v>49</v>
      </c>
      <c r="C850" s="1">
        <v>37987</v>
      </c>
      <c r="D850">
        <v>22</v>
      </c>
      <c r="E850" s="4" t="s">
        <v>15</v>
      </c>
      <c r="F850" t="s">
        <v>201</v>
      </c>
      <c r="G850" s="1">
        <v>45297</v>
      </c>
      <c r="H850" s="1">
        <f>TablaDatos[[#This Row],[FechaIngreso]]+TablaDatos[[#This Row],[DiasNuevo]]</f>
        <v>45336</v>
      </c>
      <c r="I850">
        <v>39</v>
      </c>
      <c r="J850" t="s">
        <v>23</v>
      </c>
      <c r="K850" s="3">
        <v>4477.95</v>
      </c>
      <c r="L850" t="b">
        <f>TablaDatos[[#This Row],[FechaAlta]] &lt; TablaDatos[[#This Row],[FechaIngreso]]</f>
        <v>0</v>
      </c>
      <c r="M850">
        <f>_xlfn.XLOOKUP(TablaDatos[[#This Row],[PacienteID]],'Datos_Ejemplo.csv'!A:A,'Datos_Ejemplo.csv'!I:I)</f>
        <v>39</v>
      </c>
      <c r="N850">
        <f>ABS(TablaDatos[[#This Row],[DiasOriginal]])</f>
        <v>39</v>
      </c>
      <c r="O850" s="1">
        <f>TablaDatos[[#This Row],[FechaIngreso]]+TablaDatos[[#This Row],[DiasNuevo]]</f>
        <v>45336</v>
      </c>
    </row>
    <row r="851" spans="1:15">
      <c r="A851">
        <v>850</v>
      </c>
      <c r="B851" t="s">
        <v>55</v>
      </c>
      <c r="C851" s="1">
        <v>26299</v>
      </c>
      <c r="D851">
        <v>54</v>
      </c>
      <c r="E851" s="4" t="s">
        <v>15</v>
      </c>
      <c r="F851" t="s">
        <v>18</v>
      </c>
      <c r="G851" s="1">
        <v>45301</v>
      </c>
      <c r="H851" s="1">
        <f>TablaDatos[[#This Row],[FechaIngreso]]+TablaDatos[[#This Row],[DiasNuevo]]</f>
        <v>45339</v>
      </c>
      <c r="I851">
        <v>38</v>
      </c>
      <c r="J851" t="s">
        <v>19</v>
      </c>
      <c r="K851" s="3">
        <v>18026.34</v>
      </c>
      <c r="L851" t="b">
        <f>TablaDatos[[#This Row],[FechaAlta]] &lt; TablaDatos[[#This Row],[FechaIngreso]]</f>
        <v>0</v>
      </c>
      <c r="M851">
        <f>_xlfn.XLOOKUP(TablaDatos[[#This Row],[PacienteID]],'Datos_Ejemplo.csv'!A:A,'Datos_Ejemplo.csv'!I:I)</f>
        <v>38</v>
      </c>
      <c r="N851">
        <f>ABS(TablaDatos[[#This Row],[DiasOriginal]])</f>
        <v>38</v>
      </c>
      <c r="O851" s="1">
        <f>TablaDatos[[#This Row],[FechaIngreso]]+TablaDatos[[#This Row],[DiasNuevo]]</f>
        <v>45339</v>
      </c>
    </row>
    <row r="852" spans="1:15">
      <c r="A852">
        <v>851</v>
      </c>
      <c r="B852" t="s">
        <v>304</v>
      </c>
      <c r="C852" s="1">
        <v>17168</v>
      </c>
      <c r="D852">
        <v>79</v>
      </c>
      <c r="E852" s="4" t="s">
        <v>12</v>
      </c>
      <c r="F852" t="s">
        <v>261</v>
      </c>
      <c r="G852" s="1">
        <v>44978</v>
      </c>
      <c r="H852" s="1">
        <f>TablaDatos[[#This Row],[FechaIngreso]]+TablaDatos[[#This Row],[DiasNuevo]]</f>
        <v>45017</v>
      </c>
      <c r="I852">
        <v>39</v>
      </c>
      <c r="J852" t="s">
        <v>23</v>
      </c>
      <c r="K852" s="3">
        <v>10414.69</v>
      </c>
      <c r="L852" t="b">
        <f>TablaDatos[[#This Row],[FechaAlta]] &lt; TablaDatos[[#This Row],[FechaIngreso]]</f>
        <v>0</v>
      </c>
      <c r="M852">
        <f>_xlfn.XLOOKUP(TablaDatos[[#This Row],[PacienteID]],'Datos_Ejemplo.csv'!A:A,'Datos_Ejemplo.csv'!I:I)</f>
        <v>39</v>
      </c>
      <c r="N852">
        <f>ABS(TablaDatos[[#This Row],[DiasOriginal]])</f>
        <v>39</v>
      </c>
      <c r="O852" s="1">
        <f>TablaDatos[[#This Row],[FechaIngreso]]+TablaDatos[[#This Row],[DiasNuevo]]</f>
        <v>45017</v>
      </c>
    </row>
    <row r="853" spans="1:15">
      <c r="A853">
        <v>852</v>
      </c>
      <c r="B853" t="s">
        <v>236</v>
      </c>
      <c r="C853" s="1">
        <v>11689</v>
      </c>
      <c r="D853">
        <v>94</v>
      </c>
      <c r="E853" s="4" t="s">
        <v>15</v>
      </c>
      <c r="F853" t="s">
        <v>32</v>
      </c>
      <c r="G853" s="1">
        <v>45650</v>
      </c>
      <c r="H853" s="1">
        <f>TablaDatos[[#This Row],[FechaIngreso]]+TablaDatos[[#This Row],[DiasNuevo]]</f>
        <v>45660</v>
      </c>
      <c r="I853">
        <v>10</v>
      </c>
      <c r="J853" t="s">
        <v>23</v>
      </c>
      <c r="K853" s="3">
        <v>16290.37</v>
      </c>
      <c r="L853" t="b">
        <f>TablaDatos[[#This Row],[FechaAlta]] &lt; TablaDatos[[#This Row],[FechaIngreso]]</f>
        <v>0</v>
      </c>
      <c r="M853">
        <f>_xlfn.XLOOKUP(TablaDatos[[#This Row],[PacienteID]],'Datos_Ejemplo.csv'!A:A,'Datos_Ejemplo.csv'!I:I)</f>
        <v>10</v>
      </c>
      <c r="N853">
        <f>ABS(TablaDatos[[#This Row],[DiasOriginal]])</f>
        <v>10</v>
      </c>
      <c r="O853" s="1">
        <f>TablaDatos[[#This Row],[FechaIngreso]]+TablaDatos[[#This Row],[DiasNuevo]]</f>
        <v>45660</v>
      </c>
    </row>
    <row r="854" spans="1:15">
      <c r="A854">
        <v>853</v>
      </c>
      <c r="B854" t="s">
        <v>136</v>
      </c>
      <c r="C854" s="1">
        <v>18994</v>
      </c>
      <c r="D854">
        <v>74</v>
      </c>
      <c r="E854" s="4" t="s">
        <v>15</v>
      </c>
      <c r="F854" t="s">
        <v>261</v>
      </c>
      <c r="G854" s="1">
        <v>44967</v>
      </c>
      <c r="H854" s="1">
        <f>TablaDatos[[#This Row],[FechaIngreso]]+TablaDatos[[#This Row],[DiasNuevo]]</f>
        <v>44969</v>
      </c>
      <c r="I854">
        <v>2</v>
      </c>
      <c r="J854" t="s">
        <v>23</v>
      </c>
      <c r="K854" s="3">
        <v>11069.28</v>
      </c>
      <c r="L854" t="b">
        <f>TablaDatos[[#This Row],[FechaAlta]] &lt; TablaDatos[[#This Row],[FechaIngreso]]</f>
        <v>0</v>
      </c>
      <c r="M854">
        <f>_xlfn.XLOOKUP(TablaDatos[[#This Row],[PacienteID]],'Datos_Ejemplo.csv'!A:A,'Datos_Ejemplo.csv'!I:I)</f>
        <v>-2</v>
      </c>
      <c r="N854">
        <f>ABS(TablaDatos[[#This Row],[DiasOriginal]])</f>
        <v>2</v>
      </c>
      <c r="O854" s="1">
        <f>TablaDatos[[#This Row],[FechaIngreso]]+TablaDatos[[#This Row],[DiasNuevo]]</f>
        <v>44969</v>
      </c>
    </row>
    <row r="855" spans="1:15">
      <c r="A855">
        <v>854</v>
      </c>
      <c r="B855" t="s">
        <v>301</v>
      </c>
      <c r="C855" s="1">
        <v>40544</v>
      </c>
      <c r="D855">
        <v>15</v>
      </c>
      <c r="E855" s="4" t="s">
        <v>15</v>
      </c>
      <c r="F855" t="s">
        <v>201</v>
      </c>
      <c r="G855" s="1">
        <v>45017</v>
      </c>
      <c r="H855" s="1">
        <f>TablaDatos[[#This Row],[FechaIngreso]]+TablaDatos[[#This Row],[DiasNuevo]]</f>
        <v>45026</v>
      </c>
      <c r="I855">
        <v>9</v>
      </c>
      <c r="J855" t="s">
        <v>25</v>
      </c>
      <c r="K855" s="3">
        <v>18866.400000000001</v>
      </c>
      <c r="L855" t="b">
        <f>TablaDatos[[#This Row],[FechaAlta]] &lt; TablaDatos[[#This Row],[FechaIngreso]]</f>
        <v>0</v>
      </c>
      <c r="M855">
        <f>_xlfn.XLOOKUP(TablaDatos[[#This Row],[PacienteID]],'Datos_Ejemplo.csv'!A:A,'Datos_Ejemplo.csv'!I:I)</f>
        <v>9</v>
      </c>
      <c r="N855">
        <f>ABS(TablaDatos[[#This Row],[DiasOriginal]])</f>
        <v>9</v>
      </c>
      <c r="O855" s="1">
        <f>TablaDatos[[#This Row],[FechaIngreso]]+TablaDatos[[#This Row],[DiasNuevo]]</f>
        <v>45026</v>
      </c>
    </row>
    <row r="856" spans="1:15">
      <c r="A856">
        <v>855</v>
      </c>
      <c r="B856" t="s">
        <v>239</v>
      </c>
      <c r="C856" s="1">
        <v>43466</v>
      </c>
      <c r="D856">
        <v>7</v>
      </c>
      <c r="E856" s="4" t="s">
        <v>12</v>
      </c>
      <c r="F856" t="s">
        <v>201</v>
      </c>
      <c r="G856" s="1">
        <v>44965</v>
      </c>
      <c r="H856" s="1">
        <f>TablaDatos[[#This Row],[FechaIngreso]]+TablaDatos[[#This Row],[DiasNuevo]]</f>
        <v>45002</v>
      </c>
      <c r="I856">
        <v>37</v>
      </c>
      <c r="J856" t="s">
        <v>23</v>
      </c>
      <c r="K856" s="3">
        <v>18173.59</v>
      </c>
      <c r="L856" t="b">
        <f>TablaDatos[[#This Row],[FechaAlta]] &lt; TablaDatos[[#This Row],[FechaIngreso]]</f>
        <v>0</v>
      </c>
      <c r="M856">
        <f>_xlfn.XLOOKUP(TablaDatos[[#This Row],[PacienteID]],'Datos_Ejemplo.csv'!A:A,'Datos_Ejemplo.csv'!I:I)</f>
        <v>37</v>
      </c>
      <c r="N856">
        <f>ABS(TablaDatos[[#This Row],[DiasOriginal]])</f>
        <v>37</v>
      </c>
      <c r="O856" s="1">
        <f>TablaDatos[[#This Row],[FechaIngreso]]+TablaDatos[[#This Row],[DiasNuevo]]</f>
        <v>45002</v>
      </c>
    </row>
    <row r="857" spans="1:15">
      <c r="A857">
        <v>856</v>
      </c>
      <c r="B857" t="s">
        <v>350</v>
      </c>
      <c r="C857" s="1">
        <v>44927</v>
      </c>
      <c r="D857">
        <v>3</v>
      </c>
      <c r="E857" s="4" t="s">
        <v>12</v>
      </c>
      <c r="F857" t="s">
        <v>32</v>
      </c>
      <c r="G857" s="1">
        <v>44939</v>
      </c>
      <c r="H857" s="1">
        <f>TablaDatos[[#This Row],[FechaIngreso]]+TablaDatos[[#This Row],[DiasNuevo]]</f>
        <v>44962</v>
      </c>
      <c r="I857">
        <v>23</v>
      </c>
      <c r="J857" t="s">
        <v>23</v>
      </c>
      <c r="K857" s="3">
        <v>9606.0499999999993</v>
      </c>
      <c r="L857" t="b">
        <f>TablaDatos[[#This Row],[FechaAlta]] &lt; TablaDatos[[#This Row],[FechaIngreso]]</f>
        <v>0</v>
      </c>
      <c r="M857">
        <f>_xlfn.XLOOKUP(TablaDatos[[#This Row],[PacienteID]],'Datos_Ejemplo.csv'!A:A,'Datos_Ejemplo.csv'!I:I)</f>
        <v>23</v>
      </c>
      <c r="N857">
        <f>ABS(TablaDatos[[#This Row],[DiasOriginal]])</f>
        <v>23</v>
      </c>
      <c r="O857" s="1">
        <f>TablaDatos[[#This Row],[FechaIngreso]]+TablaDatos[[#This Row],[DiasNuevo]]</f>
        <v>44962</v>
      </c>
    </row>
    <row r="858" spans="1:15">
      <c r="A858">
        <v>857</v>
      </c>
      <c r="B858" t="s">
        <v>305</v>
      </c>
      <c r="C858" s="1">
        <f ca="1">DATE(YEAR(TODAY())-TablaDatos[[#This Row],[Edad]],1,1)</f>
        <v>44927</v>
      </c>
      <c r="D858">
        <v>3</v>
      </c>
      <c r="E858" s="4" t="s">
        <v>15</v>
      </c>
      <c r="F858" t="s">
        <v>18</v>
      </c>
      <c r="G858" s="1">
        <v>45534</v>
      </c>
      <c r="H858" s="1">
        <f>TablaDatos[[#This Row],[FechaIngreso]]+TablaDatos[[#This Row],[DiasNuevo]]</f>
        <v>45554</v>
      </c>
      <c r="I858">
        <v>20</v>
      </c>
      <c r="J858" t="s">
        <v>25</v>
      </c>
      <c r="K858" s="3">
        <v>6297.31</v>
      </c>
      <c r="L858" t="b">
        <f>TablaDatos[[#This Row],[FechaAlta]] &lt; TablaDatos[[#This Row],[FechaIngreso]]</f>
        <v>0</v>
      </c>
      <c r="M858">
        <f>_xlfn.XLOOKUP(TablaDatos[[#This Row],[PacienteID]],'Datos_Ejemplo.csv'!A:A,'Datos_Ejemplo.csv'!I:I)</f>
        <v>20</v>
      </c>
      <c r="N858">
        <f>ABS(TablaDatos[[#This Row],[DiasOriginal]])</f>
        <v>20</v>
      </c>
      <c r="O858" s="1">
        <f>TablaDatos[[#This Row],[FechaIngreso]]+TablaDatos[[#This Row],[DiasNuevo]]</f>
        <v>45554</v>
      </c>
    </row>
    <row r="859" spans="1:15">
      <c r="A859">
        <v>858</v>
      </c>
      <c r="B859" t="s">
        <v>354</v>
      </c>
      <c r="C859" s="1">
        <v>25934</v>
      </c>
      <c r="D859">
        <v>55</v>
      </c>
      <c r="E859" s="4" t="s">
        <v>15</v>
      </c>
      <c r="F859" t="s">
        <v>18</v>
      </c>
      <c r="G859" s="1">
        <v>45547</v>
      </c>
      <c r="H859" s="1">
        <f>TablaDatos[[#This Row],[FechaIngreso]]+TablaDatos[[#This Row],[DiasNuevo]]</f>
        <v>45566</v>
      </c>
      <c r="I859">
        <v>19</v>
      </c>
      <c r="J859" t="s">
        <v>23</v>
      </c>
      <c r="K859" s="3">
        <v>11993.54</v>
      </c>
      <c r="L859" t="b">
        <f>TablaDatos[[#This Row],[FechaAlta]] &lt; TablaDatos[[#This Row],[FechaIngreso]]</f>
        <v>0</v>
      </c>
      <c r="M859">
        <f>_xlfn.XLOOKUP(TablaDatos[[#This Row],[PacienteID]],'Datos_Ejemplo.csv'!A:A,'Datos_Ejemplo.csv'!I:I)</f>
        <v>19</v>
      </c>
      <c r="N859">
        <f>ABS(TablaDatos[[#This Row],[DiasOriginal]])</f>
        <v>19</v>
      </c>
      <c r="O859" s="1">
        <f>TablaDatos[[#This Row],[FechaIngreso]]+TablaDatos[[#This Row],[DiasNuevo]]</f>
        <v>45566</v>
      </c>
    </row>
    <row r="860" spans="1:15">
      <c r="A860">
        <v>859</v>
      </c>
      <c r="B860" t="s">
        <v>308</v>
      </c>
      <c r="C860" s="1">
        <v>37256</v>
      </c>
      <c r="D860">
        <v>24</v>
      </c>
      <c r="E860" s="4" t="s">
        <v>15</v>
      </c>
      <c r="F860" t="s">
        <v>32</v>
      </c>
      <c r="G860" s="1">
        <v>45030</v>
      </c>
      <c r="H860" s="1">
        <f>TablaDatos[[#This Row],[FechaIngreso]]+TablaDatos[[#This Row],[DiasNuevo]]</f>
        <v>45055</v>
      </c>
      <c r="I860">
        <v>25</v>
      </c>
      <c r="J860" t="s">
        <v>23</v>
      </c>
      <c r="K860" s="3">
        <v>13465.24</v>
      </c>
      <c r="L860" t="b">
        <f>TablaDatos[[#This Row],[FechaAlta]] &lt; TablaDatos[[#This Row],[FechaIngreso]]</f>
        <v>0</v>
      </c>
      <c r="M860">
        <f>_xlfn.XLOOKUP(TablaDatos[[#This Row],[PacienteID]],'Datos_Ejemplo.csv'!A:A,'Datos_Ejemplo.csv'!I:I)</f>
        <v>25</v>
      </c>
      <c r="N860">
        <f>ABS(TablaDatos[[#This Row],[DiasOriginal]])</f>
        <v>25</v>
      </c>
      <c r="O860" s="1">
        <f>TablaDatos[[#This Row],[FechaIngreso]]+TablaDatos[[#This Row],[DiasNuevo]]</f>
        <v>45055</v>
      </c>
    </row>
    <row r="861" spans="1:15">
      <c r="A861">
        <v>860</v>
      </c>
      <c r="B861" t="s">
        <v>279</v>
      </c>
      <c r="C861" s="1">
        <v>21916</v>
      </c>
      <c r="D861">
        <v>66</v>
      </c>
      <c r="E861" s="4" t="s">
        <v>12</v>
      </c>
      <c r="F861" t="s">
        <v>21</v>
      </c>
      <c r="G861" s="1">
        <v>44969</v>
      </c>
      <c r="H861" s="1">
        <f>TablaDatos[[#This Row],[FechaIngreso]]+TablaDatos[[#This Row],[DiasNuevo]]</f>
        <v>44983</v>
      </c>
      <c r="I861">
        <v>14</v>
      </c>
      <c r="J861" t="s">
        <v>25</v>
      </c>
      <c r="K861" s="3">
        <v>9916.94</v>
      </c>
      <c r="L861" t="b">
        <f>TablaDatos[[#This Row],[FechaAlta]] &lt; TablaDatos[[#This Row],[FechaIngreso]]</f>
        <v>0</v>
      </c>
      <c r="M861">
        <f>_xlfn.XLOOKUP(TablaDatos[[#This Row],[PacienteID]],'Datos_Ejemplo.csv'!A:A,'Datos_Ejemplo.csv'!I:I)</f>
        <v>14</v>
      </c>
      <c r="N861">
        <f>ABS(TablaDatos[[#This Row],[DiasOriginal]])</f>
        <v>14</v>
      </c>
      <c r="O861" s="1">
        <f>TablaDatos[[#This Row],[FechaIngreso]]+TablaDatos[[#This Row],[DiasNuevo]]</f>
        <v>44983</v>
      </c>
    </row>
    <row r="862" spans="1:15">
      <c r="A862">
        <v>861</v>
      </c>
      <c r="B862" t="s">
        <v>368</v>
      </c>
      <c r="C862" s="1">
        <v>21916</v>
      </c>
      <c r="D862">
        <v>66</v>
      </c>
      <c r="E862" s="4" t="s">
        <v>15</v>
      </c>
      <c r="F862" t="s">
        <v>295</v>
      </c>
      <c r="G862" s="1">
        <v>45135</v>
      </c>
      <c r="H862" s="1">
        <f>TablaDatos[[#This Row],[FechaIngreso]]+TablaDatos[[#This Row],[DiasNuevo]]</f>
        <v>45138</v>
      </c>
      <c r="I862">
        <v>3</v>
      </c>
      <c r="J862" t="s">
        <v>23</v>
      </c>
      <c r="K862" s="3">
        <v>16427.89</v>
      </c>
      <c r="L862" t="b">
        <f>TablaDatos[[#This Row],[FechaAlta]] &lt; TablaDatos[[#This Row],[FechaIngreso]]</f>
        <v>0</v>
      </c>
      <c r="M862">
        <f>_xlfn.XLOOKUP(TablaDatos[[#This Row],[PacienteID]],'Datos_Ejemplo.csv'!A:A,'Datos_Ejemplo.csv'!I:I)</f>
        <v>3</v>
      </c>
      <c r="N862">
        <f>ABS(TablaDatos[[#This Row],[DiasOriginal]])</f>
        <v>3</v>
      </c>
      <c r="O862" s="1">
        <f>TablaDatos[[#This Row],[FechaIngreso]]+TablaDatos[[#This Row],[DiasNuevo]]</f>
        <v>45138</v>
      </c>
    </row>
    <row r="863" spans="1:15">
      <c r="A863">
        <v>862</v>
      </c>
      <c r="B863" t="s">
        <v>365</v>
      </c>
      <c r="C863" s="1">
        <v>36526</v>
      </c>
      <c r="D863">
        <v>26</v>
      </c>
      <c r="E863" s="4" t="s">
        <v>12</v>
      </c>
      <c r="F863" t="s">
        <v>13</v>
      </c>
      <c r="G863" s="1">
        <v>45526</v>
      </c>
      <c r="H863" s="1">
        <f>TablaDatos[[#This Row],[FechaIngreso]]+TablaDatos[[#This Row],[DiasNuevo]]</f>
        <v>45537</v>
      </c>
      <c r="I863">
        <v>11</v>
      </c>
      <c r="J863" t="s">
        <v>23</v>
      </c>
      <c r="K863" s="3">
        <v>3584.9</v>
      </c>
      <c r="L863" t="b">
        <f>TablaDatos[[#This Row],[FechaAlta]] &lt; TablaDatos[[#This Row],[FechaIngreso]]</f>
        <v>0</v>
      </c>
      <c r="M863">
        <f>_xlfn.XLOOKUP(TablaDatos[[#This Row],[PacienteID]],'Datos_Ejemplo.csv'!A:A,'Datos_Ejemplo.csv'!I:I)</f>
        <v>11</v>
      </c>
      <c r="N863">
        <f>ABS(TablaDatos[[#This Row],[DiasOriginal]])</f>
        <v>11</v>
      </c>
      <c r="O863" s="1">
        <f>TablaDatos[[#This Row],[FechaIngreso]]+TablaDatos[[#This Row],[DiasNuevo]]</f>
        <v>45537</v>
      </c>
    </row>
    <row r="864" spans="1:15">
      <c r="A864">
        <v>863</v>
      </c>
      <c r="B864" t="s">
        <v>365</v>
      </c>
      <c r="C864" s="1">
        <v>12419</v>
      </c>
      <c r="D864">
        <v>92</v>
      </c>
      <c r="E864" s="4" t="s">
        <v>15</v>
      </c>
      <c r="F864" t="s">
        <v>18</v>
      </c>
      <c r="G864" s="1">
        <v>45531</v>
      </c>
      <c r="H864" s="1">
        <f>TablaDatos[[#This Row],[FechaIngreso]]+TablaDatos[[#This Row],[DiasNuevo]]</f>
        <v>45545</v>
      </c>
      <c r="I864">
        <v>14</v>
      </c>
      <c r="J864" t="s">
        <v>25</v>
      </c>
      <c r="K864" s="3">
        <v>6621.68</v>
      </c>
      <c r="L864" t="b">
        <f>TablaDatos[[#This Row],[FechaAlta]] &lt; TablaDatos[[#This Row],[FechaIngreso]]</f>
        <v>0</v>
      </c>
      <c r="M864">
        <f>_xlfn.XLOOKUP(TablaDatos[[#This Row],[PacienteID]],'Datos_Ejemplo.csv'!A:A,'Datos_Ejemplo.csv'!I:I)</f>
        <v>14</v>
      </c>
      <c r="N864">
        <f>ABS(TablaDatos[[#This Row],[DiasOriginal]])</f>
        <v>14</v>
      </c>
      <c r="O864" s="1">
        <f>TablaDatos[[#This Row],[FechaIngreso]]+TablaDatos[[#This Row],[DiasNuevo]]</f>
        <v>45545</v>
      </c>
    </row>
    <row r="865" spans="1:15">
      <c r="A865">
        <v>864</v>
      </c>
      <c r="B865" t="s">
        <v>367</v>
      </c>
      <c r="C865" s="1">
        <v>34700</v>
      </c>
      <c r="D865">
        <v>31</v>
      </c>
      <c r="E865" s="4" t="s">
        <v>197</v>
      </c>
      <c r="F865" t="s">
        <v>295</v>
      </c>
      <c r="G865" s="1">
        <v>45612</v>
      </c>
      <c r="H865" s="1">
        <f>TablaDatos[[#This Row],[FechaIngreso]]+TablaDatos[[#This Row],[DiasNuevo]]</f>
        <v>45647</v>
      </c>
      <c r="I865">
        <v>35</v>
      </c>
      <c r="J865" t="s">
        <v>25</v>
      </c>
      <c r="K865" s="3">
        <v>13696.16</v>
      </c>
      <c r="L865" t="b">
        <f>TablaDatos[[#This Row],[FechaAlta]] &lt; TablaDatos[[#This Row],[FechaIngreso]]</f>
        <v>0</v>
      </c>
      <c r="M865">
        <f>_xlfn.XLOOKUP(TablaDatos[[#This Row],[PacienteID]],'Datos_Ejemplo.csv'!A:A,'Datos_Ejemplo.csv'!I:I)</f>
        <v>35</v>
      </c>
      <c r="N865">
        <f>ABS(TablaDatos[[#This Row],[DiasOriginal]])</f>
        <v>35</v>
      </c>
      <c r="O865" s="1">
        <f>TablaDatos[[#This Row],[FechaIngreso]]+TablaDatos[[#This Row],[DiasNuevo]]</f>
        <v>45647</v>
      </c>
    </row>
    <row r="866" spans="1:15">
      <c r="A866">
        <v>865</v>
      </c>
      <c r="B866" t="s">
        <v>161</v>
      </c>
      <c r="C866" s="1">
        <v>28125</v>
      </c>
      <c r="D866">
        <v>49</v>
      </c>
      <c r="E866" s="4" t="s">
        <v>15</v>
      </c>
      <c r="F866" t="s">
        <v>13</v>
      </c>
      <c r="G866" s="1">
        <v>45402</v>
      </c>
      <c r="H866" s="1">
        <f>TablaDatos[[#This Row],[FechaIngreso]]+TablaDatos[[#This Row],[DiasNuevo]]</f>
        <v>45404</v>
      </c>
      <c r="I866">
        <v>2</v>
      </c>
      <c r="J866" t="s">
        <v>23</v>
      </c>
      <c r="K866" s="3">
        <v>4858.3500000000004</v>
      </c>
      <c r="L866" t="b">
        <f>TablaDatos[[#This Row],[FechaAlta]] &lt; TablaDatos[[#This Row],[FechaIngreso]]</f>
        <v>0</v>
      </c>
      <c r="M866">
        <f>_xlfn.XLOOKUP(TablaDatos[[#This Row],[PacienteID]],'Datos_Ejemplo.csv'!A:A,'Datos_Ejemplo.csv'!I:I)</f>
        <v>2</v>
      </c>
      <c r="N866">
        <f>ABS(TablaDatos[[#This Row],[DiasOriginal]])</f>
        <v>2</v>
      </c>
      <c r="O866" s="1">
        <f>TablaDatos[[#This Row],[FechaIngreso]]+TablaDatos[[#This Row],[DiasNuevo]]</f>
        <v>45404</v>
      </c>
    </row>
    <row r="867" spans="1:15">
      <c r="A867">
        <v>866</v>
      </c>
      <c r="B867" t="s">
        <v>114</v>
      </c>
      <c r="C867" s="1">
        <v>24107</v>
      </c>
      <c r="D867">
        <v>60</v>
      </c>
      <c r="E867" s="4" t="s">
        <v>12</v>
      </c>
      <c r="F867" t="s">
        <v>261</v>
      </c>
      <c r="G867" s="1">
        <v>45564</v>
      </c>
      <c r="H867" s="1">
        <f>TablaDatos[[#This Row],[FechaIngreso]]+TablaDatos[[#This Row],[DiasNuevo]]</f>
        <v>45574</v>
      </c>
      <c r="I867">
        <v>10</v>
      </c>
      <c r="J867" t="s">
        <v>23</v>
      </c>
      <c r="K867" s="3">
        <v>8740.8799999999992</v>
      </c>
      <c r="L867" t="b">
        <f>TablaDatos[[#This Row],[FechaAlta]] &lt; TablaDatos[[#This Row],[FechaIngreso]]</f>
        <v>0</v>
      </c>
      <c r="M867">
        <f>_xlfn.XLOOKUP(TablaDatos[[#This Row],[PacienteID]],'Datos_Ejemplo.csv'!A:A,'Datos_Ejemplo.csv'!I:I)</f>
        <v>10</v>
      </c>
      <c r="N867">
        <f>ABS(TablaDatos[[#This Row],[DiasOriginal]])</f>
        <v>10</v>
      </c>
      <c r="O867" s="1">
        <f>TablaDatos[[#This Row],[FechaIngreso]]+TablaDatos[[#This Row],[DiasNuevo]]</f>
        <v>45574</v>
      </c>
    </row>
    <row r="868" spans="1:15">
      <c r="A868">
        <v>867</v>
      </c>
      <c r="B868" t="s">
        <v>274</v>
      </c>
      <c r="C868" s="1">
        <f ca="1">DATE(YEAR(TODAY())-TablaDatos[[#This Row],[Edad]],1,1)</f>
        <v>27760</v>
      </c>
      <c r="D868">
        <v>50</v>
      </c>
      <c r="E868" s="4" t="s">
        <v>15</v>
      </c>
      <c r="F868" t="s">
        <v>13</v>
      </c>
      <c r="G868" s="1">
        <v>45035</v>
      </c>
      <c r="H868" s="1">
        <f>TablaDatos[[#This Row],[FechaIngreso]]+TablaDatos[[#This Row],[DiasNuevo]]</f>
        <v>45041</v>
      </c>
      <c r="I868">
        <v>6</v>
      </c>
      <c r="J868" t="s">
        <v>23</v>
      </c>
      <c r="K868" s="3">
        <v>19271.04</v>
      </c>
      <c r="L868" t="b">
        <f>TablaDatos[[#This Row],[FechaAlta]] &lt; TablaDatos[[#This Row],[FechaIngreso]]</f>
        <v>0</v>
      </c>
      <c r="M868">
        <f>_xlfn.XLOOKUP(TablaDatos[[#This Row],[PacienteID]],'Datos_Ejemplo.csv'!A:A,'Datos_Ejemplo.csv'!I:I)</f>
        <v>6</v>
      </c>
      <c r="N868">
        <f>ABS(TablaDatos[[#This Row],[DiasOriginal]])</f>
        <v>6</v>
      </c>
      <c r="O868" s="1">
        <f>TablaDatos[[#This Row],[FechaIngreso]]+TablaDatos[[#This Row],[DiasNuevo]]</f>
        <v>45041</v>
      </c>
    </row>
    <row r="869" spans="1:15">
      <c r="A869">
        <v>868</v>
      </c>
      <c r="B869" t="s">
        <v>90</v>
      </c>
      <c r="C869" s="1">
        <v>39448</v>
      </c>
      <c r="D869">
        <v>18</v>
      </c>
      <c r="E869" s="4" t="s">
        <v>15</v>
      </c>
      <c r="F869" t="s">
        <v>18</v>
      </c>
      <c r="G869" s="1">
        <v>45485</v>
      </c>
      <c r="H869" s="1">
        <f>TablaDatos[[#This Row],[FechaIngreso]]+TablaDatos[[#This Row],[DiasNuevo]]</f>
        <v>45524</v>
      </c>
      <c r="I869">
        <v>39</v>
      </c>
      <c r="J869" t="s">
        <v>23</v>
      </c>
      <c r="K869" s="3">
        <v>12480.11</v>
      </c>
      <c r="L869" t="b">
        <f>TablaDatos[[#This Row],[FechaAlta]] &lt; TablaDatos[[#This Row],[FechaIngreso]]</f>
        <v>0</v>
      </c>
      <c r="M869">
        <f>_xlfn.XLOOKUP(TablaDatos[[#This Row],[PacienteID]],'Datos_Ejemplo.csv'!A:A,'Datos_Ejemplo.csv'!I:I)</f>
        <v>39</v>
      </c>
      <c r="N869">
        <f>ABS(TablaDatos[[#This Row],[DiasOriginal]])</f>
        <v>39</v>
      </c>
      <c r="O869" s="1">
        <f>TablaDatos[[#This Row],[FechaIngreso]]+TablaDatos[[#This Row],[DiasNuevo]]</f>
        <v>45524</v>
      </c>
    </row>
    <row r="870" spans="1:15">
      <c r="A870">
        <v>869</v>
      </c>
      <c r="B870" t="s">
        <v>351</v>
      </c>
      <c r="C870" s="1">
        <v>38717</v>
      </c>
      <c r="D870">
        <v>20</v>
      </c>
      <c r="E870" s="4" t="s">
        <v>12</v>
      </c>
      <c r="F870" t="s">
        <v>21</v>
      </c>
      <c r="G870" s="1">
        <v>45140</v>
      </c>
      <c r="H870" s="1">
        <f>TablaDatos[[#This Row],[FechaIngreso]]+TablaDatos[[#This Row],[DiasNuevo]]</f>
        <v>45163</v>
      </c>
      <c r="I870">
        <v>23</v>
      </c>
      <c r="J870" t="s">
        <v>23</v>
      </c>
      <c r="K870" s="3">
        <v>18976.05</v>
      </c>
      <c r="L870" t="b">
        <f>TablaDatos[[#This Row],[FechaAlta]] &lt; TablaDatos[[#This Row],[FechaIngreso]]</f>
        <v>0</v>
      </c>
      <c r="M870">
        <f>_xlfn.XLOOKUP(TablaDatos[[#This Row],[PacienteID]],'Datos_Ejemplo.csv'!A:A,'Datos_Ejemplo.csv'!I:I)</f>
        <v>23</v>
      </c>
      <c r="N870">
        <f>ABS(TablaDatos[[#This Row],[DiasOriginal]])</f>
        <v>23</v>
      </c>
      <c r="O870" s="1">
        <f>TablaDatos[[#This Row],[FechaIngreso]]+TablaDatos[[#This Row],[DiasNuevo]]</f>
        <v>45163</v>
      </c>
    </row>
    <row r="871" spans="1:15">
      <c r="A871">
        <v>870</v>
      </c>
      <c r="B871" t="s">
        <v>358</v>
      </c>
      <c r="C871" s="1">
        <v>44561</v>
      </c>
      <c r="D871">
        <v>4</v>
      </c>
      <c r="E871" s="4" t="s">
        <v>12</v>
      </c>
      <c r="F871" t="s">
        <v>21</v>
      </c>
      <c r="G871" s="1">
        <v>45530</v>
      </c>
      <c r="H871" s="1">
        <f>TablaDatos[[#This Row],[FechaIngreso]]+TablaDatos[[#This Row],[DiasNuevo]]</f>
        <v>45540</v>
      </c>
      <c r="I871">
        <v>10</v>
      </c>
      <c r="J871" t="s">
        <v>23</v>
      </c>
      <c r="K871" s="3">
        <v>14421.07</v>
      </c>
      <c r="L871" t="b">
        <f>TablaDatos[[#This Row],[FechaAlta]] &lt; TablaDatos[[#This Row],[FechaIngreso]]</f>
        <v>0</v>
      </c>
      <c r="M871">
        <f>_xlfn.XLOOKUP(TablaDatos[[#This Row],[PacienteID]],'Datos_Ejemplo.csv'!A:A,'Datos_Ejemplo.csv'!I:I)</f>
        <v>10</v>
      </c>
      <c r="N871">
        <f>ABS(TablaDatos[[#This Row],[DiasOriginal]])</f>
        <v>10</v>
      </c>
      <c r="O871" s="1">
        <f>TablaDatos[[#This Row],[FechaIngreso]]+TablaDatos[[#This Row],[DiasNuevo]]</f>
        <v>45540</v>
      </c>
    </row>
    <row r="872" spans="1:15">
      <c r="A872">
        <v>871</v>
      </c>
      <c r="B872" t="s">
        <v>105</v>
      </c>
      <c r="C872" s="1">
        <v>16437</v>
      </c>
      <c r="D872">
        <v>81</v>
      </c>
      <c r="E872" s="4" t="s">
        <v>15</v>
      </c>
      <c r="F872" t="s">
        <v>295</v>
      </c>
      <c r="G872" s="1">
        <v>45619</v>
      </c>
      <c r="H872" s="1">
        <f>TablaDatos[[#This Row],[FechaIngreso]]+TablaDatos[[#This Row],[DiasNuevo]]</f>
        <v>45635</v>
      </c>
      <c r="I872">
        <v>16</v>
      </c>
      <c r="J872" t="s">
        <v>23</v>
      </c>
      <c r="K872" s="3">
        <v>14465.8</v>
      </c>
      <c r="L872" t="b">
        <f>TablaDatos[[#This Row],[FechaAlta]] &lt; TablaDatos[[#This Row],[FechaIngreso]]</f>
        <v>0</v>
      </c>
      <c r="M872">
        <f>_xlfn.XLOOKUP(TablaDatos[[#This Row],[PacienteID]],'Datos_Ejemplo.csv'!A:A,'Datos_Ejemplo.csv'!I:I)</f>
        <v>16</v>
      </c>
      <c r="N872">
        <f>ABS(TablaDatos[[#This Row],[DiasOriginal]])</f>
        <v>16</v>
      </c>
      <c r="O872" s="1">
        <f>TablaDatos[[#This Row],[FechaIngreso]]+TablaDatos[[#This Row],[DiasNuevo]]</f>
        <v>45635</v>
      </c>
    </row>
    <row r="873" spans="1:15">
      <c r="A873">
        <v>872</v>
      </c>
      <c r="B873" t="s">
        <v>367</v>
      </c>
      <c r="C873" s="1">
        <v>12785</v>
      </c>
      <c r="D873">
        <v>91</v>
      </c>
      <c r="E873" s="4" t="s">
        <v>12</v>
      </c>
      <c r="F873" t="s">
        <v>261</v>
      </c>
      <c r="G873" s="1">
        <v>45335</v>
      </c>
      <c r="H873" s="1">
        <f>TablaDatos[[#This Row],[FechaIngreso]]+TablaDatos[[#This Row],[DiasNuevo]]</f>
        <v>45349</v>
      </c>
      <c r="I873">
        <v>14</v>
      </c>
      <c r="J873" t="s">
        <v>19</v>
      </c>
      <c r="K873" s="3">
        <v>11796.33</v>
      </c>
      <c r="L873" t="b">
        <f>TablaDatos[[#This Row],[FechaAlta]] &lt; TablaDatos[[#This Row],[FechaIngreso]]</f>
        <v>0</v>
      </c>
      <c r="M873">
        <f>_xlfn.XLOOKUP(TablaDatos[[#This Row],[PacienteID]],'Datos_Ejemplo.csv'!A:A,'Datos_Ejemplo.csv'!I:I)</f>
        <v>14</v>
      </c>
      <c r="N873">
        <f>ABS(TablaDatos[[#This Row],[DiasOriginal]])</f>
        <v>14</v>
      </c>
      <c r="O873" s="1">
        <f>TablaDatos[[#This Row],[FechaIngreso]]+TablaDatos[[#This Row],[DiasNuevo]]</f>
        <v>45349</v>
      </c>
    </row>
    <row r="874" spans="1:15">
      <c r="A874">
        <v>873</v>
      </c>
      <c r="B874" t="s">
        <v>348</v>
      </c>
      <c r="C874" s="1">
        <v>31047</v>
      </c>
      <c r="D874">
        <v>41</v>
      </c>
      <c r="E874" s="4" t="s">
        <v>12</v>
      </c>
      <c r="F874" t="s">
        <v>295</v>
      </c>
      <c r="G874" s="1">
        <v>45479</v>
      </c>
      <c r="H874" s="1">
        <f>TablaDatos[[#This Row],[FechaIngreso]]+TablaDatos[[#This Row],[DiasNuevo]]</f>
        <v>45492</v>
      </c>
      <c r="I874">
        <v>13</v>
      </c>
      <c r="J874" t="s">
        <v>25</v>
      </c>
      <c r="K874" s="3">
        <v>2758.39</v>
      </c>
      <c r="L874" t="b">
        <f>TablaDatos[[#This Row],[FechaAlta]] &lt; TablaDatos[[#This Row],[FechaIngreso]]</f>
        <v>0</v>
      </c>
      <c r="M874">
        <f>_xlfn.XLOOKUP(TablaDatos[[#This Row],[PacienteID]],'Datos_Ejemplo.csv'!A:A,'Datos_Ejemplo.csv'!I:I)</f>
        <v>13</v>
      </c>
      <c r="N874">
        <f>ABS(TablaDatos[[#This Row],[DiasOriginal]])</f>
        <v>13</v>
      </c>
      <c r="O874" s="1">
        <f>TablaDatos[[#This Row],[FechaIngreso]]+TablaDatos[[#This Row],[DiasNuevo]]</f>
        <v>45492</v>
      </c>
    </row>
    <row r="875" spans="1:15">
      <c r="A875">
        <v>874</v>
      </c>
      <c r="B875" t="s">
        <v>244</v>
      </c>
      <c r="C875" s="1">
        <v>24107</v>
      </c>
      <c r="D875">
        <v>60</v>
      </c>
      <c r="E875" s="4" t="s">
        <v>12</v>
      </c>
      <c r="F875" t="s">
        <v>32</v>
      </c>
      <c r="G875" s="1">
        <v>45559</v>
      </c>
      <c r="H875" s="1">
        <f>TablaDatos[[#This Row],[FechaIngreso]]+TablaDatos[[#This Row],[DiasNuevo]]</f>
        <v>45586</v>
      </c>
      <c r="I875">
        <v>27</v>
      </c>
      <c r="J875" t="s">
        <v>19</v>
      </c>
      <c r="K875" s="3">
        <v>10346.26</v>
      </c>
      <c r="L875" t="b">
        <f>TablaDatos[[#This Row],[FechaAlta]] &lt; TablaDatos[[#This Row],[FechaIngreso]]</f>
        <v>0</v>
      </c>
      <c r="M875">
        <f>_xlfn.XLOOKUP(TablaDatos[[#This Row],[PacienteID]],'Datos_Ejemplo.csv'!A:A,'Datos_Ejemplo.csv'!I:I)</f>
        <v>27</v>
      </c>
      <c r="N875">
        <f>ABS(TablaDatos[[#This Row],[DiasOriginal]])</f>
        <v>27</v>
      </c>
      <c r="O875" s="1">
        <f>TablaDatos[[#This Row],[FechaIngreso]]+TablaDatos[[#This Row],[DiasNuevo]]</f>
        <v>45586</v>
      </c>
    </row>
    <row r="876" spans="1:15">
      <c r="A876">
        <v>875</v>
      </c>
      <c r="B876" t="s">
        <v>308</v>
      </c>
      <c r="C876" s="1">
        <v>38352</v>
      </c>
      <c r="D876">
        <v>21</v>
      </c>
      <c r="E876" s="4" t="s">
        <v>15</v>
      </c>
      <c r="F876" t="s">
        <v>21</v>
      </c>
      <c r="G876" s="1">
        <v>45003</v>
      </c>
      <c r="H876" s="1">
        <f>TablaDatos[[#This Row],[FechaIngreso]]+TablaDatos[[#This Row],[DiasNuevo]]</f>
        <v>45032</v>
      </c>
      <c r="I876">
        <v>29</v>
      </c>
      <c r="J876" t="s">
        <v>19</v>
      </c>
      <c r="K876" s="3">
        <v>4978.59</v>
      </c>
      <c r="L876" t="b">
        <f>TablaDatos[[#This Row],[FechaAlta]] &lt; TablaDatos[[#This Row],[FechaIngreso]]</f>
        <v>0</v>
      </c>
      <c r="M876">
        <f>_xlfn.XLOOKUP(TablaDatos[[#This Row],[PacienteID]],'Datos_Ejemplo.csv'!A:A,'Datos_Ejemplo.csv'!I:I)</f>
        <v>29</v>
      </c>
      <c r="N876">
        <f>ABS(TablaDatos[[#This Row],[DiasOriginal]])</f>
        <v>29</v>
      </c>
      <c r="O876" s="1">
        <f>TablaDatos[[#This Row],[FechaIngreso]]+TablaDatos[[#This Row],[DiasNuevo]]</f>
        <v>45032</v>
      </c>
    </row>
    <row r="877" spans="1:15">
      <c r="A877">
        <v>876</v>
      </c>
      <c r="B877" t="s">
        <v>303</v>
      </c>
      <c r="C877" s="1">
        <v>38717</v>
      </c>
      <c r="D877">
        <v>20</v>
      </c>
      <c r="E877" s="4" t="s">
        <v>12</v>
      </c>
      <c r="F877" t="s">
        <v>295</v>
      </c>
      <c r="G877" s="1">
        <v>45021</v>
      </c>
      <c r="H877" s="1">
        <f>TablaDatos[[#This Row],[FechaIngreso]]+TablaDatos[[#This Row],[DiasNuevo]]</f>
        <v>45032</v>
      </c>
      <c r="I877">
        <v>11</v>
      </c>
      <c r="J877" t="s">
        <v>25</v>
      </c>
      <c r="K877" s="3">
        <v>19973.32</v>
      </c>
      <c r="L877" t="b">
        <f>TablaDatos[[#This Row],[FechaAlta]] &lt; TablaDatos[[#This Row],[FechaIngreso]]</f>
        <v>0</v>
      </c>
      <c r="M877">
        <f>_xlfn.XLOOKUP(TablaDatos[[#This Row],[PacienteID]],'Datos_Ejemplo.csv'!A:A,'Datos_Ejemplo.csv'!I:I)</f>
        <v>11</v>
      </c>
      <c r="N877">
        <f>ABS(TablaDatos[[#This Row],[DiasOriginal]])</f>
        <v>11</v>
      </c>
      <c r="O877" s="1">
        <f>TablaDatos[[#This Row],[FechaIngreso]]+TablaDatos[[#This Row],[DiasNuevo]]</f>
        <v>45032</v>
      </c>
    </row>
    <row r="878" spans="1:15">
      <c r="A878">
        <v>877</v>
      </c>
      <c r="B878" t="s">
        <v>256</v>
      </c>
      <c r="C878" s="1">
        <v>20820</v>
      </c>
      <c r="D878">
        <v>69</v>
      </c>
      <c r="E878" s="4" t="s">
        <v>12</v>
      </c>
      <c r="F878" t="s">
        <v>32</v>
      </c>
      <c r="G878" s="1">
        <v>45195</v>
      </c>
      <c r="H878" s="1">
        <f>TablaDatos[[#This Row],[FechaIngreso]]+TablaDatos[[#This Row],[DiasNuevo]]</f>
        <v>45207</v>
      </c>
      <c r="I878">
        <v>12</v>
      </c>
      <c r="J878" t="s">
        <v>19</v>
      </c>
      <c r="K878" s="3">
        <v>5265.93</v>
      </c>
      <c r="L878" t="b">
        <f>TablaDatos[[#This Row],[FechaAlta]] &lt; TablaDatos[[#This Row],[FechaIngreso]]</f>
        <v>0</v>
      </c>
      <c r="M878">
        <f>_xlfn.XLOOKUP(TablaDatos[[#This Row],[PacienteID]],'Datos_Ejemplo.csv'!A:A,'Datos_Ejemplo.csv'!I:I)</f>
        <v>12</v>
      </c>
      <c r="N878">
        <f>ABS(TablaDatos[[#This Row],[DiasOriginal]])</f>
        <v>12</v>
      </c>
      <c r="O878" s="1">
        <f>TablaDatos[[#This Row],[FechaIngreso]]+TablaDatos[[#This Row],[DiasNuevo]]</f>
        <v>45207</v>
      </c>
    </row>
    <row r="879" spans="1:15">
      <c r="A879">
        <v>878</v>
      </c>
      <c r="B879" t="s">
        <v>343</v>
      </c>
      <c r="C879" s="1">
        <v>46022</v>
      </c>
      <c r="D879">
        <v>0</v>
      </c>
      <c r="E879" s="4" t="s">
        <v>15</v>
      </c>
      <c r="F879" t="s">
        <v>261</v>
      </c>
      <c r="G879" s="1">
        <v>45287</v>
      </c>
      <c r="H879" s="1">
        <f>TablaDatos[[#This Row],[FechaIngreso]]+TablaDatos[[#This Row],[DiasNuevo]]</f>
        <v>45296</v>
      </c>
      <c r="I879">
        <v>9</v>
      </c>
      <c r="J879" t="s">
        <v>23</v>
      </c>
      <c r="K879" s="3">
        <v>4536.79</v>
      </c>
      <c r="L879" t="b">
        <f>TablaDatos[[#This Row],[FechaAlta]] &lt; TablaDatos[[#This Row],[FechaIngreso]]</f>
        <v>0</v>
      </c>
      <c r="M879">
        <f>_xlfn.XLOOKUP(TablaDatos[[#This Row],[PacienteID]],'Datos_Ejemplo.csv'!A:A,'Datos_Ejemplo.csv'!I:I)</f>
        <v>9</v>
      </c>
      <c r="N879">
        <f>ABS(TablaDatos[[#This Row],[DiasOriginal]])</f>
        <v>9</v>
      </c>
      <c r="O879" s="1">
        <f>TablaDatos[[#This Row],[FechaIngreso]]+TablaDatos[[#This Row],[DiasNuevo]]</f>
        <v>45296</v>
      </c>
    </row>
    <row r="880" spans="1:15">
      <c r="A880">
        <v>879</v>
      </c>
      <c r="B880" t="s">
        <v>247</v>
      </c>
      <c r="C880" s="1">
        <v>44561</v>
      </c>
      <c r="D880">
        <v>4</v>
      </c>
      <c r="E880" s="4" t="s">
        <v>12</v>
      </c>
      <c r="F880" t="s">
        <v>201</v>
      </c>
      <c r="G880" s="1">
        <v>45456</v>
      </c>
      <c r="H880" s="1">
        <f>TablaDatos[[#This Row],[FechaIngreso]]+TablaDatos[[#This Row],[DiasNuevo]]</f>
        <v>45490</v>
      </c>
      <c r="I880">
        <v>34</v>
      </c>
      <c r="J880" t="s">
        <v>19</v>
      </c>
      <c r="K880" s="3">
        <v>12440.05</v>
      </c>
      <c r="L880" t="b">
        <f>TablaDatos[[#This Row],[FechaAlta]] &lt; TablaDatos[[#This Row],[FechaIngreso]]</f>
        <v>0</v>
      </c>
      <c r="M880">
        <f>_xlfn.XLOOKUP(TablaDatos[[#This Row],[PacienteID]],'Datos_Ejemplo.csv'!A:A,'Datos_Ejemplo.csv'!I:I)</f>
        <v>34</v>
      </c>
      <c r="N880">
        <f>ABS(TablaDatos[[#This Row],[DiasOriginal]])</f>
        <v>34</v>
      </c>
      <c r="O880" s="1">
        <f>TablaDatos[[#This Row],[FechaIngreso]]+TablaDatos[[#This Row],[DiasNuevo]]</f>
        <v>45490</v>
      </c>
    </row>
    <row r="881" spans="1:15">
      <c r="A881">
        <v>880</v>
      </c>
      <c r="B881" t="s">
        <v>338</v>
      </c>
      <c r="C881" s="1">
        <v>42005</v>
      </c>
      <c r="D881">
        <v>11</v>
      </c>
      <c r="E881" s="4" t="s">
        <v>15</v>
      </c>
      <c r="F881" t="s">
        <v>13</v>
      </c>
      <c r="G881" s="1">
        <v>45609</v>
      </c>
      <c r="H881" s="1">
        <f>TablaDatos[[#This Row],[FechaIngreso]]+TablaDatos[[#This Row],[DiasNuevo]]</f>
        <v>45617</v>
      </c>
      <c r="I881">
        <v>8</v>
      </c>
      <c r="J881" t="s">
        <v>23</v>
      </c>
      <c r="K881" s="3">
        <v>10170.07</v>
      </c>
      <c r="L881" t="b">
        <f>TablaDatos[[#This Row],[FechaAlta]] &lt; TablaDatos[[#This Row],[FechaIngreso]]</f>
        <v>0</v>
      </c>
      <c r="M881">
        <f>_xlfn.XLOOKUP(TablaDatos[[#This Row],[PacienteID]],'Datos_Ejemplo.csv'!A:A,'Datos_Ejemplo.csv'!I:I)</f>
        <v>8</v>
      </c>
      <c r="N881">
        <f>ABS(TablaDatos[[#This Row],[DiasOriginal]])</f>
        <v>8</v>
      </c>
      <c r="O881" s="1">
        <f>TablaDatos[[#This Row],[FechaIngreso]]+TablaDatos[[#This Row],[DiasNuevo]]</f>
        <v>45617</v>
      </c>
    </row>
    <row r="882" spans="1:15">
      <c r="A882">
        <v>881</v>
      </c>
      <c r="B882" t="s">
        <v>111</v>
      </c>
      <c r="C882" s="1">
        <v>13515</v>
      </c>
      <c r="D882">
        <v>89</v>
      </c>
      <c r="E882" s="4" t="s">
        <v>15</v>
      </c>
      <c r="F882" t="s">
        <v>295</v>
      </c>
      <c r="G882" s="1">
        <v>45088</v>
      </c>
      <c r="H882" s="1">
        <f>TablaDatos[[#This Row],[FechaIngreso]]+TablaDatos[[#This Row],[DiasNuevo]]</f>
        <v>45090</v>
      </c>
      <c r="I882">
        <v>2</v>
      </c>
      <c r="J882" t="s">
        <v>25</v>
      </c>
      <c r="K882" s="3">
        <v>329.19</v>
      </c>
      <c r="L882" t="b">
        <f>TablaDatos[[#This Row],[FechaAlta]] &lt; TablaDatos[[#This Row],[FechaIngreso]]</f>
        <v>0</v>
      </c>
      <c r="M882">
        <f>_xlfn.XLOOKUP(TablaDatos[[#This Row],[PacienteID]],'Datos_Ejemplo.csv'!A:A,'Datos_Ejemplo.csv'!I:I)</f>
        <v>2</v>
      </c>
      <c r="N882">
        <f>ABS(TablaDatos[[#This Row],[DiasOriginal]])</f>
        <v>2</v>
      </c>
      <c r="O882" s="1">
        <f>TablaDatos[[#This Row],[FechaIngreso]]+TablaDatos[[#This Row],[DiasNuevo]]</f>
        <v>45090</v>
      </c>
    </row>
    <row r="883" spans="1:15">
      <c r="A883">
        <v>882</v>
      </c>
      <c r="B883" t="s">
        <v>267</v>
      </c>
      <c r="C883" s="1">
        <v>29586</v>
      </c>
      <c r="D883">
        <v>45</v>
      </c>
      <c r="E883" s="4" t="s">
        <v>12</v>
      </c>
      <c r="F883" t="s">
        <v>32</v>
      </c>
      <c r="G883" s="1">
        <v>45391</v>
      </c>
      <c r="H883" s="1">
        <f>TablaDatos[[#This Row],[FechaIngreso]]+TablaDatos[[#This Row],[DiasNuevo]]</f>
        <v>45399</v>
      </c>
      <c r="I883">
        <v>8</v>
      </c>
      <c r="J883" t="s">
        <v>23</v>
      </c>
      <c r="K883" s="3">
        <v>2503.62</v>
      </c>
      <c r="L883" t="b">
        <f>TablaDatos[[#This Row],[FechaAlta]] &lt; TablaDatos[[#This Row],[FechaIngreso]]</f>
        <v>0</v>
      </c>
      <c r="M883">
        <f>_xlfn.XLOOKUP(TablaDatos[[#This Row],[PacienteID]],'Datos_Ejemplo.csv'!A:A,'Datos_Ejemplo.csv'!I:I)</f>
        <v>8</v>
      </c>
      <c r="N883">
        <f>ABS(TablaDatos[[#This Row],[DiasOriginal]])</f>
        <v>8</v>
      </c>
      <c r="O883" s="1">
        <f>TablaDatos[[#This Row],[FechaIngreso]]+TablaDatos[[#This Row],[DiasNuevo]]</f>
        <v>45399</v>
      </c>
    </row>
    <row r="884" spans="1:15">
      <c r="A884">
        <v>883</v>
      </c>
      <c r="B884" t="s">
        <v>66</v>
      </c>
      <c r="C884" s="1">
        <v>33969</v>
      </c>
      <c r="D884">
        <v>33</v>
      </c>
      <c r="E884" s="4" t="s">
        <v>12</v>
      </c>
      <c r="F884" t="s">
        <v>21</v>
      </c>
      <c r="G884" s="1">
        <v>45490</v>
      </c>
      <c r="H884" s="1">
        <f>TablaDatos[[#This Row],[FechaIngreso]]+TablaDatos[[#This Row],[DiasNuevo]]</f>
        <v>45521</v>
      </c>
      <c r="I884">
        <v>31</v>
      </c>
      <c r="J884" t="s">
        <v>25</v>
      </c>
      <c r="K884" s="3">
        <v>16201.96</v>
      </c>
      <c r="L884" t="b">
        <f>TablaDatos[[#This Row],[FechaAlta]] &lt; TablaDatos[[#This Row],[FechaIngreso]]</f>
        <v>0</v>
      </c>
      <c r="M884">
        <f>_xlfn.XLOOKUP(TablaDatos[[#This Row],[PacienteID]],'Datos_Ejemplo.csv'!A:A,'Datos_Ejemplo.csv'!I:I)</f>
        <v>31</v>
      </c>
      <c r="N884">
        <f>ABS(TablaDatos[[#This Row],[DiasOriginal]])</f>
        <v>31</v>
      </c>
      <c r="O884" s="1">
        <f>TablaDatos[[#This Row],[FechaIngreso]]+TablaDatos[[#This Row],[DiasNuevo]]</f>
        <v>45521</v>
      </c>
    </row>
    <row r="885" spans="1:15">
      <c r="A885">
        <v>884</v>
      </c>
      <c r="B885" t="s">
        <v>365</v>
      </c>
      <c r="C885" s="1">
        <v>28490</v>
      </c>
      <c r="D885">
        <v>48</v>
      </c>
      <c r="E885" s="4" t="s">
        <v>15</v>
      </c>
      <c r="F885" t="s">
        <v>13</v>
      </c>
      <c r="G885" s="1">
        <v>45474</v>
      </c>
      <c r="H885" s="1">
        <f>TablaDatos[[#This Row],[FechaIngreso]]+TablaDatos[[#This Row],[DiasNuevo]]</f>
        <v>45490</v>
      </c>
      <c r="I885">
        <v>16</v>
      </c>
      <c r="J885" t="s">
        <v>25</v>
      </c>
      <c r="K885" s="3">
        <v>9622.2099999999991</v>
      </c>
      <c r="L885" t="b">
        <f>TablaDatos[[#This Row],[FechaAlta]] &lt; TablaDatos[[#This Row],[FechaIngreso]]</f>
        <v>0</v>
      </c>
      <c r="M885">
        <f>_xlfn.XLOOKUP(TablaDatos[[#This Row],[PacienteID]],'Datos_Ejemplo.csv'!A:A,'Datos_Ejemplo.csv'!I:I)</f>
        <v>16</v>
      </c>
      <c r="N885">
        <f>ABS(TablaDatos[[#This Row],[DiasOriginal]])</f>
        <v>16</v>
      </c>
      <c r="O885" s="1">
        <f>TablaDatos[[#This Row],[FechaIngreso]]+TablaDatos[[#This Row],[DiasNuevo]]</f>
        <v>45490</v>
      </c>
    </row>
    <row r="886" spans="1:15">
      <c r="A886">
        <v>885</v>
      </c>
      <c r="B886" t="s">
        <v>276</v>
      </c>
      <c r="C886" s="1">
        <v>17898</v>
      </c>
      <c r="D886">
        <v>77</v>
      </c>
      <c r="E886" s="4" t="s">
        <v>15</v>
      </c>
      <c r="F886" t="s">
        <v>295</v>
      </c>
      <c r="G886" s="1">
        <v>45113</v>
      </c>
      <c r="H886" s="1">
        <f>TablaDatos[[#This Row],[FechaIngreso]]+TablaDatos[[#This Row],[DiasNuevo]]</f>
        <v>45136</v>
      </c>
      <c r="I886">
        <v>23</v>
      </c>
      <c r="J886" t="s">
        <v>19</v>
      </c>
      <c r="K886" s="3">
        <v>2834.91</v>
      </c>
      <c r="L886" t="b">
        <f>TablaDatos[[#This Row],[FechaAlta]] &lt; TablaDatos[[#This Row],[FechaIngreso]]</f>
        <v>0</v>
      </c>
      <c r="M886">
        <f>_xlfn.XLOOKUP(TablaDatos[[#This Row],[PacienteID]],'Datos_Ejemplo.csv'!A:A,'Datos_Ejemplo.csv'!I:I)</f>
        <v>23</v>
      </c>
      <c r="N886">
        <f>ABS(TablaDatos[[#This Row],[DiasOriginal]])</f>
        <v>23</v>
      </c>
      <c r="O886" s="1">
        <f>TablaDatos[[#This Row],[FechaIngreso]]+TablaDatos[[#This Row],[DiasNuevo]]</f>
        <v>45136</v>
      </c>
    </row>
    <row r="887" spans="1:15">
      <c r="A887">
        <v>886</v>
      </c>
      <c r="B887" t="s">
        <v>310</v>
      </c>
      <c r="C887" s="1">
        <v>13515</v>
      </c>
      <c r="D887">
        <v>89</v>
      </c>
      <c r="E887" s="4" t="s">
        <v>12</v>
      </c>
      <c r="F887" t="s">
        <v>21</v>
      </c>
      <c r="G887" s="1">
        <v>44978</v>
      </c>
      <c r="H887" s="1">
        <f>TablaDatos[[#This Row],[FechaIngreso]]+TablaDatos[[#This Row],[DiasNuevo]]</f>
        <v>45001</v>
      </c>
      <c r="I887">
        <v>23</v>
      </c>
      <c r="J887" t="s">
        <v>25</v>
      </c>
      <c r="K887" s="3">
        <v>9251.3799999999992</v>
      </c>
      <c r="L887" t="b">
        <f>TablaDatos[[#This Row],[FechaAlta]] &lt; TablaDatos[[#This Row],[FechaIngreso]]</f>
        <v>0</v>
      </c>
      <c r="M887">
        <f>_xlfn.XLOOKUP(TablaDatos[[#This Row],[PacienteID]],'Datos_Ejemplo.csv'!A:A,'Datos_Ejemplo.csv'!I:I)</f>
        <v>23</v>
      </c>
      <c r="N887">
        <f>ABS(TablaDatos[[#This Row],[DiasOriginal]])</f>
        <v>23</v>
      </c>
      <c r="O887" s="1">
        <f>TablaDatos[[#This Row],[FechaIngreso]]+TablaDatos[[#This Row],[DiasNuevo]]</f>
        <v>45001</v>
      </c>
    </row>
    <row r="888" spans="1:15">
      <c r="A888">
        <v>887</v>
      </c>
      <c r="B888" t="s">
        <v>273</v>
      </c>
      <c r="C888" s="1">
        <v>29951</v>
      </c>
      <c r="D888">
        <v>44</v>
      </c>
      <c r="E888" s="4" t="s">
        <v>15</v>
      </c>
      <c r="F888" t="s">
        <v>201</v>
      </c>
      <c r="G888" s="1">
        <v>45414</v>
      </c>
      <c r="H888" s="1">
        <f>TablaDatos[[#This Row],[FechaIngreso]]+TablaDatos[[#This Row],[DiasNuevo]]</f>
        <v>45428</v>
      </c>
      <c r="I888">
        <v>14</v>
      </c>
      <c r="J888" t="s">
        <v>25</v>
      </c>
      <c r="K888" s="3">
        <v>4988.3</v>
      </c>
      <c r="L888" t="b">
        <f>TablaDatos[[#This Row],[FechaAlta]] &lt; TablaDatos[[#This Row],[FechaIngreso]]</f>
        <v>0</v>
      </c>
      <c r="M888">
        <f>_xlfn.XLOOKUP(TablaDatos[[#This Row],[PacienteID]],'Datos_Ejemplo.csv'!A:A,'Datos_Ejemplo.csv'!I:I)</f>
        <v>14</v>
      </c>
      <c r="N888">
        <f>ABS(TablaDatos[[#This Row],[DiasOriginal]])</f>
        <v>14</v>
      </c>
      <c r="O888" s="1">
        <f>TablaDatos[[#This Row],[FechaIngreso]]+TablaDatos[[#This Row],[DiasNuevo]]</f>
        <v>45428</v>
      </c>
    </row>
    <row r="889" spans="1:15">
      <c r="A889">
        <v>888</v>
      </c>
      <c r="B889" t="s">
        <v>111</v>
      </c>
      <c r="C889" s="1">
        <v>36526</v>
      </c>
      <c r="D889">
        <v>26</v>
      </c>
      <c r="E889" s="4" t="s">
        <v>12</v>
      </c>
      <c r="F889" t="s">
        <v>13</v>
      </c>
      <c r="G889" s="1">
        <v>45457</v>
      </c>
      <c r="H889" s="1">
        <f>TablaDatos[[#This Row],[FechaIngreso]]+TablaDatos[[#This Row],[DiasNuevo]]</f>
        <v>45485</v>
      </c>
      <c r="I889">
        <v>28</v>
      </c>
      <c r="J889" t="s">
        <v>23</v>
      </c>
      <c r="K889" s="3">
        <v>4394.1899999999996</v>
      </c>
      <c r="L889" t="b">
        <f>TablaDatos[[#This Row],[FechaAlta]] &lt; TablaDatos[[#This Row],[FechaIngreso]]</f>
        <v>0</v>
      </c>
      <c r="M889">
        <f>_xlfn.XLOOKUP(TablaDatos[[#This Row],[PacienteID]],'Datos_Ejemplo.csv'!A:A,'Datos_Ejemplo.csv'!I:I)</f>
        <v>28</v>
      </c>
      <c r="N889">
        <f>ABS(TablaDatos[[#This Row],[DiasOriginal]])</f>
        <v>28</v>
      </c>
      <c r="O889" s="1">
        <f>TablaDatos[[#This Row],[FechaIngreso]]+TablaDatos[[#This Row],[DiasNuevo]]</f>
        <v>45485</v>
      </c>
    </row>
    <row r="890" spans="1:15">
      <c r="A890">
        <v>889</v>
      </c>
      <c r="B890" t="s">
        <v>240</v>
      </c>
      <c r="C890" s="1">
        <v>19724</v>
      </c>
      <c r="D890">
        <v>72</v>
      </c>
      <c r="E890" s="4" t="s">
        <v>12</v>
      </c>
      <c r="F890" t="s">
        <v>18</v>
      </c>
      <c r="G890" s="1">
        <v>45322</v>
      </c>
      <c r="H890" s="1">
        <f>TablaDatos[[#This Row],[FechaIngreso]]+TablaDatos[[#This Row],[DiasNuevo]]</f>
        <v>45338</v>
      </c>
      <c r="I890">
        <v>16</v>
      </c>
      <c r="J890" t="s">
        <v>23</v>
      </c>
      <c r="K890" s="3">
        <v>19150.28</v>
      </c>
      <c r="L890" t="b">
        <f>TablaDatos[[#This Row],[FechaAlta]] &lt; TablaDatos[[#This Row],[FechaIngreso]]</f>
        <v>0</v>
      </c>
      <c r="M890">
        <f>_xlfn.XLOOKUP(TablaDatos[[#This Row],[PacienteID]],'Datos_Ejemplo.csv'!A:A,'Datos_Ejemplo.csv'!I:I)</f>
        <v>16</v>
      </c>
      <c r="N890">
        <f>ABS(TablaDatos[[#This Row],[DiasOriginal]])</f>
        <v>16</v>
      </c>
      <c r="O890" s="1">
        <f>TablaDatos[[#This Row],[FechaIngreso]]+TablaDatos[[#This Row],[DiasNuevo]]</f>
        <v>45338</v>
      </c>
    </row>
    <row r="891" spans="1:15">
      <c r="A891">
        <v>890</v>
      </c>
      <c r="B891" t="s">
        <v>146</v>
      </c>
      <c r="C891" s="1">
        <v>36891</v>
      </c>
      <c r="D891">
        <v>25</v>
      </c>
      <c r="E891" s="4" t="s">
        <v>15</v>
      </c>
      <c r="F891" t="s">
        <v>21</v>
      </c>
      <c r="G891" s="1">
        <v>45018</v>
      </c>
      <c r="H891" s="1">
        <f>TablaDatos[[#This Row],[FechaIngreso]]+TablaDatos[[#This Row],[DiasNuevo]]</f>
        <v>45035</v>
      </c>
      <c r="I891">
        <v>17</v>
      </c>
      <c r="J891" t="s">
        <v>19</v>
      </c>
      <c r="K891" s="3">
        <v>7176.69</v>
      </c>
      <c r="L891" t="b">
        <f>TablaDatos[[#This Row],[FechaAlta]] &lt; TablaDatos[[#This Row],[FechaIngreso]]</f>
        <v>0</v>
      </c>
      <c r="M891">
        <f>_xlfn.XLOOKUP(TablaDatos[[#This Row],[PacienteID]],'Datos_Ejemplo.csv'!A:A,'Datos_Ejemplo.csv'!I:I)</f>
        <v>17</v>
      </c>
      <c r="N891">
        <f>ABS(TablaDatos[[#This Row],[DiasOriginal]])</f>
        <v>17</v>
      </c>
      <c r="O891" s="1">
        <f>TablaDatos[[#This Row],[FechaIngreso]]+TablaDatos[[#This Row],[DiasNuevo]]</f>
        <v>45035</v>
      </c>
    </row>
    <row r="892" spans="1:15">
      <c r="A892">
        <v>891</v>
      </c>
      <c r="B892" t="s">
        <v>311</v>
      </c>
      <c r="C892" s="1">
        <v>29221</v>
      </c>
      <c r="D892">
        <v>46</v>
      </c>
      <c r="E892" s="4" t="s">
        <v>12</v>
      </c>
      <c r="F892" t="s">
        <v>18</v>
      </c>
      <c r="G892" s="1">
        <v>45577</v>
      </c>
      <c r="H892" s="1">
        <f>TablaDatos[[#This Row],[FechaIngreso]]+TablaDatos[[#This Row],[DiasNuevo]]</f>
        <v>45597</v>
      </c>
      <c r="I892">
        <v>20</v>
      </c>
      <c r="J892" t="s">
        <v>23</v>
      </c>
      <c r="K892" s="3">
        <v>833.27</v>
      </c>
      <c r="L892" t="b">
        <f>TablaDatos[[#This Row],[FechaAlta]] &lt; TablaDatos[[#This Row],[FechaIngreso]]</f>
        <v>0</v>
      </c>
      <c r="M892">
        <f>_xlfn.XLOOKUP(TablaDatos[[#This Row],[PacienteID]],'Datos_Ejemplo.csv'!A:A,'Datos_Ejemplo.csv'!I:I)</f>
        <v>20</v>
      </c>
      <c r="N892">
        <f>ABS(TablaDatos[[#This Row],[DiasOriginal]])</f>
        <v>20</v>
      </c>
      <c r="O892" s="1">
        <f>TablaDatos[[#This Row],[FechaIngreso]]+TablaDatos[[#This Row],[DiasNuevo]]</f>
        <v>45597</v>
      </c>
    </row>
    <row r="893" spans="1:15">
      <c r="A893">
        <v>892</v>
      </c>
      <c r="B893" t="s">
        <v>233</v>
      </c>
      <c r="C893" s="1">
        <v>14976</v>
      </c>
      <c r="D893">
        <v>85</v>
      </c>
      <c r="E893" s="4" t="s">
        <v>12</v>
      </c>
      <c r="F893" t="s">
        <v>261</v>
      </c>
      <c r="G893" s="1">
        <v>45283</v>
      </c>
      <c r="H893" s="1">
        <f>TablaDatos[[#This Row],[FechaIngreso]]+TablaDatos[[#This Row],[DiasNuevo]]</f>
        <v>45305</v>
      </c>
      <c r="I893">
        <v>22</v>
      </c>
      <c r="J893" t="s">
        <v>23</v>
      </c>
      <c r="K893" s="3">
        <v>19403.57</v>
      </c>
      <c r="L893" t="b">
        <f>TablaDatos[[#This Row],[FechaAlta]] &lt; TablaDatos[[#This Row],[FechaIngreso]]</f>
        <v>0</v>
      </c>
      <c r="M893">
        <f>_xlfn.XLOOKUP(TablaDatos[[#This Row],[PacienteID]],'Datos_Ejemplo.csv'!A:A,'Datos_Ejemplo.csv'!I:I)</f>
        <v>22</v>
      </c>
      <c r="N893">
        <f>ABS(TablaDatos[[#This Row],[DiasOriginal]])</f>
        <v>22</v>
      </c>
      <c r="O893" s="1">
        <f>TablaDatos[[#This Row],[FechaIngreso]]+TablaDatos[[#This Row],[DiasNuevo]]</f>
        <v>45305</v>
      </c>
    </row>
    <row r="894" spans="1:15">
      <c r="A894">
        <v>893</v>
      </c>
      <c r="B894" t="s">
        <v>292</v>
      </c>
      <c r="C894" s="1">
        <v>25934</v>
      </c>
      <c r="D894">
        <v>55</v>
      </c>
      <c r="E894" s="4" t="s">
        <v>15</v>
      </c>
      <c r="F894" t="s">
        <v>295</v>
      </c>
      <c r="G894" s="1">
        <v>45537</v>
      </c>
      <c r="H894" s="1">
        <f>TablaDatos[[#This Row],[FechaIngreso]]+TablaDatos[[#This Row],[DiasNuevo]]</f>
        <v>45562</v>
      </c>
      <c r="I894">
        <v>25</v>
      </c>
      <c r="J894" t="s">
        <v>23</v>
      </c>
      <c r="K894" s="3">
        <v>15876.28</v>
      </c>
      <c r="L894" t="b">
        <f>TablaDatos[[#This Row],[FechaAlta]] &lt; TablaDatos[[#This Row],[FechaIngreso]]</f>
        <v>0</v>
      </c>
      <c r="M894">
        <f>_xlfn.XLOOKUP(TablaDatos[[#This Row],[PacienteID]],'Datos_Ejemplo.csv'!A:A,'Datos_Ejemplo.csv'!I:I)</f>
        <v>25</v>
      </c>
      <c r="N894">
        <f>ABS(TablaDatos[[#This Row],[DiasOriginal]])</f>
        <v>25</v>
      </c>
      <c r="O894" s="1">
        <f>TablaDatos[[#This Row],[FechaIngreso]]+TablaDatos[[#This Row],[DiasNuevo]]</f>
        <v>45562</v>
      </c>
    </row>
    <row r="895" spans="1:15">
      <c r="A895">
        <v>894</v>
      </c>
      <c r="B895" t="s">
        <v>246</v>
      </c>
      <c r="C895" s="1">
        <f ca="1">DATE(YEAR(TODAY())-TablaDatos[[#This Row],[Edad]],1,1)</f>
        <v>12055</v>
      </c>
      <c r="D895">
        <v>93</v>
      </c>
      <c r="E895" s="4" t="s">
        <v>12</v>
      </c>
      <c r="F895" t="s">
        <v>201</v>
      </c>
      <c r="G895" s="1">
        <v>45645</v>
      </c>
      <c r="H895" s="1">
        <f>TablaDatos[[#This Row],[FechaIngreso]]+TablaDatos[[#This Row],[DiasNuevo]]</f>
        <v>45679</v>
      </c>
      <c r="I895">
        <v>34</v>
      </c>
      <c r="J895" t="s">
        <v>19</v>
      </c>
      <c r="K895" s="3">
        <v>5013.71</v>
      </c>
      <c r="L895" t="b">
        <f>TablaDatos[[#This Row],[FechaAlta]] &lt; TablaDatos[[#This Row],[FechaIngreso]]</f>
        <v>0</v>
      </c>
      <c r="M895">
        <f>_xlfn.XLOOKUP(TablaDatos[[#This Row],[PacienteID]],'Datos_Ejemplo.csv'!A:A,'Datos_Ejemplo.csv'!I:I)</f>
        <v>34</v>
      </c>
      <c r="N895">
        <f>ABS(TablaDatos[[#This Row],[DiasOriginal]])</f>
        <v>34</v>
      </c>
      <c r="O895" s="1">
        <f>TablaDatos[[#This Row],[FechaIngreso]]+TablaDatos[[#This Row],[DiasNuevo]]</f>
        <v>45679</v>
      </c>
    </row>
    <row r="896" spans="1:15">
      <c r="A896">
        <v>895</v>
      </c>
      <c r="B896" t="s">
        <v>358</v>
      </c>
      <c r="C896" s="1">
        <v>23377</v>
      </c>
      <c r="D896">
        <v>62</v>
      </c>
      <c r="E896" s="4" t="s">
        <v>12</v>
      </c>
      <c r="F896" t="s">
        <v>32</v>
      </c>
      <c r="G896" s="1">
        <v>45070</v>
      </c>
      <c r="H896" s="1">
        <f>TablaDatos[[#This Row],[FechaIngreso]]+TablaDatos[[#This Row],[DiasNuevo]]</f>
        <v>45079</v>
      </c>
      <c r="I896">
        <v>9</v>
      </c>
      <c r="J896" t="s">
        <v>25</v>
      </c>
      <c r="K896" s="3">
        <v>8118.73</v>
      </c>
      <c r="L896" t="b">
        <f>TablaDatos[[#This Row],[FechaAlta]] &lt; TablaDatos[[#This Row],[FechaIngreso]]</f>
        <v>0</v>
      </c>
      <c r="M896">
        <f>_xlfn.XLOOKUP(TablaDatos[[#This Row],[PacienteID]],'Datos_Ejemplo.csv'!A:A,'Datos_Ejemplo.csv'!I:I)</f>
        <v>9</v>
      </c>
      <c r="N896">
        <f>ABS(TablaDatos[[#This Row],[DiasOriginal]])</f>
        <v>9</v>
      </c>
      <c r="O896" s="1">
        <f>TablaDatos[[#This Row],[FechaIngreso]]+TablaDatos[[#This Row],[DiasNuevo]]</f>
        <v>45079</v>
      </c>
    </row>
    <row r="897" spans="1:15">
      <c r="A897">
        <v>896</v>
      </c>
      <c r="B897" t="s">
        <v>248</v>
      </c>
      <c r="C897" s="1">
        <f ca="1">DATE(YEAR(TODAY())-TablaDatos[[#This Row],[Edad]],1,1)</f>
        <v>28856</v>
      </c>
      <c r="D897">
        <v>47</v>
      </c>
      <c r="E897" s="4" t="s">
        <v>12</v>
      </c>
      <c r="F897" t="s">
        <v>295</v>
      </c>
      <c r="G897" s="1">
        <v>45125</v>
      </c>
      <c r="H897" s="1">
        <f>TablaDatos[[#This Row],[FechaIngreso]]+TablaDatos[[#This Row],[DiasNuevo]]</f>
        <v>45127</v>
      </c>
      <c r="I897">
        <v>2</v>
      </c>
      <c r="J897" t="s">
        <v>23</v>
      </c>
      <c r="K897" s="3">
        <v>17232.02</v>
      </c>
      <c r="L897" t="b">
        <f>TablaDatos[[#This Row],[FechaAlta]] &lt; TablaDatos[[#This Row],[FechaIngreso]]</f>
        <v>0</v>
      </c>
      <c r="M897">
        <f>_xlfn.XLOOKUP(TablaDatos[[#This Row],[PacienteID]],'Datos_Ejemplo.csv'!A:A,'Datos_Ejemplo.csv'!I:I)</f>
        <v>-2</v>
      </c>
      <c r="N897">
        <f>ABS(TablaDatos[[#This Row],[DiasOriginal]])</f>
        <v>2</v>
      </c>
      <c r="O897" s="1">
        <f>TablaDatos[[#This Row],[FechaIngreso]]+TablaDatos[[#This Row],[DiasNuevo]]</f>
        <v>45127</v>
      </c>
    </row>
    <row r="898" spans="1:15">
      <c r="A898">
        <v>897</v>
      </c>
      <c r="B898" t="s">
        <v>308</v>
      </c>
      <c r="C898" s="1">
        <v>24107</v>
      </c>
      <c r="D898">
        <v>60</v>
      </c>
      <c r="E898" s="4" t="s">
        <v>12</v>
      </c>
      <c r="F898" t="s">
        <v>21</v>
      </c>
      <c r="G898" s="1">
        <v>45249</v>
      </c>
      <c r="H898" s="1">
        <f>TablaDatos[[#This Row],[FechaIngreso]]+TablaDatos[[#This Row],[DiasNuevo]]</f>
        <v>45250</v>
      </c>
      <c r="I898">
        <v>1</v>
      </c>
      <c r="J898" t="s">
        <v>19</v>
      </c>
      <c r="K898" s="3">
        <v>7084.01</v>
      </c>
      <c r="L898" t="b">
        <f>TablaDatos[[#This Row],[FechaAlta]] &lt; TablaDatos[[#This Row],[FechaIngreso]]</f>
        <v>0</v>
      </c>
      <c r="M898">
        <f>_xlfn.XLOOKUP(TablaDatos[[#This Row],[PacienteID]],'Datos_Ejemplo.csv'!A:A,'Datos_Ejemplo.csv'!I:I)</f>
        <v>-1</v>
      </c>
      <c r="N898">
        <f>ABS(TablaDatos[[#This Row],[DiasOriginal]])</f>
        <v>1</v>
      </c>
      <c r="O898" s="1">
        <f>TablaDatos[[#This Row],[FechaIngreso]]+TablaDatos[[#This Row],[DiasNuevo]]</f>
        <v>45250</v>
      </c>
    </row>
    <row r="899" spans="1:15">
      <c r="A899">
        <v>898</v>
      </c>
      <c r="B899" t="s">
        <v>90</v>
      </c>
      <c r="C899" s="1">
        <v>16802</v>
      </c>
      <c r="D899">
        <v>80</v>
      </c>
      <c r="E899" s="4" t="s">
        <v>15</v>
      </c>
      <c r="F899" t="s">
        <v>18</v>
      </c>
      <c r="G899" s="1">
        <v>45258</v>
      </c>
      <c r="H899" s="1">
        <f>TablaDatos[[#This Row],[FechaIngreso]]+TablaDatos[[#This Row],[DiasNuevo]]</f>
        <v>45265</v>
      </c>
      <c r="I899">
        <v>7</v>
      </c>
      <c r="J899" t="s">
        <v>25</v>
      </c>
      <c r="K899" s="3">
        <v>11304.82</v>
      </c>
      <c r="L899" t="b">
        <f>TablaDatos[[#This Row],[FechaAlta]] &lt; TablaDatos[[#This Row],[FechaIngreso]]</f>
        <v>0</v>
      </c>
      <c r="M899">
        <f>_xlfn.XLOOKUP(TablaDatos[[#This Row],[PacienteID]],'Datos_Ejemplo.csv'!A:A,'Datos_Ejemplo.csv'!I:I)</f>
        <v>7</v>
      </c>
      <c r="N899">
        <f>ABS(TablaDatos[[#This Row],[DiasOriginal]])</f>
        <v>7</v>
      </c>
      <c r="O899" s="1">
        <f>TablaDatos[[#This Row],[FechaIngreso]]+TablaDatos[[#This Row],[DiasNuevo]]</f>
        <v>45265</v>
      </c>
    </row>
    <row r="900" spans="1:15">
      <c r="A900">
        <v>899</v>
      </c>
      <c r="B900" t="s">
        <v>343</v>
      </c>
      <c r="C900" s="1">
        <v>36891</v>
      </c>
      <c r="D900">
        <v>25</v>
      </c>
      <c r="E900" s="4" t="s">
        <v>15</v>
      </c>
      <c r="F900" t="s">
        <v>18</v>
      </c>
      <c r="G900" s="1">
        <v>45190</v>
      </c>
      <c r="H900" s="1">
        <f>TablaDatos[[#This Row],[FechaIngreso]]+TablaDatos[[#This Row],[DiasNuevo]]</f>
        <v>45221</v>
      </c>
      <c r="I900">
        <v>31</v>
      </c>
      <c r="J900" t="s">
        <v>23</v>
      </c>
      <c r="K900" s="3">
        <v>10650.62</v>
      </c>
      <c r="L900" t="b">
        <f>TablaDatos[[#This Row],[FechaAlta]] &lt; TablaDatos[[#This Row],[FechaIngreso]]</f>
        <v>0</v>
      </c>
      <c r="M900">
        <f>_xlfn.XLOOKUP(TablaDatos[[#This Row],[PacienteID]],'Datos_Ejemplo.csv'!A:A,'Datos_Ejemplo.csv'!I:I)</f>
        <v>31</v>
      </c>
      <c r="N900">
        <f>ABS(TablaDatos[[#This Row],[DiasOriginal]])</f>
        <v>31</v>
      </c>
      <c r="O900" s="1">
        <f>TablaDatos[[#This Row],[FechaIngreso]]+TablaDatos[[#This Row],[DiasNuevo]]</f>
        <v>45221</v>
      </c>
    </row>
    <row r="901" spans="1:15">
      <c r="A901">
        <v>900</v>
      </c>
      <c r="B901" t="s">
        <v>345</v>
      </c>
      <c r="C901" s="1">
        <v>33239</v>
      </c>
      <c r="D901">
        <v>35</v>
      </c>
      <c r="E901" s="4" t="s">
        <v>15</v>
      </c>
      <c r="F901" t="s">
        <v>13</v>
      </c>
      <c r="G901" s="1">
        <v>45143</v>
      </c>
      <c r="H901" s="1">
        <f>TablaDatos[[#This Row],[FechaIngreso]]+TablaDatos[[#This Row],[DiasNuevo]]</f>
        <v>45172</v>
      </c>
      <c r="I901">
        <v>29</v>
      </c>
      <c r="J901" t="s">
        <v>23</v>
      </c>
      <c r="K901" s="3">
        <v>7966.02</v>
      </c>
      <c r="L901" t="b">
        <f>TablaDatos[[#This Row],[FechaAlta]] &lt; TablaDatos[[#This Row],[FechaIngreso]]</f>
        <v>0</v>
      </c>
      <c r="M901">
        <f>_xlfn.XLOOKUP(TablaDatos[[#This Row],[PacienteID]],'Datos_Ejemplo.csv'!A:A,'Datos_Ejemplo.csv'!I:I)</f>
        <v>29</v>
      </c>
      <c r="N901">
        <f>ABS(TablaDatos[[#This Row],[DiasOriginal]])</f>
        <v>29</v>
      </c>
      <c r="O901" s="1">
        <f>TablaDatos[[#This Row],[FechaIngreso]]+TablaDatos[[#This Row],[DiasNuevo]]</f>
        <v>45172</v>
      </c>
    </row>
    <row r="902" spans="1:15">
      <c r="A902">
        <v>901</v>
      </c>
      <c r="B902" t="s">
        <v>250</v>
      </c>
      <c r="C902" s="1">
        <v>46022</v>
      </c>
      <c r="D902">
        <v>0</v>
      </c>
      <c r="E902" s="4" t="s">
        <v>15</v>
      </c>
      <c r="F902" t="s">
        <v>295</v>
      </c>
      <c r="G902" s="1">
        <v>45627</v>
      </c>
      <c r="H902" s="1">
        <f>TablaDatos[[#This Row],[FechaIngreso]]+TablaDatos[[#This Row],[DiasNuevo]]</f>
        <v>45649</v>
      </c>
      <c r="I902">
        <v>22</v>
      </c>
      <c r="J902" t="s">
        <v>19</v>
      </c>
      <c r="K902" s="3">
        <v>12753.99</v>
      </c>
      <c r="L902" t="b">
        <f>TablaDatos[[#This Row],[FechaAlta]] &lt; TablaDatos[[#This Row],[FechaIngreso]]</f>
        <v>0</v>
      </c>
      <c r="M902">
        <f>_xlfn.XLOOKUP(TablaDatos[[#This Row],[PacienteID]],'Datos_Ejemplo.csv'!A:A,'Datos_Ejemplo.csv'!I:I)</f>
        <v>22</v>
      </c>
      <c r="N902">
        <f>ABS(TablaDatos[[#This Row],[DiasOriginal]])</f>
        <v>22</v>
      </c>
      <c r="O902" s="1">
        <f>TablaDatos[[#This Row],[FechaIngreso]]+TablaDatos[[#This Row],[DiasNuevo]]</f>
        <v>45649</v>
      </c>
    </row>
    <row r="903" spans="1:15">
      <c r="A903">
        <v>902</v>
      </c>
      <c r="B903" t="s">
        <v>246</v>
      </c>
      <c r="C903" s="1">
        <v>43466</v>
      </c>
      <c r="D903">
        <v>7</v>
      </c>
      <c r="E903" s="4" t="s">
        <v>15</v>
      </c>
      <c r="F903" t="s">
        <v>295</v>
      </c>
      <c r="G903" s="1">
        <v>45482</v>
      </c>
      <c r="H903" s="1">
        <f>TablaDatos[[#This Row],[FechaIngreso]]+TablaDatos[[#This Row],[DiasNuevo]]</f>
        <v>45489</v>
      </c>
      <c r="I903">
        <v>7</v>
      </c>
      <c r="J903" t="s">
        <v>23</v>
      </c>
      <c r="K903" s="3">
        <v>9413.14</v>
      </c>
      <c r="L903" t="b">
        <f>TablaDatos[[#This Row],[FechaAlta]] &lt; TablaDatos[[#This Row],[FechaIngreso]]</f>
        <v>0</v>
      </c>
      <c r="M903">
        <f>_xlfn.XLOOKUP(TablaDatos[[#This Row],[PacienteID]],'Datos_Ejemplo.csv'!A:A,'Datos_Ejemplo.csv'!I:I)</f>
        <v>7</v>
      </c>
      <c r="N903">
        <f>ABS(TablaDatos[[#This Row],[DiasOriginal]])</f>
        <v>7</v>
      </c>
      <c r="O903" s="1">
        <f>TablaDatos[[#This Row],[FechaIngreso]]+TablaDatos[[#This Row],[DiasNuevo]]</f>
        <v>45489</v>
      </c>
    </row>
    <row r="904" spans="1:15">
      <c r="A904">
        <v>903</v>
      </c>
      <c r="B904" t="s">
        <v>276</v>
      </c>
      <c r="C904" s="1">
        <v>27395</v>
      </c>
      <c r="D904">
        <v>51</v>
      </c>
      <c r="E904" s="4" t="s">
        <v>12</v>
      </c>
      <c r="F904" t="s">
        <v>21</v>
      </c>
      <c r="G904" s="1">
        <v>45360</v>
      </c>
      <c r="H904" s="1">
        <f>TablaDatos[[#This Row],[FechaIngreso]]+TablaDatos[[#This Row],[DiasNuevo]]</f>
        <v>45362</v>
      </c>
      <c r="I904">
        <v>2</v>
      </c>
      <c r="J904" t="s">
        <v>19</v>
      </c>
      <c r="K904" s="3">
        <v>326.73</v>
      </c>
      <c r="L904" t="b">
        <f>TablaDatos[[#This Row],[FechaAlta]] &lt; TablaDatos[[#This Row],[FechaIngreso]]</f>
        <v>0</v>
      </c>
      <c r="M904">
        <f>_xlfn.XLOOKUP(TablaDatos[[#This Row],[PacienteID]],'Datos_Ejemplo.csv'!A:A,'Datos_Ejemplo.csv'!I:I)</f>
        <v>-2</v>
      </c>
      <c r="N904">
        <f>ABS(TablaDatos[[#This Row],[DiasOriginal]])</f>
        <v>2</v>
      </c>
      <c r="O904" s="1">
        <f>TablaDatos[[#This Row],[FechaIngreso]]+TablaDatos[[#This Row],[DiasNuevo]]</f>
        <v>45362</v>
      </c>
    </row>
    <row r="905" spans="1:15">
      <c r="A905">
        <v>904</v>
      </c>
      <c r="B905" t="s">
        <v>270</v>
      </c>
      <c r="C905" s="1">
        <v>17533</v>
      </c>
      <c r="D905">
        <v>78</v>
      </c>
      <c r="E905" s="4" t="s">
        <v>12</v>
      </c>
      <c r="F905" t="s">
        <v>18</v>
      </c>
      <c r="G905" s="1">
        <v>45386</v>
      </c>
      <c r="H905" s="1">
        <f>TablaDatos[[#This Row],[FechaIngreso]]+TablaDatos[[#This Row],[DiasNuevo]]</f>
        <v>45415</v>
      </c>
      <c r="I905">
        <v>29</v>
      </c>
      <c r="J905" t="s">
        <v>23</v>
      </c>
      <c r="K905" s="3">
        <v>16269.1</v>
      </c>
      <c r="L905" t="b">
        <f>TablaDatos[[#This Row],[FechaAlta]] &lt; TablaDatos[[#This Row],[FechaIngreso]]</f>
        <v>0</v>
      </c>
      <c r="M905">
        <f>_xlfn.XLOOKUP(TablaDatos[[#This Row],[PacienteID]],'Datos_Ejemplo.csv'!A:A,'Datos_Ejemplo.csv'!I:I)</f>
        <v>29</v>
      </c>
      <c r="N905">
        <f>ABS(TablaDatos[[#This Row],[DiasOriginal]])</f>
        <v>29</v>
      </c>
      <c r="O905" s="1">
        <f>TablaDatos[[#This Row],[FechaIngreso]]+TablaDatos[[#This Row],[DiasNuevo]]</f>
        <v>45415</v>
      </c>
    </row>
    <row r="906" spans="1:15">
      <c r="A906">
        <v>905</v>
      </c>
      <c r="B906" t="s">
        <v>152</v>
      </c>
      <c r="C906" s="1">
        <v>29221</v>
      </c>
      <c r="D906">
        <v>46</v>
      </c>
      <c r="E906" s="4" t="s">
        <v>12</v>
      </c>
      <c r="F906" t="s">
        <v>21</v>
      </c>
      <c r="G906" s="1">
        <v>45627</v>
      </c>
      <c r="H906" s="1">
        <f>TablaDatos[[#This Row],[FechaIngreso]]+TablaDatos[[#This Row],[DiasNuevo]]</f>
        <v>45661</v>
      </c>
      <c r="I906">
        <v>34</v>
      </c>
      <c r="J906" t="s">
        <v>19</v>
      </c>
      <c r="K906" s="3">
        <v>2174.4299999999998</v>
      </c>
      <c r="L906" t="b">
        <f>TablaDatos[[#This Row],[FechaAlta]] &lt; TablaDatos[[#This Row],[FechaIngreso]]</f>
        <v>0</v>
      </c>
      <c r="M906">
        <f>_xlfn.XLOOKUP(TablaDatos[[#This Row],[PacienteID]],'Datos_Ejemplo.csv'!A:A,'Datos_Ejemplo.csv'!I:I)</f>
        <v>34</v>
      </c>
      <c r="N906">
        <f>ABS(TablaDatos[[#This Row],[DiasOriginal]])</f>
        <v>34</v>
      </c>
      <c r="O906" s="1">
        <f>TablaDatos[[#This Row],[FechaIngreso]]+TablaDatos[[#This Row],[DiasNuevo]]</f>
        <v>45661</v>
      </c>
    </row>
    <row r="907" spans="1:15">
      <c r="A907">
        <v>906</v>
      </c>
      <c r="B907" t="s">
        <v>238</v>
      </c>
      <c r="C907" s="1">
        <v>25934</v>
      </c>
      <c r="D907">
        <v>55</v>
      </c>
      <c r="E907" s="4" t="s">
        <v>12</v>
      </c>
      <c r="F907" t="s">
        <v>21</v>
      </c>
      <c r="G907" s="1">
        <v>45429</v>
      </c>
      <c r="H907" s="1">
        <f>TablaDatos[[#This Row],[FechaIngreso]]+TablaDatos[[#This Row],[DiasNuevo]]</f>
        <v>45438</v>
      </c>
      <c r="I907">
        <v>9</v>
      </c>
      <c r="J907" t="s">
        <v>25</v>
      </c>
      <c r="K907" s="3">
        <v>9228.2099999999991</v>
      </c>
      <c r="L907" t="b">
        <f>TablaDatos[[#This Row],[FechaAlta]] &lt; TablaDatos[[#This Row],[FechaIngreso]]</f>
        <v>0</v>
      </c>
      <c r="M907">
        <f>_xlfn.XLOOKUP(TablaDatos[[#This Row],[PacienteID]],'Datos_Ejemplo.csv'!A:A,'Datos_Ejemplo.csv'!I:I)</f>
        <v>9</v>
      </c>
      <c r="N907">
        <f>ABS(TablaDatos[[#This Row],[DiasOriginal]])</f>
        <v>9</v>
      </c>
      <c r="O907" s="1">
        <f>TablaDatos[[#This Row],[FechaIngreso]]+TablaDatos[[#This Row],[DiasNuevo]]</f>
        <v>45438</v>
      </c>
    </row>
    <row r="908" spans="1:15">
      <c r="A908">
        <v>907</v>
      </c>
      <c r="B908" t="s">
        <v>274</v>
      </c>
      <c r="C908" s="1">
        <f ca="1">DATE(YEAR(TODAY())-TablaDatos[[#This Row],[Edad]],1,1)</f>
        <v>14977</v>
      </c>
      <c r="D908">
        <v>85</v>
      </c>
      <c r="E908" s="4" t="s">
        <v>12</v>
      </c>
      <c r="F908" t="s">
        <v>261</v>
      </c>
      <c r="G908" s="1">
        <v>45395</v>
      </c>
      <c r="H908" s="1">
        <f>TablaDatos[[#This Row],[FechaIngreso]]+TablaDatos[[#This Row],[DiasNuevo]]</f>
        <v>45410</v>
      </c>
      <c r="I908">
        <v>15</v>
      </c>
      <c r="J908" t="s">
        <v>23</v>
      </c>
      <c r="K908" s="3">
        <v>11556.01</v>
      </c>
      <c r="L908" t="b">
        <f>TablaDatos[[#This Row],[FechaAlta]] &lt; TablaDatos[[#This Row],[FechaIngreso]]</f>
        <v>0</v>
      </c>
      <c r="M908">
        <f>_xlfn.XLOOKUP(TablaDatos[[#This Row],[PacienteID]],'Datos_Ejemplo.csv'!A:A,'Datos_Ejemplo.csv'!I:I)</f>
        <v>15</v>
      </c>
      <c r="N908">
        <f>ABS(TablaDatos[[#This Row],[DiasOriginal]])</f>
        <v>15</v>
      </c>
      <c r="O908" s="1">
        <f>TablaDatos[[#This Row],[FechaIngreso]]+TablaDatos[[#This Row],[DiasNuevo]]</f>
        <v>45410</v>
      </c>
    </row>
    <row r="909" spans="1:15">
      <c r="A909">
        <v>908</v>
      </c>
      <c r="B909" t="s">
        <v>366</v>
      </c>
      <c r="C909" s="1">
        <v>41274</v>
      </c>
      <c r="D909">
        <v>13</v>
      </c>
      <c r="E909" s="4" t="s">
        <v>12</v>
      </c>
      <c r="F909" t="s">
        <v>18</v>
      </c>
      <c r="G909" s="1">
        <v>45632</v>
      </c>
      <c r="H909" s="1">
        <f>TablaDatos[[#This Row],[FechaIngreso]]+TablaDatos[[#This Row],[DiasNuevo]]</f>
        <v>45659</v>
      </c>
      <c r="I909">
        <v>27</v>
      </c>
      <c r="J909" t="s">
        <v>19</v>
      </c>
      <c r="K909" s="3">
        <v>14080.67</v>
      </c>
      <c r="L909" t="b">
        <f>TablaDatos[[#This Row],[FechaAlta]] &lt; TablaDatos[[#This Row],[FechaIngreso]]</f>
        <v>0</v>
      </c>
      <c r="M909">
        <f>_xlfn.XLOOKUP(TablaDatos[[#This Row],[PacienteID]],'Datos_Ejemplo.csv'!A:A,'Datos_Ejemplo.csv'!I:I)</f>
        <v>27</v>
      </c>
      <c r="N909">
        <f>ABS(TablaDatos[[#This Row],[DiasOriginal]])</f>
        <v>27</v>
      </c>
      <c r="O909" s="1">
        <f>TablaDatos[[#This Row],[FechaIngreso]]+TablaDatos[[#This Row],[DiasNuevo]]</f>
        <v>45659</v>
      </c>
    </row>
    <row r="910" spans="1:15">
      <c r="A910">
        <v>909</v>
      </c>
      <c r="B910" t="s">
        <v>293</v>
      </c>
      <c r="C910" s="1">
        <v>13515</v>
      </c>
      <c r="D910">
        <v>89</v>
      </c>
      <c r="E910" s="4" t="s">
        <v>12</v>
      </c>
      <c r="F910" t="s">
        <v>21</v>
      </c>
      <c r="G910" s="1">
        <v>45292</v>
      </c>
      <c r="H910" s="1">
        <f>TablaDatos[[#This Row],[FechaIngreso]]+TablaDatos[[#This Row],[DiasNuevo]]</f>
        <v>45302</v>
      </c>
      <c r="I910">
        <v>10</v>
      </c>
      <c r="J910" t="s">
        <v>19</v>
      </c>
      <c r="K910" s="3">
        <v>8157.01</v>
      </c>
      <c r="L910" t="b">
        <f>TablaDatos[[#This Row],[FechaAlta]] &lt; TablaDatos[[#This Row],[FechaIngreso]]</f>
        <v>0</v>
      </c>
      <c r="M910">
        <f>_xlfn.XLOOKUP(TablaDatos[[#This Row],[PacienteID]],'Datos_Ejemplo.csv'!A:A,'Datos_Ejemplo.csv'!I:I)</f>
        <v>10</v>
      </c>
      <c r="N910">
        <f>ABS(TablaDatos[[#This Row],[DiasOriginal]])</f>
        <v>10</v>
      </c>
      <c r="O910" s="1">
        <f>TablaDatos[[#This Row],[FechaIngreso]]+TablaDatos[[#This Row],[DiasNuevo]]</f>
        <v>45302</v>
      </c>
    </row>
    <row r="911" spans="1:15">
      <c r="A911">
        <v>910</v>
      </c>
      <c r="B911" t="s">
        <v>146</v>
      </c>
      <c r="C911" s="1">
        <v>36161</v>
      </c>
      <c r="D911">
        <v>27</v>
      </c>
      <c r="E911" s="4" t="s">
        <v>15</v>
      </c>
      <c r="F911" t="s">
        <v>18</v>
      </c>
      <c r="G911" s="1">
        <v>45165</v>
      </c>
      <c r="H911" s="1">
        <f>TablaDatos[[#This Row],[FechaIngreso]]+TablaDatos[[#This Row],[DiasNuevo]]</f>
        <v>45165</v>
      </c>
      <c r="I911">
        <v>0</v>
      </c>
      <c r="J911" t="s">
        <v>23</v>
      </c>
      <c r="K911" s="3">
        <v>14684.52</v>
      </c>
      <c r="L911" t="b">
        <f>TablaDatos[[#This Row],[FechaAlta]] &lt; TablaDatos[[#This Row],[FechaIngreso]]</f>
        <v>0</v>
      </c>
      <c r="M911">
        <f>_xlfn.XLOOKUP(TablaDatos[[#This Row],[PacienteID]],'Datos_Ejemplo.csv'!A:A,'Datos_Ejemplo.csv'!I:I)</f>
        <v>0</v>
      </c>
      <c r="N911">
        <f>ABS(TablaDatos[[#This Row],[DiasOriginal]])</f>
        <v>0</v>
      </c>
      <c r="O911" s="1">
        <f>TablaDatos[[#This Row],[FechaIngreso]]+TablaDatos[[#This Row],[DiasNuevo]]</f>
        <v>45165</v>
      </c>
    </row>
    <row r="912" spans="1:15">
      <c r="A912">
        <v>911</v>
      </c>
      <c r="B912" t="s">
        <v>286</v>
      </c>
      <c r="C912" s="1">
        <v>14611</v>
      </c>
      <c r="D912">
        <v>86</v>
      </c>
      <c r="E912" s="4" t="s">
        <v>12</v>
      </c>
      <c r="F912" t="s">
        <v>21</v>
      </c>
      <c r="G912" s="1">
        <v>45550</v>
      </c>
      <c r="H912" s="1">
        <f>TablaDatos[[#This Row],[FechaIngreso]]+TablaDatos[[#This Row],[DiasNuevo]]</f>
        <v>45568</v>
      </c>
      <c r="I912">
        <v>18</v>
      </c>
      <c r="J912" t="s">
        <v>23</v>
      </c>
      <c r="K912" s="3">
        <v>2540.14</v>
      </c>
      <c r="L912" t="b">
        <f>TablaDatos[[#This Row],[FechaAlta]] &lt; TablaDatos[[#This Row],[FechaIngreso]]</f>
        <v>0</v>
      </c>
      <c r="M912">
        <f>_xlfn.XLOOKUP(TablaDatos[[#This Row],[PacienteID]],'Datos_Ejemplo.csv'!A:A,'Datos_Ejemplo.csv'!I:I)</f>
        <v>18</v>
      </c>
      <c r="N912">
        <f>ABS(TablaDatos[[#This Row],[DiasOriginal]])</f>
        <v>18</v>
      </c>
      <c r="O912" s="1">
        <f>TablaDatos[[#This Row],[FechaIngreso]]+TablaDatos[[#This Row],[DiasNuevo]]</f>
        <v>45568</v>
      </c>
    </row>
    <row r="913" spans="1:15">
      <c r="A913">
        <v>912</v>
      </c>
      <c r="B913" t="s">
        <v>162</v>
      </c>
      <c r="C913" s="1">
        <v>17898</v>
      </c>
      <c r="D913">
        <v>77</v>
      </c>
      <c r="E913" s="4" t="s">
        <v>12</v>
      </c>
      <c r="F913" t="s">
        <v>32</v>
      </c>
      <c r="G913" s="1">
        <v>45507</v>
      </c>
      <c r="H913" s="1">
        <f>TablaDatos[[#This Row],[FechaIngreso]]+TablaDatos[[#This Row],[DiasNuevo]]</f>
        <v>45546</v>
      </c>
      <c r="I913">
        <v>39</v>
      </c>
      <c r="J913" t="s">
        <v>23</v>
      </c>
      <c r="K913" s="3">
        <v>13034.26</v>
      </c>
      <c r="L913" t="b">
        <f>TablaDatos[[#This Row],[FechaAlta]] &lt; TablaDatos[[#This Row],[FechaIngreso]]</f>
        <v>0</v>
      </c>
      <c r="M913">
        <f>_xlfn.XLOOKUP(TablaDatos[[#This Row],[PacienteID]],'Datos_Ejemplo.csv'!A:A,'Datos_Ejemplo.csv'!I:I)</f>
        <v>39</v>
      </c>
      <c r="N913">
        <f>ABS(TablaDatos[[#This Row],[DiasOriginal]])</f>
        <v>39</v>
      </c>
      <c r="O913" s="1">
        <f>TablaDatos[[#This Row],[FechaIngreso]]+TablaDatos[[#This Row],[DiasNuevo]]</f>
        <v>45546</v>
      </c>
    </row>
    <row r="914" spans="1:15">
      <c r="A914">
        <v>913</v>
      </c>
      <c r="B914" t="s">
        <v>364</v>
      </c>
      <c r="C914" s="1">
        <v>14246</v>
      </c>
      <c r="D914">
        <v>87</v>
      </c>
      <c r="E914" s="4" t="s">
        <v>15</v>
      </c>
      <c r="F914" t="s">
        <v>21</v>
      </c>
      <c r="G914" s="1">
        <v>45487</v>
      </c>
      <c r="H914" s="1">
        <f>TablaDatos[[#This Row],[FechaIngreso]]+TablaDatos[[#This Row],[DiasNuevo]]</f>
        <v>45498</v>
      </c>
      <c r="I914">
        <v>11</v>
      </c>
      <c r="J914" t="s">
        <v>23</v>
      </c>
      <c r="K914" s="3">
        <v>16509.41</v>
      </c>
      <c r="L914" t="b">
        <f>TablaDatos[[#This Row],[FechaAlta]] &lt; TablaDatos[[#This Row],[FechaIngreso]]</f>
        <v>0</v>
      </c>
      <c r="M914">
        <f>_xlfn.XLOOKUP(TablaDatos[[#This Row],[PacienteID]],'Datos_Ejemplo.csv'!A:A,'Datos_Ejemplo.csv'!I:I)</f>
        <v>11</v>
      </c>
      <c r="N914">
        <f>ABS(TablaDatos[[#This Row],[DiasOriginal]])</f>
        <v>11</v>
      </c>
      <c r="O914" s="1">
        <f>TablaDatos[[#This Row],[FechaIngreso]]+TablaDatos[[#This Row],[DiasNuevo]]</f>
        <v>45498</v>
      </c>
    </row>
    <row r="915" spans="1:15">
      <c r="A915">
        <v>914</v>
      </c>
      <c r="B915" t="s">
        <v>340</v>
      </c>
      <c r="C915" s="1">
        <v>45657</v>
      </c>
      <c r="D915">
        <v>1</v>
      </c>
      <c r="E915" s="4" t="s">
        <v>12</v>
      </c>
      <c r="F915" t="s">
        <v>21</v>
      </c>
      <c r="G915" s="1">
        <v>45589</v>
      </c>
      <c r="H915" s="1">
        <f>TablaDatos[[#This Row],[FechaIngreso]]+TablaDatos[[#This Row],[DiasNuevo]]</f>
        <v>45626</v>
      </c>
      <c r="I915">
        <v>37</v>
      </c>
      <c r="J915" t="s">
        <v>23</v>
      </c>
      <c r="K915" s="3">
        <v>17777.82</v>
      </c>
      <c r="L915" t="b">
        <f>TablaDatos[[#This Row],[FechaAlta]] &lt; TablaDatos[[#This Row],[FechaIngreso]]</f>
        <v>0</v>
      </c>
      <c r="M915">
        <f>_xlfn.XLOOKUP(TablaDatos[[#This Row],[PacienteID]],'Datos_Ejemplo.csv'!A:A,'Datos_Ejemplo.csv'!I:I)</f>
        <v>37</v>
      </c>
      <c r="N915">
        <f>ABS(TablaDatos[[#This Row],[DiasOriginal]])</f>
        <v>37</v>
      </c>
      <c r="O915" s="1">
        <f>TablaDatos[[#This Row],[FechaIngreso]]+TablaDatos[[#This Row],[DiasNuevo]]</f>
        <v>45626</v>
      </c>
    </row>
    <row r="916" spans="1:15">
      <c r="A916">
        <v>915</v>
      </c>
      <c r="B916" t="s">
        <v>366</v>
      </c>
      <c r="C916" s="1">
        <v>36891</v>
      </c>
      <c r="D916">
        <v>25</v>
      </c>
      <c r="E916" s="4" t="s">
        <v>12</v>
      </c>
      <c r="F916" t="s">
        <v>201</v>
      </c>
      <c r="G916" s="1">
        <v>45322</v>
      </c>
      <c r="H916" s="1">
        <f>TablaDatos[[#This Row],[FechaIngreso]]+TablaDatos[[#This Row],[DiasNuevo]]</f>
        <v>45329</v>
      </c>
      <c r="I916">
        <v>7</v>
      </c>
      <c r="J916" t="s">
        <v>25</v>
      </c>
      <c r="K916" s="3">
        <v>11549.29</v>
      </c>
      <c r="L916" t="b">
        <f>TablaDatos[[#This Row],[FechaAlta]] &lt; TablaDatos[[#This Row],[FechaIngreso]]</f>
        <v>0</v>
      </c>
      <c r="M916">
        <f>_xlfn.XLOOKUP(TablaDatos[[#This Row],[PacienteID]],'Datos_Ejemplo.csv'!A:A,'Datos_Ejemplo.csv'!I:I)</f>
        <v>7</v>
      </c>
      <c r="N916">
        <f>ABS(TablaDatos[[#This Row],[DiasOriginal]])</f>
        <v>7</v>
      </c>
      <c r="O916" s="1">
        <f>TablaDatos[[#This Row],[FechaIngreso]]+TablaDatos[[#This Row],[DiasNuevo]]</f>
        <v>45329</v>
      </c>
    </row>
    <row r="917" spans="1:15">
      <c r="A917">
        <v>916</v>
      </c>
      <c r="B917" t="s">
        <v>240</v>
      </c>
      <c r="C917" s="1">
        <v>41274</v>
      </c>
      <c r="D917">
        <v>13</v>
      </c>
      <c r="E917" s="4" t="s">
        <v>15</v>
      </c>
      <c r="F917" t="s">
        <v>32</v>
      </c>
      <c r="G917" s="1">
        <v>45321</v>
      </c>
      <c r="H917" s="1">
        <f>TablaDatos[[#This Row],[FechaIngreso]]+TablaDatos[[#This Row],[DiasNuevo]]</f>
        <v>45322</v>
      </c>
      <c r="I917">
        <v>1</v>
      </c>
      <c r="J917" t="s">
        <v>19</v>
      </c>
      <c r="K917" s="3">
        <v>6189.19</v>
      </c>
      <c r="L917" t="b">
        <f>TablaDatos[[#This Row],[FechaAlta]] &lt; TablaDatos[[#This Row],[FechaIngreso]]</f>
        <v>0</v>
      </c>
      <c r="M917">
        <f>_xlfn.XLOOKUP(TablaDatos[[#This Row],[PacienteID]],'Datos_Ejemplo.csv'!A:A,'Datos_Ejemplo.csv'!I:I)</f>
        <v>-1</v>
      </c>
      <c r="N917">
        <f>ABS(TablaDatos[[#This Row],[DiasOriginal]])</f>
        <v>1</v>
      </c>
      <c r="O917" s="1">
        <f>TablaDatos[[#This Row],[FechaIngreso]]+TablaDatos[[#This Row],[DiasNuevo]]</f>
        <v>45322</v>
      </c>
    </row>
    <row r="918" spans="1:15">
      <c r="A918">
        <v>917</v>
      </c>
      <c r="B918" t="s">
        <v>114</v>
      </c>
      <c r="C918" s="1">
        <v>24838</v>
      </c>
      <c r="D918">
        <v>58</v>
      </c>
      <c r="E918" s="4" t="s">
        <v>12</v>
      </c>
      <c r="F918" t="s">
        <v>295</v>
      </c>
      <c r="G918" s="1">
        <v>45553</v>
      </c>
      <c r="H918" s="1">
        <f>TablaDatos[[#This Row],[FechaIngreso]]+TablaDatos[[#This Row],[DiasNuevo]]</f>
        <v>45587</v>
      </c>
      <c r="I918">
        <v>34</v>
      </c>
      <c r="J918" t="s">
        <v>19</v>
      </c>
      <c r="K918" s="3">
        <v>3183.47</v>
      </c>
      <c r="L918" t="b">
        <f>TablaDatos[[#This Row],[FechaAlta]] &lt; TablaDatos[[#This Row],[FechaIngreso]]</f>
        <v>0</v>
      </c>
      <c r="M918">
        <f>_xlfn.XLOOKUP(TablaDatos[[#This Row],[PacienteID]],'Datos_Ejemplo.csv'!A:A,'Datos_Ejemplo.csv'!I:I)</f>
        <v>34</v>
      </c>
      <c r="N918">
        <f>ABS(TablaDatos[[#This Row],[DiasOriginal]])</f>
        <v>34</v>
      </c>
      <c r="O918" s="1">
        <f>TablaDatos[[#This Row],[FechaIngreso]]+TablaDatos[[#This Row],[DiasNuevo]]</f>
        <v>45587</v>
      </c>
    </row>
    <row r="919" spans="1:15">
      <c r="A919">
        <v>918</v>
      </c>
      <c r="B919" t="s">
        <v>253</v>
      </c>
      <c r="C919" s="1">
        <v>25934</v>
      </c>
      <c r="D919">
        <v>55</v>
      </c>
      <c r="E919" s="4" t="s">
        <v>15</v>
      </c>
      <c r="F919" t="s">
        <v>18</v>
      </c>
      <c r="G919" s="1">
        <v>45001</v>
      </c>
      <c r="H919" s="1">
        <f>TablaDatos[[#This Row],[FechaIngreso]]+TablaDatos[[#This Row],[DiasNuevo]]</f>
        <v>45009</v>
      </c>
      <c r="I919">
        <v>8</v>
      </c>
      <c r="J919" t="s">
        <v>23</v>
      </c>
      <c r="K919" s="3">
        <v>6845.73</v>
      </c>
      <c r="L919" t="b">
        <f>TablaDatos[[#This Row],[FechaAlta]] &lt; TablaDatos[[#This Row],[FechaIngreso]]</f>
        <v>0</v>
      </c>
      <c r="M919">
        <f>_xlfn.XLOOKUP(TablaDatos[[#This Row],[PacienteID]],'Datos_Ejemplo.csv'!A:A,'Datos_Ejemplo.csv'!I:I)</f>
        <v>8</v>
      </c>
      <c r="N919">
        <f>ABS(TablaDatos[[#This Row],[DiasOriginal]])</f>
        <v>8</v>
      </c>
      <c r="O919" s="1">
        <f>TablaDatos[[#This Row],[FechaIngreso]]+TablaDatos[[#This Row],[DiasNuevo]]</f>
        <v>45009</v>
      </c>
    </row>
    <row r="920" spans="1:15">
      <c r="A920">
        <v>919</v>
      </c>
      <c r="B920" t="s">
        <v>248</v>
      </c>
      <c r="C920" s="1">
        <v>43831</v>
      </c>
      <c r="D920">
        <f ca="1">DATEDIF(TablaDatos[[#This Row],[FechaNacimiento]],TODAY(),"Y")</f>
        <v>6</v>
      </c>
      <c r="E920" s="4" t="s">
        <v>15</v>
      </c>
      <c r="F920" t="s">
        <v>201</v>
      </c>
      <c r="G920" s="1">
        <v>45024</v>
      </c>
      <c r="H920" s="1">
        <f>TablaDatos[[#This Row],[FechaIngreso]]+TablaDatos[[#This Row],[DiasNuevo]]</f>
        <v>45026</v>
      </c>
      <c r="I920">
        <v>2</v>
      </c>
      <c r="J920" t="s">
        <v>25</v>
      </c>
      <c r="K920" s="3">
        <v>10753.48</v>
      </c>
      <c r="L920" t="b">
        <f>TablaDatos[[#This Row],[FechaAlta]] &lt; TablaDatos[[#This Row],[FechaIngreso]]</f>
        <v>0</v>
      </c>
      <c r="M920">
        <f>_xlfn.XLOOKUP(TablaDatos[[#This Row],[PacienteID]],'Datos_Ejemplo.csv'!A:A,'Datos_Ejemplo.csv'!I:I)</f>
        <v>-2</v>
      </c>
      <c r="N920">
        <f>ABS(TablaDatos[[#This Row],[DiasOriginal]])</f>
        <v>2</v>
      </c>
      <c r="O920" s="1">
        <f>TablaDatos[[#This Row],[FechaIngreso]]+TablaDatos[[#This Row],[DiasNuevo]]</f>
        <v>45026</v>
      </c>
    </row>
    <row r="921" spans="1:15">
      <c r="A921">
        <v>920</v>
      </c>
      <c r="B921" t="s">
        <v>162</v>
      </c>
      <c r="C921" s="1">
        <v>45292</v>
      </c>
      <c r="D921">
        <v>2</v>
      </c>
      <c r="E921" s="4" t="s">
        <v>12</v>
      </c>
      <c r="F921" t="s">
        <v>13</v>
      </c>
      <c r="G921" s="1">
        <v>45309</v>
      </c>
      <c r="H921" s="1">
        <f>TablaDatos[[#This Row],[FechaIngreso]]+TablaDatos[[#This Row],[DiasNuevo]]</f>
        <v>45332</v>
      </c>
      <c r="I921">
        <v>23</v>
      </c>
      <c r="J921" t="s">
        <v>19</v>
      </c>
      <c r="K921" s="3">
        <v>3846.24</v>
      </c>
      <c r="L921" t="b">
        <f>TablaDatos[[#This Row],[FechaAlta]] &lt; TablaDatos[[#This Row],[FechaIngreso]]</f>
        <v>0</v>
      </c>
      <c r="M921">
        <f>_xlfn.XLOOKUP(TablaDatos[[#This Row],[PacienteID]],'Datos_Ejemplo.csv'!A:A,'Datos_Ejemplo.csv'!I:I)</f>
        <v>23</v>
      </c>
      <c r="N921">
        <f>ABS(TablaDatos[[#This Row],[DiasOriginal]])</f>
        <v>23</v>
      </c>
      <c r="O921" s="1">
        <f>TablaDatos[[#This Row],[FechaIngreso]]+TablaDatos[[#This Row],[DiasNuevo]]</f>
        <v>45332</v>
      </c>
    </row>
    <row r="922" spans="1:15">
      <c r="A922">
        <v>921</v>
      </c>
      <c r="B922" t="s">
        <v>353</v>
      </c>
      <c r="C922" s="1">
        <v>37987</v>
      </c>
      <c r="D922">
        <v>22</v>
      </c>
      <c r="E922" s="4" t="s">
        <v>12</v>
      </c>
      <c r="F922" t="s">
        <v>32</v>
      </c>
      <c r="G922" s="1">
        <v>45549</v>
      </c>
      <c r="H922" s="1">
        <f>TablaDatos[[#This Row],[FechaIngreso]]+TablaDatos[[#This Row],[DiasNuevo]]</f>
        <v>45588</v>
      </c>
      <c r="I922">
        <v>39</v>
      </c>
      <c r="J922" t="s">
        <v>25</v>
      </c>
      <c r="K922" s="3">
        <v>19045.55</v>
      </c>
      <c r="L922" t="b">
        <f>TablaDatos[[#This Row],[FechaAlta]] &lt; TablaDatos[[#This Row],[FechaIngreso]]</f>
        <v>0</v>
      </c>
      <c r="M922">
        <f>_xlfn.XLOOKUP(TablaDatos[[#This Row],[PacienteID]],'Datos_Ejemplo.csv'!A:A,'Datos_Ejemplo.csv'!I:I)</f>
        <v>39</v>
      </c>
      <c r="N922">
        <f>ABS(TablaDatos[[#This Row],[DiasOriginal]])</f>
        <v>39</v>
      </c>
      <c r="O922" s="1">
        <f>TablaDatos[[#This Row],[FechaIngreso]]+TablaDatos[[#This Row],[DiasNuevo]]</f>
        <v>45588</v>
      </c>
    </row>
    <row r="923" spans="1:15">
      <c r="A923">
        <v>922</v>
      </c>
      <c r="B923" t="s">
        <v>299</v>
      </c>
      <c r="C923" s="1">
        <v>39813</v>
      </c>
      <c r="D923">
        <v>17</v>
      </c>
      <c r="E923" s="4" t="s">
        <v>12</v>
      </c>
      <c r="F923" t="s">
        <v>201</v>
      </c>
      <c r="G923" s="1">
        <v>45296</v>
      </c>
      <c r="H923" s="1">
        <f>TablaDatos[[#This Row],[FechaIngreso]]+TablaDatos[[#This Row],[DiasNuevo]]</f>
        <v>45306</v>
      </c>
      <c r="I923">
        <v>10</v>
      </c>
      <c r="J923" t="s">
        <v>23</v>
      </c>
      <c r="K923" s="3">
        <v>17932.419999999998</v>
      </c>
      <c r="L923" t="b">
        <f>TablaDatos[[#This Row],[FechaAlta]] &lt; TablaDatos[[#This Row],[FechaIngreso]]</f>
        <v>0</v>
      </c>
      <c r="M923">
        <f>_xlfn.XLOOKUP(TablaDatos[[#This Row],[PacienteID]],'Datos_Ejemplo.csv'!A:A,'Datos_Ejemplo.csv'!I:I)</f>
        <v>10</v>
      </c>
      <c r="N923">
        <f>ABS(TablaDatos[[#This Row],[DiasOriginal]])</f>
        <v>10</v>
      </c>
      <c r="O923" s="1">
        <f>TablaDatos[[#This Row],[FechaIngreso]]+TablaDatos[[#This Row],[DiasNuevo]]</f>
        <v>45306</v>
      </c>
    </row>
    <row r="924" spans="1:15">
      <c r="A924">
        <v>923</v>
      </c>
      <c r="B924" t="s">
        <v>277</v>
      </c>
      <c r="C924" s="1">
        <v>32508</v>
      </c>
      <c r="D924">
        <v>37</v>
      </c>
      <c r="E924" s="4" t="s">
        <v>12</v>
      </c>
      <c r="F924" t="s">
        <v>295</v>
      </c>
      <c r="G924" s="1">
        <v>45211</v>
      </c>
      <c r="H924" s="1">
        <f>TablaDatos[[#This Row],[FechaIngreso]]+TablaDatos[[#This Row],[DiasNuevo]]</f>
        <v>45236</v>
      </c>
      <c r="I924">
        <v>25</v>
      </c>
      <c r="J924" t="s">
        <v>19</v>
      </c>
      <c r="K924" s="3">
        <v>562.44000000000005</v>
      </c>
      <c r="L924" t="b">
        <f>TablaDatos[[#This Row],[FechaAlta]] &lt; TablaDatos[[#This Row],[FechaIngreso]]</f>
        <v>0</v>
      </c>
      <c r="M924">
        <f>_xlfn.XLOOKUP(TablaDatos[[#This Row],[PacienteID]],'Datos_Ejemplo.csv'!A:A,'Datos_Ejemplo.csv'!I:I)</f>
        <v>25</v>
      </c>
      <c r="N924">
        <f>ABS(TablaDatos[[#This Row],[DiasOriginal]])</f>
        <v>25</v>
      </c>
      <c r="O924" s="1">
        <f>TablaDatos[[#This Row],[FechaIngreso]]+TablaDatos[[#This Row],[DiasNuevo]]</f>
        <v>45236</v>
      </c>
    </row>
    <row r="925" spans="1:15">
      <c r="A925">
        <v>924</v>
      </c>
      <c r="B925" t="s">
        <v>233</v>
      </c>
      <c r="C925" s="1">
        <v>40909</v>
      </c>
      <c r="D925">
        <v>14</v>
      </c>
      <c r="E925" s="4" t="s">
        <v>15</v>
      </c>
      <c r="F925" t="s">
        <v>21</v>
      </c>
      <c r="G925" s="1">
        <v>45182</v>
      </c>
      <c r="H925" s="1">
        <f>TablaDatos[[#This Row],[FechaIngreso]]+TablaDatos[[#This Row],[DiasNuevo]]</f>
        <v>45215</v>
      </c>
      <c r="I925">
        <v>33</v>
      </c>
      <c r="J925" t="s">
        <v>23</v>
      </c>
      <c r="K925" s="3">
        <v>11195.43</v>
      </c>
      <c r="L925" t="b">
        <f>TablaDatos[[#This Row],[FechaAlta]] &lt; TablaDatos[[#This Row],[FechaIngreso]]</f>
        <v>0</v>
      </c>
      <c r="M925">
        <f>_xlfn.XLOOKUP(TablaDatos[[#This Row],[PacienteID]],'Datos_Ejemplo.csv'!A:A,'Datos_Ejemplo.csv'!I:I)</f>
        <v>33</v>
      </c>
      <c r="N925">
        <f>ABS(TablaDatos[[#This Row],[DiasOriginal]])</f>
        <v>33</v>
      </c>
      <c r="O925" s="1">
        <f>TablaDatos[[#This Row],[FechaIngreso]]+TablaDatos[[#This Row],[DiasNuevo]]</f>
        <v>45215</v>
      </c>
    </row>
    <row r="926" spans="1:15">
      <c r="A926">
        <v>925</v>
      </c>
      <c r="B926" t="s">
        <v>356</v>
      </c>
      <c r="C926" s="1">
        <v>23012</v>
      </c>
      <c r="D926">
        <v>63</v>
      </c>
      <c r="E926" s="4" t="s">
        <v>12</v>
      </c>
      <c r="F926" t="s">
        <v>261</v>
      </c>
      <c r="G926" s="1">
        <v>45235</v>
      </c>
      <c r="H926" s="1">
        <f>TablaDatos[[#This Row],[FechaIngreso]]+TablaDatos[[#This Row],[DiasNuevo]]</f>
        <v>45253</v>
      </c>
      <c r="I926">
        <v>18</v>
      </c>
      <c r="J926" t="s">
        <v>23</v>
      </c>
      <c r="K926" s="3">
        <v>15765.11</v>
      </c>
      <c r="L926" t="b">
        <f>TablaDatos[[#This Row],[FechaAlta]] &lt; TablaDatos[[#This Row],[FechaIngreso]]</f>
        <v>0</v>
      </c>
      <c r="M926">
        <f>_xlfn.XLOOKUP(TablaDatos[[#This Row],[PacienteID]],'Datos_Ejemplo.csv'!A:A,'Datos_Ejemplo.csv'!I:I)</f>
        <v>18</v>
      </c>
      <c r="N926">
        <f>ABS(TablaDatos[[#This Row],[DiasOriginal]])</f>
        <v>18</v>
      </c>
      <c r="O926" s="1">
        <f>TablaDatos[[#This Row],[FechaIngreso]]+TablaDatos[[#This Row],[DiasNuevo]]</f>
        <v>45253</v>
      </c>
    </row>
    <row r="927" spans="1:15">
      <c r="A927">
        <v>926</v>
      </c>
      <c r="B927" t="s">
        <v>287</v>
      </c>
      <c r="C927" s="1">
        <v>13880</v>
      </c>
      <c r="D927">
        <v>88</v>
      </c>
      <c r="E927" s="4" t="s">
        <v>12</v>
      </c>
      <c r="F927" t="s">
        <v>295</v>
      </c>
      <c r="G927" s="1">
        <v>45555</v>
      </c>
      <c r="H927" s="1">
        <f>TablaDatos[[#This Row],[FechaIngreso]]+TablaDatos[[#This Row],[DiasNuevo]]</f>
        <v>45562</v>
      </c>
      <c r="I927">
        <v>7</v>
      </c>
      <c r="J927" t="s">
        <v>23</v>
      </c>
      <c r="K927" s="3">
        <v>4832.38</v>
      </c>
      <c r="L927" t="b">
        <f>TablaDatos[[#This Row],[FechaAlta]] &lt; TablaDatos[[#This Row],[FechaIngreso]]</f>
        <v>0</v>
      </c>
      <c r="M927">
        <f>_xlfn.XLOOKUP(TablaDatos[[#This Row],[PacienteID]],'Datos_Ejemplo.csv'!A:A,'Datos_Ejemplo.csv'!I:I)</f>
        <v>7</v>
      </c>
      <c r="N927">
        <f>ABS(TablaDatos[[#This Row],[DiasOriginal]])</f>
        <v>7</v>
      </c>
      <c r="O927" s="1">
        <f>TablaDatos[[#This Row],[FechaIngreso]]+TablaDatos[[#This Row],[DiasNuevo]]</f>
        <v>45562</v>
      </c>
    </row>
    <row r="928" spans="1:15">
      <c r="A928">
        <v>927</v>
      </c>
      <c r="B928" t="s">
        <v>256</v>
      </c>
      <c r="C928" s="1">
        <f ca="1">DATE(YEAR(TODAY())-TablaDatos[[#This Row],[Edad]],1,1)</f>
        <v>36161</v>
      </c>
      <c r="D928">
        <v>27</v>
      </c>
      <c r="E928" s="4" t="s">
        <v>197</v>
      </c>
      <c r="F928" t="s">
        <v>32</v>
      </c>
      <c r="G928" s="1">
        <v>45102</v>
      </c>
      <c r="H928" s="1">
        <f>TablaDatos[[#This Row],[FechaIngreso]]+TablaDatos[[#This Row],[DiasNuevo]]</f>
        <v>45111</v>
      </c>
      <c r="I928">
        <v>9</v>
      </c>
      <c r="J928" t="s">
        <v>23</v>
      </c>
      <c r="K928" s="3">
        <v>10430.31</v>
      </c>
      <c r="L928" t="b">
        <f>TablaDatos[[#This Row],[FechaAlta]] &lt; TablaDatos[[#This Row],[FechaIngreso]]</f>
        <v>0</v>
      </c>
      <c r="M928">
        <f>_xlfn.XLOOKUP(TablaDatos[[#This Row],[PacienteID]],'Datos_Ejemplo.csv'!A:A,'Datos_Ejemplo.csv'!I:I)</f>
        <v>9</v>
      </c>
      <c r="N928">
        <f>ABS(TablaDatos[[#This Row],[DiasOriginal]])</f>
        <v>9</v>
      </c>
      <c r="O928" s="1">
        <f>TablaDatos[[#This Row],[FechaIngreso]]+TablaDatos[[#This Row],[DiasNuevo]]</f>
        <v>45111</v>
      </c>
    </row>
    <row r="929" spans="1:15">
      <c r="A929">
        <v>928</v>
      </c>
      <c r="B929" t="s">
        <v>247</v>
      </c>
      <c r="C929" s="1">
        <v>19359</v>
      </c>
      <c r="D929">
        <v>73</v>
      </c>
      <c r="E929" s="4" t="s">
        <v>15</v>
      </c>
      <c r="F929" t="s">
        <v>261</v>
      </c>
      <c r="G929" s="1">
        <v>45154</v>
      </c>
      <c r="H929" s="1">
        <f>TablaDatos[[#This Row],[FechaIngreso]]+TablaDatos[[#This Row],[DiasNuevo]]</f>
        <v>45178</v>
      </c>
      <c r="I929">
        <v>24</v>
      </c>
      <c r="J929" t="s">
        <v>23</v>
      </c>
      <c r="K929" s="3">
        <v>8060.44</v>
      </c>
      <c r="L929" t="b">
        <f>TablaDatos[[#This Row],[FechaAlta]] &lt; TablaDatos[[#This Row],[FechaIngreso]]</f>
        <v>0</v>
      </c>
      <c r="M929">
        <f>_xlfn.XLOOKUP(TablaDatos[[#This Row],[PacienteID]],'Datos_Ejemplo.csv'!A:A,'Datos_Ejemplo.csv'!I:I)</f>
        <v>24</v>
      </c>
      <c r="N929">
        <f>ABS(TablaDatos[[#This Row],[DiasOriginal]])</f>
        <v>24</v>
      </c>
      <c r="O929" s="1">
        <f>TablaDatos[[#This Row],[FechaIngreso]]+TablaDatos[[#This Row],[DiasNuevo]]</f>
        <v>45178</v>
      </c>
    </row>
    <row r="930" spans="1:15">
      <c r="A930">
        <v>929</v>
      </c>
      <c r="B930" t="s">
        <v>298</v>
      </c>
      <c r="C930" s="1">
        <v>32143</v>
      </c>
      <c r="D930">
        <v>38</v>
      </c>
      <c r="E930" s="4" t="s">
        <v>12</v>
      </c>
      <c r="F930" t="s">
        <v>21</v>
      </c>
      <c r="G930" s="1">
        <v>45273</v>
      </c>
      <c r="H930" s="1">
        <f>TablaDatos[[#This Row],[FechaIngreso]]+TablaDatos[[#This Row],[DiasNuevo]]</f>
        <v>45273</v>
      </c>
      <c r="I930">
        <v>0</v>
      </c>
      <c r="J930" t="s">
        <v>23</v>
      </c>
      <c r="K930" s="3">
        <v>3850.58</v>
      </c>
      <c r="L930" t="b">
        <f>TablaDatos[[#This Row],[FechaAlta]] &lt; TablaDatos[[#This Row],[FechaIngreso]]</f>
        <v>0</v>
      </c>
      <c r="M930">
        <f>_xlfn.XLOOKUP(TablaDatos[[#This Row],[PacienteID]],'Datos_Ejemplo.csv'!A:A,'Datos_Ejemplo.csv'!I:I)</f>
        <v>0</v>
      </c>
      <c r="N930">
        <f>ABS(TablaDatos[[#This Row],[DiasOriginal]])</f>
        <v>0</v>
      </c>
      <c r="O930" s="1">
        <f>TablaDatos[[#This Row],[FechaIngreso]]+TablaDatos[[#This Row],[DiasNuevo]]</f>
        <v>45273</v>
      </c>
    </row>
    <row r="931" spans="1:15">
      <c r="A931">
        <v>930</v>
      </c>
      <c r="B931" t="s">
        <v>262</v>
      </c>
      <c r="C931" s="1">
        <v>25568</v>
      </c>
      <c r="D931">
        <v>56</v>
      </c>
      <c r="E931" s="4" t="s">
        <v>12</v>
      </c>
      <c r="F931" t="s">
        <v>295</v>
      </c>
      <c r="G931" s="1">
        <v>45544</v>
      </c>
      <c r="H931" s="1">
        <f>TablaDatos[[#This Row],[FechaIngreso]]+TablaDatos[[#This Row],[DiasNuevo]]</f>
        <v>45569</v>
      </c>
      <c r="I931">
        <v>25</v>
      </c>
      <c r="J931" t="s">
        <v>23</v>
      </c>
      <c r="K931" s="3">
        <v>12256.22</v>
      </c>
      <c r="L931" t="b">
        <f>TablaDatos[[#This Row],[FechaAlta]] &lt; TablaDatos[[#This Row],[FechaIngreso]]</f>
        <v>0</v>
      </c>
      <c r="M931">
        <f>_xlfn.XLOOKUP(TablaDatos[[#This Row],[PacienteID]],'Datos_Ejemplo.csv'!A:A,'Datos_Ejemplo.csv'!I:I)</f>
        <v>25</v>
      </c>
      <c r="N931">
        <f>ABS(TablaDatos[[#This Row],[DiasOriginal]])</f>
        <v>25</v>
      </c>
      <c r="O931" s="1">
        <f>TablaDatos[[#This Row],[FechaIngreso]]+TablaDatos[[#This Row],[DiasNuevo]]</f>
        <v>45569</v>
      </c>
    </row>
    <row r="932" spans="1:15">
      <c r="A932">
        <v>931</v>
      </c>
      <c r="B932" t="s">
        <v>266</v>
      </c>
      <c r="C932" s="1">
        <v>40178</v>
      </c>
      <c r="D932">
        <v>16</v>
      </c>
      <c r="E932" s="4" t="s">
        <v>12</v>
      </c>
      <c r="F932" t="s">
        <v>13</v>
      </c>
      <c r="G932" s="1">
        <v>45268</v>
      </c>
      <c r="H932" s="1">
        <f>TablaDatos[[#This Row],[FechaIngreso]]+TablaDatos[[#This Row],[DiasNuevo]]</f>
        <v>45269</v>
      </c>
      <c r="I932">
        <v>1</v>
      </c>
      <c r="J932" t="s">
        <v>23</v>
      </c>
      <c r="K932" s="3">
        <v>19873.21</v>
      </c>
      <c r="L932" t="b">
        <f>TablaDatos[[#This Row],[FechaAlta]] &lt; TablaDatos[[#This Row],[FechaIngreso]]</f>
        <v>0</v>
      </c>
      <c r="M932">
        <f>_xlfn.XLOOKUP(TablaDatos[[#This Row],[PacienteID]],'Datos_Ejemplo.csv'!A:A,'Datos_Ejemplo.csv'!I:I)</f>
        <v>-1</v>
      </c>
      <c r="N932">
        <f>ABS(TablaDatos[[#This Row],[DiasOriginal]])</f>
        <v>1</v>
      </c>
      <c r="O932" s="1">
        <f>TablaDatos[[#This Row],[FechaIngreso]]+TablaDatos[[#This Row],[DiasNuevo]]</f>
        <v>45269</v>
      </c>
    </row>
    <row r="933" spans="1:15">
      <c r="A933">
        <v>932</v>
      </c>
      <c r="B933" t="s">
        <v>245</v>
      </c>
      <c r="C933" s="1">
        <v>14976</v>
      </c>
      <c r="D933">
        <v>85</v>
      </c>
      <c r="E933" s="4" t="s">
        <v>12</v>
      </c>
      <c r="F933" t="s">
        <v>18</v>
      </c>
      <c r="G933" s="1">
        <v>45165</v>
      </c>
      <c r="H933" s="1">
        <f>TablaDatos[[#This Row],[FechaIngreso]]+TablaDatos[[#This Row],[DiasNuevo]]</f>
        <v>45190</v>
      </c>
      <c r="I933">
        <v>25</v>
      </c>
      <c r="J933" t="s">
        <v>23</v>
      </c>
      <c r="K933" s="3">
        <v>7242.27</v>
      </c>
      <c r="L933" t="b">
        <f>TablaDatos[[#This Row],[FechaAlta]] &lt; TablaDatos[[#This Row],[FechaIngreso]]</f>
        <v>0</v>
      </c>
      <c r="M933">
        <f>_xlfn.XLOOKUP(TablaDatos[[#This Row],[PacienteID]],'Datos_Ejemplo.csv'!A:A,'Datos_Ejemplo.csv'!I:I)</f>
        <v>25</v>
      </c>
      <c r="N933">
        <f>ABS(TablaDatos[[#This Row],[DiasOriginal]])</f>
        <v>25</v>
      </c>
      <c r="O933" s="1">
        <f>TablaDatos[[#This Row],[FechaIngreso]]+TablaDatos[[#This Row],[DiasNuevo]]</f>
        <v>45190</v>
      </c>
    </row>
    <row r="934" spans="1:15">
      <c r="A934">
        <v>933</v>
      </c>
      <c r="B934" t="s">
        <v>325</v>
      </c>
      <c r="C934" s="1">
        <v>13515</v>
      </c>
      <c r="D934">
        <v>89</v>
      </c>
      <c r="E934" s="4" t="s">
        <v>15</v>
      </c>
      <c r="F934" t="s">
        <v>18</v>
      </c>
      <c r="G934" s="1">
        <v>45538</v>
      </c>
      <c r="H934" s="1">
        <f>TablaDatos[[#This Row],[FechaIngreso]]+TablaDatos[[#This Row],[DiasNuevo]]</f>
        <v>45566</v>
      </c>
      <c r="I934">
        <v>28</v>
      </c>
      <c r="J934" t="s">
        <v>23</v>
      </c>
      <c r="K934" s="3">
        <v>11002.82</v>
      </c>
      <c r="L934" t="b">
        <f>TablaDatos[[#This Row],[FechaAlta]] &lt; TablaDatos[[#This Row],[FechaIngreso]]</f>
        <v>0</v>
      </c>
      <c r="M934">
        <f>_xlfn.XLOOKUP(TablaDatos[[#This Row],[PacienteID]],'Datos_Ejemplo.csv'!A:A,'Datos_Ejemplo.csv'!I:I)</f>
        <v>28</v>
      </c>
      <c r="N934">
        <f>ABS(TablaDatos[[#This Row],[DiasOriginal]])</f>
        <v>28</v>
      </c>
      <c r="O934" s="1">
        <f>TablaDatos[[#This Row],[FechaIngreso]]+TablaDatos[[#This Row],[DiasNuevo]]</f>
        <v>45566</v>
      </c>
    </row>
    <row r="935" spans="1:15">
      <c r="A935">
        <v>934</v>
      </c>
      <c r="B935" t="s">
        <v>282</v>
      </c>
      <c r="C935" s="1">
        <v>30317</v>
      </c>
      <c r="D935">
        <v>43</v>
      </c>
      <c r="E935" s="4" t="s">
        <v>12</v>
      </c>
      <c r="F935" t="s">
        <v>32</v>
      </c>
      <c r="G935" s="1">
        <v>45614</v>
      </c>
      <c r="H935" s="1">
        <f>TablaDatos[[#This Row],[FechaIngreso]]+TablaDatos[[#This Row],[DiasNuevo]]</f>
        <v>45632</v>
      </c>
      <c r="I935">
        <v>18</v>
      </c>
      <c r="J935" t="s">
        <v>23</v>
      </c>
      <c r="K935" s="3">
        <v>6489.88</v>
      </c>
      <c r="L935" t="b">
        <f>TablaDatos[[#This Row],[FechaAlta]] &lt; TablaDatos[[#This Row],[FechaIngreso]]</f>
        <v>0</v>
      </c>
      <c r="M935">
        <f>_xlfn.XLOOKUP(TablaDatos[[#This Row],[PacienteID]],'Datos_Ejemplo.csv'!A:A,'Datos_Ejemplo.csv'!I:I)</f>
        <v>18</v>
      </c>
      <c r="N935">
        <f>ABS(TablaDatos[[#This Row],[DiasOriginal]])</f>
        <v>18</v>
      </c>
      <c r="O935" s="1">
        <f>TablaDatos[[#This Row],[FechaIngreso]]+TablaDatos[[#This Row],[DiasNuevo]]</f>
        <v>45632</v>
      </c>
    </row>
    <row r="936" spans="1:15">
      <c r="A936">
        <v>935</v>
      </c>
      <c r="B936" t="s">
        <v>358</v>
      </c>
      <c r="C936" s="1">
        <v>37256</v>
      </c>
      <c r="D936">
        <v>24</v>
      </c>
      <c r="E936" s="4" t="s">
        <v>12</v>
      </c>
      <c r="F936" t="s">
        <v>201</v>
      </c>
      <c r="G936" s="1">
        <v>45276</v>
      </c>
      <c r="H936" s="1">
        <f>TablaDatos[[#This Row],[FechaIngreso]]+TablaDatos[[#This Row],[DiasNuevo]]</f>
        <v>45280</v>
      </c>
      <c r="I936">
        <v>4</v>
      </c>
      <c r="J936" t="s">
        <v>23</v>
      </c>
      <c r="K936" s="3">
        <v>17526.669999999998</v>
      </c>
      <c r="L936" t="b">
        <f>TablaDatos[[#This Row],[FechaAlta]] &lt; TablaDatos[[#This Row],[FechaIngreso]]</f>
        <v>0</v>
      </c>
      <c r="M936">
        <f>_xlfn.XLOOKUP(TablaDatos[[#This Row],[PacienteID]],'Datos_Ejemplo.csv'!A:A,'Datos_Ejemplo.csv'!I:I)</f>
        <v>4</v>
      </c>
      <c r="N936">
        <f>ABS(TablaDatos[[#This Row],[DiasOriginal]])</f>
        <v>4</v>
      </c>
      <c r="O936" s="1">
        <f>TablaDatos[[#This Row],[FechaIngreso]]+TablaDatos[[#This Row],[DiasNuevo]]</f>
        <v>45280</v>
      </c>
    </row>
    <row r="937" spans="1:15">
      <c r="A937">
        <v>936</v>
      </c>
      <c r="B937" t="s">
        <v>256</v>
      </c>
      <c r="C937" s="1">
        <v>40178</v>
      </c>
      <c r="D937">
        <v>16</v>
      </c>
      <c r="E937" s="4" t="s">
        <v>15</v>
      </c>
      <c r="F937" t="s">
        <v>21</v>
      </c>
      <c r="G937" s="1">
        <v>45381</v>
      </c>
      <c r="H937" s="1">
        <f>TablaDatos[[#This Row],[FechaIngreso]]+TablaDatos[[#This Row],[DiasNuevo]]</f>
        <v>45409</v>
      </c>
      <c r="I937">
        <v>28</v>
      </c>
      <c r="J937" t="s">
        <v>25</v>
      </c>
      <c r="K937" s="3">
        <v>17278.509999999998</v>
      </c>
      <c r="L937" t="b">
        <f>TablaDatos[[#This Row],[FechaAlta]] &lt; TablaDatos[[#This Row],[FechaIngreso]]</f>
        <v>0</v>
      </c>
      <c r="M937">
        <f>_xlfn.XLOOKUP(TablaDatos[[#This Row],[PacienteID]],'Datos_Ejemplo.csv'!A:A,'Datos_Ejemplo.csv'!I:I)</f>
        <v>28</v>
      </c>
      <c r="N937">
        <f>ABS(TablaDatos[[#This Row],[DiasOriginal]])</f>
        <v>28</v>
      </c>
      <c r="O937" s="1">
        <f>TablaDatos[[#This Row],[FechaIngreso]]+TablaDatos[[#This Row],[DiasNuevo]]</f>
        <v>45409</v>
      </c>
    </row>
    <row r="938" spans="1:15">
      <c r="A938">
        <v>937</v>
      </c>
      <c r="B938" t="s">
        <v>253</v>
      </c>
      <c r="C938" s="1">
        <v>41639</v>
      </c>
      <c r="D938">
        <f ca="1">DATEDIF(TablaDatos[[#This Row],[FechaNacimiento]],TODAY(),"Y")</f>
        <v>12</v>
      </c>
      <c r="E938" s="4" t="s">
        <v>12</v>
      </c>
      <c r="F938" t="s">
        <v>21</v>
      </c>
      <c r="G938" s="1">
        <v>45367</v>
      </c>
      <c r="H938" s="1">
        <f>TablaDatos[[#This Row],[FechaIngreso]]+TablaDatos[[#This Row],[DiasNuevo]]</f>
        <v>45378</v>
      </c>
      <c r="I938">
        <v>11</v>
      </c>
      <c r="J938" t="s">
        <v>23</v>
      </c>
      <c r="K938" s="3">
        <v>3493.35</v>
      </c>
      <c r="L938" t="b">
        <f>TablaDatos[[#This Row],[FechaAlta]] &lt; TablaDatos[[#This Row],[FechaIngreso]]</f>
        <v>0</v>
      </c>
      <c r="M938">
        <f>_xlfn.XLOOKUP(TablaDatos[[#This Row],[PacienteID]],'Datos_Ejemplo.csv'!A:A,'Datos_Ejemplo.csv'!I:I)</f>
        <v>11</v>
      </c>
      <c r="N938">
        <f>ABS(TablaDatos[[#This Row],[DiasOriginal]])</f>
        <v>11</v>
      </c>
      <c r="O938" s="1">
        <f>TablaDatos[[#This Row],[FechaIngreso]]+TablaDatos[[#This Row],[DiasNuevo]]</f>
        <v>45378</v>
      </c>
    </row>
    <row r="939" spans="1:15">
      <c r="A939">
        <v>938</v>
      </c>
      <c r="B939" t="s">
        <v>233</v>
      </c>
      <c r="C939" s="1">
        <v>15707</v>
      </c>
      <c r="D939">
        <v>83</v>
      </c>
      <c r="E939" s="4" t="s">
        <v>12</v>
      </c>
      <c r="F939" t="s">
        <v>18</v>
      </c>
      <c r="G939" s="1">
        <v>45514</v>
      </c>
      <c r="H939" s="1">
        <f>TablaDatos[[#This Row],[FechaIngreso]]+TablaDatos[[#This Row],[DiasNuevo]]</f>
        <v>45550</v>
      </c>
      <c r="I939">
        <v>36</v>
      </c>
      <c r="J939" t="s">
        <v>25</v>
      </c>
      <c r="K939" s="3">
        <v>17988.97</v>
      </c>
      <c r="L939" t="b">
        <f>TablaDatos[[#This Row],[FechaAlta]] &lt; TablaDatos[[#This Row],[FechaIngreso]]</f>
        <v>0</v>
      </c>
      <c r="M939">
        <f>_xlfn.XLOOKUP(TablaDatos[[#This Row],[PacienteID]],'Datos_Ejemplo.csv'!A:A,'Datos_Ejemplo.csv'!I:I)</f>
        <v>36</v>
      </c>
      <c r="N939">
        <f>ABS(TablaDatos[[#This Row],[DiasOriginal]])</f>
        <v>36</v>
      </c>
      <c r="O939" s="1">
        <f>TablaDatos[[#This Row],[FechaIngreso]]+TablaDatos[[#This Row],[DiasNuevo]]</f>
        <v>45550</v>
      </c>
    </row>
    <row r="940" spans="1:15">
      <c r="A940">
        <v>939</v>
      </c>
      <c r="B940" t="s">
        <v>341</v>
      </c>
      <c r="C940" s="1">
        <v>37256</v>
      </c>
      <c r="D940">
        <v>24</v>
      </c>
      <c r="E940" s="4" t="s">
        <v>15</v>
      </c>
      <c r="F940" t="s">
        <v>295</v>
      </c>
      <c r="G940" s="1">
        <v>45441</v>
      </c>
      <c r="H940" s="1">
        <f>TablaDatos[[#This Row],[FechaIngreso]]+TablaDatos[[#This Row],[DiasNuevo]]</f>
        <v>45477</v>
      </c>
      <c r="I940">
        <v>36</v>
      </c>
      <c r="J940" t="s">
        <v>23</v>
      </c>
      <c r="K940" s="3">
        <v>2945.33</v>
      </c>
      <c r="L940" t="b">
        <f>TablaDatos[[#This Row],[FechaAlta]] &lt; TablaDatos[[#This Row],[FechaIngreso]]</f>
        <v>0</v>
      </c>
      <c r="M940">
        <f>_xlfn.XLOOKUP(TablaDatos[[#This Row],[PacienteID]],'Datos_Ejemplo.csv'!A:A,'Datos_Ejemplo.csv'!I:I)</f>
        <v>36</v>
      </c>
      <c r="N940">
        <f>ABS(TablaDatos[[#This Row],[DiasOriginal]])</f>
        <v>36</v>
      </c>
      <c r="O940" s="1">
        <f>TablaDatos[[#This Row],[FechaIngreso]]+TablaDatos[[#This Row],[DiasNuevo]]</f>
        <v>45477</v>
      </c>
    </row>
    <row r="941" spans="1:15">
      <c r="A941">
        <v>940</v>
      </c>
      <c r="B941" t="s">
        <v>273</v>
      </c>
      <c r="C941" s="1">
        <v>21551</v>
      </c>
      <c r="D941">
        <v>67</v>
      </c>
      <c r="E941" s="4" t="s">
        <v>12</v>
      </c>
      <c r="F941" t="s">
        <v>21</v>
      </c>
      <c r="G941" s="1">
        <v>45007</v>
      </c>
      <c r="H941" s="1">
        <f>TablaDatos[[#This Row],[FechaIngreso]]+TablaDatos[[#This Row],[DiasNuevo]]</f>
        <v>45013</v>
      </c>
      <c r="I941">
        <v>6</v>
      </c>
      <c r="J941" t="s">
        <v>19</v>
      </c>
      <c r="K941" s="3">
        <v>1818.34</v>
      </c>
      <c r="L941" t="b">
        <f>TablaDatos[[#This Row],[FechaAlta]] &lt; TablaDatos[[#This Row],[FechaIngreso]]</f>
        <v>0</v>
      </c>
      <c r="M941">
        <f>_xlfn.XLOOKUP(TablaDatos[[#This Row],[PacienteID]],'Datos_Ejemplo.csv'!A:A,'Datos_Ejemplo.csv'!I:I)</f>
        <v>6</v>
      </c>
      <c r="N941">
        <f>ABS(TablaDatos[[#This Row],[DiasOriginal]])</f>
        <v>6</v>
      </c>
      <c r="O941" s="1">
        <f>TablaDatos[[#This Row],[FechaIngreso]]+TablaDatos[[#This Row],[DiasNuevo]]</f>
        <v>45013</v>
      </c>
    </row>
    <row r="942" spans="1:15">
      <c r="A942">
        <v>941</v>
      </c>
      <c r="B942" t="s">
        <v>252</v>
      </c>
      <c r="C942" s="1">
        <v>42735</v>
      </c>
      <c r="D942">
        <v>9</v>
      </c>
      <c r="E942" s="4" t="s">
        <v>15</v>
      </c>
      <c r="F942" t="s">
        <v>13</v>
      </c>
      <c r="G942" s="1">
        <v>45287</v>
      </c>
      <c r="H942" s="1">
        <f>TablaDatos[[#This Row],[FechaIngreso]]+TablaDatos[[#This Row],[DiasNuevo]]</f>
        <v>45307</v>
      </c>
      <c r="I942">
        <v>20</v>
      </c>
      <c r="J942" t="s">
        <v>19</v>
      </c>
      <c r="K942" s="3">
        <v>13023.99</v>
      </c>
      <c r="L942" t="b">
        <f>TablaDatos[[#This Row],[FechaAlta]] &lt; TablaDatos[[#This Row],[FechaIngreso]]</f>
        <v>0</v>
      </c>
      <c r="M942">
        <f>_xlfn.XLOOKUP(TablaDatos[[#This Row],[PacienteID]],'Datos_Ejemplo.csv'!A:A,'Datos_Ejemplo.csv'!I:I)</f>
        <v>20</v>
      </c>
      <c r="N942">
        <f>ABS(TablaDatos[[#This Row],[DiasOriginal]])</f>
        <v>20</v>
      </c>
      <c r="O942" s="1">
        <f>TablaDatos[[#This Row],[FechaIngreso]]+TablaDatos[[#This Row],[DiasNuevo]]</f>
        <v>45307</v>
      </c>
    </row>
    <row r="943" spans="1:15">
      <c r="A943">
        <v>942</v>
      </c>
      <c r="B943" t="s">
        <v>364</v>
      </c>
      <c r="C943" s="1">
        <v>21916</v>
      </c>
      <c r="D943">
        <f ca="1">DATEDIF(TablaDatos[[#This Row],[FechaNacimiento]],TODAY(),"Y")</f>
        <v>66</v>
      </c>
      <c r="E943" s="4" t="s">
        <v>15</v>
      </c>
      <c r="F943" t="s">
        <v>13</v>
      </c>
      <c r="G943" s="1">
        <v>45214</v>
      </c>
      <c r="H943" s="1">
        <f>TablaDatos[[#This Row],[FechaIngreso]]+TablaDatos[[#This Row],[DiasNuevo]]</f>
        <v>45223</v>
      </c>
      <c r="I943">
        <v>9</v>
      </c>
      <c r="J943" t="s">
        <v>19</v>
      </c>
      <c r="K943" s="3">
        <v>7656.67</v>
      </c>
      <c r="L943" t="b">
        <f>TablaDatos[[#This Row],[FechaAlta]] &lt; TablaDatos[[#This Row],[FechaIngreso]]</f>
        <v>0</v>
      </c>
      <c r="M943">
        <f>_xlfn.XLOOKUP(TablaDatos[[#This Row],[PacienteID]],'Datos_Ejemplo.csv'!A:A,'Datos_Ejemplo.csv'!I:I)</f>
        <v>9</v>
      </c>
      <c r="N943">
        <f>ABS(TablaDatos[[#This Row],[DiasOriginal]])</f>
        <v>9</v>
      </c>
      <c r="O943" s="1">
        <f>TablaDatos[[#This Row],[FechaIngreso]]+TablaDatos[[#This Row],[DiasNuevo]]</f>
        <v>45223</v>
      </c>
    </row>
    <row r="944" spans="1:15">
      <c r="A944">
        <v>943</v>
      </c>
      <c r="B944" t="s">
        <v>103</v>
      </c>
      <c r="C944" s="1">
        <v>39813</v>
      </c>
      <c r="D944">
        <v>17</v>
      </c>
      <c r="E944" s="4" t="s">
        <v>12</v>
      </c>
      <c r="F944" t="s">
        <v>21</v>
      </c>
      <c r="G944" s="1">
        <v>44934</v>
      </c>
      <c r="H944" s="1">
        <f>TablaDatos[[#This Row],[FechaIngreso]]+TablaDatos[[#This Row],[DiasNuevo]]</f>
        <v>44960</v>
      </c>
      <c r="I944">
        <v>26</v>
      </c>
      <c r="J944" t="s">
        <v>25</v>
      </c>
      <c r="K944" s="3">
        <v>10567.89</v>
      </c>
      <c r="L944" t="b">
        <f>TablaDatos[[#This Row],[FechaAlta]] &lt; TablaDatos[[#This Row],[FechaIngreso]]</f>
        <v>0</v>
      </c>
      <c r="M944">
        <f>_xlfn.XLOOKUP(TablaDatos[[#This Row],[PacienteID]],'Datos_Ejemplo.csv'!A:A,'Datos_Ejemplo.csv'!I:I)</f>
        <v>26</v>
      </c>
      <c r="N944">
        <f>ABS(TablaDatos[[#This Row],[DiasOriginal]])</f>
        <v>26</v>
      </c>
      <c r="O944" s="1">
        <f>TablaDatos[[#This Row],[FechaIngreso]]+TablaDatos[[#This Row],[DiasNuevo]]</f>
        <v>44960</v>
      </c>
    </row>
    <row r="945" spans="1:15">
      <c r="A945">
        <v>944</v>
      </c>
      <c r="B945" t="s">
        <v>251</v>
      </c>
      <c r="C945" s="1">
        <v>14976</v>
      </c>
      <c r="D945">
        <v>85</v>
      </c>
      <c r="E945" s="4" t="s">
        <v>15</v>
      </c>
      <c r="F945" t="s">
        <v>21</v>
      </c>
      <c r="G945" s="1">
        <v>45013</v>
      </c>
      <c r="H945" s="1">
        <f>TablaDatos[[#This Row],[FechaIngreso]]+TablaDatos[[#This Row],[DiasNuevo]]</f>
        <v>45048</v>
      </c>
      <c r="I945">
        <v>35</v>
      </c>
      <c r="J945" t="s">
        <v>23</v>
      </c>
      <c r="K945" s="3">
        <v>13016.67</v>
      </c>
      <c r="L945" t="b">
        <f>TablaDatos[[#This Row],[FechaAlta]] &lt; TablaDatos[[#This Row],[FechaIngreso]]</f>
        <v>0</v>
      </c>
      <c r="M945">
        <f>_xlfn.XLOOKUP(TablaDatos[[#This Row],[PacienteID]],'Datos_Ejemplo.csv'!A:A,'Datos_Ejemplo.csv'!I:I)</f>
        <v>35</v>
      </c>
      <c r="N945">
        <f>ABS(TablaDatos[[#This Row],[DiasOriginal]])</f>
        <v>35</v>
      </c>
      <c r="O945" s="1">
        <f>TablaDatos[[#This Row],[FechaIngreso]]+TablaDatos[[#This Row],[DiasNuevo]]</f>
        <v>45048</v>
      </c>
    </row>
    <row r="946" spans="1:15">
      <c r="A946">
        <v>945</v>
      </c>
      <c r="B946" t="s">
        <v>267</v>
      </c>
      <c r="C946" s="1">
        <v>33969</v>
      </c>
      <c r="D946">
        <v>33</v>
      </c>
      <c r="E946" s="4" t="s">
        <v>15</v>
      </c>
      <c r="F946" t="s">
        <v>18</v>
      </c>
      <c r="G946" s="1">
        <v>45212</v>
      </c>
      <c r="H946" s="1">
        <f>TablaDatos[[#This Row],[FechaIngreso]]+TablaDatos[[#This Row],[DiasNuevo]]</f>
        <v>45248</v>
      </c>
      <c r="I946">
        <v>36</v>
      </c>
      <c r="J946" t="s">
        <v>23</v>
      </c>
      <c r="K946" s="3">
        <v>962.03</v>
      </c>
      <c r="L946" t="b">
        <f>TablaDatos[[#This Row],[FechaAlta]] &lt; TablaDatos[[#This Row],[FechaIngreso]]</f>
        <v>0</v>
      </c>
      <c r="M946">
        <f>_xlfn.XLOOKUP(TablaDatos[[#This Row],[PacienteID]],'Datos_Ejemplo.csv'!A:A,'Datos_Ejemplo.csv'!I:I)</f>
        <v>36</v>
      </c>
      <c r="N946">
        <f>ABS(TablaDatos[[#This Row],[DiasOriginal]])</f>
        <v>36</v>
      </c>
      <c r="O946" s="1">
        <f>TablaDatos[[#This Row],[FechaIngreso]]+TablaDatos[[#This Row],[DiasNuevo]]</f>
        <v>45248</v>
      </c>
    </row>
    <row r="947" spans="1:15">
      <c r="A947">
        <v>946</v>
      </c>
      <c r="B947" t="s">
        <v>298</v>
      </c>
      <c r="C947" s="1">
        <v>43466</v>
      </c>
      <c r="D947">
        <v>7</v>
      </c>
      <c r="E947" s="4" t="s">
        <v>15</v>
      </c>
      <c r="F947" t="s">
        <v>32</v>
      </c>
      <c r="G947" s="1">
        <v>45325</v>
      </c>
      <c r="H947" s="1">
        <f>TablaDatos[[#This Row],[FechaIngreso]]+TablaDatos[[#This Row],[DiasNuevo]]</f>
        <v>45344</v>
      </c>
      <c r="I947">
        <v>19</v>
      </c>
      <c r="J947" t="s">
        <v>25</v>
      </c>
      <c r="K947" s="3">
        <v>5788.36</v>
      </c>
      <c r="L947" t="b">
        <f>TablaDatos[[#This Row],[FechaAlta]] &lt; TablaDatos[[#This Row],[FechaIngreso]]</f>
        <v>0</v>
      </c>
      <c r="M947">
        <f>_xlfn.XLOOKUP(TablaDatos[[#This Row],[PacienteID]],'Datos_Ejemplo.csv'!A:A,'Datos_Ejemplo.csv'!I:I)</f>
        <v>19</v>
      </c>
      <c r="N947">
        <f>ABS(TablaDatos[[#This Row],[DiasOriginal]])</f>
        <v>19</v>
      </c>
      <c r="O947" s="1">
        <f>TablaDatos[[#This Row],[FechaIngreso]]+TablaDatos[[#This Row],[DiasNuevo]]</f>
        <v>45344</v>
      </c>
    </row>
    <row r="948" spans="1:15">
      <c r="A948">
        <v>947</v>
      </c>
      <c r="B948" t="s">
        <v>353</v>
      </c>
      <c r="C948" s="1">
        <v>31778</v>
      </c>
      <c r="D948">
        <v>39</v>
      </c>
      <c r="E948" s="4" t="s">
        <v>15</v>
      </c>
      <c r="F948" t="s">
        <v>18</v>
      </c>
      <c r="G948" s="1">
        <v>45000</v>
      </c>
      <c r="H948" s="1">
        <f>TablaDatos[[#This Row],[FechaIngreso]]+TablaDatos[[#This Row],[DiasNuevo]]</f>
        <v>45001</v>
      </c>
      <c r="I948">
        <v>1</v>
      </c>
      <c r="J948" t="s">
        <v>23</v>
      </c>
      <c r="K948" s="3">
        <v>9164.2199999999993</v>
      </c>
      <c r="L948" t="b">
        <f>TablaDatos[[#This Row],[FechaAlta]] &lt; TablaDatos[[#This Row],[FechaIngreso]]</f>
        <v>0</v>
      </c>
      <c r="M948">
        <f>_xlfn.XLOOKUP(TablaDatos[[#This Row],[PacienteID]],'Datos_Ejemplo.csv'!A:A,'Datos_Ejemplo.csv'!I:I)</f>
        <v>1</v>
      </c>
      <c r="N948">
        <f>ABS(TablaDatos[[#This Row],[DiasOriginal]])</f>
        <v>1</v>
      </c>
      <c r="O948" s="1">
        <f>TablaDatos[[#This Row],[FechaIngreso]]+TablaDatos[[#This Row],[DiasNuevo]]</f>
        <v>45001</v>
      </c>
    </row>
    <row r="949" spans="1:15">
      <c r="A949">
        <v>948</v>
      </c>
      <c r="B949" t="s">
        <v>254</v>
      </c>
      <c r="C949" s="1">
        <v>16072</v>
      </c>
      <c r="D949">
        <v>82</v>
      </c>
      <c r="E949" s="4" t="s">
        <v>12</v>
      </c>
      <c r="F949" t="s">
        <v>32</v>
      </c>
      <c r="G949" s="1">
        <v>45365</v>
      </c>
      <c r="H949" s="1">
        <f>TablaDatos[[#This Row],[FechaIngreso]]+TablaDatos[[#This Row],[DiasNuevo]]</f>
        <v>45369</v>
      </c>
      <c r="I949">
        <v>4</v>
      </c>
      <c r="J949" t="s">
        <v>19</v>
      </c>
      <c r="K949" s="3">
        <v>5258.41</v>
      </c>
      <c r="L949" t="b">
        <f>TablaDatos[[#This Row],[FechaAlta]] &lt; TablaDatos[[#This Row],[FechaIngreso]]</f>
        <v>0</v>
      </c>
      <c r="M949">
        <f>_xlfn.XLOOKUP(TablaDatos[[#This Row],[PacienteID]],'Datos_Ejemplo.csv'!A:A,'Datos_Ejemplo.csv'!I:I)</f>
        <v>4</v>
      </c>
      <c r="N949">
        <f>ABS(TablaDatos[[#This Row],[DiasOriginal]])</f>
        <v>4</v>
      </c>
      <c r="O949" s="1">
        <f>TablaDatos[[#This Row],[FechaIngreso]]+TablaDatos[[#This Row],[DiasNuevo]]</f>
        <v>45369</v>
      </c>
    </row>
    <row r="950" spans="1:15">
      <c r="A950">
        <v>949</v>
      </c>
      <c r="B950" t="s">
        <v>236</v>
      </c>
      <c r="C950" s="1">
        <f ca="1">DATE(YEAR(TODAY())-TablaDatos[[#This Row],[Edad]],1,1)</f>
        <v>31048</v>
      </c>
      <c r="D950">
        <v>41</v>
      </c>
      <c r="E950" s="4" t="s">
        <v>12</v>
      </c>
      <c r="F950" t="s">
        <v>13</v>
      </c>
      <c r="G950" s="1">
        <v>45049</v>
      </c>
      <c r="H950" s="1">
        <f>TablaDatos[[#This Row],[FechaIngreso]]+TablaDatos[[#This Row],[DiasNuevo]]</f>
        <v>45086</v>
      </c>
      <c r="I950">
        <v>37</v>
      </c>
      <c r="J950" t="s">
        <v>25</v>
      </c>
      <c r="K950" s="3">
        <v>884.32</v>
      </c>
      <c r="L950" t="b">
        <f>TablaDatos[[#This Row],[FechaAlta]] &lt; TablaDatos[[#This Row],[FechaIngreso]]</f>
        <v>0</v>
      </c>
      <c r="M950">
        <f>_xlfn.XLOOKUP(TablaDatos[[#This Row],[PacienteID]],'Datos_Ejemplo.csv'!A:A,'Datos_Ejemplo.csv'!I:I)</f>
        <v>37</v>
      </c>
      <c r="N950">
        <f>ABS(TablaDatos[[#This Row],[DiasOriginal]])</f>
        <v>37</v>
      </c>
      <c r="O950" s="1">
        <f>TablaDatos[[#This Row],[FechaIngreso]]+TablaDatos[[#This Row],[DiasNuevo]]</f>
        <v>45086</v>
      </c>
    </row>
    <row r="951" spans="1:15">
      <c r="A951">
        <v>950</v>
      </c>
      <c r="B951" t="s">
        <v>276</v>
      </c>
      <c r="C951" s="1">
        <v>31412</v>
      </c>
      <c r="D951">
        <v>40</v>
      </c>
      <c r="E951" s="4" t="s">
        <v>12</v>
      </c>
      <c r="F951" t="s">
        <v>32</v>
      </c>
      <c r="G951" s="1">
        <v>45303</v>
      </c>
      <c r="H951" s="1">
        <f>TablaDatos[[#This Row],[FechaIngreso]]+TablaDatos[[#This Row],[DiasNuevo]]</f>
        <v>45308</v>
      </c>
      <c r="I951">
        <v>5</v>
      </c>
      <c r="J951" t="s">
        <v>23</v>
      </c>
      <c r="K951" s="3">
        <v>1642.2</v>
      </c>
      <c r="L951" t="b">
        <f>TablaDatos[[#This Row],[FechaAlta]] &lt; TablaDatos[[#This Row],[FechaIngreso]]</f>
        <v>0</v>
      </c>
      <c r="M951">
        <f>_xlfn.XLOOKUP(TablaDatos[[#This Row],[PacienteID]],'Datos_Ejemplo.csv'!A:A,'Datos_Ejemplo.csv'!I:I)</f>
        <v>5</v>
      </c>
      <c r="N951">
        <f>ABS(TablaDatos[[#This Row],[DiasOriginal]])</f>
        <v>5</v>
      </c>
      <c r="O951" s="1">
        <f>TablaDatos[[#This Row],[FechaIngreso]]+TablaDatos[[#This Row],[DiasNuevo]]</f>
        <v>45308</v>
      </c>
    </row>
    <row r="952" spans="1:15">
      <c r="A952">
        <v>951</v>
      </c>
      <c r="B952" t="s">
        <v>300</v>
      </c>
      <c r="C952" s="1">
        <v>44196</v>
      </c>
      <c r="D952">
        <v>5</v>
      </c>
      <c r="E952" s="4" t="s">
        <v>12</v>
      </c>
      <c r="F952" t="s">
        <v>18</v>
      </c>
      <c r="G952" s="1">
        <v>45069</v>
      </c>
      <c r="H952" s="1">
        <f>TablaDatos[[#This Row],[FechaIngreso]]+TablaDatos[[#This Row],[DiasNuevo]]</f>
        <v>45101</v>
      </c>
      <c r="I952">
        <v>32</v>
      </c>
      <c r="J952" t="s">
        <v>23</v>
      </c>
      <c r="K952" s="3">
        <v>16015.13</v>
      </c>
      <c r="L952" t="b">
        <f>TablaDatos[[#This Row],[FechaAlta]] &lt; TablaDatos[[#This Row],[FechaIngreso]]</f>
        <v>0</v>
      </c>
      <c r="M952">
        <f>_xlfn.XLOOKUP(TablaDatos[[#This Row],[PacienteID]],'Datos_Ejemplo.csv'!A:A,'Datos_Ejemplo.csv'!I:I)</f>
        <v>32</v>
      </c>
      <c r="N952">
        <f>ABS(TablaDatos[[#This Row],[DiasOriginal]])</f>
        <v>32</v>
      </c>
      <c r="O952" s="1">
        <f>TablaDatos[[#This Row],[FechaIngreso]]+TablaDatos[[#This Row],[DiasNuevo]]</f>
        <v>45101</v>
      </c>
    </row>
    <row r="953" spans="1:15">
      <c r="A953">
        <v>952</v>
      </c>
      <c r="B953" t="s">
        <v>361</v>
      </c>
      <c r="C953" s="1">
        <v>27395</v>
      </c>
      <c r="D953">
        <v>51</v>
      </c>
      <c r="E953" s="4" t="s">
        <v>15</v>
      </c>
      <c r="F953" t="s">
        <v>21</v>
      </c>
      <c r="G953" s="1">
        <v>45084</v>
      </c>
      <c r="H953" s="1">
        <f>TablaDatos[[#This Row],[FechaIngreso]]+TablaDatos[[#This Row],[DiasNuevo]]</f>
        <v>45090</v>
      </c>
      <c r="I953">
        <v>6</v>
      </c>
      <c r="J953" t="s">
        <v>25</v>
      </c>
      <c r="K953" s="3">
        <v>18218.87</v>
      </c>
      <c r="L953" t="b">
        <f>TablaDatos[[#This Row],[FechaAlta]] &lt; TablaDatos[[#This Row],[FechaIngreso]]</f>
        <v>0</v>
      </c>
      <c r="M953">
        <f>_xlfn.XLOOKUP(TablaDatos[[#This Row],[PacienteID]],'Datos_Ejemplo.csv'!A:A,'Datos_Ejemplo.csv'!I:I)</f>
        <v>6</v>
      </c>
      <c r="N953">
        <f>ABS(TablaDatos[[#This Row],[DiasOriginal]])</f>
        <v>6</v>
      </c>
      <c r="O953" s="1">
        <f>TablaDatos[[#This Row],[FechaIngreso]]+TablaDatos[[#This Row],[DiasNuevo]]</f>
        <v>45090</v>
      </c>
    </row>
    <row r="954" spans="1:15">
      <c r="A954">
        <v>953</v>
      </c>
      <c r="B954" t="s">
        <v>238</v>
      </c>
      <c r="C954" s="1">
        <v>36891</v>
      </c>
      <c r="D954">
        <v>25</v>
      </c>
      <c r="E954" s="4" t="s">
        <v>12</v>
      </c>
      <c r="F954" t="s">
        <v>32</v>
      </c>
      <c r="G954" s="1">
        <v>45356</v>
      </c>
      <c r="H954" s="1">
        <f>TablaDatos[[#This Row],[FechaIngreso]]+TablaDatos[[#This Row],[DiasNuevo]]</f>
        <v>45366</v>
      </c>
      <c r="I954">
        <v>10</v>
      </c>
      <c r="J954" t="s">
        <v>23</v>
      </c>
      <c r="K954" s="3">
        <v>2959.89</v>
      </c>
      <c r="L954" t="b">
        <f>TablaDatos[[#This Row],[FechaAlta]] &lt; TablaDatos[[#This Row],[FechaIngreso]]</f>
        <v>0</v>
      </c>
      <c r="M954">
        <f>_xlfn.XLOOKUP(TablaDatos[[#This Row],[PacienteID]],'Datos_Ejemplo.csv'!A:A,'Datos_Ejemplo.csv'!I:I)</f>
        <v>10</v>
      </c>
      <c r="N954">
        <f>ABS(TablaDatos[[#This Row],[DiasOriginal]])</f>
        <v>10</v>
      </c>
      <c r="O954" s="1">
        <f>TablaDatos[[#This Row],[FechaIngreso]]+TablaDatos[[#This Row],[DiasNuevo]]</f>
        <v>45366</v>
      </c>
    </row>
    <row r="955" spans="1:15">
      <c r="A955">
        <v>954</v>
      </c>
      <c r="B955" t="s">
        <v>313</v>
      </c>
      <c r="C955" s="1">
        <v>23012</v>
      </c>
      <c r="D955">
        <v>63</v>
      </c>
      <c r="E955" s="4" t="s">
        <v>12</v>
      </c>
      <c r="F955" t="s">
        <v>18</v>
      </c>
      <c r="G955" s="1">
        <v>45374</v>
      </c>
      <c r="H955" s="1">
        <f>TablaDatos[[#This Row],[FechaIngreso]]+TablaDatos[[#This Row],[DiasNuevo]]</f>
        <v>45410</v>
      </c>
      <c r="I955">
        <v>36</v>
      </c>
      <c r="J955" t="s">
        <v>25</v>
      </c>
      <c r="K955" s="3">
        <v>4910.17</v>
      </c>
      <c r="L955" t="b">
        <f>TablaDatos[[#This Row],[FechaAlta]] &lt; TablaDatos[[#This Row],[FechaIngreso]]</f>
        <v>0</v>
      </c>
      <c r="M955">
        <f>_xlfn.XLOOKUP(TablaDatos[[#This Row],[PacienteID]],'Datos_Ejemplo.csv'!A:A,'Datos_Ejemplo.csv'!I:I)</f>
        <v>36</v>
      </c>
      <c r="N955">
        <f>ABS(TablaDatos[[#This Row],[DiasOriginal]])</f>
        <v>36</v>
      </c>
      <c r="O955" s="1">
        <f>TablaDatos[[#This Row],[FechaIngreso]]+TablaDatos[[#This Row],[DiasNuevo]]</f>
        <v>45410</v>
      </c>
    </row>
    <row r="956" spans="1:15">
      <c r="A956">
        <v>955</v>
      </c>
      <c r="B956" t="s">
        <v>276</v>
      </c>
      <c r="C956" s="1">
        <v>24838</v>
      </c>
      <c r="D956">
        <f ca="1">DATEDIF(TablaDatos[[#This Row],[FechaNacimiento]],TODAY(),"Y")</f>
        <v>58</v>
      </c>
      <c r="E956" s="4" t="s">
        <v>12</v>
      </c>
      <c r="F956" t="s">
        <v>13</v>
      </c>
      <c r="G956" s="1">
        <v>45336</v>
      </c>
      <c r="H956" s="1">
        <f>TablaDatos[[#This Row],[FechaIngreso]]+TablaDatos[[#This Row],[DiasNuevo]]</f>
        <v>45353</v>
      </c>
      <c r="I956">
        <v>17</v>
      </c>
      <c r="J956" t="s">
        <v>19</v>
      </c>
      <c r="K956" s="3">
        <v>13010.21</v>
      </c>
      <c r="L956" t="b">
        <f>TablaDatos[[#This Row],[FechaAlta]] &lt; TablaDatos[[#This Row],[FechaIngreso]]</f>
        <v>0</v>
      </c>
      <c r="M956">
        <f>_xlfn.XLOOKUP(TablaDatos[[#This Row],[PacienteID]],'Datos_Ejemplo.csv'!A:A,'Datos_Ejemplo.csv'!I:I)</f>
        <v>17</v>
      </c>
      <c r="N956">
        <f>ABS(TablaDatos[[#This Row],[DiasOriginal]])</f>
        <v>17</v>
      </c>
      <c r="O956" s="1">
        <f>TablaDatos[[#This Row],[FechaIngreso]]+TablaDatos[[#This Row],[DiasNuevo]]</f>
        <v>45353</v>
      </c>
    </row>
    <row r="957" spans="1:15">
      <c r="A957">
        <v>956</v>
      </c>
      <c r="B957" t="s">
        <v>274</v>
      </c>
      <c r="C957" s="1">
        <v>25934</v>
      </c>
      <c r="D957">
        <v>55</v>
      </c>
      <c r="E957" s="4" t="s">
        <v>12</v>
      </c>
      <c r="F957" t="s">
        <v>261</v>
      </c>
      <c r="G957" s="1">
        <v>45297</v>
      </c>
      <c r="H957" s="1">
        <f>TablaDatos[[#This Row],[FechaIngreso]]+TablaDatos[[#This Row],[DiasNuevo]]</f>
        <v>45315</v>
      </c>
      <c r="I957">
        <v>18</v>
      </c>
      <c r="J957" t="s">
        <v>19</v>
      </c>
      <c r="K957" s="3">
        <v>19080.86</v>
      </c>
      <c r="L957" t="b">
        <f>TablaDatos[[#This Row],[FechaAlta]] &lt; TablaDatos[[#This Row],[FechaIngreso]]</f>
        <v>0</v>
      </c>
      <c r="M957">
        <f>_xlfn.XLOOKUP(TablaDatos[[#This Row],[PacienteID]],'Datos_Ejemplo.csv'!A:A,'Datos_Ejemplo.csv'!I:I)</f>
        <v>18</v>
      </c>
      <c r="N957">
        <f>ABS(TablaDatos[[#This Row],[DiasOriginal]])</f>
        <v>18</v>
      </c>
      <c r="O957" s="1">
        <f>TablaDatos[[#This Row],[FechaIngreso]]+TablaDatos[[#This Row],[DiasNuevo]]</f>
        <v>45315</v>
      </c>
    </row>
    <row r="958" spans="1:15">
      <c r="A958">
        <v>957</v>
      </c>
      <c r="B958" t="s">
        <v>151</v>
      </c>
      <c r="C958" s="1">
        <v>24838</v>
      </c>
      <c r="D958">
        <v>58</v>
      </c>
      <c r="E958" s="4" t="s">
        <v>12</v>
      </c>
      <c r="F958" t="s">
        <v>32</v>
      </c>
      <c r="G958" s="1">
        <v>45035</v>
      </c>
      <c r="H958" s="1">
        <f>TablaDatos[[#This Row],[FechaIngreso]]+TablaDatos[[#This Row],[DiasNuevo]]</f>
        <v>45051</v>
      </c>
      <c r="I958">
        <v>16</v>
      </c>
      <c r="J958" t="s">
        <v>19</v>
      </c>
      <c r="K958" s="3">
        <v>5921.75</v>
      </c>
      <c r="L958" t="b">
        <f>TablaDatos[[#This Row],[FechaAlta]] &lt; TablaDatos[[#This Row],[FechaIngreso]]</f>
        <v>0</v>
      </c>
      <c r="M958">
        <f>_xlfn.XLOOKUP(TablaDatos[[#This Row],[PacienteID]],'Datos_Ejemplo.csv'!A:A,'Datos_Ejemplo.csv'!I:I)</f>
        <v>16</v>
      </c>
      <c r="N958">
        <f>ABS(TablaDatos[[#This Row],[DiasOriginal]])</f>
        <v>16</v>
      </c>
      <c r="O958" s="1">
        <f>TablaDatos[[#This Row],[FechaIngreso]]+TablaDatos[[#This Row],[DiasNuevo]]</f>
        <v>45051</v>
      </c>
    </row>
    <row r="959" spans="1:15">
      <c r="A959">
        <v>958</v>
      </c>
      <c r="B959" t="s">
        <v>355</v>
      </c>
      <c r="C959" s="1">
        <v>20820</v>
      </c>
      <c r="D959">
        <v>69</v>
      </c>
      <c r="E959" s="4" t="s">
        <v>12</v>
      </c>
      <c r="F959" t="s">
        <v>13</v>
      </c>
      <c r="G959" s="1">
        <v>45633</v>
      </c>
      <c r="H959" s="1">
        <f>TablaDatos[[#This Row],[FechaIngreso]]+TablaDatos[[#This Row],[DiasNuevo]]</f>
        <v>45634</v>
      </c>
      <c r="I959">
        <v>1</v>
      </c>
      <c r="J959" t="s">
        <v>23</v>
      </c>
      <c r="K959" s="3">
        <v>17089.79</v>
      </c>
      <c r="L959" t="b">
        <f>TablaDatos[[#This Row],[FechaAlta]] &lt; TablaDatos[[#This Row],[FechaIngreso]]</f>
        <v>0</v>
      </c>
      <c r="M959">
        <f>_xlfn.XLOOKUP(TablaDatos[[#This Row],[PacienteID]],'Datos_Ejemplo.csv'!A:A,'Datos_Ejemplo.csv'!I:I)</f>
        <v>-1</v>
      </c>
      <c r="N959">
        <f>ABS(TablaDatos[[#This Row],[DiasOriginal]])</f>
        <v>1</v>
      </c>
      <c r="O959" s="1">
        <f>TablaDatos[[#This Row],[FechaIngreso]]+TablaDatos[[#This Row],[DiasNuevo]]</f>
        <v>45634</v>
      </c>
    </row>
    <row r="960" spans="1:15">
      <c r="A960">
        <v>959</v>
      </c>
      <c r="B960" t="s">
        <v>297</v>
      </c>
      <c r="C960" s="1">
        <v>34334</v>
      </c>
      <c r="D960">
        <v>32</v>
      </c>
      <c r="E960" s="4" t="s">
        <v>15</v>
      </c>
      <c r="F960" t="s">
        <v>13</v>
      </c>
      <c r="G960" s="1">
        <v>44962</v>
      </c>
      <c r="H960" s="1">
        <f>TablaDatos[[#This Row],[FechaIngreso]]+TablaDatos[[#This Row],[DiasNuevo]]</f>
        <v>44999</v>
      </c>
      <c r="I960">
        <v>37</v>
      </c>
      <c r="J960" t="s">
        <v>19</v>
      </c>
      <c r="K960" s="3">
        <v>10071.1</v>
      </c>
      <c r="L960" t="b">
        <f>TablaDatos[[#This Row],[FechaAlta]] &lt; TablaDatos[[#This Row],[FechaIngreso]]</f>
        <v>0</v>
      </c>
      <c r="M960">
        <f>_xlfn.XLOOKUP(TablaDatos[[#This Row],[PacienteID]],'Datos_Ejemplo.csv'!A:A,'Datos_Ejemplo.csv'!I:I)</f>
        <v>37</v>
      </c>
      <c r="N960">
        <f>ABS(TablaDatos[[#This Row],[DiasOriginal]])</f>
        <v>37</v>
      </c>
      <c r="O960" s="1">
        <f>TablaDatos[[#This Row],[FechaIngreso]]+TablaDatos[[#This Row],[DiasNuevo]]</f>
        <v>44999</v>
      </c>
    </row>
    <row r="961" spans="1:15">
      <c r="A961">
        <v>960</v>
      </c>
      <c r="B961" t="s">
        <v>334</v>
      </c>
      <c r="C961" s="1">
        <v>27029</v>
      </c>
      <c r="D961">
        <v>52</v>
      </c>
      <c r="E961" s="4" t="s">
        <v>12</v>
      </c>
      <c r="F961" t="s">
        <v>295</v>
      </c>
      <c r="G961" s="1">
        <v>45016</v>
      </c>
      <c r="H961" s="1">
        <f>TablaDatos[[#This Row],[FechaIngreso]]+TablaDatos[[#This Row],[DiasNuevo]]</f>
        <v>45043</v>
      </c>
      <c r="I961">
        <v>27</v>
      </c>
      <c r="J961" t="s">
        <v>23</v>
      </c>
      <c r="K961" s="3">
        <v>19126.830000000002</v>
      </c>
      <c r="L961" t="b">
        <f>TablaDatos[[#This Row],[FechaAlta]] &lt; TablaDatos[[#This Row],[FechaIngreso]]</f>
        <v>0</v>
      </c>
      <c r="M961">
        <f>_xlfn.XLOOKUP(TablaDatos[[#This Row],[PacienteID]],'Datos_Ejemplo.csv'!A:A,'Datos_Ejemplo.csv'!I:I)</f>
        <v>27</v>
      </c>
      <c r="N961">
        <f>ABS(TablaDatos[[#This Row],[DiasOriginal]])</f>
        <v>27</v>
      </c>
      <c r="O961" s="1">
        <f>TablaDatos[[#This Row],[FechaIngreso]]+TablaDatos[[#This Row],[DiasNuevo]]</f>
        <v>45043</v>
      </c>
    </row>
    <row r="962" spans="1:15">
      <c r="A962">
        <v>961</v>
      </c>
      <c r="B962" t="s">
        <v>346</v>
      </c>
      <c r="C962" s="1">
        <v>38352</v>
      </c>
      <c r="D962">
        <v>21</v>
      </c>
      <c r="E962" s="4" t="s">
        <v>15</v>
      </c>
      <c r="F962" t="s">
        <v>261</v>
      </c>
      <c r="G962" s="1">
        <v>45341</v>
      </c>
      <c r="H962" s="1">
        <f>TablaDatos[[#This Row],[FechaIngreso]]+TablaDatos[[#This Row],[DiasNuevo]]</f>
        <v>45361</v>
      </c>
      <c r="I962">
        <v>20</v>
      </c>
      <c r="J962" t="s">
        <v>23</v>
      </c>
      <c r="K962" s="3">
        <v>2638.8</v>
      </c>
      <c r="L962" t="b">
        <f>TablaDatos[[#This Row],[FechaAlta]] &lt; TablaDatos[[#This Row],[FechaIngreso]]</f>
        <v>0</v>
      </c>
      <c r="M962">
        <f>_xlfn.XLOOKUP(TablaDatos[[#This Row],[PacienteID]],'Datos_Ejemplo.csv'!A:A,'Datos_Ejemplo.csv'!I:I)</f>
        <v>20</v>
      </c>
      <c r="N962">
        <f>ABS(TablaDatos[[#This Row],[DiasOriginal]])</f>
        <v>20</v>
      </c>
      <c r="O962" s="1">
        <f>TablaDatos[[#This Row],[FechaIngreso]]+TablaDatos[[#This Row],[DiasNuevo]]</f>
        <v>45361</v>
      </c>
    </row>
    <row r="963" spans="1:15">
      <c r="A963">
        <v>962</v>
      </c>
      <c r="B963" t="s">
        <v>296</v>
      </c>
      <c r="C963" s="1">
        <v>38717</v>
      </c>
      <c r="D963">
        <v>20</v>
      </c>
      <c r="E963" s="4" t="s">
        <v>15</v>
      </c>
      <c r="F963" t="s">
        <v>32</v>
      </c>
      <c r="G963" s="1">
        <v>45222</v>
      </c>
      <c r="H963" s="1">
        <f>TablaDatos[[#This Row],[FechaIngreso]]+TablaDatos[[#This Row],[DiasNuevo]]</f>
        <v>45259</v>
      </c>
      <c r="I963">
        <v>37</v>
      </c>
      <c r="J963" t="s">
        <v>23</v>
      </c>
      <c r="K963" s="3">
        <v>19470.82</v>
      </c>
      <c r="L963" t="b">
        <f>TablaDatos[[#This Row],[FechaAlta]] &lt; TablaDatos[[#This Row],[FechaIngreso]]</f>
        <v>0</v>
      </c>
      <c r="M963">
        <f>_xlfn.XLOOKUP(TablaDatos[[#This Row],[PacienteID]],'Datos_Ejemplo.csv'!A:A,'Datos_Ejemplo.csv'!I:I)</f>
        <v>37</v>
      </c>
      <c r="N963">
        <f>ABS(TablaDatos[[#This Row],[DiasOriginal]])</f>
        <v>37</v>
      </c>
      <c r="O963" s="1">
        <f>TablaDatos[[#This Row],[FechaIngreso]]+TablaDatos[[#This Row],[DiasNuevo]]</f>
        <v>45259</v>
      </c>
    </row>
    <row r="964" spans="1:15">
      <c r="A964">
        <v>963</v>
      </c>
      <c r="B964" t="s">
        <v>281</v>
      </c>
      <c r="C964" s="1">
        <v>20820</v>
      </c>
      <c r="D964">
        <v>69</v>
      </c>
      <c r="E964" s="4" t="s">
        <v>15</v>
      </c>
      <c r="F964" t="s">
        <v>18</v>
      </c>
      <c r="G964" s="1">
        <v>45639</v>
      </c>
      <c r="H964" s="1">
        <f>TablaDatos[[#This Row],[FechaIngreso]]+TablaDatos[[#This Row],[DiasNuevo]]</f>
        <v>45649</v>
      </c>
      <c r="I964">
        <v>10</v>
      </c>
      <c r="J964" t="s">
        <v>19</v>
      </c>
      <c r="K964" s="3">
        <v>8763.67</v>
      </c>
      <c r="L964" t="b">
        <f>TablaDatos[[#This Row],[FechaAlta]] &lt; TablaDatos[[#This Row],[FechaIngreso]]</f>
        <v>0</v>
      </c>
      <c r="M964">
        <f>_xlfn.XLOOKUP(TablaDatos[[#This Row],[PacienteID]],'Datos_Ejemplo.csv'!A:A,'Datos_Ejemplo.csv'!I:I)</f>
        <v>10</v>
      </c>
      <c r="N964">
        <f>ABS(TablaDatos[[#This Row],[DiasOriginal]])</f>
        <v>10</v>
      </c>
      <c r="O964" s="1">
        <f>TablaDatos[[#This Row],[FechaIngreso]]+TablaDatos[[#This Row],[DiasNuevo]]</f>
        <v>45649</v>
      </c>
    </row>
    <row r="965" spans="1:15">
      <c r="A965">
        <v>964</v>
      </c>
      <c r="B965" t="s">
        <v>341</v>
      </c>
      <c r="C965" s="1">
        <v>20820</v>
      </c>
      <c r="D965">
        <v>69</v>
      </c>
      <c r="E965" s="4" t="s">
        <v>15</v>
      </c>
      <c r="F965" t="s">
        <v>32</v>
      </c>
      <c r="G965" s="1">
        <v>44972</v>
      </c>
      <c r="H965" s="1">
        <f>TablaDatos[[#This Row],[FechaIngreso]]+TablaDatos[[#This Row],[DiasNuevo]]</f>
        <v>45002</v>
      </c>
      <c r="I965">
        <v>30</v>
      </c>
      <c r="J965" t="s">
        <v>23</v>
      </c>
      <c r="K965" s="3">
        <v>19054.060000000001</v>
      </c>
      <c r="L965" t="b">
        <f>TablaDatos[[#This Row],[FechaAlta]] &lt; TablaDatos[[#This Row],[FechaIngreso]]</f>
        <v>0</v>
      </c>
      <c r="M965">
        <f>_xlfn.XLOOKUP(TablaDatos[[#This Row],[PacienteID]],'Datos_Ejemplo.csv'!A:A,'Datos_Ejemplo.csv'!I:I)</f>
        <v>30</v>
      </c>
      <c r="N965">
        <f>ABS(TablaDatos[[#This Row],[DiasOriginal]])</f>
        <v>30</v>
      </c>
      <c r="O965" s="1">
        <f>TablaDatos[[#This Row],[FechaIngreso]]+TablaDatos[[#This Row],[DiasNuevo]]</f>
        <v>45002</v>
      </c>
    </row>
    <row r="966" spans="1:15">
      <c r="A966">
        <v>965</v>
      </c>
      <c r="B966" t="s">
        <v>90</v>
      </c>
      <c r="C966" s="1">
        <v>44927</v>
      </c>
      <c r="D966">
        <v>3</v>
      </c>
      <c r="E966" s="4" t="s">
        <v>15</v>
      </c>
      <c r="F966" t="s">
        <v>32</v>
      </c>
      <c r="G966" s="1">
        <v>45414</v>
      </c>
      <c r="H966" s="1">
        <f>TablaDatos[[#This Row],[FechaIngreso]]+TablaDatos[[#This Row],[DiasNuevo]]</f>
        <v>45443</v>
      </c>
      <c r="I966">
        <v>29</v>
      </c>
      <c r="J966" t="s">
        <v>23</v>
      </c>
      <c r="K966" s="3">
        <v>9119.67</v>
      </c>
      <c r="L966" t="b">
        <f>TablaDatos[[#This Row],[FechaAlta]] &lt; TablaDatos[[#This Row],[FechaIngreso]]</f>
        <v>0</v>
      </c>
      <c r="M966">
        <f>_xlfn.XLOOKUP(TablaDatos[[#This Row],[PacienteID]],'Datos_Ejemplo.csv'!A:A,'Datos_Ejemplo.csv'!I:I)</f>
        <v>29</v>
      </c>
      <c r="N966">
        <f>ABS(TablaDatos[[#This Row],[DiasOriginal]])</f>
        <v>29</v>
      </c>
      <c r="O966" s="1">
        <f>TablaDatos[[#This Row],[FechaIngreso]]+TablaDatos[[#This Row],[DiasNuevo]]</f>
        <v>45443</v>
      </c>
    </row>
    <row r="967" spans="1:15">
      <c r="A967">
        <v>966</v>
      </c>
      <c r="B967" t="s">
        <v>256</v>
      </c>
      <c r="C967" s="1">
        <v>12054</v>
      </c>
      <c r="D967">
        <v>93</v>
      </c>
      <c r="E967" s="4" t="s">
        <v>15</v>
      </c>
      <c r="F967" t="s">
        <v>261</v>
      </c>
      <c r="G967" s="1">
        <v>45545</v>
      </c>
      <c r="H967" s="1">
        <f>TablaDatos[[#This Row],[FechaIngreso]]+TablaDatos[[#This Row],[DiasNuevo]]</f>
        <v>45570</v>
      </c>
      <c r="I967">
        <v>25</v>
      </c>
      <c r="J967" t="s">
        <v>23</v>
      </c>
      <c r="K967" s="3">
        <v>10554.65</v>
      </c>
      <c r="L967" t="b">
        <f>TablaDatos[[#This Row],[FechaAlta]] &lt; TablaDatos[[#This Row],[FechaIngreso]]</f>
        <v>0</v>
      </c>
      <c r="M967">
        <f>_xlfn.XLOOKUP(TablaDatos[[#This Row],[PacienteID]],'Datos_Ejemplo.csv'!A:A,'Datos_Ejemplo.csv'!I:I)</f>
        <v>25</v>
      </c>
      <c r="N967">
        <f>ABS(TablaDatos[[#This Row],[DiasOriginal]])</f>
        <v>25</v>
      </c>
      <c r="O967" s="1">
        <f>TablaDatos[[#This Row],[FechaIngreso]]+TablaDatos[[#This Row],[DiasNuevo]]</f>
        <v>45570</v>
      </c>
    </row>
    <row r="968" spans="1:15">
      <c r="A968">
        <v>967</v>
      </c>
      <c r="B968" t="s">
        <v>233</v>
      </c>
      <c r="C968" s="1">
        <v>18994</v>
      </c>
      <c r="D968">
        <v>74</v>
      </c>
      <c r="E968" s="4" t="s">
        <v>12</v>
      </c>
      <c r="F968" t="s">
        <v>201</v>
      </c>
      <c r="G968" s="1">
        <v>45096</v>
      </c>
      <c r="H968" s="1">
        <f>TablaDatos[[#This Row],[FechaIngreso]]+TablaDatos[[#This Row],[DiasNuevo]]</f>
        <v>45117</v>
      </c>
      <c r="I968">
        <v>21</v>
      </c>
      <c r="J968" t="s">
        <v>23</v>
      </c>
      <c r="K968" s="3">
        <v>16075.98</v>
      </c>
      <c r="L968" t="b">
        <f>TablaDatos[[#This Row],[FechaAlta]] &lt; TablaDatos[[#This Row],[FechaIngreso]]</f>
        <v>0</v>
      </c>
      <c r="M968">
        <f>_xlfn.XLOOKUP(TablaDatos[[#This Row],[PacienteID]],'Datos_Ejemplo.csv'!A:A,'Datos_Ejemplo.csv'!I:I)</f>
        <v>21</v>
      </c>
      <c r="N968">
        <f>ABS(TablaDatos[[#This Row],[DiasOriginal]])</f>
        <v>21</v>
      </c>
      <c r="O968" s="1">
        <f>TablaDatos[[#This Row],[FechaIngreso]]+TablaDatos[[#This Row],[DiasNuevo]]</f>
        <v>45117</v>
      </c>
    </row>
    <row r="969" spans="1:15">
      <c r="A969">
        <v>968</v>
      </c>
      <c r="B969" t="s">
        <v>284</v>
      </c>
      <c r="C969" s="1">
        <v>23742</v>
      </c>
      <c r="D969">
        <v>61</v>
      </c>
      <c r="E969" s="4" t="s">
        <v>12</v>
      </c>
      <c r="F969" t="s">
        <v>13</v>
      </c>
      <c r="G969" s="1">
        <v>45072</v>
      </c>
      <c r="H969" s="1">
        <f>TablaDatos[[#This Row],[FechaIngreso]]+TablaDatos[[#This Row],[DiasNuevo]]</f>
        <v>45111</v>
      </c>
      <c r="I969">
        <v>39</v>
      </c>
      <c r="J969" t="s">
        <v>19</v>
      </c>
      <c r="K969" s="3">
        <v>14424.83</v>
      </c>
      <c r="L969" t="b">
        <f>TablaDatos[[#This Row],[FechaAlta]] &lt; TablaDatos[[#This Row],[FechaIngreso]]</f>
        <v>0</v>
      </c>
      <c r="M969">
        <f>_xlfn.XLOOKUP(TablaDatos[[#This Row],[PacienteID]],'Datos_Ejemplo.csv'!A:A,'Datos_Ejemplo.csv'!I:I)</f>
        <v>39</v>
      </c>
      <c r="N969">
        <f>ABS(TablaDatos[[#This Row],[DiasOriginal]])</f>
        <v>39</v>
      </c>
      <c r="O969" s="1">
        <f>TablaDatos[[#This Row],[FechaIngreso]]+TablaDatos[[#This Row],[DiasNuevo]]</f>
        <v>45111</v>
      </c>
    </row>
    <row r="970" spans="1:15">
      <c r="A970">
        <v>969</v>
      </c>
      <c r="B970" t="s">
        <v>103</v>
      </c>
      <c r="C970" s="1">
        <v>23742</v>
      </c>
      <c r="D970">
        <v>61</v>
      </c>
      <c r="E970" s="4" t="s">
        <v>197</v>
      </c>
      <c r="F970" t="s">
        <v>13</v>
      </c>
      <c r="G970" s="1">
        <v>45346</v>
      </c>
      <c r="H970" s="1">
        <f>TablaDatos[[#This Row],[FechaIngreso]]+TablaDatos[[#This Row],[DiasNuevo]]</f>
        <v>45371</v>
      </c>
      <c r="I970">
        <v>25</v>
      </c>
      <c r="J970" t="s">
        <v>19</v>
      </c>
      <c r="K970" s="3">
        <v>12354.03</v>
      </c>
      <c r="L970" t="b">
        <f>TablaDatos[[#This Row],[FechaAlta]] &lt; TablaDatos[[#This Row],[FechaIngreso]]</f>
        <v>0</v>
      </c>
      <c r="M970">
        <f>_xlfn.XLOOKUP(TablaDatos[[#This Row],[PacienteID]],'Datos_Ejemplo.csv'!A:A,'Datos_Ejemplo.csv'!I:I)</f>
        <v>25</v>
      </c>
      <c r="N970">
        <f>ABS(TablaDatos[[#This Row],[DiasOriginal]])</f>
        <v>25</v>
      </c>
      <c r="O970" s="1">
        <f>TablaDatos[[#This Row],[FechaIngreso]]+TablaDatos[[#This Row],[DiasNuevo]]</f>
        <v>45371</v>
      </c>
    </row>
    <row r="971" spans="1:15">
      <c r="A971">
        <v>970</v>
      </c>
      <c r="B971" t="s">
        <v>297</v>
      </c>
      <c r="C971" s="1">
        <v>12054</v>
      </c>
      <c r="D971">
        <v>93</v>
      </c>
      <c r="E971" s="4" t="s">
        <v>15</v>
      </c>
      <c r="F971" t="s">
        <v>13</v>
      </c>
      <c r="G971" s="1">
        <v>45616</v>
      </c>
      <c r="H971" s="1">
        <f>TablaDatos[[#This Row],[FechaIngreso]]+TablaDatos[[#This Row],[DiasNuevo]]</f>
        <v>45643</v>
      </c>
      <c r="I971">
        <v>27</v>
      </c>
      <c r="J971" t="s">
        <v>19</v>
      </c>
      <c r="K971" s="3">
        <v>8281.2999999999993</v>
      </c>
      <c r="L971" t="b">
        <f>TablaDatos[[#This Row],[FechaAlta]] &lt; TablaDatos[[#This Row],[FechaIngreso]]</f>
        <v>0</v>
      </c>
      <c r="M971">
        <f>_xlfn.XLOOKUP(TablaDatos[[#This Row],[PacienteID]],'Datos_Ejemplo.csv'!A:A,'Datos_Ejemplo.csv'!I:I)</f>
        <v>27</v>
      </c>
      <c r="N971">
        <f>ABS(TablaDatos[[#This Row],[DiasOriginal]])</f>
        <v>27</v>
      </c>
      <c r="O971" s="1">
        <f>TablaDatos[[#This Row],[FechaIngreso]]+TablaDatos[[#This Row],[DiasNuevo]]</f>
        <v>45643</v>
      </c>
    </row>
    <row r="972" spans="1:15">
      <c r="A972">
        <v>971</v>
      </c>
      <c r="B972" t="s">
        <v>288</v>
      </c>
      <c r="C972" s="1">
        <v>11689</v>
      </c>
      <c r="D972">
        <v>94</v>
      </c>
      <c r="E972" s="4" t="s">
        <v>12</v>
      </c>
      <c r="F972" t="s">
        <v>13</v>
      </c>
      <c r="G972" s="1">
        <v>45499</v>
      </c>
      <c r="H972" s="1">
        <f>TablaDatos[[#This Row],[FechaIngreso]]+TablaDatos[[#This Row],[DiasNuevo]]</f>
        <v>45537</v>
      </c>
      <c r="I972">
        <v>38</v>
      </c>
      <c r="J972" t="s">
        <v>25</v>
      </c>
      <c r="K972" s="3">
        <v>15828.01</v>
      </c>
      <c r="L972" t="b">
        <f>TablaDatos[[#This Row],[FechaAlta]] &lt; TablaDatos[[#This Row],[FechaIngreso]]</f>
        <v>0</v>
      </c>
      <c r="M972">
        <f>_xlfn.XLOOKUP(TablaDatos[[#This Row],[PacienteID]],'Datos_Ejemplo.csv'!A:A,'Datos_Ejemplo.csv'!I:I)</f>
        <v>38</v>
      </c>
      <c r="N972">
        <f>ABS(TablaDatos[[#This Row],[DiasOriginal]])</f>
        <v>38</v>
      </c>
      <c r="O972" s="1">
        <f>TablaDatos[[#This Row],[FechaIngreso]]+TablaDatos[[#This Row],[DiasNuevo]]</f>
        <v>45537</v>
      </c>
    </row>
    <row r="973" spans="1:15">
      <c r="A973">
        <v>972</v>
      </c>
      <c r="B973" t="s">
        <v>272</v>
      </c>
      <c r="C973" s="1">
        <v>37622</v>
      </c>
      <c r="D973">
        <v>23</v>
      </c>
      <c r="E973" s="4" t="s">
        <v>12</v>
      </c>
      <c r="F973" t="s">
        <v>261</v>
      </c>
      <c r="G973" s="1">
        <v>44929</v>
      </c>
      <c r="H973" s="1">
        <f>TablaDatos[[#This Row],[FechaIngreso]]+TablaDatos[[#This Row],[DiasNuevo]]</f>
        <v>44955</v>
      </c>
      <c r="I973">
        <v>26</v>
      </c>
      <c r="J973" t="s">
        <v>19</v>
      </c>
      <c r="K973" s="3">
        <v>18959.39</v>
      </c>
      <c r="L973" t="b">
        <f>TablaDatos[[#This Row],[FechaAlta]] &lt; TablaDatos[[#This Row],[FechaIngreso]]</f>
        <v>0</v>
      </c>
      <c r="M973">
        <f>_xlfn.XLOOKUP(TablaDatos[[#This Row],[PacienteID]],'Datos_Ejemplo.csv'!A:A,'Datos_Ejemplo.csv'!I:I)</f>
        <v>26</v>
      </c>
      <c r="N973">
        <f>ABS(TablaDatos[[#This Row],[DiasOriginal]])</f>
        <v>26</v>
      </c>
      <c r="O973" s="1">
        <f>TablaDatos[[#This Row],[FechaIngreso]]+TablaDatos[[#This Row],[DiasNuevo]]</f>
        <v>44955</v>
      </c>
    </row>
    <row r="974" spans="1:15">
      <c r="A974">
        <v>973</v>
      </c>
      <c r="B974" t="s">
        <v>306</v>
      </c>
      <c r="C974" s="1">
        <f ca="1">DATE(YEAR(TODAY())-TablaDatos[[#This Row],[Edad]],1,1)</f>
        <v>26299</v>
      </c>
      <c r="D974">
        <v>54</v>
      </c>
      <c r="E974" s="4" t="s">
        <v>15</v>
      </c>
      <c r="F974" t="s">
        <v>18</v>
      </c>
      <c r="G974" s="1">
        <v>45520</v>
      </c>
      <c r="H974" s="1">
        <f>TablaDatos[[#This Row],[FechaIngreso]]+TablaDatos[[#This Row],[DiasNuevo]]</f>
        <v>45551</v>
      </c>
      <c r="I974">
        <v>31</v>
      </c>
      <c r="J974" t="s">
        <v>23</v>
      </c>
      <c r="K974" s="3">
        <v>97.2</v>
      </c>
      <c r="L974" t="b">
        <f>TablaDatos[[#This Row],[FechaAlta]] &lt; TablaDatos[[#This Row],[FechaIngreso]]</f>
        <v>0</v>
      </c>
      <c r="M974">
        <f>_xlfn.XLOOKUP(TablaDatos[[#This Row],[PacienteID]],'Datos_Ejemplo.csv'!A:A,'Datos_Ejemplo.csv'!I:I)</f>
        <v>31</v>
      </c>
      <c r="N974">
        <f>ABS(TablaDatos[[#This Row],[DiasOriginal]])</f>
        <v>31</v>
      </c>
      <c r="O974" s="1">
        <f>TablaDatos[[#This Row],[FechaIngreso]]+TablaDatos[[#This Row],[DiasNuevo]]</f>
        <v>45551</v>
      </c>
    </row>
    <row r="975" spans="1:15">
      <c r="A975">
        <v>974</v>
      </c>
      <c r="B975" t="s">
        <v>332</v>
      </c>
      <c r="C975" s="1">
        <v>43100</v>
      </c>
      <c r="D975">
        <v>8</v>
      </c>
      <c r="E975" s="4" t="s">
        <v>12</v>
      </c>
      <c r="F975" t="s">
        <v>21</v>
      </c>
      <c r="G975" s="1">
        <v>45189</v>
      </c>
      <c r="H975" s="1">
        <f>TablaDatos[[#This Row],[FechaIngreso]]+TablaDatos[[#This Row],[DiasNuevo]]</f>
        <v>45208</v>
      </c>
      <c r="I975">
        <v>19</v>
      </c>
      <c r="J975" t="s">
        <v>23</v>
      </c>
      <c r="K975" s="3">
        <v>11715.69</v>
      </c>
      <c r="L975" t="b">
        <f>TablaDatos[[#This Row],[FechaAlta]] &lt; TablaDatos[[#This Row],[FechaIngreso]]</f>
        <v>0</v>
      </c>
      <c r="M975">
        <f>_xlfn.XLOOKUP(TablaDatos[[#This Row],[PacienteID]],'Datos_Ejemplo.csv'!A:A,'Datos_Ejemplo.csv'!I:I)</f>
        <v>19</v>
      </c>
      <c r="N975">
        <f>ABS(TablaDatos[[#This Row],[DiasOriginal]])</f>
        <v>19</v>
      </c>
      <c r="O975" s="1">
        <f>TablaDatos[[#This Row],[FechaIngreso]]+TablaDatos[[#This Row],[DiasNuevo]]</f>
        <v>45208</v>
      </c>
    </row>
    <row r="976" spans="1:15">
      <c r="A976">
        <v>975</v>
      </c>
      <c r="B976" t="s">
        <v>251</v>
      </c>
      <c r="C976" s="1">
        <v>45292</v>
      </c>
      <c r="D976">
        <v>2</v>
      </c>
      <c r="E976" s="4" t="s">
        <v>12</v>
      </c>
      <c r="F976" t="s">
        <v>295</v>
      </c>
      <c r="G976" s="1">
        <v>45247</v>
      </c>
      <c r="H976" s="1">
        <f>TablaDatos[[#This Row],[FechaIngreso]]+TablaDatos[[#This Row],[DiasNuevo]]</f>
        <v>45269</v>
      </c>
      <c r="I976">
        <v>22</v>
      </c>
      <c r="J976" t="s">
        <v>23</v>
      </c>
      <c r="K976" s="3">
        <v>17306.22</v>
      </c>
      <c r="L976" t="b">
        <f>TablaDatos[[#This Row],[FechaAlta]] &lt; TablaDatos[[#This Row],[FechaIngreso]]</f>
        <v>0</v>
      </c>
      <c r="M976">
        <f>_xlfn.XLOOKUP(TablaDatos[[#This Row],[PacienteID]],'Datos_Ejemplo.csv'!A:A,'Datos_Ejemplo.csv'!I:I)</f>
        <v>22</v>
      </c>
      <c r="N976">
        <f>ABS(TablaDatos[[#This Row],[DiasOriginal]])</f>
        <v>22</v>
      </c>
      <c r="O976" s="1">
        <f>TablaDatos[[#This Row],[FechaIngreso]]+TablaDatos[[#This Row],[DiasNuevo]]</f>
        <v>45269</v>
      </c>
    </row>
    <row r="977" spans="1:15">
      <c r="A977">
        <v>976</v>
      </c>
      <c r="B977" t="s">
        <v>283</v>
      </c>
      <c r="C977" s="1">
        <v>35065</v>
      </c>
      <c r="D977">
        <v>30</v>
      </c>
      <c r="E977" s="4" t="s">
        <v>15</v>
      </c>
      <c r="F977" t="s">
        <v>201</v>
      </c>
      <c r="G977" s="1">
        <v>45533</v>
      </c>
      <c r="H977" s="1">
        <f>TablaDatos[[#This Row],[FechaIngreso]]+TablaDatos[[#This Row],[DiasNuevo]]</f>
        <v>45544</v>
      </c>
      <c r="I977">
        <v>11</v>
      </c>
      <c r="J977" t="s">
        <v>25</v>
      </c>
      <c r="K977" s="3">
        <v>13027.56</v>
      </c>
      <c r="L977" t="b">
        <f>TablaDatos[[#This Row],[FechaAlta]] &lt; TablaDatos[[#This Row],[FechaIngreso]]</f>
        <v>0</v>
      </c>
      <c r="M977">
        <f>_xlfn.XLOOKUP(TablaDatos[[#This Row],[PacienteID]],'Datos_Ejemplo.csv'!A:A,'Datos_Ejemplo.csv'!I:I)</f>
        <v>11</v>
      </c>
      <c r="N977">
        <f>ABS(TablaDatos[[#This Row],[DiasOriginal]])</f>
        <v>11</v>
      </c>
      <c r="O977" s="1">
        <f>TablaDatos[[#This Row],[FechaIngreso]]+TablaDatos[[#This Row],[DiasNuevo]]</f>
        <v>45544</v>
      </c>
    </row>
    <row r="978" spans="1:15">
      <c r="A978">
        <v>977</v>
      </c>
      <c r="B978" t="s">
        <v>364</v>
      </c>
      <c r="C978" s="1">
        <v>31778</v>
      </c>
      <c r="D978">
        <v>39</v>
      </c>
      <c r="E978" s="4" t="s">
        <v>12</v>
      </c>
      <c r="F978" t="s">
        <v>201</v>
      </c>
      <c r="G978" s="1">
        <v>45502</v>
      </c>
      <c r="H978" s="1">
        <f>TablaDatos[[#This Row],[FechaIngreso]]+TablaDatos[[#This Row],[DiasNuevo]]</f>
        <v>45509</v>
      </c>
      <c r="I978">
        <v>7</v>
      </c>
      <c r="J978" t="s">
        <v>23</v>
      </c>
      <c r="K978" s="3">
        <v>15996.67</v>
      </c>
      <c r="L978" t="b">
        <f>TablaDatos[[#This Row],[FechaAlta]] &lt; TablaDatos[[#This Row],[FechaIngreso]]</f>
        <v>0</v>
      </c>
      <c r="M978">
        <f>_xlfn.XLOOKUP(TablaDatos[[#This Row],[PacienteID]],'Datos_Ejemplo.csv'!A:A,'Datos_Ejemplo.csv'!I:I)</f>
        <v>7</v>
      </c>
      <c r="N978">
        <f>ABS(TablaDatos[[#This Row],[DiasOriginal]])</f>
        <v>7</v>
      </c>
      <c r="O978" s="1">
        <f>TablaDatos[[#This Row],[FechaIngreso]]+TablaDatos[[#This Row],[DiasNuevo]]</f>
        <v>45509</v>
      </c>
    </row>
    <row r="979" spans="1:15">
      <c r="A979">
        <v>978</v>
      </c>
      <c r="B979" t="s">
        <v>279</v>
      </c>
      <c r="C979" s="1">
        <v>33239</v>
      </c>
      <c r="D979">
        <v>35</v>
      </c>
      <c r="E979" s="4" t="s">
        <v>12</v>
      </c>
      <c r="F979" t="s">
        <v>13</v>
      </c>
      <c r="G979" s="1">
        <v>45172</v>
      </c>
      <c r="H979" s="1">
        <f>TablaDatos[[#This Row],[FechaIngreso]]+TablaDatos[[#This Row],[DiasNuevo]]</f>
        <v>45179</v>
      </c>
      <c r="I979">
        <v>7</v>
      </c>
      <c r="J979" t="s">
        <v>23</v>
      </c>
      <c r="K979" s="3">
        <v>17890.73</v>
      </c>
      <c r="L979" t="b">
        <f>TablaDatos[[#This Row],[FechaAlta]] &lt; TablaDatos[[#This Row],[FechaIngreso]]</f>
        <v>0</v>
      </c>
      <c r="M979">
        <f>_xlfn.XLOOKUP(TablaDatos[[#This Row],[PacienteID]],'Datos_Ejemplo.csv'!A:A,'Datos_Ejemplo.csv'!I:I)</f>
        <v>7</v>
      </c>
      <c r="N979">
        <f>ABS(TablaDatos[[#This Row],[DiasOriginal]])</f>
        <v>7</v>
      </c>
      <c r="O979" s="1">
        <f>TablaDatos[[#This Row],[FechaIngreso]]+TablaDatos[[#This Row],[DiasNuevo]]</f>
        <v>45179</v>
      </c>
    </row>
    <row r="980" spans="1:15">
      <c r="A980">
        <v>979</v>
      </c>
      <c r="B980" t="s">
        <v>281</v>
      </c>
      <c r="C980" s="1">
        <v>37622</v>
      </c>
      <c r="D980">
        <v>23</v>
      </c>
      <c r="E980" s="4" t="s">
        <v>15</v>
      </c>
      <c r="F980" t="s">
        <v>13</v>
      </c>
      <c r="G980" s="1">
        <v>45515</v>
      </c>
      <c r="H980" s="1">
        <f>TablaDatos[[#This Row],[FechaIngreso]]+TablaDatos[[#This Row],[DiasNuevo]]</f>
        <v>45520</v>
      </c>
      <c r="I980">
        <v>5</v>
      </c>
      <c r="J980" t="s">
        <v>23</v>
      </c>
      <c r="K980" s="3">
        <v>14994.12</v>
      </c>
      <c r="L980" t="b">
        <f>TablaDatos[[#This Row],[FechaAlta]] &lt; TablaDatos[[#This Row],[FechaIngreso]]</f>
        <v>0</v>
      </c>
      <c r="M980">
        <f>_xlfn.XLOOKUP(TablaDatos[[#This Row],[PacienteID]],'Datos_Ejemplo.csv'!A:A,'Datos_Ejemplo.csv'!I:I)</f>
        <v>5</v>
      </c>
      <c r="N980">
        <f>ABS(TablaDatos[[#This Row],[DiasOriginal]])</f>
        <v>5</v>
      </c>
      <c r="O980" s="1">
        <f>TablaDatos[[#This Row],[FechaIngreso]]+TablaDatos[[#This Row],[DiasNuevo]]</f>
        <v>45520</v>
      </c>
    </row>
    <row r="981" spans="1:15">
      <c r="A981">
        <v>980</v>
      </c>
      <c r="B981" t="s">
        <v>286</v>
      </c>
      <c r="C981" s="1">
        <v>11689</v>
      </c>
      <c r="D981">
        <v>94</v>
      </c>
      <c r="E981" s="4" t="s">
        <v>15</v>
      </c>
      <c r="F981" t="s">
        <v>295</v>
      </c>
      <c r="G981" s="1">
        <v>45403</v>
      </c>
      <c r="H981" s="1">
        <f>TablaDatos[[#This Row],[FechaIngreso]]+TablaDatos[[#This Row],[DiasNuevo]]</f>
        <v>45414</v>
      </c>
      <c r="I981">
        <v>11</v>
      </c>
      <c r="J981" t="s">
        <v>19</v>
      </c>
      <c r="K981" s="3">
        <v>14312.05</v>
      </c>
      <c r="L981" t="b">
        <f>TablaDatos[[#This Row],[FechaAlta]] &lt; TablaDatos[[#This Row],[FechaIngreso]]</f>
        <v>0</v>
      </c>
      <c r="M981">
        <f>_xlfn.XLOOKUP(TablaDatos[[#This Row],[PacienteID]],'Datos_Ejemplo.csv'!A:A,'Datos_Ejemplo.csv'!I:I)</f>
        <v>11</v>
      </c>
      <c r="N981">
        <f>ABS(TablaDatos[[#This Row],[DiasOriginal]])</f>
        <v>11</v>
      </c>
      <c r="O981" s="1">
        <f>TablaDatos[[#This Row],[FechaIngreso]]+TablaDatos[[#This Row],[DiasNuevo]]</f>
        <v>45414</v>
      </c>
    </row>
    <row r="982" spans="1:15">
      <c r="A982">
        <v>981</v>
      </c>
      <c r="B982" t="s">
        <v>357</v>
      </c>
      <c r="C982" s="1">
        <v>44196</v>
      </c>
      <c r="D982">
        <v>5</v>
      </c>
      <c r="E982" s="4" t="s">
        <v>15</v>
      </c>
      <c r="F982" t="s">
        <v>13</v>
      </c>
      <c r="G982" s="1">
        <v>45185</v>
      </c>
      <c r="H982" s="1">
        <f>TablaDatos[[#This Row],[FechaIngreso]]+TablaDatos[[#This Row],[DiasNuevo]]</f>
        <v>45220</v>
      </c>
      <c r="I982">
        <v>35</v>
      </c>
      <c r="J982" t="s">
        <v>25</v>
      </c>
      <c r="K982" s="3">
        <v>19291.39</v>
      </c>
      <c r="L982" t="b">
        <f>TablaDatos[[#This Row],[FechaAlta]] &lt; TablaDatos[[#This Row],[FechaIngreso]]</f>
        <v>0</v>
      </c>
      <c r="M982">
        <f>_xlfn.XLOOKUP(TablaDatos[[#This Row],[PacienteID]],'Datos_Ejemplo.csv'!A:A,'Datos_Ejemplo.csv'!I:I)</f>
        <v>35</v>
      </c>
      <c r="N982">
        <f>ABS(TablaDatos[[#This Row],[DiasOriginal]])</f>
        <v>35</v>
      </c>
      <c r="O982" s="1">
        <f>TablaDatos[[#This Row],[FechaIngreso]]+TablaDatos[[#This Row],[DiasNuevo]]</f>
        <v>45220</v>
      </c>
    </row>
    <row r="983" spans="1:15">
      <c r="A983">
        <v>982</v>
      </c>
      <c r="B983" t="s">
        <v>368</v>
      </c>
      <c r="C983" s="1">
        <v>22281</v>
      </c>
      <c r="D983">
        <v>65</v>
      </c>
      <c r="E983" s="4" t="s">
        <v>15</v>
      </c>
      <c r="F983" t="s">
        <v>21</v>
      </c>
      <c r="G983" s="1">
        <v>45019</v>
      </c>
      <c r="H983" s="1">
        <f>TablaDatos[[#This Row],[FechaIngreso]]+TablaDatos[[#This Row],[DiasNuevo]]</f>
        <v>45048</v>
      </c>
      <c r="I983">
        <v>29</v>
      </c>
      <c r="J983" t="s">
        <v>25</v>
      </c>
      <c r="K983" s="3">
        <v>17260.060000000001</v>
      </c>
      <c r="L983" t="b">
        <f>TablaDatos[[#This Row],[FechaAlta]] &lt; TablaDatos[[#This Row],[FechaIngreso]]</f>
        <v>0</v>
      </c>
      <c r="M983">
        <f>_xlfn.XLOOKUP(TablaDatos[[#This Row],[PacienteID]],'Datos_Ejemplo.csv'!A:A,'Datos_Ejemplo.csv'!I:I)</f>
        <v>29</v>
      </c>
      <c r="N983">
        <f>ABS(TablaDatos[[#This Row],[DiasOriginal]])</f>
        <v>29</v>
      </c>
      <c r="O983" s="1">
        <f>TablaDatos[[#This Row],[FechaIngreso]]+TablaDatos[[#This Row],[DiasNuevo]]</f>
        <v>45048</v>
      </c>
    </row>
    <row r="984" spans="1:15">
      <c r="A984">
        <v>983</v>
      </c>
      <c r="B984" t="s">
        <v>52</v>
      </c>
      <c r="C984" s="1">
        <v>15707</v>
      </c>
      <c r="D984">
        <v>83</v>
      </c>
      <c r="E984" s="4" t="s">
        <v>12</v>
      </c>
      <c r="F984" t="s">
        <v>201</v>
      </c>
      <c r="G984" s="1">
        <v>45459</v>
      </c>
      <c r="H984" s="1">
        <f>TablaDatos[[#This Row],[FechaIngreso]]+TablaDatos[[#This Row],[DiasNuevo]]</f>
        <v>45488</v>
      </c>
      <c r="I984">
        <v>29</v>
      </c>
      <c r="J984" t="s">
        <v>23</v>
      </c>
      <c r="K984" s="3">
        <v>16289.1</v>
      </c>
      <c r="L984" t="b">
        <f>TablaDatos[[#This Row],[FechaAlta]] &lt; TablaDatos[[#This Row],[FechaIngreso]]</f>
        <v>0</v>
      </c>
      <c r="M984">
        <f>_xlfn.XLOOKUP(TablaDatos[[#This Row],[PacienteID]],'Datos_Ejemplo.csv'!A:A,'Datos_Ejemplo.csv'!I:I)</f>
        <v>29</v>
      </c>
      <c r="N984">
        <f>ABS(TablaDatos[[#This Row],[DiasOriginal]])</f>
        <v>29</v>
      </c>
      <c r="O984" s="1">
        <f>TablaDatos[[#This Row],[FechaIngreso]]+TablaDatos[[#This Row],[DiasNuevo]]</f>
        <v>45488</v>
      </c>
    </row>
    <row r="985" spans="1:15">
      <c r="A985">
        <v>984</v>
      </c>
      <c r="B985" t="s">
        <v>328</v>
      </c>
      <c r="C985" s="1">
        <v>12785</v>
      </c>
      <c r="D985">
        <v>91</v>
      </c>
      <c r="E985" s="4" t="s">
        <v>12</v>
      </c>
      <c r="F985" t="s">
        <v>32</v>
      </c>
      <c r="G985" s="1">
        <v>45500</v>
      </c>
      <c r="H985" s="1">
        <f>TablaDatos[[#This Row],[FechaIngreso]]+TablaDatos[[#This Row],[DiasNuevo]]</f>
        <v>45500</v>
      </c>
      <c r="I985">
        <v>0</v>
      </c>
      <c r="J985" t="s">
        <v>19</v>
      </c>
      <c r="K985" s="3">
        <v>1636.71</v>
      </c>
      <c r="L985" t="b">
        <f>TablaDatos[[#This Row],[FechaAlta]] &lt; TablaDatos[[#This Row],[FechaIngreso]]</f>
        <v>0</v>
      </c>
      <c r="M985">
        <f>_xlfn.XLOOKUP(TablaDatos[[#This Row],[PacienteID]],'Datos_Ejemplo.csv'!A:A,'Datos_Ejemplo.csv'!I:I)</f>
        <v>0</v>
      </c>
      <c r="N985">
        <f>ABS(TablaDatos[[#This Row],[DiasOriginal]])</f>
        <v>0</v>
      </c>
      <c r="O985" s="1">
        <f>TablaDatos[[#This Row],[FechaIngreso]]+TablaDatos[[#This Row],[DiasNuevo]]</f>
        <v>45500</v>
      </c>
    </row>
    <row r="986" spans="1:15">
      <c r="A986">
        <v>985</v>
      </c>
      <c r="B986" t="s">
        <v>357</v>
      </c>
      <c r="C986" s="1">
        <v>18994</v>
      </c>
      <c r="D986">
        <v>74</v>
      </c>
      <c r="E986" s="4" t="s">
        <v>15</v>
      </c>
      <c r="F986" t="s">
        <v>295</v>
      </c>
      <c r="G986" s="1">
        <v>45265</v>
      </c>
      <c r="H986" s="1">
        <f>TablaDatos[[#This Row],[FechaIngreso]]+TablaDatos[[#This Row],[DiasNuevo]]</f>
        <v>45282</v>
      </c>
      <c r="I986">
        <v>17</v>
      </c>
      <c r="J986" t="s">
        <v>19</v>
      </c>
      <c r="K986" s="3">
        <v>4704.5</v>
      </c>
      <c r="L986" t="b">
        <f>TablaDatos[[#This Row],[FechaAlta]] &lt; TablaDatos[[#This Row],[FechaIngreso]]</f>
        <v>0</v>
      </c>
      <c r="M986">
        <f>_xlfn.XLOOKUP(TablaDatos[[#This Row],[PacienteID]],'Datos_Ejemplo.csv'!A:A,'Datos_Ejemplo.csv'!I:I)</f>
        <v>17</v>
      </c>
      <c r="N986">
        <f>ABS(TablaDatos[[#This Row],[DiasOriginal]])</f>
        <v>17</v>
      </c>
      <c r="O986" s="1">
        <f>TablaDatos[[#This Row],[FechaIngreso]]+TablaDatos[[#This Row],[DiasNuevo]]</f>
        <v>45282</v>
      </c>
    </row>
    <row r="987" spans="1:15">
      <c r="A987">
        <v>986</v>
      </c>
      <c r="B987" t="s">
        <v>55</v>
      </c>
      <c r="C987" s="1">
        <v>44927</v>
      </c>
      <c r="D987">
        <v>3</v>
      </c>
      <c r="E987" s="4" t="s">
        <v>12</v>
      </c>
      <c r="F987" t="s">
        <v>201</v>
      </c>
      <c r="G987" s="1">
        <v>45186</v>
      </c>
      <c r="H987" s="1">
        <f>TablaDatos[[#This Row],[FechaIngreso]]+TablaDatos[[#This Row],[DiasNuevo]]</f>
        <v>45196</v>
      </c>
      <c r="I987">
        <v>10</v>
      </c>
      <c r="J987" t="s">
        <v>19</v>
      </c>
      <c r="K987" s="3">
        <v>11090.8</v>
      </c>
      <c r="L987" t="b">
        <f>TablaDatos[[#This Row],[FechaAlta]] &lt; TablaDatos[[#This Row],[FechaIngreso]]</f>
        <v>0</v>
      </c>
      <c r="M987">
        <f>_xlfn.XLOOKUP(TablaDatos[[#This Row],[PacienteID]],'Datos_Ejemplo.csv'!A:A,'Datos_Ejemplo.csv'!I:I)</f>
        <v>10</v>
      </c>
      <c r="N987">
        <f>ABS(TablaDatos[[#This Row],[DiasOriginal]])</f>
        <v>10</v>
      </c>
      <c r="O987" s="1">
        <f>TablaDatos[[#This Row],[FechaIngreso]]+TablaDatos[[#This Row],[DiasNuevo]]</f>
        <v>45196</v>
      </c>
    </row>
    <row r="988" spans="1:15">
      <c r="A988">
        <v>987</v>
      </c>
      <c r="B988" t="s">
        <v>346</v>
      </c>
      <c r="C988" s="1">
        <v>17533</v>
      </c>
      <c r="D988">
        <v>78</v>
      </c>
      <c r="E988" s="4" t="s">
        <v>15</v>
      </c>
      <c r="F988" t="s">
        <v>18</v>
      </c>
      <c r="G988" s="1">
        <v>45163</v>
      </c>
      <c r="H988" s="1">
        <f>TablaDatos[[#This Row],[FechaIngreso]]+TablaDatos[[#This Row],[DiasNuevo]]</f>
        <v>45183</v>
      </c>
      <c r="I988">
        <v>20</v>
      </c>
      <c r="J988" t="s">
        <v>23</v>
      </c>
      <c r="K988" s="3">
        <v>14162.16</v>
      </c>
      <c r="L988" t="b">
        <f>TablaDatos[[#This Row],[FechaAlta]] &lt; TablaDatos[[#This Row],[FechaIngreso]]</f>
        <v>0</v>
      </c>
      <c r="M988">
        <f>_xlfn.XLOOKUP(TablaDatos[[#This Row],[PacienteID]],'Datos_Ejemplo.csv'!A:A,'Datos_Ejemplo.csv'!I:I)</f>
        <v>20</v>
      </c>
      <c r="N988">
        <f>ABS(TablaDatos[[#This Row],[DiasOriginal]])</f>
        <v>20</v>
      </c>
      <c r="O988" s="1">
        <f>TablaDatos[[#This Row],[FechaIngreso]]+TablaDatos[[#This Row],[DiasNuevo]]</f>
        <v>45183</v>
      </c>
    </row>
    <row r="989" spans="1:15">
      <c r="A989">
        <v>988</v>
      </c>
      <c r="B989" t="s">
        <v>359</v>
      </c>
      <c r="C989" s="1">
        <v>44196</v>
      </c>
      <c r="D989">
        <v>5</v>
      </c>
      <c r="E989" s="4" t="s">
        <v>15</v>
      </c>
      <c r="F989" t="s">
        <v>201</v>
      </c>
      <c r="G989" s="1">
        <v>45067</v>
      </c>
      <c r="H989" s="1">
        <f>TablaDatos[[#This Row],[FechaIngreso]]+TablaDatos[[#This Row],[DiasNuevo]]</f>
        <v>45083</v>
      </c>
      <c r="I989">
        <v>16</v>
      </c>
      <c r="J989" t="s">
        <v>25</v>
      </c>
      <c r="K989" s="3">
        <v>5994.62</v>
      </c>
      <c r="L989" t="b">
        <f>TablaDatos[[#This Row],[FechaAlta]] &lt; TablaDatos[[#This Row],[FechaIngreso]]</f>
        <v>0</v>
      </c>
      <c r="M989">
        <f>_xlfn.XLOOKUP(TablaDatos[[#This Row],[PacienteID]],'Datos_Ejemplo.csv'!A:A,'Datos_Ejemplo.csv'!I:I)</f>
        <v>16</v>
      </c>
      <c r="N989">
        <f>ABS(TablaDatos[[#This Row],[DiasOriginal]])</f>
        <v>16</v>
      </c>
      <c r="O989" s="1">
        <f>TablaDatos[[#This Row],[FechaIngreso]]+TablaDatos[[#This Row],[DiasNuevo]]</f>
        <v>45083</v>
      </c>
    </row>
    <row r="990" spans="1:15">
      <c r="A990">
        <v>989</v>
      </c>
      <c r="B990" t="s">
        <v>331</v>
      </c>
      <c r="C990" s="1">
        <v>12054</v>
      </c>
      <c r="D990">
        <v>93</v>
      </c>
      <c r="E990" s="4" t="s">
        <v>15</v>
      </c>
      <c r="F990" t="s">
        <v>295</v>
      </c>
      <c r="G990" s="1">
        <v>45605</v>
      </c>
      <c r="H990" s="1">
        <f>TablaDatos[[#This Row],[FechaIngreso]]+TablaDatos[[#This Row],[DiasNuevo]]</f>
        <v>45618</v>
      </c>
      <c r="I990">
        <v>13</v>
      </c>
      <c r="J990" t="s">
        <v>23</v>
      </c>
      <c r="K990" s="3">
        <v>1775.9</v>
      </c>
      <c r="L990" t="b">
        <f>TablaDatos[[#This Row],[FechaAlta]] &lt; TablaDatos[[#This Row],[FechaIngreso]]</f>
        <v>0</v>
      </c>
      <c r="M990">
        <f>_xlfn.XLOOKUP(TablaDatos[[#This Row],[PacienteID]],'Datos_Ejemplo.csv'!A:A,'Datos_Ejemplo.csv'!I:I)</f>
        <v>13</v>
      </c>
      <c r="N990">
        <f>ABS(TablaDatos[[#This Row],[DiasOriginal]])</f>
        <v>13</v>
      </c>
      <c r="O990" s="1">
        <f>TablaDatos[[#This Row],[FechaIngreso]]+TablaDatos[[#This Row],[DiasNuevo]]</f>
        <v>45618</v>
      </c>
    </row>
    <row r="991" spans="1:15">
      <c r="A991">
        <v>990</v>
      </c>
      <c r="B991" t="s">
        <v>361</v>
      </c>
      <c r="C991" s="1">
        <v>27760</v>
      </c>
      <c r="D991">
        <v>50</v>
      </c>
      <c r="E991" s="4" t="s">
        <v>12</v>
      </c>
      <c r="F991" t="s">
        <v>21</v>
      </c>
      <c r="G991" s="1">
        <v>45406</v>
      </c>
      <c r="H991" s="1">
        <f>TablaDatos[[#This Row],[FechaIngreso]]+TablaDatos[[#This Row],[DiasNuevo]]</f>
        <v>45439</v>
      </c>
      <c r="I991">
        <v>33</v>
      </c>
      <c r="J991" t="s">
        <v>23</v>
      </c>
      <c r="K991" s="3">
        <v>6153.09</v>
      </c>
      <c r="L991" t="b">
        <f>TablaDatos[[#This Row],[FechaAlta]] &lt; TablaDatos[[#This Row],[FechaIngreso]]</f>
        <v>0</v>
      </c>
      <c r="M991">
        <f>_xlfn.XLOOKUP(TablaDatos[[#This Row],[PacienteID]],'Datos_Ejemplo.csv'!A:A,'Datos_Ejemplo.csv'!I:I)</f>
        <v>33</v>
      </c>
      <c r="N991">
        <f>ABS(TablaDatos[[#This Row],[DiasOriginal]])</f>
        <v>33</v>
      </c>
      <c r="O991" s="1">
        <f>TablaDatos[[#This Row],[FechaIngreso]]+TablaDatos[[#This Row],[DiasNuevo]]</f>
        <v>45439</v>
      </c>
    </row>
    <row r="992" spans="1:15">
      <c r="A992">
        <v>991</v>
      </c>
      <c r="B992" t="s">
        <v>240</v>
      </c>
      <c r="C992" s="1">
        <v>23742</v>
      </c>
      <c r="D992">
        <v>61</v>
      </c>
      <c r="E992" s="4" t="s">
        <v>15</v>
      </c>
      <c r="F992" t="s">
        <v>261</v>
      </c>
      <c r="G992" s="1">
        <v>45505</v>
      </c>
      <c r="H992" s="1">
        <f>TablaDatos[[#This Row],[FechaIngreso]]+TablaDatos[[#This Row],[DiasNuevo]]</f>
        <v>45537</v>
      </c>
      <c r="I992">
        <v>32</v>
      </c>
      <c r="J992" t="s">
        <v>23</v>
      </c>
      <c r="K992" s="3">
        <v>15397.69</v>
      </c>
      <c r="L992" t="b">
        <f>TablaDatos[[#This Row],[FechaAlta]] &lt; TablaDatos[[#This Row],[FechaIngreso]]</f>
        <v>0</v>
      </c>
      <c r="M992">
        <f>_xlfn.XLOOKUP(TablaDatos[[#This Row],[PacienteID]],'Datos_Ejemplo.csv'!A:A,'Datos_Ejemplo.csv'!I:I)</f>
        <v>32</v>
      </c>
      <c r="N992">
        <f>ABS(TablaDatos[[#This Row],[DiasOriginal]])</f>
        <v>32</v>
      </c>
      <c r="O992" s="1">
        <f>TablaDatos[[#This Row],[FechaIngreso]]+TablaDatos[[#This Row],[DiasNuevo]]</f>
        <v>45537</v>
      </c>
    </row>
    <row r="993" spans="1:15">
      <c r="A993">
        <v>992</v>
      </c>
      <c r="B993" t="s">
        <v>251</v>
      </c>
      <c r="C993" s="1">
        <v>25568</v>
      </c>
      <c r="D993">
        <v>56</v>
      </c>
      <c r="E993" s="4" t="s">
        <v>15</v>
      </c>
      <c r="F993" t="s">
        <v>18</v>
      </c>
      <c r="G993" s="1">
        <v>45276</v>
      </c>
      <c r="H993" s="1">
        <f>TablaDatos[[#This Row],[FechaIngreso]]+TablaDatos[[#This Row],[DiasNuevo]]</f>
        <v>45280</v>
      </c>
      <c r="I993">
        <v>4</v>
      </c>
      <c r="J993" t="s">
        <v>19</v>
      </c>
      <c r="K993" s="3">
        <v>17535.759999999998</v>
      </c>
      <c r="L993" t="b">
        <f>TablaDatos[[#This Row],[FechaAlta]] &lt; TablaDatos[[#This Row],[FechaIngreso]]</f>
        <v>0</v>
      </c>
      <c r="M993">
        <f>_xlfn.XLOOKUP(TablaDatos[[#This Row],[PacienteID]],'Datos_Ejemplo.csv'!A:A,'Datos_Ejemplo.csv'!I:I)</f>
        <v>4</v>
      </c>
      <c r="N993">
        <f>ABS(TablaDatos[[#This Row],[DiasOriginal]])</f>
        <v>4</v>
      </c>
      <c r="O993" s="1">
        <f>TablaDatos[[#This Row],[FechaIngreso]]+TablaDatos[[#This Row],[DiasNuevo]]</f>
        <v>45280</v>
      </c>
    </row>
    <row r="994" spans="1:15">
      <c r="A994">
        <v>993</v>
      </c>
      <c r="B994" t="s">
        <v>344</v>
      </c>
      <c r="C994" s="1">
        <v>22281</v>
      </c>
      <c r="D994">
        <v>65</v>
      </c>
      <c r="E994" s="4" t="s">
        <v>15</v>
      </c>
      <c r="F994" t="s">
        <v>32</v>
      </c>
      <c r="G994" s="1">
        <v>45496</v>
      </c>
      <c r="H994" s="1">
        <f>TablaDatos[[#This Row],[FechaIngreso]]+TablaDatos[[#This Row],[DiasNuevo]]</f>
        <v>45530</v>
      </c>
      <c r="I994">
        <v>34</v>
      </c>
      <c r="J994" t="s">
        <v>25</v>
      </c>
      <c r="K994" s="3">
        <v>18249.36</v>
      </c>
      <c r="L994" t="b">
        <f>TablaDatos[[#This Row],[FechaAlta]] &lt; TablaDatos[[#This Row],[FechaIngreso]]</f>
        <v>0</v>
      </c>
      <c r="M994">
        <f>_xlfn.XLOOKUP(TablaDatos[[#This Row],[PacienteID]],'Datos_Ejemplo.csv'!A:A,'Datos_Ejemplo.csv'!I:I)</f>
        <v>34</v>
      </c>
      <c r="N994">
        <f>ABS(TablaDatos[[#This Row],[DiasOriginal]])</f>
        <v>34</v>
      </c>
      <c r="O994" s="1">
        <f>TablaDatos[[#This Row],[FechaIngreso]]+TablaDatos[[#This Row],[DiasNuevo]]</f>
        <v>45530</v>
      </c>
    </row>
    <row r="995" spans="1:15">
      <c r="A995">
        <v>994</v>
      </c>
      <c r="B995" t="s">
        <v>334</v>
      </c>
      <c r="C995" s="1">
        <v>17533</v>
      </c>
      <c r="D995">
        <v>78</v>
      </c>
      <c r="E995" s="4" t="s">
        <v>12</v>
      </c>
      <c r="F995" t="s">
        <v>13</v>
      </c>
      <c r="G995" s="1">
        <v>45650</v>
      </c>
      <c r="H995" s="1">
        <f>TablaDatos[[#This Row],[FechaIngreso]]+TablaDatos[[#This Row],[DiasNuevo]]</f>
        <v>45655</v>
      </c>
      <c r="I995">
        <v>5</v>
      </c>
      <c r="J995" t="s">
        <v>25</v>
      </c>
      <c r="K995" s="3">
        <v>7515.22</v>
      </c>
      <c r="L995" t="b">
        <f>TablaDatos[[#This Row],[FechaAlta]] &lt; TablaDatos[[#This Row],[FechaIngreso]]</f>
        <v>0</v>
      </c>
      <c r="M995">
        <f>_xlfn.XLOOKUP(TablaDatos[[#This Row],[PacienteID]],'Datos_Ejemplo.csv'!A:A,'Datos_Ejemplo.csv'!I:I)</f>
        <v>5</v>
      </c>
      <c r="N995">
        <f>ABS(TablaDatos[[#This Row],[DiasOriginal]])</f>
        <v>5</v>
      </c>
      <c r="O995" s="1">
        <f>TablaDatos[[#This Row],[FechaIngreso]]+TablaDatos[[#This Row],[DiasNuevo]]</f>
        <v>45655</v>
      </c>
    </row>
    <row r="996" spans="1:15">
      <c r="A996">
        <v>995</v>
      </c>
      <c r="B996" t="s">
        <v>230</v>
      </c>
      <c r="C996" s="1">
        <v>18994</v>
      </c>
      <c r="D996">
        <v>74</v>
      </c>
      <c r="E996" s="4" t="s">
        <v>197</v>
      </c>
      <c r="F996" t="s">
        <v>295</v>
      </c>
      <c r="G996" s="1">
        <v>45056</v>
      </c>
      <c r="H996" s="1">
        <f>TablaDatos[[#This Row],[FechaIngreso]]+TablaDatos[[#This Row],[DiasNuevo]]</f>
        <v>45078</v>
      </c>
      <c r="I996">
        <v>22</v>
      </c>
      <c r="J996" t="s">
        <v>23</v>
      </c>
      <c r="K996" s="3">
        <v>7388.03</v>
      </c>
      <c r="L996" t="b">
        <f>TablaDatos[[#This Row],[FechaAlta]] &lt; TablaDatos[[#This Row],[FechaIngreso]]</f>
        <v>0</v>
      </c>
      <c r="M996">
        <f>_xlfn.XLOOKUP(TablaDatos[[#This Row],[PacienteID]],'Datos_Ejemplo.csv'!A:A,'Datos_Ejemplo.csv'!I:I)</f>
        <v>22</v>
      </c>
      <c r="N996">
        <f>ABS(TablaDatos[[#This Row],[DiasOriginal]])</f>
        <v>22</v>
      </c>
      <c r="O996" s="1">
        <f>TablaDatos[[#This Row],[FechaIngreso]]+TablaDatos[[#This Row],[DiasNuevo]]</f>
        <v>45078</v>
      </c>
    </row>
    <row r="997" spans="1:15">
      <c r="A997">
        <v>996</v>
      </c>
      <c r="B997" t="s">
        <v>312</v>
      </c>
      <c r="C997" s="1">
        <v>43466</v>
      </c>
      <c r="D997">
        <v>7</v>
      </c>
      <c r="E997" s="4" t="s">
        <v>15</v>
      </c>
      <c r="F997" t="s">
        <v>18</v>
      </c>
      <c r="G997" s="1">
        <v>45463</v>
      </c>
      <c r="H997" s="1">
        <f>TablaDatos[[#This Row],[FechaIngreso]]+TablaDatos[[#This Row],[DiasNuevo]]</f>
        <v>45483</v>
      </c>
      <c r="I997">
        <v>20</v>
      </c>
      <c r="J997" t="s">
        <v>23</v>
      </c>
      <c r="K997" s="3">
        <v>8074.82</v>
      </c>
      <c r="L997" t="b">
        <f>TablaDatos[[#This Row],[FechaAlta]] &lt; TablaDatos[[#This Row],[FechaIngreso]]</f>
        <v>0</v>
      </c>
      <c r="M997">
        <f>_xlfn.XLOOKUP(TablaDatos[[#This Row],[PacienteID]],'Datos_Ejemplo.csv'!A:A,'Datos_Ejemplo.csv'!I:I)</f>
        <v>20</v>
      </c>
      <c r="N997">
        <f>ABS(TablaDatos[[#This Row],[DiasOriginal]])</f>
        <v>20</v>
      </c>
      <c r="O997" s="1">
        <f>TablaDatos[[#This Row],[FechaIngreso]]+TablaDatos[[#This Row],[DiasNuevo]]</f>
        <v>45483</v>
      </c>
    </row>
    <row r="998" spans="1:15">
      <c r="A998">
        <v>997</v>
      </c>
      <c r="B998" t="s">
        <v>296</v>
      </c>
      <c r="C998" s="1">
        <v>36891</v>
      </c>
      <c r="D998">
        <v>25</v>
      </c>
      <c r="E998" s="4" t="s">
        <v>15</v>
      </c>
      <c r="F998" t="s">
        <v>295</v>
      </c>
      <c r="G998" s="1">
        <v>44937</v>
      </c>
      <c r="H998" s="1">
        <f>TablaDatos[[#This Row],[FechaIngreso]]+TablaDatos[[#This Row],[DiasNuevo]]</f>
        <v>44944</v>
      </c>
      <c r="I998">
        <v>7</v>
      </c>
      <c r="J998" t="s">
        <v>23</v>
      </c>
      <c r="K998" s="3">
        <v>7453.77</v>
      </c>
      <c r="L998" t="b">
        <f>TablaDatos[[#This Row],[FechaAlta]] &lt; TablaDatos[[#This Row],[FechaIngreso]]</f>
        <v>0</v>
      </c>
      <c r="M998">
        <f>_xlfn.XLOOKUP(TablaDatos[[#This Row],[PacienteID]],'Datos_Ejemplo.csv'!A:A,'Datos_Ejemplo.csv'!I:I)</f>
        <v>7</v>
      </c>
      <c r="N998">
        <f>ABS(TablaDatos[[#This Row],[DiasOriginal]])</f>
        <v>7</v>
      </c>
      <c r="O998" s="1">
        <f>TablaDatos[[#This Row],[FechaIngreso]]+TablaDatos[[#This Row],[DiasNuevo]]</f>
        <v>44944</v>
      </c>
    </row>
    <row r="999" spans="1:15">
      <c r="A999">
        <v>998</v>
      </c>
      <c r="B999" t="s">
        <v>251</v>
      </c>
      <c r="C999" s="1">
        <v>27760</v>
      </c>
      <c r="D999">
        <f ca="1">DATEDIF(TablaDatos[[#This Row],[FechaNacimiento]],TODAY(),"Y")</f>
        <v>50</v>
      </c>
      <c r="E999" s="4" t="s">
        <v>12</v>
      </c>
      <c r="F999" t="s">
        <v>32</v>
      </c>
      <c r="G999" s="1">
        <v>45183</v>
      </c>
      <c r="H999" s="1">
        <f>TablaDatos[[#This Row],[FechaIngreso]]+TablaDatos[[#This Row],[DiasNuevo]]</f>
        <v>45210</v>
      </c>
      <c r="I999">
        <v>27</v>
      </c>
      <c r="J999" t="s">
        <v>23</v>
      </c>
      <c r="K999" s="3">
        <v>13290.55</v>
      </c>
      <c r="L999" t="b">
        <f>TablaDatos[[#This Row],[FechaAlta]] &lt; TablaDatos[[#This Row],[FechaIngreso]]</f>
        <v>0</v>
      </c>
      <c r="M999">
        <f>_xlfn.XLOOKUP(TablaDatos[[#This Row],[PacienteID]],'Datos_Ejemplo.csv'!A:A,'Datos_Ejemplo.csv'!I:I)</f>
        <v>27</v>
      </c>
      <c r="N999">
        <f>ABS(TablaDatos[[#This Row],[DiasOriginal]])</f>
        <v>27</v>
      </c>
      <c r="O999" s="1">
        <f>TablaDatos[[#This Row],[FechaIngreso]]+TablaDatos[[#This Row],[DiasNuevo]]</f>
        <v>45210</v>
      </c>
    </row>
    <row r="1000" spans="1:15">
      <c r="A1000">
        <v>999</v>
      </c>
      <c r="B1000" t="s">
        <v>39</v>
      </c>
      <c r="C1000" s="1">
        <v>29951</v>
      </c>
      <c r="D1000">
        <v>44</v>
      </c>
      <c r="E1000" s="4" t="s">
        <v>12</v>
      </c>
      <c r="F1000" t="s">
        <v>295</v>
      </c>
      <c r="G1000" s="1">
        <v>45295</v>
      </c>
      <c r="H1000" s="1">
        <f>TablaDatos[[#This Row],[FechaIngreso]]+TablaDatos[[#This Row],[DiasNuevo]]</f>
        <v>45325</v>
      </c>
      <c r="I1000">
        <v>30</v>
      </c>
      <c r="J1000" t="s">
        <v>23</v>
      </c>
      <c r="K1000" s="3">
        <v>7102.3</v>
      </c>
      <c r="L1000" t="b">
        <f>TablaDatos[[#This Row],[FechaAlta]] &lt; TablaDatos[[#This Row],[FechaIngreso]]</f>
        <v>0</v>
      </c>
      <c r="M1000">
        <f>_xlfn.XLOOKUP(TablaDatos[[#This Row],[PacienteID]],'Datos_Ejemplo.csv'!A:A,'Datos_Ejemplo.csv'!I:I)</f>
        <v>30</v>
      </c>
      <c r="N1000">
        <f>ABS(TablaDatos[[#This Row],[DiasOriginal]])</f>
        <v>30</v>
      </c>
      <c r="O1000" s="1">
        <f>TablaDatos[[#This Row],[FechaIngreso]]+TablaDatos[[#This Row],[DiasNuevo]]</f>
        <v>45325</v>
      </c>
    </row>
    <row r="1001" spans="1:15">
      <c r="A1001">
        <v>1000</v>
      </c>
      <c r="B1001" t="s">
        <v>278</v>
      </c>
      <c r="C1001" s="1">
        <v>30317</v>
      </c>
      <c r="D1001">
        <v>43</v>
      </c>
      <c r="E1001" s="4" t="s">
        <v>15</v>
      </c>
      <c r="F1001" t="s">
        <v>201</v>
      </c>
      <c r="G1001" s="1">
        <v>45320</v>
      </c>
      <c r="H1001" s="1">
        <f>TablaDatos[[#This Row],[FechaIngreso]]+TablaDatos[[#This Row],[DiasNuevo]]</f>
        <v>45328</v>
      </c>
      <c r="I1001">
        <v>8</v>
      </c>
      <c r="J1001" t="s">
        <v>25</v>
      </c>
      <c r="K1001" s="3">
        <v>308.91000000000003</v>
      </c>
      <c r="L1001" t="b">
        <f>TablaDatos[[#This Row],[FechaAlta]] &lt; TablaDatos[[#This Row],[FechaIngreso]]</f>
        <v>0</v>
      </c>
      <c r="M1001">
        <f>_xlfn.XLOOKUP(TablaDatos[[#This Row],[PacienteID]],'Datos_Ejemplo.csv'!A:A,'Datos_Ejemplo.csv'!I:I)</f>
        <v>8</v>
      </c>
      <c r="N1001">
        <f>ABS(TablaDatos[[#This Row],[DiasOriginal]])</f>
        <v>8</v>
      </c>
      <c r="O1001" s="1">
        <f>TablaDatos[[#This Row],[FechaIngreso]]+TablaDatos[[#This Row],[DiasNuevo]]</f>
        <v>45328</v>
      </c>
    </row>
    <row r="1002" spans="1:15">
      <c r="A1002">
        <v>1001</v>
      </c>
      <c r="B1002" t="s">
        <v>231</v>
      </c>
      <c r="C1002" s="1">
        <v>44561</v>
      </c>
      <c r="D1002">
        <v>4</v>
      </c>
      <c r="E1002" s="4" t="s">
        <v>12</v>
      </c>
      <c r="F1002" t="s">
        <v>201</v>
      </c>
      <c r="G1002" s="1">
        <v>45519</v>
      </c>
      <c r="H1002" s="1">
        <f>TablaDatos[[#This Row],[FechaIngreso]]+TablaDatos[[#This Row],[DiasNuevo]]</f>
        <v>45551</v>
      </c>
      <c r="I1002">
        <v>32</v>
      </c>
      <c r="J1002" t="s">
        <v>23</v>
      </c>
      <c r="K1002" s="3">
        <v>8724.39</v>
      </c>
      <c r="L1002" t="b">
        <f>TablaDatos[[#This Row],[FechaAlta]] &lt; TablaDatos[[#This Row],[FechaIngreso]]</f>
        <v>0</v>
      </c>
      <c r="M1002">
        <f>_xlfn.XLOOKUP(TablaDatos[[#This Row],[PacienteID]],'Datos_Ejemplo.csv'!A:A,'Datos_Ejemplo.csv'!I:I)</f>
        <v>32</v>
      </c>
      <c r="N1002">
        <f>ABS(TablaDatos[[#This Row],[DiasOriginal]])</f>
        <v>32</v>
      </c>
      <c r="O1002" s="1">
        <f>TablaDatos[[#This Row],[FechaIngreso]]+TablaDatos[[#This Row],[DiasNuevo]]</f>
        <v>45551</v>
      </c>
    </row>
    <row r="1003" spans="1:15">
      <c r="A1003">
        <v>1002</v>
      </c>
      <c r="B1003" t="s">
        <v>299</v>
      </c>
      <c r="C1003" s="1">
        <v>20820</v>
      </c>
      <c r="D1003">
        <v>69</v>
      </c>
      <c r="E1003" s="4" t="s">
        <v>12</v>
      </c>
      <c r="F1003" t="s">
        <v>18</v>
      </c>
      <c r="G1003" s="1">
        <v>45345</v>
      </c>
      <c r="H1003" s="1">
        <f>TablaDatos[[#This Row],[FechaIngreso]]+TablaDatos[[#This Row],[DiasNuevo]]</f>
        <v>45369</v>
      </c>
      <c r="I1003">
        <v>24</v>
      </c>
      <c r="J1003" t="s">
        <v>23</v>
      </c>
      <c r="K1003" s="3">
        <v>4405.46</v>
      </c>
      <c r="L1003" t="b">
        <f>TablaDatos[[#This Row],[FechaAlta]] &lt; TablaDatos[[#This Row],[FechaIngreso]]</f>
        <v>0</v>
      </c>
      <c r="M1003">
        <f>_xlfn.XLOOKUP(TablaDatos[[#This Row],[PacienteID]],'Datos_Ejemplo.csv'!A:A,'Datos_Ejemplo.csv'!I:I)</f>
        <v>24</v>
      </c>
      <c r="N1003">
        <f>ABS(TablaDatos[[#This Row],[DiasOriginal]])</f>
        <v>24</v>
      </c>
      <c r="O1003" s="1">
        <f>TablaDatos[[#This Row],[FechaIngreso]]+TablaDatos[[#This Row],[DiasNuevo]]</f>
        <v>45369</v>
      </c>
    </row>
    <row r="1004" spans="1:15">
      <c r="A1004">
        <v>1003</v>
      </c>
      <c r="B1004" t="s">
        <v>303</v>
      </c>
      <c r="C1004" s="1">
        <f ca="1">DATE(YEAR(TODAY())-TablaDatos[[#This Row],[Edad]],1,1)</f>
        <v>36892</v>
      </c>
      <c r="D1004">
        <v>25</v>
      </c>
      <c r="E1004" s="4" t="s">
        <v>15</v>
      </c>
      <c r="F1004" t="s">
        <v>21</v>
      </c>
      <c r="G1004" s="1">
        <v>44945</v>
      </c>
      <c r="H1004" s="1">
        <f>TablaDatos[[#This Row],[FechaIngreso]]+TablaDatos[[#This Row],[DiasNuevo]]</f>
        <v>44945</v>
      </c>
      <c r="I1004">
        <v>0</v>
      </c>
      <c r="J1004" t="s">
        <v>23</v>
      </c>
      <c r="K1004" s="3">
        <v>479.02</v>
      </c>
      <c r="L1004" t="b">
        <f>TablaDatos[[#This Row],[FechaAlta]] &lt; TablaDatos[[#This Row],[FechaIngreso]]</f>
        <v>0</v>
      </c>
      <c r="M1004">
        <f>_xlfn.XLOOKUP(TablaDatos[[#This Row],[PacienteID]],'Datos_Ejemplo.csv'!A:A,'Datos_Ejemplo.csv'!I:I)</f>
        <v>0</v>
      </c>
      <c r="N1004">
        <f>ABS(TablaDatos[[#This Row],[DiasOriginal]])</f>
        <v>0</v>
      </c>
      <c r="O1004" s="1">
        <f>TablaDatos[[#This Row],[FechaIngreso]]+TablaDatos[[#This Row],[DiasNuevo]]</f>
        <v>44945</v>
      </c>
    </row>
    <row r="1005" spans="1:15">
      <c r="A1005">
        <v>1004</v>
      </c>
      <c r="B1005" t="s">
        <v>244</v>
      </c>
      <c r="C1005" s="1">
        <v>21551</v>
      </c>
      <c r="D1005">
        <v>67</v>
      </c>
      <c r="E1005" s="4" t="s">
        <v>12</v>
      </c>
      <c r="F1005" t="s">
        <v>261</v>
      </c>
      <c r="G1005" s="1">
        <v>45036</v>
      </c>
      <c r="H1005" s="1">
        <f>TablaDatos[[#This Row],[FechaIngreso]]+TablaDatos[[#This Row],[DiasNuevo]]</f>
        <v>45041</v>
      </c>
      <c r="I1005">
        <v>5</v>
      </c>
      <c r="J1005" t="s">
        <v>23</v>
      </c>
      <c r="K1005" s="3">
        <v>9363.94</v>
      </c>
      <c r="L1005" t="b">
        <f>TablaDatos[[#This Row],[FechaAlta]] &lt; TablaDatos[[#This Row],[FechaIngreso]]</f>
        <v>0</v>
      </c>
      <c r="M1005">
        <f>_xlfn.XLOOKUP(TablaDatos[[#This Row],[PacienteID]],'Datos_Ejemplo.csv'!A:A,'Datos_Ejemplo.csv'!I:I)</f>
        <v>5</v>
      </c>
      <c r="N1005">
        <f>ABS(TablaDatos[[#This Row],[DiasOriginal]])</f>
        <v>5</v>
      </c>
      <c r="O1005" s="1">
        <f>TablaDatos[[#This Row],[FechaIngreso]]+TablaDatos[[#This Row],[DiasNuevo]]</f>
        <v>45041</v>
      </c>
    </row>
    <row r="1006" spans="1:15">
      <c r="A1006">
        <v>1005</v>
      </c>
      <c r="B1006" t="s">
        <v>330</v>
      </c>
      <c r="C1006" s="1">
        <v>39448</v>
      </c>
      <c r="D1006">
        <v>18</v>
      </c>
      <c r="E1006" s="4" t="s">
        <v>12</v>
      </c>
      <c r="F1006" t="s">
        <v>18</v>
      </c>
      <c r="G1006" s="1">
        <v>45363</v>
      </c>
      <c r="H1006" s="1">
        <f>TablaDatos[[#This Row],[FechaIngreso]]+TablaDatos[[#This Row],[DiasNuevo]]</f>
        <v>45373</v>
      </c>
      <c r="I1006">
        <v>10</v>
      </c>
      <c r="J1006" t="s">
        <v>25</v>
      </c>
      <c r="K1006" s="3">
        <v>4039.69</v>
      </c>
      <c r="L1006" t="b">
        <f>TablaDatos[[#This Row],[FechaAlta]] &lt; TablaDatos[[#This Row],[FechaIngreso]]</f>
        <v>0</v>
      </c>
      <c r="M1006">
        <f>_xlfn.XLOOKUP(TablaDatos[[#This Row],[PacienteID]],'Datos_Ejemplo.csv'!A:A,'Datos_Ejemplo.csv'!I:I)</f>
        <v>10</v>
      </c>
      <c r="N1006">
        <f>ABS(TablaDatos[[#This Row],[DiasOriginal]])</f>
        <v>10</v>
      </c>
      <c r="O1006" s="1">
        <f>TablaDatos[[#This Row],[FechaIngreso]]+TablaDatos[[#This Row],[DiasNuevo]]</f>
        <v>45373</v>
      </c>
    </row>
    <row r="1007" spans="1:15">
      <c r="A1007">
        <v>1006</v>
      </c>
      <c r="B1007" t="s">
        <v>245</v>
      </c>
      <c r="C1007" s="1">
        <v>15707</v>
      </c>
      <c r="D1007">
        <v>83</v>
      </c>
      <c r="E1007" s="4" t="s">
        <v>12</v>
      </c>
      <c r="F1007" t="s">
        <v>295</v>
      </c>
      <c r="G1007" s="1">
        <v>45431</v>
      </c>
      <c r="H1007" s="1">
        <f>TablaDatos[[#This Row],[FechaIngreso]]+TablaDatos[[#This Row],[DiasNuevo]]</f>
        <v>45470</v>
      </c>
      <c r="I1007">
        <v>39</v>
      </c>
      <c r="J1007" t="s">
        <v>25</v>
      </c>
      <c r="K1007" s="3">
        <v>9000.11</v>
      </c>
      <c r="L1007" t="b">
        <f>TablaDatos[[#This Row],[FechaAlta]] &lt; TablaDatos[[#This Row],[FechaIngreso]]</f>
        <v>0</v>
      </c>
      <c r="M1007">
        <f>_xlfn.XLOOKUP(TablaDatos[[#This Row],[PacienteID]],'Datos_Ejemplo.csv'!A:A,'Datos_Ejemplo.csv'!I:I)</f>
        <v>39</v>
      </c>
      <c r="N1007">
        <f>ABS(TablaDatos[[#This Row],[DiasOriginal]])</f>
        <v>39</v>
      </c>
      <c r="O1007" s="1">
        <f>TablaDatos[[#This Row],[FechaIngreso]]+TablaDatos[[#This Row],[DiasNuevo]]</f>
        <v>45470</v>
      </c>
    </row>
    <row r="1008" spans="1:15">
      <c r="A1008">
        <v>1007</v>
      </c>
      <c r="B1008" t="s">
        <v>281</v>
      </c>
      <c r="C1008" s="1">
        <v>39083</v>
      </c>
      <c r="D1008">
        <v>19</v>
      </c>
      <c r="E1008" s="4" t="s">
        <v>15</v>
      </c>
      <c r="F1008" t="s">
        <v>32</v>
      </c>
      <c r="G1008" s="1">
        <v>44960</v>
      </c>
      <c r="H1008" s="1">
        <f>TablaDatos[[#This Row],[FechaIngreso]]+TablaDatos[[#This Row],[DiasNuevo]]</f>
        <v>44960</v>
      </c>
      <c r="I1008">
        <v>0</v>
      </c>
      <c r="J1008" t="s">
        <v>23</v>
      </c>
      <c r="K1008" s="3">
        <v>5482.77</v>
      </c>
      <c r="L1008" t="b">
        <f>TablaDatos[[#This Row],[FechaAlta]] &lt; TablaDatos[[#This Row],[FechaIngreso]]</f>
        <v>0</v>
      </c>
      <c r="M1008">
        <f>_xlfn.XLOOKUP(TablaDatos[[#This Row],[PacienteID]],'Datos_Ejemplo.csv'!A:A,'Datos_Ejemplo.csv'!I:I)</f>
        <v>0</v>
      </c>
      <c r="N1008">
        <f>ABS(TablaDatos[[#This Row],[DiasOriginal]])</f>
        <v>0</v>
      </c>
      <c r="O1008" s="1">
        <f>TablaDatos[[#This Row],[FechaIngreso]]+TablaDatos[[#This Row],[DiasNuevo]]</f>
        <v>44960</v>
      </c>
    </row>
    <row r="1009" spans="1:15">
      <c r="A1009">
        <v>1008</v>
      </c>
      <c r="B1009" t="s">
        <v>257</v>
      </c>
      <c r="C1009" s="1">
        <v>42005</v>
      </c>
      <c r="D1009">
        <v>11</v>
      </c>
      <c r="E1009" s="4" t="s">
        <v>15</v>
      </c>
      <c r="F1009" t="s">
        <v>201</v>
      </c>
      <c r="G1009" s="1">
        <v>45214</v>
      </c>
      <c r="H1009" s="1">
        <f>TablaDatos[[#This Row],[FechaIngreso]]+TablaDatos[[#This Row],[DiasNuevo]]</f>
        <v>45231</v>
      </c>
      <c r="I1009">
        <v>17</v>
      </c>
      <c r="J1009" t="s">
        <v>25</v>
      </c>
      <c r="K1009" s="3">
        <v>12034.55</v>
      </c>
      <c r="L1009" t="b">
        <f>TablaDatos[[#This Row],[FechaAlta]] &lt; TablaDatos[[#This Row],[FechaIngreso]]</f>
        <v>0</v>
      </c>
      <c r="M1009">
        <f>_xlfn.XLOOKUP(TablaDatos[[#This Row],[PacienteID]],'Datos_Ejemplo.csv'!A:A,'Datos_Ejemplo.csv'!I:I)</f>
        <v>17</v>
      </c>
      <c r="N1009">
        <f>ABS(TablaDatos[[#This Row],[DiasOriginal]])</f>
        <v>17</v>
      </c>
      <c r="O1009" s="1">
        <f>TablaDatos[[#This Row],[FechaIngreso]]+TablaDatos[[#This Row],[DiasNuevo]]</f>
        <v>45231</v>
      </c>
    </row>
    <row r="1010" spans="1:15">
      <c r="A1010">
        <v>1009</v>
      </c>
      <c r="B1010" t="s">
        <v>279</v>
      </c>
      <c r="C1010" s="1">
        <f ca="1">DATE(YEAR(TODAY())-TablaDatos[[#This Row],[Edad]],1,1)</f>
        <v>29221</v>
      </c>
      <c r="D1010">
        <v>46</v>
      </c>
      <c r="E1010" s="4" t="s">
        <v>15</v>
      </c>
      <c r="F1010" t="s">
        <v>13</v>
      </c>
      <c r="G1010" s="1">
        <v>45181</v>
      </c>
      <c r="H1010" s="1">
        <f>TablaDatos[[#This Row],[FechaIngreso]]+TablaDatos[[#This Row],[DiasNuevo]]</f>
        <v>45213</v>
      </c>
      <c r="I1010">
        <v>32</v>
      </c>
      <c r="J1010" t="s">
        <v>23</v>
      </c>
      <c r="K1010" s="3">
        <v>19816.64</v>
      </c>
      <c r="L1010" t="b">
        <f>TablaDatos[[#This Row],[FechaAlta]] &lt; TablaDatos[[#This Row],[FechaIngreso]]</f>
        <v>0</v>
      </c>
      <c r="M1010">
        <f>_xlfn.XLOOKUP(TablaDatos[[#This Row],[PacienteID]],'Datos_Ejemplo.csv'!A:A,'Datos_Ejemplo.csv'!I:I)</f>
        <v>32</v>
      </c>
      <c r="N1010">
        <f>ABS(TablaDatos[[#This Row],[DiasOriginal]])</f>
        <v>32</v>
      </c>
      <c r="O1010" s="1">
        <f>TablaDatos[[#This Row],[FechaIngreso]]+TablaDatos[[#This Row],[DiasNuevo]]</f>
        <v>45213</v>
      </c>
    </row>
    <row r="1011" spans="1:15">
      <c r="A1011">
        <v>1010</v>
      </c>
      <c r="B1011" t="s">
        <v>51</v>
      </c>
      <c r="C1011" s="1">
        <v>46022</v>
      </c>
      <c r="D1011">
        <v>0</v>
      </c>
      <c r="E1011" s="4" t="s">
        <v>15</v>
      </c>
      <c r="F1011" t="s">
        <v>13</v>
      </c>
      <c r="G1011" s="1">
        <v>45564</v>
      </c>
      <c r="H1011" s="1">
        <f>TablaDatos[[#This Row],[FechaIngreso]]+TablaDatos[[#This Row],[DiasNuevo]]</f>
        <v>45574</v>
      </c>
      <c r="I1011">
        <v>10</v>
      </c>
      <c r="J1011" t="s">
        <v>25</v>
      </c>
      <c r="K1011" s="3">
        <v>10899.36</v>
      </c>
      <c r="L1011" t="b">
        <f>TablaDatos[[#This Row],[FechaAlta]] &lt; TablaDatos[[#This Row],[FechaIngreso]]</f>
        <v>0</v>
      </c>
      <c r="M1011">
        <f>_xlfn.XLOOKUP(TablaDatos[[#This Row],[PacienteID]],'Datos_Ejemplo.csv'!A:A,'Datos_Ejemplo.csv'!I:I)</f>
        <v>10</v>
      </c>
      <c r="N1011">
        <f>ABS(TablaDatos[[#This Row],[DiasOriginal]])</f>
        <v>10</v>
      </c>
      <c r="O1011" s="1">
        <f>TablaDatos[[#This Row],[FechaIngreso]]+TablaDatos[[#This Row],[DiasNuevo]]</f>
        <v>45574</v>
      </c>
    </row>
    <row r="1012" spans="1:15">
      <c r="A1012">
        <v>1011</v>
      </c>
      <c r="B1012" t="s">
        <v>310</v>
      </c>
      <c r="C1012" s="1">
        <v>13515</v>
      </c>
      <c r="D1012">
        <f ca="1">DATEDIF(TablaDatos[[#This Row],[FechaNacimiento]],TODAY(),"Y")</f>
        <v>89</v>
      </c>
      <c r="E1012" s="4" t="s">
        <v>12</v>
      </c>
      <c r="F1012" t="s">
        <v>32</v>
      </c>
      <c r="G1012" s="1">
        <v>45647</v>
      </c>
      <c r="H1012" s="1">
        <f>TablaDatos[[#This Row],[FechaIngreso]]+TablaDatos[[#This Row],[DiasNuevo]]</f>
        <v>45664</v>
      </c>
      <c r="I1012">
        <v>17</v>
      </c>
      <c r="J1012" t="s">
        <v>23</v>
      </c>
      <c r="K1012" s="3">
        <v>12902.61</v>
      </c>
      <c r="L1012" t="b">
        <f>TablaDatos[[#This Row],[FechaAlta]] &lt; TablaDatos[[#This Row],[FechaIngreso]]</f>
        <v>0</v>
      </c>
      <c r="M1012">
        <f>_xlfn.XLOOKUP(TablaDatos[[#This Row],[PacienteID]],'Datos_Ejemplo.csv'!A:A,'Datos_Ejemplo.csv'!I:I)</f>
        <v>17</v>
      </c>
      <c r="N1012">
        <f>ABS(TablaDatos[[#This Row],[DiasOriginal]])</f>
        <v>17</v>
      </c>
      <c r="O1012" s="1">
        <f>TablaDatos[[#This Row],[FechaIngreso]]+TablaDatos[[#This Row],[DiasNuevo]]</f>
        <v>45664</v>
      </c>
    </row>
    <row r="1013" spans="1:15">
      <c r="A1013">
        <v>1012</v>
      </c>
      <c r="B1013" t="s">
        <v>240</v>
      </c>
      <c r="C1013" s="1">
        <v>41274</v>
      </c>
      <c r="D1013">
        <v>13</v>
      </c>
      <c r="E1013" s="4" t="s">
        <v>12</v>
      </c>
      <c r="F1013" t="s">
        <v>295</v>
      </c>
      <c r="G1013" s="1">
        <v>45060</v>
      </c>
      <c r="H1013" s="1">
        <f>TablaDatos[[#This Row],[FechaIngreso]]+TablaDatos[[#This Row],[DiasNuevo]]</f>
        <v>45081</v>
      </c>
      <c r="I1013">
        <v>21</v>
      </c>
      <c r="J1013" t="s">
        <v>23</v>
      </c>
      <c r="K1013" s="3">
        <v>18377.439999999999</v>
      </c>
      <c r="L1013" t="b">
        <f>TablaDatos[[#This Row],[FechaAlta]] &lt; TablaDatos[[#This Row],[FechaIngreso]]</f>
        <v>0</v>
      </c>
      <c r="M1013">
        <f>_xlfn.XLOOKUP(TablaDatos[[#This Row],[PacienteID]],'Datos_Ejemplo.csv'!A:A,'Datos_Ejemplo.csv'!I:I)</f>
        <v>21</v>
      </c>
      <c r="N1013">
        <f>ABS(TablaDatos[[#This Row],[DiasOriginal]])</f>
        <v>21</v>
      </c>
      <c r="O1013" s="1">
        <f>TablaDatos[[#This Row],[FechaIngreso]]+TablaDatos[[#This Row],[DiasNuevo]]</f>
        <v>45081</v>
      </c>
    </row>
    <row r="1014" spans="1:15">
      <c r="A1014">
        <v>1013</v>
      </c>
      <c r="B1014" t="s">
        <v>146</v>
      </c>
      <c r="C1014" s="1">
        <v>23012</v>
      </c>
      <c r="D1014">
        <v>63</v>
      </c>
      <c r="E1014" s="4" t="s">
        <v>12</v>
      </c>
      <c r="F1014" t="s">
        <v>261</v>
      </c>
      <c r="G1014" s="1">
        <v>45425</v>
      </c>
      <c r="H1014" s="1">
        <f>TablaDatos[[#This Row],[FechaIngreso]]+TablaDatos[[#This Row],[DiasNuevo]]</f>
        <v>45431</v>
      </c>
      <c r="I1014">
        <v>6</v>
      </c>
      <c r="J1014" t="s">
        <v>23</v>
      </c>
      <c r="K1014" s="3">
        <v>7417.41</v>
      </c>
      <c r="L1014" t="b">
        <f>TablaDatos[[#This Row],[FechaAlta]] &lt; TablaDatos[[#This Row],[FechaIngreso]]</f>
        <v>0</v>
      </c>
      <c r="M1014">
        <f>_xlfn.XLOOKUP(TablaDatos[[#This Row],[PacienteID]],'Datos_Ejemplo.csv'!A:A,'Datos_Ejemplo.csv'!I:I)</f>
        <v>6</v>
      </c>
      <c r="N1014">
        <f>ABS(TablaDatos[[#This Row],[DiasOriginal]])</f>
        <v>6</v>
      </c>
      <c r="O1014" s="1">
        <f>TablaDatos[[#This Row],[FechaIngreso]]+TablaDatos[[#This Row],[DiasNuevo]]</f>
        <v>45431</v>
      </c>
    </row>
    <row r="1015" spans="1:15">
      <c r="A1015">
        <v>1014</v>
      </c>
      <c r="B1015" t="s">
        <v>263</v>
      </c>
      <c r="C1015" s="1">
        <v>32508</v>
      </c>
      <c r="D1015">
        <v>37</v>
      </c>
      <c r="E1015" s="4" t="s">
        <v>197</v>
      </c>
      <c r="F1015" t="s">
        <v>32</v>
      </c>
      <c r="G1015" s="1">
        <v>45323</v>
      </c>
      <c r="H1015" s="1">
        <f>TablaDatos[[#This Row],[FechaIngreso]]+TablaDatos[[#This Row],[DiasNuevo]]</f>
        <v>45350</v>
      </c>
      <c r="I1015">
        <v>27</v>
      </c>
      <c r="J1015" t="s">
        <v>23</v>
      </c>
      <c r="K1015" s="3">
        <v>3247.62</v>
      </c>
      <c r="L1015" t="b">
        <f>TablaDatos[[#This Row],[FechaAlta]] &lt; TablaDatos[[#This Row],[FechaIngreso]]</f>
        <v>0</v>
      </c>
      <c r="M1015">
        <f>_xlfn.XLOOKUP(TablaDatos[[#This Row],[PacienteID]],'Datos_Ejemplo.csv'!A:A,'Datos_Ejemplo.csv'!I:I)</f>
        <v>27</v>
      </c>
      <c r="N1015">
        <f>ABS(TablaDatos[[#This Row],[DiasOriginal]])</f>
        <v>27</v>
      </c>
      <c r="O1015" s="1">
        <f>TablaDatos[[#This Row],[FechaIngreso]]+TablaDatos[[#This Row],[DiasNuevo]]</f>
        <v>45350</v>
      </c>
    </row>
    <row r="1016" spans="1:15">
      <c r="A1016">
        <v>1015</v>
      </c>
      <c r="B1016" t="s">
        <v>282</v>
      </c>
      <c r="C1016" s="1">
        <v>32873</v>
      </c>
      <c r="D1016">
        <v>36</v>
      </c>
      <c r="E1016" s="4" t="s">
        <v>15</v>
      </c>
      <c r="F1016" t="s">
        <v>295</v>
      </c>
      <c r="G1016" s="1">
        <v>45413</v>
      </c>
      <c r="H1016" s="1">
        <f>TablaDatos[[#This Row],[FechaIngreso]]+TablaDatos[[#This Row],[DiasNuevo]]</f>
        <v>45435</v>
      </c>
      <c r="I1016">
        <v>22</v>
      </c>
      <c r="J1016" t="s">
        <v>23</v>
      </c>
      <c r="K1016" s="3">
        <v>5584.23</v>
      </c>
      <c r="L1016" t="b">
        <f>TablaDatos[[#This Row],[FechaAlta]] &lt; TablaDatos[[#This Row],[FechaIngreso]]</f>
        <v>0</v>
      </c>
      <c r="M1016">
        <f>_xlfn.XLOOKUP(TablaDatos[[#This Row],[PacienteID]],'Datos_Ejemplo.csv'!A:A,'Datos_Ejemplo.csv'!I:I)</f>
        <v>22</v>
      </c>
      <c r="N1016">
        <f>ABS(TablaDatos[[#This Row],[DiasOriginal]])</f>
        <v>22</v>
      </c>
      <c r="O1016" s="1">
        <f>TablaDatos[[#This Row],[FechaIngreso]]+TablaDatos[[#This Row],[DiasNuevo]]</f>
        <v>45435</v>
      </c>
    </row>
    <row r="1017" spans="1:15">
      <c r="A1017">
        <v>1016</v>
      </c>
      <c r="B1017" t="s">
        <v>247</v>
      </c>
      <c r="C1017" s="1">
        <v>42370</v>
      </c>
      <c r="D1017">
        <v>10</v>
      </c>
      <c r="E1017" s="4" t="s">
        <v>12</v>
      </c>
      <c r="F1017" t="s">
        <v>18</v>
      </c>
      <c r="G1017" s="1">
        <v>45524</v>
      </c>
      <c r="H1017" s="1">
        <f>TablaDatos[[#This Row],[FechaIngreso]]+TablaDatos[[#This Row],[DiasNuevo]]</f>
        <v>45537</v>
      </c>
      <c r="I1017">
        <v>13</v>
      </c>
      <c r="J1017" t="s">
        <v>23</v>
      </c>
      <c r="K1017" s="3">
        <v>7996.18</v>
      </c>
      <c r="L1017" t="b">
        <f>TablaDatos[[#This Row],[FechaAlta]] &lt; TablaDatos[[#This Row],[FechaIngreso]]</f>
        <v>0</v>
      </c>
      <c r="M1017">
        <f>_xlfn.XLOOKUP(TablaDatos[[#This Row],[PacienteID]],'Datos_Ejemplo.csv'!A:A,'Datos_Ejemplo.csv'!I:I)</f>
        <v>13</v>
      </c>
      <c r="N1017">
        <f>ABS(TablaDatos[[#This Row],[DiasOriginal]])</f>
        <v>13</v>
      </c>
      <c r="O1017" s="1">
        <f>TablaDatos[[#This Row],[FechaIngreso]]+TablaDatos[[#This Row],[DiasNuevo]]</f>
        <v>45537</v>
      </c>
    </row>
    <row r="1018" spans="1:15">
      <c r="A1018">
        <v>1017</v>
      </c>
      <c r="B1018" t="s">
        <v>263</v>
      </c>
      <c r="C1018" s="1">
        <v>18263</v>
      </c>
      <c r="D1018">
        <v>76</v>
      </c>
      <c r="E1018" s="4" t="s">
        <v>12</v>
      </c>
      <c r="F1018" t="s">
        <v>261</v>
      </c>
      <c r="G1018" s="1">
        <v>45513</v>
      </c>
      <c r="H1018" s="1">
        <f>TablaDatos[[#This Row],[FechaIngreso]]+TablaDatos[[#This Row],[DiasNuevo]]</f>
        <v>45518</v>
      </c>
      <c r="I1018">
        <v>5</v>
      </c>
      <c r="J1018" t="s">
        <v>25</v>
      </c>
      <c r="K1018" s="3">
        <v>12864.86</v>
      </c>
      <c r="L1018" t="b">
        <f>TablaDatos[[#This Row],[FechaAlta]] &lt; TablaDatos[[#This Row],[FechaIngreso]]</f>
        <v>0</v>
      </c>
      <c r="M1018">
        <f>_xlfn.XLOOKUP(TablaDatos[[#This Row],[PacienteID]],'Datos_Ejemplo.csv'!A:A,'Datos_Ejemplo.csv'!I:I)</f>
        <v>5</v>
      </c>
      <c r="N1018">
        <f>ABS(TablaDatos[[#This Row],[DiasOriginal]])</f>
        <v>5</v>
      </c>
      <c r="O1018" s="1">
        <f>TablaDatos[[#This Row],[FechaIngreso]]+TablaDatos[[#This Row],[DiasNuevo]]</f>
        <v>45518</v>
      </c>
    </row>
    <row r="1019" spans="1:15">
      <c r="A1019">
        <v>1018</v>
      </c>
      <c r="B1019" t="s">
        <v>247</v>
      </c>
      <c r="C1019" s="1">
        <f ca="1">DATE(YEAR(TODAY())-TablaDatos[[#This Row],[Edad]],1,1)</f>
        <v>45292</v>
      </c>
      <c r="D1019">
        <v>2</v>
      </c>
      <c r="E1019" s="4" t="s">
        <v>15</v>
      </c>
      <c r="F1019" t="s">
        <v>21</v>
      </c>
      <c r="G1019" s="1">
        <v>45573</v>
      </c>
      <c r="H1019" s="1">
        <f>TablaDatos[[#This Row],[FechaIngreso]]+TablaDatos[[#This Row],[DiasNuevo]]</f>
        <v>45598</v>
      </c>
      <c r="I1019">
        <v>25</v>
      </c>
      <c r="J1019" t="s">
        <v>23</v>
      </c>
      <c r="K1019" s="3">
        <v>-7.78</v>
      </c>
      <c r="L1019" t="b">
        <f>TablaDatos[[#This Row],[FechaAlta]] &lt; TablaDatos[[#This Row],[FechaIngreso]]</f>
        <v>0</v>
      </c>
      <c r="M1019">
        <f>_xlfn.XLOOKUP(TablaDatos[[#This Row],[PacienteID]],'Datos_Ejemplo.csv'!A:A,'Datos_Ejemplo.csv'!I:I)</f>
        <v>25</v>
      </c>
      <c r="N1019">
        <f>ABS(TablaDatos[[#This Row],[DiasOriginal]])</f>
        <v>25</v>
      </c>
      <c r="O1019" s="1">
        <f>TablaDatos[[#This Row],[FechaIngreso]]+TablaDatos[[#This Row],[DiasNuevo]]</f>
        <v>45598</v>
      </c>
    </row>
    <row r="1020" spans="1:15">
      <c r="A1020">
        <v>1019</v>
      </c>
      <c r="B1020" t="s">
        <v>331</v>
      </c>
      <c r="C1020" s="1">
        <v>34334</v>
      </c>
      <c r="D1020">
        <v>32</v>
      </c>
      <c r="E1020" s="4" t="s">
        <v>12</v>
      </c>
      <c r="F1020" t="s">
        <v>295</v>
      </c>
      <c r="G1020" s="1">
        <v>45611</v>
      </c>
      <c r="H1020" s="1">
        <f>TablaDatos[[#This Row],[FechaIngreso]]+TablaDatos[[#This Row],[DiasNuevo]]</f>
        <v>45620</v>
      </c>
      <c r="I1020">
        <v>9</v>
      </c>
      <c r="J1020" t="s">
        <v>23</v>
      </c>
      <c r="K1020" s="3">
        <v>17053</v>
      </c>
      <c r="L1020" t="b">
        <f>TablaDatos[[#This Row],[FechaAlta]] &lt; TablaDatos[[#This Row],[FechaIngreso]]</f>
        <v>0</v>
      </c>
      <c r="M1020">
        <f>_xlfn.XLOOKUP(TablaDatos[[#This Row],[PacienteID]],'Datos_Ejemplo.csv'!A:A,'Datos_Ejemplo.csv'!I:I)</f>
        <v>9</v>
      </c>
      <c r="N1020">
        <f>ABS(TablaDatos[[#This Row],[DiasOriginal]])</f>
        <v>9</v>
      </c>
      <c r="O1020" s="1">
        <f>TablaDatos[[#This Row],[FechaIngreso]]+TablaDatos[[#This Row],[DiasNuevo]]</f>
        <v>45620</v>
      </c>
    </row>
    <row r="1021" spans="1:15">
      <c r="A1021">
        <v>1020</v>
      </c>
      <c r="B1021" t="s">
        <v>332</v>
      </c>
      <c r="C1021" s="1">
        <v>44196</v>
      </c>
      <c r="D1021">
        <v>5</v>
      </c>
      <c r="E1021" s="4" t="s">
        <v>15</v>
      </c>
      <c r="F1021" t="s">
        <v>13</v>
      </c>
      <c r="G1021" s="1">
        <v>45139</v>
      </c>
      <c r="H1021" s="1">
        <f>TablaDatos[[#This Row],[FechaIngreso]]+TablaDatos[[#This Row],[DiasNuevo]]</f>
        <v>45160</v>
      </c>
      <c r="I1021">
        <v>21</v>
      </c>
      <c r="J1021" t="s">
        <v>25</v>
      </c>
      <c r="K1021" s="3">
        <v>1429.49</v>
      </c>
      <c r="L1021" t="b">
        <f>TablaDatos[[#This Row],[FechaAlta]] &lt; TablaDatos[[#This Row],[FechaIngreso]]</f>
        <v>0</v>
      </c>
      <c r="M1021">
        <f>_xlfn.XLOOKUP(TablaDatos[[#This Row],[PacienteID]],'Datos_Ejemplo.csv'!A:A,'Datos_Ejemplo.csv'!I:I)</f>
        <v>21</v>
      </c>
      <c r="N1021">
        <f>ABS(TablaDatos[[#This Row],[DiasOriginal]])</f>
        <v>21</v>
      </c>
      <c r="O1021" s="1">
        <f>TablaDatos[[#This Row],[FechaIngreso]]+TablaDatos[[#This Row],[DiasNuevo]]</f>
        <v>45160</v>
      </c>
    </row>
    <row r="1022" spans="1:15">
      <c r="A1022">
        <v>1021</v>
      </c>
      <c r="B1022" t="s">
        <v>254</v>
      </c>
      <c r="C1022" s="1">
        <v>28125</v>
      </c>
      <c r="D1022">
        <v>49</v>
      </c>
      <c r="E1022" s="4" t="s">
        <v>12</v>
      </c>
      <c r="F1022" t="s">
        <v>13</v>
      </c>
      <c r="G1022" s="1">
        <v>45276</v>
      </c>
      <c r="H1022" s="1">
        <f>TablaDatos[[#This Row],[FechaIngreso]]+TablaDatos[[#This Row],[DiasNuevo]]</f>
        <v>45302</v>
      </c>
      <c r="I1022">
        <v>26</v>
      </c>
      <c r="J1022" t="s">
        <v>25</v>
      </c>
      <c r="K1022" s="3">
        <v>18003.169999999998</v>
      </c>
      <c r="L1022" t="b">
        <f>TablaDatos[[#This Row],[FechaAlta]] &lt; TablaDatos[[#This Row],[FechaIngreso]]</f>
        <v>0</v>
      </c>
      <c r="M1022">
        <f>_xlfn.XLOOKUP(TablaDatos[[#This Row],[PacienteID]],'Datos_Ejemplo.csv'!A:A,'Datos_Ejemplo.csv'!I:I)</f>
        <v>26</v>
      </c>
      <c r="N1022">
        <f>ABS(TablaDatos[[#This Row],[DiasOriginal]])</f>
        <v>26</v>
      </c>
      <c r="O1022" s="1">
        <f>TablaDatos[[#This Row],[FechaIngreso]]+TablaDatos[[#This Row],[DiasNuevo]]</f>
        <v>45302</v>
      </c>
    </row>
    <row r="1023" spans="1:15">
      <c r="A1023">
        <v>1022</v>
      </c>
      <c r="B1023" t="s">
        <v>304</v>
      </c>
      <c r="C1023" s="1">
        <v>42735</v>
      </c>
      <c r="D1023">
        <v>9</v>
      </c>
      <c r="E1023" s="4" t="s">
        <v>12</v>
      </c>
      <c r="F1023" t="s">
        <v>201</v>
      </c>
      <c r="G1023" s="1">
        <v>44945</v>
      </c>
      <c r="H1023" s="1">
        <f>TablaDatos[[#This Row],[FechaIngreso]]+TablaDatos[[#This Row],[DiasNuevo]]</f>
        <v>44957</v>
      </c>
      <c r="I1023">
        <v>12</v>
      </c>
      <c r="J1023" t="s">
        <v>23</v>
      </c>
      <c r="K1023" s="3">
        <v>18983.63</v>
      </c>
      <c r="L1023" t="b">
        <f>TablaDatos[[#This Row],[FechaAlta]] &lt; TablaDatos[[#This Row],[FechaIngreso]]</f>
        <v>0</v>
      </c>
      <c r="M1023">
        <f>_xlfn.XLOOKUP(TablaDatos[[#This Row],[PacienteID]],'Datos_Ejemplo.csv'!A:A,'Datos_Ejemplo.csv'!I:I)</f>
        <v>12</v>
      </c>
      <c r="N1023">
        <f>ABS(TablaDatos[[#This Row],[DiasOriginal]])</f>
        <v>12</v>
      </c>
      <c r="O1023" s="1">
        <f>TablaDatos[[#This Row],[FechaIngreso]]+TablaDatos[[#This Row],[DiasNuevo]]</f>
        <v>44957</v>
      </c>
    </row>
    <row r="1024" spans="1:15">
      <c r="A1024">
        <v>1023</v>
      </c>
      <c r="B1024" t="s">
        <v>337</v>
      </c>
      <c r="C1024" s="1">
        <v>44561</v>
      </c>
      <c r="D1024">
        <v>4</v>
      </c>
      <c r="E1024" s="4" t="s">
        <v>15</v>
      </c>
      <c r="F1024" t="s">
        <v>261</v>
      </c>
      <c r="G1024" s="1">
        <v>45045</v>
      </c>
      <c r="H1024" s="1">
        <f>TablaDatos[[#This Row],[FechaIngreso]]+TablaDatos[[#This Row],[DiasNuevo]]</f>
        <v>45060</v>
      </c>
      <c r="I1024">
        <v>15</v>
      </c>
      <c r="J1024" t="s">
        <v>23</v>
      </c>
      <c r="K1024" s="3">
        <v>19801.07</v>
      </c>
      <c r="L1024" t="b">
        <f>TablaDatos[[#This Row],[FechaAlta]] &lt; TablaDatos[[#This Row],[FechaIngreso]]</f>
        <v>0</v>
      </c>
      <c r="M1024">
        <f>_xlfn.XLOOKUP(TablaDatos[[#This Row],[PacienteID]],'Datos_Ejemplo.csv'!A:A,'Datos_Ejemplo.csv'!I:I)</f>
        <v>15</v>
      </c>
      <c r="N1024">
        <f>ABS(TablaDatos[[#This Row],[DiasOriginal]])</f>
        <v>15</v>
      </c>
      <c r="O1024" s="1">
        <f>TablaDatos[[#This Row],[FechaIngreso]]+TablaDatos[[#This Row],[DiasNuevo]]</f>
        <v>45060</v>
      </c>
    </row>
    <row r="1025" spans="1:15">
      <c r="A1025">
        <v>1024</v>
      </c>
      <c r="B1025" t="s">
        <v>55</v>
      </c>
      <c r="C1025" s="1">
        <v>37987</v>
      </c>
      <c r="D1025">
        <v>22</v>
      </c>
      <c r="E1025" s="4" t="s">
        <v>12</v>
      </c>
      <c r="F1025" t="s">
        <v>21</v>
      </c>
      <c r="G1025" s="1">
        <v>45228</v>
      </c>
      <c r="H1025" s="1">
        <f>TablaDatos[[#This Row],[FechaIngreso]]+TablaDatos[[#This Row],[DiasNuevo]]</f>
        <v>45232</v>
      </c>
      <c r="I1025">
        <v>4</v>
      </c>
      <c r="J1025" t="s">
        <v>23</v>
      </c>
      <c r="K1025" s="3">
        <v>16171.15</v>
      </c>
      <c r="L1025" t="b">
        <f>TablaDatos[[#This Row],[FechaAlta]] &lt; TablaDatos[[#This Row],[FechaIngreso]]</f>
        <v>0</v>
      </c>
      <c r="M1025">
        <f>_xlfn.XLOOKUP(TablaDatos[[#This Row],[PacienteID]],'Datos_Ejemplo.csv'!A:A,'Datos_Ejemplo.csv'!I:I)</f>
        <v>4</v>
      </c>
      <c r="N1025">
        <f>ABS(TablaDatos[[#This Row],[DiasOriginal]])</f>
        <v>4</v>
      </c>
      <c r="O1025" s="1">
        <f>TablaDatos[[#This Row],[FechaIngreso]]+TablaDatos[[#This Row],[DiasNuevo]]</f>
        <v>45232</v>
      </c>
    </row>
    <row r="1026" spans="1:15">
      <c r="A1026">
        <v>1025</v>
      </c>
      <c r="B1026" t="s">
        <v>162</v>
      </c>
      <c r="C1026" s="1">
        <v>42735</v>
      </c>
      <c r="D1026">
        <v>9</v>
      </c>
      <c r="E1026" s="4" t="s">
        <v>12</v>
      </c>
      <c r="F1026" t="s">
        <v>295</v>
      </c>
      <c r="G1026" s="1">
        <v>45211</v>
      </c>
      <c r="H1026" s="1">
        <f>TablaDatos[[#This Row],[FechaIngreso]]+TablaDatos[[#This Row],[DiasNuevo]]</f>
        <v>45221</v>
      </c>
      <c r="I1026">
        <v>10</v>
      </c>
      <c r="J1026" t="s">
        <v>23</v>
      </c>
      <c r="K1026" s="3">
        <v>2751.3</v>
      </c>
      <c r="L1026" t="b">
        <f>TablaDatos[[#This Row],[FechaAlta]] &lt; TablaDatos[[#This Row],[FechaIngreso]]</f>
        <v>0</v>
      </c>
      <c r="M1026">
        <f>_xlfn.XLOOKUP(TablaDatos[[#This Row],[PacienteID]],'Datos_Ejemplo.csv'!A:A,'Datos_Ejemplo.csv'!I:I)</f>
        <v>10</v>
      </c>
      <c r="N1026">
        <f>ABS(TablaDatos[[#This Row],[DiasOriginal]])</f>
        <v>10</v>
      </c>
      <c r="O1026" s="1">
        <f>TablaDatos[[#This Row],[FechaIngreso]]+TablaDatos[[#This Row],[DiasNuevo]]</f>
        <v>45221</v>
      </c>
    </row>
    <row r="1027" spans="1:15">
      <c r="A1027">
        <v>1026</v>
      </c>
      <c r="B1027" t="s">
        <v>232</v>
      </c>
      <c r="C1027" s="1">
        <v>30317</v>
      </c>
      <c r="D1027">
        <v>43</v>
      </c>
      <c r="E1027" s="4" t="s">
        <v>15</v>
      </c>
      <c r="F1027" t="s">
        <v>21</v>
      </c>
      <c r="G1027" s="1">
        <v>45153</v>
      </c>
      <c r="H1027" s="1">
        <f>TablaDatos[[#This Row],[FechaIngreso]]+TablaDatos[[#This Row],[DiasNuevo]]</f>
        <v>45169</v>
      </c>
      <c r="I1027">
        <v>16</v>
      </c>
      <c r="J1027" t="s">
        <v>25</v>
      </c>
      <c r="K1027" s="3">
        <v>14093.96</v>
      </c>
      <c r="L1027" t="b">
        <f>TablaDatos[[#This Row],[FechaAlta]] &lt; TablaDatos[[#This Row],[FechaIngreso]]</f>
        <v>0</v>
      </c>
      <c r="M1027">
        <f>_xlfn.XLOOKUP(TablaDatos[[#This Row],[PacienteID]],'Datos_Ejemplo.csv'!A:A,'Datos_Ejemplo.csv'!I:I)</f>
        <v>16</v>
      </c>
      <c r="N1027">
        <f>ABS(TablaDatos[[#This Row],[DiasOriginal]])</f>
        <v>16</v>
      </c>
      <c r="O1027" s="1">
        <f>TablaDatos[[#This Row],[FechaIngreso]]+TablaDatos[[#This Row],[DiasNuevo]]</f>
        <v>45169</v>
      </c>
    </row>
    <row r="1028" spans="1:15">
      <c r="A1028">
        <v>1027</v>
      </c>
      <c r="B1028" t="s">
        <v>246</v>
      </c>
      <c r="C1028" s="1">
        <v>45657</v>
      </c>
      <c r="D1028">
        <v>1</v>
      </c>
      <c r="E1028" s="4" t="s">
        <v>15</v>
      </c>
      <c r="F1028" t="s">
        <v>201</v>
      </c>
      <c r="G1028" s="1">
        <v>45433</v>
      </c>
      <c r="H1028" s="1">
        <f>TablaDatos[[#This Row],[FechaIngreso]]+TablaDatos[[#This Row],[DiasNuevo]]</f>
        <v>45435</v>
      </c>
      <c r="I1028">
        <v>2</v>
      </c>
      <c r="J1028" t="s">
        <v>23</v>
      </c>
      <c r="K1028" s="3">
        <v>3986.76</v>
      </c>
      <c r="L1028" t="b">
        <f>TablaDatos[[#This Row],[FechaAlta]] &lt; TablaDatos[[#This Row],[FechaIngreso]]</f>
        <v>0</v>
      </c>
      <c r="M1028">
        <f>_xlfn.XLOOKUP(TablaDatos[[#This Row],[PacienteID]],'Datos_Ejemplo.csv'!A:A,'Datos_Ejemplo.csv'!I:I)</f>
        <v>2</v>
      </c>
      <c r="N1028">
        <f>ABS(TablaDatos[[#This Row],[DiasOriginal]])</f>
        <v>2</v>
      </c>
      <c r="O1028" s="1">
        <f>TablaDatos[[#This Row],[FechaIngreso]]+TablaDatos[[#This Row],[DiasNuevo]]</f>
        <v>45435</v>
      </c>
    </row>
    <row r="1029" spans="1:15">
      <c r="A1029">
        <v>1028</v>
      </c>
      <c r="B1029" t="s">
        <v>242</v>
      </c>
      <c r="C1029" s="1">
        <v>41639</v>
      </c>
      <c r="D1029">
        <v>12</v>
      </c>
      <c r="E1029" s="4" t="s">
        <v>15</v>
      </c>
      <c r="F1029" t="s">
        <v>18</v>
      </c>
      <c r="G1029" s="1">
        <v>45427</v>
      </c>
      <c r="H1029" s="1">
        <f>TablaDatos[[#This Row],[FechaIngreso]]+TablaDatos[[#This Row],[DiasNuevo]]</f>
        <v>45450</v>
      </c>
      <c r="I1029">
        <v>23</v>
      </c>
      <c r="J1029" t="s">
        <v>25</v>
      </c>
      <c r="K1029" s="3">
        <v>17932.27</v>
      </c>
      <c r="L1029" t="b">
        <f>TablaDatos[[#This Row],[FechaAlta]] &lt; TablaDatos[[#This Row],[FechaIngreso]]</f>
        <v>0</v>
      </c>
      <c r="M1029">
        <f>_xlfn.XLOOKUP(TablaDatos[[#This Row],[PacienteID]],'Datos_Ejemplo.csv'!A:A,'Datos_Ejemplo.csv'!I:I)</f>
        <v>23</v>
      </c>
      <c r="N1029">
        <f>ABS(TablaDatos[[#This Row],[DiasOriginal]])</f>
        <v>23</v>
      </c>
      <c r="O1029" s="1">
        <f>TablaDatos[[#This Row],[FechaIngreso]]+TablaDatos[[#This Row],[DiasNuevo]]</f>
        <v>45450</v>
      </c>
    </row>
    <row r="1030" spans="1:15">
      <c r="A1030">
        <v>1029</v>
      </c>
      <c r="B1030" t="s">
        <v>233</v>
      </c>
      <c r="C1030" s="1">
        <v>31778</v>
      </c>
      <c r="D1030">
        <v>39</v>
      </c>
      <c r="E1030" s="4" t="s">
        <v>12</v>
      </c>
      <c r="F1030" t="s">
        <v>21</v>
      </c>
      <c r="G1030" s="1">
        <v>45138</v>
      </c>
      <c r="H1030" s="1">
        <f>TablaDatos[[#This Row],[FechaIngreso]]+TablaDatos[[#This Row],[DiasNuevo]]</f>
        <v>45139</v>
      </c>
      <c r="I1030">
        <v>1</v>
      </c>
      <c r="J1030" t="s">
        <v>19</v>
      </c>
      <c r="K1030" s="3">
        <v>6263.78</v>
      </c>
      <c r="L1030" t="b">
        <f>TablaDatos[[#This Row],[FechaAlta]] &lt; TablaDatos[[#This Row],[FechaIngreso]]</f>
        <v>0</v>
      </c>
      <c r="M1030">
        <f>_xlfn.XLOOKUP(TablaDatos[[#This Row],[PacienteID]],'Datos_Ejemplo.csv'!A:A,'Datos_Ejemplo.csv'!I:I)</f>
        <v>-1</v>
      </c>
      <c r="N1030">
        <f>ABS(TablaDatos[[#This Row],[DiasOriginal]])</f>
        <v>1</v>
      </c>
      <c r="O1030" s="1">
        <f>TablaDatos[[#This Row],[FechaIngreso]]+TablaDatos[[#This Row],[DiasNuevo]]</f>
        <v>45139</v>
      </c>
    </row>
    <row r="1031" spans="1:15">
      <c r="A1031">
        <v>1030</v>
      </c>
      <c r="B1031" t="s">
        <v>330</v>
      </c>
      <c r="C1031" s="1">
        <v>45657</v>
      </c>
      <c r="D1031">
        <v>1</v>
      </c>
      <c r="E1031" s="4" t="s">
        <v>12</v>
      </c>
      <c r="F1031" t="s">
        <v>18</v>
      </c>
      <c r="G1031" s="1">
        <v>45282</v>
      </c>
      <c r="H1031" s="1">
        <f>TablaDatos[[#This Row],[FechaIngreso]]+TablaDatos[[#This Row],[DiasNuevo]]</f>
        <v>45312</v>
      </c>
      <c r="I1031">
        <v>30</v>
      </c>
      <c r="J1031" t="s">
        <v>25</v>
      </c>
      <c r="K1031" s="3">
        <v>6468.6</v>
      </c>
      <c r="L1031" t="b">
        <f>TablaDatos[[#This Row],[FechaAlta]] &lt; TablaDatos[[#This Row],[FechaIngreso]]</f>
        <v>0</v>
      </c>
      <c r="M1031">
        <f>_xlfn.XLOOKUP(TablaDatos[[#This Row],[PacienteID]],'Datos_Ejemplo.csv'!A:A,'Datos_Ejemplo.csv'!I:I)</f>
        <v>30</v>
      </c>
      <c r="N1031">
        <f>ABS(TablaDatos[[#This Row],[DiasOriginal]])</f>
        <v>30</v>
      </c>
      <c r="O1031" s="1">
        <f>TablaDatos[[#This Row],[FechaIngreso]]+TablaDatos[[#This Row],[DiasNuevo]]</f>
        <v>45312</v>
      </c>
    </row>
    <row r="1032" spans="1:15">
      <c r="A1032">
        <v>1031</v>
      </c>
      <c r="B1032" t="s">
        <v>255</v>
      </c>
      <c r="C1032" s="1">
        <v>15707</v>
      </c>
      <c r="D1032">
        <v>83</v>
      </c>
      <c r="E1032" s="4" t="s">
        <v>12</v>
      </c>
      <c r="F1032" t="s">
        <v>13</v>
      </c>
      <c r="G1032" s="1">
        <v>45627</v>
      </c>
      <c r="H1032" s="1">
        <f>TablaDatos[[#This Row],[FechaIngreso]]+TablaDatos[[#This Row],[DiasNuevo]]</f>
        <v>45661</v>
      </c>
      <c r="I1032">
        <v>34</v>
      </c>
      <c r="J1032" t="s">
        <v>25</v>
      </c>
      <c r="K1032" s="3">
        <v>18344.830000000002</v>
      </c>
      <c r="L1032" t="b">
        <f>TablaDatos[[#This Row],[FechaAlta]] &lt; TablaDatos[[#This Row],[FechaIngreso]]</f>
        <v>0</v>
      </c>
      <c r="M1032">
        <f>_xlfn.XLOOKUP(TablaDatos[[#This Row],[PacienteID]],'Datos_Ejemplo.csv'!A:A,'Datos_Ejemplo.csv'!I:I)</f>
        <v>34</v>
      </c>
      <c r="N1032">
        <f>ABS(TablaDatos[[#This Row],[DiasOriginal]])</f>
        <v>34</v>
      </c>
      <c r="O1032" s="1">
        <f>TablaDatos[[#This Row],[FechaIngreso]]+TablaDatos[[#This Row],[DiasNuevo]]</f>
        <v>45661</v>
      </c>
    </row>
    <row r="1033" spans="1:15">
      <c r="A1033">
        <v>1032</v>
      </c>
      <c r="B1033" t="s">
        <v>230</v>
      </c>
      <c r="C1033" s="1">
        <v>22646</v>
      </c>
      <c r="D1033">
        <f ca="1">DATEDIF(TablaDatos[[#This Row],[FechaNacimiento]],TODAY(),"Y")</f>
        <v>64</v>
      </c>
      <c r="E1033" s="4" t="s">
        <v>12</v>
      </c>
      <c r="F1033" t="s">
        <v>18</v>
      </c>
      <c r="G1033" s="1">
        <v>45413</v>
      </c>
      <c r="H1033" s="1">
        <f>TablaDatos[[#This Row],[FechaIngreso]]+TablaDatos[[#This Row],[DiasNuevo]]</f>
        <v>45435</v>
      </c>
      <c r="I1033">
        <v>22</v>
      </c>
      <c r="J1033" t="s">
        <v>19</v>
      </c>
      <c r="K1033" s="3">
        <v>165.94</v>
      </c>
      <c r="L1033" t="b">
        <f>TablaDatos[[#This Row],[FechaAlta]] &lt; TablaDatos[[#This Row],[FechaIngreso]]</f>
        <v>0</v>
      </c>
      <c r="M1033">
        <f>_xlfn.XLOOKUP(TablaDatos[[#This Row],[PacienteID]],'Datos_Ejemplo.csv'!A:A,'Datos_Ejemplo.csv'!I:I)</f>
        <v>22</v>
      </c>
      <c r="N1033">
        <f>ABS(TablaDatos[[#This Row],[DiasOriginal]])</f>
        <v>22</v>
      </c>
      <c r="O1033" s="1">
        <f>TablaDatos[[#This Row],[FechaIngreso]]+TablaDatos[[#This Row],[DiasNuevo]]</f>
        <v>45435</v>
      </c>
    </row>
    <row r="1034" spans="1:15">
      <c r="A1034">
        <v>1033</v>
      </c>
      <c r="B1034" t="s">
        <v>342</v>
      </c>
      <c r="C1034" s="1">
        <v>23377</v>
      </c>
      <c r="D1034">
        <v>62</v>
      </c>
      <c r="E1034" s="4" t="s">
        <v>12</v>
      </c>
      <c r="F1034" t="s">
        <v>295</v>
      </c>
      <c r="G1034" s="1">
        <v>45247</v>
      </c>
      <c r="H1034" s="1">
        <f>TablaDatos[[#This Row],[FechaIngreso]]+TablaDatos[[#This Row],[DiasNuevo]]</f>
        <v>45269</v>
      </c>
      <c r="I1034">
        <v>22</v>
      </c>
      <c r="J1034" t="s">
        <v>23</v>
      </c>
      <c r="K1034" s="3">
        <v>3798.72</v>
      </c>
      <c r="L1034" t="b">
        <f>TablaDatos[[#This Row],[FechaAlta]] &lt; TablaDatos[[#This Row],[FechaIngreso]]</f>
        <v>0</v>
      </c>
      <c r="M1034">
        <f>_xlfn.XLOOKUP(TablaDatos[[#This Row],[PacienteID]],'Datos_Ejemplo.csv'!A:A,'Datos_Ejemplo.csv'!I:I)</f>
        <v>22</v>
      </c>
      <c r="N1034">
        <f>ABS(TablaDatos[[#This Row],[DiasOriginal]])</f>
        <v>22</v>
      </c>
      <c r="O1034" s="1">
        <f>TablaDatos[[#This Row],[FechaIngreso]]+TablaDatos[[#This Row],[DiasNuevo]]</f>
        <v>45269</v>
      </c>
    </row>
    <row r="1035" spans="1:15">
      <c r="A1035">
        <v>1034</v>
      </c>
      <c r="B1035" t="s">
        <v>246</v>
      </c>
      <c r="C1035" s="1">
        <v>19724</v>
      </c>
      <c r="D1035">
        <v>72</v>
      </c>
      <c r="E1035" s="4" t="s">
        <v>15</v>
      </c>
      <c r="F1035" t="s">
        <v>261</v>
      </c>
      <c r="G1035" s="1">
        <v>45589</v>
      </c>
      <c r="H1035" s="1">
        <f>TablaDatos[[#This Row],[FechaIngreso]]+TablaDatos[[#This Row],[DiasNuevo]]</f>
        <v>45625</v>
      </c>
      <c r="I1035">
        <v>36</v>
      </c>
      <c r="J1035" t="s">
        <v>23</v>
      </c>
      <c r="K1035" s="3">
        <v>8380.84</v>
      </c>
      <c r="L1035" t="b">
        <f>TablaDatos[[#This Row],[FechaAlta]] &lt; TablaDatos[[#This Row],[FechaIngreso]]</f>
        <v>0</v>
      </c>
      <c r="M1035">
        <f>_xlfn.XLOOKUP(TablaDatos[[#This Row],[PacienteID]],'Datos_Ejemplo.csv'!A:A,'Datos_Ejemplo.csv'!I:I)</f>
        <v>36</v>
      </c>
      <c r="N1035">
        <f>ABS(TablaDatos[[#This Row],[DiasOriginal]])</f>
        <v>36</v>
      </c>
      <c r="O1035" s="1">
        <f>TablaDatos[[#This Row],[FechaIngreso]]+TablaDatos[[#This Row],[DiasNuevo]]</f>
        <v>45625</v>
      </c>
    </row>
    <row r="1036" spans="1:15">
      <c r="A1036">
        <v>1035</v>
      </c>
      <c r="B1036" t="s">
        <v>90</v>
      </c>
      <c r="C1036" s="1">
        <f ca="1">DATE(YEAR(TODAY())-TablaDatos[[#This Row],[Edad]],1,1)</f>
        <v>40179</v>
      </c>
      <c r="D1036">
        <v>16</v>
      </c>
      <c r="E1036" s="4" t="s">
        <v>12</v>
      </c>
      <c r="F1036" t="s">
        <v>261</v>
      </c>
      <c r="G1036" s="1">
        <v>45149</v>
      </c>
      <c r="H1036" s="1">
        <f>TablaDatos[[#This Row],[FechaIngreso]]+TablaDatos[[#This Row],[DiasNuevo]]</f>
        <v>45176</v>
      </c>
      <c r="I1036">
        <v>27</v>
      </c>
      <c r="J1036" t="s">
        <v>23</v>
      </c>
      <c r="K1036" s="3">
        <v>13984.5</v>
      </c>
      <c r="L1036" t="b">
        <f>TablaDatos[[#This Row],[FechaAlta]] &lt; TablaDatos[[#This Row],[FechaIngreso]]</f>
        <v>0</v>
      </c>
      <c r="M1036">
        <f>_xlfn.XLOOKUP(TablaDatos[[#This Row],[PacienteID]],'Datos_Ejemplo.csv'!A:A,'Datos_Ejemplo.csv'!I:I)</f>
        <v>27</v>
      </c>
      <c r="N1036">
        <f>ABS(TablaDatos[[#This Row],[DiasOriginal]])</f>
        <v>27</v>
      </c>
      <c r="O1036" s="1">
        <f>TablaDatos[[#This Row],[FechaIngreso]]+TablaDatos[[#This Row],[DiasNuevo]]</f>
        <v>45176</v>
      </c>
    </row>
    <row r="1037" spans="1:15">
      <c r="A1037">
        <v>1036</v>
      </c>
      <c r="B1037" t="s">
        <v>271</v>
      </c>
      <c r="C1037" s="1">
        <v>43100</v>
      </c>
      <c r="D1037">
        <v>8</v>
      </c>
      <c r="E1037" s="4" t="s">
        <v>15</v>
      </c>
      <c r="F1037" t="s">
        <v>295</v>
      </c>
      <c r="G1037" s="1">
        <v>45566</v>
      </c>
      <c r="H1037" s="1">
        <f>TablaDatos[[#This Row],[FechaIngreso]]+TablaDatos[[#This Row],[DiasNuevo]]</f>
        <v>45604</v>
      </c>
      <c r="I1037">
        <v>38</v>
      </c>
      <c r="J1037" t="s">
        <v>23</v>
      </c>
      <c r="K1037" s="3">
        <v>12916.08</v>
      </c>
      <c r="L1037" t="b">
        <f>TablaDatos[[#This Row],[FechaAlta]] &lt; TablaDatos[[#This Row],[FechaIngreso]]</f>
        <v>0</v>
      </c>
      <c r="M1037">
        <f>_xlfn.XLOOKUP(TablaDatos[[#This Row],[PacienteID]],'Datos_Ejemplo.csv'!A:A,'Datos_Ejemplo.csv'!I:I)</f>
        <v>38</v>
      </c>
      <c r="N1037">
        <f>ABS(TablaDatos[[#This Row],[DiasOriginal]])</f>
        <v>38</v>
      </c>
      <c r="O1037" s="1">
        <f>TablaDatos[[#This Row],[FechaIngreso]]+TablaDatos[[#This Row],[DiasNuevo]]</f>
        <v>45604</v>
      </c>
    </row>
    <row r="1038" spans="1:15">
      <c r="A1038">
        <v>1037</v>
      </c>
      <c r="B1038" t="s">
        <v>235</v>
      </c>
      <c r="C1038" s="1">
        <v>18994</v>
      </c>
      <c r="D1038">
        <v>74</v>
      </c>
      <c r="E1038" s="4" t="s">
        <v>15</v>
      </c>
      <c r="F1038" t="s">
        <v>295</v>
      </c>
      <c r="G1038" s="1">
        <v>45489</v>
      </c>
      <c r="H1038" s="1">
        <f>TablaDatos[[#This Row],[FechaIngreso]]+TablaDatos[[#This Row],[DiasNuevo]]</f>
        <v>45490</v>
      </c>
      <c r="I1038">
        <v>1</v>
      </c>
      <c r="J1038" t="s">
        <v>19</v>
      </c>
      <c r="K1038" s="3">
        <v>13355.18</v>
      </c>
      <c r="L1038" t="b">
        <f>TablaDatos[[#This Row],[FechaAlta]] &lt; TablaDatos[[#This Row],[FechaIngreso]]</f>
        <v>0</v>
      </c>
      <c r="M1038">
        <f>_xlfn.XLOOKUP(TablaDatos[[#This Row],[PacienteID]],'Datos_Ejemplo.csv'!A:A,'Datos_Ejemplo.csv'!I:I)</f>
        <v>1</v>
      </c>
      <c r="N1038">
        <f>ABS(TablaDatos[[#This Row],[DiasOriginal]])</f>
        <v>1</v>
      </c>
      <c r="O1038" s="1">
        <f>TablaDatos[[#This Row],[FechaIngreso]]+TablaDatos[[#This Row],[DiasNuevo]]</f>
        <v>45490</v>
      </c>
    </row>
    <row r="1039" spans="1:15">
      <c r="A1039">
        <v>1038</v>
      </c>
      <c r="B1039" t="s">
        <v>359</v>
      </c>
      <c r="C1039" s="1">
        <v>40909</v>
      </c>
      <c r="D1039">
        <v>14</v>
      </c>
      <c r="E1039" s="4" t="s">
        <v>12</v>
      </c>
      <c r="F1039" t="s">
        <v>295</v>
      </c>
      <c r="G1039" s="1">
        <v>45117</v>
      </c>
      <c r="H1039" s="1">
        <f>TablaDatos[[#This Row],[FechaIngreso]]+TablaDatos[[#This Row],[DiasNuevo]]</f>
        <v>45133</v>
      </c>
      <c r="I1039">
        <v>16</v>
      </c>
      <c r="J1039" t="s">
        <v>25</v>
      </c>
      <c r="K1039" s="3">
        <v>17588.439999999999</v>
      </c>
      <c r="L1039" t="b">
        <f>TablaDatos[[#This Row],[FechaAlta]] &lt; TablaDatos[[#This Row],[FechaIngreso]]</f>
        <v>0</v>
      </c>
      <c r="M1039">
        <f>_xlfn.XLOOKUP(TablaDatos[[#This Row],[PacienteID]],'Datos_Ejemplo.csv'!A:A,'Datos_Ejemplo.csv'!I:I)</f>
        <v>16</v>
      </c>
      <c r="N1039">
        <f>ABS(TablaDatos[[#This Row],[DiasOriginal]])</f>
        <v>16</v>
      </c>
      <c r="O1039" s="1">
        <f>TablaDatos[[#This Row],[FechaIngreso]]+TablaDatos[[#This Row],[DiasNuevo]]</f>
        <v>45133</v>
      </c>
    </row>
    <row r="1040" spans="1:15">
      <c r="A1040">
        <v>1039</v>
      </c>
      <c r="B1040" t="s">
        <v>270</v>
      </c>
      <c r="C1040" s="1">
        <v>37622</v>
      </c>
      <c r="D1040">
        <v>23</v>
      </c>
      <c r="E1040" s="4" t="s">
        <v>15</v>
      </c>
      <c r="F1040" t="s">
        <v>32</v>
      </c>
      <c r="G1040" s="1">
        <v>45426</v>
      </c>
      <c r="H1040" s="1">
        <f>TablaDatos[[#This Row],[FechaIngreso]]+TablaDatos[[#This Row],[DiasNuevo]]</f>
        <v>45450</v>
      </c>
      <c r="I1040">
        <v>24</v>
      </c>
      <c r="J1040" t="s">
        <v>19</v>
      </c>
      <c r="K1040" s="3">
        <v>2332.71</v>
      </c>
      <c r="L1040" t="b">
        <f>TablaDatos[[#This Row],[FechaAlta]] &lt; TablaDatos[[#This Row],[FechaIngreso]]</f>
        <v>0</v>
      </c>
      <c r="M1040">
        <f>_xlfn.XLOOKUP(TablaDatos[[#This Row],[PacienteID]],'Datos_Ejemplo.csv'!A:A,'Datos_Ejemplo.csv'!I:I)</f>
        <v>24</v>
      </c>
      <c r="N1040">
        <f>ABS(TablaDatos[[#This Row],[DiasOriginal]])</f>
        <v>24</v>
      </c>
      <c r="O1040" s="1">
        <f>TablaDatos[[#This Row],[FechaIngreso]]+TablaDatos[[#This Row],[DiasNuevo]]</f>
        <v>45450</v>
      </c>
    </row>
    <row r="1041" spans="1:15">
      <c r="A1041">
        <v>1040</v>
      </c>
      <c r="B1041" t="s">
        <v>273</v>
      </c>
      <c r="C1041" s="1">
        <v>32508</v>
      </c>
      <c r="D1041">
        <v>37</v>
      </c>
      <c r="E1041" s="4" t="s">
        <v>12</v>
      </c>
      <c r="F1041" t="s">
        <v>201</v>
      </c>
      <c r="G1041" s="1">
        <v>45421</v>
      </c>
      <c r="H1041" s="1">
        <f>TablaDatos[[#This Row],[FechaIngreso]]+TablaDatos[[#This Row],[DiasNuevo]]</f>
        <v>45457</v>
      </c>
      <c r="I1041">
        <v>36</v>
      </c>
      <c r="J1041" t="s">
        <v>19</v>
      </c>
      <c r="K1041" s="3">
        <v>10395.450000000001</v>
      </c>
      <c r="L1041" t="b">
        <f>TablaDatos[[#This Row],[FechaAlta]] &lt; TablaDatos[[#This Row],[FechaIngreso]]</f>
        <v>0</v>
      </c>
      <c r="M1041">
        <f>_xlfn.XLOOKUP(TablaDatos[[#This Row],[PacienteID]],'Datos_Ejemplo.csv'!A:A,'Datos_Ejemplo.csv'!I:I)</f>
        <v>36</v>
      </c>
      <c r="N1041">
        <f>ABS(TablaDatos[[#This Row],[DiasOriginal]])</f>
        <v>36</v>
      </c>
      <c r="O1041" s="1">
        <f>TablaDatos[[#This Row],[FechaIngreso]]+TablaDatos[[#This Row],[DiasNuevo]]</f>
        <v>45457</v>
      </c>
    </row>
    <row r="1042" spans="1:15">
      <c r="A1042">
        <v>1041</v>
      </c>
      <c r="B1042" t="s">
        <v>284</v>
      </c>
      <c r="C1042" s="1">
        <v>33604</v>
      </c>
      <c r="D1042">
        <v>34</v>
      </c>
      <c r="E1042" s="4" t="s">
        <v>12</v>
      </c>
      <c r="F1042" t="s">
        <v>18</v>
      </c>
      <c r="G1042" s="1">
        <v>45163</v>
      </c>
      <c r="H1042" s="1">
        <f>TablaDatos[[#This Row],[FechaIngreso]]+TablaDatos[[#This Row],[DiasNuevo]]</f>
        <v>45184</v>
      </c>
      <c r="I1042">
        <v>21</v>
      </c>
      <c r="J1042" t="s">
        <v>19</v>
      </c>
      <c r="K1042" s="3">
        <v>14482.1</v>
      </c>
      <c r="L1042" t="b">
        <f>TablaDatos[[#This Row],[FechaAlta]] &lt; TablaDatos[[#This Row],[FechaIngreso]]</f>
        <v>0</v>
      </c>
      <c r="M1042">
        <f>_xlfn.XLOOKUP(TablaDatos[[#This Row],[PacienteID]],'Datos_Ejemplo.csv'!A:A,'Datos_Ejemplo.csv'!I:I)</f>
        <v>21</v>
      </c>
      <c r="N1042">
        <f>ABS(TablaDatos[[#This Row],[DiasOriginal]])</f>
        <v>21</v>
      </c>
      <c r="O1042" s="1">
        <f>TablaDatos[[#This Row],[FechaIngreso]]+TablaDatos[[#This Row],[DiasNuevo]]</f>
        <v>45184</v>
      </c>
    </row>
    <row r="1043" spans="1:15">
      <c r="A1043">
        <v>1042</v>
      </c>
      <c r="B1043" t="s">
        <v>365</v>
      </c>
      <c r="C1043" s="1">
        <v>12054</v>
      </c>
      <c r="D1043">
        <v>93</v>
      </c>
      <c r="E1043" s="4" t="s">
        <v>15</v>
      </c>
      <c r="F1043" t="s">
        <v>295</v>
      </c>
      <c r="G1043" s="1">
        <v>44948</v>
      </c>
      <c r="H1043" s="1">
        <f>TablaDatos[[#This Row],[FechaIngreso]]+TablaDatos[[#This Row],[DiasNuevo]]</f>
        <v>44982</v>
      </c>
      <c r="I1043">
        <v>34</v>
      </c>
      <c r="J1043" t="s">
        <v>19</v>
      </c>
      <c r="K1043" s="3">
        <v>12685.98</v>
      </c>
      <c r="L1043" t="b">
        <f>TablaDatos[[#This Row],[FechaAlta]] &lt; TablaDatos[[#This Row],[FechaIngreso]]</f>
        <v>0</v>
      </c>
      <c r="M1043">
        <f>_xlfn.XLOOKUP(TablaDatos[[#This Row],[PacienteID]],'Datos_Ejemplo.csv'!A:A,'Datos_Ejemplo.csv'!I:I)</f>
        <v>34</v>
      </c>
      <c r="N1043">
        <f>ABS(TablaDatos[[#This Row],[DiasOriginal]])</f>
        <v>34</v>
      </c>
      <c r="O1043" s="1">
        <f>TablaDatos[[#This Row],[FechaIngreso]]+TablaDatos[[#This Row],[DiasNuevo]]</f>
        <v>44982</v>
      </c>
    </row>
    <row r="1044" spans="1:15">
      <c r="A1044">
        <v>1043</v>
      </c>
      <c r="B1044" t="s">
        <v>111</v>
      </c>
      <c r="C1044" s="1">
        <v>11689</v>
      </c>
      <c r="D1044">
        <v>94</v>
      </c>
      <c r="E1044" s="4" t="s">
        <v>15</v>
      </c>
      <c r="F1044" t="s">
        <v>261</v>
      </c>
      <c r="G1044" s="1">
        <v>45548</v>
      </c>
      <c r="H1044" s="1">
        <f>TablaDatos[[#This Row],[FechaIngreso]]+TablaDatos[[#This Row],[DiasNuevo]]</f>
        <v>45570</v>
      </c>
      <c r="I1044">
        <v>22</v>
      </c>
      <c r="J1044" t="s">
        <v>19</v>
      </c>
      <c r="K1044" s="3">
        <v>8911.11</v>
      </c>
      <c r="L1044" t="b">
        <f>TablaDatos[[#This Row],[FechaAlta]] &lt; TablaDatos[[#This Row],[FechaIngreso]]</f>
        <v>0</v>
      </c>
      <c r="M1044">
        <f>_xlfn.XLOOKUP(TablaDatos[[#This Row],[PacienteID]],'Datos_Ejemplo.csv'!A:A,'Datos_Ejemplo.csv'!I:I)</f>
        <v>22</v>
      </c>
      <c r="N1044">
        <f>ABS(TablaDatos[[#This Row],[DiasOriginal]])</f>
        <v>22</v>
      </c>
      <c r="O1044" s="1">
        <f>TablaDatos[[#This Row],[FechaIngreso]]+TablaDatos[[#This Row],[DiasNuevo]]</f>
        <v>45570</v>
      </c>
    </row>
    <row r="1045" spans="1:15">
      <c r="A1045">
        <v>1044</v>
      </c>
      <c r="B1045" t="s">
        <v>329</v>
      </c>
      <c r="C1045" s="1">
        <v>28490</v>
      </c>
      <c r="D1045">
        <v>48</v>
      </c>
      <c r="E1045" s="4" t="s">
        <v>12</v>
      </c>
      <c r="F1045" t="s">
        <v>21</v>
      </c>
      <c r="G1045" s="1">
        <v>45253</v>
      </c>
      <c r="H1045" s="1">
        <f>TablaDatos[[#This Row],[FechaIngreso]]+TablaDatos[[#This Row],[DiasNuevo]]</f>
        <v>45279</v>
      </c>
      <c r="I1045">
        <v>26</v>
      </c>
      <c r="J1045" t="s">
        <v>19</v>
      </c>
      <c r="K1045" s="3">
        <v>244</v>
      </c>
      <c r="L1045" t="b">
        <f>TablaDatos[[#This Row],[FechaAlta]] &lt; TablaDatos[[#This Row],[FechaIngreso]]</f>
        <v>0</v>
      </c>
      <c r="M1045">
        <f>_xlfn.XLOOKUP(TablaDatos[[#This Row],[PacienteID]],'Datos_Ejemplo.csv'!A:A,'Datos_Ejemplo.csv'!I:I)</f>
        <v>26</v>
      </c>
      <c r="N1045">
        <f>ABS(TablaDatos[[#This Row],[DiasOriginal]])</f>
        <v>26</v>
      </c>
      <c r="O1045" s="1">
        <f>TablaDatos[[#This Row],[FechaIngreso]]+TablaDatos[[#This Row],[DiasNuevo]]</f>
        <v>45279</v>
      </c>
    </row>
    <row r="1046" spans="1:15">
      <c r="A1046">
        <v>1045</v>
      </c>
      <c r="B1046" t="s">
        <v>291</v>
      </c>
      <c r="C1046" s="1">
        <v>21185</v>
      </c>
      <c r="D1046">
        <v>68</v>
      </c>
      <c r="E1046" s="4" t="s">
        <v>12</v>
      </c>
      <c r="F1046" t="s">
        <v>21</v>
      </c>
      <c r="G1046" s="1">
        <v>45471</v>
      </c>
      <c r="H1046" s="1">
        <f>TablaDatos[[#This Row],[FechaIngreso]]+TablaDatos[[#This Row],[DiasNuevo]]</f>
        <v>45499</v>
      </c>
      <c r="I1046">
        <v>28</v>
      </c>
      <c r="J1046" t="s">
        <v>23</v>
      </c>
      <c r="K1046" s="3">
        <v>1115.0899999999999</v>
      </c>
      <c r="L1046" t="b">
        <f>TablaDatos[[#This Row],[FechaAlta]] &lt; TablaDatos[[#This Row],[FechaIngreso]]</f>
        <v>0</v>
      </c>
      <c r="M1046">
        <f>_xlfn.XLOOKUP(TablaDatos[[#This Row],[PacienteID]],'Datos_Ejemplo.csv'!A:A,'Datos_Ejemplo.csv'!I:I)</f>
        <v>28</v>
      </c>
      <c r="N1046">
        <f>ABS(TablaDatos[[#This Row],[DiasOriginal]])</f>
        <v>28</v>
      </c>
      <c r="O1046" s="1">
        <f>TablaDatos[[#This Row],[FechaIngreso]]+TablaDatos[[#This Row],[DiasNuevo]]</f>
        <v>45499</v>
      </c>
    </row>
    <row r="1047" spans="1:15">
      <c r="A1047">
        <v>1046</v>
      </c>
      <c r="B1047" t="s">
        <v>289</v>
      </c>
      <c r="C1047" s="1">
        <v>23742</v>
      </c>
      <c r="D1047">
        <v>61</v>
      </c>
      <c r="E1047" s="4" t="s">
        <v>15</v>
      </c>
      <c r="F1047" t="s">
        <v>32</v>
      </c>
      <c r="G1047" s="1">
        <v>45053</v>
      </c>
      <c r="H1047" s="1">
        <f>TablaDatos[[#This Row],[FechaIngreso]]+TablaDatos[[#This Row],[DiasNuevo]]</f>
        <v>45085</v>
      </c>
      <c r="I1047">
        <v>32</v>
      </c>
      <c r="J1047" t="s">
        <v>19</v>
      </c>
      <c r="K1047" s="3">
        <v>2290.7199999999998</v>
      </c>
      <c r="L1047" t="b">
        <f>TablaDatos[[#This Row],[FechaAlta]] &lt; TablaDatos[[#This Row],[FechaIngreso]]</f>
        <v>0</v>
      </c>
      <c r="M1047">
        <f>_xlfn.XLOOKUP(TablaDatos[[#This Row],[PacienteID]],'Datos_Ejemplo.csv'!A:A,'Datos_Ejemplo.csv'!I:I)</f>
        <v>32</v>
      </c>
      <c r="N1047">
        <f>ABS(TablaDatos[[#This Row],[DiasOriginal]])</f>
        <v>32</v>
      </c>
      <c r="O1047" s="1">
        <f>TablaDatos[[#This Row],[FechaIngreso]]+TablaDatos[[#This Row],[DiasNuevo]]</f>
        <v>45085</v>
      </c>
    </row>
    <row r="1048" spans="1:15">
      <c r="A1048">
        <v>1047</v>
      </c>
      <c r="B1048" t="s">
        <v>272</v>
      </c>
      <c r="C1048" s="1">
        <v>24473</v>
      </c>
      <c r="D1048">
        <v>59</v>
      </c>
      <c r="E1048" s="4" t="s">
        <v>15</v>
      </c>
      <c r="F1048" t="s">
        <v>18</v>
      </c>
      <c r="G1048" s="1">
        <v>45291</v>
      </c>
      <c r="H1048" s="1">
        <f>TablaDatos[[#This Row],[FechaIngreso]]+TablaDatos[[#This Row],[DiasNuevo]]</f>
        <v>45316</v>
      </c>
      <c r="I1048">
        <v>25</v>
      </c>
      <c r="J1048" t="s">
        <v>19</v>
      </c>
      <c r="K1048" s="3">
        <v>6798.88</v>
      </c>
      <c r="L1048" t="b">
        <f>TablaDatos[[#This Row],[FechaAlta]] &lt; TablaDatos[[#This Row],[FechaIngreso]]</f>
        <v>0</v>
      </c>
      <c r="M1048">
        <f>_xlfn.XLOOKUP(TablaDatos[[#This Row],[PacienteID]],'Datos_Ejemplo.csv'!A:A,'Datos_Ejemplo.csv'!I:I)</f>
        <v>25</v>
      </c>
      <c r="N1048">
        <f>ABS(TablaDatos[[#This Row],[DiasOriginal]])</f>
        <v>25</v>
      </c>
      <c r="O1048" s="1">
        <f>TablaDatos[[#This Row],[FechaIngreso]]+TablaDatos[[#This Row],[DiasNuevo]]</f>
        <v>45316</v>
      </c>
    </row>
    <row r="1049" spans="1:15">
      <c r="A1049">
        <v>1048</v>
      </c>
      <c r="B1049" t="s">
        <v>336</v>
      </c>
      <c r="C1049" s="1">
        <v>28125</v>
      </c>
      <c r="D1049">
        <v>49</v>
      </c>
      <c r="E1049" s="4" t="s">
        <v>12</v>
      </c>
      <c r="F1049" t="s">
        <v>18</v>
      </c>
      <c r="G1049" s="1">
        <v>44970</v>
      </c>
      <c r="H1049" s="1">
        <f>TablaDatos[[#This Row],[FechaIngreso]]+TablaDatos[[#This Row],[DiasNuevo]]</f>
        <v>45005</v>
      </c>
      <c r="I1049">
        <v>35</v>
      </c>
      <c r="J1049" t="s">
        <v>23</v>
      </c>
      <c r="K1049" s="3">
        <v>2264.83</v>
      </c>
      <c r="L1049" t="b">
        <f>TablaDatos[[#This Row],[FechaAlta]] &lt; TablaDatos[[#This Row],[FechaIngreso]]</f>
        <v>0</v>
      </c>
      <c r="M1049">
        <f>_xlfn.XLOOKUP(TablaDatos[[#This Row],[PacienteID]],'Datos_Ejemplo.csv'!A:A,'Datos_Ejemplo.csv'!I:I)</f>
        <v>35</v>
      </c>
      <c r="N1049">
        <f>ABS(TablaDatos[[#This Row],[DiasOriginal]])</f>
        <v>35</v>
      </c>
      <c r="O1049" s="1">
        <f>TablaDatos[[#This Row],[FechaIngreso]]+TablaDatos[[#This Row],[DiasNuevo]]</f>
        <v>45005</v>
      </c>
    </row>
    <row r="1050" spans="1:15">
      <c r="A1050">
        <v>1049</v>
      </c>
      <c r="B1050" t="s">
        <v>52</v>
      </c>
      <c r="C1050" s="1">
        <v>17898</v>
      </c>
      <c r="D1050">
        <v>77</v>
      </c>
      <c r="E1050" s="4" t="s">
        <v>12</v>
      </c>
      <c r="F1050" t="s">
        <v>201</v>
      </c>
      <c r="G1050" s="1">
        <v>45445</v>
      </c>
      <c r="H1050" s="1">
        <f>TablaDatos[[#This Row],[FechaIngreso]]+TablaDatos[[#This Row],[DiasNuevo]]</f>
        <v>45446</v>
      </c>
      <c r="I1050">
        <v>1</v>
      </c>
      <c r="J1050" t="s">
        <v>19</v>
      </c>
      <c r="K1050" s="3">
        <v>8464.25</v>
      </c>
      <c r="L1050" t="b">
        <f>TablaDatos[[#This Row],[FechaAlta]] &lt; TablaDatos[[#This Row],[FechaIngreso]]</f>
        <v>0</v>
      </c>
      <c r="M1050">
        <f>_xlfn.XLOOKUP(TablaDatos[[#This Row],[PacienteID]],'Datos_Ejemplo.csv'!A:A,'Datos_Ejemplo.csv'!I:I)</f>
        <v>1</v>
      </c>
      <c r="N1050">
        <f>ABS(TablaDatos[[#This Row],[DiasOriginal]])</f>
        <v>1</v>
      </c>
      <c r="O1050" s="1">
        <f>TablaDatos[[#This Row],[FechaIngreso]]+TablaDatos[[#This Row],[DiasNuevo]]</f>
        <v>45446</v>
      </c>
    </row>
    <row r="1051" spans="1:15">
      <c r="A1051">
        <v>1050</v>
      </c>
      <c r="B1051" t="s">
        <v>360</v>
      </c>
      <c r="C1051" s="1">
        <v>18994</v>
      </c>
      <c r="D1051">
        <v>74</v>
      </c>
      <c r="E1051" s="4" t="s">
        <v>15</v>
      </c>
      <c r="F1051" t="s">
        <v>18</v>
      </c>
      <c r="G1051" s="1">
        <v>45054</v>
      </c>
      <c r="H1051" s="1">
        <f>TablaDatos[[#This Row],[FechaIngreso]]+TablaDatos[[#This Row],[DiasNuevo]]</f>
        <v>45079</v>
      </c>
      <c r="I1051">
        <v>25</v>
      </c>
      <c r="J1051" t="s">
        <v>19</v>
      </c>
      <c r="K1051" s="3">
        <v>3490.7</v>
      </c>
      <c r="L1051" t="b">
        <f>TablaDatos[[#This Row],[FechaAlta]] &lt; TablaDatos[[#This Row],[FechaIngreso]]</f>
        <v>0</v>
      </c>
      <c r="M1051">
        <f>_xlfn.XLOOKUP(TablaDatos[[#This Row],[PacienteID]],'Datos_Ejemplo.csv'!A:A,'Datos_Ejemplo.csv'!I:I)</f>
        <v>25</v>
      </c>
      <c r="N1051">
        <f>ABS(TablaDatos[[#This Row],[DiasOriginal]])</f>
        <v>25</v>
      </c>
      <c r="O1051" s="1">
        <f>TablaDatos[[#This Row],[FechaIngreso]]+TablaDatos[[#This Row],[DiasNuevo]]</f>
        <v>45079</v>
      </c>
    </row>
    <row r="1052" spans="1:15">
      <c r="A1052">
        <v>1051</v>
      </c>
      <c r="B1052" t="s">
        <v>311</v>
      </c>
      <c r="C1052" s="1">
        <v>43100</v>
      </c>
      <c r="D1052">
        <v>8</v>
      </c>
      <c r="E1052" s="4" t="s">
        <v>15</v>
      </c>
      <c r="F1052" t="s">
        <v>261</v>
      </c>
      <c r="G1052" s="1">
        <v>45529</v>
      </c>
      <c r="H1052" s="1">
        <f>TablaDatos[[#This Row],[FechaIngreso]]+TablaDatos[[#This Row],[DiasNuevo]]</f>
        <v>45557</v>
      </c>
      <c r="I1052">
        <v>28</v>
      </c>
      <c r="J1052" t="s">
        <v>23</v>
      </c>
      <c r="K1052" s="3">
        <v>15561.24</v>
      </c>
      <c r="L1052" t="b">
        <f>TablaDatos[[#This Row],[FechaAlta]] &lt; TablaDatos[[#This Row],[FechaIngreso]]</f>
        <v>0</v>
      </c>
      <c r="M1052">
        <f>_xlfn.XLOOKUP(TablaDatos[[#This Row],[PacienteID]],'Datos_Ejemplo.csv'!A:A,'Datos_Ejemplo.csv'!I:I)</f>
        <v>28</v>
      </c>
      <c r="N1052">
        <f>ABS(TablaDatos[[#This Row],[DiasOriginal]])</f>
        <v>28</v>
      </c>
      <c r="O1052" s="1">
        <f>TablaDatos[[#This Row],[FechaIngreso]]+TablaDatos[[#This Row],[DiasNuevo]]</f>
        <v>45557</v>
      </c>
    </row>
    <row r="1053" spans="1:15">
      <c r="A1053">
        <v>1052</v>
      </c>
      <c r="B1053" t="s">
        <v>257</v>
      </c>
      <c r="C1053" s="1">
        <v>33969</v>
      </c>
      <c r="D1053">
        <v>33</v>
      </c>
      <c r="E1053" s="4" t="s">
        <v>12</v>
      </c>
      <c r="F1053" t="s">
        <v>261</v>
      </c>
      <c r="G1053" s="1">
        <v>45056</v>
      </c>
      <c r="H1053" s="1">
        <f>TablaDatos[[#This Row],[FechaIngreso]]+TablaDatos[[#This Row],[DiasNuevo]]</f>
        <v>45076</v>
      </c>
      <c r="I1053">
        <v>20</v>
      </c>
      <c r="J1053" t="s">
        <v>23</v>
      </c>
      <c r="K1053" s="3">
        <v>17416.900000000001</v>
      </c>
      <c r="L1053" t="b">
        <f>TablaDatos[[#This Row],[FechaAlta]] &lt; TablaDatos[[#This Row],[FechaIngreso]]</f>
        <v>0</v>
      </c>
      <c r="M1053">
        <f>_xlfn.XLOOKUP(TablaDatos[[#This Row],[PacienteID]],'Datos_Ejemplo.csv'!A:A,'Datos_Ejemplo.csv'!I:I)</f>
        <v>20</v>
      </c>
      <c r="N1053">
        <f>ABS(TablaDatos[[#This Row],[DiasOriginal]])</f>
        <v>20</v>
      </c>
      <c r="O1053" s="1">
        <f>TablaDatos[[#This Row],[FechaIngreso]]+TablaDatos[[#This Row],[DiasNuevo]]</f>
        <v>45076</v>
      </c>
    </row>
    <row r="1054" spans="1:15">
      <c r="A1054">
        <v>1053</v>
      </c>
      <c r="B1054" t="s">
        <v>292</v>
      </c>
      <c r="C1054" s="1">
        <v>18629</v>
      </c>
      <c r="D1054">
        <f ca="1">DATEDIF(TablaDatos[[#This Row],[FechaNacimiento]],TODAY(),"Y")</f>
        <v>75</v>
      </c>
      <c r="E1054" s="4" t="s">
        <v>12</v>
      </c>
      <c r="F1054" t="s">
        <v>201</v>
      </c>
      <c r="G1054" s="1">
        <v>45455</v>
      </c>
      <c r="H1054" s="1">
        <f>TablaDatos[[#This Row],[FechaIngreso]]+TablaDatos[[#This Row],[DiasNuevo]]</f>
        <v>45466</v>
      </c>
      <c r="I1054">
        <v>11</v>
      </c>
      <c r="J1054" t="s">
        <v>23</v>
      </c>
      <c r="K1054" s="3">
        <v>7731.91</v>
      </c>
      <c r="L1054" t="b">
        <f>TablaDatos[[#This Row],[FechaAlta]] &lt; TablaDatos[[#This Row],[FechaIngreso]]</f>
        <v>0</v>
      </c>
      <c r="M1054">
        <f>_xlfn.XLOOKUP(TablaDatos[[#This Row],[PacienteID]],'Datos_Ejemplo.csv'!A:A,'Datos_Ejemplo.csv'!I:I)</f>
        <v>11</v>
      </c>
      <c r="N1054">
        <f>ABS(TablaDatos[[#This Row],[DiasOriginal]])</f>
        <v>11</v>
      </c>
      <c r="O1054" s="1">
        <f>TablaDatos[[#This Row],[FechaIngreso]]+TablaDatos[[#This Row],[DiasNuevo]]</f>
        <v>45466</v>
      </c>
    </row>
    <row r="1055" spans="1:15">
      <c r="A1055">
        <v>1054</v>
      </c>
      <c r="B1055" t="s">
        <v>327</v>
      </c>
      <c r="C1055" s="1">
        <v>33604</v>
      </c>
      <c r="D1055">
        <v>34</v>
      </c>
      <c r="E1055" s="4" t="s">
        <v>197</v>
      </c>
      <c r="F1055" t="s">
        <v>32</v>
      </c>
      <c r="G1055" s="1">
        <v>45247</v>
      </c>
      <c r="H1055" s="1">
        <f>TablaDatos[[#This Row],[FechaIngreso]]+TablaDatos[[#This Row],[DiasNuevo]]</f>
        <v>45272</v>
      </c>
      <c r="I1055">
        <v>25</v>
      </c>
      <c r="J1055" t="s">
        <v>25</v>
      </c>
      <c r="K1055" s="3">
        <v>10177.77</v>
      </c>
      <c r="L1055" t="b">
        <f>TablaDatos[[#This Row],[FechaAlta]] &lt; TablaDatos[[#This Row],[FechaIngreso]]</f>
        <v>0</v>
      </c>
      <c r="M1055">
        <f>_xlfn.XLOOKUP(TablaDatos[[#This Row],[PacienteID]],'Datos_Ejemplo.csv'!A:A,'Datos_Ejemplo.csv'!I:I)</f>
        <v>25</v>
      </c>
      <c r="N1055">
        <f>ABS(TablaDatos[[#This Row],[DiasOriginal]])</f>
        <v>25</v>
      </c>
      <c r="O1055" s="1">
        <f>TablaDatos[[#This Row],[FechaIngreso]]+TablaDatos[[#This Row],[DiasNuevo]]</f>
        <v>45272</v>
      </c>
    </row>
    <row r="1056" spans="1:15">
      <c r="A1056">
        <v>1055</v>
      </c>
      <c r="B1056" t="s">
        <v>252</v>
      </c>
      <c r="C1056" s="1">
        <v>46022</v>
      </c>
      <c r="D1056">
        <f ca="1">DATEDIF(TablaDatos[[#This Row],[FechaNacimiento]],TODAY(),"Y")</f>
        <v>0</v>
      </c>
      <c r="E1056" s="4" t="s">
        <v>12</v>
      </c>
      <c r="F1056" t="s">
        <v>18</v>
      </c>
      <c r="G1056" s="1">
        <v>45112</v>
      </c>
      <c r="H1056" s="1">
        <f>TablaDatos[[#This Row],[FechaIngreso]]+TablaDatos[[#This Row],[DiasNuevo]]</f>
        <v>45123</v>
      </c>
      <c r="I1056">
        <v>11</v>
      </c>
      <c r="J1056" t="s">
        <v>19</v>
      </c>
      <c r="K1056" s="3">
        <v>19065.27</v>
      </c>
      <c r="L1056" t="b">
        <f>TablaDatos[[#This Row],[FechaAlta]] &lt; TablaDatos[[#This Row],[FechaIngreso]]</f>
        <v>0</v>
      </c>
      <c r="M1056">
        <f>_xlfn.XLOOKUP(TablaDatos[[#This Row],[PacienteID]],'Datos_Ejemplo.csv'!A:A,'Datos_Ejemplo.csv'!I:I)</f>
        <v>11</v>
      </c>
      <c r="N1056">
        <f>ABS(TablaDatos[[#This Row],[DiasOriginal]])</f>
        <v>11</v>
      </c>
      <c r="O1056" s="1">
        <f>TablaDatos[[#This Row],[FechaIngreso]]+TablaDatos[[#This Row],[DiasNuevo]]</f>
        <v>45123</v>
      </c>
    </row>
    <row r="1057" spans="1:15">
      <c r="A1057">
        <v>1056</v>
      </c>
      <c r="B1057" t="s">
        <v>260</v>
      </c>
      <c r="C1057" s="1">
        <v>31778</v>
      </c>
      <c r="D1057">
        <v>39</v>
      </c>
      <c r="E1057" s="4" t="s">
        <v>12</v>
      </c>
      <c r="F1057" t="s">
        <v>18</v>
      </c>
      <c r="G1057" s="1">
        <v>45548</v>
      </c>
      <c r="H1057" s="1">
        <f>TablaDatos[[#This Row],[FechaIngreso]]+TablaDatos[[#This Row],[DiasNuevo]]</f>
        <v>45550</v>
      </c>
      <c r="I1057">
        <v>2</v>
      </c>
      <c r="J1057" t="s">
        <v>19</v>
      </c>
      <c r="K1057" s="3">
        <v>10663.71</v>
      </c>
      <c r="L1057" t="b">
        <f>TablaDatos[[#This Row],[FechaAlta]] &lt; TablaDatos[[#This Row],[FechaIngreso]]</f>
        <v>0</v>
      </c>
      <c r="M1057">
        <f>_xlfn.XLOOKUP(TablaDatos[[#This Row],[PacienteID]],'Datos_Ejemplo.csv'!A:A,'Datos_Ejemplo.csv'!I:I)</f>
        <v>-2</v>
      </c>
      <c r="N1057">
        <f>ABS(TablaDatos[[#This Row],[DiasOriginal]])</f>
        <v>2</v>
      </c>
      <c r="O1057" s="1">
        <f>TablaDatos[[#This Row],[FechaIngreso]]+TablaDatos[[#This Row],[DiasNuevo]]</f>
        <v>45550</v>
      </c>
    </row>
    <row r="1058" spans="1:15">
      <c r="A1058">
        <v>1057</v>
      </c>
      <c r="B1058" t="s">
        <v>337</v>
      </c>
      <c r="C1058" s="1">
        <v>23012</v>
      </c>
      <c r="D1058">
        <v>63</v>
      </c>
      <c r="E1058" s="4" t="s">
        <v>15</v>
      </c>
      <c r="F1058" t="s">
        <v>295</v>
      </c>
      <c r="G1058" s="1">
        <v>45274</v>
      </c>
      <c r="H1058" s="1">
        <f>TablaDatos[[#This Row],[FechaIngreso]]+TablaDatos[[#This Row],[DiasNuevo]]</f>
        <v>45303</v>
      </c>
      <c r="I1058">
        <v>29</v>
      </c>
      <c r="J1058" t="s">
        <v>19</v>
      </c>
      <c r="K1058" s="3">
        <v>19900.97</v>
      </c>
      <c r="L1058" t="b">
        <f>TablaDatos[[#This Row],[FechaAlta]] &lt; TablaDatos[[#This Row],[FechaIngreso]]</f>
        <v>0</v>
      </c>
      <c r="M1058">
        <f>_xlfn.XLOOKUP(TablaDatos[[#This Row],[PacienteID]],'Datos_Ejemplo.csv'!A:A,'Datos_Ejemplo.csv'!I:I)</f>
        <v>29</v>
      </c>
      <c r="N1058">
        <f>ABS(TablaDatos[[#This Row],[DiasOriginal]])</f>
        <v>29</v>
      </c>
      <c r="O1058" s="1">
        <f>TablaDatos[[#This Row],[FechaIngreso]]+TablaDatos[[#This Row],[DiasNuevo]]</f>
        <v>45303</v>
      </c>
    </row>
    <row r="1059" spans="1:15">
      <c r="A1059">
        <v>1058</v>
      </c>
      <c r="B1059" t="s">
        <v>237</v>
      </c>
      <c r="C1059" s="1">
        <v>38352</v>
      </c>
      <c r="D1059">
        <f ca="1">DATEDIF(TablaDatos[[#This Row],[FechaNacimiento]],TODAY(),"Y")</f>
        <v>21</v>
      </c>
      <c r="E1059" s="4" t="s">
        <v>12</v>
      </c>
      <c r="F1059" t="s">
        <v>18</v>
      </c>
      <c r="G1059" s="1">
        <v>45407</v>
      </c>
      <c r="H1059" s="1">
        <f>TablaDatos[[#This Row],[FechaIngreso]]+TablaDatos[[#This Row],[DiasNuevo]]</f>
        <v>45445</v>
      </c>
      <c r="I1059">
        <v>38</v>
      </c>
      <c r="J1059" t="s">
        <v>23</v>
      </c>
      <c r="K1059" s="3">
        <v>2756.83</v>
      </c>
      <c r="L1059" t="b">
        <f>TablaDatos[[#This Row],[FechaAlta]] &lt; TablaDatos[[#This Row],[FechaIngreso]]</f>
        <v>0</v>
      </c>
      <c r="M1059">
        <f>_xlfn.XLOOKUP(TablaDatos[[#This Row],[PacienteID]],'Datos_Ejemplo.csv'!A:A,'Datos_Ejemplo.csv'!I:I)</f>
        <v>38</v>
      </c>
      <c r="N1059">
        <f>ABS(TablaDatos[[#This Row],[DiasOriginal]])</f>
        <v>38</v>
      </c>
      <c r="O1059" s="1">
        <f>TablaDatos[[#This Row],[FechaIngreso]]+TablaDatos[[#This Row],[DiasNuevo]]</f>
        <v>45445</v>
      </c>
    </row>
    <row r="1060" spans="1:15">
      <c r="A1060">
        <v>1059</v>
      </c>
      <c r="B1060" t="s">
        <v>102</v>
      </c>
      <c r="C1060" s="1">
        <v>24473</v>
      </c>
      <c r="D1060">
        <f ca="1">DATEDIF(TablaDatos[[#This Row],[FechaNacimiento]],TODAY(),"Y")</f>
        <v>59</v>
      </c>
      <c r="E1060" s="4" t="s">
        <v>15</v>
      </c>
      <c r="F1060" t="s">
        <v>261</v>
      </c>
      <c r="G1060" s="1">
        <v>45601</v>
      </c>
      <c r="H1060" s="1">
        <f>TablaDatos[[#This Row],[FechaIngreso]]+TablaDatos[[#This Row],[DiasNuevo]]</f>
        <v>45616</v>
      </c>
      <c r="I1060">
        <v>15</v>
      </c>
      <c r="J1060" t="s">
        <v>23</v>
      </c>
      <c r="K1060" s="3">
        <v>17230.75</v>
      </c>
      <c r="L1060" t="b">
        <f>TablaDatos[[#This Row],[FechaAlta]] &lt; TablaDatos[[#This Row],[FechaIngreso]]</f>
        <v>0</v>
      </c>
      <c r="M1060">
        <f>_xlfn.XLOOKUP(TablaDatos[[#This Row],[PacienteID]],'Datos_Ejemplo.csv'!A:A,'Datos_Ejemplo.csv'!I:I)</f>
        <v>15</v>
      </c>
      <c r="N1060">
        <f>ABS(TablaDatos[[#This Row],[DiasOriginal]])</f>
        <v>15</v>
      </c>
      <c r="O1060" s="1">
        <f>TablaDatos[[#This Row],[FechaIngreso]]+TablaDatos[[#This Row],[DiasNuevo]]</f>
        <v>45616</v>
      </c>
    </row>
    <row r="1061" spans="1:15">
      <c r="A1061">
        <v>1060</v>
      </c>
      <c r="B1061" t="s">
        <v>333</v>
      </c>
      <c r="C1061" s="1">
        <v>23012</v>
      </c>
      <c r="D1061">
        <v>63</v>
      </c>
      <c r="E1061" s="4" t="s">
        <v>12</v>
      </c>
      <c r="F1061" t="s">
        <v>295</v>
      </c>
      <c r="G1061" s="1">
        <v>45513</v>
      </c>
      <c r="H1061" s="1">
        <f>TablaDatos[[#This Row],[FechaIngreso]]+TablaDatos[[#This Row],[DiasNuevo]]</f>
        <v>45515</v>
      </c>
      <c r="I1061">
        <v>2</v>
      </c>
      <c r="J1061" t="s">
        <v>19</v>
      </c>
      <c r="K1061" s="3">
        <v>9893.7800000000007</v>
      </c>
      <c r="L1061" t="b">
        <f>TablaDatos[[#This Row],[FechaAlta]] &lt; TablaDatos[[#This Row],[FechaIngreso]]</f>
        <v>0</v>
      </c>
      <c r="M1061">
        <f>_xlfn.XLOOKUP(TablaDatos[[#This Row],[PacienteID]],'Datos_Ejemplo.csv'!A:A,'Datos_Ejemplo.csv'!I:I)</f>
        <v>2</v>
      </c>
      <c r="N1061">
        <f>ABS(TablaDatos[[#This Row],[DiasOriginal]])</f>
        <v>2</v>
      </c>
      <c r="O1061" s="1">
        <f>TablaDatos[[#This Row],[FechaIngreso]]+TablaDatos[[#This Row],[DiasNuevo]]</f>
        <v>45515</v>
      </c>
    </row>
    <row r="1062" spans="1:15">
      <c r="A1062">
        <v>1061</v>
      </c>
      <c r="B1062" t="s">
        <v>116</v>
      </c>
      <c r="C1062" s="1">
        <v>12419</v>
      </c>
      <c r="D1062">
        <v>92</v>
      </c>
      <c r="E1062" s="4" t="s">
        <v>15</v>
      </c>
      <c r="F1062" t="s">
        <v>295</v>
      </c>
      <c r="G1062" s="1">
        <v>45637</v>
      </c>
      <c r="H1062" s="1">
        <f>TablaDatos[[#This Row],[FechaIngreso]]+TablaDatos[[#This Row],[DiasNuevo]]</f>
        <v>45676</v>
      </c>
      <c r="I1062">
        <v>39</v>
      </c>
      <c r="J1062" t="s">
        <v>23</v>
      </c>
      <c r="K1062" s="3">
        <v>356.55</v>
      </c>
      <c r="L1062" t="b">
        <f>TablaDatos[[#This Row],[FechaAlta]] &lt; TablaDatos[[#This Row],[FechaIngreso]]</f>
        <v>0</v>
      </c>
      <c r="M1062">
        <f>_xlfn.XLOOKUP(TablaDatos[[#This Row],[PacienteID]],'Datos_Ejemplo.csv'!A:A,'Datos_Ejemplo.csv'!I:I)</f>
        <v>39</v>
      </c>
      <c r="N1062">
        <f>ABS(TablaDatos[[#This Row],[DiasOriginal]])</f>
        <v>39</v>
      </c>
      <c r="O1062" s="1">
        <f>TablaDatos[[#This Row],[FechaIngreso]]+TablaDatos[[#This Row],[DiasNuevo]]</f>
        <v>45676</v>
      </c>
    </row>
    <row r="1063" spans="1:15">
      <c r="A1063">
        <v>1062</v>
      </c>
      <c r="B1063" t="s">
        <v>251</v>
      </c>
      <c r="C1063" s="1">
        <v>20090</v>
      </c>
      <c r="D1063">
        <v>71</v>
      </c>
      <c r="E1063" s="4" t="s">
        <v>15</v>
      </c>
      <c r="F1063" t="s">
        <v>18</v>
      </c>
      <c r="G1063" s="1">
        <v>45287</v>
      </c>
      <c r="H1063" s="1">
        <f>TablaDatos[[#This Row],[FechaIngreso]]+TablaDatos[[#This Row],[DiasNuevo]]</f>
        <v>45299</v>
      </c>
      <c r="I1063">
        <v>12</v>
      </c>
      <c r="J1063" t="s">
        <v>23</v>
      </c>
      <c r="K1063" s="3">
        <v>19441.68</v>
      </c>
      <c r="L1063" t="b">
        <f>TablaDatos[[#This Row],[FechaAlta]] &lt; TablaDatos[[#This Row],[FechaIngreso]]</f>
        <v>0</v>
      </c>
      <c r="M1063">
        <f>_xlfn.XLOOKUP(TablaDatos[[#This Row],[PacienteID]],'Datos_Ejemplo.csv'!A:A,'Datos_Ejemplo.csv'!I:I)</f>
        <v>12</v>
      </c>
      <c r="N1063">
        <f>ABS(TablaDatos[[#This Row],[DiasOriginal]])</f>
        <v>12</v>
      </c>
      <c r="O1063" s="1">
        <f>TablaDatos[[#This Row],[FechaIngreso]]+TablaDatos[[#This Row],[DiasNuevo]]</f>
        <v>45299</v>
      </c>
    </row>
    <row r="1064" spans="1:15">
      <c r="A1064">
        <v>1063</v>
      </c>
      <c r="B1064" t="s">
        <v>278</v>
      </c>
      <c r="C1064" s="1">
        <v>42370</v>
      </c>
      <c r="D1064">
        <v>10</v>
      </c>
      <c r="E1064" s="4" t="s">
        <v>12</v>
      </c>
      <c r="F1064" t="s">
        <v>21</v>
      </c>
      <c r="G1064" s="1">
        <v>45213</v>
      </c>
      <c r="H1064" s="1">
        <f>TablaDatos[[#This Row],[FechaIngreso]]+TablaDatos[[#This Row],[DiasNuevo]]</f>
        <v>45252</v>
      </c>
      <c r="I1064">
        <v>39</v>
      </c>
      <c r="J1064" t="s">
        <v>23</v>
      </c>
      <c r="K1064" s="3">
        <v>19297.46</v>
      </c>
      <c r="L1064" t="b">
        <f>TablaDatos[[#This Row],[FechaAlta]] &lt; TablaDatos[[#This Row],[FechaIngreso]]</f>
        <v>0</v>
      </c>
      <c r="M1064">
        <f>_xlfn.XLOOKUP(TablaDatos[[#This Row],[PacienteID]],'Datos_Ejemplo.csv'!A:A,'Datos_Ejemplo.csv'!I:I)</f>
        <v>39</v>
      </c>
      <c r="N1064">
        <f>ABS(TablaDatos[[#This Row],[DiasOriginal]])</f>
        <v>39</v>
      </c>
      <c r="O1064" s="1">
        <f>TablaDatos[[#This Row],[FechaIngreso]]+TablaDatos[[#This Row],[DiasNuevo]]</f>
        <v>45252</v>
      </c>
    </row>
    <row r="1065" spans="1:15">
      <c r="A1065">
        <v>1064</v>
      </c>
      <c r="B1065" t="s">
        <v>338</v>
      </c>
      <c r="C1065" s="1">
        <v>41274</v>
      </c>
      <c r="D1065">
        <v>13</v>
      </c>
      <c r="E1065" s="4" t="s">
        <v>12</v>
      </c>
      <c r="F1065" t="s">
        <v>13</v>
      </c>
      <c r="G1065" s="1">
        <v>45108</v>
      </c>
      <c r="H1065" s="1">
        <f>TablaDatos[[#This Row],[FechaIngreso]]+TablaDatos[[#This Row],[DiasNuevo]]</f>
        <v>45121</v>
      </c>
      <c r="I1065">
        <v>13</v>
      </c>
      <c r="J1065" t="s">
        <v>25</v>
      </c>
      <c r="K1065" s="3">
        <v>7603.74</v>
      </c>
      <c r="L1065" t="b">
        <f>TablaDatos[[#This Row],[FechaAlta]] &lt; TablaDatos[[#This Row],[FechaIngreso]]</f>
        <v>0</v>
      </c>
      <c r="M1065">
        <f>_xlfn.XLOOKUP(TablaDatos[[#This Row],[PacienteID]],'Datos_Ejemplo.csv'!A:A,'Datos_Ejemplo.csv'!I:I)</f>
        <v>13</v>
      </c>
      <c r="N1065">
        <f>ABS(TablaDatos[[#This Row],[DiasOriginal]])</f>
        <v>13</v>
      </c>
      <c r="O1065" s="1">
        <f>TablaDatos[[#This Row],[FechaIngreso]]+TablaDatos[[#This Row],[DiasNuevo]]</f>
        <v>45121</v>
      </c>
    </row>
    <row r="1066" spans="1:15">
      <c r="A1066">
        <v>1065</v>
      </c>
      <c r="B1066" t="s">
        <v>303</v>
      </c>
      <c r="C1066" s="1">
        <v>24473</v>
      </c>
      <c r="D1066">
        <v>59</v>
      </c>
      <c r="E1066" s="4" t="s">
        <v>15</v>
      </c>
      <c r="F1066" t="s">
        <v>261</v>
      </c>
      <c r="G1066" s="1">
        <v>45377</v>
      </c>
      <c r="H1066" s="1">
        <f>TablaDatos[[#This Row],[FechaIngreso]]+TablaDatos[[#This Row],[DiasNuevo]]</f>
        <v>45410</v>
      </c>
      <c r="I1066">
        <v>33</v>
      </c>
      <c r="J1066" t="s">
        <v>23</v>
      </c>
      <c r="K1066" s="3">
        <v>19078.259999999998</v>
      </c>
      <c r="L1066" t="b">
        <f>TablaDatos[[#This Row],[FechaAlta]] &lt; TablaDatos[[#This Row],[FechaIngreso]]</f>
        <v>0</v>
      </c>
      <c r="M1066">
        <f>_xlfn.XLOOKUP(TablaDatos[[#This Row],[PacienteID]],'Datos_Ejemplo.csv'!A:A,'Datos_Ejemplo.csv'!I:I)</f>
        <v>33</v>
      </c>
      <c r="N1066">
        <f>ABS(TablaDatos[[#This Row],[DiasOriginal]])</f>
        <v>33</v>
      </c>
      <c r="O1066" s="1">
        <f>TablaDatos[[#This Row],[FechaIngreso]]+TablaDatos[[#This Row],[DiasNuevo]]</f>
        <v>45410</v>
      </c>
    </row>
    <row r="1067" spans="1:15">
      <c r="A1067">
        <v>1066</v>
      </c>
      <c r="B1067" t="s">
        <v>294</v>
      </c>
      <c r="C1067" s="1">
        <v>35430</v>
      </c>
      <c r="D1067">
        <v>29</v>
      </c>
      <c r="E1067" s="4" t="s">
        <v>12</v>
      </c>
      <c r="F1067" t="s">
        <v>21</v>
      </c>
      <c r="G1067" s="1">
        <v>45023</v>
      </c>
      <c r="H1067" s="1">
        <f>TablaDatos[[#This Row],[FechaIngreso]]+TablaDatos[[#This Row],[DiasNuevo]]</f>
        <v>45056</v>
      </c>
      <c r="I1067">
        <v>33</v>
      </c>
      <c r="J1067" t="s">
        <v>23</v>
      </c>
      <c r="K1067" s="3">
        <v>2734.29</v>
      </c>
      <c r="L1067" t="b">
        <f>TablaDatos[[#This Row],[FechaAlta]] &lt; TablaDatos[[#This Row],[FechaIngreso]]</f>
        <v>0</v>
      </c>
      <c r="M1067">
        <f>_xlfn.XLOOKUP(TablaDatos[[#This Row],[PacienteID]],'Datos_Ejemplo.csv'!A:A,'Datos_Ejemplo.csv'!I:I)</f>
        <v>33</v>
      </c>
      <c r="N1067">
        <f>ABS(TablaDatos[[#This Row],[DiasOriginal]])</f>
        <v>33</v>
      </c>
      <c r="O1067" s="1">
        <f>TablaDatos[[#This Row],[FechaIngreso]]+TablaDatos[[#This Row],[DiasNuevo]]</f>
        <v>45056</v>
      </c>
    </row>
    <row r="1068" spans="1:15">
      <c r="A1068">
        <v>1067</v>
      </c>
      <c r="B1068" t="s">
        <v>291</v>
      </c>
      <c r="C1068" s="1">
        <v>33604</v>
      </c>
      <c r="D1068">
        <v>34</v>
      </c>
      <c r="E1068" s="4" t="s">
        <v>15</v>
      </c>
      <c r="F1068" t="s">
        <v>18</v>
      </c>
      <c r="G1068" s="1">
        <v>45489</v>
      </c>
      <c r="H1068" s="1">
        <f>TablaDatos[[#This Row],[FechaIngreso]]+TablaDatos[[#This Row],[DiasNuevo]]</f>
        <v>45526</v>
      </c>
      <c r="I1068">
        <v>37</v>
      </c>
      <c r="J1068" t="s">
        <v>25</v>
      </c>
      <c r="K1068" s="3">
        <v>13570.21</v>
      </c>
      <c r="L1068" t="b">
        <f>TablaDatos[[#This Row],[FechaAlta]] &lt; TablaDatos[[#This Row],[FechaIngreso]]</f>
        <v>0</v>
      </c>
      <c r="M1068">
        <f>_xlfn.XLOOKUP(TablaDatos[[#This Row],[PacienteID]],'Datos_Ejemplo.csv'!A:A,'Datos_Ejemplo.csv'!I:I)</f>
        <v>37</v>
      </c>
      <c r="N1068">
        <f>ABS(TablaDatos[[#This Row],[DiasOriginal]])</f>
        <v>37</v>
      </c>
      <c r="O1068" s="1">
        <f>TablaDatos[[#This Row],[FechaIngreso]]+TablaDatos[[#This Row],[DiasNuevo]]</f>
        <v>45526</v>
      </c>
    </row>
    <row r="1069" spans="1:15">
      <c r="A1069">
        <v>1068</v>
      </c>
      <c r="B1069" t="s">
        <v>311</v>
      </c>
      <c r="C1069" s="1">
        <v>15341</v>
      </c>
      <c r="D1069">
        <v>84</v>
      </c>
      <c r="E1069" s="4" t="s">
        <v>15</v>
      </c>
      <c r="F1069" t="s">
        <v>18</v>
      </c>
      <c r="G1069" s="1">
        <v>45240</v>
      </c>
      <c r="H1069" s="1">
        <f>TablaDatos[[#This Row],[FechaIngreso]]+TablaDatos[[#This Row],[DiasNuevo]]</f>
        <v>45267</v>
      </c>
      <c r="I1069">
        <v>27</v>
      </c>
      <c r="J1069" t="s">
        <v>23</v>
      </c>
      <c r="K1069" s="3">
        <v>3757.77</v>
      </c>
      <c r="L1069" t="b">
        <f>TablaDatos[[#This Row],[FechaAlta]] &lt; TablaDatos[[#This Row],[FechaIngreso]]</f>
        <v>0</v>
      </c>
      <c r="M1069">
        <f>_xlfn.XLOOKUP(TablaDatos[[#This Row],[PacienteID]],'Datos_Ejemplo.csv'!A:A,'Datos_Ejemplo.csv'!I:I)</f>
        <v>27</v>
      </c>
      <c r="N1069">
        <f>ABS(TablaDatos[[#This Row],[DiasOriginal]])</f>
        <v>27</v>
      </c>
      <c r="O1069" s="1">
        <f>TablaDatos[[#This Row],[FechaIngreso]]+TablaDatos[[#This Row],[DiasNuevo]]</f>
        <v>45267</v>
      </c>
    </row>
    <row r="1070" spans="1:15">
      <c r="A1070">
        <v>1069</v>
      </c>
      <c r="B1070" t="s">
        <v>363</v>
      </c>
      <c r="C1070" s="1">
        <v>32873</v>
      </c>
      <c r="D1070">
        <v>36</v>
      </c>
      <c r="E1070" s="4" t="s">
        <v>12</v>
      </c>
      <c r="F1070" t="s">
        <v>21</v>
      </c>
      <c r="G1070" s="1">
        <v>45472</v>
      </c>
      <c r="H1070" s="1">
        <f>TablaDatos[[#This Row],[FechaIngreso]]+TablaDatos[[#This Row],[DiasNuevo]]</f>
        <v>45507</v>
      </c>
      <c r="I1070">
        <v>35</v>
      </c>
      <c r="J1070" t="s">
        <v>23</v>
      </c>
      <c r="K1070" s="3">
        <v>4857.6099999999997</v>
      </c>
      <c r="L1070" t="b">
        <f>TablaDatos[[#This Row],[FechaAlta]] &lt; TablaDatos[[#This Row],[FechaIngreso]]</f>
        <v>0</v>
      </c>
      <c r="M1070">
        <f>_xlfn.XLOOKUP(TablaDatos[[#This Row],[PacienteID]],'Datos_Ejemplo.csv'!A:A,'Datos_Ejemplo.csv'!I:I)</f>
        <v>35</v>
      </c>
      <c r="N1070">
        <f>ABS(TablaDatos[[#This Row],[DiasOriginal]])</f>
        <v>35</v>
      </c>
      <c r="O1070" s="1">
        <f>TablaDatos[[#This Row],[FechaIngreso]]+TablaDatos[[#This Row],[DiasNuevo]]</f>
        <v>45507</v>
      </c>
    </row>
    <row r="1071" spans="1:15">
      <c r="A1071">
        <v>1070</v>
      </c>
      <c r="B1071" t="s">
        <v>257</v>
      </c>
      <c r="C1071" s="1">
        <v>44561</v>
      </c>
      <c r="D1071">
        <v>4</v>
      </c>
      <c r="E1071" s="4" t="s">
        <v>15</v>
      </c>
      <c r="F1071" t="s">
        <v>18</v>
      </c>
      <c r="G1071" s="1">
        <v>44947</v>
      </c>
      <c r="H1071" s="1">
        <f>TablaDatos[[#This Row],[FechaIngreso]]+TablaDatos[[#This Row],[DiasNuevo]]</f>
        <v>44967</v>
      </c>
      <c r="I1071">
        <v>20</v>
      </c>
      <c r="J1071" t="s">
        <v>23</v>
      </c>
      <c r="K1071" s="3">
        <v>15564.68</v>
      </c>
      <c r="L1071" t="b">
        <f>TablaDatos[[#This Row],[FechaAlta]] &lt; TablaDatos[[#This Row],[FechaIngreso]]</f>
        <v>0</v>
      </c>
      <c r="M1071">
        <f>_xlfn.XLOOKUP(TablaDatos[[#This Row],[PacienteID]],'Datos_Ejemplo.csv'!A:A,'Datos_Ejemplo.csv'!I:I)</f>
        <v>20</v>
      </c>
      <c r="N1071">
        <f>ABS(TablaDatos[[#This Row],[DiasOriginal]])</f>
        <v>20</v>
      </c>
      <c r="O1071" s="1">
        <f>TablaDatos[[#This Row],[FechaIngreso]]+TablaDatos[[#This Row],[DiasNuevo]]</f>
        <v>44967</v>
      </c>
    </row>
    <row r="1072" spans="1:15">
      <c r="A1072">
        <v>1071</v>
      </c>
      <c r="B1072" t="s">
        <v>237</v>
      </c>
      <c r="C1072" s="1">
        <v>16072</v>
      </c>
      <c r="D1072">
        <v>82</v>
      </c>
      <c r="E1072" s="4" t="s">
        <v>12</v>
      </c>
      <c r="F1072" t="s">
        <v>261</v>
      </c>
      <c r="G1072" s="1">
        <v>45622</v>
      </c>
      <c r="H1072" s="1">
        <f>TablaDatos[[#This Row],[FechaIngreso]]+TablaDatos[[#This Row],[DiasNuevo]]</f>
        <v>45630</v>
      </c>
      <c r="I1072">
        <v>8</v>
      </c>
      <c r="J1072" t="s">
        <v>19</v>
      </c>
      <c r="K1072" s="3">
        <v>7484.9</v>
      </c>
      <c r="L1072" t="b">
        <f>TablaDatos[[#This Row],[FechaAlta]] &lt; TablaDatos[[#This Row],[FechaIngreso]]</f>
        <v>0</v>
      </c>
      <c r="M1072">
        <f>_xlfn.XLOOKUP(TablaDatos[[#This Row],[PacienteID]],'Datos_Ejemplo.csv'!A:A,'Datos_Ejemplo.csv'!I:I)</f>
        <v>8</v>
      </c>
      <c r="N1072">
        <f>ABS(TablaDatos[[#This Row],[DiasOriginal]])</f>
        <v>8</v>
      </c>
      <c r="O1072" s="1">
        <f>TablaDatos[[#This Row],[FechaIngreso]]+TablaDatos[[#This Row],[DiasNuevo]]</f>
        <v>45630</v>
      </c>
    </row>
    <row r="1073" spans="1:15">
      <c r="A1073">
        <v>1072</v>
      </c>
      <c r="B1073" t="s">
        <v>258</v>
      </c>
      <c r="C1073" s="1">
        <v>17898</v>
      </c>
      <c r="D1073">
        <v>77</v>
      </c>
      <c r="E1073" s="4" t="s">
        <v>15</v>
      </c>
      <c r="F1073" t="s">
        <v>201</v>
      </c>
      <c r="G1073" s="1">
        <v>45502</v>
      </c>
      <c r="H1073" s="1">
        <f>TablaDatos[[#This Row],[FechaIngreso]]+TablaDatos[[#This Row],[DiasNuevo]]</f>
        <v>45524</v>
      </c>
      <c r="I1073">
        <v>22</v>
      </c>
      <c r="J1073" t="s">
        <v>23</v>
      </c>
      <c r="K1073" s="3">
        <v>43.26</v>
      </c>
      <c r="L1073" t="b">
        <f>TablaDatos[[#This Row],[FechaAlta]] &lt; TablaDatos[[#This Row],[FechaIngreso]]</f>
        <v>0</v>
      </c>
      <c r="M1073">
        <f>_xlfn.XLOOKUP(TablaDatos[[#This Row],[PacienteID]],'Datos_Ejemplo.csv'!A:A,'Datos_Ejemplo.csv'!I:I)</f>
        <v>22</v>
      </c>
      <c r="N1073">
        <f>ABS(TablaDatos[[#This Row],[DiasOriginal]])</f>
        <v>22</v>
      </c>
      <c r="O1073" s="1">
        <f>TablaDatos[[#This Row],[FechaIngreso]]+TablaDatos[[#This Row],[DiasNuevo]]</f>
        <v>45524</v>
      </c>
    </row>
    <row r="1074" spans="1:15">
      <c r="A1074">
        <v>1073</v>
      </c>
      <c r="B1074" t="s">
        <v>254</v>
      </c>
      <c r="C1074" s="1">
        <v>36891</v>
      </c>
      <c r="D1074">
        <v>25</v>
      </c>
      <c r="E1074" s="4" t="s">
        <v>12</v>
      </c>
      <c r="F1074" t="s">
        <v>295</v>
      </c>
      <c r="G1074" s="1">
        <v>45423</v>
      </c>
      <c r="H1074" s="1">
        <f>TablaDatos[[#This Row],[FechaIngreso]]+TablaDatos[[#This Row],[DiasNuevo]]</f>
        <v>45424</v>
      </c>
      <c r="I1074">
        <v>1</v>
      </c>
      <c r="J1074" t="s">
        <v>23</v>
      </c>
      <c r="K1074" s="3">
        <v>8226.19</v>
      </c>
      <c r="L1074" t="b">
        <f>TablaDatos[[#This Row],[FechaAlta]] &lt; TablaDatos[[#This Row],[FechaIngreso]]</f>
        <v>0</v>
      </c>
      <c r="M1074">
        <f>_xlfn.XLOOKUP(TablaDatos[[#This Row],[PacienteID]],'Datos_Ejemplo.csv'!A:A,'Datos_Ejemplo.csv'!I:I)</f>
        <v>-1</v>
      </c>
      <c r="N1074">
        <f>ABS(TablaDatos[[#This Row],[DiasOriginal]])</f>
        <v>1</v>
      </c>
      <c r="O1074" s="1">
        <f>TablaDatos[[#This Row],[FechaIngreso]]+TablaDatos[[#This Row],[DiasNuevo]]</f>
        <v>45424</v>
      </c>
    </row>
    <row r="1075" spans="1:15">
      <c r="A1075">
        <v>1074</v>
      </c>
      <c r="B1075" t="s">
        <v>335</v>
      </c>
      <c r="C1075" s="1">
        <v>23742</v>
      </c>
      <c r="D1075">
        <v>61</v>
      </c>
      <c r="E1075" s="4" t="s">
        <v>12</v>
      </c>
      <c r="F1075" t="s">
        <v>32</v>
      </c>
      <c r="G1075" s="1">
        <v>45329</v>
      </c>
      <c r="H1075" s="1">
        <f>TablaDatos[[#This Row],[FechaIngreso]]+TablaDatos[[#This Row],[DiasNuevo]]</f>
        <v>45361</v>
      </c>
      <c r="I1075">
        <v>32</v>
      </c>
      <c r="J1075" t="s">
        <v>19</v>
      </c>
      <c r="K1075" s="3">
        <v>4484.1899999999996</v>
      </c>
      <c r="L1075" t="b">
        <f>TablaDatos[[#This Row],[FechaAlta]] &lt; TablaDatos[[#This Row],[FechaIngreso]]</f>
        <v>0</v>
      </c>
      <c r="M1075">
        <f>_xlfn.XLOOKUP(TablaDatos[[#This Row],[PacienteID]],'Datos_Ejemplo.csv'!A:A,'Datos_Ejemplo.csv'!I:I)</f>
        <v>32</v>
      </c>
      <c r="N1075">
        <f>ABS(TablaDatos[[#This Row],[DiasOriginal]])</f>
        <v>32</v>
      </c>
      <c r="O1075" s="1">
        <f>TablaDatos[[#This Row],[FechaIngreso]]+TablaDatos[[#This Row],[DiasNuevo]]</f>
        <v>45361</v>
      </c>
    </row>
    <row r="1076" spans="1:15">
      <c r="A1076">
        <v>1075</v>
      </c>
      <c r="B1076" t="s">
        <v>326</v>
      </c>
      <c r="C1076" s="1">
        <v>44927</v>
      </c>
      <c r="D1076">
        <v>3</v>
      </c>
      <c r="E1076" s="4" t="s">
        <v>15</v>
      </c>
      <c r="F1076" t="s">
        <v>18</v>
      </c>
      <c r="G1076" s="1">
        <v>45050</v>
      </c>
      <c r="H1076" s="1">
        <f>TablaDatos[[#This Row],[FechaIngreso]]+TablaDatos[[#This Row],[DiasNuevo]]</f>
        <v>45071</v>
      </c>
      <c r="I1076">
        <v>21</v>
      </c>
      <c r="J1076" t="s">
        <v>23</v>
      </c>
      <c r="K1076" s="3">
        <v>13634.93</v>
      </c>
      <c r="L1076" t="b">
        <f>TablaDatos[[#This Row],[FechaAlta]] &lt; TablaDatos[[#This Row],[FechaIngreso]]</f>
        <v>0</v>
      </c>
      <c r="M1076">
        <f>_xlfn.XLOOKUP(TablaDatos[[#This Row],[PacienteID]],'Datos_Ejemplo.csv'!A:A,'Datos_Ejemplo.csv'!I:I)</f>
        <v>21</v>
      </c>
      <c r="N1076">
        <f>ABS(TablaDatos[[#This Row],[DiasOriginal]])</f>
        <v>21</v>
      </c>
      <c r="O1076" s="1">
        <f>TablaDatos[[#This Row],[FechaIngreso]]+TablaDatos[[#This Row],[DiasNuevo]]</f>
        <v>45071</v>
      </c>
    </row>
    <row r="1077" spans="1:15">
      <c r="A1077">
        <v>1076</v>
      </c>
      <c r="B1077" t="s">
        <v>311</v>
      </c>
      <c r="C1077" s="1">
        <v>13880</v>
      </c>
      <c r="D1077">
        <v>88</v>
      </c>
      <c r="E1077" s="4" t="s">
        <v>15</v>
      </c>
      <c r="F1077" t="s">
        <v>18</v>
      </c>
      <c r="G1077" s="1">
        <v>45539</v>
      </c>
      <c r="H1077" s="1">
        <f>TablaDatos[[#This Row],[FechaIngreso]]+TablaDatos[[#This Row],[DiasNuevo]]</f>
        <v>45549</v>
      </c>
      <c r="I1077">
        <v>10</v>
      </c>
      <c r="J1077" t="s">
        <v>23</v>
      </c>
      <c r="K1077" s="3">
        <v>3808.42</v>
      </c>
      <c r="L1077" t="b">
        <f>TablaDatos[[#This Row],[FechaAlta]] &lt; TablaDatos[[#This Row],[FechaIngreso]]</f>
        <v>0</v>
      </c>
      <c r="M1077">
        <f>_xlfn.XLOOKUP(TablaDatos[[#This Row],[PacienteID]],'Datos_Ejemplo.csv'!A:A,'Datos_Ejemplo.csv'!I:I)</f>
        <v>10</v>
      </c>
      <c r="N1077">
        <f>ABS(TablaDatos[[#This Row],[DiasOriginal]])</f>
        <v>10</v>
      </c>
      <c r="O1077" s="1">
        <f>TablaDatos[[#This Row],[FechaIngreso]]+TablaDatos[[#This Row],[DiasNuevo]]</f>
        <v>45549</v>
      </c>
    </row>
    <row r="1078" spans="1:15">
      <c r="A1078">
        <v>1077</v>
      </c>
      <c r="B1078" t="s">
        <v>255</v>
      </c>
      <c r="C1078" s="1">
        <v>31047</v>
      </c>
      <c r="D1078">
        <v>41</v>
      </c>
      <c r="E1078" s="4" t="s">
        <v>12</v>
      </c>
      <c r="F1078" t="s">
        <v>21</v>
      </c>
      <c r="G1078" s="1">
        <v>45045</v>
      </c>
      <c r="H1078" s="1">
        <f>TablaDatos[[#This Row],[FechaIngreso]]+TablaDatos[[#This Row],[DiasNuevo]]</f>
        <v>45084</v>
      </c>
      <c r="I1078">
        <v>39</v>
      </c>
      <c r="J1078" t="s">
        <v>19</v>
      </c>
      <c r="K1078" s="3">
        <v>16829.3</v>
      </c>
      <c r="L1078" t="b">
        <f>TablaDatos[[#This Row],[FechaAlta]] &lt; TablaDatos[[#This Row],[FechaIngreso]]</f>
        <v>0</v>
      </c>
      <c r="M1078">
        <f>_xlfn.XLOOKUP(TablaDatos[[#This Row],[PacienteID]],'Datos_Ejemplo.csv'!A:A,'Datos_Ejemplo.csv'!I:I)</f>
        <v>39</v>
      </c>
      <c r="N1078">
        <f>ABS(TablaDatos[[#This Row],[DiasOriginal]])</f>
        <v>39</v>
      </c>
      <c r="O1078" s="1">
        <f>TablaDatos[[#This Row],[FechaIngreso]]+TablaDatos[[#This Row],[DiasNuevo]]</f>
        <v>45084</v>
      </c>
    </row>
    <row r="1079" spans="1:15">
      <c r="A1079">
        <v>1078</v>
      </c>
      <c r="B1079" t="s">
        <v>341</v>
      </c>
      <c r="C1079" s="1">
        <v>13880</v>
      </c>
      <c r="D1079">
        <v>88</v>
      </c>
      <c r="E1079" s="4" t="s">
        <v>12</v>
      </c>
      <c r="F1079" t="s">
        <v>295</v>
      </c>
      <c r="G1079" s="1">
        <v>45516</v>
      </c>
      <c r="H1079" s="1">
        <f>TablaDatos[[#This Row],[FechaIngreso]]+TablaDatos[[#This Row],[DiasNuevo]]</f>
        <v>45550</v>
      </c>
      <c r="I1079">
        <v>34</v>
      </c>
      <c r="J1079" t="s">
        <v>19</v>
      </c>
      <c r="K1079" s="3">
        <v>5268.57</v>
      </c>
      <c r="L1079" t="b">
        <f>TablaDatos[[#This Row],[FechaAlta]] &lt; TablaDatos[[#This Row],[FechaIngreso]]</f>
        <v>0</v>
      </c>
      <c r="M1079">
        <f>_xlfn.XLOOKUP(TablaDatos[[#This Row],[PacienteID]],'Datos_Ejemplo.csv'!A:A,'Datos_Ejemplo.csv'!I:I)</f>
        <v>34</v>
      </c>
      <c r="N1079">
        <f>ABS(TablaDatos[[#This Row],[DiasOriginal]])</f>
        <v>34</v>
      </c>
      <c r="O1079" s="1">
        <f>TablaDatos[[#This Row],[FechaIngreso]]+TablaDatos[[#This Row],[DiasNuevo]]</f>
        <v>45550</v>
      </c>
    </row>
    <row r="1080" spans="1:15">
      <c r="A1080">
        <v>1079</v>
      </c>
      <c r="B1080" t="s">
        <v>283</v>
      </c>
      <c r="C1080" s="1">
        <f ca="1">DATE(YEAR(TODAY())-TablaDatos[[#This Row],[Edad]],1,1)</f>
        <v>39814</v>
      </c>
      <c r="D1080">
        <v>17</v>
      </c>
      <c r="E1080" s="4" t="s">
        <v>15</v>
      </c>
      <c r="F1080" t="s">
        <v>21</v>
      </c>
      <c r="G1080" s="1">
        <v>45619</v>
      </c>
      <c r="H1080" s="1">
        <f>TablaDatos[[#This Row],[FechaIngreso]]+TablaDatos[[#This Row],[DiasNuevo]]</f>
        <v>45646</v>
      </c>
      <c r="I1080">
        <v>27</v>
      </c>
      <c r="J1080" t="s">
        <v>23</v>
      </c>
      <c r="K1080" s="3">
        <v>7799.87</v>
      </c>
      <c r="L1080" t="b">
        <f>TablaDatos[[#This Row],[FechaAlta]] &lt; TablaDatos[[#This Row],[FechaIngreso]]</f>
        <v>0</v>
      </c>
      <c r="M1080">
        <f>_xlfn.XLOOKUP(TablaDatos[[#This Row],[PacienteID]],'Datos_Ejemplo.csv'!A:A,'Datos_Ejemplo.csv'!I:I)</f>
        <v>27</v>
      </c>
      <c r="N1080">
        <f>ABS(TablaDatos[[#This Row],[DiasOriginal]])</f>
        <v>27</v>
      </c>
      <c r="O1080" s="1">
        <f>TablaDatos[[#This Row],[FechaIngreso]]+TablaDatos[[#This Row],[DiasNuevo]]</f>
        <v>45646</v>
      </c>
    </row>
    <row r="1081" spans="1:15">
      <c r="A1081">
        <v>1080</v>
      </c>
      <c r="B1081" t="s">
        <v>49</v>
      </c>
      <c r="C1081" s="1">
        <v>31778</v>
      </c>
      <c r="D1081">
        <v>39</v>
      </c>
      <c r="E1081" s="4" t="s">
        <v>12</v>
      </c>
      <c r="F1081" t="s">
        <v>201</v>
      </c>
      <c r="G1081" s="1">
        <v>45637</v>
      </c>
      <c r="H1081" s="1">
        <f>TablaDatos[[#This Row],[FechaIngreso]]+TablaDatos[[#This Row],[DiasNuevo]]</f>
        <v>45645</v>
      </c>
      <c r="I1081">
        <v>8</v>
      </c>
      <c r="J1081" t="s">
        <v>23</v>
      </c>
      <c r="K1081" s="3">
        <v>5890.54</v>
      </c>
      <c r="L1081" t="b">
        <f>TablaDatos[[#This Row],[FechaAlta]] &lt; TablaDatos[[#This Row],[FechaIngreso]]</f>
        <v>0</v>
      </c>
      <c r="M1081">
        <f>_xlfn.XLOOKUP(TablaDatos[[#This Row],[PacienteID]],'Datos_Ejemplo.csv'!A:A,'Datos_Ejemplo.csv'!I:I)</f>
        <v>8</v>
      </c>
      <c r="N1081">
        <f>ABS(TablaDatos[[#This Row],[DiasOriginal]])</f>
        <v>8</v>
      </c>
      <c r="O1081" s="1">
        <f>TablaDatos[[#This Row],[FechaIngreso]]+TablaDatos[[#This Row],[DiasNuevo]]</f>
        <v>45645</v>
      </c>
    </row>
    <row r="1082" spans="1:15">
      <c r="A1082">
        <v>1081</v>
      </c>
      <c r="B1082" t="s">
        <v>309</v>
      </c>
      <c r="C1082" s="1">
        <v>20090</v>
      </c>
      <c r="D1082">
        <v>71</v>
      </c>
      <c r="E1082" s="4" t="s">
        <v>15</v>
      </c>
      <c r="F1082" t="s">
        <v>261</v>
      </c>
      <c r="G1082" s="1">
        <v>45403</v>
      </c>
      <c r="H1082" s="1">
        <f>TablaDatos[[#This Row],[FechaIngreso]]+TablaDatos[[#This Row],[DiasNuevo]]</f>
        <v>45423</v>
      </c>
      <c r="I1082">
        <v>20</v>
      </c>
      <c r="J1082" t="s">
        <v>23</v>
      </c>
      <c r="K1082" s="3">
        <v>12842.86</v>
      </c>
      <c r="L1082" t="b">
        <f>TablaDatos[[#This Row],[FechaAlta]] &lt; TablaDatos[[#This Row],[FechaIngreso]]</f>
        <v>0</v>
      </c>
      <c r="M1082">
        <f>_xlfn.XLOOKUP(TablaDatos[[#This Row],[PacienteID]],'Datos_Ejemplo.csv'!A:A,'Datos_Ejemplo.csv'!I:I)</f>
        <v>20</v>
      </c>
      <c r="N1082">
        <f>ABS(TablaDatos[[#This Row],[DiasOriginal]])</f>
        <v>20</v>
      </c>
      <c r="O1082" s="1">
        <f>TablaDatos[[#This Row],[FechaIngreso]]+TablaDatos[[#This Row],[DiasNuevo]]</f>
        <v>45423</v>
      </c>
    </row>
    <row r="1083" spans="1:15">
      <c r="A1083">
        <v>1082</v>
      </c>
      <c r="B1083" t="s">
        <v>269</v>
      </c>
      <c r="C1083" s="1">
        <v>32143</v>
      </c>
      <c r="D1083">
        <v>38</v>
      </c>
      <c r="E1083" s="4" t="s">
        <v>15</v>
      </c>
      <c r="F1083" t="s">
        <v>21</v>
      </c>
      <c r="G1083" s="1">
        <v>45628</v>
      </c>
      <c r="H1083" s="1">
        <f>TablaDatos[[#This Row],[FechaIngreso]]+TablaDatos[[#This Row],[DiasNuevo]]</f>
        <v>45653</v>
      </c>
      <c r="I1083">
        <v>25</v>
      </c>
      <c r="J1083" t="s">
        <v>23</v>
      </c>
      <c r="K1083" s="3">
        <v>1933.39</v>
      </c>
      <c r="L1083" t="b">
        <f>TablaDatos[[#This Row],[FechaAlta]] &lt; TablaDatos[[#This Row],[FechaIngreso]]</f>
        <v>0</v>
      </c>
      <c r="M1083">
        <f>_xlfn.XLOOKUP(TablaDatos[[#This Row],[PacienteID]],'Datos_Ejemplo.csv'!A:A,'Datos_Ejemplo.csv'!I:I)</f>
        <v>25</v>
      </c>
      <c r="N1083">
        <f>ABS(TablaDatos[[#This Row],[DiasOriginal]])</f>
        <v>25</v>
      </c>
      <c r="O1083" s="1">
        <f>TablaDatos[[#This Row],[FechaIngreso]]+TablaDatos[[#This Row],[DiasNuevo]]</f>
        <v>45653</v>
      </c>
    </row>
    <row r="1084" spans="1:15">
      <c r="A1084">
        <v>1083</v>
      </c>
      <c r="B1084" t="s">
        <v>67</v>
      </c>
      <c r="C1084" s="1">
        <v>41274</v>
      </c>
      <c r="D1084">
        <v>13</v>
      </c>
      <c r="E1084" s="4" t="s">
        <v>12</v>
      </c>
      <c r="F1084" t="s">
        <v>18</v>
      </c>
      <c r="G1084" s="1">
        <v>45029</v>
      </c>
      <c r="H1084" s="1">
        <f>TablaDatos[[#This Row],[FechaIngreso]]+TablaDatos[[#This Row],[DiasNuevo]]</f>
        <v>45055</v>
      </c>
      <c r="I1084">
        <v>26</v>
      </c>
      <c r="J1084" t="s">
        <v>25</v>
      </c>
      <c r="K1084" s="3">
        <v>9509.7999999999993</v>
      </c>
      <c r="L1084" t="b">
        <f>TablaDatos[[#This Row],[FechaAlta]] &lt; TablaDatos[[#This Row],[FechaIngreso]]</f>
        <v>0</v>
      </c>
      <c r="M1084">
        <f>_xlfn.XLOOKUP(TablaDatos[[#This Row],[PacienteID]],'Datos_Ejemplo.csv'!A:A,'Datos_Ejemplo.csv'!I:I)</f>
        <v>26</v>
      </c>
      <c r="N1084">
        <f>ABS(TablaDatos[[#This Row],[DiasOriginal]])</f>
        <v>26</v>
      </c>
      <c r="O1084" s="1">
        <f>TablaDatos[[#This Row],[FechaIngreso]]+TablaDatos[[#This Row],[DiasNuevo]]</f>
        <v>45055</v>
      </c>
    </row>
    <row r="1085" spans="1:15">
      <c r="A1085">
        <v>1084</v>
      </c>
      <c r="B1085" t="s">
        <v>306</v>
      </c>
      <c r="C1085" s="1">
        <v>34700</v>
      </c>
      <c r="D1085">
        <v>31</v>
      </c>
      <c r="E1085" s="4" t="s">
        <v>15</v>
      </c>
      <c r="F1085" t="s">
        <v>295</v>
      </c>
      <c r="G1085" s="1">
        <v>45259</v>
      </c>
      <c r="H1085" s="1">
        <f>TablaDatos[[#This Row],[FechaIngreso]]+TablaDatos[[#This Row],[DiasNuevo]]</f>
        <v>45271</v>
      </c>
      <c r="I1085">
        <v>12</v>
      </c>
      <c r="J1085" t="s">
        <v>23</v>
      </c>
      <c r="K1085" s="3">
        <v>6622.54</v>
      </c>
      <c r="L1085" t="b">
        <f>TablaDatos[[#This Row],[FechaAlta]] &lt; TablaDatos[[#This Row],[FechaIngreso]]</f>
        <v>0</v>
      </c>
      <c r="M1085">
        <f>_xlfn.XLOOKUP(TablaDatos[[#This Row],[PacienteID]],'Datos_Ejemplo.csv'!A:A,'Datos_Ejemplo.csv'!I:I)</f>
        <v>12</v>
      </c>
      <c r="N1085">
        <f>ABS(TablaDatos[[#This Row],[DiasOriginal]])</f>
        <v>12</v>
      </c>
      <c r="O1085" s="1">
        <f>TablaDatos[[#This Row],[FechaIngreso]]+TablaDatos[[#This Row],[DiasNuevo]]</f>
        <v>45271</v>
      </c>
    </row>
    <row r="1086" spans="1:15">
      <c r="A1086">
        <v>1085</v>
      </c>
      <c r="B1086" t="s">
        <v>111</v>
      </c>
      <c r="C1086" s="1">
        <v>27760</v>
      </c>
      <c r="D1086">
        <f ca="1">DATEDIF(TablaDatos[[#This Row],[FechaNacimiento]],TODAY(),"Y")</f>
        <v>50</v>
      </c>
      <c r="E1086" s="4" t="s">
        <v>12</v>
      </c>
      <c r="F1086" t="s">
        <v>261</v>
      </c>
      <c r="G1086" s="1">
        <v>45385</v>
      </c>
      <c r="H1086" s="1">
        <f>TablaDatos[[#This Row],[FechaIngreso]]+TablaDatos[[#This Row],[DiasNuevo]]</f>
        <v>45385</v>
      </c>
      <c r="I1086">
        <v>0</v>
      </c>
      <c r="J1086" t="s">
        <v>25</v>
      </c>
      <c r="K1086" s="3">
        <v>17671.169999999998</v>
      </c>
      <c r="L1086" t="b">
        <f>TablaDatos[[#This Row],[FechaAlta]] &lt; TablaDatos[[#This Row],[FechaIngreso]]</f>
        <v>0</v>
      </c>
      <c r="M1086">
        <f>_xlfn.XLOOKUP(TablaDatos[[#This Row],[PacienteID]],'Datos_Ejemplo.csv'!A:A,'Datos_Ejemplo.csv'!I:I)</f>
        <v>0</v>
      </c>
      <c r="N1086">
        <f>ABS(TablaDatos[[#This Row],[DiasOriginal]])</f>
        <v>0</v>
      </c>
      <c r="O1086" s="1">
        <f>TablaDatos[[#This Row],[FechaIngreso]]+TablaDatos[[#This Row],[DiasNuevo]]</f>
        <v>45385</v>
      </c>
    </row>
    <row r="1087" spans="1:15">
      <c r="A1087">
        <v>1086</v>
      </c>
      <c r="B1087" t="s">
        <v>286</v>
      </c>
      <c r="C1087" s="1">
        <v>32508</v>
      </c>
      <c r="D1087">
        <v>37</v>
      </c>
      <c r="E1087" s="4" t="s">
        <v>12</v>
      </c>
      <c r="F1087" t="s">
        <v>18</v>
      </c>
      <c r="G1087" s="1">
        <v>45056</v>
      </c>
      <c r="H1087" s="1">
        <f>TablaDatos[[#This Row],[FechaIngreso]]+TablaDatos[[#This Row],[DiasNuevo]]</f>
        <v>45062</v>
      </c>
      <c r="I1087">
        <v>6</v>
      </c>
      <c r="J1087" t="s">
        <v>25</v>
      </c>
      <c r="K1087" s="3">
        <v>1375.58</v>
      </c>
      <c r="L1087" t="b">
        <f>TablaDatos[[#This Row],[FechaAlta]] &lt; TablaDatos[[#This Row],[FechaIngreso]]</f>
        <v>0</v>
      </c>
      <c r="M1087">
        <f>_xlfn.XLOOKUP(TablaDatos[[#This Row],[PacienteID]],'Datos_Ejemplo.csv'!A:A,'Datos_Ejemplo.csv'!I:I)</f>
        <v>6</v>
      </c>
      <c r="N1087">
        <f>ABS(TablaDatos[[#This Row],[DiasOriginal]])</f>
        <v>6</v>
      </c>
      <c r="O1087" s="1">
        <f>TablaDatos[[#This Row],[FechaIngreso]]+TablaDatos[[#This Row],[DiasNuevo]]</f>
        <v>45062</v>
      </c>
    </row>
    <row r="1088" spans="1:15">
      <c r="A1088">
        <v>1087</v>
      </c>
      <c r="B1088" t="s">
        <v>262</v>
      </c>
      <c r="C1088" s="1">
        <v>37987</v>
      </c>
      <c r="D1088">
        <f ca="1">DATEDIF(TablaDatos[[#This Row],[FechaNacimiento]],TODAY(),"Y")</f>
        <v>22</v>
      </c>
      <c r="E1088" s="4" t="s">
        <v>12</v>
      </c>
      <c r="F1088" t="s">
        <v>261</v>
      </c>
      <c r="G1088" s="1">
        <v>45060</v>
      </c>
      <c r="H1088" s="1">
        <f>TablaDatos[[#This Row],[FechaIngreso]]+TablaDatos[[#This Row],[DiasNuevo]]</f>
        <v>45065</v>
      </c>
      <c r="I1088">
        <v>5</v>
      </c>
      <c r="J1088" t="s">
        <v>19</v>
      </c>
      <c r="K1088" s="3">
        <v>16576.87</v>
      </c>
      <c r="L1088" t="b">
        <f>TablaDatos[[#This Row],[FechaAlta]] &lt; TablaDatos[[#This Row],[FechaIngreso]]</f>
        <v>0</v>
      </c>
      <c r="M1088">
        <f>_xlfn.XLOOKUP(TablaDatos[[#This Row],[PacienteID]],'Datos_Ejemplo.csv'!A:A,'Datos_Ejemplo.csv'!I:I)</f>
        <v>5</v>
      </c>
      <c r="N1088">
        <f>ABS(TablaDatos[[#This Row],[DiasOriginal]])</f>
        <v>5</v>
      </c>
      <c r="O1088" s="1">
        <f>TablaDatos[[#This Row],[FechaIngreso]]+TablaDatos[[#This Row],[DiasNuevo]]</f>
        <v>45065</v>
      </c>
    </row>
    <row r="1089" spans="1:15">
      <c r="A1089">
        <v>1088</v>
      </c>
      <c r="B1089" t="s">
        <v>164</v>
      </c>
      <c r="C1089" s="1">
        <v>23377</v>
      </c>
      <c r="D1089">
        <v>62</v>
      </c>
      <c r="E1089" s="4" t="s">
        <v>12</v>
      </c>
      <c r="F1089" t="s">
        <v>18</v>
      </c>
      <c r="G1089" s="1">
        <v>45083</v>
      </c>
      <c r="H1089" s="1">
        <f>TablaDatos[[#This Row],[FechaIngreso]]+TablaDatos[[#This Row],[DiasNuevo]]</f>
        <v>45113</v>
      </c>
      <c r="I1089">
        <v>30</v>
      </c>
      <c r="J1089" t="s">
        <v>19</v>
      </c>
      <c r="K1089" s="3">
        <v>3270.38</v>
      </c>
      <c r="L1089" t="b">
        <f>TablaDatos[[#This Row],[FechaAlta]] &lt; TablaDatos[[#This Row],[FechaIngreso]]</f>
        <v>0</v>
      </c>
      <c r="M1089">
        <f>_xlfn.XLOOKUP(TablaDatos[[#This Row],[PacienteID]],'Datos_Ejemplo.csv'!A:A,'Datos_Ejemplo.csv'!I:I)</f>
        <v>30</v>
      </c>
      <c r="N1089">
        <f>ABS(TablaDatos[[#This Row],[DiasOriginal]])</f>
        <v>30</v>
      </c>
      <c r="O1089" s="1">
        <f>TablaDatos[[#This Row],[FechaIngreso]]+TablaDatos[[#This Row],[DiasNuevo]]</f>
        <v>45113</v>
      </c>
    </row>
    <row r="1090" spans="1:15">
      <c r="A1090">
        <v>1089</v>
      </c>
      <c r="B1090" t="s">
        <v>264</v>
      </c>
      <c r="C1090" s="1">
        <v>40909</v>
      </c>
      <c r="D1090">
        <v>14</v>
      </c>
      <c r="E1090" s="4" t="s">
        <v>12</v>
      </c>
      <c r="F1090" t="s">
        <v>18</v>
      </c>
      <c r="G1090" s="1">
        <v>45351</v>
      </c>
      <c r="H1090" s="1">
        <f>TablaDatos[[#This Row],[FechaIngreso]]+TablaDatos[[#This Row],[DiasNuevo]]</f>
        <v>45382</v>
      </c>
      <c r="I1090">
        <v>31</v>
      </c>
      <c r="J1090" t="s">
        <v>23</v>
      </c>
      <c r="K1090" s="3">
        <v>1680.41</v>
      </c>
      <c r="L1090" t="b">
        <f>TablaDatos[[#This Row],[FechaAlta]] &lt; TablaDatos[[#This Row],[FechaIngreso]]</f>
        <v>0</v>
      </c>
      <c r="M1090">
        <f>_xlfn.XLOOKUP(TablaDatos[[#This Row],[PacienteID]],'Datos_Ejemplo.csv'!A:A,'Datos_Ejemplo.csv'!I:I)</f>
        <v>31</v>
      </c>
      <c r="N1090">
        <f>ABS(TablaDatos[[#This Row],[DiasOriginal]])</f>
        <v>31</v>
      </c>
      <c r="O1090" s="1">
        <f>TablaDatos[[#This Row],[FechaIngreso]]+TablaDatos[[#This Row],[DiasNuevo]]</f>
        <v>45382</v>
      </c>
    </row>
    <row r="1091" spans="1:15">
      <c r="A1091">
        <v>1090</v>
      </c>
      <c r="B1091" t="s">
        <v>303</v>
      </c>
      <c r="C1091" s="1">
        <v>37256</v>
      </c>
      <c r="D1091">
        <v>24</v>
      </c>
      <c r="E1091" s="4" t="s">
        <v>12</v>
      </c>
      <c r="F1091" t="s">
        <v>18</v>
      </c>
      <c r="G1091" s="1">
        <v>45361</v>
      </c>
      <c r="H1091" s="1">
        <f>TablaDatos[[#This Row],[FechaIngreso]]+TablaDatos[[#This Row],[DiasNuevo]]</f>
        <v>45367</v>
      </c>
      <c r="I1091">
        <v>6</v>
      </c>
      <c r="J1091" t="s">
        <v>23</v>
      </c>
      <c r="K1091" s="3">
        <v>3966.69</v>
      </c>
      <c r="L1091" t="b">
        <f>TablaDatos[[#This Row],[FechaAlta]] &lt; TablaDatos[[#This Row],[FechaIngreso]]</f>
        <v>0</v>
      </c>
      <c r="M1091">
        <f>_xlfn.XLOOKUP(TablaDatos[[#This Row],[PacienteID]],'Datos_Ejemplo.csv'!A:A,'Datos_Ejemplo.csv'!I:I)</f>
        <v>6</v>
      </c>
      <c r="N1091">
        <f>ABS(TablaDatos[[#This Row],[DiasOriginal]])</f>
        <v>6</v>
      </c>
      <c r="O1091" s="1">
        <f>TablaDatos[[#This Row],[FechaIngreso]]+TablaDatos[[#This Row],[DiasNuevo]]</f>
        <v>45367</v>
      </c>
    </row>
    <row r="1092" spans="1:15">
      <c r="A1092">
        <v>1091</v>
      </c>
      <c r="B1092" t="s">
        <v>152</v>
      </c>
      <c r="C1092" s="1">
        <v>40178</v>
      </c>
      <c r="D1092">
        <v>16</v>
      </c>
      <c r="E1092" s="4" t="s">
        <v>12</v>
      </c>
      <c r="F1092" t="s">
        <v>32</v>
      </c>
      <c r="G1092" s="1">
        <v>45315</v>
      </c>
      <c r="H1092" s="1">
        <f>TablaDatos[[#This Row],[FechaIngreso]]+TablaDatos[[#This Row],[DiasNuevo]]</f>
        <v>45329</v>
      </c>
      <c r="I1092">
        <v>14</v>
      </c>
      <c r="J1092" t="s">
        <v>23</v>
      </c>
      <c r="K1092" s="3">
        <v>1963.32</v>
      </c>
      <c r="L1092" t="b">
        <f>TablaDatos[[#This Row],[FechaAlta]] &lt; TablaDatos[[#This Row],[FechaIngreso]]</f>
        <v>0</v>
      </c>
      <c r="M1092">
        <f>_xlfn.XLOOKUP(TablaDatos[[#This Row],[PacienteID]],'Datos_Ejemplo.csv'!A:A,'Datos_Ejemplo.csv'!I:I)</f>
        <v>14</v>
      </c>
      <c r="N1092">
        <f>ABS(TablaDatos[[#This Row],[DiasOriginal]])</f>
        <v>14</v>
      </c>
      <c r="O1092" s="1">
        <f>TablaDatos[[#This Row],[FechaIngreso]]+TablaDatos[[#This Row],[DiasNuevo]]</f>
        <v>45329</v>
      </c>
    </row>
    <row r="1093" spans="1:15">
      <c r="A1093">
        <v>1092</v>
      </c>
      <c r="B1093" t="s">
        <v>278</v>
      </c>
      <c r="C1093" s="1">
        <v>22281</v>
      </c>
      <c r="D1093">
        <v>65</v>
      </c>
      <c r="E1093" s="4" t="s">
        <v>197</v>
      </c>
      <c r="F1093" t="s">
        <v>13</v>
      </c>
      <c r="G1093" s="1">
        <v>45244</v>
      </c>
      <c r="H1093" s="1">
        <f>TablaDatos[[#This Row],[FechaIngreso]]+TablaDatos[[#This Row],[DiasNuevo]]</f>
        <v>45282</v>
      </c>
      <c r="I1093">
        <v>38</v>
      </c>
      <c r="J1093" t="s">
        <v>25</v>
      </c>
      <c r="K1093" s="3">
        <v>10371.780000000001</v>
      </c>
      <c r="L1093" t="b">
        <f>TablaDatos[[#This Row],[FechaAlta]] &lt; TablaDatos[[#This Row],[FechaIngreso]]</f>
        <v>0</v>
      </c>
      <c r="M1093">
        <f>_xlfn.XLOOKUP(TablaDatos[[#This Row],[PacienteID]],'Datos_Ejemplo.csv'!A:A,'Datos_Ejemplo.csv'!I:I)</f>
        <v>38</v>
      </c>
      <c r="N1093">
        <f>ABS(TablaDatos[[#This Row],[DiasOriginal]])</f>
        <v>38</v>
      </c>
      <c r="O1093" s="1">
        <f>TablaDatos[[#This Row],[FechaIngreso]]+TablaDatos[[#This Row],[DiasNuevo]]</f>
        <v>45282</v>
      </c>
    </row>
    <row r="1094" spans="1:15">
      <c r="A1094">
        <v>1093</v>
      </c>
      <c r="B1094" t="s">
        <v>271</v>
      </c>
      <c r="C1094" s="1">
        <v>17898</v>
      </c>
      <c r="D1094">
        <v>77</v>
      </c>
      <c r="E1094" s="4" t="s">
        <v>12</v>
      </c>
      <c r="F1094" t="s">
        <v>295</v>
      </c>
      <c r="G1094" s="1">
        <v>45596</v>
      </c>
      <c r="H1094" s="1">
        <f>TablaDatos[[#This Row],[FechaIngreso]]+TablaDatos[[#This Row],[DiasNuevo]]</f>
        <v>45598</v>
      </c>
      <c r="I1094">
        <v>2</v>
      </c>
      <c r="J1094" t="s">
        <v>25</v>
      </c>
      <c r="K1094" s="3">
        <v>19763.12</v>
      </c>
      <c r="L1094" t="b">
        <f>TablaDatos[[#This Row],[FechaAlta]] &lt; TablaDatos[[#This Row],[FechaIngreso]]</f>
        <v>0</v>
      </c>
      <c r="M1094">
        <f>_xlfn.XLOOKUP(TablaDatos[[#This Row],[PacienteID]],'Datos_Ejemplo.csv'!A:A,'Datos_Ejemplo.csv'!I:I)</f>
        <v>-2</v>
      </c>
      <c r="N1094">
        <f>ABS(TablaDatos[[#This Row],[DiasOriginal]])</f>
        <v>2</v>
      </c>
      <c r="O1094" s="1">
        <f>TablaDatos[[#This Row],[FechaIngreso]]+TablaDatos[[#This Row],[DiasNuevo]]</f>
        <v>45598</v>
      </c>
    </row>
    <row r="1095" spans="1:15">
      <c r="A1095">
        <v>1094</v>
      </c>
      <c r="B1095" t="s">
        <v>363</v>
      </c>
      <c r="C1095" s="1">
        <v>27029</v>
      </c>
      <c r="D1095">
        <v>52</v>
      </c>
      <c r="E1095" s="4" t="s">
        <v>15</v>
      </c>
      <c r="F1095" t="s">
        <v>201</v>
      </c>
      <c r="G1095" s="1">
        <v>45431</v>
      </c>
      <c r="H1095" s="1">
        <f>TablaDatos[[#This Row],[FechaIngreso]]+TablaDatos[[#This Row],[DiasNuevo]]</f>
        <v>45468</v>
      </c>
      <c r="I1095">
        <v>37</v>
      </c>
      <c r="J1095" t="s">
        <v>23</v>
      </c>
      <c r="K1095" s="3">
        <v>589.98</v>
      </c>
      <c r="L1095" t="b">
        <f>TablaDatos[[#This Row],[FechaAlta]] &lt; TablaDatos[[#This Row],[FechaIngreso]]</f>
        <v>0</v>
      </c>
      <c r="M1095">
        <f>_xlfn.XLOOKUP(TablaDatos[[#This Row],[PacienteID]],'Datos_Ejemplo.csv'!A:A,'Datos_Ejemplo.csv'!I:I)</f>
        <v>37</v>
      </c>
      <c r="N1095">
        <f>ABS(TablaDatos[[#This Row],[DiasOriginal]])</f>
        <v>37</v>
      </c>
      <c r="O1095" s="1">
        <f>TablaDatos[[#This Row],[FechaIngreso]]+TablaDatos[[#This Row],[DiasNuevo]]</f>
        <v>45468</v>
      </c>
    </row>
    <row r="1096" spans="1:15">
      <c r="A1096">
        <v>1095</v>
      </c>
      <c r="B1096" t="s">
        <v>275</v>
      </c>
      <c r="C1096" s="1">
        <v>27760</v>
      </c>
      <c r="D1096">
        <v>50</v>
      </c>
      <c r="E1096" s="4" t="s">
        <v>12</v>
      </c>
      <c r="F1096" t="s">
        <v>32</v>
      </c>
      <c r="G1096" s="1">
        <v>45116</v>
      </c>
      <c r="H1096" s="1">
        <f>TablaDatos[[#This Row],[FechaIngreso]]+TablaDatos[[#This Row],[DiasNuevo]]</f>
        <v>45118</v>
      </c>
      <c r="I1096">
        <v>2</v>
      </c>
      <c r="J1096" t="s">
        <v>19</v>
      </c>
      <c r="K1096" s="3">
        <v>9168.68</v>
      </c>
      <c r="L1096" t="b">
        <f>TablaDatos[[#This Row],[FechaAlta]] &lt; TablaDatos[[#This Row],[FechaIngreso]]</f>
        <v>0</v>
      </c>
      <c r="M1096">
        <f>_xlfn.XLOOKUP(TablaDatos[[#This Row],[PacienteID]],'Datos_Ejemplo.csv'!A:A,'Datos_Ejemplo.csv'!I:I)</f>
        <v>2</v>
      </c>
      <c r="N1096">
        <f>ABS(TablaDatos[[#This Row],[DiasOriginal]])</f>
        <v>2</v>
      </c>
      <c r="O1096" s="1">
        <f>TablaDatos[[#This Row],[FechaIngreso]]+TablaDatos[[#This Row],[DiasNuevo]]</f>
        <v>45118</v>
      </c>
    </row>
    <row r="1097" spans="1:15">
      <c r="A1097">
        <v>1096</v>
      </c>
      <c r="B1097" t="s">
        <v>266</v>
      </c>
      <c r="C1097" s="1">
        <v>32143</v>
      </c>
      <c r="D1097">
        <v>38</v>
      </c>
      <c r="E1097" s="4" t="s">
        <v>12</v>
      </c>
      <c r="F1097" t="s">
        <v>13</v>
      </c>
      <c r="G1097" s="1">
        <v>45538</v>
      </c>
      <c r="H1097" s="1">
        <f>TablaDatos[[#This Row],[FechaIngreso]]+TablaDatos[[#This Row],[DiasNuevo]]</f>
        <v>45565</v>
      </c>
      <c r="I1097">
        <v>27</v>
      </c>
      <c r="J1097" t="s">
        <v>23</v>
      </c>
      <c r="K1097" s="3">
        <v>7660.01</v>
      </c>
      <c r="L1097" t="b">
        <f>TablaDatos[[#This Row],[FechaAlta]] &lt; TablaDatos[[#This Row],[FechaIngreso]]</f>
        <v>0</v>
      </c>
      <c r="M1097">
        <f>_xlfn.XLOOKUP(TablaDatos[[#This Row],[PacienteID]],'Datos_Ejemplo.csv'!A:A,'Datos_Ejemplo.csv'!I:I)</f>
        <v>27</v>
      </c>
      <c r="N1097">
        <f>ABS(TablaDatos[[#This Row],[DiasOriginal]])</f>
        <v>27</v>
      </c>
      <c r="O1097" s="1">
        <f>TablaDatos[[#This Row],[FechaIngreso]]+TablaDatos[[#This Row],[DiasNuevo]]</f>
        <v>45565</v>
      </c>
    </row>
    <row r="1098" spans="1:15">
      <c r="A1098">
        <v>1097</v>
      </c>
      <c r="B1098" t="s">
        <v>367</v>
      </c>
      <c r="C1098" s="1">
        <v>27760</v>
      </c>
      <c r="D1098">
        <v>50</v>
      </c>
      <c r="E1098" s="4" t="s">
        <v>12</v>
      </c>
      <c r="F1098" t="s">
        <v>261</v>
      </c>
      <c r="G1098" s="1">
        <v>45337</v>
      </c>
      <c r="H1098" s="1">
        <f>TablaDatos[[#This Row],[FechaIngreso]]+TablaDatos[[#This Row],[DiasNuevo]]</f>
        <v>45345</v>
      </c>
      <c r="I1098">
        <v>8</v>
      </c>
      <c r="J1098" t="s">
        <v>23</v>
      </c>
      <c r="K1098" s="3">
        <v>6726.09</v>
      </c>
      <c r="L1098" t="b">
        <f>TablaDatos[[#This Row],[FechaAlta]] &lt; TablaDatos[[#This Row],[FechaIngreso]]</f>
        <v>0</v>
      </c>
      <c r="M1098">
        <f>_xlfn.XLOOKUP(TablaDatos[[#This Row],[PacienteID]],'Datos_Ejemplo.csv'!A:A,'Datos_Ejemplo.csv'!I:I)</f>
        <v>8</v>
      </c>
      <c r="N1098">
        <f>ABS(TablaDatos[[#This Row],[DiasOriginal]])</f>
        <v>8</v>
      </c>
      <c r="O1098" s="1">
        <f>TablaDatos[[#This Row],[FechaIngreso]]+TablaDatos[[#This Row],[DiasNuevo]]</f>
        <v>45345</v>
      </c>
    </row>
    <row r="1099" spans="1:15">
      <c r="A1099">
        <v>1098</v>
      </c>
      <c r="B1099" t="s">
        <v>262</v>
      </c>
      <c r="C1099" s="1">
        <v>20820</v>
      </c>
      <c r="D1099">
        <v>69</v>
      </c>
      <c r="E1099" s="4" t="s">
        <v>12</v>
      </c>
      <c r="F1099" t="s">
        <v>13</v>
      </c>
      <c r="G1099" s="1">
        <v>44978</v>
      </c>
      <c r="H1099" s="1">
        <f>TablaDatos[[#This Row],[FechaIngreso]]+TablaDatos[[#This Row],[DiasNuevo]]</f>
        <v>45003</v>
      </c>
      <c r="I1099">
        <v>25</v>
      </c>
      <c r="J1099" t="s">
        <v>23</v>
      </c>
      <c r="K1099" s="3">
        <v>6570.46</v>
      </c>
      <c r="L1099" t="b">
        <f>TablaDatos[[#This Row],[FechaAlta]] &lt; TablaDatos[[#This Row],[FechaIngreso]]</f>
        <v>0</v>
      </c>
      <c r="M1099">
        <f>_xlfn.XLOOKUP(TablaDatos[[#This Row],[PacienteID]],'Datos_Ejemplo.csv'!A:A,'Datos_Ejemplo.csv'!I:I)</f>
        <v>25</v>
      </c>
      <c r="N1099">
        <f>ABS(TablaDatos[[#This Row],[DiasOriginal]])</f>
        <v>25</v>
      </c>
      <c r="O1099" s="1">
        <f>TablaDatos[[#This Row],[FechaIngreso]]+TablaDatos[[#This Row],[DiasNuevo]]</f>
        <v>45003</v>
      </c>
    </row>
    <row r="1100" spans="1:15">
      <c r="A1100">
        <v>1099</v>
      </c>
      <c r="B1100" t="s">
        <v>283</v>
      </c>
      <c r="C1100" s="1">
        <v>44196</v>
      </c>
      <c r="D1100">
        <v>5</v>
      </c>
      <c r="E1100" s="4" t="s">
        <v>12</v>
      </c>
      <c r="F1100" t="s">
        <v>13</v>
      </c>
      <c r="G1100" s="1">
        <v>45487</v>
      </c>
      <c r="H1100" s="1">
        <f>TablaDatos[[#This Row],[FechaIngreso]]+TablaDatos[[#This Row],[DiasNuevo]]</f>
        <v>45522</v>
      </c>
      <c r="I1100">
        <v>35</v>
      </c>
      <c r="J1100" t="s">
        <v>23</v>
      </c>
      <c r="K1100" s="3">
        <v>17889.759999999998</v>
      </c>
      <c r="L1100" t="b">
        <f>TablaDatos[[#This Row],[FechaAlta]] &lt; TablaDatos[[#This Row],[FechaIngreso]]</f>
        <v>0</v>
      </c>
      <c r="M1100">
        <f>_xlfn.XLOOKUP(TablaDatos[[#This Row],[PacienteID]],'Datos_Ejemplo.csv'!A:A,'Datos_Ejemplo.csv'!I:I)</f>
        <v>35</v>
      </c>
      <c r="N1100">
        <f>ABS(TablaDatos[[#This Row],[DiasOriginal]])</f>
        <v>35</v>
      </c>
      <c r="O1100" s="1">
        <f>TablaDatos[[#This Row],[FechaIngreso]]+TablaDatos[[#This Row],[DiasNuevo]]</f>
        <v>45522</v>
      </c>
    </row>
    <row r="1101" spans="1:15">
      <c r="A1101">
        <v>1100</v>
      </c>
      <c r="B1101" t="s">
        <v>363</v>
      </c>
      <c r="C1101" s="1">
        <v>21916</v>
      </c>
      <c r="D1101">
        <v>66</v>
      </c>
      <c r="E1101" s="4" t="s">
        <v>197</v>
      </c>
      <c r="F1101" t="s">
        <v>32</v>
      </c>
      <c r="G1101" s="1">
        <v>45372</v>
      </c>
      <c r="H1101" s="1">
        <f>TablaDatos[[#This Row],[FechaIngreso]]+TablaDatos[[#This Row],[DiasNuevo]]</f>
        <v>45386</v>
      </c>
      <c r="I1101">
        <v>14</v>
      </c>
      <c r="J1101" t="s">
        <v>19</v>
      </c>
      <c r="K1101" s="3">
        <v>281.42</v>
      </c>
      <c r="L1101" t="b">
        <f>TablaDatos[[#This Row],[FechaAlta]] &lt; TablaDatos[[#This Row],[FechaIngreso]]</f>
        <v>0</v>
      </c>
      <c r="M1101">
        <f>_xlfn.XLOOKUP(TablaDatos[[#This Row],[PacienteID]],'Datos_Ejemplo.csv'!A:A,'Datos_Ejemplo.csv'!I:I)</f>
        <v>14</v>
      </c>
      <c r="N1101">
        <f>ABS(TablaDatos[[#This Row],[DiasOriginal]])</f>
        <v>14</v>
      </c>
      <c r="O1101" s="1">
        <f>TablaDatos[[#This Row],[FechaIngreso]]+TablaDatos[[#This Row],[DiasNuevo]]</f>
        <v>45386</v>
      </c>
    </row>
    <row r="1102" spans="1:15">
      <c r="A1102">
        <v>1101</v>
      </c>
      <c r="B1102" t="s">
        <v>294</v>
      </c>
      <c r="C1102" s="1">
        <v>43831</v>
      </c>
      <c r="D1102">
        <f ca="1">DATEDIF(TablaDatos[[#This Row],[FechaNacimiento]],TODAY(),"Y")</f>
        <v>6</v>
      </c>
      <c r="E1102" s="4" t="s">
        <v>15</v>
      </c>
      <c r="F1102" t="s">
        <v>295</v>
      </c>
      <c r="G1102" s="1">
        <v>45538</v>
      </c>
      <c r="H1102" s="1">
        <f>TablaDatos[[#This Row],[FechaIngreso]]+TablaDatos[[#This Row],[DiasNuevo]]</f>
        <v>45558</v>
      </c>
      <c r="I1102">
        <v>20</v>
      </c>
      <c r="J1102" t="s">
        <v>23</v>
      </c>
      <c r="K1102" s="3">
        <v>15475.82</v>
      </c>
      <c r="L1102" t="b">
        <f>TablaDatos[[#This Row],[FechaAlta]] &lt; TablaDatos[[#This Row],[FechaIngreso]]</f>
        <v>0</v>
      </c>
      <c r="M1102">
        <f>_xlfn.XLOOKUP(TablaDatos[[#This Row],[PacienteID]],'Datos_Ejemplo.csv'!A:A,'Datos_Ejemplo.csv'!I:I)</f>
        <v>20</v>
      </c>
      <c r="N1102">
        <f>ABS(TablaDatos[[#This Row],[DiasOriginal]])</f>
        <v>20</v>
      </c>
      <c r="O1102" s="1">
        <f>TablaDatos[[#This Row],[FechaIngreso]]+TablaDatos[[#This Row],[DiasNuevo]]</f>
        <v>45558</v>
      </c>
    </row>
    <row r="1103" spans="1:15">
      <c r="A1103">
        <v>1102</v>
      </c>
      <c r="B1103" t="s">
        <v>252</v>
      </c>
      <c r="C1103" s="1">
        <v>27760</v>
      </c>
      <c r="D1103">
        <v>50</v>
      </c>
      <c r="E1103" s="4" t="s">
        <v>12</v>
      </c>
      <c r="F1103" t="s">
        <v>21</v>
      </c>
      <c r="G1103" s="1">
        <v>45370</v>
      </c>
      <c r="H1103" s="1">
        <f>TablaDatos[[#This Row],[FechaIngreso]]+TablaDatos[[#This Row],[DiasNuevo]]</f>
        <v>45385</v>
      </c>
      <c r="I1103">
        <v>15</v>
      </c>
      <c r="J1103" t="s">
        <v>23</v>
      </c>
      <c r="K1103" s="3">
        <v>4983.96</v>
      </c>
      <c r="L1103" t="b">
        <f>TablaDatos[[#This Row],[FechaAlta]] &lt; TablaDatos[[#This Row],[FechaIngreso]]</f>
        <v>0</v>
      </c>
      <c r="M1103">
        <f>_xlfn.XLOOKUP(TablaDatos[[#This Row],[PacienteID]],'Datos_Ejemplo.csv'!A:A,'Datos_Ejemplo.csv'!I:I)</f>
        <v>15</v>
      </c>
      <c r="N1103">
        <f>ABS(TablaDatos[[#This Row],[DiasOriginal]])</f>
        <v>15</v>
      </c>
      <c r="O1103" s="1">
        <f>TablaDatos[[#This Row],[FechaIngreso]]+TablaDatos[[#This Row],[DiasNuevo]]</f>
        <v>45385</v>
      </c>
    </row>
    <row r="1104" spans="1:15">
      <c r="A1104">
        <v>1103</v>
      </c>
      <c r="B1104" t="s">
        <v>61</v>
      </c>
      <c r="C1104" s="1">
        <v>20090</v>
      </c>
      <c r="D1104">
        <v>71</v>
      </c>
      <c r="E1104" s="4" t="s">
        <v>15</v>
      </c>
      <c r="F1104" t="s">
        <v>13</v>
      </c>
      <c r="G1104" s="1">
        <v>45308</v>
      </c>
      <c r="H1104" s="1">
        <f>TablaDatos[[#This Row],[FechaIngreso]]+TablaDatos[[#This Row],[DiasNuevo]]</f>
        <v>45342</v>
      </c>
      <c r="I1104">
        <v>34</v>
      </c>
      <c r="J1104" t="s">
        <v>19</v>
      </c>
      <c r="K1104" s="3">
        <v>7604.24</v>
      </c>
      <c r="L1104" t="b">
        <f>TablaDatos[[#This Row],[FechaAlta]] &lt; TablaDatos[[#This Row],[FechaIngreso]]</f>
        <v>0</v>
      </c>
      <c r="M1104">
        <f>_xlfn.XLOOKUP(TablaDatos[[#This Row],[PacienteID]],'Datos_Ejemplo.csv'!A:A,'Datos_Ejemplo.csv'!I:I)</f>
        <v>34</v>
      </c>
      <c r="N1104">
        <f>ABS(TablaDatos[[#This Row],[DiasOriginal]])</f>
        <v>34</v>
      </c>
      <c r="O1104" s="1">
        <f>TablaDatos[[#This Row],[FechaIngreso]]+TablaDatos[[#This Row],[DiasNuevo]]</f>
        <v>45342</v>
      </c>
    </row>
    <row r="1105" spans="1:15">
      <c r="A1105">
        <v>1104</v>
      </c>
      <c r="B1105" t="s">
        <v>146</v>
      </c>
      <c r="C1105" s="1">
        <v>31047</v>
      </c>
      <c r="D1105">
        <v>41</v>
      </c>
      <c r="E1105" s="4" t="s">
        <v>12</v>
      </c>
      <c r="F1105" t="s">
        <v>21</v>
      </c>
      <c r="G1105" s="1">
        <v>45300</v>
      </c>
      <c r="H1105" s="1">
        <f>TablaDatos[[#This Row],[FechaIngreso]]+TablaDatos[[#This Row],[DiasNuevo]]</f>
        <v>45324</v>
      </c>
      <c r="I1105">
        <v>24</v>
      </c>
      <c r="J1105" t="s">
        <v>23</v>
      </c>
      <c r="K1105" s="3">
        <v>8345.01</v>
      </c>
      <c r="L1105" t="b">
        <f>TablaDatos[[#This Row],[FechaAlta]] &lt; TablaDatos[[#This Row],[FechaIngreso]]</f>
        <v>0</v>
      </c>
      <c r="M1105">
        <f>_xlfn.XLOOKUP(TablaDatos[[#This Row],[PacienteID]],'Datos_Ejemplo.csv'!A:A,'Datos_Ejemplo.csv'!I:I)</f>
        <v>24</v>
      </c>
      <c r="N1105">
        <f>ABS(TablaDatos[[#This Row],[DiasOriginal]])</f>
        <v>24</v>
      </c>
      <c r="O1105" s="1">
        <f>TablaDatos[[#This Row],[FechaIngreso]]+TablaDatos[[#This Row],[DiasNuevo]]</f>
        <v>45324</v>
      </c>
    </row>
    <row r="1106" spans="1:15">
      <c r="A1106">
        <v>1105</v>
      </c>
      <c r="B1106" t="s">
        <v>232</v>
      </c>
      <c r="C1106" s="1">
        <v>23012</v>
      </c>
      <c r="D1106">
        <v>63</v>
      </c>
      <c r="E1106" s="4" t="s">
        <v>12</v>
      </c>
      <c r="F1106" t="s">
        <v>21</v>
      </c>
      <c r="G1106" s="1">
        <v>45492</v>
      </c>
      <c r="H1106" s="1">
        <f>TablaDatos[[#This Row],[FechaIngreso]]+TablaDatos[[#This Row],[DiasNuevo]]</f>
        <v>45514</v>
      </c>
      <c r="I1106">
        <v>22</v>
      </c>
      <c r="J1106" t="s">
        <v>23</v>
      </c>
      <c r="K1106" s="3">
        <v>6025.11</v>
      </c>
      <c r="L1106" t="b">
        <f>TablaDatos[[#This Row],[FechaAlta]] &lt; TablaDatos[[#This Row],[FechaIngreso]]</f>
        <v>0</v>
      </c>
      <c r="M1106">
        <f>_xlfn.XLOOKUP(TablaDatos[[#This Row],[PacienteID]],'Datos_Ejemplo.csv'!A:A,'Datos_Ejemplo.csv'!I:I)</f>
        <v>22</v>
      </c>
      <c r="N1106">
        <f>ABS(TablaDatos[[#This Row],[DiasOriginal]])</f>
        <v>22</v>
      </c>
      <c r="O1106" s="1">
        <f>TablaDatos[[#This Row],[FechaIngreso]]+TablaDatos[[#This Row],[DiasNuevo]]</f>
        <v>45514</v>
      </c>
    </row>
    <row r="1107" spans="1:15">
      <c r="A1107">
        <v>1106</v>
      </c>
      <c r="B1107" t="s">
        <v>266</v>
      </c>
      <c r="C1107" s="1">
        <v>40909</v>
      </c>
      <c r="D1107">
        <v>14</v>
      </c>
      <c r="E1107" s="4" t="s">
        <v>15</v>
      </c>
      <c r="F1107" t="s">
        <v>18</v>
      </c>
      <c r="G1107" s="1">
        <v>45301</v>
      </c>
      <c r="H1107" s="1">
        <f>TablaDatos[[#This Row],[FechaIngreso]]+TablaDatos[[#This Row],[DiasNuevo]]</f>
        <v>45303</v>
      </c>
      <c r="I1107">
        <v>2</v>
      </c>
      <c r="J1107" t="s">
        <v>25</v>
      </c>
      <c r="K1107" s="3">
        <v>1780.53</v>
      </c>
      <c r="L1107" t="b">
        <f>TablaDatos[[#This Row],[FechaAlta]] &lt; TablaDatos[[#This Row],[FechaIngreso]]</f>
        <v>0</v>
      </c>
      <c r="M1107">
        <f>_xlfn.XLOOKUP(TablaDatos[[#This Row],[PacienteID]],'Datos_Ejemplo.csv'!A:A,'Datos_Ejemplo.csv'!I:I)</f>
        <v>2</v>
      </c>
      <c r="N1107">
        <f>ABS(TablaDatos[[#This Row],[DiasOriginal]])</f>
        <v>2</v>
      </c>
      <c r="O1107" s="1">
        <f>TablaDatos[[#This Row],[FechaIngreso]]+TablaDatos[[#This Row],[DiasNuevo]]</f>
        <v>45303</v>
      </c>
    </row>
    <row r="1108" spans="1:15">
      <c r="A1108">
        <v>1107</v>
      </c>
      <c r="B1108" t="s">
        <v>299</v>
      </c>
      <c r="C1108" s="1">
        <v>35795</v>
      </c>
      <c r="D1108">
        <v>28</v>
      </c>
      <c r="E1108" s="4" t="s">
        <v>15</v>
      </c>
      <c r="F1108" t="s">
        <v>21</v>
      </c>
      <c r="G1108" s="1">
        <v>45315</v>
      </c>
      <c r="H1108" s="1">
        <f>TablaDatos[[#This Row],[FechaIngreso]]+TablaDatos[[#This Row],[DiasNuevo]]</f>
        <v>45331</v>
      </c>
      <c r="I1108">
        <v>16</v>
      </c>
      <c r="J1108" t="s">
        <v>19</v>
      </c>
      <c r="K1108" s="3">
        <v>2198.0500000000002</v>
      </c>
      <c r="L1108" t="b">
        <f>TablaDatos[[#This Row],[FechaAlta]] &lt; TablaDatos[[#This Row],[FechaIngreso]]</f>
        <v>0</v>
      </c>
      <c r="M1108">
        <f>_xlfn.XLOOKUP(TablaDatos[[#This Row],[PacienteID]],'Datos_Ejemplo.csv'!A:A,'Datos_Ejemplo.csv'!I:I)</f>
        <v>16</v>
      </c>
      <c r="N1108">
        <f>ABS(TablaDatos[[#This Row],[DiasOriginal]])</f>
        <v>16</v>
      </c>
      <c r="O1108" s="1">
        <f>TablaDatos[[#This Row],[FechaIngreso]]+TablaDatos[[#This Row],[DiasNuevo]]</f>
        <v>45331</v>
      </c>
    </row>
    <row r="1109" spans="1:15">
      <c r="A1109">
        <v>1108</v>
      </c>
      <c r="B1109" t="s">
        <v>363</v>
      </c>
      <c r="C1109" s="1">
        <v>34334</v>
      </c>
      <c r="D1109">
        <v>32</v>
      </c>
      <c r="E1109" s="4" t="s">
        <v>12</v>
      </c>
      <c r="F1109" t="s">
        <v>261</v>
      </c>
      <c r="G1109" s="1">
        <v>45575</v>
      </c>
      <c r="H1109" s="1">
        <f>TablaDatos[[#This Row],[FechaIngreso]]+TablaDatos[[#This Row],[DiasNuevo]]</f>
        <v>45599</v>
      </c>
      <c r="I1109">
        <v>24</v>
      </c>
      <c r="J1109" t="s">
        <v>23</v>
      </c>
      <c r="K1109" s="3">
        <v>5892.44</v>
      </c>
      <c r="L1109" t="b">
        <f>TablaDatos[[#This Row],[FechaAlta]] &lt; TablaDatos[[#This Row],[FechaIngreso]]</f>
        <v>0</v>
      </c>
      <c r="M1109">
        <f>_xlfn.XLOOKUP(TablaDatos[[#This Row],[PacienteID]],'Datos_Ejemplo.csv'!A:A,'Datos_Ejemplo.csv'!I:I)</f>
        <v>24</v>
      </c>
      <c r="N1109">
        <f>ABS(TablaDatos[[#This Row],[DiasOriginal]])</f>
        <v>24</v>
      </c>
      <c r="O1109" s="1">
        <f>TablaDatos[[#This Row],[FechaIngreso]]+TablaDatos[[#This Row],[DiasNuevo]]</f>
        <v>45599</v>
      </c>
    </row>
    <row r="1110" spans="1:15">
      <c r="A1110">
        <v>1109</v>
      </c>
      <c r="B1110" t="s">
        <v>301</v>
      </c>
      <c r="C1110" s="1">
        <v>12054</v>
      </c>
      <c r="D1110">
        <v>93</v>
      </c>
      <c r="E1110" s="4" t="s">
        <v>15</v>
      </c>
      <c r="F1110" t="s">
        <v>261</v>
      </c>
      <c r="G1110" s="1">
        <v>45600</v>
      </c>
      <c r="H1110" s="1">
        <f>TablaDatos[[#This Row],[FechaIngreso]]+TablaDatos[[#This Row],[DiasNuevo]]</f>
        <v>45610</v>
      </c>
      <c r="I1110">
        <v>10</v>
      </c>
      <c r="J1110" t="s">
        <v>25</v>
      </c>
      <c r="K1110" s="3">
        <v>16418.36</v>
      </c>
      <c r="L1110" t="b">
        <f>TablaDatos[[#This Row],[FechaAlta]] &lt; TablaDatos[[#This Row],[FechaIngreso]]</f>
        <v>0</v>
      </c>
      <c r="M1110">
        <f>_xlfn.XLOOKUP(TablaDatos[[#This Row],[PacienteID]],'Datos_Ejemplo.csv'!A:A,'Datos_Ejemplo.csv'!I:I)</f>
        <v>10</v>
      </c>
      <c r="N1110">
        <f>ABS(TablaDatos[[#This Row],[DiasOriginal]])</f>
        <v>10</v>
      </c>
      <c r="O1110" s="1">
        <f>TablaDatos[[#This Row],[FechaIngreso]]+TablaDatos[[#This Row],[DiasNuevo]]</f>
        <v>45610</v>
      </c>
    </row>
    <row r="1111" spans="1:15">
      <c r="A1111">
        <v>1110</v>
      </c>
      <c r="B1111" t="s">
        <v>344</v>
      </c>
      <c r="C1111" s="1">
        <v>36526</v>
      </c>
      <c r="D1111">
        <v>26</v>
      </c>
      <c r="E1111" s="4" t="s">
        <v>15</v>
      </c>
      <c r="F1111" t="s">
        <v>18</v>
      </c>
      <c r="G1111" s="1">
        <v>45405</v>
      </c>
      <c r="H1111" s="1">
        <f>TablaDatos[[#This Row],[FechaIngreso]]+TablaDatos[[#This Row],[DiasNuevo]]</f>
        <v>45409</v>
      </c>
      <c r="I1111">
        <v>4</v>
      </c>
      <c r="J1111" t="s">
        <v>19</v>
      </c>
      <c r="K1111" s="3">
        <v>2606.02</v>
      </c>
      <c r="L1111" t="b">
        <f>TablaDatos[[#This Row],[FechaAlta]] &lt; TablaDatos[[#This Row],[FechaIngreso]]</f>
        <v>0</v>
      </c>
      <c r="M1111">
        <f>_xlfn.XLOOKUP(TablaDatos[[#This Row],[PacienteID]],'Datos_Ejemplo.csv'!A:A,'Datos_Ejemplo.csv'!I:I)</f>
        <v>4</v>
      </c>
      <c r="N1111">
        <f>ABS(TablaDatos[[#This Row],[DiasOriginal]])</f>
        <v>4</v>
      </c>
      <c r="O1111" s="1">
        <f>TablaDatos[[#This Row],[FechaIngreso]]+TablaDatos[[#This Row],[DiasNuevo]]</f>
        <v>45409</v>
      </c>
    </row>
    <row r="1112" spans="1:15">
      <c r="A1112">
        <v>1111</v>
      </c>
      <c r="B1112" t="s">
        <v>114</v>
      </c>
      <c r="C1112" s="1">
        <v>33239</v>
      </c>
      <c r="D1112">
        <f ca="1">DATEDIF(TablaDatos[[#This Row],[FechaNacimiento]],TODAY(),"Y")</f>
        <v>35</v>
      </c>
      <c r="E1112" s="4" t="s">
        <v>12</v>
      </c>
      <c r="F1112" t="s">
        <v>295</v>
      </c>
      <c r="G1112" s="1">
        <v>45330</v>
      </c>
      <c r="H1112" s="1">
        <f>TablaDatos[[#This Row],[FechaIngreso]]+TablaDatos[[#This Row],[DiasNuevo]]</f>
        <v>45353</v>
      </c>
      <c r="I1112">
        <v>23</v>
      </c>
      <c r="J1112" t="s">
        <v>19</v>
      </c>
      <c r="K1112" s="3">
        <v>14827.06</v>
      </c>
      <c r="L1112" t="b">
        <f>TablaDatos[[#This Row],[FechaAlta]] &lt; TablaDatos[[#This Row],[FechaIngreso]]</f>
        <v>0</v>
      </c>
      <c r="M1112">
        <f>_xlfn.XLOOKUP(TablaDatos[[#This Row],[PacienteID]],'Datos_Ejemplo.csv'!A:A,'Datos_Ejemplo.csv'!I:I)</f>
        <v>23</v>
      </c>
      <c r="N1112">
        <f>ABS(TablaDatos[[#This Row],[DiasOriginal]])</f>
        <v>23</v>
      </c>
      <c r="O1112" s="1">
        <f>TablaDatos[[#This Row],[FechaIngreso]]+TablaDatos[[#This Row],[DiasNuevo]]</f>
        <v>45353</v>
      </c>
    </row>
    <row r="1113" spans="1:15">
      <c r="A1113">
        <v>1112</v>
      </c>
      <c r="B1113" t="s">
        <v>240</v>
      </c>
      <c r="C1113" s="1">
        <v>35795</v>
      </c>
      <c r="D1113">
        <f ca="1">DATEDIF(TablaDatos[[#This Row],[FechaNacimiento]],TODAY(),"Y")</f>
        <v>28</v>
      </c>
      <c r="E1113" s="4" t="s">
        <v>15</v>
      </c>
      <c r="F1113" t="s">
        <v>201</v>
      </c>
      <c r="G1113" s="1">
        <v>45519</v>
      </c>
      <c r="H1113" s="1">
        <f>TablaDatos[[#This Row],[FechaIngreso]]+TablaDatos[[#This Row],[DiasNuevo]]</f>
        <v>45530</v>
      </c>
      <c r="I1113">
        <v>11</v>
      </c>
      <c r="J1113" t="s">
        <v>23</v>
      </c>
      <c r="K1113" s="3">
        <v>5706.28</v>
      </c>
      <c r="L1113" t="b">
        <f>TablaDatos[[#This Row],[FechaAlta]] &lt; TablaDatos[[#This Row],[FechaIngreso]]</f>
        <v>0</v>
      </c>
      <c r="M1113">
        <f>_xlfn.XLOOKUP(TablaDatos[[#This Row],[PacienteID]],'Datos_Ejemplo.csv'!A:A,'Datos_Ejemplo.csv'!I:I)</f>
        <v>11</v>
      </c>
      <c r="N1113">
        <f>ABS(TablaDatos[[#This Row],[DiasOriginal]])</f>
        <v>11</v>
      </c>
      <c r="O1113" s="1">
        <f>TablaDatos[[#This Row],[FechaIngreso]]+TablaDatos[[#This Row],[DiasNuevo]]</f>
        <v>45530</v>
      </c>
    </row>
    <row r="1114" spans="1:15">
      <c r="A1114">
        <v>1113</v>
      </c>
      <c r="B1114" t="s">
        <v>49</v>
      </c>
      <c r="C1114" s="1">
        <v>32508</v>
      </c>
      <c r="D1114">
        <v>37</v>
      </c>
      <c r="E1114" s="4" t="s">
        <v>12</v>
      </c>
      <c r="F1114" t="s">
        <v>295</v>
      </c>
      <c r="G1114" s="1">
        <v>45394</v>
      </c>
      <c r="H1114" s="1">
        <f>TablaDatos[[#This Row],[FechaIngreso]]+TablaDatos[[#This Row],[DiasNuevo]]</f>
        <v>45418</v>
      </c>
      <c r="I1114">
        <v>24</v>
      </c>
      <c r="J1114" t="s">
        <v>25</v>
      </c>
      <c r="K1114" s="3">
        <v>17657.650000000001</v>
      </c>
      <c r="L1114" t="b">
        <f>TablaDatos[[#This Row],[FechaAlta]] &lt; TablaDatos[[#This Row],[FechaIngreso]]</f>
        <v>0</v>
      </c>
      <c r="M1114">
        <f>_xlfn.XLOOKUP(TablaDatos[[#This Row],[PacienteID]],'Datos_Ejemplo.csv'!A:A,'Datos_Ejemplo.csv'!I:I)</f>
        <v>24</v>
      </c>
      <c r="N1114">
        <f>ABS(TablaDatos[[#This Row],[DiasOriginal]])</f>
        <v>24</v>
      </c>
      <c r="O1114" s="1">
        <f>TablaDatos[[#This Row],[FechaIngreso]]+TablaDatos[[#This Row],[DiasNuevo]]</f>
        <v>45418</v>
      </c>
    </row>
    <row r="1115" spans="1:15">
      <c r="A1115">
        <v>1114</v>
      </c>
      <c r="B1115" t="s">
        <v>61</v>
      </c>
      <c r="C1115" s="1">
        <v>25568</v>
      </c>
      <c r="D1115">
        <f ca="1">DATEDIF(TablaDatos[[#This Row],[FechaNacimiento]],TODAY(),"Y")</f>
        <v>56</v>
      </c>
      <c r="E1115" s="4" t="s">
        <v>12</v>
      </c>
      <c r="F1115" t="s">
        <v>261</v>
      </c>
      <c r="G1115" s="1">
        <v>45523</v>
      </c>
      <c r="H1115" s="1">
        <f>TablaDatos[[#This Row],[FechaIngreso]]+TablaDatos[[#This Row],[DiasNuevo]]</f>
        <v>45528</v>
      </c>
      <c r="I1115">
        <v>5</v>
      </c>
      <c r="J1115" t="s">
        <v>25</v>
      </c>
      <c r="K1115" s="3">
        <v>8509.4</v>
      </c>
      <c r="L1115" t="b">
        <f>TablaDatos[[#This Row],[FechaAlta]] &lt; TablaDatos[[#This Row],[FechaIngreso]]</f>
        <v>0</v>
      </c>
      <c r="M1115">
        <f>_xlfn.XLOOKUP(TablaDatos[[#This Row],[PacienteID]],'Datos_Ejemplo.csv'!A:A,'Datos_Ejemplo.csv'!I:I)</f>
        <v>5</v>
      </c>
      <c r="N1115">
        <f>ABS(TablaDatos[[#This Row],[DiasOriginal]])</f>
        <v>5</v>
      </c>
      <c r="O1115" s="1">
        <f>TablaDatos[[#This Row],[FechaIngreso]]+TablaDatos[[#This Row],[DiasNuevo]]</f>
        <v>45528</v>
      </c>
    </row>
    <row r="1116" spans="1:15">
      <c r="A1116">
        <v>1115</v>
      </c>
      <c r="B1116" t="s">
        <v>357</v>
      </c>
      <c r="C1116" s="1">
        <v>36526</v>
      </c>
      <c r="D1116">
        <v>26</v>
      </c>
      <c r="E1116" s="4" t="s">
        <v>15</v>
      </c>
      <c r="F1116" t="s">
        <v>201</v>
      </c>
      <c r="G1116" s="1">
        <v>45431</v>
      </c>
      <c r="H1116" s="1">
        <f>TablaDatos[[#This Row],[FechaIngreso]]+TablaDatos[[#This Row],[DiasNuevo]]</f>
        <v>45459</v>
      </c>
      <c r="I1116">
        <v>28</v>
      </c>
      <c r="J1116" t="s">
        <v>25</v>
      </c>
      <c r="K1116" s="3">
        <v>3351.64</v>
      </c>
      <c r="L1116" t="b">
        <f>TablaDatos[[#This Row],[FechaAlta]] &lt; TablaDatos[[#This Row],[FechaIngreso]]</f>
        <v>0</v>
      </c>
      <c r="M1116">
        <f>_xlfn.XLOOKUP(TablaDatos[[#This Row],[PacienteID]],'Datos_Ejemplo.csv'!A:A,'Datos_Ejemplo.csv'!I:I)</f>
        <v>28</v>
      </c>
      <c r="N1116">
        <f>ABS(TablaDatos[[#This Row],[DiasOriginal]])</f>
        <v>28</v>
      </c>
      <c r="O1116" s="1">
        <f>TablaDatos[[#This Row],[FechaIngreso]]+TablaDatos[[#This Row],[DiasNuevo]]</f>
        <v>45459</v>
      </c>
    </row>
    <row r="1117" spans="1:15">
      <c r="A1117">
        <v>1116</v>
      </c>
      <c r="B1117" t="s">
        <v>337</v>
      </c>
      <c r="C1117" s="1">
        <v>26299</v>
      </c>
      <c r="D1117">
        <v>54</v>
      </c>
      <c r="E1117" s="4" t="s">
        <v>15</v>
      </c>
      <c r="F1117" t="s">
        <v>18</v>
      </c>
      <c r="G1117" s="1">
        <v>45009</v>
      </c>
      <c r="H1117" s="1">
        <f>TablaDatos[[#This Row],[FechaIngreso]]+TablaDatos[[#This Row],[DiasNuevo]]</f>
        <v>45041</v>
      </c>
      <c r="I1117">
        <v>32</v>
      </c>
      <c r="J1117" t="s">
        <v>19</v>
      </c>
      <c r="K1117" s="3">
        <v>19715.47</v>
      </c>
      <c r="L1117" t="b">
        <f>TablaDatos[[#This Row],[FechaAlta]] &lt; TablaDatos[[#This Row],[FechaIngreso]]</f>
        <v>0</v>
      </c>
      <c r="M1117">
        <f>_xlfn.XLOOKUP(TablaDatos[[#This Row],[PacienteID]],'Datos_Ejemplo.csv'!A:A,'Datos_Ejemplo.csv'!I:I)</f>
        <v>32</v>
      </c>
      <c r="N1117">
        <f>ABS(TablaDatos[[#This Row],[DiasOriginal]])</f>
        <v>32</v>
      </c>
      <c r="O1117" s="1">
        <f>TablaDatos[[#This Row],[FechaIngreso]]+TablaDatos[[#This Row],[DiasNuevo]]</f>
        <v>45041</v>
      </c>
    </row>
    <row r="1118" spans="1:15">
      <c r="A1118">
        <v>1117</v>
      </c>
      <c r="B1118" t="s">
        <v>258</v>
      </c>
      <c r="C1118" s="1">
        <v>34334</v>
      </c>
      <c r="D1118">
        <v>32</v>
      </c>
      <c r="E1118" s="4" t="s">
        <v>12</v>
      </c>
      <c r="F1118" t="s">
        <v>295</v>
      </c>
      <c r="G1118" s="1">
        <v>45245</v>
      </c>
      <c r="H1118" s="1">
        <f>TablaDatos[[#This Row],[FechaIngreso]]+TablaDatos[[#This Row],[DiasNuevo]]</f>
        <v>45269</v>
      </c>
      <c r="I1118">
        <v>24</v>
      </c>
      <c r="J1118" t="s">
        <v>23</v>
      </c>
      <c r="K1118" s="3">
        <v>3450.35</v>
      </c>
      <c r="L1118" t="b">
        <f>TablaDatos[[#This Row],[FechaAlta]] &lt; TablaDatos[[#This Row],[FechaIngreso]]</f>
        <v>0</v>
      </c>
      <c r="M1118">
        <f>_xlfn.XLOOKUP(TablaDatos[[#This Row],[PacienteID]],'Datos_Ejemplo.csv'!A:A,'Datos_Ejemplo.csv'!I:I)</f>
        <v>24</v>
      </c>
      <c r="N1118">
        <f>ABS(TablaDatos[[#This Row],[DiasOriginal]])</f>
        <v>24</v>
      </c>
      <c r="O1118" s="1">
        <f>TablaDatos[[#This Row],[FechaIngreso]]+TablaDatos[[#This Row],[DiasNuevo]]</f>
        <v>45269</v>
      </c>
    </row>
    <row r="1119" spans="1:15">
      <c r="A1119">
        <v>1118</v>
      </c>
      <c r="B1119" t="s">
        <v>245</v>
      </c>
      <c r="C1119" s="1">
        <v>21551</v>
      </c>
      <c r="D1119">
        <v>67</v>
      </c>
      <c r="E1119" s="4" t="s">
        <v>12</v>
      </c>
      <c r="F1119" t="s">
        <v>201</v>
      </c>
      <c r="G1119" s="1">
        <v>44993</v>
      </c>
      <c r="H1119" s="1">
        <f>TablaDatos[[#This Row],[FechaIngreso]]+TablaDatos[[#This Row],[DiasNuevo]]</f>
        <v>44994</v>
      </c>
      <c r="I1119">
        <v>1</v>
      </c>
      <c r="J1119" t="s">
        <v>19</v>
      </c>
      <c r="K1119" s="3">
        <v>11309.16</v>
      </c>
      <c r="L1119" t="b">
        <f>TablaDatos[[#This Row],[FechaAlta]] &lt; TablaDatos[[#This Row],[FechaIngreso]]</f>
        <v>0</v>
      </c>
      <c r="M1119">
        <f>_xlfn.XLOOKUP(TablaDatos[[#This Row],[PacienteID]],'Datos_Ejemplo.csv'!A:A,'Datos_Ejemplo.csv'!I:I)</f>
        <v>1</v>
      </c>
      <c r="N1119">
        <f>ABS(TablaDatos[[#This Row],[DiasOriginal]])</f>
        <v>1</v>
      </c>
      <c r="O1119" s="1">
        <f>TablaDatos[[#This Row],[FechaIngreso]]+TablaDatos[[#This Row],[DiasNuevo]]</f>
        <v>44994</v>
      </c>
    </row>
    <row r="1120" spans="1:15">
      <c r="A1120">
        <v>1119</v>
      </c>
      <c r="B1120" t="s">
        <v>241</v>
      </c>
      <c r="C1120" s="1">
        <v>14976</v>
      </c>
      <c r="D1120">
        <v>85</v>
      </c>
      <c r="E1120" s="4" t="s">
        <v>12</v>
      </c>
      <c r="F1120" t="s">
        <v>201</v>
      </c>
      <c r="G1120" s="1">
        <v>45340</v>
      </c>
      <c r="H1120" s="1">
        <f>TablaDatos[[#This Row],[FechaIngreso]]+TablaDatos[[#This Row],[DiasNuevo]]</f>
        <v>45379</v>
      </c>
      <c r="I1120">
        <v>39</v>
      </c>
      <c r="J1120" t="s">
        <v>23</v>
      </c>
      <c r="K1120" s="3">
        <v>11342.66</v>
      </c>
      <c r="L1120" t="b">
        <f>TablaDatos[[#This Row],[FechaAlta]] &lt; TablaDatos[[#This Row],[FechaIngreso]]</f>
        <v>0</v>
      </c>
      <c r="M1120">
        <f>_xlfn.XLOOKUP(TablaDatos[[#This Row],[PacienteID]],'Datos_Ejemplo.csv'!A:A,'Datos_Ejemplo.csv'!I:I)</f>
        <v>39</v>
      </c>
      <c r="N1120">
        <f>ABS(TablaDatos[[#This Row],[DiasOriginal]])</f>
        <v>39</v>
      </c>
      <c r="O1120" s="1">
        <f>TablaDatos[[#This Row],[FechaIngreso]]+TablaDatos[[#This Row],[DiasNuevo]]</f>
        <v>45379</v>
      </c>
    </row>
    <row r="1121" spans="1:15">
      <c r="A1121">
        <v>1120</v>
      </c>
      <c r="B1121" t="s">
        <v>334</v>
      </c>
      <c r="C1121" s="1">
        <v>22281</v>
      </c>
      <c r="D1121">
        <v>65</v>
      </c>
      <c r="E1121" s="4" t="s">
        <v>12</v>
      </c>
      <c r="F1121" t="s">
        <v>13</v>
      </c>
      <c r="G1121" s="1">
        <v>45379</v>
      </c>
      <c r="H1121" s="1">
        <f>TablaDatos[[#This Row],[FechaIngreso]]+TablaDatos[[#This Row],[DiasNuevo]]</f>
        <v>45380</v>
      </c>
      <c r="I1121">
        <v>1</v>
      </c>
      <c r="J1121" t="s">
        <v>23</v>
      </c>
      <c r="K1121" s="3">
        <v>7393.55</v>
      </c>
      <c r="L1121" t="b">
        <f>TablaDatos[[#This Row],[FechaAlta]] &lt; TablaDatos[[#This Row],[FechaIngreso]]</f>
        <v>0</v>
      </c>
      <c r="M1121">
        <f>_xlfn.XLOOKUP(TablaDatos[[#This Row],[PacienteID]],'Datos_Ejemplo.csv'!A:A,'Datos_Ejemplo.csv'!I:I)</f>
        <v>1</v>
      </c>
      <c r="N1121">
        <f>ABS(TablaDatos[[#This Row],[DiasOriginal]])</f>
        <v>1</v>
      </c>
      <c r="O1121" s="1">
        <f>TablaDatos[[#This Row],[FechaIngreso]]+TablaDatos[[#This Row],[DiasNuevo]]</f>
        <v>45380</v>
      </c>
    </row>
    <row r="1122" spans="1:15">
      <c r="A1122">
        <v>1121</v>
      </c>
      <c r="B1122" t="s">
        <v>348</v>
      </c>
      <c r="C1122" s="1">
        <v>42735</v>
      </c>
      <c r="D1122">
        <v>9</v>
      </c>
      <c r="E1122" s="4" t="s">
        <v>12</v>
      </c>
      <c r="F1122" t="s">
        <v>295</v>
      </c>
      <c r="G1122" s="1">
        <v>45124</v>
      </c>
      <c r="H1122" s="1">
        <f>TablaDatos[[#This Row],[FechaIngreso]]+TablaDatos[[#This Row],[DiasNuevo]]</f>
        <v>45139</v>
      </c>
      <c r="I1122">
        <v>15</v>
      </c>
      <c r="J1122" t="s">
        <v>23</v>
      </c>
      <c r="K1122" s="3">
        <v>19024.919999999998</v>
      </c>
      <c r="L1122" t="b">
        <f>TablaDatos[[#This Row],[FechaAlta]] &lt; TablaDatos[[#This Row],[FechaIngreso]]</f>
        <v>0</v>
      </c>
      <c r="M1122">
        <f>_xlfn.XLOOKUP(TablaDatos[[#This Row],[PacienteID]],'Datos_Ejemplo.csv'!A:A,'Datos_Ejemplo.csv'!I:I)</f>
        <v>15</v>
      </c>
      <c r="N1122">
        <f>ABS(TablaDatos[[#This Row],[DiasOriginal]])</f>
        <v>15</v>
      </c>
      <c r="O1122" s="1">
        <f>TablaDatos[[#This Row],[FechaIngreso]]+TablaDatos[[#This Row],[DiasNuevo]]</f>
        <v>45139</v>
      </c>
    </row>
    <row r="1123" spans="1:15">
      <c r="A1123">
        <v>1122</v>
      </c>
      <c r="B1123" t="s">
        <v>302</v>
      </c>
      <c r="C1123" s="1">
        <v>44561</v>
      </c>
      <c r="D1123">
        <v>4</v>
      </c>
      <c r="E1123" s="4" t="s">
        <v>15</v>
      </c>
      <c r="F1123" t="s">
        <v>18</v>
      </c>
      <c r="G1123" s="1">
        <v>45185</v>
      </c>
      <c r="H1123" s="1">
        <f>TablaDatos[[#This Row],[FechaIngreso]]+TablaDatos[[#This Row],[DiasNuevo]]</f>
        <v>45205</v>
      </c>
      <c r="I1123">
        <v>20</v>
      </c>
      <c r="J1123" t="s">
        <v>23</v>
      </c>
      <c r="K1123" s="3">
        <v>16861.88</v>
      </c>
      <c r="L1123" t="b">
        <f>TablaDatos[[#This Row],[FechaAlta]] &lt; TablaDatos[[#This Row],[FechaIngreso]]</f>
        <v>0</v>
      </c>
      <c r="M1123">
        <f>_xlfn.XLOOKUP(TablaDatos[[#This Row],[PacienteID]],'Datos_Ejemplo.csv'!A:A,'Datos_Ejemplo.csv'!I:I)</f>
        <v>20</v>
      </c>
      <c r="N1123">
        <f>ABS(TablaDatos[[#This Row],[DiasOriginal]])</f>
        <v>20</v>
      </c>
      <c r="O1123" s="1">
        <f>TablaDatos[[#This Row],[FechaIngreso]]+TablaDatos[[#This Row],[DiasNuevo]]</f>
        <v>45205</v>
      </c>
    </row>
    <row r="1124" spans="1:15">
      <c r="A1124">
        <v>1123</v>
      </c>
      <c r="B1124" t="s">
        <v>289</v>
      </c>
      <c r="C1124" s="1">
        <v>19359</v>
      </c>
      <c r="D1124">
        <v>73</v>
      </c>
      <c r="E1124" s="4" t="s">
        <v>15</v>
      </c>
      <c r="F1124" t="s">
        <v>201</v>
      </c>
      <c r="G1124" s="1">
        <v>45615</v>
      </c>
      <c r="H1124" s="1">
        <f>TablaDatos[[#This Row],[FechaIngreso]]+TablaDatos[[#This Row],[DiasNuevo]]</f>
        <v>45644</v>
      </c>
      <c r="I1124">
        <v>29</v>
      </c>
      <c r="J1124" t="s">
        <v>19</v>
      </c>
      <c r="K1124" s="3">
        <v>16579.37</v>
      </c>
      <c r="L1124" t="b">
        <f>TablaDatos[[#This Row],[FechaAlta]] &lt; TablaDatos[[#This Row],[FechaIngreso]]</f>
        <v>0</v>
      </c>
      <c r="M1124">
        <f>_xlfn.XLOOKUP(TablaDatos[[#This Row],[PacienteID]],'Datos_Ejemplo.csv'!A:A,'Datos_Ejemplo.csv'!I:I)</f>
        <v>29</v>
      </c>
      <c r="N1124">
        <f>ABS(TablaDatos[[#This Row],[DiasOriginal]])</f>
        <v>29</v>
      </c>
      <c r="O1124" s="1">
        <f>TablaDatos[[#This Row],[FechaIngreso]]+TablaDatos[[#This Row],[DiasNuevo]]</f>
        <v>45644</v>
      </c>
    </row>
    <row r="1125" spans="1:15">
      <c r="A1125">
        <v>1124</v>
      </c>
      <c r="B1125" t="s">
        <v>308</v>
      </c>
      <c r="C1125" s="1">
        <v>32508</v>
      </c>
      <c r="D1125">
        <v>37</v>
      </c>
      <c r="E1125" s="4" t="s">
        <v>15</v>
      </c>
      <c r="F1125" t="s">
        <v>261</v>
      </c>
      <c r="G1125" s="1">
        <v>45224</v>
      </c>
      <c r="H1125" s="1">
        <f>TablaDatos[[#This Row],[FechaIngreso]]+TablaDatos[[#This Row],[DiasNuevo]]</f>
        <v>45233</v>
      </c>
      <c r="I1125">
        <v>9</v>
      </c>
      <c r="J1125" t="s">
        <v>25</v>
      </c>
      <c r="K1125" s="3">
        <v>19480.45</v>
      </c>
      <c r="L1125" t="b">
        <f>TablaDatos[[#This Row],[FechaAlta]] &lt; TablaDatos[[#This Row],[FechaIngreso]]</f>
        <v>0</v>
      </c>
      <c r="M1125">
        <f>_xlfn.XLOOKUP(TablaDatos[[#This Row],[PacienteID]],'Datos_Ejemplo.csv'!A:A,'Datos_Ejemplo.csv'!I:I)</f>
        <v>9</v>
      </c>
      <c r="N1125">
        <f>ABS(TablaDatos[[#This Row],[DiasOriginal]])</f>
        <v>9</v>
      </c>
      <c r="O1125" s="1">
        <f>TablaDatos[[#This Row],[FechaIngreso]]+TablaDatos[[#This Row],[DiasNuevo]]</f>
        <v>45233</v>
      </c>
    </row>
    <row r="1126" spans="1:15">
      <c r="A1126">
        <v>1125</v>
      </c>
      <c r="B1126" t="s">
        <v>334</v>
      </c>
      <c r="C1126" s="1">
        <v>41639</v>
      </c>
      <c r="D1126">
        <v>12</v>
      </c>
      <c r="E1126" s="4" t="s">
        <v>15</v>
      </c>
      <c r="F1126" t="s">
        <v>13</v>
      </c>
      <c r="G1126" s="1">
        <v>45206</v>
      </c>
      <c r="H1126" s="1">
        <f>TablaDatos[[#This Row],[FechaIngreso]]+TablaDatos[[#This Row],[DiasNuevo]]</f>
        <v>45223</v>
      </c>
      <c r="I1126">
        <v>17</v>
      </c>
      <c r="J1126" t="s">
        <v>23</v>
      </c>
      <c r="K1126" s="3">
        <v>9087.9</v>
      </c>
      <c r="L1126" t="b">
        <f>TablaDatos[[#This Row],[FechaAlta]] &lt; TablaDatos[[#This Row],[FechaIngreso]]</f>
        <v>0</v>
      </c>
      <c r="M1126">
        <f>_xlfn.XLOOKUP(TablaDatos[[#This Row],[PacienteID]],'Datos_Ejemplo.csv'!A:A,'Datos_Ejemplo.csv'!I:I)</f>
        <v>17</v>
      </c>
      <c r="N1126">
        <f>ABS(TablaDatos[[#This Row],[DiasOriginal]])</f>
        <v>17</v>
      </c>
      <c r="O1126" s="1">
        <f>TablaDatos[[#This Row],[FechaIngreso]]+TablaDatos[[#This Row],[DiasNuevo]]</f>
        <v>45223</v>
      </c>
    </row>
    <row r="1127" spans="1:15">
      <c r="A1127">
        <v>1126</v>
      </c>
      <c r="B1127" t="s">
        <v>306</v>
      </c>
      <c r="C1127" s="1">
        <v>35065</v>
      </c>
      <c r="D1127">
        <v>30</v>
      </c>
      <c r="E1127" s="4" t="s">
        <v>12</v>
      </c>
      <c r="F1127" t="s">
        <v>21</v>
      </c>
      <c r="G1127" s="1">
        <v>45226</v>
      </c>
      <c r="H1127" s="1">
        <f>TablaDatos[[#This Row],[FechaIngreso]]+TablaDatos[[#This Row],[DiasNuevo]]</f>
        <v>45235</v>
      </c>
      <c r="I1127">
        <v>9</v>
      </c>
      <c r="J1127" t="s">
        <v>23</v>
      </c>
      <c r="K1127" s="3">
        <v>1853.43</v>
      </c>
      <c r="L1127" t="b">
        <f>TablaDatos[[#This Row],[FechaAlta]] &lt; TablaDatos[[#This Row],[FechaIngreso]]</f>
        <v>0</v>
      </c>
      <c r="M1127">
        <f>_xlfn.XLOOKUP(TablaDatos[[#This Row],[PacienteID]],'Datos_Ejemplo.csv'!A:A,'Datos_Ejemplo.csv'!I:I)</f>
        <v>9</v>
      </c>
      <c r="N1127">
        <f>ABS(TablaDatos[[#This Row],[DiasOriginal]])</f>
        <v>9</v>
      </c>
      <c r="O1127" s="1">
        <f>TablaDatos[[#This Row],[FechaIngreso]]+TablaDatos[[#This Row],[DiasNuevo]]</f>
        <v>45235</v>
      </c>
    </row>
    <row r="1128" spans="1:15">
      <c r="A1128">
        <v>1127</v>
      </c>
      <c r="B1128" t="s">
        <v>248</v>
      </c>
      <c r="C1128" s="1">
        <v>29221</v>
      </c>
      <c r="D1128">
        <v>46</v>
      </c>
      <c r="E1128" s="4" t="s">
        <v>12</v>
      </c>
      <c r="F1128" t="s">
        <v>21</v>
      </c>
      <c r="G1128" s="1">
        <v>45055</v>
      </c>
      <c r="H1128" s="1">
        <f>TablaDatos[[#This Row],[FechaIngreso]]+TablaDatos[[#This Row],[DiasNuevo]]</f>
        <v>45060</v>
      </c>
      <c r="I1128">
        <v>5</v>
      </c>
      <c r="J1128" t="s">
        <v>19</v>
      </c>
      <c r="K1128" s="3">
        <v>15285.66</v>
      </c>
      <c r="L1128" t="b">
        <f>TablaDatos[[#This Row],[FechaAlta]] &lt; TablaDatos[[#This Row],[FechaIngreso]]</f>
        <v>0</v>
      </c>
      <c r="M1128">
        <f>_xlfn.XLOOKUP(TablaDatos[[#This Row],[PacienteID]],'Datos_Ejemplo.csv'!A:A,'Datos_Ejemplo.csv'!I:I)</f>
        <v>5</v>
      </c>
      <c r="N1128">
        <f>ABS(TablaDatos[[#This Row],[DiasOriginal]])</f>
        <v>5</v>
      </c>
      <c r="O1128" s="1">
        <f>TablaDatos[[#This Row],[FechaIngreso]]+TablaDatos[[#This Row],[DiasNuevo]]</f>
        <v>45060</v>
      </c>
    </row>
    <row r="1129" spans="1:15">
      <c r="A1129">
        <v>1128</v>
      </c>
      <c r="B1129" t="s">
        <v>287</v>
      </c>
      <c r="C1129" s="1">
        <v>14246</v>
      </c>
      <c r="D1129">
        <v>87</v>
      </c>
      <c r="E1129" s="4" t="s">
        <v>15</v>
      </c>
      <c r="F1129" t="s">
        <v>21</v>
      </c>
      <c r="G1129" s="1">
        <v>45424</v>
      </c>
      <c r="H1129" s="1">
        <f>TablaDatos[[#This Row],[FechaIngreso]]+TablaDatos[[#This Row],[DiasNuevo]]</f>
        <v>45443</v>
      </c>
      <c r="I1129">
        <v>19</v>
      </c>
      <c r="J1129" t="s">
        <v>25</v>
      </c>
      <c r="K1129" s="3">
        <v>7554.33</v>
      </c>
      <c r="L1129" t="b">
        <f>TablaDatos[[#This Row],[FechaAlta]] &lt; TablaDatos[[#This Row],[FechaIngreso]]</f>
        <v>0</v>
      </c>
      <c r="M1129">
        <f>_xlfn.XLOOKUP(TablaDatos[[#This Row],[PacienteID]],'Datos_Ejemplo.csv'!A:A,'Datos_Ejemplo.csv'!I:I)</f>
        <v>19</v>
      </c>
      <c r="N1129">
        <f>ABS(TablaDatos[[#This Row],[DiasOriginal]])</f>
        <v>19</v>
      </c>
      <c r="O1129" s="1">
        <f>TablaDatos[[#This Row],[FechaIngreso]]+TablaDatos[[#This Row],[DiasNuevo]]</f>
        <v>45443</v>
      </c>
    </row>
    <row r="1130" spans="1:15">
      <c r="A1130">
        <v>1129</v>
      </c>
      <c r="B1130" t="s">
        <v>306</v>
      </c>
      <c r="C1130" s="1">
        <v>27395</v>
      </c>
      <c r="D1130">
        <v>51</v>
      </c>
      <c r="E1130" s="4" t="s">
        <v>12</v>
      </c>
      <c r="F1130" t="s">
        <v>261</v>
      </c>
      <c r="G1130" s="1">
        <v>45364</v>
      </c>
      <c r="H1130" s="1">
        <f>TablaDatos[[#This Row],[FechaIngreso]]+TablaDatos[[#This Row],[DiasNuevo]]</f>
        <v>45388</v>
      </c>
      <c r="I1130">
        <v>24</v>
      </c>
      <c r="J1130" t="s">
        <v>23</v>
      </c>
      <c r="K1130" s="3">
        <v>3725.94</v>
      </c>
      <c r="L1130" t="b">
        <f>TablaDatos[[#This Row],[FechaAlta]] &lt; TablaDatos[[#This Row],[FechaIngreso]]</f>
        <v>0</v>
      </c>
      <c r="M1130">
        <f>_xlfn.XLOOKUP(TablaDatos[[#This Row],[PacienteID]],'Datos_Ejemplo.csv'!A:A,'Datos_Ejemplo.csv'!I:I)</f>
        <v>24</v>
      </c>
      <c r="N1130">
        <f>ABS(TablaDatos[[#This Row],[DiasOriginal]])</f>
        <v>24</v>
      </c>
      <c r="O1130" s="1">
        <f>TablaDatos[[#This Row],[FechaIngreso]]+TablaDatos[[#This Row],[DiasNuevo]]</f>
        <v>45388</v>
      </c>
    </row>
    <row r="1131" spans="1:15">
      <c r="A1131">
        <v>1130</v>
      </c>
      <c r="B1131" t="s">
        <v>247</v>
      </c>
      <c r="C1131" s="1">
        <v>25934</v>
      </c>
      <c r="D1131">
        <v>55</v>
      </c>
      <c r="E1131" s="4" t="s">
        <v>15</v>
      </c>
      <c r="F1131" t="s">
        <v>201</v>
      </c>
      <c r="G1131" s="1">
        <v>45618</v>
      </c>
      <c r="H1131" s="1">
        <f>TablaDatos[[#This Row],[FechaIngreso]]+TablaDatos[[#This Row],[DiasNuevo]]</f>
        <v>45656</v>
      </c>
      <c r="I1131">
        <v>38</v>
      </c>
      <c r="J1131" t="s">
        <v>23</v>
      </c>
      <c r="K1131" s="3">
        <v>9613.27</v>
      </c>
      <c r="L1131" t="b">
        <f>TablaDatos[[#This Row],[FechaAlta]] &lt; TablaDatos[[#This Row],[FechaIngreso]]</f>
        <v>0</v>
      </c>
      <c r="M1131">
        <f>_xlfn.XLOOKUP(TablaDatos[[#This Row],[PacienteID]],'Datos_Ejemplo.csv'!A:A,'Datos_Ejemplo.csv'!I:I)</f>
        <v>38</v>
      </c>
      <c r="N1131">
        <f>ABS(TablaDatos[[#This Row],[DiasOriginal]])</f>
        <v>38</v>
      </c>
      <c r="O1131" s="1">
        <f>TablaDatos[[#This Row],[FechaIngreso]]+TablaDatos[[#This Row],[DiasNuevo]]</f>
        <v>45656</v>
      </c>
    </row>
    <row r="1132" spans="1:15">
      <c r="A1132">
        <v>1131</v>
      </c>
      <c r="B1132" t="s">
        <v>332</v>
      </c>
      <c r="C1132" s="1">
        <v>40909</v>
      </c>
      <c r="D1132">
        <v>14</v>
      </c>
      <c r="E1132" s="4" t="s">
        <v>15</v>
      </c>
      <c r="F1132" t="s">
        <v>18</v>
      </c>
      <c r="G1132" s="1">
        <v>45218</v>
      </c>
      <c r="H1132" s="1">
        <f>TablaDatos[[#This Row],[FechaIngreso]]+TablaDatos[[#This Row],[DiasNuevo]]</f>
        <v>45256</v>
      </c>
      <c r="I1132">
        <v>38</v>
      </c>
      <c r="J1132" t="s">
        <v>23</v>
      </c>
      <c r="K1132" s="3">
        <v>18506.95</v>
      </c>
      <c r="L1132" t="b">
        <f>TablaDatos[[#This Row],[FechaAlta]] &lt; TablaDatos[[#This Row],[FechaIngreso]]</f>
        <v>0</v>
      </c>
      <c r="M1132">
        <f>_xlfn.XLOOKUP(TablaDatos[[#This Row],[PacienteID]],'Datos_Ejemplo.csv'!A:A,'Datos_Ejemplo.csv'!I:I)</f>
        <v>38</v>
      </c>
      <c r="N1132">
        <f>ABS(TablaDatos[[#This Row],[DiasOriginal]])</f>
        <v>38</v>
      </c>
      <c r="O1132" s="1">
        <f>TablaDatos[[#This Row],[FechaIngreso]]+TablaDatos[[#This Row],[DiasNuevo]]</f>
        <v>45256</v>
      </c>
    </row>
    <row r="1133" spans="1:15">
      <c r="A1133">
        <v>1132</v>
      </c>
      <c r="B1133" t="s">
        <v>263</v>
      </c>
      <c r="C1133" s="1">
        <v>35795</v>
      </c>
      <c r="D1133">
        <v>28</v>
      </c>
      <c r="E1133" s="4" t="s">
        <v>12</v>
      </c>
      <c r="F1133" t="s">
        <v>21</v>
      </c>
      <c r="G1133" s="1">
        <v>45133</v>
      </c>
      <c r="H1133" s="1">
        <f>TablaDatos[[#This Row],[FechaIngreso]]+TablaDatos[[#This Row],[DiasNuevo]]</f>
        <v>45147</v>
      </c>
      <c r="I1133">
        <v>14</v>
      </c>
      <c r="J1133" t="s">
        <v>23</v>
      </c>
      <c r="K1133" s="3">
        <v>3344.28</v>
      </c>
      <c r="L1133" t="b">
        <f>TablaDatos[[#This Row],[FechaAlta]] &lt; TablaDatos[[#This Row],[FechaIngreso]]</f>
        <v>0</v>
      </c>
      <c r="M1133">
        <f>_xlfn.XLOOKUP(TablaDatos[[#This Row],[PacienteID]],'Datos_Ejemplo.csv'!A:A,'Datos_Ejemplo.csv'!I:I)</f>
        <v>14</v>
      </c>
      <c r="N1133">
        <f>ABS(TablaDatos[[#This Row],[DiasOriginal]])</f>
        <v>14</v>
      </c>
      <c r="O1133" s="1">
        <f>TablaDatos[[#This Row],[FechaIngreso]]+TablaDatos[[#This Row],[DiasNuevo]]</f>
        <v>45147</v>
      </c>
    </row>
    <row r="1134" spans="1:15">
      <c r="A1134">
        <v>1133</v>
      </c>
      <c r="B1134" t="s">
        <v>292</v>
      </c>
      <c r="C1134" s="1">
        <v>43466</v>
      </c>
      <c r="D1134">
        <f ca="1">DATEDIF(TablaDatos[[#This Row],[FechaNacimiento]],TODAY(),"Y")</f>
        <v>7</v>
      </c>
      <c r="E1134" s="4" t="s">
        <v>15</v>
      </c>
      <c r="F1134" t="s">
        <v>295</v>
      </c>
      <c r="G1134" s="1">
        <v>45220</v>
      </c>
      <c r="H1134" s="1">
        <f>TablaDatos[[#This Row],[FechaIngreso]]+TablaDatos[[#This Row],[DiasNuevo]]</f>
        <v>45249</v>
      </c>
      <c r="I1134">
        <v>29</v>
      </c>
      <c r="J1134" t="s">
        <v>25</v>
      </c>
      <c r="K1134" s="3">
        <v>16958.849999999999</v>
      </c>
      <c r="L1134" t="b">
        <f>TablaDatos[[#This Row],[FechaAlta]] &lt; TablaDatos[[#This Row],[FechaIngreso]]</f>
        <v>0</v>
      </c>
      <c r="M1134">
        <f>_xlfn.XLOOKUP(TablaDatos[[#This Row],[PacienteID]],'Datos_Ejemplo.csv'!A:A,'Datos_Ejemplo.csv'!I:I)</f>
        <v>29</v>
      </c>
      <c r="N1134">
        <f>ABS(TablaDatos[[#This Row],[DiasOriginal]])</f>
        <v>29</v>
      </c>
      <c r="O1134" s="1">
        <f>TablaDatos[[#This Row],[FechaIngreso]]+TablaDatos[[#This Row],[DiasNuevo]]</f>
        <v>45249</v>
      </c>
    </row>
    <row r="1135" spans="1:15">
      <c r="A1135">
        <v>1134</v>
      </c>
      <c r="B1135" t="s">
        <v>296</v>
      </c>
      <c r="C1135" s="1">
        <v>44561</v>
      </c>
      <c r="D1135">
        <v>4</v>
      </c>
      <c r="E1135" s="4" t="s">
        <v>15</v>
      </c>
      <c r="F1135" t="s">
        <v>21</v>
      </c>
      <c r="G1135" s="1">
        <v>45613</v>
      </c>
      <c r="H1135" s="1">
        <f>TablaDatos[[#This Row],[FechaIngreso]]+TablaDatos[[#This Row],[DiasNuevo]]</f>
        <v>45643</v>
      </c>
      <c r="I1135">
        <v>30</v>
      </c>
      <c r="J1135" t="s">
        <v>23</v>
      </c>
      <c r="K1135" s="3">
        <v>8305.92</v>
      </c>
      <c r="L1135" t="b">
        <f>TablaDatos[[#This Row],[FechaAlta]] &lt; TablaDatos[[#This Row],[FechaIngreso]]</f>
        <v>0</v>
      </c>
      <c r="M1135">
        <f>_xlfn.XLOOKUP(TablaDatos[[#This Row],[PacienteID]],'Datos_Ejemplo.csv'!A:A,'Datos_Ejemplo.csv'!I:I)</f>
        <v>30</v>
      </c>
      <c r="N1135">
        <f>ABS(TablaDatos[[#This Row],[DiasOriginal]])</f>
        <v>30</v>
      </c>
      <c r="O1135" s="1">
        <f>TablaDatos[[#This Row],[FechaIngreso]]+TablaDatos[[#This Row],[DiasNuevo]]</f>
        <v>45643</v>
      </c>
    </row>
    <row r="1136" spans="1:15">
      <c r="A1136">
        <v>1135</v>
      </c>
      <c r="B1136" t="s">
        <v>152</v>
      </c>
      <c r="C1136" s="1">
        <v>35795</v>
      </c>
      <c r="D1136">
        <v>28</v>
      </c>
      <c r="E1136" s="4" t="s">
        <v>15</v>
      </c>
      <c r="F1136" t="s">
        <v>201</v>
      </c>
      <c r="G1136" s="1">
        <v>44955</v>
      </c>
      <c r="H1136" s="1">
        <f>TablaDatos[[#This Row],[FechaIngreso]]+TablaDatos[[#This Row],[DiasNuevo]]</f>
        <v>44983</v>
      </c>
      <c r="I1136">
        <v>28</v>
      </c>
      <c r="J1136" t="s">
        <v>25</v>
      </c>
      <c r="K1136" s="3">
        <v>2649.72</v>
      </c>
      <c r="L1136" t="b">
        <f>TablaDatos[[#This Row],[FechaAlta]] &lt; TablaDatos[[#This Row],[FechaIngreso]]</f>
        <v>0</v>
      </c>
      <c r="M1136">
        <f>_xlfn.XLOOKUP(TablaDatos[[#This Row],[PacienteID]],'Datos_Ejemplo.csv'!A:A,'Datos_Ejemplo.csv'!I:I)</f>
        <v>28</v>
      </c>
      <c r="N1136">
        <f>ABS(TablaDatos[[#This Row],[DiasOriginal]])</f>
        <v>28</v>
      </c>
      <c r="O1136" s="1">
        <f>TablaDatos[[#This Row],[FechaIngreso]]+TablaDatos[[#This Row],[DiasNuevo]]</f>
        <v>44983</v>
      </c>
    </row>
    <row r="1137" spans="1:15">
      <c r="A1137">
        <v>1136</v>
      </c>
      <c r="B1137" t="s">
        <v>250</v>
      </c>
      <c r="C1137" s="1">
        <v>29221</v>
      </c>
      <c r="D1137">
        <v>46</v>
      </c>
      <c r="E1137" s="4" t="s">
        <v>15</v>
      </c>
      <c r="F1137" t="s">
        <v>32</v>
      </c>
      <c r="G1137" s="1">
        <v>45105</v>
      </c>
      <c r="H1137" s="1">
        <f>TablaDatos[[#This Row],[FechaIngreso]]+TablaDatos[[#This Row],[DiasNuevo]]</f>
        <v>45108</v>
      </c>
      <c r="I1137">
        <v>3</v>
      </c>
      <c r="J1137" t="s">
        <v>23</v>
      </c>
      <c r="K1137" s="3">
        <v>16952.48</v>
      </c>
      <c r="L1137" t="b">
        <f>TablaDatos[[#This Row],[FechaAlta]] &lt; TablaDatos[[#This Row],[FechaIngreso]]</f>
        <v>0</v>
      </c>
      <c r="M1137">
        <f>_xlfn.XLOOKUP(TablaDatos[[#This Row],[PacienteID]],'Datos_Ejemplo.csv'!A:A,'Datos_Ejemplo.csv'!I:I)</f>
        <v>3</v>
      </c>
      <c r="N1137">
        <f>ABS(TablaDatos[[#This Row],[DiasOriginal]])</f>
        <v>3</v>
      </c>
      <c r="O1137" s="1">
        <f>TablaDatos[[#This Row],[FechaIngreso]]+TablaDatos[[#This Row],[DiasNuevo]]</f>
        <v>45108</v>
      </c>
    </row>
    <row r="1138" spans="1:15">
      <c r="A1138">
        <v>1137</v>
      </c>
      <c r="B1138" t="s">
        <v>367</v>
      </c>
      <c r="C1138" s="1">
        <v>21551</v>
      </c>
      <c r="D1138">
        <v>67</v>
      </c>
      <c r="E1138" s="4" t="s">
        <v>12</v>
      </c>
      <c r="F1138" t="s">
        <v>261</v>
      </c>
      <c r="G1138" s="1">
        <v>44967</v>
      </c>
      <c r="H1138" s="1">
        <f>TablaDatos[[#This Row],[FechaIngreso]]+TablaDatos[[#This Row],[DiasNuevo]]</f>
        <v>45003</v>
      </c>
      <c r="I1138">
        <v>36</v>
      </c>
      <c r="J1138" t="s">
        <v>23</v>
      </c>
      <c r="K1138" s="3">
        <v>19389.37</v>
      </c>
      <c r="L1138" t="b">
        <f>TablaDatos[[#This Row],[FechaAlta]] &lt; TablaDatos[[#This Row],[FechaIngreso]]</f>
        <v>0</v>
      </c>
      <c r="M1138">
        <f>_xlfn.XLOOKUP(TablaDatos[[#This Row],[PacienteID]],'Datos_Ejemplo.csv'!A:A,'Datos_Ejemplo.csv'!I:I)</f>
        <v>36</v>
      </c>
      <c r="N1138">
        <f>ABS(TablaDatos[[#This Row],[DiasOriginal]])</f>
        <v>36</v>
      </c>
      <c r="O1138" s="1">
        <f>TablaDatos[[#This Row],[FechaIngreso]]+TablaDatos[[#This Row],[DiasNuevo]]</f>
        <v>45003</v>
      </c>
    </row>
    <row r="1139" spans="1:15">
      <c r="A1139">
        <v>1138</v>
      </c>
      <c r="B1139" t="s">
        <v>364</v>
      </c>
      <c r="C1139" s="1">
        <v>18629</v>
      </c>
      <c r="D1139">
        <v>75</v>
      </c>
      <c r="E1139" s="4" t="s">
        <v>12</v>
      </c>
      <c r="F1139" t="s">
        <v>32</v>
      </c>
      <c r="G1139" s="1">
        <v>45396</v>
      </c>
      <c r="H1139" s="1">
        <f>TablaDatos[[#This Row],[FechaIngreso]]+TablaDatos[[#This Row],[DiasNuevo]]</f>
        <v>45402</v>
      </c>
      <c r="I1139">
        <v>6</v>
      </c>
      <c r="J1139" t="s">
        <v>25</v>
      </c>
      <c r="K1139" s="3">
        <v>5754.54</v>
      </c>
      <c r="L1139" t="b">
        <f>TablaDatos[[#This Row],[FechaAlta]] &lt; TablaDatos[[#This Row],[FechaIngreso]]</f>
        <v>0</v>
      </c>
      <c r="M1139">
        <f>_xlfn.XLOOKUP(TablaDatos[[#This Row],[PacienteID]],'Datos_Ejemplo.csv'!A:A,'Datos_Ejemplo.csv'!I:I)</f>
        <v>6</v>
      </c>
      <c r="N1139">
        <f>ABS(TablaDatos[[#This Row],[DiasOriginal]])</f>
        <v>6</v>
      </c>
      <c r="O1139" s="1">
        <f>TablaDatos[[#This Row],[FechaIngreso]]+TablaDatos[[#This Row],[DiasNuevo]]</f>
        <v>45402</v>
      </c>
    </row>
    <row r="1140" spans="1:15">
      <c r="A1140">
        <v>1139</v>
      </c>
      <c r="B1140" t="s">
        <v>241</v>
      </c>
      <c r="C1140" s="1">
        <v>29951</v>
      </c>
      <c r="D1140">
        <v>44</v>
      </c>
      <c r="E1140" s="4" t="s">
        <v>15</v>
      </c>
      <c r="F1140" t="s">
        <v>21</v>
      </c>
      <c r="G1140" s="1">
        <v>45118</v>
      </c>
      <c r="H1140" s="1">
        <f>TablaDatos[[#This Row],[FechaIngreso]]+TablaDatos[[#This Row],[DiasNuevo]]</f>
        <v>45157</v>
      </c>
      <c r="I1140">
        <v>39</v>
      </c>
      <c r="J1140" t="s">
        <v>25</v>
      </c>
      <c r="K1140" s="3">
        <v>6001.08</v>
      </c>
      <c r="L1140" t="b">
        <f>TablaDatos[[#This Row],[FechaAlta]] &lt; TablaDatos[[#This Row],[FechaIngreso]]</f>
        <v>0</v>
      </c>
      <c r="M1140">
        <f>_xlfn.XLOOKUP(TablaDatos[[#This Row],[PacienteID]],'Datos_Ejemplo.csv'!A:A,'Datos_Ejemplo.csv'!I:I)</f>
        <v>39</v>
      </c>
      <c r="N1140">
        <f>ABS(TablaDatos[[#This Row],[DiasOriginal]])</f>
        <v>39</v>
      </c>
      <c r="O1140" s="1">
        <f>TablaDatos[[#This Row],[FechaIngreso]]+TablaDatos[[#This Row],[DiasNuevo]]</f>
        <v>45157</v>
      </c>
    </row>
    <row r="1141" spans="1:15">
      <c r="A1141">
        <v>1140</v>
      </c>
      <c r="B1141" t="s">
        <v>90</v>
      </c>
      <c r="C1141" s="1">
        <v>45657</v>
      </c>
      <c r="D1141">
        <v>1</v>
      </c>
      <c r="E1141" s="4" t="s">
        <v>15</v>
      </c>
      <c r="F1141" t="s">
        <v>201</v>
      </c>
      <c r="G1141" s="1">
        <v>45270</v>
      </c>
      <c r="H1141" s="1">
        <f>TablaDatos[[#This Row],[FechaIngreso]]+TablaDatos[[#This Row],[DiasNuevo]]</f>
        <v>45299</v>
      </c>
      <c r="I1141">
        <v>29</v>
      </c>
      <c r="J1141" t="s">
        <v>23</v>
      </c>
      <c r="K1141" s="3">
        <v>7749.97</v>
      </c>
      <c r="L1141" t="b">
        <f>TablaDatos[[#This Row],[FechaAlta]] &lt; TablaDatos[[#This Row],[FechaIngreso]]</f>
        <v>0</v>
      </c>
      <c r="M1141">
        <f>_xlfn.XLOOKUP(TablaDatos[[#This Row],[PacienteID]],'Datos_Ejemplo.csv'!A:A,'Datos_Ejemplo.csv'!I:I)</f>
        <v>29</v>
      </c>
      <c r="N1141">
        <f>ABS(TablaDatos[[#This Row],[DiasOriginal]])</f>
        <v>29</v>
      </c>
      <c r="O1141" s="1">
        <f>TablaDatos[[#This Row],[FechaIngreso]]+TablaDatos[[#This Row],[DiasNuevo]]</f>
        <v>45299</v>
      </c>
    </row>
    <row r="1142" spans="1:15">
      <c r="A1142">
        <v>1141</v>
      </c>
      <c r="B1142" t="s">
        <v>280</v>
      </c>
      <c r="C1142" s="1">
        <v>36526</v>
      </c>
      <c r="D1142">
        <v>26</v>
      </c>
      <c r="E1142" s="4" t="s">
        <v>12</v>
      </c>
      <c r="F1142" t="s">
        <v>21</v>
      </c>
      <c r="G1142" s="1">
        <v>45552</v>
      </c>
      <c r="H1142" s="1">
        <f>TablaDatos[[#This Row],[FechaIngreso]]+TablaDatos[[#This Row],[DiasNuevo]]</f>
        <v>45585</v>
      </c>
      <c r="I1142">
        <v>33</v>
      </c>
      <c r="J1142" t="s">
        <v>19</v>
      </c>
      <c r="K1142" s="3">
        <v>16264.02</v>
      </c>
      <c r="L1142" t="b">
        <f>TablaDatos[[#This Row],[FechaAlta]] &lt; TablaDatos[[#This Row],[FechaIngreso]]</f>
        <v>0</v>
      </c>
      <c r="M1142">
        <f>_xlfn.XLOOKUP(TablaDatos[[#This Row],[PacienteID]],'Datos_Ejemplo.csv'!A:A,'Datos_Ejemplo.csv'!I:I)</f>
        <v>33</v>
      </c>
      <c r="N1142">
        <f>ABS(TablaDatos[[#This Row],[DiasOriginal]])</f>
        <v>33</v>
      </c>
      <c r="O1142" s="1">
        <f>TablaDatos[[#This Row],[FechaIngreso]]+TablaDatos[[#This Row],[DiasNuevo]]</f>
        <v>45585</v>
      </c>
    </row>
    <row r="1143" spans="1:15">
      <c r="A1143">
        <v>1142</v>
      </c>
      <c r="B1143" t="s">
        <v>271</v>
      </c>
      <c r="C1143" s="1">
        <v>11689</v>
      </c>
      <c r="D1143">
        <v>94</v>
      </c>
      <c r="E1143" s="4" t="s">
        <v>12</v>
      </c>
      <c r="F1143" t="s">
        <v>32</v>
      </c>
      <c r="G1143" s="1">
        <v>45204</v>
      </c>
      <c r="H1143" s="1">
        <f>TablaDatos[[#This Row],[FechaIngreso]]+TablaDatos[[#This Row],[DiasNuevo]]</f>
        <v>45217</v>
      </c>
      <c r="I1143">
        <v>13</v>
      </c>
      <c r="J1143" t="s">
        <v>23</v>
      </c>
      <c r="K1143" s="3">
        <v>109.39</v>
      </c>
      <c r="L1143" t="b">
        <f>TablaDatos[[#This Row],[FechaAlta]] &lt; TablaDatos[[#This Row],[FechaIngreso]]</f>
        <v>0</v>
      </c>
      <c r="M1143">
        <f>_xlfn.XLOOKUP(TablaDatos[[#This Row],[PacienteID]],'Datos_Ejemplo.csv'!A:A,'Datos_Ejemplo.csv'!I:I)</f>
        <v>13</v>
      </c>
      <c r="N1143">
        <f>ABS(TablaDatos[[#This Row],[DiasOriginal]])</f>
        <v>13</v>
      </c>
      <c r="O1143" s="1">
        <f>TablaDatos[[#This Row],[FechaIngreso]]+TablaDatos[[#This Row],[DiasNuevo]]</f>
        <v>45217</v>
      </c>
    </row>
    <row r="1144" spans="1:15">
      <c r="A1144">
        <v>1143</v>
      </c>
      <c r="B1144" t="s">
        <v>305</v>
      </c>
      <c r="C1144" s="1">
        <v>33239</v>
      </c>
      <c r="D1144">
        <v>35</v>
      </c>
      <c r="E1144" s="4" t="s">
        <v>15</v>
      </c>
      <c r="F1144" t="s">
        <v>201</v>
      </c>
      <c r="G1144" s="1">
        <v>45281</v>
      </c>
      <c r="H1144" s="1">
        <f>TablaDatos[[#This Row],[FechaIngreso]]+TablaDatos[[#This Row],[DiasNuevo]]</f>
        <v>45290</v>
      </c>
      <c r="I1144">
        <v>9</v>
      </c>
      <c r="J1144" t="s">
        <v>23</v>
      </c>
      <c r="K1144" s="3">
        <v>4401.53</v>
      </c>
      <c r="L1144" t="b">
        <f>TablaDatos[[#This Row],[FechaAlta]] &lt; TablaDatos[[#This Row],[FechaIngreso]]</f>
        <v>0</v>
      </c>
      <c r="M1144">
        <f>_xlfn.XLOOKUP(TablaDatos[[#This Row],[PacienteID]],'Datos_Ejemplo.csv'!A:A,'Datos_Ejemplo.csv'!I:I)</f>
        <v>9</v>
      </c>
      <c r="N1144">
        <f>ABS(TablaDatos[[#This Row],[DiasOriginal]])</f>
        <v>9</v>
      </c>
      <c r="O1144" s="1">
        <f>TablaDatos[[#This Row],[FechaIngreso]]+TablaDatos[[#This Row],[DiasNuevo]]</f>
        <v>45290</v>
      </c>
    </row>
    <row r="1145" spans="1:15">
      <c r="A1145">
        <v>1144</v>
      </c>
      <c r="B1145" t="s">
        <v>55</v>
      </c>
      <c r="C1145" s="1">
        <v>33239</v>
      </c>
      <c r="D1145">
        <f ca="1">DATEDIF(TablaDatos[[#This Row],[FechaNacimiento]],TODAY(),"Y")</f>
        <v>35</v>
      </c>
      <c r="E1145" s="4" t="s">
        <v>15</v>
      </c>
      <c r="F1145" t="s">
        <v>261</v>
      </c>
      <c r="G1145" s="1">
        <v>45455</v>
      </c>
      <c r="H1145" s="1">
        <f>TablaDatos[[#This Row],[FechaIngreso]]+TablaDatos[[#This Row],[DiasNuevo]]</f>
        <v>45493</v>
      </c>
      <c r="I1145">
        <v>38</v>
      </c>
      <c r="J1145" t="s">
        <v>19</v>
      </c>
      <c r="K1145" s="3">
        <v>14088.59</v>
      </c>
      <c r="L1145" t="b">
        <f>TablaDatos[[#This Row],[FechaAlta]] &lt; TablaDatos[[#This Row],[FechaIngreso]]</f>
        <v>0</v>
      </c>
      <c r="M1145">
        <f>_xlfn.XLOOKUP(TablaDatos[[#This Row],[PacienteID]],'Datos_Ejemplo.csv'!A:A,'Datos_Ejemplo.csv'!I:I)</f>
        <v>38</v>
      </c>
      <c r="N1145">
        <f>ABS(TablaDatos[[#This Row],[DiasOriginal]])</f>
        <v>38</v>
      </c>
      <c r="O1145" s="1">
        <f>TablaDatos[[#This Row],[FechaIngreso]]+TablaDatos[[#This Row],[DiasNuevo]]</f>
        <v>45493</v>
      </c>
    </row>
    <row r="1146" spans="1:15">
      <c r="A1146">
        <v>1145</v>
      </c>
      <c r="B1146" t="s">
        <v>161</v>
      </c>
      <c r="C1146" s="1">
        <v>36891</v>
      </c>
      <c r="D1146">
        <v>25</v>
      </c>
      <c r="E1146" s="4" t="s">
        <v>12</v>
      </c>
      <c r="F1146" t="s">
        <v>261</v>
      </c>
      <c r="G1146" s="1">
        <v>45012</v>
      </c>
      <c r="H1146" s="1">
        <f>TablaDatos[[#This Row],[FechaIngreso]]+TablaDatos[[#This Row],[DiasNuevo]]</f>
        <v>45012</v>
      </c>
      <c r="I1146">
        <v>0</v>
      </c>
      <c r="J1146" t="s">
        <v>19</v>
      </c>
      <c r="K1146" s="3">
        <v>8053.35</v>
      </c>
      <c r="L1146" t="b">
        <f>TablaDatos[[#This Row],[FechaAlta]] &lt; TablaDatos[[#This Row],[FechaIngreso]]</f>
        <v>0</v>
      </c>
      <c r="M1146">
        <f>_xlfn.XLOOKUP(TablaDatos[[#This Row],[PacienteID]],'Datos_Ejemplo.csv'!A:A,'Datos_Ejemplo.csv'!I:I)</f>
        <v>0</v>
      </c>
      <c r="N1146">
        <f>ABS(TablaDatos[[#This Row],[DiasOriginal]])</f>
        <v>0</v>
      </c>
      <c r="O1146" s="1">
        <f>TablaDatos[[#This Row],[FechaIngreso]]+TablaDatos[[#This Row],[DiasNuevo]]</f>
        <v>45012</v>
      </c>
    </row>
    <row r="1147" spans="1:15">
      <c r="A1147">
        <v>1146</v>
      </c>
      <c r="B1147" t="s">
        <v>250</v>
      </c>
      <c r="C1147" s="1">
        <v>30682</v>
      </c>
      <c r="D1147">
        <v>42</v>
      </c>
      <c r="E1147" s="4" t="s">
        <v>12</v>
      </c>
      <c r="F1147" t="s">
        <v>21</v>
      </c>
      <c r="G1147" s="1">
        <v>45243</v>
      </c>
      <c r="H1147" s="1">
        <f>TablaDatos[[#This Row],[FechaIngreso]]+TablaDatos[[#This Row],[DiasNuevo]]</f>
        <v>45267</v>
      </c>
      <c r="I1147">
        <v>24</v>
      </c>
      <c r="J1147" t="s">
        <v>19</v>
      </c>
      <c r="K1147" s="3">
        <v>6538.94</v>
      </c>
      <c r="L1147" t="b">
        <f>TablaDatos[[#This Row],[FechaAlta]] &lt; TablaDatos[[#This Row],[FechaIngreso]]</f>
        <v>0</v>
      </c>
      <c r="M1147">
        <f>_xlfn.XLOOKUP(TablaDatos[[#This Row],[PacienteID]],'Datos_Ejemplo.csv'!A:A,'Datos_Ejemplo.csv'!I:I)</f>
        <v>24</v>
      </c>
      <c r="N1147">
        <f>ABS(TablaDatos[[#This Row],[DiasOriginal]])</f>
        <v>24</v>
      </c>
      <c r="O1147" s="1">
        <f>TablaDatos[[#This Row],[FechaIngreso]]+TablaDatos[[#This Row],[DiasNuevo]]</f>
        <v>45267</v>
      </c>
    </row>
    <row r="1148" spans="1:15">
      <c r="A1148">
        <v>1147</v>
      </c>
      <c r="B1148" t="s">
        <v>285</v>
      </c>
      <c r="C1148" s="1">
        <v>36526</v>
      </c>
      <c r="D1148">
        <v>26</v>
      </c>
      <c r="E1148" s="4" t="s">
        <v>15</v>
      </c>
      <c r="F1148" t="s">
        <v>261</v>
      </c>
      <c r="G1148" s="1">
        <v>45619</v>
      </c>
      <c r="H1148" s="1">
        <f>TablaDatos[[#This Row],[FechaIngreso]]+TablaDatos[[#This Row],[DiasNuevo]]</f>
        <v>45643</v>
      </c>
      <c r="I1148">
        <v>24</v>
      </c>
      <c r="J1148" t="s">
        <v>23</v>
      </c>
      <c r="K1148" s="3">
        <v>17432.89</v>
      </c>
      <c r="L1148" t="b">
        <f>TablaDatos[[#This Row],[FechaAlta]] &lt; TablaDatos[[#This Row],[FechaIngreso]]</f>
        <v>0</v>
      </c>
      <c r="M1148">
        <f>_xlfn.XLOOKUP(TablaDatos[[#This Row],[PacienteID]],'Datos_Ejemplo.csv'!A:A,'Datos_Ejemplo.csv'!I:I)</f>
        <v>24</v>
      </c>
      <c r="N1148">
        <f>ABS(TablaDatos[[#This Row],[DiasOriginal]])</f>
        <v>24</v>
      </c>
      <c r="O1148" s="1">
        <f>TablaDatos[[#This Row],[FechaIngreso]]+TablaDatos[[#This Row],[DiasNuevo]]</f>
        <v>45643</v>
      </c>
    </row>
    <row r="1149" spans="1:15">
      <c r="A1149">
        <v>1148</v>
      </c>
      <c r="B1149" t="s">
        <v>311</v>
      </c>
      <c r="C1149" s="1">
        <v>21185</v>
      </c>
      <c r="D1149">
        <v>68</v>
      </c>
      <c r="E1149" s="4" t="s">
        <v>12</v>
      </c>
      <c r="F1149" t="s">
        <v>13</v>
      </c>
      <c r="G1149" s="1">
        <v>45263</v>
      </c>
      <c r="H1149" s="1">
        <f>TablaDatos[[#This Row],[FechaIngreso]]+TablaDatos[[#This Row],[DiasNuevo]]</f>
        <v>45269</v>
      </c>
      <c r="I1149">
        <v>6</v>
      </c>
      <c r="J1149" t="s">
        <v>23</v>
      </c>
      <c r="K1149" s="3">
        <v>18338.41</v>
      </c>
      <c r="L1149" t="b">
        <f>TablaDatos[[#This Row],[FechaAlta]] &lt; TablaDatos[[#This Row],[FechaIngreso]]</f>
        <v>0</v>
      </c>
      <c r="M1149">
        <f>_xlfn.XLOOKUP(TablaDatos[[#This Row],[PacienteID]],'Datos_Ejemplo.csv'!A:A,'Datos_Ejemplo.csv'!I:I)</f>
        <v>6</v>
      </c>
      <c r="N1149">
        <f>ABS(TablaDatos[[#This Row],[DiasOriginal]])</f>
        <v>6</v>
      </c>
      <c r="O1149" s="1">
        <f>TablaDatos[[#This Row],[FechaIngreso]]+TablaDatos[[#This Row],[DiasNuevo]]</f>
        <v>45269</v>
      </c>
    </row>
    <row r="1150" spans="1:15">
      <c r="A1150">
        <v>1149</v>
      </c>
      <c r="B1150" t="s">
        <v>61</v>
      </c>
      <c r="C1150" s="1">
        <v>39083</v>
      </c>
      <c r="D1150">
        <v>19</v>
      </c>
      <c r="E1150" s="4" t="s">
        <v>15</v>
      </c>
      <c r="F1150" t="s">
        <v>201</v>
      </c>
      <c r="G1150" s="1">
        <v>45071</v>
      </c>
      <c r="H1150" s="1">
        <f>TablaDatos[[#This Row],[FechaIngreso]]+TablaDatos[[#This Row],[DiasNuevo]]</f>
        <v>45085</v>
      </c>
      <c r="I1150">
        <v>14</v>
      </c>
      <c r="J1150" t="s">
        <v>23</v>
      </c>
      <c r="K1150" s="3">
        <v>18954.52</v>
      </c>
      <c r="L1150" t="b">
        <f>TablaDatos[[#This Row],[FechaAlta]] &lt; TablaDatos[[#This Row],[FechaIngreso]]</f>
        <v>0</v>
      </c>
      <c r="M1150">
        <f>_xlfn.XLOOKUP(TablaDatos[[#This Row],[PacienteID]],'Datos_Ejemplo.csv'!A:A,'Datos_Ejemplo.csv'!I:I)</f>
        <v>14</v>
      </c>
      <c r="N1150">
        <f>ABS(TablaDatos[[#This Row],[DiasOriginal]])</f>
        <v>14</v>
      </c>
      <c r="O1150" s="1">
        <f>TablaDatos[[#This Row],[FechaIngreso]]+TablaDatos[[#This Row],[DiasNuevo]]</f>
        <v>45085</v>
      </c>
    </row>
    <row r="1151" spans="1:15">
      <c r="A1151">
        <v>1150</v>
      </c>
      <c r="B1151" t="s">
        <v>260</v>
      </c>
      <c r="C1151" s="1">
        <v>42370</v>
      </c>
      <c r="D1151">
        <v>10</v>
      </c>
      <c r="E1151" s="4" t="s">
        <v>12</v>
      </c>
      <c r="F1151" t="s">
        <v>201</v>
      </c>
      <c r="G1151" s="1">
        <v>45241</v>
      </c>
      <c r="H1151" s="1">
        <f>TablaDatos[[#This Row],[FechaIngreso]]+TablaDatos[[#This Row],[DiasNuevo]]</f>
        <v>45243</v>
      </c>
      <c r="I1151">
        <v>2</v>
      </c>
      <c r="J1151" t="s">
        <v>25</v>
      </c>
      <c r="K1151" s="3">
        <v>5378.27</v>
      </c>
      <c r="L1151" t="b">
        <f>TablaDatos[[#This Row],[FechaAlta]] &lt; TablaDatos[[#This Row],[FechaIngreso]]</f>
        <v>0</v>
      </c>
      <c r="M1151">
        <f>_xlfn.XLOOKUP(TablaDatos[[#This Row],[PacienteID]],'Datos_Ejemplo.csv'!A:A,'Datos_Ejemplo.csv'!I:I)</f>
        <v>2</v>
      </c>
      <c r="N1151">
        <f>ABS(TablaDatos[[#This Row],[DiasOriginal]])</f>
        <v>2</v>
      </c>
      <c r="O1151" s="1">
        <f>TablaDatos[[#This Row],[FechaIngreso]]+TablaDatos[[#This Row],[DiasNuevo]]</f>
        <v>45243</v>
      </c>
    </row>
    <row r="1152" spans="1:15">
      <c r="A1152">
        <v>1151</v>
      </c>
      <c r="B1152" t="s">
        <v>333</v>
      </c>
      <c r="C1152" s="1">
        <v>19359</v>
      </c>
      <c r="D1152">
        <v>73</v>
      </c>
      <c r="E1152" s="4" t="s">
        <v>12</v>
      </c>
      <c r="F1152" t="s">
        <v>261</v>
      </c>
      <c r="G1152" s="1">
        <v>45151</v>
      </c>
      <c r="H1152" s="1">
        <f>TablaDatos[[#This Row],[FechaIngreso]]+TablaDatos[[#This Row],[DiasNuevo]]</f>
        <v>45174</v>
      </c>
      <c r="I1152">
        <v>23</v>
      </c>
      <c r="J1152" t="s">
        <v>23</v>
      </c>
      <c r="K1152" s="3">
        <v>18241.5</v>
      </c>
      <c r="L1152" t="b">
        <f>TablaDatos[[#This Row],[FechaAlta]] &lt; TablaDatos[[#This Row],[FechaIngreso]]</f>
        <v>0</v>
      </c>
      <c r="M1152">
        <f>_xlfn.XLOOKUP(TablaDatos[[#This Row],[PacienteID]],'Datos_Ejemplo.csv'!A:A,'Datos_Ejemplo.csv'!I:I)</f>
        <v>23</v>
      </c>
      <c r="N1152">
        <f>ABS(TablaDatos[[#This Row],[DiasOriginal]])</f>
        <v>23</v>
      </c>
      <c r="O1152" s="1">
        <f>TablaDatos[[#This Row],[FechaIngreso]]+TablaDatos[[#This Row],[DiasNuevo]]</f>
        <v>45174</v>
      </c>
    </row>
    <row r="1153" spans="1:15">
      <c r="A1153">
        <v>1152</v>
      </c>
      <c r="B1153" t="s">
        <v>333</v>
      </c>
      <c r="C1153" s="1">
        <v>32508</v>
      </c>
      <c r="D1153">
        <f ca="1">DATEDIF(TablaDatos[[#This Row],[FechaNacimiento]],TODAY(),"Y")</f>
        <v>37</v>
      </c>
      <c r="E1153" s="4" t="s">
        <v>12</v>
      </c>
      <c r="F1153" t="s">
        <v>201</v>
      </c>
      <c r="G1153" s="1">
        <v>45349</v>
      </c>
      <c r="H1153" s="1">
        <f>TablaDatos[[#This Row],[FechaIngreso]]+TablaDatos[[#This Row],[DiasNuevo]]</f>
        <v>45367</v>
      </c>
      <c r="I1153">
        <v>18</v>
      </c>
      <c r="J1153" t="s">
        <v>23</v>
      </c>
      <c r="K1153" s="3">
        <v>14713.01</v>
      </c>
      <c r="L1153" t="b">
        <f>TablaDatos[[#This Row],[FechaAlta]] &lt; TablaDatos[[#This Row],[FechaIngreso]]</f>
        <v>0</v>
      </c>
      <c r="M1153">
        <f>_xlfn.XLOOKUP(TablaDatos[[#This Row],[PacienteID]],'Datos_Ejemplo.csv'!A:A,'Datos_Ejemplo.csv'!I:I)</f>
        <v>18</v>
      </c>
      <c r="N1153">
        <f>ABS(TablaDatos[[#This Row],[DiasOriginal]])</f>
        <v>18</v>
      </c>
      <c r="O1153" s="1">
        <f>TablaDatos[[#This Row],[FechaIngreso]]+TablaDatos[[#This Row],[DiasNuevo]]</f>
        <v>45367</v>
      </c>
    </row>
    <row r="1154" spans="1:15">
      <c r="A1154">
        <v>1153</v>
      </c>
      <c r="B1154" t="s">
        <v>274</v>
      </c>
      <c r="C1154" s="1">
        <f ca="1">DATE(YEAR(TODAY())-TablaDatos[[#This Row],[Edad]],1,1)</f>
        <v>44197</v>
      </c>
      <c r="D1154">
        <v>5</v>
      </c>
      <c r="E1154" s="4" t="s">
        <v>15</v>
      </c>
      <c r="F1154" t="s">
        <v>32</v>
      </c>
      <c r="G1154" s="1">
        <v>44980</v>
      </c>
      <c r="H1154" s="1">
        <f>TablaDatos[[#This Row],[FechaIngreso]]+TablaDatos[[#This Row],[DiasNuevo]]</f>
        <v>44982</v>
      </c>
      <c r="I1154">
        <v>2</v>
      </c>
      <c r="J1154" t="s">
        <v>19</v>
      </c>
      <c r="K1154" s="3">
        <v>2999.72</v>
      </c>
      <c r="L1154" t="b">
        <f>TablaDatos[[#This Row],[FechaAlta]] &lt; TablaDatos[[#This Row],[FechaIngreso]]</f>
        <v>0</v>
      </c>
      <c r="M1154">
        <f>_xlfn.XLOOKUP(TablaDatos[[#This Row],[PacienteID]],'Datos_Ejemplo.csv'!A:A,'Datos_Ejemplo.csv'!I:I)</f>
        <v>-2</v>
      </c>
      <c r="N1154">
        <f>ABS(TablaDatos[[#This Row],[DiasOriginal]])</f>
        <v>2</v>
      </c>
      <c r="O1154" s="1">
        <f>TablaDatos[[#This Row],[FechaIngreso]]+TablaDatos[[#This Row],[DiasNuevo]]</f>
        <v>44982</v>
      </c>
    </row>
    <row r="1155" spans="1:15">
      <c r="A1155">
        <v>1154</v>
      </c>
      <c r="B1155" t="s">
        <v>251</v>
      </c>
      <c r="C1155" s="1">
        <v>20090</v>
      </c>
      <c r="D1155">
        <f ca="1">DATEDIF(TablaDatos[[#This Row],[FechaNacimiento]],TODAY(),"Y")</f>
        <v>71</v>
      </c>
      <c r="E1155" s="4" t="s">
        <v>15</v>
      </c>
      <c r="F1155" t="s">
        <v>18</v>
      </c>
      <c r="G1155" s="1">
        <v>44994</v>
      </c>
      <c r="H1155" s="1">
        <f>TablaDatos[[#This Row],[FechaIngreso]]+TablaDatos[[#This Row],[DiasNuevo]]</f>
        <v>44996</v>
      </c>
      <c r="I1155">
        <v>2</v>
      </c>
      <c r="J1155" t="s">
        <v>19</v>
      </c>
      <c r="K1155" s="3">
        <v>12166.43</v>
      </c>
      <c r="L1155" t="b">
        <f>TablaDatos[[#This Row],[FechaAlta]] &lt; TablaDatos[[#This Row],[FechaIngreso]]</f>
        <v>0</v>
      </c>
      <c r="M1155">
        <f>_xlfn.XLOOKUP(TablaDatos[[#This Row],[PacienteID]],'Datos_Ejemplo.csv'!A:A,'Datos_Ejemplo.csv'!I:I)</f>
        <v>-2</v>
      </c>
      <c r="N1155">
        <f>ABS(TablaDatos[[#This Row],[DiasOriginal]])</f>
        <v>2</v>
      </c>
      <c r="O1155" s="1">
        <f>TablaDatos[[#This Row],[FechaIngreso]]+TablaDatos[[#This Row],[DiasNuevo]]</f>
        <v>44996</v>
      </c>
    </row>
    <row r="1156" spans="1:15">
      <c r="A1156">
        <v>1155</v>
      </c>
      <c r="B1156" t="s">
        <v>111</v>
      </c>
      <c r="C1156" s="1">
        <v>37987</v>
      </c>
      <c r="D1156">
        <v>22</v>
      </c>
      <c r="E1156" s="4" t="s">
        <v>15</v>
      </c>
      <c r="F1156" t="s">
        <v>32</v>
      </c>
      <c r="G1156" s="1">
        <v>45545</v>
      </c>
      <c r="H1156" s="1">
        <f>TablaDatos[[#This Row],[FechaIngreso]]+TablaDatos[[#This Row],[DiasNuevo]]</f>
        <v>45577</v>
      </c>
      <c r="I1156">
        <v>32</v>
      </c>
      <c r="J1156" t="s">
        <v>23</v>
      </c>
      <c r="K1156" s="3">
        <v>429.33</v>
      </c>
      <c r="L1156" t="b">
        <f>TablaDatos[[#This Row],[FechaAlta]] &lt; TablaDatos[[#This Row],[FechaIngreso]]</f>
        <v>0</v>
      </c>
      <c r="M1156">
        <f>_xlfn.XLOOKUP(TablaDatos[[#This Row],[PacienteID]],'Datos_Ejemplo.csv'!A:A,'Datos_Ejemplo.csv'!I:I)</f>
        <v>32</v>
      </c>
      <c r="N1156">
        <f>ABS(TablaDatos[[#This Row],[DiasOriginal]])</f>
        <v>32</v>
      </c>
      <c r="O1156" s="1">
        <f>TablaDatos[[#This Row],[FechaIngreso]]+TablaDatos[[#This Row],[DiasNuevo]]</f>
        <v>45577</v>
      </c>
    </row>
    <row r="1157" spans="1:15">
      <c r="A1157">
        <v>1156</v>
      </c>
      <c r="B1157" t="s">
        <v>232</v>
      </c>
      <c r="C1157" s="1">
        <v>29221</v>
      </c>
      <c r="D1157">
        <f ca="1">DATEDIF(TablaDatos[[#This Row],[FechaNacimiento]],TODAY(),"Y")</f>
        <v>46</v>
      </c>
      <c r="E1157" s="4" t="s">
        <v>12</v>
      </c>
      <c r="F1157" t="s">
        <v>295</v>
      </c>
      <c r="G1157" s="1">
        <v>45260</v>
      </c>
      <c r="H1157" s="1">
        <f>TablaDatos[[#This Row],[FechaIngreso]]+TablaDatos[[#This Row],[DiasNuevo]]</f>
        <v>45266</v>
      </c>
      <c r="I1157">
        <v>6</v>
      </c>
      <c r="J1157" t="s">
        <v>23</v>
      </c>
      <c r="K1157" s="3">
        <v>14138.4</v>
      </c>
      <c r="L1157" t="b">
        <f>TablaDatos[[#This Row],[FechaAlta]] &lt; TablaDatos[[#This Row],[FechaIngreso]]</f>
        <v>0</v>
      </c>
      <c r="M1157">
        <f>_xlfn.XLOOKUP(TablaDatos[[#This Row],[PacienteID]],'Datos_Ejemplo.csv'!A:A,'Datos_Ejemplo.csv'!I:I)</f>
        <v>6</v>
      </c>
      <c r="N1157">
        <f>ABS(TablaDatos[[#This Row],[DiasOriginal]])</f>
        <v>6</v>
      </c>
      <c r="O1157" s="1">
        <f>TablaDatos[[#This Row],[FechaIngreso]]+TablaDatos[[#This Row],[DiasNuevo]]</f>
        <v>45266</v>
      </c>
    </row>
    <row r="1158" spans="1:15">
      <c r="A1158">
        <v>1157</v>
      </c>
      <c r="B1158" t="s">
        <v>312</v>
      </c>
      <c r="C1158" s="1">
        <v>13515</v>
      </c>
      <c r="D1158">
        <v>89</v>
      </c>
      <c r="E1158" s="4" t="s">
        <v>15</v>
      </c>
      <c r="F1158" t="s">
        <v>13</v>
      </c>
      <c r="G1158" s="1">
        <v>45003</v>
      </c>
      <c r="H1158" s="1">
        <f>TablaDatos[[#This Row],[FechaIngreso]]+TablaDatos[[#This Row],[DiasNuevo]]</f>
        <v>45023</v>
      </c>
      <c r="I1158">
        <v>20</v>
      </c>
      <c r="J1158" t="s">
        <v>23</v>
      </c>
      <c r="K1158" s="3">
        <v>14644.71</v>
      </c>
      <c r="L1158" t="b">
        <f>TablaDatos[[#This Row],[FechaAlta]] &lt; TablaDatos[[#This Row],[FechaIngreso]]</f>
        <v>0</v>
      </c>
      <c r="M1158">
        <f>_xlfn.XLOOKUP(TablaDatos[[#This Row],[PacienteID]],'Datos_Ejemplo.csv'!A:A,'Datos_Ejemplo.csv'!I:I)</f>
        <v>20</v>
      </c>
      <c r="N1158">
        <f>ABS(TablaDatos[[#This Row],[DiasOriginal]])</f>
        <v>20</v>
      </c>
      <c r="O1158" s="1">
        <f>TablaDatos[[#This Row],[FechaIngreso]]+TablaDatos[[#This Row],[DiasNuevo]]</f>
        <v>45023</v>
      </c>
    </row>
    <row r="1159" spans="1:15">
      <c r="A1159">
        <v>1158</v>
      </c>
      <c r="B1159" t="s">
        <v>237</v>
      </c>
      <c r="C1159" s="1">
        <v>29586</v>
      </c>
      <c r="D1159">
        <v>45</v>
      </c>
      <c r="E1159" s="4" t="s">
        <v>15</v>
      </c>
      <c r="F1159" t="s">
        <v>18</v>
      </c>
      <c r="G1159" s="1">
        <v>45465</v>
      </c>
      <c r="H1159" s="1">
        <f>TablaDatos[[#This Row],[FechaIngreso]]+TablaDatos[[#This Row],[DiasNuevo]]</f>
        <v>45500</v>
      </c>
      <c r="I1159">
        <v>35</v>
      </c>
      <c r="J1159" t="s">
        <v>25</v>
      </c>
      <c r="K1159" s="3">
        <v>15765.7</v>
      </c>
      <c r="L1159" t="b">
        <f>TablaDatos[[#This Row],[FechaAlta]] &lt; TablaDatos[[#This Row],[FechaIngreso]]</f>
        <v>0</v>
      </c>
      <c r="M1159">
        <f>_xlfn.XLOOKUP(TablaDatos[[#This Row],[PacienteID]],'Datos_Ejemplo.csv'!A:A,'Datos_Ejemplo.csv'!I:I)</f>
        <v>35</v>
      </c>
      <c r="N1159">
        <f>ABS(TablaDatos[[#This Row],[DiasOriginal]])</f>
        <v>35</v>
      </c>
      <c r="O1159" s="1">
        <f>TablaDatos[[#This Row],[FechaIngreso]]+TablaDatos[[#This Row],[DiasNuevo]]</f>
        <v>45500</v>
      </c>
    </row>
    <row r="1160" spans="1:15">
      <c r="A1160">
        <v>1159</v>
      </c>
      <c r="B1160" t="s">
        <v>362</v>
      </c>
      <c r="C1160" s="1">
        <v>42005</v>
      </c>
      <c r="D1160">
        <v>11</v>
      </c>
      <c r="E1160" s="4" t="s">
        <v>15</v>
      </c>
      <c r="F1160" t="s">
        <v>21</v>
      </c>
      <c r="G1160" s="1">
        <v>45081</v>
      </c>
      <c r="H1160" s="1">
        <f>TablaDatos[[#This Row],[FechaIngreso]]+TablaDatos[[#This Row],[DiasNuevo]]</f>
        <v>45119</v>
      </c>
      <c r="I1160">
        <v>38</v>
      </c>
      <c r="J1160" t="s">
        <v>23</v>
      </c>
      <c r="K1160" s="3">
        <v>3367.75</v>
      </c>
      <c r="L1160" t="b">
        <f>TablaDatos[[#This Row],[FechaAlta]] &lt; TablaDatos[[#This Row],[FechaIngreso]]</f>
        <v>0</v>
      </c>
      <c r="M1160">
        <f>_xlfn.XLOOKUP(TablaDatos[[#This Row],[PacienteID]],'Datos_Ejemplo.csv'!A:A,'Datos_Ejemplo.csv'!I:I)</f>
        <v>38</v>
      </c>
      <c r="N1160">
        <f>ABS(TablaDatos[[#This Row],[DiasOriginal]])</f>
        <v>38</v>
      </c>
      <c r="O1160" s="1">
        <f>TablaDatos[[#This Row],[FechaIngreso]]+TablaDatos[[#This Row],[DiasNuevo]]</f>
        <v>45119</v>
      </c>
    </row>
    <row r="1161" spans="1:15">
      <c r="A1161">
        <v>1160</v>
      </c>
      <c r="B1161" t="s">
        <v>325</v>
      </c>
      <c r="C1161" s="1">
        <v>13515</v>
      </c>
      <c r="D1161">
        <v>89</v>
      </c>
      <c r="E1161" s="4" t="s">
        <v>12</v>
      </c>
      <c r="F1161" t="s">
        <v>201</v>
      </c>
      <c r="G1161" s="1">
        <v>44998</v>
      </c>
      <c r="H1161" s="1">
        <f>TablaDatos[[#This Row],[FechaIngreso]]+TablaDatos[[#This Row],[DiasNuevo]]</f>
        <v>44999</v>
      </c>
      <c r="I1161">
        <v>1</v>
      </c>
      <c r="J1161" t="s">
        <v>23</v>
      </c>
      <c r="K1161" s="3">
        <v>12527.82</v>
      </c>
      <c r="L1161" t="b">
        <f>TablaDatos[[#This Row],[FechaAlta]] &lt; TablaDatos[[#This Row],[FechaIngreso]]</f>
        <v>0</v>
      </c>
      <c r="M1161">
        <f>_xlfn.XLOOKUP(TablaDatos[[#This Row],[PacienteID]],'Datos_Ejemplo.csv'!A:A,'Datos_Ejemplo.csv'!I:I)</f>
        <v>1</v>
      </c>
      <c r="N1161">
        <f>ABS(TablaDatos[[#This Row],[DiasOriginal]])</f>
        <v>1</v>
      </c>
      <c r="O1161" s="1">
        <f>TablaDatos[[#This Row],[FechaIngreso]]+TablaDatos[[#This Row],[DiasNuevo]]</f>
        <v>44999</v>
      </c>
    </row>
    <row r="1162" spans="1:15">
      <c r="A1162">
        <v>1161</v>
      </c>
      <c r="B1162" t="s">
        <v>250</v>
      </c>
      <c r="C1162" s="1">
        <v>41639</v>
      </c>
      <c r="D1162">
        <v>12</v>
      </c>
      <c r="E1162" s="4" t="s">
        <v>15</v>
      </c>
      <c r="F1162" t="s">
        <v>295</v>
      </c>
      <c r="G1162" s="1">
        <v>45427</v>
      </c>
      <c r="H1162" s="1">
        <f>TablaDatos[[#This Row],[FechaIngreso]]+TablaDatos[[#This Row],[DiasNuevo]]</f>
        <v>45443</v>
      </c>
      <c r="I1162">
        <v>16</v>
      </c>
      <c r="J1162" t="s">
        <v>23</v>
      </c>
      <c r="K1162" s="3">
        <v>3495.02</v>
      </c>
      <c r="L1162" t="b">
        <f>TablaDatos[[#This Row],[FechaAlta]] &lt; TablaDatos[[#This Row],[FechaIngreso]]</f>
        <v>0</v>
      </c>
      <c r="M1162">
        <f>_xlfn.XLOOKUP(TablaDatos[[#This Row],[PacienteID]],'Datos_Ejemplo.csv'!A:A,'Datos_Ejemplo.csv'!I:I)</f>
        <v>16</v>
      </c>
      <c r="N1162">
        <f>ABS(TablaDatos[[#This Row],[DiasOriginal]])</f>
        <v>16</v>
      </c>
      <c r="O1162" s="1">
        <f>TablaDatos[[#This Row],[FechaIngreso]]+TablaDatos[[#This Row],[DiasNuevo]]</f>
        <v>45443</v>
      </c>
    </row>
    <row r="1163" spans="1:15">
      <c r="A1163">
        <v>1162</v>
      </c>
      <c r="B1163" t="s">
        <v>152</v>
      </c>
      <c r="C1163" s="1">
        <v>23742</v>
      </c>
      <c r="D1163">
        <v>61</v>
      </c>
      <c r="E1163" s="4" t="s">
        <v>15</v>
      </c>
      <c r="F1163" t="s">
        <v>295</v>
      </c>
      <c r="G1163" s="1">
        <v>45373</v>
      </c>
      <c r="H1163" s="1">
        <f>TablaDatos[[#This Row],[FechaIngreso]]+TablaDatos[[#This Row],[DiasNuevo]]</f>
        <v>45407</v>
      </c>
      <c r="I1163">
        <v>34</v>
      </c>
      <c r="J1163" t="s">
        <v>23</v>
      </c>
      <c r="K1163" s="3">
        <v>18927.669999999998</v>
      </c>
      <c r="L1163" t="b">
        <f>TablaDatos[[#This Row],[FechaAlta]] &lt; TablaDatos[[#This Row],[FechaIngreso]]</f>
        <v>0</v>
      </c>
      <c r="M1163">
        <f>_xlfn.XLOOKUP(TablaDatos[[#This Row],[PacienteID]],'Datos_Ejemplo.csv'!A:A,'Datos_Ejemplo.csv'!I:I)</f>
        <v>34</v>
      </c>
      <c r="N1163">
        <f>ABS(TablaDatos[[#This Row],[DiasOriginal]])</f>
        <v>34</v>
      </c>
      <c r="O1163" s="1">
        <f>TablaDatos[[#This Row],[FechaIngreso]]+TablaDatos[[#This Row],[DiasNuevo]]</f>
        <v>45407</v>
      </c>
    </row>
    <row r="1164" spans="1:15">
      <c r="A1164">
        <v>1163</v>
      </c>
      <c r="B1164" t="s">
        <v>326</v>
      </c>
      <c r="C1164" s="1">
        <v>16437</v>
      </c>
      <c r="D1164">
        <f ca="1">DATEDIF(TablaDatos[[#This Row],[FechaNacimiento]],TODAY(),"Y")</f>
        <v>81</v>
      </c>
      <c r="E1164" s="4" t="s">
        <v>15</v>
      </c>
      <c r="F1164" t="s">
        <v>13</v>
      </c>
      <c r="G1164" s="1">
        <v>45618</v>
      </c>
      <c r="H1164" s="1">
        <f>TablaDatos[[#This Row],[FechaIngreso]]+TablaDatos[[#This Row],[DiasNuevo]]</f>
        <v>45620</v>
      </c>
      <c r="I1164">
        <v>2</v>
      </c>
      <c r="J1164" t="s">
        <v>25</v>
      </c>
      <c r="K1164" s="3">
        <v>13467.71</v>
      </c>
      <c r="L1164" t="b">
        <f>TablaDatos[[#This Row],[FechaAlta]] &lt; TablaDatos[[#This Row],[FechaIngreso]]</f>
        <v>0</v>
      </c>
      <c r="M1164">
        <f>_xlfn.XLOOKUP(TablaDatos[[#This Row],[PacienteID]],'Datos_Ejemplo.csv'!A:A,'Datos_Ejemplo.csv'!I:I)</f>
        <v>2</v>
      </c>
      <c r="N1164">
        <f>ABS(TablaDatos[[#This Row],[DiasOriginal]])</f>
        <v>2</v>
      </c>
      <c r="O1164" s="1">
        <f>TablaDatos[[#This Row],[FechaIngreso]]+TablaDatos[[#This Row],[DiasNuevo]]</f>
        <v>45620</v>
      </c>
    </row>
    <row r="1165" spans="1:15">
      <c r="A1165">
        <v>1164</v>
      </c>
      <c r="B1165" t="s">
        <v>244</v>
      </c>
      <c r="C1165" s="1">
        <v>13880</v>
      </c>
      <c r="D1165">
        <v>88</v>
      </c>
      <c r="E1165" s="4" t="s">
        <v>12</v>
      </c>
      <c r="F1165" t="s">
        <v>18</v>
      </c>
      <c r="G1165" s="1">
        <v>45485</v>
      </c>
      <c r="H1165" s="1">
        <f>TablaDatos[[#This Row],[FechaIngreso]]+TablaDatos[[#This Row],[DiasNuevo]]</f>
        <v>45510</v>
      </c>
      <c r="I1165">
        <v>25</v>
      </c>
      <c r="J1165" t="s">
        <v>25</v>
      </c>
      <c r="K1165" s="3">
        <v>1816.05</v>
      </c>
      <c r="L1165" t="b">
        <f>TablaDatos[[#This Row],[FechaAlta]] &lt; TablaDatos[[#This Row],[FechaIngreso]]</f>
        <v>0</v>
      </c>
      <c r="M1165">
        <f>_xlfn.XLOOKUP(TablaDatos[[#This Row],[PacienteID]],'Datos_Ejemplo.csv'!A:A,'Datos_Ejemplo.csv'!I:I)</f>
        <v>25</v>
      </c>
      <c r="N1165">
        <f>ABS(TablaDatos[[#This Row],[DiasOriginal]])</f>
        <v>25</v>
      </c>
      <c r="O1165" s="1">
        <f>TablaDatos[[#This Row],[FechaIngreso]]+TablaDatos[[#This Row],[DiasNuevo]]</f>
        <v>45510</v>
      </c>
    </row>
    <row r="1166" spans="1:15">
      <c r="A1166">
        <v>1165</v>
      </c>
      <c r="B1166" t="s">
        <v>269</v>
      </c>
      <c r="C1166" s="1">
        <v>24473</v>
      </c>
      <c r="D1166">
        <v>59</v>
      </c>
      <c r="E1166" s="4" t="s">
        <v>12</v>
      </c>
      <c r="F1166" t="s">
        <v>295</v>
      </c>
      <c r="G1166" s="1">
        <v>45285</v>
      </c>
      <c r="H1166" s="1">
        <f>TablaDatos[[#This Row],[FechaIngreso]]+TablaDatos[[#This Row],[DiasNuevo]]</f>
        <v>45324</v>
      </c>
      <c r="I1166">
        <v>39</v>
      </c>
      <c r="J1166" t="s">
        <v>23</v>
      </c>
      <c r="K1166" s="3">
        <v>3659.35</v>
      </c>
      <c r="L1166" t="b">
        <f>TablaDatos[[#This Row],[FechaAlta]] &lt; TablaDatos[[#This Row],[FechaIngreso]]</f>
        <v>0</v>
      </c>
      <c r="M1166">
        <f>_xlfn.XLOOKUP(TablaDatos[[#This Row],[PacienteID]],'Datos_Ejemplo.csv'!A:A,'Datos_Ejemplo.csv'!I:I)</f>
        <v>39</v>
      </c>
      <c r="N1166">
        <f>ABS(TablaDatos[[#This Row],[DiasOriginal]])</f>
        <v>39</v>
      </c>
      <c r="O1166" s="1">
        <f>TablaDatos[[#This Row],[FechaIngreso]]+TablaDatos[[#This Row],[DiasNuevo]]</f>
        <v>45324</v>
      </c>
    </row>
    <row r="1167" spans="1:15">
      <c r="A1167">
        <v>1166</v>
      </c>
      <c r="B1167" t="s">
        <v>234</v>
      </c>
      <c r="C1167" s="1">
        <f ca="1">DATE(YEAR(TODAY())-TablaDatos[[#This Row],[Edad]],1,1)</f>
        <v>30682</v>
      </c>
      <c r="D1167">
        <v>42</v>
      </c>
      <c r="E1167" s="4" t="s">
        <v>12</v>
      </c>
      <c r="F1167" t="s">
        <v>18</v>
      </c>
      <c r="G1167" s="1">
        <v>45203</v>
      </c>
      <c r="H1167" s="1">
        <f>TablaDatos[[#This Row],[FechaIngreso]]+TablaDatos[[#This Row],[DiasNuevo]]</f>
        <v>45223</v>
      </c>
      <c r="I1167">
        <v>20</v>
      </c>
      <c r="J1167" t="s">
        <v>25</v>
      </c>
      <c r="K1167" s="3">
        <v>13235.55</v>
      </c>
      <c r="L1167" t="b">
        <f>TablaDatos[[#This Row],[FechaAlta]] &lt; TablaDatos[[#This Row],[FechaIngreso]]</f>
        <v>0</v>
      </c>
      <c r="M1167">
        <f>_xlfn.XLOOKUP(TablaDatos[[#This Row],[PacienteID]],'Datos_Ejemplo.csv'!A:A,'Datos_Ejemplo.csv'!I:I)</f>
        <v>20</v>
      </c>
      <c r="N1167">
        <f>ABS(TablaDatos[[#This Row],[DiasOriginal]])</f>
        <v>20</v>
      </c>
      <c r="O1167" s="1">
        <f>TablaDatos[[#This Row],[FechaIngreso]]+TablaDatos[[#This Row],[DiasNuevo]]</f>
        <v>45223</v>
      </c>
    </row>
    <row r="1168" spans="1:15">
      <c r="A1168">
        <v>1167</v>
      </c>
      <c r="B1168" t="s">
        <v>276</v>
      </c>
      <c r="C1168" s="1">
        <v>18629</v>
      </c>
      <c r="D1168">
        <v>75</v>
      </c>
      <c r="E1168" s="4" t="s">
        <v>12</v>
      </c>
      <c r="F1168" t="s">
        <v>18</v>
      </c>
      <c r="G1168" s="1">
        <v>45239</v>
      </c>
      <c r="H1168" s="1">
        <f>TablaDatos[[#This Row],[FechaIngreso]]+TablaDatos[[#This Row],[DiasNuevo]]</f>
        <v>45274</v>
      </c>
      <c r="I1168">
        <v>35</v>
      </c>
      <c r="J1168" t="s">
        <v>23</v>
      </c>
      <c r="K1168" s="3">
        <v>9481.08</v>
      </c>
      <c r="L1168" t="b">
        <f>TablaDatos[[#This Row],[FechaAlta]] &lt; TablaDatos[[#This Row],[FechaIngreso]]</f>
        <v>0</v>
      </c>
      <c r="M1168">
        <f>_xlfn.XLOOKUP(TablaDatos[[#This Row],[PacienteID]],'Datos_Ejemplo.csv'!A:A,'Datos_Ejemplo.csv'!I:I)</f>
        <v>35</v>
      </c>
      <c r="N1168">
        <f>ABS(TablaDatos[[#This Row],[DiasOriginal]])</f>
        <v>35</v>
      </c>
      <c r="O1168" s="1">
        <f>TablaDatos[[#This Row],[FechaIngreso]]+TablaDatos[[#This Row],[DiasNuevo]]</f>
        <v>45274</v>
      </c>
    </row>
    <row r="1169" spans="1:15">
      <c r="A1169">
        <v>1168</v>
      </c>
      <c r="B1169" t="s">
        <v>273</v>
      </c>
      <c r="C1169" s="1">
        <v>21551</v>
      </c>
      <c r="D1169">
        <v>67</v>
      </c>
      <c r="E1169" s="4" t="s">
        <v>12</v>
      </c>
      <c r="F1169" t="s">
        <v>261</v>
      </c>
      <c r="G1169" s="1">
        <v>45031</v>
      </c>
      <c r="H1169" s="1">
        <f>TablaDatos[[#This Row],[FechaIngreso]]+TablaDatos[[#This Row],[DiasNuevo]]</f>
        <v>45051</v>
      </c>
      <c r="I1169">
        <v>20</v>
      </c>
      <c r="J1169" t="s">
        <v>23</v>
      </c>
      <c r="K1169" s="3">
        <v>14699.58</v>
      </c>
      <c r="L1169" t="b">
        <f>TablaDatos[[#This Row],[FechaAlta]] &lt; TablaDatos[[#This Row],[FechaIngreso]]</f>
        <v>0</v>
      </c>
      <c r="M1169">
        <f>_xlfn.XLOOKUP(TablaDatos[[#This Row],[PacienteID]],'Datos_Ejemplo.csv'!A:A,'Datos_Ejemplo.csv'!I:I)</f>
        <v>20</v>
      </c>
      <c r="N1169">
        <f>ABS(TablaDatos[[#This Row],[DiasOriginal]])</f>
        <v>20</v>
      </c>
      <c r="O1169" s="1">
        <f>TablaDatos[[#This Row],[FechaIngreso]]+TablaDatos[[#This Row],[DiasNuevo]]</f>
        <v>45051</v>
      </c>
    </row>
    <row r="1170" spans="1:15">
      <c r="A1170">
        <v>1169</v>
      </c>
      <c r="B1170" t="s">
        <v>283</v>
      </c>
      <c r="C1170" s="1">
        <v>44561</v>
      </c>
      <c r="D1170">
        <v>4</v>
      </c>
      <c r="E1170" s="4" t="s">
        <v>15</v>
      </c>
      <c r="F1170" t="s">
        <v>295</v>
      </c>
      <c r="G1170" s="1">
        <v>45021</v>
      </c>
      <c r="H1170" s="1">
        <f>TablaDatos[[#This Row],[FechaIngreso]]+TablaDatos[[#This Row],[DiasNuevo]]</f>
        <v>45036</v>
      </c>
      <c r="I1170">
        <v>15</v>
      </c>
      <c r="J1170" t="s">
        <v>23</v>
      </c>
      <c r="K1170" s="3">
        <v>5543.85</v>
      </c>
      <c r="L1170" t="b">
        <f>TablaDatos[[#This Row],[FechaAlta]] &lt; TablaDatos[[#This Row],[FechaIngreso]]</f>
        <v>0</v>
      </c>
      <c r="M1170">
        <f>_xlfn.XLOOKUP(TablaDatos[[#This Row],[PacienteID]],'Datos_Ejemplo.csv'!A:A,'Datos_Ejemplo.csv'!I:I)</f>
        <v>15</v>
      </c>
      <c r="N1170">
        <f>ABS(TablaDatos[[#This Row],[DiasOriginal]])</f>
        <v>15</v>
      </c>
      <c r="O1170" s="1">
        <f>TablaDatos[[#This Row],[FechaIngreso]]+TablaDatos[[#This Row],[DiasNuevo]]</f>
        <v>45036</v>
      </c>
    </row>
    <row r="1171" spans="1:15">
      <c r="A1171">
        <v>1170</v>
      </c>
      <c r="B1171" t="s">
        <v>61</v>
      </c>
      <c r="C1171" s="1">
        <v>32873</v>
      </c>
      <c r="D1171">
        <v>36</v>
      </c>
      <c r="E1171" s="4" t="s">
        <v>12</v>
      </c>
      <c r="F1171" t="s">
        <v>18</v>
      </c>
      <c r="G1171" s="1">
        <v>45145</v>
      </c>
      <c r="H1171" s="1">
        <f>TablaDatos[[#This Row],[FechaIngreso]]+TablaDatos[[#This Row],[DiasNuevo]]</f>
        <v>45171</v>
      </c>
      <c r="I1171">
        <v>26</v>
      </c>
      <c r="J1171" t="s">
        <v>23</v>
      </c>
      <c r="K1171" s="3">
        <v>13124.14</v>
      </c>
      <c r="L1171" t="b">
        <f>TablaDatos[[#This Row],[FechaAlta]] &lt; TablaDatos[[#This Row],[FechaIngreso]]</f>
        <v>0</v>
      </c>
      <c r="M1171">
        <f>_xlfn.XLOOKUP(TablaDatos[[#This Row],[PacienteID]],'Datos_Ejemplo.csv'!A:A,'Datos_Ejemplo.csv'!I:I)</f>
        <v>26</v>
      </c>
      <c r="N1171">
        <f>ABS(TablaDatos[[#This Row],[DiasOriginal]])</f>
        <v>26</v>
      </c>
      <c r="O1171" s="1">
        <f>TablaDatos[[#This Row],[FechaIngreso]]+TablaDatos[[#This Row],[DiasNuevo]]</f>
        <v>45171</v>
      </c>
    </row>
    <row r="1172" spans="1:15">
      <c r="A1172">
        <v>1171</v>
      </c>
      <c r="B1172" t="s">
        <v>308</v>
      </c>
      <c r="C1172" s="1">
        <v>20090</v>
      </c>
      <c r="D1172">
        <v>71</v>
      </c>
      <c r="E1172" s="4" t="s">
        <v>15</v>
      </c>
      <c r="F1172" t="s">
        <v>13</v>
      </c>
      <c r="G1172" s="1">
        <v>45608</v>
      </c>
      <c r="H1172" s="1">
        <f>TablaDatos[[#This Row],[FechaIngreso]]+TablaDatos[[#This Row],[DiasNuevo]]</f>
        <v>45633</v>
      </c>
      <c r="I1172">
        <v>25</v>
      </c>
      <c r="J1172" t="s">
        <v>23</v>
      </c>
      <c r="K1172" s="3">
        <v>3456.9</v>
      </c>
      <c r="L1172" t="b">
        <f>TablaDatos[[#This Row],[FechaAlta]] &lt; TablaDatos[[#This Row],[FechaIngreso]]</f>
        <v>0</v>
      </c>
      <c r="M1172">
        <f>_xlfn.XLOOKUP(TablaDatos[[#This Row],[PacienteID]],'Datos_Ejemplo.csv'!A:A,'Datos_Ejemplo.csv'!I:I)</f>
        <v>25</v>
      </c>
      <c r="N1172">
        <f>ABS(TablaDatos[[#This Row],[DiasOriginal]])</f>
        <v>25</v>
      </c>
      <c r="O1172" s="1">
        <f>TablaDatos[[#This Row],[FechaIngreso]]+TablaDatos[[#This Row],[DiasNuevo]]</f>
        <v>45633</v>
      </c>
    </row>
    <row r="1173" spans="1:15">
      <c r="A1173">
        <v>1172</v>
      </c>
      <c r="B1173" t="s">
        <v>353</v>
      </c>
      <c r="C1173" s="1">
        <v>12785</v>
      </c>
      <c r="D1173">
        <v>91</v>
      </c>
      <c r="E1173" s="4" t="s">
        <v>15</v>
      </c>
      <c r="F1173" t="s">
        <v>295</v>
      </c>
      <c r="G1173" s="1">
        <v>45054</v>
      </c>
      <c r="H1173" s="1">
        <f>TablaDatos[[#This Row],[FechaIngreso]]+TablaDatos[[#This Row],[DiasNuevo]]</f>
        <v>45060</v>
      </c>
      <c r="I1173">
        <v>6</v>
      </c>
      <c r="J1173" t="s">
        <v>23</v>
      </c>
      <c r="K1173" s="3">
        <v>10828.58</v>
      </c>
      <c r="L1173" t="b">
        <f>TablaDatos[[#This Row],[FechaAlta]] &lt; TablaDatos[[#This Row],[FechaIngreso]]</f>
        <v>0</v>
      </c>
      <c r="M1173">
        <f>_xlfn.XLOOKUP(TablaDatos[[#This Row],[PacienteID]],'Datos_Ejemplo.csv'!A:A,'Datos_Ejemplo.csv'!I:I)</f>
        <v>6</v>
      </c>
      <c r="N1173">
        <f>ABS(TablaDatos[[#This Row],[DiasOriginal]])</f>
        <v>6</v>
      </c>
      <c r="O1173" s="1">
        <f>TablaDatos[[#This Row],[FechaIngreso]]+TablaDatos[[#This Row],[DiasNuevo]]</f>
        <v>45060</v>
      </c>
    </row>
    <row r="1174" spans="1:15">
      <c r="A1174">
        <v>1173</v>
      </c>
      <c r="B1174" t="s">
        <v>312</v>
      </c>
      <c r="C1174" s="1">
        <v>35065</v>
      </c>
      <c r="D1174">
        <v>30</v>
      </c>
      <c r="E1174" s="4" t="s">
        <v>12</v>
      </c>
      <c r="F1174" t="s">
        <v>13</v>
      </c>
      <c r="G1174" s="1">
        <v>45126</v>
      </c>
      <c r="H1174" s="1">
        <f>TablaDatos[[#This Row],[FechaIngreso]]+TablaDatos[[#This Row],[DiasNuevo]]</f>
        <v>45162</v>
      </c>
      <c r="I1174">
        <v>36</v>
      </c>
      <c r="J1174" t="s">
        <v>23</v>
      </c>
      <c r="K1174" s="3">
        <v>19151.77</v>
      </c>
      <c r="L1174" t="b">
        <f>TablaDatos[[#This Row],[FechaAlta]] &lt; TablaDatos[[#This Row],[FechaIngreso]]</f>
        <v>0</v>
      </c>
      <c r="M1174">
        <f>_xlfn.XLOOKUP(TablaDatos[[#This Row],[PacienteID]],'Datos_Ejemplo.csv'!A:A,'Datos_Ejemplo.csv'!I:I)</f>
        <v>36</v>
      </c>
      <c r="N1174">
        <f>ABS(TablaDatos[[#This Row],[DiasOriginal]])</f>
        <v>36</v>
      </c>
      <c r="O1174" s="1">
        <f>TablaDatos[[#This Row],[FechaIngreso]]+TablaDatos[[#This Row],[DiasNuevo]]</f>
        <v>45162</v>
      </c>
    </row>
    <row r="1175" spans="1:15">
      <c r="A1175">
        <v>1174</v>
      </c>
      <c r="B1175" t="s">
        <v>51</v>
      </c>
      <c r="C1175" s="1">
        <v>43100</v>
      </c>
      <c r="D1175">
        <v>8</v>
      </c>
      <c r="E1175" s="4" t="s">
        <v>15</v>
      </c>
      <c r="F1175" t="s">
        <v>13</v>
      </c>
      <c r="G1175" s="1">
        <v>45258</v>
      </c>
      <c r="H1175" s="1">
        <f>TablaDatos[[#This Row],[FechaIngreso]]+TablaDatos[[#This Row],[DiasNuevo]]</f>
        <v>45265</v>
      </c>
      <c r="I1175">
        <v>7</v>
      </c>
      <c r="J1175" t="s">
        <v>23</v>
      </c>
      <c r="K1175" s="3">
        <v>12527.27</v>
      </c>
      <c r="L1175" t="b">
        <f>TablaDatos[[#This Row],[FechaAlta]] &lt; TablaDatos[[#This Row],[FechaIngreso]]</f>
        <v>0</v>
      </c>
      <c r="M1175">
        <f>_xlfn.XLOOKUP(TablaDatos[[#This Row],[PacienteID]],'Datos_Ejemplo.csv'!A:A,'Datos_Ejemplo.csv'!I:I)</f>
        <v>7</v>
      </c>
      <c r="N1175">
        <f>ABS(TablaDatos[[#This Row],[DiasOriginal]])</f>
        <v>7</v>
      </c>
      <c r="O1175" s="1">
        <f>TablaDatos[[#This Row],[FechaIngreso]]+TablaDatos[[#This Row],[DiasNuevo]]</f>
        <v>45265</v>
      </c>
    </row>
    <row r="1176" spans="1:15">
      <c r="A1176">
        <v>1175</v>
      </c>
      <c r="B1176" t="s">
        <v>313</v>
      </c>
      <c r="C1176" s="1">
        <v>27760</v>
      </c>
      <c r="D1176">
        <v>50</v>
      </c>
      <c r="E1176" s="4" t="s">
        <v>15</v>
      </c>
      <c r="F1176" t="s">
        <v>18</v>
      </c>
      <c r="G1176" s="1">
        <v>45473</v>
      </c>
      <c r="H1176" s="1">
        <f>TablaDatos[[#This Row],[FechaIngreso]]+TablaDatos[[#This Row],[DiasNuevo]]</f>
        <v>45474</v>
      </c>
      <c r="I1176">
        <v>1</v>
      </c>
      <c r="J1176" t="s">
        <v>25</v>
      </c>
      <c r="K1176" s="3">
        <v>904.87</v>
      </c>
      <c r="L1176" t="b">
        <f>TablaDatos[[#This Row],[FechaAlta]] &lt; TablaDatos[[#This Row],[FechaIngreso]]</f>
        <v>0</v>
      </c>
      <c r="M1176">
        <f>_xlfn.XLOOKUP(TablaDatos[[#This Row],[PacienteID]],'Datos_Ejemplo.csv'!A:A,'Datos_Ejemplo.csv'!I:I)</f>
        <v>-1</v>
      </c>
      <c r="N1176">
        <f>ABS(TablaDatos[[#This Row],[DiasOriginal]])</f>
        <v>1</v>
      </c>
      <c r="O1176" s="1">
        <f>TablaDatos[[#This Row],[FechaIngreso]]+TablaDatos[[#This Row],[DiasNuevo]]</f>
        <v>45474</v>
      </c>
    </row>
    <row r="1177" spans="1:15">
      <c r="A1177">
        <v>1176</v>
      </c>
      <c r="B1177" t="s">
        <v>250</v>
      </c>
      <c r="C1177" s="1">
        <v>35795</v>
      </c>
      <c r="D1177">
        <v>28</v>
      </c>
      <c r="E1177" s="4" t="s">
        <v>15</v>
      </c>
      <c r="F1177" t="s">
        <v>18</v>
      </c>
      <c r="G1177" s="1">
        <v>45582</v>
      </c>
      <c r="H1177" s="1">
        <f>TablaDatos[[#This Row],[FechaIngreso]]+TablaDatos[[#This Row],[DiasNuevo]]</f>
        <v>45592</v>
      </c>
      <c r="I1177">
        <v>10</v>
      </c>
      <c r="J1177" t="s">
        <v>23</v>
      </c>
      <c r="K1177" s="3">
        <v>19774.12</v>
      </c>
      <c r="L1177" t="b">
        <f>TablaDatos[[#This Row],[FechaAlta]] &lt; TablaDatos[[#This Row],[FechaIngreso]]</f>
        <v>0</v>
      </c>
      <c r="M1177">
        <f>_xlfn.XLOOKUP(TablaDatos[[#This Row],[PacienteID]],'Datos_Ejemplo.csv'!A:A,'Datos_Ejemplo.csv'!I:I)</f>
        <v>10</v>
      </c>
      <c r="N1177">
        <f>ABS(TablaDatos[[#This Row],[DiasOriginal]])</f>
        <v>10</v>
      </c>
      <c r="O1177" s="1">
        <f>TablaDatos[[#This Row],[FechaIngreso]]+TablaDatos[[#This Row],[DiasNuevo]]</f>
        <v>45592</v>
      </c>
    </row>
    <row r="1178" spans="1:15">
      <c r="A1178">
        <v>1177</v>
      </c>
      <c r="B1178" t="s">
        <v>39</v>
      </c>
      <c r="C1178" s="1">
        <v>17898</v>
      </c>
      <c r="D1178">
        <v>77</v>
      </c>
      <c r="E1178" s="4" t="s">
        <v>12</v>
      </c>
      <c r="F1178" t="s">
        <v>261</v>
      </c>
      <c r="G1178" s="1">
        <v>45218</v>
      </c>
      <c r="H1178" s="1">
        <f>TablaDatos[[#This Row],[FechaIngreso]]+TablaDatos[[#This Row],[DiasNuevo]]</f>
        <v>45253</v>
      </c>
      <c r="I1178">
        <v>35</v>
      </c>
      <c r="J1178" t="s">
        <v>23</v>
      </c>
      <c r="K1178" s="3">
        <v>3053.01</v>
      </c>
      <c r="L1178" t="b">
        <f>TablaDatos[[#This Row],[FechaAlta]] &lt; TablaDatos[[#This Row],[FechaIngreso]]</f>
        <v>0</v>
      </c>
      <c r="M1178">
        <f>_xlfn.XLOOKUP(TablaDatos[[#This Row],[PacienteID]],'Datos_Ejemplo.csv'!A:A,'Datos_Ejemplo.csv'!I:I)</f>
        <v>35</v>
      </c>
      <c r="N1178">
        <f>ABS(TablaDatos[[#This Row],[DiasOriginal]])</f>
        <v>35</v>
      </c>
      <c r="O1178" s="1">
        <f>TablaDatos[[#This Row],[FechaIngreso]]+TablaDatos[[#This Row],[DiasNuevo]]</f>
        <v>45253</v>
      </c>
    </row>
    <row r="1179" spans="1:15">
      <c r="A1179">
        <v>1178</v>
      </c>
      <c r="B1179" t="s">
        <v>333</v>
      </c>
      <c r="C1179" s="1">
        <v>31778</v>
      </c>
      <c r="D1179">
        <v>39</v>
      </c>
      <c r="E1179" s="4" t="s">
        <v>15</v>
      </c>
      <c r="F1179" t="s">
        <v>201</v>
      </c>
      <c r="G1179" s="1">
        <v>44992</v>
      </c>
      <c r="H1179" s="1">
        <f>TablaDatos[[#This Row],[FechaIngreso]]+TablaDatos[[#This Row],[DiasNuevo]]</f>
        <v>45016</v>
      </c>
      <c r="I1179">
        <v>24</v>
      </c>
      <c r="J1179" t="s">
        <v>25</v>
      </c>
      <c r="K1179" s="3">
        <v>14333.19</v>
      </c>
      <c r="L1179" t="b">
        <f>TablaDatos[[#This Row],[FechaAlta]] &lt; TablaDatos[[#This Row],[FechaIngreso]]</f>
        <v>0</v>
      </c>
      <c r="M1179">
        <f>_xlfn.XLOOKUP(TablaDatos[[#This Row],[PacienteID]],'Datos_Ejemplo.csv'!A:A,'Datos_Ejemplo.csv'!I:I)</f>
        <v>24</v>
      </c>
      <c r="N1179">
        <f>ABS(TablaDatos[[#This Row],[DiasOriginal]])</f>
        <v>24</v>
      </c>
      <c r="O1179" s="1">
        <f>TablaDatos[[#This Row],[FechaIngreso]]+TablaDatos[[#This Row],[DiasNuevo]]</f>
        <v>45016</v>
      </c>
    </row>
    <row r="1180" spans="1:15">
      <c r="A1180">
        <v>1179</v>
      </c>
      <c r="B1180" t="s">
        <v>245</v>
      </c>
      <c r="C1180" s="1">
        <v>31412</v>
      </c>
      <c r="D1180">
        <v>40</v>
      </c>
      <c r="E1180" s="4" t="s">
        <v>12</v>
      </c>
      <c r="F1180" t="s">
        <v>261</v>
      </c>
      <c r="G1180" s="1">
        <v>45494</v>
      </c>
      <c r="H1180" s="1">
        <f>TablaDatos[[#This Row],[FechaIngreso]]+TablaDatos[[#This Row],[DiasNuevo]]</f>
        <v>45532</v>
      </c>
      <c r="I1180">
        <v>38</v>
      </c>
      <c r="J1180" t="s">
        <v>23</v>
      </c>
      <c r="K1180" s="3">
        <v>10603.85</v>
      </c>
      <c r="L1180" t="b">
        <f>TablaDatos[[#This Row],[FechaAlta]] &lt; TablaDatos[[#This Row],[FechaIngreso]]</f>
        <v>0</v>
      </c>
      <c r="M1180">
        <f>_xlfn.XLOOKUP(TablaDatos[[#This Row],[PacienteID]],'Datos_Ejemplo.csv'!A:A,'Datos_Ejemplo.csv'!I:I)</f>
        <v>38</v>
      </c>
      <c r="N1180">
        <f>ABS(TablaDatos[[#This Row],[DiasOriginal]])</f>
        <v>38</v>
      </c>
      <c r="O1180" s="1">
        <f>TablaDatos[[#This Row],[FechaIngreso]]+TablaDatos[[#This Row],[DiasNuevo]]</f>
        <v>45532</v>
      </c>
    </row>
    <row r="1181" spans="1:15">
      <c r="A1181">
        <v>1180</v>
      </c>
      <c r="B1181" t="s">
        <v>299</v>
      </c>
      <c r="C1181" s="1">
        <v>14976</v>
      </c>
      <c r="D1181">
        <v>85</v>
      </c>
      <c r="E1181" s="4" t="s">
        <v>12</v>
      </c>
      <c r="F1181" t="s">
        <v>295</v>
      </c>
      <c r="G1181" s="1">
        <v>45583</v>
      </c>
      <c r="H1181" s="1">
        <f>TablaDatos[[#This Row],[FechaIngreso]]+TablaDatos[[#This Row],[DiasNuevo]]</f>
        <v>45600</v>
      </c>
      <c r="I1181">
        <v>17</v>
      </c>
      <c r="J1181" t="s">
        <v>19</v>
      </c>
      <c r="K1181" s="3">
        <v>5816.65</v>
      </c>
      <c r="L1181" t="b">
        <f>TablaDatos[[#This Row],[FechaAlta]] &lt; TablaDatos[[#This Row],[FechaIngreso]]</f>
        <v>0</v>
      </c>
      <c r="M1181">
        <f>_xlfn.XLOOKUP(TablaDatos[[#This Row],[PacienteID]],'Datos_Ejemplo.csv'!A:A,'Datos_Ejemplo.csv'!I:I)</f>
        <v>17</v>
      </c>
      <c r="N1181">
        <f>ABS(TablaDatos[[#This Row],[DiasOriginal]])</f>
        <v>17</v>
      </c>
      <c r="O1181" s="1">
        <f>TablaDatos[[#This Row],[FechaIngreso]]+TablaDatos[[#This Row],[DiasNuevo]]</f>
        <v>45600</v>
      </c>
    </row>
    <row r="1182" spans="1:15">
      <c r="A1182">
        <v>1181</v>
      </c>
      <c r="B1182" t="s">
        <v>39</v>
      </c>
      <c r="C1182" s="1">
        <v>42370</v>
      </c>
      <c r="D1182">
        <v>10</v>
      </c>
      <c r="E1182" s="4" t="s">
        <v>12</v>
      </c>
      <c r="F1182" t="s">
        <v>261</v>
      </c>
      <c r="G1182" s="1">
        <v>45330</v>
      </c>
      <c r="H1182" s="1">
        <f>TablaDatos[[#This Row],[FechaIngreso]]+TablaDatos[[#This Row],[DiasNuevo]]</f>
        <v>45367</v>
      </c>
      <c r="I1182">
        <v>37</v>
      </c>
      <c r="J1182" t="s">
        <v>19</v>
      </c>
      <c r="K1182" s="3">
        <v>3463.94</v>
      </c>
      <c r="L1182" t="b">
        <f>TablaDatos[[#This Row],[FechaAlta]] &lt; TablaDatos[[#This Row],[FechaIngreso]]</f>
        <v>0</v>
      </c>
      <c r="M1182">
        <f>_xlfn.XLOOKUP(TablaDatos[[#This Row],[PacienteID]],'Datos_Ejemplo.csv'!A:A,'Datos_Ejemplo.csv'!I:I)</f>
        <v>37</v>
      </c>
      <c r="N1182">
        <f>ABS(TablaDatos[[#This Row],[DiasOriginal]])</f>
        <v>37</v>
      </c>
      <c r="O1182" s="1">
        <f>TablaDatos[[#This Row],[FechaIngreso]]+TablaDatos[[#This Row],[DiasNuevo]]</f>
        <v>45367</v>
      </c>
    </row>
    <row r="1183" spans="1:15">
      <c r="A1183">
        <v>1182</v>
      </c>
      <c r="B1183" t="s">
        <v>368</v>
      </c>
      <c r="C1183" s="1">
        <v>37987</v>
      </c>
      <c r="D1183">
        <v>22</v>
      </c>
      <c r="E1183" s="4" t="s">
        <v>15</v>
      </c>
      <c r="F1183" t="s">
        <v>21</v>
      </c>
      <c r="G1183" s="1">
        <v>45651</v>
      </c>
      <c r="H1183" s="1">
        <f>TablaDatos[[#This Row],[FechaIngreso]]+TablaDatos[[#This Row],[DiasNuevo]]</f>
        <v>45658</v>
      </c>
      <c r="I1183">
        <v>7</v>
      </c>
      <c r="J1183" t="s">
        <v>23</v>
      </c>
      <c r="K1183" s="3">
        <v>3471.82</v>
      </c>
      <c r="L1183" t="b">
        <f>TablaDatos[[#This Row],[FechaAlta]] &lt; TablaDatos[[#This Row],[FechaIngreso]]</f>
        <v>0</v>
      </c>
      <c r="M1183">
        <f>_xlfn.XLOOKUP(TablaDatos[[#This Row],[PacienteID]],'Datos_Ejemplo.csv'!A:A,'Datos_Ejemplo.csv'!I:I)</f>
        <v>7</v>
      </c>
      <c r="N1183">
        <f>ABS(TablaDatos[[#This Row],[DiasOriginal]])</f>
        <v>7</v>
      </c>
      <c r="O1183" s="1">
        <f>TablaDatos[[#This Row],[FechaIngreso]]+TablaDatos[[#This Row],[DiasNuevo]]</f>
        <v>45658</v>
      </c>
    </row>
    <row r="1184" spans="1:15">
      <c r="A1184">
        <v>1183</v>
      </c>
      <c r="B1184" t="s">
        <v>366</v>
      </c>
      <c r="C1184" s="1">
        <v>46022</v>
      </c>
      <c r="D1184">
        <v>0</v>
      </c>
      <c r="E1184" s="4" t="s">
        <v>12</v>
      </c>
      <c r="F1184" t="s">
        <v>295</v>
      </c>
      <c r="G1184" s="1">
        <v>45532</v>
      </c>
      <c r="H1184" s="1">
        <f>TablaDatos[[#This Row],[FechaIngreso]]+TablaDatos[[#This Row],[DiasNuevo]]</f>
        <v>45545</v>
      </c>
      <c r="I1184">
        <v>13</v>
      </c>
      <c r="J1184" t="s">
        <v>25</v>
      </c>
      <c r="K1184" s="3">
        <v>17153.830000000002</v>
      </c>
      <c r="L1184" t="b">
        <f>TablaDatos[[#This Row],[FechaAlta]] &lt; TablaDatos[[#This Row],[FechaIngreso]]</f>
        <v>0</v>
      </c>
      <c r="M1184">
        <f>_xlfn.XLOOKUP(TablaDatos[[#This Row],[PacienteID]],'Datos_Ejemplo.csv'!A:A,'Datos_Ejemplo.csv'!I:I)</f>
        <v>13</v>
      </c>
      <c r="N1184">
        <f>ABS(TablaDatos[[#This Row],[DiasOriginal]])</f>
        <v>13</v>
      </c>
      <c r="O1184" s="1">
        <f>TablaDatos[[#This Row],[FechaIngreso]]+TablaDatos[[#This Row],[DiasNuevo]]</f>
        <v>45545</v>
      </c>
    </row>
    <row r="1185" spans="1:15">
      <c r="A1185">
        <v>1184</v>
      </c>
      <c r="B1185" t="s">
        <v>55</v>
      </c>
      <c r="C1185" s="1">
        <v>29586</v>
      </c>
      <c r="D1185">
        <v>45</v>
      </c>
      <c r="E1185" s="4" t="s">
        <v>15</v>
      </c>
      <c r="F1185" t="s">
        <v>13</v>
      </c>
      <c r="G1185" s="1">
        <v>45544</v>
      </c>
      <c r="H1185" s="1">
        <f>TablaDatos[[#This Row],[FechaIngreso]]+TablaDatos[[#This Row],[DiasNuevo]]</f>
        <v>45556</v>
      </c>
      <c r="I1185">
        <v>12</v>
      </c>
      <c r="J1185" t="s">
        <v>23</v>
      </c>
      <c r="K1185" s="3">
        <v>17445.54</v>
      </c>
      <c r="L1185" t="b">
        <f>TablaDatos[[#This Row],[FechaAlta]] &lt; TablaDatos[[#This Row],[FechaIngreso]]</f>
        <v>0</v>
      </c>
      <c r="M1185">
        <f>_xlfn.XLOOKUP(TablaDatos[[#This Row],[PacienteID]],'Datos_Ejemplo.csv'!A:A,'Datos_Ejemplo.csv'!I:I)</f>
        <v>12</v>
      </c>
      <c r="N1185">
        <f>ABS(TablaDatos[[#This Row],[DiasOriginal]])</f>
        <v>12</v>
      </c>
      <c r="O1185" s="1">
        <f>TablaDatos[[#This Row],[FechaIngreso]]+TablaDatos[[#This Row],[DiasNuevo]]</f>
        <v>45556</v>
      </c>
    </row>
    <row r="1186" spans="1:15">
      <c r="A1186">
        <v>1185</v>
      </c>
      <c r="B1186" t="s">
        <v>341</v>
      </c>
      <c r="C1186" s="1">
        <v>38717</v>
      </c>
      <c r="D1186">
        <v>20</v>
      </c>
      <c r="E1186" s="4" t="s">
        <v>15</v>
      </c>
      <c r="F1186" t="s">
        <v>261</v>
      </c>
      <c r="G1186" s="1">
        <v>45522</v>
      </c>
      <c r="H1186" s="1">
        <f>TablaDatos[[#This Row],[FechaIngreso]]+TablaDatos[[#This Row],[DiasNuevo]]</f>
        <v>45532</v>
      </c>
      <c r="I1186">
        <v>10</v>
      </c>
      <c r="J1186" t="s">
        <v>25</v>
      </c>
      <c r="K1186" s="3">
        <v>9249.42</v>
      </c>
      <c r="L1186" t="b">
        <f>TablaDatos[[#This Row],[FechaAlta]] &lt; TablaDatos[[#This Row],[FechaIngreso]]</f>
        <v>0</v>
      </c>
      <c r="M1186">
        <f>_xlfn.XLOOKUP(TablaDatos[[#This Row],[PacienteID]],'Datos_Ejemplo.csv'!A:A,'Datos_Ejemplo.csv'!I:I)</f>
        <v>10</v>
      </c>
      <c r="N1186">
        <f>ABS(TablaDatos[[#This Row],[DiasOriginal]])</f>
        <v>10</v>
      </c>
      <c r="O1186" s="1">
        <f>TablaDatos[[#This Row],[FechaIngreso]]+TablaDatos[[#This Row],[DiasNuevo]]</f>
        <v>45532</v>
      </c>
    </row>
    <row r="1187" spans="1:15">
      <c r="A1187">
        <v>1186</v>
      </c>
      <c r="B1187" t="s">
        <v>310</v>
      </c>
      <c r="C1187" s="1">
        <v>13515</v>
      </c>
      <c r="D1187">
        <v>89</v>
      </c>
      <c r="E1187" s="4" t="s">
        <v>15</v>
      </c>
      <c r="F1187" t="s">
        <v>261</v>
      </c>
      <c r="G1187" s="1">
        <v>45574</v>
      </c>
      <c r="H1187" s="1">
        <f>TablaDatos[[#This Row],[FechaIngreso]]+TablaDatos[[#This Row],[DiasNuevo]]</f>
        <v>45609</v>
      </c>
      <c r="I1187">
        <v>35</v>
      </c>
      <c r="J1187" t="s">
        <v>23</v>
      </c>
      <c r="K1187" s="3">
        <v>1982.79</v>
      </c>
      <c r="L1187" t="b">
        <f>TablaDatos[[#This Row],[FechaAlta]] &lt; TablaDatos[[#This Row],[FechaIngreso]]</f>
        <v>0</v>
      </c>
      <c r="M1187">
        <f>_xlfn.XLOOKUP(TablaDatos[[#This Row],[PacienteID]],'Datos_Ejemplo.csv'!A:A,'Datos_Ejemplo.csv'!I:I)</f>
        <v>35</v>
      </c>
      <c r="N1187">
        <f>ABS(TablaDatos[[#This Row],[DiasOriginal]])</f>
        <v>35</v>
      </c>
      <c r="O1187" s="1">
        <f>TablaDatos[[#This Row],[FechaIngreso]]+TablaDatos[[#This Row],[DiasNuevo]]</f>
        <v>45609</v>
      </c>
    </row>
    <row r="1188" spans="1:15">
      <c r="A1188">
        <v>1187</v>
      </c>
      <c r="B1188" t="s">
        <v>312</v>
      </c>
      <c r="C1188" s="1">
        <v>33239</v>
      </c>
      <c r="D1188">
        <v>35</v>
      </c>
      <c r="E1188" s="4" t="s">
        <v>12</v>
      </c>
      <c r="F1188" t="s">
        <v>201</v>
      </c>
      <c r="G1188" s="1">
        <v>45072</v>
      </c>
      <c r="H1188" s="1">
        <f>TablaDatos[[#This Row],[FechaIngreso]]+TablaDatos[[#This Row],[DiasNuevo]]</f>
        <v>45089</v>
      </c>
      <c r="I1188">
        <v>17</v>
      </c>
      <c r="J1188" t="s">
        <v>23</v>
      </c>
      <c r="K1188" s="3">
        <v>17671.72</v>
      </c>
      <c r="L1188" t="b">
        <f>TablaDatos[[#This Row],[FechaAlta]] &lt; TablaDatos[[#This Row],[FechaIngreso]]</f>
        <v>0</v>
      </c>
      <c r="M1188">
        <f>_xlfn.XLOOKUP(TablaDatos[[#This Row],[PacienteID]],'Datos_Ejemplo.csv'!A:A,'Datos_Ejemplo.csv'!I:I)</f>
        <v>17</v>
      </c>
      <c r="N1188">
        <f>ABS(TablaDatos[[#This Row],[DiasOriginal]])</f>
        <v>17</v>
      </c>
      <c r="O1188" s="1">
        <f>TablaDatos[[#This Row],[FechaIngreso]]+TablaDatos[[#This Row],[DiasNuevo]]</f>
        <v>45089</v>
      </c>
    </row>
    <row r="1189" spans="1:15">
      <c r="A1189">
        <v>1188</v>
      </c>
      <c r="B1189" t="s">
        <v>358</v>
      </c>
      <c r="C1189" s="1">
        <v>26664</v>
      </c>
      <c r="D1189">
        <v>53</v>
      </c>
      <c r="E1189" s="4" t="s">
        <v>15</v>
      </c>
      <c r="F1189" t="s">
        <v>261</v>
      </c>
      <c r="G1189" s="1">
        <v>45456</v>
      </c>
      <c r="H1189" s="1">
        <f>TablaDatos[[#This Row],[FechaIngreso]]+TablaDatos[[#This Row],[DiasNuevo]]</f>
        <v>45477</v>
      </c>
      <c r="I1189">
        <v>21</v>
      </c>
      <c r="J1189" t="s">
        <v>23</v>
      </c>
      <c r="K1189" s="3">
        <v>9689.0300000000007</v>
      </c>
      <c r="L1189" t="b">
        <f>TablaDatos[[#This Row],[FechaAlta]] &lt; TablaDatos[[#This Row],[FechaIngreso]]</f>
        <v>0</v>
      </c>
      <c r="M1189">
        <f>_xlfn.XLOOKUP(TablaDatos[[#This Row],[PacienteID]],'Datos_Ejemplo.csv'!A:A,'Datos_Ejemplo.csv'!I:I)</f>
        <v>21</v>
      </c>
      <c r="N1189">
        <f>ABS(TablaDatos[[#This Row],[DiasOriginal]])</f>
        <v>21</v>
      </c>
      <c r="O1189" s="1">
        <f>TablaDatos[[#This Row],[FechaIngreso]]+TablaDatos[[#This Row],[DiasNuevo]]</f>
        <v>45477</v>
      </c>
    </row>
    <row r="1190" spans="1:15">
      <c r="A1190">
        <v>1189</v>
      </c>
      <c r="B1190" t="s">
        <v>247</v>
      </c>
      <c r="C1190" s="1">
        <v>14611</v>
      </c>
      <c r="D1190">
        <v>86</v>
      </c>
      <c r="E1190" s="4" t="s">
        <v>15</v>
      </c>
      <c r="F1190" t="s">
        <v>18</v>
      </c>
      <c r="G1190" s="1">
        <v>45328</v>
      </c>
      <c r="H1190" s="1">
        <f>TablaDatos[[#This Row],[FechaIngreso]]+TablaDatos[[#This Row],[DiasNuevo]]</f>
        <v>45366</v>
      </c>
      <c r="I1190">
        <v>38</v>
      </c>
      <c r="J1190" t="s">
        <v>19</v>
      </c>
      <c r="K1190" s="3">
        <v>8719.1200000000008</v>
      </c>
      <c r="L1190" t="b">
        <f>TablaDatos[[#This Row],[FechaAlta]] &lt; TablaDatos[[#This Row],[FechaIngreso]]</f>
        <v>0</v>
      </c>
      <c r="M1190">
        <f>_xlfn.XLOOKUP(TablaDatos[[#This Row],[PacienteID]],'Datos_Ejemplo.csv'!A:A,'Datos_Ejemplo.csv'!I:I)</f>
        <v>38</v>
      </c>
      <c r="N1190">
        <f>ABS(TablaDatos[[#This Row],[DiasOriginal]])</f>
        <v>38</v>
      </c>
      <c r="O1190" s="1">
        <f>TablaDatos[[#This Row],[FechaIngreso]]+TablaDatos[[#This Row],[DiasNuevo]]</f>
        <v>45366</v>
      </c>
    </row>
    <row r="1191" spans="1:15">
      <c r="A1191">
        <v>1190</v>
      </c>
      <c r="B1191" t="s">
        <v>364</v>
      </c>
      <c r="C1191" s="1">
        <v>25568</v>
      </c>
      <c r="D1191">
        <v>56</v>
      </c>
      <c r="E1191" s="4" t="s">
        <v>15</v>
      </c>
      <c r="F1191" t="s">
        <v>13</v>
      </c>
      <c r="G1191" s="1">
        <v>45051</v>
      </c>
      <c r="H1191" s="1">
        <f>TablaDatos[[#This Row],[FechaIngreso]]+TablaDatos[[#This Row],[DiasNuevo]]</f>
        <v>45055</v>
      </c>
      <c r="I1191">
        <v>4</v>
      </c>
      <c r="J1191" t="s">
        <v>25</v>
      </c>
      <c r="K1191" s="3">
        <v>8087.88</v>
      </c>
      <c r="L1191" t="b">
        <f>TablaDatos[[#This Row],[FechaAlta]] &lt; TablaDatos[[#This Row],[FechaIngreso]]</f>
        <v>0</v>
      </c>
      <c r="M1191">
        <f>_xlfn.XLOOKUP(TablaDatos[[#This Row],[PacienteID]],'Datos_Ejemplo.csv'!A:A,'Datos_Ejemplo.csv'!I:I)</f>
        <v>4</v>
      </c>
      <c r="N1191">
        <f>ABS(TablaDatos[[#This Row],[DiasOriginal]])</f>
        <v>4</v>
      </c>
      <c r="O1191" s="1">
        <f>TablaDatos[[#This Row],[FechaIngreso]]+TablaDatos[[#This Row],[DiasNuevo]]</f>
        <v>45055</v>
      </c>
    </row>
    <row r="1192" spans="1:15">
      <c r="A1192">
        <v>1191</v>
      </c>
      <c r="B1192" t="s">
        <v>270</v>
      </c>
      <c r="C1192" s="1">
        <v>46022</v>
      </c>
      <c r="D1192">
        <v>0</v>
      </c>
      <c r="E1192" s="4" t="s">
        <v>15</v>
      </c>
      <c r="F1192" t="s">
        <v>261</v>
      </c>
      <c r="G1192" s="1">
        <v>45440</v>
      </c>
      <c r="H1192" s="1">
        <f>TablaDatos[[#This Row],[FechaIngreso]]+TablaDatos[[#This Row],[DiasNuevo]]</f>
        <v>45460</v>
      </c>
      <c r="I1192">
        <v>20</v>
      </c>
      <c r="J1192" t="s">
        <v>23</v>
      </c>
      <c r="K1192" s="3">
        <v>7236.78</v>
      </c>
      <c r="L1192" t="b">
        <f>TablaDatos[[#This Row],[FechaAlta]] &lt; TablaDatos[[#This Row],[FechaIngreso]]</f>
        <v>0</v>
      </c>
      <c r="M1192">
        <f>_xlfn.XLOOKUP(TablaDatos[[#This Row],[PacienteID]],'Datos_Ejemplo.csv'!A:A,'Datos_Ejemplo.csv'!I:I)</f>
        <v>20</v>
      </c>
      <c r="N1192">
        <f>ABS(TablaDatos[[#This Row],[DiasOriginal]])</f>
        <v>20</v>
      </c>
      <c r="O1192" s="1">
        <f>TablaDatos[[#This Row],[FechaIngreso]]+TablaDatos[[#This Row],[DiasNuevo]]</f>
        <v>45460</v>
      </c>
    </row>
    <row r="1193" spans="1:15">
      <c r="A1193">
        <v>1192</v>
      </c>
      <c r="B1193" t="s">
        <v>281</v>
      </c>
      <c r="C1193" s="1">
        <v>23377</v>
      </c>
      <c r="D1193">
        <f ca="1">DATEDIF(TablaDatos[[#This Row],[FechaNacimiento]],TODAY(),"Y")</f>
        <v>62</v>
      </c>
      <c r="E1193" s="4" t="s">
        <v>12</v>
      </c>
      <c r="F1193" t="s">
        <v>32</v>
      </c>
      <c r="G1193" s="1">
        <v>45258</v>
      </c>
      <c r="H1193" s="1">
        <f>TablaDatos[[#This Row],[FechaIngreso]]+TablaDatos[[#This Row],[DiasNuevo]]</f>
        <v>45279</v>
      </c>
      <c r="I1193">
        <v>21</v>
      </c>
      <c r="J1193" t="s">
        <v>25</v>
      </c>
      <c r="K1193" s="3">
        <v>10472.709999999999</v>
      </c>
      <c r="L1193" t="b">
        <f>TablaDatos[[#This Row],[FechaAlta]] &lt; TablaDatos[[#This Row],[FechaIngreso]]</f>
        <v>0</v>
      </c>
      <c r="M1193">
        <f>_xlfn.XLOOKUP(TablaDatos[[#This Row],[PacienteID]],'Datos_Ejemplo.csv'!A:A,'Datos_Ejemplo.csv'!I:I)</f>
        <v>21</v>
      </c>
      <c r="N1193">
        <f>ABS(TablaDatos[[#This Row],[DiasOriginal]])</f>
        <v>21</v>
      </c>
      <c r="O1193" s="1">
        <f>TablaDatos[[#This Row],[FechaIngreso]]+TablaDatos[[#This Row],[DiasNuevo]]</f>
        <v>45279</v>
      </c>
    </row>
    <row r="1194" spans="1:15">
      <c r="A1194">
        <v>1193</v>
      </c>
      <c r="B1194" t="s">
        <v>367</v>
      </c>
      <c r="C1194" s="1">
        <v>26664</v>
      </c>
      <c r="D1194">
        <v>53</v>
      </c>
      <c r="E1194" s="4" t="s">
        <v>12</v>
      </c>
      <c r="F1194" t="s">
        <v>32</v>
      </c>
      <c r="G1194" s="1">
        <v>45406</v>
      </c>
      <c r="H1194" s="1">
        <f>TablaDatos[[#This Row],[FechaIngreso]]+TablaDatos[[#This Row],[DiasNuevo]]</f>
        <v>45432</v>
      </c>
      <c r="I1194">
        <v>26</v>
      </c>
      <c r="J1194" t="s">
        <v>23</v>
      </c>
      <c r="K1194" s="3">
        <v>12051.28</v>
      </c>
      <c r="L1194" t="b">
        <f>TablaDatos[[#This Row],[FechaAlta]] &lt; TablaDatos[[#This Row],[FechaIngreso]]</f>
        <v>0</v>
      </c>
      <c r="M1194">
        <f>_xlfn.XLOOKUP(TablaDatos[[#This Row],[PacienteID]],'Datos_Ejemplo.csv'!A:A,'Datos_Ejemplo.csv'!I:I)</f>
        <v>26</v>
      </c>
      <c r="N1194">
        <f>ABS(TablaDatos[[#This Row],[DiasOriginal]])</f>
        <v>26</v>
      </c>
      <c r="O1194" s="1">
        <f>TablaDatos[[#This Row],[FechaIngreso]]+TablaDatos[[#This Row],[DiasNuevo]]</f>
        <v>45432</v>
      </c>
    </row>
    <row r="1195" spans="1:15">
      <c r="A1195">
        <v>1194</v>
      </c>
      <c r="B1195" t="s">
        <v>361</v>
      </c>
      <c r="C1195" s="1">
        <v>26299</v>
      </c>
      <c r="D1195">
        <v>54</v>
      </c>
      <c r="E1195" s="4" t="s">
        <v>12</v>
      </c>
      <c r="F1195" t="s">
        <v>13</v>
      </c>
      <c r="G1195" s="1">
        <v>45638</v>
      </c>
      <c r="H1195" s="1">
        <f>TablaDatos[[#This Row],[FechaIngreso]]+TablaDatos[[#This Row],[DiasNuevo]]</f>
        <v>45640</v>
      </c>
      <c r="I1195">
        <v>2</v>
      </c>
      <c r="J1195" t="s">
        <v>23</v>
      </c>
      <c r="K1195" s="3">
        <v>9275.2900000000009</v>
      </c>
      <c r="L1195" t="b">
        <f>TablaDatos[[#This Row],[FechaAlta]] &lt; TablaDatos[[#This Row],[FechaIngreso]]</f>
        <v>0</v>
      </c>
      <c r="M1195">
        <f>_xlfn.XLOOKUP(TablaDatos[[#This Row],[PacienteID]],'Datos_Ejemplo.csv'!A:A,'Datos_Ejemplo.csv'!I:I)</f>
        <v>2</v>
      </c>
      <c r="N1195">
        <f>ABS(TablaDatos[[#This Row],[DiasOriginal]])</f>
        <v>2</v>
      </c>
      <c r="O1195" s="1">
        <f>TablaDatos[[#This Row],[FechaIngreso]]+TablaDatos[[#This Row],[DiasNuevo]]</f>
        <v>45640</v>
      </c>
    </row>
    <row r="1196" spans="1:15">
      <c r="A1196">
        <v>1195</v>
      </c>
      <c r="B1196" t="s">
        <v>293</v>
      </c>
      <c r="C1196" s="1">
        <v>31778</v>
      </c>
      <c r="D1196">
        <v>39</v>
      </c>
      <c r="E1196" s="4" t="s">
        <v>15</v>
      </c>
      <c r="F1196" t="s">
        <v>261</v>
      </c>
      <c r="G1196" s="1">
        <v>45576</v>
      </c>
      <c r="H1196" s="1">
        <f>TablaDatos[[#This Row],[FechaIngreso]]+TablaDatos[[#This Row],[DiasNuevo]]</f>
        <v>45608</v>
      </c>
      <c r="I1196">
        <v>32</v>
      </c>
      <c r="J1196" t="s">
        <v>23</v>
      </c>
      <c r="K1196" s="3">
        <v>17922.63</v>
      </c>
      <c r="L1196" t="b">
        <f>TablaDatos[[#This Row],[FechaAlta]] &lt; TablaDatos[[#This Row],[FechaIngreso]]</f>
        <v>0</v>
      </c>
      <c r="M1196">
        <f>_xlfn.XLOOKUP(TablaDatos[[#This Row],[PacienteID]],'Datos_Ejemplo.csv'!A:A,'Datos_Ejemplo.csv'!I:I)</f>
        <v>32</v>
      </c>
      <c r="N1196">
        <f>ABS(TablaDatos[[#This Row],[DiasOriginal]])</f>
        <v>32</v>
      </c>
      <c r="O1196" s="1">
        <f>TablaDatos[[#This Row],[FechaIngreso]]+TablaDatos[[#This Row],[DiasNuevo]]</f>
        <v>45608</v>
      </c>
    </row>
    <row r="1197" spans="1:15">
      <c r="A1197">
        <v>1196</v>
      </c>
      <c r="B1197" t="s">
        <v>233</v>
      </c>
      <c r="C1197" s="1">
        <v>40909</v>
      </c>
      <c r="D1197">
        <v>14</v>
      </c>
      <c r="E1197" s="4" t="s">
        <v>15</v>
      </c>
      <c r="F1197" t="s">
        <v>201</v>
      </c>
      <c r="G1197" s="1">
        <v>45641</v>
      </c>
      <c r="H1197" s="1">
        <f>TablaDatos[[#This Row],[FechaIngreso]]+TablaDatos[[#This Row],[DiasNuevo]]</f>
        <v>45643</v>
      </c>
      <c r="I1197">
        <v>2</v>
      </c>
      <c r="J1197" t="s">
        <v>19</v>
      </c>
      <c r="K1197" s="3">
        <v>6284.99</v>
      </c>
      <c r="L1197" t="b">
        <f>TablaDatos[[#This Row],[FechaAlta]] &lt; TablaDatos[[#This Row],[FechaIngreso]]</f>
        <v>0</v>
      </c>
      <c r="M1197">
        <f>_xlfn.XLOOKUP(TablaDatos[[#This Row],[PacienteID]],'Datos_Ejemplo.csv'!A:A,'Datos_Ejemplo.csv'!I:I)</f>
        <v>-2</v>
      </c>
      <c r="N1197">
        <f>ABS(TablaDatos[[#This Row],[DiasOriginal]])</f>
        <v>2</v>
      </c>
      <c r="O1197" s="1">
        <f>TablaDatos[[#This Row],[FechaIngreso]]+TablaDatos[[#This Row],[DiasNuevo]]</f>
        <v>45643</v>
      </c>
    </row>
    <row r="1198" spans="1:15">
      <c r="A1198">
        <v>1197</v>
      </c>
      <c r="B1198" t="s">
        <v>351</v>
      </c>
      <c r="C1198" s="1">
        <v>38717</v>
      </c>
      <c r="D1198">
        <v>20</v>
      </c>
      <c r="E1198" s="4" t="s">
        <v>197</v>
      </c>
      <c r="F1198" t="s">
        <v>21</v>
      </c>
      <c r="G1198" s="1">
        <v>45324</v>
      </c>
      <c r="H1198" s="1">
        <f>TablaDatos[[#This Row],[FechaIngreso]]+TablaDatos[[#This Row],[DiasNuevo]]</f>
        <v>45357</v>
      </c>
      <c r="I1198">
        <v>33</v>
      </c>
      <c r="J1198" t="s">
        <v>23</v>
      </c>
      <c r="K1198" s="3">
        <v>11524.07</v>
      </c>
      <c r="L1198" t="b">
        <f>TablaDatos[[#This Row],[FechaAlta]] &lt; TablaDatos[[#This Row],[FechaIngreso]]</f>
        <v>0</v>
      </c>
      <c r="M1198">
        <f>_xlfn.XLOOKUP(TablaDatos[[#This Row],[PacienteID]],'Datos_Ejemplo.csv'!A:A,'Datos_Ejemplo.csv'!I:I)</f>
        <v>33</v>
      </c>
      <c r="N1198">
        <f>ABS(TablaDatos[[#This Row],[DiasOriginal]])</f>
        <v>33</v>
      </c>
      <c r="O1198" s="1">
        <f>TablaDatos[[#This Row],[FechaIngreso]]+TablaDatos[[#This Row],[DiasNuevo]]</f>
        <v>45357</v>
      </c>
    </row>
    <row r="1199" spans="1:15">
      <c r="A1199">
        <v>1198</v>
      </c>
      <c r="B1199" t="s">
        <v>232</v>
      </c>
      <c r="C1199" s="1">
        <v>29221</v>
      </c>
      <c r="D1199">
        <v>46</v>
      </c>
      <c r="E1199" s="4" t="s">
        <v>15</v>
      </c>
      <c r="F1199" t="s">
        <v>201</v>
      </c>
      <c r="G1199" s="1">
        <v>44956</v>
      </c>
      <c r="H1199" s="1">
        <f>TablaDatos[[#This Row],[FechaIngreso]]+TablaDatos[[#This Row],[DiasNuevo]]</f>
        <v>44971</v>
      </c>
      <c r="I1199">
        <v>15</v>
      </c>
      <c r="J1199" t="s">
        <v>19</v>
      </c>
      <c r="K1199" s="3">
        <v>5929.07</v>
      </c>
      <c r="L1199" t="b">
        <f>TablaDatos[[#This Row],[FechaAlta]] &lt; TablaDatos[[#This Row],[FechaIngreso]]</f>
        <v>0</v>
      </c>
      <c r="M1199">
        <f>_xlfn.XLOOKUP(TablaDatos[[#This Row],[PacienteID]],'Datos_Ejemplo.csv'!A:A,'Datos_Ejemplo.csv'!I:I)</f>
        <v>15</v>
      </c>
      <c r="N1199">
        <f>ABS(TablaDatos[[#This Row],[DiasOriginal]])</f>
        <v>15</v>
      </c>
      <c r="O1199" s="1">
        <f>TablaDatos[[#This Row],[FechaIngreso]]+TablaDatos[[#This Row],[DiasNuevo]]</f>
        <v>44971</v>
      </c>
    </row>
    <row r="1200" spans="1:15">
      <c r="A1200">
        <v>1199</v>
      </c>
      <c r="B1200" t="s">
        <v>271</v>
      </c>
      <c r="C1200" s="1">
        <v>19724</v>
      </c>
      <c r="D1200">
        <v>72</v>
      </c>
      <c r="E1200" s="4" t="s">
        <v>12</v>
      </c>
      <c r="F1200" t="s">
        <v>21</v>
      </c>
      <c r="G1200" s="1">
        <v>44982</v>
      </c>
      <c r="H1200" s="1">
        <f>TablaDatos[[#This Row],[FechaIngreso]]+TablaDatos[[#This Row],[DiasNuevo]]</f>
        <v>44985</v>
      </c>
      <c r="I1200">
        <v>3</v>
      </c>
      <c r="J1200" t="s">
        <v>19</v>
      </c>
      <c r="K1200" s="3">
        <v>15042.34</v>
      </c>
      <c r="L1200" t="b">
        <f>TablaDatos[[#This Row],[FechaAlta]] &lt; TablaDatos[[#This Row],[FechaIngreso]]</f>
        <v>0</v>
      </c>
      <c r="M1200">
        <f>_xlfn.XLOOKUP(TablaDatos[[#This Row],[PacienteID]],'Datos_Ejemplo.csv'!A:A,'Datos_Ejemplo.csv'!I:I)</f>
        <v>3</v>
      </c>
      <c r="N1200">
        <f>ABS(TablaDatos[[#This Row],[DiasOriginal]])</f>
        <v>3</v>
      </c>
      <c r="O1200" s="1">
        <f>TablaDatos[[#This Row],[FechaIngreso]]+TablaDatos[[#This Row],[DiasNuevo]]</f>
        <v>44985</v>
      </c>
    </row>
    <row r="1201" spans="1:15">
      <c r="A1201">
        <v>1200</v>
      </c>
      <c r="B1201" t="s">
        <v>307</v>
      </c>
      <c r="C1201" s="1">
        <v>27029</v>
      </c>
      <c r="D1201">
        <v>52</v>
      </c>
      <c r="E1201" s="4" t="s">
        <v>15</v>
      </c>
      <c r="F1201" t="s">
        <v>295</v>
      </c>
      <c r="G1201" s="1">
        <v>45557</v>
      </c>
      <c r="H1201" s="1">
        <f>TablaDatos[[#This Row],[FechaIngreso]]+TablaDatos[[#This Row],[DiasNuevo]]</f>
        <v>45577</v>
      </c>
      <c r="I1201">
        <v>20</v>
      </c>
      <c r="J1201" t="s">
        <v>23</v>
      </c>
      <c r="K1201" s="3">
        <v>1952.63</v>
      </c>
      <c r="L1201" t="b">
        <f>TablaDatos[[#This Row],[FechaAlta]] &lt; TablaDatos[[#This Row],[FechaIngreso]]</f>
        <v>0</v>
      </c>
      <c r="M1201">
        <f>_xlfn.XLOOKUP(TablaDatos[[#This Row],[PacienteID]],'Datos_Ejemplo.csv'!A:A,'Datos_Ejemplo.csv'!I:I)</f>
        <v>20</v>
      </c>
      <c r="N1201">
        <f>ABS(TablaDatos[[#This Row],[DiasOriginal]])</f>
        <v>20</v>
      </c>
      <c r="O1201" s="1">
        <f>TablaDatos[[#This Row],[FechaIngreso]]+TablaDatos[[#This Row],[DiasNuevo]]</f>
        <v>45577</v>
      </c>
    </row>
    <row r="1202" spans="1:15">
      <c r="A1202">
        <v>1201</v>
      </c>
      <c r="B1202" t="s">
        <v>337</v>
      </c>
      <c r="C1202" s="1">
        <v>43100</v>
      </c>
      <c r="D1202">
        <v>8</v>
      </c>
      <c r="E1202" s="4" t="s">
        <v>12</v>
      </c>
      <c r="F1202" t="s">
        <v>295</v>
      </c>
      <c r="G1202" s="1">
        <v>45058</v>
      </c>
      <c r="H1202" s="1">
        <f>TablaDatos[[#This Row],[FechaIngreso]]+TablaDatos[[#This Row],[DiasNuevo]]</f>
        <v>45065</v>
      </c>
      <c r="I1202">
        <v>7</v>
      </c>
      <c r="J1202" t="s">
        <v>23</v>
      </c>
      <c r="K1202" s="3">
        <v>3692.85</v>
      </c>
      <c r="L1202" t="b">
        <f>TablaDatos[[#This Row],[FechaAlta]] &lt; TablaDatos[[#This Row],[FechaIngreso]]</f>
        <v>0</v>
      </c>
      <c r="M1202">
        <f>_xlfn.XLOOKUP(TablaDatos[[#This Row],[PacienteID]],'Datos_Ejemplo.csv'!A:A,'Datos_Ejemplo.csv'!I:I)</f>
        <v>7</v>
      </c>
      <c r="N1202">
        <f>ABS(TablaDatos[[#This Row],[DiasOriginal]])</f>
        <v>7</v>
      </c>
      <c r="O1202" s="1">
        <f>TablaDatos[[#This Row],[FechaIngreso]]+TablaDatos[[#This Row],[DiasNuevo]]</f>
        <v>45065</v>
      </c>
    </row>
    <row r="1203" spans="1:15">
      <c r="A1203">
        <v>1202</v>
      </c>
      <c r="B1203" t="s">
        <v>337</v>
      </c>
      <c r="C1203" s="1">
        <v>19359</v>
      </c>
      <c r="D1203">
        <v>73</v>
      </c>
      <c r="E1203" s="4" t="s">
        <v>15</v>
      </c>
      <c r="F1203" t="s">
        <v>201</v>
      </c>
      <c r="G1203" s="1">
        <v>45157</v>
      </c>
      <c r="H1203" s="1">
        <f>TablaDatos[[#This Row],[FechaIngreso]]+TablaDatos[[#This Row],[DiasNuevo]]</f>
        <v>45161</v>
      </c>
      <c r="I1203">
        <v>4</v>
      </c>
      <c r="J1203" t="s">
        <v>23</v>
      </c>
      <c r="K1203" s="3">
        <v>16004.15</v>
      </c>
      <c r="L1203" t="b">
        <f>TablaDatos[[#This Row],[FechaAlta]] &lt; TablaDatos[[#This Row],[FechaIngreso]]</f>
        <v>0</v>
      </c>
      <c r="M1203">
        <f>_xlfn.XLOOKUP(TablaDatos[[#This Row],[PacienteID]],'Datos_Ejemplo.csv'!A:A,'Datos_Ejemplo.csv'!I:I)</f>
        <v>4</v>
      </c>
      <c r="N1203">
        <f>ABS(TablaDatos[[#This Row],[DiasOriginal]])</f>
        <v>4</v>
      </c>
      <c r="O1203" s="1">
        <f>TablaDatos[[#This Row],[FechaIngreso]]+TablaDatos[[#This Row],[DiasNuevo]]</f>
        <v>45161</v>
      </c>
    </row>
    <row r="1204" spans="1:15">
      <c r="A1204">
        <v>1203</v>
      </c>
      <c r="B1204" t="s">
        <v>338</v>
      </c>
      <c r="C1204" s="1">
        <v>27395</v>
      </c>
      <c r="D1204">
        <v>51</v>
      </c>
      <c r="E1204" s="4" t="s">
        <v>15</v>
      </c>
      <c r="F1204" t="s">
        <v>261</v>
      </c>
      <c r="G1204" s="1">
        <v>45321</v>
      </c>
      <c r="H1204" s="1">
        <f>TablaDatos[[#This Row],[FechaIngreso]]+TablaDatos[[#This Row],[DiasNuevo]]</f>
        <v>45326</v>
      </c>
      <c r="I1204">
        <v>5</v>
      </c>
      <c r="J1204" t="s">
        <v>19</v>
      </c>
      <c r="K1204" s="3">
        <v>3582.27</v>
      </c>
      <c r="L1204" t="b">
        <f>TablaDatos[[#This Row],[FechaAlta]] &lt; TablaDatos[[#This Row],[FechaIngreso]]</f>
        <v>0</v>
      </c>
      <c r="M1204">
        <f>_xlfn.XLOOKUP(TablaDatos[[#This Row],[PacienteID]],'Datos_Ejemplo.csv'!A:A,'Datos_Ejemplo.csv'!I:I)</f>
        <v>5</v>
      </c>
      <c r="N1204">
        <f>ABS(TablaDatos[[#This Row],[DiasOriginal]])</f>
        <v>5</v>
      </c>
      <c r="O1204" s="1">
        <f>TablaDatos[[#This Row],[FechaIngreso]]+TablaDatos[[#This Row],[DiasNuevo]]</f>
        <v>45326</v>
      </c>
    </row>
    <row r="1205" spans="1:15">
      <c r="A1205">
        <v>1204</v>
      </c>
      <c r="B1205" t="s">
        <v>358</v>
      </c>
      <c r="C1205" s="1">
        <v>25568</v>
      </c>
      <c r="D1205">
        <v>56</v>
      </c>
      <c r="E1205" s="4" t="s">
        <v>12</v>
      </c>
      <c r="F1205" t="s">
        <v>201</v>
      </c>
      <c r="G1205" s="1">
        <v>45078</v>
      </c>
      <c r="H1205" s="1">
        <f>TablaDatos[[#This Row],[FechaIngreso]]+TablaDatos[[#This Row],[DiasNuevo]]</f>
        <v>45088</v>
      </c>
      <c r="I1205">
        <v>10</v>
      </c>
      <c r="J1205" t="s">
        <v>23</v>
      </c>
      <c r="K1205" s="3">
        <v>12477.5</v>
      </c>
      <c r="L1205" t="b">
        <f>TablaDatos[[#This Row],[FechaAlta]] &lt; TablaDatos[[#This Row],[FechaIngreso]]</f>
        <v>0</v>
      </c>
      <c r="M1205">
        <f>_xlfn.XLOOKUP(TablaDatos[[#This Row],[PacienteID]],'Datos_Ejemplo.csv'!A:A,'Datos_Ejemplo.csv'!I:I)</f>
        <v>10</v>
      </c>
      <c r="N1205">
        <f>ABS(TablaDatos[[#This Row],[DiasOriginal]])</f>
        <v>10</v>
      </c>
      <c r="O1205" s="1">
        <f>TablaDatos[[#This Row],[FechaIngreso]]+TablaDatos[[#This Row],[DiasNuevo]]</f>
        <v>45088</v>
      </c>
    </row>
    <row r="1206" spans="1:15">
      <c r="A1206">
        <v>1205</v>
      </c>
      <c r="B1206" t="s">
        <v>287</v>
      </c>
      <c r="C1206" s="1">
        <v>36891</v>
      </c>
      <c r="D1206">
        <v>25</v>
      </c>
      <c r="E1206" s="4" t="s">
        <v>12</v>
      </c>
      <c r="F1206" t="s">
        <v>295</v>
      </c>
      <c r="G1206" s="1">
        <v>45428</v>
      </c>
      <c r="H1206" s="1">
        <f>TablaDatos[[#This Row],[FechaIngreso]]+TablaDatos[[#This Row],[DiasNuevo]]</f>
        <v>45455</v>
      </c>
      <c r="I1206">
        <v>27</v>
      </c>
      <c r="J1206" t="s">
        <v>25</v>
      </c>
      <c r="K1206" s="3">
        <v>19401.89</v>
      </c>
      <c r="L1206" t="b">
        <f>TablaDatos[[#This Row],[FechaAlta]] &lt; TablaDatos[[#This Row],[FechaIngreso]]</f>
        <v>0</v>
      </c>
      <c r="M1206">
        <f>_xlfn.XLOOKUP(TablaDatos[[#This Row],[PacienteID]],'Datos_Ejemplo.csv'!A:A,'Datos_Ejemplo.csv'!I:I)</f>
        <v>27</v>
      </c>
      <c r="N1206">
        <f>ABS(TablaDatos[[#This Row],[DiasOriginal]])</f>
        <v>27</v>
      </c>
      <c r="O1206" s="1">
        <f>TablaDatos[[#This Row],[FechaIngreso]]+TablaDatos[[#This Row],[DiasNuevo]]</f>
        <v>45455</v>
      </c>
    </row>
    <row r="1207" spans="1:15">
      <c r="A1207">
        <v>1206</v>
      </c>
      <c r="B1207" t="s">
        <v>338</v>
      </c>
      <c r="C1207" s="1">
        <v>31412</v>
      </c>
      <c r="D1207">
        <v>40</v>
      </c>
      <c r="E1207" s="4" t="s">
        <v>15</v>
      </c>
      <c r="F1207" t="s">
        <v>18</v>
      </c>
      <c r="G1207" s="1">
        <v>45432</v>
      </c>
      <c r="H1207" s="1">
        <f>TablaDatos[[#This Row],[FechaIngreso]]+TablaDatos[[#This Row],[DiasNuevo]]</f>
        <v>45447</v>
      </c>
      <c r="I1207">
        <v>15</v>
      </c>
      <c r="J1207" t="s">
        <v>25</v>
      </c>
      <c r="K1207" s="3">
        <v>10410.1</v>
      </c>
      <c r="L1207" t="b">
        <f>TablaDatos[[#This Row],[FechaAlta]] &lt; TablaDatos[[#This Row],[FechaIngreso]]</f>
        <v>0</v>
      </c>
      <c r="M1207">
        <f>_xlfn.XLOOKUP(TablaDatos[[#This Row],[PacienteID]],'Datos_Ejemplo.csv'!A:A,'Datos_Ejemplo.csv'!I:I)</f>
        <v>15</v>
      </c>
      <c r="N1207">
        <f>ABS(TablaDatos[[#This Row],[DiasOriginal]])</f>
        <v>15</v>
      </c>
      <c r="O1207" s="1">
        <f>TablaDatos[[#This Row],[FechaIngreso]]+TablaDatos[[#This Row],[DiasNuevo]]</f>
        <v>45447</v>
      </c>
    </row>
    <row r="1208" spans="1:15">
      <c r="A1208">
        <v>1207</v>
      </c>
      <c r="B1208" t="s">
        <v>103</v>
      </c>
      <c r="C1208" s="1">
        <v>33604</v>
      </c>
      <c r="D1208">
        <v>34</v>
      </c>
      <c r="E1208" s="4" t="s">
        <v>12</v>
      </c>
      <c r="F1208" t="s">
        <v>21</v>
      </c>
      <c r="G1208" s="1">
        <v>45312</v>
      </c>
      <c r="H1208" s="1">
        <f>TablaDatos[[#This Row],[FechaIngreso]]+TablaDatos[[#This Row],[DiasNuevo]]</f>
        <v>45323</v>
      </c>
      <c r="I1208">
        <v>11</v>
      </c>
      <c r="J1208" t="s">
        <v>19</v>
      </c>
      <c r="K1208" s="3">
        <v>3666.67</v>
      </c>
      <c r="L1208" t="b">
        <f>TablaDatos[[#This Row],[FechaAlta]] &lt; TablaDatos[[#This Row],[FechaIngreso]]</f>
        <v>0</v>
      </c>
      <c r="M1208">
        <f>_xlfn.XLOOKUP(TablaDatos[[#This Row],[PacienteID]],'Datos_Ejemplo.csv'!A:A,'Datos_Ejemplo.csv'!I:I)</f>
        <v>11</v>
      </c>
      <c r="N1208">
        <f>ABS(TablaDatos[[#This Row],[DiasOriginal]])</f>
        <v>11</v>
      </c>
      <c r="O1208" s="1">
        <f>TablaDatos[[#This Row],[FechaIngreso]]+TablaDatos[[#This Row],[DiasNuevo]]</f>
        <v>45323</v>
      </c>
    </row>
    <row r="1209" spans="1:15">
      <c r="A1209">
        <v>1208</v>
      </c>
      <c r="B1209" t="s">
        <v>353</v>
      </c>
      <c r="C1209" s="1">
        <v>23377</v>
      </c>
      <c r="D1209">
        <v>62</v>
      </c>
      <c r="E1209" s="4" t="s">
        <v>12</v>
      </c>
      <c r="F1209" t="s">
        <v>13</v>
      </c>
      <c r="G1209" s="1">
        <v>45459</v>
      </c>
      <c r="H1209" s="1">
        <f>TablaDatos[[#This Row],[FechaIngreso]]+TablaDatos[[#This Row],[DiasNuevo]]</f>
        <v>45467</v>
      </c>
      <c r="I1209">
        <v>8</v>
      </c>
      <c r="J1209" t="s">
        <v>19</v>
      </c>
      <c r="K1209" s="3">
        <v>6345.89</v>
      </c>
      <c r="L1209" t="b">
        <f>TablaDatos[[#This Row],[FechaAlta]] &lt; TablaDatos[[#This Row],[FechaIngreso]]</f>
        <v>0</v>
      </c>
      <c r="M1209">
        <f>_xlfn.XLOOKUP(TablaDatos[[#This Row],[PacienteID]],'Datos_Ejemplo.csv'!A:A,'Datos_Ejemplo.csv'!I:I)</f>
        <v>8</v>
      </c>
      <c r="N1209">
        <f>ABS(TablaDatos[[#This Row],[DiasOriginal]])</f>
        <v>8</v>
      </c>
      <c r="O1209" s="1">
        <f>TablaDatos[[#This Row],[FechaIngreso]]+TablaDatos[[#This Row],[DiasNuevo]]</f>
        <v>45467</v>
      </c>
    </row>
    <row r="1210" spans="1:15">
      <c r="A1210">
        <v>1209</v>
      </c>
      <c r="B1210" t="s">
        <v>327</v>
      </c>
      <c r="C1210" s="1">
        <v>37256</v>
      </c>
      <c r="D1210">
        <v>24</v>
      </c>
      <c r="E1210" s="4" t="s">
        <v>15</v>
      </c>
      <c r="F1210" t="s">
        <v>201</v>
      </c>
      <c r="G1210" s="1">
        <v>45374</v>
      </c>
      <c r="H1210" s="1">
        <f>TablaDatos[[#This Row],[FechaIngreso]]+TablaDatos[[#This Row],[DiasNuevo]]</f>
        <v>45413</v>
      </c>
      <c r="I1210">
        <v>39</v>
      </c>
      <c r="J1210" t="s">
        <v>23</v>
      </c>
      <c r="K1210" s="3">
        <v>16451.509999999998</v>
      </c>
      <c r="L1210" t="b">
        <f>TablaDatos[[#This Row],[FechaAlta]] &lt; TablaDatos[[#This Row],[FechaIngreso]]</f>
        <v>0</v>
      </c>
      <c r="M1210">
        <f>_xlfn.XLOOKUP(TablaDatos[[#This Row],[PacienteID]],'Datos_Ejemplo.csv'!A:A,'Datos_Ejemplo.csv'!I:I)</f>
        <v>39</v>
      </c>
      <c r="N1210">
        <f>ABS(TablaDatos[[#This Row],[DiasOriginal]])</f>
        <v>39</v>
      </c>
      <c r="O1210" s="1">
        <f>TablaDatos[[#This Row],[FechaIngreso]]+TablaDatos[[#This Row],[DiasNuevo]]</f>
        <v>45413</v>
      </c>
    </row>
    <row r="1211" spans="1:15">
      <c r="A1211">
        <v>1210</v>
      </c>
      <c r="B1211" t="s">
        <v>61</v>
      </c>
      <c r="C1211" s="1">
        <v>13515</v>
      </c>
      <c r="D1211">
        <v>89</v>
      </c>
      <c r="E1211" s="4" t="s">
        <v>15</v>
      </c>
      <c r="F1211" t="s">
        <v>261</v>
      </c>
      <c r="G1211" s="1">
        <v>45506</v>
      </c>
      <c r="H1211" s="1">
        <f>TablaDatos[[#This Row],[FechaIngreso]]+TablaDatos[[#This Row],[DiasNuevo]]</f>
        <v>45541</v>
      </c>
      <c r="I1211">
        <v>35</v>
      </c>
      <c r="J1211" t="s">
        <v>23</v>
      </c>
      <c r="K1211" s="3">
        <v>6968.38</v>
      </c>
      <c r="L1211" t="b">
        <f>TablaDatos[[#This Row],[FechaAlta]] &lt; TablaDatos[[#This Row],[FechaIngreso]]</f>
        <v>0</v>
      </c>
      <c r="M1211">
        <f>_xlfn.XLOOKUP(TablaDatos[[#This Row],[PacienteID]],'Datos_Ejemplo.csv'!A:A,'Datos_Ejemplo.csv'!I:I)</f>
        <v>35</v>
      </c>
      <c r="N1211">
        <f>ABS(TablaDatos[[#This Row],[DiasOriginal]])</f>
        <v>35</v>
      </c>
      <c r="O1211" s="1">
        <f>TablaDatos[[#This Row],[FechaIngreso]]+TablaDatos[[#This Row],[DiasNuevo]]</f>
        <v>45541</v>
      </c>
    </row>
    <row r="1212" spans="1:15">
      <c r="A1212">
        <v>1211</v>
      </c>
      <c r="B1212" t="s">
        <v>328</v>
      </c>
      <c r="C1212" s="1">
        <v>18994</v>
      </c>
      <c r="D1212">
        <v>74</v>
      </c>
      <c r="E1212" s="4" t="s">
        <v>15</v>
      </c>
      <c r="F1212" t="s">
        <v>261</v>
      </c>
      <c r="G1212" s="1">
        <v>45052</v>
      </c>
      <c r="H1212" s="1">
        <f>TablaDatos[[#This Row],[FechaIngreso]]+TablaDatos[[#This Row],[DiasNuevo]]</f>
        <v>45062</v>
      </c>
      <c r="I1212">
        <v>10</v>
      </c>
      <c r="J1212" t="s">
        <v>19</v>
      </c>
      <c r="K1212" s="3">
        <v>14442.58</v>
      </c>
      <c r="L1212" t="b">
        <f>TablaDatos[[#This Row],[FechaAlta]] &lt; TablaDatos[[#This Row],[FechaIngreso]]</f>
        <v>0</v>
      </c>
      <c r="M1212">
        <f>_xlfn.XLOOKUP(TablaDatos[[#This Row],[PacienteID]],'Datos_Ejemplo.csv'!A:A,'Datos_Ejemplo.csv'!I:I)</f>
        <v>10</v>
      </c>
      <c r="N1212">
        <f>ABS(TablaDatos[[#This Row],[DiasOriginal]])</f>
        <v>10</v>
      </c>
      <c r="O1212" s="1">
        <f>TablaDatos[[#This Row],[FechaIngreso]]+TablaDatos[[#This Row],[DiasNuevo]]</f>
        <v>45062</v>
      </c>
    </row>
    <row r="1213" spans="1:15">
      <c r="A1213">
        <v>1212</v>
      </c>
      <c r="B1213" t="s">
        <v>103</v>
      </c>
      <c r="C1213" s="1">
        <v>32508</v>
      </c>
      <c r="D1213">
        <v>37</v>
      </c>
      <c r="E1213" s="4" t="s">
        <v>15</v>
      </c>
      <c r="F1213" t="s">
        <v>32</v>
      </c>
      <c r="G1213" s="1">
        <v>45481</v>
      </c>
      <c r="H1213" s="1">
        <f>TablaDatos[[#This Row],[FechaIngreso]]+TablaDatos[[#This Row],[DiasNuevo]]</f>
        <v>45520</v>
      </c>
      <c r="I1213">
        <v>39</v>
      </c>
      <c r="J1213" t="s">
        <v>19</v>
      </c>
      <c r="K1213" s="3">
        <v>15524.74</v>
      </c>
      <c r="L1213" t="b">
        <f>TablaDatos[[#This Row],[FechaAlta]] &lt; TablaDatos[[#This Row],[FechaIngreso]]</f>
        <v>0</v>
      </c>
      <c r="M1213">
        <f>_xlfn.XLOOKUP(TablaDatos[[#This Row],[PacienteID]],'Datos_Ejemplo.csv'!A:A,'Datos_Ejemplo.csv'!I:I)</f>
        <v>39</v>
      </c>
      <c r="N1213">
        <f>ABS(TablaDatos[[#This Row],[DiasOriginal]])</f>
        <v>39</v>
      </c>
      <c r="O1213" s="1">
        <f>TablaDatos[[#This Row],[FechaIngreso]]+TablaDatos[[#This Row],[DiasNuevo]]</f>
        <v>45520</v>
      </c>
    </row>
    <row r="1214" spans="1:15">
      <c r="A1214">
        <v>1213</v>
      </c>
      <c r="B1214" t="s">
        <v>233</v>
      </c>
      <c r="C1214" s="1">
        <v>45657</v>
      </c>
      <c r="D1214">
        <v>1</v>
      </c>
      <c r="E1214" s="4" t="s">
        <v>12</v>
      </c>
      <c r="F1214" t="s">
        <v>21</v>
      </c>
      <c r="G1214" s="1">
        <v>45620</v>
      </c>
      <c r="H1214" s="1">
        <f>TablaDatos[[#This Row],[FechaIngreso]]+TablaDatos[[#This Row],[DiasNuevo]]</f>
        <v>45650</v>
      </c>
      <c r="I1214">
        <v>30</v>
      </c>
      <c r="J1214" t="s">
        <v>25</v>
      </c>
      <c r="K1214" s="3">
        <v>9973.7800000000007</v>
      </c>
      <c r="L1214" t="b">
        <f>TablaDatos[[#This Row],[FechaAlta]] &lt; TablaDatos[[#This Row],[FechaIngreso]]</f>
        <v>0</v>
      </c>
      <c r="M1214">
        <f>_xlfn.XLOOKUP(TablaDatos[[#This Row],[PacienteID]],'Datos_Ejemplo.csv'!A:A,'Datos_Ejemplo.csv'!I:I)</f>
        <v>30</v>
      </c>
      <c r="N1214">
        <f>ABS(TablaDatos[[#This Row],[DiasOriginal]])</f>
        <v>30</v>
      </c>
      <c r="O1214" s="1">
        <f>TablaDatos[[#This Row],[FechaIngreso]]+TablaDatos[[#This Row],[DiasNuevo]]</f>
        <v>45650</v>
      </c>
    </row>
    <row r="1215" spans="1:15">
      <c r="A1215">
        <v>1214</v>
      </c>
      <c r="B1215" t="s">
        <v>102</v>
      </c>
      <c r="C1215" s="1">
        <v>43831</v>
      </c>
      <c r="D1215">
        <v>6</v>
      </c>
      <c r="E1215" s="4" t="s">
        <v>15</v>
      </c>
      <c r="F1215" t="s">
        <v>21</v>
      </c>
      <c r="G1215" s="1">
        <v>45415</v>
      </c>
      <c r="H1215" s="1">
        <f>TablaDatos[[#This Row],[FechaIngreso]]+TablaDatos[[#This Row],[DiasNuevo]]</f>
        <v>45425</v>
      </c>
      <c r="I1215">
        <v>10</v>
      </c>
      <c r="J1215" t="s">
        <v>23</v>
      </c>
      <c r="K1215" s="3">
        <v>15642.59</v>
      </c>
      <c r="L1215" t="b">
        <f>TablaDatos[[#This Row],[FechaAlta]] &lt; TablaDatos[[#This Row],[FechaIngreso]]</f>
        <v>0</v>
      </c>
      <c r="M1215">
        <f>_xlfn.XLOOKUP(TablaDatos[[#This Row],[PacienteID]],'Datos_Ejemplo.csv'!A:A,'Datos_Ejemplo.csv'!I:I)</f>
        <v>10</v>
      </c>
      <c r="N1215">
        <f>ABS(TablaDatos[[#This Row],[DiasOriginal]])</f>
        <v>10</v>
      </c>
      <c r="O1215" s="1">
        <f>TablaDatos[[#This Row],[FechaIngreso]]+TablaDatos[[#This Row],[DiasNuevo]]</f>
        <v>45425</v>
      </c>
    </row>
    <row r="1216" spans="1:15">
      <c r="A1216">
        <v>1215</v>
      </c>
      <c r="B1216" t="s">
        <v>274</v>
      </c>
      <c r="C1216" s="1">
        <v>16437</v>
      </c>
      <c r="D1216">
        <v>81</v>
      </c>
      <c r="E1216" s="4" t="s">
        <v>15</v>
      </c>
      <c r="F1216" t="s">
        <v>21</v>
      </c>
      <c r="G1216" s="1">
        <v>45538</v>
      </c>
      <c r="H1216" s="1">
        <f>TablaDatos[[#This Row],[FechaIngreso]]+TablaDatos[[#This Row],[DiasNuevo]]</f>
        <v>45560</v>
      </c>
      <c r="I1216">
        <v>22</v>
      </c>
      <c r="J1216" t="s">
        <v>25</v>
      </c>
      <c r="K1216" s="3">
        <v>6269.75</v>
      </c>
      <c r="L1216" t="b">
        <f>TablaDatos[[#This Row],[FechaAlta]] &lt; TablaDatos[[#This Row],[FechaIngreso]]</f>
        <v>0</v>
      </c>
      <c r="M1216">
        <f>_xlfn.XLOOKUP(TablaDatos[[#This Row],[PacienteID]],'Datos_Ejemplo.csv'!A:A,'Datos_Ejemplo.csv'!I:I)</f>
        <v>22</v>
      </c>
      <c r="N1216">
        <f>ABS(TablaDatos[[#This Row],[DiasOriginal]])</f>
        <v>22</v>
      </c>
      <c r="O1216" s="1">
        <f>TablaDatos[[#This Row],[FechaIngreso]]+TablaDatos[[#This Row],[DiasNuevo]]</f>
        <v>45560</v>
      </c>
    </row>
    <row r="1217" spans="1:15">
      <c r="A1217">
        <v>1216</v>
      </c>
      <c r="B1217" t="s">
        <v>341</v>
      </c>
      <c r="C1217" s="1">
        <v>13150</v>
      </c>
      <c r="D1217">
        <v>90</v>
      </c>
      <c r="E1217" s="4" t="s">
        <v>15</v>
      </c>
      <c r="F1217" t="s">
        <v>201</v>
      </c>
      <c r="G1217" s="1">
        <v>45372</v>
      </c>
      <c r="H1217" s="1">
        <f>TablaDatos[[#This Row],[FechaIngreso]]+TablaDatos[[#This Row],[DiasNuevo]]</f>
        <v>45393</v>
      </c>
      <c r="I1217">
        <v>21</v>
      </c>
      <c r="J1217" t="s">
        <v>25</v>
      </c>
      <c r="K1217" s="3">
        <v>10274.81</v>
      </c>
      <c r="L1217" t="b">
        <f>TablaDatos[[#This Row],[FechaAlta]] &lt; TablaDatos[[#This Row],[FechaIngreso]]</f>
        <v>0</v>
      </c>
      <c r="M1217">
        <f>_xlfn.XLOOKUP(TablaDatos[[#This Row],[PacienteID]],'Datos_Ejemplo.csv'!A:A,'Datos_Ejemplo.csv'!I:I)</f>
        <v>21</v>
      </c>
      <c r="N1217">
        <f>ABS(TablaDatos[[#This Row],[DiasOriginal]])</f>
        <v>21</v>
      </c>
      <c r="O1217" s="1">
        <f>TablaDatos[[#This Row],[FechaIngreso]]+TablaDatos[[#This Row],[DiasNuevo]]</f>
        <v>45393</v>
      </c>
    </row>
    <row r="1218" spans="1:15">
      <c r="A1218">
        <v>1217</v>
      </c>
      <c r="B1218" t="s">
        <v>164</v>
      </c>
      <c r="C1218" s="1">
        <v>33969</v>
      </c>
      <c r="D1218">
        <v>33</v>
      </c>
      <c r="E1218" s="4" t="s">
        <v>12</v>
      </c>
      <c r="F1218" t="s">
        <v>295</v>
      </c>
      <c r="G1218" s="1">
        <v>45396</v>
      </c>
      <c r="H1218" s="1">
        <f>TablaDatos[[#This Row],[FechaIngreso]]+TablaDatos[[#This Row],[DiasNuevo]]</f>
        <v>45422</v>
      </c>
      <c r="I1218">
        <v>26</v>
      </c>
      <c r="J1218" t="s">
        <v>23</v>
      </c>
      <c r="K1218" s="3">
        <v>13699.82</v>
      </c>
      <c r="L1218" t="b">
        <f>TablaDatos[[#This Row],[FechaAlta]] &lt; TablaDatos[[#This Row],[FechaIngreso]]</f>
        <v>0</v>
      </c>
      <c r="M1218">
        <f>_xlfn.XLOOKUP(TablaDatos[[#This Row],[PacienteID]],'Datos_Ejemplo.csv'!A:A,'Datos_Ejemplo.csv'!I:I)</f>
        <v>26</v>
      </c>
      <c r="N1218">
        <f>ABS(TablaDatos[[#This Row],[DiasOriginal]])</f>
        <v>26</v>
      </c>
      <c r="O1218" s="1">
        <f>TablaDatos[[#This Row],[FechaIngreso]]+TablaDatos[[#This Row],[DiasNuevo]]</f>
        <v>45422</v>
      </c>
    </row>
    <row r="1219" spans="1:15">
      <c r="A1219">
        <v>1218</v>
      </c>
      <c r="B1219" t="s">
        <v>234</v>
      </c>
      <c r="C1219" s="1">
        <v>13150</v>
      </c>
      <c r="D1219">
        <v>90</v>
      </c>
      <c r="E1219" s="4" t="s">
        <v>15</v>
      </c>
      <c r="F1219" t="s">
        <v>18</v>
      </c>
      <c r="G1219" s="1">
        <v>45275</v>
      </c>
      <c r="H1219" s="1">
        <f>TablaDatos[[#This Row],[FechaIngreso]]+TablaDatos[[#This Row],[DiasNuevo]]</f>
        <v>45308</v>
      </c>
      <c r="I1219">
        <v>33</v>
      </c>
      <c r="J1219" t="s">
        <v>19</v>
      </c>
      <c r="K1219" s="3">
        <v>3278.27</v>
      </c>
      <c r="L1219" t="b">
        <f>TablaDatos[[#This Row],[FechaAlta]] &lt; TablaDatos[[#This Row],[FechaIngreso]]</f>
        <v>0</v>
      </c>
      <c r="M1219">
        <f>_xlfn.XLOOKUP(TablaDatos[[#This Row],[PacienteID]],'Datos_Ejemplo.csv'!A:A,'Datos_Ejemplo.csv'!I:I)</f>
        <v>33</v>
      </c>
      <c r="N1219">
        <f>ABS(TablaDatos[[#This Row],[DiasOriginal]])</f>
        <v>33</v>
      </c>
      <c r="O1219" s="1">
        <f>TablaDatos[[#This Row],[FechaIngreso]]+TablaDatos[[#This Row],[DiasNuevo]]</f>
        <v>45308</v>
      </c>
    </row>
    <row r="1220" spans="1:15">
      <c r="A1220">
        <v>1219</v>
      </c>
      <c r="B1220" t="s">
        <v>343</v>
      </c>
      <c r="C1220" s="1">
        <v>40178</v>
      </c>
      <c r="D1220">
        <v>16</v>
      </c>
      <c r="E1220" s="4" t="s">
        <v>15</v>
      </c>
      <c r="F1220" t="s">
        <v>201</v>
      </c>
      <c r="G1220" s="1">
        <v>45434</v>
      </c>
      <c r="H1220" s="1">
        <f>TablaDatos[[#This Row],[FechaIngreso]]+TablaDatos[[#This Row],[DiasNuevo]]</f>
        <v>45437</v>
      </c>
      <c r="I1220">
        <v>3</v>
      </c>
      <c r="J1220" t="s">
        <v>19</v>
      </c>
      <c r="K1220" s="3">
        <v>5399.8</v>
      </c>
      <c r="L1220" t="b">
        <f>TablaDatos[[#This Row],[FechaAlta]] &lt; TablaDatos[[#This Row],[FechaIngreso]]</f>
        <v>0</v>
      </c>
      <c r="M1220">
        <f>_xlfn.XLOOKUP(TablaDatos[[#This Row],[PacienteID]],'Datos_Ejemplo.csv'!A:A,'Datos_Ejemplo.csv'!I:I)</f>
        <v>3</v>
      </c>
      <c r="N1220">
        <f>ABS(TablaDatos[[#This Row],[DiasOriginal]])</f>
        <v>3</v>
      </c>
      <c r="O1220" s="1">
        <f>TablaDatos[[#This Row],[FechaIngreso]]+TablaDatos[[#This Row],[DiasNuevo]]</f>
        <v>45437</v>
      </c>
    </row>
    <row r="1221" spans="1:15">
      <c r="A1221">
        <v>1220</v>
      </c>
      <c r="B1221" t="s">
        <v>299</v>
      </c>
      <c r="C1221" s="1">
        <v>30682</v>
      </c>
      <c r="D1221">
        <v>42</v>
      </c>
      <c r="E1221" s="4" t="s">
        <v>15</v>
      </c>
      <c r="F1221" t="s">
        <v>13</v>
      </c>
      <c r="G1221" s="1">
        <v>45383</v>
      </c>
      <c r="H1221" s="1">
        <f>TablaDatos[[#This Row],[FechaIngreso]]+TablaDatos[[#This Row],[DiasNuevo]]</f>
        <v>45398</v>
      </c>
      <c r="I1221">
        <v>15</v>
      </c>
      <c r="J1221" t="s">
        <v>25</v>
      </c>
      <c r="K1221" s="3">
        <v>13005.94</v>
      </c>
      <c r="L1221" t="b">
        <f>TablaDatos[[#This Row],[FechaAlta]] &lt; TablaDatos[[#This Row],[FechaIngreso]]</f>
        <v>0</v>
      </c>
      <c r="M1221">
        <f>_xlfn.XLOOKUP(TablaDatos[[#This Row],[PacienteID]],'Datos_Ejemplo.csv'!A:A,'Datos_Ejemplo.csv'!I:I)</f>
        <v>15</v>
      </c>
      <c r="N1221">
        <f>ABS(TablaDatos[[#This Row],[DiasOriginal]])</f>
        <v>15</v>
      </c>
      <c r="O1221" s="1">
        <f>TablaDatos[[#This Row],[FechaIngreso]]+TablaDatos[[#This Row],[DiasNuevo]]</f>
        <v>45398</v>
      </c>
    </row>
    <row r="1222" spans="1:15">
      <c r="A1222">
        <v>1221</v>
      </c>
      <c r="B1222" t="s">
        <v>273</v>
      </c>
      <c r="C1222" s="1">
        <v>24838</v>
      </c>
      <c r="D1222">
        <v>58</v>
      </c>
      <c r="E1222" s="4" t="s">
        <v>12</v>
      </c>
      <c r="F1222" t="s">
        <v>295</v>
      </c>
      <c r="G1222" s="1">
        <v>45311</v>
      </c>
      <c r="H1222" s="1">
        <f>TablaDatos[[#This Row],[FechaIngreso]]+TablaDatos[[#This Row],[DiasNuevo]]</f>
        <v>45336</v>
      </c>
      <c r="I1222">
        <v>25</v>
      </c>
      <c r="J1222" t="s">
        <v>25</v>
      </c>
      <c r="K1222" s="3">
        <v>13072.74</v>
      </c>
      <c r="L1222" t="b">
        <f>TablaDatos[[#This Row],[FechaAlta]] &lt; TablaDatos[[#This Row],[FechaIngreso]]</f>
        <v>0</v>
      </c>
      <c r="M1222">
        <f>_xlfn.XLOOKUP(TablaDatos[[#This Row],[PacienteID]],'Datos_Ejemplo.csv'!A:A,'Datos_Ejemplo.csv'!I:I)</f>
        <v>25</v>
      </c>
      <c r="N1222">
        <f>ABS(TablaDatos[[#This Row],[DiasOriginal]])</f>
        <v>25</v>
      </c>
      <c r="O1222" s="1">
        <f>TablaDatos[[#This Row],[FechaIngreso]]+TablaDatos[[#This Row],[DiasNuevo]]</f>
        <v>45336</v>
      </c>
    </row>
    <row r="1223" spans="1:15">
      <c r="A1223">
        <v>1222</v>
      </c>
      <c r="B1223" t="s">
        <v>332</v>
      </c>
      <c r="C1223" s="1">
        <v>27760</v>
      </c>
      <c r="D1223">
        <f ca="1">DATEDIF(TablaDatos[[#This Row],[FechaNacimiento]],TODAY(),"Y")</f>
        <v>50</v>
      </c>
      <c r="E1223" s="4" t="s">
        <v>15</v>
      </c>
      <c r="F1223" t="s">
        <v>201</v>
      </c>
      <c r="G1223" s="1">
        <v>45638</v>
      </c>
      <c r="H1223" s="1">
        <f>TablaDatos[[#This Row],[FechaIngreso]]+TablaDatos[[#This Row],[DiasNuevo]]</f>
        <v>45640</v>
      </c>
      <c r="I1223">
        <v>2</v>
      </c>
      <c r="J1223" t="s">
        <v>23</v>
      </c>
      <c r="K1223" s="3">
        <v>9815.3799999999992</v>
      </c>
      <c r="L1223" t="b">
        <f>TablaDatos[[#This Row],[FechaAlta]] &lt; TablaDatos[[#This Row],[FechaIngreso]]</f>
        <v>0</v>
      </c>
      <c r="M1223">
        <f>_xlfn.XLOOKUP(TablaDatos[[#This Row],[PacienteID]],'Datos_Ejemplo.csv'!A:A,'Datos_Ejemplo.csv'!I:I)</f>
        <v>2</v>
      </c>
      <c r="N1223">
        <f>ABS(TablaDatos[[#This Row],[DiasOriginal]])</f>
        <v>2</v>
      </c>
      <c r="O1223" s="1">
        <f>TablaDatos[[#This Row],[FechaIngreso]]+TablaDatos[[#This Row],[DiasNuevo]]</f>
        <v>45640</v>
      </c>
    </row>
    <row r="1224" spans="1:15">
      <c r="A1224">
        <v>1223</v>
      </c>
      <c r="B1224" t="s">
        <v>354</v>
      </c>
      <c r="C1224" s="1">
        <v>26664</v>
      </c>
      <c r="D1224">
        <v>53</v>
      </c>
      <c r="E1224" s="4" t="s">
        <v>12</v>
      </c>
      <c r="F1224" t="s">
        <v>18</v>
      </c>
      <c r="G1224" s="1">
        <v>45374</v>
      </c>
      <c r="H1224" s="1">
        <f>TablaDatos[[#This Row],[FechaIngreso]]+TablaDatos[[#This Row],[DiasNuevo]]</f>
        <v>45389</v>
      </c>
      <c r="I1224">
        <v>15</v>
      </c>
      <c r="J1224" t="s">
        <v>23</v>
      </c>
      <c r="K1224" s="3">
        <v>15891.27</v>
      </c>
      <c r="L1224" t="b">
        <f>TablaDatos[[#This Row],[FechaAlta]] &lt; TablaDatos[[#This Row],[FechaIngreso]]</f>
        <v>0</v>
      </c>
      <c r="M1224">
        <f>_xlfn.XLOOKUP(TablaDatos[[#This Row],[PacienteID]],'Datos_Ejemplo.csv'!A:A,'Datos_Ejemplo.csv'!I:I)</f>
        <v>15</v>
      </c>
      <c r="N1224">
        <f>ABS(TablaDatos[[#This Row],[DiasOriginal]])</f>
        <v>15</v>
      </c>
      <c r="O1224" s="1">
        <f>TablaDatos[[#This Row],[FechaIngreso]]+TablaDatos[[#This Row],[DiasNuevo]]</f>
        <v>45389</v>
      </c>
    </row>
    <row r="1225" spans="1:15">
      <c r="A1225">
        <v>1224</v>
      </c>
      <c r="B1225" t="s">
        <v>270</v>
      </c>
      <c r="C1225" s="1">
        <v>37622</v>
      </c>
      <c r="D1225">
        <v>23</v>
      </c>
      <c r="E1225" s="4" t="s">
        <v>15</v>
      </c>
      <c r="F1225" t="s">
        <v>21</v>
      </c>
      <c r="G1225" s="1">
        <v>45554</v>
      </c>
      <c r="H1225" s="1">
        <f>TablaDatos[[#This Row],[FechaIngreso]]+TablaDatos[[#This Row],[DiasNuevo]]</f>
        <v>45588</v>
      </c>
      <c r="I1225">
        <v>34</v>
      </c>
      <c r="J1225" t="s">
        <v>23</v>
      </c>
      <c r="K1225" s="3">
        <v>9589.2999999999993</v>
      </c>
      <c r="L1225" t="b">
        <f>TablaDatos[[#This Row],[FechaAlta]] &lt; TablaDatos[[#This Row],[FechaIngreso]]</f>
        <v>0</v>
      </c>
      <c r="M1225">
        <f>_xlfn.XLOOKUP(TablaDatos[[#This Row],[PacienteID]],'Datos_Ejemplo.csv'!A:A,'Datos_Ejemplo.csv'!I:I)</f>
        <v>34</v>
      </c>
      <c r="N1225">
        <f>ABS(TablaDatos[[#This Row],[DiasOriginal]])</f>
        <v>34</v>
      </c>
      <c r="O1225" s="1">
        <f>TablaDatos[[#This Row],[FechaIngreso]]+TablaDatos[[#This Row],[DiasNuevo]]</f>
        <v>45588</v>
      </c>
    </row>
    <row r="1226" spans="1:15">
      <c r="A1226">
        <v>1225</v>
      </c>
      <c r="B1226" t="s">
        <v>286</v>
      </c>
      <c r="C1226" s="1">
        <v>37256</v>
      </c>
      <c r="D1226">
        <v>24</v>
      </c>
      <c r="E1226" s="4" t="s">
        <v>15</v>
      </c>
      <c r="F1226" t="s">
        <v>18</v>
      </c>
      <c r="G1226" s="1">
        <v>45041</v>
      </c>
      <c r="H1226" s="1">
        <f>TablaDatos[[#This Row],[FechaIngreso]]+TablaDatos[[#This Row],[DiasNuevo]]</f>
        <v>45045</v>
      </c>
      <c r="I1226">
        <v>4</v>
      </c>
      <c r="J1226" t="s">
        <v>19</v>
      </c>
      <c r="K1226" s="3">
        <v>17614.580000000002</v>
      </c>
      <c r="L1226" t="b">
        <f>TablaDatos[[#This Row],[FechaAlta]] &lt; TablaDatos[[#This Row],[FechaIngreso]]</f>
        <v>0</v>
      </c>
      <c r="M1226">
        <f>_xlfn.XLOOKUP(TablaDatos[[#This Row],[PacienteID]],'Datos_Ejemplo.csv'!A:A,'Datos_Ejemplo.csv'!I:I)</f>
        <v>4</v>
      </c>
      <c r="N1226">
        <f>ABS(TablaDatos[[#This Row],[DiasOriginal]])</f>
        <v>4</v>
      </c>
      <c r="O1226" s="1">
        <f>TablaDatos[[#This Row],[FechaIngreso]]+TablaDatos[[#This Row],[DiasNuevo]]</f>
        <v>45045</v>
      </c>
    </row>
    <row r="1227" spans="1:15">
      <c r="A1227">
        <v>1226</v>
      </c>
      <c r="B1227" t="s">
        <v>116</v>
      </c>
      <c r="C1227" s="1">
        <v>20455</v>
      </c>
      <c r="D1227">
        <v>70</v>
      </c>
      <c r="E1227" s="4" t="s">
        <v>12</v>
      </c>
      <c r="F1227" t="s">
        <v>295</v>
      </c>
      <c r="G1227" s="1">
        <v>45378</v>
      </c>
      <c r="H1227" s="1">
        <f>TablaDatos[[#This Row],[FechaIngreso]]+TablaDatos[[#This Row],[DiasNuevo]]</f>
        <v>45384</v>
      </c>
      <c r="I1227">
        <v>6</v>
      </c>
      <c r="J1227" t="s">
        <v>23</v>
      </c>
      <c r="K1227" s="3">
        <v>14691.66</v>
      </c>
      <c r="L1227" t="b">
        <f>TablaDatos[[#This Row],[FechaAlta]] &lt; TablaDatos[[#This Row],[FechaIngreso]]</f>
        <v>0</v>
      </c>
      <c r="M1227">
        <f>_xlfn.XLOOKUP(TablaDatos[[#This Row],[PacienteID]],'Datos_Ejemplo.csv'!A:A,'Datos_Ejemplo.csv'!I:I)</f>
        <v>6</v>
      </c>
      <c r="N1227">
        <f>ABS(TablaDatos[[#This Row],[DiasOriginal]])</f>
        <v>6</v>
      </c>
      <c r="O1227" s="1">
        <f>TablaDatos[[#This Row],[FechaIngreso]]+TablaDatos[[#This Row],[DiasNuevo]]</f>
        <v>45384</v>
      </c>
    </row>
    <row r="1228" spans="1:15">
      <c r="A1228">
        <v>1227</v>
      </c>
      <c r="B1228" t="s">
        <v>296</v>
      </c>
      <c r="C1228" s="1">
        <v>27395</v>
      </c>
      <c r="D1228">
        <v>51</v>
      </c>
      <c r="E1228" s="4" t="s">
        <v>15</v>
      </c>
      <c r="F1228" t="s">
        <v>201</v>
      </c>
      <c r="G1228" s="1">
        <v>45580</v>
      </c>
      <c r="H1228" s="1">
        <f>TablaDatos[[#This Row],[FechaIngreso]]+TablaDatos[[#This Row],[DiasNuevo]]</f>
        <v>45612</v>
      </c>
      <c r="I1228">
        <v>32</v>
      </c>
      <c r="J1228" t="s">
        <v>19</v>
      </c>
      <c r="K1228" s="3">
        <v>6225.37</v>
      </c>
      <c r="L1228" t="b">
        <f>TablaDatos[[#This Row],[FechaAlta]] &lt; TablaDatos[[#This Row],[FechaIngreso]]</f>
        <v>0</v>
      </c>
      <c r="M1228">
        <f>_xlfn.XLOOKUP(TablaDatos[[#This Row],[PacienteID]],'Datos_Ejemplo.csv'!A:A,'Datos_Ejemplo.csv'!I:I)</f>
        <v>32</v>
      </c>
      <c r="N1228">
        <f>ABS(TablaDatos[[#This Row],[DiasOriginal]])</f>
        <v>32</v>
      </c>
      <c r="O1228" s="1">
        <f>TablaDatos[[#This Row],[FechaIngreso]]+TablaDatos[[#This Row],[DiasNuevo]]</f>
        <v>45612</v>
      </c>
    </row>
    <row r="1229" spans="1:15">
      <c r="A1229">
        <v>1228</v>
      </c>
      <c r="B1229" t="s">
        <v>287</v>
      </c>
      <c r="C1229" s="1">
        <v>20820</v>
      </c>
      <c r="D1229">
        <v>69</v>
      </c>
      <c r="E1229" s="4" t="s">
        <v>12</v>
      </c>
      <c r="F1229" t="s">
        <v>21</v>
      </c>
      <c r="G1229" s="1">
        <v>45045</v>
      </c>
      <c r="H1229" s="1">
        <f>TablaDatos[[#This Row],[FechaIngreso]]+TablaDatos[[#This Row],[DiasNuevo]]</f>
        <v>45054</v>
      </c>
      <c r="I1229">
        <v>9</v>
      </c>
      <c r="J1229" t="s">
        <v>19</v>
      </c>
      <c r="K1229" s="3">
        <v>7844.61</v>
      </c>
      <c r="L1229" t="b">
        <f>TablaDatos[[#This Row],[FechaAlta]] &lt; TablaDatos[[#This Row],[FechaIngreso]]</f>
        <v>0</v>
      </c>
      <c r="M1229">
        <f>_xlfn.XLOOKUP(TablaDatos[[#This Row],[PacienteID]],'Datos_Ejemplo.csv'!A:A,'Datos_Ejemplo.csv'!I:I)</f>
        <v>9</v>
      </c>
      <c r="N1229">
        <f>ABS(TablaDatos[[#This Row],[DiasOriginal]])</f>
        <v>9</v>
      </c>
      <c r="O1229" s="1">
        <f>TablaDatos[[#This Row],[FechaIngreso]]+TablaDatos[[#This Row],[DiasNuevo]]</f>
        <v>45054</v>
      </c>
    </row>
    <row r="1230" spans="1:15">
      <c r="A1230">
        <v>1229</v>
      </c>
      <c r="B1230" t="s">
        <v>258</v>
      </c>
      <c r="C1230" s="1">
        <v>14246</v>
      </c>
      <c r="D1230">
        <v>87</v>
      </c>
      <c r="E1230" s="4" t="s">
        <v>12</v>
      </c>
      <c r="F1230" t="s">
        <v>201</v>
      </c>
      <c r="G1230" s="1">
        <v>45019</v>
      </c>
      <c r="H1230" s="1">
        <f>TablaDatos[[#This Row],[FechaIngreso]]+TablaDatos[[#This Row],[DiasNuevo]]</f>
        <v>45056</v>
      </c>
      <c r="I1230">
        <v>37</v>
      </c>
      <c r="J1230" t="s">
        <v>19</v>
      </c>
      <c r="K1230" s="3">
        <v>13320.5</v>
      </c>
      <c r="L1230" t="b">
        <f>TablaDatos[[#This Row],[FechaAlta]] &lt; TablaDatos[[#This Row],[FechaIngreso]]</f>
        <v>0</v>
      </c>
      <c r="M1230">
        <f>_xlfn.XLOOKUP(TablaDatos[[#This Row],[PacienteID]],'Datos_Ejemplo.csv'!A:A,'Datos_Ejemplo.csv'!I:I)</f>
        <v>37</v>
      </c>
      <c r="N1230">
        <f>ABS(TablaDatos[[#This Row],[DiasOriginal]])</f>
        <v>37</v>
      </c>
      <c r="O1230" s="1">
        <f>TablaDatos[[#This Row],[FechaIngreso]]+TablaDatos[[#This Row],[DiasNuevo]]</f>
        <v>45056</v>
      </c>
    </row>
    <row r="1231" spans="1:15">
      <c r="A1231">
        <v>1230</v>
      </c>
      <c r="B1231" t="s">
        <v>304</v>
      </c>
      <c r="C1231" s="1">
        <v>34334</v>
      </c>
      <c r="D1231">
        <v>32</v>
      </c>
      <c r="E1231" s="4" t="s">
        <v>12</v>
      </c>
      <c r="F1231" t="s">
        <v>295</v>
      </c>
      <c r="G1231" s="1">
        <v>45447</v>
      </c>
      <c r="H1231" s="1">
        <f>TablaDatos[[#This Row],[FechaIngreso]]+TablaDatos[[#This Row],[DiasNuevo]]</f>
        <v>45483</v>
      </c>
      <c r="I1231">
        <v>36</v>
      </c>
      <c r="J1231" t="s">
        <v>23</v>
      </c>
      <c r="K1231" s="3">
        <v>17878.5</v>
      </c>
      <c r="L1231" t="b">
        <f>TablaDatos[[#This Row],[FechaAlta]] &lt; TablaDatos[[#This Row],[FechaIngreso]]</f>
        <v>0</v>
      </c>
      <c r="M1231">
        <f>_xlfn.XLOOKUP(TablaDatos[[#This Row],[PacienteID]],'Datos_Ejemplo.csv'!A:A,'Datos_Ejemplo.csv'!I:I)</f>
        <v>36</v>
      </c>
      <c r="N1231">
        <f>ABS(TablaDatos[[#This Row],[DiasOriginal]])</f>
        <v>36</v>
      </c>
      <c r="O1231" s="1">
        <f>TablaDatos[[#This Row],[FechaIngreso]]+TablaDatos[[#This Row],[DiasNuevo]]</f>
        <v>45483</v>
      </c>
    </row>
    <row r="1232" spans="1:15">
      <c r="A1232">
        <v>1231</v>
      </c>
      <c r="B1232" t="s">
        <v>352</v>
      </c>
      <c r="C1232" s="1">
        <v>28490</v>
      </c>
      <c r="D1232">
        <v>48</v>
      </c>
      <c r="E1232" s="4" t="s">
        <v>12</v>
      </c>
      <c r="F1232" t="s">
        <v>13</v>
      </c>
      <c r="G1232" s="1">
        <v>45511</v>
      </c>
      <c r="H1232" s="1">
        <f>TablaDatos[[#This Row],[FechaIngreso]]+TablaDatos[[#This Row],[DiasNuevo]]</f>
        <v>45532</v>
      </c>
      <c r="I1232">
        <v>21</v>
      </c>
      <c r="J1232" t="s">
        <v>25</v>
      </c>
      <c r="K1232" s="3">
        <v>3492.05</v>
      </c>
      <c r="L1232" t="b">
        <f>TablaDatos[[#This Row],[FechaAlta]] &lt; TablaDatos[[#This Row],[FechaIngreso]]</f>
        <v>0</v>
      </c>
      <c r="M1232">
        <f>_xlfn.XLOOKUP(TablaDatos[[#This Row],[PacienteID]],'Datos_Ejemplo.csv'!A:A,'Datos_Ejemplo.csv'!I:I)</f>
        <v>21</v>
      </c>
      <c r="N1232">
        <f>ABS(TablaDatos[[#This Row],[DiasOriginal]])</f>
        <v>21</v>
      </c>
      <c r="O1232" s="1">
        <f>TablaDatos[[#This Row],[FechaIngreso]]+TablaDatos[[#This Row],[DiasNuevo]]</f>
        <v>45532</v>
      </c>
    </row>
    <row r="1233" spans="1:15">
      <c r="A1233">
        <v>1232</v>
      </c>
      <c r="B1233" t="s">
        <v>284</v>
      </c>
      <c r="C1233" s="1">
        <v>35795</v>
      </c>
      <c r="D1233">
        <v>28</v>
      </c>
      <c r="E1233" s="4" t="s">
        <v>15</v>
      </c>
      <c r="F1233" t="s">
        <v>21</v>
      </c>
      <c r="G1233" s="1">
        <v>45464</v>
      </c>
      <c r="H1233" s="1">
        <f>TablaDatos[[#This Row],[FechaIngreso]]+TablaDatos[[#This Row],[DiasNuevo]]</f>
        <v>45470</v>
      </c>
      <c r="I1233">
        <v>6</v>
      </c>
      <c r="J1233" t="s">
        <v>23</v>
      </c>
      <c r="K1233" s="3">
        <v>10244.74</v>
      </c>
      <c r="L1233" t="b">
        <f>TablaDatos[[#This Row],[FechaAlta]] &lt; TablaDatos[[#This Row],[FechaIngreso]]</f>
        <v>0</v>
      </c>
      <c r="M1233">
        <f>_xlfn.XLOOKUP(TablaDatos[[#This Row],[PacienteID]],'Datos_Ejemplo.csv'!A:A,'Datos_Ejemplo.csv'!I:I)</f>
        <v>6</v>
      </c>
      <c r="N1233">
        <f>ABS(TablaDatos[[#This Row],[DiasOriginal]])</f>
        <v>6</v>
      </c>
      <c r="O1233" s="1">
        <f>TablaDatos[[#This Row],[FechaIngreso]]+TablaDatos[[#This Row],[DiasNuevo]]</f>
        <v>45470</v>
      </c>
    </row>
    <row r="1234" spans="1:15">
      <c r="A1234">
        <v>1233</v>
      </c>
      <c r="B1234" t="s">
        <v>363</v>
      </c>
      <c r="C1234" s="1">
        <v>23377</v>
      </c>
      <c r="D1234">
        <v>62</v>
      </c>
      <c r="E1234" s="4" t="s">
        <v>15</v>
      </c>
      <c r="F1234" t="s">
        <v>18</v>
      </c>
      <c r="G1234" s="1">
        <v>45359</v>
      </c>
      <c r="H1234" s="1">
        <f>TablaDatos[[#This Row],[FechaIngreso]]+TablaDatos[[#This Row],[DiasNuevo]]</f>
        <v>45368</v>
      </c>
      <c r="I1234">
        <v>9</v>
      </c>
      <c r="J1234" t="s">
        <v>23</v>
      </c>
      <c r="K1234" s="3">
        <v>2287.5700000000002</v>
      </c>
      <c r="L1234" t="b">
        <f>TablaDatos[[#This Row],[FechaAlta]] &lt; TablaDatos[[#This Row],[FechaIngreso]]</f>
        <v>0</v>
      </c>
      <c r="M1234">
        <f>_xlfn.XLOOKUP(TablaDatos[[#This Row],[PacienteID]],'Datos_Ejemplo.csv'!A:A,'Datos_Ejemplo.csv'!I:I)</f>
        <v>9</v>
      </c>
      <c r="N1234">
        <f>ABS(TablaDatos[[#This Row],[DiasOriginal]])</f>
        <v>9</v>
      </c>
      <c r="O1234" s="1">
        <f>TablaDatos[[#This Row],[FechaIngreso]]+TablaDatos[[#This Row],[DiasNuevo]]</f>
        <v>45368</v>
      </c>
    </row>
    <row r="1235" spans="1:15">
      <c r="A1235">
        <v>1234</v>
      </c>
      <c r="B1235" t="s">
        <v>256</v>
      </c>
      <c r="C1235" s="1">
        <v>38352</v>
      </c>
      <c r="D1235">
        <v>21</v>
      </c>
      <c r="E1235" s="4" t="s">
        <v>12</v>
      </c>
      <c r="F1235" t="s">
        <v>295</v>
      </c>
      <c r="G1235" s="1">
        <v>45071</v>
      </c>
      <c r="H1235" s="1">
        <f>TablaDatos[[#This Row],[FechaIngreso]]+TablaDatos[[#This Row],[DiasNuevo]]</f>
        <v>45104</v>
      </c>
      <c r="I1235">
        <v>33</v>
      </c>
      <c r="J1235" t="s">
        <v>23</v>
      </c>
      <c r="K1235" s="3">
        <v>5517.05</v>
      </c>
      <c r="L1235" t="b">
        <f>TablaDatos[[#This Row],[FechaAlta]] &lt; TablaDatos[[#This Row],[FechaIngreso]]</f>
        <v>0</v>
      </c>
      <c r="M1235">
        <f>_xlfn.XLOOKUP(TablaDatos[[#This Row],[PacienteID]],'Datos_Ejemplo.csv'!A:A,'Datos_Ejemplo.csv'!I:I)</f>
        <v>33</v>
      </c>
      <c r="N1235">
        <f>ABS(TablaDatos[[#This Row],[DiasOriginal]])</f>
        <v>33</v>
      </c>
      <c r="O1235" s="1">
        <f>TablaDatos[[#This Row],[FechaIngreso]]+TablaDatos[[#This Row],[DiasNuevo]]</f>
        <v>45104</v>
      </c>
    </row>
    <row r="1236" spans="1:15">
      <c r="A1236">
        <v>1235</v>
      </c>
      <c r="B1236" t="s">
        <v>356</v>
      </c>
      <c r="C1236" s="1">
        <v>36891</v>
      </c>
      <c r="D1236">
        <v>25</v>
      </c>
      <c r="E1236" s="4" t="s">
        <v>12</v>
      </c>
      <c r="F1236" t="s">
        <v>32</v>
      </c>
      <c r="G1236" s="1">
        <v>44994</v>
      </c>
      <c r="H1236" s="1">
        <f>TablaDatos[[#This Row],[FechaIngreso]]+TablaDatos[[#This Row],[DiasNuevo]]</f>
        <v>45028</v>
      </c>
      <c r="I1236">
        <v>34</v>
      </c>
      <c r="J1236" t="s">
        <v>23</v>
      </c>
      <c r="K1236" s="3">
        <v>13688.23</v>
      </c>
      <c r="L1236" t="b">
        <f>TablaDatos[[#This Row],[FechaAlta]] &lt; TablaDatos[[#This Row],[FechaIngreso]]</f>
        <v>0</v>
      </c>
      <c r="M1236">
        <f>_xlfn.XLOOKUP(TablaDatos[[#This Row],[PacienteID]],'Datos_Ejemplo.csv'!A:A,'Datos_Ejemplo.csv'!I:I)</f>
        <v>34</v>
      </c>
      <c r="N1236">
        <f>ABS(TablaDatos[[#This Row],[DiasOriginal]])</f>
        <v>34</v>
      </c>
      <c r="O1236" s="1">
        <f>TablaDatos[[#This Row],[FechaIngreso]]+TablaDatos[[#This Row],[DiasNuevo]]</f>
        <v>45028</v>
      </c>
    </row>
    <row r="1237" spans="1:15">
      <c r="A1237">
        <v>1236</v>
      </c>
      <c r="B1237" t="s">
        <v>67</v>
      </c>
      <c r="C1237" s="1">
        <v>36161</v>
      </c>
      <c r="D1237">
        <v>27</v>
      </c>
      <c r="E1237" s="4" t="s">
        <v>12</v>
      </c>
      <c r="F1237" t="s">
        <v>18</v>
      </c>
      <c r="G1237" s="1">
        <v>45626</v>
      </c>
      <c r="H1237" s="1">
        <f>TablaDatos[[#This Row],[FechaIngreso]]+TablaDatos[[#This Row],[DiasNuevo]]</f>
        <v>45632</v>
      </c>
      <c r="I1237">
        <v>6</v>
      </c>
      <c r="J1237" t="s">
        <v>23</v>
      </c>
      <c r="K1237" s="3">
        <v>1462.47</v>
      </c>
      <c r="L1237" t="b">
        <f>TablaDatos[[#This Row],[FechaAlta]] &lt; TablaDatos[[#This Row],[FechaIngreso]]</f>
        <v>0</v>
      </c>
      <c r="M1237">
        <f>_xlfn.XLOOKUP(TablaDatos[[#This Row],[PacienteID]],'Datos_Ejemplo.csv'!A:A,'Datos_Ejemplo.csv'!I:I)</f>
        <v>6</v>
      </c>
      <c r="N1237">
        <f>ABS(TablaDatos[[#This Row],[DiasOriginal]])</f>
        <v>6</v>
      </c>
      <c r="O1237" s="1">
        <f>TablaDatos[[#This Row],[FechaIngreso]]+TablaDatos[[#This Row],[DiasNuevo]]</f>
        <v>45632</v>
      </c>
    </row>
    <row r="1238" spans="1:15">
      <c r="A1238">
        <v>1237</v>
      </c>
      <c r="B1238" t="s">
        <v>90</v>
      </c>
      <c r="C1238" s="1">
        <v>15341</v>
      </c>
      <c r="D1238">
        <v>84</v>
      </c>
      <c r="E1238" s="4" t="s">
        <v>15</v>
      </c>
      <c r="F1238" t="s">
        <v>18</v>
      </c>
      <c r="G1238" s="1">
        <v>45057</v>
      </c>
      <c r="H1238" s="1">
        <f>TablaDatos[[#This Row],[FechaIngreso]]+TablaDatos[[#This Row],[DiasNuevo]]</f>
        <v>45093</v>
      </c>
      <c r="I1238">
        <v>36</v>
      </c>
      <c r="J1238" t="s">
        <v>23</v>
      </c>
      <c r="K1238" s="3">
        <v>13213.41</v>
      </c>
      <c r="L1238" t="b">
        <f>TablaDatos[[#This Row],[FechaAlta]] &lt; TablaDatos[[#This Row],[FechaIngreso]]</f>
        <v>0</v>
      </c>
      <c r="M1238">
        <f>_xlfn.XLOOKUP(TablaDatos[[#This Row],[PacienteID]],'Datos_Ejemplo.csv'!A:A,'Datos_Ejemplo.csv'!I:I)</f>
        <v>36</v>
      </c>
      <c r="N1238">
        <f>ABS(TablaDatos[[#This Row],[DiasOriginal]])</f>
        <v>36</v>
      </c>
      <c r="O1238" s="1">
        <f>TablaDatos[[#This Row],[FechaIngreso]]+TablaDatos[[#This Row],[DiasNuevo]]</f>
        <v>45093</v>
      </c>
    </row>
    <row r="1239" spans="1:15">
      <c r="A1239">
        <v>1238</v>
      </c>
      <c r="B1239" t="s">
        <v>355</v>
      </c>
      <c r="C1239" s="1">
        <v>28490</v>
      </c>
      <c r="D1239">
        <f ca="1">DATEDIF(TablaDatos[[#This Row],[FechaNacimiento]],TODAY(),"Y")</f>
        <v>48</v>
      </c>
      <c r="E1239" s="4" t="s">
        <v>15</v>
      </c>
      <c r="F1239" t="s">
        <v>21</v>
      </c>
      <c r="G1239" s="1">
        <v>45207</v>
      </c>
      <c r="H1239" s="1">
        <f>TablaDatos[[#This Row],[FechaIngreso]]+TablaDatos[[#This Row],[DiasNuevo]]</f>
        <v>45226</v>
      </c>
      <c r="I1239">
        <v>19</v>
      </c>
      <c r="J1239" t="s">
        <v>25</v>
      </c>
      <c r="K1239" s="3">
        <v>18006.3</v>
      </c>
      <c r="L1239" t="b">
        <f>TablaDatos[[#This Row],[FechaAlta]] &lt; TablaDatos[[#This Row],[FechaIngreso]]</f>
        <v>0</v>
      </c>
      <c r="M1239">
        <f>_xlfn.XLOOKUP(TablaDatos[[#This Row],[PacienteID]],'Datos_Ejemplo.csv'!A:A,'Datos_Ejemplo.csv'!I:I)</f>
        <v>19</v>
      </c>
      <c r="N1239">
        <f>ABS(TablaDatos[[#This Row],[DiasOriginal]])</f>
        <v>19</v>
      </c>
      <c r="O1239" s="1">
        <f>TablaDatos[[#This Row],[FechaIngreso]]+TablaDatos[[#This Row],[DiasNuevo]]</f>
        <v>45226</v>
      </c>
    </row>
    <row r="1240" spans="1:15">
      <c r="A1240">
        <v>1239</v>
      </c>
      <c r="B1240" t="s">
        <v>287</v>
      </c>
      <c r="C1240" s="1">
        <v>20455</v>
      </c>
      <c r="D1240">
        <v>70</v>
      </c>
      <c r="E1240" s="4" t="s">
        <v>12</v>
      </c>
      <c r="F1240" t="s">
        <v>201</v>
      </c>
      <c r="G1240" s="1">
        <v>45578</v>
      </c>
      <c r="H1240" s="1">
        <f>TablaDatos[[#This Row],[FechaIngreso]]+TablaDatos[[#This Row],[DiasNuevo]]</f>
        <v>45592</v>
      </c>
      <c r="I1240">
        <v>14</v>
      </c>
      <c r="J1240" t="s">
        <v>23</v>
      </c>
      <c r="K1240" s="3">
        <v>19384.34</v>
      </c>
      <c r="L1240" t="b">
        <f>TablaDatos[[#This Row],[FechaAlta]] &lt; TablaDatos[[#This Row],[FechaIngreso]]</f>
        <v>0</v>
      </c>
      <c r="M1240">
        <f>_xlfn.XLOOKUP(TablaDatos[[#This Row],[PacienteID]],'Datos_Ejemplo.csv'!A:A,'Datos_Ejemplo.csv'!I:I)</f>
        <v>14</v>
      </c>
      <c r="N1240">
        <f>ABS(TablaDatos[[#This Row],[DiasOriginal]])</f>
        <v>14</v>
      </c>
      <c r="O1240" s="1">
        <f>TablaDatos[[#This Row],[FechaIngreso]]+TablaDatos[[#This Row],[DiasNuevo]]</f>
        <v>45592</v>
      </c>
    </row>
    <row r="1241" spans="1:15">
      <c r="A1241">
        <v>1240</v>
      </c>
      <c r="B1241" t="s">
        <v>116</v>
      </c>
      <c r="C1241" s="1">
        <v>16802</v>
      </c>
      <c r="D1241">
        <v>80</v>
      </c>
      <c r="E1241" s="4" t="s">
        <v>15</v>
      </c>
      <c r="F1241" t="s">
        <v>261</v>
      </c>
      <c r="G1241" s="1">
        <v>45492</v>
      </c>
      <c r="H1241" s="1">
        <f>TablaDatos[[#This Row],[FechaIngreso]]+TablaDatos[[#This Row],[DiasNuevo]]</f>
        <v>45522</v>
      </c>
      <c r="I1241">
        <v>30</v>
      </c>
      <c r="J1241" t="s">
        <v>23</v>
      </c>
      <c r="K1241" s="3">
        <v>4254.3100000000004</v>
      </c>
      <c r="L1241" t="b">
        <f>TablaDatos[[#This Row],[FechaAlta]] &lt; TablaDatos[[#This Row],[FechaIngreso]]</f>
        <v>0</v>
      </c>
      <c r="M1241">
        <f>_xlfn.XLOOKUP(TablaDatos[[#This Row],[PacienteID]],'Datos_Ejemplo.csv'!A:A,'Datos_Ejemplo.csv'!I:I)</f>
        <v>30</v>
      </c>
      <c r="N1241">
        <f>ABS(TablaDatos[[#This Row],[DiasOriginal]])</f>
        <v>30</v>
      </c>
      <c r="O1241" s="1">
        <f>TablaDatos[[#This Row],[FechaIngreso]]+TablaDatos[[#This Row],[DiasNuevo]]</f>
        <v>45522</v>
      </c>
    </row>
    <row r="1242" spans="1:15">
      <c r="A1242">
        <v>1241</v>
      </c>
      <c r="B1242" t="s">
        <v>368</v>
      </c>
      <c r="C1242" s="1">
        <v>15707</v>
      </c>
      <c r="D1242">
        <v>83</v>
      </c>
      <c r="E1242" s="4" t="s">
        <v>15</v>
      </c>
      <c r="F1242" t="s">
        <v>18</v>
      </c>
      <c r="G1242" s="1">
        <v>45439</v>
      </c>
      <c r="H1242" s="1">
        <f>TablaDatos[[#This Row],[FechaIngreso]]+TablaDatos[[#This Row],[DiasNuevo]]</f>
        <v>45460</v>
      </c>
      <c r="I1242">
        <v>21</v>
      </c>
      <c r="J1242" t="s">
        <v>23</v>
      </c>
      <c r="K1242" s="3">
        <v>14952.85</v>
      </c>
      <c r="L1242" t="b">
        <f>TablaDatos[[#This Row],[FechaAlta]] &lt; TablaDatos[[#This Row],[FechaIngreso]]</f>
        <v>0</v>
      </c>
      <c r="M1242">
        <f>_xlfn.XLOOKUP(TablaDatos[[#This Row],[PacienteID]],'Datos_Ejemplo.csv'!A:A,'Datos_Ejemplo.csv'!I:I)</f>
        <v>21</v>
      </c>
      <c r="N1242">
        <f>ABS(TablaDatos[[#This Row],[DiasOriginal]])</f>
        <v>21</v>
      </c>
      <c r="O1242" s="1">
        <f>TablaDatos[[#This Row],[FechaIngreso]]+TablaDatos[[#This Row],[DiasNuevo]]</f>
        <v>45460</v>
      </c>
    </row>
    <row r="1243" spans="1:15">
      <c r="A1243">
        <v>1242</v>
      </c>
      <c r="B1243" t="s">
        <v>297</v>
      </c>
      <c r="C1243" s="1">
        <v>28490</v>
      </c>
      <c r="D1243">
        <v>48</v>
      </c>
      <c r="E1243" s="4" t="s">
        <v>15</v>
      </c>
      <c r="F1243" t="s">
        <v>295</v>
      </c>
      <c r="G1243" s="1">
        <v>45566</v>
      </c>
      <c r="H1243" s="1">
        <f>TablaDatos[[#This Row],[FechaIngreso]]+TablaDatos[[#This Row],[DiasNuevo]]</f>
        <v>45578</v>
      </c>
      <c r="I1243">
        <v>12</v>
      </c>
      <c r="J1243" t="s">
        <v>25</v>
      </c>
      <c r="K1243" s="3">
        <v>18520.05</v>
      </c>
      <c r="L1243" t="b">
        <f>TablaDatos[[#This Row],[FechaAlta]] &lt; TablaDatos[[#This Row],[FechaIngreso]]</f>
        <v>0</v>
      </c>
      <c r="M1243">
        <f>_xlfn.XLOOKUP(TablaDatos[[#This Row],[PacienteID]],'Datos_Ejemplo.csv'!A:A,'Datos_Ejemplo.csv'!I:I)</f>
        <v>12</v>
      </c>
      <c r="N1243">
        <f>ABS(TablaDatos[[#This Row],[DiasOriginal]])</f>
        <v>12</v>
      </c>
      <c r="O1243" s="1">
        <f>TablaDatos[[#This Row],[FechaIngreso]]+TablaDatos[[#This Row],[DiasNuevo]]</f>
        <v>45578</v>
      </c>
    </row>
    <row r="1244" spans="1:15">
      <c r="A1244">
        <v>1243</v>
      </c>
      <c r="B1244" t="s">
        <v>51</v>
      </c>
      <c r="C1244" s="1">
        <v>39083</v>
      </c>
      <c r="D1244">
        <v>19</v>
      </c>
      <c r="E1244" s="4" t="s">
        <v>12</v>
      </c>
      <c r="F1244" t="s">
        <v>32</v>
      </c>
      <c r="G1244" s="1">
        <v>44927</v>
      </c>
      <c r="H1244" s="1">
        <f>TablaDatos[[#This Row],[FechaIngreso]]+TablaDatos[[#This Row],[DiasNuevo]]</f>
        <v>44953</v>
      </c>
      <c r="I1244">
        <v>26</v>
      </c>
      <c r="J1244" t="s">
        <v>23</v>
      </c>
      <c r="K1244" s="3">
        <v>1736.52</v>
      </c>
      <c r="L1244" t="b">
        <f>TablaDatos[[#This Row],[FechaAlta]] &lt; TablaDatos[[#This Row],[FechaIngreso]]</f>
        <v>0</v>
      </c>
      <c r="M1244">
        <f>_xlfn.XLOOKUP(TablaDatos[[#This Row],[PacienteID]],'Datos_Ejemplo.csv'!A:A,'Datos_Ejemplo.csv'!I:I)</f>
        <v>26</v>
      </c>
      <c r="N1244">
        <f>ABS(TablaDatos[[#This Row],[DiasOriginal]])</f>
        <v>26</v>
      </c>
      <c r="O1244" s="1">
        <f>TablaDatos[[#This Row],[FechaIngreso]]+TablaDatos[[#This Row],[DiasNuevo]]</f>
        <v>44953</v>
      </c>
    </row>
    <row r="1245" spans="1:15">
      <c r="A1245">
        <v>1244</v>
      </c>
      <c r="B1245" t="s">
        <v>234</v>
      </c>
      <c r="C1245" s="1">
        <v>14976</v>
      </c>
      <c r="D1245">
        <f ca="1">DATEDIF(TablaDatos[[#This Row],[FechaNacimiento]],TODAY(),"Y")</f>
        <v>85</v>
      </c>
      <c r="E1245" s="4" t="s">
        <v>15</v>
      </c>
      <c r="F1245" t="s">
        <v>13</v>
      </c>
      <c r="G1245" s="1">
        <v>45611</v>
      </c>
      <c r="H1245" s="1">
        <f>TablaDatos[[#This Row],[FechaIngreso]]+TablaDatos[[#This Row],[DiasNuevo]]</f>
        <v>45640</v>
      </c>
      <c r="I1245">
        <v>29</v>
      </c>
      <c r="J1245" t="s">
        <v>23</v>
      </c>
      <c r="K1245" s="3">
        <v>8221.8700000000008</v>
      </c>
      <c r="L1245" t="b">
        <f>TablaDatos[[#This Row],[FechaAlta]] &lt; TablaDatos[[#This Row],[FechaIngreso]]</f>
        <v>0</v>
      </c>
      <c r="M1245">
        <f>_xlfn.XLOOKUP(TablaDatos[[#This Row],[PacienteID]],'Datos_Ejemplo.csv'!A:A,'Datos_Ejemplo.csv'!I:I)</f>
        <v>29</v>
      </c>
      <c r="N1245">
        <f>ABS(TablaDatos[[#This Row],[DiasOriginal]])</f>
        <v>29</v>
      </c>
      <c r="O1245" s="1">
        <f>TablaDatos[[#This Row],[FechaIngreso]]+TablaDatos[[#This Row],[DiasNuevo]]</f>
        <v>45640</v>
      </c>
    </row>
    <row r="1246" spans="1:15">
      <c r="A1246">
        <v>1245</v>
      </c>
      <c r="B1246" t="s">
        <v>285</v>
      </c>
      <c r="C1246" s="1">
        <v>12785</v>
      </c>
      <c r="D1246">
        <v>91</v>
      </c>
      <c r="E1246" s="4" t="s">
        <v>12</v>
      </c>
      <c r="F1246" t="s">
        <v>32</v>
      </c>
      <c r="G1246" s="1">
        <v>45358</v>
      </c>
      <c r="H1246" s="1">
        <f>TablaDatos[[#This Row],[FechaIngreso]]+TablaDatos[[#This Row],[DiasNuevo]]</f>
        <v>45388</v>
      </c>
      <c r="I1246">
        <v>30</v>
      </c>
      <c r="J1246" t="s">
        <v>23</v>
      </c>
      <c r="K1246" s="3">
        <v>18380.14</v>
      </c>
      <c r="L1246" t="b">
        <f>TablaDatos[[#This Row],[FechaAlta]] &lt; TablaDatos[[#This Row],[FechaIngreso]]</f>
        <v>0</v>
      </c>
      <c r="M1246">
        <f>_xlfn.XLOOKUP(TablaDatos[[#This Row],[PacienteID]],'Datos_Ejemplo.csv'!A:A,'Datos_Ejemplo.csv'!I:I)</f>
        <v>30</v>
      </c>
      <c r="N1246">
        <f>ABS(TablaDatos[[#This Row],[DiasOriginal]])</f>
        <v>30</v>
      </c>
      <c r="O1246" s="1">
        <f>TablaDatos[[#This Row],[FechaIngreso]]+TablaDatos[[#This Row],[DiasNuevo]]</f>
        <v>45388</v>
      </c>
    </row>
    <row r="1247" spans="1:15">
      <c r="A1247">
        <v>1246</v>
      </c>
      <c r="B1247" t="s">
        <v>335</v>
      </c>
      <c r="C1247" s="1">
        <v>23377</v>
      </c>
      <c r="D1247">
        <v>62</v>
      </c>
      <c r="E1247" s="4" t="s">
        <v>15</v>
      </c>
      <c r="F1247" t="s">
        <v>295</v>
      </c>
      <c r="G1247" s="1">
        <v>45317</v>
      </c>
      <c r="H1247" s="1">
        <f>TablaDatos[[#This Row],[FechaIngreso]]+TablaDatos[[#This Row],[DiasNuevo]]</f>
        <v>45343</v>
      </c>
      <c r="I1247">
        <v>26</v>
      </c>
      <c r="J1247" t="s">
        <v>25</v>
      </c>
      <c r="K1247" s="3">
        <v>3976.03</v>
      </c>
      <c r="L1247" t="b">
        <f>TablaDatos[[#This Row],[FechaAlta]] &lt; TablaDatos[[#This Row],[FechaIngreso]]</f>
        <v>0</v>
      </c>
      <c r="M1247">
        <f>_xlfn.XLOOKUP(TablaDatos[[#This Row],[PacienteID]],'Datos_Ejemplo.csv'!A:A,'Datos_Ejemplo.csv'!I:I)</f>
        <v>26</v>
      </c>
      <c r="N1247">
        <f>ABS(TablaDatos[[#This Row],[DiasOriginal]])</f>
        <v>26</v>
      </c>
      <c r="O1247" s="1">
        <f>TablaDatos[[#This Row],[FechaIngreso]]+TablaDatos[[#This Row],[DiasNuevo]]</f>
        <v>45343</v>
      </c>
    </row>
    <row r="1248" spans="1:15">
      <c r="A1248">
        <v>1247</v>
      </c>
      <c r="B1248" t="s">
        <v>360</v>
      </c>
      <c r="C1248" s="1">
        <v>24107</v>
      </c>
      <c r="D1248">
        <v>60</v>
      </c>
      <c r="E1248" s="4" t="s">
        <v>12</v>
      </c>
      <c r="F1248" t="s">
        <v>21</v>
      </c>
      <c r="G1248" s="1">
        <v>45192</v>
      </c>
      <c r="H1248" s="1">
        <f>TablaDatos[[#This Row],[FechaIngreso]]+TablaDatos[[#This Row],[DiasNuevo]]</f>
        <v>45204</v>
      </c>
      <c r="I1248">
        <v>12</v>
      </c>
      <c r="J1248" t="s">
        <v>25</v>
      </c>
      <c r="K1248" s="3">
        <v>18668.59</v>
      </c>
      <c r="L1248" t="b">
        <f>TablaDatos[[#This Row],[FechaAlta]] &lt; TablaDatos[[#This Row],[FechaIngreso]]</f>
        <v>0</v>
      </c>
      <c r="M1248">
        <f>_xlfn.XLOOKUP(TablaDatos[[#This Row],[PacienteID]],'Datos_Ejemplo.csv'!A:A,'Datos_Ejemplo.csv'!I:I)</f>
        <v>12</v>
      </c>
      <c r="N1248">
        <f>ABS(TablaDatos[[#This Row],[DiasOriginal]])</f>
        <v>12</v>
      </c>
      <c r="O1248" s="1">
        <f>TablaDatos[[#This Row],[FechaIngreso]]+TablaDatos[[#This Row],[DiasNuevo]]</f>
        <v>45204</v>
      </c>
    </row>
    <row r="1249" spans="1:15">
      <c r="A1249">
        <v>1248</v>
      </c>
      <c r="B1249" t="s">
        <v>291</v>
      </c>
      <c r="C1249" s="1">
        <v>28490</v>
      </c>
      <c r="D1249">
        <v>48</v>
      </c>
      <c r="E1249" s="4" t="s">
        <v>12</v>
      </c>
      <c r="F1249" t="s">
        <v>295</v>
      </c>
      <c r="G1249" s="1">
        <v>45325</v>
      </c>
      <c r="H1249" s="1">
        <f>TablaDatos[[#This Row],[FechaIngreso]]+TablaDatos[[#This Row],[DiasNuevo]]</f>
        <v>45349</v>
      </c>
      <c r="I1249">
        <v>24</v>
      </c>
      <c r="J1249" t="s">
        <v>25</v>
      </c>
      <c r="K1249" s="3">
        <v>10496.56</v>
      </c>
      <c r="L1249" t="b">
        <f>TablaDatos[[#This Row],[FechaAlta]] &lt; TablaDatos[[#This Row],[FechaIngreso]]</f>
        <v>0</v>
      </c>
      <c r="M1249">
        <f>_xlfn.XLOOKUP(TablaDatos[[#This Row],[PacienteID]],'Datos_Ejemplo.csv'!A:A,'Datos_Ejemplo.csv'!I:I)</f>
        <v>24</v>
      </c>
      <c r="N1249">
        <f>ABS(TablaDatos[[#This Row],[DiasOriginal]])</f>
        <v>24</v>
      </c>
      <c r="O1249" s="1">
        <f>TablaDatos[[#This Row],[FechaIngreso]]+TablaDatos[[#This Row],[DiasNuevo]]</f>
        <v>45349</v>
      </c>
    </row>
    <row r="1250" spans="1:15">
      <c r="A1250">
        <v>1249</v>
      </c>
      <c r="B1250" t="s">
        <v>242</v>
      </c>
      <c r="C1250" s="1">
        <v>20455</v>
      </c>
      <c r="D1250">
        <v>70</v>
      </c>
      <c r="E1250" s="4" t="s">
        <v>15</v>
      </c>
      <c r="F1250" t="s">
        <v>261</v>
      </c>
      <c r="G1250" s="1">
        <v>45182</v>
      </c>
      <c r="H1250" s="1">
        <f>TablaDatos[[#This Row],[FechaIngreso]]+TablaDatos[[#This Row],[DiasNuevo]]</f>
        <v>45213</v>
      </c>
      <c r="I1250">
        <v>31</v>
      </c>
      <c r="J1250" t="s">
        <v>25</v>
      </c>
      <c r="K1250" s="3">
        <v>1907.85</v>
      </c>
      <c r="L1250" t="b">
        <f>TablaDatos[[#This Row],[FechaAlta]] &lt; TablaDatos[[#This Row],[FechaIngreso]]</f>
        <v>0</v>
      </c>
      <c r="M1250">
        <f>_xlfn.XLOOKUP(TablaDatos[[#This Row],[PacienteID]],'Datos_Ejemplo.csv'!A:A,'Datos_Ejemplo.csv'!I:I)</f>
        <v>31</v>
      </c>
      <c r="N1250">
        <f>ABS(TablaDatos[[#This Row],[DiasOriginal]])</f>
        <v>31</v>
      </c>
      <c r="O1250" s="1">
        <f>TablaDatos[[#This Row],[FechaIngreso]]+TablaDatos[[#This Row],[DiasNuevo]]</f>
        <v>45213</v>
      </c>
    </row>
    <row r="1251" spans="1:15">
      <c r="A1251">
        <v>1250</v>
      </c>
      <c r="B1251" t="s">
        <v>341</v>
      </c>
      <c r="C1251" s="1">
        <v>46022</v>
      </c>
      <c r="D1251">
        <v>0</v>
      </c>
      <c r="E1251" s="4" t="s">
        <v>12</v>
      </c>
      <c r="F1251" t="s">
        <v>261</v>
      </c>
      <c r="G1251" s="1">
        <v>45321</v>
      </c>
      <c r="H1251" s="1">
        <f>TablaDatos[[#This Row],[FechaIngreso]]+TablaDatos[[#This Row],[DiasNuevo]]</f>
        <v>45322</v>
      </c>
      <c r="I1251">
        <v>1</v>
      </c>
      <c r="J1251" t="s">
        <v>19</v>
      </c>
      <c r="K1251" s="3">
        <v>8942.5300000000007</v>
      </c>
      <c r="L1251" t="b">
        <f>TablaDatos[[#This Row],[FechaAlta]] &lt; TablaDatos[[#This Row],[FechaIngreso]]</f>
        <v>0</v>
      </c>
      <c r="M1251">
        <f>_xlfn.XLOOKUP(TablaDatos[[#This Row],[PacienteID]],'Datos_Ejemplo.csv'!A:A,'Datos_Ejemplo.csv'!I:I)</f>
        <v>1</v>
      </c>
      <c r="N1251">
        <f>ABS(TablaDatos[[#This Row],[DiasOriginal]])</f>
        <v>1</v>
      </c>
      <c r="O1251" s="1">
        <f>TablaDatos[[#This Row],[FechaIngreso]]+TablaDatos[[#This Row],[DiasNuevo]]</f>
        <v>45322</v>
      </c>
    </row>
    <row r="1252" spans="1:15">
      <c r="A1252">
        <v>1251</v>
      </c>
      <c r="B1252" t="s">
        <v>266</v>
      </c>
      <c r="C1252" s="1">
        <v>41639</v>
      </c>
      <c r="D1252">
        <v>12</v>
      </c>
      <c r="E1252" s="4" t="s">
        <v>15</v>
      </c>
      <c r="F1252" t="s">
        <v>261</v>
      </c>
      <c r="G1252" s="1">
        <v>45100</v>
      </c>
      <c r="H1252" s="1">
        <f>TablaDatos[[#This Row],[FechaIngreso]]+TablaDatos[[#This Row],[DiasNuevo]]</f>
        <v>45115</v>
      </c>
      <c r="I1252">
        <v>15</v>
      </c>
      <c r="J1252" t="s">
        <v>25</v>
      </c>
      <c r="K1252" s="3">
        <v>6457.85</v>
      </c>
      <c r="L1252" t="b">
        <f>TablaDatos[[#This Row],[FechaAlta]] &lt; TablaDatos[[#This Row],[FechaIngreso]]</f>
        <v>0</v>
      </c>
      <c r="M1252">
        <f>_xlfn.XLOOKUP(TablaDatos[[#This Row],[PacienteID]],'Datos_Ejemplo.csv'!A:A,'Datos_Ejemplo.csv'!I:I)</f>
        <v>15</v>
      </c>
      <c r="N1252">
        <f>ABS(TablaDatos[[#This Row],[DiasOriginal]])</f>
        <v>15</v>
      </c>
      <c r="O1252" s="1">
        <f>TablaDatos[[#This Row],[FechaIngreso]]+TablaDatos[[#This Row],[DiasNuevo]]</f>
        <v>45115</v>
      </c>
    </row>
    <row r="1253" spans="1:15">
      <c r="A1253">
        <v>1252</v>
      </c>
      <c r="B1253" t="s">
        <v>326</v>
      </c>
      <c r="C1253" s="1">
        <v>12054</v>
      </c>
      <c r="D1253">
        <v>93</v>
      </c>
      <c r="E1253" s="4" t="s">
        <v>15</v>
      </c>
      <c r="F1253" t="s">
        <v>18</v>
      </c>
      <c r="G1253" s="1">
        <v>44971</v>
      </c>
      <c r="H1253" s="1">
        <f>TablaDatos[[#This Row],[FechaIngreso]]+TablaDatos[[#This Row],[DiasNuevo]]</f>
        <v>44989</v>
      </c>
      <c r="I1253">
        <v>18</v>
      </c>
      <c r="J1253" t="s">
        <v>23</v>
      </c>
      <c r="K1253" s="3">
        <v>5572.3</v>
      </c>
      <c r="L1253" t="b">
        <f>TablaDatos[[#This Row],[FechaAlta]] &lt; TablaDatos[[#This Row],[FechaIngreso]]</f>
        <v>0</v>
      </c>
      <c r="M1253">
        <f>_xlfn.XLOOKUP(TablaDatos[[#This Row],[PacienteID]],'Datos_Ejemplo.csv'!A:A,'Datos_Ejemplo.csv'!I:I)</f>
        <v>18</v>
      </c>
      <c r="N1253">
        <f>ABS(TablaDatos[[#This Row],[DiasOriginal]])</f>
        <v>18</v>
      </c>
      <c r="O1253" s="1">
        <f>TablaDatos[[#This Row],[FechaIngreso]]+TablaDatos[[#This Row],[DiasNuevo]]</f>
        <v>44989</v>
      </c>
    </row>
    <row r="1254" spans="1:15">
      <c r="A1254">
        <v>1253</v>
      </c>
      <c r="B1254" t="s">
        <v>331</v>
      </c>
      <c r="C1254" s="1">
        <v>14611</v>
      </c>
      <c r="D1254">
        <v>86</v>
      </c>
      <c r="E1254" s="4" t="s">
        <v>12</v>
      </c>
      <c r="F1254" t="s">
        <v>21</v>
      </c>
      <c r="G1254" s="1">
        <v>45067</v>
      </c>
      <c r="H1254" s="1">
        <f>TablaDatos[[#This Row],[FechaIngreso]]+TablaDatos[[#This Row],[DiasNuevo]]</f>
        <v>45072</v>
      </c>
      <c r="I1254">
        <v>5</v>
      </c>
      <c r="J1254" t="s">
        <v>23</v>
      </c>
      <c r="K1254" s="3">
        <v>10783.66</v>
      </c>
      <c r="L1254" t="b">
        <f>TablaDatos[[#This Row],[FechaAlta]] &lt; TablaDatos[[#This Row],[FechaIngreso]]</f>
        <v>0</v>
      </c>
      <c r="M1254">
        <f>_xlfn.XLOOKUP(TablaDatos[[#This Row],[PacienteID]],'Datos_Ejemplo.csv'!A:A,'Datos_Ejemplo.csv'!I:I)</f>
        <v>5</v>
      </c>
      <c r="N1254">
        <f>ABS(TablaDatos[[#This Row],[DiasOriginal]])</f>
        <v>5</v>
      </c>
      <c r="O1254" s="1">
        <f>TablaDatos[[#This Row],[FechaIngreso]]+TablaDatos[[#This Row],[DiasNuevo]]</f>
        <v>45072</v>
      </c>
    </row>
    <row r="1255" spans="1:15">
      <c r="A1255">
        <v>1254</v>
      </c>
      <c r="B1255" t="s">
        <v>327</v>
      </c>
      <c r="C1255" s="1">
        <v>27760</v>
      </c>
      <c r="D1255">
        <v>50</v>
      </c>
      <c r="E1255" s="4" t="s">
        <v>15</v>
      </c>
      <c r="F1255" t="s">
        <v>201</v>
      </c>
      <c r="G1255" s="1">
        <v>45465</v>
      </c>
      <c r="H1255" s="1">
        <f>TablaDatos[[#This Row],[FechaIngreso]]+TablaDatos[[#This Row],[DiasNuevo]]</f>
        <v>45468</v>
      </c>
      <c r="I1255">
        <v>3</v>
      </c>
      <c r="J1255" t="s">
        <v>23</v>
      </c>
      <c r="K1255" s="3">
        <v>9620.2099999999991</v>
      </c>
      <c r="L1255" t="b">
        <f>TablaDatos[[#This Row],[FechaAlta]] &lt; TablaDatos[[#This Row],[FechaIngreso]]</f>
        <v>0</v>
      </c>
      <c r="M1255">
        <f>_xlfn.XLOOKUP(TablaDatos[[#This Row],[PacienteID]],'Datos_Ejemplo.csv'!A:A,'Datos_Ejemplo.csv'!I:I)</f>
        <v>3</v>
      </c>
      <c r="N1255">
        <f>ABS(TablaDatos[[#This Row],[DiasOriginal]])</f>
        <v>3</v>
      </c>
      <c r="O1255" s="1">
        <f>TablaDatos[[#This Row],[FechaIngreso]]+TablaDatos[[#This Row],[DiasNuevo]]</f>
        <v>45468</v>
      </c>
    </row>
    <row r="1256" spans="1:15">
      <c r="A1256">
        <v>1255</v>
      </c>
      <c r="B1256" t="s">
        <v>39</v>
      </c>
      <c r="C1256" s="1">
        <v>25934</v>
      </c>
      <c r="D1256">
        <v>55</v>
      </c>
      <c r="E1256" s="4" t="s">
        <v>15</v>
      </c>
      <c r="F1256" t="s">
        <v>261</v>
      </c>
      <c r="G1256" s="1">
        <v>45647</v>
      </c>
      <c r="H1256" s="1">
        <f>TablaDatos[[#This Row],[FechaIngreso]]+TablaDatos[[#This Row],[DiasNuevo]]</f>
        <v>45664</v>
      </c>
      <c r="I1256">
        <v>17</v>
      </c>
      <c r="J1256" t="s">
        <v>23</v>
      </c>
      <c r="K1256" s="3">
        <v>9587.5400000000009</v>
      </c>
      <c r="L1256" t="b">
        <f>TablaDatos[[#This Row],[FechaAlta]] &lt; TablaDatos[[#This Row],[FechaIngreso]]</f>
        <v>0</v>
      </c>
      <c r="M1256">
        <f>_xlfn.XLOOKUP(TablaDatos[[#This Row],[PacienteID]],'Datos_Ejemplo.csv'!A:A,'Datos_Ejemplo.csv'!I:I)</f>
        <v>17</v>
      </c>
      <c r="N1256">
        <f>ABS(TablaDatos[[#This Row],[DiasOriginal]])</f>
        <v>17</v>
      </c>
      <c r="O1256" s="1">
        <f>TablaDatos[[#This Row],[FechaIngreso]]+TablaDatos[[#This Row],[DiasNuevo]]</f>
        <v>45664</v>
      </c>
    </row>
    <row r="1257" spans="1:15">
      <c r="A1257">
        <v>1256</v>
      </c>
      <c r="B1257" t="s">
        <v>111</v>
      </c>
      <c r="C1257" s="1">
        <v>16072</v>
      </c>
      <c r="D1257">
        <v>82</v>
      </c>
      <c r="E1257" s="4" t="s">
        <v>15</v>
      </c>
      <c r="F1257" t="s">
        <v>201</v>
      </c>
      <c r="G1257" s="1">
        <v>44976</v>
      </c>
      <c r="H1257" s="1">
        <f>TablaDatos[[#This Row],[FechaIngreso]]+TablaDatos[[#This Row],[DiasNuevo]]</f>
        <v>44977</v>
      </c>
      <c r="I1257">
        <v>1</v>
      </c>
      <c r="J1257" t="s">
        <v>19</v>
      </c>
      <c r="K1257" s="3">
        <v>1671.65</v>
      </c>
      <c r="L1257" t="b">
        <f>TablaDatos[[#This Row],[FechaAlta]] &lt; TablaDatos[[#This Row],[FechaIngreso]]</f>
        <v>0</v>
      </c>
      <c r="M1257">
        <f>_xlfn.XLOOKUP(TablaDatos[[#This Row],[PacienteID]],'Datos_Ejemplo.csv'!A:A,'Datos_Ejemplo.csv'!I:I)</f>
        <v>-1</v>
      </c>
      <c r="N1257">
        <f>ABS(TablaDatos[[#This Row],[DiasOriginal]])</f>
        <v>1</v>
      </c>
      <c r="O1257" s="1">
        <f>TablaDatos[[#This Row],[FechaIngreso]]+TablaDatos[[#This Row],[DiasNuevo]]</f>
        <v>44977</v>
      </c>
    </row>
    <row r="1258" spans="1:15">
      <c r="A1258">
        <v>1257</v>
      </c>
      <c r="B1258" t="s">
        <v>255</v>
      </c>
      <c r="C1258" s="1">
        <v>23742</v>
      </c>
      <c r="D1258">
        <v>61</v>
      </c>
      <c r="E1258" s="4" t="s">
        <v>15</v>
      </c>
      <c r="F1258" t="s">
        <v>13</v>
      </c>
      <c r="G1258" s="1">
        <v>44987</v>
      </c>
      <c r="H1258" s="1">
        <f>TablaDatos[[#This Row],[FechaIngreso]]+TablaDatos[[#This Row],[DiasNuevo]]</f>
        <v>45006</v>
      </c>
      <c r="I1258">
        <v>19</v>
      </c>
      <c r="J1258" t="s">
        <v>19</v>
      </c>
      <c r="K1258" s="3">
        <v>16026.6</v>
      </c>
      <c r="L1258" t="b">
        <f>TablaDatos[[#This Row],[FechaAlta]] &lt; TablaDatos[[#This Row],[FechaIngreso]]</f>
        <v>0</v>
      </c>
      <c r="M1258">
        <f>_xlfn.XLOOKUP(TablaDatos[[#This Row],[PacienteID]],'Datos_Ejemplo.csv'!A:A,'Datos_Ejemplo.csv'!I:I)</f>
        <v>19</v>
      </c>
      <c r="N1258">
        <f>ABS(TablaDatos[[#This Row],[DiasOriginal]])</f>
        <v>19</v>
      </c>
      <c r="O1258" s="1">
        <f>TablaDatos[[#This Row],[FechaIngreso]]+TablaDatos[[#This Row],[DiasNuevo]]</f>
        <v>45006</v>
      </c>
    </row>
    <row r="1259" spans="1:15">
      <c r="A1259">
        <v>1258</v>
      </c>
      <c r="B1259" t="s">
        <v>311</v>
      </c>
      <c r="C1259" s="1">
        <v>34700</v>
      </c>
      <c r="D1259">
        <v>31</v>
      </c>
      <c r="E1259" s="4" t="s">
        <v>12</v>
      </c>
      <c r="F1259" t="s">
        <v>13</v>
      </c>
      <c r="G1259" s="1">
        <v>45169</v>
      </c>
      <c r="H1259" s="1">
        <f>TablaDatos[[#This Row],[FechaIngreso]]+TablaDatos[[#This Row],[DiasNuevo]]</f>
        <v>45187</v>
      </c>
      <c r="I1259">
        <v>18</v>
      </c>
      <c r="J1259" t="s">
        <v>19</v>
      </c>
      <c r="K1259" s="3">
        <v>9576.93</v>
      </c>
      <c r="L1259" t="b">
        <f>TablaDatos[[#This Row],[FechaAlta]] &lt; TablaDatos[[#This Row],[FechaIngreso]]</f>
        <v>0</v>
      </c>
      <c r="M1259">
        <f>_xlfn.XLOOKUP(TablaDatos[[#This Row],[PacienteID]],'Datos_Ejemplo.csv'!A:A,'Datos_Ejemplo.csv'!I:I)</f>
        <v>18</v>
      </c>
      <c r="N1259">
        <f>ABS(TablaDatos[[#This Row],[DiasOriginal]])</f>
        <v>18</v>
      </c>
      <c r="O1259" s="1">
        <f>TablaDatos[[#This Row],[FechaIngreso]]+TablaDatos[[#This Row],[DiasNuevo]]</f>
        <v>45187</v>
      </c>
    </row>
    <row r="1260" spans="1:15">
      <c r="A1260">
        <v>1259</v>
      </c>
      <c r="B1260" t="s">
        <v>256</v>
      </c>
      <c r="C1260" s="1">
        <v>35430</v>
      </c>
      <c r="D1260">
        <v>29</v>
      </c>
      <c r="E1260" s="4" t="s">
        <v>15</v>
      </c>
      <c r="F1260" t="s">
        <v>201</v>
      </c>
      <c r="G1260" s="1">
        <v>45195</v>
      </c>
      <c r="H1260" s="1">
        <f>TablaDatos[[#This Row],[FechaIngreso]]+TablaDatos[[#This Row],[DiasNuevo]]</f>
        <v>45198</v>
      </c>
      <c r="I1260">
        <v>3</v>
      </c>
      <c r="J1260" t="s">
        <v>23</v>
      </c>
      <c r="K1260" s="3">
        <v>16400.21</v>
      </c>
      <c r="L1260" t="b">
        <f>TablaDatos[[#This Row],[FechaAlta]] &lt; TablaDatos[[#This Row],[FechaIngreso]]</f>
        <v>0</v>
      </c>
      <c r="M1260">
        <f>_xlfn.XLOOKUP(TablaDatos[[#This Row],[PacienteID]],'Datos_Ejemplo.csv'!A:A,'Datos_Ejemplo.csv'!I:I)</f>
        <v>3</v>
      </c>
      <c r="N1260">
        <f>ABS(TablaDatos[[#This Row],[DiasOriginal]])</f>
        <v>3</v>
      </c>
      <c r="O1260" s="1">
        <f>TablaDatos[[#This Row],[FechaIngreso]]+TablaDatos[[#This Row],[DiasNuevo]]</f>
        <v>45198</v>
      </c>
    </row>
    <row r="1261" spans="1:15">
      <c r="A1261">
        <v>1260</v>
      </c>
      <c r="B1261" t="s">
        <v>146</v>
      </c>
      <c r="C1261" s="1">
        <v>35795</v>
      </c>
      <c r="D1261">
        <v>28</v>
      </c>
      <c r="E1261" s="4" t="s">
        <v>12</v>
      </c>
      <c r="F1261" t="s">
        <v>295</v>
      </c>
      <c r="G1261" s="1">
        <v>45066</v>
      </c>
      <c r="H1261" s="1">
        <f>TablaDatos[[#This Row],[FechaIngreso]]+TablaDatos[[#This Row],[DiasNuevo]]</f>
        <v>45095</v>
      </c>
      <c r="I1261">
        <v>29</v>
      </c>
      <c r="J1261" t="s">
        <v>23</v>
      </c>
      <c r="K1261" s="3">
        <v>16474.349999999999</v>
      </c>
      <c r="L1261" t="b">
        <f>TablaDatos[[#This Row],[FechaAlta]] &lt; TablaDatos[[#This Row],[FechaIngreso]]</f>
        <v>0</v>
      </c>
      <c r="M1261">
        <f>_xlfn.XLOOKUP(TablaDatos[[#This Row],[PacienteID]],'Datos_Ejemplo.csv'!A:A,'Datos_Ejemplo.csv'!I:I)</f>
        <v>29</v>
      </c>
      <c r="N1261">
        <f>ABS(TablaDatos[[#This Row],[DiasOriginal]])</f>
        <v>29</v>
      </c>
      <c r="O1261" s="1">
        <f>TablaDatos[[#This Row],[FechaIngreso]]+TablaDatos[[#This Row],[DiasNuevo]]</f>
        <v>45095</v>
      </c>
    </row>
    <row r="1262" spans="1:15">
      <c r="A1262">
        <v>1261</v>
      </c>
      <c r="B1262" t="s">
        <v>241</v>
      </c>
      <c r="C1262" s="1">
        <v>28490</v>
      </c>
      <c r="D1262">
        <v>48</v>
      </c>
      <c r="E1262" s="4" t="s">
        <v>12</v>
      </c>
      <c r="F1262" t="s">
        <v>261</v>
      </c>
      <c r="G1262" s="1">
        <v>45083</v>
      </c>
      <c r="H1262" s="1">
        <f>TablaDatos[[#This Row],[FechaIngreso]]+TablaDatos[[#This Row],[DiasNuevo]]</f>
        <v>45086</v>
      </c>
      <c r="I1262">
        <v>3</v>
      </c>
      <c r="J1262" t="s">
        <v>23</v>
      </c>
      <c r="K1262" s="3">
        <v>6274.42</v>
      </c>
      <c r="L1262" t="b">
        <f>TablaDatos[[#This Row],[FechaAlta]] &lt; TablaDatos[[#This Row],[FechaIngreso]]</f>
        <v>0</v>
      </c>
      <c r="M1262">
        <f>_xlfn.XLOOKUP(TablaDatos[[#This Row],[PacienteID]],'Datos_Ejemplo.csv'!A:A,'Datos_Ejemplo.csv'!I:I)</f>
        <v>3</v>
      </c>
      <c r="N1262">
        <f>ABS(TablaDatos[[#This Row],[DiasOriginal]])</f>
        <v>3</v>
      </c>
      <c r="O1262" s="1">
        <f>TablaDatos[[#This Row],[FechaIngreso]]+TablaDatos[[#This Row],[DiasNuevo]]</f>
        <v>45086</v>
      </c>
    </row>
    <row r="1263" spans="1:15">
      <c r="A1263">
        <v>1262</v>
      </c>
      <c r="B1263" t="s">
        <v>328</v>
      </c>
      <c r="C1263" s="1">
        <v>29951</v>
      </c>
      <c r="D1263">
        <v>44</v>
      </c>
      <c r="E1263" s="4" t="s">
        <v>15</v>
      </c>
      <c r="F1263" t="s">
        <v>18</v>
      </c>
      <c r="G1263" s="1">
        <v>45523</v>
      </c>
      <c r="H1263" s="1">
        <f>TablaDatos[[#This Row],[FechaIngreso]]+TablaDatos[[#This Row],[DiasNuevo]]</f>
        <v>45533</v>
      </c>
      <c r="I1263">
        <v>10</v>
      </c>
      <c r="J1263" t="s">
        <v>23</v>
      </c>
      <c r="K1263" s="3">
        <v>-12.64</v>
      </c>
      <c r="L1263" t="b">
        <f>TablaDatos[[#This Row],[FechaAlta]] &lt; TablaDatos[[#This Row],[FechaIngreso]]</f>
        <v>0</v>
      </c>
      <c r="M1263">
        <f>_xlfn.XLOOKUP(TablaDatos[[#This Row],[PacienteID]],'Datos_Ejemplo.csv'!A:A,'Datos_Ejemplo.csv'!I:I)</f>
        <v>10</v>
      </c>
      <c r="N1263">
        <f>ABS(TablaDatos[[#This Row],[DiasOriginal]])</f>
        <v>10</v>
      </c>
      <c r="O1263" s="1">
        <f>TablaDatos[[#This Row],[FechaIngreso]]+TablaDatos[[#This Row],[DiasNuevo]]</f>
        <v>45533</v>
      </c>
    </row>
    <row r="1264" spans="1:15">
      <c r="A1264">
        <v>1263</v>
      </c>
      <c r="B1264" t="s">
        <v>335</v>
      </c>
      <c r="C1264" s="1">
        <v>12419</v>
      </c>
      <c r="D1264">
        <v>92</v>
      </c>
      <c r="E1264" s="4" t="s">
        <v>15</v>
      </c>
      <c r="F1264" t="s">
        <v>13</v>
      </c>
      <c r="G1264" s="1">
        <v>45522</v>
      </c>
      <c r="H1264" s="1">
        <f>TablaDatos[[#This Row],[FechaIngreso]]+TablaDatos[[#This Row],[DiasNuevo]]</f>
        <v>45524</v>
      </c>
      <c r="I1264">
        <v>2</v>
      </c>
      <c r="J1264" t="s">
        <v>25</v>
      </c>
      <c r="K1264" s="3">
        <v>18216.04</v>
      </c>
      <c r="L1264" t="b">
        <f>TablaDatos[[#This Row],[FechaAlta]] &lt; TablaDatos[[#This Row],[FechaIngreso]]</f>
        <v>0</v>
      </c>
      <c r="M1264">
        <f>_xlfn.XLOOKUP(TablaDatos[[#This Row],[PacienteID]],'Datos_Ejemplo.csv'!A:A,'Datos_Ejemplo.csv'!I:I)</f>
        <v>-2</v>
      </c>
      <c r="N1264">
        <f>ABS(TablaDatos[[#This Row],[DiasOriginal]])</f>
        <v>2</v>
      </c>
      <c r="O1264" s="1">
        <f>TablaDatos[[#This Row],[FechaIngreso]]+TablaDatos[[#This Row],[DiasNuevo]]</f>
        <v>45524</v>
      </c>
    </row>
    <row r="1265" spans="1:15">
      <c r="A1265">
        <v>1264</v>
      </c>
      <c r="B1265" t="s">
        <v>278</v>
      </c>
      <c r="C1265" s="1">
        <v>35430</v>
      </c>
      <c r="D1265">
        <v>29</v>
      </c>
      <c r="E1265" s="4" t="s">
        <v>12</v>
      </c>
      <c r="F1265" t="s">
        <v>32</v>
      </c>
      <c r="G1265" s="1">
        <v>45202</v>
      </c>
      <c r="H1265" s="1">
        <f>TablaDatos[[#This Row],[FechaIngreso]]+TablaDatos[[#This Row],[DiasNuevo]]</f>
        <v>45221</v>
      </c>
      <c r="I1265">
        <v>19</v>
      </c>
      <c r="J1265" t="s">
        <v>25</v>
      </c>
      <c r="K1265" s="3">
        <v>15189.96</v>
      </c>
      <c r="L1265" t="b">
        <f>TablaDatos[[#This Row],[FechaAlta]] &lt; TablaDatos[[#This Row],[FechaIngreso]]</f>
        <v>0</v>
      </c>
      <c r="M1265">
        <f>_xlfn.XLOOKUP(TablaDatos[[#This Row],[PacienteID]],'Datos_Ejemplo.csv'!A:A,'Datos_Ejemplo.csv'!I:I)</f>
        <v>19</v>
      </c>
      <c r="N1265">
        <f>ABS(TablaDatos[[#This Row],[DiasOriginal]])</f>
        <v>19</v>
      </c>
      <c r="O1265" s="1">
        <f>TablaDatos[[#This Row],[FechaIngreso]]+TablaDatos[[#This Row],[DiasNuevo]]</f>
        <v>45221</v>
      </c>
    </row>
    <row r="1266" spans="1:15">
      <c r="A1266">
        <v>1265</v>
      </c>
      <c r="B1266" t="s">
        <v>330</v>
      </c>
      <c r="C1266" s="1">
        <v>40544</v>
      </c>
      <c r="D1266">
        <v>15</v>
      </c>
      <c r="E1266" s="4" t="s">
        <v>15</v>
      </c>
      <c r="F1266" t="s">
        <v>21</v>
      </c>
      <c r="G1266" s="1">
        <v>44957</v>
      </c>
      <c r="H1266" s="1">
        <f>TablaDatos[[#This Row],[FechaIngreso]]+TablaDatos[[#This Row],[DiasNuevo]]</f>
        <v>44978</v>
      </c>
      <c r="I1266">
        <v>21</v>
      </c>
      <c r="J1266" t="s">
        <v>23</v>
      </c>
      <c r="K1266" s="3">
        <v>2055.7600000000002</v>
      </c>
      <c r="L1266" t="b">
        <f>TablaDatos[[#This Row],[FechaAlta]] &lt; TablaDatos[[#This Row],[FechaIngreso]]</f>
        <v>0</v>
      </c>
      <c r="M1266">
        <f>_xlfn.XLOOKUP(TablaDatos[[#This Row],[PacienteID]],'Datos_Ejemplo.csv'!A:A,'Datos_Ejemplo.csv'!I:I)</f>
        <v>21</v>
      </c>
      <c r="N1266">
        <f>ABS(TablaDatos[[#This Row],[DiasOriginal]])</f>
        <v>21</v>
      </c>
      <c r="O1266" s="1">
        <f>TablaDatos[[#This Row],[FechaIngreso]]+TablaDatos[[#This Row],[DiasNuevo]]</f>
        <v>44978</v>
      </c>
    </row>
    <row r="1267" spans="1:15">
      <c r="A1267">
        <v>1266</v>
      </c>
      <c r="B1267" t="s">
        <v>313</v>
      </c>
      <c r="C1267" s="1">
        <v>31778</v>
      </c>
      <c r="D1267">
        <f ca="1">DATEDIF(TablaDatos[[#This Row],[FechaNacimiento]],TODAY(),"Y")</f>
        <v>39</v>
      </c>
      <c r="E1267" s="4" t="s">
        <v>15</v>
      </c>
      <c r="F1267" t="s">
        <v>32</v>
      </c>
      <c r="G1267" s="1">
        <v>44934</v>
      </c>
      <c r="H1267" s="1">
        <f>TablaDatos[[#This Row],[FechaIngreso]]+TablaDatos[[#This Row],[DiasNuevo]]</f>
        <v>44972</v>
      </c>
      <c r="I1267">
        <v>38</v>
      </c>
      <c r="J1267" t="s">
        <v>25</v>
      </c>
      <c r="K1267" s="3">
        <v>14004.71</v>
      </c>
      <c r="L1267" t="b">
        <f>TablaDatos[[#This Row],[FechaAlta]] &lt; TablaDatos[[#This Row],[FechaIngreso]]</f>
        <v>0</v>
      </c>
      <c r="M1267">
        <f>_xlfn.XLOOKUP(TablaDatos[[#This Row],[PacienteID]],'Datos_Ejemplo.csv'!A:A,'Datos_Ejemplo.csv'!I:I)</f>
        <v>38</v>
      </c>
      <c r="N1267">
        <f>ABS(TablaDatos[[#This Row],[DiasOriginal]])</f>
        <v>38</v>
      </c>
      <c r="O1267" s="1">
        <f>TablaDatos[[#This Row],[FechaIngreso]]+TablaDatos[[#This Row],[DiasNuevo]]</f>
        <v>44972</v>
      </c>
    </row>
    <row r="1268" spans="1:15">
      <c r="A1268">
        <v>1267</v>
      </c>
      <c r="B1268" t="s">
        <v>122</v>
      </c>
      <c r="C1268" s="1">
        <v>39448</v>
      </c>
      <c r="D1268">
        <v>18</v>
      </c>
      <c r="E1268" s="4" t="s">
        <v>15</v>
      </c>
      <c r="F1268" t="s">
        <v>201</v>
      </c>
      <c r="G1268" s="1">
        <v>45641</v>
      </c>
      <c r="H1268" s="1">
        <f>TablaDatos[[#This Row],[FechaIngreso]]+TablaDatos[[#This Row],[DiasNuevo]]</f>
        <v>45668</v>
      </c>
      <c r="I1268">
        <v>27</v>
      </c>
      <c r="J1268" t="s">
        <v>25</v>
      </c>
      <c r="K1268" s="3">
        <v>302.47000000000003</v>
      </c>
      <c r="L1268" t="b">
        <f>TablaDatos[[#This Row],[FechaAlta]] &lt; TablaDatos[[#This Row],[FechaIngreso]]</f>
        <v>0</v>
      </c>
      <c r="M1268">
        <f>_xlfn.XLOOKUP(TablaDatos[[#This Row],[PacienteID]],'Datos_Ejemplo.csv'!A:A,'Datos_Ejemplo.csv'!I:I)</f>
        <v>27</v>
      </c>
      <c r="N1268">
        <f>ABS(TablaDatos[[#This Row],[DiasOriginal]])</f>
        <v>27</v>
      </c>
      <c r="O1268" s="1">
        <f>TablaDatos[[#This Row],[FechaIngreso]]+TablaDatos[[#This Row],[DiasNuevo]]</f>
        <v>45668</v>
      </c>
    </row>
    <row r="1269" spans="1:15">
      <c r="A1269">
        <v>1268</v>
      </c>
      <c r="B1269" t="s">
        <v>116</v>
      </c>
      <c r="C1269" s="1">
        <v>39813</v>
      </c>
      <c r="D1269">
        <f ca="1">DATEDIF(TablaDatos[[#This Row],[FechaNacimiento]],TODAY(),"Y")</f>
        <v>17</v>
      </c>
      <c r="E1269" s="4" t="s">
        <v>12</v>
      </c>
      <c r="F1269" t="s">
        <v>13</v>
      </c>
      <c r="G1269" s="1">
        <v>44959</v>
      </c>
      <c r="H1269" s="1">
        <f>TablaDatos[[#This Row],[FechaIngreso]]+TablaDatos[[#This Row],[DiasNuevo]]</f>
        <v>44978</v>
      </c>
      <c r="I1269">
        <v>19</v>
      </c>
      <c r="J1269" t="s">
        <v>23</v>
      </c>
      <c r="K1269" s="3">
        <v>457.96</v>
      </c>
      <c r="L1269" t="b">
        <f>TablaDatos[[#This Row],[FechaAlta]] &lt; TablaDatos[[#This Row],[FechaIngreso]]</f>
        <v>0</v>
      </c>
      <c r="M1269">
        <f>_xlfn.XLOOKUP(TablaDatos[[#This Row],[PacienteID]],'Datos_Ejemplo.csv'!A:A,'Datos_Ejemplo.csv'!I:I)</f>
        <v>19</v>
      </c>
      <c r="N1269">
        <f>ABS(TablaDatos[[#This Row],[DiasOriginal]])</f>
        <v>19</v>
      </c>
      <c r="O1269" s="1">
        <f>TablaDatos[[#This Row],[FechaIngreso]]+TablaDatos[[#This Row],[DiasNuevo]]</f>
        <v>44978</v>
      </c>
    </row>
    <row r="1270" spans="1:15">
      <c r="A1270">
        <v>1269</v>
      </c>
      <c r="B1270" t="s">
        <v>162</v>
      </c>
      <c r="C1270" s="1">
        <v>46022</v>
      </c>
      <c r="D1270">
        <v>0</v>
      </c>
      <c r="E1270" s="4" t="s">
        <v>12</v>
      </c>
      <c r="F1270" t="s">
        <v>13</v>
      </c>
      <c r="G1270" s="1">
        <v>45581</v>
      </c>
      <c r="H1270" s="1">
        <f>TablaDatos[[#This Row],[FechaIngreso]]+TablaDatos[[#This Row],[DiasNuevo]]</f>
        <v>45590</v>
      </c>
      <c r="I1270">
        <v>9</v>
      </c>
      <c r="J1270" t="s">
        <v>23</v>
      </c>
      <c r="K1270" s="3">
        <v>10469.049999999999</v>
      </c>
      <c r="L1270" t="b">
        <f>TablaDatos[[#This Row],[FechaAlta]] &lt; TablaDatos[[#This Row],[FechaIngreso]]</f>
        <v>0</v>
      </c>
      <c r="M1270">
        <f>_xlfn.XLOOKUP(TablaDatos[[#This Row],[PacienteID]],'Datos_Ejemplo.csv'!A:A,'Datos_Ejemplo.csv'!I:I)</f>
        <v>9</v>
      </c>
      <c r="N1270">
        <f>ABS(TablaDatos[[#This Row],[DiasOriginal]])</f>
        <v>9</v>
      </c>
      <c r="O1270" s="1">
        <f>TablaDatos[[#This Row],[FechaIngreso]]+TablaDatos[[#This Row],[DiasNuevo]]</f>
        <v>45590</v>
      </c>
    </row>
    <row r="1271" spans="1:15">
      <c r="A1271">
        <v>1270</v>
      </c>
      <c r="B1271" t="s">
        <v>151</v>
      </c>
      <c r="C1271" s="1">
        <v>17898</v>
      </c>
      <c r="D1271">
        <v>77</v>
      </c>
      <c r="E1271" s="4" t="s">
        <v>15</v>
      </c>
      <c r="F1271" t="s">
        <v>295</v>
      </c>
      <c r="G1271" s="1">
        <v>45378</v>
      </c>
      <c r="H1271" s="1">
        <f>TablaDatos[[#This Row],[FechaIngreso]]+TablaDatos[[#This Row],[DiasNuevo]]</f>
        <v>45401</v>
      </c>
      <c r="I1271">
        <v>23</v>
      </c>
      <c r="J1271" t="s">
        <v>19</v>
      </c>
      <c r="K1271" s="3">
        <v>1830.35</v>
      </c>
      <c r="L1271" t="b">
        <f>TablaDatos[[#This Row],[FechaAlta]] &lt; TablaDatos[[#This Row],[FechaIngreso]]</f>
        <v>0</v>
      </c>
      <c r="M1271">
        <f>_xlfn.XLOOKUP(TablaDatos[[#This Row],[PacienteID]],'Datos_Ejemplo.csv'!A:A,'Datos_Ejemplo.csv'!I:I)</f>
        <v>23</v>
      </c>
      <c r="N1271">
        <f>ABS(TablaDatos[[#This Row],[DiasOriginal]])</f>
        <v>23</v>
      </c>
      <c r="O1271" s="1">
        <f>TablaDatos[[#This Row],[FechaIngreso]]+TablaDatos[[#This Row],[DiasNuevo]]</f>
        <v>45401</v>
      </c>
    </row>
    <row r="1272" spans="1:15">
      <c r="A1272">
        <v>1271</v>
      </c>
      <c r="B1272" t="s">
        <v>116</v>
      </c>
      <c r="C1272" s="1">
        <v>29221</v>
      </c>
      <c r="D1272">
        <v>46</v>
      </c>
      <c r="E1272" s="4" t="s">
        <v>15</v>
      </c>
      <c r="F1272" t="s">
        <v>295</v>
      </c>
      <c r="G1272" s="1">
        <v>45375</v>
      </c>
      <c r="H1272" s="1">
        <f>TablaDatos[[#This Row],[FechaIngreso]]+TablaDatos[[#This Row],[DiasNuevo]]</f>
        <v>45376</v>
      </c>
      <c r="I1272">
        <v>1</v>
      </c>
      <c r="J1272" t="s">
        <v>23</v>
      </c>
      <c r="K1272" s="3">
        <v>19283.16</v>
      </c>
      <c r="L1272" t="b">
        <f>TablaDatos[[#This Row],[FechaAlta]] &lt; TablaDatos[[#This Row],[FechaIngreso]]</f>
        <v>0</v>
      </c>
      <c r="M1272">
        <f>_xlfn.XLOOKUP(TablaDatos[[#This Row],[PacienteID]],'Datos_Ejemplo.csv'!A:A,'Datos_Ejemplo.csv'!I:I)</f>
        <v>1</v>
      </c>
      <c r="N1272">
        <f>ABS(TablaDatos[[#This Row],[DiasOriginal]])</f>
        <v>1</v>
      </c>
      <c r="O1272" s="1">
        <f>TablaDatos[[#This Row],[FechaIngreso]]+TablaDatos[[#This Row],[DiasNuevo]]</f>
        <v>45376</v>
      </c>
    </row>
    <row r="1273" spans="1:15">
      <c r="A1273">
        <v>1272</v>
      </c>
      <c r="B1273" t="s">
        <v>161</v>
      </c>
      <c r="C1273" s="1">
        <v>22281</v>
      </c>
      <c r="D1273">
        <v>65</v>
      </c>
      <c r="E1273" s="4" t="s">
        <v>12</v>
      </c>
      <c r="F1273" t="s">
        <v>261</v>
      </c>
      <c r="G1273" s="1">
        <v>44963</v>
      </c>
      <c r="H1273" s="1">
        <f>TablaDatos[[#This Row],[FechaIngreso]]+TablaDatos[[#This Row],[DiasNuevo]]</f>
        <v>44979</v>
      </c>
      <c r="I1273">
        <v>16</v>
      </c>
      <c r="J1273" t="s">
        <v>23</v>
      </c>
      <c r="K1273" s="3">
        <v>17866.009999999998</v>
      </c>
      <c r="L1273" t="b">
        <f>TablaDatos[[#This Row],[FechaAlta]] &lt; TablaDatos[[#This Row],[FechaIngreso]]</f>
        <v>0</v>
      </c>
      <c r="M1273">
        <f>_xlfn.XLOOKUP(TablaDatos[[#This Row],[PacienteID]],'Datos_Ejemplo.csv'!A:A,'Datos_Ejemplo.csv'!I:I)</f>
        <v>16</v>
      </c>
      <c r="N1273">
        <f>ABS(TablaDatos[[#This Row],[DiasOriginal]])</f>
        <v>16</v>
      </c>
      <c r="O1273" s="1">
        <f>TablaDatos[[#This Row],[FechaIngreso]]+TablaDatos[[#This Row],[DiasNuevo]]</f>
        <v>44979</v>
      </c>
    </row>
    <row r="1274" spans="1:15">
      <c r="A1274">
        <v>1273</v>
      </c>
      <c r="B1274" t="s">
        <v>278</v>
      </c>
      <c r="C1274" s="1">
        <v>12785</v>
      </c>
      <c r="D1274">
        <v>91</v>
      </c>
      <c r="E1274" s="4" t="s">
        <v>12</v>
      </c>
      <c r="F1274" t="s">
        <v>201</v>
      </c>
      <c r="G1274" s="1">
        <v>45585</v>
      </c>
      <c r="H1274" s="1">
        <f>TablaDatos[[#This Row],[FechaIngreso]]+TablaDatos[[#This Row],[DiasNuevo]]</f>
        <v>45598</v>
      </c>
      <c r="I1274">
        <v>13</v>
      </c>
      <c r="J1274" t="s">
        <v>23</v>
      </c>
      <c r="K1274" s="3">
        <v>12961.22</v>
      </c>
      <c r="L1274" t="b">
        <f>TablaDatos[[#This Row],[FechaAlta]] &lt; TablaDatos[[#This Row],[FechaIngreso]]</f>
        <v>0</v>
      </c>
      <c r="M1274">
        <f>_xlfn.XLOOKUP(TablaDatos[[#This Row],[PacienteID]],'Datos_Ejemplo.csv'!A:A,'Datos_Ejemplo.csv'!I:I)</f>
        <v>13</v>
      </c>
      <c r="N1274">
        <f>ABS(TablaDatos[[#This Row],[DiasOriginal]])</f>
        <v>13</v>
      </c>
      <c r="O1274" s="1">
        <f>TablaDatos[[#This Row],[FechaIngreso]]+TablaDatos[[#This Row],[DiasNuevo]]</f>
        <v>45598</v>
      </c>
    </row>
    <row r="1275" spans="1:15">
      <c r="A1275">
        <v>1274</v>
      </c>
      <c r="B1275" t="s">
        <v>346</v>
      </c>
      <c r="C1275" s="1">
        <v>12054</v>
      </c>
      <c r="D1275">
        <v>93</v>
      </c>
      <c r="E1275" s="4" t="s">
        <v>12</v>
      </c>
      <c r="F1275" t="s">
        <v>21</v>
      </c>
      <c r="G1275" s="1">
        <v>44960</v>
      </c>
      <c r="H1275" s="1">
        <f>TablaDatos[[#This Row],[FechaIngreso]]+TablaDatos[[#This Row],[DiasNuevo]]</f>
        <v>44969</v>
      </c>
      <c r="I1275">
        <v>9</v>
      </c>
      <c r="J1275" t="s">
        <v>23</v>
      </c>
      <c r="K1275" s="3">
        <v>1180.55</v>
      </c>
      <c r="L1275" t="b">
        <f>TablaDatos[[#This Row],[FechaAlta]] &lt; TablaDatos[[#This Row],[FechaIngreso]]</f>
        <v>0</v>
      </c>
      <c r="M1275">
        <f>_xlfn.XLOOKUP(TablaDatos[[#This Row],[PacienteID]],'Datos_Ejemplo.csv'!A:A,'Datos_Ejemplo.csv'!I:I)</f>
        <v>9</v>
      </c>
      <c r="N1275">
        <f>ABS(TablaDatos[[#This Row],[DiasOriginal]])</f>
        <v>9</v>
      </c>
      <c r="O1275" s="1">
        <f>TablaDatos[[#This Row],[FechaIngreso]]+TablaDatos[[#This Row],[DiasNuevo]]</f>
        <v>44969</v>
      </c>
    </row>
    <row r="1276" spans="1:15">
      <c r="A1276">
        <v>1275</v>
      </c>
      <c r="B1276" t="s">
        <v>242</v>
      </c>
      <c r="C1276" s="1">
        <v>32508</v>
      </c>
      <c r="D1276">
        <v>37</v>
      </c>
      <c r="E1276" s="4" t="s">
        <v>12</v>
      </c>
      <c r="F1276" t="s">
        <v>261</v>
      </c>
      <c r="G1276" s="1">
        <v>45381</v>
      </c>
      <c r="H1276" s="1">
        <f>TablaDatos[[#This Row],[FechaIngreso]]+TablaDatos[[#This Row],[DiasNuevo]]</f>
        <v>45411</v>
      </c>
      <c r="I1276">
        <v>30</v>
      </c>
      <c r="J1276" t="s">
        <v>25</v>
      </c>
      <c r="K1276" s="3">
        <v>6429.19</v>
      </c>
      <c r="L1276" t="b">
        <f>TablaDatos[[#This Row],[FechaAlta]] &lt; TablaDatos[[#This Row],[FechaIngreso]]</f>
        <v>0</v>
      </c>
      <c r="M1276">
        <f>_xlfn.XLOOKUP(TablaDatos[[#This Row],[PacienteID]],'Datos_Ejemplo.csv'!A:A,'Datos_Ejemplo.csv'!I:I)</f>
        <v>30</v>
      </c>
      <c r="N1276">
        <f>ABS(TablaDatos[[#This Row],[DiasOriginal]])</f>
        <v>30</v>
      </c>
      <c r="O1276" s="1">
        <f>TablaDatos[[#This Row],[FechaIngreso]]+TablaDatos[[#This Row],[DiasNuevo]]</f>
        <v>45411</v>
      </c>
    </row>
    <row r="1277" spans="1:15">
      <c r="A1277">
        <v>1276</v>
      </c>
      <c r="B1277" t="s">
        <v>291</v>
      </c>
      <c r="C1277" s="1">
        <v>27760</v>
      </c>
      <c r="D1277">
        <f ca="1">DATEDIF(TablaDatos[[#This Row],[FechaNacimiento]],TODAY(),"Y")</f>
        <v>50</v>
      </c>
      <c r="E1277" s="4" t="s">
        <v>15</v>
      </c>
      <c r="F1277" t="s">
        <v>295</v>
      </c>
      <c r="G1277" s="1">
        <v>45370</v>
      </c>
      <c r="H1277" s="1">
        <f>TablaDatos[[#This Row],[FechaIngreso]]+TablaDatos[[#This Row],[DiasNuevo]]</f>
        <v>45388</v>
      </c>
      <c r="I1277">
        <v>18</v>
      </c>
      <c r="J1277" t="s">
        <v>25</v>
      </c>
      <c r="K1277" s="3">
        <v>7371.63</v>
      </c>
      <c r="L1277" t="b">
        <f>TablaDatos[[#This Row],[FechaAlta]] &lt; TablaDatos[[#This Row],[FechaIngreso]]</f>
        <v>0</v>
      </c>
      <c r="M1277">
        <f>_xlfn.XLOOKUP(TablaDatos[[#This Row],[PacienteID]],'Datos_Ejemplo.csv'!A:A,'Datos_Ejemplo.csv'!I:I)</f>
        <v>18</v>
      </c>
      <c r="N1277">
        <f>ABS(TablaDatos[[#This Row],[DiasOriginal]])</f>
        <v>18</v>
      </c>
      <c r="O1277" s="1">
        <f>TablaDatos[[#This Row],[FechaIngreso]]+TablaDatos[[#This Row],[DiasNuevo]]</f>
        <v>45388</v>
      </c>
    </row>
    <row r="1278" spans="1:15">
      <c r="A1278">
        <v>1277</v>
      </c>
      <c r="B1278" t="s">
        <v>269</v>
      </c>
      <c r="C1278" s="1">
        <v>23377</v>
      </c>
      <c r="D1278">
        <v>62</v>
      </c>
      <c r="E1278" s="4" t="s">
        <v>12</v>
      </c>
      <c r="F1278" t="s">
        <v>18</v>
      </c>
      <c r="G1278" s="1">
        <v>45163</v>
      </c>
      <c r="H1278" s="1">
        <f>TablaDatos[[#This Row],[FechaIngreso]]+TablaDatos[[#This Row],[DiasNuevo]]</f>
        <v>45196</v>
      </c>
      <c r="I1278">
        <v>33</v>
      </c>
      <c r="J1278" t="s">
        <v>23</v>
      </c>
      <c r="K1278" s="3">
        <v>9565.68</v>
      </c>
      <c r="L1278" t="b">
        <f>TablaDatos[[#This Row],[FechaAlta]] &lt; TablaDatos[[#This Row],[FechaIngreso]]</f>
        <v>0</v>
      </c>
      <c r="M1278">
        <f>_xlfn.XLOOKUP(TablaDatos[[#This Row],[PacienteID]],'Datos_Ejemplo.csv'!A:A,'Datos_Ejemplo.csv'!I:I)</f>
        <v>33</v>
      </c>
      <c r="N1278">
        <f>ABS(TablaDatos[[#This Row],[DiasOriginal]])</f>
        <v>33</v>
      </c>
      <c r="O1278" s="1">
        <f>TablaDatos[[#This Row],[FechaIngreso]]+TablaDatos[[#This Row],[DiasNuevo]]</f>
        <v>45196</v>
      </c>
    </row>
    <row r="1279" spans="1:15">
      <c r="A1279">
        <v>1278</v>
      </c>
      <c r="B1279" t="s">
        <v>330</v>
      </c>
      <c r="C1279" s="1">
        <v>44927</v>
      </c>
      <c r="D1279">
        <v>3</v>
      </c>
      <c r="E1279" s="4" t="s">
        <v>15</v>
      </c>
      <c r="F1279" t="s">
        <v>21</v>
      </c>
      <c r="G1279" s="1">
        <v>45138</v>
      </c>
      <c r="H1279" s="1">
        <f>TablaDatos[[#This Row],[FechaIngreso]]+TablaDatos[[#This Row],[DiasNuevo]]</f>
        <v>45144</v>
      </c>
      <c r="I1279">
        <v>6</v>
      </c>
      <c r="J1279" t="s">
        <v>23</v>
      </c>
      <c r="K1279" s="3">
        <v>3294.95</v>
      </c>
      <c r="L1279" t="b">
        <f>TablaDatos[[#This Row],[FechaAlta]] &lt; TablaDatos[[#This Row],[FechaIngreso]]</f>
        <v>0</v>
      </c>
      <c r="M1279">
        <f>_xlfn.XLOOKUP(TablaDatos[[#This Row],[PacienteID]],'Datos_Ejemplo.csv'!A:A,'Datos_Ejemplo.csv'!I:I)</f>
        <v>6</v>
      </c>
      <c r="N1279">
        <f>ABS(TablaDatos[[#This Row],[DiasOriginal]])</f>
        <v>6</v>
      </c>
      <c r="O1279" s="1">
        <f>TablaDatos[[#This Row],[FechaIngreso]]+TablaDatos[[#This Row],[DiasNuevo]]</f>
        <v>45144</v>
      </c>
    </row>
    <row r="1280" spans="1:15">
      <c r="A1280">
        <v>1279</v>
      </c>
      <c r="B1280" t="s">
        <v>306</v>
      </c>
      <c r="C1280" s="1">
        <v>46022</v>
      </c>
      <c r="D1280">
        <v>0</v>
      </c>
      <c r="E1280" s="4" t="s">
        <v>15</v>
      </c>
      <c r="F1280" t="s">
        <v>18</v>
      </c>
      <c r="G1280" s="1">
        <v>45066</v>
      </c>
      <c r="H1280" s="1">
        <f>TablaDatos[[#This Row],[FechaIngreso]]+TablaDatos[[#This Row],[DiasNuevo]]</f>
        <v>45102</v>
      </c>
      <c r="I1280">
        <v>36</v>
      </c>
      <c r="J1280" t="s">
        <v>19</v>
      </c>
      <c r="K1280" s="3">
        <v>11507.98</v>
      </c>
      <c r="L1280" t="b">
        <f>TablaDatos[[#This Row],[FechaAlta]] &lt; TablaDatos[[#This Row],[FechaIngreso]]</f>
        <v>0</v>
      </c>
      <c r="M1280">
        <f>_xlfn.XLOOKUP(TablaDatos[[#This Row],[PacienteID]],'Datos_Ejemplo.csv'!A:A,'Datos_Ejemplo.csv'!I:I)</f>
        <v>36</v>
      </c>
      <c r="N1280">
        <f>ABS(TablaDatos[[#This Row],[DiasOriginal]])</f>
        <v>36</v>
      </c>
      <c r="O1280" s="1">
        <f>TablaDatos[[#This Row],[FechaIngreso]]+TablaDatos[[#This Row],[DiasNuevo]]</f>
        <v>45102</v>
      </c>
    </row>
    <row r="1281" spans="1:15">
      <c r="A1281">
        <v>1280</v>
      </c>
      <c r="B1281" t="s">
        <v>284</v>
      </c>
      <c r="C1281" s="1">
        <v>43466</v>
      </c>
      <c r="D1281">
        <v>7</v>
      </c>
      <c r="E1281" s="4" t="s">
        <v>12</v>
      </c>
      <c r="F1281" t="s">
        <v>261</v>
      </c>
      <c r="G1281" s="1">
        <v>45628</v>
      </c>
      <c r="H1281" s="1">
        <f>TablaDatos[[#This Row],[FechaIngreso]]+TablaDatos[[#This Row],[DiasNuevo]]</f>
        <v>45667</v>
      </c>
      <c r="I1281">
        <v>39</v>
      </c>
      <c r="J1281" t="s">
        <v>23</v>
      </c>
      <c r="K1281" s="3">
        <v>8658.99</v>
      </c>
      <c r="L1281" t="b">
        <f>TablaDatos[[#This Row],[FechaAlta]] &lt; TablaDatos[[#This Row],[FechaIngreso]]</f>
        <v>0</v>
      </c>
      <c r="M1281">
        <f>_xlfn.XLOOKUP(TablaDatos[[#This Row],[PacienteID]],'Datos_Ejemplo.csv'!A:A,'Datos_Ejemplo.csv'!I:I)</f>
        <v>39</v>
      </c>
      <c r="N1281">
        <f>ABS(TablaDatos[[#This Row],[DiasOriginal]])</f>
        <v>39</v>
      </c>
      <c r="O1281" s="1">
        <f>TablaDatos[[#This Row],[FechaIngreso]]+TablaDatos[[#This Row],[DiasNuevo]]</f>
        <v>45667</v>
      </c>
    </row>
    <row r="1282" spans="1:15">
      <c r="A1282">
        <v>1281</v>
      </c>
      <c r="B1282" t="s">
        <v>306</v>
      </c>
      <c r="C1282" s="1">
        <v>35795</v>
      </c>
      <c r="D1282">
        <v>28</v>
      </c>
      <c r="E1282" s="4" t="s">
        <v>15</v>
      </c>
      <c r="F1282" t="s">
        <v>295</v>
      </c>
      <c r="G1282" s="1">
        <v>45534</v>
      </c>
      <c r="H1282" s="1">
        <f>TablaDatos[[#This Row],[FechaIngreso]]+TablaDatos[[#This Row],[DiasNuevo]]</f>
        <v>45539</v>
      </c>
      <c r="I1282">
        <v>5</v>
      </c>
      <c r="J1282" t="s">
        <v>19</v>
      </c>
      <c r="K1282" s="3">
        <v>18940.669999999998</v>
      </c>
      <c r="L1282" t="b">
        <f>TablaDatos[[#This Row],[FechaAlta]] &lt; TablaDatos[[#This Row],[FechaIngreso]]</f>
        <v>0</v>
      </c>
      <c r="M1282">
        <f>_xlfn.XLOOKUP(TablaDatos[[#This Row],[PacienteID]],'Datos_Ejemplo.csv'!A:A,'Datos_Ejemplo.csv'!I:I)</f>
        <v>5</v>
      </c>
      <c r="N1282">
        <f>ABS(TablaDatos[[#This Row],[DiasOriginal]])</f>
        <v>5</v>
      </c>
      <c r="O1282" s="1">
        <f>TablaDatos[[#This Row],[FechaIngreso]]+TablaDatos[[#This Row],[DiasNuevo]]</f>
        <v>45539</v>
      </c>
    </row>
    <row r="1283" spans="1:15">
      <c r="A1283">
        <v>1282</v>
      </c>
      <c r="B1283" t="s">
        <v>282</v>
      </c>
      <c r="C1283" s="1">
        <v>26299</v>
      </c>
      <c r="D1283">
        <v>54</v>
      </c>
      <c r="E1283" s="4" t="s">
        <v>197</v>
      </c>
      <c r="F1283" t="s">
        <v>21</v>
      </c>
      <c r="G1283" s="1">
        <v>45632</v>
      </c>
      <c r="H1283" s="1">
        <f>TablaDatos[[#This Row],[FechaIngreso]]+TablaDatos[[#This Row],[DiasNuevo]]</f>
        <v>45649</v>
      </c>
      <c r="I1283">
        <v>17</v>
      </c>
      <c r="J1283" t="s">
        <v>19</v>
      </c>
      <c r="K1283" s="3">
        <v>18717.52</v>
      </c>
      <c r="L1283" t="b">
        <f>TablaDatos[[#This Row],[FechaAlta]] &lt; TablaDatos[[#This Row],[FechaIngreso]]</f>
        <v>0</v>
      </c>
      <c r="M1283">
        <f>_xlfn.XLOOKUP(TablaDatos[[#This Row],[PacienteID]],'Datos_Ejemplo.csv'!A:A,'Datos_Ejemplo.csv'!I:I)</f>
        <v>17</v>
      </c>
      <c r="N1283">
        <f>ABS(TablaDatos[[#This Row],[DiasOriginal]])</f>
        <v>17</v>
      </c>
      <c r="O1283" s="1">
        <f>TablaDatos[[#This Row],[FechaIngreso]]+TablaDatos[[#This Row],[DiasNuevo]]</f>
        <v>45649</v>
      </c>
    </row>
    <row r="1284" spans="1:15">
      <c r="A1284">
        <v>1283</v>
      </c>
      <c r="B1284" t="s">
        <v>311</v>
      </c>
      <c r="C1284" s="1">
        <v>45292</v>
      </c>
      <c r="D1284">
        <v>2</v>
      </c>
      <c r="E1284" s="4" t="s">
        <v>15</v>
      </c>
      <c r="F1284" t="s">
        <v>261</v>
      </c>
      <c r="G1284" s="1">
        <v>45287</v>
      </c>
      <c r="H1284" s="1">
        <f>TablaDatos[[#This Row],[FechaIngreso]]+TablaDatos[[#This Row],[DiasNuevo]]</f>
        <v>45294</v>
      </c>
      <c r="I1284">
        <v>7</v>
      </c>
      <c r="J1284" t="s">
        <v>23</v>
      </c>
      <c r="K1284" s="3">
        <v>11266.03</v>
      </c>
      <c r="L1284" t="b">
        <f>TablaDatos[[#This Row],[FechaAlta]] &lt; TablaDatos[[#This Row],[FechaIngreso]]</f>
        <v>0</v>
      </c>
      <c r="M1284">
        <f>_xlfn.XLOOKUP(TablaDatos[[#This Row],[PacienteID]],'Datos_Ejemplo.csv'!A:A,'Datos_Ejemplo.csv'!I:I)</f>
        <v>7</v>
      </c>
      <c r="N1284">
        <f>ABS(TablaDatos[[#This Row],[DiasOriginal]])</f>
        <v>7</v>
      </c>
      <c r="O1284" s="1">
        <f>TablaDatos[[#This Row],[FechaIngreso]]+TablaDatos[[#This Row],[DiasNuevo]]</f>
        <v>45294</v>
      </c>
    </row>
    <row r="1285" spans="1:15">
      <c r="A1285">
        <v>1284</v>
      </c>
      <c r="B1285" t="s">
        <v>327</v>
      </c>
      <c r="C1285" s="1">
        <v>34700</v>
      </c>
      <c r="D1285">
        <v>31</v>
      </c>
      <c r="E1285" s="4" t="s">
        <v>12</v>
      </c>
      <c r="F1285" t="s">
        <v>13</v>
      </c>
      <c r="G1285" s="1">
        <v>45230</v>
      </c>
      <c r="H1285" s="1">
        <f>TablaDatos[[#This Row],[FechaIngreso]]+TablaDatos[[#This Row],[DiasNuevo]]</f>
        <v>45259</v>
      </c>
      <c r="I1285">
        <v>29</v>
      </c>
      <c r="J1285" t="s">
        <v>23</v>
      </c>
      <c r="K1285" s="3">
        <v>12851.42</v>
      </c>
      <c r="L1285" t="b">
        <f>TablaDatos[[#This Row],[FechaAlta]] &lt; TablaDatos[[#This Row],[FechaIngreso]]</f>
        <v>0</v>
      </c>
      <c r="M1285">
        <f>_xlfn.XLOOKUP(TablaDatos[[#This Row],[PacienteID]],'Datos_Ejemplo.csv'!A:A,'Datos_Ejemplo.csv'!I:I)</f>
        <v>29</v>
      </c>
      <c r="N1285">
        <f>ABS(TablaDatos[[#This Row],[DiasOriginal]])</f>
        <v>29</v>
      </c>
      <c r="O1285" s="1">
        <f>TablaDatos[[#This Row],[FechaIngreso]]+TablaDatos[[#This Row],[DiasNuevo]]</f>
        <v>45259</v>
      </c>
    </row>
    <row r="1286" spans="1:15">
      <c r="A1286">
        <v>1285</v>
      </c>
      <c r="B1286" t="s">
        <v>355</v>
      </c>
      <c r="C1286" s="1">
        <v>42735</v>
      </c>
      <c r="D1286">
        <v>9</v>
      </c>
      <c r="E1286" s="4" t="s">
        <v>12</v>
      </c>
      <c r="F1286" t="s">
        <v>261</v>
      </c>
      <c r="G1286" s="1">
        <v>45222</v>
      </c>
      <c r="H1286" s="1">
        <f>TablaDatos[[#This Row],[FechaIngreso]]+TablaDatos[[#This Row],[DiasNuevo]]</f>
        <v>45247</v>
      </c>
      <c r="I1286">
        <v>25</v>
      </c>
      <c r="J1286" t="s">
        <v>23</v>
      </c>
      <c r="K1286" s="3">
        <v>2669.71</v>
      </c>
      <c r="L1286" t="b">
        <f>TablaDatos[[#This Row],[FechaAlta]] &lt; TablaDatos[[#This Row],[FechaIngreso]]</f>
        <v>0</v>
      </c>
      <c r="M1286">
        <f>_xlfn.XLOOKUP(TablaDatos[[#This Row],[PacienteID]],'Datos_Ejemplo.csv'!A:A,'Datos_Ejemplo.csv'!I:I)</f>
        <v>25</v>
      </c>
      <c r="N1286">
        <f>ABS(TablaDatos[[#This Row],[DiasOriginal]])</f>
        <v>25</v>
      </c>
      <c r="O1286" s="1">
        <f>TablaDatos[[#This Row],[FechaIngreso]]+TablaDatos[[#This Row],[DiasNuevo]]</f>
        <v>45247</v>
      </c>
    </row>
    <row r="1287" spans="1:15">
      <c r="A1287">
        <v>1286</v>
      </c>
      <c r="B1287" t="s">
        <v>348</v>
      </c>
      <c r="C1287" s="1">
        <v>19359</v>
      </c>
      <c r="D1287">
        <v>73</v>
      </c>
      <c r="E1287" s="4" t="s">
        <v>15</v>
      </c>
      <c r="F1287" t="s">
        <v>201</v>
      </c>
      <c r="G1287" s="1">
        <v>45078</v>
      </c>
      <c r="H1287" s="1">
        <f>TablaDatos[[#This Row],[FechaIngreso]]+TablaDatos[[#This Row],[DiasNuevo]]</f>
        <v>45085</v>
      </c>
      <c r="I1287">
        <v>7</v>
      </c>
      <c r="J1287" t="s">
        <v>19</v>
      </c>
      <c r="K1287" s="3">
        <v>4388.8</v>
      </c>
      <c r="L1287" t="b">
        <f>TablaDatos[[#This Row],[FechaAlta]] &lt; TablaDatos[[#This Row],[FechaIngreso]]</f>
        <v>0</v>
      </c>
      <c r="M1287">
        <f>_xlfn.XLOOKUP(TablaDatos[[#This Row],[PacienteID]],'Datos_Ejemplo.csv'!A:A,'Datos_Ejemplo.csv'!I:I)</f>
        <v>7</v>
      </c>
      <c r="N1287">
        <f>ABS(TablaDatos[[#This Row],[DiasOriginal]])</f>
        <v>7</v>
      </c>
      <c r="O1287" s="1">
        <f>TablaDatos[[#This Row],[FechaIngreso]]+TablaDatos[[#This Row],[DiasNuevo]]</f>
        <v>45085</v>
      </c>
    </row>
    <row r="1288" spans="1:15">
      <c r="A1288">
        <v>1287</v>
      </c>
      <c r="B1288" t="s">
        <v>283</v>
      </c>
      <c r="C1288" s="1">
        <v>16072</v>
      </c>
      <c r="D1288">
        <v>82</v>
      </c>
      <c r="E1288" s="4" t="s">
        <v>12</v>
      </c>
      <c r="F1288" t="s">
        <v>32</v>
      </c>
      <c r="G1288" s="1">
        <v>45149</v>
      </c>
      <c r="H1288" s="1">
        <f>TablaDatos[[#This Row],[FechaIngreso]]+TablaDatos[[#This Row],[DiasNuevo]]</f>
        <v>45154</v>
      </c>
      <c r="I1288">
        <v>5</v>
      </c>
      <c r="J1288" t="s">
        <v>25</v>
      </c>
      <c r="K1288" s="3">
        <v>18004.38</v>
      </c>
      <c r="L1288" t="b">
        <f>TablaDatos[[#This Row],[FechaAlta]] &lt; TablaDatos[[#This Row],[FechaIngreso]]</f>
        <v>0</v>
      </c>
      <c r="M1288">
        <f>_xlfn.XLOOKUP(TablaDatos[[#This Row],[PacienteID]],'Datos_Ejemplo.csv'!A:A,'Datos_Ejemplo.csv'!I:I)</f>
        <v>5</v>
      </c>
      <c r="N1288">
        <f>ABS(TablaDatos[[#This Row],[DiasOriginal]])</f>
        <v>5</v>
      </c>
      <c r="O1288" s="1">
        <f>TablaDatos[[#This Row],[FechaIngreso]]+TablaDatos[[#This Row],[DiasNuevo]]</f>
        <v>45154</v>
      </c>
    </row>
    <row r="1289" spans="1:15">
      <c r="A1289">
        <v>1288</v>
      </c>
      <c r="B1289" t="s">
        <v>254</v>
      </c>
      <c r="C1289" s="1">
        <v>33969</v>
      </c>
      <c r="D1289">
        <v>33</v>
      </c>
      <c r="E1289" s="4" t="s">
        <v>15</v>
      </c>
      <c r="F1289" t="s">
        <v>13</v>
      </c>
      <c r="G1289" s="1">
        <v>45122</v>
      </c>
      <c r="H1289" s="1">
        <f>TablaDatos[[#This Row],[FechaIngreso]]+TablaDatos[[#This Row],[DiasNuevo]]</f>
        <v>45152</v>
      </c>
      <c r="I1289">
        <v>30</v>
      </c>
      <c r="J1289" t="s">
        <v>19</v>
      </c>
      <c r="K1289" s="3">
        <v>13953.24</v>
      </c>
      <c r="L1289" t="b">
        <f>TablaDatos[[#This Row],[FechaAlta]] &lt; TablaDatos[[#This Row],[FechaIngreso]]</f>
        <v>0</v>
      </c>
      <c r="M1289">
        <f>_xlfn.XLOOKUP(TablaDatos[[#This Row],[PacienteID]],'Datos_Ejemplo.csv'!A:A,'Datos_Ejemplo.csv'!I:I)</f>
        <v>30</v>
      </c>
      <c r="N1289">
        <f>ABS(TablaDatos[[#This Row],[DiasOriginal]])</f>
        <v>30</v>
      </c>
      <c r="O1289" s="1">
        <f>TablaDatos[[#This Row],[FechaIngreso]]+TablaDatos[[#This Row],[DiasNuevo]]</f>
        <v>45152</v>
      </c>
    </row>
    <row r="1290" spans="1:15">
      <c r="A1290">
        <v>1289</v>
      </c>
      <c r="B1290" t="s">
        <v>313</v>
      </c>
      <c r="C1290" s="1">
        <v>14611</v>
      </c>
      <c r="D1290">
        <v>86</v>
      </c>
      <c r="E1290" s="4" t="s">
        <v>12</v>
      </c>
      <c r="F1290" t="s">
        <v>18</v>
      </c>
      <c r="G1290" s="1">
        <v>45526</v>
      </c>
      <c r="H1290" s="1">
        <f>TablaDatos[[#This Row],[FechaIngreso]]+TablaDatos[[#This Row],[DiasNuevo]]</f>
        <v>45536</v>
      </c>
      <c r="I1290">
        <v>10</v>
      </c>
      <c r="J1290" t="s">
        <v>19</v>
      </c>
      <c r="K1290" s="3">
        <v>3707.55</v>
      </c>
      <c r="L1290" t="b">
        <f>TablaDatos[[#This Row],[FechaAlta]] &lt; TablaDatos[[#This Row],[FechaIngreso]]</f>
        <v>0</v>
      </c>
      <c r="M1290">
        <f>_xlfn.XLOOKUP(TablaDatos[[#This Row],[PacienteID]],'Datos_Ejemplo.csv'!A:A,'Datos_Ejemplo.csv'!I:I)</f>
        <v>10</v>
      </c>
      <c r="N1290">
        <f>ABS(TablaDatos[[#This Row],[DiasOriginal]])</f>
        <v>10</v>
      </c>
      <c r="O1290" s="1">
        <f>TablaDatos[[#This Row],[FechaIngreso]]+TablaDatos[[#This Row],[DiasNuevo]]</f>
        <v>45536</v>
      </c>
    </row>
    <row r="1291" spans="1:15">
      <c r="A1291">
        <v>1290</v>
      </c>
      <c r="B1291" t="s">
        <v>161</v>
      </c>
      <c r="C1291" s="1">
        <v>26299</v>
      </c>
      <c r="D1291">
        <v>54</v>
      </c>
      <c r="E1291" s="4" t="s">
        <v>15</v>
      </c>
      <c r="F1291" t="s">
        <v>13</v>
      </c>
      <c r="G1291" s="1">
        <v>45225</v>
      </c>
      <c r="H1291" s="1">
        <f>TablaDatos[[#This Row],[FechaIngreso]]+TablaDatos[[#This Row],[DiasNuevo]]</f>
        <v>45257</v>
      </c>
      <c r="I1291">
        <v>32</v>
      </c>
      <c r="J1291" t="s">
        <v>19</v>
      </c>
      <c r="K1291" s="3">
        <v>11361.23</v>
      </c>
      <c r="L1291" t="b">
        <f>TablaDatos[[#This Row],[FechaAlta]] &lt; TablaDatos[[#This Row],[FechaIngreso]]</f>
        <v>0</v>
      </c>
      <c r="M1291">
        <f>_xlfn.XLOOKUP(TablaDatos[[#This Row],[PacienteID]],'Datos_Ejemplo.csv'!A:A,'Datos_Ejemplo.csv'!I:I)</f>
        <v>32</v>
      </c>
      <c r="N1291">
        <f>ABS(TablaDatos[[#This Row],[DiasOriginal]])</f>
        <v>32</v>
      </c>
      <c r="O1291" s="1">
        <f>TablaDatos[[#This Row],[FechaIngreso]]+TablaDatos[[#This Row],[DiasNuevo]]</f>
        <v>45257</v>
      </c>
    </row>
    <row r="1292" spans="1:15">
      <c r="A1292">
        <v>1291</v>
      </c>
      <c r="B1292" t="s">
        <v>254</v>
      </c>
      <c r="C1292" s="1">
        <f ca="1">DATE(YEAR(TODAY())-TablaDatos[[#This Row],[Edad]],1,1)</f>
        <v>12785</v>
      </c>
      <c r="D1292">
        <v>91</v>
      </c>
      <c r="E1292" s="4" t="s">
        <v>12</v>
      </c>
      <c r="F1292" t="s">
        <v>261</v>
      </c>
      <c r="G1292" s="1">
        <v>45455</v>
      </c>
      <c r="H1292" s="1">
        <f>TablaDatos[[#This Row],[FechaIngreso]]+TablaDatos[[#This Row],[DiasNuevo]]</f>
        <v>45481</v>
      </c>
      <c r="I1292">
        <v>26</v>
      </c>
      <c r="J1292" t="s">
        <v>23</v>
      </c>
      <c r="K1292" s="3">
        <v>18688.7</v>
      </c>
      <c r="L1292" t="b">
        <f>TablaDatos[[#This Row],[FechaAlta]] &lt; TablaDatos[[#This Row],[FechaIngreso]]</f>
        <v>0</v>
      </c>
      <c r="M1292">
        <f>_xlfn.XLOOKUP(TablaDatos[[#This Row],[PacienteID]],'Datos_Ejemplo.csv'!A:A,'Datos_Ejemplo.csv'!I:I)</f>
        <v>26</v>
      </c>
      <c r="N1292">
        <f>ABS(TablaDatos[[#This Row],[DiasOriginal]])</f>
        <v>26</v>
      </c>
      <c r="O1292" s="1">
        <f>TablaDatos[[#This Row],[FechaIngreso]]+TablaDatos[[#This Row],[DiasNuevo]]</f>
        <v>45481</v>
      </c>
    </row>
    <row r="1293" spans="1:15">
      <c r="A1293">
        <v>1292</v>
      </c>
      <c r="B1293" t="s">
        <v>239</v>
      </c>
      <c r="C1293" s="1">
        <v>34700</v>
      </c>
      <c r="D1293">
        <v>31</v>
      </c>
      <c r="E1293" s="4" t="s">
        <v>15</v>
      </c>
      <c r="F1293" t="s">
        <v>13</v>
      </c>
      <c r="G1293" s="1">
        <v>45414</v>
      </c>
      <c r="H1293" s="1">
        <f>TablaDatos[[#This Row],[FechaIngreso]]+TablaDatos[[#This Row],[DiasNuevo]]</f>
        <v>45416</v>
      </c>
      <c r="I1293">
        <v>2</v>
      </c>
      <c r="J1293" t="s">
        <v>25</v>
      </c>
      <c r="K1293" s="3">
        <v>6837.94</v>
      </c>
      <c r="L1293" t="b">
        <f>TablaDatos[[#This Row],[FechaAlta]] &lt; TablaDatos[[#This Row],[FechaIngreso]]</f>
        <v>0</v>
      </c>
      <c r="M1293">
        <f>_xlfn.XLOOKUP(TablaDatos[[#This Row],[PacienteID]],'Datos_Ejemplo.csv'!A:A,'Datos_Ejemplo.csv'!I:I)</f>
        <v>2</v>
      </c>
      <c r="N1293">
        <f>ABS(TablaDatos[[#This Row],[DiasOriginal]])</f>
        <v>2</v>
      </c>
      <c r="O1293" s="1">
        <f>TablaDatos[[#This Row],[FechaIngreso]]+TablaDatos[[#This Row],[DiasNuevo]]</f>
        <v>45416</v>
      </c>
    </row>
    <row r="1294" spans="1:15">
      <c r="A1294">
        <v>1293</v>
      </c>
      <c r="B1294" t="s">
        <v>308</v>
      </c>
      <c r="C1294" s="1">
        <v>28125</v>
      </c>
      <c r="D1294">
        <v>49</v>
      </c>
      <c r="E1294" s="4" t="s">
        <v>15</v>
      </c>
      <c r="F1294" t="s">
        <v>32</v>
      </c>
      <c r="G1294" s="1">
        <v>45137</v>
      </c>
      <c r="H1294" s="1">
        <f>TablaDatos[[#This Row],[FechaIngreso]]+TablaDatos[[#This Row],[DiasNuevo]]</f>
        <v>45137</v>
      </c>
      <c r="I1294">
        <v>0</v>
      </c>
      <c r="J1294" t="s">
        <v>19</v>
      </c>
      <c r="K1294" s="3">
        <v>3634.99</v>
      </c>
      <c r="L1294" t="b">
        <f>TablaDatos[[#This Row],[FechaAlta]] &lt; TablaDatos[[#This Row],[FechaIngreso]]</f>
        <v>0</v>
      </c>
      <c r="M1294">
        <f>_xlfn.XLOOKUP(TablaDatos[[#This Row],[PacienteID]],'Datos_Ejemplo.csv'!A:A,'Datos_Ejemplo.csv'!I:I)</f>
        <v>0</v>
      </c>
      <c r="N1294">
        <f>ABS(TablaDatos[[#This Row],[DiasOriginal]])</f>
        <v>0</v>
      </c>
      <c r="O1294" s="1">
        <f>TablaDatos[[#This Row],[FechaIngreso]]+TablaDatos[[#This Row],[DiasNuevo]]</f>
        <v>45137</v>
      </c>
    </row>
    <row r="1295" spans="1:15">
      <c r="A1295">
        <v>1294</v>
      </c>
      <c r="B1295" t="s">
        <v>349</v>
      </c>
      <c r="C1295" s="1">
        <v>43831</v>
      </c>
      <c r="D1295">
        <v>6</v>
      </c>
      <c r="E1295" s="4" t="s">
        <v>15</v>
      </c>
      <c r="F1295" t="s">
        <v>201</v>
      </c>
      <c r="G1295" s="1">
        <v>45158</v>
      </c>
      <c r="H1295" s="1">
        <f>TablaDatos[[#This Row],[FechaIngreso]]+TablaDatos[[#This Row],[DiasNuevo]]</f>
        <v>45192</v>
      </c>
      <c r="I1295">
        <v>34</v>
      </c>
      <c r="J1295" t="s">
        <v>19</v>
      </c>
      <c r="K1295" s="3">
        <v>18834.71</v>
      </c>
      <c r="L1295" t="b">
        <f>TablaDatos[[#This Row],[FechaAlta]] &lt; TablaDatos[[#This Row],[FechaIngreso]]</f>
        <v>0</v>
      </c>
      <c r="M1295">
        <f>_xlfn.XLOOKUP(TablaDatos[[#This Row],[PacienteID]],'Datos_Ejemplo.csv'!A:A,'Datos_Ejemplo.csv'!I:I)</f>
        <v>34</v>
      </c>
      <c r="N1295">
        <f>ABS(TablaDatos[[#This Row],[DiasOriginal]])</f>
        <v>34</v>
      </c>
      <c r="O1295" s="1">
        <f>TablaDatos[[#This Row],[FechaIngreso]]+TablaDatos[[#This Row],[DiasNuevo]]</f>
        <v>45192</v>
      </c>
    </row>
    <row r="1296" spans="1:15">
      <c r="A1296">
        <v>1295</v>
      </c>
      <c r="B1296" t="s">
        <v>285</v>
      </c>
      <c r="C1296" s="1">
        <v>12419</v>
      </c>
      <c r="D1296">
        <v>92</v>
      </c>
      <c r="E1296" s="4" t="s">
        <v>15</v>
      </c>
      <c r="F1296" t="s">
        <v>261</v>
      </c>
      <c r="G1296" s="1">
        <v>45621</v>
      </c>
      <c r="H1296" s="1">
        <f>TablaDatos[[#This Row],[FechaIngreso]]+TablaDatos[[#This Row],[DiasNuevo]]</f>
        <v>45659</v>
      </c>
      <c r="I1296">
        <v>38</v>
      </c>
      <c r="J1296" t="s">
        <v>23</v>
      </c>
      <c r="K1296" s="3">
        <v>9171.43</v>
      </c>
      <c r="L1296" t="b">
        <f>TablaDatos[[#This Row],[FechaAlta]] &lt; TablaDatos[[#This Row],[FechaIngreso]]</f>
        <v>0</v>
      </c>
      <c r="M1296">
        <f>_xlfn.XLOOKUP(TablaDatos[[#This Row],[PacienteID]],'Datos_Ejemplo.csv'!A:A,'Datos_Ejemplo.csv'!I:I)</f>
        <v>38</v>
      </c>
      <c r="N1296">
        <f>ABS(TablaDatos[[#This Row],[DiasOriginal]])</f>
        <v>38</v>
      </c>
      <c r="O1296" s="1">
        <f>TablaDatos[[#This Row],[FechaIngreso]]+TablaDatos[[#This Row],[DiasNuevo]]</f>
        <v>45659</v>
      </c>
    </row>
    <row r="1297" spans="1:15">
      <c r="A1297">
        <v>1296</v>
      </c>
      <c r="B1297" t="s">
        <v>270</v>
      </c>
      <c r="C1297" s="1">
        <v>43466</v>
      </c>
      <c r="D1297">
        <v>7</v>
      </c>
      <c r="E1297" s="4" t="s">
        <v>12</v>
      </c>
      <c r="F1297" t="s">
        <v>32</v>
      </c>
      <c r="G1297" s="1">
        <v>45600</v>
      </c>
      <c r="H1297" s="1">
        <f>TablaDatos[[#This Row],[FechaIngreso]]+TablaDatos[[#This Row],[DiasNuevo]]</f>
        <v>45603</v>
      </c>
      <c r="I1297">
        <v>3</v>
      </c>
      <c r="J1297" t="s">
        <v>19</v>
      </c>
      <c r="K1297" s="3">
        <v>8286.56</v>
      </c>
      <c r="L1297" t="b">
        <f>TablaDatos[[#This Row],[FechaAlta]] &lt; TablaDatos[[#This Row],[FechaIngreso]]</f>
        <v>0</v>
      </c>
      <c r="M1297">
        <f>_xlfn.XLOOKUP(TablaDatos[[#This Row],[PacienteID]],'Datos_Ejemplo.csv'!A:A,'Datos_Ejemplo.csv'!I:I)</f>
        <v>3</v>
      </c>
      <c r="N1297">
        <f>ABS(TablaDatos[[#This Row],[DiasOriginal]])</f>
        <v>3</v>
      </c>
      <c r="O1297" s="1">
        <f>TablaDatos[[#This Row],[FechaIngreso]]+TablaDatos[[#This Row],[DiasNuevo]]</f>
        <v>45603</v>
      </c>
    </row>
    <row r="1298" spans="1:15">
      <c r="A1298">
        <v>1297</v>
      </c>
      <c r="B1298" t="s">
        <v>283</v>
      </c>
      <c r="C1298" s="1">
        <v>22646</v>
      </c>
      <c r="D1298">
        <v>64</v>
      </c>
      <c r="E1298" s="4" t="s">
        <v>12</v>
      </c>
      <c r="F1298" t="s">
        <v>13</v>
      </c>
      <c r="G1298" s="1">
        <v>45293</v>
      </c>
      <c r="H1298" s="1">
        <f>TablaDatos[[#This Row],[FechaIngreso]]+TablaDatos[[#This Row],[DiasNuevo]]</f>
        <v>45332</v>
      </c>
      <c r="I1298">
        <v>39</v>
      </c>
      <c r="J1298" t="s">
        <v>25</v>
      </c>
      <c r="K1298" s="3">
        <v>5278.1</v>
      </c>
      <c r="L1298" t="b">
        <f>TablaDatos[[#This Row],[FechaAlta]] &lt; TablaDatos[[#This Row],[FechaIngreso]]</f>
        <v>0</v>
      </c>
      <c r="M1298">
        <f>_xlfn.XLOOKUP(TablaDatos[[#This Row],[PacienteID]],'Datos_Ejemplo.csv'!A:A,'Datos_Ejemplo.csv'!I:I)</f>
        <v>39</v>
      </c>
      <c r="N1298">
        <f>ABS(TablaDatos[[#This Row],[DiasOriginal]])</f>
        <v>39</v>
      </c>
      <c r="O1298" s="1">
        <f>TablaDatos[[#This Row],[FechaIngreso]]+TablaDatos[[#This Row],[DiasNuevo]]</f>
        <v>45332</v>
      </c>
    </row>
    <row r="1299" spans="1:15">
      <c r="A1299">
        <v>1298</v>
      </c>
      <c r="B1299" t="s">
        <v>233</v>
      </c>
      <c r="C1299" s="1">
        <v>25568</v>
      </c>
      <c r="D1299">
        <v>56</v>
      </c>
      <c r="E1299" s="4" t="s">
        <v>12</v>
      </c>
      <c r="F1299" t="s">
        <v>32</v>
      </c>
      <c r="G1299" s="1">
        <v>45407</v>
      </c>
      <c r="H1299" s="1">
        <f>TablaDatos[[#This Row],[FechaIngreso]]+TablaDatos[[#This Row],[DiasNuevo]]</f>
        <v>45420</v>
      </c>
      <c r="I1299">
        <v>13</v>
      </c>
      <c r="J1299" t="s">
        <v>19</v>
      </c>
      <c r="K1299" s="3">
        <v>17820.86</v>
      </c>
      <c r="L1299" t="b">
        <f>TablaDatos[[#This Row],[FechaAlta]] &lt; TablaDatos[[#This Row],[FechaIngreso]]</f>
        <v>0</v>
      </c>
      <c r="M1299">
        <f>_xlfn.XLOOKUP(TablaDatos[[#This Row],[PacienteID]],'Datos_Ejemplo.csv'!A:A,'Datos_Ejemplo.csv'!I:I)</f>
        <v>13</v>
      </c>
      <c r="N1299">
        <f>ABS(TablaDatos[[#This Row],[DiasOriginal]])</f>
        <v>13</v>
      </c>
      <c r="O1299" s="1">
        <f>TablaDatos[[#This Row],[FechaIngreso]]+TablaDatos[[#This Row],[DiasNuevo]]</f>
        <v>45420</v>
      </c>
    </row>
    <row r="1300" spans="1:15">
      <c r="A1300">
        <v>1299</v>
      </c>
      <c r="B1300" t="s">
        <v>230</v>
      </c>
      <c r="C1300" s="1">
        <v>21916</v>
      </c>
      <c r="D1300">
        <v>66</v>
      </c>
      <c r="E1300" s="4" t="s">
        <v>15</v>
      </c>
      <c r="F1300" t="s">
        <v>13</v>
      </c>
      <c r="G1300" s="1">
        <v>45508</v>
      </c>
      <c r="H1300" s="1">
        <f>TablaDatos[[#This Row],[FechaIngreso]]+TablaDatos[[#This Row],[DiasNuevo]]</f>
        <v>45540</v>
      </c>
      <c r="I1300">
        <v>32</v>
      </c>
      <c r="J1300" t="s">
        <v>25</v>
      </c>
      <c r="K1300" s="3">
        <v>16896.900000000001</v>
      </c>
      <c r="L1300" t="b">
        <f>TablaDatos[[#This Row],[FechaAlta]] &lt; TablaDatos[[#This Row],[FechaIngreso]]</f>
        <v>0</v>
      </c>
      <c r="M1300">
        <f>_xlfn.XLOOKUP(TablaDatos[[#This Row],[PacienteID]],'Datos_Ejemplo.csv'!A:A,'Datos_Ejemplo.csv'!I:I)</f>
        <v>32</v>
      </c>
      <c r="N1300">
        <f>ABS(TablaDatos[[#This Row],[DiasOriginal]])</f>
        <v>32</v>
      </c>
      <c r="O1300" s="1">
        <f>TablaDatos[[#This Row],[FechaIngreso]]+TablaDatos[[#This Row],[DiasNuevo]]</f>
        <v>45540</v>
      </c>
    </row>
    <row r="1301" spans="1:15">
      <c r="A1301">
        <v>1300</v>
      </c>
      <c r="B1301" t="s">
        <v>285</v>
      </c>
      <c r="C1301" s="1">
        <v>14246</v>
      </c>
      <c r="D1301">
        <v>87</v>
      </c>
      <c r="E1301" s="4" t="s">
        <v>12</v>
      </c>
      <c r="F1301" t="s">
        <v>21</v>
      </c>
      <c r="G1301" s="1">
        <v>45498</v>
      </c>
      <c r="H1301" s="1">
        <f>TablaDatos[[#This Row],[FechaIngreso]]+TablaDatos[[#This Row],[DiasNuevo]]</f>
        <v>45513</v>
      </c>
      <c r="I1301">
        <v>15</v>
      </c>
      <c r="J1301" t="s">
        <v>25</v>
      </c>
      <c r="K1301" s="3">
        <v>8000.11</v>
      </c>
      <c r="L1301" t="b">
        <f>TablaDatos[[#This Row],[FechaAlta]] &lt; TablaDatos[[#This Row],[FechaIngreso]]</f>
        <v>0</v>
      </c>
      <c r="M1301">
        <f>_xlfn.XLOOKUP(TablaDatos[[#This Row],[PacienteID]],'Datos_Ejemplo.csv'!A:A,'Datos_Ejemplo.csv'!I:I)</f>
        <v>15</v>
      </c>
      <c r="N1301">
        <f>ABS(TablaDatos[[#This Row],[DiasOriginal]])</f>
        <v>15</v>
      </c>
      <c r="O1301" s="1">
        <f>TablaDatos[[#This Row],[FechaIngreso]]+TablaDatos[[#This Row],[DiasNuevo]]</f>
        <v>45513</v>
      </c>
    </row>
    <row r="1302" spans="1:15">
      <c r="A1302">
        <v>1301</v>
      </c>
      <c r="B1302" t="s">
        <v>289</v>
      </c>
      <c r="C1302" s="1">
        <v>14611</v>
      </c>
      <c r="D1302">
        <v>86</v>
      </c>
      <c r="E1302" s="4" t="s">
        <v>15</v>
      </c>
      <c r="F1302" t="s">
        <v>13</v>
      </c>
      <c r="G1302" s="1">
        <v>45105</v>
      </c>
      <c r="H1302" s="1">
        <f>TablaDatos[[#This Row],[FechaIngreso]]+TablaDatos[[#This Row],[DiasNuevo]]</f>
        <v>45113</v>
      </c>
      <c r="I1302">
        <v>8</v>
      </c>
      <c r="J1302" t="s">
        <v>23</v>
      </c>
      <c r="K1302" s="3">
        <v>515.33000000000004</v>
      </c>
      <c r="L1302" t="b">
        <f>TablaDatos[[#This Row],[FechaAlta]] &lt; TablaDatos[[#This Row],[FechaIngreso]]</f>
        <v>0</v>
      </c>
      <c r="M1302">
        <f>_xlfn.XLOOKUP(TablaDatos[[#This Row],[PacienteID]],'Datos_Ejemplo.csv'!A:A,'Datos_Ejemplo.csv'!I:I)</f>
        <v>8</v>
      </c>
      <c r="N1302">
        <f>ABS(TablaDatos[[#This Row],[DiasOriginal]])</f>
        <v>8</v>
      </c>
      <c r="O1302" s="1">
        <f>TablaDatos[[#This Row],[FechaIngreso]]+TablaDatos[[#This Row],[DiasNuevo]]</f>
        <v>45113</v>
      </c>
    </row>
    <row r="1303" spans="1:15">
      <c r="A1303">
        <v>1302</v>
      </c>
      <c r="B1303" t="s">
        <v>346</v>
      </c>
      <c r="C1303" s="1">
        <v>24838</v>
      </c>
      <c r="D1303">
        <v>58</v>
      </c>
      <c r="E1303" s="4" t="s">
        <v>12</v>
      </c>
      <c r="F1303" t="s">
        <v>295</v>
      </c>
      <c r="G1303" s="1">
        <v>45410</v>
      </c>
      <c r="H1303" s="1">
        <f>TablaDatos[[#This Row],[FechaIngreso]]+TablaDatos[[#This Row],[DiasNuevo]]</f>
        <v>45430</v>
      </c>
      <c r="I1303">
        <v>20</v>
      </c>
      <c r="J1303" t="s">
        <v>23</v>
      </c>
      <c r="K1303" s="3">
        <v>8877.69</v>
      </c>
      <c r="L1303" t="b">
        <f>TablaDatos[[#This Row],[FechaAlta]] &lt; TablaDatos[[#This Row],[FechaIngreso]]</f>
        <v>0</v>
      </c>
      <c r="M1303">
        <f>_xlfn.XLOOKUP(TablaDatos[[#This Row],[PacienteID]],'Datos_Ejemplo.csv'!A:A,'Datos_Ejemplo.csv'!I:I)</f>
        <v>20</v>
      </c>
      <c r="N1303">
        <f>ABS(TablaDatos[[#This Row],[DiasOriginal]])</f>
        <v>20</v>
      </c>
      <c r="O1303" s="1">
        <f>TablaDatos[[#This Row],[FechaIngreso]]+TablaDatos[[#This Row],[DiasNuevo]]</f>
        <v>45430</v>
      </c>
    </row>
    <row r="1304" spans="1:15">
      <c r="A1304">
        <v>1303</v>
      </c>
      <c r="B1304" t="s">
        <v>105</v>
      </c>
      <c r="C1304" s="1">
        <v>20090</v>
      </c>
      <c r="D1304">
        <v>71</v>
      </c>
      <c r="E1304" s="4" t="s">
        <v>197</v>
      </c>
      <c r="F1304" t="s">
        <v>32</v>
      </c>
      <c r="G1304" s="1">
        <v>45515</v>
      </c>
      <c r="H1304" s="1">
        <f>TablaDatos[[#This Row],[FechaIngreso]]+TablaDatos[[#This Row],[DiasNuevo]]</f>
        <v>45523</v>
      </c>
      <c r="I1304">
        <v>8</v>
      </c>
      <c r="J1304" t="s">
        <v>23</v>
      </c>
      <c r="K1304" s="3">
        <v>3535.25</v>
      </c>
      <c r="L1304" t="b">
        <f>TablaDatos[[#This Row],[FechaAlta]] &lt; TablaDatos[[#This Row],[FechaIngreso]]</f>
        <v>0</v>
      </c>
      <c r="M1304">
        <f>_xlfn.XLOOKUP(TablaDatos[[#This Row],[PacienteID]],'Datos_Ejemplo.csv'!A:A,'Datos_Ejemplo.csv'!I:I)</f>
        <v>8</v>
      </c>
      <c r="N1304">
        <f>ABS(TablaDatos[[#This Row],[DiasOriginal]])</f>
        <v>8</v>
      </c>
      <c r="O1304" s="1">
        <f>TablaDatos[[#This Row],[FechaIngreso]]+TablaDatos[[#This Row],[DiasNuevo]]</f>
        <v>45523</v>
      </c>
    </row>
    <row r="1305" spans="1:15">
      <c r="A1305">
        <v>1304</v>
      </c>
      <c r="B1305" t="s">
        <v>235</v>
      </c>
      <c r="C1305" s="1">
        <v>26664</v>
      </c>
      <c r="D1305">
        <v>53</v>
      </c>
      <c r="E1305" s="4" t="s">
        <v>15</v>
      </c>
      <c r="F1305" t="s">
        <v>201</v>
      </c>
      <c r="G1305" s="1">
        <v>45421</v>
      </c>
      <c r="H1305" s="1">
        <f>TablaDatos[[#This Row],[FechaIngreso]]+TablaDatos[[#This Row],[DiasNuevo]]</f>
        <v>45447</v>
      </c>
      <c r="I1305">
        <v>26</v>
      </c>
      <c r="J1305" t="s">
        <v>23</v>
      </c>
      <c r="K1305" s="3">
        <v>2768.95</v>
      </c>
      <c r="L1305" t="b">
        <f>TablaDatos[[#This Row],[FechaAlta]] &lt; TablaDatos[[#This Row],[FechaIngreso]]</f>
        <v>0</v>
      </c>
      <c r="M1305">
        <f>_xlfn.XLOOKUP(TablaDatos[[#This Row],[PacienteID]],'Datos_Ejemplo.csv'!A:A,'Datos_Ejemplo.csv'!I:I)</f>
        <v>26</v>
      </c>
      <c r="N1305">
        <f>ABS(TablaDatos[[#This Row],[DiasOriginal]])</f>
        <v>26</v>
      </c>
      <c r="O1305" s="1">
        <f>TablaDatos[[#This Row],[FechaIngreso]]+TablaDatos[[#This Row],[DiasNuevo]]</f>
        <v>45447</v>
      </c>
    </row>
    <row r="1306" spans="1:15">
      <c r="A1306">
        <v>1305</v>
      </c>
      <c r="B1306" t="s">
        <v>356</v>
      </c>
      <c r="C1306" s="1">
        <v>21916</v>
      </c>
      <c r="D1306">
        <v>66</v>
      </c>
      <c r="E1306" s="4" t="s">
        <v>15</v>
      </c>
      <c r="F1306" t="s">
        <v>32</v>
      </c>
      <c r="G1306" s="1">
        <v>45473</v>
      </c>
      <c r="H1306" s="1">
        <f>TablaDatos[[#This Row],[FechaIngreso]]+TablaDatos[[#This Row],[DiasNuevo]]</f>
        <v>45512</v>
      </c>
      <c r="I1306">
        <v>39</v>
      </c>
      <c r="J1306" t="s">
        <v>23</v>
      </c>
      <c r="K1306" s="3">
        <v>7801.18</v>
      </c>
      <c r="L1306" t="b">
        <f>TablaDatos[[#This Row],[FechaAlta]] &lt; TablaDatos[[#This Row],[FechaIngreso]]</f>
        <v>0</v>
      </c>
      <c r="M1306">
        <f>_xlfn.XLOOKUP(TablaDatos[[#This Row],[PacienteID]],'Datos_Ejemplo.csv'!A:A,'Datos_Ejemplo.csv'!I:I)</f>
        <v>39</v>
      </c>
      <c r="N1306">
        <f>ABS(TablaDatos[[#This Row],[DiasOriginal]])</f>
        <v>39</v>
      </c>
      <c r="O1306" s="1">
        <f>TablaDatos[[#This Row],[FechaIngreso]]+TablaDatos[[#This Row],[DiasNuevo]]</f>
        <v>45512</v>
      </c>
    </row>
    <row r="1307" spans="1:15">
      <c r="A1307">
        <v>1306</v>
      </c>
      <c r="B1307" t="s">
        <v>356</v>
      </c>
      <c r="C1307" s="1">
        <v>27760</v>
      </c>
      <c r="D1307">
        <f ca="1">DATEDIF(TablaDatos[[#This Row],[FechaNacimiento]],TODAY(),"Y")</f>
        <v>50</v>
      </c>
      <c r="E1307" s="4" t="s">
        <v>15</v>
      </c>
      <c r="F1307" t="s">
        <v>18</v>
      </c>
      <c r="G1307" s="1">
        <v>44942</v>
      </c>
      <c r="H1307" s="1">
        <f>TablaDatos[[#This Row],[FechaIngreso]]+TablaDatos[[#This Row],[DiasNuevo]]</f>
        <v>44966</v>
      </c>
      <c r="I1307">
        <v>24</v>
      </c>
      <c r="J1307" t="s">
        <v>23</v>
      </c>
      <c r="K1307" s="3">
        <v>1891.45</v>
      </c>
      <c r="L1307" t="b">
        <f>TablaDatos[[#This Row],[FechaAlta]] &lt; TablaDatos[[#This Row],[FechaIngreso]]</f>
        <v>0</v>
      </c>
      <c r="M1307">
        <f>_xlfn.XLOOKUP(TablaDatos[[#This Row],[PacienteID]],'Datos_Ejemplo.csv'!A:A,'Datos_Ejemplo.csv'!I:I)</f>
        <v>24</v>
      </c>
      <c r="N1307">
        <f>ABS(TablaDatos[[#This Row],[DiasOriginal]])</f>
        <v>24</v>
      </c>
      <c r="O1307" s="1">
        <f>TablaDatos[[#This Row],[FechaIngreso]]+TablaDatos[[#This Row],[DiasNuevo]]</f>
        <v>44966</v>
      </c>
    </row>
    <row r="1308" spans="1:15">
      <c r="A1308">
        <v>1307</v>
      </c>
      <c r="B1308" t="s">
        <v>244</v>
      </c>
      <c r="C1308" s="1">
        <v>12785</v>
      </c>
      <c r="D1308">
        <v>91</v>
      </c>
      <c r="E1308" s="4" t="s">
        <v>12</v>
      </c>
      <c r="F1308" t="s">
        <v>201</v>
      </c>
      <c r="G1308" s="1">
        <v>45392</v>
      </c>
      <c r="H1308" s="1">
        <f>TablaDatos[[#This Row],[FechaIngreso]]+TablaDatos[[#This Row],[DiasNuevo]]</f>
        <v>45398</v>
      </c>
      <c r="I1308">
        <v>6</v>
      </c>
      <c r="J1308" t="s">
        <v>25</v>
      </c>
      <c r="K1308" s="3">
        <v>19145.04</v>
      </c>
      <c r="L1308" t="b">
        <f>TablaDatos[[#This Row],[FechaAlta]] &lt; TablaDatos[[#This Row],[FechaIngreso]]</f>
        <v>0</v>
      </c>
      <c r="M1308">
        <f>_xlfn.XLOOKUP(TablaDatos[[#This Row],[PacienteID]],'Datos_Ejemplo.csv'!A:A,'Datos_Ejemplo.csv'!I:I)</f>
        <v>6</v>
      </c>
      <c r="N1308">
        <f>ABS(TablaDatos[[#This Row],[DiasOriginal]])</f>
        <v>6</v>
      </c>
      <c r="O1308" s="1">
        <f>TablaDatos[[#This Row],[FechaIngreso]]+TablaDatos[[#This Row],[DiasNuevo]]</f>
        <v>45398</v>
      </c>
    </row>
    <row r="1309" spans="1:15">
      <c r="A1309">
        <v>1308</v>
      </c>
      <c r="B1309" t="s">
        <v>162</v>
      </c>
      <c r="C1309" s="1">
        <v>43466</v>
      </c>
      <c r="D1309">
        <v>7</v>
      </c>
      <c r="E1309" s="4" t="s">
        <v>12</v>
      </c>
      <c r="F1309" t="s">
        <v>201</v>
      </c>
      <c r="G1309" s="1">
        <v>45328</v>
      </c>
      <c r="H1309" s="1">
        <f>TablaDatos[[#This Row],[FechaIngreso]]+TablaDatos[[#This Row],[DiasNuevo]]</f>
        <v>45360</v>
      </c>
      <c r="I1309">
        <v>32</v>
      </c>
      <c r="J1309" t="s">
        <v>23</v>
      </c>
      <c r="K1309" s="3">
        <v>855.54</v>
      </c>
      <c r="L1309" t="b">
        <f>TablaDatos[[#This Row],[FechaAlta]] &lt; TablaDatos[[#This Row],[FechaIngreso]]</f>
        <v>0</v>
      </c>
      <c r="M1309">
        <f>_xlfn.XLOOKUP(TablaDatos[[#This Row],[PacienteID]],'Datos_Ejemplo.csv'!A:A,'Datos_Ejemplo.csv'!I:I)</f>
        <v>32</v>
      </c>
      <c r="N1309">
        <f>ABS(TablaDatos[[#This Row],[DiasOriginal]])</f>
        <v>32</v>
      </c>
      <c r="O1309" s="1">
        <f>TablaDatos[[#This Row],[FechaIngreso]]+TablaDatos[[#This Row],[DiasNuevo]]</f>
        <v>45360</v>
      </c>
    </row>
    <row r="1310" spans="1:15">
      <c r="A1310">
        <v>1309</v>
      </c>
      <c r="B1310" t="s">
        <v>363</v>
      </c>
      <c r="C1310" s="1">
        <v>33969</v>
      </c>
      <c r="D1310">
        <v>33</v>
      </c>
      <c r="E1310" s="4" t="s">
        <v>12</v>
      </c>
      <c r="F1310" t="s">
        <v>18</v>
      </c>
      <c r="G1310" s="1">
        <v>45220</v>
      </c>
      <c r="H1310" s="1">
        <f>TablaDatos[[#This Row],[FechaIngreso]]+TablaDatos[[#This Row],[DiasNuevo]]</f>
        <v>45226</v>
      </c>
      <c r="I1310">
        <v>6</v>
      </c>
      <c r="J1310" t="s">
        <v>23</v>
      </c>
      <c r="K1310" s="3">
        <v>7967.53</v>
      </c>
      <c r="L1310" t="b">
        <f>TablaDatos[[#This Row],[FechaAlta]] &lt; TablaDatos[[#This Row],[FechaIngreso]]</f>
        <v>0</v>
      </c>
      <c r="M1310">
        <f>_xlfn.XLOOKUP(TablaDatos[[#This Row],[PacienteID]],'Datos_Ejemplo.csv'!A:A,'Datos_Ejemplo.csv'!I:I)</f>
        <v>6</v>
      </c>
      <c r="N1310">
        <f>ABS(TablaDatos[[#This Row],[DiasOriginal]])</f>
        <v>6</v>
      </c>
      <c r="O1310" s="1">
        <f>TablaDatos[[#This Row],[FechaIngreso]]+TablaDatos[[#This Row],[DiasNuevo]]</f>
        <v>45226</v>
      </c>
    </row>
    <row r="1311" spans="1:15">
      <c r="A1311">
        <v>1310</v>
      </c>
      <c r="B1311" t="s">
        <v>313</v>
      </c>
      <c r="C1311" s="1">
        <v>33604</v>
      </c>
      <c r="D1311">
        <v>34</v>
      </c>
      <c r="E1311" s="4" t="s">
        <v>15</v>
      </c>
      <c r="F1311" t="s">
        <v>295</v>
      </c>
      <c r="G1311" s="1">
        <v>45097</v>
      </c>
      <c r="H1311" s="1">
        <f>TablaDatos[[#This Row],[FechaIngreso]]+TablaDatos[[#This Row],[DiasNuevo]]</f>
        <v>45112</v>
      </c>
      <c r="I1311">
        <v>15</v>
      </c>
      <c r="J1311" t="s">
        <v>23</v>
      </c>
      <c r="K1311" s="3">
        <v>3170.32</v>
      </c>
      <c r="L1311" t="b">
        <f>TablaDatos[[#This Row],[FechaAlta]] &lt; TablaDatos[[#This Row],[FechaIngreso]]</f>
        <v>0</v>
      </c>
      <c r="M1311">
        <f>_xlfn.XLOOKUP(TablaDatos[[#This Row],[PacienteID]],'Datos_Ejemplo.csv'!A:A,'Datos_Ejemplo.csv'!I:I)</f>
        <v>15</v>
      </c>
      <c r="N1311">
        <f>ABS(TablaDatos[[#This Row],[DiasOriginal]])</f>
        <v>15</v>
      </c>
      <c r="O1311" s="1">
        <f>TablaDatos[[#This Row],[FechaIngreso]]+TablaDatos[[#This Row],[DiasNuevo]]</f>
        <v>45112</v>
      </c>
    </row>
    <row r="1312" spans="1:15">
      <c r="A1312">
        <v>1311</v>
      </c>
      <c r="B1312" t="s">
        <v>280</v>
      </c>
      <c r="C1312" s="1">
        <v>14246</v>
      </c>
      <c r="D1312">
        <v>87</v>
      </c>
      <c r="E1312" s="4" t="s">
        <v>12</v>
      </c>
      <c r="F1312" t="s">
        <v>32</v>
      </c>
      <c r="G1312" s="1">
        <v>44958</v>
      </c>
      <c r="H1312" s="1">
        <f>TablaDatos[[#This Row],[FechaIngreso]]+TablaDatos[[#This Row],[DiasNuevo]]</f>
        <v>44976</v>
      </c>
      <c r="I1312">
        <v>18</v>
      </c>
      <c r="J1312" t="s">
        <v>23</v>
      </c>
      <c r="K1312" s="3">
        <v>13745.11</v>
      </c>
      <c r="L1312" t="b">
        <f>TablaDatos[[#This Row],[FechaAlta]] &lt; TablaDatos[[#This Row],[FechaIngreso]]</f>
        <v>0</v>
      </c>
      <c r="M1312">
        <f>_xlfn.XLOOKUP(TablaDatos[[#This Row],[PacienteID]],'Datos_Ejemplo.csv'!A:A,'Datos_Ejemplo.csv'!I:I)</f>
        <v>18</v>
      </c>
      <c r="N1312">
        <f>ABS(TablaDatos[[#This Row],[DiasOriginal]])</f>
        <v>18</v>
      </c>
      <c r="O1312" s="1">
        <f>TablaDatos[[#This Row],[FechaIngreso]]+TablaDatos[[#This Row],[DiasNuevo]]</f>
        <v>44976</v>
      </c>
    </row>
    <row r="1313" spans="1:15">
      <c r="A1313">
        <v>1312</v>
      </c>
      <c r="B1313" t="s">
        <v>361</v>
      </c>
      <c r="C1313" s="1">
        <v>17898</v>
      </c>
      <c r="D1313">
        <v>77</v>
      </c>
      <c r="E1313" s="4" t="s">
        <v>12</v>
      </c>
      <c r="F1313" t="s">
        <v>201</v>
      </c>
      <c r="G1313" s="1">
        <v>45189</v>
      </c>
      <c r="H1313" s="1">
        <f>TablaDatos[[#This Row],[FechaIngreso]]+TablaDatos[[#This Row],[DiasNuevo]]</f>
        <v>45222</v>
      </c>
      <c r="I1313">
        <v>33</v>
      </c>
      <c r="J1313" t="s">
        <v>25</v>
      </c>
      <c r="K1313" s="3">
        <v>1484.11</v>
      </c>
      <c r="L1313" t="b">
        <f>TablaDatos[[#This Row],[FechaAlta]] &lt; TablaDatos[[#This Row],[FechaIngreso]]</f>
        <v>0</v>
      </c>
      <c r="M1313">
        <f>_xlfn.XLOOKUP(TablaDatos[[#This Row],[PacienteID]],'Datos_Ejemplo.csv'!A:A,'Datos_Ejemplo.csv'!I:I)</f>
        <v>33</v>
      </c>
      <c r="N1313">
        <f>ABS(TablaDatos[[#This Row],[DiasOriginal]])</f>
        <v>33</v>
      </c>
      <c r="O1313" s="1">
        <f>TablaDatos[[#This Row],[FechaIngreso]]+TablaDatos[[#This Row],[DiasNuevo]]</f>
        <v>45222</v>
      </c>
    </row>
    <row r="1314" spans="1:15">
      <c r="A1314">
        <v>1313</v>
      </c>
      <c r="B1314" t="s">
        <v>265</v>
      </c>
      <c r="C1314" s="1">
        <v>34700</v>
      </c>
      <c r="D1314">
        <v>31</v>
      </c>
      <c r="E1314" s="4" t="s">
        <v>15</v>
      </c>
      <c r="F1314" t="s">
        <v>32</v>
      </c>
      <c r="G1314" s="1">
        <v>45141</v>
      </c>
      <c r="H1314" s="1">
        <f>TablaDatos[[#This Row],[FechaIngreso]]+TablaDatos[[#This Row],[DiasNuevo]]</f>
        <v>45143</v>
      </c>
      <c r="I1314">
        <v>2</v>
      </c>
      <c r="J1314" t="s">
        <v>19</v>
      </c>
      <c r="K1314" s="3">
        <v>10890.79</v>
      </c>
      <c r="L1314" t="b">
        <f>TablaDatos[[#This Row],[FechaAlta]] &lt; TablaDatos[[#This Row],[FechaIngreso]]</f>
        <v>0</v>
      </c>
      <c r="M1314">
        <f>_xlfn.XLOOKUP(TablaDatos[[#This Row],[PacienteID]],'Datos_Ejemplo.csv'!A:A,'Datos_Ejemplo.csv'!I:I)</f>
        <v>-2</v>
      </c>
      <c r="N1314">
        <f>ABS(TablaDatos[[#This Row],[DiasOriginal]])</f>
        <v>2</v>
      </c>
      <c r="O1314" s="1">
        <f>TablaDatos[[#This Row],[FechaIngreso]]+TablaDatos[[#This Row],[DiasNuevo]]</f>
        <v>45143</v>
      </c>
    </row>
    <row r="1315" spans="1:15">
      <c r="A1315">
        <v>1314</v>
      </c>
      <c r="B1315" t="s">
        <v>111</v>
      </c>
      <c r="C1315" s="1">
        <f ca="1">DATE(YEAR(TODAY())-TablaDatos[[#This Row],[Edad]],1,1)</f>
        <v>29587</v>
      </c>
      <c r="D1315">
        <v>45</v>
      </c>
      <c r="E1315" s="4" t="s">
        <v>12</v>
      </c>
      <c r="F1315" t="s">
        <v>201</v>
      </c>
      <c r="G1315" s="1">
        <v>45484</v>
      </c>
      <c r="H1315" s="1">
        <f>TablaDatos[[#This Row],[FechaIngreso]]+TablaDatos[[#This Row],[DiasNuevo]]</f>
        <v>45508</v>
      </c>
      <c r="I1315">
        <v>24</v>
      </c>
      <c r="J1315" t="s">
        <v>23</v>
      </c>
      <c r="K1315" s="3">
        <v>15439.34</v>
      </c>
      <c r="L1315" t="b">
        <f>TablaDatos[[#This Row],[FechaAlta]] &lt; TablaDatos[[#This Row],[FechaIngreso]]</f>
        <v>0</v>
      </c>
      <c r="M1315">
        <f>_xlfn.XLOOKUP(TablaDatos[[#This Row],[PacienteID]],'Datos_Ejemplo.csv'!A:A,'Datos_Ejemplo.csv'!I:I)</f>
        <v>24</v>
      </c>
      <c r="N1315">
        <f>ABS(TablaDatos[[#This Row],[DiasOriginal]])</f>
        <v>24</v>
      </c>
      <c r="O1315" s="1">
        <f>TablaDatos[[#This Row],[FechaIngreso]]+TablaDatos[[#This Row],[DiasNuevo]]</f>
        <v>45508</v>
      </c>
    </row>
    <row r="1316" spans="1:15">
      <c r="A1316">
        <v>1315</v>
      </c>
      <c r="B1316" t="s">
        <v>244</v>
      </c>
      <c r="C1316" s="1">
        <v>40544</v>
      </c>
      <c r="D1316">
        <v>15</v>
      </c>
      <c r="E1316" s="4" t="s">
        <v>15</v>
      </c>
      <c r="F1316" t="s">
        <v>18</v>
      </c>
      <c r="G1316" s="1">
        <v>45115</v>
      </c>
      <c r="H1316" s="1">
        <f>TablaDatos[[#This Row],[FechaIngreso]]+TablaDatos[[#This Row],[DiasNuevo]]</f>
        <v>45152</v>
      </c>
      <c r="I1316">
        <v>37</v>
      </c>
      <c r="J1316" t="s">
        <v>23</v>
      </c>
      <c r="K1316" s="3">
        <v>18996.2</v>
      </c>
      <c r="L1316" t="b">
        <f>TablaDatos[[#This Row],[FechaAlta]] &lt; TablaDatos[[#This Row],[FechaIngreso]]</f>
        <v>0</v>
      </c>
      <c r="M1316">
        <f>_xlfn.XLOOKUP(TablaDatos[[#This Row],[PacienteID]],'Datos_Ejemplo.csv'!A:A,'Datos_Ejemplo.csv'!I:I)</f>
        <v>37</v>
      </c>
      <c r="N1316">
        <f>ABS(TablaDatos[[#This Row],[DiasOriginal]])</f>
        <v>37</v>
      </c>
      <c r="O1316" s="1">
        <f>TablaDatos[[#This Row],[FechaIngreso]]+TablaDatos[[#This Row],[DiasNuevo]]</f>
        <v>45152</v>
      </c>
    </row>
    <row r="1317" spans="1:15">
      <c r="A1317">
        <v>1316</v>
      </c>
      <c r="B1317" t="s">
        <v>343</v>
      </c>
      <c r="C1317" s="1">
        <v>21551</v>
      </c>
      <c r="D1317">
        <v>67</v>
      </c>
      <c r="E1317" s="4" t="s">
        <v>15</v>
      </c>
      <c r="F1317" t="s">
        <v>18</v>
      </c>
      <c r="G1317" s="1">
        <v>45509</v>
      </c>
      <c r="H1317" s="1">
        <f>TablaDatos[[#This Row],[FechaIngreso]]+TablaDatos[[#This Row],[DiasNuevo]]</f>
        <v>45544</v>
      </c>
      <c r="I1317">
        <v>35</v>
      </c>
      <c r="J1317" t="s">
        <v>23</v>
      </c>
      <c r="K1317" s="3">
        <v>13940.4</v>
      </c>
      <c r="L1317" t="b">
        <f>TablaDatos[[#This Row],[FechaAlta]] &lt; TablaDatos[[#This Row],[FechaIngreso]]</f>
        <v>0</v>
      </c>
      <c r="M1317">
        <f>_xlfn.XLOOKUP(TablaDatos[[#This Row],[PacienteID]],'Datos_Ejemplo.csv'!A:A,'Datos_Ejemplo.csv'!I:I)</f>
        <v>35</v>
      </c>
      <c r="N1317">
        <f>ABS(TablaDatos[[#This Row],[DiasOriginal]])</f>
        <v>35</v>
      </c>
      <c r="O1317" s="1">
        <f>TablaDatos[[#This Row],[FechaIngreso]]+TablaDatos[[#This Row],[DiasNuevo]]</f>
        <v>45544</v>
      </c>
    </row>
    <row r="1318" spans="1:15">
      <c r="A1318">
        <v>1317</v>
      </c>
      <c r="B1318" t="s">
        <v>122</v>
      </c>
      <c r="C1318" s="1">
        <v>32873</v>
      </c>
      <c r="D1318">
        <v>36</v>
      </c>
      <c r="E1318" s="4" t="s">
        <v>12</v>
      </c>
      <c r="F1318" t="s">
        <v>13</v>
      </c>
      <c r="G1318" s="1">
        <v>45526</v>
      </c>
      <c r="H1318" s="1">
        <f>TablaDatos[[#This Row],[FechaIngreso]]+TablaDatos[[#This Row],[DiasNuevo]]</f>
        <v>45552</v>
      </c>
      <c r="I1318">
        <v>26</v>
      </c>
      <c r="J1318" t="s">
        <v>23</v>
      </c>
      <c r="K1318" s="3">
        <v>1899.78</v>
      </c>
      <c r="L1318" t="b">
        <f>TablaDatos[[#This Row],[FechaAlta]] &lt; TablaDatos[[#This Row],[FechaIngreso]]</f>
        <v>0</v>
      </c>
      <c r="M1318">
        <f>_xlfn.XLOOKUP(TablaDatos[[#This Row],[PacienteID]],'Datos_Ejemplo.csv'!A:A,'Datos_Ejemplo.csv'!I:I)</f>
        <v>26</v>
      </c>
      <c r="N1318">
        <f>ABS(TablaDatos[[#This Row],[DiasOriginal]])</f>
        <v>26</v>
      </c>
      <c r="O1318" s="1">
        <f>TablaDatos[[#This Row],[FechaIngreso]]+TablaDatos[[#This Row],[DiasNuevo]]</f>
        <v>45552</v>
      </c>
    </row>
    <row r="1319" spans="1:15">
      <c r="A1319">
        <v>1318</v>
      </c>
      <c r="B1319" t="s">
        <v>265</v>
      </c>
      <c r="C1319" s="1">
        <f ca="1">DATE(YEAR(TODAY())-TablaDatos[[#This Row],[Edad]],1,1)</f>
        <v>26665</v>
      </c>
      <c r="D1319">
        <v>53</v>
      </c>
      <c r="E1319" s="4" t="s">
        <v>15</v>
      </c>
      <c r="F1319" t="s">
        <v>261</v>
      </c>
      <c r="G1319" s="1">
        <v>45187</v>
      </c>
      <c r="H1319" s="1">
        <f>TablaDatos[[#This Row],[FechaIngreso]]+TablaDatos[[#This Row],[DiasNuevo]]</f>
        <v>45224</v>
      </c>
      <c r="I1319">
        <v>37</v>
      </c>
      <c r="J1319" t="s">
        <v>23</v>
      </c>
      <c r="K1319" s="3">
        <v>1679.26</v>
      </c>
      <c r="L1319" t="b">
        <f>TablaDatos[[#This Row],[FechaAlta]] &lt; TablaDatos[[#This Row],[FechaIngreso]]</f>
        <v>0</v>
      </c>
      <c r="M1319">
        <f>_xlfn.XLOOKUP(TablaDatos[[#This Row],[PacienteID]],'Datos_Ejemplo.csv'!A:A,'Datos_Ejemplo.csv'!I:I)</f>
        <v>37</v>
      </c>
      <c r="N1319">
        <f>ABS(TablaDatos[[#This Row],[DiasOriginal]])</f>
        <v>37</v>
      </c>
      <c r="O1319" s="1">
        <f>TablaDatos[[#This Row],[FechaIngreso]]+TablaDatos[[#This Row],[DiasNuevo]]</f>
        <v>45224</v>
      </c>
    </row>
    <row r="1320" spans="1:15">
      <c r="A1320">
        <v>1319</v>
      </c>
      <c r="B1320" t="s">
        <v>280</v>
      </c>
      <c r="C1320" s="1">
        <v>15341</v>
      </c>
      <c r="D1320">
        <v>84</v>
      </c>
      <c r="E1320" s="4" t="s">
        <v>12</v>
      </c>
      <c r="F1320" t="s">
        <v>32</v>
      </c>
      <c r="G1320" s="1">
        <v>45108</v>
      </c>
      <c r="H1320" s="1">
        <f>TablaDatos[[#This Row],[FechaIngreso]]+TablaDatos[[#This Row],[DiasNuevo]]</f>
        <v>45124</v>
      </c>
      <c r="I1320">
        <v>16</v>
      </c>
      <c r="J1320" t="s">
        <v>23</v>
      </c>
      <c r="K1320" s="3">
        <v>14605.12</v>
      </c>
      <c r="L1320" t="b">
        <f>TablaDatos[[#This Row],[FechaAlta]] &lt; TablaDatos[[#This Row],[FechaIngreso]]</f>
        <v>0</v>
      </c>
      <c r="M1320">
        <f>_xlfn.XLOOKUP(TablaDatos[[#This Row],[PacienteID]],'Datos_Ejemplo.csv'!A:A,'Datos_Ejemplo.csv'!I:I)</f>
        <v>16</v>
      </c>
      <c r="N1320">
        <f>ABS(TablaDatos[[#This Row],[DiasOriginal]])</f>
        <v>16</v>
      </c>
      <c r="O1320" s="1">
        <f>TablaDatos[[#This Row],[FechaIngreso]]+TablaDatos[[#This Row],[DiasNuevo]]</f>
        <v>45124</v>
      </c>
    </row>
    <row r="1321" spans="1:15">
      <c r="A1321">
        <v>1320</v>
      </c>
      <c r="B1321" t="s">
        <v>162</v>
      </c>
      <c r="C1321" s="1">
        <v>41274</v>
      </c>
      <c r="D1321">
        <v>13</v>
      </c>
      <c r="E1321" s="4" t="s">
        <v>12</v>
      </c>
      <c r="F1321" t="s">
        <v>32</v>
      </c>
      <c r="G1321" s="1">
        <v>45431</v>
      </c>
      <c r="H1321" s="1">
        <f>TablaDatos[[#This Row],[FechaIngreso]]+TablaDatos[[#This Row],[DiasNuevo]]</f>
        <v>45452</v>
      </c>
      <c r="I1321">
        <v>21</v>
      </c>
      <c r="J1321" t="s">
        <v>25</v>
      </c>
      <c r="K1321" s="3">
        <v>4228.12</v>
      </c>
      <c r="L1321" t="b">
        <f>TablaDatos[[#This Row],[FechaAlta]] &lt; TablaDatos[[#This Row],[FechaIngreso]]</f>
        <v>0</v>
      </c>
      <c r="M1321">
        <f>_xlfn.XLOOKUP(TablaDatos[[#This Row],[PacienteID]],'Datos_Ejemplo.csv'!A:A,'Datos_Ejemplo.csv'!I:I)</f>
        <v>21</v>
      </c>
      <c r="N1321">
        <f>ABS(TablaDatos[[#This Row],[DiasOriginal]])</f>
        <v>21</v>
      </c>
      <c r="O1321" s="1">
        <f>TablaDatos[[#This Row],[FechaIngreso]]+TablaDatos[[#This Row],[DiasNuevo]]</f>
        <v>45452</v>
      </c>
    </row>
    <row r="1322" spans="1:15">
      <c r="A1322">
        <v>1321</v>
      </c>
      <c r="B1322" t="s">
        <v>136</v>
      </c>
      <c r="C1322" s="1">
        <v>11689</v>
      </c>
      <c r="D1322">
        <v>94</v>
      </c>
      <c r="E1322" s="4" t="s">
        <v>15</v>
      </c>
      <c r="F1322" t="s">
        <v>201</v>
      </c>
      <c r="G1322" s="1">
        <v>45268</v>
      </c>
      <c r="H1322" s="1">
        <f>TablaDatos[[#This Row],[FechaIngreso]]+TablaDatos[[#This Row],[DiasNuevo]]</f>
        <v>45270</v>
      </c>
      <c r="I1322">
        <v>2</v>
      </c>
      <c r="J1322" t="s">
        <v>19</v>
      </c>
      <c r="K1322" s="3">
        <v>8889.51</v>
      </c>
      <c r="L1322" t="b">
        <f>TablaDatos[[#This Row],[FechaAlta]] &lt; TablaDatos[[#This Row],[FechaIngreso]]</f>
        <v>0</v>
      </c>
      <c r="M1322">
        <f>_xlfn.XLOOKUP(TablaDatos[[#This Row],[PacienteID]],'Datos_Ejemplo.csv'!A:A,'Datos_Ejemplo.csv'!I:I)</f>
        <v>-2</v>
      </c>
      <c r="N1322">
        <f>ABS(TablaDatos[[#This Row],[DiasOriginal]])</f>
        <v>2</v>
      </c>
      <c r="O1322" s="1">
        <f>TablaDatos[[#This Row],[FechaIngreso]]+TablaDatos[[#This Row],[DiasNuevo]]</f>
        <v>45270</v>
      </c>
    </row>
    <row r="1323" spans="1:15">
      <c r="A1323">
        <v>1322</v>
      </c>
      <c r="B1323" t="s">
        <v>306</v>
      </c>
      <c r="C1323" s="1">
        <v>26299</v>
      </c>
      <c r="D1323">
        <v>54</v>
      </c>
      <c r="E1323" s="4" t="s">
        <v>12</v>
      </c>
      <c r="F1323" t="s">
        <v>13</v>
      </c>
      <c r="G1323" s="1">
        <v>44948</v>
      </c>
      <c r="H1323" s="1">
        <f>TablaDatos[[#This Row],[FechaIngreso]]+TablaDatos[[#This Row],[DiasNuevo]]</f>
        <v>44981</v>
      </c>
      <c r="I1323">
        <v>33</v>
      </c>
      <c r="J1323" t="s">
        <v>23</v>
      </c>
      <c r="K1323" s="3">
        <v>19530.080000000002</v>
      </c>
      <c r="L1323" t="b">
        <f>TablaDatos[[#This Row],[FechaAlta]] &lt; TablaDatos[[#This Row],[FechaIngreso]]</f>
        <v>0</v>
      </c>
      <c r="M1323">
        <f>_xlfn.XLOOKUP(TablaDatos[[#This Row],[PacienteID]],'Datos_Ejemplo.csv'!A:A,'Datos_Ejemplo.csv'!I:I)</f>
        <v>33</v>
      </c>
      <c r="N1323">
        <f>ABS(TablaDatos[[#This Row],[DiasOriginal]])</f>
        <v>33</v>
      </c>
      <c r="O1323" s="1">
        <f>TablaDatos[[#This Row],[FechaIngreso]]+TablaDatos[[#This Row],[DiasNuevo]]</f>
        <v>44981</v>
      </c>
    </row>
    <row r="1324" spans="1:15">
      <c r="A1324">
        <v>1323</v>
      </c>
      <c r="B1324" t="s">
        <v>49</v>
      </c>
      <c r="C1324" s="1">
        <v>28856</v>
      </c>
      <c r="D1324">
        <v>47</v>
      </c>
      <c r="E1324" s="4" t="s">
        <v>12</v>
      </c>
      <c r="F1324" t="s">
        <v>32</v>
      </c>
      <c r="G1324" s="1">
        <v>45000</v>
      </c>
      <c r="H1324" s="1">
        <f>TablaDatos[[#This Row],[FechaIngreso]]+TablaDatos[[#This Row],[DiasNuevo]]</f>
        <v>45020</v>
      </c>
      <c r="I1324">
        <v>20</v>
      </c>
      <c r="J1324" t="s">
        <v>19</v>
      </c>
      <c r="K1324" s="3">
        <v>16380.13</v>
      </c>
      <c r="L1324" t="b">
        <f>TablaDatos[[#This Row],[FechaAlta]] &lt; TablaDatos[[#This Row],[FechaIngreso]]</f>
        <v>0</v>
      </c>
      <c r="M1324">
        <f>_xlfn.XLOOKUP(TablaDatos[[#This Row],[PacienteID]],'Datos_Ejemplo.csv'!A:A,'Datos_Ejemplo.csv'!I:I)</f>
        <v>20</v>
      </c>
      <c r="N1324">
        <f>ABS(TablaDatos[[#This Row],[DiasOriginal]])</f>
        <v>20</v>
      </c>
      <c r="O1324" s="1">
        <f>TablaDatos[[#This Row],[FechaIngreso]]+TablaDatos[[#This Row],[DiasNuevo]]</f>
        <v>45020</v>
      </c>
    </row>
    <row r="1325" spans="1:15">
      <c r="A1325">
        <v>1324</v>
      </c>
      <c r="B1325" t="s">
        <v>336</v>
      </c>
      <c r="C1325" s="1">
        <v>16437</v>
      </c>
      <c r="D1325">
        <v>81</v>
      </c>
      <c r="E1325" s="4" t="s">
        <v>15</v>
      </c>
      <c r="F1325" t="s">
        <v>201</v>
      </c>
      <c r="G1325" s="1">
        <v>45528</v>
      </c>
      <c r="H1325" s="1">
        <f>TablaDatos[[#This Row],[FechaIngreso]]+TablaDatos[[#This Row],[DiasNuevo]]</f>
        <v>45538</v>
      </c>
      <c r="I1325">
        <v>10</v>
      </c>
      <c r="J1325" t="s">
        <v>23</v>
      </c>
      <c r="K1325" s="3">
        <v>16916.53</v>
      </c>
      <c r="L1325" t="b">
        <f>TablaDatos[[#This Row],[FechaAlta]] &lt; TablaDatos[[#This Row],[FechaIngreso]]</f>
        <v>0</v>
      </c>
      <c r="M1325">
        <f>_xlfn.XLOOKUP(TablaDatos[[#This Row],[PacienteID]],'Datos_Ejemplo.csv'!A:A,'Datos_Ejemplo.csv'!I:I)</f>
        <v>10</v>
      </c>
      <c r="N1325">
        <f>ABS(TablaDatos[[#This Row],[DiasOriginal]])</f>
        <v>10</v>
      </c>
      <c r="O1325" s="1">
        <f>TablaDatos[[#This Row],[FechaIngreso]]+TablaDatos[[#This Row],[DiasNuevo]]</f>
        <v>45538</v>
      </c>
    </row>
    <row r="1326" spans="1:15">
      <c r="A1326">
        <v>1325</v>
      </c>
      <c r="B1326" t="s">
        <v>274</v>
      </c>
      <c r="C1326" s="1">
        <f ca="1">DATE(YEAR(TODAY())-TablaDatos[[#This Row],[Edad]],1,1)</f>
        <v>43831</v>
      </c>
      <c r="D1326">
        <v>6</v>
      </c>
      <c r="E1326" s="4" t="s">
        <v>15</v>
      </c>
      <c r="F1326" t="s">
        <v>295</v>
      </c>
      <c r="G1326" s="1">
        <v>45092</v>
      </c>
      <c r="H1326" s="1">
        <f>TablaDatos[[#This Row],[FechaIngreso]]+TablaDatos[[#This Row],[DiasNuevo]]</f>
        <v>45119</v>
      </c>
      <c r="I1326">
        <v>27</v>
      </c>
      <c r="J1326" t="s">
        <v>23</v>
      </c>
      <c r="K1326" s="3">
        <v>17201.48</v>
      </c>
      <c r="L1326" t="b">
        <f>TablaDatos[[#This Row],[FechaAlta]] &lt; TablaDatos[[#This Row],[FechaIngreso]]</f>
        <v>0</v>
      </c>
      <c r="M1326">
        <f>_xlfn.XLOOKUP(TablaDatos[[#This Row],[PacienteID]],'Datos_Ejemplo.csv'!A:A,'Datos_Ejemplo.csv'!I:I)</f>
        <v>27</v>
      </c>
      <c r="N1326">
        <f>ABS(TablaDatos[[#This Row],[DiasOriginal]])</f>
        <v>27</v>
      </c>
      <c r="O1326" s="1">
        <f>TablaDatos[[#This Row],[FechaIngreso]]+TablaDatos[[#This Row],[DiasNuevo]]</f>
        <v>45119</v>
      </c>
    </row>
    <row r="1327" spans="1:15">
      <c r="A1327">
        <v>1326</v>
      </c>
      <c r="B1327" t="s">
        <v>301</v>
      </c>
      <c r="C1327" s="1">
        <v>19359</v>
      </c>
      <c r="D1327">
        <v>73</v>
      </c>
      <c r="E1327" s="4" t="s">
        <v>15</v>
      </c>
      <c r="F1327" t="s">
        <v>18</v>
      </c>
      <c r="G1327" s="1">
        <v>45160</v>
      </c>
      <c r="H1327" s="1">
        <f>TablaDatos[[#This Row],[FechaIngreso]]+TablaDatos[[#This Row],[DiasNuevo]]</f>
        <v>45194</v>
      </c>
      <c r="I1327">
        <v>34</v>
      </c>
      <c r="J1327" t="s">
        <v>19</v>
      </c>
      <c r="K1327" s="3">
        <v>12352.86</v>
      </c>
      <c r="L1327" t="b">
        <f>TablaDatos[[#This Row],[FechaAlta]] &lt; TablaDatos[[#This Row],[FechaIngreso]]</f>
        <v>0</v>
      </c>
      <c r="M1327">
        <f>_xlfn.XLOOKUP(TablaDatos[[#This Row],[PacienteID]],'Datos_Ejemplo.csv'!A:A,'Datos_Ejemplo.csv'!I:I)</f>
        <v>34</v>
      </c>
      <c r="N1327">
        <f>ABS(TablaDatos[[#This Row],[DiasOriginal]])</f>
        <v>34</v>
      </c>
      <c r="O1327" s="1">
        <f>TablaDatos[[#This Row],[FechaIngreso]]+TablaDatos[[#This Row],[DiasNuevo]]</f>
        <v>45194</v>
      </c>
    </row>
    <row r="1328" spans="1:15">
      <c r="A1328">
        <v>1327</v>
      </c>
      <c r="B1328" t="s">
        <v>237</v>
      </c>
      <c r="C1328" s="1">
        <v>43831</v>
      </c>
      <c r="D1328">
        <v>6</v>
      </c>
      <c r="E1328" s="4" t="s">
        <v>15</v>
      </c>
      <c r="F1328" t="s">
        <v>18</v>
      </c>
      <c r="G1328" s="1">
        <v>45301</v>
      </c>
      <c r="H1328" s="1">
        <f>TablaDatos[[#This Row],[FechaIngreso]]+TablaDatos[[#This Row],[DiasNuevo]]</f>
        <v>45309</v>
      </c>
      <c r="I1328">
        <v>8</v>
      </c>
      <c r="J1328" t="s">
        <v>23</v>
      </c>
      <c r="K1328" s="3">
        <v>14853.07</v>
      </c>
      <c r="L1328" t="b">
        <f>TablaDatos[[#This Row],[FechaAlta]] &lt; TablaDatos[[#This Row],[FechaIngreso]]</f>
        <v>0</v>
      </c>
      <c r="M1328">
        <f>_xlfn.XLOOKUP(TablaDatos[[#This Row],[PacienteID]],'Datos_Ejemplo.csv'!A:A,'Datos_Ejemplo.csv'!I:I)</f>
        <v>8</v>
      </c>
      <c r="N1328">
        <f>ABS(TablaDatos[[#This Row],[DiasOriginal]])</f>
        <v>8</v>
      </c>
      <c r="O1328" s="1">
        <f>TablaDatos[[#This Row],[FechaIngreso]]+TablaDatos[[#This Row],[DiasNuevo]]</f>
        <v>45309</v>
      </c>
    </row>
    <row r="1329" spans="1:15">
      <c r="A1329">
        <v>1328</v>
      </c>
      <c r="B1329" t="s">
        <v>309</v>
      </c>
      <c r="C1329" s="1">
        <v>34334</v>
      </c>
      <c r="D1329">
        <v>32</v>
      </c>
      <c r="E1329" s="4" t="s">
        <v>15</v>
      </c>
      <c r="F1329" t="s">
        <v>261</v>
      </c>
      <c r="G1329" s="1">
        <v>45359</v>
      </c>
      <c r="H1329" s="1">
        <f>TablaDatos[[#This Row],[FechaIngreso]]+TablaDatos[[#This Row],[DiasNuevo]]</f>
        <v>45363</v>
      </c>
      <c r="I1329">
        <v>4</v>
      </c>
      <c r="J1329" t="s">
        <v>23</v>
      </c>
      <c r="K1329" s="3">
        <v>7115.11</v>
      </c>
      <c r="L1329" t="b">
        <f>TablaDatos[[#This Row],[FechaAlta]] &lt; TablaDatos[[#This Row],[FechaIngreso]]</f>
        <v>0</v>
      </c>
      <c r="M1329">
        <f>_xlfn.XLOOKUP(TablaDatos[[#This Row],[PacienteID]],'Datos_Ejemplo.csv'!A:A,'Datos_Ejemplo.csv'!I:I)</f>
        <v>4</v>
      </c>
      <c r="N1329">
        <f>ABS(TablaDatos[[#This Row],[DiasOriginal]])</f>
        <v>4</v>
      </c>
      <c r="O1329" s="1">
        <f>TablaDatos[[#This Row],[FechaIngreso]]+TablaDatos[[#This Row],[DiasNuevo]]</f>
        <v>45363</v>
      </c>
    </row>
    <row r="1330" spans="1:15">
      <c r="A1330">
        <v>1329</v>
      </c>
      <c r="B1330" t="s">
        <v>162</v>
      </c>
      <c r="C1330" s="1">
        <f ca="1">DATE(YEAR(TODAY())-TablaDatos[[#This Row],[Edad]],1,1)</f>
        <v>37987</v>
      </c>
      <c r="D1330">
        <v>22</v>
      </c>
      <c r="E1330" s="4" t="s">
        <v>15</v>
      </c>
      <c r="F1330" t="s">
        <v>18</v>
      </c>
      <c r="G1330" s="1">
        <v>45567</v>
      </c>
      <c r="H1330" s="1">
        <f>TablaDatos[[#This Row],[FechaIngreso]]+TablaDatos[[#This Row],[DiasNuevo]]</f>
        <v>45599</v>
      </c>
      <c r="I1330">
        <v>32</v>
      </c>
      <c r="J1330" t="s">
        <v>23</v>
      </c>
      <c r="K1330" s="3">
        <v>19968.77</v>
      </c>
      <c r="L1330" t="b">
        <f>TablaDatos[[#This Row],[FechaAlta]] &lt; TablaDatos[[#This Row],[FechaIngreso]]</f>
        <v>0</v>
      </c>
      <c r="M1330">
        <f>_xlfn.XLOOKUP(TablaDatos[[#This Row],[PacienteID]],'Datos_Ejemplo.csv'!A:A,'Datos_Ejemplo.csv'!I:I)</f>
        <v>32</v>
      </c>
      <c r="N1330">
        <f>ABS(TablaDatos[[#This Row],[DiasOriginal]])</f>
        <v>32</v>
      </c>
      <c r="O1330" s="1">
        <f>TablaDatos[[#This Row],[FechaIngreso]]+TablaDatos[[#This Row],[DiasNuevo]]</f>
        <v>45599</v>
      </c>
    </row>
    <row r="1331" spans="1:15">
      <c r="A1331">
        <v>1330</v>
      </c>
      <c r="B1331" t="s">
        <v>280</v>
      </c>
      <c r="C1331" s="1">
        <v>15341</v>
      </c>
      <c r="D1331">
        <v>84</v>
      </c>
      <c r="E1331" s="4" t="s">
        <v>15</v>
      </c>
      <c r="F1331" t="s">
        <v>21</v>
      </c>
      <c r="G1331" s="1">
        <v>45260</v>
      </c>
      <c r="H1331" s="1">
        <f>TablaDatos[[#This Row],[FechaIngreso]]+TablaDatos[[#This Row],[DiasNuevo]]</f>
        <v>45268</v>
      </c>
      <c r="I1331">
        <v>8</v>
      </c>
      <c r="J1331" t="s">
        <v>23</v>
      </c>
      <c r="K1331" s="3">
        <v>5520.41</v>
      </c>
      <c r="L1331" t="b">
        <f>TablaDatos[[#This Row],[FechaAlta]] &lt; TablaDatos[[#This Row],[FechaIngreso]]</f>
        <v>0</v>
      </c>
      <c r="M1331">
        <f>_xlfn.XLOOKUP(TablaDatos[[#This Row],[PacienteID]],'Datos_Ejemplo.csv'!A:A,'Datos_Ejemplo.csv'!I:I)</f>
        <v>8</v>
      </c>
      <c r="N1331">
        <f>ABS(TablaDatos[[#This Row],[DiasOriginal]])</f>
        <v>8</v>
      </c>
      <c r="O1331" s="1">
        <f>TablaDatos[[#This Row],[FechaIngreso]]+TablaDatos[[#This Row],[DiasNuevo]]</f>
        <v>45268</v>
      </c>
    </row>
    <row r="1332" spans="1:15">
      <c r="A1332">
        <v>1331</v>
      </c>
      <c r="B1332" t="s">
        <v>338</v>
      </c>
      <c r="C1332" s="1">
        <v>39448</v>
      </c>
      <c r="D1332">
        <v>18</v>
      </c>
      <c r="E1332" s="4" t="s">
        <v>12</v>
      </c>
      <c r="F1332" t="s">
        <v>295</v>
      </c>
      <c r="G1332" s="1">
        <v>45533</v>
      </c>
      <c r="H1332" s="1">
        <f>TablaDatos[[#This Row],[FechaIngreso]]+TablaDatos[[#This Row],[DiasNuevo]]</f>
        <v>45570</v>
      </c>
      <c r="I1332">
        <v>37</v>
      </c>
      <c r="J1332" t="s">
        <v>19</v>
      </c>
      <c r="K1332" s="3">
        <v>11759.15</v>
      </c>
      <c r="L1332" t="b">
        <f>TablaDatos[[#This Row],[FechaAlta]] &lt; TablaDatos[[#This Row],[FechaIngreso]]</f>
        <v>0</v>
      </c>
      <c r="M1332">
        <f>_xlfn.XLOOKUP(TablaDatos[[#This Row],[PacienteID]],'Datos_Ejemplo.csv'!A:A,'Datos_Ejemplo.csv'!I:I)</f>
        <v>37</v>
      </c>
      <c r="N1332">
        <f>ABS(TablaDatos[[#This Row],[DiasOriginal]])</f>
        <v>37</v>
      </c>
      <c r="O1332" s="1">
        <f>TablaDatos[[#This Row],[FechaIngreso]]+TablaDatos[[#This Row],[DiasNuevo]]</f>
        <v>45570</v>
      </c>
    </row>
    <row r="1333" spans="1:15">
      <c r="A1333">
        <v>1332</v>
      </c>
      <c r="B1333" t="s">
        <v>257</v>
      </c>
      <c r="C1333" s="1">
        <v>39448</v>
      </c>
      <c r="D1333">
        <v>18</v>
      </c>
      <c r="E1333" s="4" t="s">
        <v>15</v>
      </c>
      <c r="F1333" t="s">
        <v>295</v>
      </c>
      <c r="G1333" s="1">
        <v>45466</v>
      </c>
      <c r="H1333" s="1">
        <f>TablaDatos[[#This Row],[FechaIngreso]]+TablaDatos[[#This Row],[DiasNuevo]]</f>
        <v>45484</v>
      </c>
      <c r="I1333">
        <v>18</v>
      </c>
      <c r="J1333" t="s">
        <v>19</v>
      </c>
      <c r="K1333" s="3">
        <v>5569.44</v>
      </c>
      <c r="L1333" t="b">
        <f>TablaDatos[[#This Row],[FechaAlta]] &lt; TablaDatos[[#This Row],[FechaIngreso]]</f>
        <v>0</v>
      </c>
      <c r="M1333">
        <f>_xlfn.XLOOKUP(TablaDatos[[#This Row],[PacienteID]],'Datos_Ejemplo.csv'!A:A,'Datos_Ejemplo.csv'!I:I)</f>
        <v>18</v>
      </c>
      <c r="N1333">
        <f>ABS(TablaDatos[[#This Row],[DiasOriginal]])</f>
        <v>18</v>
      </c>
      <c r="O1333" s="1">
        <f>TablaDatos[[#This Row],[FechaIngreso]]+TablaDatos[[#This Row],[DiasNuevo]]</f>
        <v>45484</v>
      </c>
    </row>
    <row r="1334" spans="1:15">
      <c r="A1334">
        <v>1333</v>
      </c>
      <c r="B1334" t="s">
        <v>275</v>
      </c>
      <c r="C1334" s="1">
        <f ca="1">DATE(YEAR(TODAY())-TablaDatos[[#This Row],[Edad]],1,1)</f>
        <v>33239</v>
      </c>
      <c r="D1334">
        <v>35</v>
      </c>
      <c r="E1334" s="4" t="s">
        <v>12</v>
      </c>
      <c r="F1334" t="s">
        <v>13</v>
      </c>
      <c r="G1334" s="1">
        <v>44961</v>
      </c>
      <c r="H1334" s="1">
        <f>TablaDatos[[#This Row],[FechaIngreso]]+TablaDatos[[#This Row],[DiasNuevo]]</f>
        <v>44961</v>
      </c>
      <c r="I1334">
        <v>0</v>
      </c>
      <c r="J1334" t="s">
        <v>23</v>
      </c>
      <c r="K1334" s="3">
        <v>2152.63</v>
      </c>
      <c r="L1334" t="b">
        <f>TablaDatos[[#This Row],[FechaAlta]] &lt; TablaDatos[[#This Row],[FechaIngreso]]</f>
        <v>0</v>
      </c>
      <c r="M1334">
        <f>_xlfn.XLOOKUP(TablaDatos[[#This Row],[PacienteID]],'Datos_Ejemplo.csv'!A:A,'Datos_Ejemplo.csv'!I:I)</f>
        <v>0</v>
      </c>
      <c r="N1334">
        <f>ABS(TablaDatos[[#This Row],[DiasOriginal]])</f>
        <v>0</v>
      </c>
      <c r="O1334" s="1">
        <f>TablaDatos[[#This Row],[FechaIngreso]]+TablaDatos[[#This Row],[DiasNuevo]]</f>
        <v>44961</v>
      </c>
    </row>
    <row r="1335" spans="1:15">
      <c r="A1335">
        <v>1334</v>
      </c>
      <c r="B1335" t="s">
        <v>336</v>
      </c>
      <c r="C1335" s="1">
        <v>35795</v>
      </c>
      <c r="D1335">
        <v>28</v>
      </c>
      <c r="E1335" s="4" t="s">
        <v>12</v>
      </c>
      <c r="F1335" t="s">
        <v>21</v>
      </c>
      <c r="G1335" s="1">
        <v>45370</v>
      </c>
      <c r="H1335" s="1">
        <f>TablaDatos[[#This Row],[FechaIngreso]]+TablaDatos[[#This Row],[DiasNuevo]]</f>
        <v>45397</v>
      </c>
      <c r="I1335">
        <v>27</v>
      </c>
      <c r="J1335" t="s">
        <v>25</v>
      </c>
      <c r="K1335" s="3">
        <v>11308.47</v>
      </c>
      <c r="L1335" t="b">
        <f>TablaDatos[[#This Row],[FechaAlta]] &lt; TablaDatos[[#This Row],[FechaIngreso]]</f>
        <v>0</v>
      </c>
      <c r="M1335">
        <f>_xlfn.XLOOKUP(TablaDatos[[#This Row],[PacienteID]],'Datos_Ejemplo.csv'!A:A,'Datos_Ejemplo.csv'!I:I)</f>
        <v>27</v>
      </c>
      <c r="N1335">
        <f>ABS(TablaDatos[[#This Row],[DiasOriginal]])</f>
        <v>27</v>
      </c>
      <c r="O1335" s="1">
        <f>TablaDatos[[#This Row],[FechaIngreso]]+TablaDatos[[#This Row],[DiasNuevo]]</f>
        <v>45397</v>
      </c>
    </row>
    <row r="1336" spans="1:15">
      <c r="A1336">
        <v>1335</v>
      </c>
      <c r="B1336" t="s">
        <v>359</v>
      </c>
      <c r="C1336" s="1">
        <v>24473</v>
      </c>
      <c r="D1336">
        <v>59</v>
      </c>
      <c r="E1336" s="4" t="s">
        <v>12</v>
      </c>
      <c r="F1336" t="s">
        <v>32</v>
      </c>
      <c r="G1336" s="1">
        <v>45157</v>
      </c>
      <c r="H1336" s="1">
        <f>TablaDatos[[#This Row],[FechaIngreso]]+TablaDatos[[#This Row],[DiasNuevo]]</f>
        <v>45178</v>
      </c>
      <c r="I1336">
        <v>21</v>
      </c>
      <c r="J1336" t="s">
        <v>23</v>
      </c>
      <c r="K1336" s="3">
        <v>7002.31</v>
      </c>
      <c r="L1336" t="b">
        <f>TablaDatos[[#This Row],[FechaAlta]] &lt; TablaDatos[[#This Row],[FechaIngreso]]</f>
        <v>0</v>
      </c>
      <c r="M1336">
        <f>_xlfn.XLOOKUP(TablaDatos[[#This Row],[PacienteID]],'Datos_Ejemplo.csv'!A:A,'Datos_Ejemplo.csv'!I:I)</f>
        <v>21</v>
      </c>
      <c r="N1336">
        <f>ABS(TablaDatos[[#This Row],[DiasOriginal]])</f>
        <v>21</v>
      </c>
      <c r="O1336" s="1">
        <f>TablaDatos[[#This Row],[FechaIngreso]]+TablaDatos[[#This Row],[DiasNuevo]]</f>
        <v>45178</v>
      </c>
    </row>
    <row r="1337" spans="1:15">
      <c r="A1337">
        <v>1336</v>
      </c>
      <c r="B1337" t="s">
        <v>348</v>
      </c>
      <c r="C1337" s="1">
        <v>16437</v>
      </c>
      <c r="D1337">
        <v>81</v>
      </c>
      <c r="E1337" s="4" t="s">
        <v>15</v>
      </c>
      <c r="F1337" t="s">
        <v>261</v>
      </c>
      <c r="G1337" s="1">
        <v>45244</v>
      </c>
      <c r="H1337" s="1">
        <f>TablaDatos[[#This Row],[FechaIngreso]]+TablaDatos[[#This Row],[DiasNuevo]]</f>
        <v>45279</v>
      </c>
      <c r="I1337">
        <v>35</v>
      </c>
      <c r="J1337" t="s">
        <v>19</v>
      </c>
      <c r="K1337" s="3">
        <v>11622.71</v>
      </c>
      <c r="L1337" t="b">
        <f>TablaDatos[[#This Row],[FechaAlta]] &lt; TablaDatos[[#This Row],[FechaIngreso]]</f>
        <v>0</v>
      </c>
      <c r="M1337">
        <f>_xlfn.XLOOKUP(TablaDatos[[#This Row],[PacienteID]],'Datos_Ejemplo.csv'!A:A,'Datos_Ejemplo.csv'!I:I)</f>
        <v>35</v>
      </c>
      <c r="N1337">
        <f>ABS(TablaDatos[[#This Row],[DiasOriginal]])</f>
        <v>35</v>
      </c>
      <c r="O1337" s="1">
        <f>TablaDatos[[#This Row],[FechaIngreso]]+TablaDatos[[#This Row],[DiasNuevo]]</f>
        <v>45279</v>
      </c>
    </row>
    <row r="1338" spans="1:15">
      <c r="A1338">
        <v>1337</v>
      </c>
      <c r="B1338" t="s">
        <v>55</v>
      </c>
      <c r="C1338" s="1">
        <v>45657</v>
      </c>
      <c r="D1338">
        <v>1</v>
      </c>
      <c r="E1338" s="4" t="s">
        <v>12</v>
      </c>
      <c r="F1338" t="s">
        <v>295</v>
      </c>
      <c r="G1338" s="1">
        <v>45269</v>
      </c>
      <c r="H1338" s="1">
        <f>TablaDatos[[#This Row],[FechaIngreso]]+TablaDatos[[#This Row],[DiasNuevo]]</f>
        <v>45269</v>
      </c>
      <c r="I1338">
        <v>0</v>
      </c>
      <c r="J1338" t="s">
        <v>25</v>
      </c>
      <c r="K1338" s="3">
        <v>11129.44</v>
      </c>
      <c r="L1338" t="b">
        <f>TablaDatos[[#This Row],[FechaAlta]] &lt; TablaDatos[[#This Row],[FechaIngreso]]</f>
        <v>0</v>
      </c>
      <c r="M1338">
        <f>_xlfn.XLOOKUP(TablaDatos[[#This Row],[PacienteID]],'Datos_Ejemplo.csv'!A:A,'Datos_Ejemplo.csv'!I:I)</f>
        <v>0</v>
      </c>
      <c r="N1338">
        <f>ABS(TablaDatos[[#This Row],[DiasOriginal]])</f>
        <v>0</v>
      </c>
      <c r="O1338" s="1">
        <f>TablaDatos[[#This Row],[FechaIngreso]]+TablaDatos[[#This Row],[DiasNuevo]]</f>
        <v>45269</v>
      </c>
    </row>
    <row r="1339" spans="1:15">
      <c r="A1339">
        <v>1338</v>
      </c>
      <c r="B1339" t="s">
        <v>39</v>
      </c>
      <c r="C1339" s="1">
        <v>46022</v>
      </c>
      <c r="D1339">
        <f ca="1">DATEDIF(TablaDatos[[#This Row],[FechaNacimiento]],TODAY(),"Y")</f>
        <v>0</v>
      </c>
      <c r="E1339" s="4" t="s">
        <v>12</v>
      </c>
      <c r="F1339" t="s">
        <v>21</v>
      </c>
      <c r="G1339" s="1">
        <v>45356</v>
      </c>
      <c r="H1339" s="1">
        <f>TablaDatos[[#This Row],[FechaIngreso]]+TablaDatos[[#This Row],[DiasNuevo]]</f>
        <v>45390</v>
      </c>
      <c r="I1339">
        <v>34</v>
      </c>
      <c r="J1339" t="s">
        <v>23</v>
      </c>
      <c r="K1339" s="3">
        <v>10799.36</v>
      </c>
      <c r="L1339" t="b">
        <f>TablaDatos[[#This Row],[FechaAlta]] &lt; TablaDatos[[#This Row],[FechaIngreso]]</f>
        <v>0</v>
      </c>
      <c r="M1339">
        <f>_xlfn.XLOOKUP(TablaDatos[[#This Row],[PacienteID]],'Datos_Ejemplo.csv'!A:A,'Datos_Ejemplo.csv'!I:I)</f>
        <v>34</v>
      </c>
      <c r="N1339">
        <f>ABS(TablaDatos[[#This Row],[DiasOriginal]])</f>
        <v>34</v>
      </c>
      <c r="O1339" s="1">
        <f>TablaDatos[[#This Row],[FechaIngreso]]+TablaDatos[[#This Row],[DiasNuevo]]</f>
        <v>45390</v>
      </c>
    </row>
    <row r="1340" spans="1:15">
      <c r="A1340">
        <v>1339</v>
      </c>
      <c r="B1340" t="s">
        <v>252</v>
      </c>
      <c r="C1340" s="1">
        <v>29221</v>
      </c>
      <c r="D1340">
        <v>46</v>
      </c>
      <c r="E1340" s="4" t="s">
        <v>12</v>
      </c>
      <c r="F1340" t="s">
        <v>21</v>
      </c>
      <c r="G1340" s="1">
        <v>45563</v>
      </c>
      <c r="H1340" s="1">
        <f>TablaDatos[[#This Row],[FechaIngreso]]+TablaDatos[[#This Row],[DiasNuevo]]</f>
        <v>45593</v>
      </c>
      <c r="I1340">
        <v>30</v>
      </c>
      <c r="J1340" t="s">
        <v>19</v>
      </c>
      <c r="K1340" s="3">
        <v>2378.35</v>
      </c>
      <c r="L1340" t="b">
        <f>TablaDatos[[#This Row],[FechaAlta]] &lt; TablaDatos[[#This Row],[FechaIngreso]]</f>
        <v>0</v>
      </c>
      <c r="M1340">
        <f>_xlfn.XLOOKUP(TablaDatos[[#This Row],[PacienteID]],'Datos_Ejemplo.csv'!A:A,'Datos_Ejemplo.csv'!I:I)</f>
        <v>30</v>
      </c>
      <c r="N1340">
        <f>ABS(TablaDatos[[#This Row],[DiasOriginal]])</f>
        <v>30</v>
      </c>
      <c r="O1340" s="1">
        <f>TablaDatos[[#This Row],[FechaIngreso]]+TablaDatos[[#This Row],[DiasNuevo]]</f>
        <v>45593</v>
      </c>
    </row>
    <row r="1341" spans="1:15">
      <c r="A1341">
        <v>1340</v>
      </c>
      <c r="B1341" t="s">
        <v>130</v>
      </c>
      <c r="C1341" s="1">
        <v>21185</v>
      </c>
      <c r="D1341">
        <v>68</v>
      </c>
      <c r="E1341" s="4" t="s">
        <v>15</v>
      </c>
      <c r="F1341" t="s">
        <v>201</v>
      </c>
      <c r="G1341" s="1">
        <v>45392</v>
      </c>
      <c r="H1341" s="1">
        <f>TablaDatos[[#This Row],[FechaIngreso]]+TablaDatos[[#This Row],[DiasNuevo]]</f>
        <v>45411</v>
      </c>
      <c r="I1341">
        <v>19</v>
      </c>
      <c r="J1341" t="s">
        <v>19</v>
      </c>
      <c r="K1341" s="3">
        <v>8747.6299999999992</v>
      </c>
      <c r="L1341" t="b">
        <f>TablaDatos[[#This Row],[FechaAlta]] &lt; TablaDatos[[#This Row],[FechaIngreso]]</f>
        <v>0</v>
      </c>
      <c r="M1341">
        <f>_xlfn.XLOOKUP(TablaDatos[[#This Row],[PacienteID]],'Datos_Ejemplo.csv'!A:A,'Datos_Ejemplo.csv'!I:I)</f>
        <v>19</v>
      </c>
      <c r="N1341">
        <f>ABS(TablaDatos[[#This Row],[DiasOriginal]])</f>
        <v>19</v>
      </c>
      <c r="O1341" s="1">
        <f>TablaDatos[[#This Row],[FechaIngreso]]+TablaDatos[[#This Row],[DiasNuevo]]</f>
        <v>45411</v>
      </c>
    </row>
    <row r="1342" spans="1:15">
      <c r="A1342">
        <v>1341</v>
      </c>
      <c r="B1342" t="s">
        <v>339</v>
      </c>
      <c r="C1342" s="1">
        <v>39083</v>
      </c>
      <c r="D1342">
        <v>19</v>
      </c>
      <c r="E1342" s="4" t="s">
        <v>15</v>
      </c>
      <c r="F1342" t="s">
        <v>295</v>
      </c>
      <c r="G1342" s="1">
        <v>45005</v>
      </c>
      <c r="H1342" s="1">
        <f>TablaDatos[[#This Row],[FechaIngreso]]+TablaDatos[[#This Row],[DiasNuevo]]</f>
        <v>45033</v>
      </c>
      <c r="I1342">
        <v>28</v>
      </c>
      <c r="J1342" t="s">
        <v>23</v>
      </c>
      <c r="K1342" s="3">
        <v>16221.28</v>
      </c>
      <c r="L1342" t="b">
        <f>TablaDatos[[#This Row],[FechaAlta]] &lt; TablaDatos[[#This Row],[FechaIngreso]]</f>
        <v>0</v>
      </c>
      <c r="M1342">
        <f>_xlfn.XLOOKUP(TablaDatos[[#This Row],[PacienteID]],'Datos_Ejemplo.csv'!A:A,'Datos_Ejemplo.csv'!I:I)</f>
        <v>28</v>
      </c>
      <c r="N1342">
        <f>ABS(TablaDatos[[#This Row],[DiasOriginal]])</f>
        <v>28</v>
      </c>
      <c r="O1342" s="1">
        <f>TablaDatos[[#This Row],[FechaIngreso]]+TablaDatos[[#This Row],[DiasNuevo]]</f>
        <v>45033</v>
      </c>
    </row>
    <row r="1343" spans="1:15">
      <c r="A1343">
        <v>1342</v>
      </c>
      <c r="B1343" t="s">
        <v>307</v>
      </c>
      <c r="C1343" s="1">
        <v>42370</v>
      </c>
      <c r="D1343">
        <v>10</v>
      </c>
      <c r="E1343" s="4" t="s">
        <v>12</v>
      </c>
      <c r="F1343" t="s">
        <v>201</v>
      </c>
      <c r="G1343" s="1">
        <v>45499</v>
      </c>
      <c r="H1343" s="1">
        <f>TablaDatos[[#This Row],[FechaIngreso]]+TablaDatos[[#This Row],[DiasNuevo]]</f>
        <v>45508</v>
      </c>
      <c r="I1343">
        <v>9</v>
      </c>
      <c r="J1343" t="s">
        <v>25</v>
      </c>
      <c r="K1343" s="3">
        <v>6234.38</v>
      </c>
      <c r="L1343" t="b">
        <f>TablaDatos[[#This Row],[FechaAlta]] &lt; TablaDatos[[#This Row],[FechaIngreso]]</f>
        <v>0</v>
      </c>
      <c r="M1343">
        <f>_xlfn.XLOOKUP(TablaDatos[[#This Row],[PacienteID]],'Datos_Ejemplo.csv'!A:A,'Datos_Ejemplo.csv'!I:I)</f>
        <v>9</v>
      </c>
      <c r="N1343">
        <f>ABS(TablaDatos[[#This Row],[DiasOriginal]])</f>
        <v>9</v>
      </c>
      <c r="O1343" s="1">
        <f>TablaDatos[[#This Row],[FechaIngreso]]+TablaDatos[[#This Row],[DiasNuevo]]</f>
        <v>45508</v>
      </c>
    </row>
    <row r="1344" spans="1:15">
      <c r="A1344">
        <v>1343</v>
      </c>
      <c r="B1344" t="s">
        <v>256</v>
      </c>
      <c r="C1344" s="1">
        <v>45657</v>
      </c>
      <c r="D1344">
        <v>1</v>
      </c>
      <c r="E1344" s="4" t="s">
        <v>15</v>
      </c>
      <c r="F1344" t="s">
        <v>13</v>
      </c>
      <c r="G1344" s="1">
        <v>45375</v>
      </c>
      <c r="H1344" s="1">
        <f>TablaDatos[[#This Row],[FechaIngreso]]+TablaDatos[[#This Row],[DiasNuevo]]</f>
        <v>45386</v>
      </c>
      <c r="I1344">
        <v>11</v>
      </c>
      <c r="J1344" t="s">
        <v>23</v>
      </c>
      <c r="K1344" s="3">
        <v>8821.01</v>
      </c>
      <c r="L1344" t="b">
        <f>TablaDatos[[#This Row],[FechaAlta]] &lt; TablaDatos[[#This Row],[FechaIngreso]]</f>
        <v>0</v>
      </c>
      <c r="M1344">
        <f>_xlfn.XLOOKUP(TablaDatos[[#This Row],[PacienteID]],'Datos_Ejemplo.csv'!A:A,'Datos_Ejemplo.csv'!I:I)</f>
        <v>11</v>
      </c>
      <c r="N1344">
        <f>ABS(TablaDatos[[#This Row],[DiasOriginal]])</f>
        <v>11</v>
      </c>
      <c r="O1344" s="1">
        <f>TablaDatos[[#This Row],[FechaIngreso]]+TablaDatos[[#This Row],[DiasNuevo]]</f>
        <v>45386</v>
      </c>
    </row>
    <row r="1345" spans="1:15">
      <c r="A1345">
        <v>1344</v>
      </c>
      <c r="B1345" t="s">
        <v>267</v>
      </c>
      <c r="C1345" s="1">
        <v>21916</v>
      </c>
      <c r="D1345">
        <v>66</v>
      </c>
      <c r="E1345" s="4" t="s">
        <v>15</v>
      </c>
      <c r="F1345" t="s">
        <v>21</v>
      </c>
      <c r="G1345" s="1">
        <v>45655</v>
      </c>
      <c r="H1345" s="1">
        <f>TablaDatos[[#This Row],[FechaIngreso]]+TablaDatos[[#This Row],[DiasNuevo]]</f>
        <v>45664</v>
      </c>
      <c r="I1345">
        <v>9</v>
      </c>
      <c r="J1345" t="s">
        <v>23</v>
      </c>
      <c r="K1345" s="3">
        <v>9826.01</v>
      </c>
      <c r="L1345" t="b">
        <f>TablaDatos[[#This Row],[FechaAlta]] &lt; TablaDatos[[#This Row],[FechaIngreso]]</f>
        <v>0</v>
      </c>
      <c r="M1345">
        <f>_xlfn.XLOOKUP(TablaDatos[[#This Row],[PacienteID]],'Datos_Ejemplo.csv'!A:A,'Datos_Ejemplo.csv'!I:I)</f>
        <v>9</v>
      </c>
      <c r="N1345">
        <f>ABS(TablaDatos[[#This Row],[DiasOriginal]])</f>
        <v>9</v>
      </c>
      <c r="O1345" s="1">
        <f>TablaDatos[[#This Row],[FechaIngreso]]+TablaDatos[[#This Row],[DiasNuevo]]</f>
        <v>45664</v>
      </c>
    </row>
    <row r="1346" spans="1:15">
      <c r="A1346">
        <v>1345</v>
      </c>
      <c r="B1346" t="s">
        <v>300</v>
      </c>
      <c r="C1346" s="1">
        <v>14611</v>
      </c>
      <c r="D1346">
        <v>86</v>
      </c>
      <c r="E1346" s="4" t="s">
        <v>15</v>
      </c>
      <c r="F1346" t="s">
        <v>18</v>
      </c>
      <c r="G1346" s="1">
        <v>45208</v>
      </c>
      <c r="H1346" s="1">
        <f>TablaDatos[[#This Row],[FechaIngreso]]+TablaDatos[[#This Row],[DiasNuevo]]</f>
        <v>45232</v>
      </c>
      <c r="I1346">
        <v>24</v>
      </c>
      <c r="J1346" t="s">
        <v>19</v>
      </c>
      <c r="K1346" s="3">
        <v>17240.900000000001</v>
      </c>
      <c r="L1346" t="b">
        <f>TablaDatos[[#This Row],[FechaAlta]] &lt; TablaDatos[[#This Row],[FechaIngreso]]</f>
        <v>0</v>
      </c>
      <c r="M1346">
        <f>_xlfn.XLOOKUP(TablaDatos[[#This Row],[PacienteID]],'Datos_Ejemplo.csv'!A:A,'Datos_Ejemplo.csv'!I:I)</f>
        <v>24</v>
      </c>
      <c r="N1346">
        <f>ABS(TablaDatos[[#This Row],[DiasOriginal]])</f>
        <v>24</v>
      </c>
      <c r="O1346" s="1">
        <f>TablaDatos[[#This Row],[FechaIngreso]]+TablaDatos[[#This Row],[DiasNuevo]]</f>
        <v>45232</v>
      </c>
    </row>
    <row r="1347" spans="1:15">
      <c r="A1347">
        <v>1346</v>
      </c>
      <c r="B1347" t="s">
        <v>269</v>
      </c>
      <c r="C1347" s="1">
        <v>42005</v>
      </c>
      <c r="D1347">
        <v>11</v>
      </c>
      <c r="E1347" s="4" t="s">
        <v>12</v>
      </c>
      <c r="F1347" t="s">
        <v>21</v>
      </c>
      <c r="G1347" s="1">
        <v>45601</v>
      </c>
      <c r="H1347" s="1">
        <f>TablaDatos[[#This Row],[FechaIngreso]]+TablaDatos[[#This Row],[DiasNuevo]]</f>
        <v>45611</v>
      </c>
      <c r="I1347">
        <v>10</v>
      </c>
      <c r="J1347" t="s">
        <v>25</v>
      </c>
      <c r="K1347" s="3">
        <v>13077.56</v>
      </c>
      <c r="L1347" t="b">
        <f>TablaDatos[[#This Row],[FechaAlta]] &lt; TablaDatos[[#This Row],[FechaIngreso]]</f>
        <v>0</v>
      </c>
      <c r="M1347">
        <f>_xlfn.XLOOKUP(TablaDatos[[#This Row],[PacienteID]],'Datos_Ejemplo.csv'!A:A,'Datos_Ejemplo.csv'!I:I)</f>
        <v>10</v>
      </c>
      <c r="N1347">
        <f>ABS(TablaDatos[[#This Row],[DiasOriginal]])</f>
        <v>10</v>
      </c>
      <c r="O1347" s="1">
        <f>TablaDatos[[#This Row],[FechaIngreso]]+TablaDatos[[#This Row],[DiasNuevo]]</f>
        <v>45611</v>
      </c>
    </row>
    <row r="1348" spans="1:15">
      <c r="A1348">
        <v>1347</v>
      </c>
      <c r="B1348" t="s">
        <v>161</v>
      </c>
      <c r="C1348" s="1">
        <v>39083</v>
      </c>
      <c r="D1348">
        <v>19</v>
      </c>
      <c r="E1348" s="4" t="s">
        <v>197</v>
      </c>
      <c r="F1348" t="s">
        <v>32</v>
      </c>
      <c r="G1348" s="1">
        <v>44983</v>
      </c>
      <c r="H1348" s="1">
        <f>TablaDatos[[#This Row],[FechaIngreso]]+TablaDatos[[#This Row],[DiasNuevo]]</f>
        <v>45004</v>
      </c>
      <c r="I1348">
        <v>21</v>
      </c>
      <c r="J1348" t="s">
        <v>23</v>
      </c>
      <c r="K1348" s="3">
        <v>1914.07</v>
      </c>
      <c r="L1348" t="b">
        <f>TablaDatos[[#This Row],[FechaAlta]] &lt; TablaDatos[[#This Row],[FechaIngreso]]</f>
        <v>0</v>
      </c>
      <c r="M1348">
        <f>_xlfn.XLOOKUP(TablaDatos[[#This Row],[PacienteID]],'Datos_Ejemplo.csv'!A:A,'Datos_Ejemplo.csv'!I:I)</f>
        <v>21</v>
      </c>
      <c r="N1348">
        <f>ABS(TablaDatos[[#This Row],[DiasOriginal]])</f>
        <v>21</v>
      </c>
      <c r="O1348" s="1">
        <f>TablaDatos[[#This Row],[FechaIngreso]]+TablaDatos[[#This Row],[DiasNuevo]]</f>
        <v>45004</v>
      </c>
    </row>
    <row r="1349" spans="1:15">
      <c r="A1349">
        <v>1348</v>
      </c>
      <c r="B1349" t="s">
        <v>164</v>
      </c>
      <c r="C1349" s="1">
        <v>44561</v>
      </c>
      <c r="D1349">
        <v>4</v>
      </c>
      <c r="E1349" s="4" t="s">
        <v>15</v>
      </c>
      <c r="F1349" t="s">
        <v>295</v>
      </c>
      <c r="G1349" s="1">
        <v>45117</v>
      </c>
      <c r="H1349" s="1">
        <f>TablaDatos[[#This Row],[FechaIngreso]]+TablaDatos[[#This Row],[DiasNuevo]]</f>
        <v>45152</v>
      </c>
      <c r="I1349">
        <v>35</v>
      </c>
      <c r="J1349" t="s">
        <v>25</v>
      </c>
      <c r="K1349" s="3">
        <v>17289.939999999999</v>
      </c>
      <c r="L1349" t="b">
        <f>TablaDatos[[#This Row],[FechaAlta]] &lt; TablaDatos[[#This Row],[FechaIngreso]]</f>
        <v>0</v>
      </c>
      <c r="M1349">
        <f>_xlfn.XLOOKUP(TablaDatos[[#This Row],[PacienteID]],'Datos_Ejemplo.csv'!A:A,'Datos_Ejemplo.csv'!I:I)</f>
        <v>35</v>
      </c>
      <c r="N1349">
        <f>ABS(TablaDatos[[#This Row],[DiasOriginal]])</f>
        <v>35</v>
      </c>
      <c r="O1349" s="1">
        <f>TablaDatos[[#This Row],[FechaIngreso]]+TablaDatos[[#This Row],[DiasNuevo]]</f>
        <v>45152</v>
      </c>
    </row>
    <row r="1350" spans="1:15">
      <c r="A1350">
        <v>1349</v>
      </c>
      <c r="B1350" t="s">
        <v>307</v>
      </c>
      <c r="C1350" s="1">
        <v>32873</v>
      </c>
      <c r="D1350">
        <f ca="1">DATEDIF(TablaDatos[[#This Row],[FechaNacimiento]],TODAY(),"Y")</f>
        <v>36</v>
      </c>
      <c r="E1350" s="4" t="s">
        <v>12</v>
      </c>
      <c r="F1350" t="s">
        <v>32</v>
      </c>
      <c r="G1350" s="1">
        <v>45570</v>
      </c>
      <c r="H1350" s="1">
        <f>TablaDatos[[#This Row],[FechaIngreso]]+TablaDatos[[#This Row],[DiasNuevo]]</f>
        <v>45576</v>
      </c>
      <c r="I1350">
        <v>6</v>
      </c>
      <c r="J1350" t="s">
        <v>23</v>
      </c>
      <c r="K1350" s="3">
        <v>16624.53</v>
      </c>
      <c r="L1350" t="b">
        <f>TablaDatos[[#This Row],[FechaAlta]] &lt; TablaDatos[[#This Row],[FechaIngreso]]</f>
        <v>0</v>
      </c>
      <c r="M1350">
        <f>_xlfn.XLOOKUP(TablaDatos[[#This Row],[PacienteID]],'Datos_Ejemplo.csv'!A:A,'Datos_Ejemplo.csv'!I:I)</f>
        <v>6</v>
      </c>
      <c r="N1350">
        <f>ABS(TablaDatos[[#This Row],[DiasOriginal]])</f>
        <v>6</v>
      </c>
      <c r="O1350" s="1">
        <f>TablaDatos[[#This Row],[FechaIngreso]]+TablaDatos[[#This Row],[DiasNuevo]]</f>
        <v>45576</v>
      </c>
    </row>
    <row r="1351" spans="1:15">
      <c r="A1351">
        <v>1350</v>
      </c>
      <c r="B1351" t="s">
        <v>252</v>
      </c>
      <c r="C1351" s="1">
        <v>32508</v>
      </c>
      <c r="D1351">
        <v>37</v>
      </c>
      <c r="E1351" s="4" t="s">
        <v>12</v>
      </c>
      <c r="F1351" t="s">
        <v>13</v>
      </c>
      <c r="G1351" s="1">
        <v>45389</v>
      </c>
      <c r="H1351" s="1">
        <f>TablaDatos[[#This Row],[FechaIngreso]]+TablaDatos[[#This Row],[DiasNuevo]]</f>
        <v>45394</v>
      </c>
      <c r="I1351">
        <v>5</v>
      </c>
      <c r="J1351" t="s">
        <v>19</v>
      </c>
      <c r="K1351" s="3">
        <v>15048.28</v>
      </c>
      <c r="L1351" t="b">
        <f>TablaDatos[[#This Row],[FechaAlta]] &lt; TablaDatos[[#This Row],[FechaIngreso]]</f>
        <v>0</v>
      </c>
      <c r="M1351">
        <f>_xlfn.XLOOKUP(TablaDatos[[#This Row],[PacienteID]],'Datos_Ejemplo.csv'!A:A,'Datos_Ejemplo.csv'!I:I)</f>
        <v>5</v>
      </c>
      <c r="N1351">
        <f>ABS(TablaDatos[[#This Row],[DiasOriginal]])</f>
        <v>5</v>
      </c>
      <c r="O1351" s="1">
        <f>TablaDatos[[#This Row],[FechaIngreso]]+TablaDatos[[#This Row],[DiasNuevo]]</f>
        <v>45394</v>
      </c>
    </row>
    <row r="1352" spans="1:15">
      <c r="A1352">
        <v>1351</v>
      </c>
      <c r="B1352" t="s">
        <v>247</v>
      </c>
      <c r="C1352" s="1">
        <v>12054</v>
      </c>
      <c r="D1352">
        <v>93</v>
      </c>
      <c r="E1352" s="4" t="s">
        <v>12</v>
      </c>
      <c r="F1352" t="s">
        <v>261</v>
      </c>
      <c r="G1352" s="1">
        <v>44968</v>
      </c>
      <c r="H1352" s="1">
        <f>TablaDatos[[#This Row],[FechaIngreso]]+TablaDatos[[#This Row],[DiasNuevo]]</f>
        <v>45002</v>
      </c>
      <c r="I1352">
        <v>34</v>
      </c>
      <c r="J1352" t="s">
        <v>25</v>
      </c>
      <c r="K1352" s="3">
        <v>9267.77</v>
      </c>
      <c r="L1352" t="b">
        <f>TablaDatos[[#This Row],[FechaAlta]] &lt; TablaDatos[[#This Row],[FechaIngreso]]</f>
        <v>0</v>
      </c>
      <c r="M1352">
        <f>_xlfn.XLOOKUP(TablaDatos[[#This Row],[PacienteID]],'Datos_Ejemplo.csv'!A:A,'Datos_Ejemplo.csv'!I:I)</f>
        <v>34</v>
      </c>
      <c r="N1352">
        <f>ABS(TablaDatos[[#This Row],[DiasOriginal]])</f>
        <v>34</v>
      </c>
      <c r="O1352" s="1">
        <f>TablaDatos[[#This Row],[FechaIngreso]]+TablaDatos[[#This Row],[DiasNuevo]]</f>
        <v>45002</v>
      </c>
    </row>
    <row r="1353" spans="1:15">
      <c r="A1353">
        <v>1352</v>
      </c>
      <c r="B1353" t="s">
        <v>289</v>
      </c>
      <c r="C1353" s="1">
        <v>43100</v>
      </c>
      <c r="D1353">
        <v>8</v>
      </c>
      <c r="E1353" s="4" t="s">
        <v>12</v>
      </c>
      <c r="F1353" t="s">
        <v>18</v>
      </c>
      <c r="G1353" s="1">
        <v>45412</v>
      </c>
      <c r="H1353" s="1">
        <f>TablaDatos[[#This Row],[FechaIngreso]]+TablaDatos[[#This Row],[DiasNuevo]]</f>
        <v>45424</v>
      </c>
      <c r="I1353">
        <v>12</v>
      </c>
      <c r="J1353" t="s">
        <v>23</v>
      </c>
      <c r="K1353" s="3">
        <v>15126.66</v>
      </c>
      <c r="L1353" t="b">
        <f>TablaDatos[[#This Row],[FechaAlta]] &lt; TablaDatos[[#This Row],[FechaIngreso]]</f>
        <v>0</v>
      </c>
      <c r="M1353">
        <f>_xlfn.XLOOKUP(TablaDatos[[#This Row],[PacienteID]],'Datos_Ejemplo.csv'!A:A,'Datos_Ejemplo.csv'!I:I)</f>
        <v>12</v>
      </c>
      <c r="N1353">
        <f>ABS(TablaDatos[[#This Row],[DiasOriginal]])</f>
        <v>12</v>
      </c>
      <c r="O1353" s="1">
        <f>TablaDatos[[#This Row],[FechaIngreso]]+TablaDatos[[#This Row],[DiasNuevo]]</f>
        <v>45424</v>
      </c>
    </row>
    <row r="1354" spans="1:15">
      <c r="A1354">
        <v>1353</v>
      </c>
      <c r="B1354" t="s">
        <v>352</v>
      </c>
      <c r="C1354" s="1">
        <v>27029</v>
      </c>
      <c r="D1354">
        <v>52</v>
      </c>
      <c r="E1354" s="4" t="s">
        <v>12</v>
      </c>
      <c r="F1354" t="s">
        <v>295</v>
      </c>
      <c r="G1354" s="1">
        <v>45099</v>
      </c>
      <c r="H1354" s="1">
        <f>TablaDatos[[#This Row],[FechaIngreso]]+TablaDatos[[#This Row],[DiasNuevo]]</f>
        <v>45103</v>
      </c>
      <c r="I1354">
        <v>4</v>
      </c>
      <c r="J1354" t="s">
        <v>23</v>
      </c>
      <c r="K1354" s="3">
        <v>9522.7199999999993</v>
      </c>
      <c r="L1354" t="b">
        <f>TablaDatos[[#This Row],[FechaAlta]] &lt; TablaDatos[[#This Row],[FechaIngreso]]</f>
        <v>0</v>
      </c>
      <c r="M1354">
        <f>_xlfn.XLOOKUP(TablaDatos[[#This Row],[PacienteID]],'Datos_Ejemplo.csv'!A:A,'Datos_Ejemplo.csv'!I:I)</f>
        <v>4</v>
      </c>
      <c r="N1354">
        <f>ABS(TablaDatos[[#This Row],[DiasOriginal]])</f>
        <v>4</v>
      </c>
      <c r="O1354" s="1">
        <f>TablaDatos[[#This Row],[FechaIngreso]]+TablaDatos[[#This Row],[DiasNuevo]]</f>
        <v>45103</v>
      </c>
    </row>
    <row r="1355" spans="1:15">
      <c r="A1355">
        <v>1354</v>
      </c>
      <c r="B1355" t="s">
        <v>55</v>
      </c>
      <c r="C1355" s="1">
        <v>30317</v>
      </c>
      <c r="D1355">
        <v>43</v>
      </c>
      <c r="E1355" s="4" t="s">
        <v>12</v>
      </c>
      <c r="F1355" t="s">
        <v>21</v>
      </c>
      <c r="G1355" s="1">
        <v>45605</v>
      </c>
      <c r="H1355" s="1">
        <f>TablaDatos[[#This Row],[FechaIngreso]]+TablaDatos[[#This Row],[DiasNuevo]]</f>
        <v>45626</v>
      </c>
      <c r="I1355">
        <v>21</v>
      </c>
      <c r="J1355" t="s">
        <v>19</v>
      </c>
      <c r="K1355" s="3">
        <v>14706.13</v>
      </c>
      <c r="L1355" t="b">
        <f>TablaDatos[[#This Row],[FechaAlta]] &lt; TablaDatos[[#This Row],[FechaIngreso]]</f>
        <v>0</v>
      </c>
      <c r="M1355">
        <f>_xlfn.XLOOKUP(TablaDatos[[#This Row],[PacienteID]],'Datos_Ejemplo.csv'!A:A,'Datos_Ejemplo.csv'!I:I)</f>
        <v>21</v>
      </c>
      <c r="N1355">
        <f>ABS(TablaDatos[[#This Row],[DiasOriginal]])</f>
        <v>21</v>
      </c>
      <c r="O1355" s="1">
        <f>TablaDatos[[#This Row],[FechaIngreso]]+TablaDatos[[#This Row],[DiasNuevo]]</f>
        <v>45626</v>
      </c>
    </row>
    <row r="1356" spans="1:15">
      <c r="A1356">
        <v>1355</v>
      </c>
      <c r="B1356" t="s">
        <v>238</v>
      </c>
      <c r="C1356" s="1">
        <v>14976</v>
      </c>
      <c r="D1356">
        <v>85</v>
      </c>
      <c r="E1356" s="4" t="s">
        <v>15</v>
      </c>
      <c r="F1356" t="s">
        <v>18</v>
      </c>
      <c r="G1356" s="1">
        <v>45176</v>
      </c>
      <c r="H1356" s="1">
        <f>TablaDatos[[#This Row],[FechaIngreso]]+TablaDatos[[#This Row],[DiasNuevo]]</f>
        <v>45189</v>
      </c>
      <c r="I1356">
        <v>13</v>
      </c>
      <c r="J1356" t="s">
        <v>23</v>
      </c>
      <c r="K1356" s="3">
        <v>17590.21</v>
      </c>
      <c r="L1356" t="b">
        <f>TablaDatos[[#This Row],[FechaAlta]] &lt; TablaDatos[[#This Row],[FechaIngreso]]</f>
        <v>0</v>
      </c>
      <c r="M1356">
        <f>_xlfn.XLOOKUP(TablaDatos[[#This Row],[PacienteID]],'Datos_Ejemplo.csv'!A:A,'Datos_Ejemplo.csv'!I:I)</f>
        <v>13</v>
      </c>
      <c r="N1356">
        <f>ABS(TablaDatos[[#This Row],[DiasOriginal]])</f>
        <v>13</v>
      </c>
      <c r="O1356" s="1">
        <f>TablaDatos[[#This Row],[FechaIngreso]]+TablaDatos[[#This Row],[DiasNuevo]]</f>
        <v>45189</v>
      </c>
    </row>
    <row r="1357" spans="1:15">
      <c r="A1357">
        <v>1356</v>
      </c>
      <c r="B1357" t="s">
        <v>265</v>
      </c>
      <c r="C1357" s="1">
        <v>37622</v>
      </c>
      <c r="D1357">
        <v>23</v>
      </c>
      <c r="E1357" s="4" t="s">
        <v>12</v>
      </c>
      <c r="F1357" t="s">
        <v>21</v>
      </c>
      <c r="G1357" s="1">
        <v>45436</v>
      </c>
      <c r="H1357" s="1">
        <f>TablaDatos[[#This Row],[FechaIngreso]]+TablaDatos[[#This Row],[DiasNuevo]]</f>
        <v>45457</v>
      </c>
      <c r="I1357">
        <v>21</v>
      </c>
      <c r="J1357" t="s">
        <v>19</v>
      </c>
      <c r="K1357" s="3">
        <v>17799.89</v>
      </c>
      <c r="L1357" t="b">
        <f>TablaDatos[[#This Row],[FechaAlta]] &lt; TablaDatos[[#This Row],[FechaIngreso]]</f>
        <v>0</v>
      </c>
      <c r="M1357">
        <f>_xlfn.XLOOKUP(TablaDatos[[#This Row],[PacienteID]],'Datos_Ejemplo.csv'!A:A,'Datos_Ejemplo.csv'!I:I)</f>
        <v>21</v>
      </c>
      <c r="N1357">
        <f>ABS(TablaDatos[[#This Row],[DiasOriginal]])</f>
        <v>21</v>
      </c>
      <c r="O1357" s="1">
        <f>TablaDatos[[#This Row],[FechaIngreso]]+TablaDatos[[#This Row],[DiasNuevo]]</f>
        <v>45457</v>
      </c>
    </row>
    <row r="1358" spans="1:15">
      <c r="A1358">
        <v>1357</v>
      </c>
      <c r="B1358" t="s">
        <v>356</v>
      </c>
      <c r="C1358" s="1">
        <v>16802</v>
      </c>
      <c r="D1358">
        <v>80</v>
      </c>
      <c r="E1358" s="4" t="s">
        <v>15</v>
      </c>
      <c r="F1358" t="s">
        <v>13</v>
      </c>
      <c r="G1358" s="1">
        <v>45428</v>
      </c>
      <c r="H1358" s="1">
        <f>TablaDatos[[#This Row],[FechaIngreso]]+TablaDatos[[#This Row],[DiasNuevo]]</f>
        <v>45432</v>
      </c>
      <c r="I1358">
        <v>4</v>
      </c>
      <c r="J1358" t="s">
        <v>19</v>
      </c>
      <c r="K1358" s="3">
        <v>9037.0300000000007</v>
      </c>
      <c r="L1358" t="b">
        <f>TablaDatos[[#This Row],[FechaAlta]] &lt; TablaDatos[[#This Row],[FechaIngreso]]</f>
        <v>0</v>
      </c>
      <c r="M1358">
        <f>_xlfn.XLOOKUP(TablaDatos[[#This Row],[PacienteID]],'Datos_Ejemplo.csv'!A:A,'Datos_Ejemplo.csv'!I:I)</f>
        <v>4</v>
      </c>
      <c r="N1358">
        <f>ABS(TablaDatos[[#This Row],[DiasOriginal]])</f>
        <v>4</v>
      </c>
      <c r="O1358" s="1">
        <f>TablaDatos[[#This Row],[FechaIngreso]]+TablaDatos[[#This Row],[DiasNuevo]]</f>
        <v>45432</v>
      </c>
    </row>
    <row r="1359" spans="1:15">
      <c r="A1359">
        <v>1358</v>
      </c>
      <c r="B1359" t="s">
        <v>272</v>
      </c>
      <c r="C1359" s="1">
        <v>19359</v>
      </c>
      <c r="D1359">
        <v>73</v>
      </c>
      <c r="E1359" s="4" t="s">
        <v>15</v>
      </c>
      <c r="F1359" t="s">
        <v>261</v>
      </c>
      <c r="G1359" s="1">
        <v>45119</v>
      </c>
      <c r="H1359" s="1">
        <f>TablaDatos[[#This Row],[FechaIngreso]]+TablaDatos[[#This Row],[DiasNuevo]]</f>
        <v>45144</v>
      </c>
      <c r="I1359">
        <v>25</v>
      </c>
      <c r="J1359" t="s">
        <v>25</v>
      </c>
      <c r="K1359" s="3">
        <v>17172.79</v>
      </c>
      <c r="L1359" t="b">
        <f>TablaDatos[[#This Row],[FechaAlta]] &lt; TablaDatos[[#This Row],[FechaIngreso]]</f>
        <v>0</v>
      </c>
      <c r="M1359">
        <f>_xlfn.XLOOKUP(TablaDatos[[#This Row],[PacienteID]],'Datos_Ejemplo.csv'!A:A,'Datos_Ejemplo.csv'!I:I)</f>
        <v>25</v>
      </c>
      <c r="N1359">
        <f>ABS(TablaDatos[[#This Row],[DiasOriginal]])</f>
        <v>25</v>
      </c>
      <c r="O1359" s="1">
        <f>TablaDatos[[#This Row],[FechaIngreso]]+TablaDatos[[#This Row],[DiasNuevo]]</f>
        <v>45144</v>
      </c>
    </row>
    <row r="1360" spans="1:15">
      <c r="A1360">
        <v>1359</v>
      </c>
      <c r="B1360" t="s">
        <v>326</v>
      </c>
      <c r="C1360" s="1">
        <v>35430</v>
      </c>
      <c r="D1360">
        <v>29</v>
      </c>
      <c r="E1360" s="4" t="s">
        <v>12</v>
      </c>
      <c r="F1360" t="s">
        <v>295</v>
      </c>
      <c r="G1360" s="1">
        <v>45091</v>
      </c>
      <c r="H1360" s="1">
        <f>TablaDatos[[#This Row],[FechaIngreso]]+TablaDatos[[#This Row],[DiasNuevo]]</f>
        <v>45092</v>
      </c>
      <c r="I1360">
        <v>1</v>
      </c>
      <c r="J1360" t="s">
        <v>25</v>
      </c>
      <c r="K1360" s="3">
        <v>1939.29</v>
      </c>
      <c r="L1360" t="b">
        <f>TablaDatos[[#This Row],[FechaAlta]] &lt; TablaDatos[[#This Row],[FechaIngreso]]</f>
        <v>0</v>
      </c>
      <c r="M1360">
        <f>_xlfn.XLOOKUP(TablaDatos[[#This Row],[PacienteID]],'Datos_Ejemplo.csv'!A:A,'Datos_Ejemplo.csv'!I:I)</f>
        <v>-1</v>
      </c>
      <c r="N1360">
        <f>ABS(TablaDatos[[#This Row],[DiasOriginal]])</f>
        <v>1</v>
      </c>
      <c r="O1360" s="1">
        <f>TablaDatos[[#This Row],[FechaIngreso]]+TablaDatos[[#This Row],[DiasNuevo]]</f>
        <v>45092</v>
      </c>
    </row>
    <row r="1361" spans="1:15">
      <c r="A1361">
        <v>1360</v>
      </c>
      <c r="B1361" t="s">
        <v>304</v>
      </c>
      <c r="C1361" s="1">
        <v>24838</v>
      </c>
      <c r="D1361">
        <f ca="1">DATEDIF(TablaDatos[[#This Row],[FechaNacimiento]],TODAY(),"Y")</f>
        <v>58</v>
      </c>
      <c r="E1361" s="4" t="s">
        <v>12</v>
      </c>
      <c r="F1361" t="s">
        <v>13</v>
      </c>
      <c r="G1361" s="1">
        <v>45016</v>
      </c>
      <c r="H1361" s="1">
        <f>TablaDatos[[#This Row],[FechaIngreso]]+TablaDatos[[#This Row],[DiasNuevo]]</f>
        <v>45047</v>
      </c>
      <c r="I1361">
        <v>31</v>
      </c>
      <c r="J1361" t="s">
        <v>23</v>
      </c>
      <c r="K1361" s="3">
        <v>1946.57</v>
      </c>
      <c r="L1361" t="b">
        <f>TablaDatos[[#This Row],[FechaAlta]] &lt; TablaDatos[[#This Row],[FechaIngreso]]</f>
        <v>0</v>
      </c>
      <c r="M1361">
        <f>_xlfn.XLOOKUP(TablaDatos[[#This Row],[PacienteID]],'Datos_Ejemplo.csv'!A:A,'Datos_Ejemplo.csv'!I:I)</f>
        <v>31</v>
      </c>
      <c r="N1361">
        <f>ABS(TablaDatos[[#This Row],[DiasOriginal]])</f>
        <v>31</v>
      </c>
      <c r="O1361" s="1">
        <f>TablaDatos[[#This Row],[FechaIngreso]]+TablaDatos[[#This Row],[DiasNuevo]]</f>
        <v>45047</v>
      </c>
    </row>
    <row r="1362" spans="1:15">
      <c r="A1362">
        <v>1361</v>
      </c>
      <c r="B1362" t="s">
        <v>297</v>
      </c>
      <c r="C1362" s="1">
        <v>14611</v>
      </c>
      <c r="D1362">
        <v>86</v>
      </c>
      <c r="E1362" s="4" t="s">
        <v>12</v>
      </c>
      <c r="F1362" t="s">
        <v>13</v>
      </c>
      <c r="G1362" s="1">
        <v>45617</v>
      </c>
      <c r="H1362" s="1">
        <f>TablaDatos[[#This Row],[FechaIngreso]]+TablaDatos[[#This Row],[DiasNuevo]]</f>
        <v>45652</v>
      </c>
      <c r="I1362">
        <v>35</v>
      </c>
      <c r="J1362" t="s">
        <v>23</v>
      </c>
      <c r="K1362" s="3">
        <v>10920.17</v>
      </c>
      <c r="L1362" t="b">
        <f>TablaDatos[[#This Row],[FechaAlta]] &lt; TablaDatos[[#This Row],[FechaIngreso]]</f>
        <v>0</v>
      </c>
      <c r="M1362">
        <f>_xlfn.XLOOKUP(TablaDatos[[#This Row],[PacienteID]],'Datos_Ejemplo.csv'!A:A,'Datos_Ejemplo.csv'!I:I)</f>
        <v>35</v>
      </c>
      <c r="N1362">
        <f>ABS(TablaDatos[[#This Row],[DiasOriginal]])</f>
        <v>35</v>
      </c>
      <c r="O1362" s="1">
        <f>TablaDatos[[#This Row],[FechaIngreso]]+TablaDatos[[#This Row],[DiasNuevo]]</f>
        <v>45652</v>
      </c>
    </row>
    <row r="1363" spans="1:15">
      <c r="A1363">
        <v>1362</v>
      </c>
      <c r="B1363" t="s">
        <v>278</v>
      </c>
      <c r="C1363" s="1">
        <v>16802</v>
      </c>
      <c r="D1363">
        <v>80</v>
      </c>
      <c r="E1363" s="4" t="s">
        <v>15</v>
      </c>
      <c r="F1363" t="s">
        <v>261</v>
      </c>
      <c r="G1363" s="1">
        <v>44984</v>
      </c>
      <c r="H1363" s="1">
        <f>TablaDatos[[#This Row],[FechaIngreso]]+TablaDatos[[#This Row],[DiasNuevo]]</f>
        <v>44984</v>
      </c>
      <c r="I1363">
        <v>0</v>
      </c>
      <c r="J1363" t="s">
        <v>25</v>
      </c>
      <c r="K1363" s="3">
        <v>13002.08</v>
      </c>
      <c r="L1363" t="b">
        <f>TablaDatos[[#This Row],[FechaAlta]] &lt; TablaDatos[[#This Row],[FechaIngreso]]</f>
        <v>0</v>
      </c>
      <c r="M1363">
        <f>_xlfn.XLOOKUP(TablaDatos[[#This Row],[PacienteID]],'Datos_Ejemplo.csv'!A:A,'Datos_Ejemplo.csv'!I:I)</f>
        <v>0</v>
      </c>
      <c r="N1363">
        <f>ABS(TablaDatos[[#This Row],[DiasOriginal]])</f>
        <v>0</v>
      </c>
      <c r="O1363" s="1">
        <f>TablaDatos[[#This Row],[FechaIngreso]]+TablaDatos[[#This Row],[DiasNuevo]]</f>
        <v>44984</v>
      </c>
    </row>
    <row r="1364" spans="1:15">
      <c r="A1364">
        <v>1363</v>
      </c>
      <c r="B1364" t="s">
        <v>360</v>
      </c>
      <c r="C1364" s="1">
        <v>16802</v>
      </c>
      <c r="D1364">
        <v>80</v>
      </c>
      <c r="E1364" s="4" t="s">
        <v>15</v>
      </c>
      <c r="F1364" t="s">
        <v>13</v>
      </c>
      <c r="G1364" s="1">
        <v>45189</v>
      </c>
      <c r="H1364" s="1">
        <f>TablaDatos[[#This Row],[FechaIngreso]]+TablaDatos[[#This Row],[DiasNuevo]]</f>
        <v>45191</v>
      </c>
      <c r="I1364">
        <v>2</v>
      </c>
      <c r="J1364" t="s">
        <v>23</v>
      </c>
      <c r="K1364" s="3">
        <v>2975.17</v>
      </c>
      <c r="L1364" t="b">
        <f>TablaDatos[[#This Row],[FechaAlta]] &lt; TablaDatos[[#This Row],[FechaIngreso]]</f>
        <v>0</v>
      </c>
      <c r="M1364">
        <f>_xlfn.XLOOKUP(TablaDatos[[#This Row],[PacienteID]],'Datos_Ejemplo.csv'!A:A,'Datos_Ejemplo.csv'!I:I)</f>
        <v>-2</v>
      </c>
      <c r="N1364">
        <f>ABS(TablaDatos[[#This Row],[DiasOriginal]])</f>
        <v>2</v>
      </c>
      <c r="O1364" s="1">
        <f>TablaDatos[[#This Row],[FechaIngreso]]+TablaDatos[[#This Row],[DiasNuevo]]</f>
        <v>45191</v>
      </c>
    </row>
    <row r="1365" spans="1:15">
      <c r="A1365">
        <v>1364</v>
      </c>
      <c r="B1365" t="s">
        <v>292</v>
      </c>
      <c r="C1365" s="1">
        <v>41274</v>
      </c>
      <c r="D1365">
        <v>13</v>
      </c>
      <c r="E1365" s="4" t="s">
        <v>12</v>
      </c>
      <c r="F1365" t="s">
        <v>13</v>
      </c>
      <c r="G1365" s="1">
        <v>45574</v>
      </c>
      <c r="H1365" s="1">
        <f>TablaDatos[[#This Row],[FechaIngreso]]+TablaDatos[[#This Row],[DiasNuevo]]</f>
        <v>45602</v>
      </c>
      <c r="I1365">
        <v>28</v>
      </c>
      <c r="J1365" t="s">
        <v>19</v>
      </c>
      <c r="K1365" s="3">
        <v>9390.82</v>
      </c>
      <c r="L1365" t="b">
        <f>TablaDatos[[#This Row],[FechaAlta]] &lt; TablaDatos[[#This Row],[FechaIngreso]]</f>
        <v>0</v>
      </c>
      <c r="M1365">
        <f>_xlfn.XLOOKUP(TablaDatos[[#This Row],[PacienteID]],'Datos_Ejemplo.csv'!A:A,'Datos_Ejemplo.csv'!I:I)</f>
        <v>28</v>
      </c>
      <c r="N1365">
        <f>ABS(TablaDatos[[#This Row],[DiasOriginal]])</f>
        <v>28</v>
      </c>
      <c r="O1365" s="1">
        <f>TablaDatos[[#This Row],[FechaIngreso]]+TablaDatos[[#This Row],[DiasNuevo]]</f>
        <v>45602</v>
      </c>
    </row>
    <row r="1366" spans="1:15">
      <c r="A1366">
        <v>1365</v>
      </c>
      <c r="B1366" t="s">
        <v>52</v>
      </c>
      <c r="C1366" s="1">
        <v>43100</v>
      </c>
      <c r="D1366">
        <f ca="1">DATEDIF(TablaDatos[[#This Row],[FechaNacimiento]],TODAY(),"Y")</f>
        <v>8</v>
      </c>
      <c r="E1366" s="4" t="s">
        <v>15</v>
      </c>
      <c r="F1366" t="s">
        <v>21</v>
      </c>
      <c r="G1366" s="1">
        <v>45169</v>
      </c>
      <c r="H1366" s="1">
        <f>TablaDatos[[#This Row],[FechaIngreso]]+TablaDatos[[#This Row],[DiasNuevo]]</f>
        <v>45189</v>
      </c>
      <c r="I1366">
        <v>20</v>
      </c>
      <c r="J1366" t="s">
        <v>23</v>
      </c>
      <c r="K1366" s="3">
        <v>1796.69</v>
      </c>
      <c r="L1366" t="b">
        <f>TablaDatos[[#This Row],[FechaAlta]] &lt; TablaDatos[[#This Row],[FechaIngreso]]</f>
        <v>0</v>
      </c>
      <c r="M1366">
        <f>_xlfn.XLOOKUP(TablaDatos[[#This Row],[PacienteID]],'Datos_Ejemplo.csv'!A:A,'Datos_Ejemplo.csv'!I:I)</f>
        <v>20</v>
      </c>
      <c r="N1366">
        <f>ABS(TablaDatos[[#This Row],[DiasOriginal]])</f>
        <v>20</v>
      </c>
      <c r="O1366" s="1">
        <f>TablaDatos[[#This Row],[FechaIngreso]]+TablaDatos[[#This Row],[DiasNuevo]]</f>
        <v>45189</v>
      </c>
    </row>
    <row r="1367" spans="1:15">
      <c r="A1367">
        <v>1366</v>
      </c>
      <c r="B1367" t="s">
        <v>280</v>
      </c>
      <c r="C1367" s="1">
        <v>31778</v>
      </c>
      <c r="D1367">
        <v>39</v>
      </c>
      <c r="E1367" s="4" t="s">
        <v>12</v>
      </c>
      <c r="F1367" t="s">
        <v>201</v>
      </c>
      <c r="G1367" s="1">
        <v>45589</v>
      </c>
      <c r="H1367" s="1">
        <f>TablaDatos[[#This Row],[FechaIngreso]]+TablaDatos[[#This Row],[DiasNuevo]]</f>
        <v>45606</v>
      </c>
      <c r="I1367">
        <v>17</v>
      </c>
      <c r="J1367" t="s">
        <v>19</v>
      </c>
      <c r="K1367" s="3">
        <v>12002.2</v>
      </c>
      <c r="L1367" t="b">
        <f>TablaDatos[[#This Row],[FechaAlta]] &lt; TablaDatos[[#This Row],[FechaIngreso]]</f>
        <v>0</v>
      </c>
      <c r="M1367">
        <f>_xlfn.XLOOKUP(TablaDatos[[#This Row],[PacienteID]],'Datos_Ejemplo.csv'!A:A,'Datos_Ejemplo.csv'!I:I)</f>
        <v>17</v>
      </c>
      <c r="N1367">
        <f>ABS(TablaDatos[[#This Row],[DiasOriginal]])</f>
        <v>17</v>
      </c>
      <c r="O1367" s="1">
        <f>TablaDatos[[#This Row],[FechaIngreso]]+TablaDatos[[#This Row],[DiasNuevo]]</f>
        <v>45606</v>
      </c>
    </row>
    <row r="1368" spans="1:15">
      <c r="A1368">
        <v>1367</v>
      </c>
      <c r="B1368" t="s">
        <v>268</v>
      </c>
      <c r="C1368" s="1">
        <v>22281</v>
      </c>
      <c r="D1368">
        <v>65</v>
      </c>
      <c r="E1368" s="4" t="s">
        <v>15</v>
      </c>
      <c r="F1368" t="s">
        <v>32</v>
      </c>
      <c r="G1368" s="1">
        <v>45145</v>
      </c>
      <c r="H1368" s="1">
        <f>TablaDatos[[#This Row],[FechaIngreso]]+TablaDatos[[#This Row],[DiasNuevo]]</f>
        <v>45158</v>
      </c>
      <c r="I1368">
        <v>13</v>
      </c>
      <c r="J1368" t="s">
        <v>23</v>
      </c>
      <c r="K1368" s="3">
        <v>17087.39</v>
      </c>
      <c r="L1368" t="b">
        <f>TablaDatos[[#This Row],[FechaAlta]] &lt; TablaDatos[[#This Row],[FechaIngreso]]</f>
        <v>0</v>
      </c>
      <c r="M1368">
        <f>_xlfn.XLOOKUP(TablaDatos[[#This Row],[PacienteID]],'Datos_Ejemplo.csv'!A:A,'Datos_Ejemplo.csv'!I:I)</f>
        <v>13</v>
      </c>
      <c r="N1368">
        <f>ABS(TablaDatos[[#This Row],[DiasOriginal]])</f>
        <v>13</v>
      </c>
      <c r="O1368" s="1">
        <f>TablaDatos[[#This Row],[FechaIngreso]]+TablaDatos[[#This Row],[DiasNuevo]]</f>
        <v>45158</v>
      </c>
    </row>
    <row r="1369" spans="1:15">
      <c r="A1369">
        <v>1368</v>
      </c>
      <c r="B1369" t="s">
        <v>151</v>
      </c>
      <c r="C1369" s="1">
        <v>37256</v>
      </c>
      <c r="D1369">
        <v>24</v>
      </c>
      <c r="E1369" s="4" t="s">
        <v>15</v>
      </c>
      <c r="F1369" t="s">
        <v>21</v>
      </c>
      <c r="G1369" s="1">
        <v>44935</v>
      </c>
      <c r="H1369" s="1">
        <f>TablaDatos[[#This Row],[FechaIngreso]]+TablaDatos[[#This Row],[DiasNuevo]]</f>
        <v>44964</v>
      </c>
      <c r="I1369">
        <v>29</v>
      </c>
      <c r="J1369" t="s">
        <v>25</v>
      </c>
      <c r="K1369" s="3">
        <v>14726.54</v>
      </c>
      <c r="L1369" t="b">
        <f>TablaDatos[[#This Row],[FechaAlta]] &lt; TablaDatos[[#This Row],[FechaIngreso]]</f>
        <v>0</v>
      </c>
      <c r="M1369">
        <f>_xlfn.XLOOKUP(TablaDatos[[#This Row],[PacienteID]],'Datos_Ejemplo.csv'!A:A,'Datos_Ejemplo.csv'!I:I)</f>
        <v>29</v>
      </c>
      <c r="N1369">
        <f>ABS(TablaDatos[[#This Row],[DiasOriginal]])</f>
        <v>29</v>
      </c>
      <c r="O1369" s="1">
        <f>TablaDatos[[#This Row],[FechaIngreso]]+TablaDatos[[#This Row],[DiasNuevo]]</f>
        <v>44964</v>
      </c>
    </row>
    <row r="1370" spans="1:15">
      <c r="A1370">
        <v>1369</v>
      </c>
      <c r="B1370" t="s">
        <v>303</v>
      </c>
      <c r="C1370" s="1">
        <v>19724</v>
      </c>
      <c r="D1370">
        <v>72</v>
      </c>
      <c r="E1370" s="4" t="s">
        <v>197</v>
      </c>
      <c r="F1370" t="s">
        <v>261</v>
      </c>
      <c r="G1370" s="1">
        <v>45356</v>
      </c>
      <c r="H1370" s="1">
        <f>TablaDatos[[#This Row],[FechaIngreso]]+TablaDatos[[#This Row],[DiasNuevo]]</f>
        <v>45370</v>
      </c>
      <c r="I1370">
        <v>14</v>
      </c>
      <c r="J1370" t="s">
        <v>19</v>
      </c>
      <c r="K1370" s="3">
        <v>7503.66</v>
      </c>
      <c r="L1370" t="b">
        <f>TablaDatos[[#This Row],[FechaAlta]] &lt; TablaDatos[[#This Row],[FechaIngreso]]</f>
        <v>0</v>
      </c>
      <c r="M1370">
        <f>_xlfn.XLOOKUP(TablaDatos[[#This Row],[PacienteID]],'Datos_Ejemplo.csv'!A:A,'Datos_Ejemplo.csv'!I:I)</f>
        <v>14</v>
      </c>
      <c r="N1370">
        <f>ABS(TablaDatos[[#This Row],[DiasOriginal]])</f>
        <v>14</v>
      </c>
      <c r="O1370" s="1">
        <f>TablaDatos[[#This Row],[FechaIngreso]]+TablaDatos[[#This Row],[DiasNuevo]]</f>
        <v>45370</v>
      </c>
    </row>
    <row r="1371" spans="1:15">
      <c r="A1371">
        <v>1370</v>
      </c>
      <c r="B1371" t="s">
        <v>308</v>
      </c>
      <c r="C1371" s="1">
        <v>38352</v>
      </c>
      <c r="D1371">
        <v>21</v>
      </c>
      <c r="E1371" s="4" t="s">
        <v>15</v>
      </c>
      <c r="F1371" t="s">
        <v>18</v>
      </c>
      <c r="G1371" s="1">
        <v>44939</v>
      </c>
      <c r="H1371" s="1">
        <f>TablaDatos[[#This Row],[FechaIngreso]]+TablaDatos[[#This Row],[DiasNuevo]]</f>
        <v>44954</v>
      </c>
      <c r="I1371">
        <v>15</v>
      </c>
      <c r="J1371" t="s">
        <v>19</v>
      </c>
      <c r="K1371" s="3">
        <v>19875.259999999998</v>
      </c>
      <c r="L1371" t="b">
        <f>TablaDatos[[#This Row],[FechaAlta]] &lt; TablaDatos[[#This Row],[FechaIngreso]]</f>
        <v>0</v>
      </c>
      <c r="M1371">
        <f>_xlfn.XLOOKUP(TablaDatos[[#This Row],[PacienteID]],'Datos_Ejemplo.csv'!A:A,'Datos_Ejemplo.csv'!I:I)</f>
        <v>15</v>
      </c>
      <c r="N1371">
        <f>ABS(TablaDatos[[#This Row],[DiasOriginal]])</f>
        <v>15</v>
      </c>
      <c r="O1371" s="1">
        <f>TablaDatos[[#This Row],[FechaIngreso]]+TablaDatos[[#This Row],[DiasNuevo]]</f>
        <v>44954</v>
      </c>
    </row>
    <row r="1372" spans="1:15">
      <c r="A1372">
        <v>1371</v>
      </c>
      <c r="B1372" t="s">
        <v>114</v>
      </c>
      <c r="C1372" s="1">
        <v>44927</v>
      </c>
      <c r="D1372">
        <v>3</v>
      </c>
      <c r="E1372" s="4" t="s">
        <v>15</v>
      </c>
      <c r="F1372" t="s">
        <v>261</v>
      </c>
      <c r="G1372" s="1">
        <v>45151</v>
      </c>
      <c r="H1372" s="1">
        <f>TablaDatos[[#This Row],[FechaIngreso]]+TablaDatos[[#This Row],[DiasNuevo]]</f>
        <v>45152</v>
      </c>
      <c r="I1372">
        <v>1</v>
      </c>
      <c r="J1372" t="s">
        <v>23</v>
      </c>
      <c r="K1372" s="3">
        <v>13224.99</v>
      </c>
      <c r="L1372" t="b">
        <f>TablaDatos[[#This Row],[FechaAlta]] &lt; TablaDatos[[#This Row],[FechaIngreso]]</f>
        <v>0</v>
      </c>
      <c r="M1372">
        <f>_xlfn.XLOOKUP(TablaDatos[[#This Row],[PacienteID]],'Datos_Ejemplo.csv'!A:A,'Datos_Ejemplo.csv'!I:I)</f>
        <v>1</v>
      </c>
      <c r="N1372">
        <f>ABS(TablaDatos[[#This Row],[DiasOriginal]])</f>
        <v>1</v>
      </c>
      <c r="O1372" s="1">
        <f>TablaDatos[[#This Row],[FechaIngreso]]+TablaDatos[[#This Row],[DiasNuevo]]</f>
        <v>45152</v>
      </c>
    </row>
    <row r="1373" spans="1:15">
      <c r="A1373">
        <v>1372</v>
      </c>
      <c r="B1373" t="s">
        <v>365</v>
      </c>
      <c r="C1373" s="1">
        <v>36891</v>
      </c>
      <c r="D1373">
        <v>25</v>
      </c>
      <c r="E1373" s="4" t="s">
        <v>15</v>
      </c>
      <c r="F1373" t="s">
        <v>261</v>
      </c>
      <c r="G1373" s="1">
        <v>45616</v>
      </c>
      <c r="H1373" s="1">
        <f>TablaDatos[[#This Row],[FechaIngreso]]+TablaDatos[[#This Row],[DiasNuevo]]</f>
        <v>45648</v>
      </c>
      <c r="I1373">
        <v>32</v>
      </c>
      <c r="J1373" t="s">
        <v>23</v>
      </c>
      <c r="K1373" s="3">
        <v>16286.49</v>
      </c>
      <c r="L1373" t="b">
        <f>TablaDatos[[#This Row],[FechaAlta]] &lt; TablaDatos[[#This Row],[FechaIngreso]]</f>
        <v>0</v>
      </c>
      <c r="M1373">
        <f>_xlfn.XLOOKUP(TablaDatos[[#This Row],[PacienteID]],'Datos_Ejemplo.csv'!A:A,'Datos_Ejemplo.csv'!I:I)</f>
        <v>32</v>
      </c>
      <c r="N1373">
        <f>ABS(TablaDatos[[#This Row],[DiasOriginal]])</f>
        <v>32</v>
      </c>
      <c r="O1373" s="1">
        <f>TablaDatos[[#This Row],[FechaIngreso]]+TablaDatos[[#This Row],[DiasNuevo]]</f>
        <v>45648</v>
      </c>
    </row>
    <row r="1374" spans="1:15">
      <c r="A1374">
        <v>1373</v>
      </c>
      <c r="B1374" t="s">
        <v>49</v>
      </c>
      <c r="C1374" s="1">
        <v>25203</v>
      </c>
      <c r="D1374">
        <f ca="1">DATEDIF(TablaDatos[[#This Row],[FechaNacimiento]],TODAY(),"Y")</f>
        <v>57</v>
      </c>
      <c r="E1374" s="4" t="s">
        <v>12</v>
      </c>
      <c r="F1374" t="s">
        <v>261</v>
      </c>
      <c r="G1374" s="1">
        <v>44993</v>
      </c>
      <c r="H1374" s="1">
        <f>TablaDatos[[#This Row],[FechaIngreso]]+TablaDatos[[#This Row],[DiasNuevo]]</f>
        <v>45030</v>
      </c>
      <c r="I1374">
        <v>37</v>
      </c>
      <c r="J1374" t="s">
        <v>23</v>
      </c>
      <c r="K1374" s="3">
        <v>13360.92</v>
      </c>
      <c r="L1374" t="b">
        <f>TablaDatos[[#This Row],[FechaAlta]] &lt; TablaDatos[[#This Row],[FechaIngreso]]</f>
        <v>0</v>
      </c>
      <c r="M1374">
        <f>_xlfn.XLOOKUP(TablaDatos[[#This Row],[PacienteID]],'Datos_Ejemplo.csv'!A:A,'Datos_Ejemplo.csv'!I:I)</f>
        <v>37</v>
      </c>
      <c r="N1374">
        <f>ABS(TablaDatos[[#This Row],[DiasOriginal]])</f>
        <v>37</v>
      </c>
      <c r="O1374" s="1">
        <f>TablaDatos[[#This Row],[FechaIngreso]]+TablaDatos[[#This Row],[DiasNuevo]]</f>
        <v>45030</v>
      </c>
    </row>
    <row r="1375" spans="1:15">
      <c r="A1375">
        <v>1374</v>
      </c>
      <c r="B1375" t="s">
        <v>293</v>
      </c>
      <c r="C1375" s="1">
        <v>35795</v>
      </c>
      <c r="D1375">
        <v>28</v>
      </c>
      <c r="E1375" s="4" t="s">
        <v>12</v>
      </c>
      <c r="F1375" t="s">
        <v>261</v>
      </c>
      <c r="G1375" s="1">
        <v>45595</v>
      </c>
      <c r="H1375" s="1">
        <f>TablaDatos[[#This Row],[FechaIngreso]]+TablaDatos[[#This Row],[DiasNuevo]]</f>
        <v>45628</v>
      </c>
      <c r="I1375">
        <v>33</v>
      </c>
      <c r="J1375" t="s">
        <v>25</v>
      </c>
      <c r="K1375" s="3">
        <v>19787.27</v>
      </c>
      <c r="L1375" t="b">
        <f>TablaDatos[[#This Row],[FechaAlta]] &lt; TablaDatos[[#This Row],[FechaIngreso]]</f>
        <v>0</v>
      </c>
      <c r="M1375">
        <f>_xlfn.XLOOKUP(TablaDatos[[#This Row],[PacienteID]],'Datos_Ejemplo.csv'!A:A,'Datos_Ejemplo.csv'!I:I)</f>
        <v>33</v>
      </c>
      <c r="N1375">
        <f>ABS(TablaDatos[[#This Row],[DiasOriginal]])</f>
        <v>33</v>
      </c>
      <c r="O1375" s="1">
        <f>TablaDatos[[#This Row],[FechaIngreso]]+TablaDatos[[#This Row],[DiasNuevo]]</f>
        <v>45628</v>
      </c>
    </row>
    <row r="1376" spans="1:15">
      <c r="A1376">
        <v>1375</v>
      </c>
      <c r="B1376" t="s">
        <v>306</v>
      </c>
      <c r="C1376" s="1">
        <v>14611</v>
      </c>
      <c r="D1376">
        <v>86</v>
      </c>
      <c r="E1376" s="4" t="s">
        <v>15</v>
      </c>
      <c r="F1376" t="s">
        <v>13</v>
      </c>
      <c r="G1376" s="1">
        <v>45603</v>
      </c>
      <c r="H1376" s="1">
        <f>TablaDatos[[#This Row],[FechaIngreso]]+TablaDatos[[#This Row],[DiasNuevo]]</f>
        <v>45623</v>
      </c>
      <c r="I1376">
        <v>20</v>
      </c>
      <c r="J1376" t="s">
        <v>23</v>
      </c>
      <c r="K1376" s="3">
        <v>16409.330000000002</v>
      </c>
      <c r="L1376" t="b">
        <f>TablaDatos[[#This Row],[FechaAlta]] &lt; TablaDatos[[#This Row],[FechaIngreso]]</f>
        <v>0</v>
      </c>
      <c r="M1376">
        <f>_xlfn.XLOOKUP(TablaDatos[[#This Row],[PacienteID]],'Datos_Ejemplo.csv'!A:A,'Datos_Ejemplo.csv'!I:I)</f>
        <v>20</v>
      </c>
      <c r="N1376">
        <f>ABS(TablaDatos[[#This Row],[DiasOriginal]])</f>
        <v>20</v>
      </c>
      <c r="O1376" s="1">
        <f>TablaDatos[[#This Row],[FechaIngreso]]+TablaDatos[[#This Row],[DiasNuevo]]</f>
        <v>45623</v>
      </c>
    </row>
    <row r="1377" spans="1:15">
      <c r="A1377">
        <v>1376</v>
      </c>
      <c r="B1377" t="s">
        <v>332</v>
      </c>
      <c r="C1377" s="1">
        <v>32873</v>
      </c>
      <c r="D1377">
        <v>36</v>
      </c>
      <c r="E1377" s="4" t="s">
        <v>15</v>
      </c>
      <c r="F1377" t="s">
        <v>261</v>
      </c>
      <c r="G1377" s="1">
        <v>45429</v>
      </c>
      <c r="H1377" s="1">
        <f>TablaDatos[[#This Row],[FechaIngreso]]+TablaDatos[[#This Row],[DiasNuevo]]</f>
        <v>45441</v>
      </c>
      <c r="I1377">
        <v>12</v>
      </c>
      <c r="J1377" t="s">
        <v>19</v>
      </c>
      <c r="K1377" s="3">
        <v>10340.41</v>
      </c>
      <c r="L1377" t="b">
        <f>TablaDatos[[#This Row],[FechaAlta]] &lt; TablaDatos[[#This Row],[FechaIngreso]]</f>
        <v>0</v>
      </c>
      <c r="M1377">
        <f>_xlfn.XLOOKUP(TablaDatos[[#This Row],[PacienteID]],'Datos_Ejemplo.csv'!A:A,'Datos_Ejemplo.csv'!I:I)</f>
        <v>12</v>
      </c>
      <c r="N1377">
        <f>ABS(TablaDatos[[#This Row],[DiasOriginal]])</f>
        <v>12</v>
      </c>
      <c r="O1377" s="1">
        <f>TablaDatos[[#This Row],[FechaIngreso]]+TablaDatos[[#This Row],[DiasNuevo]]</f>
        <v>45441</v>
      </c>
    </row>
    <row r="1378" spans="1:15">
      <c r="A1378">
        <v>1377</v>
      </c>
      <c r="B1378" t="s">
        <v>111</v>
      </c>
      <c r="C1378" s="1">
        <v>18994</v>
      </c>
      <c r="D1378">
        <v>74</v>
      </c>
      <c r="E1378" s="4" t="s">
        <v>12</v>
      </c>
      <c r="F1378" t="s">
        <v>18</v>
      </c>
      <c r="G1378" s="1">
        <v>45110</v>
      </c>
      <c r="H1378" s="1">
        <f>TablaDatos[[#This Row],[FechaIngreso]]+TablaDatos[[#This Row],[DiasNuevo]]</f>
        <v>45120</v>
      </c>
      <c r="I1378">
        <v>10</v>
      </c>
      <c r="J1378" t="s">
        <v>19</v>
      </c>
      <c r="K1378" s="3">
        <v>7274.28</v>
      </c>
      <c r="L1378" t="b">
        <f>TablaDatos[[#This Row],[FechaAlta]] &lt; TablaDatos[[#This Row],[FechaIngreso]]</f>
        <v>0</v>
      </c>
      <c r="M1378">
        <f>_xlfn.XLOOKUP(TablaDatos[[#This Row],[PacienteID]],'Datos_Ejemplo.csv'!A:A,'Datos_Ejemplo.csv'!I:I)</f>
        <v>10</v>
      </c>
      <c r="N1378">
        <f>ABS(TablaDatos[[#This Row],[DiasOriginal]])</f>
        <v>10</v>
      </c>
      <c r="O1378" s="1">
        <f>TablaDatos[[#This Row],[FechaIngreso]]+TablaDatos[[#This Row],[DiasNuevo]]</f>
        <v>45120</v>
      </c>
    </row>
    <row r="1379" spans="1:15">
      <c r="A1379">
        <v>1378</v>
      </c>
      <c r="B1379" t="s">
        <v>230</v>
      </c>
      <c r="C1379" s="1">
        <v>20820</v>
      </c>
      <c r="D1379">
        <v>69</v>
      </c>
      <c r="E1379" s="4" t="s">
        <v>15</v>
      </c>
      <c r="F1379" t="s">
        <v>261</v>
      </c>
      <c r="G1379" s="1">
        <v>45134</v>
      </c>
      <c r="H1379" s="1">
        <f>TablaDatos[[#This Row],[FechaIngreso]]+TablaDatos[[#This Row],[DiasNuevo]]</f>
        <v>45145</v>
      </c>
      <c r="I1379">
        <v>11</v>
      </c>
      <c r="J1379" t="s">
        <v>19</v>
      </c>
      <c r="K1379" s="3">
        <v>13611.31</v>
      </c>
      <c r="L1379" t="b">
        <f>TablaDatos[[#This Row],[FechaAlta]] &lt; TablaDatos[[#This Row],[FechaIngreso]]</f>
        <v>0</v>
      </c>
      <c r="M1379">
        <f>_xlfn.XLOOKUP(TablaDatos[[#This Row],[PacienteID]],'Datos_Ejemplo.csv'!A:A,'Datos_Ejemplo.csv'!I:I)</f>
        <v>11</v>
      </c>
      <c r="N1379">
        <f>ABS(TablaDatos[[#This Row],[DiasOriginal]])</f>
        <v>11</v>
      </c>
      <c r="O1379" s="1">
        <f>TablaDatos[[#This Row],[FechaIngreso]]+TablaDatos[[#This Row],[DiasNuevo]]</f>
        <v>45145</v>
      </c>
    </row>
    <row r="1380" spans="1:15">
      <c r="A1380">
        <v>1379</v>
      </c>
      <c r="B1380" t="s">
        <v>146</v>
      </c>
      <c r="C1380" s="1">
        <v>39813</v>
      </c>
      <c r="D1380">
        <v>17</v>
      </c>
      <c r="E1380" s="4" t="s">
        <v>12</v>
      </c>
      <c r="F1380" t="s">
        <v>21</v>
      </c>
      <c r="G1380" s="1">
        <v>45454</v>
      </c>
      <c r="H1380" s="1">
        <f>TablaDatos[[#This Row],[FechaIngreso]]+TablaDatos[[#This Row],[DiasNuevo]]</f>
        <v>45465</v>
      </c>
      <c r="I1380">
        <v>11</v>
      </c>
      <c r="J1380" t="s">
        <v>25</v>
      </c>
      <c r="K1380" s="3">
        <v>11763.46</v>
      </c>
      <c r="L1380" t="b">
        <f>TablaDatos[[#This Row],[FechaAlta]] &lt; TablaDatos[[#This Row],[FechaIngreso]]</f>
        <v>0</v>
      </c>
      <c r="M1380">
        <f>_xlfn.XLOOKUP(TablaDatos[[#This Row],[PacienteID]],'Datos_Ejemplo.csv'!A:A,'Datos_Ejemplo.csv'!I:I)</f>
        <v>11</v>
      </c>
      <c r="N1380">
        <f>ABS(TablaDatos[[#This Row],[DiasOriginal]])</f>
        <v>11</v>
      </c>
      <c r="O1380" s="1">
        <f>TablaDatos[[#This Row],[FechaIngreso]]+TablaDatos[[#This Row],[DiasNuevo]]</f>
        <v>45465</v>
      </c>
    </row>
    <row r="1381" spans="1:15">
      <c r="A1381">
        <v>1380</v>
      </c>
      <c r="B1381" t="s">
        <v>262</v>
      </c>
      <c r="C1381" s="1">
        <v>15341</v>
      </c>
      <c r="D1381">
        <f ca="1">DATEDIF(TablaDatos[[#This Row],[FechaNacimiento]],TODAY(),"Y")</f>
        <v>84</v>
      </c>
      <c r="E1381" s="4" t="s">
        <v>15</v>
      </c>
      <c r="F1381" t="s">
        <v>13</v>
      </c>
      <c r="G1381" s="1">
        <v>45226</v>
      </c>
      <c r="H1381" s="1">
        <f>TablaDatos[[#This Row],[FechaIngreso]]+TablaDatos[[#This Row],[DiasNuevo]]</f>
        <v>45260</v>
      </c>
      <c r="I1381">
        <v>34</v>
      </c>
      <c r="J1381" t="s">
        <v>19</v>
      </c>
      <c r="K1381" s="3">
        <v>12549.95</v>
      </c>
      <c r="L1381" t="b">
        <f>TablaDatos[[#This Row],[FechaAlta]] &lt; TablaDatos[[#This Row],[FechaIngreso]]</f>
        <v>0</v>
      </c>
      <c r="M1381">
        <f>_xlfn.XLOOKUP(TablaDatos[[#This Row],[PacienteID]],'Datos_Ejemplo.csv'!A:A,'Datos_Ejemplo.csv'!I:I)</f>
        <v>34</v>
      </c>
      <c r="N1381">
        <f>ABS(TablaDatos[[#This Row],[DiasOriginal]])</f>
        <v>34</v>
      </c>
      <c r="O1381" s="1">
        <f>TablaDatos[[#This Row],[FechaIngreso]]+TablaDatos[[#This Row],[DiasNuevo]]</f>
        <v>45260</v>
      </c>
    </row>
    <row r="1382" spans="1:15">
      <c r="A1382">
        <v>1381</v>
      </c>
      <c r="B1382" t="s">
        <v>332</v>
      </c>
      <c r="C1382" s="1">
        <v>31047</v>
      </c>
      <c r="D1382">
        <v>41</v>
      </c>
      <c r="E1382" s="4" t="s">
        <v>15</v>
      </c>
      <c r="F1382" t="s">
        <v>21</v>
      </c>
      <c r="G1382" s="1">
        <v>45167</v>
      </c>
      <c r="H1382" s="1">
        <f>TablaDatos[[#This Row],[FechaIngreso]]+TablaDatos[[#This Row],[DiasNuevo]]</f>
        <v>45169</v>
      </c>
      <c r="I1382">
        <v>2</v>
      </c>
      <c r="J1382" t="s">
        <v>19</v>
      </c>
      <c r="K1382" s="3">
        <v>6794.54</v>
      </c>
      <c r="L1382" t="b">
        <f>TablaDatos[[#This Row],[FechaAlta]] &lt; TablaDatos[[#This Row],[FechaIngreso]]</f>
        <v>0</v>
      </c>
      <c r="M1382">
        <f>_xlfn.XLOOKUP(TablaDatos[[#This Row],[PacienteID]],'Datos_Ejemplo.csv'!A:A,'Datos_Ejemplo.csv'!I:I)</f>
        <v>2</v>
      </c>
      <c r="N1382">
        <f>ABS(TablaDatos[[#This Row],[DiasOriginal]])</f>
        <v>2</v>
      </c>
      <c r="O1382" s="1">
        <f>TablaDatos[[#This Row],[FechaIngreso]]+TablaDatos[[#This Row],[DiasNuevo]]</f>
        <v>45169</v>
      </c>
    </row>
    <row r="1383" spans="1:15">
      <c r="A1383">
        <v>1382</v>
      </c>
      <c r="B1383" t="s">
        <v>235</v>
      </c>
      <c r="C1383" s="1">
        <v>31412</v>
      </c>
      <c r="D1383">
        <v>40</v>
      </c>
      <c r="E1383" s="4" t="s">
        <v>12</v>
      </c>
      <c r="F1383" t="s">
        <v>13</v>
      </c>
      <c r="G1383" s="1">
        <v>45381</v>
      </c>
      <c r="H1383" s="1">
        <f>TablaDatos[[#This Row],[FechaIngreso]]+TablaDatos[[#This Row],[DiasNuevo]]</f>
        <v>45400</v>
      </c>
      <c r="I1383">
        <v>19</v>
      </c>
      <c r="J1383" t="s">
        <v>23</v>
      </c>
      <c r="K1383" s="3">
        <v>8517.44</v>
      </c>
      <c r="L1383" t="b">
        <f>TablaDatos[[#This Row],[FechaAlta]] &lt; TablaDatos[[#This Row],[FechaIngreso]]</f>
        <v>0</v>
      </c>
      <c r="M1383">
        <f>_xlfn.XLOOKUP(TablaDatos[[#This Row],[PacienteID]],'Datos_Ejemplo.csv'!A:A,'Datos_Ejemplo.csv'!I:I)</f>
        <v>19</v>
      </c>
      <c r="N1383">
        <f>ABS(TablaDatos[[#This Row],[DiasOriginal]])</f>
        <v>19</v>
      </c>
      <c r="O1383" s="1">
        <f>TablaDatos[[#This Row],[FechaIngreso]]+TablaDatos[[#This Row],[DiasNuevo]]</f>
        <v>45400</v>
      </c>
    </row>
    <row r="1384" spans="1:15">
      <c r="A1384">
        <v>1383</v>
      </c>
      <c r="B1384" t="s">
        <v>240</v>
      </c>
      <c r="C1384" s="1">
        <v>32508</v>
      </c>
      <c r="D1384">
        <v>37</v>
      </c>
      <c r="E1384" s="4" t="s">
        <v>15</v>
      </c>
      <c r="F1384" t="s">
        <v>21</v>
      </c>
      <c r="G1384" s="1">
        <v>45456</v>
      </c>
      <c r="H1384" s="1">
        <f>TablaDatos[[#This Row],[FechaIngreso]]+TablaDatos[[#This Row],[DiasNuevo]]</f>
        <v>45481</v>
      </c>
      <c r="I1384">
        <v>25</v>
      </c>
      <c r="J1384" t="s">
        <v>25</v>
      </c>
      <c r="K1384" s="3">
        <v>11117.74</v>
      </c>
      <c r="L1384" t="b">
        <f>TablaDatos[[#This Row],[FechaAlta]] &lt; TablaDatos[[#This Row],[FechaIngreso]]</f>
        <v>0</v>
      </c>
      <c r="M1384">
        <f>_xlfn.XLOOKUP(TablaDatos[[#This Row],[PacienteID]],'Datos_Ejemplo.csv'!A:A,'Datos_Ejemplo.csv'!I:I)</f>
        <v>25</v>
      </c>
      <c r="N1384">
        <f>ABS(TablaDatos[[#This Row],[DiasOriginal]])</f>
        <v>25</v>
      </c>
      <c r="O1384" s="1">
        <f>TablaDatos[[#This Row],[FechaIngreso]]+TablaDatos[[#This Row],[DiasNuevo]]</f>
        <v>45481</v>
      </c>
    </row>
    <row r="1385" spans="1:15">
      <c r="A1385">
        <v>1384</v>
      </c>
      <c r="B1385" t="s">
        <v>254</v>
      </c>
      <c r="C1385" s="1">
        <v>33969</v>
      </c>
      <c r="D1385">
        <v>33</v>
      </c>
      <c r="E1385" s="4" t="s">
        <v>12</v>
      </c>
      <c r="F1385" t="s">
        <v>295</v>
      </c>
      <c r="G1385" s="1">
        <v>45585</v>
      </c>
      <c r="H1385" s="1">
        <f>TablaDatos[[#This Row],[FechaIngreso]]+TablaDatos[[#This Row],[DiasNuevo]]</f>
        <v>45586</v>
      </c>
      <c r="I1385">
        <v>1</v>
      </c>
      <c r="J1385" t="s">
        <v>19</v>
      </c>
      <c r="K1385" s="3">
        <v>16769.599999999999</v>
      </c>
      <c r="L1385" t="b">
        <f>TablaDatos[[#This Row],[FechaAlta]] &lt; TablaDatos[[#This Row],[FechaIngreso]]</f>
        <v>0</v>
      </c>
      <c r="M1385">
        <f>_xlfn.XLOOKUP(TablaDatos[[#This Row],[PacienteID]],'Datos_Ejemplo.csv'!A:A,'Datos_Ejemplo.csv'!I:I)</f>
        <v>1</v>
      </c>
      <c r="N1385">
        <f>ABS(TablaDatos[[#This Row],[DiasOriginal]])</f>
        <v>1</v>
      </c>
      <c r="O1385" s="1">
        <f>TablaDatos[[#This Row],[FechaIngreso]]+TablaDatos[[#This Row],[DiasNuevo]]</f>
        <v>45586</v>
      </c>
    </row>
    <row r="1386" spans="1:15">
      <c r="A1386">
        <v>1385</v>
      </c>
      <c r="B1386" t="s">
        <v>67</v>
      </c>
      <c r="C1386" s="1">
        <v>40178</v>
      </c>
      <c r="D1386">
        <v>16</v>
      </c>
      <c r="E1386" s="4" t="s">
        <v>15</v>
      </c>
      <c r="F1386" t="s">
        <v>32</v>
      </c>
      <c r="G1386" s="1">
        <v>45170</v>
      </c>
      <c r="H1386" s="1">
        <f>TablaDatos[[#This Row],[FechaIngreso]]+TablaDatos[[#This Row],[DiasNuevo]]</f>
        <v>45205</v>
      </c>
      <c r="I1386">
        <v>35</v>
      </c>
      <c r="J1386" t="s">
        <v>23</v>
      </c>
      <c r="K1386" s="3">
        <v>15234.47</v>
      </c>
      <c r="L1386" t="b">
        <f>TablaDatos[[#This Row],[FechaAlta]] &lt; TablaDatos[[#This Row],[FechaIngreso]]</f>
        <v>0</v>
      </c>
      <c r="M1386">
        <f>_xlfn.XLOOKUP(TablaDatos[[#This Row],[PacienteID]],'Datos_Ejemplo.csv'!A:A,'Datos_Ejemplo.csv'!I:I)</f>
        <v>35</v>
      </c>
      <c r="N1386">
        <f>ABS(TablaDatos[[#This Row],[DiasOriginal]])</f>
        <v>35</v>
      </c>
      <c r="O1386" s="1">
        <f>TablaDatos[[#This Row],[FechaIngreso]]+TablaDatos[[#This Row],[DiasNuevo]]</f>
        <v>45205</v>
      </c>
    </row>
    <row r="1387" spans="1:15">
      <c r="A1387">
        <v>1386</v>
      </c>
      <c r="B1387" t="s">
        <v>276</v>
      </c>
      <c r="C1387" s="1">
        <v>32873</v>
      </c>
      <c r="D1387">
        <v>36</v>
      </c>
      <c r="E1387" s="4" t="s">
        <v>15</v>
      </c>
      <c r="F1387" t="s">
        <v>32</v>
      </c>
      <c r="G1387" s="1">
        <v>45489</v>
      </c>
      <c r="H1387" s="1">
        <f>TablaDatos[[#This Row],[FechaIngreso]]+TablaDatos[[#This Row],[DiasNuevo]]</f>
        <v>45515</v>
      </c>
      <c r="I1387">
        <v>26</v>
      </c>
      <c r="J1387" t="s">
        <v>19</v>
      </c>
      <c r="K1387" s="3">
        <v>2284.98</v>
      </c>
      <c r="L1387" t="b">
        <f>TablaDatos[[#This Row],[FechaAlta]] &lt; TablaDatos[[#This Row],[FechaIngreso]]</f>
        <v>0</v>
      </c>
      <c r="M1387">
        <f>_xlfn.XLOOKUP(TablaDatos[[#This Row],[PacienteID]],'Datos_Ejemplo.csv'!A:A,'Datos_Ejemplo.csv'!I:I)</f>
        <v>26</v>
      </c>
      <c r="N1387">
        <f>ABS(TablaDatos[[#This Row],[DiasOriginal]])</f>
        <v>26</v>
      </c>
      <c r="O1387" s="1">
        <f>TablaDatos[[#This Row],[FechaIngreso]]+TablaDatos[[#This Row],[DiasNuevo]]</f>
        <v>45515</v>
      </c>
    </row>
    <row r="1388" spans="1:15">
      <c r="A1388">
        <v>1387</v>
      </c>
      <c r="B1388" t="s">
        <v>303</v>
      </c>
      <c r="C1388" s="1">
        <v>37256</v>
      </c>
      <c r="D1388">
        <v>24</v>
      </c>
      <c r="E1388" s="4" t="s">
        <v>197</v>
      </c>
      <c r="F1388" t="s">
        <v>13</v>
      </c>
      <c r="G1388" s="1">
        <v>45164</v>
      </c>
      <c r="H1388" s="1">
        <f>TablaDatos[[#This Row],[FechaIngreso]]+TablaDatos[[#This Row],[DiasNuevo]]</f>
        <v>45198</v>
      </c>
      <c r="I1388">
        <v>34</v>
      </c>
      <c r="J1388" t="s">
        <v>23</v>
      </c>
      <c r="K1388" s="3">
        <v>4835.6400000000003</v>
      </c>
      <c r="L1388" t="b">
        <f>TablaDatos[[#This Row],[FechaAlta]] &lt; TablaDatos[[#This Row],[FechaIngreso]]</f>
        <v>0</v>
      </c>
      <c r="M1388">
        <f>_xlfn.XLOOKUP(TablaDatos[[#This Row],[PacienteID]],'Datos_Ejemplo.csv'!A:A,'Datos_Ejemplo.csv'!I:I)</f>
        <v>34</v>
      </c>
      <c r="N1388">
        <f>ABS(TablaDatos[[#This Row],[DiasOriginal]])</f>
        <v>34</v>
      </c>
      <c r="O1388" s="1">
        <f>TablaDatos[[#This Row],[FechaIngreso]]+TablaDatos[[#This Row],[DiasNuevo]]</f>
        <v>45198</v>
      </c>
    </row>
    <row r="1389" spans="1:15">
      <c r="A1389">
        <v>1388</v>
      </c>
      <c r="B1389" t="s">
        <v>230</v>
      </c>
      <c r="C1389" s="1">
        <v>18629</v>
      </c>
      <c r="D1389">
        <v>75</v>
      </c>
      <c r="E1389" s="4" t="s">
        <v>15</v>
      </c>
      <c r="F1389" t="s">
        <v>295</v>
      </c>
      <c r="G1389" s="1">
        <v>45172</v>
      </c>
      <c r="H1389" s="1">
        <f>TablaDatos[[#This Row],[FechaIngreso]]+TablaDatos[[#This Row],[DiasNuevo]]</f>
        <v>45204</v>
      </c>
      <c r="I1389">
        <v>32</v>
      </c>
      <c r="J1389" t="s">
        <v>19</v>
      </c>
      <c r="K1389" s="3">
        <v>435.82</v>
      </c>
      <c r="L1389" t="b">
        <f>TablaDatos[[#This Row],[FechaAlta]] &lt; TablaDatos[[#This Row],[FechaIngreso]]</f>
        <v>0</v>
      </c>
      <c r="M1389">
        <f>_xlfn.XLOOKUP(TablaDatos[[#This Row],[PacienteID]],'Datos_Ejemplo.csv'!A:A,'Datos_Ejemplo.csv'!I:I)</f>
        <v>32</v>
      </c>
      <c r="N1389">
        <f>ABS(TablaDatos[[#This Row],[DiasOriginal]])</f>
        <v>32</v>
      </c>
      <c r="O1389" s="1">
        <f>TablaDatos[[#This Row],[FechaIngreso]]+TablaDatos[[#This Row],[DiasNuevo]]</f>
        <v>45204</v>
      </c>
    </row>
    <row r="1390" spans="1:15">
      <c r="A1390">
        <v>1389</v>
      </c>
      <c r="B1390" t="s">
        <v>336</v>
      </c>
      <c r="C1390" s="1">
        <v>14611</v>
      </c>
      <c r="D1390">
        <v>86</v>
      </c>
      <c r="E1390" s="4" t="s">
        <v>12</v>
      </c>
      <c r="F1390" t="s">
        <v>18</v>
      </c>
      <c r="G1390" s="1">
        <v>45271</v>
      </c>
      <c r="H1390" s="1">
        <f>TablaDatos[[#This Row],[FechaIngreso]]+TablaDatos[[#This Row],[DiasNuevo]]</f>
        <v>45288</v>
      </c>
      <c r="I1390">
        <v>17</v>
      </c>
      <c r="J1390" t="s">
        <v>25</v>
      </c>
      <c r="K1390" s="3">
        <v>60.01</v>
      </c>
      <c r="L1390" t="b">
        <f>TablaDatos[[#This Row],[FechaAlta]] &lt; TablaDatos[[#This Row],[FechaIngreso]]</f>
        <v>0</v>
      </c>
      <c r="M1390">
        <f>_xlfn.XLOOKUP(TablaDatos[[#This Row],[PacienteID]],'Datos_Ejemplo.csv'!A:A,'Datos_Ejemplo.csv'!I:I)</f>
        <v>17</v>
      </c>
      <c r="N1390">
        <f>ABS(TablaDatos[[#This Row],[DiasOriginal]])</f>
        <v>17</v>
      </c>
      <c r="O1390" s="1">
        <f>TablaDatos[[#This Row],[FechaIngreso]]+TablaDatos[[#This Row],[DiasNuevo]]</f>
        <v>45288</v>
      </c>
    </row>
    <row r="1391" spans="1:15">
      <c r="A1391">
        <v>1390</v>
      </c>
      <c r="B1391" t="s">
        <v>248</v>
      </c>
      <c r="C1391" s="1">
        <v>14976</v>
      </c>
      <c r="D1391">
        <v>85</v>
      </c>
      <c r="E1391" s="4" t="s">
        <v>15</v>
      </c>
      <c r="F1391" t="s">
        <v>295</v>
      </c>
      <c r="G1391" s="1">
        <v>45410</v>
      </c>
      <c r="H1391" s="1">
        <f>TablaDatos[[#This Row],[FechaIngreso]]+TablaDatos[[#This Row],[DiasNuevo]]</f>
        <v>45442</v>
      </c>
      <c r="I1391">
        <v>32</v>
      </c>
      <c r="J1391" t="s">
        <v>23</v>
      </c>
      <c r="K1391" s="3">
        <v>4409.95</v>
      </c>
      <c r="L1391" t="b">
        <f>TablaDatos[[#This Row],[FechaAlta]] &lt; TablaDatos[[#This Row],[FechaIngreso]]</f>
        <v>0</v>
      </c>
      <c r="M1391">
        <f>_xlfn.XLOOKUP(TablaDatos[[#This Row],[PacienteID]],'Datos_Ejemplo.csv'!A:A,'Datos_Ejemplo.csv'!I:I)</f>
        <v>32</v>
      </c>
      <c r="N1391">
        <f>ABS(TablaDatos[[#This Row],[DiasOriginal]])</f>
        <v>32</v>
      </c>
      <c r="O1391" s="1">
        <f>TablaDatos[[#This Row],[FechaIngreso]]+TablaDatos[[#This Row],[DiasNuevo]]</f>
        <v>45442</v>
      </c>
    </row>
    <row r="1392" spans="1:15">
      <c r="A1392">
        <v>1391</v>
      </c>
      <c r="B1392" t="s">
        <v>311</v>
      </c>
      <c r="C1392" s="1">
        <v>15341</v>
      </c>
      <c r="D1392">
        <v>84</v>
      </c>
      <c r="E1392" s="4" t="s">
        <v>12</v>
      </c>
      <c r="F1392" t="s">
        <v>201</v>
      </c>
      <c r="G1392" s="1">
        <v>45236</v>
      </c>
      <c r="H1392" s="1">
        <f>TablaDatos[[#This Row],[FechaIngreso]]+TablaDatos[[#This Row],[DiasNuevo]]</f>
        <v>45268</v>
      </c>
      <c r="I1392">
        <v>32</v>
      </c>
      <c r="J1392" t="s">
        <v>25</v>
      </c>
      <c r="K1392" s="3">
        <v>15966.35</v>
      </c>
      <c r="L1392" t="b">
        <f>TablaDatos[[#This Row],[FechaAlta]] &lt; TablaDatos[[#This Row],[FechaIngreso]]</f>
        <v>0</v>
      </c>
      <c r="M1392">
        <f>_xlfn.XLOOKUP(TablaDatos[[#This Row],[PacienteID]],'Datos_Ejemplo.csv'!A:A,'Datos_Ejemplo.csv'!I:I)</f>
        <v>32</v>
      </c>
      <c r="N1392">
        <f>ABS(TablaDatos[[#This Row],[DiasOriginal]])</f>
        <v>32</v>
      </c>
      <c r="O1392" s="1">
        <f>TablaDatos[[#This Row],[FechaIngreso]]+TablaDatos[[#This Row],[DiasNuevo]]</f>
        <v>45268</v>
      </c>
    </row>
    <row r="1393" spans="1:15">
      <c r="A1393">
        <v>1392</v>
      </c>
      <c r="B1393" t="s">
        <v>247</v>
      </c>
      <c r="C1393" s="1">
        <v>36526</v>
      </c>
      <c r="D1393">
        <v>26</v>
      </c>
      <c r="E1393" s="4" t="s">
        <v>12</v>
      </c>
      <c r="F1393" t="s">
        <v>13</v>
      </c>
      <c r="G1393" s="1">
        <v>45487</v>
      </c>
      <c r="H1393" s="1">
        <f>TablaDatos[[#This Row],[FechaIngreso]]+TablaDatos[[#This Row],[DiasNuevo]]</f>
        <v>45504</v>
      </c>
      <c r="I1393">
        <v>17</v>
      </c>
      <c r="J1393" t="s">
        <v>23</v>
      </c>
      <c r="K1393" s="3">
        <v>18085.43</v>
      </c>
      <c r="L1393" t="b">
        <f>TablaDatos[[#This Row],[FechaAlta]] &lt; TablaDatos[[#This Row],[FechaIngreso]]</f>
        <v>0</v>
      </c>
      <c r="M1393">
        <f>_xlfn.XLOOKUP(TablaDatos[[#This Row],[PacienteID]],'Datos_Ejemplo.csv'!A:A,'Datos_Ejemplo.csv'!I:I)</f>
        <v>17</v>
      </c>
      <c r="N1393">
        <f>ABS(TablaDatos[[#This Row],[DiasOriginal]])</f>
        <v>17</v>
      </c>
      <c r="O1393" s="1">
        <f>TablaDatos[[#This Row],[FechaIngreso]]+TablaDatos[[#This Row],[DiasNuevo]]</f>
        <v>45504</v>
      </c>
    </row>
    <row r="1394" spans="1:15">
      <c r="A1394">
        <v>1393</v>
      </c>
      <c r="B1394" t="s">
        <v>61</v>
      </c>
      <c r="C1394" s="1">
        <v>25568</v>
      </c>
      <c r="D1394">
        <v>56</v>
      </c>
      <c r="E1394" s="4" t="s">
        <v>15</v>
      </c>
      <c r="F1394" t="s">
        <v>295</v>
      </c>
      <c r="G1394" s="1">
        <v>45210</v>
      </c>
      <c r="H1394" s="1">
        <f>TablaDatos[[#This Row],[FechaIngreso]]+TablaDatos[[#This Row],[DiasNuevo]]</f>
        <v>45211</v>
      </c>
      <c r="I1394">
        <v>1</v>
      </c>
      <c r="J1394" t="s">
        <v>19</v>
      </c>
      <c r="K1394" s="3">
        <v>7774.54</v>
      </c>
      <c r="L1394" t="b">
        <f>TablaDatos[[#This Row],[FechaAlta]] &lt; TablaDatos[[#This Row],[FechaIngreso]]</f>
        <v>0</v>
      </c>
      <c r="M1394">
        <f>_xlfn.XLOOKUP(TablaDatos[[#This Row],[PacienteID]],'Datos_Ejemplo.csv'!A:A,'Datos_Ejemplo.csv'!I:I)</f>
        <v>-1</v>
      </c>
      <c r="N1394">
        <f>ABS(TablaDatos[[#This Row],[DiasOriginal]])</f>
        <v>1</v>
      </c>
      <c r="O1394" s="1">
        <f>TablaDatos[[#This Row],[FechaIngreso]]+TablaDatos[[#This Row],[DiasNuevo]]</f>
        <v>45211</v>
      </c>
    </row>
    <row r="1395" spans="1:15">
      <c r="A1395">
        <v>1394</v>
      </c>
      <c r="B1395" t="s">
        <v>308</v>
      </c>
      <c r="C1395" s="1">
        <v>35065</v>
      </c>
      <c r="D1395">
        <v>30</v>
      </c>
      <c r="E1395" s="4" t="s">
        <v>12</v>
      </c>
      <c r="F1395" t="s">
        <v>18</v>
      </c>
      <c r="G1395" s="1">
        <v>44964</v>
      </c>
      <c r="H1395" s="1">
        <f>TablaDatos[[#This Row],[FechaIngreso]]+TablaDatos[[#This Row],[DiasNuevo]]</f>
        <v>44979</v>
      </c>
      <c r="I1395">
        <v>15</v>
      </c>
      <c r="J1395" t="s">
        <v>25</v>
      </c>
      <c r="K1395" s="3">
        <v>11220.29</v>
      </c>
      <c r="L1395" t="b">
        <f>TablaDatos[[#This Row],[FechaAlta]] &lt; TablaDatos[[#This Row],[FechaIngreso]]</f>
        <v>0</v>
      </c>
      <c r="M1395">
        <f>_xlfn.XLOOKUP(TablaDatos[[#This Row],[PacienteID]],'Datos_Ejemplo.csv'!A:A,'Datos_Ejemplo.csv'!I:I)</f>
        <v>15</v>
      </c>
      <c r="N1395">
        <f>ABS(TablaDatos[[#This Row],[DiasOriginal]])</f>
        <v>15</v>
      </c>
      <c r="O1395" s="1">
        <f>TablaDatos[[#This Row],[FechaIngreso]]+TablaDatos[[#This Row],[DiasNuevo]]</f>
        <v>44979</v>
      </c>
    </row>
    <row r="1396" spans="1:15">
      <c r="A1396">
        <v>1395</v>
      </c>
      <c r="B1396" t="s">
        <v>294</v>
      </c>
      <c r="C1396" s="1">
        <v>44196</v>
      </c>
      <c r="D1396">
        <v>5</v>
      </c>
      <c r="E1396" s="4" t="s">
        <v>12</v>
      </c>
      <c r="F1396" t="s">
        <v>13</v>
      </c>
      <c r="G1396" s="1">
        <v>44958</v>
      </c>
      <c r="H1396" s="1">
        <f>TablaDatos[[#This Row],[FechaIngreso]]+TablaDatos[[#This Row],[DiasNuevo]]</f>
        <v>44985</v>
      </c>
      <c r="I1396">
        <v>27</v>
      </c>
      <c r="J1396" t="s">
        <v>19</v>
      </c>
      <c r="K1396" s="3">
        <v>14091.66</v>
      </c>
      <c r="L1396" t="b">
        <f>TablaDatos[[#This Row],[FechaAlta]] &lt; TablaDatos[[#This Row],[FechaIngreso]]</f>
        <v>0</v>
      </c>
      <c r="M1396">
        <f>_xlfn.XLOOKUP(TablaDatos[[#This Row],[PacienteID]],'Datos_Ejemplo.csv'!A:A,'Datos_Ejemplo.csv'!I:I)</f>
        <v>27</v>
      </c>
      <c r="N1396">
        <f>ABS(TablaDatos[[#This Row],[DiasOriginal]])</f>
        <v>27</v>
      </c>
      <c r="O1396" s="1">
        <f>TablaDatos[[#This Row],[FechaIngreso]]+TablaDatos[[#This Row],[DiasNuevo]]</f>
        <v>44985</v>
      </c>
    </row>
    <row r="1397" spans="1:15">
      <c r="A1397">
        <v>1396</v>
      </c>
      <c r="B1397" t="s">
        <v>246</v>
      </c>
      <c r="C1397" s="1">
        <v>13150</v>
      </c>
      <c r="D1397">
        <v>90</v>
      </c>
      <c r="E1397" s="4" t="s">
        <v>15</v>
      </c>
      <c r="F1397" t="s">
        <v>32</v>
      </c>
      <c r="G1397" s="1">
        <v>45169</v>
      </c>
      <c r="H1397" s="1">
        <f>TablaDatos[[#This Row],[FechaIngreso]]+TablaDatos[[#This Row],[DiasNuevo]]</f>
        <v>45208</v>
      </c>
      <c r="I1397">
        <v>39</v>
      </c>
      <c r="J1397" t="s">
        <v>25</v>
      </c>
      <c r="K1397" s="3">
        <v>19054.03</v>
      </c>
      <c r="L1397" t="b">
        <f>TablaDatos[[#This Row],[FechaAlta]] &lt; TablaDatos[[#This Row],[FechaIngreso]]</f>
        <v>0</v>
      </c>
      <c r="M1397">
        <f>_xlfn.XLOOKUP(TablaDatos[[#This Row],[PacienteID]],'Datos_Ejemplo.csv'!A:A,'Datos_Ejemplo.csv'!I:I)</f>
        <v>39</v>
      </c>
      <c r="N1397">
        <f>ABS(TablaDatos[[#This Row],[DiasOriginal]])</f>
        <v>39</v>
      </c>
      <c r="O1397" s="1">
        <f>TablaDatos[[#This Row],[FechaIngreso]]+TablaDatos[[#This Row],[DiasNuevo]]</f>
        <v>45208</v>
      </c>
    </row>
    <row r="1398" spans="1:15">
      <c r="A1398">
        <v>1397</v>
      </c>
      <c r="B1398" t="s">
        <v>329</v>
      </c>
      <c r="C1398" s="1">
        <v>31778</v>
      </c>
      <c r="D1398">
        <v>39</v>
      </c>
      <c r="E1398" s="4" t="s">
        <v>12</v>
      </c>
      <c r="F1398" t="s">
        <v>261</v>
      </c>
      <c r="G1398" s="1">
        <v>45479</v>
      </c>
      <c r="H1398" s="1">
        <f>TablaDatos[[#This Row],[FechaIngreso]]+TablaDatos[[#This Row],[DiasNuevo]]</f>
        <v>45505</v>
      </c>
      <c r="I1398">
        <v>26</v>
      </c>
      <c r="J1398" t="s">
        <v>23</v>
      </c>
      <c r="K1398" s="3">
        <v>18249.939999999999</v>
      </c>
      <c r="L1398" t="b">
        <f>TablaDatos[[#This Row],[FechaAlta]] &lt; TablaDatos[[#This Row],[FechaIngreso]]</f>
        <v>0</v>
      </c>
      <c r="M1398">
        <f>_xlfn.XLOOKUP(TablaDatos[[#This Row],[PacienteID]],'Datos_Ejemplo.csv'!A:A,'Datos_Ejemplo.csv'!I:I)</f>
        <v>26</v>
      </c>
      <c r="N1398">
        <f>ABS(TablaDatos[[#This Row],[DiasOriginal]])</f>
        <v>26</v>
      </c>
      <c r="O1398" s="1">
        <f>TablaDatos[[#This Row],[FechaIngreso]]+TablaDatos[[#This Row],[DiasNuevo]]</f>
        <v>45505</v>
      </c>
    </row>
    <row r="1399" spans="1:15">
      <c r="A1399">
        <v>1398</v>
      </c>
      <c r="B1399" t="s">
        <v>346</v>
      </c>
      <c r="C1399" s="1">
        <v>42005</v>
      </c>
      <c r="D1399">
        <v>11</v>
      </c>
      <c r="E1399" s="4" t="s">
        <v>12</v>
      </c>
      <c r="F1399" t="s">
        <v>295</v>
      </c>
      <c r="G1399" s="1">
        <v>45218</v>
      </c>
      <c r="H1399" s="1">
        <f>TablaDatos[[#This Row],[FechaIngreso]]+TablaDatos[[#This Row],[DiasNuevo]]</f>
        <v>45254</v>
      </c>
      <c r="I1399">
        <v>36</v>
      </c>
      <c r="J1399" t="s">
        <v>23</v>
      </c>
      <c r="K1399" s="3">
        <v>1049.57</v>
      </c>
      <c r="L1399" t="b">
        <f>TablaDatos[[#This Row],[FechaAlta]] &lt; TablaDatos[[#This Row],[FechaIngreso]]</f>
        <v>0</v>
      </c>
      <c r="M1399">
        <f>_xlfn.XLOOKUP(TablaDatos[[#This Row],[PacienteID]],'Datos_Ejemplo.csv'!A:A,'Datos_Ejemplo.csv'!I:I)</f>
        <v>36</v>
      </c>
      <c r="N1399">
        <f>ABS(TablaDatos[[#This Row],[DiasOriginal]])</f>
        <v>36</v>
      </c>
      <c r="O1399" s="1">
        <f>TablaDatos[[#This Row],[FechaIngreso]]+TablaDatos[[#This Row],[DiasNuevo]]</f>
        <v>45254</v>
      </c>
    </row>
    <row r="1400" spans="1:15">
      <c r="A1400">
        <v>1399</v>
      </c>
      <c r="B1400" t="s">
        <v>344</v>
      </c>
      <c r="C1400" s="1">
        <v>27029</v>
      </c>
      <c r="D1400">
        <v>52</v>
      </c>
      <c r="E1400" s="4" t="s">
        <v>15</v>
      </c>
      <c r="F1400" t="s">
        <v>32</v>
      </c>
      <c r="G1400" s="1">
        <v>45541</v>
      </c>
      <c r="H1400" s="1">
        <f>TablaDatos[[#This Row],[FechaIngreso]]+TablaDatos[[#This Row],[DiasNuevo]]</f>
        <v>45560</v>
      </c>
      <c r="I1400">
        <v>19</v>
      </c>
      <c r="J1400" t="s">
        <v>25</v>
      </c>
      <c r="K1400" s="3">
        <v>4888.13</v>
      </c>
      <c r="L1400" t="b">
        <f>TablaDatos[[#This Row],[FechaAlta]] &lt; TablaDatos[[#This Row],[FechaIngreso]]</f>
        <v>0</v>
      </c>
      <c r="M1400">
        <f>_xlfn.XLOOKUP(TablaDatos[[#This Row],[PacienteID]],'Datos_Ejemplo.csv'!A:A,'Datos_Ejemplo.csv'!I:I)</f>
        <v>19</v>
      </c>
      <c r="N1400">
        <f>ABS(TablaDatos[[#This Row],[DiasOriginal]])</f>
        <v>19</v>
      </c>
      <c r="O1400" s="1">
        <f>TablaDatos[[#This Row],[FechaIngreso]]+TablaDatos[[#This Row],[DiasNuevo]]</f>
        <v>45560</v>
      </c>
    </row>
    <row r="1401" spans="1:15">
      <c r="A1401">
        <v>1400</v>
      </c>
      <c r="B1401" t="s">
        <v>333</v>
      </c>
      <c r="C1401" s="1">
        <v>20455</v>
      </c>
      <c r="D1401">
        <f ca="1">DATEDIF(TablaDatos[[#This Row],[FechaNacimiento]],TODAY(),"Y")</f>
        <v>70</v>
      </c>
      <c r="E1401" s="4" t="s">
        <v>15</v>
      </c>
      <c r="F1401" t="s">
        <v>32</v>
      </c>
      <c r="G1401" s="1">
        <v>45218</v>
      </c>
      <c r="H1401" s="1">
        <f>TablaDatos[[#This Row],[FechaIngreso]]+TablaDatos[[#This Row],[DiasNuevo]]</f>
        <v>45244</v>
      </c>
      <c r="I1401">
        <v>26</v>
      </c>
      <c r="J1401" t="s">
        <v>19</v>
      </c>
      <c r="K1401" s="3">
        <v>887.81</v>
      </c>
      <c r="L1401" t="b">
        <f>TablaDatos[[#This Row],[FechaAlta]] &lt; TablaDatos[[#This Row],[FechaIngreso]]</f>
        <v>0</v>
      </c>
      <c r="M1401">
        <f>_xlfn.XLOOKUP(TablaDatos[[#This Row],[PacienteID]],'Datos_Ejemplo.csv'!A:A,'Datos_Ejemplo.csv'!I:I)</f>
        <v>26</v>
      </c>
      <c r="N1401">
        <f>ABS(TablaDatos[[#This Row],[DiasOriginal]])</f>
        <v>26</v>
      </c>
      <c r="O1401" s="1">
        <f>TablaDatos[[#This Row],[FechaIngreso]]+TablaDatos[[#This Row],[DiasNuevo]]</f>
        <v>45244</v>
      </c>
    </row>
    <row r="1402" spans="1:15">
      <c r="A1402">
        <v>1401</v>
      </c>
      <c r="B1402" t="s">
        <v>343</v>
      </c>
      <c r="C1402" s="1">
        <v>42735</v>
      </c>
      <c r="D1402">
        <v>9</v>
      </c>
      <c r="E1402" s="4" t="s">
        <v>15</v>
      </c>
      <c r="F1402" t="s">
        <v>21</v>
      </c>
      <c r="G1402" s="1">
        <v>45545</v>
      </c>
      <c r="H1402" s="1">
        <f>TablaDatos[[#This Row],[FechaIngreso]]+TablaDatos[[#This Row],[DiasNuevo]]</f>
        <v>45552</v>
      </c>
      <c r="I1402">
        <v>7</v>
      </c>
      <c r="J1402" t="s">
        <v>19</v>
      </c>
      <c r="K1402" s="3">
        <v>12292.5</v>
      </c>
      <c r="L1402" t="b">
        <f>TablaDatos[[#This Row],[FechaAlta]] &lt; TablaDatos[[#This Row],[FechaIngreso]]</f>
        <v>0</v>
      </c>
      <c r="M1402">
        <f>_xlfn.XLOOKUP(TablaDatos[[#This Row],[PacienteID]],'Datos_Ejemplo.csv'!A:A,'Datos_Ejemplo.csv'!I:I)</f>
        <v>7</v>
      </c>
      <c r="N1402">
        <f>ABS(TablaDatos[[#This Row],[DiasOriginal]])</f>
        <v>7</v>
      </c>
      <c r="O1402" s="1">
        <f>TablaDatos[[#This Row],[FechaIngreso]]+TablaDatos[[#This Row],[DiasNuevo]]</f>
        <v>45552</v>
      </c>
    </row>
    <row r="1403" spans="1:15">
      <c r="A1403">
        <v>1402</v>
      </c>
      <c r="B1403" t="s">
        <v>328</v>
      </c>
      <c r="C1403" s="1">
        <v>29951</v>
      </c>
      <c r="D1403">
        <f ca="1">DATEDIF(TablaDatos[[#This Row],[FechaNacimiento]],TODAY(),"Y")</f>
        <v>44</v>
      </c>
      <c r="E1403" s="4" t="s">
        <v>15</v>
      </c>
      <c r="F1403" t="s">
        <v>18</v>
      </c>
      <c r="G1403" s="1">
        <v>45308</v>
      </c>
      <c r="H1403" s="1">
        <f>TablaDatos[[#This Row],[FechaIngreso]]+TablaDatos[[#This Row],[DiasNuevo]]</f>
        <v>45325</v>
      </c>
      <c r="I1403">
        <v>17</v>
      </c>
      <c r="J1403" t="s">
        <v>19</v>
      </c>
      <c r="K1403" s="3">
        <v>14180.92</v>
      </c>
      <c r="L1403" t="b">
        <f>TablaDatos[[#This Row],[FechaAlta]] &lt; TablaDatos[[#This Row],[FechaIngreso]]</f>
        <v>0</v>
      </c>
      <c r="M1403">
        <f>_xlfn.XLOOKUP(TablaDatos[[#This Row],[PacienteID]],'Datos_Ejemplo.csv'!A:A,'Datos_Ejemplo.csv'!I:I)</f>
        <v>17</v>
      </c>
      <c r="N1403">
        <f>ABS(TablaDatos[[#This Row],[DiasOriginal]])</f>
        <v>17</v>
      </c>
      <c r="O1403" s="1">
        <f>TablaDatos[[#This Row],[FechaIngreso]]+TablaDatos[[#This Row],[DiasNuevo]]</f>
        <v>45325</v>
      </c>
    </row>
    <row r="1404" spans="1:15">
      <c r="A1404">
        <v>1403</v>
      </c>
      <c r="B1404" t="s">
        <v>116</v>
      </c>
      <c r="C1404" s="1">
        <v>40178</v>
      </c>
      <c r="D1404">
        <v>16</v>
      </c>
      <c r="E1404" s="4" t="s">
        <v>12</v>
      </c>
      <c r="F1404" t="s">
        <v>201</v>
      </c>
      <c r="G1404" s="1">
        <v>45525</v>
      </c>
      <c r="H1404" s="1">
        <f>TablaDatos[[#This Row],[FechaIngreso]]+TablaDatos[[#This Row],[DiasNuevo]]</f>
        <v>45538</v>
      </c>
      <c r="I1404">
        <v>13</v>
      </c>
      <c r="J1404" t="s">
        <v>23</v>
      </c>
      <c r="K1404" s="3">
        <v>6096.5</v>
      </c>
      <c r="L1404" t="b">
        <f>TablaDatos[[#This Row],[FechaAlta]] &lt; TablaDatos[[#This Row],[FechaIngreso]]</f>
        <v>0</v>
      </c>
      <c r="M1404">
        <f>_xlfn.XLOOKUP(TablaDatos[[#This Row],[PacienteID]],'Datos_Ejemplo.csv'!A:A,'Datos_Ejemplo.csv'!I:I)</f>
        <v>13</v>
      </c>
      <c r="N1404">
        <f>ABS(TablaDatos[[#This Row],[DiasOriginal]])</f>
        <v>13</v>
      </c>
      <c r="O1404" s="1">
        <f>TablaDatos[[#This Row],[FechaIngreso]]+TablaDatos[[#This Row],[DiasNuevo]]</f>
        <v>45538</v>
      </c>
    </row>
    <row r="1405" spans="1:15">
      <c r="A1405">
        <v>1404</v>
      </c>
      <c r="B1405" t="s">
        <v>240</v>
      </c>
      <c r="C1405" s="1">
        <v>36891</v>
      </c>
      <c r="D1405">
        <f ca="1">DATEDIF(TablaDatos[[#This Row],[FechaNacimiento]],TODAY(),"Y")</f>
        <v>25</v>
      </c>
      <c r="E1405" s="4" t="s">
        <v>12</v>
      </c>
      <c r="F1405" t="s">
        <v>261</v>
      </c>
      <c r="G1405" s="1">
        <v>45504</v>
      </c>
      <c r="H1405" s="1">
        <f>TablaDatos[[#This Row],[FechaIngreso]]+TablaDatos[[#This Row],[DiasNuevo]]</f>
        <v>45507</v>
      </c>
      <c r="I1405">
        <v>3</v>
      </c>
      <c r="J1405" t="s">
        <v>23</v>
      </c>
      <c r="K1405" s="3">
        <v>17062.419999999998</v>
      </c>
      <c r="L1405" t="b">
        <f>TablaDatos[[#This Row],[FechaAlta]] &lt; TablaDatos[[#This Row],[FechaIngreso]]</f>
        <v>0</v>
      </c>
      <c r="M1405">
        <f>_xlfn.XLOOKUP(TablaDatos[[#This Row],[PacienteID]],'Datos_Ejemplo.csv'!A:A,'Datos_Ejemplo.csv'!I:I)</f>
        <v>3</v>
      </c>
      <c r="N1405">
        <f>ABS(TablaDatos[[#This Row],[DiasOriginal]])</f>
        <v>3</v>
      </c>
      <c r="O1405" s="1">
        <f>TablaDatos[[#This Row],[FechaIngreso]]+TablaDatos[[#This Row],[DiasNuevo]]</f>
        <v>45507</v>
      </c>
    </row>
    <row r="1406" spans="1:15">
      <c r="A1406">
        <v>1405</v>
      </c>
      <c r="B1406" t="s">
        <v>368</v>
      </c>
      <c r="C1406" s="1">
        <v>15341</v>
      </c>
      <c r="D1406">
        <v>84</v>
      </c>
      <c r="E1406" s="4" t="s">
        <v>12</v>
      </c>
      <c r="F1406" t="s">
        <v>295</v>
      </c>
      <c r="G1406" s="1">
        <v>45064</v>
      </c>
      <c r="H1406" s="1">
        <f>TablaDatos[[#This Row],[FechaIngreso]]+TablaDatos[[#This Row],[DiasNuevo]]</f>
        <v>45078</v>
      </c>
      <c r="I1406">
        <v>14</v>
      </c>
      <c r="J1406" t="s">
        <v>23</v>
      </c>
      <c r="K1406" s="3">
        <v>9001.5400000000009</v>
      </c>
      <c r="L1406" t="b">
        <f>TablaDatos[[#This Row],[FechaAlta]] &lt; TablaDatos[[#This Row],[FechaIngreso]]</f>
        <v>0</v>
      </c>
      <c r="M1406">
        <f>_xlfn.XLOOKUP(TablaDatos[[#This Row],[PacienteID]],'Datos_Ejemplo.csv'!A:A,'Datos_Ejemplo.csv'!I:I)</f>
        <v>14</v>
      </c>
      <c r="N1406">
        <f>ABS(TablaDatos[[#This Row],[DiasOriginal]])</f>
        <v>14</v>
      </c>
      <c r="O1406" s="1">
        <f>TablaDatos[[#This Row],[FechaIngreso]]+TablaDatos[[#This Row],[DiasNuevo]]</f>
        <v>45078</v>
      </c>
    </row>
    <row r="1407" spans="1:15">
      <c r="A1407">
        <v>1406</v>
      </c>
      <c r="B1407" t="s">
        <v>342</v>
      </c>
      <c r="C1407" s="1">
        <v>12785</v>
      </c>
      <c r="D1407">
        <v>91</v>
      </c>
      <c r="E1407" s="4" t="s">
        <v>15</v>
      </c>
      <c r="F1407" t="s">
        <v>32</v>
      </c>
      <c r="G1407" s="1">
        <v>45126</v>
      </c>
      <c r="H1407" s="1">
        <f>TablaDatos[[#This Row],[FechaIngreso]]+TablaDatos[[#This Row],[DiasNuevo]]</f>
        <v>45129</v>
      </c>
      <c r="I1407">
        <v>3</v>
      </c>
      <c r="J1407" t="s">
        <v>19</v>
      </c>
      <c r="K1407" s="3">
        <v>19967.47</v>
      </c>
      <c r="L1407" t="b">
        <f>TablaDatos[[#This Row],[FechaAlta]] &lt; TablaDatos[[#This Row],[FechaIngreso]]</f>
        <v>0</v>
      </c>
      <c r="M1407">
        <f>_xlfn.XLOOKUP(TablaDatos[[#This Row],[PacienteID]],'Datos_Ejemplo.csv'!A:A,'Datos_Ejemplo.csv'!I:I)</f>
        <v>3</v>
      </c>
      <c r="N1407">
        <f>ABS(TablaDatos[[#This Row],[DiasOriginal]])</f>
        <v>3</v>
      </c>
      <c r="O1407" s="1">
        <f>TablaDatos[[#This Row],[FechaIngreso]]+TablaDatos[[#This Row],[DiasNuevo]]</f>
        <v>45129</v>
      </c>
    </row>
    <row r="1408" spans="1:15">
      <c r="A1408">
        <v>1407</v>
      </c>
      <c r="B1408" t="s">
        <v>339</v>
      </c>
      <c r="C1408" s="1">
        <v>23742</v>
      </c>
      <c r="D1408">
        <v>61</v>
      </c>
      <c r="E1408" s="4" t="s">
        <v>15</v>
      </c>
      <c r="F1408" t="s">
        <v>32</v>
      </c>
      <c r="G1408" s="1">
        <v>45261</v>
      </c>
      <c r="H1408" s="1">
        <f>TablaDatos[[#This Row],[FechaIngreso]]+TablaDatos[[#This Row],[DiasNuevo]]</f>
        <v>45280</v>
      </c>
      <c r="I1408">
        <v>19</v>
      </c>
      <c r="J1408" t="s">
        <v>23</v>
      </c>
      <c r="K1408" s="3">
        <v>-91.97</v>
      </c>
      <c r="L1408" t="b">
        <f>TablaDatos[[#This Row],[FechaAlta]] &lt; TablaDatos[[#This Row],[FechaIngreso]]</f>
        <v>0</v>
      </c>
      <c r="M1408">
        <f>_xlfn.XLOOKUP(TablaDatos[[#This Row],[PacienteID]],'Datos_Ejemplo.csv'!A:A,'Datos_Ejemplo.csv'!I:I)</f>
        <v>19</v>
      </c>
      <c r="N1408">
        <f>ABS(TablaDatos[[#This Row],[DiasOriginal]])</f>
        <v>19</v>
      </c>
      <c r="O1408" s="1">
        <f>TablaDatos[[#This Row],[FechaIngreso]]+TablaDatos[[#This Row],[DiasNuevo]]</f>
        <v>45280</v>
      </c>
    </row>
    <row r="1409" spans="1:15">
      <c r="A1409">
        <v>1408</v>
      </c>
      <c r="B1409" t="s">
        <v>252</v>
      </c>
      <c r="C1409" s="1">
        <v>29586</v>
      </c>
      <c r="D1409">
        <v>45</v>
      </c>
      <c r="E1409" s="4" t="s">
        <v>12</v>
      </c>
      <c r="F1409" t="s">
        <v>201</v>
      </c>
      <c r="G1409" s="1">
        <v>45531</v>
      </c>
      <c r="H1409" s="1">
        <f>TablaDatos[[#This Row],[FechaIngreso]]+TablaDatos[[#This Row],[DiasNuevo]]</f>
        <v>45546</v>
      </c>
      <c r="I1409">
        <v>15</v>
      </c>
      <c r="J1409" t="s">
        <v>19</v>
      </c>
      <c r="K1409" s="3">
        <v>2100.7399999999998</v>
      </c>
      <c r="L1409" t="b">
        <f>TablaDatos[[#This Row],[FechaAlta]] &lt; TablaDatos[[#This Row],[FechaIngreso]]</f>
        <v>0</v>
      </c>
      <c r="M1409">
        <f>_xlfn.XLOOKUP(TablaDatos[[#This Row],[PacienteID]],'Datos_Ejemplo.csv'!A:A,'Datos_Ejemplo.csv'!I:I)</f>
        <v>15</v>
      </c>
      <c r="N1409">
        <f>ABS(TablaDatos[[#This Row],[DiasOriginal]])</f>
        <v>15</v>
      </c>
      <c r="O1409" s="1">
        <f>TablaDatos[[#This Row],[FechaIngreso]]+TablaDatos[[#This Row],[DiasNuevo]]</f>
        <v>45546</v>
      </c>
    </row>
    <row r="1410" spans="1:15">
      <c r="A1410">
        <v>1409</v>
      </c>
      <c r="B1410" t="s">
        <v>285</v>
      </c>
      <c r="C1410" s="1">
        <v>23012</v>
      </c>
      <c r="D1410">
        <v>63</v>
      </c>
      <c r="E1410" s="4" t="s">
        <v>12</v>
      </c>
      <c r="F1410" t="s">
        <v>18</v>
      </c>
      <c r="G1410" s="1">
        <v>45373</v>
      </c>
      <c r="H1410" s="1">
        <f>TablaDatos[[#This Row],[FechaIngreso]]+TablaDatos[[#This Row],[DiasNuevo]]</f>
        <v>45402</v>
      </c>
      <c r="I1410">
        <v>29</v>
      </c>
      <c r="J1410" t="s">
        <v>25</v>
      </c>
      <c r="K1410" s="3">
        <v>5966.04</v>
      </c>
      <c r="L1410" t="b">
        <f>TablaDatos[[#This Row],[FechaAlta]] &lt; TablaDatos[[#This Row],[FechaIngreso]]</f>
        <v>0</v>
      </c>
      <c r="M1410">
        <f>_xlfn.XLOOKUP(TablaDatos[[#This Row],[PacienteID]],'Datos_Ejemplo.csv'!A:A,'Datos_Ejemplo.csv'!I:I)</f>
        <v>29</v>
      </c>
      <c r="N1410">
        <f>ABS(TablaDatos[[#This Row],[DiasOriginal]])</f>
        <v>29</v>
      </c>
      <c r="O1410" s="1">
        <f>TablaDatos[[#This Row],[FechaIngreso]]+TablaDatos[[#This Row],[DiasNuevo]]</f>
        <v>45402</v>
      </c>
    </row>
    <row r="1411" spans="1:15">
      <c r="A1411">
        <v>1410</v>
      </c>
      <c r="B1411" t="s">
        <v>356</v>
      </c>
      <c r="C1411" s="1">
        <v>45657</v>
      </c>
      <c r="D1411">
        <v>1</v>
      </c>
      <c r="E1411" s="4" t="s">
        <v>12</v>
      </c>
      <c r="F1411" t="s">
        <v>261</v>
      </c>
      <c r="G1411" s="1">
        <v>45274</v>
      </c>
      <c r="H1411" s="1">
        <f>TablaDatos[[#This Row],[FechaIngreso]]+TablaDatos[[#This Row],[DiasNuevo]]</f>
        <v>45299</v>
      </c>
      <c r="I1411">
        <v>25</v>
      </c>
      <c r="J1411" t="s">
        <v>25</v>
      </c>
      <c r="K1411" s="3">
        <v>412.7</v>
      </c>
      <c r="L1411" t="b">
        <f>TablaDatos[[#This Row],[FechaAlta]] &lt; TablaDatos[[#This Row],[FechaIngreso]]</f>
        <v>0</v>
      </c>
      <c r="M1411">
        <f>_xlfn.XLOOKUP(TablaDatos[[#This Row],[PacienteID]],'Datos_Ejemplo.csv'!A:A,'Datos_Ejemplo.csv'!I:I)</f>
        <v>25</v>
      </c>
      <c r="N1411">
        <f>ABS(TablaDatos[[#This Row],[DiasOriginal]])</f>
        <v>25</v>
      </c>
      <c r="O1411" s="1">
        <f>TablaDatos[[#This Row],[FechaIngreso]]+TablaDatos[[#This Row],[DiasNuevo]]</f>
        <v>45299</v>
      </c>
    </row>
    <row r="1412" spans="1:15">
      <c r="A1412">
        <v>1411</v>
      </c>
      <c r="B1412" t="s">
        <v>299</v>
      </c>
      <c r="C1412" s="1">
        <v>26664</v>
      </c>
      <c r="D1412">
        <v>53</v>
      </c>
      <c r="E1412" s="4" t="s">
        <v>15</v>
      </c>
      <c r="F1412" t="s">
        <v>261</v>
      </c>
      <c r="G1412" s="1">
        <v>45204</v>
      </c>
      <c r="H1412" s="1">
        <f>TablaDatos[[#This Row],[FechaIngreso]]+TablaDatos[[#This Row],[DiasNuevo]]</f>
        <v>45243</v>
      </c>
      <c r="I1412">
        <v>39</v>
      </c>
      <c r="J1412" t="s">
        <v>25</v>
      </c>
      <c r="K1412" s="3">
        <v>15625.02</v>
      </c>
      <c r="L1412" t="b">
        <f>TablaDatos[[#This Row],[FechaAlta]] &lt; TablaDatos[[#This Row],[FechaIngreso]]</f>
        <v>0</v>
      </c>
      <c r="M1412">
        <f>_xlfn.XLOOKUP(TablaDatos[[#This Row],[PacienteID]],'Datos_Ejemplo.csv'!A:A,'Datos_Ejemplo.csv'!I:I)</f>
        <v>39</v>
      </c>
      <c r="N1412">
        <f>ABS(TablaDatos[[#This Row],[DiasOriginal]])</f>
        <v>39</v>
      </c>
      <c r="O1412" s="1">
        <f>TablaDatos[[#This Row],[FechaIngreso]]+TablaDatos[[#This Row],[DiasNuevo]]</f>
        <v>45243</v>
      </c>
    </row>
    <row r="1413" spans="1:15">
      <c r="A1413">
        <v>1412</v>
      </c>
      <c r="B1413" t="s">
        <v>294</v>
      </c>
      <c r="C1413" s="1">
        <v>22646</v>
      </c>
      <c r="D1413">
        <v>64</v>
      </c>
      <c r="E1413" s="4" t="s">
        <v>15</v>
      </c>
      <c r="F1413" t="s">
        <v>201</v>
      </c>
      <c r="G1413" s="1">
        <v>45458</v>
      </c>
      <c r="H1413" s="1">
        <f>TablaDatos[[#This Row],[FechaIngreso]]+TablaDatos[[#This Row],[DiasNuevo]]</f>
        <v>45465</v>
      </c>
      <c r="I1413">
        <v>7</v>
      </c>
      <c r="J1413" t="s">
        <v>19</v>
      </c>
      <c r="K1413" s="3">
        <v>960.71</v>
      </c>
      <c r="L1413" t="b">
        <f>TablaDatos[[#This Row],[FechaAlta]] &lt; TablaDatos[[#This Row],[FechaIngreso]]</f>
        <v>0</v>
      </c>
      <c r="M1413">
        <f>_xlfn.XLOOKUP(TablaDatos[[#This Row],[PacienteID]],'Datos_Ejemplo.csv'!A:A,'Datos_Ejemplo.csv'!I:I)</f>
        <v>7</v>
      </c>
      <c r="N1413">
        <f>ABS(TablaDatos[[#This Row],[DiasOriginal]])</f>
        <v>7</v>
      </c>
      <c r="O1413" s="1">
        <f>TablaDatos[[#This Row],[FechaIngreso]]+TablaDatos[[#This Row],[DiasNuevo]]</f>
        <v>45465</v>
      </c>
    </row>
    <row r="1414" spans="1:15">
      <c r="A1414">
        <v>1413</v>
      </c>
      <c r="B1414" t="s">
        <v>312</v>
      </c>
      <c r="C1414" s="1">
        <v>27760</v>
      </c>
      <c r="D1414">
        <v>50</v>
      </c>
      <c r="E1414" s="4" t="s">
        <v>15</v>
      </c>
      <c r="F1414" t="s">
        <v>32</v>
      </c>
      <c r="G1414" s="1">
        <v>45325</v>
      </c>
      <c r="H1414" s="1">
        <f>TablaDatos[[#This Row],[FechaIngreso]]+TablaDatos[[#This Row],[DiasNuevo]]</f>
        <v>45363</v>
      </c>
      <c r="I1414">
        <v>38</v>
      </c>
      <c r="J1414" t="s">
        <v>25</v>
      </c>
      <c r="K1414" s="3">
        <v>14954.49</v>
      </c>
      <c r="L1414" t="b">
        <f>TablaDatos[[#This Row],[FechaAlta]] &lt; TablaDatos[[#This Row],[FechaIngreso]]</f>
        <v>0</v>
      </c>
      <c r="M1414">
        <f>_xlfn.XLOOKUP(TablaDatos[[#This Row],[PacienteID]],'Datos_Ejemplo.csv'!A:A,'Datos_Ejemplo.csv'!I:I)</f>
        <v>38</v>
      </c>
      <c r="N1414">
        <f>ABS(TablaDatos[[#This Row],[DiasOriginal]])</f>
        <v>38</v>
      </c>
      <c r="O1414" s="1">
        <f>TablaDatos[[#This Row],[FechaIngreso]]+TablaDatos[[#This Row],[DiasNuevo]]</f>
        <v>45363</v>
      </c>
    </row>
    <row r="1415" spans="1:15">
      <c r="A1415">
        <v>1414</v>
      </c>
      <c r="B1415" t="s">
        <v>282</v>
      </c>
      <c r="C1415" s="1">
        <v>27029</v>
      </c>
      <c r="D1415">
        <v>52</v>
      </c>
      <c r="E1415" s="4" t="s">
        <v>197</v>
      </c>
      <c r="F1415" t="s">
        <v>32</v>
      </c>
      <c r="G1415" s="1">
        <v>45317</v>
      </c>
      <c r="H1415" s="1">
        <f>TablaDatos[[#This Row],[FechaIngreso]]+TablaDatos[[#This Row],[DiasNuevo]]</f>
        <v>45336</v>
      </c>
      <c r="I1415">
        <v>19</v>
      </c>
      <c r="J1415" t="s">
        <v>19</v>
      </c>
      <c r="K1415" s="3">
        <v>956.63</v>
      </c>
      <c r="L1415" t="b">
        <f>TablaDatos[[#This Row],[FechaAlta]] &lt; TablaDatos[[#This Row],[FechaIngreso]]</f>
        <v>0</v>
      </c>
      <c r="M1415">
        <f>_xlfn.XLOOKUP(TablaDatos[[#This Row],[PacienteID]],'Datos_Ejemplo.csv'!A:A,'Datos_Ejemplo.csv'!I:I)</f>
        <v>19</v>
      </c>
      <c r="N1415">
        <f>ABS(TablaDatos[[#This Row],[DiasOriginal]])</f>
        <v>19</v>
      </c>
      <c r="O1415" s="1">
        <f>TablaDatos[[#This Row],[FechaIngreso]]+TablaDatos[[#This Row],[DiasNuevo]]</f>
        <v>45336</v>
      </c>
    </row>
    <row r="1416" spans="1:15">
      <c r="A1416">
        <v>1415</v>
      </c>
      <c r="B1416" t="s">
        <v>269</v>
      </c>
      <c r="C1416" s="1">
        <v>33239</v>
      </c>
      <c r="D1416">
        <v>35</v>
      </c>
      <c r="E1416" s="4" t="s">
        <v>15</v>
      </c>
      <c r="F1416" t="s">
        <v>32</v>
      </c>
      <c r="G1416" s="1">
        <v>45528</v>
      </c>
      <c r="H1416" s="1">
        <f>TablaDatos[[#This Row],[FechaIngreso]]+TablaDatos[[#This Row],[DiasNuevo]]</f>
        <v>45553</v>
      </c>
      <c r="I1416">
        <v>25</v>
      </c>
      <c r="J1416" t="s">
        <v>23</v>
      </c>
      <c r="K1416" s="3">
        <v>4979.82</v>
      </c>
      <c r="L1416" t="b">
        <f>TablaDatos[[#This Row],[FechaAlta]] &lt; TablaDatos[[#This Row],[FechaIngreso]]</f>
        <v>0</v>
      </c>
      <c r="M1416">
        <f>_xlfn.XLOOKUP(TablaDatos[[#This Row],[PacienteID]],'Datos_Ejemplo.csv'!A:A,'Datos_Ejemplo.csv'!I:I)</f>
        <v>25</v>
      </c>
      <c r="N1416">
        <f>ABS(TablaDatos[[#This Row],[DiasOriginal]])</f>
        <v>25</v>
      </c>
      <c r="O1416" s="1">
        <f>TablaDatos[[#This Row],[FechaIngreso]]+TablaDatos[[#This Row],[DiasNuevo]]</f>
        <v>45553</v>
      </c>
    </row>
    <row r="1417" spans="1:15">
      <c r="A1417">
        <v>1416</v>
      </c>
      <c r="B1417" t="s">
        <v>357</v>
      </c>
      <c r="C1417" s="1">
        <v>36891</v>
      </c>
      <c r="D1417">
        <v>25</v>
      </c>
      <c r="E1417" s="4" t="s">
        <v>12</v>
      </c>
      <c r="F1417" t="s">
        <v>32</v>
      </c>
      <c r="G1417" s="1">
        <v>45488</v>
      </c>
      <c r="H1417" s="1">
        <f>TablaDatos[[#This Row],[FechaIngreso]]+TablaDatos[[#This Row],[DiasNuevo]]</f>
        <v>45500</v>
      </c>
      <c r="I1417">
        <v>12</v>
      </c>
      <c r="J1417" t="s">
        <v>23</v>
      </c>
      <c r="K1417" s="3">
        <v>16809.66</v>
      </c>
      <c r="L1417" t="b">
        <f>TablaDatos[[#This Row],[FechaAlta]] &lt; TablaDatos[[#This Row],[FechaIngreso]]</f>
        <v>0</v>
      </c>
      <c r="M1417">
        <f>_xlfn.XLOOKUP(TablaDatos[[#This Row],[PacienteID]],'Datos_Ejemplo.csv'!A:A,'Datos_Ejemplo.csv'!I:I)</f>
        <v>12</v>
      </c>
      <c r="N1417">
        <f>ABS(TablaDatos[[#This Row],[DiasOriginal]])</f>
        <v>12</v>
      </c>
      <c r="O1417" s="1">
        <f>TablaDatos[[#This Row],[FechaIngreso]]+TablaDatos[[#This Row],[DiasNuevo]]</f>
        <v>45500</v>
      </c>
    </row>
    <row r="1418" spans="1:15">
      <c r="A1418">
        <v>1417</v>
      </c>
      <c r="B1418" t="s">
        <v>304</v>
      </c>
      <c r="C1418" s="1">
        <v>35795</v>
      </c>
      <c r="D1418">
        <v>28</v>
      </c>
      <c r="E1418" s="4" t="s">
        <v>12</v>
      </c>
      <c r="F1418" t="s">
        <v>21</v>
      </c>
      <c r="G1418" s="1">
        <v>44936</v>
      </c>
      <c r="H1418" s="1">
        <f>TablaDatos[[#This Row],[FechaIngreso]]+TablaDatos[[#This Row],[DiasNuevo]]</f>
        <v>44962</v>
      </c>
      <c r="I1418">
        <v>26</v>
      </c>
      <c r="J1418" t="s">
        <v>25</v>
      </c>
      <c r="K1418" s="3">
        <v>19017.02</v>
      </c>
      <c r="L1418" t="b">
        <f>TablaDatos[[#This Row],[FechaAlta]] &lt; TablaDatos[[#This Row],[FechaIngreso]]</f>
        <v>0</v>
      </c>
      <c r="M1418">
        <f>_xlfn.XLOOKUP(TablaDatos[[#This Row],[PacienteID]],'Datos_Ejemplo.csv'!A:A,'Datos_Ejemplo.csv'!I:I)</f>
        <v>26</v>
      </c>
      <c r="N1418">
        <f>ABS(TablaDatos[[#This Row],[DiasOriginal]])</f>
        <v>26</v>
      </c>
      <c r="O1418" s="1">
        <f>TablaDatos[[#This Row],[FechaIngreso]]+TablaDatos[[#This Row],[DiasNuevo]]</f>
        <v>44962</v>
      </c>
    </row>
    <row r="1419" spans="1:15">
      <c r="A1419">
        <v>1418</v>
      </c>
      <c r="B1419" t="s">
        <v>285</v>
      </c>
      <c r="C1419" s="1">
        <v>38717</v>
      </c>
      <c r="D1419">
        <v>20</v>
      </c>
      <c r="E1419" s="4" t="s">
        <v>15</v>
      </c>
      <c r="F1419" t="s">
        <v>21</v>
      </c>
      <c r="G1419" s="1">
        <v>45517</v>
      </c>
      <c r="H1419" s="1">
        <f>TablaDatos[[#This Row],[FechaIngreso]]+TablaDatos[[#This Row],[DiasNuevo]]</f>
        <v>45521</v>
      </c>
      <c r="I1419">
        <v>4</v>
      </c>
      <c r="J1419" t="s">
        <v>19</v>
      </c>
      <c r="K1419" s="3">
        <v>8231.98</v>
      </c>
      <c r="L1419" t="b">
        <f>TablaDatos[[#This Row],[FechaAlta]] &lt; TablaDatos[[#This Row],[FechaIngreso]]</f>
        <v>0</v>
      </c>
      <c r="M1419">
        <f>_xlfn.XLOOKUP(TablaDatos[[#This Row],[PacienteID]],'Datos_Ejemplo.csv'!A:A,'Datos_Ejemplo.csv'!I:I)</f>
        <v>4</v>
      </c>
      <c r="N1419">
        <f>ABS(TablaDatos[[#This Row],[DiasOriginal]])</f>
        <v>4</v>
      </c>
      <c r="O1419" s="1">
        <f>TablaDatos[[#This Row],[FechaIngreso]]+TablaDatos[[#This Row],[DiasNuevo]]</f>
        <v>45521</v>
      </c>
    </row>
    <row r="1420" spans="1:15">
      <c r="A1420">
        <v>1419</v>
      </c>
      <c r="B1420" t="s">
        <v>111</v>
      </c>
      <c r="C1420" s="1">
        <v>42370</v>
      </c>
      <c r="D1420">
        <v>10</v>
      </c>
      <c r="E1420" s="4" t="s">
        <v>12</v>
      </c>
      <c r="F1420" t="s">
        <v>201</v>
      </c>
      <c r="G1420" s="1">
        <v>45475</v>
      </c>
      <c r="H1420" s="1">
        <f>TablaDatos[[#This Row],[FechaIngreso]]+TablaDatos[[#This Row],[DiasNuevo]]</f>
        <v>45506</v>
      </c>
      <c r="I1420">
        <v>31</v>
      </c>
      <c r="J1420" t="s">
        <v>19</v>
      </c>
      <c r="K1420" s="3">
        <v>19395.77</v>
      </c>
      <c r="L1420" t="b">
        <f>TablaDatos[[#This Row],[FechaAlta]] &lt; TablaDatos[[#This Row],[FechaIngreso]]</f>
        <v>0</v>
      </c>
      <c r="M1420">
        <f>_xlfn.XLOOKUP(TablaDatos[[#This Row],[PacienteID]],'Datos_Ejemplo.csv'!A:A,'Datos_Ejemplo.csv'!I:I)</f>
        <v>31</v>
      </c>
      <c r="N1420">
        <f>ABS(TablaDatos[[#This Row],[DiasOriginal]])</f>
        <v>31</v>
      </c>
      <c r="O1420" s="1">
        <f>TablaDatos[[#This Row],[FechaIngreso]]+TablaDatos[[#This Row],[DiasNuevo]]</f>
        <v>45506</v>
      </c>
    </row>
    <row r="1421" spans="1:15">
      <c r="A1421">
        <v>1420</v>
      </c>
      <c r="B1421" t="s">
        <v>55</v>
      </c>
      <c r="C1421" s="1">
        <v>31778</v>
      </c>
      <c r="D1421">
        <v>39</v>
      </c>
      <c r="E1421" s="4" t="s">
        <v>12</v>
      </c>
      <c r="F1421" t="s">
        <v>261</v>
      </c>
      <c r="G1421" s="1">
        <v>44985</v>
      </c>
      <c r="H1421" s="1">
        <f>TablaDatos[[#This Row],[FechaIngreso]]+TablaDatos[[#This Row],[DiasNuevo]]</f>
        <v>45014</v>
      </c>
      <c r="I1421">
        <v>29</v>
      </c>
      <c r="J1421" t="s">
        <v>23</v>
      </c>
      <c r="K1421" s="3">
        <v>12500.31</v>
      </c>
      <c r="L1421" t="b">
        <f>TablaDatos[[#This Row],[FechaAlta]] &lt; TablaDatos[[#This Row],[FechaIngreso]]</f>
        <v>0</v>
      </c>
      <c r="M1421">
        <f>_xlfn.XLOOKUP(TablaDatos[[#This Row],[PacienteID]],'Datos_Ejemplo.csv'!A:A,'Datos_Ejemplo.csv'!I:I)</f>
        <v>29</v>
      </c>
      <c r="N1421">
        <f>ABS(TablaDatos[[#This Row],[DiasOriginal]])</f>
        <v>29</v>
      </c>
      <c r="O1421" s="1">
        <f>TablaDatos[[#This Row],[FechaIngreso]]+TablaDatos[[#This Row],[DiasNuevo]]</f>
        <v>45014</v>
      </c>
    </row>
    <row r="1422" spans="1:15">
      <c r="A1422">
        <v>1421</v>
      </c>
      <c r="B1422" t="s">
        <v>269</v>
      </c>
      <c r="C1422" s="1">
        <v>42370</v>
      </c>
      <c r="D1422">
        <v>10</v>
      </c>
      <c r="E1422" s="4" t="s">
        <v>12</v>
      </c>
      <c r="F1422" t="s">
        <v>13</v>
      </c>
      <c r="G1422" s="1">
        <v>45014</v>
      </c>
      <c r="H1422" s="1">
        <f>TablaDatos[[#This Row],[FechaIngreso]]+TablaDatos[[#This Row],[DiasNuevo]]</f>
        <v>45015</v>
      </c>
      <c r="I1422">
        <v>1</v>
      </c>
      <c r="J1422" t="s">
        <v>23</v>
      </c>
      <c r="K1422" s="3">
        <v>8258.2900000000009</v>
      </c>
      <c r="L1422" t="b">
        <f>TablaDatos[[#This Row],[FechaAlta]] &lt; TablaDatos[[#This Row],[FechaIngreso]]</f>
        <v>0</v>
      </c>
      <c r="M1422">
        <f>_xlfn.XLOOKUP(TablaDatos[[#This Row],[PacienteID]],'Datos_Ejemplo.csv'!A:A,'Datos_Ejemplo.csv'!I:I)</f>
        <v>-1</v>
      </c>
      <c r="N1422">
        <f>ABS(TablaDatos[[#This Row],[DiasOriginal]])</f>
        <v>1</v>
      </c>
      <c r="O1422" s="1">
        <f>TablaDatos[[#This Row],[FechaIngreso]]+TablaDatos[[#This Row],[DiasNuevo]]</f>
        <v>45015</v>
      </c>
    </row>
    <row r="1423" spans="1:15">
      <c r="A1423">
        <v>1422</v>
      </c>
      <c r="B1423" t="s">
        <v>105</v>
      </c>
      <c r="C1423" s="1">
        <v>33239</v>
      </c>
      <c r="D1423">
        <v>35</v>
      </c>
      <c r="E1423" s="4" t="s">
        <v>15</v>
      </c>
      <c r="F1423" t="s">
        <v>295</v>
      </c>
      <c r="G1423" s="1">
        <v>45385</v>
      </c>
      <c r="H1423" s="1">
        <f>TablaDatos[[#This Row],[FechaIngreso]]+TablaDatos[[#This Row],[DiasNuevo]]</f>
        <v>45408</v>
      </c>
      <c r="I1423">
        <v>23</v>
      </c>
      <c r="J1423" t="s">
        <v>23</v>
      </c>
      <c r="K1423" s="3">
        <v>16036.31</v>
      </c>
      <c r="L1423" t="b">
        <f>TablaDatos[[#This Row],[FechaAlta]] &lt; TablaDatos[[#This Row],[FechaIngreso]]</f>
        <v>0</v>
      </c>
      <c r="M1423">
        <f>_xlfn.XLOOKUP(TablaDatos[[#This Row],[PacienteID]],'Datos_Ejemplo.csv'!A:A,'Datos_Ejemplo.csv'!I:I)</f>
        <v>23</v>
      </c>
      <c r="N1423">
        <f>ABS(TablaDatos[[#This Row],[DiasOriginal]])</f>
        <v>23</v>
      </c>
      <c r="O1423" s="1">
        <f>TablaDatos[[#This Row],[FechaIngreso]]+TablaDatos[[#This Row],[DiasNuevo]]</f>
        <v>45408</v>
      </c>
    </row>
    <row r="1424" spans="1:15">
      <c r="A1424">
        <v>1423</v>
      </c>
      <c r="B1424" t="s">
        <v>161</v>
      </c>
      <c r="C1424" s="1">
        <v>24838</v>
      </c>
      <c r="D1424">
        <v>58</v>
      </c>
      <c r="E1424" s="4" t="s">
        <v>15</v>
      </c>
      <c r="F1424" t="s">
        <v>18</v>
      </c>
      <c r="G1424" s="1">
        <v>45030</v>
      </c>
      <c r="H1424" s="1">
        <f>TablaDatos[[#This Row],[FechaIngreso]]+TablaDatos[[#This Row],[DiasNuevo]]</f>
        <v>45038</v>
      </c>
      <c r="I1424">
        <v>8</v>
      </c>
      <c r="J1424" t="s">
        <v>23</v>
      </c>
      <c r="K1424" s="3">
        <v>5836.1</v>
      </c>
      <c r="L1424" t="b">
        <f>TablaDatos[[#This Row],[FechaAlta]] &lt; TablaDatos[[#This Row],[FechaIngreso]]</f>
        <v>0</v>
      </c>
      <c r="M1424">
        <f>_xlfn.XLOOKUP(TablaDatos[[#This Row],[PacienteID]],'Datos_Ejemplo.csv'!A:A,'Datos_Ejemplo.csv'!I:I)</f>
        <v>8</v>
      </c>
      <c r="N1424">
        <f>ABS(TablaDatos[[#This Row],[DiasOriginal]])</f>
        <v>8</v>
      </c>
      <c r="O1424" s="1">
        <f>TablaDatos[[#This Row],[FechaIngreso]]+TablaDatos[[#This Row],[DiasNuevo]]</f>
        <v>45038</v>
      </c>
    </row>
    <row r="1425" spans="1:15">
      <c r="A1425">
        <v>1424</v>
      </c>
      <c r="B1425" t="s">
        <v>272</v>
      </c>
      <c r="C1425" s="1">
        <f ca="1">DATE(YEAR(TODAY())-TablaDatos[[#This Row],[Edad]],1,1)</f>
        <v>32143</v>
      </c>
      <c r="D1425">
        <v>38</v>
      </c>
      <c r="E1425" s="4" t="s">
        <v>15</v>
      </c>
      <c r="F1425" t="s">
        <v>13</v>
      </c>
      <c r="G1425" s="1">
        <v>45030</v>
      </c>
      <c r="H1425" s="1">
        <f>TablaDatos[[#This Row],[FechaIngreso]]+TablaDatos[[#This Row],[DiasNuevo]]</f>
        <v>45052</v>
      </c>
      <c r="I1425">
        <v>22</v>
      </c>
      <c r="J1425" t="s">
        <v>23</v>
      </c>
      <c r="K1425" s="3">
        <v>5242.5</v>
      </c>
      <c r="L1425" t="b">
        <f>TablaDatos[[#This Row],[FechaAlta]] &lt; TablaDatos[[#This Row],[FechaIngreso]]</f>
        <v>0</v>
      </c>
      <c r="M1425">
        <f>_xlfn.XLOOKUP(TablaDatos[[#This Row],[PacienteID]],'Datos_Ejemplo.csv'!A:A,'Datos_Ejemplo.csv'!I:I)</f>
        <v>22</v>
      </c>
      <c r="N1425">
        <f>ABS(TablaDatos[[#This Row],[DiasOriginal]])</f>
        <v>22</v>
      </c>
      <c r="O1425" s="1">
        <f>TablaDatos[[#This Row],[FechaIngreso]]+TablaDatos[[#This Row],[DiasNuevo]]</f>
        <v>45052</v>
      </c>
    </row>
    <row r="1426" spans="1:15">
      <c r="A1426">
        <v>1425</v>
      </c>
      <c r="B1426" t="s">
        <v>328</v>
      </c>
      <c r="C1426" s="1">
        <v>26664</v>
      </c>
      <c r="D1426">
        <v>53</v>
      </c>
      <c r="E1426" s="4" t="s">
        <v>15</v>
      </c>
      <c r="F1426" t="s">
        <v>21</v>
      </c>
      <c r="G1426" s="1">
        <v>45180</v>
      </c>
      <c r="H1426" s="1">
        <f>TablaDatos[[#This Row],[FechaIngreso]]+TablaDatos[[#This Row],[DiasNuevo]]</f>
        <v>45196</v>
      </c>
      <c r="I1426">
        <v>16</v>
      </c>
      <c r="J1426" t="s">
        <v>23</v>
      </c>
      <c r="K1426" s="3">
        <v>13096.61</v>
      </c>
      <c r="L1426" t="b">
        <f>TablaDatos[[#This Row],[FechaAlta]] &lt; TablaDatos[[#This Row],[FechaIngreso]]</f>
        <v>0</v>
      </c>
      <c r="M1426">
        <f>_xlfn.XLOOKUP(TablaDatos[[#This Row],[PacienteID]],'Datos_Ejemplo.csv'!A:A,'Datos_Ejemplo.csv'!I:I)</f>
        <v>16</v>
      </c>
      <c r="N1426">
        <f>ABS(TablaDatos[[#This Row],[DiasOriginal]])</f>
        <v>16</v>
      </c>
      <c r="O1426" s="1">
        <f>TablaDatos[[#This Row],[FechaIngreso]]+TablaDatos[[#This Row],[DiasNuevo]]</f>
        <v>45196</v>
      </c>
    </row>
    <row r="1427" spans="1:15">
      <c r="A1427">
        <v>1426</v>
      </c>
      <c r="B1427" t="s">
        <v>334</v>
      </c>
      <c r="C1427" s="1">
        <v>26299</v>
      </c>
      <c r="D1427">
        <v>54</v>
      </c>
      <c r="E1427" s="4" t="s">
        <v>12</v>
      </c>
      <c r="F1427" t="s">
        <v>21</v>
      </c>
      <c r="G1427" s="1">
        <v>45261</v>
      </c>
      <c r="H1427" s="1">
        <f>TablaDatos[[#This Row],[FechaIngreso]]+TablaDatos[[#This Row],[DiasNuevo]]</f>
        <v>45278</v>
      </c>
      <c r="I1427">
        <v>17</v>
      </c>
      <c r="J1427" t="s">
        <v>23</v>
      </c>
      <c r="K1427" s="3">
        <v>7748.8</v>
      </c>
      <c r="L1427" t="b">
        <f>TablaDatos[[#This Row],[FechaAlta]] &lt; TablaDatos[[#This Row],[FechaIngreso]]</f>
        <v>0</v>
      </c>
      <c r="M1427">
        <f>_xlfn.XLOOKUP(TablaDatos[[#This Row],[PacienteID]],'Datos_Ejemplo.csv'!A:A,'Datos_Ejemplo.csv'!I:I)</f>
        <v>17</v>
      </c>
      <c r="N1427">
        <f>ABS(TablaDatos[[#This Row],[DiasOriginal]])</f>
        <v>17</v>
      </c>
      <c r="O1427" s="1">
        <f>TablaDatos[[#This Row],[FechaIngreso]]+TablaDatos[[#This Row],[DiasNuevo]]</f>
        <v>45278</v>
      </c>
    </row>
    <row r="1428" spans="1:15">
      <c r="A1428">
        <v>1427</v>
      </c>
      <c r="B1428" t="s">
        <v>338</v>
      </c>
      <c r="C1428" s="1">
        <v>37622</v>
      </c>
      <c r="D1428">
        <v>23</v>
      </c>
      <c r="E1428" s="4" t="s">
        <v>12</v>
      </c>
      <c r="F1428" t="s">
        <v>21</v>
      </c>
      <c r="G1428" s="1">
        <v>45389</v>
      </c>
      <c r="H1428" s="1">
        <f>TablaDatos[[#This Row],[FechaIngreso]]+TablaDatos[[#This Row],[DiasNuevo]]</f>
        <v>45419</v>
      </c>
      <c r="I1428">
        <v>30</v>
      </c>
      <c r="J1428" t="s">
        <v>23</v>
      </c>
      <c r="K1428" s="3">
        <v>2631.95</v>
      </c>
      <c r="L1428" t="b">
        <f>TablaDatos[[#This Row],[FechaAlta]] &lt; TablaDatos[[#This Row],[FechaIngreso]]</f>
        <v>0</v>
      </c>
      <c r="M1428">
        <f>_xlfn.XLOOKUP(TablaDatos[[#This Row],[PacienteID]],'Datos_Ejemplo.csv'!A:A,'Datos_Ejemplo.csv'!I:I)</f>
        <v>30</v>
      </c>
      <c r="N1428">
        <f>ABS(TablaDatos[[#This Row],[DiasOriginal]])</f>
        <v>30</v>
      </c>
      <c r="O1428" s="1">
        <f>TablaDatos[[#This Row],[FechaIngreso]]+TablaDatos[[#This Row],[DiasNuevo]]</f>
        <v>45419</v>
      </c>
    </row>
    <row r="1429" spans="1:15">
      <c r="A1429">
        <v>1428</v>
      </c>
      <c r="B1429" t="s">
        <v>351</v>
      </c>
      <c r="C1429" s="1">
        <v>38352</v>
      </c>
      <c r="D1429">
        <v>21</v>
      </c>
      <c r="E1429" s="4" t="s">
        <v>15</v>
      </c>
      <c r="F1429" t="s">
        <v>13</v>
      </c>
      <c r="G1429" s="1">
        <v>45475</v>
      </c>
      <c r="H1429" s="1">
        <f>TablaDatos[[#This Row],[FechaIngreso]]+TablaDatos[[#This Row],[DiasNuevo]]</f>
        <v>45489</v>
      </c>
      <c r="I1429">
        <v>14</v>
      </c>
      <c r="J1429" t="s">
        <v>25</v>
      </c>
      <c r="K1429" s="3">
        <v>1245.98</v>
      </c>
      <c r="L1429" t="b">
        <f>TablaDatos[[#This Row],[FechaAlta]] &lt; TablaDatos[[#This Row],[FechaIngreso]]</f>
        <v>0</v>
      </c>
      <c r="M1429">
        <f>_xlfn.XLOOKUP(TablaDatos[[#This Row],[PacienteID]],'Datos_Ejemplo.csv'!A:A,'Datos_Ejemplo.csv'!I:I)</f>
        <v>14</v>
      </c>
      <c r="N1429">
        <f>ABS(TablaDatos[[#This Row],[DiasOriginal]])</f>
        <v>14</v>
      </c>
      <c r="O1429" s="1">
        <f>TablaDatos[[#This Row],[FechaIngreso]]+TablaDatos[[#This Row],[DiasNuevo]]</f>
        <v>45489</v>
      </c>
    </row>
    <row r="1430" spans="1:15">
      <c r="A1430">
        <v>1429</v>
      </c>
      <c r="B1430" t="s">
        <v>152</v>
      </c>
      <c r="C1430" s="1">
        <v>21185</v>
      </c>
      <c r="D1430">
        <v>68</v>
      </c>
      <c r="E1430" s="4" t="s">
        <v>12</v>
      </c>
      <c r="F1430" t="s">
        <v>21</v>
      </c>
      <c r="G1430" s="1">
        <v>45227</v>
      </c>
      <c r="H1430" s="1">
        <f>TablaDatos[[#This Row],[FechaIngreso]]+TablaDatos[[#This Row],[DiasNuevo]]</f>
        <v>45254</v>
      </c>
      <c r="I1430">
        <v>27</v>
      </c>
      <c r="J1430" t="s">
        <v>23</v>
      </c>
      <c r="K1430" s="3">
        <v>15735.64</v>
      </c>
      <c r="L1430" t="b">
        <f>TablaDatos[[#This Row],[FechaAlta]] &lt; TablaDatos[[#This Row],[FechaIngreso]]</f>
        <v>0</v>
      </c>
      <c r="M1430">
        <f>_xlfn.XLOOKUP(TablaDatos[[#This Row],[PacienteID]],'Datos_Ejemplo.csv'!A:A,'Datos_Ejemplo.csv'!I:I)</f>
        <v>27</v>
      </c>
      <c r="N1430">
        <f>ABS(TablaDatos[[#This Row],[DiasOriginal]])</f>
        <v>27</v>
      </c>
      <c r="O1430" s="1">
        <f>TablaDatos[[#This Row],[FechaIngreso]]+TablaDatos[[#This Row],[DiasNuevo]]</f>
        <v>45254</v>
      </c>
    </row>
    <row r="1431" spans="1:15">
      <c r="A1431">
        <v>1430</v>
      </c>
      <c r="B1431" t="s">
        <v>290</v>
      </c>
      <c r="C1431" s="1">
        <v>25934</v>
      </c>
      <c r="D1431">
        <v>55</v>
      </c>
      <c r="E1431" s="4" t="s">
        <v>12</v>
      </c>
      <c r="F1431" t="s">
        <v>13</v>
      </c>
      <c r="G1431" s="1">
        <v>45580</v>
      </c>
      <c r="H1431" s="1">
        <f>TablaDatos[[#This Row],[FechaIngreso]]+TablaDatos[[#This Row],[DiasNuevo]]</f>
        <v>45595</v>
      </c>
      <c r="I1431">
        <v>15</v>
      </c>
      <c r="J1431" t="s">
        <v>19</v>
      </c>
      <c r="K1431" s="3">
        <v>13485.81</v>
      </c>
      <c r="L1431" t="b">
        <f>TablaDatos[[#This Row],[FechaAlta]] &lt; TablaDatos[[#This Row],[FechaIngreso]]</f>
        <v>0</v>
      </c>
      <c r="M1431">
        <f>_xlfn.XLOOKUP(TablaDatos[[#This Row],[PacienteID]],'Datos_Ejemplo.csv'!A:A,'Datos_Ejemplo.csv'!I:I)</f>
        <v>15</v>
      </c>
      <c r="N1431">
        <f>ABS(TablaDatos[[#This Row],[DiasOriginal]])</f>
        <v>15</v>
      </c>
      <c r="O1431" s="1">
        <f>TablaDatos[[#This Row],[FechaIngreso]]+TablaDatos[[#This Row],[DiasNuevo]]</f>
        <v>45595</v>
      </c>
    </row>
    <row r="1432" spans="1:15">
      <c r="A1432">
        <v>1431</v>
      </c>
      <c r="B1432" t="s">
        <v>55</v>
      </c>
      <c r="C1432" s="1">
        <v>34334</v>
      </c>
      <c r="D1432">
        <v>32</v>
      </c>
      <c r="E1432" s="4" t="s">
        <v>15</v>
      </c>
      <c r="F1432" t="s">
        <v>21</v>
      </c>
      <c r="G1432" s="1">
        <v>45481</v>
      </c>
      <c r="H1432" s="1">
        <f>TablaDatos[[#This Row],[FechaIngreso]]+TablaDatos[[#This Row],[DiasNuevo]]</f>
        <v>45510</v>
      </c>
      <c r="I1432">
        <v>29</v>
      </c>
      <c r="J1432" t="s">
        <v>19</v>
      </c>
      <c r="K1432" s="3">
        <v>8177.14</v>
      </c>
      <c r="L1432" t="b">
        <f>TablaDatos[[#This Row],[FechaAlta]] &lt; TablaDatos[[#This Row],[FechaIngreso]]</f>
        <v>0</v>
      </c>
      <c r="M1432">
        <f>_xlfn.XLOOKUP(TablaDatos[[#This Row],[PacienteID]],'Datos_Ejemplo.csv'!A:A,'Datos_Ejemplo.csv'!I:I)</f>
        <v>29</v>
      </c>
      <c r="N1432">
        <f>ABS(TablaDatos[[#This Row],[DiasOriginal]])</f>
        <v>29</v>
      </c>
      <c r="O1432" s="1">
        <f>TablaDatos[[#This Row],[FechaIngreso]]+TablaDatos[[#This Row],[DiasNuevo]]</f>
        <v>45510</v>
      </c>
    </row>
    <row r="1433" spans="1:15">
      <c r="A1433">
        <v>1432</v>
      </c>
      <c r="B1433" t="s">
        <v>294</v>
      </c>
      <c r="C1433" s="1">
        <v>33239</v>
      </c>
      <c r="D1433">
        <v>35</v>
      </c>
      <c r="E1433" s="4" t="s">
        <v>15</v>
      </c>
      <c r="F1433" t="s">
        <v>32</v>
      </c>
      <c r="G1433" s="1">
        <v>45554</v>
      </c>
      <c r="H1433" s="1">
        <f>TablaDatos[[#This Row],[FechaIngreso]]+TablaDatos[[#This Row],[DiasNuevo]]</f>
        <v>45591</v>
      </c>
      <c r="I1433">
        <v>37</v>
      </c>
      <c r="J1433" t="s">
        <v>19</v>
      </c>
      <c r="K1433" s="3">
        <v>17914.18</v>
      </c>
      <c r="L1433" t="b">
        <f>TablaDatos[[#This Row],[FechaAlta]] &lt; TablaDatos[[#This Row],[FechaIngreso]]</f>
        <v>0</v>
      </c>
      <c r="M1433">
        <f>_xlfn.XLOOKUP(TablaDatos[[#This Row],[PacienteID]],'Datos_Ejemplo.csv'!A:A,'Datos_Ejemplo.csv'!I:I)</f>
        <v>37</v>
      </c>
      <c r="N1433">
        <f>ABS(TablaDatos[[#This Row],[DiasOriginal]])</f>
        <v>37</v>
      </c>
      <c r="O1433" s="1">
        <f>TablaDatos[[#This Row],[FechaIngreso]]+TablaDatos[[#This Row],[DiasNuevo]]</f>
        <v>45591</v>
      </c>
    </row>
    <row r="1434" spans="1:15">
      <c r="A1434">
        <v>1433</v>
      </c>
      <c r="B1434" t="s">
        <v>245</v>
      </c>
      <c r="C1434" s="1">
        <v>39083</v>
      </c>
      <c r="D1434">
        <v>19</v>
      </c>
      <c r="E1434" s="4" t="s">
        <v>12</v>
      </c>
      <c r="F1434" t="s">
        <v>32</v>
      </c>
      <c r="G1434" s="1">
        <v>45267</v>
      </c>
      <c r="H1434" s="1">
        <f>TablaDatos[[#This Row],[FechaIngreso]]+TablaDatos[[#This Row],[DiasNuevo]]</f>
        <v>45268</v>
      </c>
      <c r="I1434">
        <v>1</v>
      </c>
      <c r="J1434" t="s">
        <v>23</v>
      </c>
      <c r="K1434" s="3">
        <v>8158.22</v>
      </c>
      <c r="L1434" t="b">
        <f>TablaDatos[[#This Row],[FechaAlta]] &lt; TablaDatos[[#This Row],[FechaIngreso]]</f>
        <v>0</v>
      </c>
      <c r="M1434">
        <f>_xlfn.XLOOKUP(TablaDatos[[#This Row],[PacienteID]],'Datos_Ejemplo.csv'!A:A,'Datos_Ejemplo.csv'!I:I)</f>
        <v>1</v>
      </c>
      <c r="N1434">
        <f>ABS(TablaDatos[[#This Row],[DiasOriginal]])</f>
        <v>1</v>
      </c>
      <c r="O1434" s="1">
        <f>TablaDatos[[#This Row],[FechaIngreso]]+TablaDatos[[#This Row],[DiasNuevo]]</f>
        <v>45268</v>
      </c>
    </row>
    <row r="1435" spans="1:15">
      <c r="A1435">
        <v>1434</v>
      </c>
      <c r="B1435" t="s">
        <v>272</v>
      </c>
      <c r="C1435" s="1">
        <v>16072</v>
      </c>
      <c r="D1435">
        <v>82</v>
      </c>
      <c r="E1435" s="4" t="s">
        <v>12</v>
      </c>
      <c r="F1435" t="s">
        <v>295</v>
      </c>
      <c r="G1435" s="1">
        <v>45418</v>
      </c>
      <c r="H1435" s="1">
        <f>TablaDatos[[#This Row],[FechaIngreso]]+TablaDatos[[#This Row],[DiasNuevo]]</f>
        <v>45447</v>
      </c>
      <c r="I1435">
        <v>29</v>
      </c>
      <c r="J1435" t="s">
        <v>19</v>
      </c>
      <c r="K1435" s="3">
        <v>14176.94</v>
      </c>
      <c r="L1435" t="b">
        <f>TablaDatos[[#This Row],[FechaAlta]] &lt; TablaDatos[[#This Row],[FechaIngreso]]</f>
        <v>0</v>
      </c>
      <c r="M1435">
        <f>_xlfn.XLOOKUP(TablaDatos[[#This Row],[PacienteID]],'Datos_Ejemplo.csv'!A:A,'Datos_Ejemplo.csv'!I:I)</f>
        <v>29</v>
      </c>
      <c r="N1435">
        <f>ABS(TablaDatos[[#This Row],[DiasOriginal]])</f>
        <v>29</v>
      </c>
      <c r="O1435" s="1">
        <f>TablaDatos[[#This Row],[FechaIngreso]]+TablaDatos[[#This Row],[DiasNuevo]]</f>
        <v>45447</v>
      </c>
    </row>
    <row r="1436" spans="1:15">
      <c r="A1436">
        <v>1435</v>
      </c>
      <c r="B1436" t="s">
        <v>304</v>
      </c>
      <c r="C1436" s="1">
        <v>16802</v>
      </c>
      <c r="D1436">
        <v>80</v>
      </c>
      <c r="E1436" s="4" t="s">
        <v>12</v>
      </c>
      <c r="F1436" t="s">
        <v>21</v>
      </c>
      <c r="G1436" s="1">
        <v>45010</v>
      </c>
      <c r="H1436" s="1">
        <f>TablaDatos[[#This Row],[FechaIngreso]]+TablaDatos[[#This Row],[DiasNuevo]]</f>
        <v>45026</v>
      </c>
      <c r="I1436">
        <v>16</v>
      </c>
      <c r="J1436" t="s">
        <v>23</v>
      </c>
      <c r="K1436" s="3">
        <v>18173.22</v>
      </c>
      <c r="L1436" t="b">
        <f>TablaDatos[[#This Row],[FechaAlta]] &lt; TablaDatos[[#This Row],[FechaIngreso]]</f>
        <v>0</v>
      </c>
      <c r="M1436">
        <f>_xlfn.XLOOKUP(TablaDatos[[#This Row],[PacienteID]],'Datos_Ejemplo.csv'!A:A,'Datos_Ejemplo.csv'!I:I)</f>
        <v>16</v>
      </c>
      <c r="N1436">
        <f>ABS(TablaDatos[[#This Row],[DiasOriginal]])</f>
        <v>16</v>
      </c>
      <c r="O1436" s="1">
        <f>TablaDatos[[#This Row],[FechaIngreso]]+TablaDatos[[#This Row],[DiasNuevo]]</f>
        <v>45026</v>
      </c>
    </row>
    <row r="1437" spans="1:15">
      <c r="A1437">
        <v>1436</v>
      </c>
      <c r="B1437" t="s">
        <v>230</v>
      </c>
      <c r="C1437" s="1">
        <v>23742</v>
      </c>
      <c r="D1437">
        <f ca="1">DATEDIF(TablaDatos[[#This Row],[FechaNacimiento]],TODAY(),"Y")</f>
        <v>61</v>
      </c>
      <c r="E1437" s="4" t="s">
        <v>15</v>
      </c>
      <c r="F1437" t="s">
        <v>201</v>
      </c>
      <c r="G1437" s="1">
        <v>45185</v>
      </c>
      <c r="H1437" s="1">
        <f>TablaDatos[[#This Row],[FechaIngreso]]+TablaDatos[[#This Row],[DiasNuevo]]</f>
        <v>45185</v>
      </c>
      <c r="I1437">
        <v>0</v>
      </c>
      <c r="J1437" t="s">
        <v>19</v>
      </c>
      <c r="K1437" s="3">
        <v>16798.38</v>
      </c>
      <c r="L1437" t="b">
        <f>TablaDatos[[#This Row],[FechaAlta]] &lt; TablaDatos[[#This Row],[FechaIngreso]]</f>
        <v>0</v>
      </c>
      <c r="M1437">
        <f>_xlfn.XLOOKUP(TablaDatos[[#This Row],[PacienteID]],'Datos_Ejemplo.csv'!A:A,'Datos_Ejemplo.csv'!I:I)</f>
        <v>0</v>
      </c>
      <c r="N1437">
        <f>ABS(TablaDatos[[#This Row],[DiasOriginal]])</f>
        <v>0</v>
      </c>
      <c r="O1437" s="1">
        <f>TablaDatos[[#This Row],[FechaIngreso]]+TablaDatos[[#This Row],[DiasNuevo]]</f>
        <v>45185</v>
      </c>
    </row>
    <row r="1438" spans="1:15">
      <c r="A1438">
        <v>1437</v>
      </c>
      <c r="B1438" t="s">
        <v>334</v>
      </c>
      <c r="C1438" s="1">
        <v>19724</v>
      </c>
      <c r="D1438">
        <v>72</v>
      </c>
      <c r="E1438" s="4" t="s">
        <v>15</v>
      </c>
      <c r="F1438" t="s">
        <v>295</v>
      </c>
      <c r="G1438" s="1">
        <v>45286</v>
      </c>
      <c r="H1438" s="1">
        <f>TablaDatos[[#This Row],[FechaIngreso]]+TablaDatos[[#This Row],[DiasNuevo]]</f>
        <v>45321</v>
      </c>
      <c r="I1438">
        <v>35</v>
      </c>
      <c r="J1438" t="s">
        <v>23</v>
      </c>
      <c r="K1438" s="3">
        <v>10173.209999999999</v>
      </c>
      <c r="L1438" t="b">
        <f>TablaDatos[[#This Row],[FechaAlta]] &lt; TablaDatos[[#This Row],[FechaIngreso]]</f>
        <v>0</v>
      </c>
      <c r="M1438">
        <f>_xlfn.XLOOKUP(TablaDatos[[#This Row],[PacienteID]],'Datos_Ejemplo.csv'!A:A,'Datos_Ejemplo.csv'!I:I)</f>
        <v>35</v>
      </c>
      <c r="N1438">
        <f>ABS(TablaDatos[[#This Row],[DiasOriginal]])</f>
        <v>35</v>
      </c>
      <c r="O1438" s="1">
        <f>TablaDatos[[#This Row],[FechaIngreso]]+TablaDatos[[#This Row],[DiasNuevo]]</f>
        <v>45321</v>
      </c>
    </row>
    <row r="1439" spans="1:15">
      <c r="A1439">
        <v>1438</v>
      </c>
      <c r="B1439" t="s">
        <v>116</v>
      </c>
      <c r="C1439" s="1">
        <v>36891</v>
      </c>
      <c r="D1439">
        <v>25</v>
      </c>
      <c r="E1439" s="4" t="s">
        <v>15</v>
      </c>
      <c r="F1439" t="s">
        <v>13</v>
      </c>
      <c r="G1439" s="1">
        <v>45013</v>
      </c>
      <c r="H1439" s="1">
        <f>TablaDatos[[#This Row],[FechaIngreso]]+TablaDatos[[#This Row],[DiasNuevo]]</f>
        <v>45038</v>
      </c>
      <c r="I1439">
        <v>25</v>
      </c>
      <c r="J1439" t="s">
        <v>23</v>
      </c>
      <c r="K1439" s="3">
        <v>13580.79</v>
      </c>
      <c r="L1439" t="b">
        <f>TablaDatos[[#This Row],[FechaAlta]] &lt; TablaDatos[[#This Row],[FechaIngreso]]</f>
        <v>0</v>
      </c>
      <c r="M1439">
        <f>_xlfn.XLOOKUP(TablaDatos[[#This Row],[PacienteID]],'Datos_Ejemplo.csv'!A:A,'Datos_Ejemplo.csv'!I:I)</f>
        <v>25</v>
      </c>
      <c r="N1439">
        <f>ABS(TablaDatos[[#This Row],[DiasOriginal]])</f>
        <v>25</v>
      </c>
      <c r="O1439" s="1">
        <f>TablaDatos[[#This Row],[FechaIngreso]]+TablaDatos[[#This Row],[DiasNuevo]]</f>
        <v>45038</v>
      </c>
    </row>
    <row r="1440" spans="1:15">
      <c r="A1440">
        <v>1439</v>
      </c>
      <c r="B1440" t="s">
        <v>39</v>
      </c>
      <c r="C1440" s="1">
        <v>22281</v>
      </c>
      <c r="D1440">
        <v>65</v>
      </c>
      <c r="E1440" s="4" t="s">
        <v>12</v>
      </c>
      <c r="F1440" t="s">
        <v>295</v>
      </c>
      <c r="G1440" s="1">
        <v>45354</v>
      </c>
      <c r="H1440" s="1">
        <f>TablaDatos[[#This Row],[FechaIngreso]]+TablaDatos[[#This Row],[DiasNuevo]]</f>
        <v>45389</v>
      </c>
      <c r="I1440">
        <v>35</v>
      </c>
      <c r="J1440" t="s">
        <v>19</v>
      </c>
      <c r="K1440" s="3">
        <v>8214.68</v>
      </c>
      <c r="L1440" t="b">
        <f>TablaDatos[[#This Row],[FechaAlta]] &lt; TablaDatos[[#This Row],[FechaIngreso]]</f>
        <v>0</v>
      </c>
      <c r="M1440">
        <f>_xlfn.XLOOKUP(TablaDatos[[#This Row],[PacienteID]],'Datos_Ejemplo.csv'!A:A,'Datos_Ejemplo.csv'!I:I)</f>
        <v>35</v>
      </c>
      <c r="N1440">
        <f>ABS(TablaDatos[[#This Row],[DiasOriginal]])</f>
        <v>35</v>
      </c>
      <c r="O1440" s="1">
        <f>TablaDatos[[#This Row],[FechaIngreso]]+TablaDatos[[#This Row],[DiasNuevo]]</f>
        <v>45389</v>
      </c>
    </row>
    <row r="1441" spans="1:15">
      <c r="A1441">
        <v>1440</v>
      </c>
      <c r="B1441" t="s">
        <v>238</v>
      </c>
      <c r="C1441" s="1">
        <v>19724</v>
      </c>
      <c r="D1441">
        <v>72</v>
      </c>
      <c r="E1441" s="4" t="s">
        <v>12</v>
      </c>
      <c r="F1441" t="s">
        <v>21</v>
      </c>
      <c r="G1441" s="1">
        <v>45293</v>
      </c>
      <c r="H1441" s="1">
        <f>TablaDatos[[#This Row],[FechaIngreso]]+TablaDatos[[#This Row],[DiasNuevo]]</f>
        <v>45296</v>
      </c>
      <c r="I1441">
        <v>3</v>
      </c>
      <c r="J1441" t="s">
        <v>23</v>
      </c>
      <c r="K1441" s="3">
        <v>12908.66</v>
      </c>
      <c r="L1441" t="b">
        <f>TablaDatos[[#This Row],[FechaAlta]] &lt; TablaDatos[[#This Row],[FechaIngreso]]</f>
        <v>0</v>
      </c>
      <c r="M1441">
        <f>_xlfn.XLOOKUP(TablaDatos[[#This Row],[PacienteID]],'Datos_Ejemplo.csv'!A:A,'Datos_Ejemplo.csv'!I:I)</f>
        <v>3</v>
      </c>
      <c r="N1441">
        <f>ABS(TablaDatos[[#This Row],[DiasOriginal]])</f>
        <v>3</v>
      </c>
      <c r="O1441" s="1">
        <f>TablaDatos[[#This Row],[FechaIngreso]]+TablaDatos[[#This Row],[DiasNuevo]]</f>
        <v>45296</v>
      </c>
    </row>
    <row r="1442" spans="1:15">
      <c r="A1442">
        <v>1441</v>
      </c>
      <c r="B1442" t="s">
        <v>266</v>
      </c>
      <c r="C1442" s="1">
        <v>19724</v>
      </c>
      <c r="D1442">
        <v>72</v>
      </c>
      <c r="E1442" s="4" t="s">
        <v>15</v>
      </c>
      <c r="F1442" t="s">
        <v>13</v>
      </c>
      <c r="G1442" s="1">
        <v>45269</v>
      </c>
      <c r="H1442" s="1">
        <f>TablaDatos[[#This Row],[FechaIngreso]]+TablaDatos[[#This Row],[DiasNuevo]]</f>
        <v>45306</v>
      </c>
      <c r="I1442">
        <v>37</v>
      </c>
      <c r="J1442" t="s">
        <v>23</v>
      </c>
      <c r="K1442" s="3">
        <v>5076.8</v>
      </c>
      <c r="L1442" t="b">
        <f>TablaDatos[[#This Row],[FechaAlta]] &lt; TablaDatos[[#This Row],[FechaIngreso]]</f>
        <v>0</v>
      </c>
      <c r="M1442">
        <f>_xlfn.XLOOKUP(TablaDatos[[#This Row],[PacienteID]],'Datos_Ejemplo.csv'!A:A,'Datos_Ejemplo.csv'!I:I)</f>
        <v>37</v>
      </c>
      <c r="N1442">
        <f>ABS(TablaDatos[[#This Row],[DiasOriginal]])</f>
        <v>37</v>
      </c>
      <c r="O1442" s="1">
        <f>TablaDatos[[#This Row],[FechaIngreso]]+TablaDatos[[#This Row],[DiasNuevo]]</f>
        <v>45306</v>
      </c>
    </row>
    <row r="1443" spans="1:15">
      <c r="A1443">
        <v>1442</v>
      </c>
      <c r="B1443" t="s">
        <v>111</v>
      </c>
      <c r="C1443" s="1">
        <v>31778</v>
      </c>
      <c r="D1443">
        <v>39</v>
      </c>
      <c r="E1443" s="4" t="s">
        <v>12</v>
      </c>
      <c r="F1443" t="s">
        <v>201</v>
      </c>
      <c r="G1443" s="1">
        <v>45273</v>
      </c>
      <c r="H1443" s="1">
        <f>TablaDatos[[#This Row],[FechaIngreso]]+TablaDatos[[#This Row],[DiasNuevo]]</f>
        <v>45287</v>
      </c>
      <c r="I1443">
        <v>14</v>
      </c>
      <c r="J1443" t="s">
        <v>23</v>
      </c>
      <c r="K1443" s="3">
        <v>8638.32</v>
      </c>
      <c r="L1443" t="b">
        <f>TablaDatos[[#This Row],[FechaAlta]] &lt; TablaDatos[[#This Row],[FechaIngreso]]</f>
        <v>0</v>
      </c>
      <c r="M1443">
        <f>_xlfn.XLOOKUP(TablaDatos[[#This Row],[PacienteID]],'Datos_Ejemplo.csv'!A:A,'Datos_Ejemplo.csv'!I:I)</f>
        <v>14</v>
      </c>
      <c r="N1443">
        <f>ABS(TablaDatos[[#This Row],[DiasOriginal]])</f>
        <v>14</v>
      </c>
      <c r="O1443" s="1">
        <f>TablaDatos[[#This Row],[FechaIngreso]]+TablaDatos[[#This Row],[DiasNuevo]]</f>
        <v>45287</v>
      </c>
    </row>
    <row r="1444" spans="1:15">
      <c r="A1444">
        <v>1443</v>
      </c>
      <c r="B1444" t="s">
        <v>337</v>
      </c>
      <c r="C1444" s="1">
        <v>40178</v>
      </c>
      <c r="D1444">
        <v>16</v>
      </c>
      <c r="E1444" s="4" t="s">
        <v>12</v>
      </c>
      <c r="F1444" t="s">
        <v>13</v>
      </c>
      <c r="G1444" s="1">
        <v>45022</v>
      </c>
      <c r="H1444" s="1">
        <f>TablaDatos[[#This Row],[FechaIngreso]]+TablaDatos[[#This Row],[DiasNuevo]]</f>
        <v>45061</v>
      </c>
      <c r="I1444">
        <v>39</v>
      </c>
      <c r="J1444" t="s">
        <v>23</v>
      </c>
      <c r="K1444" s="3">
        <v>4111.87</v>
      </c>
      <c r="L1444" t="b">
        <f>TablaDatos[[#This Row],[FechaAlta]] &lt; TablaDatos[[#This Row],[FechaIngreso]]</f>
        <v>0</v>
      </c>
      <c r="M1444">
        <f>_xlfn.XLOOKUP(TablaDatos[[#This Row],[PacienteID]],'Datos_Ejemplo.csv'!A:A,'Datos_Ejemplo.csv'!I:I)</f>
        <v>39</v>
      </c>
      <c r="N1444">
        <f>ABS(TablaDatos[[#This Row],[DiasOriginal]])</f>
        <v>39</v>
      </c>
      <c r="O1444" s="1">
        <f>TablaDatos[[#This Row],[FechaIngreso]]+TablaDatos[[#This Row],[DiasNuevo]]</f>
        <v>45061</v>
      </c>
    </row>
    <row r="1445" spans="1:15">
      <c r="A1445">
        <v>1444</v>
      </c>
      <c r="B1445" t="s">
        <v>236</v>
      </c>
      <c r="C1445" s="1">
        <v>46022</v>
      </c>
      <c r="D1445">
        <v>0</v>
      </c>
      <c r="E1445" s="4" t="s">
        <v>12</v>
      </c>
      <c r="F1445" t="s">
        <v>32</v>
      </c>
      <c r="G1445" s="1">
        <v>45181</v>
      </c>
      <c r="H1445" s="1">
        <f>TablaDatos[[#This Row],[FechaIngreso]]+TablaDatos[[#This Row],[DiasNuevo]]</f>
        <v>45183</v>
      </c>
      <c r="I1445">
        <v>2</v>
      </c>
      <c r="J1445" t="s">
        <v>23</v>
      </c>
      <c r="K1445" s="3">
        <v>667.52</v>
      </c>
      <c r="L1445" t="b">
        <f>TablaDatos[[#This Row],[FechaAlta]] &lt; TablaDatos[[#This Row],[FechaIngreso]]</f>
        <v>0</v>
      </c>
      <c r="M1445">
        <f>_xlfn.XLOOKUP(TablaDatos[[#This Row],[PacienteID]],'Datos_Ejemplo.csv'!A:A,'Datos_Ejemplo.csv'!I:I)</f>
        <v>2</v>
      </c>
      <c r="N1445">
        <f>ABS(TablaDatos[[#This Row],[DiasOriginal]])</f>
        <v>2</v>
      </c>
      <c r="O1445" s="1">
        <f>TablaDatos[[#This Row],[FechaIngreso]]+TablaDatos[[#This Row],[DiasNuevo]]</f>
        <v>45183</v>
      </c>
    </row>
    <row r="1446" spans="1:15">
      <c r="A1446">
        <v>1445</v>
      </c>
      <c r="B1446" t="s">
        <v>291</v>
      </c>
      <c r="C1446" s="1">
        <v>13880</v>
      </c>
      <c r="D1446">
        <v>88</v>
      </c>
      <c r="E1446" s="4" t="s">
        <v>197</v>
      </c>
      <c r="F1446" t="s">
        <v>13</v>
      </c>
      <c r="G1446" s="1">
        <v>45062</v>
      </c>
      <c r="H1446" s="1">
        <f>TablaDatos[[#This Row],[FechaIngreso]]+TablaDatos[[#This Row],[DiasNuevo]]</f>
        <v>45078</v>
      </c>
      <c r="I1446">
        <v>16</v>
      </c>
      <c r="J1446" t="s">
        <v>23</v>
      </c>
      <c r="K1446" s="3">
        <v>11729.65</v>
      </c>
      <c r="L1446" t="b">
        <f>TablaDatos[[#This Row],[FechaAlta]] &lt; TablaDatos[[#This Row],[FechaIngreso]]</f>
        <v>0</v>
      </c>
      <c r="M1446">
        <f>_xlfn.XLOOKUP(TablaDatos[[#This Row],[PacienteID]],'Datos_Ejemplo.csv'!A:A,'Datos_Ejemplo.csv'!I:I)</f>
        <v>16</v>
      </c>
      <c r="N1446">
        <f>ABS(TablaDatos[[#This Row],[DiasOriginal]])</f>
        <v>16</v>
      </c>
      <c r="O1446" s="1">
        <f>TablaDatos[[#This Row],[FechaIngreso]]+TablaDatos[[#This Row],[DiasNuevo]]</f>
        <v>45078</v>
      </c>
    </row>
    <row r="1447" spans="1:15">
      <c r="A1447">
        <v>1446</v>
      </c>
      <c r="B1447" t="s">
        <v>312</v>
      </c>
      <c r="C1447" s="1">
        <v>24107</v>
      </c>
      <c r="D1447">
        <v>60</v>
      </c>
      <c r="E1447" s="4" t="s">
        <v>15</v>
      </c>
      <c r="F1447" t="s">
        <v>13</v>
      </c>
      <c r="G1447" s="1">
        <v>45174</v>
      </c>
      <c r="H1447" s="1">
        <f>TablaDatos[[#This Row],[FechaIngreso]]+TablaDatos[[#This Row],[DiasNuevo]]</f>
        <v>45213</v>
      </c>
      <c r="I1447">
        <v>39</v>
      </c>
      <c r="J1447" t="s">
        <v>23</v>
      </c>
      <c r="K1447" s="3">
        <v>17275.03</v>
      </c>
      <c r="L1447" t="b">
        <f>TablaDatos[[#This Row],[FechaAlta]] &lt; TablaDatos[[#This Row],[FechaIngreso]]</f>
        <v>0</v>
      </c>
      <c r="M1447">
        <f>_xlfn.XLOOKUP(TablaDatos[[#This Row],[PacienteID]],'Datos_Ejemplo.csv'!A:A,'Datos_Ejemplo.csv'!I:I)</f>
        <v>39</v>
      </c>
      <c r="N1447">
        <f>ABS(TablaDatos[[#This Row],[DiasOriginal]])</f>
        <v>39</v>
      </c>
      <c r="O1447" s="1">
        <f>TablaDatos[[#This Row],[FechaIngreso]]+TablaDatos[[#This Row],[DiasNuevo]]</f>
        <v>45213</v>
      </c>
    </row>
    <row r="1448" spans="1:15">
      <c r="A1448">
        <v>1447</v>
      </c>
      <c r="B1448" t="s">
        <v>331</v>
      </c>
      <c r="C1448" s="1">
        <v>30682</v>
      </c>
      <c r="D1448">
        <v>42</v>
      </c>
      <c r="E1448" s="4" t="s">
        <v>12</v>
      </c>
      <c r="F1448" t="s">
        <v>295</v>
      </c>
      <c r="G1448" s="1">
        <v>45425</v>
      </c>
      <c r="H1448" s="1">
        <f>TablaDatos[[#This Row],[FechaIngreso]]+TablaDatos[[#This Row],[DiasNuevo]]</f>
        <v>45457</v>
      </c>
      <c r="I1448">
        <v>32</v>
      </c>
      <c r="J1448" t="s">
        <v>25</v>
      </c>
      <c r="K1448" s="3">
        <v>414.12</v>
      </c>
      <c r="L1448" t="b">
        <f>TablaDatos[[#This Row],[FechaAlta]] &lt; TablaDatos[[#This Row],[FechaIngreso]]</f>
        <v>0</v>
      </c>
      <c r="M1448">
        <f>_xlfn.XLOOKUP(TablaDatos[[#This Row],[PacienteID]],'Datos_Ejemplo.csv'!A:A,'Datos_Ejemplo.csv'!I:I)</f>
        <v>32</v>
      </c>
      <c r="N1448">
        <f>ABS(TablaDatos[[#This Row],[DiasOriginal]])</f>
        <v>32</v>
      </c>
      <c r="O1448" s="1">
        <f>TablaDatos[[#This Row],[FechaIngreso]]+TablaDatos[[#This Row],[DiasNuevo]]</f>
        <v>45457</v>
      </c>
    </row>
    <row r="1449" spans="1:15">
      <c r="A1449">
        <v>1448</v>
      </c>
      <c r="B1449" t="s">
        <v>357</v>
      </c>
      <c r="C1449" s="1">
        <v>31047</v>
      </c>
      <c r="D1449">
        <v>41</v>
      </c>
      <c r="E1449" s="4" t="s">
        <v>15</v>
      </c>
      <c r="F1449" t="s">
        <v>201</v>
      </c>
      <c r="G1449" s="1">
        <v>45412</v>
      </c>
      <c r="H1449" s="1">
        <f>TablaDatos[[#This Row],[FechaIngreso]]+TablaDatos[[#This Row],[DiasNuevo]]</f>
        <v>45431</v>
      </c>
      <c r="I1449">
        <v>19</v>
      </c>
      <c r="J1449" t="s">
        <v>25</v>
      </c>
      <c r="K1449" s="3">
        <v>3840.2</v>
      </c>
      <c r="L1449" t="b">
        <f>TablaDatos[[#This Row],[FechaAlta]] &lt; TablaDatos[[#This Row],[FechaIngreso]]</f>
        <v>0</v>
      </c>
      <c r="M1449">
        <f>_xlfn.XLOOKUP(TablaDatos[[#This Row],[PacienteID]],'Datos_Ejemplo.csv'!A:A,'Datos_Ejemplo.csv'!I:I)</f>
        <v>19</v>
      </c>
      <c r="N1449">
        <f>ABS(TablaDatos[[#This Row],[DiasOriginal]])</f>
        <v>19</v>
      </c>
      <c r="O1449" s="1">
        <f>TablaDatos[[#This Row],[FechaIngreso]]+TablaDatos[[#This Row],[DiasNuevo]]</f>
        <v>45431</v>
      </c>
    </row>
    <row r="1450" spans="1:15">
      <c r="A1450">
        <v>1449</v>
      </c>
      <c r="B1450" t="s">
        <v>348</v>
      </c>
      <c r="C1450" s="1">
        <v>37256</v>
      </c>
      <c r="D1450">
        <v>24</v>
      </c>
      <c r="E1450" s="4" t="s">
        <v>15</v>
      </c>
      <c r="F1450" t="s">
        <v>261</v>
      </c>
      <c r="G1450" s="1">
        <v>45328</v>
      </c>
      <c r="H1450" s="1">
        <f>TablaDatos[[#This Row],[FechaIngreso]]+TablaDatos[[#This Row],[DiasNuevo]]</f>
        <v>45349</v>
      </c>
      <c r="I1450">
        <v>21</v>
      </c>
      <c r="J1450" t="s">
        <v>25</v>
      </c>
      <c r="K1450" s="3">
        <v>9149.7199999999993</v>
      </c>
      <c r="L1450" t="b">
        <f>TablaDatos[[#This Row],[FechaAlta]] &lt; TablaDatos[[#This Row],[FechaIngreso]]</f>
        <v>0</v>
      </c>
      <c r="M1450">
        <f>_xlfn.XLOOKUP(TablaDatos[[#This Row],[PacienteID]],'Datos_Ejemplo.csv'!A:A,'Datos_Ejemplo.csv'!I:I)</f>
        <v>21</v>
      </c>
      <c r="N1450">
        <f>ABS(TablaDatos[[#This Row],[DiasOriginal]])</f>
        <v>21</v>
      </c>
      <c r="O1450" s="1">
        <f>TablaDatos[[#This Row],[FechaIngreso]]+TablaDatos[[#This Row],[DiasNuevo]]</f>
        <v>45349</v>
      </c>
    </row>
    <row r="1451" spans="1:15">
      <c r="A1451">
        <v>1450</v>
      </c>
      <c r="B1451" t="s">
        <v>281</v>
      </c>
      <c r="C1451" s="1">
        <v>32143</v>
      </c>
      <c r="D1451">
        <v>38</v>
      </c>
      <c r="E1451" s="4" t="s">
        <v>12</v>
      </c>
      <c r="F1451" t="s">
        <v>13</v>
      </c>
      <c r="G1451" s="1">
        <v>45530</v>
      </c>
      <c r="H1451" s="1">
        <f>TablaDatos[[#This Row],[FechaIngreso]]+TablaDatos[[#This Row],[DiasNuevo]]</f>
        <v>45537</v>
      </c>
      <c r="I1451">
        <v>7</v>
      </c>
      <c r="J1451" t="s">
        <v>25</v>
      </c>
      <c r="K1451" s="3">
        <v>13284.53</v>
      </c>
      <c r="L1451" t="b">
        <f>TablaDatos[[#This Row],[FechaAlta]] &lt; TablaDatos[[#This Row],[FechaIngreso]]</f>
        <v>0</v>
      </c>
      <c r="M1451">
        <f>_xlfn.XLOOKUP(TablaDatos[[#This Row],[PacienteID]],'Datos_Ejemplo.csv'!A:A,'Datos_Ejemplo.csv'!I:I)</f>
        <v>7</v>
      </c>
      <c r="N1451">
        <f>ABS(TablaDatos[[#This Row],[DiasOriginal]])</f>
        <v>7</v>
      </c>
      <c r="O1451" s="1">
        <f>TablaDatos[[#This Row],[FechaIngreso]]+TablaDatos[[#This Row],[DiasNuevo]]</f>
        <v>45537</v>
      </c>
    </row>
    <row r="1452" spans="1:15">
      <c r="A1452">
        <v>1451</v>
      </c>
      <c r="B1452" t="s">
        <v>347</v>
      </c>
      <c r="C1452" s="1">
        <v>33604</v>
      </c>
      <c r="D1452">
        <v>34</v>
      </c>
      <c r="E1452" s="4" t="s">
        <v>12</v>
      </c>
      <c r="F1452" t="s">
        <v>18</v>
      </c>
      <c r="G1452" s="1">
        <v>45338</v>
      </c>
      <c r="H1452" s="1">
        <f>TablaDatos[[#This Row],[FechaIngreso]]+TablaDatos[[#This Row],[DiasNuevo]]</f>
        <v>45339</v>
      </c>
      <c r="I1452">
        <v>1</v>
      </c>
      <c r="J1452" t="s">
        <v>23</v>
      </c>
      <c r="K1452" s="3">
        <v>3341.71</v>
      </c>
      <c r="L1452" t="b">
        <f>TablaDatos[[#This Row],[FechaAlta]] &lt; TablaDatos[[#This Row],[FechaIngreso]]</f>
        <v>0</v>
      </c>
      <c r="M1452">
        <f>_xlfn.XLOOKUP(TablaDatos[[#This Row],[PacienteID]],'Datos_Ejemplo.csv'!A:A,'Datos_Ejemplo.csv'!I:I)</f>
        <v>-1</v>
      </c>
      <c r="N1452">
        <f>ABS(TablaDatos[[#This Row],[DiasOriginal]])</f>
        <v>1</v>
      </c>
      <c r="O1452" s="1">
        <f>TablaDatos[[#This Row],[FechaIngreso]]+TablaDatos[[#This Row],[DiasNuevo]]</f>
        <v>45339</v>
      </c>
    </row>
    <row r="1453" spans="1:15">
      <c r="A1453">
        <v>1452</v>
      </c>
      <c r="B1453" t="s">
        <v>334</v>
      </c>
      <c r="C1453" s="1">
        <v>45292</v>
      </c>
      <c r="D1453">
        <v>2</v>
      </c>
      <c r="E1453" s="4" t="s">
        <v>12</v>
      </c>
      <c r="F1453" t="s">
        <v>261</v>
      </c>
      <c r="G1453" s="1">
        <v>45374</v>
      </c>
      <c r="H1453" s="1">
        <f>TablaDatos[[#This Row],[FechaIngreso]]+TablaDatos[[#This Row],[DiasNuevo]]</f>
        <v>45399</v>
      </c>
      <c r="I1453">
        <v>25</v>
      </c>
      <c r="J1453" t="s">
        <v>25</v>
      </c>
      <c r="K1453" s="3">
        <v>1039.57</v>
      </c>
      <c r="L1453" t="b">
        <f>TablaDatos[[#This Row],[FechaAlta]] &lt; TablaDatos[[#This Row],[FechaIngreso]]</f>
        <v>0</v>
      </c>
      <c r="M1453">
        <f>_xlfn.XLOOKUP(TablaDatos[[#This Row],[PacienteID]],'Datos_Ejemplo.csv'!A:A,'Datos_Ejemplo.csv'!I:I)</f>
        <v>25</v>
      </c>
      <c r="N1453">
        <f>ABS(TablaDatos[[#This Row],[DiasOriginal]])</f>
        <v>25</v>
      </c>
      <c r="O1453" s="1">
        <f>TablaDatos[[#This Row],[FechaIngreso]]+TablaDatos[[#This Row],[DiasNuevo]]</f>
        <v>45399</v>
      </c>
    </row>
    <row r="1454" spans="1:15">
      <c r="A1454">
        <v>1453</v>
      </c>
      <c r="B1454" t="s">
        <v>356</v>
      </c>
      <c r="C1454" s="1">
        <v>30317</v>
      </c>
      <c r="D1454">
        <v>43</v>
      </c>
      <c r="E1454" s="4" t="s">
        <v>12</v>
      </c>
      <c r="F1454" t="s">
        <v>32</v>
      </c>
      <c r="G1454" s="1">
        <v>45173</v>
      </c>
      <c r="H1454" s="1">
        <f>TablaDatos[[#This Row],[FechaIngreso]]+TablaDatos[[#This Row],[DiasNuevo]]</f>
        <v>45211</v>
      </c>
      <c r="I1454">
        <v>38</v>
      </c>
      <c r="J1454" t="s">
        <v>19</v>
      </c>
      <c r="K1454" s="3">
        <v>10332.879999999999</v>
      </c>
      <c r="L1454" t="b">
        <f>TablaDatos[[#This Row],[FechaAlta]] &lt; TablaDatos[[#This Row],[FechaIngreso]]</f>
        <v>0</v>
      </c>
      <c r="M1454">
        <f>_xlfn.XLOOKUP(TablaDatos[[#This Row],[PacienteID]],'Datos_Ejemplo.csv'!A:A,'Datos_Ejemplo.csv'!I:I)</f>
        <v>38</v>
      </c>
      <c r="N1454">
        <f>ABS(TablaDatos[[#This Row],[DiasOriginal]])</f>
        <v>38</v>
      </c>
      <c r="O1454" s="1">
        <f>TablaDatos[[#This Row],[FechaIngreso]]+TablaDatos[[#This Row],[DiasNuevo]]</f>
        <v>45211</v>
      </c>
    </row>
    <row r="1455" spans="1:15">
      <c r="A1455">
        <v>1454</v>
      </c>
      <c r="B1455" t="s">
        <v>287</v>
      </c>
      <c r="C1455" s="1">
        <v>27760</v>
      </c>
      <c r="D1455">
        <v>50</v>
      </c>
      <c r="E1455" s="4" t="s">
        <v>12</v>
      </c>
      <c r="F1455" t="s">
        <v>201</v>
      </c>
      <c r="G1455" s="1">
        <v>45625</v>
      </c>
      <c r="H1455" s="1">
        <f>TablaDatos[[#This Row],[FechaIngreso]]+TablaDatos[[#This Row],[DiasNuevo]]</f>
        <v>45659</v>
      </c>
      <c r="I1455">
        <v>34</v>
      </c>
      <c r="J1455" t="s">
        <v>25</v>
      </c>
      <c r="K1455" s="3">
        <v>16356.07</v>
      </c>
      <c r="L1455" t="b">
        <f>TablaDatos[[#This Row],[FechaAlta]] &lt; TablaDatos[[#This Row],[FechaIngreso]]</f>
        <v>0</v>
      </c>
      <c r="M1455">
        <f>_xlfn.XLOOKUP(TablaDatos[[#This Row],[PacienteID]],'Datos_Ejemplo.csv'!A:A,'Datos_Ejemplo.csv'!I:I)</f>
        <v>34</v>
      </c>
      <c r="N1455">
        <f>ABS(TablaDatos[[#This Row],[DiasOriginal]])</f>
        <v>34</v>
      </c>
      <c r="O1455" s="1">
        <f>TablaDatos[[#This Row],[FechaIngreso]]+TablaDatos[[#This Row],[DiasNuevo]]</f>
        <v>45659</v>
      </c>
    </row>
    <row r="1456" spans="1:15">
      <c r="A1456">
        <v>1455</v>
      </c>
      <c r="B1456" t="s">
        <v>52</v>
      </c>
      <c r="C1456" s="1">
        <v>12054</v>
      </c>
      <c r="D1456">
        <v>93</v>
      </c>
      <c r="E1456" s="4" t="s">
        <v>12</v>
      </c>
      <c r="F1456" t="s">
        <v>201</v>
      </c>
      <c r="G1456" s="1">
        <v>45347</v>
      </c>
      <c r="H1456" s="1">
        <f>TablaDatos[[#This Row],[FechaIngreso]]+TablaDatos[[#This Row],[DiasNuevo]]</f>
        <v>45361</v>
      </c>
      <c r="I1456">
        <v>14</v>
      </c>
      <c r="J1456" t="s">
        <v>19</v>
      </c>
      <c r="K1456" s="3">
        <v>608.22</v>
      </c>
      <c r="L1456" t="b">
        <f>TablaDatos[[#This Row],[FechaAlta]] &lt; TablaDatos[[#This Row],[FechaIngreso]]</f>
        <v>0</v>
      </c>
      <c r="M1456">
        <f>_xlfn.XLOOKUP(TablaDatos[[#This Row],[PacienteID]],'Datos_Ejemplo.csv'!A:A,'Datos_Ejemplo.csv'!I:I)</f>
        <v>14</v>
      </c>
      <c r="N1456">
        <f>ABS(TablaDatos[[#This Row],[DiasOriginal]])</f>
        <v>14</v>
      </c>
      <c r="O1456" s="1">
        <f>TablaDatos[[#This Row],[FechaIngreso]]+TablaDatos[[#This Row],[DiasNuevo]]</f>
        <v>45361</v>
      </c>
    </row>
    <row r="1457" spans="1:15">
      <c r="A1457">
        <v>1456</v>
      </c>
      <c r="B1457" t="s">
        <v>274</v>
      </c>
      <c r="C1457" s="1">
        <v>42005</v>
      </c>
      <c r="D1457">
        <v>11</v>
      </c>
      <c r="E1457" s="4" t="s">
        <v>15</v>
      </c>
      <c r="F1457" t="s">
        <v>32</v>
      </c>
      <c r="G1457" s="1">
        <v>45050</v>
      </c>
      <c r="H1457" s="1">
        <f>TablaDatos[[#This Row],[FechaIngreso]]+TablaDatos[[#This Row],[DiasNuevo]]</f>
        <v>45053</v>
      </c>
      <c r="I1457">
        <v>3</v>
      </c>
      <c r="J1457" t="s">
        <v>19</v>
      </c>
      <c r="K1457" s="3">
        <v>6922.33</v>
      </c>
      <c r="L1457" t="b">
        <f>TablaDatos[[#This Row],[FechaAlta]] &lt; TablaDatos[[#This Row],[FechaIngreso]]</f>
        <v>0</v>
      </c>
      <c r="M1457">
        <f>_xlfn.XLOOKUP(TablaDatos[[#This Row],[PacienteID]],'Datos_Ejemplo.csv'!A:A,'Datos_Ejemplo.csv'!I:I)</f>
        <v>3</v>
      </c>
      <c r="N1457">
        <f>ABS(TablaDatos[[#This Row],[DiasOriginal]])</f>
        <v>3</v>
      </c>
      <c r="O1457" s="1">
        <f>TablaDatos[[#This Row],[FechaIngreso]]+TablaDatos[[#This Row],[DiasNuevo]]</f>
        <v>45053</v>
      </c>
    </row>
    <row r="1458" spans="1:15">
      <c r="A1458">
        <v>1457</v>
      </c>
      <c r="B1458" t="s">
        <v>340</v>
      </c>
      <c r="C1458" s="1">
        <v>39448</v>
      </c>
      <c r="D1458">
        <v>18</v>
      </c>
      <c r="E1458" s="4" t="s">
        <v>12</v>
      </c>
      <c r="F1458" t="s">
        <v>13</v>
      </c>
      <c r="G1458" s="1">
        <v>45186</v>
      </c>
      <c r="H1458" s="1">
        <f>TablaDatos[[#This Row],[FechaIngreso]]+TablaDatos[[#This Row],[DiasNuevo]]</f>
        <v>45188</v>
      </c>
      <c r="I1458">
        <v>2</v>
      </c>
      <c r="J1458" t="s">
        <v>23</v>
      </c>
      <c r="K1458" s="3">
        <v>13236.65</v>
      </c>
      <c r="L1458" t="b">
        <f>TablaDatos[[#This Row],[FechaAlta]] &lt; TablaDatos[[#This Row],[FechaIngreso]]</f>
        <v>0</v>
      </c>
      <c r="M1458">
        <f>_xlfn.XLOOKUP(TablaDatos[[#This Row],[PacienteID]],'Datos_Ejemplo.csv'!A:A,'Datos_Ejemplo.csv'!I:I)</f>
        <v>2</v>
      </c>
      <c r="N1458">
        <f>ABS(TablaDatos[[#This Row],[DiasOriginal]])</f>
        <v>2</v>
      </c>
      <c r="O1458" s="1">
        <f>TablaDatos[[#This Row],[FechaIngreso]]+TablaDatos[[#This Row],[DiasNuevo]]</f>
        <v>45188</v>
      </c>
    </row>
    <row r="1459" spans="1:15">
      <c r="A1459">
        <v>1458</v>
      </c>
      <c r="B1459" t="s">
        <v>269</v>
      </c>
      <c r="C1459" s="1">
        <v>30317</v>
      </c>
      <c r="D1459">
        <v>43</v>
      </c>
      <c r="E1459" s="4" t="s">
        <v>12</v>
      </c>
      <c r="F1459" t="s">
        <v>295</v>
      </c>
      <c r="G1459" s="1">
        <v>45095</v>
      </c>
      <c r="H1459" s="1">
        <f>TablaDatos[[#This Row],[FechaIngreso]]+TablaDatos[[#This Row],[DiasNuevo]]</f>
        <v>45131</v>
      </c>
      <c r="I1459">
        <v>36</v>
      </c>
      <c r="J1459" t="s">
        <v>23</v>
      </c>
      <c r="K1459" s="3">
        <v>2527.91</v>
      </c>
      <c r="L1459" t="b">
        <f>TablaDatos[[#This Row],[FechaAlta]] &lt; TablaDatos[[#This Row],[FechaIngreso]]</f>
        <v>0</v>
      </c>
      <c r="M1459">
        <f>_xlfn.XLOOKUP(TablaDatos[[#This Row],[PacienteID]],'Datos_Ejemplo.csv'!A:A,'Datos_Ejemplo.csv'!I:I)</f>
        <v>36</v>
      </c>
      <c r="N1459">
        <f>ABS(TablaDatos[[#This Row],[DiasOriginal]])</f>
        <v>36</v>
      </c>
      <c r="O1459" s="1">
        <f>TablaDatos[[#This Row],[FechaIngreso]]+TablaDatos[[#This Row],[DiasNuevo]]</f>
        <v>45131</v>
      </c>
    </row>
    <row r="1460" spans="1:15">
      <c r="A1460">
        <v>1459</v>
      </c>
      <c r="B1460" t="s">
        <v>312</v>
      </c>
      <c r="C1460" s="1">
        <v>24838</v>
      </c>
      <c r="D1460">
        <v>58</v>
      </c>
      <c r="E1460" s="4" t="s">
        <v>15</v>
      </c>
      <c r="F1460" t="s">
        <v>261</v>
      </c>
      <c r="G1460" s="1">
        <v>45037</v>
      </c>
      <c r="H1460" s="1">
        <f>TablaDatos[[#This Row],[FechaIngreso]]+TablaDatos[[#This Row],[DiasNuevo]]</f>
        <v>45041</v>
      </c>
      <c r="I1460">
        <v>4</v>
      </c>
      <c r="J1460" t="s">
        <v>23</v>
      </c>
      <c r="K1460" s="3">
        <v>4642.53</v>
      </c>
      <c r="L1460" t="b">
        <f>TablaDatos[[#This Row],[FechaAlta]] &lt; TablaDatos[[#This Row],[FechaIngreso]]</f>
        <v>0</v>
      </c>
      <c r="M1460">
        <f>_xlfn.XLOOKUP(TablaDatos[[#This Row],[PacienteID]],'Datos_Ejemplo.csv'!A:A,'Datos_Ejemplo.csv'!I:I)</f>
        <v>4</v>
      </c>
      <c r="N1460">
        <f>ABS(TablaDatos[[#This Row],[DiasOriginal]])</f>
        <v>4</v>
      </c>
      <c r="O1460" s="1">
        <f>TablaDatos[[#This Row],[FechaIngreso]]+TablaDatos[[#This Row],[DiasNuevo]]</f>
        <v>45041</v>
      </c>
    </row>
    <row r="1461" spans="1:15">
      <c r="A1461">
        <v>1460</v>
      </c>
      <c r="B1461" t="s">
        <v>360</v>
      </c>
      <c r="C1461" s="1">
        <v>28490</v>
      </c>
      <c r="D1461">
        <v>48</v>
      </c>
      <c r="E1461" s="4" t="s">
        <v>15</v>
      </c>
      <c r="F1461" t="s">
        <v>32</v>
      </c>
      <c r="G1461" s="1">
        <v>45216</v>
      </c>
      <c r="H1461" s="1">
        <f>TablaDatos[[#This Row],[FechaIngreso]]+TablaDatos[[#This Row],[DiasNuevo]]</f>
        <v>45245</v>
      </c>
      <c r="I1461">
        <v>29</v>
      </c>
      <c r="J1461" t="s">
        <v>25</v>
      </c>
      <c r="K1461" s="3">
        <v>10663.4</v>
      </c>
      <c r="L1461" t="b">
        <f>TablaDatos[[#This Row],[FechaAlta]] &lt; TablaDatos[[#This Row],[FechaIngreso]]</f>
        <v>0</v>
      </c>
      <c r="M1461">
        <f>_xlfn.XLOOKUP(TablaDatos[[#This Row],[PacienteID]],'Datos_Ejemplo.csv'!A:A,'Datos_Ejemplo.csv'!I:I)</f>
        <v>29</v>
      </c>
      <c r="N1461">
        <f>ABS(TablaDatos[[#This Row],[DiasOriginal]])</f>
        <v>29</v>
      </c>
      <c r="O1461" s="1">
        <f>TablaDatos[[#This Row],[FechaIngreso]]+TablaDatos[[#This Row],[DiasNuevo]]</f>
        <v>45245</v>
      </c>
    </row>
    <row r="1462" spans="1:15">
      <c r="A1462">
        <v>1461</v>
      </c>
      <c r="B1462" t="s">
        <v>328</v>
      </c>
      <c r="C1462" s="1">
        <v>24107</v>
      </c>
      <c r="D1462">
        <f ca="1">DATEDIF(TablaDatos[[#This Row],[FechaNacimiento]],TODAY(),"Y")</f>
        <v>60</v>
      </c>
      <c r="E1462" s="4" t="s">
        <v>12</v>
      </c>
      <c r="F1462" t="s">
        <v>32</v>
      </c>
      <c r="G1462" s="1">
        <v>45525</v>
      </c>
      <c r="H1462" s="1">
        <f>TablaDatos[[#This Row],[FechaIngreso]]+TablaDatos[[#This Row],[DiasNuevo]]</f>
        <v>45526</v>
      </c>
      <c r="I1462">
        <v>1</v>
      </c>
      <c r="J1462" t="s">
        <v>23</v>
      </c>
      <c r="K1462" s="3">
        <v>19059.96</v>
      </c>
      <c r="L1462" t="b">
        <f>TablaDatos[[#This Row],[FechaAlta]] &lt; TablaDatos[[#This Row],[FechaIngreso]]</f>
        <v>0</v>
      </c>
      <c r="M1462">
        <f>_xlfn.XLOOKUP(TablaDatos[[#This Row],[PacienteID]],'Datos_Ejemplo.csv'!A:A,'Datos_Ejemplo.csv'!I:I)</f>
        <v>1</v>
      </c>
      <c r="N1462">
        <f>ABS(TablaDatos[[#This Row],[DiasOriginal]])</f>
        <v>1</v>
      </c>
      <c r="O1462" s="1">
        <f>TablaDatos[[#This Row],[FechaIngreso]]+TablaDatos[[#This Row],[DiasNuevo]]</f>
        <v>45526</v>
      </c>
    </row>
    <row r="1463" spans="1:15">
      <c r="A1463">
        <v>1462</v>
      </c>
      <c r="B1463" t="s">
        <v>341</v>
      </c>
      <c r="C1463" s="1">
        <v>40178</v>
      </c>
      <c r="D1463">
        <v>16</v>
      </c>
      <c r="E1463" s="4" t="s">
        <v>12</v>
      </c>
      <c r="F1463" t="s">
        <v>18</v>
      </c>
      <c r="G1463" s="1">
        <v>44939</v>
      </c>
      <c r="H1463" s="1">
        <f>TablaDatos[[#This Row],[FechaIngreso]]+TablaDatos[[#This Row],[DiasNuevo]]</f>
        <v>44957</v>
      </c>
      <c r="I1463">
        <v>18</v>
      </c>
      <c r="J1463" t="s">
        <v>19</v>
      </c>
      <c r="K1463" s="3">
        <v>5675.59</v>
      </c>
      <c r="L1463" t="b">
        <f>TablaDatos[[#This Row],[FechaAlta]] &lt; TablaDatos[[#This Row],[FechaIngreso]]</f>
        <v>0</v>
      </c>
      <c r="M1463">
        <f>_xlfn.XLOOKUP(TablaDatos[[#This Row],[PacienteID]],'Datos_Ejemplo.csv'!A:A,'Datos_Ejemplo.csv'!I:I)</f>
        <v>18</v>
      </c>
      <c r="N1463">
        <f>ABS(TablaDatos[[#This Row],[DiasOriginal]])</f>
        <v>18</v>
      </c>
      <c r="O1463" s="1">
        <f>TablaDatos[[#This Row],[FechaIngreso]]+TablaDatos[[#This Row],[DiasNuevo]]</f>
        <v>44957</v>
      </c>
    </row>
    <row r="1464" spans="1:15">
      <c r="A1464">
        <v>1463</v>
      </c>
      <c r="B1464" t="s">
        <v>272</v>
      </c>
      <c r="C1464" s="1">
        <v>19359</v>
      </c>
      <c r="D1464">
        <v>73</v>
      </c>
      <c r="E1464" s="4" t="s">
        <v>12</v>
      </c>
      <c r="F1464" t="s">
        <v>13</v>
      </c>
      <c r="G1464" s="1">
        <v>45189</v>
      </c>
      <c r="H1464" s="1">
        <f>TablaDatos[[#This Row],[FechaIngreso]]+TablaDatos[[#This Row],[DiasNuevo]]</f>
        <v>45228</v>
      </c>
      <c r="I1464">
        <v>39</v>
      </c>
      <c r="J1464" t="s">
        <v>23</v>
      </c>
      <c r="K1464" s="3">
        <v>9699.2999999999993</v>
      </c>
      <c r="L1464" t="b">
        <f>TablaDatos[[#This Row],[FechaAlta]] &lt; TablaDatos[[#This Row],[FechaIngreso]]</f>
        <v>0</v>
      </c>
      <c r="M1464">
        <f>_xlfn.XLOOKUP(TablaDatos[[#This Row],[PacienteID]],'Datos_Ejemplo.csv'!A:A,'Datos_Ejemplo.csv'!I:I)</f>
        <v>39</v>
      </c>
      <c r="N1464">
        <f>ABS(TablaDatos[[#This Row],[DiasOriginal]])</f>
        <v>39</v>
      </c>
      <c r="O1464" s="1">
        <f>TablaDatos[[#This Row],[FechaIngreso]]+TablaDatos[[#This Row],[DiasNuevo]]</f>
        <v>45228</v>
      </c>
    </row>
    <row r="1465" spans="1:15">
      <c r="A1465">
        <v>1464</v>
      </c>
      <c r="B1465" t="s">
        <v>252</v>
      </c>
      <c r="C1465" s="1">
        <v>25568</v>
      </c>
      <c r="D1465">
        <v>56</v>
      </c>
      <c r="E1465" s="4" t="s">
        <v>12</v>
      </c>
      <c r="F1465" t="s">
        <v>261</v>
      </c>
      <c r="G1465" s="1">
        <v>44949</v>
      </c>
      <c r="H1465" s="1">
        <f>TablaDatos[[#This Row],[FechaIngreso]]+TablaDatos[[#This Row],[DiasNuevo]]</f>
        <v>44978</v>
      </c>
      <c r="I1465">
        <v>29</v>
      </c>
      <c r="J1465" t="s">
        <v>23</v>
      </c>
      <c r="K1465" s="3">
        <v>7938.61</v>
      </c>
      <c r="L1465" t="b">
        <f>TablaDatos[[#This Row],[FechaAlta]] &lt; TablaDatos[[#This Row],[FechaIngreso]]</f>
        <v>0</v>
      </c>
      <c r="M1465">
        <f>_xlfn.XLOOKUP(TablaDatos[[#This Row],[PacienteID]],'Datos_Ejemplo.csv'!A:A,'Datos_Ejemplo.csv'!I:I)</f>
        <v>29</v>
      </c>
      <c r="N1465">
        <f>ABS(TablaDatos[[#This Row],[DiasOriginal]])</f>
        <v>29</v>
      </c>
      <c r="O1465" s="1">
        <f>TablaDatos[[#This Row],[FechaIngreso]]+TablaDatos[[#This Row],[DiasNuevo]]</f>
        <v>44978</v>
      </c>
    </row>
    <row r="1466" spans="1:15">
      <c r="A1466">
        <v>1465</v>
      </c>
      <c r="B1466" t="s">
        <v>66</v>
      </c>
      <c r="C1466" s="1">
        <v>26299</v>
      </c>
      <c r="D1466">
        <v>54</v>
      </c>
      <c r="E1466" s="4" t="s">
        <v>15</v>
      </c>
      <c r="F1466" t="s">
        <v>32</v>
      </c>
      <c r="G1466" s="1">
        <v>45126</v>
      </c>
      <c r="H1466" s="1">
        <f>TablaDatos[[#This Row],[FechaIngreso]]+TablaDatos[[#This Row],[DiasNuevo]]</f>
        <v>45141</v>
      </c>
      <c r="I1466">
        <v>15</v>
      </c>
      <c r="J1466" t="s">
        <v>25</v>
      </c>
      <c r="K1466" s="3">
        <v>17937.669999999998</v>
      </c>
      <c r="L1466" t="b">
        <f>TablaDatos[[#This Row],[FechaAlta]] &lt; TablaDatos[[#This Row],[FechaIngreso]]</f>
        <v>0</v>
      </c>
      <c r="M1466">
        <f>_xlfn.XLOOKUP(TablaDatos[[#This Row],[PacienteID]],'Datos_Ejemplo.csv'!A:A,'Datos_Ejemplo.csv'!I:I)</f>
        <v>15</v>
      </c>
      <c r="N1466">
        <f>ABS(TablaDatos[[#This Row],[DiasOriginal]])</f>
        <v>15</v>
      </c>
      <c r="O1466" s="1">
        <f>TablaDatos[[#This Row],[FechaIngreso]]+TablaDatos[[#This Row],[DiasNuevo]]</f>
        <v>45141</v>
      </c>
    </row>
    <row r="1467" spans="1:15">
      <c r="A1467">
        <v>1466</v>
      </c>
      <c r="B1467" t="s">
        <v>310</v>
      </c>
      <c r="C1467" s="1">
        <v>29221</v>
      </c>
      <c r="D1467">
        <v>46</v>
      </c>
      <c r="E1467" s="4" t="s">
        <v>12</v>
      </c>
      <c r="F1467" t="s">
        <v>201</v>
      </c>
      <c r="G1467" s="1">
        <v>45168</v>
      </c>
      <c r="H1467" s="1">
        <f>TablaDatos[[#This Row],[FechaIngreso]]+TablaDatos[[#This Row],[DiasNuevo]]</f>
        <v>45198</v>
      </c>
      <c r="I1467">
        <v>30</v>
      </c>
      <c r="J1467" t="s">
        <v>23</v>
      </c>
      <c r="K1467" s="3">
        <v>1344.99</v>
      </c>
      <c r="L1467" t="b">
        <f>TablaDatos[[#This Row],[FechaAlta]] &lt; TablaDatos[[#This Row],[FechaIngreso]]</f>
        <v>0</v>
      </c>
      <c r="M1467">
        <f>_xlfn.XLOOKUP(TablaDatos[[#This Row],[PacienteID]],'Datos_Ejemplo.csv'!A:A,'Datos_Ejemplo.csv'!I:I)</f>
        <v>30</v>
      </c>
      <c r="N1467">
        <f>ABS(TablaDatos[[#This Row],[DiasOriginal]])</f>
        <v>30</v>
      </c>
      <c r="O1467" s="1">
        <f>TablaDatos[[#This Row],[FechaIngreso]]+TablaDatos[[#This Row],[DiasNuevo]]</f>
        <v>45198</v>
      </c>
    </row>
    <row r="1468" spans="1:15">
      <c r="A1468">
        <v>1467</v>
      </c>
      <c r="B1468" t="s">
        <v>264</v>
      </c>
      <c r="C1468" s="1">
        <v>42005</v>
      </c>
      <c r="D1468">
        <v>11</v>
      </c>
      <c r="E1468" s="4" t="s">
        <v>12</v>
      </c>
      <c r="F1468" t="s">
        <v>32</v>
      </c>
      <c r="G1468" s="1">
        <v>45165</v>
      </c>
      <c r="H1468" s="1">
        <f>TablaDatos[[#This Row],[FechaIngreso]]+TablaDatos[[#This Row],[DiasNuevo]]</f>
        <v>45176</v>
      </c>
      <c r="I1468">
        <v>11</v>
      </c>
      <c r="J1468" t="s">
        <v>23</v>
      </c>
      <c r="K1468" s="3">
        <v>11279.57</v>
      </c>
      <c r="L1468" t="b">
        <f>TablaDatos[[#This Row],[FechaAlta]] &lt; TablaDatos[[#This Row],[FechaIngreso]]</f>
        <v>0</v>
      </c>
      <c r="M1468">
        <f>_xlfn.XLOOKUP(TablaDatos[[#This Row],[PacienteID]],'Datos_Ejemplo.csv'!A:A,'Datos_Ejemplo.csv'!I:I)</f>
        <v>11</v>
      </c>
      <c r="N1468">
        <f>ABS(TablaDatos[[#This Row],[DiasOriginal]])</f>
        <v>11</v>
      </c>
      <c r="O1468" s="1">
        <f>TablaDatos[[#This Row],[FechaIngreso]]+TablaDatos[[#This Row],[DiasNuevo]]</f>
        <v>45176</v>
      </c>
    </row>
    <row r="1469" spans="1:15">
      <c r="A1469">
        <v>1468</v>
      </c>
      <c r="B1469" t="s">
        <v>336</v>
      </c>
      <c r="C1469" s="1">
        <v>23742</v>
      </c>
      <c r="D1469">
        <v>61</v>
      </c>
      <c r="E1469" s="4" t="s">
        <v>12</v>
      </c>
      <c r="F1469" t="s">
        <v>32</v>
      </c>
      <c r="G1469" s="1">
        <v>45229</v>
      </c>
      <c r="H1469" s="1">
        <f>TablaDatos[[#This Row],[FechaIngreso]]+TablaDatos[[#This Row],[DiasNuevo]]</f>
        <v>45232</v>
      </c>
      <c r="I1469">
        <v>3</v>
      </c>
      <c r="J1469" t="s">
        <v>23</v>
      </c>
      <c r="K1469" s="3">
        <v>16907.009999999998</v>
      </c>
      <c r="L1469" t="b">
        <f>TablaDatos[[#This Row],[FechaAlta]] &lt; TablaDatos[[#This Row],[FechaIngreso]]</f>
        <v>0</v>
      </c>
      <c r="M1469">
        <f>_xlfn.XLOOKUP(TablaDatos[[#This Row],[PacienteID]],'Datos_Ejemplo.csv'!A:A,'Datos_Ejemplo.csv'!I:I)</f>
        <v>3</v>
      </c>
      <c r="N1469">
        <f>ABS(TablaDatos[[#This Row],[DiasOriginal]])</f>
        <v>3</v>
      </c>
      <c r="O1469" s="1">
        <f>TablaDatos[[#This Row],[FechaIngreso]]+TablaDatos[[#This Row],[DiasNuevo]]</f>
        <v>45232</v>
      </c>
    </row>
    <row r="1470" spans="1:15">
      <c r="A1470">
        <v>1469</v>
      </c>
      <c r="B1470" t="s">
        <v>249</v>
      </c>
      <c r="C1470" s="1">
        <v>17168</v>
      </c>
      <c r="D1470">
        <v>79</v>
      </c>
      <c r="E1470" s="4" t="s">
        <v>12</v>
      </c>
      <c r="F1470" t="s">
        <v>32</v>
      </c>
      <c r="G1470" s="1">
        <v>45091</v>
      </c>
      <c r="H1470" s="1">
        <f>TablaDatos[[#This Row],[FechaIngreso]]+TablaDatos[[#This Row],[DiasNuevo]]</f>
        <v>45099</v>
      </c>
      <c r="I1470">
        <v>8</v>
      </c>
      <c r="J1470" t="s">
        <v>23</v>
      </c>
      <c r="K1470" s="3">
        <v>19761.16</v>
      </c>
      <c r="L1470" t="b">
        <f>TablaDatos[[#This Row],[FechaAlta]] &lt; TablaDatos[[#This Row],[FechaIngreso]]</f>
        <v>0</v>
      </c>
      <c r="M1470">
        <f>_xlfn.XLOOKUP(TablaDatos[[#This Row],[PacienteID]],'Datos_Ejemplo.csv'!A:A,'Datos_Ejemplo.csv'!I:I)</f>
        <v>8</v>
      </c>
      <c r="N1470">
        <f>ABS(TablaDatos[[#This Row],[DiasOriginal]])</f>
        <v>8</v>
      </c>
      <c r="O1470" s="1">
        <f>TablaDatos[[#This Row],[FechaIngreso]]+TablaDatos[[#This Row],[DiasNuevo]]</f>
        <v>45099</v>
      </c>
    </row>
    <row r="1471" spans="1:15">
      <c r="A1471">
        <v>1470</v>
      </c>
      <c r="B1471" t="s">
        <v>305</v>
      </c>
      <c r="C1471" s="1">
        <v>14246</v>
      </c>
      <c r="D1471">
        <v>87</v>
      </c>
      <c r="E1471" s="4" t="s">
        <v>12</v>
      </c>
      <c r="F1471" t="s">
        <v>295</v>
      </c>
      <c r="G1471" s="1">
        <v>45102</v>
      </c>
      <c r="H1471" s="1">
        <f>TablaDatos[[#This Row],[FechaIngreso]]+TablaDatos[[#This Row],[DiasNuevo]]</f>
        <v>45119</v>
      </c>
      <c r="I1471">
        <v>17</v>
      </c>
      <c r="J1471" t="s">
        <v>19</v>
      </c>
      <c r="K1471" s="3">
        <v>13944.38</v>
      </c>
      <c r="L1471" t="b">
        <f>TablaDatos[[#This Row],[FechaAlta]] &lt; TablaDatos[[#This Row],[FechaIngreso]]</f>
        <v>0</v>
      </c>
      <c r="M1471">
        <f>_xlfn.XLOOKUP(TablaDatos[[#This Row],[PacienteID]],'Datos_Ejemplo.csv'!A:A,'Datos_Ejemplo.csv'!I:I)</f>
        <v>17</v>
      </c>
      <c r="N1471">
        <f>ABS(TablaDatos[[#This Row],[DiasOriginal]])</f>
        <v>17</v>
      </c>
      <c r="O1471" s="1">
        <f>TablaDatos[[#This Row],[FechaIngreso]]+TablaDatos[[#This Row],[DiasNuevo]]</f>
        <v>45119</v>
      </c>
    </row>
    <row r="1472" spans="1:15">
      <c r="A1472">
        <v>1471</v>
      </c>
      <c r="B1472" t="s">
        <v>266</v>
      </c>
      <c r="C1472" s="1">
        <v>16072</v>
      </c>
      <c r="D1472">
        <v>82</v>
      </c>
      <c r="E1472" s="4" t="s">
        <v>12</v>
      </c>
      <c r="F1472" t="s">
        <v>21</v>
      </c>
      <c r="G1472" s="1">
        <v>44955</v>
      </c>
      <c r="H1472" s="1">
        <f>TablaDatos[[#This Row],[FechaIngreso]]+TablaDatos[[#This Row],[DiasNuevo]]</f>
        <v>44981</v>
      </c>
      <c r="I1472">
        <v>26</v>
      </c>
      <c r="J1472" t="s">
        <v>19</v>
      </c>
      <c r="K1472" s="3">
        <v>7536.7</v>
      </c>
      <c r="L1472" t="b">
        <f>TablaDatos[[#This Row],[FechaAlta]] &lt; TablaDatos[[#This Row],[FechaIngreso]]</f>
        <v>0</v>
      </c>
      <c r="M1472">
        <f>_xlfn.XLOOKUP(TablaDatos[[#This Row],[PacienteID]],'Datos_Ejemplo.csv'!A:A,'Datos_Ejemplo.csv'!I:I)</f>
        <v>26</v>
      </c>
      <c r="N1472">
        <f>ABS(TablaDatos[[#This Row],[DiasOriginal]])</f>
        <v>26</v>
      </c>
      <c r="O1472" s="1">
        <f>TablaDatos[[#This Row],[FechaIngreso]]+TablaDatos[[#This Row],[DiasNuevo]]</f>
        <v>44981</v>
      </c>
    </row>
    <row r="1473" spans="1:15">
      <c r="A1473">
        <v>1472</v>
      </c>
      <c r="B1473" t="s">
        <v>313</v>
      </c>
      <c r="C1473" s="1">
        <v>43466</v>
      </c>
      <c r="D1473">
        <v>7</v>
      </c>
      <c r="E1473" s="4" t="s">
        <v>12</v>
      </c>
      <c r="F1473" t="s">
        <v>18</v>
      </c>
      <c r="G1473" s="1">
        <v>45603</v>
      </c>
      <c r="H1473" s="1">
        <f>TablaDatos[[#This Row],[FechaIngreso]]+TablaDatos[[#This Row],[DiasNuevo]]</f>
        <v>45635</v>
      </c>
      <c r="I1473">
        <v>32</v>
      </c>
      <c r="J1473" t="s">
        <v>23</v>
      </c>
      <c r="K1473" s="3">
        <v>8177.67</v>
      </c>
      <c r="L1473" t="b">
        <f>TablaDatos[[#This Row],[FechaAlta]] &lt; TablaDatos[[#This Row],[FechaIngreso]]</f>
        <v>0</v>
      </c>
      <c r="M1473">
        <f>_xlfn.XLOOKUP(TablaDatos[[#This Row],[PacienteID]],'Datos_Ejemplo.csv'!A:A,'Datos_Ejemplo.csv'!I:I)</f>
        <v>32</v>
      </c>
      <c r="N1473">
        <f>ABS(TablaDatos[[#This Row],[DiasOriginal]])</f>
        <v>32</v>
      </c>
      <c r="O1473" s="1">
        <f>TablaDatos[[#This Row],[FechaIngreso]]+TablaDatos[[#This Row],[DiasNuevo]]</f>
        <v>45635</v>
      </c>
    </row>
    <row r="1474" spans="1:15">
      <c r="A1474">
        <v>1473</v>
      </c>
      <c r="B1474" t="s">
        <v>301</v>
      </c>
      <c r="C1474" s="1">
        <v>11689</v>
      </c>
      <c r="D1474">
        <v>94</v>
      </c>
      <c r="E1474" s="4" t="s">
        <v>15</v>
      </c>
      <c r="F1474" t="s">
        <v>201</v>
      </c>
      <c r="G1474" s="1">
        <v>45461</v>
      </c>
      <c r="H1474" s="1">
        <f>TablaDatos[[#This Row],[FechaIngreso]]+TablaDatos[[#This Row],[DiasNuevo]]</f>
        <v>45474</v>
      </c>
      <c r="I1474">
        <v>13</v>
      </c>
      <c r="J1474" t="s">
        <v>25</v>
      </c>
      <c r="K1474" s="3">
        <v>6968.81</v>
      </c>
      <c r="L1474" t="b">
        <f>TablaDatos[[#This Row],[FechaAlta]] &lt; TablaDatos[[#This Row],[FechaIngreso]]</f>
        <v>0</v>
      </c>
      <c r="M1474">
        <f>_xlfn.XLOOKUP(TablaDatos[[#This Row],[PacienteID]],'Datos_Ejemplo.csv'!A:A,'Datos_Ejemplo.csv'!I:I)</f>
        <v>13</v>
      </c>
      <c r="N1474">
        <f>ABS(TablaDatos[[#This Row],[DiasOriginal]])</f>
        <v>13</v>
      </c>
      <c r="O1474" s="1">
        <f>TablaDatos[[#This Row],[FechaIngreso]]+TablaDatos[[#This Row],[DiasNuevo]]</f>
        <v>45474</v>
      </c>
    </row>
    <row r="1475" spans="1:15">
      <c r="A1475">
        <v>1474</v>
      </c>
      <c r="B1475" t="s">
        <v>260</v>
      </c>
      <c r="C1475" s="1">
        <v>38717</v>
      </c>
      <c r="D1475">
        <v>20</v>
      </c>
      <c r="E1475" s="4" t="s">
        <v>12</v>
      </c>
      <c r="F1475" t="s">
        <v>295</v>
      </c>
      <c r="G1475" s="1">
        <v>45220</v>
      </c>
      <c r="H1475" s="1">
        <f>TablaDatos[[#This Row],[FechaIngreso]]+TablaDatos[[#This Row],[DiasNuevo]]</f>
        <v>45224</v>
      </c>
      <c r="I1475">
        <v>4</v>
      </c>
      <c r="J1475" t="s">
        <v>25</v>
      </c>
      <c r="K1475" s="3">
        <v>12032.62</v>
      </c>
      <c r="L1475" t="b">
        <f>TablaDatos[[#This Row],[FechaAlta]] &lt; TablaDatos[[#This Row],[FechaIngreso]]</f>
        <v>0</v>
      </c>
      <c r="M1475">
        <f>_xlfn.XLOOKUP(TablaDatos[[#This Row],[PacienteID]],'Datos_Ejemplo.csv'!A:A,'Datos_Ejemplo.csv'!I:I)</f>
        <v>4</v>
      </c>
      <c r="N1475">
        <f>ABS(TablaDatos[[#This Row],[DiasOriginal]])</f>
        <v>4</v>
      </c>
      <c r="O1475" s="1">
        <f>TablaDatos[[#This Row],[FechaIngreso]]+TablaDatos[[#This Row],[DiasNuevo]]</f>
        <v>45224</v>
      </c>
    </row>
    <row r="1476" spans="1:15">
      <c r="A1476">
        <v>1475</v>
      </c>
      <c r="B1476" t="s">
        <v>279</v>
      </c>
      <c r="C1476" s="1">
        <v>16802</v>
      </c>
      <c r="D1476">
        <v>80</v>
      </c>
      <c r="E1476" s="4" t="s">
        <v>15</v>
      </c>
      <c r="F1476" t="s">
        <v>18</v>
      </c>
      <c r="G1476" s="1">
        <v>45403</v>
      </c>
      <c r="H1476" s="1">
        <f>TablaDatos[[#This Row],[FechaIngreso]]+TablaDatos[[#This Row],[DiasNuevo]]</f>
        <v>45440</v>
      </c>
      <c r="I1476">
        <v>37</v>
      </c>
      <c r="J1476" t="s">
        <v>19</v>
      </c>
      <c r="K1476" s="3">
        <v>14762.06</v>
      </c>
      <c r="L1476" t="b">
        <f>TablaDatos[[#This Row],[FechaAlta]] &lt; TablaDatos[[#This Row],[FechaIngreso]]</f>
        <v>0</v>
      </c>
      <c r="M1476">
        <f>_xlfn.XLOOKUP(TablaDatos[[#This Row],[PacienteID]],'Datos_Ejemplo.csv'!A:A,'Datos_Ejemplo.csv'!I:I)</f>
        <v>37</v>
      </c>
      <c r="N1476">
        <f>ABS(TablaDatos[[#This Row],[DiasOriginal]])</f>
        <v>37</v>
      </c>
      <c r="O1476" s="1">
        <f>TablaDatos[[#This Row],[FechaIngreso]]+TablaDatos[[#This Row],[DiasNuevo]]</f>
        <v>45440</v>
      </c>
    </row>
    <row r="1477" spans="1:15">
      <c r="A1477">
        <v>1476</v>
      </c>
      <c r="B1477" t="s">
        <v>285</v>
      </c>
      <c r="C1477" s="1">
        <v>14611</v>
      </c>
      <c r="D1477">
        <v>86</v>
      </c>
      <c r="E1477" s="4" t="s">
        <v>15</v>
      </c>
      <c r="F1477" t="s">
        <v>32</v>
      </c>
      <c r="G1477" s="1">
        <v>45309</v>
      </c>
      <c r="H1477" s="1">
        <f>TablaDatos[[#This Row],[FechaIngreso]]+TablaDatos[[#This Row],[DiasNuevo]]</f>
        <v>45342</v>
      </c>
      <c r="I1477">
        <v>33</v>
      </c>
      <c r="J1477" t="s">
        <v>23</v>
      </c>
      <c r="K1477" s="3">
        <v>16371.3</v>
      </c>
      <c r="L1477" t="b">
        <f>TablaDatos[[#This Row],[FechaAlta]] &lt; TablaDatos[[#This Row],[FechaIngreso]]</f>
        <v>0</v>
      </c>
      <c r="M1477">
        <f>_xlfn.XLOOKUP(TablaDatos[[#This Row],[PacienteID]],'Datos_Ejemplo.csv'!A:A,'Datos_Ejemplo.csv'!I:I)</f>
        <v>33</v>
      </c>
      <c r="N1477">
        <f>ABS(TablaDatos[[#This Row],[DiasOriginal]])</f>
        <v>33</v>
      </c>
      <c r="O1477" s="1">
        <f>TablaDatos[[#This Row],[FechaIngreso]]+TablaDatos[[#This Row],[DiasNuevo]]</f>
        <v>45342</v>
      </c>
    </row>
    <row r="1478" spans="1:15">
      <c r="A1478">
        <v>1477</v>
      </c>
      <c r="B1478" t="s">
        <v>262</v>
      </c>
      <c r="C1478" s="1">
        <v>17168</v>
      </c>
      <c r="D1478">
        <v>79</v>
      </c>
      <c r="E1478" s="4" t="s">
        <v>12</v>
      </c>
      <c r="F1478" t="s">
        <v>18</v>
      </c>
      <c r="G1478" s="1">
        <v>45482</v>
      </c>
      <c r="H1478" s="1">
        <f>TablaDatos[[#This Row],[FechaIngreso]]+TablaDatos[[#This Row],[DiasNuevo]]</f>
        <v>45510</v>
      </c>
      <c r="I1478">
        <v>28</v>
      </c>
      <c r="J1478" t="s">
        <v>25</v>
      </c>
      <c r="K1478" s="3">
        <v>8273.52</v>
      </c>
      <c r="L1478" t="b">
        <f>TablaDatos[[#This Row],[FechaAlta]] &lt; TablaDatos[[#This Row],[FechaIngreso]]</f>
        <v>0</v>
      </c>
      <c r="M1478">
        <f>_xlfn.XLOOKUP(TablaDatos[[#This Row],[PacienteID]],'Datos_Ejemplo.csv'!A:A,'Datos_Ejemplo.csv'!I:I)</f>
        <v>28</v>
      </c>
      <c r="N1478">
        <f>ABS(TablaDatos[[#This Row],[DiasOriginal]])</f>
        <v>28</v>
      </c>
      <c r="O1478" s="1">
        <f>TablaDatos[[#This Row],[FechaIngreso]]+TablaDatos[[#This Row],[DiasNuevo]]</f>
        <v>45510</v>
      </c>
    </row>
    <row r="1479" spans="1:15">
      <c r="A1479">
        <v>1478</v>
      </c>
      <c r="B1479" t="s">
        <v>286</v>
      </c>
      <c r="C1479" s="1">
        <v>20820</v>
      </c>
      <c r="D1479">
        <v>69</v>
      </c>
      <c r="E1479" s="4" t="s">
        <v>15</v>
      </c>
      <c r="F1479" t="s">
        <v>13</v>
      </c>
      <c r="G1479" s="1">
        <v>45618</v>
      </c>
      <c r="H1479" s="1">
        <f>TablaDatos[[#This Row],[FechaIngreso]]+TablaDatos[[#This Row],[DiasNuevo]]</f>
        <v>45657</v>
      </c>
      <c r="I1479">
        <v>39</v>
      </c>
      <c r="J1479" t="s">
        <v>23</v>
      </c>
      <c r="K1479" s="3">
        <v>14305.84</v>
      </c>
      <c r="L1479" t="b">
        <f>TablaDatos[[#This Row],[FechaAlta]] &lt; TablaDatos[[#This Row],[FechaIngreso]]</f>
        <v>0</v>
      </c>
      <c r="M1479">
        <f>_xlfn.XLOOKUP(TablaDatos[[#This Row],[PacienteID]],'Datos_Ejemplo.csv'!A:A,'Datos_Ejemplo.csv'!I:I)</f>
        <v>39</v>
      </c>
      <c r="N1479">
        <f>ABS(TablaDatos[[#This Row],[DiasOriginal]])</f>
        <v>39</v>
      </c>
      <c r="O1479" s="1">
        <f>TablaDatos[[#This Row],[FechaIngreso]]+TablaDatos[[#This Row],[DiasNuevo]]</f>
        <v>45657</v>
      </c>
    </row>
    <row r="1480" spans="1:15">
      <c r="A1480">
        <v>1479</v>
      </c>
      <c r="B1480" t="s">
        <v>242</v>
      </c>
      <c r="C1480" s="1">
        <v>20090</v>
      </c>
      <c r="D1480">
        <v>71</v>
      </c>
      <c r="E1480" s="4" t="s">
        <v>12</v>
      </c>
      <c r="F1480" t="s">
        <v>13</v>
      </c>
      <c r="G1480" s="1">
        <v>45222</v>
      </c>
      <c r="H1480" s="1">
        <f>TablaDatos[[#This Row],[FechaIngreso]]+TablaDatos[[#This Row],[DiasNuevo]]</f>
        <v>45225</v>
      </c>
      <c r="I1480">
        <v>3</v>
      </c>
      <c r="J1480" t="s">
        <v>19</v>
      </c>
      <c r="K1480" s="3">
        <v>18316.07</v>
      </c>
      <c r="L1480" t="b">
        <f>TablaDatos[[#This Row],[FechaAlta]] &lt; TablaDatos[[#This Row],[FechaIngreso]]</f>
        <v>0</v>
      </c>
      <c r="M1480">
        <f>_xlfn.XLOOKUP(TablaDatos[[#This Row],[PacienteID]],'Datos_Ejemplo.csv'!A:A,'Datos_Ejemplo.csv'!I:I)</f>
        <v>3</v>
      </c>
      <c r="N1480">
        <f>ABS(TablaDatos[[#This Row],[DiasOriginal]])</f>
        <v>3</v>
      </c>
      <c r="O1480" s="1">
        <f>TablaDatos[[#This Row],[FechaIngreso]]+TablaDatos[[#This Row],[DiasNuevo]]</f>
        <v>45225</v>
      </c>
    </row>
    <row r="1481" spans="1:15">
      <c r="A1481">
        <v>1480</v>
      </c>
      <c r="B1481" t="s">
        <v>367</v>
      </c>
      <c r="C1481" s="1">
        <v>37256</v>
      </c>
      <c r="D1481">
        <v>24</v>
      </c>
      <c r="E1481" s="4" t="s">
        <v>15</v>
      </c>
      <c r="F1481" t="s">
        <v>21</v>
      </c>
      <c r="G1481" s="1">
        <v>45577</v>
      </c>
      <c r="H1481" s="1">
        <f>TablaDatos[[#This Row],[FechaIngreso]]+TablaDatos[[#This Row],[DiasNuevo]]</f>
        <v>45603</v>
      </c>
      <c r="I1481">
        <v>26</v>
      </c>
      <c r="J1481" t="s">
        <v>19</v>
      </c>
      <c r="K1481" s="3">
        <v>18408.580000000002</v>
      </c>
      <c r="L1481" t="b">
        <f>TablaDatos[[#This Row],[FechaAlta]] &lt; TablaDatos[[#This Row],[FechaIngreso]]</f>
        <v>0</v>
      </c>
      <c r="M1481">
        <f>_xlfn.XLOOKUP(TablaDatos[[#This Row],[PacienteID]],'Datos_Ejemplo.csv'!A:A,'Datos_Ejemplo.csv'!I:I)</f>
        <v>26</v>
      </c>
      <c r="N1481">
        <f>ABS(TablaDatos[[#This Row],[DiasOriginal]])</f>
        <v>26</v>
      </c>
      <c r="O1481" s="1">
        <f>TablaDatos[[#This Row],[FechaIngreso]]+TablaDatos[[#This Row],[DiasNuevo]]</f>
        <v>45603</v>
      </c>
    </row>
    <row r="1482" spans="1:15">
      <c r="A1482">
        <v>1481</v>
      </c>
      <c r="B1482" t="s">
        <v>258</v>
      </c>
      <c r="C1482" s="1">
        <v>16437</v>
      </c>
      <c r="D1482">
        <v>81</v>
      </c>
      <c r="E1482" s="4" t="s">
        <v>15</v>
      </c>
      <c r="F1482" t="s">
        <v>21</v>
      </c>
      <c r="G1482" s="1">
        <v>45260</v>
      </c>
      <c r="H1482" s="1">
        <f>TablaDatos[[#This Row],[FechaIngreso]]+TablaDatos[[#This Row],[DiasNuevo]]</f>
        <v>45284</v>
      </c>
      <c r="I1482">
        <v>24</v>
      </c>
      <c r="J1482" t="s">
        <v>23</v>
      </c>
      <c r="K1482" s="3">
        <v>14050.98</v>
      </c>
      <c r="L1482" t="b">
        <f>TablaDatos[[#This Row],[FechaAlta]] &lt; TablaDatos[[#This Row],[FechaIngreso]]</f>
        <v>0</v>
      </c>
      <c r="M1482">
        <f>_xlfn.XLOOKUP(TablaDatos[[#This Row],[PacienteID]],'Datos_Ejemplo.csv'!A:A,'Datos_Ejemplo.csv'!I:I)</f>
        <v>24</v>
      </c>
      <c r="N1482">
        <f>ABS(TablaDatos[[#This Row],[DiasOriginal]])</f>
        <v>24</v>
      </c>
      <c r="O1482" s="1">
        <f>TablaDatos[[#This Row],[FechaIngreso]]+TablaDatos[[#This Row],[DiasNuevo]]</f>
        <v>45284</v>
      </c>
    </row>
    <row r="1483" spans="1:15">
      <c r="A1483">
        <v>1482</v>
      </c>
      <c r="B1483" t="s">
        <v>368</v>
      </c>
      <c r="C1483" s="1">
        <v>13880</v>
      </c>
      <c r="D1483">
        <v>88</v>
      </c>
      <c r="E1483" s="4" t="s">
        <v>12</v>
      </c>
      <c r="F1483" t="s">
        <v>18</v>
      </c>
      <c r="G1483" s="1">
        <v>45174</v>
      </c>
      <c r="H1483" s="1">
        <f>TablaDatos[[#This Row],[FechaIngreso]]+TablaDatos[[#This Row],[DiasNuevo]]</f>
        <v>45175</v>
      </c>
      <c r="I1483">
        <v>1</v>
      </c>
      <c r="J1483" t="s">
        <v>23</v>
      </c>
      <c r="K1483" s="3">
        <v>12701.73</v>
      </c>
      <c r="L1483" t="b">
        <f>TablaDatos[[#This Row],[FechaAlta]] &lt; TablaDatos[[#This Row],[FechaIngreso]]</f>
        <v>0</v>
      </c>
      <c r="M1483">
        <f>_xlfn.XLOOKUP(TablaDatos[[#This Row],[PacienteID]],'Datos_Ejemplo.csv'!A:A,'Datos_Ejemplo.csv'!I:I)</f>
        <v>-1</v>
      </c>
      <c r="N1483">
        <f>ABS(TablaDatos[[#This Row],[DiasOriginal]])</f>
        <v>1</v>
      </c>
      <c r="O1483" s="1">
        <f>TablaDatos[[#This Row],[FechaIngreso]]+TablaDatos[[#This Row],[DiasNuevo]]</f>
        <v>45175</v>
      </c>
    </row>
    <row r="1484" spans="1:15">
      <c r="A1484">
        <v>1483</v>
      </c>
      <c r="B1484" t="s">
        <v>122</v>
      </c>
      <c r="C1484" s="1">
        <v>42005</v>
      </c>
      <c r="D1484">
        <v>11</v>
      </c>
      <c r="E1484" s="4" t="s">
        <v>15</v>
      </c>
      <c r="F1484" t="s">
        <v>295</v>
      </c>
      <c r="G1484" s="1">
        <v>45167</v>
      </c>
      <c r="H1484" s="1">
        <f>TablaDatos[[#This Row],[FechaIngreso]]+TablaDatos[[#This Row],[DiasNuevo]]</f>
        <v>45186</v>
      </c>
      <c r="I1484">
        <v>19</v>
      </c>
      <c r="J1484" t="s">
        <v>19</v>
      </c>
      <c r="K1484" s="3">
        <v>10583.67</v>
      </c>
      <c r="L1484" t="b">
        <f>TablaDatos[[#This Row],[FechaAlta]] &lt; TablaDatos[[#This Row],[FechaIngreso]]</f>
        <v>0</v>
      </c>
      <c r="M1484">
        <f>_xlfn.XLOOKUP(TablaDatos[[#This Row],[PacienteID]],'Datos_Ejemplo.csv'!A:A,'Datos_Ejemplo.csv'!I:I)</f>
        <v>19</v>
      </c>
      <c r="N1484">
        <f>ABS(TablaDatos[[#This Row],[DiasOriginal]])</f>
        <v>19</v>
      </c>
      <c r="O1484" s="1">
        <f>TablaDatos[[#This Row],[FechaIngreso]]+TablaDatos[[#This Row],[DiasNuevo]]</f>
        <v>45186</v>
      </c>
    </row>
    <row r="1485" spans="1:15">
      <c r="A1485">
        <v>1484</v>
      </c>
      <c r="B1485" t="s">
        <v>282</v>
      </c>
      <c r="C1485" s="1">
        <v>40909</v>
      </c>
      <c r="D1485">
        <v>14</v>
      </c>
      <c r="E1485" s="4" t="s">
        <v>12</v>
      </c>
      <c r="F1485" t="s">
        <v>295</v>
      </c>
      <c r="G1485" s="1">
        <v>45032</v>
      </c>
      <c r="H1485" s="1">
        <f>TablaDatos[[#This Row],[FechaIngreso]]+TablaDatos[[#This Row],[DiasNuevo]]</f>
        <v>45038</v>
      </c>
      <c r="I1485">
        <v>6</v>
      </c>
      <c r="J1485" t="s">
        <v>23</v>
      </c>
      <c r="K1485" s="3">
        <v>3582.27</v>
      </c>
      <c r="L1485" t="b">
        <f>TablaDatos[[#This Row],[FechaAlta]] &lt; TablaDatos[[#This Row],[FechaIngreso]]</f>
        <v>0</v>
      </c>
      <c r="M1485">
        <f>_xlfn.XLOOKUP(TablaDatos[[#This Row],[PacienteID]],'Datos_Ejemplo.csv'!A:A,'Datos_Ejemplo.csv'!I:I)</f>
        <v>6</v>
      </c>
      <c r="N1485">
        <f>ABS(TablaDatos[[#This Row],[DiasOriginal]])</f>
        <v>6</v>
      </c>
      <c r="O1485" s="1">
        <f>TablaDatos[[#This Row],[FechaIngreso]]+TablaDatos[[#This Row],[DiasNuevo]]</f>
        <v>45038</v>
      </c>
    </row>
    <row r="1486" spans="1:15">
      <c r="A1486">
        <v>1485</v>
      </c>
      <c r="B1486" t="s">
        <v>348</v>
      </c>
      <c r="C1486" s="1">
        <v>24838</v>
      </c>
      <c r="D1486">
        <v>58</v>
      </c>
      <c r="E1486" s="4" t="s">
        <v>15</v>
      </c>
      <c r="F1486" t="s">
        <v>32</v>
      </c>
      <c r="G1486" s="1">
        <v>45611</v>
      </c>
      <c r="H1486" s="1">
        <f>TablaDatos[[#This Row],[FechaIngreso]]+TablaDatos[[#This Row],[DiasNuevo]]</f>
        <v>45619</v>
      </c>
      <c r="I1486">
        <v>8</v>
      </c>
      <c r="J1486" t="s">
        <v>25</v>
      </c>
      <c r="K1486" s="3">
        <v>2384.96</v>
      </c>
      <c r="L1486" t="b">
        <f>TablaDatos[[#This Row],[FechaAlta]] &lt; TablaDatos[[#This Row],[FechaIngreso]]</f>
        <v>0</v>
      </c>
      <c r="M1486">
        <f>_xlfn.XLOOKUP(TablaDatos[[#This Row],[PacienteID]],'Datos_Ejemplo.csv'!A:A,'Datos_Ejemplo.csv'!I:I)</f>
        <v>8</v>
      </c>
      <c r="N1486">
        <f>ABS(TablaDatos[[#This Row],[DiasOriginal]])</f>
        <v>8</v>
      </c>
      <c r="O1486" s="1">
        <f>TablaDatos[[#This Row],[FechaIngreso]]+TablaDatos[[#This Row],[DiasNuevo]]</f>
        <v>45619</v>
      </c>
    </row>
    <row r="1487" spans="1:15">
      <c r="A1487">
        <v>1486</v>
      </c>
      <c r="B1487" t="s">
        <v>263</v>
      </c>
      <c r="C1487" s="1">
        <v>36891</v>
      </c>
      <c r="D1487">
        <v>25</v>
      </c>
      <c r="E1487" s="4" t="s">
        <v>15</v>
      </c>
      <c r="F1487" t="s">
        <v>295</v>
      </c>
      <c r="G1487" s="1">
        <v>45487</v>
      </c>
      <c r="H1487" s="1">
        <f>TablaDatos[[#This Row],[FechaIngreso]]+TablaDatos[[#This Row],[DiasNuevo]]</f>
        <v>45500</v>
      </c>
      <c r="I1487">
        <v>13</v>
      </c>
      <c r="J1487" t="s">
        <v>19</v>
      </c>
      <c r="K1487" s="3">
        <v>9662.7900000000009</v>
      </c>
      <c r="L1487" t="b">
        <f>TablaDatos[[#This Row],[FechaAlta]] &lt; TablaDatos[[#This Row],[FechaIngreso]]</f>
        <v>0</v>
      </c>
      <c r="M1487">
        <f>_xlfn.XLOOKUP(TablaDatos[[#This Row],[PacienteID]],'Datos_Ejemplo.csv'!A:A,'Datos_Ejemplo.csv'!I:I)</f>
        <v>13</v>
      </c>
      <c r="N1487">
        <f>ABS(TablaDatos[[#This Row],[DiasOriginal]])</f>
        <v>13</v>
      </c>
      <c r="O1487" s="1">
        <f>TablaDatos[[#This Row],[FechaIngreso]]+TablaDatos[[#This Row],[DiasNuevo]]</f>
        <v>45500</v>
      </c>
    </row>
    <row r="1488" spans="1:15">
      <c r="A1488">
        <v>1487</v>
      </c>
      <c r="B1488" t="s">
        <v>347</v>
      </c>
      <c r="C1488" s="1">
        <v>36891</v>
      </c>
      <c r="D1488">
        <v>25</v>
      </c>
      <c r="E1488" s="4" t="s">
        <v>15</v>
      </c>
      <c r="F1488" t="s">
        <v>21</v>
      </c>
      <c r="G1488" s="1">
        <v>45049</v>
      </c>
      <c r="H1488" s="1">
        <f>TablaDatos[[#This Row],[FechaIngreso]]+TablaDatos[[#This Row],[DiasNuevo]]</f>
        <v>45059</v>
      </c>
      <c r="I1488">
        <v>10</v>
      </c>
      <c r="J1488" t="s">
        <v>25</v>
      </c>
      <c r="K1488" s="3">
        <v>3104.83</v>
      </c>
      <c r="L1488" t="b">
        <f>TablaDatos[[#This Row],[FechaAlta]] &lt; TablaDatos[[#This Row],[FechaIngreso]]</f>
        <v>0</v>
      </c>
      <c r="M1488">
        <f>_xlfn.XLOOKUP(TablaDatos[[#This Row],[PacienteID]],'Datos_Ejemplo.csv'!A:A,'Datos_Ejemplo.csv'!I:I)</f>
        <v>10</v>
      </c>
      <c r="N1488">
        <f>ABS(TablaDatos[[#This Row],[DiasOriginal]])</f>
        <v>10</v>
      </c>
      <c r="O1488" s="1">
        <f>TablaDatos[[#This Row],[FechaIngreso]]+TablaDatos[[#This Row],[DiasNuevo]]</f>
        <v>45059</v>
      </c>
    </row>
    <row r="1489" spans="1:15">
      <c r="A1489">
        <v>1488</v>
      </c>
      <c r="B1489" t="s">
        <v>360</v>
      </c>
      <c r="C1489" s="1">
        <v>29221</v>
      </c>
      <c r="D1489">
        <v>46</v>
      </c>
      <c r="E1489" s="4" t="s">
        <v>15</v>
      </c>
      <c r="F1489" t="s">
        <v>295</v>
      </c>
      <c r="G1489" s="1">
        <v>44961</v>
      </c>
      <c r="H1489" s="1">
        <f>TablaDatos[[#This Row],[FechaIngreso]]+TablaDatos[[#This Row],[DiasNuevo]]</f>
        <v>44976</v>
      </c>
      <c r="I1489">
        <v>15</v>
      </c>
      <c r="J1489" t="s">
        <v>19</v>
      </c>
      <c r="K1489" s="3">
        <v>11497.7</v>
      </c>
      <c r="L1489" t="b">
        <f>TablaDatos[[#This Row],[FechaAlta]] &lt; TablaDatos[[#This Row],[FechaIngreso]]</f>
        <v>0</v>
      </c>
      <c r="M1489">
        <f>_xlfn.XLOOKUP(TablaDatos[[#This Row],[PacienteID]],'Datos_Ejemplo.csv'!A:A,'Datos_Ejemplo.csv'!I:I)</f>
        <v>15</v>
      </c>
      <c r="N1489">
        <f>ABS(TablaDatos[[#This Row],[DiasOriginal]])</f>
        <v>15</v>
      </c>
      <c r="O1489" s="1">
        <f>TablaDatos[[#This Row],[FechaIngreso]]+TablaDatos[[#This Row],[DiasNuevo]]</f>
        <v>44976</v>
      </c>
    </row>
    <row r="1490" spans="1:15">
      <c r="A1490">
        <v>1489</v>
      </c>
      <c r="B1490" t="s">
        <v>230</v>
      </c>
      <c r="C1490" s="1">
        <v>34700</v>
      </c>
      <c r="D1490">
        <v>31</v>
      </c>
      <c r="E1490" s="4" t="s">
        <v>12</v>
      </c>
      <c r="F1490" t="s">
        <v>32</v>
      </c>
      <c r="G1490" s="1">
        <v>45544</v>
      </c>
      <c r="H1490" s="1">
        <f>TablaDatos[[#This Row],[FechaIngreso]]+TablaDatos[[#This Row],[DiasNuevo]]</f>
        <v>45566</v>
      </c>
      <c r="I1490">
        <v>22</v>
      </c>
      <c r="J1490" t="s">
        <v>25</v>
      </c>
      <c r="K1490" s="3">
        <v>12878.62</v>
      </c>
      <c r="L1490" t="b">
        <f>TablaDatos[[#This Row],[FechaAlta]] &lt; TablaDatos[[#This Row],[FechaIngreso]]</f>
        <v>0</v>
      </c>
      <c r="M1490">
        <f>_xlfn.XLOOKUP(TablaDatos[[#This Row],[PacienteID]],'Datos_Ejemplo.csv'!A:A,'Datos_Ejemplo.csv'!I:I)</f>
        <v>22</v>
      </c>
      <c r="N1490">
        <f>ABS(TablaDatos[[#This Row],[DiasOriginal]])</f>
        <v>22</v>
      </c>
      <c r="O1490" s="1">
        <f>TablaDatos[[#This Row],[FechaIngreso]]+TablaDatos[[#This Row],[DiasNuevo]]</f>
        <v>45566</v>
      </c>
    </row>
    <row r="1491" spans="1:15">
      <c r="A1491">
        <v>1490</v>
      </c>
      <c r="B1491" t="s">
        <v>358</v>
      </c>
      <c r="C1491" s="1">
        <v>42735</v>
      </c>
      <c r="D1491">
        <v>9</v>
      </c>
      <c r="E1491" s="4" t="s">
        <v>15</v>
      </c>
      <c r="F1491" t="s">
        <v>13</v>
      </c>
      <c r="G1491" s="1">
        <v>45342</v>
      </c>
      <c r="H1491" s="1">
        <f>TablaDatos[[#This Row],[FechaIngreso]]+TablaDatos[[#This Row],[DiasNuevo]]</f>
        <v>45372</v>
      </c>
      <c r="I1491">
        <v>30</v>
      </c>
      <c r="J1491" t="s">
        <v>23</v>
      </c>
      <c r="K1491" s="3">
        <v>10464.870000000001</v>
      </c>
      <c r="L1491" t="b">
        <f>TablaDatos[[#This Row],[FechaAlta]] &lt; TablaDatos[[#This Row],[FechaIngreso]]</f>
        <v>0</v>
      </c>
      <c r="M1491">
        <f>_xlfn.XLOOKUP(TablaDatos[[#This Row],[PacienteID]],'Datos_Ejemplo.csv'!A:A,'Datos_Ejemplo.csv'!I:I)</f>
        <v>30</v>
      </c>
      <c r="N1491">
        <f>ABS(TablaDatos[[#This Row],[DiasOriginal]])</f>
        <v>30</v>
      </c>
      <c r="O1491" s="1">
        <f>TablaDatos[[#This Row],[FechaIngreso]]+TablaDatos[[#This Row],[DiasNuevo]]</f>
        <v>45372</v>
      </c>
    </row>
    <row r="1492" spans="1:15">
      <c r="A1492">
        <v>1491</v>
      </c>
      <c r="B1492" t="s">
        <v>253</v>
      </c>
      <c r="C1492" s="1">
        <v>40544</v>
      </c>
      <c r="D1492">
        <v>15</v>
      </c>
      <c r="E1492" s="4" t="s">
        <v>12</v>
      </c>
      <c r="F1492" t="s">
        <v>295</v>
      </c>
      <c r="G1492" s="1">
        <v>45634</v>
      </c>
      <c r="H1492" s="1">
        <f>TablaDatos[[#This Row],[FechaIngreso]]+TablaDatos[[#This Row],[DiasNuevo]]</f>
        <v>45641</v>
      </c>
      <c r="I1492">
        <v>7</v>
      </c>
      <c r="J1492" t="s">
        <v>25</v>
      </c>
      <c r="K1492" s="3">
        <v>632.17999999999995</v>
      </c>
      <c r="L1492" t="b">
        <f>TablaDatos[[#This Row],[FechaAlta]] &lt; TablaDatos[[#This Row],[FechaIngreso]]</f>
        <v>0</v>
      </c>
      <c r="M1492">
        <f>_xlfn.XLOOKUP(TablaDatos[[#This Row],[PacienteID]],'Datos_Ejemplo.csv'!A:A,'Datos_Ejemplo.csv'!I:I)</f>
        <v>7</v>
      </c>
      <c r="N1492">
        <f>ABS(TablaDatos[[#This Row],[DiasOriginal]])</f>
        <v>7</v>
      </c>
      <c r="O1492" s="1">
        <f>TablaDatos[[#This Row],[FechaIngreso]]+TablaDatos[[#This Row],[DiasNuevo]]</f>
        <v>45641</v>
      </c>
    </row>
    <row r="1493" spans="1:15">
      <c r="A1493">
        <v>1492</v>
      </c>
      <c r="B1493" t="s">
        <v>152</v>
      </c>
      <c r="C1493" s="1">
        <v>20455</v>
      </c>
      <c r="D1493">
        <v>70</v>
      </c>
      <c r="E1493" s="4" t="s">
        <v>12</v>
      </c>
      <c r="F1493" t="s">
        <v>295</v>
      </c>
      <c r="G1493" s="1">
        <v>45547</v>
      </c>
      <c r="H1493" s="1">
        <f>TablaDatos[[#This Row],[FechaIngreso]]+TablaDatos[[#This Row],[DiasNuevo]]</f>
        <v>45574</v>
      </c>
      <c r="I1493">
        <v>27</v>
      </c>
      <c r="J1493" t="s">
        <v>23</v>
      </c>
      <c r="K1493" s="3">
        <v>1060.33</v>
      </c>
      <c r="L1493" t="b">
        <f>TablaDatos[[#This Row],[FechaAlta]] &lt; TablaDatos[[#This Row],[FechaIngreso]]</f>
        <v>0</v>
      </c>
      <c r="M1493">
        <f>_xlfn.XLOOKUP(TablaDatos[[#This Row],[PacienteID]],'Datos_Ejemplo.csv'!A:A,'Datos_Ejemplo.csv'!I:I)</f>
        <v>27</v>
      </c>
      <c r="N1493">
        <f>ABS(TablaDatos[[#This Row],[DiasOriginal]])</f>
        <v>27</v>
      </c>
      <c r="O1493" s="1">
        <f>TablaDatos[[#This Row],[FechaIngreso]]+TablaDatos[[#This Row],[DiasNuevo]]</f>
        <v>45574</v>
      </c>
    </row>
    <row r="1494" spans="1:15">
      <c r="A1494">
        <v>1493</v>
      </c>
      <c r="B1494" t="s">
        <v>239</v>
      </c>
      <c r="C1494" s="1">
        <v>40178</v>
      </c>
      <c r="D1494">
        <v>16</v>
      </c>
      <c r="E1494" s="4" t="s">
        <v>12</v>
      </c>
      <c r="F1494" t="s">
        <v>21</v>
      </c>
      <c r="G1494" s="1">
        <v>45563</v>
      </c>
      <c r="H1494" s="1">
        <f>TablaDatos[[#This Row],[FechaIngreso]]+TablaDatos[[#This Row],[DiasNuevo]]</f>
        <v>45565</v>
      </c>
      <c r="I1494">
        <v>2</v>
      </c>
      <c r="J1494" t="s">
        <v>23</v>
      </c>
      <c r="K1494" s="3">
        <v>2178.16</v>
      </c>
      <c r="L1494" t="b">
        <f>TablaDatos[[#This Row],[FechaAlta]] &lt; TablaDatos[[#This Row],[FechaIngreso]]</f>
        <v>0</v>
      </c>
      <c r="M1494">
        <f>_xlfn.XLOOKUP(TablaDatos[[#This Row],[PacienteID]],'Datos_Ejemplo.csv'!A:A,'Datos_Ejemplo.csv'!I:I)</f>
        <v>-2</v>
      </c>
      <c r="N1494">
        <f>ABS(TablaDatos[[#This Row],[DiasOriginal]])</f>
        <v>2</v>
      </c>
      <c r="O1494" s="1">
        <f>TablaDatos[[#This Row],[FechaIngreso]]+TablaDatos[[#This Row],[DiasNuevo]]</f>
        <v>45565</v>
      </c>
    </row>
    <row r="1495" spans="1:15">
      <c r="A1495">
        <v>1494</v>
      </c>
      <c r="B1495" t="s">
        <v>277</v>
      </c>
      <c r="C1495" s="1">
        <v>37987</v>
      </c>
      <c r="D1495">
        <v>22</v>
      </c>
      <c r="E1495" s="4" t="s">
        <v>12</v>
      </c>
      <c r="F1495" t="s">
        <v>18</v>
      </c>
      <c r="G1495" s="1">
        <v>45253</v>
      </c>
      <c r="H1495" s="1">
        <f>TablaDatos[[#This Row],[FechaIngreso]]+TablaDatos[[#This Row],[DiasNuevo]]</f>
        <v>45283</v>
      </c>
      <c r="I1495">
        <v>30</v>
      </c>
      <c r="J1495" t="s">
        <v>19</v>
      </c>
      <c r="K1495" s="3">
        <v>2988.28</v>
      </c>
      <c r="L1495" t="b">
        <f>TablaDatos[[#This Row],[FechaAlta]] &lt; TablaDatos[[#This Row],[FechaIngreso]]</f>
        <v>0</v>
      </c>
      <c r="M1495">
        <f>_xlfn.XLOOKUP(TablaDatos[[#This Row],[PacienteID]],'Datos_Ejemplo.csv'!A:A,'Datos_Ejemplo.csv'!I:I)</f>
        <v>30</v>
      </c>
      <c r="N1495">
        <f>ABS(TablaDatos[[#This Row],[DiasOriginal]])</f>
        <v>30</v>
      </c>
      <c r="O1495" s="1">
        <f>TablaDatos[[#This Row],[FechaIngreso]]+TablaDatos[[#This Row],[DiasNuevo]]</f>
        <v>45283</v>
      </c>
    </row>
    <row r="1496" spans="1:15">
      <c r="A1496">
        <v>1495</v>
      </c>
      <c r="B1496" t="s">
        <v>272</v>
      </c>
      <c r="C1496" s="1">
        <v>36891</v>
      </c>
      <c r="D1496">
        <v>25</v>
      </c>
      <c r="E1496" s="4" t="s">
        <v>15</v>
      </c>
      <c r="F1496" t="s">
        <v>13</v>
      </c>
      <c r="G1496" s="1">
        <v>45221</v>
      </c>
      <c r="H1496" s="1">
        <f>TablaDatos[[#This Row],[FechaIngreso]]+TablaDatos[[#This Row],[DiasNuevo]]</f>
        <v>45233</v>
      </c>
      <c r="I1496">
        <v>12</v>
      </c>
      <c r="J1496" t="s">
        <v>25</v>
      </c>
      <c r="K1496" s="3">
        <v>19796.64</v>
      </c>
      <c r="L1496" t="b">
        <f>TablaDatos[[#This Row],[FechaAlta]] &lt; TablaDatos[[#This Row],[FechaIngreso]]</f>
        <v>0</v>
      </c>
      <c r="M1496">
        <f>_xlfn.XLOOKUP(TablaDatos[[#This Row],[PacienteID]],'Datos_Ejemplo.csv'!A:A,'Datos_Ejemplo.csv'!I:I)</f>
        <v>12</v>
      </c>
      <c r="N1496">
        <f>ABS(TablaDatos[[#This Row],[DiasOriginal]])</f>
        <v>12</v>
      </c>
      <c r="O1496" s="1">
        <f>TablaDatos[[#This Row],[FechaIngreso]]+TablaDatos[[#This Row],[DiasNuevo]]</f>
        <v>45233</v>
      </c>
    </row>
    <row r="1497" spans="1:15">
      <c r="A1497">
        <v>1496</v>
      </c>
      <c r="B1497" t="s">
        <v>367</v>
      </c>
      <c r="C1497" s="1">
        <v>15341</v>
      </c>
      <c r="D1497">
        <v>84</v>
      </c>
      <c r="E1497" s="4" t="s">
        <v>15</v>
      </c>
      <c r="F1497" t="s">
        <v>18</v>
      </c>
      <c r="G1497" s="1">
        <v>45358</v>
      </c>
      <c r="H1497" s="1">
        <f>TablaDatos[[#This Row],[FechaIngreso]]+TablaDatos[[#This Row],[DiasNuevo]]</f>
        <v>45384</v>
      </c>
      <c r="I1497">
        <v>26</v>
      </c>
      <c r="J1497" t="s">
        <v>19</v>
      </c>
      <c r="K1497" s="3">
        <v>6824.35</v>
      </c>
      <c r="L1497" t="b">
        <f>TablaDatos[[#This Row],[FechaAlta]] &lt; TablaDatos[[#This Row],[FechaIngreso]]</f>
        <v>0</v>
      </c>
      <c r="M1497">
        <f>_xlfn.XLOOKUP(TablaDatos[[#This Row],[PacienteID]],'Datos_Ejemplo.csv'!A:A,'Datos_Ejemplo.csv'!I:I)</f>
        <v>26</v>
      </c>
      <c r="N1497">
        <f>ABS(TablaDatos[[#This Row],[DiasOriginal]])</f>
        <v>26</v>
      </c>
      <c r="O1497" s="1">
        <f>TablaDatos[[#This Row],[FechaIngreso]]+TablaDatos[[#This Row],[DiasNuevo]]</f>
        <v>45384</v>
      </c>
    </row>
    <row r="1498" spans="1:15">
      <c r="A1498">
        <v>1497</v>
      </c>
      <c r="B1498" t="s">
        <v>290</v>
      </c>
      <c r="C1498" s="1">
        <f ca="1">DATE(YEAR(TODAY())-TablaDatos[[#This Row],[Edad]],1,1)</f>
        <v>14977</v>
      </c>
      <c r="D1498">
        <v>85</v>
      </c>
      <c r="E1498" s="4" t="s">
        <v>12</v>
      </c>
      <c r="F1498" t="s">
        <v>32</v>
      </c>
      <c r="G1498" s="1">
        <v>45273</v>
      </c>
      <c r="H1498" s="1">
        <f>TablaDatos[[#This Row],[FechaIngreso]]+TablaDatos[[#This Row],[DiasNuevo]]</f>
        <v>45274</v>
      </c>
      <c r="I1498">
        <v>1</v>
      </c>
      <c r="J1498" t="s">
        <v>23</v>
      </c>
      <c r="K1498" s="3">
        <v>5768.66</v>
      </c>
      <c r="L1498" t="b">
        <f>TablaDatos[[#This Row],[FechaAlta]] &lt; TablaDatos[[#This Row],[FechaIngreso]]</f>
        <v>0</v>
      </c>
      <c r="M1498">
        <f>_xlfn.XLOOKUP(TablaDatos[[#This Row],[PacienteID]],'Datos_Ejemplo.csv'!A:A,'Datos_Ejemplo.csv'!I:I)</f>
        <v>-1</v>
      </c>
      <c r="N1498">
        <f>ABS(TablaDatos[[#This Row],[DiasOriginal]])</f>
        <v>1</v>
      </c>
      <c r="O1498" s="1">
        <f>TablaDatos[[#This Row],[FechaIngreso]]+TablaDatos[[#This Row],[DiasNuevo]]</f>
        <v>45274</v>
      </c>
    </row>
    <row r="1499" spans="1:15">
      <c r="A1499">
        <v>1498</v>
      </c>
      <c r="B1499" t="s">
        <v>334</v>
      </c>
      <c r="C1499" s="1">
        <v>43831</v>
      </c>
      <c r="D1499">
        <v>6</v>
      </c>
      <c r="E1499" s="4" t="s">
        <v>12</v>
      </c>
      <c r="F1499" t="s">
        <v>32</v>
      </c>
      <c r="G1499" s="1">
        <v>44963</v>
      </c>
      <c r="H1499" s="1">
        <f>TablaDatos[[#This Row],[FechaIngreso]]+TablaDatos[[#This Row],[DiasNuevo]]</f>
        <v>44971</v>
      </c>
      <c r="I1499">
        <v>8</v>
      </c>
      <c r="J1499" t="s">
        <v>23</v>
      </c>
      <c r="K1499" s="3">
        <v>950.56</v>
      </c>
      <c r="L1499" t="b">
        <f>TablaDatos[[#This Row],[FechaAlta]] &lt; TablaDatos[[#This Row],[FechaIngreso]]</f>
        <v>0</v>
      </c>
      <c r="M1499">
        <f>_xlfn.XLOOKUP(TablaDatos[[#This Row],[PacienteID]],'Datos_Ejemplo.csv'!A:A,'Datos_Ejemplo.csv'!I:I)</f>
        <v>8</v>
      </c>
      <c r="N1499">
        <f>ABS(TablaDatos[[#This Row],[DiasOriginal]])</f>
        <v>8</v>
      </c>
      <c r="O1499" s="1">
        <f>TablaDatos[[#This Row],[FechaIngreso]]+TablaDatos[[#This Row],[DiasNuevo]]</f>
        <v>44971</v>
      </c>
    </row>
    <row r="1500" spans="1:15">
      <c r="A1500">
        <v>1499</v>
      </c>
      <c r="B1500" t="s">
        <v>283</v>
      </c>
      <c r="C1500" s="1">
        <v>41274</v>
      </c>
      <c r="D1500">
        <v>13</v>
      </c>
      <c r="E1500" s="4" t="s">
        <v>12</v>
      </c>
      <c r="F1500" t="s">
        <v>18</v>
      </c>
      <c r="G1500" s="1">
        <v>45626</v>
      </c>
      <c r="H1500" s="1">
        <f>TablaDatos[[#This Row],[FechaIngreso]]+TablaDatos[[#This Row],[DiasNuevo]]</f>
        <v>45657</v>
      </c>
      <c r="I1500">
        <v>31</v>
      </c>
      <c r="J1500" t="s">
        <v>23</v>
      </c>
      <c r="K1500" s="3">
        <v>12669.94</v>
      </c>
      <c r="L1500" t="b">
        <f>TablaDatos[[#This Row],[FechaAlta]] &lt; TablaDatos[[#This Row],[FechaIngreso]]</f>
        <v>0</v>
      </c>
      <c r="M1500">
        <f>_xlfn.XLOOKUP(TablaDatos[[#This Row],[PacienteID]],'Datos_Ejemplo.csv'!A:A,'Datos_Ejemplo.csv'!I:I)</f>
        <v>31</v>
      </c>
      <c r="N1500">
        <f>ABS(TablaDatos[[#This Row],[DiasOriginal]])</f>
        <v>31</v>
      </c>
      <c r="O1500" s="1">
        <f>TablaDatos[[#This Row],[FechaIngreso]]+TablaDatos[[#This Row],[DiasNuevo]]</f>
        <v>45657</v>
      </c>
    </row>
    <row r="1501" spans="1:15">
      <c r="A1501">
        <v>1500</v>
      </c>
      <c r="B1501" t="s">
        <v>234</v>
      </c>
      <c r="C1501" s="1">
        <v>17533</v>
      </c>
      <c r="D1501">
        <v>78</v>
      </c>
      <c r="E1501" s="4" t="s">
        <v>12</v>
      </c>
      <c r="F1501" t="s">
        <v>21</v>
      </c>
      <c r="G1501" s="1">
        <v>45438</v>
      </c>
      <c r="H1501" s="1">
        <f>TablaDatos[[#This Row],[FechaIngreso]]+TablaDatos[[#This Row],[DiasNuevo]]</f>
        <v>45476</v>
      </c>
      <c r="I1501">
        <v>38</v>
      </c>
      <c r="J1501" t="s">
        <v>23</v>
      </c>
      <c r="K1501" s="3">
        <v>13009.03</v>
      </c>
      <c r="L1501" t="b">
        <f>TablaDatos[[#This Row],[FechaAlta]] &lt; TablaDatos[[#This Row],[FechaIngreso]]</f>
        <v>0</v>
      </c>
      <c r="M1501">
        <f>_xlfn.XLOOKUP(TablaDatos[[#This Row],[PacienteID]],'Datos_Ejemplo.csv'!A:A,'Datos_Ejemplo.csv'!I:I)</f>
        <v>38</v>
      </c>
      <c r="N1501">
        <f>ABS(TablaDatos[[#This Row],[DiasOriginal]])</f>
        <v>38</v>
      </c>
      <c r="O1501" s="1">
        <f>TablaDatos[[#This Row],[FechaIngreso]]+TablaDatos[[#This Row],[DiasNuevo]]</f>
        <v>45476</v>
      </c>
    </row>
    <row r="1502" spans="1:15">
      <c r="A1502">
        <v>1501</v>
      </c>
      <c r="B1502" t="s">
        <v>300</v>
      </c>
      <c r="C1502" s="1">
        <v>43831</v>
      </c>
      <c r="D1502">
        <v>6</v>
      </c>
      <c r="E1502" s="4" t="s">
        <v>15</v>
      </c>
      <c r="F1502" t="s">
        <v>261</v>
      </c>
      <c r="G1502" s="1">
        <v>45461</v>
      </c>
      <c r="H1502" s="1">
        <f>TablaDatos[[#This Row],[FechaIngreso]]+TablaDatos[[#This Row],[DiasNuevo]]</f>
        <v>45477</v>
      </c>
      <c r="I1502">
        <v>16</v>
      </c>
      <c r="J1502" t="s">
        <v>19</v>
      </c>
      <c r="K1502" s="3">
        <v>3426.52</v>
      </c>
      <c r="L1502" t="b">
        <f>TablaDatos[[#This Row],[FechaAlta]] &lt; TablaDatos[[#This Row],[FechaIngreso]]</f>
        <v>0</v>
      </c>
      <c r="M1502">
        <f>_xlfn.XLOOKUP(TablaDatos[[#This Row],[PacienteID]],'Datos_Ejemplo.csv'!A:A,'Datos_Ejemplo.csv'!I:I)</f>
        <v>16</v>
      </c>
      <c r="N1502">
        <f>ABS(TablaDatos[[#This Row],[DiasOriginal]])</f>
        <v>16</v>
      </c>
      <c r="O1502" s="1">
        <f>TablaDatos[[#This Row],[FechaIngreso]]+TablaDatos[[#This Row],[DiasNuevo]]</f>
        <v>45477</v>
      </c>
    </row>
    <row r="1503" spans="1:15">
      <c r="A1503">
        <v>1502</v>
      </c>
      <c r="B1503" t="s">
        <v>275</v>
      </c>
      <c r="C1503" s="1">
        <v>43100</v>
      </c>
      <c r="D1503">
        <v>8</v>
      </c>
      <c r="E1503" s="4" t="s">
        <v>15</v>
      </c>
      <c r="F1503" t="s">
        <v>21</v>
      </c>
      <c r="G1503" s="1">
        <v>45632</v>
      </c>
      <c r="H1503" s="1">
        <f>TablaDatos[[#This Row],[FechaIngreso]]+TablaDatos[[#This Row],[DiasNuevo]]</f>
        <v>45633</v>
      </c>
      <c r="I1503">
        <v>1</v>
      </c>
      <c r="J1503" t="s">
        <v>23</v>
      </c>
      <c r="K1503" s="3">
        <v>18376.75</v>
      </c>
      <c r="L1503" t="b">
        <f>TablaDatos[[#This Row],[FechaAlta]] &lt; TablaDatos[[#This Row],[FechaIngreso]]</f>
        <v>0</v>
      </c>
      <c r="M1503">
        <f>_xlfn.XLOOKUP(TablaDatos[[#This Row],[PacienteID]],'Datos_Ejemplo.csv'!A:A,'Datos_Ejemplo.csv'!I:I)</f>
        <v>-1</v>
      </c>
      <c r="N1503">
        <f>ABS(TablaDatos[[#This Row],[DiasOriginal]])</f>
        <v>1</v>
      </c>
      <c r="O1503" s="1">
        <f>TablaDatos[[#This Row],[FechaIngreso]]+TablaDatos[[#This Row],[DiasNuevo]]</f>
        <v>45633</v>
      </c>
    </row>
    <row r="1504" spans="1:15">
      <c r="A1504">
        <v>1503</v>
      </c>
      <c r="B1504" t="s">
        <v>310</v>
      </c>
      <c r="C1504" s="1">
        <v>28856</v>
      </c>
      <c r="D1504">
        <v>47</v>
      </c>
      <c r="E1504" s="4" t="s">
        <v>12</v>
      </c>
      <c r="F1504" t="s">
        <v>261</v>
      </c>
      <c r="G1504" s="1">
        <v>45590</v>
      </c>
      <c r="H1504" s="1">
        <f>TablaDatos[[#This Row],[FechaIngreso]]+TablaDatos[[#This Row],[DiasNuevo]]</f>
        <v>45607</v>
      </c>
      <c r="I1504">
        <v>17</v>
      </c>
      <c r="J1504" t="s">
        <v>23</v>
      </c>
      <c r="K1504" s="3">
        <v>15989.92</v>
      </c>
      <c r="L1504" t="b">
        <f>TablaDatos[[#This Row],[FechaAlta]] &lt; TablaDatos[[#This Row],[FechaIngreso]]</f>
        <v>0</v>
      </c>
      <c r="M1504">
        <f>_xlfn.XLOOKUP(TablaDatos[[#This Row],[PacienteID]],'Datos_Ejemplo.csv'!A:A,'Datos_Ejemplo.csv'!I:I)</f>
        <v>17</v>
      </c>
      <c r="N1504">
        <f>ABS(TablaDatos[[#This Row],[DiasOriginal]])</f>
        <v>17</v>
      </c>
      <c r="O1504" s="1">
        <f>TablaDatos[[#This Row],[FechaIngreso]]+TablaDatos[[#This Row],[DiasNuevo]]</f>
        <v>45607</v>
      </c>
    </row>
    <row r="1505" spans="1:15">
      <c r="A1505">
        <v>1504</v>
      </c>
      <c r="B1505" t="s">
        <v>236</v>
      </c>
      <c r="C1505" s="1">
        <v>20090</v>
      </c>
      <c r="D1505">
        <v>71</v>
      </c>
      <c r="E1505" s="4" t="s">
        <v>12</v>
      </c>
      <c r="F1505" t="s">
        <v>261</v>
      </c>
      <c r="G1505" s="1">
        <v>44944</v>
      </c>
      <c r="H1505" s="1">
        <f>TablaDatos[[#This Row],[FechaIngreso]]+TablaDatos[[#This Row],[DiasNuevo]]</f>
        <v>44982</v>
      </c>
      <c r="I1505">
        <v>38</v>
      </c>
      <c r="J1505" t="s">
        <v>19</v>
      </c>
      <c r="K1505" s="3">
        <v>4529.42</v>
      </c>
      <c r="L1505" t="b">
        <f>TablaDatos[[#This Row],[FechaAlta]] &lt; TablaDatos[[#This Row],[FechaIngreso]]</f>
        <v>0</v>
      </c>
      <c r="M1505">
        <f>_xlfn.XLOOKUP(TablaDatos[[#This Row],[PacienteID]],'Datos_Ejemplo.csv'!A:A,'Datos_Ejemplo.csv'!I:I)</f>
        <v>38</v>
      </c>
      <c r="N1505">
        <f>ABS(TablaDatos[[#This Row],[DiasOriginal]])</f>
        <v>38</v>
      </c>
      <c r="O1505" s="1">
        <f>TablaDatos[[#This Row],[FechaIngreso]]+TablaDatos[[#This Row],[DiasNuevo]]</f>
        <v>44982</v>
      </c>
    </row>
    <row r="1506" spans="1:15">
      <c r="A1506">
        <v>1505</v>
      </c>
      <c r="B1506" t="s">
        <v>361</v>
      </c>
      <c r="C1506" s="1">
        <v>24838</v>
      </c>
      <c r="D1506">
        <v>58</v>
      </c>
      <c r="E1506" s="4" t="s">
        <v>15</v>
      </c>
      <c r="F1506" t="s">
        <v>21</v>
      </c>
      <c r="G1506" s="1">
        <v>44953</v>
      </c>
      <c r="H1506" s="1">
        <f>TablaDatos[[#This Row],[FechaIngreso]]+TablaDatos[[#This Row],[DiasNuevo]]</f>
        <v>44981</v>
      </c>
      <c r="I1506">
        <v>28</v>
      </c>
      <c r="J1506" t="s">
        <v>19</v>
      </c>
      <c r="K1506" s="3">
        <v>9665.58</v>
      </c>
      <c r="L1506" t="b">
        <f>TablaDatos[[#This Row],[FechaAlta]] &lt; TablaDatos[[#This Row],[FechaIngreso]]</f>
        <v>0</v>
      </c>
      <c r="M1506">
        <f>_xlfn.XLOOKUP(TablaDatos[[#This Row],[PacienteID]],'Datos_Ejemplo.csv'!A:A,'Datos_Ejemplo.csv'!I:I)</f>
        <v>28</v>
      </c>
      <c r="N1506">
        <f>ABS(TablaDatos[[#This Row],[DiasOriginal]])</f>
        <v>28</v>
      </c>
      <c r="O1506" s="1">
        <f>TablaDatos[[#This Row],[FechaIngreso]]+TablaDatos[[#This Row],[DiasNuevo]]</f>
        <v>44981</v>
      </c>
    </row>
    <row r="1507" spans="1:15">
      <c r="A1507">
        <v>1506</v>
      </c>
      <c r="B1507" t="s">
        <v>362</v>
      </c>
      <c r="C1507" s="1">
        <v>14611</v>
      </c>
      <c r="D1507">
        <v>86</v>
      </c>
      <c r="E1507" s="4" t="s">
        <v>12</v>
      </c>
      <c r="F1507" t="s">
        <v>261</v>
      </c>
      <c r="G1507" s="1">
        <v>45462</v>
      </c>
      <c r="H1507" s="1">
        <f>TablaDatos[[#This Row],[FechaIngreso]]+TablaDatos[[#This Row],[DiasNuevo]]</f>
        <v>45463</v>
      </c>
      <c r="I1507">
        <v>1</v>
      </c>
      <c r="J1507" t="s">
        <v>23</v>
      </c>
      <c r="K1507" s="3">
        <v>9113.66</v>
      </c>
      <c r="L1507" t="b">
        <f>TablaDatos[[#This Row],[FechaAlta]] &lt; TablaDatos[[#This Row],[FechaIngreso]]</f>
        <v>0</v>
      </c>
      <c r="M1507">
        <f>_xlfn.XLOOKUP(TablaDatos[[#This Row],[PacienteID]],'Datos_Ejemplo.csv'!A:A,'Datos_Ejemplo.csv'!I:I)</f>
        <v>1</v>
      </c>
      <c r="N1507">
        <f>ABS(TablaDatos[[#This Row],[DiasOriginal]])</f>
        <v>1</v>
      </c>
      <c r="O1507" s="1">
        <f>TablaDatos[[#This Row],[FechaIngreso]]+TablaDatos[[#This Row],[DiasNuevo]]</f>
        <v>45463</v>
      </c>
    </row>
    <row r="1508" spans="1:15">
      <c r="A1508">
        <v>1507</v>
      </c>
      <c r="B1508" t="s">
        <v>281</v>
      </c>
      <c r="C1508" s="1">
        <v>12419</v>
      </c>
      <c r="D1508">
        <v>92</v>
      </c>
      <c r="E1508" s="4" t="s">
        <v>15</v>
      </c>
      <c r="F1508" t="s">
        <v>261</v>
      </c>
      <c r="G1508" s="1">
        <v>44955</v>
      </c>
      <c r="H1508" s="1">
        <f>TablaDatos[[#This Row],[FechaIngreso]]+TablaDatos[[#This Row],[DiasNuevo]]</f>
        <v>44981</v>
      </c>
      <c r="I1508">
        <v>26</v>
      </c>
      <c r="J1508" t="s">
        <v>23</v>
      </c>
      <c r="K1508" s="3">
        <v>6905.26</v>
      </c>
      <c r="L1508" t="b">
        <f>TablaDatos[[#This Row],[FechaAlta]] &lt; TablaDatos[[#This Row],[FechaIngreso]]</f>
        <v>0</v>
      </c>
      <c r="M1508">
        <f>_xlfn.XLOOKUP(TablaDatos[[#This Row],[PacienteID]],'Datos_Ejemplo.csv'!A:A,'Datos_Ejemplo.csv'!I:I)</f>
        <v>26</v>
      </c>
      <c r="N1508">
        <f>ABS(TablaDatos[[#This Row],[DiasOriginal]])</f>
        <v>26</v>
      </c>
      <c r="O1508" s="1">
        <f>TablaDatos[[#This Row],[FechaIngreso]]+TablaDatos[[#This Row],[DiasNuevo]]</f>
        <v>44981</v>
      </c>
    </row>
    <row r="1509" spans="1:15">
      <c r="A1509">
        <v>1508</v>
      </c>
      <c r="B1509" t="s">
        <v>67</v>
      </c>
      <c r="C1509" s="1">
        <v>16437</v>
      </c>
      <c r="D1509">
        <v>81</v>
      </c>
      <c r="E1509" s="4" t="s">
        <v>15</v>
      </c>
      <c r="F1509" t="s">
        <v>261</v>
      </c>
      <c r="G1509" s="1">
        <v>45577</v>
      </c>
      <c r="H1509" s="1">
        <f>TablaDatos[[#This Row],[FechaIngreso]]+TablaDatos[[#This Row],[DiasNuevo]]</f>
        <v>45604</v>
      </c>
      <c r="I1509">
        <v>27</v>
      </c>
      <c r="J1509" t="s">
        <v>23</v>
      </c>
      <c r="K1509" s="3">
        <v>16334.46</v>
      </c>
      <c r="L1509" t="b">
        <f>TablaDatos[[#This Row],[FechaAlta]] &lt; TablaDatos[[#This Row],[FechaIngreso]]</f>
        <v>0</v>
      </c>
      <c r="M1509">
        <f>_xlfn.XLOOKUP(TablaDatos[[#This Row],[PacienteID]],'Datos_Ejemplo.csv'!A:A,'Datos_Ejemplo.csv'!I:I)</f>
        <v>27</v>
      </c>
      <c r="N1509">
        <f>ABS(TablaDatos[[#This Row],[DiasOriginal]])</f>
        <v>27</v>
      </c>
      <c r="O1509" s="1">
        <f>TablaDatos[[#This Row],[FechaIngreso]]+TablaDatos[[#This Row],[DiasNuevo]]</f>
        <v>45604</v>
      </c>
    </row>
    <row r="1510" spans="1:15">
      <c r="A1510">
        <v>1509</v>
      </c>
      <c r="B1510" t="s">
        <v>67</v>
      </c>
      <c r="C1510" s="1">
        <v>11689</v>
      </c>
      <c r="D1510">
        <v>94</v>
      </c>
      <c r="E1510" s="4" t="s">
        <v>12</v>
      </c>
      <c r="F1510" t="s">
        <v>13</v>
      </c>
      <c r="G1510" s="1">
        <v>45584</v>
      </c>
      <c r="H1510" s="1">
        <f>TablaDatos[[#This Row],[FechaIngreso]]+TablaDatos[[#This Row],[DiasNuevo]]</f>
        <v>45594</v>
      </c>
      <c r="I1510">
        <v>10</v>
      </c>
      <c r="J1510" t="s">
        <v>25</v>
      </c>
      <c r="K1510" s="3">
        <v>2096.2199999999998</v>
      </c>
      <c r="L1510" t="b">
        <f>TablaDatos[[#This Row],[FechaAlta]] &lt; TablaDatos[[#This Row],[FechaIngreso]]</f>
        <v>0</v>
      </c>
      <c r="M1510">
        <f>_xlfn.XLOOKUP(TablaDatos[[#This Row],[PacienteID]],'Datos_Ejemplo.csv'!A:A,'Datos_Ejemplo.csv'!I:I)</f>
        <v>10</v>
      </c>
      <c r="N1510">
        <f>ABS(TablaDatos[[#This Row],[DiasOriginal]])</f>
        <v>10</v>
      </c>
      <c r="O1510" s="1">
        <f>TablaDatos[[#This Row],[FechaIngreso]]+TablaDatos[[#This Row],[DiasNuevo]]</f>
        <v>45594</v>
      </c>
    </row>
    <row r="1511" spans="1:15">
      <c r="A1511">
        <v>1510</v>
      </c>
      <c r="B1511" t="s">
        <v>248</v>
      </c>
      <c r="C1511" s="1">
        <v>12054</v>
      </c>
      <c r="D1511">
        <v>93</v>
      </c>
      <c r="E1511" s="4" t="s">
        <v>12</v>
      </c>
      <c r="F1511" t="s">
        <v>32</v>
      </c>
      <c r="G1511" s="1">
        <v>45561</v>
      </c>
      <c r="H1511" s="1">
        <f>TablaDatos[[#This Row],[FechaIngreso]]+TablaDatos[[#This Row],[DiasNuevo]]</f>
        <v>45573</v>
      </c>
      <c r="I1511">
        <v>12</v>
      </c>
      <c r="J1511" t="s">
        <v>25</v>
      </c>
      <c r="K1511" s="3">
        <v>8247.82</v>
      </c>
      <c r="L1511" t="b">
        <f>TablaDatos[[#This Row],[FechaAlta]] &lt; TablaDatos[[#This Row],[FechaIngreso]]</f>
        <v>0</v>
      </c>
      <c r="M1511">
        <f>_xlfn.XLOOKUP(TablaDatos[[#This Row],[PacienteID]],'Datos_Ejemplo.csv'!A:A,'Datos_Ejemplo.csv'!I:I)</f>
        <v>12</v>
      </c>
      <c r="N1511">
        <f>ABS(TablaDatos[[#This Row],[DiasOriginal]])</f>
        <v>12</v>
      </c>
      <c r="O1511" s="1">
        <f>TablaDatos[[#This Row],[FechaIngreso]]+TablaDatos[[#This Row],[DiasNuevo]]</f>
        <v>45573</v>
      </c>
    </row>
    <row r="1512" spans="1:15">
      <c r="A1512">
        <v>1511</v>
      </c>
      <c r="B1512" t="s">
        <v>353</v>
      </c>
      <c r="C1512" s="1">
        <v>32143</v>
      </c>
      <c r="D1512">
        <v>38</v>
      </c>
      <c r="E1512" s="4" t="s">
        <v>12</v>
      </c>
      <c r="F1512" t="s">
        <v>261</v>
      </c>
      <c r="G1512" s="1">
        <v>45566</v>
      </c>
      <c r="H1512" s="1">
        <f>TablaDatos[[#This Row],[FechaIngreso]]+TablaDatos[[#This Row],[DiasNuevo]]</f>
        <v>45583</v>
      </c>
      <c r="I1512">
        <v>17</v>
      </c>
      <c r="J1512" t="s">
        <v>25</v>
      </c>
      <c r="K1512" s="3">
        <v>8503.43</v>
      </c>
      <c r="L1512" t="b">
        <f>TablaDatos[[#This Row],[FechaAlta]] &lt; TablaDatos[[#This Row],[FechaIngreso]]</f>
        <v>0</v>
      </c>
      <c r="M1512">
        <f>_xlfn.XLOOKUP(TablaDatos[[#This Row],[PacienteID]],'Datos_Ejemplo.csv'!A:A,'Datos_Ejemplo.csv'!I:I)</f>
        <v>17</v>
      </c>
      <c r="N1512">
        <f>ABS(TablaDatos[[#This Row],[DiasOriginal]])</f>
        <v>17</v>
      </c>
      <c r="O1512" s="1">
        <f>TablaDatos[[#This Row],[FechaIngreso]]+TablaDatos[[#This Row],[DiasNuevo]]</f>
        <v>45583</v>
      </c>
    </row>
    <row r="1513" spans="1:15">
      <c r="A1513">
        <v>1512</v>
      </c>
      <c r="B1513" t="s">
        <v>311</v>
      </c>
      <c r="C1513" s="1">
        <v>39813</v>
      </c>
      <c r="D1513">
        <f ca="1">DATEDIF(TablaDatos[[#This Row],[FechaNacimiento]],TODAY(),"Y")</f>
        <v>17</v>
      </c>
      <c r="E1513" s="4" t="s">
        <v>15</v>
      </c>
      <c r="F1513" t="s">
        <v>32</v>
      </c>
      <c r="G1513" s="1">
        <v>45043</v>
      </c>
      <c r="H1513" s="1">
        <f>TablaDatos[[#This Row],[FechaIngreso]]+TablaDatos[[#This Row],[DiasNuevo]]</f>
        <v>45074</v>
      </c>
      <c r="I1513">
        <v>31</v>
      </c>
      <c r="J1513" t="s">
        <v>25</v>
      </c>
      <c r="K1513" s="3">
        <v>9321.3799999999992</v>
      </c>
      <c r="L1513" t="b">
        <f>TablaDatos[[#This Row],[FechaAlta]] &lt; TablaDatos[[#This Row],[FechaIngreso]]</f>
        <v>0</v>
      </c>
      <c r="M1513">
        <f>_xlfn.XLOOKUP(TablaDatos[[#This Row],[PacienteID]],'Datos_Ejemplo.csv'!A:A,'Datos_Ejemplo.csv'!I:I)</f>
        <v>31</v>
      </c>
      <c r="N1513">
        <f>ABS(TablaDatos[[#This Row],[DiasOriginal]])</f>
        <v>31</v>
      </c>
      <c r="O1513" s="1">
        <f>TablaDatos[[#This Row],[FechaIngreso]]+TablaDatos[[#This Row],[DiasNuevo]]</f>
        <v>45074</v>
      </c>
    </row>
    <row r="1514" spans="1:15">
      <c r="A1514">
        <v>1513</v>
      </c>
      <c r="B1514" t="s">
        <v>368</v>
      </c>
      <c r="C1514" s="1">
        <v>24838</v>
      </c>
      <c r="D1514">
        <v>58</v>
      </c>
      <c r="E1514" s="4" t="s">
        <v>15</v>
      </c>
      <c r="F1514" t="s">
        <v>201</v>
      </c>
      <c r="G1514" s="1">
        <v>45058</v>
      </c>
      <c r="H1514" s="1">
        <f>TablaDatos[[#This Row],[FechaIngreso]]+TablaDatos[[#This Row],[DiasNuevo]]</f>
        <v>45083</v>
      </c>
      <c r="I1514">
        <v>25</v>
      </c>
      <c r="J1514" t="s">
        <v>19</v>
      </c>
      <c r="K1514" s="3">
        <v>17213.13</v>
      </c>
      <c r="L1514" t="b">
        <f>TablaDatos[[#This Row],[FechaAlta]] &lt; TablaDatos[[#This Row],[FechaIngreso]]</f>
        <v>0</v>
      </c>
      <c r="M1514">
        <f>_xlfn.XLOOKUP(TablaDatos[[#This Row],[PacienteID]],'Datos_Ejemplo.csv'!A:A,'Datos_Ejemplo.csv'!I:I)</f>
        <v>25</v>
      </c>
      <c r="N1514">
        <f>ABS(TablaDatos[[#This Row],[DiasOriginal]])</f>
        <v>25</v>
      </c>
      <c r="O1514" s="1">
        <f>TablaDatos[[#This Row],[FechaIngreso]]+TablaDatos[[#This Row],[DiasNuevo]]</f>
        <v>45083</v>
      </c>
    </row>
    <row r="1515" spans="1:15">
      <c r="A1515">
        <v>1514</v>
      </c>
      <c r="B1515" t="s">
        <v>362</v>
      </c>
      <c r="C1515" s="1">
        <v>40178</v>
      </c>
      <c r="D1515">
        <v>16</v>
      </c>
      <c r="E1515" s="4" t="s">
        <v>12</v>
      </c>
      <c r="F1515" t="s">
        <v>32</v>
      </c>
      <c r="G1515" s="1">
        <v>45215</v>
      </c>
      <c r="H1515" s="1">
        <f>TablaDatos[[#This Row],[FechaIngreso]]+TablaDatos[[#This Row],[DiasNuevo]]</f>
        <v>45232</v>
      </c>
      <c r="I1515">
        <v>17</v>
      </c>
      <c r="J1515" t="s">
        <v>23</v>
      </c>
      <c r="K1515" s="3">
        <v>4285.1499999999996</v>
      </c>
      <c r="L1515" t="b">
        <f>TablaDatos[[#This Row],[FechaAlta]] &lt; TablaDatos[[#This Row],[FechaIngreso]]</f>
        <v>0</v>
      </c>
      <c r="M1515">
        <f>_xlfn.XLOOKUP(TablaDatos[[#This Row],[PacienteID]],'Datos_Ejemplo.csv'!A:A,'Datos_Ejemplo.csv'!I:I)</f>
        <v>17</v>
      </c>
      <c r="N1515">
        <f>ABS(TablaDatos[[#This Row],[DiasOriginal]])</f>
        <v>17</v>
      </c>
      <c r="O1515" s="1">
        <f>TablaDatos[[#This Row],[FechaIngreso]]+TablaDatos[[#This Row],[DiasNuevo]]</f>
        <v>45232</v>
      </c>
    </row>
    <row r="1516" spans="1:15">
      <c r="A1516">
        <v>1515</v>
      </c>
      <c r="B1516" t="s">
        <v>302</v>
      </c>
      <c r="C1516" s="1">
        <v>41274</v>
      </c>
      <c r="D1516">
        <v>13</v>
      </c>
      <c r="E1516" s="4" t="s">
        <v>15</v>
      </c>
      <c r="F1516" t="s">
        <v>201</v>
      </c>
      <c r="G1516" s="1">
        <v>45644</v>
      </c>
      <c r="H1516" s="1">
        <f>TablaDatos[[#This Row],[FechaIngreso]]+TablaDatos[[#This Row],[DiasNuevo]]</f>
        <v>45666</v>
      </c>
      <c r="I1516">
        <v>22</v>
      </c>
      <c r="J1516" t="s">
        <v>23</v>
      </c>
      <c r="K1516" s="3">
        <v>1968.76</v>
      </c>
      <c r="L1516" t="b">
        <f>TablaDatos[[#This Row],[FechaAlta]] &lt; TablaDatos[[#This Row],[FechaIngreso]]</f>
        <v>0</v>
      </c>
      <c r="M1516">
        <f>_xlfn.XLOOKUP(TablaDatos[[#This Row],[PacienteID]],'Datos_Ejemplo.csv'!A:A,'Datos_Ejemplo.csv'!I:I)</f>
        <v>22</v>
      </c>
      <c r="N1516">
        <f>ABS(TablaDatos[[#This Row],[DiasOriginal]])</f>
        <v>22</v>
      </c>
      <c r="O1516" s="1">
        <f>TablaDatos[[#This Row],[FechaIngreso]]+TablaDatos[[#This Row],[DiasNuevo]]</f>
        <v>45666</v>
      </c>
    </row>
    <row r="1517" spans="1:15">
      <c r="A1517">
        <v>1516</v>
      </c>
      <c r="B1517" t="s">
        <v>233</v>
      </c>
      <c r="C1517" s="1">
        <v>35065</v>
      </c>
      <c r="D1517">
        <v>30</v>
      </c>
      <c r="E1517" s="4" t="s">
        <v>12</v>
      </c>
      <c r="F1517" t="s">
        <v>13</v>
      </c>
      <c r="G1517" s="1">
        <v>45162</v>
      </c>
      <c r="H1517" s="1">
        <f>TablaDatos[[#This Row],[FechaIngreso]]+TablaDatos[[#This Row],[DiasNuevo]]</f>
        <v>45186</v>
      </c>
      <c r="I1517">
        <v>24</v>
      </c>
      <c r="J1517" t="s">
        <v>19</v>
      </c>
      <c r="K1517" s="3">
        <v>12317.95</v>
      </c>
      <c r="L1517" t="b">
        <f>TablaDatos[[#This Row],[FechaAlta]] &lt; TablaDatos[[#This Row],[FechaIngreso]]</f>
        <v>0</v>
      </c>
      <c r="M1517">
        <f>_xlfn.XLOOKUP(TablaDatos[[#This Row],[PacienteID]],'Datos_Ejemplo.csv'!A:A,'Datos_Ejemplo.csv'!I:I)</f>
        <v>24</v>
      </c>
      <c r="N1517">
        <f>ABS(TablaDatos[[#This Row],[DiasOriginal]])</f>
        <v>24</v>
      </c>
      <c r="O1517" s="1">
        <f>TablaDatos[[#This Row],[FechaIngreso]]+TablaDatos[[#This Row],[DiasNuevo]]</f>
        <v>45186</v>
      </c>
    </row>
    <row r="1518" spans="1:15">
      <c r="A1518">
        <v>1517</v>
      </c>
      <c r="B1518" t="s">
        <v>342</v>
      </c>
      <c r="C1518" s="1">
        <v>37622</v>
      </c>
      <c r="D1518">
        <v>23</v>
      </c>
      <c r="E1518" s="4" t="s">
        <v>12</v>
      </c>
      <c r="F1518" t="s">
        <v>32</v>
      </c>
      <c r="G1518" s="1">
        <v>44968</v>
      </c>
      <c r="H1518" s="1">
        <f>TablaDatos[[#This Row],[FechaIngreso]]+TablaDatos[[#This Row],[DiasNuevo]]</f>
        <v>44995</v>
      </c>
      <c r="I1518">
        <v>27</v>
      </c>
      <c r="J1518" t="s">
        <v>25</v>
      </c>
      <c r="K1518" s="3">
        <v>3394.07</v>
      </c>
      <c r="L1518" t="b">
        <f>TablaDatos[[#This Row],[FechaAlta]] &lt; TablaDatos[[#This Row],[FechaIngreso]]</f>
        <v>0</v>
      </c>
      <c r="M1518">
        <f>_xlfn.XLOOKUP(TablaDatos[[#This Row],[PacienteID]],'Datos_Ejemplo.csv'!A:A,'Datos_Ejemplo.csv'!I:I)</f>
        <v>27</v>
      </c>
      <c r="N1518">
        <f>ABS(TablaDatos[[#This Row],[DiasOriginal]])</f>
        <v>27</v>
      </c>
      <c r="O1518" s="1">
        <f>TablaDatos[[#This Row],[FechaIngreso]]+TablaDatos[[#This Row],[DiasNuevo]]</f>
        <v>44995</v>
      </c>
    </row>
    <row r="1519" spans="1:15">
      <c r="A1519">
        <v>1518</v>
      </c>
      <c r="B1519" t="s">
        <v>231</v>
      </c>
      <c r="C1519" s="1">
        <v>24473</v>
      </c>
      <c r="D1519">
        <v>59</v>
      </c>
      <c r="E1519" s="4" t="s">
        <v>12</v>
      </c>
      <c r="F1519" t="s">
        <v>18</v>
      </c>
      <c r="G1519" s="1">
        <v>45086</v>
      </c>
      <c r="H1519" s="1">
        <f>TablaDatos[[#This Row],[FechaIngreso]]+TablaDatos[[#This Row],[DiasNuevo]]</f>
        <v>45124</v>
      </c>
      <c r="I1519">
        <v>38</v>
      </c>
      <c r="J1519" t="s">
        <v>23</v>
      </c>
      <c r="K1519" s="3">
        <v>1406.13</v>
      </c>
      <c r="L1519" t="b">
        <f>TablaDatos[[#This Row],[FechaAlta]] &lt; TablaDatos[[#This Row],[FechaIngreso]]</f>
        <v>0</v>
      </c>
      <c r="M1519">
        <f>_xlfn.XLOOKUP(TablaDatos[[#This Row],[PacienteID]],'Datos_Ejemplo.csv'!A:A,'Datos_Ejemplo.csv'!I:I)</f>
        <v>38</v>
      </c>
      <c r="N1519">
        <f>ABS(TablaDatos[[#This Row],[DiasOriginal]])</f>
        <v>38</v>
      </c>
      <c r="O1519" s="1">
        <f>TablaDatos[[#This Row],[FechaIngreso]]+TablaDatos[[#This Row],[DiasNuevo]]</f>
        <v>45124</v>
      </c>
    </row>
    <row r="1520" spans="1:15">
      <c r="A1520">
        <v>1519</v>
      </c>
      <c r="B1520" t="s">
        <v>362</v>
      </c>
      <c r="C1520" s="1">
        <v>29951</v>
      </c>
      <c r="D1520">
        <v>44</v>
      </c>
      <c r="E1520" s="4" t="s">
        <v>15</v>
      </c>
      <c r="F1520" t="s">
        <v>295</v>
      </c>
      <c r="G1520" s="1">
        <v>45617</v>
      </c>
      <c r="H1520" s="1">
        <f>TablaDatos[[#This Row],[FechaIngreso]]+TablaDatos[[#This Row],[DiasNuevo]]</f>
        <v>45634</v>
      </c>
      <c r="I1520">
        <v>17</v>
      </c>
      <c r="J1520" t="s">
        <v>23</v>
      </c>
      <c r="K1520" s="3">
        <v>8475.65</v>
      </c>
      <c r="L1520" t="b">
        <f>TablaDatos[[#This Row],[FechaAlta]] &lt; TablaDatos[[#This Row],[FechaIngreso]]</f>
        <v>0</v>
      </c>
      <c r="M1520">
        <f>_xlfn.XLOOKUP(TablaDatos[[#This Row],[PacienteID]],'Datos_Ejemplo.csv'!A:A,'Datos_Ejemplo.csv'!I:I)</f>
        <v>17</v>
      </c>
      <c r="N1520">
        <f>ABS(TablaDatos[[#This Row],[DiasOriginal]])</f>
        <v>17</v>
      </c>
      <c r="O1520" s="1">
        <f>TablaDatos[[#This Row],[FechaIngreso]]+TablaDatos[[#This Row],[DiasNuevo]]</f>
        <v>45634</v>
      </c>
    </row>
    <row r="1521" spans="1:15">
      <c r="A1521">
        <v>1520</v>
      </c>
      <c r="B1521" t="s">
        <v>239</v>
      </c>
      <c r="C1521" s="1">
        <v>45292</v>
      </c>
      <c r="D1521">
        <v>2</v>
      </c>
      <c r="E1521" s="4" t="s">
        <v>12</v>
      </c>
      <c r="F1521" t="s">
        <v>13</v>
      </c>
      <c r="G1521" s="1">
        <v>45051</v>
      </c>
      <c r="H1521" s="1">
        <f>TablaDatos[[#This Row],[FechaIngreso]]+TablaDatos[[#This Row],[DiasNuevo]]</f>
        <v>45053</v>
      </c>
      <c r="I1521">
        <v>2</v>
      </c>
      <c r="J1521" t="s">
        <v>19</v>
      </c>
      <c r="K1521" s="3">
        <v>4314.8900000000003</v>
      </c>
      <c r="L1521" t="b">
        <f>TablaDatos[[#This Row],[FechaAlta]] &lt; TablaDatos[[#This Row],[FechaIngreso]]</f>
        <v>0</v>
      </c>
      <c r="M1521">
        <f>_xlfn.XLOOKUP(TablaDatos[[#This Row],[PacienteID]],'Datos_Ejemplo.csv'!A:A,'Datos_Ejemplo.csv'!I:I)</f>
        <v>-2</v>
      </c>
      <c r="N1521">
        <f>ABS(TablaDatos[[#This Row],[DiasOriginal]])</f>
        <v>2</v>
      </c>
      <c r="O1521" s="1">
        <f>TablaDatos[[#This Row],[FechaIngreso]]+TablaDatos[[#This Row],[DiasNuevo]]</f>
        <v>45053</v>
      </c>
    </row>
    <row r="1522" spans="1:15">
      <c r="A1522">
        <v>1521</v>
      </c>
      <c r="B1522" t="s">
        <v>266</v>
      </c>
      <c r="C1522" s="1">
        <v>32873</v>
      </c>
      <c r="D1522">
        <v>36</v>
      </c>
      <c r="E1522" s="4" t="s">
        <v>15</v>
      </c>
      <c r="F1522" t="s">
        <v>295</v>
      </c>
      <c r="G1522" s="1">
        <v>45186</v>
      </c>
      <c r="H1522" s="1">
        <f>TablaDatos[[#This Row],[FechaIngreso]]+TablaDatos[[#This Row],[DiasNuevo]]</f>
        <v>45218</v>
      </c>
      <c r="I1522">
        <v>32</v>
      </c>
      <c r="J1522" t="s">
        <v>19</v>
      </c>
      <c r="K1522" s="3">
        <v>7160.45</v>
      </c>
      <c r="L1522" t="b">
        <f>TablaDatos[[#This Row],[FechaAlta]] &lt; TablaDatos[[#This Row],[FechaIngreso]]</f>
        <v>0</v>
      </c>
      <c r="M1522">
        <f>_xlfn.XLOOKUP(TablaDatos[[#This Row],[PacienteID]],'Datos_Ejemplo.csv'!A:A,'Datos_Ejemplo.csv'!I:I)</f>
        <v>32</v>
      </c>
      <c r="N1522">
        <f>ABS(TablaDatos[[#This Row],[DiasOriginal]])</f>
        <v>32</v>
      </c>
      <c r="O1522" s="1">
        <f>TablaDatos[[#This Row],[FechaIngreso]]+TablaDatos[[#This Row],[DiasNuevo]]</f>
        <v>45218</v>
      </c>
    </row>
    <row r="1523" spans="1:15">
      <c r="A1523">
        <v>1522</v>
      </c>
      <c r="B1523" t="s">
        <v>66</v>
      </c>
      <c r="C1523" s="1">
        <v>30682</v>
      </c>
      <c r="D1523">
        <v>42</v>
      </c>
      <c r="E1523" s="4" t="s">
        <v>15</v>
      </c>
      <c r="F1523" t="s">
        <v>18</v>
      </c>
      <c r="G1523" s="1">
        <v>45202</v>
      </c>
      <c r="H1523" s="1">
        <f>TablaDatos[[#This Row],[FechaIngreso]]+TablaDatos[[#This Row],[DiasNuevo]]</f>
        <v>45223</v>
      </c>
      <c r="I1523">
        <v>21</v>
      </c>
      <c r="J1523" t="s">
        <v>23</v>
      </c>
      <c r="K1523" s="3">
        <v>5120.1899999999996</v>
      </c>
      <c r="L1523" t="b">
        <f>TablaDatos[[#This Row],[FechaAlta]] &lt; TablaDatos[[#This Row],[FechaIngreso]]</f>
        <v>0</v>
      </c>
      <c r="M1523">
        <f>_xlfn.XLOOKUP(TablaDatos[[#This Row],[PacienteID]],'Datos_Ejemplo.csv'!A:A,'Datos_Ejemplo.csv'!I:I)</f>
        <v>21</v>
      </c>
      <c r="N1523">
        <f>ABS(TablaDatos[[#This Row],[DiasOriginal]])</f>
        <v>21</v>
      </c>
      <c r="O1523" s="1">
        <f>TablaDatos[[#This Row],[FechaIngreso]]+TablaDatos[[#This Row],[DiasNuevo]]</f>
        <v>45223</v>
      </c>
    </row>
    <row r="1524" spans="1:15">
      <c r="A1524">
        <v>1523</v>
      </c>
      <c r="B1524" t="s">
        <v>49</v>
      </c>
      <c r="C1524" s="1">
        <v>31778</v>
      </c>
      <c r="D1524">
        <v>39</v>
      </c>
      <c r="E1524" s="4" t="s">
        <v>15</v>
      </c>
      <c r="F1524" t="s">
        <v>21</v>
      </c>
      <c r="G1524" s="1">
        <v>45139</v>
      </c>
      <c r="H1524" s="1">
        <f>TablaDatos[[#This Row],[FechaIngreso]]+TablaDatos[[#This Row],[DiasNuevo]]</f>
        <v>45161</v>
      </c>
      <c r="I1524">
        <v>22</v>
      </c>
      <c r="J1524" t="s">
        <v>25</v>
      </c>
      <c r="K1524" s="3">
        <v>1761.99</v>
      </c>
      <c r="L1524" t="b">
        <f>TablaDatos[[#This Row],[FechaAlta]] &lt; TablaDatos[[#This Row],[FechaIngreso]]</f>
        <v>0</v>
      </c>
      <c r="M1524">
        <f>_xlfn.XLOOKUP(TablaDatos[[#This Row],[PacienteID]],'Datos_Ejemplo.csv'!A:A,'Datos_Ejemplo.csv'!I:I)</f>
        <v>22</v>
      </c>
      <c r="N1524">
        <f>ABS(TablaDatos[[#This Row],[DiasOriginal]])</f>
        <v>22</v>
      </c>
      <c r="O1524" s="1">
        <f>TablaDatos[[#This Row],[FechaIngreso]]+TablaDatos[[#This Row],[DiasNuevo]]</f>
        <v>45161</v>
      </c>
    </row>
    <row r="1525" spans="1:15">
      <c r="A1525">
        <v>1524</v>
      </c>
      <c r="B1525" t="s">
        <v>306</v>
      </c>
      <c r="C1525" s="1">
        <v>13515</v>
      </c>
      <c r="D1525">
        <v>89</v>
      </c>
      <c r="E1525" s="4" t="s">
        <v>15</v>
      </c>
      <c r="F1525" t="s">
        <v>21</v>
      </c>
      <c r="G1525" s="1">
        <v>45399</v>
      </c>
      <c r="H1525" s="1">
        <f>TablaDatos[[#This Row],[FechaIngreso]]+TablaDatos[[#This Row],[DiasNuevo]]</f>
        <v>45436</v>
      </c>
      <c r="I1525">
        <v>37</v>
      </c>
      <c r="J1525" t="s">
        <v>25</v>
      </c>
      <c r="K1525" s="3">
        <v>11162.98</v>
      </c>
      <c r="L1525" t="b">
        <f>TablaDatos[[#This Row],[FechaAlta]] &lt; TablaDatos[[#This Row],[FechaIngreso]]</f>
        <v>0</v>
      </c>
      <c r="M1525">
        <f>_xlfn.XLOOKUP(TablaDatos[[#This Row],[PacienteID]],'Datos_Ejemplo.csv'!A:A,'Datos_Ejemplo.csv'!I:I)</f>
        <v>37</v>
      </c>
      <c r="N1525">
        <f>ABS(TablaDatos[[#This Row],[DiasOriginal]])</f>
        <v>37</v>
      </c>
      <c r="O1525" s="1">
        <f>TablaDatos[[#This Row],[FechaIngreso]]+TablaDatos[[#This Row],[DiasNuevo]]</f>
        <v>45436</v>
      </c>
    </row>
    <row r="1526" spans="1:15">
      <c r="A1526">
        <v>1525</v>
      </c>
      <c r="B1526" t="s">
        <v>326</v>
      </c>
      <c r="C1526" s="1">
        <v>26299</v>
      </c>
      <c r="D1526">
        <v>54</v>
      </c>
      <c r="E1526" s="4" t="s">
        <v>12</v>
      </c>
      <c r="F1526" t="s">
        <v>261</v>
      </c>
      <c r="G1526" s="1">
        <v>45628</v>
      </c>
      <c r="H1526" s="1">
        <f>TablaDatos[[#This Row],[FechaIngreso]]+TablaDatos[[#This Row],[DiasNuevo]]</f>
        <v>45637</v>
      </c>
      <c r="I1526">
        <v>9</v>
      </c>
      <c r="J1526" t="s">
        <v>23</v>
      </c>
      <c r="K1526" s="3">
        <v>443.07</v>
      </c>
      <c r="L1526" t="b">
        <f>TablaDatos[[#This Row],[FechaAlta]] &lt; TablaDatos[[#This Row],[FechaIngreso]]</f>
        <v>0</v>
      </c>
      <c r="M1526">
        <f>_xlfn.XLOOKUP(TablaDatos[[#This Row],[PacienteID]],'Datos_Ejemplo.csv'!A:A,'Datos_Ejemplo.csv'!I:I)</f>
        <v>9</v>
      </c>
      <c r="N1526">
        <f>ABS(TablaDatos[[#This Row],[DiasOriginal]])</f>
        <v>9</v>
      </c>
      <c r="O1526" s="1">
        <f>TablaDatos[[#This Row],[FechaIngreso]]+TablaDatos[[#This Row],[DiasNuevo]]</f>
        <v>45637</v>
      </c>
    </row>
    <row r="1527" spans="1:15">
      <c r="A1527">
        <v>1526</v>
      </c>
      <c r="B1527" t="s">
        <v>343</v>
      </c>
      <c r="C1527" s="1">
        <v>14611</v>
      </c>
      <c r="D1527">
        <v>86</v>
      </c>
      <c r="E1527" s="4" t="s">
        <v>15</v>
      </c>
      <c r="F1527" t="s">
        <v>21</v>
      </c>
      <c r="G1527" s="1">
        <v>45496</v>
      </c>
      <c r="H1527" s="1">
        <f>TablaDatos[[#This Row],[FechaIngreso]]+TablaDatos[[#This Row],[DiasNuevo]]</f>
        <v>45504</v>
      </c>
      <c r="I1527">
        <v>8</v>
      </c>
      <c r="J1527" t="s">
        <v>23</v>
      </c>
      <c r="K1527" s="3">
        <v>19324.14</v>
      </c>
      <c r="L1527" t="b">
        <f>TablaDatos[[#This Row],[FechaAlta]] &lt; TablaDatos[[#This Row],[FechaIngreso]]</f>
        <v>0</v>
      </c>
      <c r="M1527">
        <f>_xlfn.XLOOKUP(TablaDatos[[#This Row],[PacienteID]],'Datos_Ejemplo.csv'!A:A,'Datos_Ejemplo.csv'!I:I)</f>
        <v>8</v>
      </c>
      <c r="N1527">
        <f>ABS(TablaDatos[[#This Row],[DiasOriginal]])</f>
        <v>8</v>
      </c>
      <c r="O1527" s="1">
        <f>TablaDatos[[#This Row],[FechaIngreso]]+TablaDatos[[#This Row],[DiasNuevo]]</f>
        <v>45504</v>
      </c>
    </row>
    <row r="1528" spans="1:15">
      <c r="A1528">
        <v>1527</v>
      </c>
      <c r="B1528" t="s">
        <v>300</v>
      </c>
      <c r="C1528" s="1">
        <v>32143</v>
      </c>
      <c r="D1528">
        <v>38</v>
      </c>
      <c r="E1528" s="4" t="s">
        <v>15</v>
      </c>
      <c r="F1528" t="s">
        <v>13</v>
      </c>
      <c r="G1528" s="1">
        <v>45357</v>
      </c>
      <c r="H1528" s="1">
        <f>TablaDatos[[#This Row],[FechaIngreso]]+TablaDatos[[#This Row],[DiasNuevo]]</f>
        <v>45384</v>
      </c>
      <c r="I1528">
        <v>27</v>
      </c>
      <c r="J1528" t="s">
        <v>23</v>
      </c>
      <c r="K1528" s="3">
        <v>6760.74</v>
      </c>
      <c r="L1528" t="b">
        <f>TablaDatos[[#This Row],[FechaAlta]] &lt; TablaDatos[[#This Row],[FechaIngreso]]</f>
        <v>0</v>
      </c>
      <c r="M1528">
        <f>_xlfn.XLOOKUP(TablaDatos[[#This Row],[PacienteID]],'Datos_Ejemplo.csv'!A:A,'Datos_Ejemplo.csv'!I:I)</f>
        <v>27</v>
      </c>
      <c r="N1528">
        <f>ABS(TablaDatos[[#This Row],[DiasOriginal]])</f>
        <v>27</v>
      </c>
      <c r="O1528" s="1">
        <f>TablaDatos[[#This Row],[FechaIngreso]]+TablaDatos[[#This Row],[DiasNuevo]]</f>
        <v>45384</v>
      </c>
    </row>
    <row r="1529" spans="1:15">
      <c r="A1529">
        <v>1528</v>
      </c>
      <c r="B1529" t="s">
        <v>161</v>
      </c>
      <c r="C1529" s="1">
        <v>40909</v>
      </c>
      <c r="D1529">
        <v>14</v>
      </c>
      <c r="E1529" s="4" t="s">
        <v>197</v>
      </c>
      <c r="F1529" t="s">
        <v>21</v>
      </c>
      <c r="G1529" s="1">
        <v>45641</v>
      </c>
      <c r="H1529" s="1">
        <f>TablaDatos[[#This Row],[FechaIngreso]]+TablaDatos[[#This Row],[DiasNuevo]]</f>
        <v>45651</v>
      </c>
      <c r="I1529">
        <v>10</v>
      </c>
      <c r="J1529" t="s">
        <v>25</v>
      </c>
      <c r="K1529" s="3">
        <v>13872.67</v>
      </c>
      <c r="L1529" t="b">
        <f>TablaDatos[[#This Row],[FechaAlta]] &lt; TablaDatos[[#This Row],[FechaIngreso]]</f>
        <v>0</v>
      </c>
      <c r="M1529">
        <f>_xlfn.XLOOKUP(TablaDatos[[#This Row],[PacienteID]],'Datos_Ejemplo.csv'!A:A,'Datos_Ejemplo.csv'!I:I)</f>
        <v>10</v>
      </c>
      <c r="N1529">
        <f>ABS(TablaDatos[[#This Row],[DiasOriginal]])</f>
        <v>10</v>
      </c>
      <c r="O1529" s="1">
        <f>TablaDatos[[#This Row],[FechaIngreso]]+TablaDatos[[#This Row],[DiasNuevo]]</f>
        <v>45651</v>
      </c>
    </row>
    <row r="1530" spans="1:15">
      <c r="A1530">
        <v>1529</v>
      </c>
      <c r="B1530" t="s">
        <v>309</v>
      </c>
      <c r="C1530" s="1">
        <v>44927</v>
      </c>
      <c r="D1530">
        <v>3</v>
      </c>
      <c r="E1530" s="4" t="s">
        <v>15</v>
      </c>
      <c r="F1530" t="s">
        <v>13</v>
      </c>
      <c r="G1530" s="1">
        <v>45006</v>
      </c>
      <c r="H1530" s="1">
        <f>TablaDatos[[#This Row],[FechaIngreso]]+TablaDatos[[#This Row],[DiasNuevo]]</f>
        <v>45028</v>
      </c>
      <c r="I1530">
        <v>22</v>
      </c>
      <c r="J1530" t="s">
        <v>23</v>
      </c>
      <c r="K1530" s="3">
        <v>16188.29</v>
      </c>
      <c r="L1530" t="b">
        <f>TablaDatos[[#This Row],[FechaAlta]] &lt; TablaDatos[[#This Row],[FechaIngreso]]</f>
        <v>0</v>
      </c>
      <c r="M1530">
        <f>_xlfn.XLOOKUP(TablaDatos[[#This Row],[PacienteID]],'Datos_Ejemplo.csv'!A:A,'Datos_Ejemplo.csv'!I:I)</f>
        <v>22</v>
      </c>
      <c r="N1530">
        <f>ABS(TablaDatos[[#This Row],[DiasOriginal]])</f>
        <v>22</v>
      </c>
      <c r="O1530" s="1">
        <f>TablaDatos[[#This Row],[FechaIngreso]]+TablaDatos[[#This Row],[DiasNuevo]]</f>
        <v>45028</v>
      </c>
    </row>
    <row r="1531" spans="1:15">
      <c r="A1531">
        <v>1530</v>
      </c>
      <c r="B1531" t="s">
        <v>66</v>
      </c>
      <c r="C1531" s="1">
        <v>12419</v>
      </c>
      <c r="D1531">
        <v>92</v>
      </c>
      <c r="E1531" s="4" t="s">
        <v>12</v>
      </c>
      <c r="F1531" t="s">
        <v>13</v>
      </c>
      <c r="G1531" s="1">
        <v>45154</v>
      </c>
      <c r="H1531" s="1">
        <f>TablaDatos[[#This Row],[FechaIngreso]]+TablaDatos[[#This Row],[DiasNuevo]]</f>
        <v>45176</v>
      </c>
      <c r="I1531">
        <v>22</v>
      </c>
      <c r="J1531" t="s">
        <v>23</v>
      </c>
      <c r="K1531" s="3">
        <v>5510.01</v>
      </c>
      <c r="L1531" t="b">
        <f>TablaDatos[[#This Row],[FechaAlta]] &lt; TablaDatos[[#This Row],[FechaIngreso]]</f>
        <v>0</v>
      </c>
      <c r="M1531">
        <f>_xlfn.XLOOKUP(TablaDatos[[#This Row],[PacienteID]],'Datos_Ejemplo.csv'!A:A,'Datos_Ejemplo.csv'!I:I)</f>
        <v>22</v>
      </c>
      <c r="N1531">
        <f>ABS(TablaDatos[[#This Row],[DiasOriginal]])</f>
        <v>22</v>
      </c>
      <c r="O1531" s="1">
        <f>TablaDatos[[#This Row],[FechaIngreso]]+TablaDatos[[#This Row],[DiasNuevo]]</f>
        <v>45176</v>
      </c>
    </row>
    <row r="1532" spans="1:15">
      <c r="A1532">
        <v>1531</v>
      </c>
      <c r="B1532" t="s">
        <v>353</v>
      </c>
      <c r="C1532" s="1">
        <v>14976</v>
      </c>
      <c r="D1532">
        <v>85</v>
      </c>
      <c r="E1532" s="4" t="s">
        <v>15</v>
      </c>
      <c r="F1532" t="s">
        <v>295</v>
      </c>
      <c r="G1532" s="1">
        <v>45021</v>
      </c>
      <c r="H1532" s="1">
        <f>TablaDatos[[#This Row],[FechaIngreso]]+TablaDatos[[#This Row],[DiasNuevo]]</f>
        <v>45035</v>
      </c>
      <c r="I1532">
        <v>14</v>
      </c>
      <c r="J1532" t="s">
        <v>23</v>
      </c>
      <c r="K1532" s="3">
        <v>14949.65</v>
      </c>
      <c r="L1532" t="b">
        <f>TablaDatos[[#This Row],[FechaAlta]] &lt; TablaDatos[[#This Row],[FechaIngreso]]</f>
        <v>0</v>
      </c>
      <c r="M1532">
        <f>_xlfn.XLOOKUP(TablaDatos[[#This Row],[PacienteID]],'Datos_Ejemplo.csv'!A:A,'Datos_Ejemplo.csv'!I:I)</f>
        <v>14</v>
      </c>
      <c r="N1532">
        <f>ABS(TablaDatos[[#This Row],[DiasOriginal]])</f>
        <v>14</v>
      </c>
      <c r="O1532" s="1">
        <f>TablaDatos[[#This Row],[FechaIngreso]]+TablaDatos[[#This Row],[DiasNuevo]]</f>
        <v>45035</v>
      </c>
    </row>
    <row r="1533" spans="1:15">
      <c r="A1533">
        <v>1532</v>
      </c>
      <c r="B1533" t="s">
        <v>343</v>
      </c>
      <c r="C1533" s="1">
        <v>37256</v>
      </c>
      <c r="D1533">
        <v>24</v>
      </c>
      <c r="E1533" s="4" t="s">
        <v>15</v>
      </c>
      <c r="F1533" t="s">
        <v>21</v>
      </c>
      <c r="G1533" s="1">
        <v>45350</v>
      </c>
      <c r="H1533" s="1">
        <f>TablaDatos[[#This Row],[FechaIngreso]]+TablaDatos[[#This Row],[DiasNuevo]]</f>
        <v>45359</v>
      </c>
      <c r="I1533">
        <v>9</v>
      </c>
      <c r="J1533" t="s">
        <v>23</v>
      </c>
      <c r="K1533" s="3">
        <v>16631.66</v>
      </c>
      <c r="L1533" t="b">
        <f>TablaDatos[[#This Row],[FechaAlta]] &lt; TablaDatos[[#This Row],[FechaIngreso]]</f>
        <v>0</v>
      </c>
      <c r="M1533">
        <f>_xlfn.XLOOKUP(TablaDatos[[#This Row],[PacienteID]],'Datos_Ejemplo.csv'!A:A,'Datos_Ejemplo.csv'!I:I)</f>
        <v>9</v>
      </c>
      <c r="N1533">
        <f>ABS(TablaDatos[[#This Row],[DiasOriginal]])</f>
        <v>9</v>
      </c>
      <c r="O1533" s="1">
        <f>TablaDatos[[#This Row],[FechaIngreso]]+TablaDatos[[#This Row],[DiasNuevo]]</f>
        <v>45359</v>
      </c>
    </row>
    <row r="1534" spans="1:15">
      <c r="A1534">
        <v>1533</v>
      </c>
      <c r="B1534" t="s">
        <v>341</v>
      </c>
      <c r="C1534" s="1">
        <v>41639</v>
      </c>
      <c r="D1534">
        <v>12</v>
      </c>
      <c r="E1534" s="4" t="s">
        <v>12</v>
      </c>
      <c r="F1534" t="s">
        <v>32</v>
      </c>
      <c r="G1534" s="1">
        <v>45442</v>
      </c>
      <c r="H1534" s="1">
        <f>TablaDatos[[#This Row],[FechaIngreso]]+TablaDatos[[#This Row],[DiasNuevo]]</f>
        <v>45450</v>
      </c>
      <c r="I1534">
        <v>8</v>
      </c>
      <c r="J1534" t="s">
        <v>25</v>
      </c>
      <c r="K1534" s="3">
        <v>4750.4799999999996</v>
      </c>
      <c r="L1534" t="b">
        <f>TablaDatos[[#This Row],[FechaAlta]] &lt; TablaDatos[[#This Row],[FechaIngreso]]</f>
        <v>0</v>
      </c>
      <c r="M1534">
        <f>_xlfn.XLOOKUP(TablaDatos[[#This Row],[PacienteID]],'Datos_Ejemplo.csv'!A:A,'Datos_Ejemplo.csv'!I:I)</f>
        <v>8</v>
      </c>
      <c r="N1534">
        <f>ABS(TablaDatos[[#This Row],[DiasOriginal]])</f>
        <v>8</v>
      </c>
      <c r="O1534" s="1">
        <f>TablaDatos[[#This Row],[FechaIngreso]]+TablaDatos[[#This Row],[DiasNuevo]]</f>
        <v>45450</v>
      </c>
    </row>
    <row r="1535" spans="1:15">
      <c r="A1535">
        <v>1534</v>
      </c>
      <c r="B1535" t="s">
        <v>281</v>
      </c>
      <c r="C1535" s="1">
        <v>16437</v>
      </c>
      <c r="D1535">
        <v>81</v>
      </c>
      <c r="E1535" s="4" t="s">
        <v>15</v>
      </c>
      <c r="F1535" t="s">
        <v>201</v>
      </c>
      <c r="G1535" s="1">
        <v>45091</v>
      </c>
      <c r="H1535" s="1">
        <f>TablaDatos[[#This Row],[FechaIngreso]]+TablaDatos[[#This Row],[DiasNuevo]]</f>
        <v>45098</v>
      </c>
      <c r="I1535">
        <v>7</v>
      </c>
      <c r="J1535" t="s">
        <v>19</v>
      </c>
      <c r="K1535" s="3">
        <v>19849.14</v>
      </c>
      <c r="L1535" t="b">
        <f>TablaDatos[[#This Row],[FechaAlta]] &lt; TablaDatos[[#This Row],[FechaIngreso]]</f>
        <v>0</v>
      </c>
      <c r="M1535">
        <f>_xlfn.XLOOKUP(TablaDatos[[#This Row],[PacienteID]],'Datos_Ejemplo.csv'!A:A,'Datos_Ejemplo.csv'!I:I)</f>
        <v>7</v>
      </c>
      <c r="N1535">
        <f>ABS(TablaDatos[[#This Row],[DiasOriginal]])</f>
        <v>7</v>
      </c>
      <c r="O1535" s="1">
        <f>TablaDatos[[#This Row],[FechaIngreso]]+TablaDatos[[#This Row],[DiasNuevo]]</f>
        <v>45098</v>
      </c>
    </row>
    <row r="1536" spans="1:15">
      <c r="A1536">
        <v>1535</v>
      </c>
      <c r="B1536" t="s">
        <v>281</v>
      </c>
      <c r="C1536" s="1">
        <v>34334</v>
      </c>
      <c r="D1536">
        <v>32</v>
      </c>
      <c r="E1536" s="4" t="s">
        <v>12</v>
      </c>
      <c r="F1536" t="s">
        <v>21</v>
      </c>
      <c r="G1536" s="1">
        <v>45352</v>
      </c>
      <c r="H1536" s="1">
        <f>TablaDatos[[#This Row],[FechaIngreso]]+TablaDatos[[#This Row],[DiasNuevo]]</f>
        <v>45366</v>
      </c>
      <c r="I1536">
        <v>14</v>
      </c>
      <c r="J1536" t="s">
        <v>19</v>
      </c>
      <c r="K1536" s="3">
        <v>315.83999999999997</v>
      </c>
      <c r="L1536" t="b">
        <f>TablaDatos[[#This Row],[FechaAlta]] &lt; TablaDatos[[#This Row],[FechaIngreso]]</f>
        <v>0</v>
      </c>
      <c r="M1536">
        <f>_xlfn.XLOOKUP(TablaDatos[[#This Row],[PacienteID]],'Datos_Ejemplo.csv'!A:A,'Datos_Ejemplo.csv'!I:I)</f>
        <v>14</v>
      </c>
      <c r="N1536">
        <f>ABS(TablaDatos[[#This Row],[DiasOriginal]])</f>
        <v>14</v>
      </c>
      <c r="O1536" s="1">
        <f>TablaDatos[[#This Row],[FechaIngreso]]+TablaDatos[[#This Row],[DiasNuevo]]</f>
        <v>45366</v>
      </c>
    </row>
    <row r="1537" spans="1:15">
      <c r="A1537">
        <v>1536</v>
      </c>
      <c r="B1537" t="s">
        <v>51</v>
      </c>
      <c r="C1537" s="1">
        <v>40544</v>
      </c>
      <c r="D1537">
        <v>15</v>
      </c>
      <c r="E1537" s="4" t="s">
        <v>15</v>
      </c>
      <c r="F1537" t="s">
        <v>21</v>
      </c>
      <c r="G1537" s="1">
        <v>44968</v>
      </c>
      <c r="H1537" s="1">
        <f>TablaDatos[[#This Row],[FechaIngreso]]+TablaDatos[[#This Row],[DiasNuevo]]</f>
        <v>44981</v>
      </c>
      <c r="I1537">
        <v>13</v>
      </c>
      <c r="J1537" t="s">
        <v>19</v>
      </c>
      <c r="K1537" s="3">
        <v>4261.71</v>
      </c>
      <c r="L1537" t="b">
        <f>TablaDatos[[#This Row],[FechaAlta]] &lt; TablaDatos[[#This Row],[FechaIngreso]]</f>
        <v>0</v>
      </c>
      <c r="M1537">
        <f>_xlfn.XLOOKUP(TablaDatos[[#This Row],[PacienteID]],'Datos_Ejemplo.csv'!A:A,'Datos_Ejemplo.csv'!I:I)</f>
        <v>13</v>
      </c>
      <c r="N1537">
        <f>ABS(TablaDatos[[#This Row],[DiasOriginal]])</f>
        <v>13</v>
      </c>
      <c r="O1537" s="1">
        <f>TablaDatos[[#This Row],[FechaIngreso]]+TablaDatos[[#This Row],[DiasNuevo]]</f>
        <v>44981</v>
      </c>
    </row>
    <row r="1538" spans="1:15">
      <c r="A1538">
        <v>1537</v>
      </c>
      <c r="B1538" t="s">
        <v>311</v>
      </c>
      <c r="C1538" s="1">
        <v>31047</v>
      </c>
      <c r="D1538">
        <v>41</v>
      </c>
      <c r="E1538" s="4" t="s">
        <v>15</v>
      </c>
      <c r="F1538" t="s">
        <v>21</v>
      </c>
      <c r="G1538" s="1">
        <v>45329</v>
      </c>
      <c r="H1538" s="1">
        <f>TablaDatos[[#This Row],[FechaIngreso]]+TablaDatos[[#This Row],[DiasNuevo]]</f>
        <v>45346</v>
      </c>
      <c r="I1538">
        <v>17</v>
      </c>
      <c r="J1538" t="s">
        <v>23</v>
      </c>
      <c r="K1538" s="3">
        <v>15578.42</v>
      </c>
      <c r="L1538" t="b">
        <f>TablaDatos[[#This Row],[FechaAlta]] &lt; TablaDatos[[#This Row],[FechaIngreso]]</f>
        <v>0</v>
      </c>
      <c r="M1538">
        <f>_xlfn.XLOOKUP(TablaDatos[[#This Row],[PacienteID]],'Datos_Ejemplo.csv'!A:A,'Datos_Ejemplo.csv'!I:I)</f>
        <v>17</v>
      </c>
      <c r="N1538">
        <f>ABS(TablaDatos[[#This Row],[DiasOriginal]])</f>
        <v>17</v>
      </c>
      <c r="O1538" s="1">
        <f>TablaDatos[[#This Row],[FechaIngreso]]+TablaDatos[[#This Row],[DiasNuevo]]</f>
        <v>45346</v>
      </c>
    </row>
    <row r="1539" spans="1:15">
      <c r="A1539">
        <v>1538</v>
      </c>
      <c r="B1539" t="s">
        <v>234</v>
      </c>
      <c r="C1539" s="1">
        <v>22281</v>
      </c>
      <c r="D1539">
        <v>65</v>
      </c>
      <c r="E1539" s="4" t="s">
        <v>15</v>
      </c>
      <c r="F1539" t="s">
        <v>261</v>
      </c>
      <c r="G1539" s="1">
        <v>45650</v>
      </c>
      <c r="H1539" s="1">
        <f>TablaDatos[[#This Row],[FechaIngreso]]+TablaDatos[[#This Row],[DiasNuevo]]</f>
        <v>45652</v>
      </c>
      <c r="I1539">
        <v>2</v>
      </c>
      <c r="J1539" t="s">
        <v>23</v>
      </c>
      <c r="K1539" s="3">
        <v>3802.03</v>
      </c>
      <c r="L1539" t="b">
        <f>TablaDatos[[#This Row],[FechaAlta]] &lt; TablaDatos[[#This Row],[FechaIngreso]]</f>
        <v>0</v>
      </c>
      <c r="M1539">
        <f>_xlfn.XLOOKUP(TablaDatos[[#This Row],[PacienteID]],'Datos_Ejemplo.csv'!A:A,'Datos_Ejemplo.csv'!I:I)</f>
        <v>2</v>
      </c>
      <c r="N1539">
        <f>ABS(TablaDatos[[#This Row],[DiasOriginal]])</f>
        <v>2</v>
      </c>
      <c r="O1539" s="1">
        <f>TablaDatos[[#This Row],[FechaIngreso]]+TablaDatos[[#This Row],[DiasNuevo]]</f>
        <v>45652</v>
      </c>
    </row>
    <row r="1540" spans="1:15">
      <c r="A1540">
        <v>1539</v>
      </c>
      <c r="B1540" t="s">
        <v>285</v>
      </c>
      <c r="C1540" s="1">
        <v>26299</v>
      </c>
      <c r="D1540">
        <v>54</v>
      </c>
      <c r="E1540" s="4" t="s">
        <v>15</v>
      </c>
      <c r="F1540" t="s">
        <v>32</v>
      </c>
      <c r="G1540" s="1">
        <v>45342</v>
      </c>
      <c r="H1540" s="1">
        <f>TablaDatos[[#This Row],[FechaIngreso]]+TablaDatos[[#This Row],[DiasNuevo]]</f>
        <v>45380</v>
      </c>
      <c r="I1540">
        <v>38</v>
      </c>
      <c r="J1540" t="s">
        <v>25</v>
      </c>
      <c r="K1540" s="3">
        <v>13935.02</v>
      </c>
      <c r="L1540" t="b">
        <f>TablaDatos[[#This Row],[FechaAlta]] &lt; TablaDatos[[#This Row],[FechaIngreso]]</f>
        <v>0</v>
      </c>
      <c r="M1540">
        <f>_xlfn.XLOOKUP(TablaDatos[[#This Row],[PacienteID]],'Datos_Ejemplo.csv'!A:A,'Datos_Ejemplo.csv'!I:I)</f>
        <v>38</v>
      </c>
      <c r="N1540">
        <f>ABS(TablaDatos[[#This Row],[DiasOriginal]])</f>
        <v>38</v>
      </c>
      <c r="O1540" s="1">
        <f>TablaDatos[[#This Row],[FechaIngreso]]+TablaDatos[[#This Row],[DiasNuevo]]</f>
        <v>45380</v>
      </c>
    </row>
    <row r="1541" spans="1:15">
      <c r="A1541">
        <v>1540</v>
      </c>
      <c r="B1541" t="s">
        <v>268</v>
      </c>
      <c r="C1541" s="1">
        <f ca="1">DATE(YEAR(TODAY())-TablaDatos[[#This Row],[Edad]],1,1)</f>
        <v>31048</v>
      </c>
      <c r="D1541">
        <v>41</v>
      </c>
      <c r="E1541" s="4" t="s">
        <v>15</v>
      </c>
      <c r="F1541" t="s">
        <v>32</v>
      </c>
      <c r="G1541" s="1">
        <v>45226</v>
      </c>
      <c r="H1541" s="1">
        <f>TablaDatos[[#This Row],[FechaIngreso]]+TablaDatos[[#This Row],[DiasNuevo]]</f>
        <v>45255</v>
      </c>
      <c r="I1541">
        <v>29</v>
      </c>
      <c r="J1541" t="s">
        <v>19</v>
      </c>
      <c r="K1541" s="3">
        <v>17096.16</v>
      </c>
      <c r="L1541" t="b">
        <f>TablaDatos[[#This Row],[FechaAlta]] &lt; TablaDatos[[#This Row],[FechaIngreso]]</f>
        <v>0</v>
      </c>
      <c r="M1541">
        <f>_xlfn.XLOOKUP(TablaDatos[[#This Row],[PacienteID]],'Datos_Ejemplo.csv'!A:A,'Datos_Ejemplo.csv'!I:I)</f>
        <v>29</v>
      </c>
      <c r="N1541">
        <f>ABS(TablaDatos[[#This Row],[DiasOriginal]])</f>
        <v>29</v>
      </c>
      <c r="O1541" s="1">
        <f>TablaDatos[[#This Row],[FechaIngreso]]+TablaDatos[[#This Row],[DiasNuevo]]</f>
        <v>45255</v>
      </c>
    </row>
    <row r="1542" spans="1:15">
      <c r="A1542">
        <v>1541</v>
      </c>
      <c r="B1542" t="s">
        <v>246</v>
      </c>
      <c r="C1542" s="1">
        <v>33969</v>
      </c>
      <c r="D1542">
        <v>33</v>
      </c>
      <c r="E1542" s="4" t="s">
        <v>12</v>
      </c>
      <c r="F1542" t="s">
        <v>13</v>
      </c>
      <c r="G1542" s="1">
        <v>44981</v>
      </c>
      <c r="H1542" s="1">
        <f>TablaDatos[[#This Row],[FechaIngreso]]+TablaDatos[[#This Row],[DiasNuevo]]</f>
        <v>45005</v>
      </c>
      <c r="I1542">
        <v>24</v>
      </c>
      <c r="J1542" t="s">
        <v>19</v>
      </c>
      <c r="K1542" s="3">
        <v>19180.21</v>
      </c>
      <c r="L1542" t="b">
        <f>TablaDatos[[#This Row],[FechaAlta]] &lt; TablaDatos[[#This Row],[FechaIngreso]]</f>
        <v>0</v>
      </c>
      <c r="M1542">
        <f>_xlfn.XLOOKUP(TablaDatos[[#This Row],[PacienteID]],'Datos_Ejemplo.csv'!A:A,'Datos_Ejemplo.csv'!I:I)</f>
        <v>24</v>
      </c>
      <c r="N1542">
        <f>ABS(TablaDatos[[#This Row],[DiasOriginal]])</f>
        <v>24</v>
      </c>
      <c r="O1542" s="1">
        <f>TablaDatos[[#This Row],[FechaIngreso]]+TablaDatos[[#This Row],[DiasNuevo]]</f>
        <v>45005</v>
      </c>
    </row>
    <row r="1543" spans="1:15">
      <c r="A1543">
        <v>1542</v>
      </c>
      <c r="B1543" t="s">
        <v>249</v>
      </c>
      <c r="C1543" s="1">
        <v>35430</v>
      </c>
      <c r="D1543">
        <v>29</v>
      </c>
      <c r="E1543" s="4" t="s">
        <v>12</v>
      </c>
      <c r="F1543" t="s">
        <v>32</v>
      </c>
      <c r="G1543" s="1">
        <v>45262</v>
      </c>
      <c r="H1543" s="1">
        <f>TablaDatos[[#This Row],[FechaIngreso]]+TablaDatos[[#This Row],[DiasNuevo]]</f>
        <v>45263</v>
      </c>
      <c r="I1543">
        <v>1</v>
      </c>
      <c r="J1543" t="s">
        <v>23</v>
      </c>
      <c r="K1543" s="3">
        <v>9432.3799999999992</v>
      </c>
      <c r="L1543" t="b">
        <f>TablaDatos[[#This Row],[FechaAlta]] &lt; TablaDatos[[#This Row],[FechaIngreso]]</f>
        <v>0</v>
      </c>
      <c r="M1543">
        <f>_xlfn.XLOOKUP(TablaDatos[[#This Row],[PacienteID]],'Datos_Ejemplo.csv'!A:A,'Datos_Ejemplo.csv'!I:I)</f>
        <v>1</v>
      </c>
      <c r="N1543">
        <f>ABS(TablaDatos[[#This Row],[DiasOriginal]])</f>
        <v>1</v>
      </c>
      <c r="O1543" s="1">
        <f>TablaDatos[[#This Row],[FechaIngreso]]+TablaDatos[[#This Row],[DiasNuevo]]</f>
        <v>45263</v>
      </c>
    </row>
    <row r="1544" spans="1:15">
      <c r="A1544">
        <v>1543</v>
      </c>
      <c r="B1544" t="s">
        <v>264</v>
      </c>
      <c r="C1544" s="1">
        <v>41639</v>
      </c>
      <c r="D1544">
        <f ca="1">DATEDIF(TablaDatos[[#This Row],[FechaNacimiento]],TODAY(),"Y")</f>
        <v>12</v>
      </c>
      <c r="E1544" s="4" t="s">
        <v>15</v>
      </c>
      <c r="F1544" t="s">
        <v>13</v>
      </c>
      <c r="G1544" s="1">
        <v>45356</v>
      </c>
      <c r="H1544" s="1">
        <f>TablaDatos[[#This Row],[FechaIngreso]]+TablaDatos[[#This Row],[DiasNuevo]]</f>
        <v>45394</v>
      </c>
      <c r="I1544">
        <v>38</v>
      </c>
      <c r="J1544" t="s">
        <v>23</v>
      </c>
      <c r="K1544" s="3">
        <v>19419.29</v>
      </c>
      <c r="L1544" t="b">
        <f>TablaDatos[[#This Row],[FechaAlta]] &lt; TablaDatos[[#This Row],[FechaIngreso]]</f>
        <v>0</v>
      </c>
      <c r="M1544">
        <f>_xlfn.XLOOKUP(TablaDatos[[#This Row],[PacienteID]],'Datos_Ejemplo.csv'!A:A,'Datos_Ejemplo.csv'!I:I)</f>
        <v>38</v>
      </c>
      <c r="N1544">
        <f>ABS(TablaDatos[[#This Row],[DiasOriginal]])</f>
        <v>38</v>
      </c>
      <c r="O1544" s="1">
        <f>TablaDatos[[#This Row],[FechaIngreso]]+TablaDatos[[#This Row],[DiasNuevo]]</f>
        <v>45394</v>
      </c>
    </row>
    <row r="1545" spans="1:15">
      <c r="A1545">
        <v>1544</v>
      </c>
      <c r="B1545" t="s">
        <v>257</v>
      </c>
      <c r="C1545" s="1">
        <v>41639</v>
      </c>
      <c r="D1545">
        <v>12</v>
      </c>
      <c r="E1545" s="4" t="s">
        <v>15</v>
      </c>
      <c r="F1545" t="s">
        <v>201</v>
      </c>
      <c r="G1545" s="1">
        <v>45611</v>
      </c>
      <c r="H1545" s="1">
        <f>TablaDatos[[#This Row],[FechaIngreso]]+TablaDatos[[#This Row],[DiasNuevo]]</f>
        <v>45615</v>
      </c>
      <c r="I1545">
        <v>4</v>
      </c>
      <c r="J1545" t="s">
        <v>19</v>
      </c>
      <c r="K1545" s="3">
        <v>8173.61</v>
      </c>
      <c r="L1545" t="b">
        <f>TablaDatos[[#This Row],[FechaAlta]] &lt; TablaDatos[[#This Row],[FechaIngreso]]</f>
        <v>0</v>
      </c>
      <c r="M1545">
        <f>_xlfn.XLOOKUP(TablaDatos[[#This Row],[PacienteID]],'Datos_Ejemplo.csv'!A:A,'Datos_Ejemplo.csv'!I:I)</f>
        <v>4</v>
      </c>
      <c r="N1545">
        <f>ABS(TablaDatos[[#This Row],[DiasOriginal]])</f>
        <v>4</v>
      </c>
      <c r="O1545" s="1">
        <f>TablaDatos[[#This Row],[FechaIngreso]]+TablaDatos[[#This Row],[DiasNuevo]]</f>
        <v>45615</v>
      </c>
    </row>
    <row r="1546" spans="1:15">
      <c r="A1546">
        <v>1545</v>
      </c>
      <c r="B1546" t="s">
        <v>247</v>
      </c>
      <c r="C1546" s="1">
        <v>39813</v>
      </c>
      <c r="D1546">
        <v>17</v>
      </c>
      <c r="E1546" s="4" t="s">
        <v>12</v>
      </c>
      <c r="F1546" t="s">
        <v>295</v>
      </c>
      <c r="G1546" s="1">
        <v>45260</v>
      </c>
      <c r="H1546" s="1">
        <f>TablaDatos[[#This Row],[FechaIngreso]]+TablaDatos[[#This Row],[DiasNuevo]]</f>
        <v>45271</v>
      </c>
      <c r="I1546">
        <v>11</v>
      </c>
      <c r="J1546" t="s">
        <v>23</v>
      </c>
      <c r="K1546" s="3">
        <v>4284.37</v>
      </c>
      <c r="L1546" t="b">
        <f>TablaDatos[[#This Row],[FechaAlta]] &lt; TablaDatos[[#This Row],[FechaIngreso]]</f>
        <v>0</v>
      </c>
      <c r="M1546">
        <f>_xlfn.XLOOKUP(TablaDatos[[#This Row],[PacienteID]],'Datos_Ejemplo.csv'!A:A,'Datos_Ejemplo.csv'!I:I)</f>
        <v>11</v>
      </c>
      <c r="N1546">
        <f>ABS(TablaDatos[[#This Row],[DiasOriginal]])</f>
        <v>11</v>
      </c>
      <c r="O1546" s="1">
        <f>TablaDatos[[#This Row],[FechaIngreso]]+TablaDatos[[#This Row],[DiasNuevo]]</f>
        <v>45271</v>
      </c>
    </row>
    <row r="1547" spans="1:15">
      <c r="A1547">
        <v>1546</v>
      </c>
      <c r="B1547" t="s">
        <v>364</v>
      </c>
      <c r="C1547" s="1">
        <v>34700</v>
      </c>
      <c r="D1547">
        <v>31</v>
      </c>
      <c r="E1547" s="4" t="s">
        <v>12</v>
      </c>
      <c r="F1547" t="s">
        <v>13</v>
      </c>
      <c r="G1547" s="1">
        <v>45332</v>
      </c>
      <c r="H1547" s="1">
        <f>TablaDatos[[#This Row],[FechaIngreso]]+TablaDatos[[#This Row],[DiasNuevo]]</f>
        <v>45368</v>
      </c>
      <c r="I1547">
        <v>36</v>
      </c>
      <c r="J1547" t="s">
        <v>23</v>
      </c>
      <c r="K1547" s="3">
        <v>10229.83</v>
      </c>
      <c r="L1547" t="b">
        <f>TablaDatos[[#This Row],[FechaAlta]] &lt; TablaDatos[[#This Row],[FechaIngreso]]</f>
        <v>0</v>
      </c>
      <c r="M1547">
        <f>_xlfn.XLOOKUP(TablaDatos[[#This Row],[PacienteID]],'Datos_Ejemplo.csv'!A:A,'Datos_Ejemplo.csv'!I:I)</f>
        <v>36</v>
      </c>
      <c r="N1547">
        <f>ABS(TablaDatos[[#This Row],[DiasOriginal]])</f>
        <v>36</v>
      </c>
      <c r="O1547" s="1">
        <f>TablaDatos[[#This Row],[FechaIngreso]]+TablaDatos[[#This Row],[DiasNuevo]]</f>
        <v>45368</v>
      </c>
    </row>
    <row r="1548" spans="1:15">
      <c r="A1548">
        <v>1547</v>
      </c>
      <c r="B1548" t="s">
        <v>283</v>
      </c>
      <c r="C1548" s="1">
        <v>32143</v>
      </c>
      <c r="D1548">
        <v>38</v>
      </c>
      <c r="E1548" s="4" t="s">
        <v>12</v>
      </c>
      <c r="F1548" t="s">
        <v>21</v>
      </c>
      <c r="G1548" s="1">
        <v>44956</v>
      </c>
      <c r="H1548" s="1">
        <f>TablaDatos[[#This Row],[FechaIngreso]]+TablaDatos[[#This Row],[DiasNuevo]]</f>
        <v>44977</v>
      </c>
      <c r="I1548">
        <v>21</v>
      </c>
      <c r="J1548" t="s">
        <v>23</v>
      </c>
      <c r="K1548" s="3">
        <v>12961.45</v>
      </c>
      <c r="L1548" t="b">
        <f>TablaDatos[[#This Row],[FechaAlta]] &lt; TablaDatos[[#This Row],[FechaIngreso]]</f>
        <v>0</v>
      </c>
      <c r="M1548">
        <f>_xlfn.XLOOKUP(TablaDatos[[#This Row],[PacienteID]],'Datos_Ejemplo.csv'!A:A,'Datos_Ejemplo.csv'!I:I)</f>
        <v>21</v>
      </c>
      <c r="N1548">
        <f>ABS(TablaDatos[[#This Row],[DiasOriginal]])</f>
        <v>21</v>
      </c>
      <c r="O1548" s="1">
        <f>TablaDatos[[#This Row],[FechaIngreso]]+TablaDatos[[#This Row],[DiasNuevo]]</f>
        <v>44977</v>
      </c>
    </row>
    <row r="1549" spans="1:15">
      <c r="A1549">
        <v>1548</v>
      </c>
      <c r="B1549" t="s">
        <v>330</v>
      </c>
      <c r="C1549" s="1">
        <v>29586</v>
      </c>
      <c r="D1549">
        <v>45</v>
      </c>
      <c r="E1549" s="4" t="s">
        <v>12</v>
      </c>
      <c r="F1549" t="s">
        <v>18</v>
      </c>
      <c r="G1549" s="1">
        <v>45461</v>
      </c>
      <c r="H1549" s="1">
        <f>TablaDatos[[#This Row],[FechaIngreso]]+TablaDatos[[#This Row],[DiasNuevo]]</f>
        <v>45476</v>
      </c>
      <c r="I1549">
        <v>15</v>
      </c>
      <c r="J1549" t="s">
        <v>23</v>
      </c>
      <c r="K1549" s="3">
        <v>9105.06</v>
      </c>
      <c r="L1549" t="b">
        <f>TablaDatos[[#This Row],[FechaAlta]] &lt; TablaDatos[[#This Row],[FechaIngreso]]</f>
        <v>0</v>
      </c>
      <c r="M1549">
        <f>_xlfn.XLOOKUP(TablaDatos[[#This Row],[PacienteID]],'Datos_Ejemplo.csv'!A:A,'Datos_Ejemplo.csv'!I:I)</f>
        <v>15</v>
      </c>
      <c r="N1549">
        <f>ABS(TablaDatos[[#This Row],[DiasOriginal]])</f>
        <v>15</v>
      </c>
      <c r="O1549" s="1">
        <f>TablaDatos[[#This Row],[FechaIngreso]]+TablaDatos[[#This Row],[DiasNuevo]]</f>
        <v>45476</v>
      </c>
    </row>
    <row r="1550" spans="1:15">
      <c r="A1550">
        <v>1549</v>
      </c>
      <c r="B1550" t="s">
        <v>231</v>
      </c>
      <c r="C1550" s="1">
        <v>35795</v>
      </c>
      <c r="D1550">
        <v>28</v>
      </c>
      <c r="E1550" s="4" t="s">
        <v>15</v>
      </c>
      <c r="F1550" t="s">
        <v>18</v>
      </c>
      <c r="G1550" s="1">
        <v>45443</v>
      </c>
      <c r="H1550" s="1">
        <f>TablaDatos[[#This Row],[FechaIngreso]]+TablaDatos[[#This Row],[DiasNuevo]]</f>
        <v>45478</v>
      </c>
      <c r="I1550">
        <v>35</v>
      </c>
      <c r="J1550" t="s">
        <v>23</v>
      </c>
      <c r="K1550" s="3">
        <v>11296.15</v>
      </c>
      <c r="L1550" t="b">
        <f>TablaDatos[[#This Row],[FechaAlta]] &lt; TablaDatos[[#This Row],[FechaIngreso]]</f>
        <v>0</v>
      </c>
      <c r="M1550">
        <f>_xlfn.XLOOKUP(TablaDatos[[#This Row],[PacienteID]],'Datos_Ejemplo.csv'!A:A,'Datos_Ejemplo.csv'!I:I)</f>
        <v>35</v>
      </c>
      <c r="N1550">
        <f>ABS(TablaDatos[[#This Row],[DiasOriginal]])</f>
        <v>35</v>
      </c>
      <c r="O1550" s="1">
        <f>TablaDatos[[#This Row],[FechaIngreso]]+TablaDatos[[#This Row],[DiasNuevo]]</f>
        <v>45478</v>
      </c>
    </row>
    <row r="1551" spans="1:15">
      <c r="A1551">
        <v>1550</v>
      </c>
      <c r="B1551" t="s">
        <v>267</v>
      </c>
      <c r="C1551" s="1">
        <v>23742</v>
      </c>
      <c r="D1551">
        <v>61</v>
      </c>
      <c r="E1551" s="4" t="s">
        <v>15</v>
      </c>
      <c r="F1551" t="s">
        <v>261</v>
      </c>
      <c r="G1551" s="1">
        <v>45501</v>
      </c>
      <c r="H1551" s="1">
        <f>TablaDatos[[#This Row],[FechaIngreso]]+TablaDatos[[#This Row],[DiasNuevo]]</f>
        <v>45537</v>
      </c>
      <c r="I1551">
        <v>36</v>
      </c>
      <c r="J1551" t="s">
        <v>23</v>
      </c>
      <c r="K1551" s="3">
        <v>8269.82</v>
      </c>
      <c r="L1551" t="b">
        <f>TablaDatos[[#This Row],[FechaAlta]] &lt; TablaDatos[[#This Row],[FechaIngreso]]</f>
        <v>0</v>
      </c>
      <c r="M1551">
        <f>_xlfn.XLOOKUP(TablaDatos[[#This Row],[PacienteID]],'Datos_Ejemplo.csv'!A:A,'Datos_Ejemplo.csv'!I:I)</f>
        <v>36</v>
      </c>
      <c r="N1551">
        <f>ABS(TablaDatos[[#This Row],[DiasOriginal]])</f>
        <v>36</v>
      </c>
      <c r="O1551" s="1">
        <f>TablaDatos[[#This Row],[FechaIngreso]]+TablaDatos[[#This Row],[DiasNuevo]]</f>
        <v>45537</v>
      </c>
    </row>
    <row r="1552" spans="1:15">
      <c r="A1552">
        <v>1551</v>
      </c>
      <c r="B1552" t="s">
        <v>55</v>
      </c>
      <c r="C1552" s="1">
        <v>12419</v>
      </c>
      <c r="D1552">
        <v>92</v>
      </c>
      <c r="E1552" s="4" t="s">
        <v>12</v>
      </c>
      <c r="F1552" t="s">
        <v>21</v>
      </c>
      <c r="G1552" s="1">
        <v>45147</v>
      </c>
      <c r="H1552" s="1">
        <f>TablaDatos[[#This Row],[FechaIngreso]]+TablaDatos[[#This Row],[DiasNuevo]]</f>
        <v>45184</v>
      </c>
      <c r="I1552">
        <v>37</v>
      </c>
      <c r="J1552" t="s">
        <v>23</v>
      </c>
      <c r="K1552" s="3">
        <v>10447.719999999999</v>
      </c>
      <c r="L1552" t="b">
        <f>TablaDatos[[#This Row],[FechaAlta]] &lt; TablaDatos[[#This Row],[FechaIngreso]]</f>
        <v>0</v>
      </c>
      <c r="M1552">
        <f>_xlfn.XLOOKUP(TablaDatos[[#This Row],[PacienteID]],'Datos_Ejemplo.csv'!A:A,'Datos_Ejemplo.csv'!I:I)</f>
        <v>37</v>
      </c>
      <c r="N1552">
        <f>ABS(TablaDatos[[#This Row],[DiasOriginal]])</f>
        <v>37</v>
      </c>
      <c r="O1552" s="1">
        <f>TablaDatos[[#This Row],[FechaIngreso]]+TablaDatos[[#This Row],[DiasNuevo]]</f>
        <v>45184</v>
      </c>
    </row>
    <row r="1553" spans="1:15">
      <c r="A1553">
        <v>1552</v>
      </c>
      <c r="B1553" t="s">
        <v>358</v>
      </c>
      <c r="C1553" s="1">
        <v>23742</v>
      </c>
      <c r="D1553">
        <v>61</v>
      </c>
      <c r="E1553" s="4" t="s">
        <v>12</v>
      </c>
      <c r="F1553" t="s">
        <v>13</v>
      </c>
      <c r="G1553" s="1">
        <v>45520</v>
      </c>
      <c r="H1553" s="1">
        <f>TablaDatos[[#This Row],[FechaIngreso]]+TablaDatos[[#This Row],[DiasNuevo]]</f>
        <v>45522</v>
      </c>
      <c r="I1553">
        <v>2</v>
      </c>
      <c r="J1553" t="s">
        <v>23</v>
      </c>
      <c r="K1553" s="3">
        <v>19047.169999999998</v>
      </c>
      <c r="L1553" t="b">
        <f>TablaDatos[[#This Row],[FechaAlta]] &lt; TablaDatos[[#This Row],[FechaIngreso]]</f>
        <v>0</v>
      </c>
      <c r="M1553">
        <f>_xlfn.XLOOKUP(TablaDatos[[#This Row],[PacienteID]],'Datos_Ejemplo.csv'!A:A,'Datos_Ejemplo.csv'!I:I)</f>
        <v>-2</v>
      </c>
      <c r="N1553">
        <f>ABS(TablaDatos[[#This Row],[DiasOriginal]])</f>
        <v>2</v>
      </c>
      <c r="O1553" s="1">
        <f>TablaDatos[[#This Row],[FechaIngreso]]+TablaDatos[[#This Row],[DiasNuevo]]</f>
        <v>45522</v>
      </c>
    </row>
    <row r="1554" spans="1:15">
      <c r="A1554">
        <v>1553</v>
      </c>
      <c r="B1554" t="s">
        <v>328</v>
      </c>
      <c r="C1554" s="1">
        <v>25568</v>
      </c>
      <c r="D1554">
        <v>56</v>
      </c>
      <c r="E1554" s="4" t="s">
        <v>12</v>
      </c>
      <c r="F1554" t="s">
        <v>21</v>
      </c>
      <c r="G1554" s="1">
        <v>45420</v>
      </c>
      <c r="H1554" s="1">
        <f>TablaDatos[[#This Row],[FechaIngreso]]+TablaDatos[[#This Row],[DiasNuevo]]</f>
        <v>45434</v>
      </c>
      <c r="I1554">
        <v>14</v>
      </c>
      <c r="J1554" t="s">
        <v>23</v>
      </c>
      <c r="K1554" s="3">
        <v>9946.61</v>
      </c>
      <c r="L1554" t="b">
        <f>TablaDatos[[#This Row],[FechaAlta]] &lt; TablaDatos[[#This Row],[FechaIngreso]]</f>
        <v>0</v>
      </c>
      <c r="M1554">
        <f>_xlfn.XLOOKUP(TablaDatos[[#This Row],[PacienteID]],'Datos_Ejemplo.csv'!A:A,'Datos_Ejemplo.csv'!I:I)</f>
        <v>14</v>
      </c>
      <c r="N1554">
        <f>ABS(TablaDatos[[#This Row],[DiasOriginal]])</f>
        <v>14</v>
      </c>
      <c r="O1554" s="1">
        <f>TablaDatos[[#This Row],[FechaIngreso]]+TablaDatos[[#This Row],[DiasNuevo]]</f>
        <v>45434</v>
      </c>
    </row>
    <row r="1555" spans="1:15">
      <c r="A1555">
        <v>1554</v>
      </c>
      <c r="B1555" t="s">
        <v>307</v>
      </c>
      <c r="C1555" s="1">
        <v>40544</v>
      </c>
      <c r="D1555">
        <v>15</v>
      </c>
      <c r="E1555" s="4" t="s">
        <v>15</v>
      </c>
      <c r="F1555" t="s">
        <v>261</v>
      </c>
      <c r="G1555" s="1">
        <v>45179</v>
      </c>
      <c r="H1555" s="1">
        <f>TablaDatos[[#This Row],[FechaIngreso]]+TablaDatos[[#This Row],[DiasNuevo]]</f>
        <v>45202</v>
      </c>
      <c r="I1555">
        <v>23</v>
      </c>
      <c r="J1555" t="s">
        <v>25</v>
      </c>
      <c r="K1555" s="3">
        <v>4988.91</v>
      </c>
      <c r="L1555" t="b">
        <f>TablaDatos[[#This Row],[FechaAlta]] &lt; TablaDatos[[#This Row],[FechaIngreso]]</f>
        <v>0</v>
      </c>
      <c r="M1555">
        <f>_xlfn.XLOOKUP(TablaDatos[[#This Row],[PacienteID]],'Datos_Ejemplo.csv'!A:A,'Datos_Ejemplo.csv'!I:I)</f>
        <v>23</v>
      </c>
      <c r="N1555">
        <f>ABS(TablaDatos[[#This Row],[DiasOriginal]])</f>
        <v>23</v>
      </c>
      <c r="O1555" s="1">
        <f>TablaDatos[[#This Row],[FechaIngreso]]+TablaDatos[[#This Row],[DiasNuevo]]</f>
        <v>45202</v>
      </c>
    </row>
    <row r="1556" spans="1:15">
      <c r="A1556">
        <v>1555</v>
      </c>
      <c r="B1556" t="s">
        <v>274</v>
      </c>
      <c r="C1556" s="1">
        <v>25934</v>
      </c>
      <c r="D1556">
        <v>55</v>
      </c>
      <c r="E1556" s="4" t="s">
        <v>197</v>
      </c>
      <c r="F1556" t="s">
        <v>32</v>
      </c>
      <c r="G1556" s="1">
        <v>45490</v>
      </c>
      <c r="H1556" s="1">
        <f>TablaDatos[[#This Row],[FechaIngreso]]+TablaDatos[[#This Row],[DiasNuevo]]</f>
        <v>45509</v>
      </c>
      <c r="I1556">
        <v>19</v>
      </c>
      <c r="J1556" t="s">
        <v>23</v>
      </c>
      <c r="K1556" s="3">
        <v>15150.81</v>
      </c>
      <c r="L1556" t="b">
        <f>TablaDatos[[#This Row],[FechaAlta]] &lt; TablaDatos[[#This Row],[FechaIngreso]]</f>
        <v>0</v>
      </c>
      <c r="M1556">
        <f>_xlfn.XLOOKUP(TablaDatos[[#This Row],[PacienteID]],'Datos_Ejemplo.csv'!A:A,'Datos_Ejemplo.csv'!I:I)</f>
        <v>19</v>
      </c>
      <c r="N1556">
        <f>ABS(TablaDatos[[#This Row],[DiasOriginal]])</f>
        <v>19</v>
      </c>
      <c r="O1556" s="1">
        <f>TablaDatos[[#This Row],[FechaIngreso]]+TablaDatos[[#This Row],[DiasNuevo]]</f>
        <v>45509</v>
      </c>
    </row>
    <row r="1557" spans="1:15">
      <c r="A1557">
        <v>1556</v>
      </c>
      <c r="B1557" t="s">
        <v>298</v>
      </c>
      <c r="C1557" s="1">
        <v>42735</v>
      </c>
      <c r="D1557">
        <v>9</v>
      </c>
      <c r="E1557" s="4" t="s">
        <v>12</v>
      </c>
      <c r="F1557" t="s">
        <v>13</v>
      </c>
      <c r="G1557" s="1">
        <v>45247</v>
      </c>
      <c r="H1557" s="1">
        <f>TablaDatos[[#This Row],[FechaIngreso]]+TablaDatos[[#This Row],[DiasNuevo]]</f>
        <v>45283</v>
      </c>
      <c r="I1557">
        <v>36</v>
      </c>
      <c r="J1557" t="s">
        <v>23</v>
      </c>
      <c r="K1557" s="3">
        <v>6685.45</v>
      </c>
      <c r="L1557" t="b">
        <f>TablaDatos[[#This Row],[FechaAlta]] &lt; TablaDatos[[#This Row],[FechaIngreso]]</f>
        <v>0</v>
      </c>
      <c r="M1557">
        <f>_xlfn.XLOOKUP(TablaDatos[[#This Row],[PacienteID]],'Datos_Ejemplo.csv'!A:A,'Datos_Ejemplo.csv'!I:I)</f>
        <v>36</v>
      </c>
      <c r="N1557">
        <f>ABS(TablaDatos[[#This Row],[DiasOriginal]])</f>
        <v>36</v>
      </c>
      <c r="O1557" s="1">
        <f>TablaDatos[[#This Row],[FechaIngreso]]+TablaDatos[[#This Row],[DiasNuevo]]</f>
        <v>45283</v>
      </c>
    </row>
    <row r="1558" spans="1:15">
      <c r="A1558">
        <v>1557</v>
      </c>
      <c r="B1558" t="s">
        <v>357</v>
      </c>
      <c r="C1558" s="1">
        <v>35430</v>
      </c>
      <c r="D1558">
        <v>29</v>
      </c>
      <c r="E1558" s="4" t="s">
        <v>15</v>
      </c>
      <c r="F1558" t="s">
        <v>201</v>
      </c>
      <c r="G1558" s="1">
        <v>44965</v>
      </c>
      <c r="H1558" s="1">
        <f>TablaDatos[[#This Row],[FechaIngreso]]+TablaDatos[[#This Row],[DiasNuevo]]</f>
        <v>44980</v>
      </c>
      <c r="I1558">
        <v>15</v>
      </c>
      <c r="J1558" t="s">
        <v>25</v>
      </c>
      <c r="K1558" s="3">
        <v>16305.76</v>
      </c>
      <c r="L1558" t="b">
        <f>TablaDatos[[#This Row],[FechaAlta]] &lt; TablaDatos[[#This Row],[FechaIngreso]]</f>
        <v>0</v>
      </c>
      <c r="M1558">
        <f>_xlfn.XLOOKUP(TablaDatos[[#This Row],[PacienteID]],'Datos_Ejemplo.csv'!A:A,'Datos_Ejemplo.csv'!I:I)</f>
        <v>15</v>
      </c>
      <c r="N1558">
        <f>ABS(TablaDatos[[#This Row],[DiasOriginal]])</f>
        <v>15</v>
      </c>
      <c r="O1558" s="1">
        <f>TablaDatos[[#This Row],[FechaIngreso]]+TablaDatos[[#This Row],[DiasNuevo]]</f>
        <v>44980</v>
      </c>
    </row>
    <row r="1559" spans="1:15">
      <c r="A1559">
        <v>1558</v>
      </c>
      <c r="B1559" t="s">
        <v>325</v>
      </c>
      <c r="C1559" s="1">
        <v>37256</v>
      </c>
      <c r="D1559">
        <v>24</v>
      </c>
      <c r="E1559" s="4" t="s">
        <v>12</v>
      </c>
      <c r="F1559" t="s">
        <v>21</v>
      </c>
      <c r="G1559" s="1">
        <v>45391</v>
      </c>
      <c r="H1559" s="1">
        <f>TablaDatos[[#This Row],[FechaIngreso]]+TablaDatos[[#This Row],[DiasNuevo]]</f>
        <v>45426</v>
      </c>
      <c r="I1559">
        <v>35</v>
      </c>
      <c r="J1559" t="s">
        <v>23</v>
      </c>
      <c r="K1559" s="3">
        <v>1042.52</v>
      </c>
      <c r="L1559" t="b">
        <f>TablaDatos[[#This Row],[FechaAlta]] &lt; TablaDatos[[#This Row],[FechaIngreso]]</f>
        <v>0</v>
      </c>
      <c r="M1559">
        <f>_xlfn.XLOOKUP(TablaDatos[[#This Row],[PacienteID]],'Datos_Ejemplo.csv'!A:A,'Datos_Ejemplo.csv'!I:I)</f>
        <v>35</v>
      </c>
      <c r="N1559">
        <f>ABS(TablaDatos[[#This Row],[DiasOriginal]])</f>
        <v>35</v>
      </c>
      <c r="O1559" s="1">
        <f>TablaDatos[[#This Row],[FechaIngreso]]+TablaDatos[[#This Row],[DiasNuevo]]</f>
        <v>45426</v>
      </c>
    </row>
    <row r="1560" spans="1:15">
      <c r="A1560">
        <v>1559</v>
      </c>
      <c r="B1560" t="s">
        <v>232</v>
      </c>
      <c r="C1560" s="1">
        <v>15707</v>
      </c>
      <c r="D1560">
        <v>83</v>
      </c>
      <c r="E1560" s="4" t="s">
        <v>15</v>
      </c>
      <c r="F1560" t="s">
        <v>32</v>
      </c>
      <c r="G1560" s="1">
        <v>45337</v>
      </c>
      <c r="H1560" s="1">
        <f>TablaDatos[[#This Row],[FechaIngreso]]+TablaDatos[[#This Row],[DiasNuevo]]</f>
        <v>45362</v>
      </c>
      <c r="I1560">
        <v>25</v>
      </c>
      <c r="J1560" t="s">
        <v>23</v>
      </c>
      <c r="K1560" s="3">
        <v>6576.78</v>
      </c>
      <c r="L1560" t="b">
        <f>TablaDatos[[#This Row],[FechaAlta]] &lt; TablaDatos[[#This Row],[FechaIngreso]]</f>
        <v>0</v>
      </c>
      <c r="M1560">
        <f>_xlfn.XLOOKUP(TablaDatos[[#This Row],[PacienteID]],'Datos_Ejemplo.csv'!A:A,'Datos_Ejemplo.csv'!I:I)</f>
        <v>25</v>
      </c>
      <c r="N1560">
        <f>ABS(TablaDatos[[#This Row],[DiasOriginal]])</f>
        <v>25</v>
      </c>
      <c r="O1560" s="1">
        <f>TablaDatos[[#This Row],[FechaIngreso]]+TablaDatos[[#This Row],[DiasNuevo]]</f>
        <v>45362</v>
      </c>
    </row>
    <row r="1561" spans="1:15">
      <c r="A1561">
        <v>1560</v>
      </c>
      <c r="B1561" t="s">
        <v>130</v>
      </c>
      <c r="C1561" s="1">
        <v>44561</v>
      </c>
      <c r="D1561">
        <v>4</v>
      </c>
      <c r="E1561" s="4" t="s">
        <v>15</v>
      </c>
      <c r="F1561" t="s">
        <v>261</v>
      </c>
      <c r="G1561" s="1">
        <v>45338</v>
      </c>
      <c r="H1561" s="1">
        <f>TablaDatos[[#This Row],[FechaIngreso]]+TablaDatos[[#This Row],[DiasNuevo]]</f>
        <v>45356</v>
      </c>
      <c r="I1561">
        <v>18</v>
      </c>
      <c r="J1561" t="s">
        <v>19</v>
      </c>
      <c r="K1561" s="3">
        <v>1796.63</v>
      </c>
      <c r="L1561" t="b">
        <f>TablaDatos[[#This Row],[FechaAlta]] &lt; TablaDatos[[#This Row],[FechaIngreso]]</f>
        <v>0</v>
      </c>
      <c r="M1561">
        <f>_xlfn.XLOOKUP(TablaDatos[[#This Row],[PacienteID]],'Datos_Ejemplo.csv'!A:A,'Datos_Ejemplo.csv'!I:I)</f>
        <v>18</v>
      </c>
      <c r="N1561">
        <f>ABS(TablaDatos[[#This Row],[DiasOriginal]])</f>
        <v>18</v>
      </c>
      <c r="O1561" s="1">
        <f>TablaDatos[[#This Row],[FechaIngreso]]+TablaDatos[[#This Row],[DiasNuevo]]</f>
        <v>45356</v>
      </c>
    </row>
    <row r="1562" spans="1:15">
      <c r="A1562">
        <v>1561</v>
      </c>
      <c r="B1562" t="s">
        <v>297</v>
      </c>
      <c r="C1562" s="1">
        <v>22646</v>
      </c>
      <c r="D1562">
        <f ca="1">DATEDIF(TablaDatos[[#This Row],[FechaNacimiento]],TODAY(),"Y")</f>
        <v>64</v>
      </c>
      <c r="E1562" s="4" t="s">
        <v>15</v>
      </c>
      <c r="F1562" t="s">
        <v>32</v>
      </c>
      <c r="G1562" s="1">
        <v>45418</v>
      </c>
      <c r="H1562" s="1">
        <f>TablaDatos[[#This Row],[FechaIngreso]]+TablaDatos[[#This Row],[DiasNuevo]]</f>
        <v>45453</v>
      </c>
      <c r="I1562">
        <v>35</v>
      </c>
      <c r="J1562" t="s">
        <v>19</v>
      </c>
      <c r="K1562" s="3">
        <v>1614.89</v>
      </c>
      <c r="L1562" t="b">
        <f>TablaDatos[[#This Row],[FechaAlta]] &lt; TablaDatos[[#This Row],[FechaIngreso]]</f>
        <v>0</v>
      </c>
      <c r="M1562">
        <f>_xlfn.XLOOKUP(TablaDatos[[#This Row],[PacienteID]],'Datos_Ejemplo.csv'!A:A,'Datos_Ejemplo.csv'!I:I)</f>
        <v>35</v>
      </c>
      <c r="N1562">
        <f>ABS(TablaDatos[[#This Row],[DiasOriginal]])</f>
        <v>35</v>
      </c>
      <c r="O1562" s="1">
        <f>TablaDatos[[#This Row],[FechaIngreso]]+TablaDatos[[#This Row],[DiasNuevo]]</f>
        <v>45453</v>
      </c>
    </row>
    <row r="1563" spans="1:15">
      <c r="A1563">
        <v>1562</v>
      </c>
      <c r="B1563" t="s">
        <v>235</v>
      </c>
      <c r="C1563" s="1">
        <v>12054</v>
      </c>
      <c r="D1563">
        <v>93</v>
      </c>
      <c r="E1563" s="4" t="s">
        <v>15</v>
      </c>
      <c r="F1563" t="s">
        <v>13</v>
      </c>
      <c r="G1563" s="1">
        <v>45364</v>
      </c>
      <c r="H1563" s="1">
        <f>TablaDatos[[#This Row],[FechaIngreso]]+TablaDatos[[#This Row],[DiasNuevo]]</f>
        <v>45394</v>
      </c>
      <c r="I1563">
        <v>30</v>
      </c>
      <c r="J1563" t="s">
        <v>19</v>
      </c>
      <c r="K1563" s="3">
        <v>13133.63</v>
      </c>
      <c r="L1563" t="b">
        <f>TablaDatos[[#This Row],[FechaAlta]] &lt; TablaDatos[[#This Row],[FechaIngreso]]</f>
        <v>0</v>
      </c>
      <c r="M1563">
        <f>_xlfn.XLOOKUP(TablaDatos[[#This Row],[PacienteID]],'Datos_Ejemplo.csv'!A:A,'Datos_Ejemplo.csv'!I:I)</f>
        <v>30</v>
      </c>
      <c r="N1563">
        <f>ABS(TablaDatos[[#This Row],[DiasOriginal]])</f>
        <v>30</v>
      </c>
      <c r="O1563" s="1">
        <f>TablaDatos[[#This Row],[FechaIngreso]]+TablaDatos[[#This Row],[DiasNuevo]]</f>
        <v>45394</v>
      </c>
    </row>
    <row r="1564" spans="1:15">
      <c r="A1564">
        <v>1563</v>
      </c>
      <c r="B1564" t="s">
        <v>309</v>
      </c>
      <c r="C1564" s="1">
        <v>28490</v>
      </c>
      <c r="D1564">
        <v>48</v>
      </c>
      <c r="E1564" s="4" t="s">
        <v>15</v>
      </c>
      <c r="F1564" t="s">
        <v>261</v>
      </c>
      <c r="G1564" s="1">
        <v>45405</v>
      </c>
      <c r="H1564" s="1">
        <f>TablaDatos[[#This Row],[FechaIngreso]]+TablaDatos[[#This Row],[DiasNuevo]]</f>
        <v>45432</v>
      </c>
      <c r="I1564">
        <v>27</v>
      </c>
      <c r="J1564" t="s">
        <v>25</v>
      </c>
      <c r="K1564" s="3">
        <v>7645.23</v>
      </c>
      <c r="L1564" t="b">
        <f>TablaDatos[[#This Row],[FechaAlta]] &lt; TablaDatos[[#This Row],[FechaIngreso]]</f>
        <v>0</v>
      </c>
      <c r="M1564">
        <f>_xlfn.XLOOKUP(TablaDatos[[#This Row],[PacienteID]],'Datos_Ejemplo.csv'!A:A,'Datos_Ejemplo.csv'!I:I)</f>
        <v>27</v>
      </c>
      <c r="N1564">
        <f>ABS(TablaDatos[[#This Row],[DiasOriginal]])</f>
        <v>27</v>
      </c>
      <c r="O1564" s="1">
        <f>TablaDatos[[#This Row],[FechaIngreso]]+TablaDatos[[#This Row],[DiasNuevo]]</f>
        <v>45432</v>
      </c>
    </row>
    <row r="1565" spans="1:15">
      <c r="A1565">
        <v>1564</v>
      </c>
      <c r="B1565" t="s">
        <v>330</v>
      </c>
      <c r="C1565" s="1">
        <v>45292</v>
      </c>
      <c r="D1565">
        <v>2</v>
      </c>
      <c r="E1565" s="4" t="s">
        <v>12</v>
      </c>
      <c r="F1565" t="s">
        <v>261</v>
      </c>
      <c r="G1565" s="1">
        <v>44998</v>
      </c>
      <c r="H1565" s="1">
        <f>TablaDatos[[#This Row],[FechaIngreso]]+TablaDatos[[#This Row],[DiasNuevo]]</f>
        <v>45037</v>
      </c>
      <c r="I1565">
        <v>39</v>
      </c>
      <c r="J1565" t="s">
        <v>23</v>
      </c>
      <c r="K1565" s="3">
        <v>17416.73</v>
      </c>
      <c r="L1565" t="b">
        <f>TablaDatos[[#This Row],[FechaAlta]] &lt; TablaDatos[[#This Row],[FechaIngreso]]</f>
        <v>0</v>
      </c>
      <c r="M1565">
        <f>_xlfn.XLOOKUP(TablaDatos[[#This Row],[PacienteID]],'Datos_Ejemplo.csv'!A:A,'Datos_Ejemplo.csv'!I:I)</f>
        <v>39</v>
      </c>
      <c r="N1565">
        <f>ABS(TablaDatos[[#This Row],[DiasOriginal]])</f>
        <v>39</v>
      </c>
      <c r="O1565" s="1">
        <f>TablaDatos[[#This Row],[FechaIngreso]]+TablaDatos[[#This Row],[DiasNuevo]]</f>
        <v>45037</v>
      </c>
    </row>
    <row r="1566" spans="1:15">
      <c r="A1566">
        <v>1565</v>
      </c>
      <c r="B1566" t="s">
        <v>260</v>
      </c>
      <c r="C1566" s="1">
        <v>29951</v>
      </c>
      <c r="D1566">
        <v>44</v>
      </c>
      <c r="E1566" s="4" t="s">
        <v>15</v>
      </c>
      <c r="F1566" t="s">
        <v>261</v>
      </c>
      <c r="G1566" s="1">
        <v>45508</v>
      </c>
      <c r="H1566" s="1">
        <f>TablaDatos[[#This Row],[FechaIngreso]]+TablaDatos[[#This Row],[DiasNuevo]]</f>
        <v>45513</v>
      </c>
      <c r="I1566">
        <v>5</v>
      </c>
      <c r="J1566" t="s">
        <v>25</v>
      </c>
      <c r="K1566" s="3">
        <v>10279.74</v>
      </c>
      <c r="L1566" t="b">
        <f>TablaDatos[[#This Row],[FechaAlta]] &lt; TablaDatos[[#This Row],[FechaIngreso]]</f>
        <v>0</v>
      </c>
      <c r="M1566">
        <f>_xlfn.XLOOKUP(TablaDatos[[#This Row],[PacienteID]],'Datos_Ejemplo.csv'!A:A,'Datos_Ejemplo.csv'!I:I)</f>
        <v>5</v>
      </c>
      <c r="N1566">
        <f>ABS(TablaDatos[[#This Row],[DiasOriginal]])</f>
        <v>5</v>
      </c>
      <c r="O1566" s="1">
        <f>TablaDatos[[#This Row],[FechaIngreso]]+TablaDatos[[#This Row],[DiasNuevo]]</f>
        <v>45513</v>
      </c>
    </row>
    <row r="1567" spans="1:15">
      <c r="A1567">
        <v>1566</v>
      </c>
      <c r="B1567" t="s">
        <v>302</v>
      </c>
      <c r="C1567" s="1">
        <v>41274</v>
      </c>
      <c r="D1567">
        <v>13</v>
      </c>
      <c r="E1567" s="4" t="s">
        <v>12</v>
      </c>
      <c r="F1567" t="s">
        <v>295</v>
      </c>
      <c r="G1567" s="1">
        <v>45146</v>
      </c>
      <c r="H1567" s="1">
        <f>TablaDatos[[#This Row],[FechaIngreso]]+TablaDatos[[#This Row],[DiasNuevo]]</f>
        <v>45173</v>
      </c>
      <c r="I1567">
        <v>27</v>
      </c>
      <c r="J1567" t="s">
        <v>25</v>
      </c>
      <c r="K1567" s="3">
        <v>5836.4</v>
      </c>
      <c r="L1567" t="b">
        <f>TablaDatos[[#This Row],[FechaAlta]] &lt; TablaDatos[[#This Row],[FechaIngreso]]</f>
        <v>0</v>
      </c>
      <c r="M1567">
        <f>_xlfn.XLOOKUP(TablaDatos[[#This Row],[PacienteID]],'Datos_Ejemplo.csv'!A:A,'Datos_Ejemplo.csv'!I:I)</f>
        <v>27</v>
      </c>
      <c r="N1567">
        <f>ABS(TablaDatos[[#This Row],[DiasOriginal]])</f>
        <v>27</v>
      </c>
      <c r="O1567" s="1">
        <f>TablaDatos[[#This Row],[FechaIngreso]]+TablaDatos[[#This Row],[DiasNuevo]]</f>
        <v>45173</v>
      </c>
    </row>
    <row r="1568" spans="1:15">
      <c r="A1568">
        <v>1567</v>
      </c>
      <c r="B1568" t="s">
        <v>308</v>
      </c>
      <c r="C1568" s="1">
        <v>35430</v>
      </c>
      <c r="D1568">
        <v>29</v>
      </c>
      <c r="E1568" s="4" t="s">
        <v>15</v>
      </c>
      <c r="F1568" t="s">
        <v>261</v>
      </c>
      <c r="G1568" s="1">
        <v>44930</v>
      </c>
      <c r="H1568" s="1">
        <f>TablaDatos[[#This Row],[FechaIngreso]]+TablaDatos[[#This Row],[DiasNuevo]]</f>
        <v>44966</v>
      </c>
      <c r="I1568">
        <v>36</v>
      </c>
      <c r="J1568" t="s">
        <v>23</v>
      </c>
      <c r="K1568" s="3">
        <v>14389.87</v>
      </c>
      <c r="L1568" t="b">
        <f>TablaDatos[[#This Row],[FechaAlta]] &lt; TablaDatos[[#This Row],[FechaIngreso]]</f>
        <v>0</v>
      </c>
      <c r="M1568">
        <f>_xlfn.XLOOKUP(TablaDatos[[#This Row],[PacienteID]],'Datos_Ejemplo.csv'!A:A,'Datos_Ejemplo.csv'!I:I)</f>
        <v>36</v>
      </c>
      <c r="N1568">
        <f>ABS(TablaDatos[[#This Row],[DiasOriginal]])</f>
        <v>36</v>
      </c>
      <c r="O1568" s="1">
        <f>TablaDatos[[#This Row],[FechaIngreso]]+TablaDatos[[#This Row],[DiasNuevo]]</f>
        <v>44966</v>
      </c>
    </row>
    <row r="1569" spans="1:15">
      <c r="A1569">
        <v>1568</v>
      </c>
      <c r="B1569" t="s">
        <v>364</v>
      </c>
      <c r="C1569" s="1">
        <v>21551</v>
      </c>
      <c r="D1569">
        <v>67</v>
      </c>
      <c r="E1569" s="4" t="s">
        <v>15</v>
      </c>
      <c r="F1569" t="s">
        <v>295</v>
      </c>
      <c r="G1569" s="1">
        <v>45216</v>
      </c>
      <c r="H1569" s="1">
        <f>TablaDatos[[#This Row],[FechaIngreso]]+TablaDatos[[#This Row],[DiasNuevo]]</f>
        <v>45222</v>
      </c>
      <c r="I1569">
        <v>6</v>
      </c>
      <c r="J1569" t="s">
        <v>23</v>
      </c>
      <c r="K1569" s="3">
        <v>12442.74</v>
      </c>
      <c r="L1569" t="b">
        <f>TablaDatos[[#This Row],[FechaAlta]] &lt; TablaDatos[[#This Row],[FechaIngreso]]</f>
        <v>0</v>
      </c>
      <c r="M1569">
        <f>_xlfn.XLOOKUP(TablaDatos[[#This Row],[PacienteID]],'Datos_Ejemplo.csv'!A:A,'Datos_Ejemplo.csv'!I:I)</f>
        <v>6</v>
      </c>
      <c r="N1569">
        <f>ABS(TablaDatos[[#This Row],[DiasOriginal]])</f>
        <v>6</v>
      </c>
      <c r="O1569" s="1">
        <f>TablaDatos[[#This Row],[FechaIngreso]]+TablaDatos[[#This Row],[DiasNuevo]]</f>
        <v>45222</v>
      </c>
    </row>
    <row r="1570" spans="1:15">
      <c r="A1570">
        <v>1569</v>
      </c>
      <c r="B1570" t="s">
        <v>39</v>
      </c>
      <c r="C1570" s="1">
        <v>39813</v>
      </c>
      <c r="D1570">
        <v>17</v>
      </c>
      <c r="E1570" s="4" t="s">
        <v>12</v>
      </c>
      <c r="F1570" t="s">
        <v>32</v>
      </c>
      <c r="G1570" s="1">
        <v>45306</v>
      </c>
      <c r="H1570" s="1">
        <f>TablaDatos[[#This Row],[FechaIngreso]]+TablaDatos[[#This Row],[DiasNuevo]]</f>
        <v>45336</v>
      </c>
      <c r="I1570">
        <v>30</v>
      </c>
      <c r="J1570" t="s">
        <v>23</v>
      </c>
      <c r="K1570" s="3">
        <v>15971.85</v>
      </c>
      <c r="L1570" t="b">
        <f>TablaDatos[[#This Row],[FechaAlta]] &lt; TablaDatos[[#This Row],[FechaIngreso]]</f>
        <v>0</v>
      </c>
      <c r="M1570">
        <f>_xlfn.XLOOKUP(TablaDatos[[#This Row],[PacienteID]],'Datos_Ejemplo.csv'!A:A,'Datos_Ejemplo.csv'!I:I)</f>
        <v>30</v>
      </c>
      <c r="N1570">
        <f>ABS(TablaDatos[[#This Row],[DiasOriginal]])</f>
        <v>30</v>
      </c>
      <c r="O1570" s="1">
        <f>TablaDatos[[#This Row],[FechaIngreso]]+TablaDatos[[#This Row],[DiasNuevo]]</f>
        <v>45336</v>
      </c>
    </row>
    <row r="1571" spans="1:15">
      <c r="A1571">
        <v>1570</v>
      </c>
      <c r="B1571" t="s">
        <v>262</v>
      </c>
      <c r="C1571" s="1">
        <v>23742</v>
      </c>
      <c r="D1571">
        <v>61</v>
      </c>
      <c r="E1571" s="4" t="s">
        <v>12</v>
      </c>
      <c r="F1571" t="s">
        <v>201</v>
      </c>
      <c r="G1571" s="1">
        <v>45281</v>
      </c>
      <c r="H1571" s="1">
        <f>TablaDatos[[#This Row],[FechaIngreso]]+TablaDatos[[#This Row],[DiasNuevo]]</f>
        <v>45307</v>
      </c>
      <c r="I1571">
        <v>26</v>
      </c>
      <c r="J1571" t="s">
        <v>23</v>
      </c>
      <c r="K1571" s="3">
        <v>12836.12</v>
      </c>
      <c r="L1571" t="b">
        <f>TablaDatos[[#This Row],[FechaAlta]] &lt; TablaDatos[[#This Row],[FechaIngreso]]</f>
        <v>0</v>
      </c>
      <c r="M1571">
        <f>_xlfn.XLOOKUP(TablaDatos[[#This Row],[PacienteID]],'Datos_Ejemplo.csv'!A:A,'Datos_Ejemplo.csv'!I:I)</f>
        <v>26</v>
      </c>
      <c r="N1571">
        <f>ABS(TablaDatos[[#This Row],[DiasOriginal]])</f>
        <v>26</v>
      </c>
      <c r="O1571" s="1">
        <f>TablaDatos[[#This Row],[FechaIngreso]]+TablaDatos[[#This Row],[DiasNuevo]]</f>
        <v>45307</v>
      </c>
    </row>
    <row r="1572" spans="1:15">
      <c r="A1572">
        <v>1571</v>
      </c>
      <c r="B1572" t="s">
        <v>264</v>
      </c>
      <c r="C1572" s="1">
        <v>32873</v>
      </c>
      <c r="D1572">
        <v>36</v>
      </c>
      <c r="E1572" s="4" t="s">
        <v>12</v>
      </c>
      <c r="F1572" t="s">
        <v>295</v>
      </c>
      <c r="G1572" s="1">
        <v>45006</v>
      </c>
      <c r="H1572" s="1">
        <f>TablaDatos[[#This Row],[FechaIngreso]]+TablaDatos[[#This Row],[DiasNuevo]]</f>
        <v>45034</v>
      </c>
      <c r="I1572">
        <v>28</v>
      </c>
      <c r="J1572" t="s">
        <v>23</v>
      </c>
      <c r="K1572" s="3">
        <v>3256.97</v>
      </c>
      <c r="L1572" t="b">
        <f>TablaDatos[[#This Row],[FechaAlta]] &lt; TablaDatos[[#This Row],[FechaIngreso]]</f>
        <v>0</v>
      </c>
      <c r="M1572">
        <f>_xlfn.XLOOKUP(TablaDatos[[#This Row],[PacienteID]],'Datos_Ejemplo.csv'!A:A,'Datos_Ejemplo.csv'!I:I)</f>
        <v>28</v>
      </c>
      <c r="N1572">
        <f>ABS(TablaDatos[[#This Row],[DiasOriginal]])</f>
        <v>28</v>
      </c>
      <c r="O1572" s="1">
        <f>TablaDatos[[#This Row],[FechaIngreso]]+TablaDatos[[#This Row],[DiasNuevo]]</f>
        <v>45034</v>
      </c>
    </row>
    <row r="1573" spans="1:15">
      <c r="A1573">
        <v>1572</v>
      </c>
      <c r="B1573" t="s">
        <v>39</v>
      </c>
      <c r="C1573" s="1">
        <v>37256</v>
      </c>
      <c r="D1573">
        <v>24</v>
      </c>
      <c r="E1573" s="4" t="s">
        <v>197</v>
      </c>
      <c r="F1573" t="s">
        <v>32</v>
      </c>
      <c r="G1573" s="1">
        <v>44992</v>
      </c>
      <c r="H1573" s="1">
        <f>TablaDatos[[#This Row],[FechaIngreso]]+TablaDatos[[#This Row],[DiasNuevo]]</f>
        <v>44992</v>
      </c>
      <c r="I1573">
        <v>0</v>
      </c>
      <c r="J1573" t="s">
        <v>19</v>
      </c>
      <c r="K1573" s="3">
        <v>13373.23</v>
      </c>
      <c r="L1573" t="b">
        <f>TablaDatos[[#This Row],[FechaAlta]] &lt; TablaDatos[[#This Row],[FechaIngreso]]</f>
        <v>0</v>
      </c>
      <c r="M1573">
        <f>_xlfn.XLOOKUP(TablaDatos[[#This Row],[PacienteID]],'Datos_Ejemplo.csv'!A:A,'Datos_Ejemplo.csv'!I:I)</f>
        <v>0</v>
      </c>
      <c r="N1573">
        <f>ABS(TablaDatos[[#This Row],[DiasOriginal]])</f>
        <v>0</v>
      </c>
      <c r="O1573" s="1">
        <f>TablaDatos[[#This Row],[FechaIngreso]]+TablaDatos[[#This Row],[DiasNuevo]]</f>
        <v>44992</v>
      </c>
    </row>
    <row r="1574" spans="1:15">
      <c r="A1574">
        <v>1573</v>
      </c>
      <c r="B1574" t="s">
        <v>236</v>
      </c>
      <c r="C1574" s="1">
        <v>28856</v>
      </c>
      <c r="D1574">
        <v>47</v>
      </c>
      <c r="E1574" s="4" t="s">
        <v>15</v>
      </c>
      <c r="F1574" t="s">
        <v>295</v>
      </c>
      <c r="G1574" s="1">
        <v>45062</v>
      </c>
      <c r="H1574" s="1">
        <f>TablaDatos[[#This Row],[FechaIngreso]]+TablaDatos[[#This Row],[DiasNuevo]]</f>
        <v>45097</v>
      </c>
      <c r="I1574">
        <v>35</v>
      </c>
      <c r="J1574" t="s">
        <v>23</v>
      </c>
      <c r="K1574" s="3">
        <v>7770.14</v>
      </c>
      <c r="L1574" t="b">
        <f>TablaDatos[[#This Row],[FechaAlta]] &lt; TablaDatos[[#This Row],[FechaIngreso]]</f>
        <v>0</v>
      </c>
      <c r="M1574">
        <f>_xlfn.XLOOKUP(TablaDatos[[#This Row],[PacienteID]],'Datos_Ejemplo.csv'!A:A,'Datos_Ejemplo.csv'!I:I)</f>
        <v>35</v>
      </c>
      <c r="N1574">
        <f>ABS(TablaDatos[[#This Row],[DiasOriginal]])</f>
        <v>35</v>
      </c>
      <c r="O1574" s="1">
        <f>TablaDatos[[#This Row],[FechaIngreso]]+TablaDatos[[#This Row],[DiasNuevo]]</f>
        <v>45097</v>
      </c>
    </row>
    <row r="1575" spans="1:15">
      <c r="A1575">
        <v>1574</v>
      </c>
      <c r="B1575" t="s">
        <v>368</v>
      </c>
      <c r="C1575" s="1">
        <v>22646</v>
      </c>
      <c r="D1575">
        <v>64</v>
      </c>
      <c r="E1575" s="4" t="s">
        <v>15</v>
      </c>
      <c r="F1575" t="s">
        <v>32</v>
      </c>
      <c r="G1575" s="1">
        <v>45325</v>
      </c>
      <c r="H1575" s="1">
        <f>TablaDatos[[#This Row],[FechaIngreso]]+TablaDatos[[#This Row],[DiasNuevo]]</f>
        <v>45333</v>
      </c>
      <c r="I1575">
        <v>8</v>
      </c>
      <c r="J1575" t="s">
        <v>25</v>
      </c>
      <c r="K1575" s="3">
        <v>9209.17</v>
      </c>
      <c r="L1575" t="b">
        <f>TablaDatos[[#This Row],[FechaAlta]] &lt; TablaDatos[[#This Row],[FechaIngreso]]</f>
        <v>0</v>
      </c>
      <c r="M1575">
        <f>_xlfn.XLOOKUP(TablaDatos[[#This Row],[PacienteID]],'Datos_Ejemplo.csv'!A:A,'Datos_Ejemplo.csv'!I:I)</f>
        <v>8</v>
      </c>
      <c r="N1575">
        <f>ABS(TablaDatos[[#This Row],[DiasOriginal]])</f>
        <v>8</v>
      </c>
      <c r="O1575" s="1">
        <f>TablaDatos[[#This Row],[FechaIngreso]]+TablaDatos[[#This Row],[DiasNuevo]]</f>
        <v>45333</v>
      </c>
    </row>
    <row r="1576" spans="1:15">
      <c r="A1576">
        <v>1575</v>
      </c>
      <c r="B1576" t="s">
        <v>341</v>
      </c>
      <c r="C1576" s="1">
        <v>27029</v>
      </c>
      <c r="D1576">
        <v>52</v>
      </c>
      <c r="E1576" s="4" t="s">
        <v>12</v>
      </c>
      <c r="F1576" t="s">
        <v>32</v>
      </c>
      <c r="G1576" s="1">
        <v>45629</v>
      </c>
      <c r="H1576" s="1">
        <f>TablaDatos[[#This Row],[FechaIngreso]]+TablaDatos[[#This Row],[DiasNuevo]]</f>
        <v>45631</v>
      </c>
      <c r="I1576">
        <v>2</v>
      </c>
      <c r="J1576" t="s">
        <v>19</v>
      </c>
      <c r="K1576" s="3">
        <v>18423.45</v>
      </c>
      <c r="L1576" t="b">
        <f>TablaDatos[[#This Row],[FechaAlta]] &lt; TablaDatos[[#This Row],[FechaIngreso]]</f>
        <v>0</v>
      </c>
      <c r="M1576">
        <f>_xlfn.XLOOKUP(TablaDatos[[#This Row],[PacienteID]],'Datos_Ejemplo.csv'!A:A,'Datos_Ejemplo.csv'!I:I)</f>
        <v>2</v>
      </c>
      <c r="N1576">
        <f>ABS(TablaDatos[[#This Row],[DiasOriginal]])</f>
        <v>2</v>
      </c>
      <c r="O1576" s="1">
        <f>TablaDatos[[#This Row],[FechaIngreso]]+TablaDatos[[#This Row],[DiasNuevo]]</f>
        <v>45631</v>
      </c>
    </row>
    <row r="1577" spans="1:15">
      <c r="A1577">
        <v>1576</v>
      </c>
      <c r="B1577" t="s">
        <v>114</v>
      </c>
      <c r="C1577" s="1">
        <v>17533</v>
      </c>
      <c r="D1577">
        <v>78</v>
      </c>
      <c r="E1577" s="4" t="s">
        <v>197</v>
      </c>
      <c r="F1577" t="s">
        <v>201</v>
      </c>
      <c r="G1577" s="1">
        <v>45273</v>
      </c>
      <c r="H1577" s="1">
        <f>TablaDatos[[#This Row],[FechaIngreso]]+TablaDatos[[#This Row],[DiasNuevo]]</f>
        <v>45301</v>
      </c>
      <c r="I1577">
        <v>28</v>
      </c>
      <c r="J1577" t="s">
        <v>25</v>
      </c>
      <c r="K1577" s="3">
        <v>7135.28</v>
      </c>
      <c r="L1577" t="b">
        <f>TablaDatos[[#This Row],[FechaAlta]] &lt; TablaDatos[[#This Row],[FechaIngreso]]</f>
        <v>0</v>
      </c>
      <c r="M1577">
        <f>_xlfn.XLOOKUP(TablaDatos[[#This Row],[PacienteID]],'Datos_Ejemplo.csv'!A:A,'Datos_Ejemplo.csv'!I:I)</f>
        <v>28</v>
      </c>
      <c r="N1577">
        <f>ABS(TablaDatos[[#This Row],[DiasOriginal]])</f>
        <v>28</v>
      </c>
      <c r="O1577" s="1">
        <f>TablaDatos[[#This Row],[FechaIngreso]]+TablaDatos[[#This Row],[DiasNuevo]]</f>
        <v>45301</v>
      </c>
    </row>
    <row r="1578" spans="1:15">
      <c r="A1578">
        <v>1577</v>
      </c>
      <c r="B1578" t="s">
        <v>357</v>
      </c>
      <c r="C1578" s="1">
        <v>19724</v>
      </c>
      <c r="D1578">
        <v>72</v>
      </c>
      <c r="E1578" s="4" t="s">
        <v>12</v>
      </c>
      <c r="F1578" t="s">
        <v>261</v>
      </c>
      <c r="G1578" s="1">
        <v>44985</v>
      </c>
      <c r="H1578" s="1">
        <f>TablaDatos[[#This Row],[FechaIngreso]]+TablaDatos[[#This Row],[DiasNuevo]]</f>
        <v>45002</v>
      </c>
      <c r="I1578">
        <v>17</v>
      </c>
      <c r="J1578" t="s">
        <v>23</v>
      </c>
      <c r="K1578" s="3">
        <v>12200.38</v>
      </c>
      <c r="L1578" t="b">
        <f>TablaDatos[[#This Row],[FechaAlta]] &lt; TablaDatos[[#This Row],[FechaIngreso]]</f>
        <v>0</v>
      </c>
      <c r="M1578">
        <f>_xlfn.XLOOKUP(TablaDatos[[#This Row],[PacienteID]],'Datos_Ejemplo.csv'!A:A,'Datos_Ejemplo.csv'!I:I)</f>
        <v>17</v>
      </c>
      <c r="N1578">
        <f>ABS(TablaDatos[[#This Row],[DiasOriginal]])</f>
        <v>17</v>
      </c>
      <c r="O1578" s="1">
        <f>TablaDatos[[#This Row],[FechaIngreso]]+TablaDatos[[#This Row],[DiasNuevo]]</f>
        <v>45002</v>
      </c>
    </row>
    <row r="1579" spans="1:15">
      <c r="A1579">
        <v>1578</v>
      </c>
      <c r="B1579" t="s">
        <v>245</v>
      </c>
      <c r="C1579" s="1">
        <v>40909</v>
      </c>
      <c r="D1579">
        <v>14</v>
      </c>
      <c r="E1579" s="4" t="s">
        <v>12</v>
      </c>
      <c r="F1579" t="s">
        <v>201</v>
      </c>
      <c r="G1579" s="1">
        <v>45445</v>
      </c>
      <c r="H1579" s="1">
        <f>TablaDatos[[#This Row],[FechaIngreso]]+TablaDatos[[#This Row],[DiasNuevo]]</f>
        <v>45446</v>
      </c>
      <c r="I1579">
        <v>1</v>
      </c>
      <c r="J1579" t="s">
        <v>23</v>
      </c>
      <c r="K1579" s="3">
        <v>7205.98</v>
      </c>
      <c r="L1579" t="b">
        <f>TablaDatos[[#This Row],[FechaAlta]] &lt; TablaDatos[[#This Row],[FechaIngreso]]</f>
        <v>0</v>
      </c>
      <c r="M1579">
        <f>_xlfn.XLOOKUP(TablaDatos[[#This Row],[PacienteID]],'Datos_Ejemplo.csv'!A:A,'Datos_Ejemplo.csv'!I:I)</f>
        <v>1</v>
      </c>
      <c r="N1579">
        <f>ABS(TablaDatos[[#This Row],[DiasOriginal]])</f>
        <v>1</v>
      </c>
      <c r="O1579" s="1">
        <f>TablaDatos[[#This Row],[FechaIngreso]]+TablaDatos[[#This Row],[DiasNuevo]]</f>
        <v>45446</v>
      </c>
    </row>
    <row r="1580" spans="1:15">
      <c r="A1580">
        <v>1579</v>
      </c>
      <c r="B1580" t="s">
        <v>332</v>
      </c>
      <c r="C1580" s="1">
        <v>28490</v>
      </c>
      <c r="D1580">
        <v>48</v>
      </c>
      <c r="E1580" s="4" t="s">
        <v>12</v>
      </c>
      <c r="F1580" t="s">
        <v>201</v>
      </c>
      <c r="G1580" s="1">
        <v>45640</v>
      </c>
      <c r="H1580" s="1">
        <f>TablaDatos[[#This Row],[FechaIngreso]]+TablaDatos[[#This Row],[DiasNuevo]]</f>
        <v>45645</v>
      </c>
      <c r="I1580">
        <v>5</v>
      </c>
      <c r="J1580" t="s">
        <v>19</v>
      </c>
      <c r="K1580" s="3">
        <v>1804.02</v>
      </c>
      <c r="L1580" t="b">
        <f>TablaDatos[[#This Row],[FechaAlta]] &lt; TablaDatos[[#This Row],[FechaIngreso]]</f>
        <v>0</v>
      </c>
      <c r="M1580">
        <f>_xlfn.XLOOKUP(TablaDatos[[#This Row],[PacienteID]],'Datos_Ejemplo.csv'!A:A,'Datos_Ejemplo.csv'!I:I)</f>
        <v>5</v>
      </c>
      <c r="N1580">
        <f>ABS(TablaDatos[[#This Row],[DiasOriginal]])</f>
        <v>5</v>
      </c>
      <c r="O1580" s="1">
        <f>TablaDatos[[#This Row],[FechaIngreso]]+TablaDatos[[#This Row],[DiasNuevo]]</f>
        <v>45645</v>
      </c>
    </row>
    <row r="1581" spans="1:15">
      <c r="A1581">
        <v>1580</v>
      </c>
      <c r="B1581" t="s">
        <v>289</v>
      </c>
      <c r="C1581" s="1">
        <v>14246</v>
      </c>
      <c r="D1581">
        <v>87</v>
      </c>
      <c r="E1581" s="4" t="s">
        <v>15</v>
      </c>
      <c r="F1581" t="s">
        <v>261</v>
      </c>
      <c r="G1581" s="1">
        <v>45163</v>
      </c>
      <c r="H1581" s="1">
        <f>TablaDatos[[#This Row],[FechaIngreso]]+TablaDatos[[#This Row],[DiasNuevo]]</f>
        <v>45202</v>
      </c>
      <c r="I1581">
        <v>39</v>
      </c>
      <c r="J1581" t="s">
        <v>23</v>
      </c>
      <c r="K1581" s="3">
        <v>9015.86</v>
      </c>
      <c r="L1581" t="b">
        <f>TablaDatos[[#This Row],[FechaAlta]] &lt; TablaDatos[[#This Row],[FechaIngreso]]</f>
        <v>0</v>
      </c>
      <c r="M1581">
        <f>_xlfn.XLOOKUP(TablaDatos[[#This Row],[PacienteID]],'Datos_Ejemplo.csv'!A:A,'Datos_Ejemplo.csv'!I:I)</f>
        <v>39</v>
      </c>
      <c r="N1581">
        <f>ABS(TablaDatos[[#This Row],[DiasOriginal]])</f>
        <v>39</v>
      </c>
      <c r="O1581" s="1">
        <f>TablaDatos[[#This Row],[FechaIngreso]]+TablaDatos[[#This Row],[DiasNuevo]]</f>
        <v>45202</v>
      </c>
    </row>
    <row r="1582" spans="1:15">
      <c r="A1582">
        <v>1581</v>
      </c>
      <c r="B1582" t="s">
        <v>272</v>
      </c>
      <c r="C1582" s="1">
        <v>21551</v>
      </c>
      <c r="D1582">
        <v>67</v>
      </c>
      <c r="E1582" s="4" t="s">
        <v>12</v>
      </c>
      <c r="F1582" t="s">
        <v>32</v>
      </c>
      <c r="G1582" s="1">
        <v>45005</v>
      </c>
      <c r="H1582" s="1">
        <f>TablaDatos[[#This Row],[FechaIngreso]]+TablaDatos[[#This Row],[DiasNuevo]]</f>
        <v>45037</v>
      </c>
      <c r="I1582">
        <v>32</v>
      </c>
      <c r="J1582" t="s">
        <v>19</v>
      </c>
      <c r="K1582" s="3">
        <v>11900.94</v>
      </c>
      <c r="L1582" t="b">
        <f>TablaDatos[[#This Row],[FechaAlta]] &lt; TablaDatos[[#This Row],[FechaIngreso]]</f>
        <v>0</v>
      </c>
      <c r="M1582">
        <f>_xlfn.XLOOKUP(TablaDatos[[#This Row],[PacienteID]],'Datos_Ejemplo.csv'!A:A,'Datos_Ejemplo.csv'!I:I)</f>
        <v>32</v>
      </c>
      <c r="N1582">
        <f>ABS(TablaDatos[[#This Row],[DiasOriginal]])</f>
        <v>32</v>
      </c>
      <c r="O1582" s="1">
        <f>TablaDatos[[#This Row],[FechaIngreso]]+TablaDatos[[#This Row],[DiasNuevo]]</f>
        <v>45037</v>
      </c>
    </row>
    <row r="1583" spans="1:15">
      <c r="A1583">
        <v>1582</v>
      </c>
      <c r="B1583" t="s">
        <v>232</v>
      </c>
      <c r="C1583" s="1">
        <v>42005</v>
      </c>
      <c r="D1583">
        <v>11</v>
      </c>
      <c r="E1583" s="4" t="s">
        <v>12</v>
      </c>
      <c r="F1583" t="s">
        <v>261</v>
      </c>
      <c r="G1583" s="1">
        <v>45484</v>
      </c>
      <c r="H1583" s="1">
        <f>TablaDatos[[#This Row],[FechaIngreso]]+TablaDatos[[#This Row],[DiasNuevo]]</f>
        <v>45494</v>
      </c>
      <c r="I1583">
        <v>10</v>
      </c>
      <c r="J1583" t="s">
        <v>19</v>
      </c>
      <c r="K1583" s="3">
        <v>8090.82</v>
      </c>
      <c r="L1583" t="b">
        <f>TablaDatos[[#This Row],[FechaAlta]] &lt; TablaDatos[[#This Row],[FechaIngreso]]</f>
        <v>0</v>
      </c>
      <c r="M1583">
        <f>_xlfn.XLOOKUP(TablaDatos[[#This Row],[PacienteID]],'Datos_Ejemplo.csv'!A:A,'Datos_Ejemplo.csv'!I:I)</f>
        <v>10</v>
      </c>
      <c r="N1583">
        <f>ABS(TablaDatos[[#This Row],[DiasOriginal]])</f>
        <v>10</v>
      </c>
      <c r="O1583" s="1">
        <f>TablaDatos[[#This Row],[FechaIngreso]]+TablaDatos[[#This Row],[DiasNuevo]]</f>
        <v>45494</v>
      </c>
    </row>
    <row r="1584" spans="1:15">
      <c r="A1584">
        <v>1583</v>
      </c>
      <c r="B1584" t="s">
        <v>105</v>
      </c>
      <c r="C1584" s="1">
        <v>24838</v>
      </c>
      <c r="D1584">
        <v>58</v>
      </c>
      <c r="E1584" s="4" t="s">
        <v>12</v>
      </c>
      <c r="F1584" t="s">
        <v>32</v>
      </c>
      <c r="G1584" s="1">
        <v>45598</v>
      </c>
      <c r="H1584" s="1">
        <f>TablaDatos[[#This Row],[FechaIngreso]]+TablaDatos[[#This Row],[DiasNuevo]]</f>
        <v>45600</v>
      </c>
      <c r="I1584">
        <v>2</v>
      </c>
      <c r="J1584" t="s">
        <v>19</v>
      </c>
      <c r="K1584" s="3">
        <v>7752.39</v>
      </c>
      <c r="L1584" t="b">
        <f>TablaDatos[[#This Row],[FechaAlta]] &lt; TablaDatos[[#This Row],[FechaIngreso]]</f>
        <v>0</v>
      </c>
      <c r="M1584">
        <f>_xlfn.XLOOKUP(TablaDatos[[#This Row],[PacienteID]],'Datos_Ejemplo.csv'!A:A,'Datos_Ejemplo.csv'!I:I)</f>
        <v>2</v>
      </c>
      <c r="N1584">
        <f>ABS(TablaDatos[[#This Row],[DiasOriginal]])</f>
        <v>2</v>
      </c>
      <c r="O1584" s="1">
        <f>TablaDatos[[#This Row],[FechaIngreso]]+TablaDatos[[#This Row],[DiasNuevo]]</f>
        <v>45600</v>
      </c>
    </row>
    <row r="1585" spans="1:15">
      <c r="A1585">
        <v>1584</v>
      </c>
      <c r="B1585" t="s">
        <v>275</v>
      </c>
      <c r="C1585" s="1">
        <v>32873</v>
      </c>
      <c r="D1585">
        <f ca="1">DATEDIF(TablaDatos[[#This Row],[FechaNacimiento]],TODAY(),"Y")</f>
        <v>36</v>
      </c>
      <c r="E1585" s="4" t="s">
        <v>15</v>
      </c>
      <c r="F1585" t="s">
        <v>261</v>
      </c>
      <c r="G1585" s="1">
        <v>45041</v>
      </c>
      <c r="H1585" s="1">
        <f>TablaDatos[[#This Row],[FechaIngreso]]+TablaDatos[[#This Row],[DiasNuevo]]</f>
        <v>45078</v>
      </c>
      <c r="I1585">
        <v>37</v>
      </c>
      <c r="J1585" t="s">
        <v>23</v>
      </c>
      <c r="K1585" s="3">
        <v>16389.61</v>
      </c>
      <c r="L1585" t="b">
        <f>TablaDatos[[#This Row],[FechaAlta]] &lt; TablaDatos[[#This Row],[FechaIngreso]]</f>
        <v>0</v>
      </c>
      <c r="M1585">
        <f>_xlfn.XLOOKUP(TablaDatos[[#This Row],[PacienteID]],'Datos_Ejemplo.csv'!A:A,'Datos_Ejemplo.csv'!I:I)</f>
        <v>37</v>
      </c>
      <c r="N1585">
        <f>ABS(TablaDatos[[#This Row],[DiasOriginal]])</f>
        <v>37</v>
      </c>
      <c r="O1585" s="1">
        <f>TablaDatos[[#This Row],[FechaIngreso]]+TablaDatos[[#This Row],[DiasNuevo]]</f>
        <v>45078</v>
      </c>
    </row>
    <row r="1586" spans="1:15">
      <c r="A1586">
        <v>1585</v>
      </c>
      <c r="B1586" t="s">
        <v>328</v>
      </c>
      <c r="C1586" s="1">
        <v>24107</v>
      </c>
      <c r="D1586">
        <v>60</v>
      </c>
      <c r="E1586" s="4" t="s">
        <v>15</v>
      </c>
      <c r="F1586" t="s">
        <v>18</v>
      </c>
      <c r="G1586" s="1">
        <v>45388</v>
      </c>
      <c r="H1586" s="1">
        <f>TablaDatos[[#This Row],[FechaIngreso]]+TablaDatos[[#This Row],[DiasNuevo]]</f>
        <v>45404</v>
      </c>
      <c r="I1586">
        <v>16</v>
      </c>
      <c r="J1586" t="s">
        <v>19</v>
      </c>
      <c r="K1586" s="3">
        <v>496.67</v>
      </c>
      <c r="L1586" t="b">
        <f>TablaDatos[[#This Row],[FechaAlta]] &lt; TablaDatos[[#This Row],[FechaIngreso]]</f>
        <v>0</v>
      </c>
      <c r="M1586">
        <f>_xlfn.XLOOKUP(TablaDatos[[#This Row],[PacienteID]],'Datos_Ejemplo.csv'!A:A,'Datos_Ejemplo.csv'!I:I)</f>
        <v>16</v>
      </c>
      <c r="N1586">
        <f>ABS(TablaDatos[[#This Row],[DiasOriginal]])</f>
        <v>16</v>
      </c>
      <c r="O1586" s="1">
        <f>TablaDatos[[#This Row],[FechaIngreso]]+TablaDatos[[#This Row],[DiasNuevo]]</f>
        <v>45404</v>
      </c>
    </row>
    <row r="1587" spans="1:15">
      <c r="A1587">
        <v>1586</v>
      </c>
      <c r="B1587" t="s">
        <v>161</v>
      </c>
      <c r="C1587" s="1">
        <v>30682</v>
      </c>
      <c r="D1587">
        <f ca="1">DATEDIF(TablaDatos[[#This Row],[FechaNacimiento]],TODAY(),"Y")</f>
        <v>42</v>
      </c>
      <c r="E1587" s="4" t="s">
        <v>15</v>
      </c>
      <c r="F1587" t="s">
        <v>295</v>
      </c>
      <c r="G1587" s="1">
        <v>45552</v>
      </c>
      <c r="H1587" s="1">
        <f>TablaDatos[[#This Row],[FechaIngreso]]+TablaDatos[[#This Row],[DiasNuevo]]</f>
        <v>45567</v>
      </c>
      <c r="I1587">
        <v>15</v>
      </c>
      <c r="J1587" t="s">
        <v>19</v>
      </c>
      <c r="K1587" s="3">
        <v>5841.27</v>
      </c>
      <c r="L1587" t="b">
        <f>TablaDatos[[#This Row],[FechaAlta]] &lt; TablaDatos[[#This Row],[FechaIngreso]]</f>
        <v>0</v>
      </c>
      <c r="M1587">
        <f>_xlfn.XLOOKUP(TablaDatos[[#This Row],[PacienteID]],'Datos_Ejemplo.csv'!A:A,'Datos_Ejemplo.csv'!I:I)</f>
        <v>15</v>
      </c>
      <c r="N1587">
        <f>ABS(TablaDatos[[#This Row],[DiasOriginal]])</f>
        <v>15</v>
      </c>
      <c r="O1587" s="1">
        <f>TablaDatos[[#This Row],[FechaIngreso]]+TablaDatos[[#This Row],[DiasNuevo]]</f>
        <v>45567</v>
      </c>
    </row>
    <row r="1588" spans="1:15">
      <c r="A1588">
        <v>1587</v>
      </c>
      <c r="B1588" t="s">
        <v>304</v>
      </c>
      <c r="C1588" s="1">
        <v>20820</v>
      </c>
      <c r="D1588">
        <v>69</v>
      </c>
      <c r="E1588" s="4" t="s">
        <v>15</v>
      </c>
      <c r="F1588" t="s">
        <v>201</v>
      </c>
      <c r="G1588" s="1">
        <v>45052</v>
      </c>
      <c r="H1588" s="1">
        <f>TablaDatos[[#This Row],[FechaIngreso]]+TablaDatos[[#This Row],[DiasNuevo]]</f>
        <v>45082</v>
      </c>
      <c r="I1588">
        <v>30</v>
      </c>
      <c r="J1588" t="s">
        <v>23</v>
      </c>
      <c r="K1588" s="3">
        <v>16216.32</v>
      </c>
      <c r="L1588" t="b">
        <f>TablaDatos[[#This Row],[FechaAlta]] &lt; TablaDatos[[#This Row],[FechaIngreso]]</f>
        <v>0</v>
      </c>
      <c r="M1588">
        <f>_xlfn.XLOOKUP(TablaDatos[[#This Row],[PacienteID]],'Datos_Ejemplo.csv'!A:A,'Datos_Ejemplo.csv'!I:I)</f>
        <v>30</v>
      </c>
      <c r="N1588">
        <f>ABS(TablaDatos[[#This Row],[DiasOriginal]])</f>
        <v>30</v>
      </c>
      <c r="O1588" s="1">
        <f>TablaDatos[[#This Row],[FechaIngreso]]+TablaDatos[[#This Row],[DiasNuevo]]</f>
        <v>45082</v>
      </c>
    </row>
    <row r="1589" spans="1:15">
      <c r="A1589">
        <v>1588</v>
      </c>
      <c r="B1589" t="s">
        <v>232</v>
      </c>
      <c r="C1589" s="1">
        <v>32143</v>
      </c>
      <c r="D1589">
        <v>38</v>
      </c>
      <c r="E1589" s="4" t="s">
        <v>12</v>
      </c>
      <c r="F1589" t="s">
        <v>32</v>
      </c>
      <c r="G1589" s="1">
        <v>45528</v>
      </c>
      <c r="H1589" s="1">
        <f>TablaDatos[[#This Row],[FechaIngreso]]+TablaDatos[[#This Row],[DiasNuevo]]</f>
        <v>45529</v>
      </c>
      <c r="I1589">
        <v>1</v>
      </c>
      <c r="J1589" t="s">
        <v>25</v>
      </c>
      <c r="K1589" s="3">
        <v>18402.66</v>
      </c>
      <c r="L1589" t="b">
        <f>TablaDatos[[#This Row],[FechaAlta]] &lt; TablaDatos[[#This Row],[FechaIngreso]]</f>
        <v>0</v>
      </c>
      <c r="M1589">
        <f>_xlfn.XLOOKUP(TablaDatos[[#This Row],[PacienteID]],'Datos_Ejemplo.csv'!A:A,'Datos_Ejemplo.csv'!I:I)</f>
        <v>1</v>
      </c>
      <c r="N1589">
        <f>ABS(TablaDatos[[#This Row],[DiasOriginal]])</f>
        <v>1</v>
      </c>
      <c r="O1589" s="1">
        <f>TablaDatos[[#This Row],[FechaIngreso]]+TablaDatos[[#This Row],[DiasNuevo]]</f>
        <v>45529</v>
      </c>
    </row>
    <row r="1590" spans="1:15">
      <c r="A1590">
        <v>1589</v>
      </c>
      <c r="B1590" t="s">
        <v>342</v>
      </c>
      <c r="C1590" s="1">
        <v>25934</v>
      </c>
      <c r="D1590">
        <v>55</v>
      </c>
      <c r="E1590" s="4" t="s">
        <v>15</v>
      </c>
      <c r="F1590" t="s">
        <v>21</v>
      </c>
      <c r="G1590" s="1">
        <v>45499</v>
      </c>
      <c r="H1590" s="1">
        <f>TablaDatos[[#This Row],[FechaIngreso]]+TablaDatos[[#This Row],[DiasNuevo]]</f>
        <v>45514</v>
      </c>
      <c r="I1590">
        <v>15</v>
      </c>
      <c r="J1590" t="s">
        <v>23</v>
      </c>
      <c r="K1590" s="3">
        <v>8187.22</v>
      </c>
      <c r="L1590" t="b">
        <f>TablaDatos[[#This Row],[FechaAlta]] &lt; TablaDatos[[#This Row],[FechaIngreso]]</f>
        <v>0</v>
      </c>
      <c r="M1590">
        <f>_xlfn.XLOOKUP(TablaDatos[[#This Row],[PacienteID]],'Datos_Ejemplo.csv'!A:A,'Datos_Ejemplo.csv'!I:I)</f>
        <v>15</v>
      </c>
      <c r="N1590">
        <f>ABS(TablaDatos[[#This Row],[DiasOriginal]])</f>
        <v>15</v>
      </c>
      <c r="O1590" s="1">
        <f>TablaDatos[[#This Row],[FechaIngreso]]+TablaDatos[[#This Row],[DiasNuevo]]</f>
        <v>45514</v>
      </c>
    </row>
    <row r="1591" spans="1:15">
      <c r="A1591">
        <v>1590</v>
      </c>
      <c r="B1591" t="s">
        <v>296</v>
      </c>
      <c r="C1591" s="1">
        <v>23377</v>
      </c>
      <c r="D1591">
        <v>62</v>
      </c>
      <c r="E1591" s="4" t="s">
        <v>15</v>
      </c>
      <c r="F1591" t="s">
        <v>261</v>
      </c>
      <c r="G1591" s="1">
        <v>45426</v>
      </c>
      <c r="H1591" s="1">
        <f>TablaDatos[[#This Row],[FechaIngreso]]+TablaDatos[[#This Row],[DiasNuevo]]</f>
        <v>45447</v>
      </c>
      <c r="I1591">
        <v>21</v>
      </c>
      <c r="J1591" t="s">
        <v>23</v>
      </c>
      <c r="K1591" s="3">
        <v>17764.759999999998</v>
      </c>
      <c r="L1591" t="b">
        <f>TablaDatos[[#This Row],[FechaAlta]] &lt; TablaDatos[[#This Row],[FechaIngreso]]</f>
        <v>0</v>
      </c>
      <c r="M1591">
        <f>_xlfn.XLOOKUP(TablaDatos[[#This Row],[PacienteID]],'Datos_Ejemplo.csv'!A:A,'Datos_Ejemplo.csv'!I:I)</f>
        <v>21</v>
      </c>
      <c r="N1591">
        <f>ABS(TablaDatos[[#This Row],[DiasOriginal]])</f>
        <v>21</v>
      </c>
      <c r="O1591" s="1">
        <f>TablaDatos[[#This Row],[FechaIngreso]]+TablaDatos[[#This Row],[DiasNuevo]]</f>
        <v>45447</v>
      </c>
    </row>
    <row r="1592" spans="1:15">
      <c r="A1592">
        <v>1591</v>
      </c>
      <c r="B1592" t="s">
        <v>258</v>
      </c>
      <c r="C1592" s="1">
        <v>29586</v>
      </c>
      <c r="D1592">
        <v>45</v>
      </c>
      <c r="E1592" s="4" t="s">
        <v>15</v>
      </c>
      <c r="F1592" t="s">
        <v>261</v>
      </c>
      <c r="G1592" s="1">
        <v>45028</v>
      </c>
      <c r="H1592" s="1">
        <f>TablaDatos[[#This Row],[FechaIngreso]]+TablaDatos[[#This Row],[DiasNuevo]]</f>
        <v>45054</v>
      </c>
      <c r="I1592">
        <v>26</v>
      </c>
      <c r="J1592" t="s">
        <v>23</v>
      </c>
      <c r="K1592" s="3">
        <v>3898.5</v>
      </c>
      <c r="L1592" t="b">
        <f>TablaDatos[[#This Row],[FechaAlta]] &lt; TablaDatos[[#This Row],[FechaIngreso]]</f>
        <v>0</v>
      </c>
      <c r="M1592">
        <f>_xlfn.XLOOKUP(TablaDatos[[#This Row],[PacienteID]],'Datos_Ejemplo.csv'!A:A,'Datos_Ejemplo.csv'!I:I)</f>
        <v>26</v>
      </c>
      <c r="N1592">
        <f>ABS(TablaDatos[[#This Row],[DiasOriginal]])</f>
        <v>26</v>
      </c>
      <c r="O1592" s="1">
        <f>TablaDatos[[#This Row],[FechaIngreso]]+TablaDatos[[#This Row],[DiasNuevo]]</f>
        <v>45054</v>
      </c>
    </row>
    <row r="1593" spans="1:15">
      <c r="A1593">
        <v>1592</v>
      </c>
      <c r="B1593" t="s">
        <v>301</v>
      </c>
      <c r="C1593" s="1">
        <v>14246</v>
      </c>
      <c r="D1593">
        <v>87</v>
      </c>
      <c r="E1593" s="4" t="s">
        <v>12</v>
      </c>
      <c r="F1593" t="s">
        <v>13</v>
      </c>
      <c r="G1593" s="1">
        <v>45552</v>
      </c>
      <c r="H1593" s="1">
        <f>TablaDatos[[#This Row],[FechaIngreso]]+TablaDatos[[#This Row],[DiasNuevo]]</f>
        <v>45580</v>
      </c>
      <c r="I1593">
        <v>28</v>
      </c>
      <c r="J1593" t="s">
        <v>19</v>
      </c>
      <c r="K1593" s="3">
        <v>4350.68</v>
      </c>
      <c r="L1593" t="b">
        <f>TablaDatos[[#This Row],[FechaAlta]] &lt; TablaDatos[[#This Row],[FechaIngreso]]</f>
        <v>0</v>
      </c>
      <c r="M1593">
        <f>_xlfn.XLOOKUP(TablaDatos[[#This Row],[PacienteID]],'Datos_Ejemplo.csv'!A:A,'Datos_Ejemplo.csv'!I:I)</f>
        <v>28</v>
      </c>
      <c r="N1593">
        <f>ABS(TablaDatos[[#This Row],[DiasOriginal]])</f>
        <v>28</v>
      </c>
      <c r="O1593" s="1">
        <f>TablaDatos[[#This Row],[FechaIngreso]]+TablaDatos[[#This Row],[DiasNuevo]]</f>
        <v>45580</v>
      </c>
    </row>
    <row r="1594" spans="1:15">
      <c r="A1594">
        <v>1593</v>
      </c>
      <c r="B1594" t="s">
        <v>302</v>
      </c>
      <c r="C1594" s="1">
        <f ca="1">DATE(YEAR(TODAY())-TablaDatos[[#This Row],[Edad]],1,1)</f>
        <v>42370</v>
      </c>
      <c r="D1594">
        <v>10</v>
      </c>
      <c r="E1594" s="4" t="s">
        <v>12</v>
      </c>
      <c r="F1594" t="s">
        <v>21</v>
      </c>
      <c r="G1594" s="1">
        <v>45100</v>
      </c>
      <c r="H1594" s="1">
        <f>TablaDatos[[#This Row],[FechaIngreso]]+TablaDatos[[#This Row],[DiasNuevo]]</f>
        <v>45125</v>
      </c>
      <c r="I1594">
        <v>25</v>
      </c>
      <c r="J1594" t="s">
        <v>23</v>
      </c>
      <c r="K1594" s="3">
        <v>16908.45</v>
      </c>
      <c r="L1594" t="b">
        <f>TablaDatos[[#This Row],[FechaAlta]] &lt; TablaDatos[[#This Row],[FechaIngreso]]</f>
        <v>0</v>
      </c>
      <c r="M1594">
        <f>_xlfn.XLOOKUP(TablaDatos[[#This Row],[PacienteID]],'Datos_Ejemplo.csv'!A:A,'Datos_Ejemplo.csv'!I:I)</f>
        <v>25</v>
      </c>
      <c r="N1594">
        <f>ABS(TablaDatos[[#This Row],[DiasOriginal]])</f>
        <v>25</v>
      </c>
      <c r="O1594" s="1">
        <f>TablaDatos[[#This Row],[FechaIngreso]]+TablaDatos[[#This Row],[DiasNuevo]]</f>
        <v>45125</v>
      </c>
    </row>
    <row r="1595" spans="1:15">
      <c r="A1595">
        <v>1594</v>
      </c>
      <c r="B1595" t="s">
        <v>346</v>
      </c>
      <c r="C1595" s="1">
        <v>23742</v>
      </c>
      <c r="D1595">
        <v>61</v>
      </c>
      <c r="E1595" s="4" t="s">
        <v>15</v>
      </c>
      <c r="F1595" t="s">
        <v>21</v>
      </c>
      <c r="G1595" s="1">
        <v>45378</v>
      </c>
      <c r="H1595" s="1">
        <f>TablaDatos[[#This Row],[FechaIngreso]]+TablaDatos[[#This Row],[DiasNuevo]]</f>
        <v>45384</v>
      </c>
      <c r="I1595">
        <v>6</v>
      </c>
      <c r="J1595" t="s">
        <v>23</v>
      </c>
      <c r="K1595" s="3">
        <v>18055.48</v>
      </c>
      <c r="L1595" t="b">
        <f>TablaDatos[[#This Row],[FechaAlta]] &lt; TablaDatos[[#This Row],[FechaIngreso]]</f>
        <v>0</v>
      </c>
      <c r="M1595">
        <f>_xlfn.XLOOKUP(TablaDatos[[#This Row],[PacienteID]],'Datos_Ejemplo.csv'!A:A,'Datos_Ejemplo.csv'!I:I)</f>
        <v>6</v>
      </c>
      <c r="N1595">
        <f>ABS(TablaDatos[[#This Row],[DiasOriginal]])</f>
        <v>6</v>
      </c>
      <c r="O1595" s="1">
        <f>TablaDatos[[#This Row],[FechaIngreso]]+TablaDatos[[#This Row],[DiasNuevo]]</f>
        <v>45384</v>
      </c>
    </row>
    <row r="1596" spans="1:15">
      <c r="A1596">
        <v>1595</v>
      </c>
      <c r="B1596" t="s">
        <v>343</v>
      </c>
      <c r="C1596" s="1">
        <v>18263</v>
      </c>
      <c r="D1596">
        <v>76</v>
      </c>
      <c r="E1596" s="4" t="s">
        <v>15</v>
      </c>
      <c r="F1596" t="s">
        <v>201</v>
      </c>
      <c r="G1596" s="1">
        <v>45018</v>
      </c>
      <c r="H1596" s="1">
        <f>TablaDatos[[#This Row],[FechaIngreso]]+TablaDatos[[#This Row],[DiasNuevo]]</f>
        <v>45041</v>
      </c>
      <c r="I1596">
        <v>23</v>
      </c>
      <c r="J1596" t="s">
        <v>23</v>
      </c>
      <c r="K1596" s="3">
        <v>4378.3999999999996</v>
      </c>
      <c r="L1596" t="b">
        <f>TablaDatos[[#This Row],[FechaAlta]] &lt; TablaDatos[[#This Row],[FechaIngreso]]</f>
        <v>0</v>
      </c>
      <c r="M1596">
        <f>_xlfn.XLOOKUP(TablaDatos[[#This Row],[PacienteID]],'Datos_Ejemplo.csv'!A:A,'Datos_Ejemplo.csv'!I:I)</f>
        <v>23</v>
      </c>
      <c r="N1596">
        <f>ABS(TablaDatos[[#This Row],[DiasOriginal]])</f>
        <v>23</v>
      </c>
      <c r="O1596" s="1">
        <f>TablaDatos[[#This Row],[FechaIngreso]]+TablaDatos[[#This Row],[DiasNuevo]]</f>
        <v>45041</v>
      </c>
    </row>
    <row r="1597" spans="1:15">
      <c r="A1597">
        <v>1596</v>
      </c>
      <c r="B1597" t="s">
        <v>253</v>
      </c>
      <c r="C1597" s="1">
        <v>37256</v>
      </c>
      <c r="D1597">
        <v>24</v>
      </c>
      <c r="E1597" s="4" t="s">
        <v>15</v>
      </c>
      <c r="F1597" t="s">
        <v>18</v>
      </c>
      <c r="G1597" s="1">
        <v>45621</v>
      </c>
      <c r="H1597" s="1">
        <f>TablaDatos[[#This Row],[FechaIngreso]]+TablaDatos[[#This Row],[DiasNuevo]]</f>
        <v>45622</v>
      </c>
      <c r="I1597">
        <v>1</v>
      </c>
      <c r="J1597" t="s">
        <v>23</v>
      </c>
      <c r="K1597" s="3">
        <v>1092.42</v>
      </c>
      <c r="L1597" t="b">
        <f>TablaDatos[[#This Row],[FechaAlta]] &lt; TablaDatos[[#This Row],[FechaIngreso]]</f>
        <v>0</v>
      </c>
      <c r="M1597">
        <f>_xlfn.XLOOKUP(TablaDatos[[#This Row],[PacienteID]],'Datos_Ejemplo.csv'!A:A,'Datos_Ejemplo.csv'!I:I)</f>
        <v>-1</v>
      </c>
      <c r="N1597">
        <f>ABS(TablaDatos[[#This Row],[DiasOriginal]])</f>
        <v>1</v>
      </c>
      <c r="O1597" s="1">
        <f>TablaDatos[[#This Row],[FechaIngreso]]+TablaDatos[[#This Row],[DiasNuevo]]</f>
        <v>45622</v>
      </c>
    </row>
    <row r="1598" spans="1:15">
      <c r="A1598">
        <v>1597</v>
      </c>
      <c r="B1598" t="s">
        <v>327</v>
      </c>
      <c r="C1598" s="1">
        <v>20455</v>
      </c>
      <c r="D1598">
        <v>70</v>
      </c>
      <c r="E1598" s="4" t="s">
        <v>12</v>
      </c>
      <c r="F1598" t="s">
        <v>295</v>
      </c>
      <c r="G1598" s="1">
        <v>45311</v>
      </c>
      <c r="H1598" s="1">
        <f>TablaDatos[[#This Row],[FechaIngreso]]+TablaDatos[[#This Row],[DiasNuevo]]</f>
        <v>45314</v>
      </c>
      <c r="I1598">
        <v>3</v>
      </c>
      <c r="J1598" t="s">
        <v>19</v>
      </c>
      <c r="K1598" s="3">
        <v>1715.52</v>
      </c>
      <c r="L1598" t="b">
        <f>TablaDatos[[#This Row],[FechaAlta]] &lt; TablaDatos[[#This Row],[FechaIngreso]]</f>
        <v>0</v>
      </c>
      <c r="M1598">
        <f>_xlfn.XLOOKUP(TablaDatos[[#This Row],[PacienteID]],'Datos_Ejemplo.csv'!A:A,'Datos_Ejemplo.csv'!I:I)</f>
        <v>3</v>
      </c>
      <c r="N1598">
        <f>ABS(TablaDatos[[#This Row],[DiasOriginal]])</f>
        <v>3</v>
      </c>
      <c r="O1598" s="1">
        <f>TablaDatos[[#This Row],[FechaIngreso]]+TablaDatos[[#This Row],[DiasNuevo]]</f>
        <v>45314</v>
      </c>
    </row>
    <row r="1599" spans="1:15">
      <c r="A1599">
        <v>1598</v>
      </c>
      <c r="B1599" t="s">
        <v>269</v>
      </c>
      <c r="C1599" s="1">
        <v>27395</v>
      </c>
      <c r="D1599">
        <v>51</v>
      </c>
      <c r="E1599" s="4" t="s">
        <v>15</v>
      </c>
      <c r="F1599" t="s">
        <v>18</v>
      </c>
      <c r="G1599" s="1">
        <v>45131</v>
      </c>
      <c r="H1599" s="1">
        <f>TablaDatos[[#This Row],[FechaIngreso]]+TablaDatos[[#This Row],[DiasNuevo]]</f>
        <v>45157</v>
      </c>
      <c r="I1599">
        <v>26</v>
      </c>
      <c r="J1599" t="s">
        <v>23</v>
      </c>
      <c r="K1599" s="3">
        <v>5153.75</v>
      </c>
      <c r="L1599" t="b">
        <f>TablaDatos[[#This Row],[FechaAlta]] &lt; TablaDatos[[#This Row],[FechaIngreso]]</f>
        <v>0</v>
      </c>
      <c r="M1599">
        <f>_xlfn.XLOOKUP(TablaDatos[[#This Row],[PacienteID]],'Datos_Ejemplo.csv'!A:A,'Datos_Ejemplo.csv'!I:I)</f>
        <v>26</v>
      </c>
      <c r="N1599">
        <f>ABS(TablaDatos[[#This Row],[DiasOriginal]])</f>
        <v>26</v>
      </c>
      <c r="O1599" s="1">
        <f>TablaDatos[[#This Row],[FechaIngreso]]+TablaDatos[[#This Row],[DiasNuevo]]</f>
        <v>45157</v>
      </c>
    </row>
    <row r="1600" spans="1:15">
      <c r="A1600">
        <v>1599</v>
      </c>
      <c r="B1600" t="s">
        <v>233</v>
      </c>
      <c r="C1600" s="1">
        <v>44927</v>
      </c>
      <c r="D1600">
        <v>3</v>
      </c>
      <c r="E1600" s="4" t="s">
        <v>12</v>
      </c>
      <c r="F1600" t="s">
        <v>295</v>
      </c>
      <c r="G1600" s="1">
        <v>45289</v>
      </c>
      <c r="H1600" s="1">
        <f>TablaDatos[[#This Row],[FechaIngreso]]+TablaDatos[[#This Row],[DiasNuevo]]</f>
        <v>45312</v>
      </c>
      <c r="I1600">
        <v>23</v>
      </c>
      <c r="J1600" t="s">
        <v>23</v>
      </c>
      <c r="K1600" s="3">
        <v>15205.13</v>
      </c>
      <c r="L1600" t="b">
        <f>TablaDatos[[#This Row],[FechaAlta]] &lt; TablaDatos[[#This Row],[FechaIngreso]]</f>
        <v>0</v>
      </c>
      <c r="M1600">
        <f>_xlfn.XLOOKUP(TablaDatos[[#This Row],[PacienteID]],'Datos_Ejemplo.csv'!A:A,'Datos_Ejemplo.csv'!I:I)</f>
        <v>23</v>
      </c>
      <c r="N1600">
        <f>ABS(TablaDatos[[#This Row],[DiasOriginal]])</f>
        <v>23</v>
      </c>
      <c r="O1600" s="1">
        <f>TablaDatos[[#This Row],[FechaIngreso]]+TablaDatos[[#This Row],[DiasNuevo]]</f>
        <v>45312</v>
      </c>
    </row>
    <row r="1601" spans="1:15">
      <c r="A1601">
        <v>1600</v>
      </c>
      <c r="B1601" t="s">
        <v>361</v>
      </c>
      <c r="C1601" s="1">
        <v>24838</v>
      </c>
      <c r="D1601">
        <v>58</v>
      </c>
      <c r="E1601" s="4" t="s">
        <v>15</v>
      </c>
      <c r="F1601" t="s">
        <v>32</v>
      </c>
      <c r="G1601" s="1">
        <v>45633</v>
      </c>
      <c r="H1601" s="1">
        <f>TablaDatos[[#This Row],[FechaIngreso]]+TablaDatos[[#This Row],[DiasNuevo]]</f>
        <v>45658</v>
      </c>
      <c r="I1601">
        <v>25</v>
      </c>
      <c r="J1601" t="s">
        <v>19</v>
      </c>
      <c r="K1601" s="3">
        <v>10150.84</v>
      </c>
      <c r="L1601" t="b">
        <f>TablaDatos[[#This Row],[FechaAlta]] &lt; TablaDatos[[#This Row],[FechaIngreso]]</f>
        <v>0</v>
      </c>
      <c r="M1601">
        <f>_xlfn.XLOOKUP(TablaDatos[[#This Row],[PacienteID]],'Datos_Ejemplo.csv'!A:A,'Datos_Ejemplo.csv'!I:I)</f>
        <v>25</v>
      </c>
      <c r="N1601">
        <f>ABS(TablaDatos[[#This Row],[DiasOriginal]])</f>
        <v>25</v>
      </c>
      <c r="O1601" s="1">
        <f>TablaDatos[[#This Row],[FechaIngreso]]+TablaDatos[[#This Row],[DiasNuevo]]</f>
        <v>45658</v>
      </c>
    </row>
    <row r="1602" spans="1:15">
      <c r="A1602">
        <v>1601</v>
      </c>
      <c r="B1602" t="s">
        <v>307</v>
      </c>
      <c r="C1602" s="1">
        <v>20090</v>
      </c>
      <c r="D1602">
        <v>71</v>
      </c>
      <c r="E1602" s="4" t="s">
        <v>15</v>
      </c>
      <c r="F1602" t="s">
        <v>201</v>
      </c>
      <c r="G1602" s="1">
        <v>45424</v>
      </c>
      <c r="H1602" s="1">
        <f>TablaDatos[[#This Row],[FechaIngreso]]+TablaDatos[[#This Row],[DiasNuevo]]</f>
        <v>45428</v>
      </c>
      <c r="I1602">
        <v>4</v>
      </c>
      <c r="J1602" t="s">
        <v>23</v>
      </c>
      <c r="K1602" s="3">
        <v>9057.34</v>
      </c>
      <c r="L1602" t="b">
        <f>TablaDatos[[#This Row],[FechaAlta]] &lt; TablaDatos[[#This Row],[FechaIngreso]]</f>
        <v>0</v>
      </c>
      <c r="M1602">
        <f>_xlfn.XLOOKUP(TablaDatos[[#This Row],[PacienteID]],'Datos_Ejemplo.csv'!A:A,'Datos_Ejemplo.csv'!I:I)</f>
        <v>4</v>
      </c>
      <c r="N1602">
        <f>ABS(TablaDatos[[#This Row],[DiasOriginal]])</f>
        <v>4</v>
      </c>
      <c r="O1602" s="1">
        <f>TablaDatos[[#This Row],[FechaIngreso]]+TablaDatos[[#This Row],[DiasNuevo]]</f>
        <v>45428</v>
      </c>
    </row>
    <row r="1603" spans="1:15">
      <c r="A1603">
        <v>1602</v>
      </c>
      <c r="B1603" t="s">
        <v>266</v>
      </c>
      <c r="C1603" s="1">
        <v>39083</v>
      </c>
      <c r="D1603">
        <v>19</v>
      </c>
      <c r="E1603" s="4" t="s">
        <v>12</v>
      </c>
      <c r="F1603" t="s">
        <v>18</v>
      </c>
      <c r="G1603" s="1">
        <v>45463</v>
      </c>
      <c r="H1603" s="1">
        <f>TablaDatos[[#This Row],[FechaIngreso]]+TablaDatos[[#This Row],[DiasNuevo]]</f>
        <v>45494</v>
      </c>
      <c r="I1603">
        <v>31</v>
      </c>
      <c r="J1603" t="s">
        <v>23</v>
      </c>
      <c r="K1603" s="3">
        <v>11641.21</v>
      </c>
      <c r="L1603" t="b">
        <f>TablaDatos[[#This Row],[FechaAlta]] &lt; TablaDatos[[#This Row],[FechaIngreso]]</f>
        <v>0</v>
      </c>
      <c r="M1603">
        <f>_xlfn.XLOOKUP(TablaDatos[[#This Row],[PacienteID]],'Datos_Ejemplo.csv'!A:A,'Datos_Ejemplo.csv'!I:I)</f>
        <v>31</v>
      </c>
      <c r="N1603">
        <f>ABS(TablaDatos[[#This Row],[DiasOriginal]])</f>
        <v>31</v>
      </c>
      <c r="O1603" s="1">
        <f>TablaDatos[[#This Row],[FechaIngreso]]+TablaDatos[[#This Row],[DiasNuevo]]</f>
        <v>45494</v>
      </c>
    </row>
    <row r="1604" spans="1:15">
      <c r="A1604">
        <v>1603</v>
      </c>
      <c r="B1604" t="s">
        <v>245</v>
      </c>
      <c r="C1604" s="1">
        <v>12419</v>
      </c>
      <c r="D1604">
        <v>92</v>
      </c>
      <c r="E1604" s="4" t="s">
        <v>15</v>
      </c>
      <c r="F1604" t="s">
        <v>13</v>
      </c>
      <c r="G1604" s="1">
        <v>45160</v>
      </c>
      <c r="H1604" s="1">
        <f>TablaDatos[[#This Row],[FechaIngreso]]+TablaDatos[[#This Row],[DiasNuevo]]</f>
        <v>45167</v>
      </c>
      <c r="I1604">
        <v>7</v>
      </c>
      <c r="J1604" t="s">
        <v>19</v>
      </c>
      <c r="K1604" s="3">
        <v>17793.48</v>
      </c>
      <c r="L1604" t="b">
        <f>TablaDatos[[#This Row],[FechaAlta]] &lt; TablaDatos[[#This Row],[FechaIngreso]]</f>
        <v>0</v>
      </c>
      <c r="M1604">
        <f>_xlfn.XLOOKUP(TablaDatos[[#This Row],[PacienteID]],'Datos_Ejemplo.csv'!A:A,'Datos_Ejemplo.csv'!I:I)</f>
        <v>7</v>
      </c>
      <c r="N1604">
        <f>ABS(TablaDatos[[#This Row],[DiasOriginal]])</f>
        <v>7</v>
      </c>
      <c r="O1604" s="1">
        <f>TablaDatos[[#This Row],[FechaIngreso]]+TablaDatos[[#This Row],[DiasNuevo]]</f>
        <v>45167</v>
      </c>
    </row>
    <row r="1605" spans="1:15">
      <c r="A1605">
        <v>1604</v>
      </c>
      <c r="B1605" t="s">
        <v>252</v>
      </c>
      <c r="C1605" s="1">
        <v>23377</v>
      </c>
      <c r="D1605">
        <v>62</v>
      </c>
      <c r="E1605" s="4" t="s">
        <v>12</v>
      </c>
      <c r="F1605" t="s">
        <v>295</v>
      </c>
      <c r="G1605" s="1">
        <v>44942</v>
      </c>
      <c r="H1605" s="1">
        <f>TablaDatos[[#This Row],[FechaIngreso]]+TablaDatos[[#This Row],[DiasNuevo]]</f>
        <v>44980</v>
      </c>
      <c r="I1605">
        <v>38</v>
      </c>
      <c r="J1605" t="s">
        <v>23</v>
      </c>
      <c r="K1605" s="3">
        <v>1717.65</v>
      </c>
      <c r="L1605" t="b">
        <f>TablaDatos[[#This Row],[FechaAlta]] &lt; TablaDatos[[#This Row],[FechaIngreso]]</f>
        <v>0</v>
      </c>
      <c r="M1605">
        <f>_xlfn.XLOOKUP(TablaDatos[[#This Row],[PacienteID]],'Datos_Ejemplo.csv'!A:A,'Datos_Ejemplo.csv'!I:I)</f>
        <v>38</v>
      </c>
      <c r="N1605">
        <f>ABS(TablaDatos[[#This Row],[DiasOriginal]])</f>
        <v>38</v>
      </c>
      <c r="O1605" s="1">
        <f>TablaDatos[[#This Row],[FechaIngreso]]+TablaDatos[[#This Row],[DiasNuevo]]</f>
        <v>44980</v>
      </c>
    </row>
    <row r="1606" spans="1:15">
      <c r="A1606">
        <v>1605</v>
      </c>
      <c r="B1606" t="s">
        <v>254</v>
      </c>
      <c r="C1606" s="1">
        <v>26664</v>
      </c>
      <c r="D1606">
        <v>53</v>
      </c>
      <c r="E1606" s="4" t="s">
        <v>15</v>
      </c>
      <c r="F1606" t="s">
        <v>18</v>
      </c>
      <c r="G1606" s="1">
        <v>45067</v>
      </c>
      <c r="H1606" s="1">
        <f>TablaDatos[[#This Row],[FechaIngreso]]+TablaDatos[[#This Row],[DiasNuevo]]</f>
        <v>45104</v>
      </c>
      <c r="I1606">
        <v>37</v>
      </c>
      <c r="J1606" t="s">
        <v>19</v>
      </c>
      <c r="K1606" s="3">
        <v>13863.95</v>
      </c>
      <c r="L1606" t="b">
        <f>TablaDatos[[#This Row],[FechaAlta]] &lt; TablaDatos[[#This Row],[FechaIngreso]]</f>
        <v>0</v>
      </c>
      <c r="M1606">
        <f>_xlfn.XLOOKUP(TablaDatos[[#This Row],[PacienteID]],'Datos_Ejemplo.csv'!A:A,'Datos_Ejemplo.csv'!I:I)</f>
        <v>37</v>
      </c>
      <c r="N1606">
        <f>ABS(TablaDatos[[#This Row],[DiasOriginal]])</f>
        <v>37</v>
      </c>
      <c r="O1606" s="1">
        <f>TablaDatos[[#This Row],[FechaIngreso]]+TablaDatos[[#This Row],[DiasNuevo]]</f>
        <v>45104</v>
      </c>
    </row>
    <row r="1607" spans="1:15">
      <c r="A1607">
        <v>1606</v>
      </c>
      <c r="B1607" t="s">
        <v>361</v>
      </c>
      <c r="C1607" s="1">
        <v>19359</v>
      </c>
      <c r="D1607">
        <v>73</v>
      </c>
      <c r="E1607" s="4" t="s">
        <v>12</v>
      </c>
      <c r="F1607" t="s">
        <v>201</v>
      </c>
      <c r="G1607" s="1">
        <v>45546</v>
      </c>
      <c r="H1607" s="1">
        <f>TablaDatos[[#This Row],[FechaIngreso]]+TablaDatos[[#This Row],[DiasNuevo]]</f>
        <v>45565</v>
      </c>
      <c r="I1607">
        <v>19</v>
      </c>
      <c r="J1607" t="s">
        <v>23</v>
      </c>
      <c r="K1607" s="3">
        <v>18528.5</v>
      </c>
      <c r="L1607" t="b">
        <f>TablaDatos[[#This Row],[FechaAlta]] &lt; TablaDatos[[#This Row],[FechaIngreso]]</f>
        <v>0</v>
      </c>
      <c r="M1607">
        <f>_xlfn.XLOOKUP(TablaDatos[[#This Row],[PacienteID]],'Datos_Ejemplo.csv'!A:A,'Datos_Ejemplo.csv'!I:I)</f>
        <v>19</v>
      </c>
      <c r="N1607">
        <f>ABS(TablaDatos[[#This Row],[DiasOriginal]])</f>
        <v>19</v>
      </c>
      <c r="O1607" s="1">
        <f>TablaDatos[[#This Row],[FechaIngreso]]+TablaDatos[[#This Row],[DiasNuevo]]</f>
        <v>45565</v>
      </c>
    </row>
    <row r="1608" spans="1:15">
      <c r="A1608">
        <v>1607</v>
      </c>
      <c r="B1608" t="s">
        <v>265</v>
      </c>
      <c r="C1608" s="1">
        <v>25568</v>
      </c>
      <c r="D1608">
        <f ca="1">DATEDIF(TablaDatos[[#This Row],[FechaNacimiento]],TODAY(),"Y")</f>
        <v>56</v>
      </c>
      <c r="E1608" s="4" t="s">
        <v>12</v>
      </c>
      <c r="F1608" t="s">
        <v>13</v>
      </c>
      <c r="G1608" s="1">
        <v>45346</v>
      </c>
      <c r="H1608" s="1">
        <f>TablaDatos[[#This Row],[FechaIngreso]]+TablaDatos[[#This Row],[DiasNuevo]]</f>
        <v>45370</v>
      </c>
      <c r="I1608">
        <v>24</v>
      </c>
      <c r="J1608" t="s">
        <v>23</v>
      </c>
      <c r="K1608" s="3">
        <v>4188.34</v>
      </c>
      <c r="L1608" t="b">
        <f>TablaDatos[[#This Row],[FechaAlta]] &lt; TablaDatos[[#This Row],[FechaIngreso]]</f>
        <v>0</v>
      </c>
      <c r="M1608">
        <f>_xlfn.XLOOKUP(TablaDatos[[#This Row],[PacienteID]],'Datos_Ejemplo.csv'!A:A,'Datos_Ejemplo.csv'!I:I)</f>
        <v>24</v>
      </c>
      <c r="N1608">
        <f>ABS(TablaDatos[[#This Row],[DiasOriginal]])</f>
        <v>24</v>
      </c>
      <c r="O1608" s="1">
        <f>TablaDatos[[#This Row],[FechaIngreso]]+TablaDatos[[#This Row],[DiasNuevo]]</f>
        <v>45370</v>
      </c>
    </row>
    <row r="1609" spans="1:15">
      <c r="A1609">
        <v>1608</v>
      </c>
      <c r="B1609" t="s">
        <v>303</v>
      </c>
      <c r="C1609" s="1">
        <v>13515</v>
      </c>
      <c r="D1609">
        <v>89</v>
      </c>
      <c r="E1609" s="4" t="s">
        <v>12</v>
      </c>
      <c r="F1609" t="s">
        <v>201</v>
      </c>
      <c r="G1609" s="1">
        <v>45382</v>
      </c>
      <c r="H1609" s="1">
        <f>TablaDatos[[#This Row],[FechaIngreso]]+TablaDatos[[#This Row],[DiasNuevo]]</f>
        <v>45418</v>
      </c>
      <c r="I1609">
        <v>36</v>
      </c>
      <c r="J1609" t="s">
        <v>25</v>
      </c>
      <c r="K1609" s="3">
        <v>16739.22</v>
      </c>
      <c r="L1609" t="b">
        <f>TablaDatos[[#This Row],[FechaAlta]] &lt; TablaDatos[[#This Row],[FechaIngreso]]</f>
        <v>0</v>
      </c>
      <c r="M1609">
        <f>_xlfn.XLOOKUP(TablaDatos[[#This Row],[PacienteID]],'Datos_Ejemplo.csv'!A:A,'Datos_Ejemplo.csv'!I:I)</f>
        <v>36</v>
      </c>
      <c r="N1609">
        <f>ABS(TablaDatos[[#This Row],[DiasOriginal]])</f>
        <v>36</v>
      </c>
      <c r="O1609" s="1">
        <f>TablaDatos[[#This Row],[FechaIngreso]]+TablaDatos[[#This Row],[DiasNuevo]]</f>
        <v>45418</v>
      </c>
    </row>
    <row r="1610" spans="1:15">
      <c r="A1610">
        <v>1609</v>
      </c>
      <c r="B1610" t="s">
        <v>331</v>
      </c>
      <c r="C1610" s="1">
        <v>31412</v>
      </c>
      <c r="D1610">
        <v>40</v>
      </c>
      <c r="E1610" s="4" t="s">
        <v>15</v>
      </c>
      <c r="F1610" t="s">
        <v>21</v>
      </c>
      <c r="G1610" s="1">
        <v>45226</v>
      </c>
      <c r="H1610" s="1">
        <f>TablaDatos[[#This Row],[FechaIngreso]]+TablaDatos[[#This Row],[DiasNuevo]]</f>
        <v>45245</v>
      </c>
      <c r="I1610">
        <v>19</v>
      </c>
      <c r="J1610" t="s">
        <v>23</v>
      </c>
      <c r="K1610" s="3">
        <v>13930.3</v>
      </c>
      <c r="L1610" t="b">
        <f>TablaDatos[[#This Row],[FechaAlta]] &lt; TablaDatos[[#This Row],[FechaIngreso]]</f>
        <v>0</v>
      </c>
      <c r="M1610">
        <f>_xlfn.XLOOKUP(TablaDatos[[#This Row],[PacienteID]],'Datos_Ejemplo.csv'!A:A,'Datos_Ejemplo.csv'!I:I)</f>
        <v>19</v>
      </c>
      <c r="N1610">
        <f>ABS(TablaDatos[[#This Row],[DiasOriginal]])</f>
        <v>19</v>
      </c>
      <c r="O1610" s="1">
        <f>TablaDatos[[#This Row],[FechaIngreso]]+TablaDatos[[#This Row],[DiasNuevo]]</f>
        <v>45245</v>
      </c>
    </row>
    <row r="1611" spans="1:15">
      <c r="A1611">
        <v>1610</v>
      </c>
      <c r="B1611" t="s">
        <v>288</v>
      </c>
      <c r="C1611" s="1">
        <v>45292</v>
      </c>
      <c r="D1611">
        <v>2</v>
      </c>
      <c r="E1611" s="4" t="s">
        <v>15</v>
      </c>
      <c r="F1611" t="s">
        <v>261</v>
      </c>
      <c r="G1611" s="1">
        <v>45265</v>
      </c>
      <c r="H1611" s="1">
        <f>TablaDatos[[#This Row],[FechaIngreso]]+TablaDatos[[#This Row],[DiasNuevo]]</f>
        <v>45281</v>
      </c>
      <c r="I1611">
        <v>16</v>
      </c>
      <c r="J1611" t="s">
        <v>23</v>
      </c>
      <c r="K1611" s="3">
        <v>190.82</v>
      </c>
      <c r="L1611" t="b">
        <f>TablaDatos[[#This Row],[FechaAlta]] &lt; TablaDatos[[#This Row],[FechaIngreso]]</f>
        <v>0</v>
      </c>
      <c r="M1611">
        <f>_xlfn.XLOOKUP(TablaDatos[[#This Row],[PacienteID]],'Datos_Ejemplo.csv'!A:A,'Datos_Ejemplo.csv'!I:I)</f>
        <v>16</v>
      </c>
      <c r="N1611">
        <f>ABS(TablaDatos[[#This Row],[DiasOriginal]])</f>
        <v>16</v>
      </c>
      <c r="O1611" s="1">
        <f>TablaDatos[[#This Row],[FechaIngreso]]+TablaDatos[[#This Row],[DiasNuevo]]</f>
        <v>45281</v>
      </c>
    </row>
    <row r="1612" spans="1:15">
      <c r="A1612">
        <v>1611</v>
      </c>
      <c r="B1612" t="s">
        <v>270</v>
      </c>
      <c r="C1612" s="1">
        <v>44196</v>
      </c>
      <c r="D1612">
        <v>5</v>
      </c>
      <c r="E1612" s="4" t="s">
        <v>15</v>
      </c>
      <c r="F1612" t="s">
        <v>32</v>
      </c>
      <c r="G1612" s="1">
        <v>45229</v>
      </c>
      <c r="H1612" s="1">
        <f>TablaDatos[[#This Row],[FechaIngreso]]+TablaDatos[[#This Row],[DiasNuevo]]</f>
        <v>45262</v>
      </c>
      <c r="I1612">
        <v>33</v>
      </c>
      <c r="J1612" t="s">
        <v>23</v>
      </c>
      <c r="K1612" s="3">
        <v>4555.3900000000003</v>
      </c>
      <c r="L1612" t="b">
        <f>TablaDatos[[#This Row],[FechaAlta]] &lt; TablaDatos[[#This Row],[FechaIngreso]]</f>
        <v>0</v>
      </c>
      <c r="M1612">
        <f>_xlfn.XLOOKUP(TablaDatos[[#This Row],[PacienteID]],'Datos_Ejemplo.csv'!A:A,'Datos_Ejemplo.csv'!I:I)</f>
        <v>33</v>
      </c>
      <c r="N1612">
        <f>ABS(TablaDatos[[#This Row],[DiasOriginal]])</f>
        <v>33</v>
      </c>
      <c r="O1612" s="1">
        <f>TablaDatos[[#This Row],[FechaIngreso]]+TablaDatos[[#This Row],[DiasNuevo]]</f>
        <v>45262</v>
      </c>
    </row>
    <row r="1613" spans="1:15">
      <c r="A1613">
        <v>1612</v>
      </c>
      <c r="B1613" t="s">
        <v>49</v>
      </c>
      <c r="C1613" s="1">
        <v>44561</v>
      </c>
      <c r="D1613">
        <v>4</v>
      </c>
      <c r="E1613" s="4" t="s">
        <v>12</v>
      </c>
      <c r="F1613" t="s">
        <v>201</v>
      </c>
      <c r="G1613" s="1">
        <v>45518</v>
      </c>
      <c r="H1613" s="1">
        <f>TablaDatos[[#This Row],[FechaIngreso]]+TablaDatos[[#This Row],[DiasNuevo]]</f>
        <v>45524</v>
      </c>
      <c r="I1613">
        <v>6</v>
      </c>
      <c r="J1613" t="s">
        <v>25</v>
      </c>
      <c r="K1613" s="3">
        <v>12077.48</v>
      </c>
      <c r="L1613" t="b">
        <f>TablaDatos[[#This Row],[FechaAlta]] &lt; TablaDatos[[#This Row],[FechaIngreso]]</f>
        <v>0</v>
      </c>
      <c r="M1613">
        <f>_xlfn.XLOOKUP(TablaDatos[[#This Row],[PacienteID]],'Datos_Ejemplo.csv'!A:A,'Datos_Ejemplo.csv'!I:I)</f>
        <v>6</v>
      </c>
      <c r="N1613">
        <f>ABS(TablaDatos[[#This Row],[DiasOriginal]])</f>
        <v>6</v>
      </c>
      <c r="O1613" s="1">
        <f>TablaDatos[[#This Row],[FechaIngreso]]+TablaDatos[[#This Row],[DiasNuevo]]</f>
        <v>45524</v>
      </c>
    </row>
    <row r="1614" spans="1:15">
      <c r="A1614">
        <v>1613</v>
      </c>
      <c r="B1614" t="s">
        <v>49</v>
      </c>
      <c r="C1614" s="1">
        <v>44561</v>
      </c>
      <c r="D1614">
        <v>4</v>
      </c>
      <c r="E1614" s="4" t="s">
        <v>12</v>
      </c>
      <c r="F1614" t="s">
        <v>32</v>
      </c>
      <c r="G1614" s="1">
        <v>45002</v>
      </c>
      <c r="H1614" s="1">
        <f>TablaDatos[[#This Row],[FechaIngreso]]+TablaDatos[[#This Row],[DiasNuevo]]</f>
        <v>45018</v>
      </c>
      <c r="I1614">
        <v>16</v>
      </c>
      <c r="J1614" t="s">
        <v>19</v>
      </c>
      <c r="K1614" s="3">
        <v>9998.25</v>
      </c>
      <c r="L1614" t="b">
        <f>TablaDatos[[#This Row],[FechaAlta]] &lt; TablaDatos[[#This Row],[FechaIngreso]]</f>
        <v>0</v>
      </c>
      <c r="M1614">
        <f>_xlfn.XLOOKUP(TablaDatos[[#This Row],[PacienteID]],'Datos_Ejemplo.csv'!A:A,'Datos_Ejemplo.csv'!I:I)</f>
        <v>16</v>
      </c>
      <c r="N1614">
        <f>ABS(TablaDatos[[#This Row],[DiasOriginal]])</f>
        <v>16</v>
      </c>
      <c r="O1614" s="1">
        <f>TablaDatos[[#This Row],[FechaIngreso]]+TablaDatos[[#This Row],[DiasNuevo]]</f>
        <v>45018</v>
      </c>
    </row>
    <row r="1615" spans="1:15">
      <c r="A1615">
        <v>1614</v>
      </c>
      <c r="B1615" t="s">
        <v>313</v>
      </c>
      <c r="C1615" s="1">
        <v>26664</v>
      </c>
      <c r="D1615">
        <v>53</v>
      </c>
      <c r="E1615" s="4" t="s">
        <v>15</v>
      </c>
      <c r="F1615" t="s">
        <v>201</v>
      </c>
      <c r="G1615" s="1">
        <v>45550</v>
      </c>
      <c r="H1615" s="1">
        <f>TablaDatos[[#This Row],[FechaIngreso]]+TablaDatos[[#This Row],[DiasNuevo]]</f>
        <v>45551</v>
      </c>
      <c r="I1615">
        <v>1</v>
      </c>
      <c r="J1615" t="s">
        <v>25</v>
      </c>
      <c r="K1615" s="3">
        <v>10511.52</v>
      </c>
      <c r="L1615" t="b">
        <f>TablaDatos[[#This Row],[FechaAlta]] &lt; TablaDatos[[#This Row],[FechaIngreso]]</f>
        <v>0</v>
      </c>
      <c r="M1615">
        <f>_xlfn.XLOOKUP(TablaDatos[[#This Row],[PacienteID]],'Datos_Ejemplo.csv'!A:A,'Datos_Ejemplo.csv'!I:I)</f>
        <v>-1</v>
      </c>
      <c r="N1615">
        <f>ABS(TablaDatos[[#This Row],[DiasOriginal]])</f>
        <v>1</v>
      </c>
      <c r="O1615" s="1">
        <f>TablaDatos[[#This Row],[FechaIngreso]]+TablaDatos[[#This Row],[DiasNuevo]]</f>
        <v>45551</v>
      </c>
    </row>
    <row r="1616" spans="1:15">
      <c r="A1616">
        <v>1615</v>
      </c>
      <c r="B1616" t="s">
        <v>253</v>
      </c>
      <c r="C1616" s="1">
        <v>29221</v>
      </c>
      <c r="D1616">
        <v>46</v>
      </c>
      <c r="E1616" s="4" t="s">
        <v>15</v>
      </c>
      <c r="F1616" t="s">
        <v>21</v>
      </c>
      <c r="G1616" s="1">
        <v>45242</v>
      </c>
      <c r="H1616" s="1">
        <f>TablaDatos[[#This Row],[FechaIngreso]]+TablaDatos[[#This Row],[DiasNuevo]]</f>
        <v>45267</v>
      </c>
      <c r="I1616">
        <v>25</v>
      </c>
      <c r="J1616" t="s">
        <v>25</v>
      </c>
      <c r="K1616" s="3">
        <v>4561.8</v>
      </c>
      <c r="L1616" t="b">
        <f>TablaDatos[[#This Row],[FechaAlta]] &lt; TablaDatos[[#This Row],[FechaIngreso]]</f>
        <v>0</v>
      </c>
      <c r="M1616">
        <f>_xlfn.XLOOKUP(TablaDatos[[#This Row],[PacienteID]],'Datos_Ejemplo.csv'!A:A,'Datos_Ejemplo.csv'!I:I)</f>
        <v>25</v>
      </c>
      <c r="N1616">
        <f>ABS(TablaDatos[[#This Row],[DiasOriginal]])</f>
        <v>25</v>
      </c>
      <c r="O1616" s="1">
        <f>TablaDatos[[#This Row],[FechaIngreso]]+TablaDatos[[#This Row],[DiasNuevo]]</f>
        <v>45267</v>
      </c>
    </row>
    <row r="1617" spans="1:15">
      <c r="A1617">
        <v>1616</v>
      </c>
      <c r="B1617" t="s">
        <v>331</v>
      </c>
      <c r="C1617" s="1">
        <v>14611</v>
      </c>
      <c r="D1617">
        <v>86</v>
      </c>
      <c r="E1617" s="4" t="s">
        <v>12</v>
      </c>
      <c r="F1617" t="s">
        <v>201</v>
      </c>
      <c r="G1617" s="1">
        <v>45426</v>
      </c>
      <c r="H1617" s="1">
        <f>TablaDatos[[#This Row],[FechaIngreso]]+TablaDatos[[#This Row],[DiasNuevo]]</f>
        <v>45462</v>
      </c>
      <c r="I1617">
        <v>36</v>
      </c>
      <c r="J1617" t="s">
        <v>19</v>
      </c>
      <c r="K1617" s="3">
        <v>13467.57</v>
      </c>
      <c r="L1617" t="b">
        <f>TablaDatos[[#This Row],[FechaAlta]] &lt; TablaDatos[[#This Row],[FechaIngreso]]</f>
        <v>0</v>
      </c>
      <c r="M1617">
        <f>_xlfn.XLOOKUP(TablaDatos[[#This Row],[PacienteID]],'Datos_Ejemplo.csv'!A:A,'Datos_Ejemplo.csv'!I:I)</f>
        <v>36</v>
      </c>
      <c r="N1617">
        <f>ABS(TablaDatos[[#This Row],[DiasOriginal]])</f>
        <v>36</v>
      </c>
      <c r="O1617" s="1">
        <f>TablaDatos[[#This Row],[FechaIngreso]]+TablaDatos[[#This Row],[DiasNuevo]]</f>
        <v>45462</v>
      </c>
    </row>
    <row r="1618" spans="1:15">
      <c r="A1618">
        <v>1617</v>
      </c>
      <c r="B1618" t="s">
        <v>311</v>
      </c>
      <c r="C1618" s="1">
        <v>28490</v>
      </c>
      <c r="D1618">
        <v>48</v>
      </c>
      <c r="E1618" s="4" t="s">
        <v>15</v>
      </c>
      <c r="F1618" t="s">
        <v>201</v>
      </c>
      <c r="G1618" s="1">
        <v>45001</v>
      </c>
      <c r="H1618" s="1">
        <f>TablaDatos[[#This Row],[FechaIngreso]]+TablaDatos[[#This Row],[DiasNuevo]]</f>
        <v>45020</v>
      </c>
      <c r="I1618">
        <v>19</v>
      </c>
      <c r="J1618" t="s">
        <v>25</v>
      </c>
      <c r="K1618" s="3">
        <v>5255.01</v>
      </c>
      <c r="L1618" t="b">
        <f>TablaDatos[[#This Row],[FechaAlta]] &lt; TablaDatos[[#This Row],[FechaIngreso]]</f>
        <v>0</v>
      </c>
      <c r="M1618">
        <f>_xlfn.XLOOKUP(TablaDatos[[#This Row],[PacienteID]],'Datos_Ejemplo.csv'!A:A,'Datos_Ejemplo.csv'!I:I)</f>
        <v>19</v>
      </c>
      <c r="N1618">
        <f>ABS(TablaDatos[[#This Row],[DiasOriginal]])</f>
        <v>19</v>
      </c>
      <c r="O1618" s="1">
        <f>TablaDatos[[#This Row],[FechaIngreso]]+TablaDatos[[#This Row],[DiasNuevo]]</f>
        <v>45020</v>
      </c>
    </row>
    <row r="1619" spans="1:15">
      <c r="A1619">
        <v>1618</v>
      </c>
      <c r="B1619" t="s">
        <v>360</v>
      </c>
      <c r="C1619" s="1">
        <v>43100</v>
      </c>
      <c r="D1619">
        <v>8</v>
      </c>
      <c r="E1619" s="4" t="s">
        <v>15</v>
      </c>
      <c r="F1619" t="s">
        <v>18</v>
      </c>
      <c r="G1619" s="1">
        <v>45652</v>
      </c>
      <c r="H1619" s="1">
        <f>TablaDatos[[#This Row],[FechaIngreso]]+TablaDatos[[#This Row],[DiasNuevo]]</f>
        <v>45655</v>
      </c>
      <c r="I1619">
        <v>3</v>
      </c>
      <c r="J1619" t="s">
        <v>23</v>
      </c>
      <c r="K1619" s="3">
        <v>7727.64</v>
      </c>
      <c r="L1619" t="b">
        <f>TablaDatos[[#This Row],[FechaAlta]] &lt; TablaDatos[[#This Row],[FechaIngreso]]</f>
        <v>0</v>
      </c>
      <c r="M1619">
        <f>_xlfn.XLOOKUP(TablaDatos[[#This Row],[PacienteID]],'Datos_Ejemplo.csv'!A:A,'Datos_Ejemplo.csv'!I:I)</f>
        <v>3</v>
      </c>
      <c r="N1619">
        <f>ABS(TablaDatos[[#This Row],[DiasOriginal]])</f>
        <v>3</v>
      </c>
      <c r="O1619" s="1">
        <f>TablaDatos[[#This Row],[FechaIngreso]]+TablaDatos[[#This Row],[DiasNuevo]]</f>
        <v>45655</v>
      </c>
    </row>
    <row r="1620" spans="1:15">
      <c r="A1620">
        <v>1619</v>
      </c>
      <c r="B1620" t="s">
        <v>151</v>
      </c>
      <c r="C1620" s="1">
        <v>39083</v>
      </c>
      <c r="D1620">
        <v>19</v>
      </c>
      <c r="E1620" s="4" t="s">
        <v>15</v>
      </c>
      <c r="F1620" t="s">
        <v>261</v>
      </c>
      <c r="G1620" s="1">
        <v>45292</v>
      </c>
      <c r="H1620" s="1">
        <f>TablaDatos[[#This Row],[FechaIngreso]]+TablaDatos[[#This Row],[DiasNuevo]]</f>
        <v>45296</v>
      </c>
      <c r="I1620">
        <v>4</v>
      </c>
      <c r="J1620" t="s">
        <v>23</v>
      </c>
      <c r="K1620" s="3">
        <v>7315.21</v>
      </c>
      <c r="L1620" t="b">
        <f>TablaDatos[[#This Row],[FechaAlta]] &lt; TablaDatos[[#This Row],[FechaIngreso]]</f>
        <v>0</v>
      </c>
      <c r="M1620">
        <f>_xlfn.XLOOKUP(TablaDatos[[#This Row],[PacienteID]],'Datos_Ejemplo.csv'!A:A,'Datos_Ejemplo.csv'!I:I)</f>
        <v>4</v>
      </c>
      <c r="N1620">
        <f>ABS(TablaDatos[[#This Row],[DiasOriginal]])</f>
        <v>4</v>
      </c>
      <c r="O1620" s="1">
        <f>TablaDatos[[#This Row],[FechaIngreso]]+TablaDatos[[#This Row],[DiasNuevo]]</f>
        <v>45296</v>
      </c>
    </row>
    <row r="1621" spans="1:15">
      <c r="A1621">
        <v>1620</v>
      </c>
      <c r="B1621" t="s">
        <v>337</v>
      </c>
      <c r="C1621" s="1">
        <v>24107</v>
      </c>
      <c r="D1621">
        <v>60</v>
      </c>
      <c r="E1621" s="4" t="s">
        <v>12</v>
      </c>
      <c r="F1621" t="s">
        <v>21</v>
      </c>
      <c r="G1621" s="1">
        <v>45472</v>
      </c>
      <c r="H1621" s="1">
        <f>TablaDatos[[#This Row],[FechaIngreso]]+TablaDatos[[#This Row],[DiasNuevo]]</f>
        <v>45475</v>
      </c>
      <c r="I1621">
        <v>3</v>
      </c>
      <c r="J1621" t="s">
        <v>25</v>
      </c>
      <c r="K1621" s="3">
        <v>13407.7</v>
      </c>
      <c r="L1621" t="b">
        <f>TablaDatos[[#This Row],[FechaAlta]] &lt; TablaDatos[[#This Row],[FechaIngreso]]</f>
        <v>0</v>
      </c>
      <c r="M1621">
        <f>_xlfn.XLOOKUP(TablaDatos[[#This Row],[PacienteID]],'Datos_Ejemplo.csv'!A:A,'Datos_Ejemplo.csv'!I:I)</f>
        <v>3</v>
      </c>
      <c r="N1621">
        <f>ABS(TablaDatos[[#This Row],[DiasOriginal]])</f>
        <v>3</v>
      </c>
      <c r="O1621" s="1">
        <f>TablaDatos[[#This Row],[FechaIngreso]]+TablaDatos[[#This Row],[DiasNuevo]]</f>
        <v>45475</v>
      </c>
    </row>
    <row r="1622" spans="1:15">
      <c r="A1622">
        <v>1621</v>
      </c>
      <c r="B1622" t="s">
        <v>338</v>
      </c>
      <c r="C1622" s="1">
        <v>33604</v>
      </c>
      <c r="D1622">
        <v>34</v>
      </c>
      <c r="E1622" s="4" t="s">
        <v>12</v>
      </c>
      <c r="F1622" t="s">
        <v>13</v>
      </c>
      <c r="G1622" s="1">
        <v>45579</v>
      </c>
      <c r="H1622" s="1">
        <f>TablaDatos[[#This Row],[FechaIngreso]]+TablaDatos[[#This Row],[DiasNuevo]]</f>
        <v>45609</v>
      </c>
      <c r="I1622">
        <v>30</v>
      </c>
      <c r="J1622" t="s">
        <v>23</v>
      </c>
      <c r="K1622" s="3">
        <v>1714.08</v>
      </c>
      <c r="L1622" t="b">
        <f>TablaDatos[[#This Row],[FechaAlta]] &lt; TablaDatos[[#This Row],[FechaIngreso]]</f>
        <v>0</v>
      </c>
      <c r="M1622">
        <f>_xlfn.XLOOKUP(TablaDatos[[#This Row],[PacienteID]],'Datos_Ejemplo.csv'!A:A,'Datos_Ejemplo.csv'!I:I)</f>
        <v>30</v>
      </c>
      <c r="N1622">
        <f>ABS(TablaDatos[[#This Row],[DiasOriginal]])</f>
        <v>30</v>
      </c>
      <c r="O1622" s="1">
        <f>TablaDatos[[#This Row],[FechaIngreso]]+TablaDatos[[#This Row],[DiasNuevo]]</f>
        <v>45609</v>
      </c>
    </row>
    <row r="1623" spans="1:15">
      <c r="A1623">
        <v>1622</v>
      </c>
      <c r="B1623" t="s">
        <v>362</v>
      </c>
      <c r="C1623" s="1">
        <v>28125</v>
      </c>
      <c r="D1623">
        <v>49</v>
      </c>
      <c r="E1623" s="4" t="s">
        <v>197</v>
      </c>
      <c r="F1623" t="s">
        <v>261</v>
      </c>
      <c r="G1623" s="1">
        <v>45604</v>
      </c>
      <c r="H1623" s="1">
        <f>TablaDatos[[#This Row],[FechaIngreso]]+TablaDatos[[#This Row],[DiasNuevo]]</f>
        <v>45615</v>
      </c>
      <c r="I1623">
        <v>11</v>
      </c>
      <c r="J1623" t="s">
        <v>23</v>
      </c>
      <c r="K1623" s="3">
        <v>4031.39</v>
      </c>
      <c r="L1623" t="b">
        <f>TablaDatos[[#This Row],[FechaAlta]] &lt; TablaDatos[[#This Row],[FechaIngreso]]</f>
        <v>0</v>
      </c>
      <c r="M1623">
        <f>_xlfn.XLOOKUP(TablaDatos[[#This Row],[PacienteID]],'Datos_Ejemplo.csv'!A:A,'Datos_Ejemplo.csv'!I:I)</f>
        <v>11</v>
      </c>
      <c r="N1623">
        <f>ABS(TablaDatos[[#This Row],[DiasOriginal]])</f>
        <v>11</v>
      </c>
      <c r="O1623" s="1">
        <f>TablaDatos[[#This Row],[FechaIngreso]]+TablaDatos[[#This Row],[DiasNuevo]]</f>
        <v>45615</v>
      </c>
    </row>
    <row r="1624" spans="1:15">
      <c r="A1624">
        <v>1623</v>
      </c>
      <c r="B1624" t="s">
        <v>102</v>
      </c>
      <c r="C1624" s="1">
        <v>16437</v>
      </c>
      <c r="D1624">
        <v>81</v>
      </c>
      <c r="E1624" s="4" t="s">
        <v>15</v>
      </c>
      <c r="F1624" t="s">
        <v>295</v>
      </c>
      <c r="G1624" s="1">
        <v>45322</v>
      </c>
      <c r="H1624" s="1">
        <f>TablaDatos[[#This Row],[FechaIngreso]]+TablaDatos[[#This Row],[DiasNuevo]]</f>
        <v>45324</v>
      </c>
      <c r="I1624">
        <v>2</v>
      </c>
      <c r="J1624" t="s">
        <v>19</v>
      </c>
      <c r="K1624" s="3">
        <v>3929.99</v>
      </c>
      <c r="L1624" t="b">
        <f>TablaDatos[[#This Row],[FechaAlta]] &lt; TablaDatos[[#This Row],[FechaIngreso]]</f>
        <v>0</v>
      </c>
      <c r="M1624">
        <f>_xlfn.XLOOKUP(TablaDatos[[#This Row],[PacienteID]],'Datos_Ejemplo.csv'!A:A,'Datos_Ejemplo.csv'!I:I)</f>
        <v>-2</v>
      </c>
      <c r="N1624">
        <f>ABS(TablaDatos[[#This Row],[DiasOriginal]])</f>
        <v>2</v>
      </c>
      <c r="O1624" s="1">
        <f>TablaDatos[[#This Row],[FechaIngreso]]+TablaDatos[[#This Row],[DiasNuevo]]</f>
        <v>45324</v>
      </c>
    </row>
    <row r="1625" spans="1:15">
      <c r="A1625">
        <v>1624</v>
      </c>
      <c r="B1625" t="s">
        <v>51</v>
      </c>
      <c r="C1625" s="1">
        <v>23742</v>
      </c>
      <c r="D1625">
        <v>61</v>
      </c>
      <c r="E1625" s="4" t="s">
        <v>12</v>
      </c>
      <c r="F1625" t="s">
        <v>18</v>
      </c>
      <c r="G1625" s="1">
        <v>45157</v>
      </c>
      <c r="H1625" s="1">
        <f>TablaDatos[[#This Row],[FechaIngreso]]+TablaDatos[[#This Row],[DiasNuevo]]</f>
        <v>45179</v>
      </c>
      <c r="I1625">
        <v>22</v>
      </c>
      <c r="J1625" t="s">
        <v>25</v>
      </c>
      <c r="K1625" s="3">
        <v>2079.34</v>
      </c>
      <c r="L1625" t="b">
        <f>TablaDatos[[#This Row],[FechaAlta]] &lt; TablaDatos[[#This Row],[FechaIngreso]]</f>
        <v>0</v>
      </c>
      <c r="M1625">
        <f>_xlfn.XLOOKUP(TablaDatos[[#This Row],[PacienteID]],'Datos_Ejemplo.csv'!A:A,'Datos_Ejemplo.csv'!I:I)</f>
        <v>22</v>
      </c>
      <c r="N1625">
        <f>ABS(TablaDatos[[#This Row],[DiasOriginal]])</f>
        <v>22</v>
      </c>
      <c r="O1625" s="1">
        <f>TablaDatos[[#This Row],[FechaIngreso]]+TablaDatos[[#This Row],[DiasNuevo]]</f>
        <v>45179</v>
      </c>
    </row>
    <row r="1626" spans="1:15">
      <c r="A1626">
        <v>1625</v>
      </c>
      <c r="B1626" t="s">
        <v>111</v>
      </c>
      <c r="C1626" s="1">
        <v>40178</v>
      </c>
      <c r="D1626">
        <v>16</v>
      </c>
      <c r="E1626" s="4" t="s">
        <v>12</v>
      </c>
      <c r="F1626" t="s">
        <v>261</v>
      </c>
      <c r="G1626" s="1">
        <v>44954</v>
      </c>
      <c r="H1626" s="1">
        <f>TablaDatos[[#This Row],[FechaIngreso]]+TablaDatos[[#This Row],[DiasNuevo]]</f>
        <v>44957</v>
      </c>
      <c r="I1626">
        <v>3</v>
      </c>
      <c r="J1626" t="s">
        <v>19</v>
      </c>
      <c r="K1626" s="3">
        <v>4072.66</v>
      </c>
      <c r="L1626" t="b">
        <f>TablaDatos[[#This Row],[FechaAlta]] &lt; TablaDatos[[#This Row],[FechaIngreso]]</f>
        <v>0</v>
      </c>
      <c r="M1626">
        <f>_xlfn.XLOOKUP(TablaDatos[[#This Row],[PacienteID]],'Datos_Ejemplo.csv'!A:A,'Datos_Ejemplo.csv'!I:I)</f>
        <v>3</v>
      </c>
      <c r="N1626">
        <f>ABS(TablaDatos[[#This Row],[DiasOriginal]])</f>
        <v>3</v>
      </c>
      <c r="O1626" s="1">
        <f>TablaDatos[[#This Row],[FechaIngreso]]+TablaDatos[[#This Row],[DiasNuevo]]</f>
        <v>44957</v>
      </c>
    </row>
    <row r="1627" spans="1:15">
      <c r="A1627">
        <v>1626</v>
      </c>
      <c r="B1627" t="s">
        <v>265</v>
      </c>
      <c r="C1627" s="1">
        <v>14246</v>
      </c>
      <c r="D1627">
        <v>87</v>
      </c>
      <c r="E1627" s="4" t="s">
        <v>15</v>
      </c>
      <c r="F1627" t="s">
        <v>295</v>
      </c>
      <c r="G1627" s="1">
        <v>45401</v>
      </c>
      <c r="H1627" s="1">
        <f>TablaDatos[[#This Row],[FechaIngreso]]+TablaDatos[[#This Row],[DiasNuevo]]</f>
        <v>45426</v>
      </c>
      <c r="I1627">
        <v>25</v>
      </c>
      <c r="J1627" t="s">
        <v>19</v>
      </c>
      <c r="K1627" s="3">
        <v>12101.91</v>
      </c>
      <c r="L1627" t="b">
        <f>TablaDatos[[#This Row],[FechaAlta]] &lt; TablaDatos[[#This Row],[FechaIngreso]]</f>
        <v>0</v>
      </c>
      <c r="M1627">
        <f>_xlfn.XLOOKUP(TablaDatos[[#This Row],[PacienteID]],'Datos_Ejemplo.csv'!A:A,'Datos_Ejemplo.csv'!I:I)</f>
        <v>25</v>
      </c>
      <c r="N1627">
        <f>ABS(TablaDatos[[#This Row],[DiasOriginal]])</f>
        <v>25</v>
      </c>
      <c r="O1627" s="1">
        <f>TablaDatos[[#This Row],[FechaIngreso]]+TablaDatos[[#This Row],[DiasNuevo]]</f>
        <v>45426</v>
      </c>
    </row>
    <row r="1628" spans="1:15">
      <c r="A1628">
        <v>1627</v>
      </c>
      <c r="B1628" t="s">
        <v>233</v>
      </c>
      <c r="C1628" s="1">
        <v>45292</v>
      </c>
      <c r="D1628">
        <v>2</v>
      </c>
      <c r="E1628" s="4" t="s">
        <v>12</v>
      </c>
      <c r="F1628" t="s">
        <v>21</v>
      </c>
      <c r="G1628" s="1">
        <v>45221</v>
      </c>
      <c r="H1628" s="1">
        <f>TablaDatos[[#This Row],[FechaIngreso]]+TablaDatos[[#This Row],[DiasNuevo]]</f>
        <v>45236</v>
      </c>
      <c r="I1628">
        <v>15</v>
      </c>
      <c r="J1628" t="s">
        <v>23</v>
      </c>
      <c r="K1628" s="3">
        <v>14616.58</v>
      </c>
      <c r="L1628" t="b">
        <f>TablaDatos[[#This Row],[FechaAlta]] &lt; TablaDatos[[#This Row],[FechaIngreso]]</f>
        <v>0</v>
      </c>
      <c r="M1628">
        <f>_xlfn.XLOOKUP(TablaDatos[[#This Row],[PacienteID]],'Datos_Ejemplo.csv'!A:A,'Datos_Ejemplo.csv'!I:I)</f>
        <v>15</v>
      </c>
      <c r="N1628">
        <f>ABS(TablaDatos[[#This Row],[DiasOriginal]])</f>
        <v>15</v>
      </c>
      <c r="O1628" s="1">
        <f>TablaDatos[[#This Row],[FechaIngreso]]+TablaDatos[[#This Row],[DiasNuevo]]</f>
        <v>45236</v>
      </c>
    </row>
    <row r="1629" spans="1:15">
      <c r="A1629">
        <v>1628</v>
      </c>
      <c r="B1629" t="s">
        <v>279</v>
      </c>
      <c r="C1629" s="1">
        <v>34700</v>
      </c>
      <c r="D1629">
        <v>31</v>
      </c>
      <c r="E1629" s="4" t="s">
        <v>15</v>
      </c>
      <c r="F1629" t="s">
        <v>201</v>
      </c>
      <c r="G1629" s="1">
        <v>45353</v>
      </c>
      <c r="H1629" s="1">
        <f>TablaDatos[[#This Row],[FechaIngreso]]+TablaDatos[[#This Row],[DiasNuevo]]</f>
        <v>45377</v>
      </c>
      <c r="I1629">
        <v>24</v>
      </c>
      <c r="J1629" t="s">
        <v>23</v>
      </c>
      <c r="K1629" s="3">
        <v>13172.1</v>
      </c>
      <c r="L1629" t="b">
        <f>TablaDatos[[#This Row],[FechaAlta]] &lt; TablaDatos[[#This Row],[FechaIngreso]]</f>
        <v>0</v>
      </c>
      <c r="M1629">
        <f>_xlfn.XLOOKUP(TablaDatos[[#This Row],[PacienteID]],'Datos_Ejemplo.csv'!A:A,'Datos_Ejemplo.csv'!I:I)</f>
        <v>24</v>
      </c>
      <c r="N1629">
        <f>ABS(TablaDatos[[#This Row],[DiasOriginal]])</f>
        <v>24</v>
      </c>
      <c r="O1629" s="1">
        <f>TablaDatos[[#This Row],[FechaIngreso]]+TablaDatos[[#This Row],[DiasNuevo]]</f>
        <v>45377</v>
      </c>
    </row>
    <row r="1630" spans="1:15">
      <c r="A1630">
        <v>1629</v>
      </c>
      <c r="B1630" t="s">
        <v>360</v>
      </c>
      <c r="C1630" s="1">
        <v>41639</v>
      </c>
      <c r="D1630">
        <v>12</v>
      </c>
      <c r="E1630" s="4" t="s">
        <v>15</v>
      </c>
      <c r="F1630" t="s">
        <v>32</v>
      </c>
      <c r="G1630" s="1">
        <v>45017</v>
      </c>
      <c r="H1630" s="1">
        <f>TablaDatos[[#This Row],[FechaIngreso]]+TablaDatos[[#This Row],[DiasNuevo]]</f>
        <v>45018</v>
      </c>
      <c r="I1630">
        <v>1</v>
      </c>
      <c r="J1630" t="s">
        <v>23</v>
      </c>
      <c r="K1630" s="3">
        <v>9451.2800000000007</v>
      </c>
      <c r="L1630" t="b">
        <f>TablaDatos[[#This Row],[FechaAlta]] &lt; TablaDatos[[#This Row],[FechaIngreso]]</f>
        <v>0</v>
      </c>
      <c r="M1630">
        <f>_xlfn.XLOOKUP(TablaDatos[[#This Row],[PacienteID]],'Datos_Ejemplo.csv'!A:A,'Datos_Ejemplo.csv'!I:I)</f>
        <v>-1</v>
      </c>
      <c r="N1630">
        <f>ABS(TablaDatos[[#This Row],[DiasOriginal]])</f>
        <v>1</v>
      </c>
      <c r="O1630" s="1">
        <f>TablaDatos[[#This Row],[FechaIngreso]]+TablaDatos[[#This Row],[DiasNuevo]]</f>
        <v>45018</v>
      </c>
    </row>
    <row r="1631" spans="1:15">
      <c r="A1631">
        <v>1630</v>
      </c>
      <c r="B1631" t="s">
        <v>105</v>
      </c>
      <c r="C1631" s="1">
        <v>13880</v>
      </c>
      <c r="D1631">
        <v>88</v>
      </c>
      <c r="E1631" s="4" t="s">
        <v>15</v>
      </c>
      <c r="F1631" t="s">
        <v>261</v>
      </c>
      <c r="G1631" s="1">
        <v>45041</v>
      </c>
      <c r="H1631" s="1">
        <f>TablaDatos[[#This Row],[FechaIngreso]]+TablaDatos[[#This Row],[DiasNuevo]]</f>
        <v>45078</v>
      </c>
      <c r="I1631">
        <v>37</v>
      </c>
      <c r="J1631" t="s">
        <v>19</v>
      </c>
      <c r="K1631" s="3">
        <v>953.93</v>
      </c>
      <c r="L1631" t="b">
        <f>TablaDatos[[#This Row],[FechaAlta]] &lt; TablaDatos[[#This Row],[FechaIngreso]]</f>
        <v>0</v>
      </c>
      <c r="M1631">
        <f>_xlfn.XLOOKUP(TablaDatos[[#This Row],[PacienteID]],'Datos_Ejemplo.csv'!A:A,'Datos_Ejemplo.csv'!I:I)</f>
        <v>37</v>
      </c>
      <c r="N1631">
        <f>ABS(TablaDatos[[#This Row],[DiasOriginal]])</f>
        <v>37</v>
      </c>
      <c r="O1631" s="1">
        <f>TablaDatos[[#This Row],[FechaIngreso]]+TablaDatos[[#This Row],[DiasNuevo]]</f>
        <v>45078</v>
      </c>
    </row>
    <row r="1632" spans="1:15">
      <c r="A1632">
        <v>1631</v>
      </c>
      <c r="B1632" t="s">
        <v>353</v>
      </c>
      <c r="C1632" s="1">
        <v>19724</v>
      </c>
      <c r="D1632">
        <v>72</v>
      </c>
      <c r="E1632" s="4" t="s">
        <v>15</v>
      </c>
      <c r="F1632" t="s">
        <v>261</v>
      </c>
      <c r="G1632" s="1">
        <v>45085</v>
      </c>
      <c r="H1632" s="1">
        <f>TablaDatos[[#This Row],[FechaIngreso]]+TablaDatos[[#This Row],[DiasNuevo]]</f>
        <v>45103</v>
      </c>
      <c r="I1632">
        <v>18</v>
      </c>
      <c r="J1632" t="s">
        <v>25</v>
      </c>
      <c r="K1632" s="3">
        <v>19176.04</v>
      </c>
      <c r="L1632" t="b">
        <f>TablaDatos[[#This Row],[FechaAlta]] &lt; TablaDatos[[#This Row],[FechaIngreso]]</f>
        <v>0</v>
      </c>
      <c r="M1632">
        <f>_xlfn.XLOOKUP(TablaDatos[[#This Row],[PacienteID]],'Datos_Ejemplo.csv'!A:A,'Datos_Ejemplo.csv'!I:I)</f>
        <v>18</v>
      </c>
      <c r="N1632">
        <f>ABS(TablaDatos[[#This Row],[DiasOriginal]])</f>
        <v>18</v>
      </c>
      <c r="O1632" s="1">
        <f>TablaDatos[[#This Row],[FechaIngreso]]+TablaDatos[[#This Row],[DiasNuevo]]</f>
        <v>45103</v>
      </c>
    </row>
    <row r="1633" spans="1:15">
      <c r="A1633">
        <v>1632</v>
      </c>
      <c r="B1633" t="s">
        <v>340</v>
      </c>
      <c r="C1633" s="1">
        <v>21551</v>
      </c>
      <c r="D1633">
        <v>67</v>
      </c>
      <c r="E1633" s="4" t="s">
        <v>12</v>
      </c>
      <c r="F1633" t="s">
        <v>295</v>
      </c>
      <c r="G1633" s="1">
        <v>45184</v>
      </c>
      <c r="H1633" s="1">
        <f>TablaDatos[[#This Row],[FechaIngreso]]+TablaDatos[[#This Row],[DiasNuevo]]</f>
        <v>45204</v>
      </c>
      <c r="I1633">
        <v>20</v>
      </c>
      <c r="J1633" t="s">
        <v>23</v>
      </c>
      <c r="K1633" s="3">
        <v>3278.34</v>
      </c>
      <c r="L1633" t="b">
        <f>TablaDatos[[#This Row],[FechaAlta]] &lt; TablaDatos[[#This Row],[FechaIngreso]]</f>
        <v>0</v>
      </c>
      <c r="M1633">
        <f>_xlfn.XLOOKUP(TablaDatos[[#This Row],[PacienteID]],'Datos_Ejemplo.csv'!A:A,'Datos_Ejemplo.csv'!I:I)</f>
        <v>20</v>
      </c>
      <c r="N1633">
        <f>ABS(TablaDatos[[#This Row],[DiasOriginal]])</f>
        <v>20</v>
      </c>
      <c r="O1633" s="1">
        <f>TablaDatos[[#This Row],[FechaIngreso]]+TablaDatos[[#This Row],[DiasNuevo]]</f>
        <v>45204</v>
      </c>
    </row>
    <row r="1634" spans="1:15">
      <c r="A1634">
        <v>1633</v>
      </c>
      <c r="B1634" t="s">
        <v>51</v>
      </c>
      <c r="C1634" s="1">
        <v>41274</v>
      </c>
      <c r="D1634">
        <v>13</v>
      </c>
      <c r="E1634" s="4" t="s">
        <v>15</v>
      </c>
      <c r="F1634" t="s">
        <v>295</v>
      </c>
      <c r="G1634" s="1">
        <v>45299</v>
      </c>
      <c r="H1634" s="1">
        <f>TablaDatos[[#This Row],[FechaIngreso]]+TablaDatos[[#This Row],[DiasNuevo]]</f>
        <v>45300</v>
      </c>
      <c r="I1634">
        <v>1</v>
      </c>
      <c r="J1634" t="s">
        <v>23</v>
      </c>
      <c r="K1634" s="3">
        <v>13335.27</v>
      </c>
      <c r="L1634" t="b">
        <f>TablaDatos[[#This Row],[FechaAlta]] &lt; TablaDatos[[#This Row],[FechaIngreso]]</f>
        <v>0</v>
      </c>
      <c r="M1634">
        <f>_xlfn.XLOOKUP(TablaDatos[[#This Row],[PacienteID]],'Datos_Ejemplo.csv'!A:A,'Datos_Ejemplo.csv'!I:I)</f>
        <v>-1</v>
      </c>
      <c r="N1634">
        <f>ABS(TablaDatos[[#This Row],[DiasOriginal]])</f>
        <v>1</v>
      </c>
      <c r="O1634" s="1">
        <f>TablaDatos[[#This Row],[FechaIngreso]]+TablaDatos[[#This Row],[DiasNuevo]]</f>
        <v>45300</v>
      </c>
    </row>
    <row r="1635" spans="1:15">
      <c r="A1635">
        <v>1634</v>
      </c>
      <c r="B1635" t="s">
        <v>345</v>
      </c>
      <c r="C1635" s="1">
        <v>42370</v>
      </c>
      <c r="D1635">
        <v>10</v>
      </c>
      <c r="E1635" s="4" t="s">
        <v>15</v>
      </c>
      <c r="F1635" t="s">
        <v>32</v>
      </c>
      <c r="G1635" s="1">
        <v>45016</v>
      </c>
      <c r="H1635" s="1">
        <f>TablaDatos[[#This Row],[FechaIngreso]]+TablaDatos[[#This Row],[DiasNuevo]]</f>
        <v>45029</v>
      </c>
      <c r="I1635">
        <v>13</v>
      </c>
      <c r="J1635" t="s">
        <v>25</v>
      </c>
      <c r="K1635" s="3">
        <v>18249.099999999999</v>
      </c>
      <c r="L1635" t="b">
        <f>TablaDatos[[#This Row],[FechaAlta]] &lt; TablaDatos[[#This Row],[FechaIngreso]]</f>
        <v>0</v>
      </c>
      <c r="M1635">
        <f>_xlfn.XLOOKUP(TablaDatos[[#This Row],[PacienteID]],'Datos_Ejemplo.csv'!A:A,'Datos_Ejemplo.csv'!I:I)</f>
        <v>13</v>
      </c>
      <c r="N1635">
        <f>ABS(TablaDatos[[#This Row],[DiasOriginal]])</f>
        <v>13</v>
      </c>
      <c r="O1635" s="1">
        <f>TablaDatos[[#This Row],[FechaIngreso]]+TablaDatos[[#This Row],[DiasNuevo]]</f>
        <v>45029</v>
      </c>
    </row>
    <row r="1636" spans="1:15">
      <c r="A1636">
        <v>1635</v>
      </c>
      <c r="B1636" t="s">
        <v>282</v>
      </c>
      <c r="C1636" s="1">
        <v>25934</v>
      </c>
      <c r="D1636">
        <v>55</v>
      </c>
      <c r="E1636" s="4" t="s">
        <v>15</v>
      </c>
      <c r="F1636" t="s">
        <v>295</v>
      </c>
      <c r="G1636" s="1">
        <v>45224</v>
      </c>
      <c r="H1636" s="1">
        <f>TablaDatos[[#This Row],[FechaIngreso]]+TablaDatos[[#This Row],[DiasNuevo]]</f>
        <v>45225</v>
      </c>
      <c r="I1636">
        <v>1</v>
      </c>
      <c r="J1636" t="s">
        <v>25</v>
      </c>
      <c r="K1636" s="3">
        <v>13925.32</v>
      </c>
      <c r="L1636" t="b">
        <f>TablaDatos[[#This Row],[FechaAlta]] &lt; TablaDatos[[#This Row],[FechaIngreso]]</f>
        <v>0</v>
      </c>
      <c r="M1636">
        <f>_xlfn.XLOOKUP(TablaDatos[[#This Row],[PacienteID]],'Datos_Ejemplo.csv'!A:A,'Datos_Ejemplo.csv'!I:I)</f>
        <v>1</v>
      </c>
      <c r="N1636">
        <f>ABS(TablaDatos[[#This Row],[DiasOriginal]])</f>
        <v>1</v>
      </c>
      <c r="O1636" s="1">
        <f>TablaDatos[[#This Row],[FechaIngreso]]+TablaDatos[[#This Row],[DiasNuevo]]</f>
        <v>45225</v>
      </c>
    </row>
    <row r="1637" spans="1:15">
      <c r="A1637">
        <v>1636</v>
      </c>
      <c r="B1637" t="s">
        <v>297</v>
      </c>
      <c r="C1637" s="1">
        <v>21916</v>
      </c>
      <c r="D1637">
        <v>66</v>
      </c>
      <c r="E1637" s="4" t="s">
        <v>12</v>
      </c>
      <c r="F1637" t="s">
        <v>295</v>
      </c>
      <c r="G1637" s="1">
        <v>44957</v>
      </c>
      <c r="H1637" s="1">
        <f>TablaDatos[[#This Row],[FechaIngreso]]+TablaDatos[[#This Row],[DiasNuevo]]</f>
        <v>44988</v>
      </c>
      <c r="I1637">
        <v>31</v>
      </c>
      <c r="J1637" t="s">
        <v>23</v>
      </c>
      <c r="K1637" s="3">
        <v>4282.8</v>
      </c>
      <c r="L1637" t="b">
        <f>TablaDatos[[#This Row],[FechaAlta]] &lt; TablaDatos[[#This Row],[FechaIngreso]]</f>
        <v>0</v>
      </c>
      <c r="M1637">
        <f>_xlfn.XLOOKUP(TablaDatos[[#This Row],[PacienteID]],'Datos_Ejemplo.csv'!A:A,'Datos_Ejemplo.csv'!I:I)</f>
        <v>31</v>
      </c>
      <c r="N1637">
        <f>ABS(TablaDatos[[#This Row],[DiasOriginal]])</f>
        <v>31</v>
      </c>
      <c r="O1637" s="1">
        <f>TablaDatos[[#This Row],[FechaIngreso]]+TablaDatos[[#This Row],[DiasNuevo]]</f>
        <v>44988</v>
      </c>
    </row>
    <row r="1638" spans="1:15">
      <c r="A1638">
        <v>1637</v>
      </c>
      <c r="B1638" t="s">
        <v>251</v>
      </c>
      <c r="C1638" s="1">
        <v>12785</v>
      </c>
      <c r="D1638">
        <v>91</v>
      </c>
      <c r="E1638" s="4" t="s">
        <v>12</v>
      </c>
      <c r="F1638" t="s">
        <v>261</v>
      </c>
      <c r="G1638" s="1">
        <v>45284</v>
      </c>
      <c r="H1638" s="1">
        <f>TablaDatos[[#This Row],[FechaIngreso]]+TablaDatos[[#This Row],[DiasNuevo]]</f>
        <v>45286</v>
      </c>
      <c r="I1638">
        <v>2</v>
      </c>
      <c r="J1638" t="s">
        <v>19</v>
      </c>
      <c r="K1638" s="3">
        <v>6247.51</v>
      </c>
      <c r="L1638" t="b">
        <f>TablaDatos[[#This Row],[FechaAlta]] &lt; TablaDatos[[#This Row],[FechaIngreso]]</f>
        <v>0</v>
      </c>
      <c r="M1638">
        <f>_xlfn.XLOOKUP(TablaDatos[[#This Row],[PacienteID]],'Datos_Ejemplo.csv'!A:A,'Datos_Ejemplo.csv'!I:I)</f>
        <v>2</v>
      </c>
      <c r="N1638">
        <f>ABS(TablaDatos[[#This Row],[DiasOriginal]])</f>
        <v>2</v>
      </c>
      <c r="O1638" s="1">
        <f>TablaDatos[[#This Row],[FechaIngreso]]+TablaDatos[[#This Row],[DiasNuevo]]</f>
        <v>45286</v>
      </c>
    </row>
    <row r="1639" spans="1:15">
      <c r="A1639">
        <v>1638</v>
      </c>
      <c r="B1639" t="s">
        <v>249</v>
      </c>
      <c r="C1639" s="1">
        <v>35795</v>
      </c>
      <c r="D1639">
        <v>28</v>
      </c>
      <c r="E1639" s="4" t="s">
        <v>12</v>
      </c>
      <c r="F1639" t="s">
        <v>32</v>
      </c>
      <c r="G1639" s="1">
        <v>45396</v>
      </c>
      <c r="H1639" s="1">
        <f>TablaDatos[[#This Row],[FechaIngreso]]+TablaDatos[[#This Row],[DiasNuevo]]</f>
        <v>45427</v>
      </c>
      <c r="I1639">
        <v>31</v>
      </c>
      <c r="J1639" t="s">
        <v>23</v>
      </c>
      <c r="K1639" s="3">
        <v>507.14</v>
      </c>
      <c r="L1639" t="b">
        <f>TablaDatos[[#This Row],[FechaAlta]] &lt; TablaDatos[[#This Row],[FechaIngreso]]</f>
        <v>0</v>
      </c>
      <c r="M1639">
        <f>_xlfn.XLOOKUP(TablaDatos[[#This Row],[PacienteID]],'Datos_Ejemplo.csv'!A:A,'Datos_Ejemplo.csv'!I:I)</f>
        <v>31</v>
      </c>
      <c r="N1639">
        <f>ABS(TablaDatos[[#This Row],[DiasOriginal]])</f>
        <v>31</v>
      </c>
      <c r="O1639" s="1">
        <f>TablaDatos[[#This Row],[FechaIngreso]]+TablaDatos[[#This Row],[DiasNuevo]]</f>
        <v>45427</v>
      </c>
    </row>
    <row r="1640" spans="1:15">
      <c r="A1640">
        <v>1639</v>
      </c>
      <c r="B1640" t="s">
        <v>251</v>
      </c>
      <c r="C1640" s="1">
        <v>43100</v>
      </c>
      <c r="D1640">
        <v>8</v>
      </c>
      <c r="E1640" s="4" t="s">
        <v>12</v>
      </c>
      <c r="F1640" t="s">
        <v>32</v>
      </c>
      <c r="G1640" s="1">
        <v>45054</v>
      </c>
      <c r="H1640" s="1">
        <f>TablaDatos[[#This Row],[FechaIngreso]]+TablaDatos[[#This Row],[DiasNuevo]]</f>
        <v>45073</v>
      </c>
      <c r="I1640">
        <v>19</v>
      </c>
      <c r="J1640" t="s">
        <v>23</v>
      </c>
      <c r="K1640" s="3">
        <v>12216.44</v>
      </c>
      <c r="L1640" t="b">
        <f>TablaDatos[[#This Row],[FechaAlta]] &lt; TablaDatos[[#This Row],[FechaIngreso]]</f>
        <v>0</v>
      </c>
      <c r="M1640">
        <f>_xlfn.XLOOKUP(TablaDatos[[#This Row],[PacienteID]],'Datos_Ejemplo.csv'!A:A,'Datos_Ejemplo.csv'!I:I)</f>
        <v>19</v>
      </c>
      <c r="N1640">
        <f>ABS(TablaDatos[[#This Row],[DiasOriginal]])</f>
        <v>19</v>
      </c>
      <c r="O1640" s="1">
        <f>TablaDatos[[#This Row],[FechaIngreso]]+TablaDatos[[#This Row],[DiasNuevo]]</f>
        <v>45073</v>
      </c>
    </row>
    <row r="1641" spans="1:15">
      <c r="A1641">
        <v>1640</v>
      </c>
      <c r="B1641" t="s">
        <v>279</v>
      </c>
      <c r="C1641" s="1">
        <v>21916</v>
      </c>
      <c r="D1641">
        <v>66</v>
      </c>
      <c r="E1641" s="4" t="s">
        <v>15</v>
      </c>
      <c r="F1641" t="s">
        <v>201</v>
      </c>
      <c r="G1641" s="1">
        <v>45196</v>
      </c>
      <c r="H1641" s="1">
        <f>TablaDatos[[#This Row],[FechaIngreso]]+TablaDatos[[#This Row],[DiasNuevo]]</f>
        <v>45213</v>
      </c>
      <c r="I1641">
        <v>17</v>
      </c>
      <c r="J1641" t="s">
        <v>23</v>
      </c>
      <c r="K1641" s="3">
        <v>12221.16</v>
      </c>
      <c r="L1641" t="b">
        <f>TablaDatos[[#This Row],[FechaAlta]] &lt; TablaDatos[[#This Row],[FechaIngreso]]</f>
        <v>0</v>
      </c>
      <c r="M1641">
        <f>_xlfn.XLOOKUP(TablaDatos[[#This Row],[PacienteID]],'Datos_Ejemplo.csv'!A:A,'Datos_Ejemplo.csv'!I:I)</f>
        <v>17</v>
      </c>
      <c r="N1641">
        <f>ABS(TablaDatos[[#This Row],[DiasOriginal]])</f>
        <v>17</v>
      </c>
      <c r="O1641" s="1">
        <f>TablaDatos[[#This Row],[FechaIngreso]]+TablaDatos[[#This Row],[DiasNuevo]]</f>
        <v>45213</v>
      </c>
    </row>
    <row r="1642" spans="1:15">
      <c r="A1642">
        <v>1641</v>
      </c>
      <c r="B1642" t="s">
        <v>238</v>
      </c>
      <c r="C1642" s="1">
        <v>37256</v>
      </c>
      <c r="D1642">
        <v>24</v>
      </c>
      <c r="E1642" s="4" t="s">
        <v>15</v>
      </c>
      <c r="F1642" t="s">
        <v>261</v>
      </c>
      <c r="G1642" s="1">
        <v>45424</v>
      </c>
      <c r="H1642" s="1">
        <f>TablaDatos[[#This Row],[FechaIngreso]]+TablaDatos[[#This Row],[DiasNuevo]]</f>
        <v>45460</v>
      </c>
      <c r="I1642">
        <v>36</v>
      </c>
      <c r="J1642" t="s">
        <v>19</v>
      </c>
      <c r="K1642" s="3">
        <v>14482.56</v>
      </c>
      <c r="L1642" t="b">
        <f>TablaDatos[[#This Row],[FechaAlta]] &lt; TablaDatos[[#This Row],[FechaIngreso]]</f>
        <v>0</v>
      </c>
      <c r="M1642">
        <f>_xlfn.XLOOKUP(TablaDatos[[#This Row],[PacienteID]],'Datos_Ejemplo.csv'!A:A,'Datos_Ejemplo.csv'!I:I)</f>
        <v>36</v>
      </c>
      <c r="N1642">
        <f>ABS(TablaDatos[[#This Row],[DiasOriginal]])</f>
        <v>36</v>
      </c>
      <c r="O1642" s="1">
        <f>TablaDatos[[#This Row],[FechaIngreso]]+TablaDatos[[#This Row],[DiasNuevo]]</f>
        <v>45460</v>
      </c>
    </row>
    <row r="1643" spans="1:15">
      <c r="A1643">
        <v>1642</v>
      </c>
      <c r="B1643" t="s">
        <v>299</v>
      </c>
      <c r="C1643" s="1">
        <v>18629</v>
      </c>
      <c r="D1643">
        <v>75</v>
      </c>
      <c r="E1643" s="4" t="s">
        <v>12</v>
      </c>
      <c r="F1643" t="s">
        <v>201</v>
      </c>
      <c r="G1643" s="1">
        <v>45339</v>
      </c>
      <c r="H1643" s="1">
        <f>TablaDatos[[#This Row],[FechaIngreso]]+TablaDatos[[#This Row],[DiasNuevo]]</f>
        <v>45349</v>
      </c>
      <c r="I1643">
        <v>10</v>
      </c>
      <c r="J1643" t="s">
        <v>25</v>
      </c>
      <c r="K1643" s="3">
        <v>121.03</v>
      </c>
      <c r="L1643" t="b">
        <f>TablaDatos[[#This Row],[FechaAlta]] &lt; TablaDatos[[#This Row],[FechaIngreso]]</f>
        <v>0</v>
      </c>
      <c r="M1643">
        <f>_xlfn.XLOOKUP(TablaDatos[[#This Row],[PacienteID]],'Datos_Ejemplo.csv'!A:A,'Datos_Ejemplo.csv'!I:I)</f>
        <v>10</v>
      </c>
      <c r="N1643">
        <f>ABS(TablaDatos[[#This Row],[DiasOriginal]])</f>
        <v>10</v>
      </c>
      <c r="O1643" s="1">
        <f>TablaDatos[[#This Row],[FechaIngreso]]+TablaDatos[[#This Row],[DiasNuevo]]</f>
        <v>45349</v>
      </c>
    </row>
    <row r="1644" spans="1:15">
      <c r="A1644">
        <v>1643</v>
      </c>
      <c r="B1644" t="s">
        <v>359</v>
      </c>
      <c r="C1644" s="1">
        <v>31047</v>
      </c>
      <c r="D1644">
        <v>41</v>
      </c>
      <c r="E1644" s="4" t="s">
        <v>15</v>
      </c>
      <c r="F1644" t="s">
        <v>21</v>
      </c>
      <c r="G1644" s="1">
        <v>45135</v>
      </c>
      <c r="H1644" s="1">
        <f>TablaDatos[[#This Row],[FechaIngreso]]+TablaDatos[[#This Row],[DiasNuevo]]</f>
        <v>45166</v>
      </c>
      <c r="I1644">
        <v>31</v>
      </c>
      <c r="J1644" t="s">
        <v>25</v>
      </c>
      <c r="K1644" s="3">
        <v>16338.61</v>
      </c>
      <c r="L1644" t="b">
        <f>TablaDatos[[#This Row],[FechaAlta]] &lt; TablaDatos[[#This Row],[FechaIngreso]]</f>
        <v>0</v>
      </c>
      <c r="M1644">
        <f>_xlfn.XLOOKUP(TablaDatos[[#This Row],[PacienteID]],'Datos_Ejemplo.csv'!A:A,'Datos_Ejemplo.csv'!I:I)</f>
        <v>31</v>
      </c>
      <c r="N1644">
        <f>ABS(TablaDatos[[#This Row],[DiasOriginal]])</f>
        <v>31</v>
      </c>
      <c r="O1644" s="1">
        <f>TablaDatos[[#This Row],[FechaIngreso]]+TablaDatos[[#This Row],[DiasNuevo]]</f>
        <v>45166</v>
      </c>
    </row>
    <row r="1645" spans="1:15">
      <c r="A1645">
        <v>1644</v>
      </c>
      <c r="B1645" t="s">
        <v>313</v>
      </c>
      <c r="C1645" s="1">
        <v>43100</v>
      </c>
      <c r="D1645">
        <v>8</v>
      </c>
      <c r="E1645" s="4" t="s">
        <v>15</v>
      </c>
      <c r="F1645" t="s">
        <v>21</v>
      </c>
      <c r="G1645" s="1">
        <v>45616</v>
      </c>
      <c r="H1645" s="1">
        <f>TablaDatos[[#This Row],[FechaIngreso]]+TablaDatos[[#This Row],[DiasNuevo]]</f>
        <v>45619</v>
      </c>
      <c r="I1645">
        <v>3</v>
      </c>
      <c r="J1645" t="s">
        <v>25</v>
      </c>
      <c r="K1645" s="3">
        <v>14748.09</v>
      </c>
      <c r="L1645" t="b">
        <f>TablaDatos[[#This Row],[FechaAlta]] &lt; TablaDatos[[#This Row],[FechaIngreso]]</f>
        <v>0</v>
      </c>
      <c r="M1645">
        <f>_xlfn.XLOOKUP(TablaDatos[[#This Row],[PacienteID]],'Datos_Ejemplo.csv'!A:A,'Datos_Ejemplo.csv'!I:I)</f>
        <v>3</v>
      </c>
      <c r="N1645">
        <f>ABS(TablaDatos[[#This Row],[DiasOriginal]])</f>
        <v>3</v>
      </c>
      <c r="O1645" s="1">
        <f>TablaDatos[[#This Row],[FechaIngreso]]+TablaDatos[[#This Row],[DiasNuevo]]</f>
        <v>45619</v>
      </c>
    </row>
    <row r="1646" spans="1:15">
      <c r="A1646">
        <v>1645</v>
      </c>
      <c r="B1646" t="s">
        <v>251</v>
      </c>
      <c r="C1646" s="1">
        <v>17533</v>
      </c>
      <c r="D1646">
        <v>78</v>
      </c>
      <c r="E1646" s="4" t="s">
        <v>12</v>
      </c>
      <c r="F1646" t="s">
        <v>261</v>
      </c>
      <c r="G1646" s="1">
        <v>45232</v>
      </c>
      <c r="H1646" s="1">
        <f>TablaDatos[[#This Row],[FechaIngreso]]+TablaDatos[[#This Row],[DiasNuevo]]</f>
        <v>45258</v>
      </c>
      <c r="I1646">
        <v>26</v>
      </c>
      <c r="J1646" t="s">
        <v>19</v>
      </c>
      <c r="K1646" s="3">
        <v>2731.82</v>
      </c>
      <c r="L1646" t="b">
        <f>TablaDatos[[#This Row],[FechaAlta]] &lt; TablaDatos[[#This Row],[FechaIngreso]]</f>
        <v>0</v>
      </c>
      <c r="M1646">
        <f>_xlfn.XLOOKUP(TablaDatos[[#This Row],[PacienteID]],'Datos_Ejemplo.csv'!A:A,'Datos_Ejemplo.csv'!I:I)</f>
        <v>26</v>
      </c>
      <c r="N1646">
        <f>ABS(TablaDatos[[#This Row],[DiasOriginal]])</f>
        <v>26</v>
      </c>
      <c r="O1646" s="1">
        <f>TablaDatos[[#This Row],[FechaIngreso]]+TablaDatos[[#This Row],[DiasNuevo]]</f>
        <v>45258</v>
      </c>
    </row>
    <row r="1647" spans="1:15">
      <c r="A1647">
        <v>1646</v>
      </c>
      <c r="B1647" t="s">
        <v>353</v>
      </c>
      <c r="C1647" s="1">
        <v>31778</v>
      </c>
      <c r="D1647">
        <v>39</v>
      </c>
      <c r="E1647" s="4" t="s">
        <v>15</v>
      </c>
      <c r="F1647" t="s">
        <v>295</v>
      </c>
      <c r="G1647" s="1">
        <v>45117</v>
      </c>
      <c r="H1647" s="1">
        <f>TablaDatos[[#This Row],[FechaIngreso]]+TablaDatos[[#This Row],[DiasNuevo]]</f>
        <v>45147</v>
      </c>
      <c r="I1647">
        <v>30</v>
      </c>
      <c r="J1647" t="s">
        <v>19</v>
      </c>
      <c r="K1647" s="3">
        <v>6887.29</v>
      </c>
      <c r="L1647" t="b">
        <f>TablaDatos[[#This Row],[FechaAlta]] &lt; TablaDatos[[#This Row],[FechaIngreso]]</f>
        <v>0</v>
      </c>
      <c r="M1647">
        <f>_xlfn.XLOOKUP(TablaDatos[[#This Row],[PacienteID]],'Datos_Ejemplo.csv'!A:A,'Datos_Ejemplo.csv'!I:I)</f>
        <v>30</v>
      </c>
      <c r="N1647">
        <f>ABS(TablaDatos[[#This Row],[DiasOriginal]])</f>
        <v>30</v>
      </c>
      <c r="O1647" s="1">
        <f>TablaDatos[[#This Row],[FechaIngreso]]+TablaDatos[[#This Row],[DiasNuevo]]</f>
        <v>45147</v>
      </c>
    </row>
    <row r="1648" spans="1:15">
      <c r="A1648">
        <v>1647</v>
      </c>
      <c r="B1648" t="s">
        <v>345</v>
      </c>
      <c r="C1648" s="1">
        <v>37256</v>
      </c>
      <c r="D1648">
        <v>24</v>
      </c>
      <c r="E1648" s="4" t="s">
        <v>15</v>
      </c>
      <c r="F1648" t="s">
        <v>18</v>
      </c>
      <c r="G1648" s="1">
        <v>45283</v>
      </c>
      <c r="H1648" s="1">
        <f>TablaDatos[[#This Row],[FechaIngreso]]+TablaDatos[[#This Row],[DiasNuevo]]</f>
        <v>45285</v>
      </c>
      <c r="I1648">
        <v>2</v>
      </c>
      <c r="J1648" t="s">
        <v>25</v>
      </c>
      <c r="K1648" s="3">
        <v>12734.35</v>
      </c>
      <c r="L1648" t="b">
        <f>TablaDatos[[#This Row],[FechaAlta]] &lt; TablaDatos[[#This Row],[FechaIngreso]]</f>
        <v>0</v>
      </c>
      <c r="M1648">
        <f>_xlfn.XLOOKUP(TablaDatos[[#This Row],[PacienteID]],'Datos_Ejemplo.csv'!A:A,'Datos_Ejemplo.csv'!I:I)</f>
        <v>-2</v>
      </c>
      <c r="N1648">
        <f>ABS(TablaDatos[[#This Row],[DiasOriginal]])</f>
        <v>2</v>
      </c>
      <c r="O1648" s="1">
        <f>TablaDatos[[#This Row],[FechaIngreso]]+TablaDatos[[#This Row],[DiasNuevo]]</f>
        <v>45285</v>
      </c>
    </row>
    <row r="1649" spans="1:15">
      <c r="A1649">
        <v>1648</v>
      </c>
      <c r="B1649" t="s">
        <v>152</v>
      </c>
      <c r="C1649" s="1">
        <v>44561</v>
      </c>
      <c r="D1649">
        <v>4</v>
      </c>
      <c r="E1649" s="4" t="s">
        <v>15</v>
      </c>
      <c r="F1649" t="s">
        <v>21</v>
      </c>
      <c r="G1649" s="1">
        <v>45383</v>
      </c>
      <c r="H1649" s="1">
        <f>TablaDatos[[#This Row],[FechaIngreso]]+TablaDatos[[#This Row],[DiasNuevo]]</f>
        <v>45387</v>
      </c>
      <c r="I1649">
        <v>4</v>
      </c>
      <c r="J1649" t="s">
        <v>23</v>
      </c>
      <c r="K1649" s="3">
        <v>9865.52</v>
      </c>
      <c r="L1649" t="b">
        <f>TablaDatos[[#This Row],[FechaAlta]] &lt; TablaDatos[[#This Row],[FechaIngreso]]</f>
        <v>0</v>
      </c>
      <c r="M1649">
        <f>_xlfn.XLOOKUP(TablaDatos[[#This Row],[PacienteID]],'Datos_Ejemplo.csv'!A:A,'Datos_Ejemplo.csv'!I:I)</f>
        <v>4</v>
      </c>
      <c r="N1649">
        <f>ABS(TablaDatos[[#This Row],[DiasOriginal]])</f>
        <v>4</v>
      </c>
      <c r="O1649" s="1">
        <f>TablaDatos[[#This Row],[FechaIngreso]]+TablaDatos[[#This Row],[DiasNuevo]]</f>
        <v>45387</v>
      </c>
    </row>
    <row r="1650" spans="1:15">
      <c r="A1650">
        <v>1649</v>
      </c>
      <c r="B1650" t="s">
        <v>233</v>
      </c>
      <c r="C1650" s="1">
        <v>42370</v>
      </c>
      <c r="D1650">
        <v>10</v>
      </c>
      <c r="E1650" s="4" t="s">
        <v>15</v>
      </c>
      <c r="F1650" t="s">
        <v>21</v>
      </c>
      <c r="G1650" s="1">
        <v>45375</v>
      </c>
      <c r="H1650" s="1">
        <f>TablaDatos[[#This Row],[FechaIngreso]]+TablaDatos[[#This Row],[DiasNuevo]]</f>
        <v>45394</v>
      </c>
      <c r="I1650">
        <v>19</v>
      </c>
      <c r="J1650" t="s">
        <v>23</v>
      </c>
      <c r="K1650" s="3">
        <v>2213.39</v>
      </c>
      <c r="L1650" t="b">
        <f>TablaDatos[[#This Row],[FechaAlta]] &lt; TablaDatos[[#This Row],[FechaIngreso]]</f>
        <v>0</v>
      </c>
      <c r="M1650">
        <f>_xlfn.XLOOKUP(TablaDatos[[#This Row],[PacienteID]],'Datos_Ejemplo.csv'!A:A,'Datos_Ejemplo.csv'!I:I)</f>
        <v>19</v>
      </c>
      <c r="N1650">
        <f>ABS(TablaDatos[[#This Row],[DiasOriginal]])</f>
        <v>19</v>
      </c>
      <c r="O1650" s="1">
        <f>TablaDatos[[#This Row],[FechaIngreso]]+TablaDatos[[#This Row],[DiasNuevo]]</f>
        <v>45394</v>
      </c>
    </row>
    <row r="1651" spans="1:15">
      <c r="A1651">
        <v>1650</v>
      </c>
      <c r="B1651" t="s">
        <v>282</v>
      </c>
      <c r="C1651" s="1">
        <v>24838</v>
      </c>
      <c r="D1651">
        <v>58</v>
      </c>
      <c r="E1651" s="4" t="s">
        <v>12</v>
      </c>
      <c r="F1651" t="s">
        <v>261</v>
      </c>
      <c r="G1651" s="1">
        <v>44994</v>
      </c>
      <c r="H1651" s="1">
        <f>TablaDatos[[#This Row],[FechaIngreso]]+TablaDatos[[#This Row],[DiasNuevo]]</f>
        <v>45023</v>
      </c>
      <c r="I1651">
        <v>29</v>
      </c>
      <c r="J1651" t="s">
        <v>25</v>
      </c>
      <c r="K1651" s="3">
        <v>1655.64</v>
      </c>
      <c r="L1651" t="b">
        <f>TablaDatos[[#This Row],[FechaAlta]] &lt; TablaDatos[[#This Row],[FechaIngreso]]</f>
        <v>0</v>
      </c>
      <c r="M1651">
        <f>_xlfn.XLOOKUP(TablaDatos[[#This Row],[PacienteID]],'Datos_Ejemplo.csv'!A:A,'Datos_Ejemplo.csv'!I:I)</f>
        <v>29</v>
      </c>
      <c r="N1651">
        <f>ABS(TablaDatos[[#This Row],[DiasOriginal]])</f>
        <v>29</v>
      </c>
      <c r="O1651" s="1">
        <f>TablaDatos[[#This Row],[FechaIngreso]]+TablaDatos[[#This Row],[DiasNuevo]]</f>
        <v>45023</v>
      </c>
    </row>
    <row r="1652" spans="1:15">
      <c r="A1652">
        <v>1651</v>
      </c>
      <c r="B1652" t="s">
        <v>353</v>
      </c>
      <c r="C1652" s="1">
        <v>14246</v>
      </c>
      <c r="D1652">
        <v>87</v>
      </c>
      <c r="E1652" s="4" t="s">
        <v>12</v>
      </c>
      <c r="F1652" t="s">
        <v>201</v>
      </c>
      <c r="G1652" s="1">
        <v>45393</v>
      </c>
      <c r="H1652" s="1">
        <f>TablaDatos[[#This Row],[FechaIngreso]]+TablaDatos[[#This Row],[DiasNuevo]]</f>
        <v>45404</v>
      </c>
      <c r="I1652">
        <v>11</v>
      </c>
      <c r="J1652" t="s">
        <v>23</v>
      </c>
      <c r="K1652" s="3">
        <v>15607.27</v>
      </c>
      <c r="L1652" t="b">
        <f>TablaDatos[[#This Row],[FechaAlta]] &lt; TablaDatos[[#This Row],[FechaIngreso]]</f>
        <v>0</v>
      </c>
      <c r="M1652">
        <f>_xlfn.XLOOKUP(TablaDatos[[#This Row],[PacienteID]],'Datos_Ejemplo.csv'!A:A,'Datos_Ejemplo.csv'!I:I)</f>
        <v>11</v>
      </c>
      <c r="N1652">
        <f>ABS(TablaDatos[[#This Row],[DiasOriginal]])</f>
        <v>11</v>
      </c>
      <c r="O1652" s="1">
        <f>TablaDatos[[#This Row],[FechaIngreso]]+TablaDatos[[#This Row],[DiasNuevo]]</f>
        <v>45404</v>
      </c>
    </row>
    <row r="1653" spans="1:15">
      <c r="A1653">
        <v>1652</v>
      </c>
      <c r="B1653" t="s">
        <v>300</v>
      </c>
      <c r="C1653" s="1">
        <v>17533</v>
      </c>
      <c r="D1653">
        <v>78</v>
      </c>
      <c r="E1653" s="4" t="s">
        <v>12</v>
      </c>
      <c r="F1653" t="s">
        <v>261</v>
      </c>
      <c r="G1653" s="1">
        <v>45286</v>
      </c>
      <c r="H1653" s="1">
        <f>TablaDatos[[#This Row],[FechaIngreso]]+TablaDatos[[#This Row],[DiasNuevo]]</f>
        <v>45307</v>
      </c>
      <c r="I1653">
        <v>21</v>
      </c>
      <c r="J1653" t="s">
        <v>23</v>
      </c>
      <c r="K1653" s="3">
        <v>3034.94</v>
      </c>
      <c r="L1653" t="b">
        <f>TablaDatos[[#This Row],[FechaAlta]] &lt; TablaDatos[[#This Row],[FechaIngreso]]</f>
        <v>0</v>
      </c>
      <c r="M1653">
        <f>_xlfn.XLOOKUP(TablaDatos[[#This Row],[PacienteID]],'Datos_Ejemplo.csv'!A:A,'Datos_Ejemplo.csv'!I:I)</f>
        <v>21</v>
      </c>
      <c r="N1653">
        <f>ABS(TablaDatos[[#This Row],[DiasOriginal]])</f>
        <v>21</v>
      </c>
      <c r="O1653" s="1">
        <f>TablaDatos[[#This Row],[FechaIngreso]]+TablaDatos[[#This Row],[DiasNuevo]]</f>
        <v>45307</v>
      </c>
    </row>
    <row r="1654" spans="1:15">
      <c r="A1654">
        <v>1653</v>
      </c>
      <c r="B1654" t="s">
        <v>164</v>
      </c>
      <c r="C1654" s="1">
        <v>32508</v>
      </c>
      <c r="D1654">
        <v>37</v>
      </c>
      <c r="E1654" s="4" t="s">
        <v>12</v>
      </c>
      <c r="F1654" t="s">
        <v>18</v>
      </c>
      <c r="G1654" s="1">
        <v>45313</v>
      </c>
      <c r="H1654" s="1">
        <f>TablaDatos[[#This Row],[FechaIngreso]]+TablaDatos[[#This Row],[DiasNuevo]]</f>
        <v>45329</v>
      </c>
      <c r="I1654">
        <v>16</v>
      </c>
      <c r="J1654" t="s">
        <v>25</v>
      </c>
      <c r="K1654" s="3">
        <v>3359.06</v>
      </c>
      <c r="L1654" t="b">
        <f>TablaDatos[[#This Row],[FechaAlta]] &lt; TablaDatos[[#This Row],[FechaIngreso]]</f>
        <v>0</v>
      </c>
      <c r="M1654">
        <f>_xlfn.XLOOKUP(TablaDatos[[#This Row],[PacienteID]],'Datos_Ejemplo.csv'!A:A,'Datos_Ejemplo.csv'!I:I)</f>
        <v>16</v>
      </c>
      <c r="N1654">
        <f>ABS(TablaDatos[[#This Row],[DiasOriginal]])</f>
        <v>16</v>
      </c>
      <c r="O1654" s="1">
        <f>TablaDatos[[#This Row],[FechaIngreso]]+TablaDatos[[#This Row],[DiasNuevo]]</f>
        <v>45329</v>
      </c>
    </row>
    <row r="1655" spans="1:15">
      <c r="A1655">
        <v>1654</v>
      </c>
      <c r="B1655" t="s">
        <v>103</v>
      </c>
      <c r="C1655" s="1">
        <v>20090</v>
      </c>
      <c r="D1655">
        <v>71</v>
      </c>
      <c r="E1655" s="4" t="s">
        <v>15</v>
      </c>
      <c r="F1655" t="s">
        <v>18</v>
      </c>
      <c r="G1655" s="1">
        <v>45054</v>
      </c>
      <c r="H1655" s="1">
        <f>TablaDatos[[#This Row],[FechaIngreso]]+TablaDatos[[#This Row],[DiasNuevo]]</f>
        <v>45078</v>
      </c>
      <c r="I1655">
        <v>24</v>
      </c>
      <c r="J1655" t="s">
        <v>25</v>
      </c>
      <c r="K1655" s="3">
        <v>16601.55</v>
      </c>
      <c r="L1655" t="b">
        <f>TablaDatos[[#This Row],[FechaAlta]] &lt; TablaDatos[[#This Row],[FechaIngreso]]</f>
        <v>0</v>
      </c>
      <c r="M1655">
        <f>_xlfn.XLOOKUP(TablaDatos[[#This Row],[PacienteID]],'Datos_Ejemplo.csv'!A:A,'Datos_Ejemplo.csv'!I:I)</f>
        <v>24</v>
      </c>
      <c r="N1655">
        <f>ABS(TablaDatos[[#This Row],[DiasOriginal]])</f>
        <v>24</v>
      </c>
      <c r="O1655" s="1">
        <f>TablaDatos[[#This Row],[FechaIngreso]]+TablaDatos[[#This Row],[DiasNuevo]]</f>
        <v>45078</v>
      </c>
    </row>
    <row r="1656" spans="1:15">
      <c r="A1656">
        <v>1655</v>
      </c>
      <c r="B1656" t="s">
        <v>300</v>
      </c>
      <c r="C1656" s="1">
        <v>44561</v>
      </c>
      <c r="D1656">
        <v>4</v>
      </c>
      <c r="E1656" s="4" t="s">
        <v>15</v>
      </c>
      <c r="F1656" t="s">
        <v>32</v>
      </c>
      <c r="G1656" s="1">
        <v>45411</v>
      </c>
      <c r="H1656" s="1">
        <f>TablaDatos[[#This Row],[FechaIngreso]]+TablaDatos[[#This Row],[DiasNuevo]]</f>
        <v>45431</v>
      </c>
      <c r="I1656">
        <v>20</v>
      </c>
      <c r="J1656" t="s">
        <v>19</v>
      </c>
      <c r="K1656" s="3">
        <v>12204.01</v>
      </c>
      <c r="L1656" t="b">
        <f>TablaDatos[[#This Row],[FechaAlta]] &lt; TablaDatos[[#This Row],[FechaIngreso]]</f>
        <v>0</v>
      </c>
      <c r="M1656">
        <f>_xlfn.XLOOKUP(TablaDatos[[#This Row],[PacienteID]],'Datos_Ejemplo.csv'!A:A,'Datos_Ejemplo.csv'!I:I)</f>
        <v>20</v>
      </c>
      <c r="N1656">
        <f>ABS(TablaDatos[[#This Row],[DiasOriginal]])</f>
        <v>20</v>
      </c>
      <c r="O1656" s="1">
        <f>TablaDatos[[#This Row],[FechaIngreso]]+TablaDatos[[#This Row],[DiasNuevo]]</f>
        <v>45431</v>
      </c>
    </row>
    <row r="1657" spans="1:15">
      <c r="A1657">
        <v>1656</v>
      </c>
      <c r="B1657" t="s">
        <v>234</v>
      </c>
      <c r="C1657" s="1">
        <v>28856</v>
      </c>
      <c r="D1657">
        <v>47</v>
      </c>
      <c r="E1657" s="4" t="s">
        <v>15</v>
      </c>
      <c r="F1657" t="s">
        <v>261</v>
      </c>
      <c r="G1657" s="1">
        <v>45170</v>
      </c>
      <c r="H1657" s="1">
        <f>TablaDatos[[#This Row],[FechaIngreso]]+TablaDatos[[#This Row],[DiasNuevo]]</f>
        <v>45188</v>
      </c>
      <c r="I1657">
        <v>18</v>
      </c>
      <c r="J1657" t="s">
        <v>23</v>
      </c>
      <c r="K1657" s="3">
        <v>12054.78</v>
      </c>
      <c r="L1657" t="b">
        <f>TablaDatos[[#This Row],[FechaAlta]] &lt; TablaDatos[[#This Row],[FechaIngreso]]</f>
        <v>0</v>
      </c>
      <c r="M1657">
        <f>_xlfn.XLOOKUP(TablaDatos[[#This Row],[PacienteID]],'Datos_Ejemplo.csv'!A:A,'Datos_Ejemplo.csv'!I:I)</f>
        <v>18</v>
      </c>
      <c r="N1657">
        <f>ABS(TablaDatos[[#This Row],[DiasOriginal]])</f>
        <v>18</v>
      </c>
      <c r="O1657" s="1">
        <f>TablaDatos[[#This Row],[FechaIngreso]]+TablaDatos[[#This Row],[DiasNuevo]]</f>
        <v>45188</v>
      </c>
    </row>
    <row r="1658" spans="1:15">
      <c r="A1658">
        <v>1657</v>
      </c>
      <c r="B1658" t="s">
        <v>51</v>
      </c>
      <c r="C1658" s="1">
        <v>13515</v>
      </c>
      <c r="D1658">
        <v>89</v>
      </c>
      <c r="E1658" s="4" t="s">
        <v>15</v>
      </c>
      <c r="F1658" t="s">
        <v>21</v>
      </c>
      <c r="G1658" s="1">
        <v>44945</v>
      </c>
      <c r="H1658" s="1">
        <f>TablaDatos[[#This Row],[FechaIngreso]]+TablaDatos[[#This Row],[DiasNuevo]]</f>
        <v>44971</v>
      </c>
      <c r="I1658">
        <v>26</v>
      </c>
      <c r="J1658" t="s">
        <v>23</v>
      </c>
      <c r="K1658" s="3">
        <v>9534.85</v>
      </c>
      <c r="L1658" t="b">
        <f>TablaDatos[[#This Row],[FechaAlta]] &lt; TablaDatos[[#This Row],[FechaIngreso]]</f>
        <v>0</v>
      </c>
      <c r="M1658">
        <f>_xlfn.XLOOKUP(TablaDatos[[#This Row],[PacienteID]],'Datos_Ejemplo.csv'!A:A,'Datos_Ejemplo.csv'!I:I)</f>
        <v>26</v>
      </c>
      <c r="N1658">
        <f>ABS(TablaDatos[[#This Row],[DiasOriginal]])</f>
        <v>26</v>
      </c>
      <c r="O1658" s="1">
        <f>TablaDatos[[#This Row],[FechaIngreso]]+TablaDatos[[#This Row],[DiasNuevo]]</f>
        <v>44971</v>
      </c>
    </row>
    <row r="1659" spans="1:15">
      <c r="A1659">
        <v>1658</v>
      </c>
      <c r="B1659" t="s">
        <v>364</v>
      </c>
      <c r="C1659" s="1">
        <v>39813</v>
      </c>
      <c r="D1659">
        <v>17</v>
      </c>
      <c r="E1659" s="4" t="s">
        <v>197</v>
      </c>
      <c r="F1659" t="s">
        <v>201</v>
      </c>
      <c r="G1659" s="1">
        <v>45322</v>
      </c>
      <c r="H1659" s="1">
        <f>TablaDatos[[#This Row],[FechaIngreso]]+TablaDatos[[#This Row],[DiasNuevo]]</f>
        <v>45324</v>
      </c>
      <c r="I1659">
        <v>2</v>
      </c>
      <c r="J1659" t="s">
        <v>25</v>
      </c>
      <c r="K1659" s="3">
        <v>11336.8</v>
      </c>
      <c r="L1659" t="b">
        <f>TablaDatos[[#This Row],[FechaAlta]] &lt; TablaDatos[[#This Row],[FechaIngreso]]</f>
        <v>0</v>
      </c>
      <c r="M1659">
        <f>_xlfn.XLOOKUP(TablaDatos[[#This Row],[PacienteID]],'Datos_Ejemplo.csv'!A:A,'Datos_Ejemplo.csv'!I:I)</f>
        <v>-2</v>
      </c>
      <c r="N1659">
        <f>ABS(TablaDatos[[#This Row],[DiasOriginal]])</f>
        <v>2</v>
      </c>
      <c r="O1659" s="1">
        <f>TablaDatos[[#This Row],[FechaIngreso]]+TablaDatos[[#This Row],[DiasNuevo]]</f>
        <v>45324</v>
      </c>
    </row>
    <row r="1660" spans="1:15">
      <c r="A1660">
        <v>1659</v>
      </c>
      <c r="B1660" t="s">
        <v>335</v>
      </c>
      <c r="C1660" s="1">
        <v>20820</v>
      </c>
      <c r="D1660">
        <v>69</v>
      </c>
      <c r="E1660" s="4" t="s">
        <v>12</v>
      </c>
      <c r="F1660" t="s">
        <v>201</v>
      </c>
      <c r="G1660" s="1">
        <v>45593</v>
      </c>
      <c r="H1660" s="1">
        <f>TablaDatos[[#This Row],[FechaIngreso]]+TablaDatos[[#This Row],[DiasNuevo]]</f>
        <v>45621</v>
      </c>
      <c r="I1660">
        <v>28</v>
      </c>
      <c r="J1660" t="s">
        <v>23</v>
      </c>
      <c r="K1660" s="3">
        <v>11995.57</v>
      </c>
      <c r="L1660" t="b">
        <f>TablaDatos[[#This Row],[FechaAlta]] &lt; TablaDatos[[#This Row],[FechaIngreso]]</f>
        <v>0</v>
      </c>
      <c r="M1660">
        <f>_xlfn.XLOOKUP(TablaDatos[[#This Row],[PacienteID]],'Datos_Ejemplo.csv'!A:A,'Datos_Ejemplo.csv'!I:I)</f>
        <v>28</v>
      </c>
      <c r="N1660">
        <f>ABS(TablaDatos[[#This Row],[DiasOriginal]])</f>
        <v>28</v>
      </c>
      <c r="O1660" s="1">
        <f>TablaDatos[[#This Row],[FechaIngreso]]+TablaDatos[[#This Row],[DiasNuevo]]</f>
        <v>45621</v>
      </c>
    </row>
    <row r="1661" spans="1:15">
      <c r="A1661">
        <v>1660</v>
      </c>
      <c r="B1661" t="s">
        <v>329</v>
      </c>
      <c r="C1661" s="1">
        <v>32873</v>
      </c>
      <c r="D1661">
        <f ca="1">DATEDIF(TablaDatos[[#This Row],[FechaNacimiento]],TODAY(),"Y")</f>
        <v>36</v>
      </c>
      <c r="E1661" s="4" t="s">
        <v>15</v>
      </c>
      <c r="F1661" t="s">
        <v>13</v>
      </c>
      <c r="G1661" s="1">
        <v>45155</v>
      </c>
      <c r="H1661" s="1">
        <f>TablaDatos[[#This Row],[FechaIngreso]]+TablaDatos[[#This Row],[DiasNuevo]]</f>
        <v>45179</v>
      </c>
      <c r="I1661">
        <v>24</v>
      </c>
      <c r="J1661" t="s">
        <v>25</v>
      </c>
      <c r="K1661" s="3">
        <v>19353.310000000001</v>
      </c>
      <c r="L1661" t="b">
        <f>TablaDatos[[#This Row],[FechaAlta]] &lt; TablaDatos[[#This Row],[FechaIngreso]]</f>
        <v>0</v>
      </c>
      <c r="M1661">
        <f>_xlfn.XLOOKUP(TablaDatos[[#This Row],[PacienteID]],'Datos_Ejemplo.csv'!A:A,'Datos_Ejemplo.csv'!I:I)</f>
        <v>24</v>
      </c>
      <c r="N1661">
        <f>ABS(TablaDatos[[#This Row],[DiasOriginal]])</f>
        <v>24</v>
      </c>
      <c r="O1661" s="1">
        <f>TablaDatos[[#This Row],[FechaIngreso]]+TablaDatos[[#This Row],[DiasNuevo]]</f>
        <v>45179</v>
      </c>
    </row>
    <row r="1662" spans="1:15">
      <c r="A1662">
        <v>1661</v>
      </c>
      <c r="B1662" t="s">
        <v>354</v>
      </c>
      <c r="C1662" s="1">
        <v>24473</v>
      </c>
      <c r="D1662">
        <v>59</v>
      </c>
      <c r="E1662" s="4" t="s">
        <v>15</v>
      </c>
      <c r="F1662" t="s">
        <v>13</v>
      </c>
      <c r="G1662" s="1">
        <v>45294</v>
      </c>
      <c r="H1662" s="1">
        <f>TablaDatos[[#This Row],[FechaIngreso]]+TablaDatos[[#This Row],[DiasNuevo]]</f>
        <v>45327</v>
      </c>
      <c r="I1662">
        <v>33</v>
      </c>
      <c r="J1662" t="s">
        <v>19</v>
      </c>
      <c r="K1662" s="3">
        <v>4381.76</v>
      </c>
      <c r="L1662" t="b">
        <f>TablaDatos[[#This Row],[FechaAlta]] &lt; TablaDatos[[#This Row],[FechaIngreso]]</f>
        <v>0</v>
      </c>
      <c r="M1662">
        <f>_xlfn.XLOOKUP(TablaDatos[[#This Row],[PacienteID]],'Datos_Ejemplo.csv'!A:A,'Datos_Ejemplo.csv'!I:I)</f>
        <v>33</v>
      </c>
      <c r="N1662">
        <f>ABS(TablaDatos[[#This Row],[DiasOriginal]])</f>
        <v>33</v>
      </c>
      <c r="O1662" s="1">
        <f>TablaDatos[[#This Row],[FechaIngreso]]+TablaDatos[[#This Row],[DiasNuevo]]</f>
        <v>45327</v>
      </c>
    </row>
    <row r="1663" spans="1:15">
      <c r="A1663">
        <v>1662</v>
      </c>
      <c r="B1663" t="s">
        <v>287</v>
      </c>
      <c r="C1663" s="1">
        <v>28856</v>
      </c>
      <c r="D1663">
        <v>47</v>
      </c>
      <c r="E1663" s="4" t="s">
        <v>15</v>
      </c>
      <c r="F1663" t="s">
        <v>295</v>
      </c>
      <c r="G1663" s="1">
        <v>44984</v>
      </c>
      <c r="H1663" s="1">
        <f>TablaDatos[[#This Row],[FechaIngreso]]+TablaDatos[[#This Row],[DiasNuevo]]</f>
        <v>45008</v>
      </c>
      <c r="I1663">
        <v>24</v>
      </c>
      <c r="J1663" t="s">
        <v>23</v>
      </c>
      <c r="K1663" s="3">
        <v>4212.7</v>
      </c>
      <c r="L1663" t="b">
        <f>TablaDatos[[#This Row],[FechaAlta]] &lt; TablaDatos[[#This Row],[FechaIngreso]]</f>
        <v>0</v>
      </c>
      <c r="M1663">
        <f>_xlfn.XLOOKUP(TablaDatos[[#This Row],[PacienteID]],'Datos_Ejemplo.csv'!A:A,'Datos_Ejemplo.csv'!I:I)</f>
        <v>24</v>
      </c>
      <c r="N1663">
        <f>ABS(TablaDatos[[#This Row],[DiasOriginal]])</f>
        <v>24</v>
      </c>
      <c r="O1663" s="1">
        <f>TablaDatos[[#This Row],[FechaIngreso]]+TablaDatos[[#This Row],[DiasNuevo]]</f>
        <v>45008</v>
      </c>
    </row>
    <row r="1664" spans="1:15">
      <c r="A1664">
        <v>1663</v>
      </c>
      <c r="B1664" t="s">
        <v>164</v>
      </c>
      <c r="C1664" s="1">
        <v>18263</v>
      </c>
      <c r="D1664">
        <v>76</v>
      </c>
      <c r="E1664" s="4" t="s">
        <v>15</v>
      </c>
      <c r="F1664" t="s">
        <v>21</v>
      </c>
      <c r="G1664" s="1">
        <v>45207</v>
      </c>
      <c r="H1664" s="1">
        <f>TablaDatos[[#This Row],[FechaIngreso]]+TablaDatos[[#This Row],[DiasNuevo]]</f>
        <v>45219</v>
      </c>
      <c r="I1664">
        <v>12</v>
      </c>
      <c r="J1664" t="s">
        <v>23</v>
      </c>
      <c r="K1664" s="3">
        <v>1050.0899999999999</v>
      </c>
      <c r="L1664" t="b">
        <f>TablaDatos[[#This Row],[FechaAlta]] &lt; TablaDatos[[#This Row],[FechaIngreso]]</f>
        <v>0</v>
      </c>
      <c r="M1664">
        <f>_xlfn.XLOOKUP(TablaDatos[[#This Row],[PacienteID]],'Datos_Ejemplo.csv'!A:A,'Datos_Ejemplo.csv'!I:I)</f>
        <v>12</v>
      </c>
      <c r="N1664">
        <f>ABS(TablaDatos[[#This Row],[DiasOriginal]])</f>
        <v>12</v>
      </c>
      <c r="O1664" s="1">
        <f>TablaDatos[[#This Row],[FechaIngreso]]+TablaDatos[[#This Row],[DiasNuevo]]</f>
        <v>45219</v>
      </c>
    </row>
    <row r="1665" spans="1:15">
      <c r="A1665">
        <v>1664</v>
      </c>
      <c r="B1665" t="s">
        <v>280</v>
      </c>
      <c r="C1665" s="1">
        <v>36161</v>
      </c>
      <c r="D1665">
        <v>27</v>
      </c>
      <c r="E1665" s="4" t="s">
        <v>15</v>
      </c>
      <c r="F1665" t="s">
        <v>13</v>
      </c>
      <c r="G1665" s="1">
        <v>45483</v>
      </c>
      <c r="H1665" s="1">
        <f>TablaDatos[[#This Row],[FechaIngreso]]+TablaDatos[[#This Row],[DiasNuevo]]</f>
        <v>45505</v>
      </c>
      <c r="I1665">
        <v>22</v>
      </c>
      <c r="J1665" t="s">
        <v>23</v>
      </c>
      <c r="K1665" s="3">
        <v>13129.8</v>
      </c>
      <c r="L1665" t="b">
        <f>TablaDatos[[#This Row],[FechaAlta]] &lt; TablaDatos[[#This Row],[FechaIngreso]]</f>
        <v>0</v>
      </c>
      <c r="M1665">
        <f>_xlfn.XLOOKUP(TablaDatos[[#This Row],[PacienteID]],'Datos_Ejemplo.csv'!A:A,'Datos_Ejemplo.csv'!I:I)</f>
        <v>22</v>
      </c>
      <c r="N1665">
        <f>ABS(TablaDatos[[#This Row],[DiasOriginal]])</f>
        <v>22</v>
      </c>
      <c r="O1665" s="1">
        <f>TablaDatos[[#This Row],[FechaIngreso]]+TablaDatos[[#This Row],[DiasNuevo]]</f>
        <v>45505</v>
      </c>
    </row>
    <row r="1666" spans="1:15">
      <c r="A1666">
        <v>1665</v>
      </c>
      <c r="B1666" t="s">
        <v>51</v>
      </c>
      <c r="C1666" s="1">
        <v>21185</v>
      </c>
      <c r="D1666">
        <v>68</v>
      </c>
      <c r="E1666" s="4" t="s">
        <v>12</v>
      </c>
      <c r="F1666" t="s">
        <v>201</v>
      </c>
      <c r="G1666" s="1">
        <v>45028</v>
      </c>
      <c r="H1666" s="1">
        <f>TablaDatos[[#This Row],[FechaIngreso]]+TablaDatos[[#This Row],[DiasNuevo]]</f>
        <v>45040</v>
      </c>
      <c r="I1666">
        <v>12</v>
      </c>
      <c r="J1666" t="s">
        <v>19</v>
      </c>
      <c r="K1666" s="3">
        <v>10935.75</v>
      </c>
      <c r="L1666" t="b">
        <f>TablaDatos[[#This Row],[FechaAlta]] &lt; TablaDatos[[#This Row],[FechaIngreso]]</f>
        <v>0</v>
      </c>
      <c r="M1666">
        <f>_xlfn.XLOOKUP(TablaDatos[[#This Row],[PacienteID]],'Datos_Ejemplo.csv'!A:A,'Datos_Ejemplo.csv'!I:I)</f>
        <v>12</v>
      </c>
      <c r="N1666">
        <f>ABS(TablaDatos[[#This Row],[DiasOriginal]])</f>
        <v>12</v>
      </c>
      <c r="O1666" s="1">
        <f>TablaDatos[[#This Row],[FechaIngreso]]+TablaDatos[[#This Row],[DiasNuevo]]</f>
        <v>45040</v>
      </c>
    </row>
    <row r="1667" spans="1:15">
      <c r="A1667">
        <v>1666</v>
      </c>
      <c r="B1667" t="s">
        <v>249</v>
      </c>
      <c r="C1667" s="1">
        <v>18263</v>
      </c>
      <c r="D1667">
        <v>76</v>
      </c>
      <c r="E1667" s="4" t="s">
        <v>12</v>
      </c>
      <c r="F1667" t="s">
        <v>21</v>
      </c>
      <c r="G1667" s="1">
        <v>44974</v>
      </c>
      <c r="H1667" s="1">
        <f>TablaDatos[[#This Row],[FechaIngreso]]+TablaDatos[[#This Row],[DiasNuevo]]</f>
        <v>45011</v>
      </c>
      <c r="I1667">
        <v>37</v>
      </c>
      <c r="J1667" t="s">
        <v>23</v>
      </c>
      <c r="K1667" s="3">
        <v>2135.91</v>
      </c>
      <c r="L1667" t="b">
        <f>TablaDatos[[#This Row],[FechaAlta]] &lt; TablaDatos[[#This Row],[FechaIngreso]]</f>
        <v>0</v>
      </c>
      <c r="M1667">
        <f>_xlfn.XLOOKUP(TablaDatos[[#This Row],[PacienteID]],'Datos_Ejemplo.csv'!A:A,'Datos_Ejemplo.csv'!I:I)</f>
        <v>37</v>
      </c>
      <c r="N1667">
        <f>ABS(TablaDatos[[#This Row],[DiasOriginal]])</f>
        <v>37</v>
      </c>
      <c r="O1667" s="1">
        <f>TablaDatos[[#This Row],[FechaIngreso]]+TablaDatos[[#This Row],[DiasNuevo]]</f>
        <v>45011</v>
      </c>
    </row>
    <row r="1668" spans="1:15">
      <c r="A1668">
        <v>1667</v>
      </c>
      <c r="B1668" t="s">
        <v>348</v>
      </c>
      <c r="C1668" s="1">
        <v>16802</v>
      </c>
      <c r="D1668">
        <v>80</v>
      </c>
      <c r="E1668" s="4" t="s">
        <v>12</v>
      </c>
      <c r="F1668" t="s">
        <v>261</v>
      </c>
      <c r="G1668" s="1">
        <v>45488</v>
      </c>
      <c r="H1668" s="1">
        <f>TablaDatos[[#This Row],[FechaIngreso]]+TablaDatos[[#This Row],[DiasNuevo]]</f>
        <v>45504</v>
      </c>
      <c r="I1668">
        <v>16</v>
      </c>
      <c r="J1668" t="s">
        <v>25</v>
      </c>
      <c r="K1668" s="3">
        <v>7227.23</v>
      </c>
      <c r="L1668" t="b">
        <f>TablaDatos[[#This Row],[FechaAlta]] &lt; TablaDatos[[#This Row],[FechaIngreso]]</f>
        <v>0</v>
      </c>
      <c r="M1668">
        <f>_xlfn.XLOOKUP(TablaDatos[[#This Row],[PacienteID]],'Datos_Ejemplo.csv'!A:A,'Datos_Ejemplo.csv'!I:I)</f>
        <v>16</v>
      </c>
      <c r="N1668">
        <f>ABS(TablaDatos[[#This Row],[DiasOriginal]])</f>
        <v>16</v>
      </c>
      <c r="O1668" s="1">
        <f>TablaDatos[[#This Row],[FechaIngreso]]+TablaDatos[[#This Row],[DiasNuevo]]</f>
        <v>45504</v>
      </c>
    </row>
    <row r="1669" spans="1:15">
      <c r="A1669">
        <v>1668</v>
      </c>
      <c r="B1669" t="s">
        <v>250</v>
      </c>
      <c r="C1669" s="1">
        <v>31778</v>
      </c>
      <c r="D1669">
        <v>39</v>
      </c>
      <c r="E1669" s="4" t="s">
        <v>15</v>
      </c>
      <c r="F1669" t="s">
        <v>21</v>
      </c>
      <c r="G1669" s="1">
        <v>45519</v>
      </c>
      <c r="H1669" s="1">
        <f>TablaDatos[[#This Row],[FechaIngreso]]+TablaDatos[[#This Row],[DiasNuevo]]</f>
        <v>45527</v>
      </c>
      <c r="I1669">
        <v>8</v>
      </c>
      <c r="J1669" t="s">
        <v>19</v>
      </c>
      <c r="K1669" s="3">
        <v>3491.13</v>
      </c>
      <c r="L1669" t="b">
        <f>TablaDatos[[#This Row],[FechaAlta]] &lt; TablaDatos[[#This Row],[FechaIngreso]]</f>
        <v>0</v>
      </c>
      <c r="M1669">
        <f>_xlfn.XLOOKUP(TablaDatos[[#This Row],[PacienteID]],'Datos_Ejemplo.csv'!A:A,'Datos_Ejemplo.csv'!I:I)</f>
        <v>8</v>
      </c>
      <c r="N1669">
        <f>ABS(TablaDatos[[#This Row],[DiasOriginal]])</f>
        <v>8</v>
      </c>
      <c r="O1669" s="1">
        <f>TablaDatos[[#This Row],[FechaIngreso]]+TablaDatos[[#This Row],[DiasNuevo]]</f>
        <v>45527</v>
      </c>
    </row>
    <row r="1670" spans="1:15">
      <c r="A1670">
        <v>1669</v>
      </c>
      <c r="B1670" t="s">
        <v>352</v>
      </c>
      <c r="C1670" s="1">
        <v>29951</v>
      </c>
      <c r="D1670">
        <v>44</v>
      </c>
      <c r="E1670" s="4" t="s">
        <v>15</v>
      </c>
      <c r="F1670" t="s">
        <v>13</v>
      </c>
      <c r="G1670" s="1">
        <v>44985</v>
      </c>
      <c r="H1670" s="1">
        <f>TablaDatos[[#This Row],[FechaIngreso]]+TablaDatos[[#This Row],[DiasNuevo]]</f>
        <v>45023</v>
      </c>
      <c r="I1670">
        <v>38</v>
      </c>
      <c r="J1670" t="s">
        <v>19</v>
      </c>
      <c r="K1670" s="3">
        <v>6562.78</v>
      </c>
      <c r="L1670" t="b">
        <f>TablaDatos[[#This Row],[FechaAlta]] &lt; TablaDatos[[#This Row],[FechaIngreso]]</f>
        <v>0</v>
      </c>
      <c r="M1670">
        <f>_xlfn.XLOOKUP(TablaDatos[[#This Row],[PacienteID]],'Datos_Ejemplo.csv'!A:A,'Datos_Ejemplo.csv'!I:I)</f>
        <v>38</v>
      </c>
      <c r="N1670">
        <f>ABS(TablaDatos[[#This Row],[DiasOriginal]])</f>
        <v>38</v>
      </c>
      <c r="O1670" s="1">
        <f>TablaDatos[[#This Row],[FechaIngreso]]+TablaDatos[[#This Row],[DiasNuevo]]</f>
        <v>45023</v>
      </c>
    </row>
    <row r="1671" spans="1:15">
      <c r="A1671">
        <v>1670</v>
      </c>
      <c r="B1671" t="s">
        <v>242</v>
      </c>
      <c r="C1671" s="1">
        <v>23742</v>
      </c>
      <c r="D1671">
        <v>61</v>
      </c>
      <c r="E1671" s="4" t="s">
        <v>12</v>
      </c>
      <c r="F1671" t="s">
        <v>201</v>
      </c>
      <c r="G1671" s="1">
        <v>45087</v>
      </c>
      <c r="H1671" s="1">
        <f>TablaDatos[[#This Row],[FechaIngreso]]+TablaDatos[[#This Row],[DiasNuevo]]</f>
        <v>45117</v>
      </c>
      <c r="I1671">
        <v>30</v>
      </c>
      <c r="J1671" t="s">
        <v>23</v>
      </c>
      <c r="K1671" s="3">
        <v>19020.41</v>
      </c>
      <c r="L1671" t="b">
        <f>TablaDatos[[#This Row],[FechaAlta]] &lt; TablaDatos[[#This Row],[FechaIngreso]]</f>
        <v>0</v>
      </c>
      <c r="M1671">
        <f>_xlfn.XLOOKUP(TablaDatos[[#This Row],[PacienteID]],'Datos_Ejemplo.csv'!A:A,'Datos_Ejemplo.csv'!I:I)</f>
        <v>30</v>
      </c>
      <c r="N1671">
        <f>ABS(TablaDatos[[#This Row],[DiasOriginal]])</f>
        <v>30</v>
      </c>
      <c r="O1671" s="1">
        <f>TablaDatos[[#This Row],[FechaIngreso]]+TablaDatos[[#This Row],[DiasNuevo]]</f>
        <v>45117</v>
      </c>
    </row>
    <row r="1672" spans="1:15">
      <c r="A1672">
        <v>1671</v>
      </c>
      <c r="B1672" t="s">
        <v>338</v>
      </c>
      <c r="C1672" s="1">
        <v>12419</v>
      </c>
      <c r="D1672">
        <f ca="1">DATEDIF(TablaDatos[[#This Row],[FechaNacimiento]],TODAY(),"Y")</f>
        <v>92</v>
      </c>
      <c r="E1672" s="4" t="s">
        <v>12</v>
      </c>
      <c r="F1672" t="s">
        <v>21</v>
      </c>
      <c r="G1672" s="1">
        <v>45029</v>
      </c>
      <c r="H1672" s="1">
        <f>TablaDatos[[#This Row],[FechaIngreso]]+TablaDatos[[#This Row],[DiasNuevo]]</f>
        <v>45067</v>
      </c>
      <c r="I1672">
        <v>38</v>
      </c>
      <c r="J1672" t="s">
        <v>23</v>
      </c>
      <c r="K1672" s="3">
        <v>13634.71</v>
      </c>
      <c r="L1672" t="b">
        <f>TablaDatos[[#This Row],[FechaAlta]] &lt; TablaDatos[[#This Row],[FechaIngreso]]</f>
        <v>0</v>
      </c>
      <c r="M1672">
        <f>_xlfn.XLOOKUP(TablaDatos[[#This Row],[PacienteID]],'Datos_Ejemplo.csv'!A:A,'Datos_Ejemplo.csv'!I:I)</f>
        <v>38</v>
      </c>
      <c r="N1672">
        <f>ABS(TablaDatos[[#This Row],[DiasOriginal]])</f>
        <v>38</v>
      </c>
      <c r="O1672" s="1">
        <f>TablaDatos[[#This Row],[FechaIngreso]]+TablaDatos[[#This Row],[DiasNuevo]]</f>
        <v>45067</v>
      </c>
    </row>
    <row r="1673" spans="1:15">
      <c r="A1673">
        <v>1672</v>
      </c>
      <c r="B1673" t="s">
        <v>281</v>
      </c>
      <c r="C1673" s="1">
        <v>25203</v>
      </c>
      <c r="D1673">
        <v>57</v>
      </c>
      <c r="E1673" s="4" t="s">
        <v>12</v>
      </c>
      <c r="F1673" t="s">
        <v>18</v>
      </c>
      <c r="G1673" s="1">
        <v>45338</v>
      </c>
      <c r="H1673" s="1">
        <f>TablaDatos[[#This Row],[FechaIngreso]]+TablaDatos[[#This Row],[DiasNuevo]]</f>
        <v>45358</v>
      </c>
      <c r="I1673">
        <v>20</v>
      </c>
      <c r="J1673" t="s">
        <v>19</v>
      </c>
      <c r="K1673" s="3">
        <v>52.14</v>
      </c>
      <c r="L1673" t="b">
        <f>TablaDatos[[#This Row],[FechaAlta]] &lt; TablaDatos[[#This Row],[FechaIngreso]]</f>
        <v>0</v>
      </c>
      <c r="M1673">
        <f>_xlfn.XLOOKUP(TablaDatos[[#This Row],[PacienteID]],'Datos_Ejemplo.csv'!A:A,'Datos_Ejemplo.csv'!I:I)</f>
        <v>20</v>
      </c>
      <c r="N1673">
        <f>ABS(TablaDatos[[#This Row],[DiasOriginal]])</f>
        <v>20</v>
      </c>
      <c r="O1673" s="1">
        <f>TablaDatos[[#This Row],[FechaIngreso]]+TablaDatos[[#This Row],[DiasNuevo]]</f>
        <v>45358</v>
      </c>
    </row>
    <row r="1674" spans="1:15">
      <c r="A1674">
        <v>1673</v>
      </c>
      <c r="B1674" t="s">
        <v>233</v>
      </c>
      <c r="C1674" s="1">
        <v>21916</v>
      </c>
      <c r="D1674">
        <v>66</v>
      </c>
      <c r="E1674" s="4" t="s">
        <v>12</v>
      </c>
      <c r="F1674" t="s">
        <v>295</v>
      </c>
      <c r="G1674" s="1">
        <v>45109</v>
      </c>
      <c r="H1674" s="1">
        <f>TablaDatos[[#This Row],[FechaIngreso]]+TablaDatos[[#This Row],[DiasNuevo]]</f>
        <v>45118</v>
      </c>
      <c r="I1674">
        <v>9</v>
      </c>
      <c r="J1674" t="s">
        <v>23</v>
      </c>
      <c r="K1674" s="3">
        <v>4975.41</v>
      </c>
      <c r="L1674" t="b">
        <f>TablaDatos[[#This Row],[FechaAlta]] &lt; TablaDatos[[#This Row],[FechaIngreso]]</f>
        <v>0</v>
      </c>
      <c r="M1674">
        <f>_xlfn.XLOOKUP(TablaDatos[[#This Row],[PacienteID]],'Datos_Ejemplo.csv'!A:A,'Datos_Ejemplo.csv'!I:I)</f>
        <v>9</v>
      </c>
      <c r="N1674">
        <f>ABS(TablaDatos[[#This Row],[DiasOriginal]])</f>
        <v>9</v>
      </c>
      <c r="O1674" s="1">
        <f>TablaDatos[[#This Row],[FechaIngreso]]+TablaDatos[[#This Row],[DiasNuevo]]</f>
        <v>45118</v>
      </c>
    </row>
    <row r="1675" spans="1:15">
      <c r="A1675">
        <v>1674</v>
      </c>
      <c r="B1675" t="s">
        <v>161</v>
      </c>
      <c r="C1675" s="1">
        <v>25934</v>
      </c>
      <c r="D1675">
        <f ca="1">DATEDIF(TablaDatos[[#This Row],[FechaNacimiento]],TODAY(),"Y")</f>
        <v>55</v>
      </c>
      <c r="E1675" s="4" t="s">
        <v>12</v>
      </c>
      <c r="F1675" t="s">
        <v>32</v>
      </c>
      <c r="G1675" s="1">
        <v>45343</v>
      </c>
      <c r="H1675" s="1">
        <f>TablaDatos[[#This Row],[FechaIngreso]]+TablaDatos[[#This Row],[DiasNuevo]]</f>
        <v>45344</v>
      </c>
      <c r="I1675">
        <v>1</v>
      </c>
      <c r="J1675" t="s">
        <v>23</v>
      </c>
      <c r="K1675" s="3">
        <v>108.27</v>
      </c>
      <c r="L1675" t="b">
        <f>TablaDatos[[#This Row],[FechaAlta]] &lt; TablaDatos[[#This Row],[FechaIngreso]]</f>
        <v>0</v>
      </c>
      <c r="M1675">
        <f>_xlfn.XLOOKUP(TablaDatos[[#This Row],[PacienteID]],'Datos_Ejemplo.csv'!A:A,'Datos_Ejemplo.csv'!I:I)</f>
        <v>-1</v>
      </c>
      <c r="N1675">
        <f>ABS(TablaDatos[[#This Row],[DiasOriginal]])</f>
        <v>1</v>
      </c>
      <c r="O1675" s="1">
        <f>TablaDatos[[#This Row],[FechaIngreso]]+TablaDatos[[#This Row],[DiasNuevo]]</f>
        <v>45344</v>
      </c>
    </row>
    <row r="1676" spans="1:15">
      <c r="A1676">
        <v>1675</v>
      </c>
      <c r="B1676" t="s">
        <v>235</v>
      </c>
      <c r="C1676" s="1">
        <v>31778</v>
      </c>
      <c r="D1676">
        <v>39</v>
      </c>
      <c r="E1676" s="4" t="s">
        <v>12</v>
      </c>
      <c r="F1676" t="s">
        <v>201</v>
      </c>
      <c r="G1676" s="1">
        <v>45042</v>
      </c>
      <c r="H1676" s="1">
        <f>TablaDatos[[#This Row],[FechaIngreso]]+TablaDatos[[#This Row],[DiasNuevo]]</f>
        <v>45060</v>
      </c>
      <c r="I1676">
        <v>18</v>
      </c>
      <c r="J1676" t="s">
        <v>19</v>
      </c>
      <c r="K1676" s="3">
        <v>14268.86</v>
      </c>
      <c r="L1676" t="b">
        <f>TablaDatos[[#This Row],[FechaAlta]] &lt; TablaDatos[[#This Row],[FechaIngreso]]</f>
        <v>0</v>
      </c>
      <c r="M1676">
        <f>_xlfn.XLOOKUP(TablaDatos[[#This Row],[PacienteID]],'Datos_Ejemplo.csv'!A:A,'Datos_Ejemplo.csv'!I:I)</f>
        <v>18</v>
      </c>
      <c r="N1676">
        <f>ABS(TablaDatos[[#This Row],[DiasOriginal]])</f>
        <v>18</v>
      </c>
      <c r="O1676" s="1">
        <f>TablaDatos[[#This Row],[FechaIngreso]]+TablaDatos[[#This Row],[DiasNuevo]]</f>
        <v>45060</v>
      </c>
    </row>
    <row r="1677" spans="1:15">
      <c r="A1677">
        <v>1676</v>
      </c>
      <c r="B1677" t="s">
        <v>151</v>
      </c>
      <c r="C1677" s="1">
        <v>31778</v>
      </c>
      <c r="D1677">
        <v>39</v>
      </c>
      <c r="E1677" s="4" t="s">
        <v>15</v>
      </c>
      <c r="F1677" t="s">
        <v>13</v>
      </c>
      <c r="G1677" s="1">
        <v>45325</v>
      </c>
      <c r="H1677" s="1">
        <f>TablaDatos[[#This Row],[FechaIngreso]]+TablaDatos[[#This Row],[DiasNuevo]]</f>
        <v>45336</v>
      </c>
      <c r="I1677">
        <v>11</v>
      </c>
      <c r="J1677" t="s">
        <v>23</v>
      </c>
      <c r="K1677" s="3">
        <v>9335.3799999999992</v>
      </c>
      <c r="L1677" t="b">
        <f>TablaDatos[[#This Row],[FechaAlta]] &lt; TablaDatos[[#This Row],[FechaIngreso]]</f>
        <v>0</v>
      </c>
      <c r="M1677">
        <f>_xlfn.XLOOKUP(TablaDatos[[#This Row],[PacienteID]],'Datos_Ejemplo.csv'!A:A,'Datos_Ejemplo.csv'!I:I)</f>
        <v>11</v>
      </c>
      <c r="N1677">
        <f>ABS(TablaDatos[[#This Row],[DiasOriginal]])</f>
        <v>11</v>
      </c>
      <c r="O1677" s="1">
        <f>TablaDatos[[#This Row],[FechaIngreso]]+TablaDatos[[#This Row],[DiasNuevo]]</f>
        <v>45336</v>
      </c>
    </row>
    <row r="1678" spans="1:15">
      <c r="A1678">
        <v>1677</v>
      </c>
      <c r="B1678" t="s">
        <v>243</v>
      </c>
      <c r="C1678" s="1">
        <v>13150</v>
      </c>
      <c r="D1678">
        <v>90</v>
      </c>
      <c r="E1678" s="4" t="s">
        <v>12</v>
      </c>
      <c r="F1678" t="s">
        <v>261</v>
      </c>
      <c r="G1678" s="1">
        <v>45602</v>
      </c>
      <c r="H1678" s="1">
        <f>TablaDatos[[#This Row],[FechaIngreso]]+TablaDatos[[#This Row],[DiasNuevo]]</f>
        <v>45633</v>
      </c>
      <c r="I1678">
        <v>31</v>
      </c>
      <c r="J1678" t="s">
        <v>25</v>
      </c>
      <c r="K1678" s="3">
        <v>19879.78</v>
      </c>
      <c r="L1678" t="b">
        <f>TablaDatos[[#This Row],[FechaAlta]] &lt; TablaDatos[[#This Row],[FechaIngreso]]</f>
        <v>0</v>
      </c>
      <c r="M1678">
        <f>_xlfn.XLOOKUP(TablaDatos[[#This Row],[PacienteID]],'Datos_Ejemplo.csv'!A:A,'Datos_Ejemplo.csv'!I:I)</f>
        <v>31</v>
      </c>
      <c r="N1678">
        <f>ABS(TablaDatos[[#This Row],[DiasOriginal]])</f>
        <v>31</v>
      </c>
      <c r="O1678" s="1">
        <f>TablaDatos[[#This Row],[FechaIngreso]]+TablaDatos[[#This Row],[DiasNuevo]]</f>
        <v>45633</v>
      </c>
    </row>
    <row r="1679" spans="1:15">
      <c r="A1679">
        <v>1678</v>
      </c>
      <c r="B1679" t="s">
        <v>330</v>
      </c>
      <c r="C1679" s="1">
        <v>18263</v>
      </c>
      <c r="D1679">
        <f ca="1">DATEDIF(TablaDatos[[#This Row],[FechaNacimiento]],TODAY(),"Y")</f>
        <v>76</v>
      </c>
      <c r="E1679" s="4" t="s">
        <v>15</v>
      </c>
      <c r="F1679" t="s">
        <v>32</v>
      </c>
      <c r="G1679" s="1">
        <v>45581</v>
      </c>
      <c r="H1679" s="1">
        <f>TablaDatos[[#This Row],[FechaIngreso]]+TablaDatos[[#This Row],[DiasNuevo]]</f>
        <v>45593</v>
      </c>
      <c r="I1679">
        <v>12</v>
      </c>
      <c r="J1679" t="s">
        <v>25</v>
      </c>
      <c r="K1679" s="3">
        <v>14645.02</v>
      </c>
      <c r="L1679" t="b">
        <f>TablaDatos[[#This Row],[FechaAlta]] &lt; TablaDatos[[#This Row],[FechaIngreso]]</f>
        <v>0</v>
      </c>
      <c r="M1679">
        <f>_xlfn.XLOOKUP(TablaDatos[[#This Row],[PacienteID]],'Datos_Ejemplo.csv'!A:A,'Datos_Ejemplo.csv'!I:I)</f>
        <v>12</v>
      </c>
      <c r="N1679">
        <f>ABS(TablaDatos[[#This Row],[DiasOriginal]])</f>
        <v>12</v>
      </c>
      <c r="O1679" s="1">
        <f>TablaDatos[[#This Row],[FechaIngreso]]+TablaDatos[[#This Row],[DiasNuevo]]</f>
        <v>45593</v>
      </c>
    </row>
    <row r="1680" spans="1:15">
      <c r="A1680">
        <v>1679</v>
      </c>
      <c r="B1680" t="s">
        <v>279</v>
      </c>
      <c r="C1680" s="1">
        <v>34334</v>
      </c>
      <c r="D1680">
        <v>32</v>
      </c>
      <c r="E1680" s="4" t="s">
        <v>15</v>
      </c>
      <c r="F1680" t="s">
        <v>295</v>
      </c>
      <c r="G1680" s="1">
        <v>45363</v>
      </c>
      <c r="H1680" s="1">
        <f>TablaDatos[[#This Row],[FechaIngreso]]+TablaDatos[[#This Row],[DiasNuevo]]</f>
        <v>45381</v>
      </c>
      <c r="I1680">
        <v>18</v>
      </c>
      <c r="J1680" t="s">
        <v>25</v>
      </c>
      <c r="K1680" s="3">
        <v>10310.049999999999</v>
      </c>
      <c r="L1680" t="b">
        <f>TablaDatos[[#This Row],[FechaAlta]] &lt; TablaDatos[[#This Row],[FechaIngreso]]</f>
        <v>0</v>
      </c>
      <c r="M1680">
        <f>_xlfn.XLOOKUP(TablaDatos[[#This Row],[PacienteID]],'Datos_Ejemplo.csv'!A:A,'Datos_Ejemplo.csv'!I:I)</f>
        <v>18</v>
      </c>
      <c r="N1680">
        <f>ABS(TablaDatos[[#This Row],[DiasOriginal]])</f>
        <v>18</v>
      </c>
      <c r="O1680" s="1">
        <f>TablaDatos[[#This Row],[FechaIngreso]]+TablaDatos[[#This Row],[DiasNuevo]]</f>
        <v>45381</v>
      </c>
    </row>
    <row r="1681" spans="1:15">
      <c r="A1681">
        <v>1680</v>
      </c>
      <c r="B1681" t="s">
        <v>335</v>
      </c>
      <c r="C1681" s="1">
        <v>44196</v>
      </c>
      <c r="D1681">
        <v>5</v>
      </c>
      <c r="E1681" s="4" t="s">
        <v>12</v>
      </c>
      <c r="F1681" t="s">
        <v>201</v>
      </c>
      <c r="G1681" s="1">
        <v>45244</v>
      </c>
      <c r="H1681" s="1">
        <f>TablaDatos[[#This Row],[FechaIngreso]]+TablaDatos[[#This Row],[DiasNuevo]]</f>
        <v>45264</v>
      </c>
      <c r="I1681">
        <v>20</v>
      </c>
      <c r="J1681" t="s">
        <v>23</v>
      </c>
      <c r="K1681" s="3">
        <v>16074.58</v>
      </c>
      <c r="L1681" t="b">
        <f>TablaDatos[[#This Row],[FechaAlta]] &lt; TablaDatos[[#This Row],[FechaIngreso]]</f>
        <v>0</v>
      </c>
      <c r="M1681">
        <f>_xlfn.XLOOKUP(TablaDatos[[#This Row],[PacienteID]],'Datos_Ejemplo.csv'!A:A,'Datos_Ejemplo.csv'!I:I)</f>
        <v>20</v>
      </c>
      <c r="N1681">
        <f>ABS(TablaDatos[[#This Row],[DiasOriginal]])</f>
        <v>20</v>
      </c>
      <c r="O1681" s="1">
        <f>TablaDatos[[#This Row],[FechaIngreso]]+TablaDatos[[#This Row],[DiasNuevo]]</f>
        <v>45264</v>
      </c>
    </row>
    <row r="1682" spans="1:15">
      <c r="A1682">
        <v>1681</v>
      </c>
      <c r="B1682" t="s">
        <v>274</v>
      </c>
      <c r="C1682" s="1">
        <v>14246</v>
      </c>
      <c r="D1682">
        <v>87</v>
      </c>
      <c r="E1682" s="4" t="s">
        <v>15</v>
      </c>
      <c r="F1682" t="s">
        <v>201</v>
      </c>
      <c r="G1682" s="1">
        <v>45532</v>
      </c>
      <c r="H1682" s="1">
        <f>TablaDatos[[#This Row],[FechaIngreso]]+TablaDatos[[#This Row],[DiasNuevo]]</f>
        <v>45550</v>
      </c>
      <c r="I1682">
        <v>18</v>
      </c>
      <c r="J1682" t="s">
        <v>23</v>
      </c>
      <c r="K1682" s="3">
        <v>14066.55</v>
      </c>
      <c r="L1682" t="b">
        <f>TablaDatos[[#This Row],[FechaAlta]] &lt; TablaDatos[[#This Row],[FechaIngreso]]</f>
        <v>0</v>
      </c>
      <c r="M1682">
        <f>_xlfn.XLOOKUP(TablaDatos[[#This Row],[PacienteID]],'Datos_Ejemplo.csv'!A:A,'Datos_Ejemplo.csv'!I:I)</f>
        <v>18</v>
      </c>
      <c r="N1682">
        <f>ABS(TablaDatos[[#This Row],[DiasOriginal]])</f>
        <v>18</v>
      </c>
      <c r="O1682" s="1">
        <f>TablaDatos[[#This Row],[FechaIngreso]]+TablaDatos[[#This Row],[DiasNuevo]]</f>
        <v>45550</v>
      </c>
    </row>
    <row r="1683" spans="1:15">
      <c r="A1683">
        <v>1682</v>
      </c>
      <c r="B1683" t="s">
        <v>335</v>
      </c>
      <c r="C1683" s="1">
        <v>39448</v>
      </c>
      <c r="D1683">
        <v>18</v>
      </c>
      <c r="E1683" s="4" t="s">
        <v>15</v>
      </c>
      <c r="F1683" t="s">
        <v>18</v>
      </c>
      <c r="G1683" s="1">
        <v>45176</v>
      </c>
      <c r="H1683" s="1">
        <f>TablaDatos[[#This Row],[FechaIngreso]]+TablaDatos[[#This Row],[DiasNuevo]]</f>
        <v>45187</v>
      </c>
      <c r="I1683">
        <v>11</v>
      </c>
      <c r="J1683" t="s">
        <v>23</v>
      </c>
      <c r="K1683" s="3">
        <v>4799.8999999999996</v>
      </c>
      <c r="L1683" t="b">
        <f>TablaDatos[[#This Row],[FechaAlta]] &lt; TablaDatos[[#This Row],[FechaIngreso]]</f>
        <v>0</v>
      </c>
      <c r="M1683">
        <f>_xlfn.XLOOKUP(TablaDatos[[#This Row],[PacienteID]],'Datos_Ejemplo.csv'!A:A,'Datos_Ejemplo.csv'!I:I)</f>
        <v>11</v>
      </c>
      <c r="N1683">
        <f>ABS(TablaDatos[[#This Row],[DiasOriginal]])</f>
        <v>11</v>
      </c>
      <c r="O1683" s="1">
        <f>TablaDatos[[#This Row],[FechaIngreso]]+TablaDatos[[#This Row],[DiasNuevo]]</f>
        <v>45187</v>
      </c>
    </row>
    <row r="1684" spans="1:15">
      <c r="A1684">
        <v>1683</v>
      </c>
      <c r="B1684" t="s">
        <v>297</v>
      </c>
      <c r="C1684" s="1">
        <f ca="1">DATE(YEAR(TODAY())-TablaDatos[[#This Row],[Edad]],1,1)</f>
        <v>17168</v>
      </c>
      <c r="D1684">
        <v>79</v>
      </c>
      <c r="E1684" s="4" t="s">
        <v>15</v>
      </c>
      <c r="F1684" t="s">
        <v>18</v>
      </c>
      <c r="G1684" s="1">
        <v>45373</v>
      </c>
      <c r="H1684" s="1">
        <f>TablaDatos[[#This Row],[FechaIngreso]]+TablaDatos[[#This Row],[DiasNuevo]]</f>
        <v>45391</v>
      </c>
      <c r="I1684">
        <v>18</v>
      </c>
      <c r="J1684" t="s">
        <v>25</v>
      </c>
      <c r="K1684" s="3">
        <v>10558.19</v>
      </c>
      <c r="L1684" t="b">
        <f>TablaDatos[[#This Row],[FechaAlta]] &lt; TablaDatos[[#This Row],[FechaIngreso]]</f>
        <v>0</v>
      </c>
      <c r="M1684">
        <f>_xlfn.XLOOKUP(TablaDatos[[#This Row],[PacienteID]],'Datos_Ejemplo.csv'!A:A,'Datos_Ejemplo.csv'!I:I)</f>
        <v>18</v>
      </c>
      <c r="N1684">
        <f>ABS(TablaDatos[[#This Row],[DiasOriginal]])</f>
        <v>18</v>
      </c>
      <c r="O1684" s="1">
        <f>TablaDatos[[#This Row],[FechaIngreso]]+TablaDatos[[#This Row],[DiasNuevo]]</f>
        <v>45391</v>
      </c>
    </row>
    <row r="1685" spans="1:15">
      <c r="A1685">
        <v>1684</v>
      </c>
      <c r="B1685" t="s">
        <v>102</v>
      </c>
      <c r="C1685" s="1">
        <v>31778</v>
      </c>
      <c r="D1685">
        <v>39</v>
      </c>
      <c r="E1685" s="4" t="s">
        <v>15</v>
      </c>
      <c r="F1685" t="s">
        <v>18</v>
      </c>
      <c r="G1685" s="1">
        <v>45423</v>
      </c>
      <c r="H1685" s="1">
        <f>TablaDatos[[#This Row],[FechaIngreso]]+TablaDatos[[#This Row],[DiasNuevo]]</f>
        <v>45432</v>
      </c>
      <c r="I1685">
        <v>9</v>
      </c>
      <c r="J1685" t="s">
        <v>23</v>
      </c>
      <c r="K1685" s="3">
        <v>11075.57</v>
      </c>
      <c r="L1685" t="b">
        <f>TablaDatos[[#This Row],[FechaAlta]] &lt; TablaDatos[[#This Row],[FechaIngreso]]</f>
        <v>0</v>
      </c>
      <c r="M1685">
        <f>_xlfn.XLOOKUP(TablaDatos[[#This Row],[PacienteID]],'Datos_Ejemplo.csv'!A:A,'Datos_Ejemplo.csv'!I:I)</f>
        <v>9</v>
      </c>
      <c r="N1685">
        <f>ABS(TablaDatos[[#This Row],[DiasOriginal]])</f>
        <v>9</v>
      </c>
      <c r="O1685" s="1">
        <f>TablaDatos[[#This Row],[FechaIngreso]]+TablaDatos[[#This Row],[DiasNuevo]]</f>
        <v>45432</v>
      </c>
    </row>
    <row r="1686" spans="1:15">
      <c r="A1686">
        <v>1685</v>
      </c>
      <c r="B1686" t="s">
        <v>299</v>
      </c>
      <c r="C1686" s="1">
        <v>12785</v>
      </c>
      <c r="D1686">
        <v>91</v>
      </c>
      <c r="E1686" s="4" t="s">
        <v>15</v>
      </c>
      <c r="F1686" t="s">
        <v>18</v>
      </c>
      <c r="G1686" s="1">
        <v>45269</v>
      </c>
      <c r="H1686" s="1">
        <f>TablaDatos[[#This Row],[FechaIngreso]]+TablaDatos[[#This Row],[DiasNuevo]]</f>
        <v>45308</v>
      </c>
      <c r="I1686">
        <v>39</v>
      </c>
      <c r="J1686" t="s">
        <v>19</v>
      </c>
      <c r="K1686" s="3">
        <v>8969.76</v>
      </c>
      <c r="L1686" t="b">
        <f>TablaDatos[[#This Row],[FechaAlta]] &lt; TablaDatos[[#This Row],[FechaIngreso]]</f>
        <v>0</v>
      </c>
      <c r="M1686">
        <f>_xlfn.XLOOKUP(TablaDatos[[#This Row],[PacienteID]],'Datos_Ejemplo.csv'!A:A,'Datos_Ejemplo.csv'!I:I)</f>
        <v>39</v>
      </c>
      <c r="N1686">
        <f>ABS(TablaDatos[[#This Row],[DiasOriginal]])</f>
        <v>39</v>
      </c>
      <c r="O1686" s="1">
        <f>TablaDatos[[#This Row],[FechaIngreso]]+TablaDatos[[#This Row],[DiasNuevo]]</f>
        <v>45308</v>
      </c>
    </row>
    <row r="1687" spans="1:15">
      <c r="A1687">
        <v>1686</v>
      </c>
      <c r="B1687" t="s">
        <v>350</v>
      </c>
      <c r="C1687" s="1">
        <v>24838</v>
      </c>
      <c r="D1687">
        <v>58</v>
      </c>
      <c r="E1687" s="4" t="s">
        <v>15</v>
      </c>
      <c r="F1687" t="s">
        <v>13</v>
      </c>
      <c r="G1687" s="1">
        <v>45353</v>
      </c>
      <c r="H1687" s="1">
        <f>TablaDatos[[#This Row],[FechaIngreso]]+TablaDatos[[#This Row],[DiasNuevo]]</f>
        <v>45355</v>
      </c>
      <c r="I1687">
        <v>2</v>
      </c>
      <c r="J1687" t="s">
        <v>19</v>
      </c>
      <c r="K1687" s="3">
        <v>3501.77</v>
      </c>
      <c r="L1687" t="b">
        <f>TablaDatos[[#This Row],[FechaAlta]] &lt; TablaDatos[[#This Row],[FechaIngreso]]</f>
        <v>0</v>
      </c>
      <c r="M1687">
        <f>_xlfn.XLOOKUP(TablaDatos[[#This Row],[PacienteID]],'Datos_Ejemplo.csv'!A:A,'Datos_Ejemplo.csv'!I:I)</f>
        <v>2</v>
      </c>
      <c r="N1687">
        <f>ABS(TablaDatos[[#This Row],[DiasOriginal]])</f>
        <v>2</v>
      </c>
      <c r="O1687" s="1">
        <f>TablaDatos[[#This Row],[FechaIngreso]]+TablaDatos[[#This Row],[DiasNuevo]]</f>
        <v>45355</v>
      </c>
    </row>
    <row r="1688" spans="1:15">
      <c r="A1688">
        <v>1687</v>
      </c>
      <c r="B1688" t="s">
        <v>49</v>
      </c>
      <c r="C1688" s="1">
        <v>24838</v>
      </c>
      <c r="D1688">
        <v>58</v>
      </c>
      <c r="E1688" s="4" t="s">
        <v>15</v>
      </c>
      <c r="F1688" t="s">
        <v>201</v>
      </c>
      <c r="G1688" s="1">
        <v>45166</v>
      </c>
      <c r="H1688" s="1">
        <f>TablaDatos[[#This Row],[FechaIngreso]]+TablaDatos[[#This Row],[DiasNuevo]]</f>
        <v>45167</v>
      </c>
      <c r="I1688">
        <v>1</v>
      </c>
      <c r="J1688" t="s">
        <v>25</v>
      </c>
      <c r="K1688" s="3">
        <v>4389.72</v>
      </c>
      <c r="L1688" t="b">
        <f>TablaDatos[[#This Row],[FechaAlta]] &lt; TablaDatos[[#This Row],[FechaIngreso]]</f>
        <v>0</v>
      </c>
      <c r="M1688">
        <f>_xlfn.XLOOKUP(TablaDatos[[#This Row],[PacienteID]],'Datos_Ejemplo.csv'!A:A,'Datos_Ejemplo.csv'!I:I)</f>
        <v>-1</v>
      </c>
      <c r="N1688">
        <f>ABS(TablaDatos[[#This Row],[DiasOriginal]])</f>
        <v>1</v>
      </c>
      <c r="O1688" s="1">
        <f>TablaDatos[[#This Row],[FechaIngreso]]+TablaDatos[[#This Row],[DiasNuevo]]</f>
        <v>45167</v>
      </c>
    </row>
    <row r="1689" spans="1:15">
      <c r="A1689">
        <v>1688</v>
      </c>
      <c r="B1689" t="s">
        <v>326</v>
      </c>
      <c r="C1689" s="1">
        <v>28856</v>
      </c>
      <c r="D1689">
        <v>47</v>
      </c>
      <c r="E1689" s="4" t="s">
        <v>15</v>
      </c>
      <c r="F1689" t="s">
        <v>13</v>
      </c>
      <c r="G1689" s="1">
        <v>44985</v>
      </c>
      <c r="H1689" s="1">
        <f>TablaDatos[[#This Row],[FechaIngreso]]+TablaDatos[[#This Row],[DiasNuevo]]</f>
        <v>45004</v>
      </c>
      <c r="I1689">
        <v>19</v>
      </c>
      <c r="J1689" t="s">
        <v>23</v>
      </c>
      <c r="K1689" s="3">
        <v>5549.05</v>
      </c>
      <c r="L1689" t="b">
        <f>TablaDatos[[#This Row],[FechaAlta]] &lt; TablaDatos[[#This Row],[FechaIngreso]]</f>
        <v>0</v>
      </c>
      <c r="M1689">
        <f>_xlfn.XLOOKUP(TablaDatos[[#This Row],[PacienteID]],'Datos_Ejemplo.csv'!A:A,'Datos_Ejemplo.csv'!I:I)</f>
        <v>19</v>
      </c>
      <c r="N1689">
        <f>ABS(TablaDatos[[#This Row],[DiasOriginal]])</f>
        <v>19</v>
      </c>
      <c r="O1689" s="1">
        <f>TablaDatos[[#This Row],[FechaIngreso]]+TablaDatos[[#This Row],[DiasNuevo]]</f>
        <v>45004</v>
      </c>
    </row>
    <row r="1690" spans="1:15">
      <c r="A1690">
        <v>1689</v>
      </c>
      <c r="B1690" t="s">
        <v>312</v>
      </c>
      <c r="C1690" s="1">
        <v>31412</v>
      </c>
      <c r="D1690">
        <v>40</v>
      </c>
      <c r="E1690" s="4" t="s">
        <v>197</v>
      </c>
      <c r="F1690" t="s">
        <v>21</v>
      </c>
      <c r="G1690" s="1">
        <v>45453</v>
      </c>
      <c r="H1690" s="1">
        <f>TablaDatos[[#This Row],[FechaIngreso]]+TablaDatos[[#This Row],[DiasNuevo]]</f>
        <v>45456</v>
      </c>
      <c r="I1690">
        <v>3</v>
      </c>
      <c r="J1690" t="s">
        <v>23</v>
      </c>
      <c r="K1690" s="3">
        <v>106.13</v>
      </c>
      <c r="L1690" t="b">
        <f>TablaDatos[[#This Row],[FechaAlta]] &lt; TablaDatos[[#This Row],[FechaIngreso]]</f>
        <v>0</v>
      </c>
      <c r="M1690">
        <f>_xlfn.XLOOKUP(TablaDatos[[#This Row],[PacienteID]],'Datos_Ejemplo.csv'!A:A,'Datos_Ejemplo.csv'!I:I)</f>
        <v>3</v>
      </c>
      <c r="N1690">
        <f>ABS(TablaDatos[[#This Row],[DiasOriginal]])</f>
        <v>3</v>
      </c>
      <c r="O1690" s="1">
        <f>TablaDatos[[#This Row],[FechaIngreso]]+TablaDatos[[#This Row],[DiasNuevo]]</f>
        <v>45456</v>
      </c>
    </row>
    <row r="1691" spans="1:15">
      <c r="A1691">
        <v>1690</v>
      </c>
      <c r="B1691" t="s">
        <v>327</v>
      </c>
      <c r="C1691" s="1">
        <v>41639</v>
      </c>
      <c r="D1691">
        <v>12</v>
      </c>
      <c r="E1691" s="4" t="s">
        <v>15</v>
      </c>
      <c r="F1691" t="s">
        <v>261</v>
      </c>
      <c r="G1691" s="1">
        <v>45129</v>
      </c>
      <c r="H1691" s="1">
        <f>TablaDatos[[#This Row],[FechaIngreso]]+TablaDatos[[#This Row],[DiasNuevo]]</f>
        <v>45130</v>
      </c>
      <c r="I1691">
        <v>1</v>
      </c>
      <c r="J1691" t="s">
        <v>23</v>
      </c>
      <c r="K1691" s="3">
        <v>18330.57</v>
      </c>
      <c r="L1691" t="b">
        <f>TablaDatos[[#This Row],[FechaAlta]] &lt; TablaDatos[[#This Row],[FechaIngreso]]</f>
        <v>0</v>
      </c>
      <c r="M1691">
        <f>_xlfn.XLOOKUP(TablaDatos[[#This Row],[PacienteID]],'Datos_Ejemplo.csv'!A:A,'Datos_Ejemplo.csv'!I:I)</f>
        <v>-1</v>
      </c>
      <c r="N1691">
        <f>ABS(TablaDatos[[#This Row],[DiasOriginal]])</f>
        <v>1</v>
      </c>
      <c r="O1691" s="1">
        <f>TablaDatos[[#This Row],[FechaIngreso]]+TablaDatos[[#This Row],[DiasNuevo]]</f>
        <v>45130</v>
      </c>
    </row>
    <row r="1692" spans="1:15">
      <c r="A1692">
        <v>1691</v>
      </c>
      <c r="B1692" t="s">
        <v>237</v>
      </c>
      <c r="C1692" s="1">
        <v>29951</v>
      </c>
      <c r="D1692">
        <v>44</v>
      </c>
      <c r="E1692" s="4" t="s">
        <v>15</v>
      </c>
      <c r="F1692" t="s">
        <v>21</v>
      </c>
      <c r="G1692" s="1">
        <v>45392</v>
      </c>
      <c r="H1692" s="1">
        <f>TablaDatos[[#This Row],[FechaIngreso]]+TablaDatos[[#This Row],[DiasNuevo]]</f>
        <v>45418</v>
      </c>
      <c r="I1692">
        <v>26</v>
      </c>
      <c r="J1692" t="s">
        <v>19</v>
      </c>
      <c r="K1692" s="3">
        <v>13690.53</v>
      </c>
      <c r="L1692" t="b">
        <f>TablaDatos[[#This Row],[FechaAlta]] &lt; TablaDatos[[#This Row],[FechaIngreso]]</f>
        <v>0</v>
      </c>
      <c r="M1692">
        <f>_xlfn.XLOOKUP(TablaDatos[[#This Row],[PacienteID]],'Datos_Ejemplo.csv'!A:A,'Datos_Ejemplo.csv'!I:I)</f>
        <v>26</v>
      </c>
      <c r="N1692">
        <f>ABS(TablaDatos[[#This Row],[DiasOriginal]])</f>
        <v>26</v>
      </c>
      <c r="O1692" s="1">
        <f>TablaDatos[[#This Row],[FechaIngreso]]+TablaDatos[[#This Row],[DiasNuevo]]</f>
        <v>45418</v>
      </c>
    </row>
    <row r="1693" spans="1:15">
      <c r="A1693">
        <v>1692</v>
      </c>
      <c r="B1693" t="s">
        <v>341</v>
      </c>
      <c r="C1693" s="1">
        <v>13880</v>
      </c>
      <c r="D1693">
        <v>88</v>
      </c>
      <c r="E1693" s="4" t="s">
        <v>12</v>
      </c>
      <c r="F1693" t="s">
        <v>261</v>
      </c>
      <c r="G1693" s="1">
        <v>45222</v>
      </c>
      <c r="H1693" s="1">
        <f>TablaDatos[[#This Row],[FechaIngreso]]+TablaDatos[[#This Row],[DiasNuevo]]</f>
        <v>45255</v>
      </c>
      <c r="I1693">
        <v>33</v>
      </c>
      <c r="J1693" t="s">
        <v>23</v>
      </c>
      <c r="K1693" s="3">
        <v>13761.31</v>
      </c>
      <c r="L1693" t="b">
        <f>TablaDatos[[#This Row],[FechaAlta]] &lt; TablaDatos[[#This Row],[FechaIngreso]]</f>
        <v>0</v>
      </c>
      <c r="M1693">
        <f>_xlfn.XLOOKUP(TablaDatos[[#This Row],[PacienteID]],'Datos_Ejemplo.csv'!A:A,'Datos_Ejemplo.csv'!I:I)</f>
        <v>33</v>
      </c>
      <c r="N1693">
        <f>ABS(TablaDatos[[#This Row],[DiasOriginal]])</f>
        <v>33</v>
      </c>
      <c r="O1693" s="1">
        <f>TablaDatos[[#This Row],[FechaIngreso]]+TablaDatos[[#This Row],[DiasNuevo]]</f>
        <v>45255</v>
      </c>
    </row>
    <row r="1694" spans="1:15">
      <c r="A1694">
        <v>1693</v>
      </c>
      <c r="B1694" t="s">
        <v>289</v>
      </c>
      <c r="C1694" s="1">
        <v>27029</v>
      </c>
      <c r="D1694">
        <v>52</v>
      </c>
      <c r="E1694" s="4" t="s">
        <v>12</v>
      </c>
      <c r="F1694" t="s">
        <v>295</v>
      </c>
      <c r="G1694" s="1">
        <v>45213</v>
      </c>
      <c r="H1694" s="1">
        <f>TablaDatos[[#This Row],[FechaIngreso]]+TablaDatos[[#This Row],[DiasNuevo]]</f>
        <v>45217</v>
      </c>
      <c r="I1694">
        <v>4</v>
      </c>
      <c r="J1694" t="s">
        <v>19</v>
      </c>
      <c r="K1694" s="3">
        <v>11403.85</v>
      </c>
      <c r="L1694" t="b">
        <f>TablaDatos[[#This Row],[FechaAlta]] &lt; TablaDatos[[#This Row],[FechaIngreso]]</f>
        <v>0</v>
      </c>
      <c r="M1694">
        <f>_xlfn.XLOOKUP(TablaDatos[[#This Row],[PacienteID]],'Datos_Ejemplo.csv'!A:A,'Datos_Ejemplo.csv'!I:I)</f>
        <v>4</v>
      </c>
      <c r="N1694">
        <f>ABS(TablaDatos[[#This Row],[DiasOriginal]])</f>
        <v>4</v>
      </c>
      <c r="O1694" s="1">
        <f>TablaDatos[[#This Row],[FechaIngreso]]+TablaDatos[[#This Row],[DiasNuevo]]</f>
        <v>45217</v>
      </c>
    </row>
    <row r="1695" spans="1:15">
      <c r="A1695">
        <v>1694</v>
      </c>
      <c r="B1695" t="s">
        <v>327</v>
      </c>
      <c r="C1695" s="1">
        <v>31047</v>
      </c>
      <c r="D1695">
        <v>41</v>
      </c>
      <c r="E1695" s="4" t="s">
        <v>12</v>
      </c>
      <c r="F1695" t="s">
        <v>21</v>
      </c>
      <c r="G1695" s="1">
        <v>44999</v>
      </c>
      <c r="H1695" s="1">
        <f>TablaDatos[[#This Row],[FechaIngreso]]+TablaDatos[[#This Row],[DiasNuevo]]</f>
        <v>45012</v>
      </c>
      <c r="I1695">
        <v>13</v>
      </c>
      <c r="J1695" t="s">
        <v>19</v>
      </c>
      <c r="K1695" s="3">
        <v>13755.15</v>
      </c>
      <c r="L1695" t="b">
        <f>TablaDatos[[#This Row],[FechaAlta]] &lt; TablaDatos[[#This Row],[FechaIngreso]]</f>
        <v>0</v>
      </c>
      <c r="M1695">
        <f>_xlfn.XLOOKUP(TablaDatos[[#This Row],[PacienteID]],'Datos_Ejemplo.csv'!A:A,'Datos_Ejemplo.csv'!I:I)</f>
        <v>13</v>
      </c>
      <c r="N1695">
        <f>ABS(TablaDatos[[#This Row],[DiasOriginal]])</f>
        <v>13</v>
      </c>
      <c r="O1695" s="1">
        <f>TablaDatos[[#This Row],[FechaIngreso]]+TablaDatos[[#This Row],[DiasNuevo]]</f>
        <v>45012</v>
      </c>
    </row>
    <row r="1696" spans="1:15">
      <c r="A1696">
        <v>1695</v>
      </c>
      <c r="B1696" t="s">
        <v>234</v>
      </c>
      <c r="C1696" s="1">
        <v>23377</v>
      </c>
      <c r="D1696">
        <v>62</v>
      </c>
      <c r="E1696" s="4" t="s">
        <v>15</v>
      </c>
      <c r="F1696" t="s">
        <v>295</v>
      </c>
      <c r="G1696" s="1">
        <v>45652</v>
      </c>
      <c r="H1696" s="1">
        <f>TablaDatos[[#This Row],[FechaIngreso]]+TablaDatos[[#This Row],[DiasNuevo]]</f>
        <v>45682</v>
      </c>
      <c r="I1696">
        <v>30</v>
      </c>
      <c r="J1696" t="s">
        <v>23</v>
      </c>
      <c r="K1696" s="3">
        <v>19635.439999999999</v>
      </c>
      <c r="L1696" t="b">
        <f>TablaDatos[[#This Row],[FechaAlta]] &lt; TablaDatos[[#This Row],[FechaIngreso]]</f>
        <v>0</v>
      </c>
      <c r="M1696">
        <f>_xlfn.XLOOKUP(TablaDatos[[#This Row],[PacienteID]],'Datos_Ejemplo.csv'!A:A,'Datos_Ejemplo.csv'!I:I)</f>
        <v>30</v>
      </c>
      <c r="N1696">
        <f>ABS(TablaDatos[[#This Row],[DiasOriginal]])</f>
        <v>30</v>
      </c>
      <c r="O1696" s="1">
        <f>TablaDatos[[#This Row],[FechaIngreso]]+TablaDatos[[#This Row],[DiasNuevo]]</f>
        <v>45682</v>
      </c>
    </row>
    <row r="1697" spans="1:15">
      <c r="A1697">
        <v>1696</v>
      </c>
      <c r="B1697" t="s">
        <v>265</v>
      </c>
      <c r="C1697" s="1">
        <v>36526</v>
      </c>
      <c r="D1697">
        <v>26</v>
      </c>
      <c r="E1697" s="4" t="s">
        <v>12</v>
      </c>
      <c r="F1697" t="s">
        <v>295</v>
      </c>
      <c r="G1697" s="1">
        <v>45449</v>
      </c>
      <c r="H1697" s="1">
        <f>TablaDatos[[#This Row],[FechaIngreso]]+TablaDatos[[#This Row],[DiasNuevo]]</f>
        <v>45479</v>
      </c>
      <c r="I1697">
        <v>30</v>
      </c>
      <c r="J1697" t="s">
        <v>23</v>
      </c>
      <c r="K1697" s="3">
        <v>7641.72</v>
      </c>
      <c r="L1697" t="b">
        <f>TablaDatos[[#This Row],[FechaAlta]] &lt; TablaDatos[[#This Row],[FechaIngreso]]</f>
        <v>0</v>
      </c>
      <c r="M1697">
        <f>_xlfn.XLOOKUP(TablaDatos[[#This Row],[PacienteID]],'Datos_Ejemplo.csv'!A:A,'Datos_Ejemplo.csv'!I:I)</f>
        <v>30</v>
      </c>
      <c r="N1697">
        <f>ABS(TablaDatos[[#This Row],[DiasOriginal]])</f>
        <v>30</v>
      </c>
      <c r="O1697" s="1">
        <f>TablaDatos[[#This Row],[FechaIngreso]]+TablaDatos[[#This Row],[DiasNuevo]]</f>
        <v>45479</v>
      </c>
    </row>
    <row r="1698" spans="1:15">
      <c r="A1698">
        <v>1697</v>
      </c>
      <c r="B1698" t="s">
        <v>152</v>
      </c>
      <c r="C1698" s="1">
        <v>32508</v>
      </c>
      <c r="D1698">
        <v>37</v>
      </c>
      <c r="E1698" s="4" t="s">
        <v>12</v>
      </c>
      <c r="F1698" t="s">
        <v>295</v>
      </c>
      <c r="G1698" s="1">
        <v>45263</v>
      </c>
      <c r="H1698" s="1">
        <f>TablaDatos[[#This Row],[FechaIngreso]]+TablaDatos[[#This Row],[DiasNuevo]]</f>
        <v>45274</v>
      </c>
      <c r="I1698">
        <v>11</v>
      </c>
      <c r="J1698" t="s">
        <v>19</v>
      </c>
      <c r="K1698" s="3">
        <v>14221.76</v>
      </c>
      <c r="L1698" t="b">
        <f>TablaDatos[[#This Row],[FechaAlta]] &lt; TablaDatos[[#This Row],[FechaIngreso]]</f>
        <v>0</v>
      </c>
      <c r="M1698">
        <f>_xlfn.XLOOKUP(TablaDatos[[#This Row],[PacienteID]],'Datos_Ejemplo.csv'!A:A,'Datos_Ejemplo.csv'!I:I)</f>
        <v>11</v>
      </c>
      <c r="N1698">
        <f>ABS(TablaDatos[[#This Row],[DiasOriginal]])</f>
        <v>11</v>
      </c>
      <c r="O1698" s="1">
        <f>TablaDatos[[#This Row],[FechaIngreso]]+TablaDatos[[#This Row],[DiasNuevo]]</f>
        <v>45274</v>
      </c>
    </row>
    <row r="1699" spans="1:15">
      <c r="A1699">
        <v>1698</v>
      </c>
      <c r="B1699" t="s">
        <v>350</v>
      </c>
      <c r="C1699" s="1">
        <v>24473</v>
      </c>
      <c r="D1699">
        <v>59</v>
      </c>
      <c r="E1699" s="4" t="s">
        <v>12</v>
      </c>
      <c r="F1699" t="s">
        <v>18</v>
      </c>
      <c r="G1699" s="1">
        <v>45244</v>
      </c>
      <c r="H1699" s="1">
        <f>TablaDatos[[#This Row],[FechaIngreso]]+TablaDatos[[#This Row],[DiasNuevo]]</f>
        <v>45253</v>
      </c>
      <c r="I1699">
        <v>9</v>
      </c>
      <c r="J1699" t="s">
        <v>23</v>
      </c>
      <c r="K1699" s="3">
        <v>7126.53</v>
      </c>
      <c r="L1699" t="b">
        <f>TablaDatos[[#This Row],[FechaAlta]] &lt; TablaDatos[[#This Row],[FechaIngreso]]</f>
        <v>0</v>
      </c>
      <c r="M1699">
        <f>_xlfn.XLOOKUP(TablaDatos[[#This Row],[PacienteID]],'Datos_Ejemplo.csv'!A:A,'Datos_Ejemplo.csv'!I:I)</f>
        <v>9</v>
      </c>
      <c r="N1699">
        <f>ABS(TablaDatos[[#This Row],[DiasOriginal]])</f>
        <v>9</v>
      </c>
      <c r="O1699" s="1">
        <f>TablaDatos[[#This Row],[FechaIngreso]]+TablaDatos[[#This Row],[DiasNuevo]]</f>
        <v>45253</v>
      </c>
    </row>
    <row r="1700" spans="1:15">
      <c r="A1700">
        <v>1699</v>
      </c>
      <c r="B1700" t="s">
        <v>239</v>
      </c>
      <c r="C1700" s="1">
        <v>43831</v>
      </c>
      <c r="D1700">
        <v>6</v>
      </c>
      <c r="E1700" s="4" t="s">
        <v>12</v>
      </c>
      <c r="F1700" t="s">
        <v>32</v>
      </c>
      <c r="G1700" s="1">
        <v>45129</v>
      </c>
      <c r="H1700" s="1">
        <f>TablaDatos[[#This Row],[FechaIngreso]]+TablaDatos[[#This Row],[DiasNuevo]]</f>
        <v>45132</v>
      </c>
      <c r="I1700">
        <v>3</v>
      </c>
      <c r="J1700" t="s">
        <v>19</v>
      </c>
      <c r="K1700" s="3">
        <v>17071.2</v>
      </c>
      <c r="L1700" t="b">
        <f>TablaDatos[[#This Row],[FechaAlta]] &lt; TablaDatos[[#This Row],[FechaIngreso]]</f>
        <v>0</v>
      </c>
      <c r="M1700">
        <f>_xlfn.XLOOKUP(TablaDatos[[#This Row],[PacienteID]],'Datos_Ejemplo.csv'!A:A,'Datos_Ejemplo.csv'!I:I)</f>
        <v>3</v>
      </c>
      <c r="N1700">
        <f>ABS(TablaDatos[[#This Row],[DiasOriginal]])</f>
        <v>3</v>
      </c>
      <c r="O1700" s="1">
        <f>TablaDatos[[#This Row],[FechaIngreso]]+TablaDatos[[#This Row],[DiasNuevo]]</f>
        <v>45132</v>
      </c>
    </row>
    <row r="1701" spans="1:15">
      <c r="A1701">
        <v>1700</v>
      </c>
      <c r="B1701" t="s">
        <v>51</v>
      </c>
      <c r="C1701" s="1">
        <v>44561</v>
      </c>
      <c r="D1701">
        <v>4</v>
      </c>
      <c r="E1701" s="4" t="s">
        <v>12</v>
      </c>
      <c r="F1701" t="s">
        <v>32</v>
      </c>
      <c r="G1701" s="1">
        <v>45157</v>
      </c>
      <c r="H1701" s="1">
        <f>TablaDatos[[#This Row],[FechaIngreso]]+TablaDatos[[#This Row],[DiasNuevo]]</f>
        <v>45166</v>
      </c>
      <c r="I1701">
        <v>9</v>
      </c>
      <c r="J1701" t="s">
        <v>25</v>
      </c>
      <c r="K1701" s="3">
        <v>17146.37</v>
      </c>
      <c r="L1701" t="b">
        <f>TablaDatos[[#This Row],[FechaAlta]] &lt; TablaDatos[[#This Row],[FechaIngreso]]</f>
        <v>0</v>
      </c>
      <c r="M1701">
        <f>_xlfn.XLOOKUP(TablaDatos[[#This Row],[PacienteID]],'Datos_Ejemplo.csv'!A:A,'Datos_Ejemplo.csv'!I:I)</f>
        <v>9</v>
      </c>
      <c r="N1701">
        <f>ABS(TablaDatos[[#This Row],[DiasOriginal]])</f>
        <v>9</v>
      </c>
      <c r="O1701" s="1">
        <f>TablaDatos[[#This Row],[FechaIngreso]]+TablaDatos[[#This Row],[DiasNuevo]]</f>
        <v>45166</v>
      </c>
    </row>
    <row r="1702" spans="1:15">
      <c r="A1702">
        <v>1701</v>
      </c>
      <c r="B1702" t="s">
        <v>356</v>
      </c>
      <c r="C1702" s="1">
        <v>29951</v>
      </c>
      <c r="D1702">
        <v>44</v>
      </c>
      <c r="E1702" s="4" t="s">
        <v>12</v>
      </c>
      <c r="F1702" t="s">
        <v>13</v>
      </c>
      <c r="G1702" s="1">
        <v>45489</v>
      </c>
      <c r="H1702" s="1">
        <f>TablaDatos[[#This Row],[FechaIngreso]]+TablaDatos[[#This Row],[DiasNuevo]]</f>
        <v>45517</v>
      </c>
      <c r="I1702">
        <v>28</v>
      </c>
      <c r="J1702" t="s">
        <v>23</v>
      </c>
      <c r="K1702" s="3">
        <v>18035.560000000001</v>
      </c>
      <c r="L1702" t="b">
        <f>TablaDatos[[#This Row],[FechaAlta]] &lt; TablaDatos[[#This Row],[FechaIngreso]]</f>
        <v>0</v>
      </c>
      <c r="M1702">
        <f>_xlfn.XLOOKUP(TablaDatos[[#This Row],[PacienteID]],'Datos_Ejemplo.csv'!A:A,'Datos_Ejemplo.csv'!I:I)</f>
        <v>28</v>
      </c>
      <c r="N1702">
        <f>ABS(TablaDatos[[#This Row],[DiasOriginal]])</f>
        <v>28</v>
      </c>
      <c r="O1702" s="1">
        <f>TablaDatos[[#This Row],[FechaIngreso]]+TablaDatos[[#This Row],[DiasNuevo]]</f>
        <v>45517</v>
      </c>
    </row>
    <row r="1703" spans="1:15">
      <c r="A1703">
        <v>1702</v>
      </c>
      <c r="B1703" t="s">
        <v>230</v>
      </c>
      <c r="C1703" s="1">
        <v>25203</v>
      </c>
      <c r="D1703">
        <v>57</v>
      </c>
      <c r="E1703" s="4" t="s">
        <v>12</v>
      </c>
      <c r="F1703" t="s">
        <v>295</v>
      </c>
      <c r="G1703" s="1">
        <v>44983</v>
      </c>
      <c r="H1703" s="1">
        <f>TablaDatos[[#This Row],[FechaIngreso]]+TablaDatos[[#This Row],[DiasNuevo]]</f>
        <v>44992</v>
      </c>
      <c r="I1703">
        <v>9</v>
      </c>
      <c r="J1703" t="s">
        <v>25</v>
      </c>
      <c r="K1703" s="3">
        <v>9.81</v>
      </c>
      <c r="L1703" t="b">
        <f>TablaDatos[[#This Row],[FechaAlta]] &lt; TablaDatos[[#This Row],[FechaIngreso]]</f>
        <v>0</v>
      </c>
      <c r="M1703">
        <f>_xlfn.XLOOKUP(TablaDatos[[#This Row],[PacienteID]],'Datos_Ejemplo.csv'!A:A,'Datos_Ejemplo.csv'!I:I)</f>
        <v>9</v>
      </c>
      <c r="N1703">
        <f>ABS(TablaDatos[[#This Row],[DiasOriginal]])</f>
        <v>9</v>
      </c>
      <c r="O1703" s="1">
        <f>TablaDatos[[#This Row],[FechaIngreso]]+TablaDatos[[#This Row],[DiasNuevo]]</f>
        <v>44992</v>
      </c>
    </row>
    <row r="1704" spans="1:15">
      <c r="A1704">
        <v>1703</v>
      </c>
      <c r="B1704" t="s">
        <v>338</v>
      </c>
      <c r="C1704" s="1">
        <v>35065</v>
      </c>
      <c r="D1704">
        <v>30</v>
      </c>
      <c r="E1704" s="4" t="s">
        <v>15</v>
      </c>
      <c r="F1704" t="s">
        <v>18</v>
      </c>
      <c r="G1704" s="1">
        <v>45570</v>
      </c>
      <c r="H1704" s="1">
        <f>TablaDatos[[#This Row],[FechaIngreso]]+TablaDatos[[#This Row],[DiasNuevo]]</f>
        <v>45577</v>
      </c>
      <c r="I1704">
        <v>7</v>
      </c>
      <c r="J1704" t="s">
        <v>19</v>
      </c>
      <c r="K1704" s="3">
        <v>5893.65</v>
      </c>
      <c r="L1704" t="b">
        <f>TablaDatos[[#This Row],[FechaAlta]] &lt; TablaDatos[[#This Row],[FechaIngreso]]</f>
        <v>0</v>
      </c>
      <c r="M1704">
        <f>_xlfn.XLOOKUP(TablaDatos[[#This Row],[PacienteID]],'Datos_Ejemplo.csv'!A:A,'Datos_Ejemplo.csv'!I:I)</f>
        <v>7</v>
      </c>
      <c r="N1704">
        <f>ABS(TablaDatos[[#This Row],[DiasOriginal]])</f>
        <v>7</v>
      </c>
      <c r="O1704" s="1">
        <f>TablaDatos[[#This Row],[FechaIngreso]]+TablaDatos[[#This Row],[DiasNuevo]]</f>
        <v>45577</v>
      </c>
    </row>
    <row r="1705" spans="1:15">
      <c r="A1705">
        <v>1704</v>
      </c>
      <c r="B1705" t="s">
        <v>283</v>
      </c>
      <c r="C1705" s="1">
        <v>37987</v>
      </c>
      <c r="D1705">
        <v>22</v>
      </c>
      <c r="E1705" s="4" t="s">
        <v>12</v>
      </c>
      <c r="F1705" t="s">
        <v>21</v>
      </c>
      <c r="G1705" s="1">
        <v>45346</v>
      </c>
      <c r="H1705" s="1">
        <f>TablaDatos[[#This Row],[FechaIngreso]]+TablaDatos[[#This Row],[DiasNuevo]]</f>
        <v>45383</v>
      </c>
      <c r="I1705">
        <v>37</v>
      </c>
      <c r="J1705" t="s">
        <v>23</v>
      </c>
      <c r="K1705" s="3">
        <v>2591.88</v>
      </c>
      <c r="L1705" t="b">
        <f>TablaDatos[[#This Row],[FechaAlta]] &lt; TablaDatos[[#This Row],[FechaIngreso]]</f>
        <v>0</v>
      </c>
      <c r="M1705">
        <f>_xlfn.XLOOKUP(TablaDatos[[#This Row],[PacienteID]],'Datos_Ejemplo.csv'!A:A,'Datos_Ejemplo.csv'!I:I)</f>
        <v>37</v>
      </c>
      <c r="N1705">
        <f>ABS(TablaDatos[[#This Row],[DiasOriginal]])</f>
        <v>37</v>
      </c>
      <c r="O1705" s="1">
        <f>TablaDatos[[#This Row],[FechaIngreso]]+TablaDatos[[#This Row],[DiasNuevo]]</f>
        <v>45383</v>
      </c>
    </row>
    <row r="1706" spans="1:15">
      <c r="A1706">
        <v>1705</v>
      </c>
      <c r="B1706" t="s">
        <v>305</v>
      </c>
      <c r="C1706" s="1">
        <v>31047</v>
      </c>
      <c r="D1706">
        <v>41</v>
      </c>
      <c r="E1706" s="4" t="s">
        <v>12</v>
      </c>
      <c r="F1706" t="s">
        <v>21</v>
      </c>
      <c r="G1706" s="1">
        <v>45206</v>
      </c>
      <c r="H1706" s="1">
        <f>TablaDatos[[#This Row],[FechaIngreso]]+TablaDatos[[#This Row],[DiasNuevo]]</f>
        <v>45230</v>
      </c>
      <c r="I1706">
        <v>24</v>
      </c>
      <c r="J1706" t="s">
        <v>23</v>
      </c>
      <c r="K1706" s="3">
        <v>9025.1200000000008</v>
      </c>
      <c r="L1706" t="b">
        <f>TablaDatos[[#This Row],[FechaAlta]] &lt; TablaDatos[[#This Row],[FechaIngreso]]</f>
        <v>0</v>
      </c>
      <c r="M1706">
        <f>_xlfn.XLOOKUP(TablaDatos[[#This Row],[PacienteID]],'Datos_Ejemplo.csv'!A:A,'Datos_Ejemplo.csv'!I:I)</f>
        <v>24</v>
      </c>
      <c r="N1706">
        <f>ABS(TablaDatos[[#This Row],[DiasOriginal]])</f>
        <v>24</v>
      </c>
      <c r="O1706" s="1">
        <f>TablaDatos[[#This Row],[FechaIngreso]]+TablaDatos[[#This Row],[DiasNuevo]]</f>
        <v>45230</v>
      </c>
    </row>
    <row r="1707" spans="1:15">
      <c r="A1707">
        <v>1706</v>
      </c>
      <c r="B1707" t="s">
        <v>273</v>
      </c>
      <c r="C1707" s="1">
        <v>42735</v>
      </c>
      <c r="D1707">
        <v>9</v>
      </c>
      <c r="E1707" s="4" t="s">
        <v>15</v>
      </c>
      <c r="F1707" t="s">
        <v>13</v>
      </c>
      <c r="G1707" s="1">
        <v>45231</v>
      </c>
      <c r="H1707" s="1">
        <f>TablaDatos[[#This Row],[FechaIngreso]]+TablaDatos[[#This Row],[DiasNuevo]]</f>
        <v>45235</v>
      </c>
      <c r="I1707">
        <v>4</v>
      </c>
      <c r="J1707" t="s">
        <v>23</v>
      </c>
      <c r="K1707" s="3">
        <v>9858.5400000000009</v>
      </c>
      <c r="L1707" t="b">
        <f>TablaDatos[[#This Row],[FechaAlta]] &lt; TablaDatos[[#This Row],[FechaIngreso]]</f>
        <v>0</v>
      </c>
      <c r="M1707">
        <f>_xlfn.XLOOKUP(TablaDatos[[#This Row],[PacienteID]],'Datos_Ejemplo.csv'!A:A,'Datos_Ejemplo.csv'!I:I)</f>
        <v>4</v>
      </c>
      <c r="N1707">
        <f>ABS(TablaDatos[[#This Row],[DiasOriginal]])</f>
        <v>4</v>
      </c>
      <c r="O1707" s="1">
        <f>TablaDatos[[#This Row],[FechaIngreso]]+TablaDatos[[#This Row],[DiasNuevo]]</f>
        <v>45235</v>
      </c>
    </row>
    <row r="1708" spans="1:15">
      <c r="A1708">
        <v>1707</v>
      </c>
      <c r="B1708" t="s">
        <v>299</v>
      </c>
      <c r="C1708" s="1">
        <v>34700</v>
      </c>
      <c r="D1708">
        <v>31</v>
      </c>
      <c r="E1708" s="4" t="s">
        <v>197</v>
      </c>
      <c r="F1708" t="s">
        <v>13</v>
      </c>
      <c r="G1708" s="1">
        <v>45392</v>
      </c>
      <c r="H1708" s="1">
        <f>TablaDatos[[#This Row],[FechaIngreso]]+TablaDatos[[#This Row],[DiasNuevo]]</f>
        <v>45425</v>
      </c>
      <c r="I1708">
        <v>33</v>
      </c>
      <c r="J1708" t="s">
        <v>23</v>
      </c>
      <c r="K1708" s="3">
        <v>5043.67</v>
      </c>
      <c r="L1708" t="b">
        <f>TablaDatos[[#This Row],[FechaAlta]] &lt; TablaDatos[[#This Row],[FechaIngreso]]</f>
        <v>0</v>
      </c>
      <c r="M1708">
        <f>_xlfn.XLOOKUP(TablaDatos[[#This Row],[PacienteID]],'Datos_Ejemplo.csv'!A:A,'Datos_Ejemplo.csv'!I:I)</f>
        <v>33</v>
      </c>
      <c r="N1708">
        <f>ABS(TablaDatos[[#This Row],[DiasOriginal]])</f>
        <v>33</v>
      </c>
      <c r="O1708" s="1">
        <f>TablaDatos[[#This Row],[FechaIngreso]]+TablaDatos[[#This Row],[DiasNuevo]]</f>
        <v>45425</v>
      </c>
    </row>
    <row r="1709" spans="1:15">
      <c r="A1709">
        <v>1708</v>
      </c>
      <c r="B1709" t="s">
        <v>350</v>
      </c>
      <c r="C1709" s="1">
        <v>27029</v>
      </c>
      <c r="D1709">
        <v>52</v>
      </c>
      <c r="E1709" s="4" t="s">
        <v>15</v>
      </c>
      <c r="F1709" t="s">
        <v>295</v>
      </c>
      <c r="G1709" s="1">
        <v>45100</v>
      </c>
      <c r="H1709" s="1">
        <f>TablaDatos[[#This Row],[FechaIngreso]]+TablaDatos[[#This Row],[DiasNuevo]]</f>
        <v>45130</v>
      </c>
      <c r="I1709">
        <v>30</v>
      </c>
      <c r="J1709" t="s">
        <v>25</v>
      </c>
      <c r="K1709" s="3">
        <v>14441.27</v>
      </c>
      <c r="L1709" t="b">
        <f>TablaDatos[[#This Row],[FechaAlta]] &lt; TablaDatos[[#This Row],[FechaIngreso]]</f>
        <v>0</v>
      </c>
      <c r="M1709">
        <f>_xlfn.XLOOKUP(TablaDatos[[#This Row],[PacienteID]],'Datos_Ejemplo.csv'!A:A,'Datos_Ejemplo.csv'!I:I)</f>
        <v>30</v>
      </c>
      <c r="N1709">
        <f>ABS(TablaDatos[[#This Row],[DiasOriginal]])</f>
        <v>30</v>
      </c>
      <c r="O1709" s="1">
        <f>TablaDatos[[#This Row],[FechaIngreso]]+TablaDatos[[#This Row],[DiasNuevo]]</f>
        <v>45130</v>
      </c>
    </row>
    <row r="1710" spans="1:15">
      <c r="A1710">
        <v>1709</v>
      </c>
      <c r="B1710" t="s">
        <v>252</v>
      </c>
      <c r="C1710" s="1">
        <v>35430</v>
      </c>
      <c r="D1710">
        <v>29</v>
      </c>
      <c r="E1710" s="4" t="s">
        <v>15</v>
      </c>
      <c r="F1710" t="s">
        <v>295</v>
      </c>
      <c r="G1710" s="1">
        <v>45192</v>
      </c>
      <c r="H1710" s="1">
        <f>TablaDatos[[#This Row],[FechaIngreso]]+TablaDatos[[#This Row],[DiasNuevo]]</f>
        <v>45216</v>
      </c>
      <c r="I1710">
        <v>24</v>
      </c>
      <c r="J1710" t="s">
        <v>25</v>
      </c>
      <c r="K1710" s="3">
        <v>5322.37</v>
      </c>
      <c r="L1710" t="b">
        <f>TablaDatos[[#This Row],[FechaAlta]] &lt; TablaDatos[[#This Row],[FechaIngreso]]</f>
        <v>0</v>
      </c>
      <c r="M1710">
        <f>_xlfn.XLOOKUP(TablaDatos[[#This Row],[PacienteID]],'Datos_Ejemplo.csv'!A:A,'Datos_Ejemplo.csv'!I:I)</f>
        <v>24</v>
      </c>
      <c r="N1710">
        <f>ABS(TablaDatos[[#This Row],[DiasOriginal]])</f>
        <v>24</v>
      </c>
      <c r="O1710" s="1">
        <f>TablaDatos[[#This Row],[FechaIngreso]]+TablaDatos[[#This Row],[DiasNuevo]]</f>
        <v>45216</v>
      </c>
    </row>
    <row r="1711" spans="1:15">
      <c r="A1711">
        <v>1710</v>
      </c>
      <c r="B1711" t="s">
        <v>111</v>
      </c>
      <c r="C1711" s="1">
        <v>32143</v>
      </c>
      <c r="D1711">
        <v>38</v>
      </c>
      <c r="E1711" s="4" t="s">
        <v>12</v>
      </c>
      <c r="F1711" t="s">
        <v>21</v>
      </c>
      <c r="G1711" s="1">
        <v>45173</v>
      </c>
      <c r="H1711" s="1">
        <f>TablaDatos[[#This Row],[FechaIngreso]]+TablaDatos[[#This Row],[DiasNuevo]]</f>
        <v>45178</v>
      </c>
      <c r="I1711">
        <v>5</v>
      </c>
      <c r="J1711" t="s">
        <v>23</v>
      </c>
      <c r="K1711" s="3">
        <v>17063.22</v>
      </c>
      <c r="L1711" t="b">
        <f>TablaDatos[[#This Row],[FechaAlta]] &lt; TablaDatos[[#This Row],[FechaIngreso]]</f>
        <v>0</v>
      </c>
      <c r="M1711">
        <f>_xlfn.XLOOKUP(TablaDatos[[#This Row],[PacienteID]],'Datos_Ejemplo.csv'!A:A,'Datos_Ejemplo.csv'!I:I)</f>
        <v>5</v>
      </c>
      <c r="N1711">
        <f>ABS(TablaDatos[[#This Row],[DiasOriginal]])</f>
        <v>5</v>
      </c>
      <c r="O1711" s="1">
        <f>TablaDatos[[#This Row],[FechaIngreso]]+TablaDatos[[#This Row],[DiasNuevo]]</f>
        <v>45178</v>
      </c>
    </row>
    <row r="1712" spans="1:15">
      <c r="A1712">
        <v>1711</v>
      </c>
      <c r="B1712" t="s">
        <v>305</v>
      </c>
      <c r="C1712" s="1">
        <v>35065</v>
      </c>
      <c r="D1712">
        <v>30</v>
      </c>
      <c r="E1712" s="4" t="s">
        <v>15</v>
      </c>
      <c r="F1712" t="s">
        <v>21</v>
      </c>
      <c r="G1712" s="1">
        <v>45004</v>
      </c>
      <c r="H1712" s="1">
        <f>TablaDatos[[#This Row],[FechaIngreso]]+TablaDatos[[#This Row],[DiasNuevo]]</f>
        <v>45006</v>
      </c>
      <c r="I1712">
        <v>2</v>
      </c>
      <c r="J1712" t="s">
        <v>23</v>
      </c>
      <c r="K1712" s="3">
        <v>3470.95</v>
      </c>
      <c r="L1712" t="b">
        <f>TablaDatos[[#This Row],[FechaAlta]] &lt; TablaDatos[[#This Row],[FechaIngreso]]</f>
        <v>0</v>
      </c>
      <c r="M1712">
        <f>_xlfn.XLOOKUP(TablaDatos[[#This Row],[PacienteID]],'Datos_Ejemplo.csv'!A:A,'Datos_Ejemplo.csv'!I:I)</f>
        <v>2</v>
      </c>
      <c r="N1712">
        <f>ABS(TablaDatos[[#This Row],[DiasOriginal]])</f>
        <v>2</v>
      </c>
      <c r="O1712" s="1">
        <f>TablaDatos[[#This Row],[FechaIngreso]]+TablaDatos[[#This Row],[DiasNuevo]]</f>
        <v>45006</v>
      </c>
    </row>
    <row r="1713" spans="1:15">
      <c r="A1713">
        <v>1712</v>
      </c>
      <c r="B1713" t="s">
        <v>340</v>
      </c>
      <c r="C1713" s="1">
        <v>16437</v>
      </c>
      <c r="D1713">
        <v>81</v>
      </c>
      <c r="E1713" s="4" t="s">
        <v>15</v>
      </c>
      <c r="F1713" t="s">
        <v>21</v>
      </c>
      <c r="G1713" s="1">
        <v>45573</v>
      </c>
      <c r="H1713" s="1">
        <f>TablaDatos[[#This Row],[FechaIngreso]]+TablaDatos[[#This Row],[DiasNuevo]]</f>
        <v>45578</v>
      </c>
      <c r="I1713">
        <v>5</v>
      </c>
      <c r="J1713" t="s">
        <v>23</v>
      </c>
      <c r="K1713" s="3">
        <v>7281.43</v>
      </c>
      <c r="L1713" t="b">
        <f>TablaDatos[[#This Row],[FechaAlta]] &lt; TablaDatos[[#This Row],[FechaIngreso]]</f>
        <v>0</v>
      </c>
      <c r="M1713">
        <f>_xlfn.XLOOKUP(TablaDatos[[#This Row],[PacienteID]],'Datos_Ejemplo.csv'!A:A,'Datos_Ejemplo.csv'!I:I)</f>
        <v>5</v>
      </c>
      <c r="N1713">
        <f>ABS(TablaDatos[[#This Row],[DiasOriginal]])</f>
        <v>5</v>
      </c>
      <c r="O1713" s="1">
        <f>TablaDatos[[#This Row],[FechaIngreso]]+TablaDatos[[#This Row],[DiasNuevo]]</f>
        <v>45578</v>
      </c>
    </row>
    <row r="1714" spans="1:15">
      <c r="A1714">
        <v>1713</v>
      </c>
      <c r="B1714" t="s">
        <v>356</v>
      </c>
      <c r="C1714" s="1">
        <v>45657</v>
      </c>
      <c r="D1714">
        <v>1</v>
      </c>
      <c r="E1714" s="4" t="s">
        <v>15</v>
      </c>
      <c r="F1714" t="s">
        <v>21</v>
      </c>
      <c r="G1714" s="1">
        <v>45578</v>
      </c>
      <c r="H1714" s="1">
        <f>TablaDatos[[#This Row],[FechaIngreso]]+TablaDatos[[#This Row],[DiasNuevo]]</f>
        <v>45615</v>
      </c>
      <c r="I1714">
        <v>37</v>
      </c>
      <c r="J1714" t="s">
        <v>25</v>
      </c>
      <c r="K1714" s="3">
        <v>12406.98</v>
      </c>
      <c r="L1714" t="b">
        <f>TablaDatos[[#This Row],[FechaAlta]] &lt; TablaDatos[[#This Row],[FechaIngreso]]</f>
        <v>0</v>
      </c>
      <c r="M1714">
        <f>_xlfn.XLOOKUP(TablaDatos[[#This Row],[PacienteID]],'Datos_Ejemplo.csv'!A:A,'Datos_Ejemplo.csv'!I:I)</f>
        <v>37</v>
      </c>
      <c r="N1714">
        <f>ABS(TablaDatos[[#This Row],[DiasOriginal]])</f>
        <v>37</v>
      </c>
      <c r="O1714" s="1">
        <f>TablaDatos[[#This Row],[FechaIngreso]]+TablaDatos[[#This Row],[DiasNuevo]]</f>
        <v>45615</v>
      </c>
    </row>
    <row r="1715" spans="1:15">
      <c r="A1715">
        <v>1714</v>
      </c>
      <c r="B1715" t="s">
        <v>249</v>
      </c>
      <c r="C1715" s="1">
        <v>17898</v>
      </c>
      <c r="D1715">
        <f ca="1">DATEDIF(TablaDatos[[#This Row],[FechaNacimiento]],TODAY(),"Y")</f>
        <v>77</v>
      </c>
      <c r="E1715" s="4" t="s">
        <v>15</v>
      </c>
      <c r="F1715" t="s">
        <v>32</v>
      </c>
      <c r="G1715" s="1">
        <v>45179</v>
      </c>
      <c r="H1715" s="1">
        <f>TablaDatos[[#This Row],[FechaIngreso]]+TablaDatos[[#This Row],[DiasNuevo]]</f>
        <v>45197</v>
      </c>
      <c r="I1715">
        <v>18</v>
      </c>
      <c r="J1715" t="s">
        <v>19</v>
      </c>
      <c r="K1715" s="3">
        <v>12067.23</v>
      </c>
      <c r="L1715" t="b">
        <f>TablaDatos[[#This Row],[FechaAlta]] &lt; TablaDatos[[#This Row],[FechaIngreso]]</f>
        <v>0</v>
      </c>
      <c r="M1715">
        <f>_xlfn.XLOOKUP(TablaDatos[[#This Row],[PacienteID]],'Datos_Ejemplo.csv'!A:A,'Datos_Ejemplo.csv'!I:I)</f>
        <v>18</v>
      </c>
      <c r="N1715">
        <f>ABS(TablaDatos[[#This Row],[DiasOriginal]])</f>
        <v>18</v>
      </c>
      <c r="O1715" s="1">
        <f>TablaDatos[[#This Row],[FechaIngreso]]+TablaDatos[[#This Row],[DiasNuevo]]</f>
        <v>45197</v>
      </c>
    </row>
    <row r="1716" spans="1:15">
      <c r="A1716">
        <v>1715</v>
      </c>
      <c r="B1716" t="s">
        <v>335</v>
      </c>
      <c r="C1716" s="1">
        <v>18263</v>
      </c>
      <c r="D1716">
        <v>76</v>
      </c>
      <c r="E1716" s="4" t="s">
        <v>15</v>
      </c>
      <c r="F1716" t="s">
        <v>295</v>
      </c>
      <c r="G1716" s="1">
        <v>45401</v>
      </c>
      <c r="H1716" s="1">
        <f>TablaDatos[[#This Row],[FechaIngreso]]+TablaDatos[[#This Row],[DiasNuevo]]</f>
        <v>45422</v>
      </c>
      <c r="I1716">
        <v>21</v>
      </c>
      <c r="J1716" t="s">
        <v>23</v>
      </c>
      <c r="K1716" s="3">
        <v>1468.39</v>
      </c>
      <c r="L1716" t="b">
        <f>TablaDatos[[#This Row],[FechaAlta]] &lt; TablaDatos[[#This Row],[FechaIngreso]]</f>
        <v>0</v>
      </c>
      <c r="M1716">
        <f>_xlfn.XLOOKUP(TablaDatos[[#This Row],[PacienteID]],'Datos_Ejemplo.csv'!A:A,'Datos_Ejemplo.csv'!I:I)</f>
        <v>21</v>
      </c>
      <c r="N1716">
        <f>ABS(TablaDatos[[#This Row],[DiasOriginal]])</f>
        <v>21</v>
      </c>
      <c r="O1716" s="1">
        <f>TablaDatos[[#This Row],[FechaIngreso]]+TablaDatos[[#This Row],[DiasNuevo]]</f>
        <v>45422</v>
      </c>
    </row>
    <row r="1717" spans="1:15">
      <c r="A1717">
        <v>1716</v>
      </c>
      <c r="B1717" t="s">
        <v>263</v>
      </c>
      <c r="C1717" s="1">
        <v>12419</v>
      </c>
      <c r="D1717">
        <f ca="1">DATEDIF(TablaDatos[[#This Row],[FechaNacimiento]],TODAY(),"Y")</f>
        <v>92</v>
      </c>
      <c r="E1717" s="4" t="s">
        <v>15</v>
      </c>
      <c r="F1717" t="s">
        <v>295</v>
      </c>
      <c r="G1717" s="1">
        <v>45102</v>
      </c>
      <c r="H1717" s="1">
        <f>TablaDatos[[#This Row],[FechaIngreso]]+TablaDatos[[#This Row],[DiasNuevo]]</f>
        <v>45106</v>
      </c>
      <c r="I1717">
        <v>4</v>
      </c>
      <c r="J1717" t="s">
        <v>23</v>
      </c>
      <c r="K1717" s="3">
        <v>16909.8</v>
      </c>
      <c r="L1717" t="b">
        <f>TablaDatos[[#This Row],[FechaAlta]] &lt; TablaDatos[[#This Row],[FechaIngreso]]</f>
        <v>0</v>
      </c>
      <c r="M1717">
        <f>_xlfn.XLOOKUP(TablaDatos[[#This Row],[PacienteID]],'Datos_Ejemplo.csv'!A:A,'Datos_Ejemplo.csv'!I:I)</f>
        <v>4</v>
      </c>
      <c r="N1717">
        <f>ABS(TablaDatos[[#This Row],[DiasOriginal]])</f>
        <v>4</v>
      </c>
      <c r="O1717" s="1">
        <f>TablaDatos[[#This Row],[FechaIngreso]]+TablaDatos[[#This Row],[DiasNuevo]]</f>
        <v>45106</v>
      </c>
    </row>
    <row r="1718" spans="1:15">
      <c r="A1718">
        <v>1717</v>
      </c>
      <c r="B1718" t="s">
        <v>363</v>
      </c>
      <c r="C1718" s="1">
        <v>42005</v>
      </c>
      <c r="D1718">
        <f ca="1">DATEDIF(TablaDatos[[#This Row],[FechaNacimiento]],TODAY(),"Y")</f>
        <v>11</v>
      </c>
      <c r="E1718" s="4" t="s">
        <v>15</v>
      </c>
      <c r="F1718" t="s">
        <v>21</v>
      </c>
      <c r="G1718" s="1">
        <v>45347</v>
      </c>
      <c r="H1718" s="1">
        <f>TablaDatos[[#This Row],[FechaIngreso]]+TablaDatos[[#This Row],[DiasNuevo]]</f>
        <v>45363</v>
      </c>
      <c r="I1718">
        <v>16</v>
      </c>
      <c r="J1718" t="s">
        <v>19</v>
      </c>
      <c r="K1718" s="3">
        <v>11921.11</v>
      </c>
      <c r="L1718" t="b">
        <f>TablaDatos[[#This Row],[FechaAlta]] &lt; TablaDatos[[#This Row],[FechaIngreso]]</f>
        <v>0</v>
      </c>
      <c r="M1718">
        <f>_xlfn.XLOOKUP(TablaDatos[[#This Row],[PacienteID]],'Datos_Ejemplo.csv'!A:A,'Datos_Ejemplo.csv'!I:I)</f>
        <v>16</v>
      </c>
      <c r="N1718">
        <f>ABS(TablaDatos[[#This Row],[DiasOriginal]])</f>
        <v>16</v>
      </c>
      <c r="O1718" s="1">
        <f>TablaDatos[[#This Row],[FechaIngreso]]+TablaDatos[[#This Row],[DiasNuevo]]</f>
        <v>45363</v>
      </c>
    </row>
    <row r="1719" spans="1:15">
      <c r="A1719">
        <v>1718</v>
      </c>
      <c r="B1719" t="s">
        <v>303</v>
      </c>
      <c r="C1719" s="1">
        <v>32143</v>
      </c>
      <c r="D1719">
        <v>38</v>
      </c>
      <c r="E1719" s="4" t="s">
        <v>197</v>
      </c>
      <c r="F1719" t="s">
        <v>18</v>
      </c>
      <c r="G1719" s="1">
        <v>45498</v>
      </c>
      <c r="H1719" s="1">
        <f>TablaDatos[[#This Row],[FechaIngreso]]+TablaDatos[[#This Row],[DiasNuevo]]</f>
        <v>45526</v>
      </c>
      <c r="I1719">
        <v>28</v>
      </c>
      <c r="J1719" t="s">
        <v>25</v>
      </c>
      <c r="K1719" s="3">
        <v>17384.18</v>
      </c>
      <c r="L1719" t="b">
        <f>TablaDatos[[#This Row],[FechaAlta]] &lt; TablaDatos[[#This Row],[FechaIngreso]]</f>
        <v>0</v>
      </c>
      <c r="M1719">
        <f>_xlfn.XLOOKUP(TablaDatos[[#This Row],[PacienteID]],'Datos_Ejemplo.csv'!A:A,'Datos_Ejemplo.csv'!I:I)</f>
        <v>28</v>
      </c>
      <c r="N1719">
        <f>ABS(TablaDatos[[#This Row],[DiasOriginal]])</f>
        <v>28</v>
      </c>
      <c r="O1719" s="1">
        <f>TablaDatos[[#This Row],[FechaIngreso]]+TablaDatos[[#This Row],[DiasNuevo]]</f>
        <v>45526</v>
      </c>
    </row>
    <row r="1720" spans="1:15">
      <c r="A1720">
        <v>1719</v>
      </c>
      <c r="B1720" t="s">
        <v>234</v>
      </c>
      <c r="C1720" s="1">
        <v>22281</v>
      </c>
      <c r="D1720">
        <v>65</v>
      </c>
      <c r="E1720" s="4" t="s">
        <v>197</v>
      </c>
      <c r="F1720" t="s">
        <v>21</v>
      </c>
      <c r="G1720" s="1">
        <v>45387</v>
      </c>
      <c r="H1720" s="1">
        <f>TablaDatos[[#This Row],[FechaIngreso]]+TablaDatos[[#This Row],[DiasNuevo]]</f>
        <v>45420</v>
      </c>
      <c r="I1720">
        <v>33</v>
      </c>
      <c r="J1720" t="s">
        <v>23</v>
      </c>
      <c r="K1720" s="3">
        <v>17339.48</v>
      </c>
      <c r="L1720" t="b">
        <f>TablaDatos[[#This Row],[FechaAlta]] &lt; TablaDatos[[#This Row],[FechaIngreso]]</f>
        <v>0</v>
      </c>
      <c r="M1720">
        <f>_xlfn.XLOOKUP(TablaDatos[[#This Row],[PacienteID]],'Datos_Ejemplo.csv'!A:A,'Datos_Ejemplo.csv'!I:I)</f>
        <v>33</v>
      </c>
      <c r="N1720">
        <f>ABS(TablaDatos[[#This Row],[DiasOriginal]])</f>
        <v>33</v>
      </c>
      <c r="O1720" s="1">
        <f>TablaDatos[[#This Row],[FechaIngreso]]+TablaDatos[[#This Row],[DiasNuevo]]</f>
        <v>45420</v>
      </c>
    </row>
    <row r="1721" spans="1:15">
      <c r="A1721">
        <v>1720</v>
      </c>
      <c r="B1721" t="s">
        <v>368</v>
      </c>
      <c r="C1721" s="1">
        <v>41639</v>
      </c>
      <c r="D1721">
        <v>12</v>
      </c>
      <c r="E1721" s="4" t="s">
        <v>15</v>
      </c>
      <c r="F1721" t="s">
        <v>261</v>
      </c>
      <c r="G1721" s="1">
        <v>45180</v>
      </c>
      <c r="H1721" s="1">
        <f>TablaDatos[[#This Row],[FechaIngreso]]+TablaDatos[[#This Row],[DiasNuevo]]</f>
        <v>45204</v>
      </c>
      <c r="I1721">
        <v>24</v>
      </c>
      <c r="J1721" t="s">
        <v>23</v>
      </c>
      <c r="K1721" s="3">
        <v>10872.97</v>
      </c>
      <c r="L1721" t="b">
        <f>TablaDatos[[#This Row],[FechaAlta]] &lt; TablaDatos[[#This Row],[FechaIngreso]]</f>
        <v>0</v>
      </c>
      <c r="M1721">
        <f>_xlfn.XLOOKUP(TablaDatos[[#This Row],[PacienteID]],'Datos_Ejemplo.csv'!A:A,'Datos_Ejemplo.csv'!I:I)</f>
        <v>24</v>
      </c>
      <c r="N1721">
        <f>ABS(TablaDatos[[#This Row],[DiasOriginal]])</f>
        <v>24</v>
      </c>
      <c r="O1721" s="1">
        <f>TablaDatos[[#This Row],[FechaIngreso]]+TablaDatos[[#This Row],[DiasNuevo]]</f>
        <v>45204</v>
      </c>
    </row>
    <row r="1722" spans="1:15">
      <c r="A1722">
        <v>1721</v>
      </c>
      <c r="B1722" t="s">
        <v>247</v>
      </c>
      <c r="C1722" s="1">
        <v>29586</v>
      </c>
      <c r="D1722">
        <v>45</v>
      </c>
      <c r="E1722" s="4" t="s">
        <v>12</v>
      </c>
      <c r="F1722" t="s">
        <v>201</v>
      </c>
      <c r="G1722" s="1">
        <v>45446</v>
      </c>
      <c r="H1722" s="1">
        <f>TablaDatos[[#This Row],[FechaIngreso]]+TablaDatos[[#This Row],[DiasNuevo]]</f>
        <v>45472</v>
      </c>
      <c r="I1722">
        <v>26</v>
      </c>
      <c r="J1722" t="s">
        <v>25</v>
      </c>
      <c r="K1722" s="3">
        <v>18206.71</v>
      </c>
      <c r="L1722" t="b">
        <f>TablaDatos[[#This Row],[FechaAlta]] &lt; TablaDatos[[#This Row],[FechaIngreso]]</f>
        <v>0</v>
      </c>
      <c r="M1722">
        <f>_xlfn.XLOOKUP(TablaDatos[[#This Row],[PacienteID]],'Datos_Ejemplo.csv'!A:A,'Datos_Ejemplo.csv'!I:I)</f>
        <v>26</v>
      </c>
      <c r="N1722">
        <f>ABS(TablaDatos[[#This Row],[DiasOriginal]])</f>
        <v>26</v>
      </c>
      <c r="O1722" s="1">
        <f>TablaDatos[[#This Row],[FechaIngreso]]+TablaDatos[[#This Row],[DiasNuevo]]</f>
        <v>45472</v>
      </c>
    </row>
    <row r="1723" spans="1:15">
      <c r="A1723">
        <v>1722</v>
      </c>
      <c r="B1723" t="s">
        <v>254</v>
      </c>
      <c r="C1723" s="1">
        <v>36526</v>
      </c>
      <c r="D1723">
        <v>26</v>
      </c>
      <c r="E1723" s="4" t="s">
        <v>15</v>
      </c>
      <c r="F1723" t="s">
        <v>201</v>
      </c>
      <c r="G1723" s="1">
        <v>45033</v>
      </c>
      <c r="H1723" s="1">
        <f>TablaDatos[[#This Row],[FechaIngreso]]+TablaDatos[[#This Row],[DiasNuevo]]</f>
        <v>45053</v>
      </c>
      <c r="I1723">
        <v>20</v>
      </c>
      <c r="J1723" t="s">
        <v>23</v>
      </c>
      <c r="K1723" s="3">
        <v>16953</v>
      </c>
      <c r="L1723" t="b">
        <f>TablaDatos[[#This Row],[FechaAlta]] &lt; TablaDatos[[#This Row],[FechaIngreso]]</f>
        <v>0</v>
      </c>
      <c r="M1723">
        <f>_xlfn.XLOOKUP(TablaDatos[[#This Row],[PacienteID]],'Datos_Ejemplo.csv'!A:A,'Datos_Ejemplo.csv'!I:I)</f>
        <v>20</v>
      </c>
      <c r="N1723">
        <f>ABS(TablaDatos[[#This Row],[DiasOriginal]])</f>
        <v>20</v>
      </c>
      <c r="O1723" s="1">
        <f>TablaDatos[[#This Row],[FechaIngreso]]+TablaDatos[[#This Row],[DiasNuevo]]</f>
        <v>45053</v>
      </c>
    </row>
    <row r="1724" spans="1:15">
      <c r="A1724">
        <v>1723</v>
      </c>
      <c r="B1724" t="s">
        <v>334</v>
      </c>
      <c r="C1724" s="1">
        <v>40178</v>
      </c>
      <c r="D1724">
        <v>16</v>
      </c>
      <c r="E1724" s="4" t="s">
        <v>15</v>
      </c>
      <c r="F1724" t="s">
        <v>13</v>
      </c>
      <c r="G1724" s="1">
        <v>45097</v>
      </c>
      <c r="H1724" s="1">
        <f>TablaDatos[[#This Row],[FechaIngreso]]+TablaDatos[[#This Row],[DiasNuevo]]</f>
        <v>45114</v>
      </c>
      <c r="I1724">
        <v>17</v>
      </c>
      <c r="J1724" t="s">
        <v>23</v>
      </c>
      <c r="K1724" s="3">
        <v>19158.27</v>
      </c>
      <c r="L1724" t="b">
        <f>TablaDatos[[#This Row],[FechaAlta]] &lt; TablaDatos[[#This Row],[FechaIngreso]]</f>
        <v>0</v>
      </c>
      <c r="M1724">
        <f>_xlfn.XLOOKUP(TablaDatos[[#This Row],[PacienteID]],'Datos_Ejemplo.csv'!A:A,'Datos_Ejemplo.csv'!I:I)</f>
        <v>17</v>
      </c>
      <c r="N1724">
        <f>ABS(TablaDatos[[#This Row],[DiasOriginal]])</f>
        <v>17</v>
      </c>
      <c r="O1724" s="1">
        <f>TablaDatos[[#This Row],[FechaIngreso]]+TablaDatos[[#This Row],[DiasNuevo]]</f>
        <v>45114</v>
      </c>
    </row>
    <row r="1725" spans="1:15">
      <c r="A1725">
        <v>1724</v>
      </c>
      <c r="B1725" t="s">
        <v>251</v>
      </c>
      <c r="C1725" s="1">
        <v>11689</v>
      </c>
      <c r="D1725">
        <v>94</v>
      </c>
      <c r="E1725" s="4" t="s">
        <v>15</v>
      </c>
      <c r="F1725" t="s">
        <v>261</v>
      </c>
      <c r="G1725" s="1">
        <v>44984</v>
      </c>
      <c r="H1725" s="1">
        <f>TablaDatos[[#This Row],[FechaIngreso]]+TablaDatos[[#This Row],[DiasNuevo]]</f>
        <v>44987</v>
      </c>
      <c r="I1725">
        <v>3</v>
      </c>
      <c r="J1725" t="s">
        <v>23</v>
      </c>
      <c r="K1725" s="3">
        <v>16995.02</v>
      </c>
      <c r="L1725" t="b">
        <f>TablaDatos[[#This Row],[FechaAlta]] &lt; TablaDatos[[#This Row],[FechaIngreso]]</f>
        <v>0</v>
      </c>
      <c r="M1725">
        <f>_xlfn.XLOOKUP(TablaDatos[[#This Row],[PacienteID]],'Datos_Ejemplo.csv'!A:A,'Datos_Ejemplo.csv'!I:I)</f>
        <v>3</v>
      </c>
      <c r="N1725">
        <f>ABS(TablaDatos[[#This Row],[DiasOriginal]])</f>
        <v>3</v>
      </c>
      <c r="O1725" s="1">
        <f>TablaDatos[[#This Row],[FechaIngreso]]+TablaDatos[[#This Row],[DiasNuevo]]</f>
        <v>44987</v>
      </c>
    </row>
    <row r="1726" spans="1:15">
      <c r="A1726">
        <v>1725</v>
      </c>
      <c r="B1726" t="s">
        <v>368</v>
      </c>
      <c r="C1726" s="1">
        <v>24473</v>
      </c>
      <c r="D1726">
        <f ca="1">DATEDIF(TablaDatos[[#This Row],[FechaNacimiento]],TODAY(),"Y")</f>
        <v>59</v>
      </c>
      <c r="E1726" s="4" t="s">
        <v>197</v>
      </c>
      <c r="F1726" t="s">
        <v>18</v>
      </c>
      <c r="G1726" s="1">
        <v>45263</v>
      </c>
      <c r="H1726" s="1">
        <f>TablaDatos[[#This Row],[FechaIngreso]]+TablaDatos[[#This Row],[DiasNuevo]]</f>
        <v>45272</v>
      </c>
      <c r="I1726">
        <v>9</v>
      </c>
      <c r="J1726" t="s">
        <v>25</v>
      </c>
      <c r="K1726" s="3">
        <v>16406.2</v>
      </c>
      <c r="L1726" t="b">
        <f>TablaDatos[[#This Row],[FechaAlta]] &lt; TablaDatos[[#This Row],[FechaIngreso]]</f>
        <v>0</v>
      </c>
      <c r="M1726">
        <f>_xlfn.XLOOKUP(TablaDatos[[#This Row],[PacienteID]],'Datos_Ejemplo.csv'!A:A,'Datos_Ejemplo.csv'!I:I)</f>
        <v>9</v>
      </c>
      <c r="N1726">
        <f>ABS(TablaDatos[[#This Row],[DiasOriginal]])</f>
        <v>9</v>
      </c>
      <c r="O1726" s="1">
        <f>TablaDatos[[#This Row],[FechaIngreso]]+TablaDatos[[#This Row],[DiasNuevo]]</f>
        <v>45272</v>
      </c>
    </row>
    <row r="1727" spans="1:15">
      <c r="A1727">
        <v>1726</v>
      </c>
      <c r="B1727" t="s">
        <v>114</v>
      </c>
      <c r="C1727" s="1">
        <v>23012</v>
      </c>
      <c r="D1727">
        <v>63</v>
      </c>
      <c r="E1727" s="4" t="s">
        <v>12</v>
      </c>
      <c r="F1727" t="s">
        <v>13</v>
      </c>
      <c r="G1727" s="1">
        <v>45268</v>
      </c>
      <c r="H1727" s="1">
        <f>TablaDatos[[#This Row],[FechaIngreso]]+TablaDatos[[#This Row],[DiasNuevo]]</f>
        <v>45277</v>
      </c>
      <c r="I1727">
        <v>9</v>
      </c>
      <c r="J1727" t="s">
        <v>25</v>
      </c>
      <c r="K1727" s="3">
        <v>9334.15</v>
      </c>
      <c r="L1727" t="b">
        <f>TablaDatos[[#This Row],[FechaAlta]] &lt; TablaDatos[[#This Row],[FechaIngreso]]</f>
        <v>0</v>
      </c>
      <c r="M1727">
        <f>_xlfn.XLOOKUP(TablaDatos[[#This Row],[PacienteID]],'Datos_Ejemplo.csv'!A:A,'Datos_Ejemplo.csv'!I:I)</f>
        <v>9</v>
      </c>
      <c r="N1727">
        <f>ABS(TablaDatos[[#This Row],[DiasOriginal]])</f>
        <v>9</v>
      </c>
      <c r="O1727" s="1">
        <f>TablaDatos[[#This Row],[FechaIngreso]]+TablaDatos[[#This Row],[DiasNuevo]]</f>
        <v>45277</v>
      </c>
    </row>
    <row r="1728" spans="1:15">
      <c r="A1728">
        <v>1727</v>
      </c>
      <c r="B1728" t="s">
        <v>353</v>
      </c>
      <c r="C1728" s="1">
        <v>14246</v>
      </c>
      <c r="D1728">
        <v>87</v>
      </c>
      <c r="E1728" s="4" t="s">
        <v>15</v>
      </c>
      <c r="F1728" t="s">
        <v>201</v>
      </c>
      <c r="G1728" s="1">
        <v>45216</v>
      </c>
      <c r="H1728" s="1">
        <f>TablaDatos[[#This Row],[FechaIngreso]]+TablaDatos[[#This Row],[DiasNuevo]]</f>
        <v>45216</v>
      </c>
      <c r="I1728">
        <v>0</v>
      </c>
      <c r="J1728" t="s">
        <v>19</v>
      </c>
      <c r="K1728" s="3">
        <v>4161.82</v>
      </c>
      <c r="L1728" t="b">
        <f>TablaDatos[[#This Row],[FechaAlta]] &lt; TablaDatos[[#This Row],[FechaIngreso]]</f>
        <v>0</v>
      </c>
      <c r="M1728">
        <f>_xlfn.XLOOKUP(TablaDatos[[#This Row],[PacienteID]],'Datos_Ejemplo.csv'!A:A,'Datos_Ejemplo.csv'!I:I)</f>
        <v>0</v>
      </c>
      <c r="N1728">
        <f>ABS(TablaDatos[[#This Row],[DiasOriginal]])</f>
        <v>0</v>
      </c>
      <c r="O1728" s="1">
        <f>TablaDatos[[#This Row],[FechaIngreso]]+TablaDatos[[#This Row],[DiasNuevo]]</f>
        <v>45216</v>
      </c>
    </row>
    <row r="1729" spans="1:15">
      <c r="A1729">
        <v>1728</v>
      </c>
      <c r="B1729" t="s">
        <v>291</v>
      </c>
      <c r="C1729" s="1">
        <v>33604</v>
      </c>
      <c r="D1729">
        <v>34</v>
      </c>
      <c r="E1729" s="4" t="s">
        <v>15</v>
      </c>
      <c r="F1729" t="s">
        <v>18</v>
      </c>
      <c r="G1729" s="1">
        <v>45010</v>
      </c>
      <c r="H1729" s="1">
        <f>TablaDatos[[#This Row],[FechaIngreso]]+TablaDatos[[#This Row],[DiasNuevo]]</f>
        <v>45049</v>
      </c>
      <c r="I1729">
        <v>39</v>
      </c>
      <c r="J1729" t="s">
        <v>25</v>
      </c>
      <c r="K1729" s="3">
        <v>18205.25</v>
      </c>
      <c r="L1729" t="b">
        <f>TablaDatos[[#This Row],[FechaAlta]] &lt; TablaDatos[[#This Row],[FechaIngreso]]</f>
        <v>0</v>
      </c>
      <c r="M1729">
        <f>_xlfn.XLOOKUP(TablaDatos[[#This Row],[PacienteID]],'Datos_Ejemplo.csv'!A:A,'Datos_Ejemplo.csv'!I:I)</f>
        <v>39</v>
      </c>
      <c r="N1729">
        <f>ABS(TablaDatos[[#This Row],[DiasOriginal]])</f>
        <v>39</v>
      </c>
      <c r="O1729" s="1">
        <f>TablaDatos[[#This Row],[FechaIngreso]]+TablaDatos[[#This Row],[DiasNuevo]]</f>
        <v>45049</v>
      </c>
    </row>
    <row r="1730" spans="1:15">
      <c r="A1730">
        <v>1729</v>
      </c>
      <c r="B1730" t="s">
        <v>243</v>
      </c>
      <c r="C1730" s="1">
        <v>20820</v>
      </c>
      <c r="D1730">
        <v>69</v>
      </c>
      <c r="E1730" s="4" t="s">
        <v>15</v>
      </c>
      <c r="F1730" t="s">
        <v>13</v>
      </c>
      <c r="G1730" s="1">
        <v>45043</v>
      </c>
      <c r="H1730" s="1">
        <f>TablaDatos[[#This Row],[FechaIngreso]]+TablaDatos[[#This Row],[DiasNuevo]]</f>
        <v>45079</v>
      </c>
      <c r="I1730">
        <v>36</v>
      </c>
      <c r="J1730" t="s">
        <v>25</v>
      </c>
      <c r="K1730" s="3">
        <v>14423.24</v>
      </c>
      <c r="L1730" t="b">
        <f>TablaDatos[[#This Row],[FechaAlta]] &lt; TablaDatos[[#This Row],[FechaIngreso]]</f>
        <v>0</v>
      </c>
      <c r="M1730">
        <f>_xlfn.XLOOKUP(TablaDatos[[#This Row],[PacienteID]],'Datos_Ejemplo.csv'!A:A,'Datos_Ejemplo.csv'!I:I)</f>
        <v>36</v>
      </c>
      <c r="N1730">
        <f>ABS(TablaDatos[[#This Row],[DiasOriginal]])</f>
        <v>36</v>
      </c>
      <c r="O1730" s="1">
        <f>TablaDatos[[#This Row],[FechaIngreso]]+TablaDatos[[#This Row],[DiasNuevo]]</f>
        <v>45079</v>
      </c>
    </row>
    <row r="1731" spans="1:15">
      <c r="A1731">
        <v>1730</v>
      </c>
      <c r="B1731" t="s">
        <v>249</v>
      </c>
      <c r="C1731" s="1">
        <v>16072</v>
      </c>
      <c r="D1731">
        <v>82</v>
      </c>
      <c r="E1731" s="4" t="s">
        <v>12</v>
      </c>
      <c r="F1731" t="s">
        <v>21</v>
      </c>
      <c r="G1731" s="1">
        <v>45638</v>
      </c>
      <c r="H1731" s="1">
        <f>TablaDatos[[#This Row],[FechaIngreso]]+TablaDatos[[#This Row],[DiasNuevo]]</f>
        <v>45670</v>
      </c>
      <c r="I1731">
        <v>32</v>
      </c>
      <c r="J1731" t="s">
        <v>23</v>
      </c>
      <c r="K1731" s="3">
        <v>5563.13</v>
      </c>
      <c r="L1731" t="b">
        <f>TablaDatos[[#This Row],[FechaAlta]] &lt; TablaDatos[[#This Row],[FechaIngreso]]</f>
        <v>0</v>
      </c>
      <c r="M1731">
        <f>_xlfn.XLOOKUP(TablaDatos[[#This Row],[PacienteID]],'Datos_Ejemplo.csv'!A:A,'Datos_Ejemplo.csv'!I:I)</f>
        <v>32</v>
      </c>
      <c r="N1731">
        <f>ABS(TablaDatos[[#This Row],[DiasOriginal]])</f>
        <v>32</v>
      </c>
      <c r="O1731" s="1">
        <f>TablaDatos[[#This Row],[FechaIngreso]]+TablaDatos[[#This Row],[DiasNuevo]]</f>
        <v>45670</v>
      </c>
    </row>
    <row r="1732" spans="1:15">
      <c r="A1732">
        <v>1731</v>
      </c>
      <c r="B1732" t="s">
        <v>257</v>
      </c>
      <c r="C1732" s="1">
        <v>35430</v>
      </c>
      <c r="D1732">
        <v>29</v>
      </c>
      <c r="E1732" s="4" t="s">
        <v>12</v>
      </c>
      <c r="F1732" t="s">
        <v>21</v>
      </c>
      <c r="G1732" s="1">
        <v>45460</v>
      </c>
      <c r="H1732" s="1">
        <f>TablaDatos[[#This Row],[FechaIngreso]]+TablaDatos[[#This Row],[DiasNuevo]]</f>
        <v>45476</v>
      </c>
      <c r="I1732">
        <v>16</v>
      </c>
      <c r="J1732" t="s">
        <v>19</v>
      </c>
      <c r="K1732" s="3">
        <v>6754.01</v>
      </c>
      <c r="L1732" t="b">
        <f>TablaDatos[[#This Row],[FechaAlta]] &lt; TablaDatos[[#This Row],[FechaIngreso]]</f>
        <v>0</v>
      </c>
      <c r="M1732">
        <f>_xlfn.XLOOKUP(TablaDatos[[#This Row],[PacienteID]],'Datos_Ejemplo.csv'!A:A,'Datos_Ejemplo.csv'!I:I)</f>
        <v>16</v>
      </c>
      <c r="N1732">
        <f>ABS(TablaDatos[[#This Row],[DiasOriginal]])</f>
        <v>16</v>
      </c>
      <c r="O1732" s="1">
        <f>TablaDatos[[#This Row],[FechaIngreso]]+TablaDatos[[#This Row],[DiasNuevo]]</f>
        <v>45476</v>
      </c>
    </row>
    <row r="1733" spans="1:15">
      <c r="A1733">
        <v>1732</v>
      </c>
      <c r="B1733" t="s">
        <v>102</v>
      </c>
      <c r="C1733" s="1">
        <v>20455</v>
      </c>
      <c r="D1733">
        <v>70</v>
      </c>
      <c r="E1733" s="4" t="s">
        <v>15</v>
      </c>
      <c r="F1733" t="s">
        <v>18</v>
      </c>
      <c r="G1733" s="1">
        <v>45145</v>
      </c>
      <c r="H1733" s="1">
        <f>TablaDatos[[#This Row],[FechaIngreso]]+TablaDatos[[#This Row],[DiasNuevo]]</f>
        <v>45146</v>
      </c>
      <c r="I1733">
        <v>1</v>
      </c>
      <c r="J1733" t="s">
        <v>23</v>
      </c>
      <c r="K1733" s="3">
        <v>13690.18</v>
      </c>
      <c r="L1733" t="b">
        <f>TablaDatos[[#This Row],[FechaAlta]] &lt; TablaDatos[[#This Row],[FechaIngreso]]</f>
        <v>0</v>
      </c>
      <c r="M1733">
        <f>_xlfn.XLOOKUP(TablaDatos[[#This Row],[PacienteID]],'Datos_Ejemplo.csv'!A:A,'Datos_Ejemplo.csv'!I:I)</f>
        <v>1</v>
      </c>
      <c r="N1733">
        <f>ABS(TablaDatos[[#This Row],[DiasOriginal]])</f>
        <v>1</v>
      </c>
      <c r="O1733" s="1">
        <f>TablaDatos[[#This Row],[FechaIngreso]]+TablaDatos[[#This Row],[DiasNuevo]]</f>
        <v>45146</v>
      </c>
    </row>
    <row r="1734" spans="1:15">
      <c r="A1734">
        <v>1733</v>
      </c>
      <c r="B1734" t="s">
        <v>232</v>
      </c>
      <c r="C1734" s="1">
        <v>19359</v>
      </c>
      <c r="D1734">
        <v>73</v>
      </c>
      <c r="E1734" s="4" t="s">
        <v>12</v>
      </c>
      <c r="F1734" t="s">
        <v>13</v>
      </c>
      <c r="G1734" s="1">
        <v>45028</v>
      </c>
      <c r="H1734" s="1">
        <f>TablaDatos[[#This Row],[FechaIngreso]]+TablaDatos[[#This Row],[DiasNuevo]]</f>
        <v>45056</v>
      </c>
      <c r="I1734">
        <v>28</v>
      </c>
      <c r="J1734" t="s">
        <v>25</v>
      </c>
      <c r="K1734" s="3">
        <v>9504.1299999999992</v>
      </c>
      <c r="L1734" t="b">
        <f>TablaDatos[[#This Row],[FechaAlta]] &lt; TablaDatos[[#This Row],[FechaIngreso]]</f>
        <v>0</v>
      </c>
      <c r="M1734">
        <f>_xlfn.XLOOKUP(TablaDatos[[#This Row],[PacienteID]],'Datos_Ejemplo.csv'!A:A,'Datos_Ejemplo.csv'!I:I)</f>
        <v>28</v>
      </c>
      <c r="N1734">
        <f>ABS(TablaDatos[[#This Row],[DiasOriginal]])</f>
        <v>28</v>
      </c>
      <c r="O1734" s="1">
        <f>TablaDatos[[#This Row],[FechaIngreso]]+TablaDatos[[#This Row],[DiasNuevo]]</f>
        <v>45056</v>
      </c>
    </row>
    <row r="1735" spans="1:15">
      <c r="A1735">
        <v>1734</v>
      </c>
      <c r="B1735" t="s">
        <v>293</v>
      </c>
      <c r="C1735" s="1">
        <v>23377</v>
      </c>
      <c r="D1735">
        <v>62</v>
      </c>
      <c r="E1735" s="4" t="s">
        <v>15</v>
      </c>
      <c r="F1735" t="s">
        <v>32</v>
      </c>
      <c r="G1735" s="1">
        <v>45583</v>
      </c>
      <c r="H1735" s="1">
        <f>TablaDatos[[#This Row],[FechaIngreso]]+TablaDatos[[#This Row],[DiasNuevo]]</f>
        <v>45622</v>
      </c>
      <c r="I1735">
        <v>39</v>
      </c>
      <c r="J1735" t="s">
        <v>19</v>
      </c>
      <c r="K1735" s="3">
        <v>1537.8</v>
      </c>
      <c r="L1735" t="b">
        <f>TablaDatos[[#This Row],[FechaAlta]] &lt; TablaDatos[[#This Row],[FechaIngreso]]</f>
        <v>0</v>
      </c>
      <c r="M1735">
        <f>_xlfn.XLOOKUP(TablaDatos[[#This Row],[PacienteID]],'Datos_Ejemplo.csv'!A:A,'Datos_Ejemplo.csv'!I:I)</f>
        <v>39</v>
      </c>
      <c r="N1735">
        <f>ABS(TablaDatos[[#This Row],[DiasOriginal]])</f>
        <v>39</v>
      </c>
      <c r="O1735" s="1">
        <f>TablaDatos[[#This Row],[FechaIngreso]]+TablaDatos[[#This Row],[DiasNuevo]]</f>
        <v>45622</v>
      </c>
    </row>
    <row r="1736" spans="1:15">
      <c r="A1736">
        <v>1735</v>
      </c>
      <c r="B1736" t="s">
        <v>330</v>
      </c>
      <c r="C1736" s="1">
        <v>36161</v>
      </c>
      <c r="D1736">
        <v>27</v>
      </c>
      <c r="E1736" s="4" t="s">
        <v>12</v>
      </c>
      <c r="F1736" t="s">
        <v>18</v>
      </c>
      <c r="G1736" s="1">
        <v>45382</v>
      </c>
      <c r="H1736" s="1">
        <f>TablaDatos[[#This Row],[FechaIngreso]]+TablaDatos[[#This Row],[DiasNuevo]]</f>
        <v>45417</v>
      </c>
      <c r="I1736">
        <v>35</v>
      </c>
      <c r="J1736" t="s">
        <v>23</v>
      </c>
      <c r="K1736" s="3">
        <v>2743.1</v>
      </c>
      <c r="L1736" t="b">
        <f>TablaDatos[[#This Row],[FechaAlta]] &lt; TablaDatos[[#This Row],[FechaIngreso]]</f>
        <v>0</v>
      </c>
      <c r="M1736">
        <f>_xlfn.XLOOKUP(TablaDatos[[#This Row],[PacienteID]],'Datos_Ejemplo.csv'!A:A,'Datos_Ejemplo.csv'!I:I)</f>
        <v>35</v>
      </c>
      <c r="N1736">
        <f>ABS(TablaDatos[[#This Row],[DiasOriginal]])</f>
        <v>35</v>
      </c>
      <c r="O1736" s="1">
        <f>TablaDatos[[#This Row],[FechaIngreso]]+TablaDatos[[#This Row],[DiasNuevo]]</f>
        <v>45417</v>
      </c>
    </row>
    <row r="1737" spans="1:15">
      <c r="A1737">
        <v>1736</v>
      </c>
      <c r="B1737" t="s">
        <v>246</v>
      </c>
      <c r="C1737" s="1">
        <v>24473</v>
      </c>
      <c r="D1737">
        <v>59</v>
      </c>
      <c r="E1737" s="4" t="s">
        <v>12</v>
      </c>
      <c r="F1737" t="s">
        <v>18</v>
      </c>
      <c r="G1737" s="1">
        <v>45585</v>
      </c>
      <c r="H1737" s="1">
        <f>TablaDatos[[#This Row],[FechaIngreso]]+TablaDatos[[#This Row],[DiasNuevo]]</f>
        <v>45615</v>
      </c>
      <c r="I1737">
        <v>30</v>
      </c>
      <c r="J1737" t="s">
        <v>19</v>
      </c>
      <c r="K1737" s="3">
        <v>14887.54</v>
      </c>
      <c r="L1737" t="b">
        <f>TablaDatos[[#This Row],[FechaAlta]] &lt; TablaDatos[[#This Row],[FechaIngreso]]</f>
        <v>0</v>
      </c>
      <c r="M1737">
        <f>_xlfn.XLOOKUP(TablaDatos[[#This Row],[PacienteID]],'Datos_Ejemplo.csv'!A:A,'Datos_Ejemplo.csv'!I:I)</f>
        <v>30</v>
      </c>
      <c r="N1737">
        <f>ABS(TablaDatos[[#This Row],[DiasOriginal]])</f>
        <v>30</v>
      </c>
      <c r="O1737" s="1">
        <f>TablaDatos[[#This Row],[FechaIngreso]]+TablaDatos[[#This Row],[DiasNuevo]]</f>
        <v>45615</v>
      </c>
    </row>
    <row r="1738" spans="1:15">
      <c r="A1738">
        <v>1737</v>
      </c>
      <c r="B1738" t="s">
        <v>90</v>
      </c>
      <c r="C1738" s="1">
        <v>17533</v>
      </c>
      <c r="D1738">
        <v>78</v>
      </c>
      <c r="E1738" s="4" t="s">
        <v>15</v>
      </c>
      <c r="F1738" t="s">
        <v>261</v>
      </c>
      <c r="G1738" s="1">
        <v>45452</v>
      </c>
      <c r="H1738" s="1">
        <f>TablaDatos[[#This Row],[FechaIngreso]]+TablaDatos[[#This Row],[DiasNuevo]]</f>
        <v>45455</v>
      </c>
      <c r="I1738">
        <v>3</v>
      </c>
      <c r="J1738" t="s">
        <v>25</v>
      </c>
      <c r="K1738" s="3">
        <v>6504.25</v>
      </c>
      <c r="L1738" t="b">
        <f>TablaDatos[[#This Row],[FechaAlta]] &lt; TablaDatos[[#This Row],[FechaIngreso]]</f>
        <v>0</v>
      </c>
      <c r="M1738">
        <f>_xlfn.XLOOKUP(TablaDatos[[#This Row],[PacienteID]],'Datos_Ejemplo.csv'!A:A,'Datos_Ejemplo.csv'!I:I)</f>
        <v>3</v>
      </c>
      <c r="N1738">
        <f>ABS(TablaDatos[[#This Row],[DiasOriginal]])</f>
        <v>3</v>
      </c>
      <c r="O1738" s="1">
        <f>TablaDatos[[#This Row],[FechaIngreso]]+TablaDatos[[#This Row],[DiasNuevo]]</f>
        <v>45455</v>
      </c>
    </row>
    <row r="1739" spans="1:15">
      <c r="A1739">
        <v>1738</v>
      </c>
      <c r="B1739" t="s">
        <v>284</v>
      </c>
      <c r="C1739" s="1">
        <v>12054</v>
      </c>
      <c r="D1739">
        <v>93</v>
      </c>
      <c r="E1739" s="4" t="s">
        <v>12</v>
      </c>
      <c r="F1739" t="s">
        <v>295</v>
      </c>
      <c r="G1739" s="1">
        <v>45192</v>
      </c>
      <c r="H1739" s="1">
        <f>TablaDatos[[#This Row],[FechaIngreso]]+TablaDatos[[#This Row],[DiasNuevo]]</f>
        <v>45197</v>
      </c>
      <c r="I1739">
        <v>5</v>
      </c>
      <c r="J1739" t="s">
        <v>19</v>
      </c>
      <c r="K1739" s="3">
        <v>10103.75</v>
      </c>
      <c r="L1739" t="b">
        <f>TablaDatos[[#This Row],[FechaAlta]] &lt; TablaDatos[[#This Row],[FechaIngreso]]</f>
        <v>0</v>
      </c>
      <c r="M1739">
        <f>_xlfn.XLOOKUP(TablaDatos[[#This Row],[PacienteID]],'Datos_Ejemplo.csv'!A:A,'Datos_Ejemplo.csv'!I:I)</f>
        <v>5</v>
      </c>
      <c r="N1739">
        <f>ABS(TablaDatos[[#This Row],[DiasOriginal]])</f>
        <v>5</v>
      </c>
      <c r="O1739" s="1">
        <f>TablaDatos[[#This Row],[FechaIngreso]]+TablaDatos[[#This Row],[DiasNuevo]]</f>
        <v>45197</v>
      </c>
    </row>
    <row r="1740" spans="1:15">
      <c r="A1740">
        <v>1739</v>
      </c>
      <c r="B1740" t="s">
        <v>49</v>
      </c>
      <c r="C1740" s="1">
        <v>32873</v>
      </c>
      <c r="D1740">
        <v>36</v>
      </c>
      <c r="E1740" s="4" t="s">
        <v>12</v>
      </c>
      <c r="F1740" t="s">
        <v>18</v>
      </c>
      <c r="G1740" s="1">
        <v>45213</v>
      </c>
      <c r="H1740" s="1">
        <f>TablaDatos[[#This Row],[FechaIngreso]]+TablaDatos[[#This Row],[DiasNuevo]]</f>
        <v>45238</v>
      </c>
      <c r="I1740">
        <v>25</v>
      </c>
      <c r="J1740" t="s">
        <v>19</v>
      </c>
      <c r="K1740" s="3">
        <v>15309.09</v>
      </c>
      <c r="L1740" t="b">
        <f>TablaDatos[[#This Row],[FechaAlta]] &lt; TablaDatos[[#This Row],[FechaIngreso]]</f>
        <v>0</v>
      </c>
      <c r="M1740">
        <f>_xlfn.XLOOKUP(TablaDatos[[#This Row],[PacienteID]],'Datos_Ejemplo.csv'!A:A,'Datos_Ejemplo.csv'!I:I)</f>
        <v>25</v>
      </c>
      <c r="N1740">
        <f>ABS(TablaDatos[[#This Row],[DiasOriginal]])</f>
        <v>25</v>
      </c>
      <c r="O1740" s="1">
        <f>TablaDatos[[#This Row],[FechaIngreso]]+TablaDatos[[#This Row],[DiasNuevo]]</f>
        <v>45238</v>
      </c>
    </row>
    <row r="1741" spans="1:15">
      <c r="A1741">
        <v>1740</v>
      </c>
      <c r="B1741" t="s">
        <v>298</v>
      </c>
      <c r="C1741" s="1">
        <v>12419</v>
      </c>
      <c r="D1741">
        <v>92</v>
      </c>
      <c r="E1741" s="4" t="s">
        <v>15</v>
      </c>
      <c r="F1741" t="s">
        <v>32</v>
      </c>
      <c r="G1741" s="1">
        <v>45067</v>
      </c>
      <c r="H1741" s="1">
        <f>TablaDatos[[#This Row],[FechaIngreso]]+TablaDatos[[#This Row],[DiasNuevo]]</f>
        <v>45079</v>
      </c>
      <c r="I1741">
        <v>12</v>
      </c>
      <c r="J1741" t="s">
        <v>19</v>
      </c>
      <c r="K1741" s="3">
        <v>14998.63</v>
      </c>
      <c r="L1741" t="b">
        <f>TablaDatos[[#This Row],[FechaAlta]] &lt; TablaDatos[[#This Row],[FechaIngreso]]</f>
        <v>0</v>
      </c>
      <c r="M1741">
        <f>_xlfn.XLOOKUP(TablaDatos[[#This Row],[PacienteID]],'Datos_Ejemplo.csv'!A:A,'Datos_Ejemplo.csv'!I:I)</f>
        <v>12</v>
      </c>
      <c r="N1741">
        <f>ABS(TablaDatos[[#This Row],[DiasOriginal]])</f>
        <v>12</v>
      </c>
      <c r="O1741" s="1">
        <f>TablaDatos[[#This Row],[FechaIngreso]]+TablaDatos[[#This Row],[DiasNuevo]]</f>
        <v>45079</v>
      </c>
    </row>
    <row r="1742" spans="1:15">
      <c r="A1742">
        <v>1741</v>
      </c>
      <c r="B1742" t="s">
        <v>337</v>
      </c>
      <c r="C1742" s="1">
        <v>38352</v>
      </c>
      <c r="D1742">
        <v>21</v>
      </c>
      <c r="E1742" s="4" t="s">
        <v>15</v>
      </c>
      <c r="F1742" t="s">
        <v>21</v>
      </c>
      <c r="G1742" s="1">
        <v>45332</v>
      </c>
      <c r="H1742" s="1">
        <f>TablaDatos[[#This Row],[FechaIngreso]]+TablaDatos[[#This Row],[DiasNuevo]]</f>
        <v>45360</v>
      </c>
      <c r="I1742">
        <v>28</v>
      </c>
      <c r="J1742" t="s">
        <v>25</v>
      </c>
      <c r="K1742" s="3">
        <v>3257</v>
      </c>
      <c r="L1742" t="b">
        <f>TablaDatos[[#This Row],[FechaAlta]] &lt; TablaDatos[[#This Row],[FechaIngreso]]</f>
        <v>0</v>
      </c>
      <c r="M1742">
        <f>_xlfn.XLOOKUP(TablaDatos[[#This Row],[PacienteID]],'Datos_Ejemplo.csv'!A:A,'Datos_Ejemplo.csv'!I:I)</f>
        <v>28</v>
      </c>
      <c r="N1742">
        <f>ABS(TablaDatos[[#This Row],[DiasOriginal]])</f>
        <v>28</v>
      </c>
      <c r="O1742" s="1">
        <f>TablaDatos[[#This Row],[FechaIngreso]]+TablaDatos[[#This Row],[DiasNuevo]]</f>
        <v>45360</v>
      </c>
    </row>
    <row r="1743" spans="1:15">
      <c r="A1743">
        <v>1742</v>
      </c>
      <c r="B1743" t="s">
        <v>146</v>
      </c>
      <c r="C1743" s="1">
        <v>21551</v>
      </c>
      <c r="D1743">
        <v>67</v>
      </c>
      <c r="E1743" s="4" t="s">
        <v>12</v>
      </c>
      <c r="F1743" t="s">
        <v>13</v>
      </c>
      <c r="G1743" s="1">
        <v>45219</v>
      </c>
      <c r="H1743" s="1">
        <f>TablaDatos[[#This Row],[FechaIngreso]]+TablaDatos[[#This Row],[DiasNuevo]]</f>
        <v>45224</v>
      </c>
      <c r="I1743">
        <v>5</v>
      </c>
      <c r="J1743" t="s">
        <v>25</v>
      </c>
      <c r="K1743" s="3">
        <v>1877.72</v>
      </c>
      <c r="L1743" t="b">
        <f>TablaDatos[[#This Row],[FechaAlta]] &lt; TablaDatos[[#This Row],[FechaIngreso]]</f>
        <v>0</v>
      </c>
      <c r="M1743">
        <f>_xlfn.XLOOKUP(TablaDatos[[#This Row],[PacienteID]],'Datos_Ejemplo.csv'!A:A,'Datos_Ejemplo.csv'!I:I)</f>
        <v>5</v>
      </c>
      <c r="N1743">
        <f>ABS(TablaDatos[[#This Row],[DiasOriginal]])</f>
        <v>5</v>
      </c>
      <c r="O1743" s="1">
        <f>TablaDatos[[#This Row],[FechaIngreso]]+TablaDatos[[#This Row],[DiasNuevo]]</f>
        <v>45224</v>
      </c>
    </row>
    <row r="1744" spans="1:15">
      <c r="A1744">
        <v>1743</v>
      </c>
      <c r="B1744" t="s">
        <v>313</v>
      </c>
      <c r="C1744" s="1">
        <v>39083</v>
      </c>
      <c r="D1744">
        <v>19</v>
      </c>
      <c r="E1744" s="4" t="s">
        <v>15</v>
      </c>
      <c r="F1744" t="s">
        <v>295</v>
      </c>
      <c r="G1744" s="1">
        <v>44957</v>
      </c>
      <c r="H1744" s="1">
        <f>TablaDatos[[#This Row],[FechaIngreso]]+TablaDatos[[#This Row],[DiasNuevo]]</f>
        <v>44960</v>
      </c>
      <c r="I1744">
        <v>3</v>
      </c>
      <c r="J1744" t="s">
        <v>19</v>
      </c>
      <c r="K1744" s="3">
        <v>11782.16</v>
      </c>
      <c r="L1744" t="b">
        <f>TablaDatos[[#This Row],[FechaAlta]] &lt; TablaDatos[[#This Row],[FechaIngreso]]</f>
        <v>0</v>
      </c>
      <c r="M1744">
        <f>_xlfn.XLOOKUP(TablaDatos[[#This Row],[PacienteID]],'Datos_Ejemplo.csv'!A:A,'Datos_Ejemplo.csv'!I:I)</f>
        <v>3</v>
      </c>
      <c r="N1744">
        <f>ABS(TablaDatos[[#This Row],[DiasOriginal]])</f>
        <v>3</v>
      </c>
      <c r="O1744" s="1">
        <f>TablaDatos[[#This Row],[FechaIngreso]]+TablaDatos[[#This Row],[DiasNuevo]]</f>
        <v>44960</v>
      </c>
    </row>
    <row r="1745" spans="1:15">
      <c r="A1745">
        <v>1744</v>
      </c>
      <c r="B1745" t="s">
        <v>344</v>
      </c>
      <c r="C1745" s="1">
        <v>21551</v>
      </c>
      <c r="D1745">
        <v>67</v>
      </c>
      <c r="E1745" s="4" t="s">
        <v>15</v>
      </c>
      <c r="F1745" t="s">
        <v>13</v>
      </c>
      <c r="G1745" s="1">
        <v>45097</v>
      </c>
      <c r="H1745" s="1">
        <f>TablaDatos[[#This Row],[FechaIngreso]]+TablaDatos[[#This Row],[DiasNuevo]]</f>
        <v>45123</v>
      </c>
      <c r="I1745">
        <v>26</v>
      </c>
      <c r="J1745" t="s">
        <v>23</v>
      </c>
      <c r="K1745" s="3">
        <v>14806.82</v>
      </c>
      <c r="L1745" t="b">
        <f>TablaDatos[[#This Row],[FechaAlta]] &lt; TablaDatos[[#This Row],[FechaIngreso]]</f>
        <v>0</v>
      </c>
      <c r="M1745">
        <f>_xlfn.XLOOKUP(TablaDatos[[#This Row],[PacienteID]],'Datos_Ejemplo.csv'!A:A,'Datos_Ejemplo.csv'!I:I)</f>
        <v>26</v>
      </c>
      <c r="N1745">
        <f>ABS(TablaDatos[[#This Row],[DiasOriginal]])</f>
        <v>26</v>
      </c>
      <c r="O1745" s="1">
        <f>TablaDatos[[#This Row],[FechaIngreso]]+TablaDatos[[#This Row],[DiasNuevo]]</f>
        <v>45123</v>
      </c>
    </row>
    <row r="1746" spans="1:15">
      <c r="A1746">
        <v>1745</v>
      </c>
      <c r="B1746" t="s">
        <v>273</v>
      </c>
      <c r="C1746" s="1">
        <v>13150</v>
      </c>
      <c r="D1746">
        <v>90</v>
      </c>
      <c r="E1746" s="4" t="s">
        <v>15</v>
      </c>
      <c r="F1746" t="s">
        <v>21</v>
      </c>
      <c r="G1746" s="1">
        <v>45281</v>
      </c>
      <c r="H1746" s="1">
        <f>TablaDatos[[#This Row],[FechaIngreso]]+TablaDatos[[#This Row],[DiasNuevo]]</f>
        <v>45312</v>
      </c>
      <c r="I1746">
        <v>31</v>
      </c>
      <c r="J1746" t="s">
        <v>23</v>
      </c>
      <c r="K1746" s="3">
        <v>2895.7</v>
      </c>
      <c r="L1746" t="b">
        <f>TablaDatos[[#This Row],[FechaAlta]] &lt; TablaDatos[[#This Row],[FechaIngreso]]</f>
        <v>0</v>
      </c>
      <c r="M1746">
        <f>_xlfn.XLOOKUP(TablaDatos[[#This Row],[PacienteID]],'Datos_Ejemplo.csv'!A:A,'Datos_Ejemplo.csv'!I:I)</f>
        <v>31</v>
      </c>
      <c r="N1746">
        <f>ABS(TablaDatos[[#This Row],[DiasOriginal]])</f>
        <v>31</v>
      </c>
      <c r="O1746" s="1">
        <f>TablaDatos[[#This Row],[FechaIngreso]]+TablaDatos[[#This Row],[DiasNuevo]]</f>
        <v>45312</v>
      </c>
    </row>
    <row r="1747" spans="1:15">
      <c r="A1747">
        <v>1746</v>
      </c>
      <c r="B1747" t="s">
        <v>344</v>
      </c>
      <c r="C1747" s="1">
        <v>23012</v>
      </c>
      <c r="D1747">
        <v>63</v>
      </c>
      <c r="E1747" s="4" t="s">
        <v>12</v>
      </c>
      <c r="F1747" t="s">
        <v>18</v>
      </c>
      <c r="G1747" s="1">
        <v>45131</v>
      </c>
      <c r="H1747" s="1">
        <f>TablaDatos[[#This Row],[FechaIngreso]]+TablaDatos[[#This Row],[DiasNuevo]]</f>
        <v>45135</v>
      </c>
      <c r="I1747">
        <v>4</v>
      </c>
      <c r="J1747" t="s">
        <v>25</v>
      </c>
      <c r="K1747" s="3">
        <v>7376.3</v>
      </c>
      <c r="L1747" t="b">
        <f>TablaDatos[[#This Row],[FechaAlta]] &lt; TablaDatos[[#This Row],[FechaIngreso]]</f>
        <v>0</v>
      </c>
      <c r="M1747">
        <f>_xlfn.XLOOKUP(TablaDatos[[#This Row],[PacienteID]],'Datos_Ejemplo.csv'!A:A,'Datos_Ejemplo.csv'!I:I)</f>
        <v>4</v>
      </c>
      <c r="N1747">
        <f>ABS(TablaDatos[[#This Row],[DiasOriginal]])</f>
        <v>4</v>
      </c>
      <c r="O1747" s="1">
        <f>TablaDatos[[#This Row],[FechaIngreso]]+TablaDatos[[#This Row],[DiasNuevo]]</f>
        <v>45135</v>
      </c>
    </row>
    <row r="1748" spans="1:15">
      <c r="A1748">
        <v>1747</v>
      </c>
      <c r="B1748" t="s">
        <v>341</v>
      </c>
      <c r="C1748" s="1">
        <v>40178</v>
      </c>
      <c r="D1748">
        <v>16</v>
      </c>
      <c r="E1748" s="4" t="s">
        <v>12</v>
      </c>
      <c r="F1748" t="s">
        <v>261</v>
      </c>
      <c r="G1748" s="1">
        <v>45404</v>
      </c>
      <c r="H1748" s="1">
        <f>TablaDatos[[#This Row],[FechaIngreso]]+TablaDatos[[#This Row],[DiasNuevo]]</f>
        <v>45441</v>
      </c>
      <c r="I1748">
        <v>37</v>
      </c>
      <c r="J1748" t="s">
        <v>23</v>
      </c>
      <c r="K1748" s="3">
        <v>17392.59</v>
      </c>
      <c r="L1748" t="b">
        <f>TablaDatos[[#This Row],[FechaAlta]] &lt; TablaDatos[[#This Row],[FechaIngreso]]</f>
        <v>0</v>
      </c>
      <c r="M1748">
        <f>_xlfn.XLOOKUP(TablaDatos[[#This Row],[PacienteID]],'Datos_Ejemplo.csv'!A:A,'Datos_Ejemplo.csv'!I:I)</f>
        <v>37</v>
      </c>
      <c r="N1748">
        <f>ABS(TablaDatos[[#This Row],[DiasOriginal]])</f>
        <v>37</v>
      </c>
      <c r="O1748" s="1">
        <f>TablaDatos[[#This Row],[FechaIngreso]]+TablaDatos[[#This Row],[DiasNuevo]]</f>
        <v>45441</v>
      </c>
    </row>
    <row r="1749" spans="1:15">
      <c r="A1749">
        <v>1748</v>
      </c>
      <c r="B1749" t="s">
        <v>345</v>
      </c>
      <c r="C1749" s="1">
        <v>42005</v>
      </c>
      <c r="D1749">
        <v>11</v>
      </c>
      <c r="E1749" s="4" t="s">
        <v>12</v>
      </c>
      <c r="F1749" t="s">
        <v>32</v>
      </c>
      <c r="G1749" s="1">
        <v>45217</v>
      </c>
      <c r="H1749" s="1">
        <f>TablaDatos[[#This Row],[FechaIngreso]]+TablaDatos[[#This Row],[DiasNuevo]]</f>
        <v>45224</v>
      </c>
      <c r="I1749">
        <v>7</v>
      </c>
      <c r="J1749" t="s">
        <v>23</v>
      </c>
      <c r="K1749" s="3">
        <v>18878.89</v>
      </c>
      <c r="L1749" t="b">
        <f>TablaDatos[[#This Row],[FechaAlta]] &lt; TablaDatos[[#This Row],[FechaIngreso]]</f>
        <v>0</v>
      </c>
      <c r="M1749">
        <f>_xlfn.XLOOKUP(TablaDatos[[#This Row],[PacienteID]],'Datos_Ejemplo.csv'!A:A,'Datos_Ejemplo.csv'!I:I)</f>
        <v>7</v>
      </c>
      <c r="N1749">
        <f>ABS(TablaDatos[[#This Row],[DiasOriginal]])</f>
        <v>7</v>
      </c>
      <c r="O1749" s="1">
        <f>TablaDatos[[#This Row],[FechaIngreso]]+TablaDatos[[#This Row],[DiasNuevo]]</f>
        <v>45224</v>
      </c>
    </row>
    <row r="1750" spans="1:15">
      <c r="A1750">
        <v>1749</v>
      </c>
      <c r="B1750" t="s">
        <v>61</v>
      </c>
      <c r="C1750" s="1">
        <v>38352</v>
      </c>
      <c r="D1750">
        <v>21</v>
      </c>
      <c r="E1750" s="4" t="s">
        <v>12</v>
      </c>
      <c r="F1750" t="s">
        <v>295</v>
      </c>
      <c r="G1750" s="1">
        <v>45037</v>
      </c>
      <c r="H1750" s="1">
        <f>TablaDatos[[#This Row],[FechaIngreso]]+TablaDatos[[#This Row],[DiasNuevo]]</f>
        <v>45047</v>
      </c>
      <c r="I1750">
        <v>10</v>
      </c>
      <c r="J1750" t="s">
        <v>19</v>
      </c>
      <c r="K1750" s="3">
        <v>9026.7999999999993</v>
      </c>
      <c r="L1750" t="b">
        <f>TablaDatos[[#This Row],[FechaAlta]] &lt; TablaDatos[[#This Row],[FechaIngreso]]</f>
        <v>0</v>
      </c>
      <c r="M1750">
        <f>_xlfn.XLOOKUP(TablaDatos[[#This Row],[PacienteID]],'Datos_Ejemplo.csv'!A:A,'Datos_Ejemplo.csv'!I:I)</f>
        <v>10</v>
      </c>
      <c r="N1750">
        <f>ABS(TablaDatos[[#This Row],[DiasOriginal]])</f>
        <v>10</v>
      </c>
      <c r="O1750" s="1">
        <f>TablaDatos[[#This Row],[FechaIngreso]]+TablaDatos[[#This Row],[DiasNuevo]]</f>
        <v>45047</v>
      </c>
    </row>
    <row r="1751" spans="1:15">
      <c r="A1751">
        <v>1750</v>
      </c>
      <c r="B1751" t="s">
        <v>290</v>
      </c>
      <c r="C1751" s="1">
        <v>40178</v>
      </c>
      <c r="D1751">
        <v>16</v>
      </c>
      <c r="E1751" s="4" t="s">
        <v>15</v>
      </c>
      <c r="F1751" t="s">
        <v>32</v>
      </c>
      <c r="G1751" s="1">
        <v>44994</v>
      </c>
      <c r="H1751" s="1">
        <f>TablaDatos[[#This Row],[FechaIngreso]]+TablaDatos[[#This Row],[DiasNuevo]]</f>
        <v>45013</v>
      </c>
      <c r="I1751">
        <v>19</v>
      </c>
      <c r="J1751" t="s">
        <v>23</v>
      </c>
      <c r="K1751" s="3">
        <v>1498.27</v>
      </c>
      <c r="L1751" t="b">
        <f>TablaDatos[[#This Row],[FechaAlta]] &lt; TablaDatos[[#This Row],[FechaIngreso]]</f>
        <v>0</v>
      </c>
      <c r="M1751">
        <f>_xlfn.XLOOKUP(TablaDatos[[#This Row],[PacienteID]],'Datos_Ejemplo.csv'!A:A,'Datos_Ejemplo.csv'!I:I)</f>
        <v>19</v>
      </c>
      <c r="N1751">
        <f>ABS(TablaDatos[[#This Row],[DiasOriginal]])</f>
        <v>19</v>
      </c>
      <c r="O1751" s="1">
        <f>TablaDatos[[#This Row],[FechaIngreso]]+TablaDatos[[#This Row],[DiasNuevo]]</f>
        <v>45013</v>
      </c>
    </row>
    <row r="1752" spans="1:15">
      <c r="A1752">
        <v>1751</v>
      </c>
      <c r="B1752" t="s">
        <v>365</v>
      </c>
      <c r="C1752" s="1">
        <v>42735</v>
      </c>
      <c r="D1752">
        <v>9</v>
      </c>
      <c r="E1752" s="4" t="s">
        <v>12</v>
      </c>
      <c r="F1752" t="s">
        <v>201</v>
      </c>
      <c r="G1752" s="1">
        <v>45621</v>
      </c>
      <c r="H1752" s="1">
        <f>TablaDatos[[#This Row],[FechaIngreso]]+TablaDatos[[#This Row],[DiasNuevo]]</f>
        <v>45639</v>
      </c>
      <c r="I1752">
        <v>18</v>
      </c>
      <c r="J1752" t="s">
        <v>25</v>
      </c>
      <c r="K1752" s="3">
        <v>5079.7</v>
      </c>
      <c r="L1752" t="b">
        <f>TablaDatos[[#This Row],[FechaAlta]] &lt; TablaDatos[[#This Row],[FechaIngreso]]</f>
        <v>0</v>
      </c>
      <c r="M1752">
        <f>_xlfn.XLOOKUP(TablaDatos[[#This Row],[PacienteID]],'Datos_Ejemplo.csv'!A:A,'Datos_Ejemplo.csv'!I:I)</f>
        <v>18</v>
      </c>
      <c r="N1752">
        <f>ABS(TablaDatos[[#This Row],[DiasOriginal]])</f>
        <v>18</v>
      </c>
      <c r="O1752" s="1">
        <f>TablaDatos[[#This Row],[FechaIngreso]]+TablaDatos[[#This Row],[DiasNuevo]]</f>
        <v>45639</v>
      </c>
    </row>
    <row r="1753" spans="1:15">
      <c r="A1753">
        <v>1752</v>
      </c>
      <c r="B1753" t="s">
        <v>278</v>
      </c>
      <c r="C1753" s="1">
        <v>22646</v>
      </c>
      <c r="D1753">
        <v>64</v>
      </c>
      <c r="E1753" s="4" t="s">
        <v>12</v>
      </c>
      <c r="F1753" t="s">
        <v>32</v>
      </c>
      <c r="G1753" s="1">
        <v>45299</v>
      </c>
      <c r="H1753" s="1">
        <f>TablaDatos[[#This Row],[FechaIngreso]]+TablaDatos[[#This Row],[DiasNuevo]]</f>
        <v>45301</v>
      </c>
      <c r="I1753">
        <v>2</v>
      </c>
      <c r="J1753" t="s">
        <v>23</v>
      </c>
      <c r="K1753" s="3">
        <v>4582.7</v>
      </c>
      <c r="L1753" t="b">
        <f>TablaDatos[[#This Row],[FechaAlta]] &lt; TablaDatos[[#This Row],[FechaIngreso]]</f>
        <v>0</v>
      </c>
      <c r="M1753">
        <f>_xlfn.XLOOKUP(TablaDatos[[#This Row],[PacienteID]],'Datos_Ejemplo.csv'!A:A,'Datos_Ejemplo.csv'!I:I)</f>
        <v>-2</v>
      </c>
      <c r="N1753">
        <f>ABS(TablaDatos[[#This Row],[DiasOriginal]])</f>
        <v>2</v>
      </c>
      <c r="O1753" s="1">
        <f>TablaDatos[[#This Row],[FechaIngreso]]+TablaDatos[[#This Row],[DiasNuevo]]</f>
        <v>45301</v>
      </c>
    </row>
    <row r="1754" spans="1:15">
      <c r="A1754">
        <v>1753</v>
      </c>
      <c r="B1754" t="s">
        <v>312</v>
      </c>
      <c r="C1754" s="1">
        <v>38352</v>
      </c>
      <c r="D1754">
        <v>21</v>
      </c>
      <c r="E1754" s="4" t="s">
        <v>15</v>
      </c>
      <c r="F1754" t="s">
        <v>32</v>
      </c>
      <c r="G1754" s="1">
        <v>45122</v>
      </c>
      <c r="H1754" s="1">
        <f>TablaDatos[[#This Row],[FechaIngreso]]+TablaDatos[[#This Row],[DiasNuevo]]</f>
        <v>45160</v>
      </c>
      <c r="I1754">
        <v>38</v>
      </c>
      <c r="J1754" t="s">
        <v>23</v>
      </c>
      <c r="K1754" s="3">
        <v>4703.17</v>
      </c>
      <c r="L1754" t="b">
        <f>TablaDatos[[#This Row],[FechaAlta]] &lt; TablaDatos[[#This Row],[FechaIngreso]]</f>
        <v>0</v>
      </c>
      <c r="M1754">
        <f>_xlfn.XLOOKUP(TablaDatos[[#This Row],[PacienteID]],'Datos_Ejemplo.csv'!A:A,'Datos_Ejemplo.csv'!I:I)</f>
        <v>38</v>
      </c>
      <c r="N1754">
        <f>ABS(TablaDatos[[#This Row],[DiasOriginal]])</f>
        <v>38</v>
      </c>
      <c r="O1754" s="1">
        <f>TablaDatos[[#This Row],[FechaIngreso]]+TablaDatos[[#This Row],[DiasNuevo]]</f>
        <v>45160</v>
      </c>
    </row>
    <row r="1755" spans="1:15">
      <c r="A1755">
        <v>1754</v>
      </c>
      <c r="B1755" t="s">
        <v>285</v>
      </c>
      <c r="C1755" s="1">
        <v>13515</v>
      </c>
      <c r="D1755">
        <v>89</v>
      </c>
      <c r="E1755" s="4" t="s">
        <v>15</v>
      </c>
      <c r="F1755" t="s">
        <v>32</v>
      </c>
      <c r="G1755" s="1">
        <v>45052</v>
      </c>
      <c r="H1755" s="1">
        <f>TablaDatos[[#This Row],[FechaIngreso]]+TablaDatos[[#This Row],[DiasNuevo]]</f>
        <v>45091</v>
      </c>
      <c r="I1755">
        <v>39</v>
      </c>
      <c r="J1755" t="s">
        <v>25</v>
      </c>
      <c r="K1755" s="3">
        <v>9827.02</v>
      </c>
      <c r="L1755" t="b">
        <f>TablaDatos[[#This Row],[FechaAlta]] &lt; TablaDatos[[#This Row],[FechaIngreso]]</f>
        <v>0</v>
      </c>
      <c r="M1755">
        <f>_xlfn.XLOOKUP(TablaDatos[[#This Row],[PacienteID]],'Datos_Ejemplo.csv'!A:A,'Datos_Ejemplo.csv'!I:I)</f>
        <v>39</v>
      </c>
      <c r="N1755">
        <f>ABS(TablaDatos[[#This Row],[DiasOriginal]])</f>
        <v>39</v>
      </c>
      <c r="O1755" s="1">
        <f>TablaDatos[[#This Row],[FechaIngreso]]+TablaDatos[[#This Row],[DiasNuevo]]</f>
        <v>45091</v>
      </c>
    </row>
    <row r="1756" spans="1:15">
      <c r="A1756">
        <v>1755</v>
      </c>
      <c r="B1756" t="s">
        <v>254</v>
      </c>
      <c r="C1756" s="1">
        <v>16437</v>
      </c>
      <c r="D1756">
        <v>81</v>
      </c>
      <c r="E1756" s="4" t="s">
        <v>15</v>
      </c>
      <c r="F1756" t="s">
        <v>21</v>
      </c>
      <c r="G1756" s="1">
        <v>45613</v>
      </c>
      <c r="H1756" s="1">
        <f>TablaDatos[[#This Row],[FechaIngreso]]+TablaDatos[[#This Row],[DiasNuevo]]</f>
        <v>45614</v>
      </c>
      <c r="I1756">
        <v>1</v>
      </c>
      <c r="J1756" t="s">
        <v>25</v>
      </c>
      <c r="K1756" s="3">
        <v>11622.84</v>
      </c>
      <c r="L1756" t="b">
        <f>TablaDatos[[#This Row],[FechaAlta]] &lt; TablaDatos[[#This Row],[FechaIngreso]]</f>
        <v>0</v>
      </c>
      <c r="M1756">
        <f>_xlfn.XLOOKUP(TablaDatos[[#This Row],[PacienteID]],'Datos_Ejemplo.csv'!A:A,'Datos_Ejemplo.csv'!I:I)</f>
        <v>-1</v>
      </c>
      <c r="N1756">
        <f>ABS(TablaDatos[[#This Row],[DiasOriginal]])</f>
        <v>1</v>
      </c>
      <c r="O1756" s="1">
        <f>TablaDatos[[#This Row],[FechaIngreso]]+TablaDatos[[#This Row],[DiasNuevo]]</f>
        <v>45614</v>
      </c>
    </row>
    <row r="1757" spans="1:15">
      <c r="A1757">
        <v>1756</v>
      </c>
      <c r="B1757" t="s">
        <v>236</v>
      </c>
      <c r="C1757" s="1">
        <v>28125</v>
      </c>
      <c r="D1757">
        <v>49</v>
      </c>
      <c r="E1757" s="4" t="s">
        <v>12</v>
      </c>
      <c r="F1757" t="s">
        <v>32</v>
      </c>
      <c r="G1757" s="1">
        <v>45188</v>
      </c>
      <c r="H1757" s="1">
        <f>TablaDatos[[#This Row],[FechaIngreso]]+TablaDatos[[#This Row],[DiasNuevo]]</f>
        <v>45214</v>
      </c>
      <c r="I1757">
        <v>26</v>
      </c>
      <c r="J1757" t="s">
        <v>19</v>
      </c>
      <c r="K1757" s="3">
        <v>2362.44</v>
      </c>
      <c r="L1757" t="b">
        <f>TablaDatos[[#This Row],[FechaAlta]] &lt; TablaDatos[[#This Row],[FechaIngreso]]</f>
        <v>0</v>
      </c>
      <c r="M1757">
        <f>_xlfn.XLOOKUP(TablaDatos[[#This Row],[PacienteID]],'Datos_Ejemplo.csv'!A:A,'Datos_Ejemplo.csv'!I:I)</f>
        <v>26</v>
      </c>
      <c r="N1757">
        <f>ABS(TablaDatos[[#This Row],[DiasOriginal]])</f>
        <v>26</v>
      </c>
      <c r="O1757" s="1">
        <f>TablaDatos[[#This Row],[FechaIngreso]]+TablaDatos[[#This Row],[DiasNuevo]]</f>
        <v>45214</v>
      </c>
    </row>
    <row r="1758" spans="1:15">
      <c r="A1758">
        <v>1757</v>
      </c>
      <c r="B1758" t="s">
        <v>246</v>
      </c>
      <c r="C1758" s="1">
        <v>41274</v>
      </c>
      <c r="D1758">
        <v>13</v>
      </c>
      <c r="E1758" s="4" t="s">
        <v>12</v>
      </c>
      <c r="F1758" t="s">
        <v>261</v>
      </c>
      <c r="G1758" s="1">
        <v>45081</v>
      </c>
      <c r="H1758" s="1">
        <f>TablaDatos[[#This Row],[FechaIngreso]]+TablaDatos[[#This Row],[DiasNuevo]]</f>
        <v>45089</v>
      </c>
      <c r="I1758">
        <v>8</v>
      </c>
      <c r="J1758" t="s">
        <v>23</v>
      </c>
      <c r="K1758" s="3">
        <v>17776.060000000001</v>
      </c>
      <c r="L1758" t="b">
        <f>TablaDatos[[#This Row],[FechaAlta]] &lt; TablaDatos[[#This Row],[FechaIngreso]]</f>
        <v>0</v>
      </c>
      <c r="M1758">
        <f>_xlfn.XLOOKUP(TablaDatos[[#This Row],[PacienteID]],'Datos_Ejemplo.csv'!A:A,'Datos_Ejemplo.csv'!I:I)</f>
        <v>8</v>
      </c>
      <c r="N1758">
        <f>ABS(TablaDatos[[#This Row],[DiasOriginal]])</f>
        <v>8</v>
      </c>
      <c r="O1758" s="1">
        <f>TablaDatos[[#This Row],[FechaIngreso]]+TablaDatos[[#This Row],[DiasNuevo]]</f>
        <v>45089</v>
      </c>
    </row>
    <row r="1759" spans="1:15">
      <c r="A1759">
        <v>1758</v>
      </c>
      <c r="B1759" t="s">
        <v>136</v>
      </c>
      <c r="C1759" s="1">
        <v>23012</v>
      </c>
      <c r="D1759">
        <v>63</v>
      </c>
      <c r="E1759" s="4" t="s">
        <v>12</v>
      </c>
      <c r="F1759" t="s">
        <v>32</v>
      </c>
      <c r="G1759" s="1">
        <v>45507</v>
      </c>
      <c r="H1759" s="1">
        <f>TablaDatos[[#This Row],[FechaIngreso]]+TablaDatos[[#This Row],[DiasNuevo]]</f>
        <v>45541</v>
      </c>
      <c r="I1759">
        <v>34</v>
      </c>
      <c r="J1759" t="s">
        <v>23</v>
      </c>
      <c r="K1759" s="3">
        <v>12361.47</v>
      </c>
      <c r="L1759" t="b">
        <f>TablaDatos[[#This Row],[FechaAlta]] &lt; TablaDatos[[#This Row],[FechaIngreso]]</f>
        <v>0</v>
      </c>
      <c r="M1759">
        <f>_xlfn.XLOOKUP(TablaDatos[[#This Row],[PacienteID]],'Datos_Ejemplo.csv'!A:A,'Datos_Ejemplo.csv'!I:I)</f>
        <v>34</v>
      </c>
      <c r="N1759">
        <f>ABS(TablaDatos[[#This Row],[DiasOriginal]])</f>
        <v>34</v>
      </c>
      <c r="O1759" s="1">
        <f>TablaDatos[[#This Row],[FechaIngreso]]+TablaDatos[[#This Row],[DiasNuevo]]</f>
        <v>45541</v>
      </c>
    </row>
    <row r="1760" spans="1:15">
      <c r="A1760">
        <v>1759</v>
      </c>
      <c r="B1760" t="s">
        <v>66</v>
      </c>
      <c r="C1760" s="1">
        <v>29221</v>
      </c>
      <c r="D1760">
        <v>46</v>
      </c>
      <c r="E1760" s="4" t="s">
        <v>197</v>
      </c>
      <c r="F1760" t="s">
        <v>21</v>
      </c>
      <c r="G1760" s="1">
        <v>45034</v>
      </c>
      <c r="H1760" s="1">
        <f>TablaDatos[[#This Row],[FechaIngreso]]+TablaDatos[[#This Row],[DiasNuevo]]</f>
        <v>45038</v>
      </c>
      <c r="I1760">
        <v>4</v>
      </c>
      <c r="J1760" t="s">
        <v>19</v>
      </c>
      <c r="K1760" s="3">
        <v>11904.76</v>
      </c>
      <c r="L1760" t="b">
        <f>TablaDatos[[#This Row],[FechaAlta]] &lt; TablaDatos[[#This Row],[FechaIngreso]]</f>
        <v>0</v>
      </c>
      <c r="M1760">
        <f>_xlfn.XLOOKUP(TablaDatos[[#This Row],[PacienteID]],'Datos_Ejemplo.csv'!A:A,'Datos_Ejemplo.csv'!I:I)</f>
        <v>4</v>
      </c>
      <c r="N1760">
        <f>ABS(TablaDatos[[#This Row],[DiasOriginal]])</f>
        <v>4</v>
      </c>
      <c r="O1760" s="1">
        <f>TablaDatos[[#This Row],[FechaIngreso]]+TablaDatos[[#This Row],[DiasNuevo]]</f>
        <v>45038</v>
      </c>
    </row>
    <row r="1761" spans="1:15">
      <c r="A1761">
        <v>1760</v>
      </c>
      <c r="B1761" t="s">
        <v>349</v>
      </c>
      <c r="C1761" s="1">
        <v>35795</v>
      </c>
      <c r="D1761">
        <v>28</v>
      </c>
      <c r="E1761" s="4" t="s">
        <v>15</v>
      </c>
      <c r="F1761" t="s">
        <v>13</v>
      </c>
      <c r="G1761" s="1">
        <v>45349</v>
      </c>
      <c r="H1761" s="1">
        <f>TablaDatos[[#This Row],[FechaIngreso]]+TablaDatos[[#This Row],[DiasNuevo]]</f>
        <v>45381</v>
      </c>
      <c r="I1761">
        <v>32</v>
      </c>
      <c r="J1761" t="s">
        <v>23</v>
      </c>
      <c r="K1761" s="3">
        <v>19744.310000000001</v>
      </c>
      <c r="L1761" t="b">
        <f>TablaDatos[[#This Row],[FechaAlta]] &lt; TablaDatos[[#This Row],[FechaIngreso]]</f>
        <v>0</v>
      </c>
      <c r="M1761">
        <f>_xlfn.XLOOKUP(TablaDatos[[#This Row],[PacienteID]],'Datos_Ejemplo.csv'!A:A,'Datos_Ejemplo.csv'!I:I)</f>
        <v>32</v>
      </c>
      <c r="N1761">
        <f>ABS(TablaDatos[[#This Row],[DiasOriginal]])</f>
        <v>32</v>
      </c>
      <c r="O1761" s="1">
        <f>TablaDatos[[#This Row],[FechaIngreso]]+TablaDatos[[#This Row],[DiasNuevo]]</f>
        <v>45381</v>
      </c>
    </row>
    <row r="1762" spans="1:15">
      <c r="A1762">
        <v>1761</v>
      </c>
      <c r="B1762" t="s">
        <v>290</v>
      </c>
      <c r="C1762" s="1">
        <v>18629</v>
      </c>
      <c r="D1762">
        <v>75</v>
      </c>
      <c r="E1762" s="4" t="s">
        <v>12</v>
      </c>
      <c r="F1762" t="s">
        <v>21</v>
      </c>
      <c r="G1762" s="1">
        <v>44961</v>
      </c>
      <c r="H1762" s="1">
        <f>TablaDatos[[#This Row],[FechaIngreso]]+TablaDatos[[#This Row],[DiasNuevo]]</f>
        <v>44988</v>
      </c>
      <c r="I1762">
        <v>27</v>
      </c>
      <c r="J1762" t="s">
        <v>23</v>
      </c>
      <c r="K1762" s="3">
        <v>12525.69</v>
      </c>
      <c r="L1762" t="b">
        <f>TablaDatos[[#This Row],[FechaAlta]] &lt; TablaDatos[[#This Row],[FechaIngreso]]</f>
        <v>0</v>
      </c>
      <c r="M1762">
        <f>_xlfn.XLOOKUP(TablaDatos[[#This Row],[PacienteID]],'Datos_Ejemplo.csv'!A:A,'Datos_Ejemplo.csv'!I:I)</f>
        <v>27</v>
      </c>
      <c r="N1762">
        <f>ABS(TablaDatos[[#This Row],[DiasOriginal]])</f>
        <v>27</v>
      </c>
      <c r="O1762" s="1">
        <f>TablaDatos[[#This Row],[FechaIngreso]]+TablaDatos[[#This Row],[DiasNuevo]]</f>
        <v>44988</v>
      </c>
    </row>
    <row r="1763" spans="1:15">
      <c r="A1763">
        <v>1762</v>
      </c>
      <c r="B1763" t="s">
        <v>246</v>
      </c>
      <c r="C1763" s="1">
        <v>33239</v>
      </c>
      <c r="D1763">
        <v>35</v>
      </c>
      <c r="E1763" s="4" t="s">
        <v>12</v>
      </c>
      <c r="F1763" t="s">
        <v>201</v>
      </c>
      <c r="G1763" s="1">
        <v>44970</v>
      </c>
      <c r="H1763" s="1">
        <f>TablaDatos[[#This Row],[FechaIngreso]]+TablaDatos[[#This Row],[DiasNuevo]]</f>
        <v>44983</v>
      </c>
      <c r="I1763">
        <v>13</v>
      </c>
      <c r="J1763" t="s">
        <v>25</v>
      </c>
      <c r="K1763" s="3">
        <v>18572.080000000002</v>
      </c>
      <c r="L1763" t="b">
        <f>TablaDatos[[#This Row],[FechaAlta]] &lt; TablaDatos[[#This Row],[FechaIngreso]]</f>
        <v>0</v>
      </c>
      <c r="M1763">
        <f>_xlfn.XLOOKUP(TablaDatos[[#This Row],[PacienteID]],'Datos_Ejemplo.csv'!A:A,'Datos_Ejemplo.csv'!I:I)</f>
        <v>13</v>
      </c>
      <c r="N1763">
        <f>ABS(TablaDatos[[#This Row],[DiasOriginal]])</f>
        <v>13</v>
      </c>
      <c r="O1763" s="1">
        <f>TablaDatos[[#This Row],[FechaIngreso]]+TablaDatos[[#This Row],[DiasNuevo]]</f>
        <v>44983</v>
      </c>
    </row>
    <row r="1764" spans="1:15">
      <c r="A1764">
        <v>1763</v>
      </c>
      <c r="B1764" t="s">
        <v>297</v>
      </c>
      <c r="C1764" s="1">
        <v>27395</v>
      </c>
      <c r="D1764">
        <v>51</v>
      </c>
      <c r="E1764" s="4" t="s">
        <v>15</v>
      </c>
      <c r="F1764" t="s">
        <v>201</v>
      </c>
      <c r="G1764" s="1">
        <v>45581</v>
      </c>
      <c r="H1764" s="1">
        <f>TablaDatos[[#This Row],[FechaIngreso]]+TablaDatos[[#This Row],[DiasNuevo]]</f>
        <v>45593</v>
      </c>
      <c r="I1764">
        <v>12</v>
      </c>
      <c r="J1764" t="s">
        <v>25</v>
      </c>
      <c r="K1764" s="3">
        <v>5653.77</v>
      </c>
      <c r="L1764" t="b">
        <f>TablaDatos[[#This Row],[FechaAlta]] &lt; TablaDatos[[#This Row],[FechaIngreso]]</f>
        <v>0</v>
      </c>
      <c r="M1764">
        <f>_xlfn.XLOOKUP(TablaDatos[[#This Row],[PacienteID]],'Datos_Ejemplo.csv'!A:A,'Datos_Ejemplo.csv'!I:I)</f>
        <v>12</v>
      </c>
      <c r="N1764">
        <f>ABS(TablaDatos[[#This Row],[DiasOriginal]])</f>
        <v>12</v>
      </c>
      <c r="O1764" s="1">
        <f>TablaDatos[[#This Row],[FechaIngreso]]+TablaDatos[[#This Row],[DiasNuevo]]</f>
        <v>45593</v>
      </c>
    </row>
    <row r="1765" spans="1:15">
      <c r="A1765">
        <v>1764</v>
      </c>
      <c r="B1765" t="s">
        <v>288</v>
      </c>
      <c r="C1765" s="1">
        <v>18629</v>
      </c>
      <c r="D1765">
        <v>75</v>
      </c>
      <c r="E1765" s="4" t="s">
        <v>197</v>
      </c>
      <c r="F1765" t="s">
        <v>261</v>
      </c>
      <c r="G1765" s="1">
        <v>45649</v>
      </c>
      <c r="H1765" s="1">
        <f>TablaDatos[[#This Row],[FechaIngreso]]+TablaDatos[[#This Row],[DiasNuevo]]</f>
        <v>45686</v>
      </c>
      <c r="I1765">
        <v>37</v>
      </c>
      <c r="J1765" t="s">
        <v>23</v>
      </c>
      <c r="K1765" s="3">
        <v>4726.6000000000004</v>
      </c>
      <c r="L1765" t="b">
        <f>TablaDatos[[#This Row],[FechaAlta]] &lt; TablaDatos[[#This Row],[FechaIngreso]]</f>
        <v>0</v>
      </c>
      <c r="M1765">
        <f>_xlfn.XLOOKUP(TablaDatos[[#This Row],[PacienteID]],'Datos_Ejemplo.csv'!A:A,'Datos_Ejemplo.csv'!I:I)</f>
        <v>37</v>
      </c>
      <c r="N1765">
        <f>ABS(TablaDatos[[#This Row],[DiasOriginal]])</f>
        <v>37</v>
      </c>
      <c r="O1765" s="1">
        <f>TablaDatos[[#This Row],[FechaIngreso]]+TablaDatos[[#This Row],[DiasNuevo]]</f>
        <v>45686</v>
      </c>
    </row>
    <row r="1766" spans="1:15">
      <c r="A1766">
        <v>1765</v>
      </c>
      <c r="B1766" t="s">
        <v>312</v>
      </c>
      <c r="C1766" s="1">
        <v>43831</v>
      </c>
      <c r="D1766">
        <v>6</v>
      </c>
      <c r="E1766" s="4" t="s">
        <v>15</v>
      </c>
      <c r="F1766" t="s">
        <v>261</v>
      </c>
      <c r="G1766" s="1">
        <v>45342</v>
      </c>
      <c r="H1766" s="1">
        <f>TablaDatos[[#This Row],[FechaIngreso]]+TablaDatos[[#This Row],[DiasNuevo]]</f>
        <v>45359</v>
      </c>
      <c r="I1766">
        <v>17</v>
      </c>
      <c r="J1766" t="s">
        <v>19</v>
      </c>
      <c r="K1766" s="3">
        <v>10282.030000000001</v>
      </c>
      <c r="L1766" t="b">
        <f>TablaDatos[[#This Row],[FechaAlta]] &lt; TablaDatos[[#This Row],[FechaIngreso]]</f>
        <v>0</v>
      </c>
      <c r="M1766">
        <f>_xlfn.XLOOKUP(TablaDatos[[#This Row],[PacienteID]],'Datos_Ejemplo.csv'!A:A,'Datos_Ejemplo.csv'!I:I)</f>
        <v>17</v>
      </c>
      <c r="N1766">
        <f>ABS(TablaDatos[[#This Row],[DiasOriginal]])</f>
        <v>17</v>
      </c>
      <c r="O1766" s="1">
        <f>TablaDatos[[#This Row],[FechaIngreso]]+TablaDatos[[#This Row],[DiasNuevo]]</f>
        <v>45359</v>
      </c>
    </row>
    <row r="1767" spans="1:15">
      <c r="A1767">
        <v>1766</v>
      </c>
      <c r="B1767" t="s">
        <v>312</v>
      </c>
      <c r="C1767" s="1">
        <v>35795</v>
      </c>
      <c r="D1767">
        <v>28</v>
      </c>
      <c r="E1767" s="4" t="s">
        <v>12</v>
      </c>
      <c r="F1767" t="s">
        <v>18</v>
      </c>
      <c r="G1767" s="1">
        <v>45211</v>
      </c>
      <c r="H1767" s="1">
        <f>TablaDatos[[#This Row],[FechaIngreso]]+TablaDatos[[#This Row],[DiasNuevo]]</f>
        <v>45236</v>
      </c>
      <c r="I1767">
        <v>25</v>
      </c>
      <c r="J1767" t="s">
        <v>23</v>
      </c>
      <c r="K1767" s="3">
        <v>10123.040000000001</v>
      </c>
      <c r="L1767" t="b">
        <f>TablaDatos[[#This Row],[FechaAlta]] &lt; TablaDatos[[#This Row],[FechaIngreso]]</f>
        <v>0</v>
      </c>
      <c r="M1767">
        <f>_xlfn.XLOOKUP(TablaDatos[[#This Row],[PacienteID]],'Datos_Ejemplo.csv'!A:A,'Datos_Ejemplo.csv'!I:I)</f>
        <v>25</v>
      </c>
      <c r="N1767">
        <f>ABS(TablaDatos[[#This Row],[DiasOriginal]])</f>
        <v>25</v>
      </c>
      <c r="O1767" s="1">
        <f>TablaDatos[[#This Row],[FechaIngreso]]+TablaDatos[[#This Row],[DiasNuevo]]</f>
        <v>45236</v>
      </c>
    </row>
    <row r="1768" spans="1:15">
      <c r="A1768">
        <v>1767</v>
      </c>
      <c r="B1768" t="s">
        <v>292</v>
      </c>
      <c r="C1768" s="1">
        <v>42370</v>
      </c>
      <c r="D1768">
        <f ca="1">DATEDIF(TablaDatos[[#This Row],[FechaNacimiento]],TODAY(),"Y")</f>
        <v>10</v>
      </c>
      <c r="E1768" s="4" t="s">
        <v>12</v>
      </c>
      <c r="F1768" t="s">
        <v>21</v>
      </c>
      <c r="G1768" s="1">
        <v>45373</v>
      </c>
      <c r="H1768" s="1">
        <f>TablaDatos[[#This Row],[FechaIngreso]]+TablaDatos[[#This Row],[DiasNuevo]]</f>
        <v>45407</v>
      </c>
      <c r="I1768">
        <v>34</v>
      </c>
      <c r="J1768" t="s">
        <v>23</v>
      </c>
      <c r="K1768" s="3">
        <v>4452.32</v>
      </c>
      <c r="L1768" t="b">
        <f>TablaDatos[[#This Row],[FechaAlta]] &lt; TablaDatos[[#This Row],[FechaIngreso]]</f>
        <v>0</v>
      </c>
      <c r="M1768">
        <f>_xlfn.XLOOKUP(TablaDatos[[#This Row],[PacienteID]],'Datos_Ejemplo.csv'!A:A,'Datos_Ejemplo.csv'!I:I)</f>
        <v>34</v>
      </c>
      <c r="N1768">
        <f>ABS(TablaDatos[[#This Row],[DiasOriginal]])</f>
        <v>34</v>
      </c>
      <c r="O1768" s="1">
        <f>TablaDatos[[#This Row],[FechaIngreso]]+TablaDatos[[#This Row],[DiasNuevo]]</f>
        <v>45407</v>
      </c>
    </row>
    <row r="1769" spans="1:15">
      <c r="A1769">
        <v>1768</v>
      </c>
      <c r="B1769" t="s">
        <v>300</v>
      </c>
      <c r="C1769" s="1">
        <v>34334</v>
      </c>
      <c r="D1769">
        <v>32</v>
      </c>
      <c r="E1769" s="4" t="s">
        <v>12</v>
      </c>
      <c r="F1769" t="s">
        <v>13</v>
      </c>
      <c r="G1769" s="1">
        <v>45444</v>
      </c>
      <c r="H1769" s="1">
        <f>TablaDatos[[#This Row],[FechaIngreso]]+TablaDatos[[#This Row],[DiasNuevo]]</f>
        <v>45444</v>
      </c>
      <c r="I1769">
        <v>0</v>
      </c>
      <c r="J1769" t="s">
        <v>25</v>
      </c>
      <c r="K1769" s="3">
        <v>13963.08</v>
      </c>
      <c r="L1769" t="b">
        <f>TablaDatos[[#This Row],[FechaAlta]] &lt; TablaDatos[[#This Row],[FechaIngreso]]</f>
        <v>0</v>
      </c>
      <c r="M1769">
        <f>_xlfn.XLOOKUP(TablaDatos[[#This Row],[PacienteID]],'Datos_Ejemplo.csv'!A:A,'Datos_Ejemplo.csv'!I:I)</f>
        <v>0</v>
      </c>
      <c r="N1769">
        <f>ABS(TablaDatos[[#This Row],[DiasOriginal]])</f>
        <v>0</v>
      </c>
      <c r="O1769" s="1">
        <f>TablaDatos[[#This Row],[FechaIngreso]]+TablaDatos[[#This Row],[DiasNuevo]]</f>
        <v>45444</v>
      </c>
    </row>
    <row r="1770" spans="1:15">
      <c r="A1770">
        <v>1769</v>
      </c>
      <c r="B1770" t="s">
        <v>302</v>
      </c>
      <c r="C1770" s="1">
        <v>44196</v>
      </c>
      <c r="D1770">
        <v>5</v>
      </c>
      <c r="E1770" s="4" t="s">
        <v>12</v>
      </c>
      <c r="F1770" t="s">
        <v>18</v>
      </c>
      <c r="G1770" s="1">
        <v>45656</v>
      </c>
      <c r="H1770" s="1">
        <f>TablaDatos[[#This Row],[FechaIngreso]]+TablaDatos[[#This Row],[DiasNuevo]]</f>
        <v>45682</v>
      </c>
      <c r="I1770">
        <v>26</v>
      </c>
      <c r="J1770" t="s">
        <v>23</v>
      </c>
      <c r="K1770" s="3">
        <v>495.64</v>
      </c>
      <c r="L1770" t="b">
        <f>TablaDatos[[#This Row],[FechaAlta]] &lt; TablaDatos[[#This Row],[FechaIngreso]]</f>
        <v>0</v>
      </c>
      <c r="M1770">
        <f>_xlfn.XLOOKUP(TablaDatos[[#This Row],[PacienteID]],'Datos_Ejemplo.csv'!A:A,'Datos_Ejemplo.csv'!I:I)</f>
        <v>26</v>
      </c>
      <c r="N1770">
        <f>ABS(TablaDatos[[#This Row],[DiasOriginal]])</f>
        <v>26</v>
      </c>
      <c r="O1770" s="1">
        <f>TablaDatos[[#This Row],[FechaIngreso]]+TablaDatos[[#This Row],[DiasNuevo]]</f>
        <v>45682</v>
      </c>
    </row>
    <row r="1771" spans="1:15">
      <c r="A1771">
        <v>1770</v>
      </c>
      <c r="B1771" t="s">
        <v>361</v>
      </c>
      <c r="C1771" s="1">
        <v>17533</v>
      </c>
      <c r="D1771">
        <v>78</v>
      </c>
      <c r="E1771" s="4" t="s">
        <v>15</v>
      </c>
      <c r="F1771" t="s">
        <v>18</v>
      </c>
      <c r="G1771" s="1">
        <v>44953</v>
      </c>
      <c r="H1771" s="1">
        <f>TablaDatos[[#This Row],[FechaIngreso]]+TablaDatos[[#This Row],[DiasNuevo]]</f>
        <v>44987</v>
      </c>
      <c r="I1771">
        <v>34</v>
      </c>
      <c r="J1771" t="s">
        <v>19</v>
      </c>
      <c r="K1771" s="3">
        <v>13781.67</v>
      </c>
      <c r="L1771" t="b">
        <f>TablaDatos[[#This Row],[FechaAlta]] &lt; TablaDatos[[#This Row],[FechaIngreso]]</f>
        <v>0</v>
      </c>
      <c r="M1771">
        <f>_xlfn.XLOOKUP(TablaDatos[[#This Row],[PacienteID]],'Datos_Ejemplo.csv'!A:A,'Datos_Ejemplo.csv'!I:I)</f>
        <v>34</v>
      </c>
      <c r="N1771">
        <f>ABS(TablaDatos[[#This Row],[DiasOriginal]])</f>
        <v>34</v>
      </c>
      <c r="O1771" s="1">
        <f>TablaDatos[[#This Row],[FechaIngreso]]+TablaDatos[[#This Row],[DiasNuevo]]</f>
        <v>44987</v>
      </c>
    </row>
    <row r="1772" spans="1:15">
      <c r="A1772">
        <v>1771</v>
      </c>
      <c r="B1772" t="s">
        <v>368</v>
      </c>
      <c r="C1772" s="1">
        <v>34700</v>
      </c>
      <c r="D1772">
        <v>31</v>
      </c>
      <c r="E1772" s="4" t="s">
        <v>12</v>
      </c>
      <c r="F1772" t="s">
        <v>295</v>
      </c>
      <c r="G1772" s="1">
        <v>45153</v>
      </c>
      <c r="H1772" s="1">
        <f>TablaDatos[[#This Row],[FechaIngreso]]+TablaDatos[[#This Row],[DiasNuevo]]</f>
        <v>45159</v>
      </c>
      <c r="I1772">
        <v>6</v>
      </c>
      <c r="J1772" t="s">
        <v>25</v>
      </c>
      <c r="K1772" s="3">
        <v>9089.2800000000007</v>
      </c>
      <c r="L1772" t="b">
        <f>TablaDatos[[#This Row],[FechaAlta]] &lt; TablaDatos[[#This Row],[FechaIngreso]]</f>
        <v>0</v>
      </c>
      <c r="M1772">
        <f>_xlfn.XLOOKUP(TablaDatos[[#This Row],[PacienteID]],'Datos_Ejemplo.csv'!A:A,'Datos_Ejemplo.csv'!I:I)</f>
        <v>6</v>
      </c>
      <c r="N1772">
        <f>ABS(TablaDatos[[#This Row],[DiasOriginal]])</f>
        <v>6</v>
      </c>
      <c r="O1772" s="1">
        <f>TablaDatos[[#This Row],[FechaIngreso]]+TablaDatos[[#This Row],[DiasNuevo]]</f>
        <v>45159</v>
      </c>
    </row>
    <row r="1773" spans="1:15">
      <c r="A1773">
        <v>1772</v>
      </c>
      <c r="B1773" t="s">
        <v>343</v>
      </c>
      <c r="C1773" s="1">
        <v>27760</v>
      </c>
      <c r="D1773">
        <v>50</v>
      </c>
      <c r="E1773" s="4" t="s">
        <v>15</v>
      </c>
      <c r="F1773" t="s">
        <v>32</v>
      </c>
      <c r="G1773" s="1">
        <v>45351</v>
      </c>
      <c r="H1773" s="1">
        <f>TablaDatos[[#This Row],[FechaIngreso]]+TablaDatos[[#This Row],[DiasNuevo]]</f>
        <v>45375</v>
      </c>
      <c r="I1773">
        <v>24</v>
      </c>
      <c r="J1773" t="s">
        <v>25</v>
      </c>
      <c r="K1773" s="3">
        <v>13749.05</v>
      </c>
      <c r="L1773" t="b">
        <f>TablaDatos[[#This Row],[FechaAlta]] &lt; TablaDatos[[#This Row],[FechaIngreso]]</f>
        <v>0</v>
      </c>
      <c r="M1773">
        <f>_xlfn.XLOOKUP(TablaDatos[[#This Row],[PacienteID]],'Datos_Ejemplo.csv'!A:A,'Datos_Ejemplo.csv'!I:I)</f>
        <v>24</v>
      </c>
      <c r="N1773">
        <f>ABS(TablaDatos[[#This Row],[DiasOriginal]])</f>
        <v>24</v>
      </c>
      <c r="O1773" s="1">
        <f>TablaDatos[[#This Row],[FechaIngreso]]+TablaDatos[[#This Row],[DiasNuevo]]</f>
        <v>45375</v>
      </c>
    </row>
    <row r="1774" spans="1:15">
      <c r="A1774">
        <v>1773</v>
      </c>
      <c r="B1774" t="s">
        <v>342</v>
      </c>
      <c r="C1774" s="1">
        <v>18994</v>
      </c>
      <c r="D1774">
        <v>74</v>
      </c>
      <c r="E1774" s="4" t="s">
        <v>12</v>
      </c>
      <c r="F1774" t="s">
        <v>18</v>
      </c>
      <c r="G1774" s="1">
        <v>45494</v>
      </c>
      <c r="H1774" s="1">
        <f>TablaDatos[[#This Row],[FechaIngreso]]+TablaDatos[[#This Row],[DiasNuevo]]</f>
        <v>45523</v>
      </c>
      <c r="I1774">
        <v>29</v>
      </c>
      <c r="J1774" t="s">
        <v>19</v>
      </c>
      <c r="K1774" s="3">
        <v>9489.32</v>
      </c>
      <c r="L1774" t="b">
        <f>TablaDatos[[#This Row],[FechaAlta]] &lt; TablaDatos[[#This Row],[FechaIngreso]]</f>
        <v>0</v>
      </c>
      <c r="M1774">
        <f>_xlfn.XLOOKUP(TablaDatos[[#This Row],[PacienteID]],'Datos_Ejemplo.csv'!A:A,'Datos_Ejemplo.csv'!I:I)</f>
        <v>29</v>
      </c>
      <c r="N1774">
        <f>ABS(TablaDatos[[#This Row],[DiasOriginal]])</f>
        <v>29</v>
      </c>
      <c r="O1774" s="1">
        <f>TablaDatos[[#This Row],[FechaIngreso]]+TablaDatos[[#This Row],[DiasNuevo]]</f>
        <v>45523</v>
      </c>
    </row>
    <row r="1775" spans="1:15">
      <c r="A1775">
        <v>1774</v>
      </c>
      <c r="B1775" t="s">
        <v>327</v>
      </c>
      <c r="C1775" s="1">
        <v>25203</v>
      </c>
      <c r="D1775">
        <v>57</v>
      </c>
      <c r="E1775" s="4" t="s">
        <v>12</v>
      </c>
      <c r="F1775" t="s">
        <v>18</v>
      </c>
      <c r="G1775" s="1">
        <v>45294</v>
      </c>
      <c r="H1775" s="1">
        <f>TablaDatos[[#This Row],[FechaIngreso]]+TablaDatos[[#This Row],[DiasNuevo]]</f>
        <v>45330</v>
      </c>
      <c r="I1775">
        <v>36</v>
      </c>
      <c r="J1775" t="s">
        <v>23</v>
      </c>
      <c r="K1775" s="3">
        <v>19544.41</v>
      </c>
      <c r="L1775" t="b">
        <f>TablaDatos[[#This Row],[FechaAlta]] &lt; TablaDatos[[#This Row],[FechaIngreso]]</f>
        <v>0</v>
      </c>
      <c r="M1775">
        <f>_xlfn.XLOOKUP(TablaDatos[[#This Row],[PacienteID]],'Datos_Ejemplo.csv'!A:A,'Datos_Ejemplo.csv'!I:I)</f>
        <v>36</v>
      </c>
      <c r="N1775">
        <f>ABS(TablaDatos[[#This Row],[DiasOriginal]])</f>
        <v>36</v>
      </c>
      <c r="O1775" s="1">
        <f>TablaDatos[[#This Row],[FechaIngreso]]+TablaDatos[[#This Row],[DiasNuevo]]</f>
        <v>45330</v>
      </c>
    </row>
    <row r="1776" spans="1:15">
      <c r="A1776">
        <v>1775</v>
      </c>
      <c r="B1776" t="s">
        <v>287</v>
      </c>
      <c r="C1776" s="1">
        <v>14611</v>
      </c>
      <c r="D1776">
        <v>86</v>
      </c>
      <c r="E1776" s="4" t="s">
        <v>12</v>
      </c>
      <c r="F1776" t="s">
        <v>261</v>
      </c>
      <c r="G1776" s="1">
        <v>45236</v>
      </c>
      <c r="H1776" s="1">
        <f>TablaDatos[[#This Row],[FechaIngreso]]+TablaDatos[[#This Row],[DiasNuevo]]</f>
        <v>45264</v>
      </c>
      <c r="I1776">
        <v>28</v>
      </c>
      <c r="J1776" t="s">
        <v>23</v>
      </c>
      <c r="K1776" s="3">
        <v>6627.17</v>
      </c>
      <c r="L1776" t="b">
        <f>TablaDatos[[#This Row],[FechaAlta]] &lt; TablaDatos[[#This Row],[FechaIngreso]]</f>
        <v>0</v>
      </c>
      <c r="M1776">
        <f>_xlfn.XLOOKUP(TablaDatos[[#This Row],[PacienteID]],'Datos_Ejemplo.csv'!A:A,'Datos_Ejemplo.csv'!I:I)</f>
        <v>28</v>
      </c>
      <c r="N1776">
        <f>ABS(TablaDatos[[#This Row],[DiasOriginal]])</f>
        <v>28</v>
      </c>
      <c r="O1776" s="1">
        <f>TablaDatos[[#This Row],[FechaIngreso]]+TablaDatos[[#This Row],[DiasNuevo]]</f>
        <v>45264</v>
      </c>
    </row>
    <row r="1777" spans="1:15">
      <c r="A1777">
        <v>1776</v>
      </c>
      <c r="B1777" t="s">
        <v>354</v>
      </c>
      <c r="C1777" s="1">
        <v>36891</v>
      </c>
      <c r="D1777">
        <v>25</v>
      </c>
      <c r="E1777" s="4" t="s">
        <v>15</v>
      </c>
      <c r="F1777" t="s">
        <v>13</v>
      </c>
      <c r="G1777" s="1">
        <v>45031</v>
      </c>
      <c r="H1777" s="1">
        <f>TablaDatos[[#This Row],[FechaIngreso]]+TablaDatos[[#This Row],[DiasNuevo]]</f>
        <v>45054</v>
      </c>
      <c r="I1777">
        <v>23</v>
      </c>
      <c r="J1777" t="s">
        <v>23</v>
      </c>
      <c r="K1777" s="3">
        <v>19649.72</v>
      </c>
      <c r="L1777" t="b">
        <f>TablaDatos[[#This Row],[FechaAlta]] &lt; TablaDatos[[#This Row],[FechaIngreso]]</f>
        <v>0</v>
      </c>
      <c r="M1777">
        <f>_xlfn.XLOOKUP(TablaDatos[[#This Row],[PacienteID]],'Datos_Ejemplo.csv'!A:A,'Datos_Ejemplo.csv'!I:I)</f>
        <v>23</v>
      </c>
      <c r="N1777">
        <f>ABS(TablaDatos[[#This Row],[DiasOriginal]])</f>
        <v>23</v>
      </c>
      <c r="O1777" s="1">
        <f>TablaDatos[[#This Row],[FechaIngreso]]+TablaDatos[[#This Row],[DiasNuevo]]</f>
        <v>45054</v>
      </c>
    </row>
    <row r="1778" spans="1:15">
      <c r="A1778">
        <v>1777</v>
      </c>
      <c r="B1778" t="s">
        <v>266</v>
      </c>
      <c r="C1778" s="1">
        <v>29586</v>
      </c>
      <c r="D1778">
        <v>45</v>
      </c>
      <c r="E1778" s="4" t="s">
        <v>12</v>
      </c>
      <c r="F1778" t="s">
        <v>18</v>
      </c>
      <c r="G1778" s="1">
        <v>44944</v>
      </c>
      <c r="H1778" s="1">
        <f>TablaDatos[[#This Row],[FechaIngreso]]+TablaDatos[[#This Row],[DiasNuevo]]</f>
        <v>44981</v>
      </c>
      <c r="I1778">
        <v>37</v>
      </c>
      <c r="J1778" t="s">
        <v>25</v>
      </c>
      <c r="K1778" s="3">
        <v>1205.98</v>
      </c>
      <c r="L1778" t="b">
        <f>TablaDatos[[#This Row],[FechaAlta]] &lt; TablaDatos[[#This Row],[FechaIngreso]]</f>
        <v>0</v>
      </c>
      <c r="M1778">
        <f>_xlfn.XLOOKUP(TablaDatos[[#This Row],[PacienteID]],'Datos_Ejemplo.csv'!A:A,'Datos_Ejemplo.csv'!I:I)</f>
        <v>37</v>
      </c>
      <c r="N1778">
        <f>ABS(TablaDatos[[#This Row],[DiasOriginal]])</f>
        <v>37</v>
      </c>
      <c r="O1778" s="1">
        <f>TablaDatos[[#This Row],[FechaIngreso]]+TablaDatos[[#This Row],[DiasNuevo]]</f>
        <v>44981</v>
      </c>
    </row>
    <row r="1779" spans="1:15">
      <c r="A1779">
        <v>1778</v>
      </c>
      <c r="B1779" t="s">
        <v>306</v>
      </c>
      <c r="C1779" s="1">
        <v>35795</v>
      </c>
      <c r="D1779">
        <v>28</v>
      </c>
      <c r="E1779" s="4" t="s">
        <v>12</v>
      </c>
      <c r="F1779" t="s">
        <v>201</v>
      </c>
      <c r="G1779" s="1">
        <v>45131</v>
      </c>
      <c r="H1779" s="1">
        <f>TablaDatos[[#This Row],[FechaIngreso]]+TablaDatos[[#This Row],[DiasNuevo]]</f>
        <v>45131</v>
      </c>
      <c r="I1779">
        <v>0</v>
      </c>
      <c r="J1779" t="s">
        <v>23</v>
      </c>
      <c r="K1779" s="3">
        <v>13643.59</v>
      </c>
      <c r="L1779" t="b">
        <f>TablaDatos[[#This Row],[FechaAlta]] &lt; TablaDatos[[#This Row],[FechaIngreso]]</f>
        <v>0</v>
      </c>
      <c r="M1779">
        <f>_xlfn.XLOOKUP(TablaDatos[[#This Row],[PacienteID]],'Datos_Ejemplo.csv'!A:A,'Datos_Ejemplo.csv'!I:I)</f>
        <v>0</v>
      </c>
      <c r="N1779">
        <f>ABS(TablaDatos[[#This Row],[DiasOriginal]])</f>
        <v>0</v>
      </c>
      <c r="O1779" s="1">
        <f>TablaDatos[[#This Row],[FechaIngreso]]+TablaDatos[[#This Row],[DiasNuevo]]</f>
        <v>45131</v>
      </c>
    </row>
    <row r="1780" spans="1:15">
      <c r="A1780">
        <v>1779</v>
      </c>
      <c r="B1780" t="s">
        <v>254</v>
      </c>
      <c r="C1780" s="1">
        <v>44927</v>
      </c>
      <c r="D1780">
        <f ca="1">DATEDIF(TablaDatos[[#This Row],[FechaNacimiento]],TODAY(),"Y")</f>
        <v>3</v>
      </c>
      <c r="E1780" s="4" t="s">
        <v>12</v>
      </c>
      <c r="F1780" t="s">
        <v>13</v>
      </c>
      <c r="G1780" s="1">
        <v>44969</v>
      </c>
      <c r="H1780" s="1">
        <f>TablaDatos[[#This Row],[FechaIngreso]]+TablaDatos[[#This Row],[DiasNuevo]]</f>
        <v>44977</v>
      </c>
      <c r="I1780">
        <v>8</v>
      </c>
      <c r="J1780" t="s">
        <v>23</v>
      </c>
      <c r="K1780" s="3">
        <v>9029.81</v>
      </c>
      <c r="L1780" t="b">
        <f>TablaDatos[[#This Row],[FechaAlta]] &lt; TablaDatos[[#This Row],[FechaIngreso]]</f>
        <v>0</v>
      </c>
      <c r="M1780">
        <f>_xlfn.XLOOKUP(TablaDatos[[#This Row],[PacienteID]],'Datos_Ejemplo.csv'!A:A,'Datos_Ejemplo.csv'!I:I)</f>
        <v>8</v>
      </c>
      <c r="N1780">
        <f>ABS(TablaDatos[[#This Row],[DiasOriginal]])</f>
        <v>8</v>
      </c>
      <c r="O1780" s="1">
        <f>TablaDatos[[#This Row],[FechaIngreso]]+TablaDatos[[#This Row],[DiasNuevo]]</f>
        <v>44977</v>
      </c>
    </row>
    <row r="1781" spans="1:15">
      <c r="A1781">
        <v>1780</v>
      </c>
      <c r="B1781" t="s">
        <v>146</v>
      </c>
      <c r="C1781" s="1">
        <v>16802</v>
      </c>
      <c r="D1781">
        <v>80</v>
      </c>
      <c r="E1781" s="4" t="s">
        <v>15</v>
      </c>
      <c r="F1781" t="s">
        <v>32</v>
      </c>
      <c r="G1781" s="1">
        <v>45015</v>
      </c>
      <c r="H1781" s="1">
        <f>TablaDatos[[#This Row],[FechaIngreso]]+TablaDatos[[#This Row],[DiasNuevo]]</f>
        <v>45041</v>
      </c>
      <c r="I1781">
        <v>26</v>
      </c>
      <c r="J1781" t="s">
        <v>19</v>
      </c>
      <c r="K1781" s="3">
        <v>16424.97</v>
      </c>
      <c r="L1781" t="b">
        <f>TablaDatos[[#This Row],[FechaAlta]] &lt; TablaDatos[[#This Row],[FechaIngreso]]</f>
        <v>0</v>
      </c>
      <c r="M1781">
        <f>_xlfn.XLOOKUP(TablaDatos[[#This Row],[PacienteID]],'Datos_Ejemplo.csv'!A:A,'Datos_Ejemplo.csv'!I:I)</f>
        <v>26</v>
      </c>
      <c r="N1781">
        <f>ABS(TablaDatos[[#This Row],[DiasOriginal]])</f>
        <v>26</v>
      </c>
      <c r="O1781" s="1">
        <f>TablaDatos[[#This Row],[FechaIngreso]]+TablaDatos[[#This Row],[DiasNuevo]]</f>
        <v>45041</v>
      </c>
    </row>
    <row r="1782" spans="1:15">
      <c r="A1782">
        <v>1781</v>
      </c>
      <c r="B1782" t="s">
        <v>111</v>
      </c>
      <c r="C1782" s="1">
        <v>41639</v>
      </c>
      <c r="D1782">
        <v>12</v>
      </c>
      <c r="E1782" s="4" t="s">
        <v>15</v>
      </c>
      <c r="F1782" t="s">
        <v>201</v>
      </c>
      <c r="G1782" s="1">
        <v>45512</v>
      </c>
      <c r="H1782" s="1">
        <f>TablaDatos[[#This Row],[FechaIngreso]]+TablaDatos[[#This Row],[DiasNuevo]]</f>
        <v>45536</v>
      </c>
      <c r="I1782">
        <v>24</v>
      </c>
      <c r="J1782" t="s">
        <v>23</v>
      </c>
      <c r="K1782" s="3">
        <v>15771.28</v>
      </c>
      <c r="L1782" t="b">
        <f>TablaDatos[[#This Row],[FechaAlta]] &lt; TablaDatos[[#This Row],[FechaIngreso]]</f>
        <v>0</v>
      </c>
      <c r="M1782">
        <f>_xlfn.XLOOKUP(TablaDatos[[#This Row],[PacienteID]],'Datos_Ejemplo.csv'!A:A,'Datos_Ejemplo.csv'!I:I)</f>
        <v>24</v>
      </c>
      <c r="N1782">
        <f>ABS(TablaDatos[[#This Row],[DiasOriginal]])</f>
        <v>24</v>
      </c>
      <c r="O1782" s="1">
        <f>TablaDatos[[#This Row],[FechaIngreso]]+TablaDatos[[#This Row],[DiasNuevo]]</f>
        <v>45536</v>
      </c>
    </row>
    <row r="1783" spans="1:15">
      <c r="A1783">
        <v>1782</v>
      </c>
      <c r="B1783" t="s">
        <v>353</v>
      </c>
      <c r="C1783" s="1">
        <v>32143</v>
      </c>
      <c r="D1783">
        <v>38</v>
      </c>
      <c r="E1783" s="4" t="s">
        <v>15</v>
      </c>
      <c r="F1783" t="s">
        <v>261</v>
      </c>
      <c r="G1783" s="1">
        <v>45083</v>
      </c>
      <c r="H1783" s="1">
        <f>TablaDatos[[#This Row],[FechaIngreso]]+TablaDatos[[#This Row],[DiasNuevo]]</f>
        <v>45090</v>
      </c>
      <c r="I1783">
        <v>7</v>
      </c>
      <c r="J1783" t="s">
        <v>23</v>
      </c>
      <c r="K1783" s="3">
        <v>15984.22</v>
      </c>
      <c r="L1783" t="b">
        <f>TablaDatos[[#This Row],[FechaAlta]] &lt; TablaDatos[[#This Row],[FechaIngreso]]</f>
        <v>0</v>
      </c>
      <c r="M1783">
        <f>_xlfn.XLOOKUP(TablaDatos[[#This Row],[PacienteID]],'Datos_Ejemplo.csv'!A:A,'Datos_Ejemplo.csv'!I:I)</f>
        <v>7</v>
      </c>
      <c r="N1783">
        <f>ABS(TablaDatos[[#This Row],[DiasOriginal]])</f>
        <v>7</v>
      </c>
      <c r="O1783" s="1">
        <f>TablaDatos[[#This Row],[FechaIngreso]]+TablaDatos[[#This Row],[DiasNuevo]]</f>
        <v>45090</v>
      </c>
    </row>
    <row r="1784" spans="1:15">
      <c r="A1784">
        <v>1783</v>
      </c>
      <c r="B1784" t="s">
        <v>304</v>
      </c>
      <c r="C1784" s="1">
        <v>40909</v>
      </c>
      <c r="D1784">
        <v>14</v>
      </c>
      <c r="E1784" s="4" t="s">
        <v>12</v>
      </c>
      <c r="F1784" t="s">
        <v>201</v>
      </c>
      <c r="G1784" s="1">
        <v>45192</v>
      </c>
      <c r="H1784" s="1">
        <f>TablaDatos[[#This Row],[FechaIngreso]]+TablaDatos[[#This Row],[DiasNuevo]]</f>
        <v>45224</v>
      </c>
      <c r="I1784">
        <v>32</v>
      </c>
      <c r="J1784" t="s">
        <v>25</v>
      </c>
      <c r="K1784" s="3">
        <v>1804.25</v>
      </c>
      <c r="L1784" t="b">
        <f>TablaDatos[[#This Row],[FechaAlta]] &lt; TablaDatos[[#This Row],[FechaIngreso]]</f>
        <v>0</v>
      </c>
      <c r="M1784">
        <f>_xlfn.XLOOKUP(TablaDatos[[#This Row],[PacienteID]],'Datos_Ejemplo.csv'!A:A,'Datos_Ejemplo.csv'!I:I)</f>
        <v>32</v>
      </c>
      <c r="N1784">
        <f>ABS(TablaDatos[[#This Row],[DiasOriginal]])</f>
        <v>32</v>
      </c>
      <c r="O1784" s="1">
        <f>TablaDatos[[#This Row],[FechaIngreso]]+TablaDatos[[#This Row],[DiasNuevo]]</f>
        <v>45224</v>
      </c>
    </row>
    <row r="1785" spans="1:15">
      <c r="A1785">
        <v>1784</v>
      </c>
      <c r="B1785" t="s">
        <v>52</v>
      </c>
      <c r="C1785" s="1">
        <v>35795</v>
      </c>
      <c r="D1785">
        <v>28</v>
      </c>
      <c r="E1785" s="4" t="s">
        <v>12</v>
      </c>
      <c r="F1785" t="s">
        <v>295</v>
      </c>
      <c r="G1785" s="1">
        <v>45060</v>
      </c>
      <c r="H1785" s="1">
        <f>TablaDatos[[#This Row],[FechaIngreso]]+TablaDatos[[#This Row],[DiasNuevo]]</f>
        <v>45080</v>
      </c>
      <c r="I1785">
        <v>20</v>
      </c>
      <c r="J1785" t="s">
        <v>23</v>
      </c>
      <c r="K1785" s="3">
        <v>16429.55</v>
      </c>
      <c r="L1785" t="b">
        <f>TablaDatos[[#This Row],[FechaAlta]] &lt; TablaDatos[[#This Row],[FechaIngreso]]</f>
        <v>0</v>
      </c>
      <c r="M1785">
        <f>_xlfn.XLOOKUP(TablaDatos[[#This Row],[PacienteID]],'Datos_Ejemplo.csv'!A:A,'Datos_Ejemplo.csv'!I:I)</f>
        <v>20</v>
      </c>
      <c r="N1785">
        <f>ABS(TablaDatos[[#This Row],[DiasOriginal]])</f>
        <v>20</v>
      </c>
      <c r="O1785" s="1">
        <f>TablaDatos[[#This Row],[FechaIngreso]]+TablaDatos[[#This Row],[DiasNuevo]]</f>
        <v>45080</v>
      </c>
    </row>
    <row r="1786" spans="1:15">
      <c r="A1786">
        <v>1785</v>
      </c>
      <c r="B1786" t="s">
        <v>267</v>
      </c>
      <c r="C1786" s="1">
        <v>35795</v>
      </c>
      <c r="D1786">
        <v>28</v>
      </c>
      <c r="E1786" s="4" t="s">
        <v>197</v>
      </c>
      <c r="F1786" t="s">
        <v>295</v>
      </c>
      <c r="G1786" s="1">
        <v>45390</v>
      </c>
      <c r="H1786" s="1">
        <f>TablaDatos[[#This Row],[FechaIngreso]]+TablaDatos[[#This Row],[DiasNuevo]]</f>
        <v>45393</v>
      </c>
      <c r="I1786">
        <v>3</v>
      </c>
      <c r="J1786" t="s">
        <v>23</v>
      </c>
      <c r="K1786" s="3">
        <v>4202.21</v>
      </c>
      <c r="L1786" t="b">
        <f>TablaDatos[[#This Row],[FechaAlta]] &lt; TablaDatos[[#This Row],[FechaIngreso]]</f>
        <v>0</v>
      </c>
      <c r="M1786">
        <f>_xlfn.XLOOKUP(TablaDatos[[#This Row],[PacienteID]],'Datos_Ejemplo.csv'!A:A,'Datos_Ejemplo.csv'!I:I)</f>
        <v>3</v>
      </c>
      <c r="N1786">
        <f>ABS(TablaDatos[[#This Row],[DiasOriginal]])</f>
        <v>3</v>
      </c>
      <c r="O1786" s="1">
        <f>TablaDatos[[#This Row],[FechaIngreso]]+TablaDatos[[#This Row],[DiasNuevo]]</f>
        <v>45393</v>
      </c>
    </row>
    <row r="1787" spans="1:15">
      <c r="A1787">
        <v>1786</v>
      </c>
      <c r="B1787" t="s">
        <v>364</v>
      </c>
      <c r="C1787" s="1">
        <v>18994</v>
      </c>
      <c r="D1787">
        <v>74</v>
      </c>
      <c r="E1787" s="4" t="s">
        <v>15</v>
      </c>
      <c r="F1787" t="s">
        <v>32</v>
      </c>
      <c r="G1787" s="1">
        <v>45527</v>
      </c>
      <c r="H1787" s="1">
        <f>TablaDatos[[#This Row],[FechaIngreso]]+TablaDatos[[#This Row],[DiasNuevo]]</f>
        <v>45535</v>
      </c>
      <c r="I1787">
        <v>8</v>
      </c>
      <c r="J1787" t="s">
        <v>19</v>
      </c>
      <c r="K1787" s="3">
        <v>416.17</v>
      </c>
      <c r="L1787" t="b">
        <f>TablaDatos[[#This Row],[FechaAlta]] &lt; TablaDatos[[#This Row],[FechaIngreso]]</f>
        <v>0</v>
      </c>
      <c r="M1787">
        <f>_xlfn.XLOOKUP(TablaDatos[[#This Row],[PacienteID]],'Datos_Ejemplo.csv'!A:A,'Datos_Ejemplo.csv'!I:I)</f>
        <v>8</v>
      </c>
      <c r="N1787">
        <f>ABS(TablaDatos[[#This Row],[DiasOriginal]])</f>
        <v>8</v>
      </c>
      <c r="O1787" s="1">
        <f>TablaDatos[[#This Row],[FechaIngreso]]+TablaDatos[[#This Row],[DiasNuevo]]</f>
        <v>45535</v>
      </c>
    </row>
    <row r="1788" spans="1:15">
      <c r="A1788">
        <v>1787</v>
      </c>
      <c r="B1788" t="s">
        <v>343</v>
      </c>
      <c r="C1788" s="1">
        <v>34700</v>
      </c>
      <c r="D1788">
        <v>31</v>
      </c>
      <c r="E1788" s="4" t="s">
        <v>15</v>
      </c>
      <c r="F1788" t="s">
        <v>32</v>
      </c>
      <c r="G1788" s="1">
        <v>45058</v>
      </c>
      <c r="H1788" s="1">
        <f>TablaDatos[[#This Row],[FechaIngreso]]+TablaDatos[[#This Row],[DiasNuevo]]</f>
        <v>45082</v>
      </c>
      <c r="I1788">
        <v>24</v>
      </c>
      <c r="J1788" t="s">
        <v>25</v>
      </c>
      <c r="K1788" s="3">
        <v>4276.55</v>
      </c>
      <c r="L1788" t="b">
        <f>TablaDatos[[#This Row],[FechaAlta]] &lt; TablaDatos[[#This Row],[FechaIngreso]]</f>
        <v>0</v>
      </c>
      <c r="M1788">
        <f>_xlfn.XLOOKUP(TablaDatos[[#This Row],[PacienteID]],'Datos_Ejemplo.csv'!A:A,'Datos_Ejemplo.csv'!I:I)</f>
        <v>24</v>
      </c>
      <c r="N1788">
        <f>ABS(TablaDatos[[#This Row],[DiasOriginal]])</f>
        <v>24</v>
      </c>
      <c r="O1788" s="1">
        <f>TablaDatos[[#This Row],[FechaIngreso]]+TablaDatos[[#This Row],[DiasNuevo]]</f>
        <v>45082</v>
      </c>
    </row>
    <row r="1789" spans="1:15">
      <c r="A1789">
        <v>1788</v>
      </c>
      <c r="B1789" t="s">
        <v>291</v>
      </c>
      <c r="C1789" s="1">
        <f ca="1">DATE(YEAR(TODAY())-TablaDatos[[#This Row],[Edad]],1,1)</f>
        <v>45658</v>
      </c>
      <c r="D1789">
        <v>1</v>
      </c>
      <c r="E1789" s="4" t="s">
        <v>12</v>
      </c>
      <c r="F1789" t="s">
        <v>201</v>
      </c>
      <c r="G1789" s="1">
        <v>44960</v>
      </c>
      <c r="H1789" s="1">
        <f>TablaDatos[[#This Row],[FechaIngreso]]+TablaDatos[[#This Row],[DiasNuevo]]</f>
        <v>44988</v>
      </c>
      <c r="I1789">
        <v>28</v>
      </c>
      <c r="J1789" t="s">
        <v>19</v>
      </c>
      <c r="K1789" s="3">
        <v>9533.6299999999992</v>
      </c>
      <c r="L1789" t="b">
        <f>TablaDatos[[#This Row],[FechaAlta]] &lt; TablaDatos[[#This Row],[FechaIngreso]]</f>
        <v>0</v>
      </c>
      <c r="M1789">
        <f>_xlfn.XLOOKUP(TablaDatos[[#This Row],[PacienteID]],'Datos_Ejemplo.csv'!A:A,'Datos_Ejemplo.csv'!I:I)</f>
        <v>28</v>
      </c>
      <c r="N1789">
        <f>ABS(TablaDatos[[#This Row],[DiasOriginal]])</f>
        <v>28</v>
      </c>
      <c r="O1789" s="1">
        <f>TablaDatos[[#This Row],[FechaIngreso]]+TablaDatos[[#This Row],[DiasNuevo]]</f>
        <v>44988</v>
      </c>
    </row>
    <row r="1790" spans="1:15">
      <c r="A1790">
        <v>1789</v>
      </c>
      <c r="B1790" t="s">
        <v>277</v>
      </c>
      <c r="C1790" s="1">
        <v>29221</v>
      </c>
      <c r="D1790">
        <v>46</v>
      </c>
      <c r="E1790" s="4" t="s">
        <v>12</v>
      </c>
      <c r="F1790" t="s">
        <v>261</v>
      </c>
      <c r="G1790" s="1">
        <v>45009</v>
      </c>
      <c r="H1790" s="1">
        <f>TablaDatos[[#This Row],[FechaIngreso]]+TablaDatos[[#This Row],[DiasNuevo]]</f>
        <v>45036</v>
      </c>
      <c r="I1790">
        <v>27</v>
      </c>
      <c r="J1790" t="s">
        <v>23</v>
      </c>
      <c r="K1790" s="3">
        <v>14816.44</v>
      </c>
      <c r="L1790" t="b">
        <f>TablaDatos[[#This Row],[FechaAlta]] &lt; TablaDatos[[#This Row],[FechaIngreso]]</f>
        <v>0</v>
      </c>
      <c r="M1790">
        <f>_xlfn.XLOOKUP(TablaDatos[[#This Row],[PacienteID]],'Datos_Ejemplo.csv'!A:A,'Datos_Ejemplo.csv'!I:I)</f>
        <v>27</v>
      </c>
      <c r="N1790">
        <f>ABS(TablaDatos[[#This Row],[DiasOriginal]])</f>
        <v>27</v>
      </c>
      <c r="O1790" s="1">
        <f>TablaDatos[[#This Row],[FechaIngreso]]+TablaDatos[[#This Row],[DiasNuevo]]</f>
        <v>45036</v>
      </c>
    </row>
    <row r="1791" spans="1:15">
      <c r="A1791">
        <v>1790</v>
      </c>
      <c r="B1791" t="s">
        <v>252</v>
      </c>
      <c r="C1791" s="1">
        <v>17898</v>
      </c>
      <c r="D1791">
        <v>77</v>
      </c>
      <c r="E1791" s="4" t="s">
        <v>12</v>
      </c>
      <c r="F1791" t="s">
        <v>261</v>
      </c>
      <c r="G1791" s="1">
        <v>45058</v>
      </c>
      <c r="H1791" s="1">
        <f>TablaDatos[[#This Row],[FechaIngreso]]+TablaDatos[[#This Row],[DiasNuevo]]</f>
        <v>45058</v>
      </c>
      <c r="I1791">
        <v>0</v>
      </c>
      <c r="J1791" t="s">
        <v>23</v>
      </c>
      <c r="K1791" s="3">
        <v>4294.51</v>
      </c>
      <c r="L1791" t="b">
        <f>TablaDatos[[#This Row],[FechaAlta]] &lt; TablaDatos[[#This Row],[FechaIngreso]]</f>
        <v>0</v>
      </c>
      <c r="M1791">
        <f>_xlfn.XLOOKUP(TablaDatos[[#This Row],[PacienteID]],'Datos_Ejemplo.csv'!A:A,'Datos_Ejemplo.csv'!I:I)</f>
        <v>0</v>
      </c>
      <c r="N1791">
        <f>ABS(TablaDatos[[#This Row],[DiasOriginal]])</f>
        <v>0</v>
      </c>
      <c r="O1791" s="1">
        <f>TablaDatos[[#This Row],[FechaIngreso]]+TablaDatos[[#This Row],[DiasNuevo]]</f>
        <v>45058</v>
      </c>
    </row>
    <row r="1792" spans="1:15">
      <c r="A1792">
        <v>1791</v>
      </c>
      <c r="B1792" t="s">
        <v>161</v>
      </c>
      <c r="C1792" s="1">
        <v>15707</v>
      </c>
      <c r="D1792">
        <v>83</v>
      </c>
      <c r="E1792" s="4" t="s">
        <v>12</v>
      </c>
      <c r="F1792" t="s">
        <v>21</v>
      </c>
      <c r="G1792" s="1">
        <v>45354</v>
      </c>
      <c r="H1792" s="1">
        <f>TablaDatos[[#This Row],[FechaIngreso]]+TablaDatos[[#This Row],[DiasNuevo]]</f>
        <v>45364</v>
      </c>
      <c r="I1792">
        <v>10</v>
      </c>
      <c r="J1792" t="s">
        <v>23</v>
      </c>
      <c r="K1792" s="3">
        <v>2171.4499999999998</v>
      </c>
      <c r="L1792" t="b">
        <f>TablaDatos[[#This Row],[FechaAlta]] &lt; TablaDatos[[#This Row],[FechaIngreso]]</f>
        <v>0</v>
      </c>
      <c r="M1792">
        <f>_xlfn.XLOOKUP(TablaDatos[[#This Row],[PacienteID]],'Datos_Ejemplo.csv'!A:A,'Datos_Ejemplo.csv'!I:I)</f>
        <v>10</v>
      </c>
      <c r="N1792">
        <f>ABS(TablaDatos[[#This Row],[DiasOriginal]])</f>
        <v>10</v>
      </c>
      <c r="O1792" s="1">
        <f>TablaDatos[[#This Row],[FechaIngreso]]+TablaDatos[[#This Row],[DiasNuevo]]</f>
        <v>45364</v>
      </c>
    </row>
    <row r="1793" spans="1:15">
      <c r="A1793">
        <v>1792</v>
      </c>
      <c r="B1793" t="s">
        <v>332</v>
      </c>
      <c r="C1793" s="1">
        <v>38352</v>
      </c>
      <c r="D1793">
        <v>21</v>
      </c>
      <c r="E1793" s="4" t="s">
        <v>15</v>
      </c>
      <c r="F1793" t="s">
        <v>18</v>
      </c>
      <c r="G1793" s="1">
        <v>45130</v>
      </c>
      <c r="H1793" s="1">
        <f>TablaDatos[[#This Row],[FechaIngreso]]+TablaDatos[[#This Row],[DiasNuevo]]</f>
        <v>45167</v>
      </c>
      <c r="I1793">
        <v>37</v>
      </c>
      <c r="J1793" t="s">
        <v>23</v>
      </c>
      <c r="K1793" s="3">
        <v>12883.94</v>
      </c>
      <c r="L1793" t="b">
        <f>TablaDatos[[#This Row],[FechaAlta]] &lt; TablaDatos[[#This Row],[FechaIngreso]]</f>
        <v>0</v>
      </c>
      <c r="M1793">
        <f>_xlfn.XLOOKUP(TablaDatos[[#This Row],[PacienteID]],'Datos_Ejemplo.csv'!A:A,'Datos_Ejemplo.csv'!I:I)</f>
        <v>37</v>
      </c>
      <c r="N1793">
        <f>ABS(TablaDatos[[#This Row],[DiasOriginal]])</f>
        <v>37</v>
      </c>
      <c r="O1793" s="1">
        <f>TablaDatos[[#This Row],[FechaIngreso]]+TablaDatos[[#This Row],[DiasNuevo]]</f>
        <v>45167</v>
      </c>
    </row>
    <row r="1794" spans="1:15">
      <c r="A1794">
        <v>1793</v>
      </c>
      <c r="B1794" t="s">
        <v>105</v>
      </c>
      <c r="C1794" s="1">
        <f ca="1">DATE(YEAR(TODAY())-TablaDatos[[#This Row],[Edad]],1,1)</f>
        <v>18994</v>
      </c>
      <c r="D1794">
        <v>74</v>
      </c>
      <c r="E1794" s="4" t="s">
        <v>12</v>
      </c>
      <c r="F1794" t="s">
        <v>18</v>
      </c>
      <c r="G1794" s="1">
        <v>45262</v>
      </c>
      <c r="H1794" s="1">
        <f>TablaDatos[[#This Row],[FechaIngreso]]+TablaDatos[[#This Row],[DiasNuevo]]</f>
        <v>45280</v>
      </c>
      <c r="I1794">
        <v>18</v>
      </c>
      <c r="J1794" t="s">
        <v>23</v>
      </c>
      <c r="K1794" s="3">
        <v>19676.349999999999</v>
      </c>
      <c r="L1794" t="b">
        <f>TablaDatos[[#This Row],[FechaAlta]] &lt; TablaDatos[[#This Row],[FechaIngreso]]</f>
        <v>0</v>
      </c>
      <c r="M1794">
        <f>_xlfn.XLOOKUP(TablaDatos[[#This Row],[PacienteID]],'Datos_Ejemplo.csv'!A:A,'Datos_Ejemplo.csv'!I:I)</f>
        <v>18</v>
      </c>
      <c r="N1794">
        <f>ABS(TablaDatos[[#This Row],[DiasOriginal]])</f>
        <v>18</v>
      </c>
      <c r="O1794" s="1">
        <f>TablaDatos[[#This Row],[FechaIngreso]]+TablaDatos[[#This Row],[DiasNuevo]]</f>
        <v>45280</v>
      </c>
    </row>
    <row r="1795" spans="1:15">
      <c r="A1795">
        <v>1794</v>
      </c>
      <c r="B1795" t="s">
        <v>266</v>
      </c>
      <c r="C1795" s="1">
        <v>36526</v>
      </c>
      <c r="D1795">
        <v>26</v>
      </c>
      <c r="E1795" s="4" t="s">
        <v>12</v>
      </c>
      <c r="F1795" t="s">
        <v>18</v>
      </c>
      <c r="G1795" s="1">
        <v>45423</v>
      </c>
      <c r="H1795" s="1">
        <f>TablaDatos[[#This Row],[FechaIngreso]]+TablaDatos[[#This Row],[DiasNuevo]]</f>
        <v>45431</v>
      </c>
      <c r="I1795">
        <v>8</v>
      </c>
      <c r="J1795" t="s">
        <v>25</v>
      </c>
      <c r="K1795" s="3">
        <v>11977.49</v>
      </c>
      <c r="L1795" t="b">
        <f>TablaDatos[[#This Row],[FechaAlta]] &lt; TablaDatos[[#This Row],[FechaIngreso]]</f>
        <v>0</v>
      </c>
      <c r="M1795">
        <f>_xlfn.XLOOKUP(TablaDatos[[#This Row],[PacienteID]],'Datos_Ejemplo.csv'!A:A,'Datos_Ejemplo.csv'!I:I)</f>
        <v>8</v>
      </c>
      <c r="N1795">
        <f>ABS(TablaDatos[[#This Row],[DiasOriginal]])</f>
        <v>8</v>
      </c>
      <c r="O1795" s="1">
        <f>TablaDatos[[#This Row],[FechaIngreso]]+TablaDatos[[#This Row],[DiasNuevo]]</f>
        <v>45431</v>
      </c>
    </row>
    <row r="1796" spans="1:15">
      <c r="A1796">
        <v>1795</v>
      </c>
      <c r="B1796" t="s">
        <v>309</v>
      </c>
      <c r="C1796" s="1">
        <v>21916</v>
      </c>
      <c r="D1796">
        <v>66</v>
      </c>
      <c r="E1796" s="4" t="s">
        <v>12</v>
      </c>
      <c r="F1796" t="s">
        <v>13</v>
      </c>
      <c r="G1796" s="1">
        <v>45368</v>
      </c>
      <c r="H1796" s="1">
        <f>TablaDatos[[#This Row],[FechaIngreso]]+TablaDatos[[#This Row],[DiasNuevo]]</f>
        <v>45368</v>
      </c>
      <c r="I1796">
        <v>0</v>
      </c>
      <c r="J1796" t="s">
        <v>19</v>
      </c>
      <c r="K1796" s="3">
        <v>13790.25</v>
      </c>
      <c r="L1796" t="b">
        <f>TablaDatos[[#This Row],[FechaAlta]] &lt; TablaDatos[[#This Row],[FechaIngreso]]</f>
        <v>0</v>
      </c>
      <c r="M1796">
        <f>_xlfn.XLOOKUP(TablaDatos[[#This Row],[PacienteID]],'Datos_Ejemplo.csv'!A:A,'Datos_Ejemplo.csv'!I:I)</f>
        <v>0</v>
      </c>
      <c r="N1796">
        <f>ABS(TablaDatos[[#This Row],[DiasOriginal]])</f>
        <v>0</v>
      </c>
      <c r="O1796" s="1">
        <f>TablaDatos[[#This Row],[FechaIngreso]]+TablaDatos[[#This Row],[DiasNuevo]]</f>
        <v>45368</v>
      </c>
    </row>
    <row r="1797" spans="1:15">
      <c r="A1797">
        <v>1796</v>
      </c>
      <c r="B1797" t="s">
        <v>304</v>
      </c>
      <c r="C1797" s="1">
        <v>16802</v>
      </c>
      <c r="D1797">
        <v>80</v>
      </c>
      <c r="E1797" s="4" t="s">
        <v>15</v>
      </c>
      <c r="F1797" t="s">
        <v>21</v>
      </c>
      <c r="G1797" s="1">
        <v>45184</v>
      </c>
      <c r="H1797" s="1">
        <f>TablaDatos[[#This Row],[FechaIngreso]]+TablaDatos[[#This Row],[DiasNuevo]]</f>
        <v>45219</v>
      </c>
      <c r="I1797">
        <v>35</v>
      </c>
      <c r="J1797" t="s">
        <v>23</v>
      </c>
      <c r="K1797" s="3">
        <v>11179.47</v>
      </c>
      <c r="L1797" t="b">
        <f>TablaDatos[[#This Row],[FechaAlta]] &lt; TablaDatos[[#This Row],[FechaIngreso]]</f>
        <v>0</v>
      </c>
      <c r="M1797">
        <f>_xlfn.XLOOKUP(TablaDatos[[#This Row],[PacienteID]],'Datos_Ejemplo.csv'!A:A,'Datos_Ejemplo.csv'!I:I)</f>
        <v>35</v>
      </c>
      <c r="N1797">
        <f>ABS(TablaDatos[[#This Row],[DiasOriginal]])</f>
        <v>35</v>
      </c>
      <c r="O1797" s="1">
        <f>TablaDatos[[#This Row],[FechaIngreso]]+TablaDatos[[#This Row],[DiasNuevo]]</f>
        <v>45219</v>
      </c>
    </row>
    <row r="1798" spans="1:15">
      <c r="A1798">
        <v>1797</v>
      </c>
      <c r="B1798" t="s">
        <v>350</v>
      </c>
      <c r="C1798" s="1">
        <v>25934</v>
      </c>
      <c r="D1798">
        <v>55</v>
      </c>
      <c r="E1798" s="4" t="s">
        <v>15</v>
      </c>
      <c r="F1798" t="s">
        <v>201</v>
      </c>
      <c r="G1798" s="1">
        <v>45218</v>
      </c>
      <c r="H1798" s="1">
        <f>TablaDatos[[#This Row],[FechaIngreso]]+TablaDatos[[#This Row],[DiasNuevo]]</f>
        <v>45246</v>
      </c>
      <c r="I1798">
        <v>28</v>
      </c>
      <c r="J1798" t="s">
        <v>23</v>
      </c>
      <c r="K1798" s="3">
        <v>15625.2</v>
      </c>
      <c r="L1798" t="b">
        <f>TablaDatos[[#This Row],[FechaAlta]] &lt; TablaDatos[[#This Row],[FechaIngreso]]</f>
        <v>0</v>
      </c>
      <c r="M1798">
        <f>_xlfn.XLOOKUP(TablaDatos[[#This Row],[PacienteID]],'Datos_Ejemplo.csv'!A:A,'Datos_Ejemplo.csv'!I:I)</f>
        <v>28</v>
      </c>
      <c r="N1798">
        <f>ABS(TablaDatos[[#This Row],[DiasOriginal]])</f>
        <v>28</v>
      </c>
      <c r="O1798" s="1">
        <f>TablaDatos[[#This Row],[FechaIngreso]]+TablaDatos[[#This Row],[DiasNuevo]]</f>
        <v>45246</v>
      </c>
    </row>
    <row r="1799" spans="1:15">
      <c r="A1799">
        <v>1798</v>
      </c>
      <c r="B1799" t="s">
        <v>296</v>
      </c>
      <c r="C1799" s="1">
        <v>12785</v>
      </c>
      <c r="D1799">
        <v>91</v>
      </c>
      <c r="E1799" s="4" t="s">
        <v>15</v>
      </c>
      <c r="F1799" t="s">
        <v>18</v>
      </c>
      <c r="G1799" s="1">
        <v>45051</v>
      </c>
      <c r="H1799" s="1">
        <f>TablaDatos[[#This Row],[FechaIngreso]]+TablaDatos[[#This Row],[DiasNuevo]]</f>
        <v>45072</v>
      </c>
      <c r="I1799">
        <v>21</v>
      </c>
      <c r="J1799" t="s">
        <v>25</v>
      </c>
      <c r="K1799" s="3">
        <v>19513.669999999998</v>
      </c>
      <c r="L1799" t="b">
        <f>TablaDatos[[#This Row],[FechaAlta]] &lt; TablaDatos[[#This Row],[FechaIngreso]]</f>
        <v>0</v>
      </c>
      <c r="M1799">
        <f>_xlfn.XLOOKUP(TablaDatos[[#This Row],[PacienteID]],'Datos_Ejemplo.csv'!A:A,'Datos_Ejemplo.csv'!I:I)</f>
        <v>21</v>
      </c>
      <c r="N1799">
        <f>ABS(TablaDatos[[#This Row],[DiasOriginal]])</f>
        <v>21</v>
      </c>
      <c r="O1799" s="1">
        <f>TablaDatos[[#This Row],[FechaIngreso]]+TablaDatos[[#This Row],[DiasNuevo]]</f>
        <v>45072</v>
      </c>
    </row>
    <row r="1800" spans="1:15">
      <c r="A1800">
        <v>1799</v>
      </c>
      <c r="B1800" t="s">
        <v>151</v>
      </c>
      <c r="C1800" s="1">
        <v>12419</v>
      </c>
      <c r="D1800">
        <v>92</v>
      </c>
      <c r="E1800" s="4" t="s">
        <v>12</v>
      </c>
      <c r="F1800" t="s">
        <v>13</v>
      </c>
      <c r="G1800" s="1">
        <v>45589</v>
      </c>
      <c r="H1800" s="1">
        <f>TablaDatos[[#This Row],[FechaIngreso]]+TablaDatos[[#This Row],[DiasNuevo]]</f>
        <v>45628</v>
      </c>
      <c r="I1800">
        <v>39</v>
      </c>
      <c r="J1800" t="s">
        <v>23</v>
      </c>
      <c r="K1800" s="3">
        <v>10837</v>
      </c>
      <c r="L1800" t="b">
        <f>TablaDatos[[#This Row],[FechaAlta]] &lt; TablaDatos[[#This Row],[FechaIngreso]]</f>
        <v>0</v>
      </c>
      <c r="M1800">
        <f>_xlfn.XLOOKUP(TablaDatos[[#This Row],[PacienteID]],'Datos_Ejemplo.csv'!A:A,'Datos_Ejemplo.csv'!I:I)</f>
        <v>39</v>
      </c>
      <c r="N1800">
        <f>ABS(TablaDatos[[#This Row],[DiasOriginal]])</f>
        <v>39</v>
      </c>
      <c r="O1800" s="1">
        <f>TablaDatos[[#This Row],[FechaIngreso]]+TablaDatos[[#This Row],[DiasNuevo]]</f>
        <v>45628</v>
      </c>
    </row>
    <row r="1801" spans="1:15">
      <c r="A1801">
        <v>1800</v>
      </c>
      <c r="B1801" t="s">
        <v>238</v>
      </c>
      <c r="C1801" s="1">
        <v>38717</v>
      </c>
      <c r="D1801">
        <v>20</v>
      </c>
      <c r="E1801" s="4" t="s">
        <v>15</v>
      </c>
      <c r="F1801" t="s">
        <v>13</v>
      </c>
      <c r="G1801" s="1">
        <v>45101</v>
      </c>
      <c r="H1801" s="1">
        <f>TablaDatos[[#This Row],[FechaIngreso]]+TablaDatos[[#This Row],[DiasNuevo]]</f>
        <v>45110</v>
      </c>
      <c r="I1801">
        <v>9</v>
      </c>
      <c r="J1801" t="s">
        <v>23</v>
      </c>
      <c r="K1801" s="3">
        <v>8277.49</v>
      </c>
      <c r="L1801" t="b">
        <f>TablaDatos[[#This Row],[FechaAlta]] &lt; TablaDatos[[#This Row],[FechaIngreso]]</f>
        <v>0</v>
      </c>
      <c r="M1801">
        <f>_xlfn.XLOOKUP(TablaDatos[[#This Row],[PacienteID]],'Datos_Ejemplo.csv'!A:A,'Datos_Ejemplo.csv'!I:I)</f>
        <v>9</v>
      </c>
      <c r="N1801">
        <f>ABS(TablaDatos[[#This Row],[DiasOriginal]])</f>
        <v>9</v>
      </c>
      <c r="O1801" s="1">
        <f>TablaDatos[[#This Row],[FechaIngreso]]+TablaDatos[[#This Row],[DiasNuevo]]</f>
        <v>45110</v>
      </c>
    </row>
    <row r="1802" spans="1:15">
      <c r="A1802">
        <v>1801</v>
      </c>
      <c r="B1802" t="s">
        <v>102</v>
      </c>
      <c r="C1802" s="1">
        <v>29221</v>
      </c>
      <c r="D1802">
        <v>46</v>
      </c>
      <c r="E1802" s="4" t="s">
        <v>15</v>
      </c>
      <c r="F1802" t="s">
        <v>295</v>
      </c>
      <c r="G1802" s="1">
        <v>45418</v>
      </c>
      <c r="H1802" s="1">
        <f>TablaDatos[[#This Row],[FechaIngreso]]+TablaDatos[[#This Row],[DiasNuevo]]</f>
        <v>45442</v>
      </c>
      <c r="I1802">
        <v>24</v>
      </c>
      <c r="J1802" t="s">
        <v>23</v>
      </c>
      <c r="K1802" s="3">
        <v>17192.900000000001</v>
      </c>
      <c r="L1802" t="b">
        <f>TablaDatos[[#This Row],[FechaAlta]] &lt; TablaDatos[[#This Row],[FechaIngreso]]</f>
        <v>0</v>
      </c>
      <c r="M1802">
        <f>_xlfn.XLOOKUP(TablaDatos[[#This Row],[PacienteID]],'Datos_Ejemplo.csv'!A:A,'Datos_Ejemplo.csv'!I:I)</f>
        <v>24</v>
      </c>
      <c r="N1802">
        <f>ABS(TablaDatos[[#This Row],[DiasOriginal]])</f>
        <v>24</v>
      </c>
      <c r="O1802" s="1">
        <f>TablaDatos[[#This Row],[FechaIngreso]]+TablaDatos[[#This Row],[DiasNuevo]]</f>
        <v>45442</v>
      </c>
    </row>
    <row r="1803" spans="1:15">
      <c r="A1803">
        <v>1802</v>
      </c>
      <c r="B1803" t="s">
        <v>367</v>
      </c>
      <c r="C1803" s="1">
        <v>17168</v>
      </c>
      <c r="D1803">
        <v>79</v>
      </c>
      <c r="E1803" s="4" t="s">
        <v>15</v>
      </c>
      <c r="F1803" t="s">
        <v>13</v>
      </c>
      <c r="G1803" s="1">
        <v>45006</v>
      </c>
      <c r="H1803" s="1">
        <f>TablaDatos[[#This Row],[FechaIngreso]]+TablaDatos[[#This Row],[DiasNuevo]]</f>
        <v>45024</v>
      </c>
      <c r="I1803">
        <v>18</v>
      </c>
      <c r="J1803" t="s">
        <v>23</v>
      </c>
      <c r="K1803" s="3">
        <v>19391.54</v>
      </c>
      <c r="L1803" t="b">
        <f>TablaDatos[[#This Row],[FechaAlta]] &lt; TablaDatos[[#This Row],[FechaIngreso]]</f>
        <v>0</v>
      </c>
      <c r="M1803">
        <f>_xlfn.XLOOKUP(TablaDatos[[#This Row],[PacienteID]],'Datos_Ejemplo.csv'!A:A,'Datos_Ejemplo.csv'!I:I)</f>
        <v>18</v>
      </c>
      <c r="N1803">
        <f>ABS(TablaDatos[[#This Row],[DiasOriginal]])</f>
        <v>18</v>
      </c>
      <c r="O1803" s="1">
        <f>TablaDatos[[#This Row],[FechaIngreso]]+TablaDatos[[#This Row],[DiasNuevo]]</f>
        <v>45024</v>
      </c>
    </row>
    <row r="1804" spans="1:15">
      <c r="A1804">
        <v>1803</v>
      </c>
      <c r="B1804" t="s">
        <v>300</v>
      </c>
      <c r="C1804" s="1">
        <f ca="1">DATE(YEAR(TODAY())-TablaDatos[[#This Row],[Edad]],1,1)</f>
        <v>0</v>
      </c>
      <c r="D1804">
        <f ca="1">DATEDIF(TablaDatos[[#This Row],[FechaNacimiento]],TODAY(),"Y")</f>
        <v>126</v>
      </c>
      <c r="E1804" s="4" t="s">
        <v>12</v>
      </c>
      <c r="F1804" t="s">
        <v>32</v>
      </c>
      <c r="G1804" s="1">
        <v>45545</v>
      </c>
      <c r="H1804" s="1">
        <f>TablaDatos[[#This Row],[FechaIngreso]]+TablaDatos[[#This Row],[DiasNuevo]]</f>
        <v>45567</v>
      </c>
      <c r="I1804">
        <v>22</v>
      </c>
      <c r="J1804" t="s">
        <v>23</v>
      </c>
      <c r="K1804" s="3">
        <v>2496.5500000000002</v>
      </c>
      <c r="L1804" t="b">
        <f>TablaDatos[[#This Row],[FechaAlta]] &lt; TablaDatos[[#This Row],[FechaIngreso]]</f>
        <v>0</v>
      </c>
      <c r="M1804">
        <f>_xlfn.XLOOKUP(TablaDatos[[#This Row],[PacienteID]],'Datos_Ejemplo.csv'!A:A,'Datos_Ejemplo.csv'!I:I)</f>
        <v>22</v>
      </c>
      <c r="N1804">
        <f>ABS(TablaDatos[[#This Row],[DiasOriginal]])</f>
        <v>22</v>
      </c>
      <c r="O1804" s="1">
        <f>TablaDatos[[#This Row],[FechaIngreso]]+TablaDatos[[#This Row],[DiasNuevo]]</f>
        <v>45567</v>
      </c>
    </row>
    <row r="1805" spans="1:15">
      <c r="A1805">
        <v>1804</v>
      </c>
      <c r="B1805" t="s">
        <v>266</v>
      </c>
      <c r="C1805" s="1">
        <v>15707</v>
      </c>
      <c r="D1805">
        <v>83</v>
      </c>
      <c r="E1805" s="4" t="s">
        <v>15</v>
      </c>
      <c r="F1805" t="s">
        <v>261</v>
      </c>
      <c r="G1805" s="1">
        <v>45231</v>
      </c>
      <c r="H1805" s="1">
        <f>TablaDatos[[#This Row],[FechaIngreso]]+TablaDatos[[#This Row],[DiasNuevo]]</f>
        <v>45258</v>
      </c>
      <c r="I1805">
        <v>27</v>
      </c>
      <c r="J1805" t="s">
        <v>23</v>
      </c>
      <c r="K1805" s="3">
        <v>11521.24</v>
      </c>
      <c r="L1805" t="b">
        <f>TablaDatos[[#This Row],[FechaAlta]] &lt; TablaDatos[[#This Row],[FechaIngreso]]</f>
        <v>0</v>
      </c>
      <c r="M1805">
        <f>_xlfn.XLOOKUP(TablaDatos[[#This Row],[PacienteID]],'Datos_Ejemplo.csv'!A:A,'Datos_Ejemplo.csv'!I:I)</f>
        <v>27</v>
      </c>
      <c r="N1805">
        <f>ABS(TablaDatos[[#This Row],[DiasOriginal]])</f>
        <v>27</v>
      </c>
      <c r="O1805" s="1">
        <f>TablaDatos[[#This Row],[FechaIngreso]]+TablaDatos[[#This Row],[DiasNuevo]]</f>
        <v>45258</v>
      </c>
    </row>
    <row r="1806" spans="1:15">
      <c r="A1806">
        <v>1805</v>
      </c>
      <c r="B1806" t="s">
        <v>343</v>
      </c>
      <c r="C1806" s="1">
        <v>44196</v>
      </c>
      <c r="D1806">
        <v>5</v>
      </c>
      <c r="E1806" s="4" t="s">
        <v>12</v>
      </c>
      <c r="F1806" t="s">
        <v>13</v>
      </c>
      <c r="G1806" s="1">
        <v>45436</v>
      </c>
      <c r="H1806" s="1">
        <f>TablaDatos[[#This Row],[FechaIngreso]]+TablaDatos[[#This Row],[DiasNuevo]]</f>
        <v>45463</v>
      </c>
      <c r="I1806">
        <v>27</v>
      </c>
      <c r="J1806" t="s">
        <v>19</v>
      </c>
      <c r="K1806" s="3">
        <v>15828.45</v>
      </c>
      <c r="L1806" t="b">
        <f>TablaDatos[[#This Row],[FechaAlta]] &lt; TablaDatos[[#This Row],[FechaIngreso]]</f>
        <v>0</v>
      </c>
      <c r="M1806">
        <f>_xlfn.XLOOKUP(TablaDatos[[#This Row],[PacienteID]],'Datos_Ejemplo.csv'!A:A,'Datos_Ejemplo.csv'!I:I)</f>
        <v>27</v>
      </c>
      <c r="N1806">
        <f>ABS(TablaDatos[[#This Row],[DiasOriginal]])</f>
        <v>27</v>
      </c>
      <c r="O1806" s="1">
        <f>TablaDatos[[#This Row],[FechaIngreso]]+TablaDatos[[#This Row],[DiasNuevo]]</f>
        <v>45463</v>
      </c>
    </row>
    <row r="1807" spans="1:15">
      <c r="A1807">
        <v>1806</v>
      </c>
      <c r="B1807" t="s">
        <v>358</v>
      </c>
      <c r="C1807" s="1">
        <v>39448</v>
      </c>
      <c r="D1807">
        <v>18</v>
      </c>
      <c r="E1807" s="4" t="s">
        <v>15</v>
      </c>
      <c r="F1807" t="s">
        <v>32</v>
      </c>
      <c r="G1807" s="1">
        <v>45270</v>
      </c>
      <c r="H1807" s="1">
        <f>TablaDatos[[#This Row],[FechaIngreso]]+TablaDatos[[#This Row],[DiasNuevo]]</f>
        <v>45277</v>
      </c>
      <c r="I1807">
        <v>7</v>
      </c>
      <c r="J1807" t="s">
        <v>19</v>
      </c>
      <c r="K1807" s="3">
        <v>10620.12</v>
      </c>
      <c r="L1807" t="b">
        <f>TablaDatos[[#This Row],[FechaAlta]] &lt; TablaDatos[[#This Row],[FechaIngreso]]</f>
        <v>0</v>
      </c>
      <c r="M1807">
        <f>_xlfn.XLOOKUP(TablaDatos[[#This Row],[PacienteID]],'Datos_Ejemplo.csv'!A:A,'Datos_Ejemplo.csv'!I:I)</f>
        <v>7</v>
      </c>
      <c r="N1807">
        <f>ABS(TablaDatos[[#This Row],[DiasOriginal]])</f>
        <v>7</v>
      </c>
      <c r="O1807" s="1">
        <f>TablaDatos[[#This Row],[FechaIngreso]]+TablaDatos[[#This Row],[DiasNuevo]]</f>
        <v>45277</v>
      </c>
    </row>
    <row r="1808" spans="1:15">
      <c r="A1808">
        <v>1807</v>
      </c>
      <c r="B1808" t="s">
        <v>311</v>
      </c>
      <c r="C1808" s="1">
        <f ca="1">DATE(YEAR(TODAY())-TablaDatos[[#This Row],[Edad]],1,1)</f>
        <v>25569</v>
      </c>
      <c r="D1808">
        <v>56</v>
      </c>
      <c r="E1808" s="4" t="s">
        <v>15</v>
      </c>
      <c r="F1808" t="s">
        <v>32</v>
      </c>
      <c r="G1808" s="1">
        <v>45496</v>
      </c>
      <c r="H1808" s="1">
        <f>TablaDatos[[#This Row],[FechaIngreso]]+TablaDatos[[#This Row],[DiasNuevo]]</f>
        <v>45496</v>
      </c>
      <c r="I1808">
        <v>0</v>
      </c>
      <c r="J1808" t="s">
        <v>19</v>
      </c>
      <c r="K1808" s="3">
        <v>8124.86</v>
      </c>
      <c r="L1808" t="b">
        <f>TablaDatos[[#This Row],[FechaAlta]] &lt; TablaDatos[[#This Row],[FechaIngreso]]</f>
        <v>0</v>
      </c>
      <c r="M1808">
        <f>_xlfn.XLOOKUP(TablaDatos[[#This Row],[PacienteID]],'Datos_Ejemplo.csv'!A:A,'Datos_Ejemplo.csv'!I:I)</f>
        <v>0</v>
      </c>
      <c r="N1808">
        <f>ABS(TablaDatos[[#This Row],[DiasOriginal]])</f>
        <v>0</v>
      </c>
      <c r="O1808" s="1">
        <f>TablaDatos[[#This Row],[FechaIngreso]]+TablaDatos[[#This Row],[DiasNuevo]]</f>
        <v>45496</v>
      </c>
    </row>
    <row r="1809" spans="1:15">
      <c r="A1809">
        <v>1808</v>
      </c>
      <c r="B1809" t="s">
        <v>164</v>
      </c>
      <c r="C1809" s="1">
        <v>21185</v>
      </c>
      <c r="D1809">
        <v>68</v>
      </c>
      <c r="E1809" s="4" t="s">
        <v>12</v>
      </c>
      <c r="F1809" t="s">
        <v>295</v>
      </c>
      <c r="G1809" s="1">
        <v>45017</v>
      </c>
      <c r="H1809" s="1">
        <f>TablaDatos[[#This Row],[FechaIngreso]]+TablaDatos[[#This Row],[DiasNuevo]]</f>
        <v>45027</v>
      </c>
      <c r="I1809">
        <v>10</v>
      </c>
      <c r="J1809" t="s">
        <v>23</v>
      </c>
      <c r="K1809" s="3">
        <v>13070.12</v>
      </c>
      <c r="L1809" t="b">
        <f>TablaDatos[[#This Row],[FechaAlta]] &lt; TablaDatos[[#This Row],[FechaIngreso]]</f>
        <v>0</v>
      </c>
      <c r="M1809">
        <f>_xlfn.XLOOKUP(TablaDatos[[#This Row],[PacienteID]],'Datos_Ejemplo.csv'!A:A,'Datos_Ejemplo.csv'!I:I)</f>
        <v>10</v>
      </c>
      <c r="N1809">
        <f>ABS(TablaDatos[[#This Row],[DiasOriginal]])</f>
        <v>10</v>
      </c>
      <c r="O1809" s="1">
        <f>TablaDatos[[#This Row],[FechaIngreso]]+TablaDatos[[#This Row],[DiasNuevo]]</f>
        <v>45027</v>
      </c>
    </row>
    <row r="1810" spans="1:15">
      <c r="A1810">
        <v>1809</v>
      </c>
      <c r="B1810" t="s">
        <v>249</v>
      </c>
      <c r="C1810" s="1">
        <v>45292</v>
      </c>
      <c r="D1810">
        <v>2</v>
      </c>
      <c r="E1810" s="4" t="s">
        <v>15</v>
      </c>
      <c r="F1810" t="s">
        <v>201</v>
      </c>
      <c r="G1810" s="1">
        <v>45573</v>
      </c>
      <c r="H1810" s="1">
        <f>TablaDatos[[#This Row],[FechaIngreso]]+TablaDatos[[#This Row],[DiasNuevo]]</f>
        <v>45597</v>
      </c>
      <c r="I1810">
        <v>24</v>
      </c>
      <c r="J1810" t="s">
        <v>23</v>
      </c>
      <c r="K1810" s="3">
        <v>5329.57</v>
      </c>
      <c r="L1810" t="b">
        <f>TablaDatos[[#This Row],[FechaAlta]] &lt; TablaDatos[[#This Row],[FechaIngreso]]</f>
        <v>0</v>
      </c>
      <c r="M1810">
        <f>_xlfn.XLOOKUP(TablaDatos[[#This Row],[PacienteID]],'Datos_Ejemplo.csv'!A:A,'Datos_Ejemplo.csv'!I:I)</f>
        <v>24</v>
      </c>
      <c r="N1810">
        <f>ABS(TablaDatos[[#This Row],[DiasOriginal]])</f>
        <v>24</v>
      </c>
      <c r="O1810" s="1">
        <f>TablaDatos[[#This Row],[FechaIngreso]]+TablaDatos[[#This Row],[DiasNuevo]]</f>
        <v>45597</v>
      </c>
    </row>
    <row r="1811" spans="1:15">
      <c r="A1811">
        <v>1810</v>
      </c>
      <c r="B1811" t="s">
        <v>263</v>
      </c>
      <c r="C1811" s="1">
        <v>46022</v>
      </c>
      <c r="D1811">
        <v>0</v>
      </c>
      <c r="E1811" s="4" t="s">
        <v>15</v>
      </c>
      <c r="F1811" t="s">
        <v>295</v>
      </c>
      <c r="G1811" s="1">
        <v>45095</v>
      </c>
      <c r="H1811" s="1">
        <f>TablaDatos[[#This Row],[FechaIngreso]]+TablaDatos[[#This Row],[DiasNuevo]]</f>
        <v>45110</v>
      </c>
      <c r="I1811">
        <v>15</v>
      </c>
      <c r="J1811" t="s">
        <v>25</v>
      </c>
      <c r="K1811" s="3">
        <v>6917.59</v>
      </c>
      <c r="L1811" t="b">
        <f>TablaDatos[[#This Row],[FechaAlta]] &lt; TablaDatos[[#This Row],[FechaIngreso]]</f>
        <v>0</v>
      </c>
      <c r="M1811">
        <f>_xlfn.XLOOKUP(TablaDatos[[#This Row],[PacienteID]],'Datos_Ejemplo.csv'!A:A,'Datos_Ejemplo.csv'!I:I)</f>
        <v>15</v>
      </c>
      <c r="N1811">
        <f>ABS(TablaDatos[[#This Row],[DiasOriginal]])</f>
        <v>15</v>
      </c>
      <c r="O1811" s="1">
        <f>TablaDatos[[#This Row],[FechaIngreso]]+TablaDatos[[#This Row],[DiasNuevo]]</f>
        <v>45110</v>
      </c>
    </row>
    <row r="1812" spans="1:15">
      <c r="A1812">
        <v>1811</v>
      </c>
      <c r="B1812" t="s">
        <v>301</v>
      </c>
      <c r="C1812" s="1">
        <v>25203</v>
      </c>
      <c r="D1812">
        <v>57</v>
      </c>
      <c r="E1812" s="4" t="s">
        <v>15</v>
      </c>
      <c r="F1812" t="s">
        <v>13</v>
      </c>
      <c r="G1812" s="1">
        <v>45260</v>
      </c>
      <c r="H1812" s="1">
        <f>TablaDatos[[#This Row],[FechaIngreso]]+TablaDatos[[#This Row],[DiasNuevo]]</f>
        <v>45281</v>
      </c>
      <c r="I1812">
        <v>21</v>
      </c>
      <c r="J1812" t="s">
        <v>25</v>
      </c>
      <c r="K1812" s="3">
        <v>19844.759999999998</v>
      </c>
      <c r="L1812" t="b">
        <f>TablaDatos[[#This Row],[FechaAlta]] &lt; TablaDatos[[#This Row],[FechaIngreso]]</f>
        <v>0</v>
      </c>
      <c r="M1812">
        <f>_xlfn.XLOOKUP(TablaDatos[[#This Row],[PacienteID]],'Datos_Ejemplo.csv'!A:A,'Datos_Ejemplo.csv'!I:I)</f>
        <v>21</v>
      </c>
      <c r="N1812">
        <f>ABS(TablaDatos[[#This Row],[DiasOriginal]])</f>
        <v>21</v>
      </c>
      <c r="O1812" s="1">
        <f>TablaDatos[[#This Row],[FechaIngreso]]+TablaDatos[[#This Row],[DiasNuevo]]</f>
        <v>45281</v>
      </c>
    </row>
    <row r="1813" spans="1:15">
      <c r="A1813">
        <v>1812</v>
      </c>
      <c r="B1813" t="s">
        <v>55</v>
      </c>
      <c r="C1813" s="1">
        <v>32508</v>
      </c>
      <c r="D1813">
        <v>37</v>
      </c>
      <c r="E1813" s="4" t="s">
        <v>12</v>
      </c>
      <c r="F1813" t="s">
        <v>295</v>
      </c>
      <c r="G1813" s="1">
        <v>45560</v>
      </c>
      <c r="H1813" s="1">
        <f>TablaDatos[[#This Row],[FechaIngreso]]+TablaDatos[[#This Row],[DiasNuevo]]</f>
        <v>45571</v>
      </c>
      <c r="I1813">
        <v>11</v>
      </c>
      <c r="J1813" t="s">
        <v>25</v>
      </c>
      <c r="K1813" s="3">
        <v>12692.95</v>
      </c>
      <c r="L1813" t="b">
        <f>TablaDatos[[#This Row],[FechaAlta]] &lt; TablaDatos[[#This Row],[FechaIngreso]]</f>
        <v>0</v>
      </c>
      <c r="M1813">
        <f>_xlfn.XLOOKUP(TablaDatos[[#This Row],[PacienteID]],'Datos_Ejemplo.csv'!A:A,'Datos_Ejemplo.csv'!I:I)</f>
        <v>11</v>
      </c>
      <c r="N1813">
        <f>ABS(TablaDatos[[#This Row],[DiasOriginal]])</f>
        <v>11</v>
      </c>
      <c r="O1813" s="1">
        <f>TablaDatos[[#This Row],[FechaIngreso]]+TablaDatos[[#This Row],[DiasNuevo]]</f>
        <v>45571</v>
      </c>
    </row>
    <row r="1814" spans="1:15">
      <c r="A1814">
        <v>1813</v>
      </c>
      <c r="B1814" t="s">
        <v>340</v>
      </c>
      <c r="C1814" s="1">
        <v>40909</v>
      </c>
      <c r="D1814">
        <v>14</v>
      </c>
      <c r="E1814" s="4" t="s">
        <v>12</v>
      </c>
      <c r="F1814" t="s">
        <v>295</v>
      </c>
      <c r="G1814" s="1">
        <v>45162</v>
      </c>
      <c r="H1814" s="1">
        <f>TablaDatos[[#This Row],[FechaIngreso]]+TablaDatos[[#This Row],[DiasNuevo]]</f>
        <v>45198</v>
      </c>
      <c r="I1814">
        <v>36</v>
      </c>
      <c r="J1814" t="s">
        <v>19</v>
      </c>
      <c r="K1814" s="3">
        <v>17445.84</v>
      </c>
      <c r="L1814" t="b">
        <f>TablaDatos[[#This Row],[FechaAlta]] &lt; TablaDatos[[#This Row],[FechaIngreso]]</f>
        <v>0</v>
      </c>
      <c r="M1814">
        <f>_xlfn.XLOOKUP(TablaDatos[[#This Row],[PacienteID]],'Datos_Ejemplo.csv'!A:A,'Datos_Ejemplo.csv'!I:I)</f>
        <v>36</v>
      </c>
      <c r="N1814">
        <f>ABS(TablaDatos[[#This Row],[DiasOriginal]])</f>
        <v>36</v>
      </c>
      <c r="O1814" s="1">
        <f>TablaDatos[[#This Row],[FechaIngreso]]+TablaDatos[[#This Row],[DiasNuevo]]</f>
        <v>45198</v>
      </c>
    </row>
    <row r="1815" spans="1:15">
      <c r="A1815">
        <v>1814</v>
      </c>
      <c r="B1815" t="s">
        <v>367</v>
      </c>
      <c r="C1815" s="1">
        <v>33969</v>
      </c>
      <c r="D1815">
        <f ca="1">DATEDIF(TablaDatos[[#This Row],[FechaNacimiento]],TODAY(),"Y")</f>
        <v>33</v>
      </c>
      <c r="E1815" s="4" t="s">
        <v>15</v>
      </c>
      <c r="F1815" t="s">
        <v>201</v>
      </c>
      <c r="G1815" s="1">
        <v>45325</v>
      </c>
      <c r="H1815" s="1">
        <f>TablaDatos[[#This Row],[FechaIngreso]]+TablaDatos[[#This Row],[DiasNuevo]]</f>
        <v>45326</v>
      </c>
      <c r="I1815">
        <v>1</v>
      </c>
      <c r="J1815" t="s">
        <v>19</v>
      </c>
      <c r="K1815" s="3">
        <v>16136.15</v>
      </c>
      <c r="L1815" t="b">
        <f>TablaDatos[[#This Row],[FechaAlta]] &lt; TablaDatos[[#This Row],[FechaIngreso]]</f>
        <v>0</v>
      </c>
      <c r="M1815">
        <f>_xlfn.XLOOKUP(TablaDatos[[#This Row],[PacienteID]],'Datos_Ejemplo.csv'!A:A,'Datos_Ejemplo.csv'!I:I)</f>
        <v>1</v>
      </c>
      <c r="N1815">
        <f>ABS(TablaDatos[[#This Row],[DiasOriginal]])</f>
        <v>1</v>
      </c>
      <c r="O1815" s="1">
        <f>TablaDatos[[#This Row],[FechaIngreso]]+TablaDatos[[#This Row],[DiasNuevo]]</f>
        <v>45326</v>
      </c>
    </row>
    <row r="1816" spans="1:15">
      <c r="A1816">
        <v>1815</v>
      </c>
      <c r="B1816" t="s">
        <v>253</v>
      </c>
      <c r="C1816" s="1">
        <v>24107</v>
      </c>
      <c r="D1816">
        <v>60</v>
      </c>
      <c r="E1816" s="4" t="s">
        <v>15</v>
      </c>
      <c r="F1816" t="s">
        <v>261</v>
      </c>
      <c r="G1816" s="1">
        <v>45514</v>
      </c>
      <c r="H1816" s="1">
        <f>TablaDatos[[#This Row],[FechaIngreso]]+TablaDatos[[#This Row],[DiasNuevo]]</f>
        <v>45527</v>
      </c>
      <c r="I1816">
        <v>13</v>
      </c>
      <c r="J1816" t="s">
        <v>19</v>
      </c>
      <c r="K1816" s="3">
        <v>13010.68</v>
      </c>
      <c r="L1816" t="b">
        <f>TablaDatos[[#This Row],[FechaAlta]] &lt; TablaDatos[[#This Row],[FechaIngreso]]</f>
        <v>0</v>
      </c>
      <c r="M1816">
        <f>_xlfn.XLOOKUP(TablaDatos[[#This Row],[PacienteID]],'Datos_Ejemplo.csv'!A:A,'Datos_Ejemplo.csv'!I:I)</f>
        <v>13</v>
      </c>
      <c r="N1816">
        <f>ABS(TablaDatos[[#This Row],[DiasOriginal]])</f>
        <v>13</v>
      </c>
      <c r="O1816" s="1">
        <f>TablaDatos[[#This Row],[FechaIngreso]]+TablaDatos[[#This Row],[DiasNuevo]]</f>
        <v>45527</v>
      </c>
    </row>
    <row r="1817" spans="1:15">
      <c r="A1817">
        <v>1816</v>
      </c>
      <c r="B1817" t="s">
        <v>293</v>
      </c>
      <c r="C1817" s="1">
        <v>33604</v>
      </c>
      <c r="D1817">
        <v>34</v>
      </c>
      <c r="E1817" s="4" t="s">
        <v>197</v>
      </c>
      <c r="F1817" t="s">
        <v>18</v>
      </c>
      <c r="G1817" s="1">
        <v>45403</v>
      </c>
      <c r="H1817" s="1">
        <f>TablaDatos[[#This Row],[FechaIngreso]]+TablaDatos[[#This Row],[DiasNuevo]]</f>
        <v>45410</v>
      </c>
      <c r="I1817">
        <v>7</v>
      </c>
      <c r="J1817" t="s">
        <v>23</v>
      </c>
      <c r="K1817" s="3">
        <v>16798.650000000001</v>
      </c>
      <c r="L1817" t="b">
        <f>TablaDatos[[#This Row],[FechaAlta]] &lt; TablaDatos[[#This Row],[FechaIngreso]]</f>
        <v>0</v>
      </c>
      <c r="M1817">
        <f>_xlfn.XLOOKUP(TablaDatos[[#This Row],[PacienteID]],'Datos_Ejemplo.csv'!A:A,'Datos_Ejemplo.csv'!I:I)</f>
        <v>7</v>
      </c>
      <c r="N1817">
        <f>ABS(TablaDatos[[#This Row],[DiasOriginal]])</f>
        <v>7</v>
      </c>
      <c r="O1817" s="1">
        <f>TablaDatos[[#This Row],[FechaIngreso]]+TablaDatos[[#This Row],[DiasNuevo]]</f>
        <v>45410</v>
      </c>
    </row>
    <row r="1818" spans="1:15">
      <c r="A1818">
        <v>1817</v>
      </c>
      <c r="B1818" t="s">
        <v>328</v>
      </c>
      <c r="C1818" s="1">
        <v>23012</v>
      </c>
      <c r="D1818">
        <v>63</v>
      </c>
      <c r="E1818" s="4" t="s">
        <v>12</v>
      </c>
      <c r="F1818" t="s">
        <v>13</v>
      </c>
      <c r="G1818" s="1">
        <v>45461</v>
      </c>
      <c r="H1818" s="1">
        <f>TablaDatos[[#This Row],[FechaIngreso]]+TablaDatos[[#This Row],[DiasNuevo]]</f>
        <v>45495</v>
      </c>
      <c r="I1818">
        <v>34</v>
      </c>
      <c r="J1818" t="s">
        <v>19</v>
      </c>
      <c r="K1818" s="3">
        <v>5671.89</v>
      </c>
      <c r="L1818" t="b">
        <f>TablaDatos[[#This Row],[FechaAlta]] &lt; TablaDatos[[#This Row],[FechaIngreso]]</f>
        <v>0</v>
      </c>
      <c r="M1818">
        <f>_xlfn.XLOOKUP(TablaDatos[[#This Row],[PacienteID]],'Datos_Ejemplo.csv'!A:A,'Datos_Ejemplo.csv'!I:I)</f>
        <v>34</v>
      </c>
      <c r="N1818">
        <f>ABS(TablaDatos[[#This Row],[DiasOriginal]])</f>
        <v>34</v>
      </c>
      <c r="O1818" s="1">
        <f>TablaDatos[[#This Row],[FechaIngreso]]+TablaDatos[[#This Row],[DiasNuevo]]</f>
        <v>45495</v>
      </c>
    </row>
    <row r="1819" spans="1:15">
      <c r="A1819">
        <v>1818</v>
      </c>
      <c r="B1819" t="s">
        <v>360</v>
      </c>
      <c r="C1819" s="1">
        <v>37256</v>
      </c>
      <c r="D1819">
        <v>24</v>
      </c>
      <c r="E1819" s="4" t="s">
        <v>15</v>
      </c>
      <c r="F1819" t="s">
        <v>201</v>
      </c>
      <c r="G1819" s="1">
        <v>45511</v>
      </c>
      <c r="H1819" s="1">
        <f>TablaDatos[[#This Row],[FechaIngreso]]+TablaDatos[[#This Row],[DiasNuevo]]</f>
        <v>45535</v>
      </c>
      <c r="I1819">
        <v>24</v>
      </c>
      <c r="J1819" t="s">
        <v>23</v>
      </c>
      <c r="K1819" s="3">
        <v>12706.04</v>
      </c>
      <c r="L1819" t="b">
        <f>TablaDatos[[#This Row],[FechaAlta]] &lt; TablaDatos[[#This Row],[FechaIngreso]]</f>
        <v>0</v>
      </c>
      <c r="M1819">
        <f>_xlfn.XLOOKUP(TablaDatos[[#This Row],[PacienteID]],'Datos_Ejemplo.csv'!A:A,'Datos_Ejemplo.csv'!I:I)</f>
        <v>24</v>
      </c>
      <c r="N1819">
        <f>ABS(TablaDatos[[#This Row],[DiasOriginal]])</f>
        <v>24</v>
      </c>
      <c r="O1819" s="1">
        <f>TablaDatos[[#This Row],[FechaIngreso]]+TablaDatos[[#This Row],[DiasNuevo]]</f>
        <v>45535</v>
      </c>
    </row>
    <row r="1820" spans="1:15">
      <c r="A1820">
        <v>1819</v>
      </c>
      <c r="B1820" t="s">
        <v>339</v>
      </c>
      <c r="C1820" s="1">
        <v>37622</v>
      </c>
      <c r="D1820">
        <f ca="1">DATEDIF(TablaDatos[[#This Row],[FechaNacimiento]],TODAY(),"Y")</f>
        <v>23</v>
      </c>
      <c r="E1820" s="4" t="s">
        <v>12</v>
      </c>
      <c r="F1820" t="s">
        <v>13</v>
      </c>
      <c r="G1820" s="1">
        <v>45014</v>
      </c>
      <c r="H1820" s="1">
        <f>TablaDatos[[#This Row],[FechaIngreso]]+TablaDatos[[#This Row],[DiasNuevo]]</f>
        <v>45016</v>
      </c>
      <c r="I1820">
        <v>2</v>
      </c>
      <c r="J1820" t="s">
        <v>23</v>
      </c>
      <c r="K1820" s="3">
        <v>11771.13</v>
      </c>
      <c r="L1820" t="b">
        <f>TablaDatos[[#This Row],[FechaAlta]] &lt; TablaDatos[[#This Row],[FechaIngreso]]</f>
        <v>0</v>
      </c>
      <c r="M1820">
        <f>_xlfn.XLOOKUP(TablaDatos[[#This Row],[PacienteID]],'Datos_Ejemplo.csv'!A:A,'Datos_Ejemplo.csv'!I:I)</f>
        <v>-2</v>
      </c>
      <c r="N1820">
        <f>ABS(TablaDatos[[#This Row],[DiasOriginal]])</f>
        <v>2</v>
      </c>
      <c r="O1820" s="1">
        <f>TablaDatos[[#This Row],[FechaIngreso]]+TablaDatos[[#This Row],[DiasNuevo]]</f>
        <v>45016</v>
      </c>
    </row>
    <row r="1821" spans="1:15">
      <c r="A1821">
        <v>1820</v>
      </c>
      <c r="B1821" t="s">
        <v>335</v>
      </c>
      <c r="C1821" s="1">
        <v>42005</v>
      </c>
      <c r="D1821">
        <v>11</v>
      </c>
      <c r="E1821" s="4" t="s">
        <v>12</v>
      </c>
      <c r="F1821" t="s">
        <v>13</v>
      </c>
      <c r="G1821" s="1">
        <v>45541</v>
      </c>
      <c r="H1821" s="1">
        <f>TablaDatos[[#This Row],[FechaIngreso]]+TablaDatos[[#This Row],[DiasNuevo]]</f>
        <v>45543</v>
      </c>
      <c r="I1821">
        <v>2</v>
      </c>
      <c r="J1821" t="s">
        <v>23</v>
      </c>
      <c r="K1821" s="3">
        <v>12410.63</v>
      </c>
      <c r="L1821" t="b">
        <f>TablaDatos[[#This Row],[FechaAlta]] &lt; TablaDatos[[#This Row],[FechaIngreso]]</f>
        <v>0</v>
      </c>
      <c r="M1821">
        <f>_xlfn.XLOOKUP(TablaDatos[[#This Row],[PacienteID]],'Datos_Ejemplo.csv'!A:A,'Datos_Ejemplo.csv'!I:I)</f>
        <v>2</v>
      </c>
      <c r="N1821">
        <f>ABS(TablaDatos[[#This Row],[DiasOriginal]])</f>
        <v>2</v>
      </c>
      <c r="O1821" s="1">
        <f>TablaDatos[[#This Row],[FechaIngreso]]+TablaDatos[[#This Row],[DiasNuevo]]</f>
        <v>45543</v>
      </c>
    </row>
    <row r="1822" spans="1:15">
      <c r="A1822">
        <v>1821</v>
      </c>
      <c r="B1822" t="s">
        <v>90</v>
      </c>
      <c r="C1822" s="1">
        <v>39813</v>
      </c>
      <c r="D1822">
        <v>17</v>
      </c>
      <c r="E1822" s="4" t="s">
        <v>12</v>
      </c>
      <c r="F1822" t="s">
        <v>295</v>
      </c>
      <c r="G1822" s="1">
        <v>45532</v>
      </c>
      <c r="H1822" s="1">
        <f>TablaDatos[[#This Row],[FechaIngreso]]+TablaDatos[[#This Row],[DiasNuevo]]</f>
        <v>45542</v>
      </c>
      <c r="I1822">
        <v>10</v>
      </c>
      <c r="J1822" t="s">
        <v>23</v>
      </c>
      <c r="K1822" s="3">
        <v>3289.5</v>
      </c>
      <c r="L1822" t="b">
        <f>TablaDatos[[#This Row],[FechaAlta]] &lt; TablaDatos[[#This Row],[FechaIngreso]]</f>
        <v>0</v>
      </c>
      <c r="M1822">
        <f>_xlfn.XLOOKUP(TablaDatos[[#This Row],[PacienteID]],'Datos_Ejemplo.csv'!A:A,'Datos_Ejemplo.csv'!I:I)</f>
        <v>10</v>
      </c>
      <c r="N1822">
        <f>ABS(TablaDatos[[#This Row],[DiasOriginal]])</f>
        <v>10</v>
      </c>
      <c r="O1822" s="1">
        <f>TablaDatos[[#This Row],[FechaIngreso]]+TablaDatos[[#This Row],[DiasNuevo]]</f>
        <v>45542</v>
      </c>
    </row>
    <row r="1823" spans="1:15">
      <c r="A1823">
        <v>1822</v>
      </c>
      <c r="B1823" t="s">
        <v>332</v>
      </c>
      <c r="C1823" s="1">
        <v>40909</v>
      </c>
      <c r="D1823">
        <v>14</v>
      </c>
      <c r="E1823" s="4" t="s">
        <v>15</v>
      </c>
      <c r="F1823" t="s">
        <v>261</v>
      </c>
      <c r="G1823" s="1">
        <v>45179</v>
      </c>
      <c r="H1823" s="1">
        <f>TablaDatos[[#This Row],[FechaIngreso]]+TablaDatos[[#This Row],[DiasNuevo]]</f>
        <v>45179</v>
      </c>
      <c r="I1823">
        <v>0</v>
      </c>
      <c r="J1823" t="s">
        <v>25</v>
      </c>
      <c r="K1823" s="3">
        <v>5472.59</v>
      </c>
      <c r="L1823" t="b">
        <f>TablaDatos[[#This Row],[FechaAlta]] &lt; TablaDatos[[#This Row],[FechaIngreso]]</f>
        <v>0</v>
      </c>
      <c r="M1823">
        <f>_xlfn.XLOOKUP(TablaDatos[[#This Row],[PacienteID]],'Datos_Ejemplo.csv'!A:A,'Datos_Ejemplo.csv'!I:I)</f>
        <v>0</v>
      </c>
      <c r="N1823">
        <f>ABS(TablaDatos[[#This Row],[DiasOriginal]])</f>
        <v>0</v>
      </c>
      <c r="O1823" s="1">
        <f>TablaDatos[[#This Row],[FechaIngreso]]+TablaDatos[[#This Row],[DiasNuevo]]</f>
        <v>45179</v>
      </c>
    </row>
    <row r="1824" spans="1:15">
      <c r="A1824">
        <v>1823</v>
      </c>
      <c r="B1824" t="s">
        <v>270</v>
      </c>
      <c r="C1824" s="1">
        <v>17168</v>
      </c>
      <c r="D1824">
        <v>79</v>
      </c>
      <c r="E1824" s="4" t="s">
        <v>15</v>
      </c>
      <c r="F1824" t="s">
        <v>295</v>
      </c>
      <c r="G1824" s="1">
        <v>45284</v>
      </c>
      <c r="H1824" s="1">
        <f>TablaDatos[[#This Row],[FechaIngreso]]+TablaDatos[[#This Row],[DiasNuevo]]</f>
        <v>45298</v>
      </c>
      <c r="I1824">
        <v>14</v>
      </c>
      <c r="J1824" t="s">
        <v>23</v>
      </c>
      <c r="K1824" s="3">
        <v>5661.83</v>
      </c>
      <c r="L1824" t="b">
        <f>TablaDatos[[#This Row],[FechaAlta]] &lt; TablaDatos[[#This Row],[FechaIngreso]]</f>
        <v>0</v>
      </c>
      <c r="M1824">
        <f>_xlfn.XLOOKUP(TablaDatos[[#This Row],[PacienteID]],'Datos_Ejemplo.csv'!A:A,'Datos_Ejemplo.csv'!I:I)</f>
        <v>14</v>
      </c>
      <c r="N1824">
        <f>ABS(TablaDatos[[#This Row],[DiasOriginal]])</f>
        <v>14</v>
      </c>
      <c r="O1824" s="1">
        <f>TablaDatos[[#This Row],[FechaIngreso]]+TablaDatos[[#This Row],[DiasNuevo]]</f>
        <v>45298</v>
      </c>
    </row>
    <row r="1825" spans="1:15">
      <c r="A1825">
        <v>1824</v>
      </c>
      <c r="B1825" t="s">
        <v>299</v>
      </c>
      <c r="C1825" s="1">
        <v>36526</v>
      </c>
      <c r="D1825">
        <v>26</v>
      </c>
      <c r="E1825" s="4" t="s">
        <v>15</v>
      </c>
      <c r="F1825" t="s">
        <v>32</v>
      </c>
      <c r="G1825" s="1">
        <v>44984</v>
      </c>
      <c r="H1825" s="1">
        <f>TablaDatos[[#This Row],[FechaIngreso]]+TablaDatos[[#This Row],[DiasNuevo]]</f>
        <v>45000</v>
      </c>
      <c r="I1825">
        <v>16</v>
      </c>
      <c r="J1825" t="s">
        <v>25</v>
      </c>
      <c r="K1825" s="3">
        <v>11999.12</v>
      </c>
      <c r="L1825" t="b">
        <f>TablaDatos[[#This Row],[FechaAlta]] &lt; TablaDatos[[#This Row],[FechaIngreso]]</f>
        <v>0</v>
      </c>
      <c r="M1825">
        <f>_xlfn.XLOOKUP(TablaDatos[[#This Row],[PacienteID]],'Datos_Ejemplo.csv'!A:A,'Datos_Ejemplo.csv'!I:I)</f>
        <v>16</v>
      </c>
      <c r="N1825">
        <f>ABS(TablaDatos[[#This Row],[DiasOriginal]])</f>
        <v>16</v>
      </c>
      <c r="O1825" s="1">
        <f>TablaDatos[[#This Row],[FechaIngreso]]+TablaDatos[[#This Row],[DiasNuevo]]</f>
        <v>45000</v>
      </c>
    </row>
    <row r="1826" spans="1:15">
      <c r="A1826">
        <v>1825</v>
      </c>
      <c r="B1826" t="s">
        <v>277</v>
      </c>
      <c r="C1826" s="1">
        <v>20090</v>
      </c>
      <c r="D1826">
        <v>71</v>
      </c>
      <c r="E1826" s="4" t="s">
        <v>12</v>
      </c>
      <c r="F1826" t="s">
        <v>21</v>
      </c>
      <c r="G1826" s="1">
        <v>45325</v>
      </c>
      <c r="H1826" s="1">
        <f>TablaDatos[[#This Row],[FechaIngreso]]+TablaDatos[[#This Row],[DiasNuevo]]</f>
        <v>45359</v>
      </c>
      <c r="I1826">
        <v>34</v>
      </c>
      <c r="J1826" t="s">
        <v>23</v>
      </c>
      <c r="K1826" s="3">
        <v>19448.189999999999</v>
      </c>
      <c r="L1826" t="b">
        <f>TablaDatos[[#This Row],[FechaAlta]] &lt; TablaDatos[[#This Row],[FechaIngreso]]</f>
        <v>0</v>
      </c>
      <c r="M1826">
        <f>_xlfn.XLOOKUP(TablaDatos[[#This Row],[PacienteID]],'Datos_Ejemplo.csv'!A:A,'Datos_Ejemplo.csv'!I:I)</f>
        <v>34</v>
      </c>
      <c r="N1826">
        <f>ABS(TablaDatos[[#This Row],[DiasOriginal]])</f>
        <v>34</v>
      </c>
      <c r="O1826" s="1">
        <f>TablaDatos[[#This Row],[FechaIngreso]]+TablaDatos[[#This Row],[DiasNuevo]]</f>
        <v>45359</v>
      </c>
    </row>
    <row r="1827" spans="1:15">
      <c r="A1827">
        <v>1826</v>
      </c>
      <c r="B1827" t="s">
        <v>55</v>
      </c>
      <c r="C1827" s="1">
        <v>24473</v>
      </c>
      <c r="D1827">
        <v>59</v>
      </c>
      <c r="E1827" s="4" t="s">
        <v>12</v>
      </c>
      <c r="F1827" t="s">
        <v>21</v>
      </c>
      <c r="G1827" s="1">
        <v>45447</v>
      </c>
      <c r="H1827" s="1">
        <f>TablaDatos[[#This Row],[FechaIngreso]]+TablaDatos[[#This Row],[DiasNuevo]]</f>
        <v>45449</v>
      </c>
      <c r="I1827">
        <v>2</v>
      </c>
      <c r="J1827" t="s">
        <v>23</v>
      </c>
      <c r="K1827" s="3">
        <v>19076.759999999998</v>
      </c>
      <c r="L1827" t="b">
        <f>TablaDatos[[#This Row],[FechaAlta]] &lt; TablaDatos[[#This Row],[FechaIngreso]]</f>
        <v>0</v>
      </c>
      <c r="M1827">
        <f>_xlfn.XLOOKUP(TablaDatos[[#This Row],[PacienteID]],'Datos_Ejemplo.csv'!A:A,'Datos_Ejemplo.csv'!I:I)</f>
        <v>2</v>
      </c>
      <c r="N1827">
        <f>ABS(TablaDatos[[#This Row],[DiasOriginal]])</f>
        <v>2</v>
      </c>
      <c r="O1827" s="1">
        <f>TablaDatos[[#This Row],[FechaIngreso]]+TablaDatos[[#This Row],[DiasNuevo]]</f>
        <v>45449</v>
      </c>
    </row>
    <row r="1828" spans="1:15">
      <c r="A1828">
        <v>1827</v>
      </c>
      <c r="B1828" t="s">
        <v>114</v>
      </c>
      <c r="C1828" s="1">
        <v>29586</v>
      </c>
      <c r="D1828">
        <v>45</v>
      </c>
      <c r="E1828" s="4" t="s">
        <v>15</v>
      </c>
      <c r="F1828" t="s">
        <v>201</v>
      </c>
      <c r="G1828" s="1">
        <v>45451</v>
      </c>
      <c r="H1828" s="1">
        <f>TablaDatos[[#This Row],[FechaIngreso]]+TablaDatos[[#This Row],[DiasNuevo]]</f>
        <v>45490</v>
      </c>
      <c r="I1828">
        <v>39</v>
      </c>
      <c r="J1828" t="s">
        <v>19</v>
      </c>
      <c r="K1828" s="3">
        <v>4466.51</v>
      </c>
      <c r="L1828" t="b">
        <f>TablaDatos[[#This Row],[FechaAlta]] &lt; TablaDatos[[#This Row],[FechaIngreso]]</f>
        <v>0</v>
      </c>
      <c r="M1828">
        <f>_xlfn.XLOOKUP(TablaDatos[[#This Row],[PacienteID]],'Datos_Ejemplo.csv'!A:A,'Datos_Ejemplo.csv'!I:I)</f>
        <v>39</v>
      </c>
      <c r="N1828">
        <f>ABS(TablaDatos[[#This Row],[DiasOriginal]])</f>
        <v>39</v>
      </c>
      <c r="O1828" s="1">
        <f>TablaDatos[[#This Row],[FechaIngreso]]+TablaDatos[[#This Row],[DiasNuevo]]</f>
        <v>45490</v>
      </c>
    </row>
    <row r="1829" spans="1:15">
      <c r="A1829">
        <v>1828</v>
      </c>
      <c r="B1829" t="s">
        <v>363</v>
      </c>
      <c r="C1829" s="1">
        <v>13880</v>
      </c>
      <c r="D1829">
        <v>88</v>
      </c>
      <c r="E1829" s="4" t="s">
        <v>12</v>
      </c>
      <c r="F1829" t="s">
        <v>21</v>
      </c>
      <c r="G1829" s="1">
        <v>45343</v>
      </c>
      <c r="H1829" s="1">
        <f>TablaDatos[[#This Row],[FechaIngreso]]+TablaDatos[[#This Row],[DiasNuevo]]</f>
        <v>45364</v>
      </c>
      <c r="I1829">
        <v>21</v>
      </c>
      <c r="J1829" t="s">
        <v>25</v>
      </c>
      <c r="K1829" s="3">
        <v>6027.39</v>
      </c>
      <c r="L1829" t="b">
        <f>TablaDatos[[#This Row],[FechaAlta]] &lt; TablaDatos[[#This Row],[FechaIngreso]]</f>
        <v>0</v>
      </c>
      <c r="M1829">
        <f>_xlfn.XLOOKUP(TablaDatos[[#This Row],[PacienteID]],'Datos_Ejemplo.csv'!A:A,'Datos_Ejemplo.csv'!I:I)</f>
        <v>21</v>
      </c>
      <c r="N1829">
        <f>ABS(TablaDatos[[#This Row],[DiasOriginal]])</f>
        <v>21</v>
      </c>
      <c r="O1829" s="1">
        <f>TablaDatos[[#This Row],[FechaIngreso]]+TablaDatos[[#This Row],[DiasNuevo]]</f>
        <v>45364</v>
      </c>
    </row>
    <row r="1830" spans="1:15">
      <c r="A1830">
        <v>1829</v>
      </c>
      <c r="B1830" t="s">
        <v>270</v>
      </c>
      <c r="C1830" s="1">
        <v>40178</v>
      </c>
      <c r="D1830">
        <v>16</v>
      </c>
      <c r="E1830" s="4" t="s">
        <v>12</v>
      </c>
      <c r="F1830" t="s">
        <v>201</v>
      </c>
      <c r="G1830" s="1">
        <v>45319</v>
      </c>
      <c r="H1830" s="1">
        <f>TablaDatos[[#This Row],[FechaIngreso]]+TablaDatos[[#This Row],[DiasNuevo]]</f>
        <v>45349</v>
      </c>
      <c r="I1830">
        <v>30</v>
      </c>
      <c r="J1830" t="s">
        <v>23</v>
      </c>
      <c r="K1830" s="3">
        <v>624.84</v>
      </c>
      <c r="L1830" t="b">
        <f>TablaDatos[[#This Row],[FechaAlta]] &lt; TablaDatos[[#This Row],[FechaIngreso]]</f>
        <v>0</v>
      </c>
      <c r="M1830">
        <f>_xlfn.XLOOKUP(TablaDatos[[#This Row],[PacienteID]],'Datos_Ejemplo.csv'!A:A,'Datos_Ejemplo.csv'!I:I)</f>
        <v>30</v>
      </c>
      <c r="N1830">
        <f>ABS(TablaDatos[[#This Row],[DiasOriginal]])</f>
        <v>30</v>
      </c>
      <c r="O1830" s="1">
        <f>TablaDatos[[#This Row],[FechaIngreso]]+TablaDatos[[#This Row],[DiasNuevo]]</f>
        <v>45349</v>
      </c>
    </row>
    <row r="1831" spans="1:15">
      <c r="A1831">
        <v>1830</v>
      </c>
      <c r="B1831" t="s">
        <v>294</v>
      </c>
      <c r="C1831" s="1">
        <v>12419</v>
      </c>
      <c r="D1831">
        <v>92</v>
      </c>
      <c r="E1831" s="4" t="s">
        <v>197</v>
      </c>
      <c r="F1831" t="s">
        <v>18</v>
      </c>
      <c r="G1831" s="1">
        <v>45569</v>
      </c>
      <c r="H1831" s="1">
        <f>TablaDatos[[#This Row],[FechaIngreso]]+TablaDatos[[#This Row],[DiasNuevo]]</f>
        <v>45587</v>
      </c>
      <c r="I1831">
        <v>18</v>
      </c>
      <c r="J1831" t="s">
        <v>25</v>
      </c>
      <c r="K1831" s="3">
        <v>7916.19</v>
      </c>
      <c r="L1831" t="b">
        <f>TablaDatos[[#This Row],[FechaAlta]] &lt; TablaDatos[[#This Row],[FechaIngreso]]</f>
        <v>0</v>
      </c>
      <c r="M1831">
        <f>_xlfn.XLOOKUP(TablaDatos[[#This Row],[PacienteID]],'Datos_Ejemplo.csv'!A:A,'Datos_Ejemplo.csv'!I:I)</f>
        <v>18</v>
      </c>
      <c r="N1831">
        <f>ABS(TablaDatos[[#This Row],[DiasOriginal]])</f>
        <v>18</v>
      </c>
      <c r="O1831" s="1">
        <f>TablaDatos[[#This Row],[FechaIngreso]]+TablaDatos[[#This Row],[DiasNuevo]]</f>
        <v>45587</v>
      </c>
    </row>
    <row r="1832" spans="1:15">
      <c r="A1832">
        <v>1831</v>
      </c>
      <c r="B1832" t="s">
        <v>347</v>
      </c>
      <c r="C1832" s="1">
        <v>27029</v>
      </c>
      <c r="D1832">
        <v>52</v>
      </c>
      <c r="E1832" s="4" t="s">
        <v>12</v>
      </c>
      <c r="F1832" t="s">
        <v>295</v>
      </c>
      <c r="G1832" s="1">
        <v>45148</v>
      </c>
      <c r="H1832" s="1">
        <f>TablaDatos[[#This Row],[FechaIngreso]]+TablaDatos[[#This Row],[DiasNuevo]]</f>
        <v>45148</v>
      </c>
      <c r="I1832">
        <v>0</v>
      </c>
      <c r="J1832" t="s">
        <v>19</v>
      </c>
      <c r="K1832" s="3">
        <v>16676.95</v>
      </c>
      <c r="L1832" t="b">
        <f>TablaDatos[[#This Row],[FechaAlta]] &lt; TablaDatos[[#This Row],[FechaIngreso]]</f>
        <v>0</v>
      </c>
      <c r="M1832">
        <f>_xlfn.XLOOKUP(TablaDatos[[#This Row],[PacienteID]],'Datos_Ejemplo.csv'!A:A,'Datos_Ejemplo.csv'!I:I)</f>
        <v>0</v>
      </c>
      <c r="N1832">
        <f>ABS(TablaDatos[[#This Row],[DiasOriginal]])</f>
        <v>0</v>
      </c>
      <c r="O1832" s="1">
        <f>TablaDatos[[#This Row],[FechaIngreso]]+TablaDatos[[#This Row],[DiasNuevo]]</f>
        <v>45148</v>
      </c>
    </row>
    <row r="1833" spans="1:15">
      <c r="A1833">
        <v>1832</v>
      </c>
      <c r="B1833" t="s">
        <v>269</v>
      </c>
      <c r="C1833" s="1">
        <v>43466</v>
      </c>
      <c r="D1833">
        <f ca="1">DATEDIF(TablaDatos[[#This Row],[FechaNacimiento]],TODAY(),"Y")</f>
        <v>7</v>
      </c>
      <c r="E1833" s="4" t="s">
        <v>197</v>
      </c>
      <c r="F1833" t="s">
        <v>32</v>
      </c>
      <c r="G1833" s="1">
        <v>45255</v>
      </c>
      <c r="H1833" s="1">
        <f>TablaDatos[[#This Row],[FechaIngreso]]+TablaDatos[[#This Row],[DiasNuevo]]</f>
        <v>45256</v>
      </c>
      <c r="I1833">
        <v>1</v>
      </c>
      <c r="J1833" t="s">
        <v>23</v>
      </c>
      <c r="K1833" s="3">
        <v>18306.61</v>
      </c>
      <c r="L1833" t="b">
        <f>TablaDatos[[#This Row],[FechaAlta]] &lt; TablaDatos[[#This Row],[FechaIngreso]]</f>
        <v>0</v>
      </c>
      <c r="M1833">
        <f>_xlfn.XLOOKUP(TablaDatos[[#This Row],[PacienteID]],'Datos_Ejemplo.csv'!A:A,'Datos_Ejemplo.csv'!I:I)</f>
        <v>1</v>
      </c>
      <c r="N1833">
        <f>ABS(TablaDatos[[#This Row],[DiasOriginal]])</f>
        <v>1</v>
      </c>
      <c r="O1833" s="1">
        <f>TablaDatos[[#This Row],[FechaIngreso]]+TablaDatos[[#This Row],[DiasNuevo]]</f>
        <v>45256</v>
      </c>
    </row>
    <row r="1834" spans="1:15">
      <c r="A1834">
        <v>1833</v>
      </c>
      <c r="B1834" t="s">
        <v>277</v>
      </c>
      <c r="C1834" s="1">
        <v>17533</v>
      </c>
      <c r="D1834">
        <v>78</v>
      </c>
      <c r="E1834" s="4" t="s">
        <v>15</v>
      </c>
      <c r="F1834" t="s">
        <v>32</v>
      </c>
      <c r="G1834" s="1">
        <v>45298</v>
      </c>
      <c r="H1834" s="1">
        <f>TablaDatos[[#This Row],[FechaIngreso]]+TablaDatos[[#This Row],[DiasNuevo]]</f>
        <v>45327</v>
      </c>
      <c r="I1834">
        <v>29</v>
      </c>
      <c r="J1834" t="s">
        <v>19</v>
      </c>
      <c r="K1834" s="3">
        <v>4653.58</v>
      </c>
      <c r="L1834" t="b">
        <f>TablaDatos[[#This Row],[FechaAlta]] &lt; TablaDatos[[#This Row],[FechaIngreso]]</f>
        <v>0</v>
      </c>
      <c r="M1834">
        <f>_xlfn.XLOOKUP(TablaDatos[[#This Row],[PacienteID]],'Datos_Ejemplo.csv'!A:A,'Datos_Ejemplo.csv'!I:I)</f>
        <v>29</v>
      </c>
      <c r="N1834">
        <f>ABS(TablaDatos[[#This Row],[DiasOriginal]])</f>
        <v>29</v>
      </c>
      <c r="O1834" s="1">
        <f>TablaDatos[[#This Row],[FechaIngreso]]+TablaDatos[[#This Row],[DiasNuevo]]</f>
        <v>45327</v>
      </c>
    </row>
    <row r="1835" spans="1:15">
      <c r="A1835">
        <v>1834</v>
      </c>
      <c r="B1835" t="s">
        <v>341</v>
      </c>
      <c r="C1835" s="1">
        <v>36526</v>
      </c>
      <c r="D1835">
        <v>26</v>
      </c>
      <c r="E1835" s="4" t="s">
        <v>12</v>
      </c>
      <c r="F1835" t="s">
        <v>21</v>
      </c>
      <c r="G1835" s="1">
        <v>45437</v>
      </c>
      <c r="H1835" s="1">
        <f>TablaDatos[[#This Row],[FechaIngreso]]+TablaDatos[[#This Row],[DiasNuevo]]</f>
        <v>45458</v>
      </c>
      <c r="I1835">
        <v>21</v>
      </c>
      <c r="J1835" t="s">
        <v>23</v>
      </c>
      <c r="K1835" s="3">
        <v>5242.47</v>
      </c>
      <c r="L1835" t="b">
        <f>TablaDatos[[#This Row],[FechaAlta]] &lt; TablaDatos[[#This Row],[FechaIngreso]]</f>
        <v>0</v>
      </c>
      <c r="M1835">
        <f>_xlfn.XLOOKUP(TablaDatos[[#This Row],[PacienteID]],'Datos_Ejemplo.csv'!A:A,'Datos_Ejemplo.csv'!I:I)</f>
        <v>21</v>
      </c>
      <c r="N1835">
        <f>ABS(TablaDatos[[#This Row],[DiasOriginal]])</f>
        <v>21</v>
      </c>
      <c r="O1835" s="1">
        <f>TablaDatos[[#This Row],[FechaIngreso]]+TablaDatos[[#This Row],[DiasNuevo]]</f>
        <v>45458</v>
      </c>
    </row>
    <row r="1836" spans="1:15">
      <c r="A1836">
        <v>1835</v>
      </c>
      <c r="B1836" t="s">
        <v>302</v>
      </c>
      <c r="C1836" s="1">
        <v>29586</v>
      </c>
      <c r="D1836">
        <v>45</v>
      </c>
      <c r="E1836" s="4" t="s">
        <v>12</v>
      </c>
      <c r="F1836" t="s">
        <v>261</v>
      </c>
      <c r="G1836" s="1">
        <v>45079</v>
      </c>
      <c r="H1836" s="1">
        <f>TablaDatos[[#This Row],[FechaIngreso]]+TablaDatos[[#This Row],[DiasNuevo]]</f>
        <v>45111</v>
      </c>
      <c r="I1836">
        <v>32</v>
      </c>
      <c r="J1836" t="s">
        <v>19</v>
      </c>
      <c r="K1836" s="3">
        <v>4339.08</v>
      </c>
      <c r="L1836" t="b">
        <f>TablaDatos[[#This Row],[FechaAlta]] &lt; TablaDatos[[#This Row],[FechaIngreso]]</f>
        <v>0</v>
      </c>
      <c r="M1836">
        <f>_xlfn.XLOOKUP(TablaDatos[[#This Row],[PacienteID]],'Datos_Ejemplo.csv'!A:A,'Datos_Ejemplo.csv'!I:I)</f>
        <v>32</v>
      </c>
      <c r="N1836">
        <f>ABS(TablaDatos[[#This Row],[DiasOriginal]])</f>
        <v>32</v>
      </c>
      <c r="O1836" s="1">
        <f>TablaDatos[[#This Row],[FechaIngreso]]+TablaDatos[[#This Row],[DiasNuevo]]</f>
        <v>45111</v>
      </c>
    </row>
    <row r="1837" spans="1:15">
      <c r="A1837">
        <v>1836</v>
      </c>
      <c r="B1837" t="s">
        <v>327</v>
      </c>
      <c r="C1837" s="1">
        <v>28125</v>
      </c>
      <c r="D1837">
        <v>49</v>
      </c>
      <c r="E1837" s="4" t="s">
        <v>15</v>
      </c>
      <c r="F1837" t="s">
        <v>18</v>
      </c>
      <c r="G1837" s="1">
        <v>45406</v>
      </c>
      <c r="H1837" s="1">
        <f>TablaDatos[[#This Row],[FechaIngreso]]+TablaDatos[[#This Row],[DiasNuevo]]</f>
        <v>45421</v>
      </c>
      <c r="I1837">
        <v>15</v>
      </c>
      <c r="J1837" t="s">
        <v>19</v>
      </c>
      <c r="K1837" s="3">
        <v>6937.08</v>
      </c>
      <c r="L1837" t="b">
        <f>TablaDatos[[#This Row],[FechaAlta]] &lt; TablaDatos[[#This Row],[FechaIngreso]]</f>
        <v>0</v>
      </c>
      <c r="M1837">
        <f>_xlfn.XLOOKUP(TablaDatos[[#This Row],[PacienteID]],'Datos_Ejemplo.csv'!A:A,'Datos_Ejemplo.csv'!I:I)</f>
        <v>15</v>
      </c>
      <c r="N1837">
        <f>ABS(TablaDatos[[#This Row],[DiasOriginal]])</f>
        <v>15</v>
      </c>
      <c r="O1837" s="1">
        <f>TablaDatos[[#This Row],[FechaIngreso]]+TablaDatos[[#This Row],[DiasNuevo]]</f>
        <v>45421</v>
      </c>
    </row>
    <row r="1838" spans="1:15">
      <c r="A1838">
        <v>1837</v>
      </c>
      <c r="B1838" t="s">
        <v>302</v>
      </c>
      <c r="C1838" s="1">
        <v>20455</v>
      </c>
      <c r="D1838">
        <v>70</v>
      </c>
      <c r="E1838" s="4" t="s">
        <v>15</v>
      </c>
      <c r="F1838" t="s">
        <v>201</v>
      </c>
      <c r="G1838" s="1">
        <v>45509</v>
      </c>
      <c r="H1838" s="1">
        <f>TablaDatos[[#This Row],[FechaIngreso]]+TablaDatos[[#This Row],[DiasNuevo]]</f>
        <v>45509</v>
      </c>
      <c r="I1838">
        <v>0</v>
      </c>
      <c r="J1838" t="s">
        <v>23</v>
      </c>
      <c r="K1838" s="3">
        <v>16075.66</v>
      </c>
      <c r="L1838" t="b">
        <f>TablaDatos[[#This Row],[FechaAlta]] &lt; TablaDatos[[#This Row],[FechaIngreso]]</f>
        <v>0</v>
      </c>
      <c r="M1838">
        <f>_xlfn.XLOOKUP(TablaDatos[[#This Row],[PacienteID]],'Datos_Ejemplo.csv'!A:A,'Datos_Ejemplo.csv'!I:I)</f>
        <v>0</v>
      </c>
      <c r="N1838">
        <f>ABS(TablaDatos[[#This Row],[DiasOriginal]])</f>
        <v>0</v>
      </c>
      <c r="O1838" s="1">
        <f>TablaDatos[[#This Row],[FechaIngreso]]+TablaDatos[[#This Row],[DiasNuevo]]</f>
        <v>45509</v>
      </c>
    </row>
    <row r="1839" spans="1:15">
      <c r="A1839">
        <v>1838</v>
      </c>
      <c r="B1839" t="s">
        <v>285</v>
      </c>
      <c r="C1839" s="1">
        <v>45292</v>
      </c>
      <c r="D1839">
        <v>2</v>
      </c>
      <c r="E1839" s="4" t="s">
        <v>197</v>
      </c>
      <c r="F1839" t="s">
        <v>18</v>
      </c>
      <c r="G1839" s="1">
        <v>44946</v>
      </c>
      <c r="H1839" s="1">
        <f>TablaDatos[[#This Row],[FechaIngreso]]+TablaDatos[[#This Row],[DiasNuevo]]</f>
        <v>44982</v>
      </c>
      <c r="I1839">
        <v>36</v>
      </c>
      <c r="J1839" t="s">
        <v>23</v>
      </c>
      <c r="K1839" s="3">
        <v>12901.84</v>
      </c>
      <c r="L1839" t="b">
        <f>TablaDatos[[#This Row],[FechaAlta]] &lt; TablaDatos[[#This Row],[FechaIngreso]]</f>
        <v>0</v>
      </c>
      <c r="M1839">
        <f>_xlfn.XLOOKUP(TablaDatos[[#This Row],[PacienteID]],'Datos_Ejemplo.csv'!A:A,'Datos_Ejemplo.csv'!I:I)</f>
        <v>36</v>
      </c>
      <c r="N1839">
        <f>ABS(TablaDatos[[#This Row],[DiasOriginal]])</f>
        <v>36</v>
      </c>
      <c r="O1839" s="1">
        <f>TablaDatos[[#This Row],[FechaIngreso]]+TablaDatos[[#This Row],[DiasNuevo]]</f>
        <v>44982</v>
      </c>
    </row>
    <row r="1840" spans="1:15">
      <c r="A1840">
        <v>1839</v>
      </c>
      <c r="B1840" t="s">
        <v>161</v>
      </c>
      <c r="C1840" s="1">
        <v>12419</v>
      </c>
      <c r="D1840">
        <v>92</v>
      </c>
      <c r="E1840" s="4" t="s">
        <v>15</v>
      </c>
      <c r="F1840" t="s">
        <v>21</v>
      </c>
      <c r="G1840" s="1">
        <v>45519</v>
      </c>
      <c r="H1840" s="1">
        <f>TablaDatos[[#This Row],[FechaIngreso]]+TablaDatos[[#This Row],[DiasNuevo]]</f>
        <v>45542</v>
      </c>
      <c r="I1840">
        <v>23</v>
      </c>
      <c r="J1840" t="s">
        <v>23</v>
      </c>
      <c r="K1840" s="3">
        <v>15697.41</v>
      </c>
      <c r="L1840" t="b">
        <f>TablaDatos[[#This Row],[FechaAlta]] &lt; TablaDatos[[#This Row],[FechaIngreso]]</f>
        <v>0</v>
      </c>
      <c r="M1840">
        <f>_xlfn.XLOOKUP(TablaDatos[[#This Row],[PacienteID]],'Datos_Ejemplo.csv'!A:A,'Datos_Ejemplo.csv'!I:I)</f>
        <v>23</v>
      </c>
      <c r="N1840">
        <f>ABS(TablaDatos[[#This Row],[DiasOriginal]])</f>
        <v>23</v>
      </c>
      <c r="O1840" s="1">
        <f>TablaDatos[[#This Row],[FechaIngreso]]+TablaDatos[[#This Row],[DiasNuevo]]</f>
        <v>45542</v>
      </c>
    </row>
    <row r="1841" spans="1:15">
      <c r="A1841">
        <v>1840</v>
      </c>
      <c r="B1841" t="s">
        <v>39</v>
      </c>
      <c r="C1841" s="1">
        <v>23012</v>
      </c>
      <c r="D1841">
        <v>63</v>
      </c>
      <c r="E1841" s="4" t="s">
        <v>12</v>
      </c>
      <c r="F1841" t="s">
        <v>201</v>
      </c>
      <c r="G1841" s="1">
        <v>45154</v>
      </c>
      <c r="H1841" s="1">
        <f>TablaDatos[[#This Row],[FechaIngreso]]+TablaDatos[[#This Row],[DiasNuevo]]</f>
        <v>45175</v>
      </c>
      <c r="I1841">
        <v>21</v>
      </c>
      <c r="J1841" t="s">
        <v>23</v>
      </c>
      <c r="K1841" s="3">
        <v>11618.93</v>
      </c>
      <c r="L1841" t="b">
        <f>TablaDatos[[#This Row],[FechaAlta]] &lt; TablaDatos[[#This Row],[FechaIngreso]]</f>
        <v>0</v>
      </c>
      <c r="M1841">
        <f>_xlfn.XLOOKUP(TablaDatos[[#This Row],[PacienteID]],'Datos_Ejemplo.csv'!A:A,'Datos_Ejemplo.csv'!I:I)</f>
        <v>21</v>
      </c>
      <c r="N1841">
        <f>ABS(TablaDatos[[#This Row],[DiasOriginal]])</f>
        <v>21</v>
      </c>
      <c r="O1841" s="1">
        <f>TablaDatos[[#This Row],[FechaIngreso]]+TablaDatos[[#This Row],[DiasNuevo]]</f>
        <v>45175</v>
      </c>
    </row>
    <row r="1842" spans="1:15">
      <c r="A1842">
        <v>1841</v>
      </c>
      <c r="B1842" t="s">
        <v>122</v>
      </c>
      <c r="C1842" s="1">
        <v>30317</v>
      </c>
      <c r="D1842">
        <v>43</v>
      </c>
      <c r="E1842" s="4" t="s">
        <v>15</v>
      </c>
      <c r="F1842" t="s">
        <v>201</v>
      </c>
      <c r="G1842" s="1">
        <v>45272</v>
      </c>
      <c r="H1842" s="1">
        <f>TablaDatos[[#This Row],[FechaIngreso]]+TablaDatos[[#This Row],[DiasNuevo]]</f>
        <v>45274</v>
      </c>
      <c r="I1842">
        <v>2</v>
      </c>
      <c r="J1842" t="s">
        <v>25</v>
      </c>
      <c r="K1842" s="3">
        <v>5080.43</v>
      </c>
      <c r="L1842" t="b">
        <f>TablaDatos[[#This Row],[FechaAlta]] &lt; TablaDatos[[#This Row],[FechaIngreso]]</f>
        <v>0</v>
      </c>
      <c r="M1842">
        <f>_xlfn.XLOOKUP(TablaDatos[[#This Row],[PacienteID]],'Datos_Ejemplo.csv'!A:A,'Datos_Ejemplo.csv'!I:I)</f>
        <v>-2</v>
      </c>
      <c r="N1842">
        <f>ABS(TablaDatos[[#This Row],[DiasOriginal]])</f>
        <v>2</v>
      </c>
      <c r="O1842" s="1">
        <f>TablaDatos[[#This Row],[FechaIngreso]]+TablaDatos[[#This Row],[DiasNuevo]]</f>
        <v>45274</v>
      </c>
    </row>
    <row r="1843" spans="1:15">
      <c r="A1843">
        <v>1842</v>
      </c>
      <c r="B1843" t="s">
        <v>285</v>
      </c>
      <c r="C1843" s="1">
        <v>27029</v>
      </c>
      <c r="D1843">
        <v>52</v>
      </c>
      <c r="E1843" s="4" t="s">
        <v>15</v>
      </c>
      <c r="F1843" t="s">
        <v>21</v>
      </c>
      <c r="G1843" s="1">
        <v>44945</v>
      </c>
      <c r="H1843" s="1">
        <f>TablaDatos[[#This Row],[FechaIngreso]]+TablaDatos[[#This Row],[DiasNuevo]]</f>
        <v>44976</v>
      </c>
      <c r="I1843">
        <v>31</v>
      </c>
      <c r="J1843" t="s">
        <v>23</v>
      </c>
      <c r="K1843" s="3">
        <v>4482.68</v>
      </c>
      <c r="L1843" t="b">
        <f>TablaDatos[[#This Row],[FechaAlta]] &lt; TablaDatos[[#This Row],[FechaIngreso]]</f>
        <v>0</v>
      </c>
      <c r="M1843">
        <f>_xlfn.XLOOKUP(TablaDatos[[#This Row],[PacienteID]],'Datos_Ejemplo.csv'!A:A,'Datos_Ejemplo.csv'!I:I)</f>
        <v>31</v>
      </c>
      <c r="N1843">
        <f>ABS(TablaDatos[[#This Row],[DiasOriginal]])</f>
        <v>31</v>
      </c>
      <c r="O1843" s="1">
        <f>TablaDatos[[#This Row],[FechaIngreso]]+TablaDatos[[#This Row],[DiasNuevo]]</f>
        <v>44976</v>
      </c>
    </row>
    <row r="1844" spans="1:15">
      <c r="A1844">
        <v>1843</v>
      </c>
      <c r="B1844" t="s">
        <v>291</v>
      </c>
      <c r="C1844" s="1">
        <v>37622</v>
      </c>
      <c r="D1844">
        <f ca="1">DATEDIF(TablaDatos[[#This Row],[FechaNacimiento]],TODAY(),"Y")</f>
        <v>23</v>
      </c>
      <c r="E1844" s="4" t="s">
        <v>15</v>
      </c>
      <c r="F1844" t="s">
        <v>295</v>
      </c>
      <c r="G1844" s="1">
        <v>45370</v>
      </c>
      <c r="H1844" s="1">
        <f>TablaDatos[[#This Row],[FechaIngreso]]+TablaDatos[[#This Row],[DiasNuevo]]</f>
        <v>45379</v>
      </c>
      <c r="I1844">
        <v>9</v>
      </c>
      <c r="J1844" t="s">
        <v>25</v>
      </c>
      <c r="K1844" s="3">
        <v>80.91</v>
      </c>
      <c r="L1844" t="b">
        <f>TablaDatos[[#This Row],[FechaAlta]] &lt; TablaDatos[[#This Row],[FechaIngreso]]</f>
        <v>0</v>
      </c>
      <c r="M1844">
        <f>_xlfn.XLOOKUP(TablaDatos[[#This Row],[PacienteID]],'Datos_Ejemplo.csv'!A:A,'Datos_Ejemplo.csv'!I:I)</f>
        <v>9</v>
      </c>
      <c r="N1844">
        <f>ABS(TablaDatos[[#This Row],[DiasOriginal]])</f>
        <v>9</v>
      </c>
      <c r="O1844" s="1">
        <f>TablaDatos[[#This Row],[FechaIngreso]]+TablaDatos[[#This Row],[DiasNuevo]]</f>
        <v>45379</v>
      </c>
    </row>
    <row r="1845" spans="1:15">
      <c r="A1845">
        <v>1844</v>
      </c>
      <c r="B1845" t="s">
        <v>238</v>
      </c>
      <c r="C1845" s="1">
        <v>24473</v>
      </c>
      <c r="D1845">
        <v>59</v>
      </c>
      <c r="E1845" s="4" t="s">
        <v>15</v>
      </c>
      <c r="F1845" t="s">
        <v>261</v>
      </c>
      <c r="G1845" s="1">
        <v>45603</v>
      </c>
      <c r="H1845" s="1">
        <f>TablaDatos[[#This Row],[FechaIngreso]]+TablaDatos[[#This Row],[DiasNuevo]]</f>
        <v>45617</v>
      </c>
      <c r="I1845">
        <v>14</v>
      </c>
      <c r="J1845" t="s">
        <v>23</v>
      </c>
      <c r="K1845" s="3">
        <v>15597.74</v>
      </c>
      <c r="L1845" t="b">
        <f>TablaDatos[[#This Row],[FechaAlta]] &lt; TablaDatos[[#This Row],[FechaIngreso]]</f>
        <v>0</v>
      </c>
      <c r="M1845">
        <f>_xlfn.XLOOKUP(TablaDatos[[#This Row],[PacienteID]],'Datos_Ejemplo.csv'!A:A,'Datos_Ejemplo.csv'!I:I)</f>
        <v>14</v>
      </c>
      <c r="N1845">
        <f>ABS(TablaDatos[[#This Row],[DiasOriginal]])</f>
        <v>14</v>
      </c>
      <c r="O1845" s="1">
        <f>TablaDatos[[#This Row],[FechaIngreso]]+TablaDatos[[#This Row],[DiasNuevo]]</f>
        <v>45617</v>
      </c>
    </row>
    <row r="1846" spans="1:15">
      <c r="A1846">
        <v>1845</v>
      </c>
      <c r="B1846" t="s">
        <v>262</v>
      </c>
      <c r="C1846" s="1">
        <v>45292</v>
      </c>
      <c r="D1846">
        <v>2</v>
      </c>
      <c r="E1846" s="4" t="s">
        <v>12</v>
      </c>
      <c r="F1846" t="s">
        <v>18</v>
      </c>
      <c r="G1846" s="1">
        <v>45294</v>
      </c>
      <c r="H1846" s="1">
        <f>TablaDatos[[#This Row],[FechaIngreso]]+TablaDatos[[#This Row],[DiasNuevo]]</f>
        <v>45312</v>
      </c>
      <c r="I1846">
        <v>18</v>
      </c>
      <c r="J1846" t="s">
        <v>23</v>
      </c>
      <c r="K1846" s="3">
        <v>16927.14</v>
      </c>
      <c r="L1846" t="b">
        <f>TablaDatos[[#This Row],[FechaAlta]] &lt; TablaDatos[[#This Row],[FechaIngreso]]</f>
        <v>0</v>
      </c>
      <c r="M1846">
        <f>_xlfn.XLOOKUP(TablaDatos[[#This Row],[PacienteID]],'Datos_Ejemplo.csv'!A:A,'Datos_Ejemplo.csv'!I:I)</f>
        <v>18</v>
      </c>
      <c r="N1846">
        <f>ABS(TablaDatos[[#This Row],[DiasOriginal]])</f>
        <v>18</v>
      </c>
      <c r="O1846" s="1">
        <f>TablaDatos[[#This Row],[FechaIngreso]]+TablaDatos[[#This Row],[DiasNuevo]]</f>
        <v>45312</v>
      </c>
    </row>
    <row r="1847" spans="1:15">
      <c r="A1847">
        <v>1846</v>
      </c>
      <c r="B1847" t="s">
        <v>264</v>
      </c>
      <c r="C1847" s="1">
        <f ca="1">DATE(YEAR(TODAY())-TablaDatos[[#This Row],[Edad]],1,1)</f>
        <v>39083</v>
      </c>
      <c r="D1847">
        <v>19</v>
      </c>
      <c r="E1847" s="4" t="s">
        <v>12</v>
      </c>
      <c r="F1847" t="s">
        <v>32</v>
      </c>
      <c r="G1847" s="1">
        <v>45545</v>
      </c>
      <c r="H1847" s="1">
        <f>TablaDatos[[#This Row],[FechaIngreso]]+TablaDatos[[#This Row],[DiasNuevo]]</f>
        <v>45563</v>
      </c>
      <c r="I1847">
        <v>18</v>
      </c>
      <c r="J1847" t="s">
        <v>19</v>
      </c>
      <c r="K1847" s="3">
        <v>15342.48</v>
      </c>
      <c r="L1847" t="b">
        <f>TablaDatos[[#This Row],[FechaAlta]] &lt; TablaDatos[[#This Row],[FechaIngreso]]</f>
        <v>0</v>
      </c>
      <c r="M1847">
        <f>_xlfn.XLOOKUP(TablaDatos[[#This Row],[PacienteID]],'Datos_Ejemplo.csv'!A:A,'Datos_Ejemplo.csv'!I:I)</f>
        <v>18</v>
      </c>
      <c r="N1847">
        <f>ABS(TablaDatos[[#This Row],[DiasOriginal]])</f>
        <v>18</v>
      </c>
      <c r="O1847" s="1">
        <f>TablaDatos[[#This Row],[FechaIngreso]]+TablaDatos[[#This Row],[DiasNuevo]]</f>
        <v>45563</v>
      </c>
    </row>
    <row r="1848" spans="1:15">
      <c r="A1848">
        <v>1847</v>
      </c>
      <c r="B1848" t="s">
        <v>55</v>
      </c>
      <c r="C1848" s="1">
        <v>29586</v>
      </c>
      <c r="D1848">
        <v>45</v>
      </c>
      <c r="E1848" s="4" t="s">
        <v>15</v>
      </c>
      <c r="F1848" t="s">
        <v>21</v>
      </c>
      <c r="G1848" s="1">
        <v>45652</v>
      </c>
      <c r="H1848" s="1">
        <f>TablaDatos[[#This Row],[FechaIngreso]]+TablaDatos[[#This Row],[DiasNuevo]]</f>
        <v>45652</v>
      </c>
      <c r="I1848">
        <v>0</v>
      </c>
      <c r="J1848" t="s">
        <v>23</v>
      </c>
      <c r="K1848" s="3">
        <v>1395.48</v>
      </c>
      <c r="L1848" t="b">
        <f>TablaDatos[[#This Row],[FechaAlta]] &lt; TablaDatos[[#This Row],[FechaIngreso]]</f>
        <v>0</v>
      </c>
      <c r="M1848">
        <f>_xlfn.XLOOKUP(TablaDatos[[#This Row],[PacienteID]],'Datos_Ejemplo.csv'!A:A,'Datos_Ejemplo.csv'!I:I)</f>
        <v>0</v>
      </c>
      <c r="N1848">
        <f>ABS(TablaDatos[[#This Row],[DiasOriginal]])</f>
        <v>0</v>
      </c>
      <c r="O1848" s="1">
        <f>TablaDatos[[#This Row],[FechaIngreso]]+TablaDatos[[#This Row],[DiasNuevo]]</f>
        <v>45652</v>
      </c>
    </row>
    <row r="1849" spans="1:15">
      <c r="A1849">
        <v>1848</v>
      </c>
      <c r="B1849" t="s">
        <v>248</v>
      </c>
      <c r="C1849" s="1">
        <v>40909</v>
      </c>
      <c r="D1849">
        <v>14</v>
      </c>
      <c r="E1849" s="4" t="s">
        <v>15</v>
      </c>
      <c r="F1849" t="s">
        <v>295</v>
      </c>
      <c r="G1849" s="1">
        <v>45073</v>
      </c>
      <c r="H1849" s="1">
        <f>TablaDatos[[#This Row],[FechaIngreso]]+TablaDatos[[#This Row],[DiasNuevo]]</f>
        <v>45098</v>
      </c>
      <c r="I1849">
        <v>25</v>
      </c>
      <c r="J1849" t="s">
        <v>19</v>
      </c>
      <c r="K1849" s="3">
        <v>15220.65</v>
      </c>
      <c r="L1849" t="b">
        <f>TablaDatos[[#This Row],[FechaAlta]] &lt; TablaDatos[[#This Row],[FechaIngreso]]</f>
        <v>0</v>
      </c>
      <c r="M1849">
        <f>_xlfn.XLOOKUP(TablaDatos[[#This Row],[PacienteID]],'Datos_Ejemplo.csv'!A:A,'Datos_Ejemplo.csv'!I:I)</f>
        <v>25</v>
      </c>
      <c r="N1849">
        <f>ABS(TablaDatos[[#This Row],[DiasOriginal]])</f>
        <v>25</v>
      </c>
      <c r="O1849" s="1">
        <f>TablaDatos[[#This Row],[FechaIngreso]]+TablaDatos[[#This Row],[DiasNuevo]]</f>
        <v>45098</v>
      </c>
    </row>
    <row r="1850" spans="1:15">
      <c r="A1850">
        <v>1849</v>
      </c>
      <c r="B1850" t="s">
        <v>237</v>
      </c>
      <c r="C1850" s="1">
        <v>37256</v>
      </c>
      <c r="D1850">
        <v>24</v>
      </c>
      <c r="E1850" s="4" t="s">
        <v>15</v>
      </c>
      <c r="F1850" t="s">
        <v>32</v>
      </c>
      <c r="G1850" s="1">
        <v>45619</v>
      </c>
      <c r="H1850" s="1">
        <f>TablaDatos[[#This Row],[FechaIngreso]]+TablaDatos[[#This Row],[DiasNuevo]]</f>
        <v>45641</v>
      </c>
      <c r="I1850">
        <v>22</v>
      </c>
      <c r="J1850" t="s">
        <v>23</v>
      </c>
      <c r="K1850" s="3">
        <v>819.93</v>
      </c>
      <c r="L1850" t="b">
        <f>TablaDatos[[#This Row],[FechaAlta]] &lt; TablaDatos[[#This Row],[FechaIngreso]]</f>
        <v>0</v>
      </c>
      <c r="M1850">
        <f>_xlfn.XLOOKUP(TablaDatos[[#This Row],[PacienteID]],'Datos_Ejemplo.csv'!A:A,'Datos_Ejemplo.csv'!I:I)</f>
        <v>22</v>
      </c>
      <c r="N1850">
        <f>ABS(TablaDatos[[#This Row],[DiasOriginal]])</f>
        <v>22</v>
      </c>
      <c r="O1850" s="1">
        <f>TablaDatos[[#This Row],[FechaIngreso]]+TablaDatos[[#This Row],[DiasNuevo]]</f>
        <v>45641</v>
      </c>
    </row>
    <row r="1851" spans="1:15">
      <c r="A1851">
        <v>1850</v>
      </c>
      <c r="B1851" t="s">
        <v>162</v>
      </c>
      <c r="C1851" s="1">
        <v>12054</v>
      </c>
      <c r="D1851">
        <v>93</v>
      </c>
      <c r="E1851" s="4" t="s">
        <v>15</v>
      </c>
      <c r="F1851" t="s">
        <v>18</v>
      </c>
      <c r="G1851" s="1">
        <v>45430</v>
      </c>
      <c r="H1851" s="1">
        <f>TablaDatos[[#This Row],[FechaIngreso]]+TablaDatos[[#This Row],[DiasNuevo]]</f>
        <v>45433</v>
      </c>
      <c r="I1851">
        <v>3</v>
      </c>
      <c r="J1851" t="s">
        <v>23</v>
      </c>
      <c r="K1851" s="3">
        <v>2022.42</v>
      </c>
      <c r="L1851" t="b">
        <f>TablaDatos[[#This Row],[FechaAlta]] &lt; TablaDatos[[#This Row],[FechaIngreso]]</f>
        <v>0</v>
      </c>
      <c r="M1851">
        <f>_xlfn.XLOOKUP(TablaDatos[[#This Row],[PacienteID]],'Datos_Ejemplo.csv'!A:A,'Datos_Ejemplo.csv'!I:I)</f>
        <v>3</v>
      </c>
      <c r="N1851">
        <f>ABS(TablaDatos[[#This Row],[DiasOriginal]])</f>
        <v>3</v>
      </c>
      <c r="O1851" s="1">
        <f>TablaDatos[[#This Row],[FechaIngreso]]+TablaDatos[[#This Row],[DiasNuevo]]</f>
        <v>45433</v>
      </c>
    </row>
    <row r="1852" spans="1:15">
      <c r="A1852">
        <v>1851</v>
      </c>
      <c r="B1852" t="s">
        <v>61</v>
      </c>
      <c r="C1852" s="1">
        <v>17898</v>
      </c>
      <c r="D1852">
        <v>77</v>
      </c>
      <c r="E1852" s="4" t="s">
        <v>12</v>
      </c>
      <c r="F1852" t="s">
        <v>21</v>
      </c>
      <c r="G1852" s="1">
        <v>45356</v>
      </c>
      <c r="H1852" s="1">
        <f>TablaDatos[[#This Row],[FechaIngreso]]+TablaDatos[[#This Row],[DiasNuevo]]</f>
        <v>45395</v>
      </c>
      <c r="I1852">
        <v>39</v>
      </c>
      <c r="J1852" t="s">
        <v>19</v>
      </c>
      <c r="K1852" s="3">
        <v>8753.5499999999993</v>
      </c>
      <c r="L1852" t="b">
        <f>TablaDatos[[#This Row],[FechaAlta]] &lt; TablaDatos[[#This Row],[FechaIngreso]]</f>
        <v>0</v>
      </c>
      <c r="M1852">
        <f>_xlfn.XLOOKUP(TablaDatos[[#This Row],[PacienteID]],'Datos_Ejemplo.csv'!A:A,'Datos_Ejemplo.csv'!I:I)</f>
        <v>39</v>
      </c>
      <c r="N1852">
        <f>ABS(TablaDatos[[#This Row],[DiasOriginal]])</f>
        <v>39</v>
      </c>
      <c r="O1852" s="1">
        <f>TablaDatos[[#This Row],[FechaIngreso]]+TablaDatos[[#This Row],[DiasNuevo]]</f>
        <v>45395</v>
      </c>
    </row>
    <row r="1853" spans="1:15">
      <c r="A1853">
        <v>1852</v>
      </c>
      <c r="B1853" t="s">
        <v>333</v>
      </c>
      <c r="C1853" s="1">
        <v>20455</v>
      </c>
      <c r="D1853">
        <v>70</v>
      </c>
      <c r="E1853" s="4" t="s">
        <v>15</v>
      </c>
      <c r="F1853" t="s">
        <v>201</v>
      </c>
      <c r="G1853" s="1">
        <v>45366</v>
      </c>
      <c r="H1853" s="1">
        <f>TablaDatos[[#This Row],[FechaIngreso]]+TablaDatos[[#This Row],[DiasNuevo]]</f>
        <v>45393</v>
      </c>
      <c r="I1853">
        <v>27</v>
      </c>
      <c r="J1853" t="s">
        <v>23</v>
      </c>
      <c r="K1853" s="3">
        <v>9470.5499999999993</v>
      </c>
      <c r="L1853" t="b">
        <f>TablaDatos[[#This Row],[FechaAlta]] &lt; TablaDatos[[#This Row],[FechaIngreso]]</f>
        <v>0</v>
      </c>
      <c r="M1853">
        <f>_xlfn.XLOOKUP(TablaDatos[[#This Row],[PacienteID]],'Datos_Ejemplo.csv'!A:A,'Datos_Ejemplo.csv'!I:I)</f>
        <v>27</v>
      </c>
      <c r="N1853">
        <f>ABS(TablaDatos[[#This Row],[DiasOriginal]])</f>
        <v>27</v>
      </c>
      <c r="O1853" s="1">
        <f>TablaDatos[[#This Row],[FechaIngreso]]+TablaDatos[[#This Row],[DiasNuevo]]</f>
        <v>45393</v>
      </c>
    </row>
    <row r="1854" spans="1:15">
      <c r="A1854">
        <v>1853</v>
      </c>
      <c r="B1854" t="s">
        <v>304</v>
      </c>
      <c r="C1854" s="1">
        <v>40178</v>
      </c>
      <c r="D1854">
        <f ca="1">DATEDIF(TablaDatos[[#This Row],[FechaNacimiento]],TODAY(),"Y")</f>
        <v>16</v>
      </c>
      <c r="E1854" s="4" t="s">
        <v>15</v>
      </c>
      <c r="F1854" t="s">
        <v>261</v>
      </c>
      <c r="G1854" s="1">
        <v>45124</v>
      </c>
      <c r="H1854" s="1">
        <f>TablaDatos[[#This Row],[FechaIngreso]]+TablaDatos[[#This Row],[DiasNuevo]]</f>
        <v>45153</v>
      </c>
      <c r="I1854">
        <v>29</v>
      </c>
      <c r="J1854" t="s">
        <v>25</v>
      </c>
      <c r="K1854" s="3">
        <v>16303.98</v>
      </c>
      <c r="L1854" t="b">
        <f>TablaDatos[[#This Row],[FechaAlta]] &lt; TablaDatos[[#This Row],[FechaIngreso]]</f>
        <v>0</v>
      </c>
      <c r="M1854">
        <f>_xlfn.XLOOKUP(TablaDatos[[#This Row],[PacienteID]],'Datos_Ejemplo.csv'!A:A,'Datos_Ejemplo.csv'!I:I)</f>
        <v>29</v>
      </c>
      <c r="N1854">
        <f>ABS(TablaDatos[[#This Row],[DiasOriginal]])</f>
        <v>29</v>
      </c>
      <c r="O1854" s="1">
        <f>TablaDatos[[#This Row],[FechaIngreso]]+TablaDatos[[#This Row],[DiasNuevo]]</f>
        <v>45153</v>
      </c>
    </row>
    <row r="1855" spans="1:15">
      <c r="A1855">
        <v>1854</v>
      </c>
      <c r="B1855" t="s">
        <v>275</v>
      </c>
      <c r="C1855" s="1">
        <v>15707</v>
      </c>
      <c r="D1855">
        <v>83</v>
      </c>
      <c r="E1855" s="4" t="s">
        <v>12</v>
      </c>
      <c r="F1855" t="s">
        <v>21</v>
      </c>
      <c r="G1855" s="1">
        <v>45213</v>
      </c>
      <c r="H1855" s="1">
        <f>TablaDatos[[#This Row],[FechaIngreso]]+TablaDatos[[#This Row],[DiasNuevo]]</f>
        <v>45232</v>
      </c>
      <c r="I1855">
        <v>19</v>
      </c>
      <c r="J1855" t="s">
        <v>23</v>
      </c>
      <c r="K1855" s="3">
        <v>13558.49</v>
      </c>
      <c r="L1855" t="b">
        <f>TablaDatos[[#This Row],[FechaAlta]] &lt; TablaDatos[[#This Row],[FechaIngreso]]</f>
        <v>0</v>
      </c>
      <c r="M1855">
        <f>_xlfn.XLOOKUP(TablaDatos[[#This Row],[PacienteID]],'Datos_Ejemplo.csv'!A:A,'Datos_Ejemplo.csv'!I:I)</f>
        <v>19</v>
      </c>
      <c r="N1855">
        <f>ABS(TablaDatos[[#This Row],[DiasOriginal]])</f>
        <v>19</v>
      </c>
      <c r="O1855" s="1">
        <f>TablaDatos[[#This Row],[FechaIngreso]]+TablaDatos[[#This Row],[DiasNuevo]]</f>
        <v>45232</v>
      </c>
    </row>
    <row r="1856" spans="1:15">
      <c r="A1856">
        <v>1855</v>
      </c>
      <c r="B1856" t="s">
        <v>263</v>
      </c>
      <c r="C1856" s="1">
        <f ca="1">DATE(YEAR(TODAY())-TablaDatos[[#This Row],[Edad]],1,1)</f>
        <v>43101</v>
      </c>
      <c r="D1856">
        <v>8</v>
      </c>
      <c r="E1856" s="4" t="s">
        <v>15</v>
      </c>
      <c r="F1856" t="s">
        <v>261</v>
      </c>
      <c r="G1856" s="1">
        <v>45491</v>
      </c>
      <c r="H1856" s="1">
        <f>TablaDatos[[#This Row],[FechaIngreso]]+TablaDatos[[#This Row],[DiasNuevo]]</f>
        <v>45526</v>
      </c>
      <c r="I1856">
        <v>35</v>
      </c>
      <c r="J1856" t="s">
        <v>19</v>
      </c>
      <c r="K1856" s="3">
        <v>2981.74</v>
      </c>
      <c r="L1856" t="b">
        <f>TablaDatos[[#This Row],[FechaAlta]] &lt; TablaDatos[[#This Row],[FechaIngreso]]</f>
        <v>0</v>
      </c>
      <c r="M1856">
        <f>_xlfn.XLOOKUP(TablaDatos[[#This Row],[PacienteID]],'Datos_Ejemplo.csv'!A:A,'Datos_Ejemplo.csv'!I:I)</f>
        <v>35</v>
      </c>
      <c r="N1856">
        <f>ABS(TablaDatos[[#This Row],[DiasOriginal]])</f>
        <v>35</v>
      </c>
      <c r="O1856" s="1">
        <f>TablaDatos[[#This Row],[FechaIngreso]]+TablaDatos[[#This Row],[DiasNuevo]]</f>
        <v>45526</v>
      </c>
    </row>
    <row r="1857" spans="1:15">
      <c r="A1857">
        <v>1856</v>
      </c>
      <c r="B1857" t="s">
        <v>285</v>
      </c>
      <c r="C1857" s="1">
        <v>32508</v>
      </c>
      <c r="D1857">
        <v>37</v>
      </c>
      <c r="E1857" s="4" t="s">
        <v>15</v>
      </c>
      <c r="F1857" t="s">
        <v>295</v>
      </c>
      <c r="G1857" s="1">
        <v>45295</v>
      </c>
      <c r="H1857" s="1">
        <f>TablaDatos[[#This Row],[FechaIngreso]]+TablaDatos[[#This Row],[DiasNuevo]]</f>
        <v>45306</v>
      </c>
      <c r="I1857">
        <v>11</v>
      </c>
      <c r="J1857" t="s">
        <v>19</v>
      </c>
      <c r="K1857" s="3">
        <v>4445.55</v>
      </c>
      <c r="L1857" t="b">
        <f>TablaDatos[[#This Row],[FechaAlta]] &lt; TablaDatos[[#This Row],[FechaIngreso]]</f>
        <v>0</v>
      </c>
      <c r="M1857">
        <f>_xlfn.XLOOKUP(TablaDatos[[#This Row],[PacienteID]],'Datos_Ejemplo.csv'!A:A,'Datos_Ejemplo.csv'!I:I)</f>
        <v>11</v>
      </c>
      <c r="N1857">
        <f>ABS(TablaDatos[[#This Row],[DiasOriginal]])</f>
        <v>11</v>
      </c>
      <c r="O1857" s="1">
        <f>TablaDatos[[#This Row],[FechaIngreso]]+TablaDatos[[#This Row],[DiasNuevo]]</f>
        <v>45306</v>
      </c>
    </row>
    <row r="1858" spans="1:15">
      <c r="A1858">
        <v>1857</v>
      </c>
      <c r="B1858" t="s">
        <v>242</v>
      </c>
      <c r="C1858" s="1">
        <v>28856</v>
      </c>
      <c r="D1858">
        <v>47</v>
      </c>
      <c r="E1858" s="4" t="s">
        <v>15</v>
      </c>
      <c r="F1858" t="s">
        <v>295</v>
      </c>
      <c r="G1858" s="1">
        <v>45166</v>
      </c>
      <c r="H1858" s="1">
        <f>TablaDatos[[#This Row],[FechaIngreso]]+TablaDatos[[#This Row],[DiasNuevo]]</f>
        <v>45197</v>
      </c>
      <c r="I1858">
        <v>31</v>
      </c>
      <c r="J1858" t="s">
        <v>25</v>
      </c>
      <c r="K1858" s="3">
        <v>5642.07</v>
      </c>
      <c r="L1858" t="b">
        <f>TablaDatos[[#This Row],[FechaAlta]] &lt; TablaDatos[[#This Row],[FechaIngreso]]</f>
        <v>0</v>
      </c>
      <c r="M1858">
        <f>_xlfn.XLOOKUP(TablaDatos[[#This Row],[PacienteID]],'Datos_Ejemplo.csv'!A:A,'Datos_Ejemplo.csv'!I:I)</f>
        <v>31</v>
      </c>
      <c r="N1858">
        <f>ABS(TablaDatos[[#This Row],[DiasOriginal]])</f>
        <v>31</v>
      </c>
      <c r="O1858" s="1">
        <f>TablaDatos[[#This Row],[FechaIngreso]]+TablaDatos[[#This Row],[DiasNuevo]]</f>
        <v>45197</v>
      </c>
    </row>
    <row r="1859" spans="1:15">
      <c r="A1859">
        <v>1858</v>
      </c>
      <c r="B1859" t="s">
        <v>231</v>
      </c>
      <c r="C1859" s="1">
        <v>24473</v>
      </c>
      <c r="D1859">
        <v>59</v>
      </c>
      <c r="E1859" s="4" t="s">
        <v>12</v>
      </c>
      <c r="F1859" t="s">
        <v>18</v>
      </c>
      <c r="G1859" s="1">
        <v>45213</v>
      </c>
      <c r="H1859" s="1">
        <f>TablaDatos[[#This Row],[FechaIngreso]]+TablaDatos[[#This Row],[DiasNuevo]]</f>
        <v>45236</v>
      </c>
      <c r="I1859">
        <v>23</v>
      </c>
      <c r="J1859" t="s">
        <v>25</v>
      </c>
      <c r="K1859" s="3">
        <v>2385.8200000000002</v>
      </c>
      <c r="L1859" t="b">
        <f>TablaDatos[[#This Row],[FechaAlta]] &lt; TablaDatos[[#This Row],[FechaIngreso]]</f>
        <v>0</v>
      </c>
      <c r="M1859">
        <f>_xlfn.XLOOKUP(TablaDatos[[#This Row],[PacienteID]],'Datos_Ejemplo.csv'!A:A,'Datos_Ejemplo.csv'!I:I)</f>
        <v>23</v>
      </c>
      <c r="N1859">
        <f>ABS(TablaDatos[[#This Row],[DiasOriginal]])</f>
        <v>23</v>
      </c>
      <c r="O1859" s="1">
        <f>TablaDatos[[#This Row],[FechaIngreso]]+TablaDatos[[#This Row],[DiasNuevo]]</f>
        <v>45236</v>
      </c>
    </row>
    <row r="1860" spans="1:15">
      <c r="A1860">
        <v>1859</v>
      </c>
      <c r="B1860" t="s">
        <v>306</v>
      </c>
      <c r="C1860" s="1">
        <v>23377</v>
      </c>
      <c r="D1860">
        <v>62</v>
      </c>
      <c r="E1860" s="4" t="s">
        <v>12</v>
      </c>
      <c r="F1860" t="s">
        <v>261</v>
      </c>
      <c r="G1860" s="1">
        <v>45626</v>
      </c>
      <c r="H1860" s="1">
        <f>TablaDatos[[#This Row],[FechaIngreso]]+TablaDatos[[#This Row],[DiasNuevo]]</f>
        <v>45663</v>
      </c>
      <c r="I1860">
        <v>37</v>
      </c>
      <c r="J1860" t="s">
        <v>25</v>
      </c>
      <c r="K1860" s="3">
        <v>5681.66</v>
      </c>
      <c r="L1860" t="b">
        <f>TablaDatos[[#This Row],[FechaAlta]] &lt; TablaDatos[[#This Row],[FechaIngreso]]</f>
        <v>0</v>
      </c>
      <c r="M1860">
        <f>_xlfn.XLOOKUP(TablaDatos[[#This Row],[PacienteID]],'Datos_Ejemplo.csv'!A:A,'Datos_Ejemplo.csv'!I:I)</f>
        <v>37</v>
      </c>
      <c r="N1860">
        <f>ABS(TablaDatos[[#This Row],[DiasOriginal]])</f>
        <v>37</v>
      </c>
      <c r="O1860" s="1">
        <f>TablaDatos[[#This Row],[FechaIngreso]]+TablaDatos[[#This Row],[DiasNuevo]]</f>
        <v>45663</v>
      </c>
    </row>
    <row r="1861" spans="1:15">
      <c r="A1861">
        <v>1860</v>
      </c>
      <c r="B1861" t="s">
        <v>243</v>
      </c>
      <c r="C1861" s="1">
        <v>14976</v>
      </c>
      <c r="D1861">
        <v>85</v>
      </c>
      <c r="E1861" s="4" t="s">
        <v>12</v>
      </c>
      <c r="F1861" t="s">
        <v>21</v>
      </c>
      <c r="G1861" s="1">
        <v>45321</v>
      </c>
      <c r="H1861" s="1">
        <f>TablaDatos[[#This Row],[FechaIngreso]]+TablaDatos[[#This Row],[DiasNuevo]]</f>
        <v>45331</v>
      </c>
      <c r="I1861">
        <v>10</v>
      </c>
      <c r="J1861" t="s">
        <v>19</v>
      </c>
      <c r="K1861" s="3">
        <v>14544.82</v>
      </c>
      <c r="L1861" t="b">
        <f>TablaDatos[[#This Row],[FechaAlta]] &lt; TablaDatos[[#This Row],[FechaIngreso]]</f>
        <v>0</v>
      </c>
      <c r="M1861">
        <f>_xlfn.XLOOKUP(TablaDatos[[#This Row],[PacienteID]],'Datos_Ejemplo.csv'!A:A,'Datos_Ejemplo.csv'!I:I)</f>
        <v>10</v>
      </c>
      <c r="N1861">
        <f>ABS(TablaDatos[[#This Row],[DiasOriginal]])</f>
        <v>10</v>
      </c>
      <c r="O1861" s="1">
        <f>TablaDatos[[#This Row],[FechaIngreso]]+TablaDatos[[#This Row],[DiasNuevo]]</f>
        <v>45331</v>
      </c>
    </row>
    <row r="1862" spans="1:15">
      <c r="A1862">
        <v>1861</v>
      </c>
      <c r="B1862" t="s">
        <v>346</v>
      </c>
      <c r="C1862" s="1">
        <v>45657</v>
      </c>
      <c r="D1862">
        <v>1</v>
      </c>
      <c r="E1862" s="4" t="s">
        <v>15</v>
      </c>
      <c r="F1862" t="s">
        <v>295</v>
      </c>
      <c r="G1862" s="1">
        <v>45444</v>
      </c>
      <c r="H1862" s="1">
        <f>TablaDatos[[#This Row],[FechaIngreso]]+TablaDatos[[#This Row],[DiasNuevo]]</f>
        <v>45471</v>
      </c>
      <c r="I1862">
        <v>27</v>
      </c>
      <c r="J1862" t="s">
        <v>23</v>
      </c>
      <c r="K1862" s="3">
        <v>4752.17</v>
      </c>
      <c r="L1862" t="b">
        <f>TablaDatos[[#This Row],[FechaAlta]] &lt; TablaDatos[[#This Row],[FechaIngreso]]</f>
        <v>0</v>
      </c>
      <c r="M1862">
        <f>_xlfn.XLOOKUP(TablaDatos[[#This Row],[PacienteID]],'Datos_Ejemplo.csv'!A:A,'Datos_Ejemplo.csv'!I:I)</f>
        <v>27</v>
      </c>
      <c r="N1862">
        <f>ABS(TablaDatos[[#This Row],[DiasOriginal]])</f>
        <v>27</v>
      </c>
      <c r="O1862" s="1">
        <f>TablaDatos[[#This Row],[FechaIngreso]]+TablaDatos[[#This Row],[DiasNuevo]]</f>
        <v>45471</v>
      </c>
    </row>
    <row r="1863" spans="1:15">
      <c r="A1863">
        <v>1862</v>
      </c>
      <c r="B1863" t="s">
        <v>90</v>
      </c>
      <c r="C1863" s="1">
        <v>14246</v>
      </c>
      <c r="D1863">
        <v>87</v>
      </c>
      <c r="E1863" s="4" t="s">
        <v>15</v>
      </c>
      <c r="F1863" t="s">
        <v>21</v>
      </c>
      <c r="G1863" s="1">
        <v>45487</v>
      </c>
      <c r="H1863" s="1">
        <f>TablaDatos[[#This Row],[FechaIngreso]]+TablaDatos[[#This Row],[DiasNuevo]]</f>
        <v>45503</v>
      </c>
      <c r="I1863">
        <v>16</v>
      </c>
      <c r="J1863" t="s">
        <v>23</v>
      </c>
      <c r="K1863" s="3">
        <v>16690.73</v>
      </c>
      <c r="L1863" t="b">
        <f>TablaDatos[[#This Row],[FechaAlta]] &lt; TablaDatos[[#This Row],[FechaIngreso]]</f>
        <v>0</v>
      </c>
      <c r="M1863">
        <f>_xlfn.XLOOKUP(TablaDatos[[#This Row],[PacienteID]],'Datos_Ejemplo.csv'!A:A,'Datos_Ejemplo.csv'!I:I)</f>
        <v>16</v>
      </c>
      <c r="N1863">
        <f>ABS(TablaDatos[[#This Row],[DiasOriginal]])</f>
        <v>16</v>
      </c>
      <c r="O1863" s="1">
        <f>TablaDatos[[#This Row],[FechaIngreso]]+TablaDatos[[#This Row],[DiasNuevo]]</f>
        <v>45503</v>
      </c>
    </row>
    <row r="1864" spans="1:15">
      <c r="A1864">
        <v>1863</v>
      </c>
      <c r="B1864" t="s">
        <v>298</v>
      </c>
      <c r="C1864" s="1">
        <v>20090</v>
      </c>
      <c r="D1864">
        <v>71</v>
      </c>
      <c r="E1864" s="4" t="s">
        <v>12</v>
      </c>
      <c r="F1864" t="s">
        <v>18</v>
      </c>
      <c r="G1864" s="1">
        <v>45638</v>
      </c>
      <c r="H1864" s="1">
        <f>TablaDatos[[#This Row],[FechaIngreso]]+TablaDatos[[#This Row],[DiasNuevo]]</f>
        <v>45677</v>
      </c>
      <c r="I1864">
        <v>39</v>
      </c>
      <c r="J1864" t="s">
        <v>25</v>
      </c>
      <c r="K1864" s="3">
        <v>9337.2900000000009</v>
      </c>
      <c r="L1864" t="b">
        <f>TablaDatos[[#This Row],[FechaAlta]] &lt; TablaDatos[[#This Row],[FechaIngreso]]</f>
        <v>0</v>
      </c>
      <c r="M1864">
        <f>_xlfn.XLOOKUP(TablaDatos[[#This Row],[PacienteID]],'Datos_Ejemplo.csv'!A:A,'Datos_Ejemplo.csv'!I:I)</f>
        <v>39</v>
      </c>
      <c r="N1864">
        <f>ABS(TablaDatos[[#This Row],[DiasOriginal]])</f>
        <v>39</v>
      </c>
      <c r="O1864" s="1">
        <f>TablaDatos[[#This Row],[FechaIngreso]]+TablaDatos[[#This Row],[DiasNuevo]]</f>
        <v>45677</v>
      </c>
    </row>
    <row r="1865" spans="1:15">
      <c r="A1865">
        <v>1864</v>
      </c>
      <c r="B1865" t="s">
        <v>122</v>
      </c>
      <c r="C1865" s="1">
        <v>42370</v>
      </c>
      <c r="D1865">
        <v>10</v>
      </c>
      <c r="E1865" s="4" t="s">
        <v>12</v>
      </c>
      <c r="F1865" t="s">
        <v>261</v>
      </c>
      <c r="G1865" s="1">
        <v>44986</v>
      </c>
      <c r="H1865" s="1">
        <f>TablaDatos[[#This Row],[FechaIngreso]]+TablaDatos[[#This Row],[DiasNuevo]]</f>
        <v>45024</v>
      </c>
      <c r="I1865">
        <v>38</v>
      </c>
      <c r="J1865" t="s">
        <v>19</v>
      </c>
      <c r="K1865" s="3">
        <v>6391.01</v>
      </c>
      <c r="L1865" t="b">
        <f>TablaDatos[[#This Row],[FechaAlta]] &lt; TablaDatos[[#This Row],[FechaIngreso]]</f>
        <v>0</v>
      </c>
      <c r="M1865">
        <f>_xlfn.XLOOKUP(TablaDatos[[#This Row],[PacienteID]],'Datos_Ejemplo.csv'!A:A,'Datos_Ejemplo.csv'!I:I)</f>
        <v>38</v>
      </c>
      <c r="N1865">
        <f>ABS(TablaDatos[[#This Row],[DiasOriginal]])</f>
        <v>38</v>
      </c>
      <c r="O1865" s="1">
        <f>TablaDatos[[#This Row],[FechaIngreso]]+TablaDatos[[#This Row],[DiasNuevo]]</f>
        <v>45024</v>
      </c>
    </row>
    <row r="1866" spans="1:15">
      <c r="A1866">
        <v>1865</v>
      </c>
      <c r="B1866" t="s">
        <v>267</v>
      </c>
      <c r="C1866" s="1">
        <v>23012</v>
      </c>
      <c r="D1866">
        <v>63</v>
      </c>
      <c r="E1866" s="4" t="s">
        <v>197</v>
      </c>
      <c r="F1866" t="s">
        <v>21</v>
      </c>
      <c r="G1866" s="1">
        <v>45471</v>
      </c>
      <c r="H1866" s="1">
        <f>TablaDatos[[#This Row],[FechaIngreso]]+TablaDatos[[#This Row],[DiasNuevo]]</f>
        <v>45507</v>
      </c>
      <c r="I1866">
        <v>36</v>
      </c>
      <c r="J1866" t="s">
        <v>23</v>
      </c>
      <c r="K1866" s="3">
        <v>8189.6</v>
      </c>
      <c r="L1866" t="b">
        <f>TablaDatos[[#This Row],[FechaAlta]] &lt; TablaDatos[[#This Row],[FechaIngreso]]</f>
        <v>0</v>
      </c>
      <c r="M1866">
        <f>_xlfn.XLOOKUP(TablaDatos[[#This Row],[PacienteID]],'Datos_Ejemplo.csv'!A:A,'Datos_Ejemplo.csv'!I:I)</f>
        <v>36</v>
      </c>
      <c r="N1866">
        <f>ABS(TablaDatos[[#This Row],[DiasOriginal]])</f>
        <v>36</v>
      </c>
      <c r="O1866" s="1">
        <f>TablaDatos[[#This Row],[FechaIngreso]]+TablaDatos[[#This Row],[DiasNuevo]]</f>
        <v>45507</v>
      </c>
    </row>
    <row r="1867" spans="1:15">
      <c r="A1867">
        <v>1866</v>
      </c>
      <c r="B1867" t="s">
        <v>243</v>
      </c>
      <c r="C1867" s="1">
        <v>18263</v>
      </c>
      <c r="D1867">
        <v>76</v>
      </c>
      <c r="E1867" s="4" t="s">
        <v>15</v>
      </c>
      <c r="F1867" t="s">
        <v>32</v>
      </c>
      <c r="G1867" s="1">
        <v>45229</v>
      </c>
      <c r="H1867" s="1">
        <f>TablaDatos[[#This Row],[FechaIngreso]]+TablaDatos[[#This Row],[DiasNuevo]]</f>
        <v>45229</v>
      </c>
      <c r="I1867">
        <v>0</v>
      </c>
      <c r="J1867" t="s">
        <v>25</v>
      </c>
      <c r="K1867" s="3">
        <v>14160.88</v>
      </c>
      <c r="L1867" t="b">
        <f>TablaDatos[[#This Row],[FechaAlta]] &lt; TablaDatos[[#This Row],[FechaIngreso]]</f>
        <v>0</v>
      </c>
      <c r="M1867">
        <f>_xlfn.XLOOKUP(TablaDatos[[#This Row],[PacienteID]],'Datos_Ejemplo.csv'!A:A,'Datos_Ejemplo.csv'!I:I)</f>
        <v>0</v>
      </c>
      <c r="N1867">
        <f>ABS(TablaDatos[[#This Row],[DiasOriginal]])</f>
        <v>0</v>
      </c>
      <c r="O1867" s="1">
        <f>TablaDatos[[#This Row],[FechaIngreso]]+TablaDatos[[#This Row],[DiasNuevo]]</f>
        <v>45229</v>
      </c>
    </row>
    <row r="1868" spans="1:15">
      <c r="A1868">
        <v>1867</v>
      </c>
      <c r="B1868" t="s">
        <v>345</v>
      </c>
      <c r="C1868" s="1">
        <v>16802</v>
      </c>
      <c r="D1868">
        <v>80</v>
      </c>
      <c r="E1868" s="4" t="s">
        <v>15</v>
      </c>
      <c r="F1868" t="s">
        <v>21</v>
      </c>
      <c r="G1868" s="1">
        <v>45170</v>
      </c>
      <c r="H1868" s="1">
        <f>TablaDatos[[#This Row],[FechaIngreso]]+TablaDatos[[#This Row],[DiasNuevo]]</f>
        <v>45198</v>
      </c>
      <c r="I1868">
        <v>28</v>
      </c>
      <c r="J1868" t="s">
        <v>23</v>
      </c>
      <c r="K1868" s="3">
        <v>10287.530000000001</v>
      </c>
      <c r="L1868" t="b">
        <f>TablaDatos[[#This Row],[FechaAlta]] &lt; TablaDatos[[#This Row],[FechaIngreso]]</f>
        <v>0</v>
      </c>
      <c r="M1868">
        <f>_xlfn.XLOOKUP(TablaDatos[[#This Row],[PacienteID]],'Datos_Ejemplo.csv'!A:A,'Datos_Ejemplo.csv'!I:I)</f>
        <v>28</v>
      </c>
      <c r="N1868">
        <f>ABS(TablaDatos[[#This Row],[DiasOriginal]])</f>
        <v>28</v>
      </c>
      <c r="O1868" s="1">
        <f>TablaDatos[[#This Row],[FechaIngreso]]+TablaDatos[[#This Row],[DiasNuevo]]</f>
        <v>45198</v>
      </c>
    </row>
    <row r="1869" spans="1:15">
      <c r="A1869">
        <v>1868</v>
      </c>
      <c r="B1869" t="s">
        <v>243</v>
      </c>
      <c r="C1869" s="1">
        <v>20090</v>
      </c>
      <c r="D1869">
        <v>71</v>
      </c>
      <c r="E1869" s="4" t="s">
        <v>12</v>
      </c>
      <c r="F1869" t="s">
        <v>13</v>
      </c>
      <c r="G1869" s="1">
        <v>45610</v>
      </c>
      <c r="H1869" s="1">
        <f>TablaDatos[[#This Row],[FechaIngreso]]+TablaDatos[[#This Row],[DiasNuevo]]</f>
        <v>45619</v>
      </c>
      <c r="I1869">
        <v>9</v>
      </c>
      <c r="J1869" t="s">
        <v>23</v>
      </c>
      <c r="K1869" s="3">
        <v>46.3</v>
      </c>
      <c r="L1869" t="b">
        <f>TablaDatos[[#This Row],[FechaAlta]] &lt; TablaDatos[[#This Row],[FechaIngreso]]</f>
        <v>0</v>
      </c>
      <c r="M1869">
        <f>_xlfn.XLOOKUP(TablaDatos[[#This Row],[PacienteID]],'Datos_Ejemplo.csv'!A:A,'Datos_Ejemplo.csv'!I:I)</f>
        <v>9</v>
      </c>
      <c r="N1869">
        <f>ABS(TablaDatos[[#This Row],[DiasOriginal]])</f>
        <v>9</v>
      </c>
      <c r="O1869" s="1">
        <f>TablaDatos[[#This Row],[FechaIngreso]]+TablaDatos[[#This Row],[DiasNuevo]]</f>
        <v>45619</v>
      </c>
    </row>
    <row r="1870" spans="1:15">
      <c r="A1870">
        <v>1869</v>
      </c>
      <c r="B1870" t="s">
        <v>349</v>
      </c>
      <c r="C1870" s="1">
        <v>38717</v>
      </c>
      <c r="D1870">
        <v>20</v>
      </c>
      <c r="E1870" s="4" t="s">
        <v>12</v>
      </c>
      <c r="F1870" t="s">
        <v>13</v>
      </c>
      <c r="G1870" s="1">
        <v>45133</v>
      </c>
      <c r="H1870" s="1">
        <f>TablaDatos[[#This Row],[FechaIngreso]]+TablaDatos[[#This Row],[DiasNuevo]]</f>
        <v>45145</v>
      </c>
      <c r="I1870">
        <v>12</v>
      </c>
      <c r="J1870" t="s">
        <v>23</v>
      </c>
      <c r="K1870" s="3">
        <v>18438.71</v>
      </c>
      <c r="L1870" t="b">
        <f>TablaDatos[[#This Row],[FechaAlta]] &lt; TablaDatos[[#This Row],[FechaIngreso]]</f>
        <v>0</v>
      </c>
      <c r="M1870">
        <f>_xlfn.XLOOKUP(TablaDatos[[#This Row],[PacienteID]],'Datos_Ejemplo.csv'!A:A,'Datos_Ejemplo.csv'!I:I)</f>
        <v>12</v>
      </c>
      <c r="N1870">
        <f>ABS(TablaDatos[[#This Row],[DiasOriginal]])</f>
        <v>12</v>
      </c>
      <c r="O1870" s="1">
        <f>TablaDatos[[#This Row],[FechaIngreso]]+TablaDatos[[#This Row],[DiasNuevo]]</f>
        <v>45145</v>
      </c>
    </row>
    <row r="1871" spans="1:15">
      <c r="A1871">
        <v>1870</v>
      </c>
      <c r="B1871" t="s">
        <v>263</v>
      </c>
      <c r="C1871" s="1">
        <v>39813</v>
      </c>
      <c r="D1871">
        <v>17</v>
      </c>
      <c r="E1871" s="4" t="s">
        <v>12</v>
      </c>
      <c r="F1871" t="s">
        <v>201</v>
      </c>
      <c r="G1871" s="1">
        <v>45301</v>
      </c>
      <c r="H1871" s="1">
        <f>TablaDatos[[#This Row],[FechaIngreso]]+TablaDatos[[#This Row],[DiasNuevo]]</f>
        <v>45336</v>
      </c>
      <c r="I1871">
        <v>35</v>
      </c>
      <c r="J1871" t="s">
        <v>19</v>
      </c>
      <c r="K1871" s="3">
        <v>1226.52</v>
      </c>
      <c r="L1871" t="b">
        <f>TablaDatos[[#This Row],[FechaAlta]] &lt; TablaDatos[[#This Row],[FechaIngreso]]</f>
        <v>0</v>
      </c>
      <c r="M1871">
        <f>_xlfn.XLOOKUP(TablaDatos[[#This Row],[PacienteID]],'Datos_Ejemplo.csv'!A:A,'Datos_Ejemplo.csv'!I:I)</f>
        <v>35</v>
      </c>
      <c r="N1871">
        <f>ABS(TablaDatos[[#This Row],[DiasOriginal]])</f>
        <v>35</v>
      </c>
      <c r="O1871" s="1">
        <f>TablaDatos[[#This Row],[FechaIngreso]]+TablaDatos[[#This Row],[DiasNuevo]]</f>
        <v>45336</v>
      </c>
    </row>
    <row r="1872" spans="1:15">
      <c r="A1872">
        <v>1871</v>
      </c>
      <c r="B1872" t="s">
        <v>269</v>
      </c>
      <c r="C1872" s="1">
        <v>12054</v>
      </c>
      <c r="D1872">
        <v>93</v>
      </c>
      <c r="E1872" s="4" t="s">
        <v>12</v>
      </c>
      <c r="F1872" t="s">
        <v>18</v>
      </c>
      <c r="G1872" s="1">
        <v>45209</v>
      </c>
      <c r="H1872" s="1">
        <f>TablaDatos[[#This Row],[FechaIngreso]]+TablaDatos[[#This Row],[DiasNuevo]]</f>
        <v>45246</v>
      </c>
      <c r="I1872">
        <v>37</v>
      </c>
      <c r="J1872" t="s">
        <v>19</v>
      </c>
      <c r="K1872" s="3">
        <v>18766.29</v>
      </c>
      <c r="L1872" t="b">
        <f>TablaDatos[[#This Row],[FechaAlta]] &lt; TablaDatos[[#This Row],[FechaIngreso]]</f>
        <v>0</v>
      </c>
      <c r="M1872">
        <f>_xlfn.XLOOKUP(TablaDatos[[#This Row],[PacienteID]],'Datos_Ejemplo.csv'!A:A,'Datos_Ejemplo.csv'!I:I)</f>
        <v>37</v>
      </c>
      <c r="N1872">
        <f>ABS(TablaDatos[[#This Row],[DiasOriginal]])</f>
        <v>37</v>
      </c>
      <c r="O1872" s="1">
        <f>TablaDatos[[#This Row],[FechaIngreso]]+TablaDatos[[#This Row],[DiasNuevo]]</f>
        <v>45246</v>
      </c>
    </row>
    <row r="1873" spans="1:15">
      <c r="A1873">
        <v>1872</v>
      </c>
      <c r="B1873" t="s">
        <v>130</v>
      </c>
      <c r="C1873" s="1">
        <v>23012</v>
      </c>
      <c r="D1873">
        <v>63</v>
      </c>
      <c r="E1873" s="4" t="s">
        <v>12</v>
      </c>
      <c r="F1873" t="s">
        <v>18</v>
      </c>
      <c r="G1873" s="1">
        <v>45404</v>
      </c>
      <c r="H1873" s="1">
        <f>TablaDatos[[#This Row],[FechaIngreso]]+TablaDatos[[#This Row],[DiasNuevo]]</f>
        <v>45415</v>
      </c>
      <c r="I1873">
        <v>11</v>
      </c>
      <c r="J1873" t="s">
        <v>19</v>
      </c>
      <c r="K1873" s="3">
        <v>465.87</v>
      </c>
      <c r="L1873" t="b">
        <f>TablaDatos[[#This Row],[FechaAlta]] &lt; TablaDatos[[#This Row],[FechaIngreso]]</f>
        <v>0</v>
      </c>
      <c r="M1873">
        <f>_xlfn.XLOOKUP(TablaDatos[[#This Row],[PacienteID]],'Datos_Ejemplo.csv'!A:A,'Datos_Ejemplo.csv'!I:I)</f>
        <v>11</v>
      </c>
      <c r="N1873">
        <f>ABS(TablaDatos[[#This Row],[DiasOriginal]])</f>
        <v>11</v>
      </c>
      <c r="O1873" s="1">
        <f>TablaDatos[[#This Row],[FechaIngreso]]+TablaDatos[[#This Row],[DiasNuevo]]</f>
        <v>45415</v>
      </c>
    </row>
    <row r="1874" spans="1:15">
      <c r="A1874">
        <v>1873</v>
      </c>
      <c r="B1874" t="s">
        <v>354</v>
      </c>
      <c r="C1874" s="1">
        <v>16437</v>
      </c>
      <c r="D1874">
        <v>81</v>
      </c>
      <c r="E1874" s="4" t="s">
        <v>12</v>
      </c>
      <c r="F1874" t="s">
        <v>18</v>
      </c>
      <c r="G1874" s="1">
        <v>44948</v>
      </c>
      <c r="H1874" s="1">
        <f>TablaDatos[[#This Row],[FechaIngreso]]+TablaDatos[[#This Row],[DiasNuevo]]</f>
        <v>44980</v>
      </c>
      <c r="I1874">
        <v>32</v>
      </c>
      <c r="J1874" t="s">
        <v>23</v>
      </c>
      <c r="K1874" s="3">
        <v>15396.68</v>
      </c>
      <c r="L1874" t="b">
        <f>TablaDatos[[#This Row],[FechaAlta]] &lt; TablaDatos[[#This Row],[FechaIngreso]]</f>
        <v>0</v>
      </c>
      <c r="M1874">
        <f>_xlfn.XLOOKUP(TablaDatos[[#This Row],[PacienteID]],'Datos_Ejemplo.csv'!A:A,'Datos_Ejemplo.csv'!I:I)</f>
        <v>32</v>
      </c>
      <c r="N1874">
        <f>ABS(TablaDatos[[#This Row],[DiasOriginal]])</f>
        <v>32</v>
      </c>
      <c r="O1874" s="1">
        <f>TablaDatos[[#This Row],[FechaIngreso]]+TablaDatos[[#This Row],[DiasNuevo]]</f>
        <v>44980</v>
      </c>
    </row>
    <row r="1875" spans="1:15">
      <c r="A1875">
        <v>1874</v>
      </c>
      <c r="B1875" t="s">
        <v>352</v>
      </c>
      <c r="C1875" s="1">
        <v>11689</v>
      </c>
      <c r="D1875">
        <v>94</v>
      </c>
      <c r="E1875" s="4" t="s">
        <v>12</v>
      </c>
      <c r="F1875" t="s">
        <v>32</v>
      </c>
      <c r="G1875" s="1">
        <v>45485</v>
      </c>
      <c r="H1875" s="1">
        <f>TablaDatos[[#This Row],[FechaIngreso]]+TablaDatos[[#This Row],[DiasNuevo]]</f>
        <v>45498</v>
      </c>
      <c r="I1875">
        <v>13</v>
      </c>
      <c r="J1875" t="s">
        <v>23</v>
      </c>
      <c r="K1875" s="3">
        <v>10646.96</v>
      </c>
      <c r="L1875" t="b">
        <f>TablaDatos[[#This Row],[FechaAlta]] &lt; TablaDatos[[#This Row],[FechaIngreso]]</f>
        <v>0</v>
      </c>
      <c r="M1875">
        <f>_xlfn.XLOOKUP(TablaDatos[[#This Row],[PacienteID]],'Datos_Ejemplo.csv'!A:A,'Datos_Ejemplo.csv'!I:I)</f>
        <v>13</v>
      </c>
      <c r="N1875">
        <f>ABS(TablaDatos[[#This Row],[DiasOriginal]])</f>
        <v>13</v>
      </c>
      <c r="O1875" s="1">
        <f>TablaDatos[[#This Row],[FechaIngreso]]+TablaDatos[[#This Row],[DiasNuevo]]</f>
        <v>45498</v>
      </c>
    </row>
    <row r="1876" spans="1:15">
      <c r="A1876">
        <v>1875</v>
      </c>
      <c r="B1876" t="s">
        <v>286</v>
      </c>
      <c r="C1876" s="1">
        <v>32508</v>
      </c>
      <c r="D1876">
        <v>37</v>
      </c>
      <c r="E1876" s="4" t="s">
        <v>197</v>
      </c>
      <c r="F1876" t="s">
        <v>261</v>
      </c>
      <c r="G1876" s="1">
        <v>45275</v>
      </c>
      <c r="H1876" s="1">
        <f>TablaDatos[[#This Row],[FechaIngreso]]+TablaDatos[[#This Row],[DiasNuevo]]</f>
        <v>45296</v>
      </c>
      <c r="I1876">
        <v>21</v>
      </c>
      <c r="J1876" t="s">
        <v>25</v>
      </c>
      <c r="K1876" s="3">
        <v>10065.1</v>
      </c>
      <c r="L1876" t="b">
        <f>TablaDatos[[#This Row],[FechaAlta]] &lt; TablaDatos[[#This Row],[FechaIngreso]]</f>
        <v>0</v>
      </c>
      <c r="M1876">
        <f>_xlfn.XLOOKUP(TablaDatos[[#This Row],[PacienteID]],'Datos_Ejemplo.csv'!A:A,'Datos_Ejemplo.csv'!I:I)</f>
        <v>21</v>
      </c>
      <c r="N1876">
        <f>ABS(TablaDatos[[#This Row],[DiasOriginal]])</f>
        <v>21</v>
      </c>
      <c r="O1876" s="1">
        <f>TablaDatos[[#This Row],[FechaIngreso]]+TablaDatos[[#This Row],[DiasNuevo]]</f>
        <v>45296</v>
      </c>
    </row>
    <row r="1877" spans="1:15">
      <c r="A1877">
        <v>1876</v>
      </c>
      <c r="B1877" t="s">
        <v>111</v>
      </c>
      <c r="C1877" s="1">
        <v>34700</v>
      </c>
      <c r="D1877">
        <v>31</v>
      </c>
      <c r="E1877" s="4" t="s">
        <v>12</v>
      </c>
      <c r="F1877" t="s">
        <v>32</v>
      </c>
      <c r="G1877" s="1">
        <v>45415</v>
      </c>
      <c r="H1877" s="1">
        <f>TablaDatos[[#This Row],[FechaIngreso]]+TablaDatos[[#This Row],[DiasNuevo]]</f>
        <v>45429</v>
      </c>
      <c r="I1877">
        <v>14</v>
      </c>
      <c r="J1877" t="s">
        <v>23</v>
      </c>
      <c r="K1877" s="3">
        <v>1362.85</v>
      </c>
      <c r="L1877" t="b">
        <f>TablaDatos[[#This Row],[FechaAlta]] &lt; TablaDatos[[#This Row],[FechaIngreso]]</f>
        <v>0</v>
      </c>
      <c r="M1877">
        <f>_xlfn.XLOOKUP(TablaDatos[[#This Row],[PacienteID]],'Datos_Ejemplo.csv'!A:A,'Datos_Ejemplo.csv'!I:I)</f>
        <v>14</v>
      </c>
      <c r="N1877">
        <f>ABS(TablaDatos[[#This Row],[DiasOriginal]])</f>
        <v>14</v>
      </c>
      <c r="O1877" s="1">
        <f>TablaDatos[[#This Row],[FechaIngreso]]+TablaDatos[[#This Row],[DiasNuevo]]</f>
        <v>45429</v>
      </c>
    </row>
    <row r="1878" spans="1:15">
      <c r="A1878">
        <v>1877</v>
      </c>
      <c r="B1878" t="s">
        <v>236</v>
      </c>
      <c r="C1878" s="1">
        <v>42370</v>
      </c>
      <c r="D1878">
        <v>10</v>
      </c>
      <c r="E1878" s="4" t="s">
        <v>15</v>
      </c>
      <c r="F1878" t="s">
        <v>201</v>
      </c>
      <c r="G1878" s="1">
        <v>45596</v>
      </c>
      <c r="H1878" s="1">
        <f>TablaDatos[[#This Row],[FechaIngreso]]+TablaDatos[[#This Row],[DiasNuevo]]</f>
        <v>45611</v>
      </c>
      <c r="I1878">
        <v>15</v>
      </c>
      <c r="J1878" t="s">
        <v>25</v>
      </c>
      <c r="K1878" s="3">
        <v>4698.7700000000004</v>
      </c>
      <c r="L1878" t="b">
        <f>TablaDatos[[#This Row],[FechaAlta]] &lt; TablaDatos[[#This Row],[FechaIngreso]]</f>
        <v>0</v>
      </c>
      <c r="M1878">
        <f>_xlfn.XLOOKUP(TablaDatos[[#This Row],[PacienteID]],'Datos_Ejemplo.csv'!A:A,'Datos_Ejemplo.csv'!I:I)</f>
        <v>15</v>
      </c>
      <c r="N1878">
        <f>ABS(TablaDatos[[#This Row],[DiasOriginal]])</f>
        <v>15</v>
      </c>
      <c r="O1878" s="1">
        <f>TablaDatos[[#This Row],[FechaIngreso]]+TablaDatos[[#This Row],[DiasNuevo]]</f>
        <v>45611</v>
      </c>
    </row>
    <row r="1879" spans="1:15">
      <c r="A1879">
        <v>1878</v>
      </c>
      <c r="B1879" t="s">
        <v>105</v>
      </c>
      <c r="C1879" s="1">
        <v>29951</v>
      </c>
      <c r="D1879">
        <v>44</v>
      </c>
      <c r="E1879" s="4" t="s">
        <v>15</v>
      </c>
      <c r="F1879" t="s">
        <v>21</v>
      </c>
      <c r="G1879" s="1">
        <v>45184</v>
      </c>
      <c r="H1879" s="1">
        <f>TablaDatos[[#This Row],[FechaIngreso]]+TablaDatos[[#This Row],[DiasNuevo]]</f>
        <v>45223</v>
      </c>
      <c r="I1879">
        <v>39</v>
      </c>
      <c r="J1879" t="s">
        <v>25</v>
      </c>
      <c r="K1879" s="3">
        <v>15528.7</v>
      </c>
      <c r="L1879" t="b">
        <f>TablaDatos[[#This Row],[FechaAlta]] &lt; TablaDatos[[#This Row],[FechaIngreso]]</f>
        <v>0</v>
      </c>
      <c r="M1879">
        <f>_xlfn.XLOOKUP(TablaDatos[[#This Row],[PacienteID]],'Datos_Ejemplo.csv'!A:A,'Datos_Ejemplo.csv'!I:I)</f>
        <v>39</v>
      </c>
      <c r="N1879">
        <f>ABS(TablaDatos[[#This Row],[DiasOriginal]])</f>
        <v>39</v>
      </c>
      <c r="O1879" s="1">
        <f>TablaDatos[[#This Row],[FechaIngreso]]+TablaDatos[[#This Row],[DiasNuevo]]</f>
        <v>45223</v>
      </c>
    </row>
    <row r="1880" spans="1:15">
      <c r="A1880">
        <v>1879</v>
      </c>
      <c r="B1880" t="s">
        <v>339</v>
      </c>
      <c r="C1880" s="1">
        <v>13880</v>
      </c>
      <c r="D1880">
        <v>88</v>
      </c>
      <c r="E1880" s="4" t="s">
        <v>12</v>
      </c>
      <c r="F1880" t="s">
        <v>295</v>
      </c>
      <c r="G1880" s="1">
        <v>45581</v>
      </c>
      <c r="H1880" s="1">
        <f>TablaDatos[[#This Row],[FechaIngreso]]+TablaDatos[[#This Row],[DiasNuevo]]</f>
        <v>45595</v>
      </c>
      <c r="I1880">
        <v>14</v>
      </c>
      <c r="J1880" t="s">
        <v>19</v>
      </c>
      <c r="K1880" s="3">
        <v>17814.32</v>
      </c>
      <c r="L1880" t="b">
        <f>TablaDatos[[#This Row],[FechaAlta]] &lt; TablaDatos[[#This Row],[FechaIngreso]]</f>
        <v>0</v>
      </c>
      <c r="M1880">
        <f>_xlfn.XLOOKUP(TablaDatos[[#This Row],[PacienteID]],'Datos_Ejemplo.csv'!A:A,'Datos_Ejemplo.csv'!I:I)</f>
        <v>14</v>
      </c>
      <c r="N1880">
        <f>ABS(TablaDatos[[#This Row],[DiasOriginal]])</f>
        <v>14</v>
      </c>
      <c r="O1880" s="1">
        <f>TablaDatos[[#This Row],[FechaIngreso]]+TablaDatos[[#This Row],[DiasNuevo]]</f>
        <v>45595</v>
      </c>
    </row>
    <row r="1881" spans="1:15">
      <c r="A1881">
        <v>1880</v>
      </c>
      <c r="B1881" t="s">
        <v>252</v>
      </c>
      <c r="C1881" s="1">
        <v>34334</v>
      </c>
      <c r="D1881">
        <v>32</v>
      </c>
      <c r="E1881" s="4" t="s">
        <v>15</v>
      </c>
      <c r="F1881" t="s">
        <v>261</v>
      </c>
      <c r="G1881" s="1">
        <v>44973</v>
      </c>
      <c r="H1881" s="1">
        <f>TablaDatos[[#This Row],[FechaIngreso]]+TablaDatos[[#This Row],[DiasNuevo]]</f>
        <v>44986</v>
      </c>
      <c r="I1881">
        <v>13</v>
      </c>
      <c r="J1881" t="s">
        <v>25</v>
      </c>
      <c r="K1881" s="3">
        <v>10535.29</v>
      </c>
      <c r="L1881" t="b">
        <f>TablaDatos[[#This Row],[FechaAlta]] &lt; TablaDatos[[#This Row],[FechaIngreso]]</f>
        <v>0</v>
      </c>
      <c r="M1881">
        <f>_xlfn.XLOOKUP(TablaDatos[[#This Row],[PacienteID]],'Datos_Ejemplo.csv'!A:A,'Datos_Ejemplo.csv'!I:I)</f>
        <v>13</v>
      </c>
      <c r="N1881">
        <f>ABS(TablaDatos[[#This Row],[DiasOriginal]])</f>
        <v>13</v>
      </c>
      <c r="O1881" s="1">
        <f>TablaDatos[[#This Row],[FechaIngreso]]+TablaDatos[[#This Row],[DiasNuevo]]</f>
        <v>44986</v>
      </c>
    </row>
    <row r="1882" spans="1:15">
      <c r="A1882">
        <v>1881</v>
      </c>
      <c r="B1882" t="s">
        <v>287</v>
      </c>
      <c r="C1882" s="1">
        <v>31412</v>
      </c>
      <c r="D1882">
        <v>40</v>
      </c>
      <c r="E1882" s="4" t="s">
        <v>12</v>
      </c>
      <c r="F1882" t="s">
        <v>13</v>
      </c>
      <c r="G1882" s="1">
        <v>44953</v>
      </c>
      <c r="H1882" s="1">
        <f>TablaDatos[[#This Row],[FechaIngreso]]+TablaDatos[[#This Row],[DiasNuevo]]</f>
        <v>44971</v>
      </c>
      <c r="I1882">
        <v>18</v>
      </c>
      <c r="J1882" t="s">
        <v>25</v>
      </c>
      <c r="K1882" s="3">
        <v>7002.2</v>
      </c>
      <c r="L1882" t="b">
        <f>TablaDatos[[#This Row],[FechaAlta]] &lt; TablaDatos[[#This Row],[FechaIngreso]]</f>
        <v>0</v>
      </c>
      <c r="M1882">
        <f>_xlfn.XLOOKUP(TablaDatos[[#This Row],[PacienteID]],'Datos_Ejemplo.csv'!A:A,'Datos_Ejemplo.csv'!I:I)</f>
        <v>18</v>
      </c>
      <c r="N1882">
        <f>ABS(TablaDatos[[#This Row],[DiasOriginal]])</f>
        <v>18</v>
      </c>
      <c r="O1882" s="1">
        <f>TablaDatos[[#This Row],[FechaIngreso]]+TablaDatos[[#This Row],[DiasNuevo]]</f>
        <v>44971</v>
      </c>
    </row>
    <row r="1883" spans="1:15">
      <c r="A1883">
        <v>1882</v>
      </c>
      <c r="B1883" t="s">
        <v>255</v>
      </c>
      <c r="C1883" s="1">
        <v>43466</v>
      </c>
      <c r="D1883">
        <v>7</v>
      </c>
      <c r="E1883" s="4" t="s">
        <v>15</v>
      </c>
      <c r="F1883" t="s">
        <v>13</v>
      </c>
      <c r="G1883" s="1">
        <v>44953</v>
      </c>
      <c r="H1883" s="1">
        <f>TablaDatos[[#This Row],[FechaIngreso]]+TablaDatos[[#This Row],[DiasNuevo]]</f>
        <v>44974</v>
      </c>
      <c r="I1883">
        <v>21</v>
      </c>
      <c r="J1883" t="s">
        <v>23</v>
      </c>
      <c r="K1883" s="3">
        <v>1104.8599999999999</v>
      </c>
      <c r="L1883" t="b">
        <f>TablaDatos[[#This Row],[FechaAlta]] &lt; TablaDatos[[#This Row],[FechaIngreso]]</f>
        <v>0</v>
      </c>
      <c r="M1883">
        <f>_xlfn.XLOOKUP(TablaDatos[[#This Row],[PacienteID]],'Datos_Ejemplo.csv'!A:A,'Datos_Ejemplo.csv'!I:I)</f>
        <v>21</v>
      </c>
      <c r="N1883">
        <f>ABS(TablaDatos[[#This Row],[DiasOriginal]])</f>
        <v>21</v>
      </c>
      <c r="O1883" s="1">
        <f>TablaDatos[[#This Row],[FechaIngreso]]+TablaDatos[[#This Row],[DiasNuevo]]</f>
        <v>44974</v>
      </c>
    </row>
    <row r="1884" spans="1:15">
      <c r="A1884">
        <v>1883</v>
      </c>
      <c r="B1884" t="s">
        <v>275</v>
      </c>
      <c r="C1884" s="1">
        <v>42370</v>
      </c>
      <c r="D1884">
        <v>10</v>
      </c>
      <c r="E1884" s="4" t="s">
        <v>15</v>
      </c>
      <c r="F1884" t="s">
        <v>201</v>
      </c>
      <c r="G1884" s="1">
        <v>45323</v>
      </c>
      <c r="H1884" s="1">
        <f>TablaDatos[[#This Row],[FechaIngreso]]+TablaDatos[[#This Row],[DiasNuevo]]</f>
        <v>45354</v>
      </c>
      <c r="I1884">
        <v>31</v>
      </c>
      <c r="J1884" t="s">
        <v>19</v>
      </c>
      <c r="K1884" s="3">
        <v>13611.79</v>
      </c>
      <c r="L1884" t="b">
        <f>TablaDatos[[#This Row],[FechaAlta]] &lt; TablaDatos[[#This Row],[FechaIngreso]]</f>
        <v>0</v>
      </c>
      <c r="M1884">
        <f>_xlfn.XLOOKUP(TablaDatos[[#This Row],[PacienteID]],'Datos_Ejemplo.csv'!A:A,'Datos_Ejemplo.csv'!I:I)</f>
        <v>31</v>
      </c>
      <c r="N1884">
        <f>ABS(TablaDatos[[#This Row],[DiasOriginal]])</f>
        <v>31</v>
      </c>
      <c r="O1884" s="1">
        <f>TablaDatos[[#This Row],[FechaIngreso]]+TablaDatos[[#This Row],[DiasNuevo]]</f>
        <v>45354</v>
      </c>
    </row>
    <row r="1885" spans="1:15">
      <c r="A1885">
        <v>1884</v>
      </c>
      <c r="B1885" t="s">
        <v>310</v>
      </c>
      <c r="C1885" s="1">
        <v>14976</v>
      </c>
      <c r="D1885">
        <v>85</v>
      </c>
      <c r="E1885" s="4" t="s">
        <v>12</v>
      </c>
      <c r="F1885" t="s">
        <v>13</v>
      </c>
      <c r="G1885" s="1">
        <v>45071</v>
      </c>
      <c r="H1885" s="1">
        <f>TablaDatos[[#This Row],[FechaIngreso]]+TablaDatos[[#This Row],[DiasNuevo]]</f>
        <v>45104</v>
      </c>
      <c r="I1885">
        <v>33</v>
      </c>
      <c r="J1885" t="s">
        <v>25</v>
      </c>
      <c r="K1885" s="3">
        <v>5496.78</v>
      </c>
      <c r="L1885" t="b">
        <f>TablaDatos[[#This Row],[FechaAlta]] &lt; TablaDatos[[#This Row],[FechaIngreso]]</f>
        <v>0</v>
      </c>
      <c r="M1885">
        <f>_xlfn.XLOOKUP(TablaDatos[[#This Row],[PacienteID]],'Datos_Ejemplo.csv'!A:A,'Datos_Ejemplo.csv'!I:I)</f>
        <v>33</v>
      </c>
      <c r="N1885">
        <f>ABS(TablaDatos[[#This Row],[DiasOriginal]])</f>
        <v>33</v>
      </c>
      <c r="O1885" s="1">
        <f>TablaDatos[[#This Row],[FechaIngreso]]+TablaDatos[[#This Row],[DiasNuevo]]</f>
        <v>45104</v>
      </c>
    </row>
    <row r="1886" spans="1:15">
      <c r="A1886">
        <v>1885</v>
      </c>
      <c r="B1886" t="s">
        <v>285</v>
      </c>
      <c r="C1886" s="1">
        <v>27760</v>
      </c>
      <c r="D1886">
        <v>50</v>
      </c>
      <c r="E1886" s="4" t="s">
        <v>15</v>
      </c>
      <c r="F1886" t="s">
        <v>201</v>
      </c>
      <c r="G1886" s="1">
        <v>45513</v>
      </c>
      <c r="H1886" s="1">
        <f>TablaDatos[[#This Row],[FechaIngreso]]+TablaDatos[[#This Row],[DiasNuevo]]</f>
        <v>45537</v>
      </c>
      <c r="I1886">
        <v>24</v>
      </c>
      <c r="J1886" t="s">
        <v>25</v>
      </c>
      <c r="K1886" s="3">
        <v>1005.78</v>
      </c>
      <c r="L1886" t="b">
        <f>TablaDatos[[#This Row],[FechaAlta]] &lt; TablaDatos[[#This Row],[FechaIngreso]]</f>
        <v>0</v>
      </c>
      <c r="M1886">
        <f>_xlfn.XLOOKUP(TablaDatos[[#This Row],[PacienteID]],'Datos_Ejemplo.csv'!A:A,'Datos_Ejemplo.csv'!I:I)</f>
        <v>24</v>
      </c>
      <c r="N1886">
        <f>ABS(TablaDatos[[#This Row],[DiasOriginal]])</f>
        <v>24</v>
      </c>
      <c r="O1886" s="1">
        <f>TablaDatos[[#This Row],[FechaIngreso]]+TablaDatos[[#This Row],[DiasNuevo]]</f>
        <v>45537</v>
      </c>
    </row>
    <row r="1887" spans="1:15">
      <c r="A1887">
        <v>1886</v>
      </c>
      <c r="B1887" t="s">
        <v>164</v>
      </c>
      <c r="C1887" s="1">
        <v>14246</v>
      </c>
      <c r="D1887">
        <v>87</v>
      </c>
      <c r="E1887" s="4" t="s">
        <v>15</v>
      </c>
      <c r="F1887" t="s">
        <v>21</v>
      </c>
      <c r="G1887" s="1">
        <v>45625</v>
      </c>
      <c r="H1887" s="1">
        <f>TablaDatos[[#This Row],[FechaIngreso]]+TablaDatos[[#This Row],[DiasNuevo]]</f>
        <v>45661</v>
      </c>
      <c r="I1887">
        <v>36</v>
      </c>
      <c r="J1887" t="s">
        <v>25</v>
      </c>
      <c r="K1887" s="3">
        <v>13283.62</v>
      </c>
      <c r="L1887" t="b">
        <f>TablaDatos[[#This Row],[FechaAlta]] &lt; TablaDatos[[#This Row],[FechaIngreso]]</f>
        <v>0</v>
      </c>
      <c r="M1887">
        <f>_xlfn.XLOOKUP(TablaDatos[[#This Row],[PacienteID]],'Datos_Ejemplo.csv'!A:A,'Datos_Ejemplo.csv'!I:I)</f>
        <v>36</v>
      </c>
      <c r="N1887">
        <f>ABS(TablaDatos[[#This Row],[DiasOriginal]])</f>
        <v>36</v>
      </c>
      <c r="O1887" s="1">
        <f>TablaDatos[[#This Row],[FechaIngreso]]+TablaDatos[[#This Row],[DiasNuevo]]</f>
        <v>45661</v>
      </c>
    </row>
    <row r="1888" spans="1:15">
      <c r="A1888">
        <v>1887</v>
      </c>
      <c r="B1888" t="s">
        <v>269</v>
      </c>
      <c r="C1888" s="1">
        <v>31412</v>
      </c>
      <c r="D1888">
        <v>40</v>
      </c>
      <c r="E1888" s="4" t="s">
        <v>15</v>
      </c>
      <c r="F1888" t="s">
        <v>21</v>
      </c>
      <c r="G1888" s="1">
        <v>45448</v>
      </c>
      <c r="H1888" s="1">
        <f>TablaDatos[[#This Row],[FechaIngreso]]+TablaDatos[[#This Row],[DiasNuevo]]</f>
        <v>45462</v>
      </c>
      <c r="I1888">
        <v>14</v>
      </c>
      <c r="J1888" t="s">
        <v>23</v>
      </c>
      <c r="K1888" s="3">
        <v>9662.9699999999993</v>
      </c>
      <c r="L1888" t="b">
        <f>TablaDatos[[#This Row],[FechaAlta]] &lt; TablaDatos[[#This Row],[FechaIngreso]]</f>
        <v>0</v>
      </c>
      <c r="M1888">
        <f>_xlfn.XLOOKUP(TablaDatos[[#This Row],[PacienteID]],'Datos_Ejemplo.csv'!A:A,'Datos_Ejemplo.csv'!I:I)</f>
        <v>14</v>
      </c>
      <c r="N1888">
        <f>ABS(TablaDatos[[#This Row],[DiasOriginal]])</f>
        <v>14</v>
      </c>
      <c r="O1888" s="1">
        <f>TablaDatos[[#This Row],[FechaIngreso]]+TablaDatos[[#This Row],[DiasNuevo]]</f>
        <v>45462</v>
      </c>
    </row>
    <row r="1889" spans="1:15">
      <c r="A1889">
        <v>1888</v>
      </c>
      <c r="B1889" t="s">
        <v>61</v>
      </c>
      <c r="C1889" s="1">
        <v>40178</v>
      </c>
      <c r="D1889">
        <v>16</v>
      </c>
      <c r="E1889" s="4" t="s">
        <v>12</v>
      </c>
      <c r="F1889" t="s">
        <v>18</v>
      </c>
      <c r="G1889" s="1">
        <v>45047</v>
      </c>
      <c r="H1889" s="1">
        <f>TablaDatos[[#This Row],[FechaIngreso]]+TablaDatos[[#This Row],[DiasNuevo]]</f>
        <v>45069</v>
      </c>
      <c r="I1889">
        <v>22</v>
      </c>
      <c r="J1889" t="s">
        <v>23</v>
      </c>
      <c r="K1889" s="3">
        <v>140.44</v>
      </c>
      <c r="L1889" t="b">
        <f>TablaDatos[[#This Row],[FechaAlta]] &lt; TablaDatos[[#This Row],[FechaIngreso]]</f>
        <v>0</v>
      </c>
      <c r="M1889">
        <f>_xlfn.XLOOKUP(TablaDatos[[#This Row],[PacienteID]],'Datos_Ejemplo.csv'!A:A,'Datos_Ejemplo.csv'!I:I)</f>
        <v>22</v>
      </c>
      <c r="N1889">
        <f>ABS(TablaDatos[[#This Row],[DiasOriginal]])</f>
        <v>22</v>
      </c>
      <c r="O1889" s="1">
        <f>TablaDatos[[#This Row],[FechaIngreso]]+TablaDatos[[#This Row],[DiasNuevo]]</f>
        <v>45069</v>
      </c>
    </row>
    <row r="1890" spans="1:15">
      <c r="A1890">
        <v>1889</v>
      </c>
      <c r="B1890" t="s">
        <v>334</v>
      </c>
      <c r="C1890" s="1">
        <v>18629</v>
      </c>
      <c r="D1890">
        <v>75</v>
      </c>
      <c r="E1890" s="4" t="s">
        <v>15</v>
      </c>
      <c r="F1890" t="s">
        <v>295</v>
      </c>
      <c r="G1890" s="1">
        <v>45388</v>
      </c>
      <c r="H1890" s="1">
        <f>TablaDatos[[#This Row],[FechaIngreso]]+TablaDatos[[#This Row],[DiasNuevo]]</f>
        <v>45423</v>
      </c>
      <c r="I1890">
        <v>35</v>
      </c>
      <c r="J1890" t="s">
        <v>19</v>
      </c>
      <c r="K1890" s="3">
        <v>2129.5700000000002</v>
      </c>
      <c r="L1890" t="b">
        <f>TablaDatos[[#This Row],[FechaAlta]] &lt; TablaDatos[[#This Row],[FechaIngreso]]</f>
        <v>0</v>
      </c>
      <c r="M1890">
        <f>_xlfn.XLOOKUP(TablaDatos[[#This Row],[PacienteID]],'Datos_Ejemplo.csv'!A:A,'Datos_Ejemplo.csv'!I:I)</f>
        <v>35</v>
      </c>
      <c r="N1890">
        <f>ABS(TablaDatos[[#This Row],[DiasOriginal]])</f>
        <v>35</v>
      </c>
      <c r="O1890" s="1">
        <f>TablaDatos[[#This Row],[FechaIngreso]]+TablaDatos[[#This Row],[DiasNuevo]]</f>
        <v>45423</v>
      </c>
    </row>
    <row r="1891" spans="1:15">
      <c r="A1891">
        <v>1890</v>
      </c>
      <c r="B1891" t="s">
        <v>361</v>
      </c>
      <c r="C1891" s="1">
        <v>29586</v>
      </c>
      <c r="D1891">
        <v>45</v>
      </c>
      <c r="E1891" s="4" t="s">
        <v>12</v>
      </c>
      <c r="F1891" t="s">
        <v>18</v>
      </c>
      <c r="G1891" s="1">
        <v>45603</v>
      </c>
      <c r="H1891" s="1">
        <f>TablaDatos[[#This Row],[FechaIngreso]]+TablaDatos[[#This Row],[DiasNuevo]]</f>
        <v>45642</v>
      </c>
      <c r="I1891">
        <v>39</v>
      </c>
      <c r="J1891" t="s">
        <v>23</v>
      </c>
      <c r="K1891" s="3">
        <v>13953.96</v>
      </c>
      <c r="L1891" t="b">
        <f>TablaDatos[[#This Row],[FechaAlta]] &lt; TablaDatos[[#This Row],[FechaIngreso]]</f>
        <v>0</v>
      </c>
      <c r="M1891">
        <f>_xlfn.XLOOKUP(TablaDatos[[#This Row],[PacienteID]],'Datos_Ejemplo.csv'!A:A,'Datos_Ejemplo.csv'!I:I)</f>
        <v>39</v>
      </c>
      <c r="N1891">
        <f>ABS(TablaDatos[[#This Row],[DiasOriginal]])</f>
        <v>39</v>
      </c>
      <c r="O1891" s="1">
        <f>TablaDatos[[#This Row],[FechaIngreso]]+TablaDatos[[#This Row],[DiasNuevo]]</f>
        <v>45642</v>
      </c>
    </row>
    <row r="1892" spans="1:15">
      <c r="A1892">
        <v>1891</v>
      </c>
      <c r="B1892" t="s">
        <v>329</v>
      </c>
      <c r="C1892" s="1">
        <v>34700</v>
      </c>
      <c r="D1892">
        <v>31</v>
      </c>
      <c r="E1892" s="4" t="s">
        <v>15</v>
      </c>
      <c r="F1892" t="s">
        <v>21</v>
      </c>
      <c r="G1892" s="1">
        <v>45308</v>
      </c>
      <c r="H1892" s="1">
        <f>TablaDatos[[#This Row],[FechaIngreso]]+TablaDatos[[#This Row],[DiasNuevo]]</f>
        <v>45326</v>
      </c>
      <c r="I1892">
        <v>18</v>
      </c>
      <c r="J1892" t="s">
        <v>19</v>
      </c>
      <c r="K1892" s="3">
        <v>1179.79</v>
      </c>
      <c r="L1892" t="b">
        <f>TablaDatos[[#This Row],[FechaAlta]] &lt; TablaDatos[[#This Row],[FechaIngreso]]</f>
        <v>0</v>
      </c>
      <c r="M1892">
        <f>_xlfn.XLOOKUP(TablaDatos[[#This Row],[PacienteID]],'Datos_Ejemplo.csv'!A:A,'Datos_Ejemplo.csv'!I:I)</f>
        <v>18</v>
      </c>
      <c r="N1892">
        <f>ABS(TablaDatos[[#This Row],[DiasOriginal]])</f>
        <v>18</v>
      </c>
      <c r="O1892" s="1">
        <f>TablaDatos[[#This Row],[FechaIngreso]]+TablaDatos[[#This Row],[DiasNuevo]]</f>
        <v>45326</v>
      </c>
    </row>
    <row r="1893" spans="1:15">
      <c r="A1893">
        <v>1892</v>
      </c>
      <c r="B1893" t="s">
        <v>299</v>
      </c>
      <c r="C1893" s="1">
        <v>17533</v>
      </c>
      <c r="D1893">
        <v>78</v>
      </c>
      <c r="E1893" s="4" t="s">
        <v>12</v>
      </c>
      <c r="F1893" t="s">
        <v>32</v>
      </c>
      <c r="G1893" s="1">
        <v>45599</v>
      </c>
      <c r="H1893" s="1">
        <f>TablaDatos[[#This Row],[FechaIngreso]]+TablaDatos[[#This Row],[DiasNuevo]]</f>
        <v>45600</v>
      </c>
      <c r="I1893">
        <v>1</v>
      </c>
      <c r="J1893" t="s">
        <v>23</v>
      </c>
      <c r="K1893" s="3">
        <v>17305.86</v>
      </c>
      <c r="L1893" t="b">
        <f>TablaDatos[[#This Row],[FechaAlta]] &lt; TablaDatos[[#This Row],[FechaIngreso]]</f>
        <v>0</v>
      </c>
      <c r="M1893">
        <f>_xlfn.XLOOKUP(TablaDatos[[#This Row],[PacienteID]],'Datos_Ejemplo.csv'!A:A,'Datos_Ejemplo.csv'!I:I)</f>
        <v>1</v>
      </c>
      <c r="N1893">
        <f>ABS(TablaDatos[[#This Row],[DiasOriginal]])</f>
        <v>1</v>
      </c>
      <c r="O1893" s="1">
        <f>TablaDatos[[#This Row],[FechaIngreso]]+TablaDatos[[#This Row],[DiasNuevo]]</f>
        <v>45600</v>
      </c>
    </row>
    <row r="1894" spans="1:15">
      <c r="A1894">
        <v>1893</v>
      </c>
      <c r="B1894" t="s">
        <v>249</v>
      </c>
      <c r="C1894" s="1">
        <v>17168</v>
      </c>
      <c r="D1894">
        <v>79</v>
      </c>
      <c r="E1894" s="4" t="s">
        <v>15</v>
      </c>
      <c r="F1894" t="s">
        <v>18</v>
      </c>
      <c r="G1894" s="1">
        <v>45344</v>
      </c>
      <c r="H1894" s="1">
        <f>TablaDatos[[#This Row],[FechaIngreso]]+TablaDatos[[#This Row],[DiasNuevo]]</f>
        <v>45366</v>
      </c>
      <c r="I1894">
        <v>22</v>
      </c>
      <c r="J1894" t="s">
        <v>19</v>
      </c>
      <c r="K1894" s="3">
        <v>6157.66</v>
      </c>
      <c r="L1894" t="b">
        <f>TablaDatos[[#This Row],[FechaAlta]] &lt; TablaDatos[[#This Row],[FechaIngreso]]</f>
        <v>0</v>
      </c>
      <c r="M1894">
        <f>_xlfn.XLOOKUP(TablaDatos[[#This Row],[PacienteID]],'Datos_Ejemplo.csv'!A:A,'Datos_Ejemplo.csv'!I:I)</f>
        <v>22</v>
      </c>
      <c r="N1894">
        <f>ABS(TablaDatos[[#This Row],[DiasOriginal]])</f>
        <v>22</v>
      </c>
      <c r="O1894" s="1">
        <f>TablaDatos[[#This Row],[FechaIngreso]]+TablaDatos[[#This Row],[DiasNuevo]]</f>
        <v>45366</v>
      </c>
    </row>
    <row r="1895" spans="1:15">
      <c r="A1895">
        <v>1894</v>
      </c>
      <c r="B1895" t="s">
        <v>366</v>
      </c>
      <c r="C1895" s="1">
        <v>26664</v>
      </c>
      <c r="D1895">
        <v>53</v>
      </c>
      <c r="E1895" s="4" t="s">
        <v>15</v>
      </c>
      <c r="F1895" t="s">
        <v>261</v>
      </c>
      <c r="G1895" s="1">
        <v>45253</v>
      </c>
      <c r="H1895" s="1">
        <f>TablaDatos[[#This Row],[FechaIngreso]]+TablaDatos[[#This Row],[DiasNuevo]]</f>
        <v>45280</v>
      </c>
      <c r="I1895">
        <v>27</v>
      </c>
      <c r="J1895" t="s">
        <v>23</v>
      </c>
      <c r="K1895" s="3">
        <v>1682.2</v>
      </c>
      <c r="L1895" t="b">
        <f>TablaDatos[[#This Row],[FechaAlta]] &lt; TablaDatos[[#This Row],[FechaIngreso]]</f>
        <v>0</v>
      </c>
      <c r="M1895">
        <f>_xlfn.XLOOKUP(TablaDatos[[#This Row],[PacienteID]],'Datos_Ejemplo.csv'!A:A,'Datos_Ejemplo.csv'!I:I)</f>
        <v>27</v>
      </c>
      <c r="N1895">
        <f>ABS(TablaDatos[[#This Row],[DiasOriginal]])</f>
        <v>27</v>
      </c>
      <c r="O1895" s="1">
        <f>TablaDatos[[#This Row],[FechaIngreso]]+TablaDatos[[#This Row],[DiasNuevo]]</f>
        <v>45280</v>
      </c>
    </row>
    <row r="1896" spans="1:15">
      <c r="A1896">
        <v>1895</v>
      </c>
      <c r="B1896" t="s">
        <v>67</v>
      </c>
      <c r="C1896" s="1">
        <v>14976</v>
      </c>
      <c r="D1896">
        <v>85</v>
      </c>
      <c r="E1896" s="4" t="s">
        <v>15</v>
      </c>
      <c r="F1896" t="s">
        <v>21</v>
      </c>
      <c r="G1896" s="1">
        <v>45317</v>
      </c>
      <c r="H1896" s="1">
        <f>TablaDatos[[#This Row],[FechaIngreso]]+TablaDatos[[#This Row],[DiasNuevo]]</f>
        <v>45347</v>
      </c>
      <c r="I1896">
        <v>30</v>
      </c>
      <c r="J1896" t="s">
        <v>19</v>
      </c>
      <c r="K1896" s="3">
        <v>15171.12</v>
      </c>
      <c r="L1896" t="b">
        <f>TablaDatos[[#This Row],[FechaAlta]] &lt; TablaDatos[[#This Row],[FechaIngreso]]</f>
        <v>0</v>
      </c>
      <c r="M1896">
        <f>_xlfn.XLOOKUP(TablaDatos[[#This Row],[PacienteID]],'Datos_Ejemplo.csv'!A:A,'Datos_Ejemplo.csv'!I:I)</f>
        <v>30</v>
      </c>
      <c r="N1896">
        <f>ABS(TablaDatos[[#This Row],[DiasOriginal]])</f>
        <v>30</v>
      </c>
      <c r="O1896" s="1">
        <f>TablaDatos[[#This Row],[FechaIngreso]]+TablaDatos[[#This Row],[DiasNuevo]]</f>
        <v>45347</v>
      </c>
    </row>
    <row r="1897" spans="1:15">
      <c r="A1897">
        <v>1896</v>
      </c>
      <c r="B1897" t="s">
        <v>102</v>
      </c>
      <c r="C1897" s="1">
        <v>12785</v>
      </c>
      <c r="D1897">
        <v>91</v>
      </c>
      <c r="E1897" s="4" t="s">
        <v>15</v>
      </c>
      <c r="F1897" t="s">
        <v>21</v>
      </c>
      <c r="G1897" s="1">
        <v>45223</v>
      </c>
      <c r="H1897" s="1">
        <f>TablaDatos[[#This Row],[FechaIngreso]]+TablaDatos[[#This Row],[DiasNuevo]]</f>
        <v>45259</v>
      </c>
      <c r="I1897">
        <v>36</v>
      </c>
      <c r="J1897" t="s">
        <v>25</v>
      </c>
      <c r="K1897" s="3">
        <v>10440.99</v>
      </c>
      <c r="L1897" t="b">
        <f>TablaDatos[[#This Row],[FechaAlta]] &lt; TablaDatos[[#This Row],[FechaIngreso]]</f>
        <v>0</v>
      </c>
      <c r="M1897">
        <f>_xlfn.XLOOKUP(TablaDatos[[#This Row],[PacienteID]],'Datos_Ejemplo.csv'!A:A,'Datos_Ejemplo.csv'!I:I)</f>
        <v>36</v>
      </c>
      <c r="N1897">
        <f>ABS(TablaDatos[[#This Row],[DiasOriginal]])</f>
        <v>36</v>
      </c>
      <c r="O1897" s="1">
        <f>TablaDatos[[#This Row],[FechaIngreso]]+TablaDatos[[#This Row],[DiasNuevo]]</f>
        <v>45259</v>
      </c>
    </row>
    <row r="1898" spans="1:15">
      <c r="A1898">
        <v>1897</v>
      </c>
      <c r="B1898" t="s">
        <v>286</v>
      </c>
      <c r="C1898" s="1">
        <v>39083</v>
      </c>
      <c r="D1898">
        <v>19</v>
      </c>
      <c r="E1898" s="4" t="s">
        <v>12</v>
      </c>
      <c r="F1898" t="s">
        <v>32</v>
      </c>
      <c r="G1898" s="1">
        <v>45556</v>
      </c>
      <c r="H1898" s="1">
        <f>TablaDatos[[#This Row],[FechaIngreso]]+TablaDatos[[#This Row],[DiasNuevo]]</f>
        <v>45579</v>
      </c>
      <c r="I1898">
        <v>23</v>
      </c>
      <c r="J1898" t="s">
        <v>23</v>
      </c>
      <c r="K1898" s="3">
        <v>6063.46</v>
      </c>
      <c r="L1898" t="b">
        <f>TablaDatos[[#This Row],[FechaAlta]] &lt; TablaDatos[[#This Row],[FechaIngreso]]</f>
        <v>0</v>
      </c>
      <c r="M1898">
        <f>_xlfn.XLOOKUP(TablaDatos[[#This Row],[PacienteID]],'Datos_Ejemplo.csv'!A:A,'Datos_Ejemplo.csv'!I:I)</f>
        <v>23</v>
      </c>
      <c r="N1898">
        <f>ABS(TablaDatos[[#This Row],[DiasOriginal]])</f>
        <v>23</v>
      </c>
      <c r="O1898" s="1">
        <f>TablaDatos[[#This Row],[FechaIngreso]]+TablaDatos[[#This Row],[DiasNuevo]]</f>
        <v>45579</v>
      </c>
    </row>
    <row r="1899" spans="1:15">
      <c r="A1899">
        <v>1898</v>
      </c>
      <c r="B1899" t="s">
        <v>164</v>
      </c>
      <c r="C1899" s="1">
        <v>34334</v>
      </c>
      <c r="D1899">
        <v>32</v>
      </c>
      <c r="E1899" s="4" t="s">
        <v>15</v>
      </c>
      <c r="F1899" t="s">
        <v>32</v>
      </c>
      <c r="G1899" s="1">
        <v>45010</v>
      </c>
      <c r="H1899" s="1">
        <f>TablaDatos[[#This Row],[FechaIngreso]]+TablaDatos[[#This Row],[DiasNuevo]]</f>
        <v>45032</v>
      </c>
      <c r="I1899">
        <v>22</v>
      </c>
      <c r="J1899" t="s">
        <v>23</v>
      </c>
      <c r="K1899" s="3">
        <v>8062.58</v>
      </c>
      <c r="L1899" t="b">
        <f>TablaDatos[[#This Row],[FechaAlta]] &lt; TablaDatos[[#This Row],[FechaIngreso]]</f>
        <v>0</v>
      </c>
      <c r="M1899">
        <f>_xlfn.XLOOKUP(TablaDatos[[#This Row],[PacienteID]],'Datos_Ejemplo.csv'!A:A,'Datos_Ejemplo.csv'!I:I)</f>
        <v>22</v>
      </c>
      <c r="N1899">
        <f>ABS(TablaDatos[[#This Row],[DiasOriginal]])</f>
        <v>22</v>
      </c>
      <c r="O1899" s="1">
        <f>TablaDatos[[#This Row],[FechaIngreso]]+TablaDatos[[#This Row],[DiasNuevo]]</f>
        <v>45032</v>
      </c>
    </row>
    <row r="1900" spans="1:15">
      <c r="A1900">
        <v>1899</v>
      </c>
      <c r="B1900" t="s">
        <v>331</v>
      </c>
      <c r="C1900" s="1">
        <v>19359</v>
      </c>
      <c r="D1900">
        <v>73</v>
      </c>
      <c r="E1900" s="4" t="s">
        <v>15</v>
      </c>
      <c r="F1900" t="s">
        <v>32</v>
      </c>
      <c r="G1900" s="1">
        <v>45072</v>
      </c>
      <c r="H1900" s="1">
        <f>TablaDatos[[#This Row],[FechaIngreso]]+TablaDatos[[#This Row],[DiasNuevo]]</f>
        <v>45085</v>
      </c>
      <c r="I1900">
        <v>13</v>
      </c>
      <c r="J1900" t="s">
        <v>23</v>
      </c>
      <c r="K1900" s="3">
        <v>330.39</v>
      </c>
      <c r="L1900" t="b">
        <f>TablaDatos[[#This Row],[FechaAlta]] &lt; TablaDatos[[#This Row],[FechaIngreso]]</f>
        <v>0</v>
      </c>
      <c r="M1900">
        <f>_xlfn.XLOOKUP(TablaDatos[[#This Row],[PacienteID]],'Datos_Ejemplo.csv'!A:A,'Datos_Ejemplo.csv'!I:I)</f>
        <v>13</v>
      </c>
      <c r="N1900">
        <f>ABS(TablaDatos[[#This Row],[DiasOriginal]])</f>
        <v>13</v>
      </c>
      <c r="O1900" s="1">
        <f>TablaDatos[[#This Row],[FechaIngreso]]+TablaDatos[[#This Row],[DiasNuevo]]</f>
        <v>45085</v>
      </c>
    </row>
    <row r="1901" spans="1:15">
      <c r="A1901">
        <v>1900</v>
      </c>
      <c r="B1901" t="s">
        <v>331</v>
      </c>
      <c r="C1901" s="1">
        <v>31778</v>
      </c>
      <c r="D1901">
        <v>39</v>
      </c>
      <c r="E1901" s="4" t="s">
        <v>12</v>
      </c>
      <c r="F1901" t="s">
        <v>295</v>
      </c>
      <c r="G1901" s="1">
        <v>45097</v>
      </c>
      <c r="H1901" s="1">
        <f>TablaDatos[[#This Row],[FechaIngreso]]+TablaDatos[[#This Row],[DiasNuevo]]</f>
        <v>45118</v>
      </c>
      <c r="I1901">
        <v>21</v>
      </c>
      <c r="J1901" t="s">
        <v>19</v>
      </c>
      <c r="K1901" s="3">
        <v>13220.24</v>
      </c>
      <c r="L1901" t="b">
        <f>TablaDatos[[#This Row],[FechaAlta]] &lt; TablaDatos[[#This Row],[FechaIngreso]]</f>
        <v>0</v>
      </c>
      <c r="M1901">
        <f>_xlfn.XLOOKUP(TablaDatos[[#This Row],[PacienteID]],'Datos_Ejemplo.csv'!A:A,'Datos_Ejemplo.csv'!I:I)</f>
        <v>21</v>
      </c>
      <c r="N1901">
        <f>ABS(TablaDatos[[#This Row],[DiasOriginal]])</f>
        <v>21</v>
      </c>
      <c r="O1901" s="1">
        <f>TablaDatos[[#This Row],[FechaIngreso]]+TablaDatos[[#This Row],[DiasNuevo]]</f>
        <v>45118</v>
      </c>
    </row>
    <row r="1902" spans="1:15">
      <c r="A1902">
        <v>1901</v>
      </c>
      <c r="B1902" t="s">
        <v>283</v>
      </c>
      <c r="C1902" s="1">
        <v>34700</v>
      </c>
      <c r="D1902">
        <v>31</v>
      </c>
      <c r="E1902" s="4" t="s">
        <v>15</v>
      </c>
      <c r="F1902" t="s">
        <v>261</v>
      </c>
      <c r="G1902" s="1">
        <v>45260</v>
      </c>
      <c r="H1902" s="1">
        <f>TablaDatos[[#This Row],[FechaIngreso]]+TablaDatos[[#This Row],[DiasNuevo]]</f>
        <v>45262</v>
      </c>
      <c r="I1902">
        <v>2</v>
      </c>
      <c r="J1902" t="s">
        <v>19</v>
      </c>
      <c r="K1902" s="3">
        <v>7252.05</v>
      </c>
      <c r="L1902" t="b">
        <f>TablaDatos[[#This Row],[FechaAlta]] &lt; TablaDatos[[#This Row],[FechaIngreso]]</f>
        <v>0</v>
      </c>
      <c r="M1902">
        <f>_xlfn.XLOOKUP(TablaDatos[[#This Row],[PacienteID]],'Datos_Ejemplo.csv'!A:A,'Datos_Ejemplo.csv'!I:I)</f>
        <v>2</v>
      </c>
      <c r="N1902">
        <f>ABS(TablaDatos[[#This Row],[DiasOriginal]])</f>
        <v>2</v>
      </c>
      <c r="O1902" s="1">
        <f>TablaDatos[[#This Row],[FechaIngreso]]+TablaDatos[[#This Row],[DiasNuevo]]</f>
        <v>45262</v>
      </c>
    </row>
    <row r="1903" spans="1:15">
      <c r="A1903">
        <v>1902</v>
      </c>
      <c r="B1903" t="s">
        <v>277</v>
      </c>
      <c r="C1903" s="1">
        <v>45657</v>
      </c>
      <c r="D1903">
        <v>1</v>
      </c>
      <c r="E1903" s="4" t="s">
        <v>15</v>
      </c>
      <c r="F1903" t="s">
        <v>21</v>
      </c>
      <c r="G1903" s="1">
        <v>45350</v>
      </c>
      <c r="H1903" s="1">
        <f>TablaDatos[[#This Row],[FechaIngreso]]+TablaDatos[[#This Row],[DiasNuevo]]</f>
        <v>45389</v>
      </c>
      <c r="I1903">
        <v>39</v>
      </c>
      <c r="J1903" t="s">
        <v>25</v>
      </c>
      <c r="K1903" s="3">
        <v>14252.16</v>
      </c>
      <c r="L1903" t="b">
        <f>TablaDatos[[#This Row],[FechaAlta]] &lt; TablaDatos[[#This Row],[FechaIngreso]]</f>
        <v>0</v>
      </c>
      <c r="M1903">
        <f>_xlfn.XLOOKUP(TablaDatos[[#This Row],[PacienteID]],'Datos_Ejemplo.csv'!A:A,'Datos_Ejemplo.csv'!I:I)</f>
        <v>39</v>
      </c>
      <c r="N1903">
        <f>ABS(TablaDatos[[#This Row],[DiasOriginal]])</f>
        <v>39</v>
      </c>
      <c r="O1903" s="1">
        <f>TablaDatos[[#This Row],[FechaIngreso]]+TablaDatos[[#This Row],[DiasNuevo]]</f>
        <v>45389</v>
      </c>
    </row>
    <row r="1904" spans="1:15">
      <c r="A1904">
        <v>1903</v>
      </c>
      <c r="B1904" t="s">
        <v>235</v>
      </c>
      <c r="C1904" s="1">
        <v>34334</v>
      </c>
      <c r="D1904">
        <v>32</v>
      </c>
      <c r="E1904" s="4" t="s">
        <v>12</v>
      </c>
      <c r="F1904" t="s">
        <v>32</v>
      </c>
      <c r="G1904" s="1">
        <v>45235</v>
      </c>
      <c r="H1904" s="1">
        <f>TablaDatos[[#This Row],[FechaIngreso]]+TablaDatos[[#This Row],[DiasNuevo]]</f>
        <v>45271</v>
      </c>
      <c r="I1904">
        <v>36</v>
      </c>
      <c r="J1904" t="s">
        <v>23</v>
      </c>
      <c r="K1904" s="3">
        <v>12526.24</v>
      </c>
      <c r="L1904" t="b">
        <f>TablaDatos[[#This Row],[FechaAlta]] &lt; TablaDatos[[#This Row],[FechaIngreso]]</f>
        <v>0</v>
      </c>
      <c r="M1904">
        <f>_xlfn.XLOOKUP(TablaDatos[[#This Row],[PacienteID]],'Datos_Ejemplo.csv'!A:A,'Datos_Ejemplo.csv'!I:I)</f>
        <v>36</v>
      </c>
      <c r="N1904">
        <f>ABS(TablaDatos[[#This Row],[DiasOriginal]])</f>
        <v>36</v>
      </c>
      <c r="O1904" s="1">
        <f>TablaDatos[[#This Row],[FechaIngreso]]+TablaDatos[[#This Row],[DiasNuevo]]</f>
        <v>45271</v>
      </c>
    </row>
    <row r="1905" spans="1:15">
      <c r="A1905">
        <v>1904</v>
      </c>
      <c r="B1905" t="s">
        <v>345</v>
      </c>
      <c r="C1905" s="1">
        <v>18263</v>
      </c>
      <c r="D1905">
        <v>76</v>
      </c>
      <c r="E1905" s="4" t="s">
        <v>12</v>
      </c>
      <c r="F1905" t="s">
        <v>295</v>
      </c>
      <c r="G1905" s="1">
        <v>45452</v>
      </c>
      <c r="H1905" s="1">
        <f>TablaDatos[[#This Row],[FechaIngreso]]+TablaDatos[[#This Row],[DiasNuevo]]</f>
        <v>45462</v>
      </c>
      <c r="I1905">
        <v>10</v>
      </c>
      <c r="J1905" t="s">
        <v>25</v>
      </c>
      <c r="K1905" s="3">
        <v>12990.21</v>
      </c>
      <c r="L1905" t="b">
        <f>TablaDatos[[#This Row],[FechaAlta]] &lt; TablaDatos[[#This Row],[FechaIngreso]]</f>
        <v>0</v>
      </c>
      <c r="M1905">
        <f>_xlfn.XLOOKUP(TablaDatos[[#This Row],[PacienteID]],'Datos_Ejemplo.csv'!A:A,'Datos_Ejemplo.csv'!I:I)</f>
        <v>10</v>
      </c>
      <c r="N1905">
        <f>ABS(TablaDatos[[#This Row],[DiasOriginal]])</f>
        <v>10</v>
      </c>
      <c r="O1905" s="1">
        <f>TablaDatos[[#This Row],[FechaIngreso]]+TablaDatos[[#This Row],[DiasNuevo]]</f>
        <v>45462</v>
      </c>
    </row>
    <row r="1906" spans="1:15">
      <c r="A1906">
        <v>1905</v>
      </c>
      <c r="B1906" t="s">
        <v>247</v>
      </c>
      <c r="C1906" s="1">
        <v>35430</v>
      </c>
      <c r="D1906">
        <v>29</v>
      </c>
      <c r="E1906" s="4" t="s">
        <v>15</v>
      </c>
      <c r="F1906" t="s">
        <v>13</v>
      </c>
      <c r="G1906" s="1">
        <v>45587</v>
      </c>
      <c r="H1906" s="1">
        <f>TablaDatos[[#This Row],[FechaIngreso]]+TablaDatos[[#This Row],[DiasNuevo]]</f>
        <v>45614</v>
      </c>
      <c r="I1906">
        <v>27</v>
      </c>
      <c r="J1906" t="s">
        <v>23</v>
      </c>
      <c r="K1906" s="3">
        <v>15837.14</v>
      </c>
      <c r="L1906" t="b">
        <f>TablaDatos[[#This Row],[FechaAlta]] &lt; TablaDatos[[#This Row],[FechaIngreso]]</f>
        <v>0</v>
      </c>
      <c r="M1906">
        <f>_xlfn.XLOOKUP(TablaDatos[[#This Row],[PacienteID]],'Datos_Ejemplo.csv'!A:A,'Datos_Ejemplo.csv'!I:I)</f>
        <v>27</v>
      </c>
      <c r="N1906">
        <f>ABS(TablaDatos[[#This Row],[DiasOriginal]])</f>
        <v>27</v>
      </c>
      <c r="O1906" s="1">
        <f>TablaDatos[[#This Row],[FechaIngreso]]+TablaDatos[[#This Row],[DiasNuevo]]</f>
        <v>45614</v>
      </c>
    </row>
    <row r="1907" spans="1:15">
      <c r="A1907">
        <v>1906</v>
      </c>
      <c r="B1907" t="s">
        <v>346</v>
      </c>
      <c r="C1907" s="1">
        <v>34334</v>
      </c>
      <c r="D1907">
        <v>32</v>
      </c>
      <c r="E1907" s="4" t="s">
        <v>15</v>
      </c>
      <c r="F1907" t="s">
        <v>261</v>
      </c>
      <c r="G1907" s="1">
        <v>45495</v>
      </c>
      <c r="H1907" s="1">
        <f>TablaDatos[[#This Row],[FechaIngreso]]+TablaDatos[[#This Row],[DiasNuevo]]</f>
        <v>45499</v>
      </c>
      <c r="I1907">
        <v>4</v>
      </c>
      <c r="J1907" t="s">
        <v>23</v>
      </c>
      <c r="K1907" s="3">
        <v>12586.28</v>
      </c>
      <c r="L1907" t="b">
        <f>TablaDatos[[#This Row],[FechaAlta]] &lt; TablaDatos[[#This Row],[FechaIngreso]]</f>
        <v>0</v>
      </c>
      <c r="M1907">
        <f>_xlfn.XLOOKUP(TablaDatos[[#This Row],[PacienteID]],'Datos_Ejemplo.csv'!A:A,'Datos_Ejemplo.csv'!I:I)</f>
        <v>4</v>
      </c>
      <c r="N1907">
        <f>ABS(TablaDatos[[#This Row],[DiasOriginal]])</f>
        <v>4</v>
      </c>
      <c r="O1907" s="1">
        <f>TablaDatos[[#This Row],[FechaIngreso]]+TablaDatos[[#This Row],[DiasNuevo]]</f>
        <v>45499</v>
      </c>
    </row>
    <row r="1908" spans="1:15">
      <c r="A1908">
        <v>1907</v>
      </c>
      <c r="B1908" t="s">
        <v>280</v>
      </c>
      <c r="C1908" s="1">
        <v>18263</v>
      </c>
      <c r="D1908">
        <f ca="1">DATEDIF(TablaDatos[[#This Row],[FechaNacimiento]],TODAY(),"Y")</f>
        <v>76</v>
      </c>
      <c r="E1908" s="4" t="s">
        <v>197</v>
      </c>
      <c r="F1908" t="s">
        <v>201</v>
      </c>
      <c r="G1908" s="1">
        <v>45273</v>
      </c>
      <c r="H1908" s="1">
        <f>TablaDatos[[#This Row],[FechaIngreso]]+TablaDatos[[#This Row],[DiasNuevo]]</f>
        <v>45287</v>
      </c>
      <c r="I1908">
        <v>14</v>
      </c>
      <c r="J1908" t="s">
        <v>19</v>
      </c>
      <c r="K1908" s="3">
        <v>8316.39</v>
      </c>
      <c r="L1908" t="b">
        <f>TablaDatos[[#This Row],[FechaAlta]] &lt; TablaDatos[[#This Row],[FechaIngreso]]</f>
        <v>0</v>
      </c>
      <c r="M1908">
        <f>_xlfn.XLOOKUP(TablaDatos[[#This Row],[PacienteID]],'Datos_Ejemplo.csv'!A:A,'Datos_Ejemplo.csv'!I:I)</f>
        <v>14</v>
      </c>
      <c r="N1908">
        <f>ABS(TablaDatos[[#This Row],[DiasOriginal]])</f>
        <v>14</v>
      </c>
      <c r="O1908" s="1">
        <f>TablaDatos[[#This Row],[FechaIngreso]]+TablaDatos[[#This Row],[DiasNuevo]]</f>
        <v>45287</v>
      </c>
    </row>
    <row r="1909" spans="1:15">
      <c r="A1909">
        <v>1908</v>
      </c>
      <c r="B1909" t="s">
        <v>273</v>
      </c>
      <c r="C1909" s="1">
        <v>36891</v>
      </c>
      <c r="D1909">
        <v>25</v>
      </c>
      <c r="E1909" s="4" t="s">
        <v>15</v>
      </c>
      <c r="F1909" t="s">
        <v>201</v>
      </c>
      <c r="G1909" s="1">
        <v>45228</v>
      </c>
      <c r="H1909" s="1">
        <f>TablaDatos[[#This Row],[FechaIngreso]]+TablaDatos[[#This Row],[DiasNuevo]]</f>
        <v>45252</v>
      </c>
      <c r="I1909">
        <v>24</v>
      </c>
      <c r="J1909" t="s">
        <v>25</v>
      </c>
      <c r="K1909" s="3">
        <v>7737.54</v>
      </c>
      <c r="L1909" t="b">
        <f>TablaDatos[[#This Row],[FechaAlta]] &lt; TablaDatos[[#This Row],[FechaIngreso]]</f>
        <v>0</v>
      </c>
      <c r="M1909">
        <f>_xlfn.XLOOKUP(TablaDatos[[#This Row],[PacienteID]],'Datos_Ejemplo.csv'!A:A,'Datos_Ejemplo.csv'!I:I)</f>
        <v>24</v>
      </c>
      <c r="N1909">
        <f>ABS(TablaDatos[[#This Row],[DiasOriginal]])</f>
        <v>24</v>
      </c>
      <c r="O1909" s="1">
        <f>TablaDatos[[#This Row],[FechaIngreso]]+TablaDatos[[#This Row],[DiasNuevo]]</f>
        <v>45252</v>
      </c>
    </row>
    <row r="1910" spans="1:15">
      <c r="A1910">
        <v>1909</v>
      </c>
      <c r="B1910" t="s">
        <v>279</v>
      </c>
      <c r="C1910" s="1">
        <v>38352</v>
      </c>
      <c r="D1910">
        <v>21</v>
      </c>
      <c r="E1910" s="4" t="s">
        <v>197</v>
      </c>
      <c r="F1910" t="s">
        <v>13</v>
      </c>
      <c r="G1910" s="1">
        <v>45273</v>
      </c>
      <c r="H1910" s="1">
        <f>TablaDatos[[#This Row],[FechaIngreso]]+TablaDatos[[#This Row],[DiasNuevo]]</f>
        <v>45305</v>
      </c>
      <c r="I1910">
        <v>32</v>
      </c>
      <c r="J1910" t="s">
        <v>19</v>
      </c>
      <c r="K1910" s="3">
        <v>2303.6</v>
      </c>
      <c r="L1910" t="b">
        <f>TablaDatos[[#This Row],[FechaAlta]] &lt; TablaDatos[[#This Row],[FechaIngreso]]</f>
        <v>0</v>
      </c>
      <c r="M1910">
        <f>_xlfn.XLOOKUP(TablaDatos[[#This Row],[PacienteID]],'Datos_Ejemplo.csv'!A:A,'Datos_Ejemplo.csv'!I:I)</f>
        <v>32</v>
      </c>
      <c r="N1910">
        <f>ABS(TablaDatos[[#This Row],[DiasOriginal]])</f>
        <v>32</v>
      </c>
      <c r="O1910" s="1">
        <f>TablaDatos[[#This Row],[FechaIngreso]]+TablaDatos[[#This Row],[DiasNuevo]]</f>
        <v>45305</v>
      </c>
    </row>
    <row r="1911" spans="1:15">
      <c r="A1911">
        <v>1910</v>
      </c>
      <c r="B1911" t="s">
        <v>67</v>
      </c>
      <c r="C1911" s="1">
        <v>22281</v>
      </c>
      <c r="D1911">
        <v>65</v>
      </c>
      <c r="E1911" s="4" t="s">
        <v>15</v>
      </c>
      <c r="F1911" t="s">
        <v>13</v>
      </c>
      <c r="G1911" s="1">
        <v>45334</v>
      </c>
      <c r="H1911" s="1">
        <f>TablaDatos[[#This Row],[FechaIngreso]]+TablaDatos[[#This Row],[DiasNuevo]]</f>
        <v>45336</v>
      </c>
      <c r="I1911">
        <v>2</v>
      </c>
      <c r="J1911" t="s">
        <v>19</v>
      </c>
      <c r="K1911" s="3">
        <v>15566.81</v>
      </c>
      <c r="L1911" t="b">
        <f>TablaDatos[[#This Row],[FechaAlta]] &lt; TablaDatos[[#This Row],[FechaIngreso]]</f>
        <v>0</v>
      </c>
      <c r="M1911">
        <f>_xlfn.XLOOKUP(TablaDatos[[#This Row],[PacienteID]],'Datos_Ejemplo.csv'!A:A,'Datos_Ejemplo.csv'!I:I)</f>
        <v>2</v>
      </c>
      <c r="N1911">
        <f>ABS(TablaDatos[[#This Row],[DiasOriginal]])</f>
        <v>2</v>
      </c>
      <c r="O1911" s="1">
        <f>TablaDatos[[#This Row],[FechaIngreso]]+TablaDatos[[#This Row],[DiasNuevo]]</f>
        <v>45336</v>
      </c>
    </row>
    <row r="1912" spans="1:15">
      <c r="A1912">
        <v>1911</v>
      </c>
      <c r="B1912" t="s">
        <v>301</v>
      </c>
      <c r="C1912" s="1">
        <v>32508</v>
      </c>
      <c r="D1912">
        <v>37</v>
      </c>
      <c r="E1912" s="4" t="s">
        <v>12</v>
      </c>
      <c r="F1912" t="s">
        <v>21</v>
      </c>
      <c r="G1912" s="1">
        <v>45059</v>
      </c>
      <c r="H1912" s="1">
        <f>TablaDatos[[#This Row],[FechaIngreso]]+TablaDatos[[#This Row],[DiasNuevo]]</f>
        <v>45098</v>
      </c>
      <c r="I1912">
        <v>39</v>
      </c>
      <c r="J1912" t="s">
        <v>23</v>
      </c>
      <c r="K1912" s="3">
        <v>15198.28</v>
      </c>
      <c r="L1912" t="b">
        <f>TablaDatos[[#This Row],[FechaAlta]] &lt; TablaDatos[[#This Row],[FechaIngreso]]</f>
        <v>0</v>
      </c>
      <c r="M1912">
        <f>_xlfn.XLOOKUP(TablaDatos[[#This Row],[PacienteID]],'Datos_Ejemplo.csv'!A:A,'Datos_Ejemplo.csv'!I:I)</f>
        <v>39</v>
      </c>
      <c r="N1912">
        <f>ABS(TablaDatos[[#This Row],[DiasOriginal]])</f>
        <v>39</v>
      </c>
      <c r="O1912" s="1">
        <f>TablaDatos[[#This Row],[FechaIngreso]]+TablaDatos[[#This Row],[DiasNuevo]]</f>
        <v>45098</v>
      </c>
    </row>
    <row r="1913" spans="1:15">
      <c r="A1913">
        <v>1912</v>
      </c>
      <c r="B1913" t="s">
        <v>346</v>
      </c>
      <c r="C1913" s="1">
        <v>13515</v>
      </c>
      <c r="D1913">
        <v>89</v>
      </c>
      <c r="E1913" s="4" t="s">
        <v>15</v>
      </c>
      <c r="F1913" t="s">
        <v>295</v>
      </c>
      <c r="G1913" s="1">
        <v>45608</v>
      </c>
      <c r="H1913" s="1">
        <f>TablaDatos[[#This Row],[FechaIngreso]]+TablaDatos[[#This Row],[DiasNuevo]]</f>
        <v>45610</v>
      </c>
      <c r="I1913">
        <v>2</v>
      </c>
      <c r="J1913" t="s">
        <v>23</v>
      </c>
      <c r="K1913" s="3">
        <v>4850.6000000000004</v>
      </c>
      <c r="L1913" t="b">
        <f>TablaDatos[[#This Row],[FechaAlta]] &lt; TablaDatos[[#This Row],[FechaIngreso]]</f>
        <v>0</v>
      </c>
      <c r="M1913">
        <f>_xlfn.XLOOKUP(TablaDatos[[#This Row],[PacienteID]],'Datos_Ejemplo.csv'!A:A,'Datos_Ejemplo.csv'!I:I)</f>
        <v>2</v>
      </c>
      <c r="N1913">
        <f>ABS(TablaDatos[[#This Row],[DiasOriginal]])</f>
        <v>2</v>
      </c>
      <c r="O1913" s="1">
        <f>TablaDatos[[#This Row],[FechaIngreso]]+TablaDatos[[#This Row],[DiasNuevo]]</f>
        <v>45610</v>
      </c>
    </row>
    <row r="1914" spans="1:15">
      <c r="A1914">
        <v>1913</v>
      </c>
      <c r="B1914" t="s">
        <v>296</v>
      </c>
      <c r="C1914" s="1">
        <v>29586</v>
      </c>
      <c r="D1914">
        <v>45</v>
      </c>
      <c r="E1914" s="4" t="s">
        <v>12</v>
      </c>
      <c r="F1914" t="s">
        <v>295</v>
      </c>
      <c r="G1914" s="1">
        <v>45540</v>
      </c>
      <c r="H1914" s="1">
        <f>TablaDatos[[#This Row],[FechaIngreso]]+TablaDatos[[#This Row],[DiasNuevo]]</f>
        <v>45561</v>
      </c>
      <c r="I1914">
        <v>21</v>
      </c>
      <c r="J1914" t="s">
        <v>23</v>
      </c>
      <c r="K1914" s="3">
        <v>17239.91</v>
      </c>
      <c r="L1914" t="b">
        <f>TablaDatos[[#This Row],[FechaAlta]] &lt; TablaDatos[[#This Row],[FechaIngreso]]</f>
        <v>0</v>
      </c>
      <c r="M1914">
        <f>_xlfn.XLOOKUP(TablaDatos[[#This Row],[PacienteID]],'Datos_Ejemplo.csv'!A:A,'Datos_Ejemplo.csv'!I:I)</f>
        <v>21</v>
      </c>
      <c r="N1914">
        <f>ABS(TablaDatos[[#This Row],[DiasOriginal]])</f>
        <v>21</v>
      </c>
      <c r="O1914" s="1">
        <f>TablaDatos[[#This Row],[FechaIngreso]]+TablaDatos[[#This Row],[DiasNuevo]]</f>
        <v>45561</v>
      </c>
    </row>
    <row r="1915" spans="1:15">
      <c r="A1915">
        <v>1914</v>
      </c>
      <c r="B1915" t="s">
        <v>146</v>
      </c>
      <c r="C1915" s="1">
        <v>40909</v>
      </c>
      <c r="D1915">
        <v>14</v>
      </c>
      <c r="E1915" s="4" t="s">
        <v>15</v>
      </c>
      <c r="F1915" t="s">
        <v>13</v>
      </c>
      <c r="G1915" s="1">
        <v>45032</v>
      </c>
      <c r="H1915" s="1">
        <f>TablaDatos[[#This Row],[FechaIngreso]]+TablaDatos[[#This Row],[DiasNuevo]]</f>
        <v>45036</v>
      </c>
      <c r="I1915">
        <v>4</v>
      </c>
      <c r="J1915" t="s">
        <v>23</v>
      </c>
      <c r="K1915" s="3">
        <v>11738.97</v>
      </c>
      <c r="L1915" t="b">
        <f>TablaDatos[[#This Row],[FechaAlta]] &lt; TablaDatos[[#This Row],[FechaIngreso]]</f>
        <v>0</v>
      </c>
      <c r="M1915">
        <f>_xlfn.XLOOKUP(TablaDatos[[#This Row],[PacienteID]],'Datos_Ejemplo.csv'!A:A,'Datos_Ejemplo.csv'!I:I)</f>
        <v>4</v>
      </c>
      <c r="N1915">
        <f>ABS(TablaDatos[[#This Row],[DiasOriginal]])</f>
        <v>4</v>
      </c>
      <c r="O1915" s="1">
        <f>TablaDatos[[#This Row],[FechaIngreso]]+TablaDatos[[#This Row],[DiasNuevo]]</f>
        <v>45036</v>
      </c>
    </row>
    <row r="1916" spans="1:15">
      <c r="A1916">
        <v>1915</v>
      </c>
      <c r="B1916" t="s">
        <v>268</v>
      </c>
      <c r="C1916" s="1">
        <v>30317</v>
      </c>
      <c r="D1916">
        <v>43</v>
      </c>
      <c r="E1916" s="4" t="s">
        <v>12</v>
      </c>
      <c r="F1916" t="s">
        <v>261</v>
      </c>
      <c r="G1916" s="1">
        <v>45097</v>
      </c>
      <c r="H1916" s="1">
        <f>TablaDatos[[#This Row],[FechaIngreso]]+TablaDatos[[#This Row],[DiasNuevo]]</f>
        <v>45101</v>
      </c>
      <c r="I1916">
        <v>4</v>
      </c>
      <c r="J1916" t="s">
        <v>23</v>
      </c>
      <c r="K1916" s="3">
        <v>9521.61</v>
      </c>
      <c r="L1916" t="b">
        <f>TablaDatos[[#This Row],[FechaAlta]] &lt; TablaDatos[[#This Row],[FechaIngreso]]</f>
        <v>0</v>
      </c>
      <c r="M1916">
        <f>_xlfn.XLOOKUP(TablaDatos[[#This Row],[PacienteID]],'Datos_Ejemplo.csv'!A:A,'Datos_Ejemplo.csv'!I:I)</f>
        <v>4</v>
      </c>
      <c r="N1916">
        <f>ABS(TablaDatos[[#This Row],[DiasOriginal]])</f>
        <v>4</v>
      </c>
      <c r="O1916" s="1">
        <f>TablaDatos[[#This Row],[FechaIngreso]]+TablaDatos[[#This Row],[DiasNuevo]]</f>
        <v>45101</v>
      </c>
    </row>
    <row r="1917" spans="1:15">
      <c r="A1917">
        <v>1916</v>
      </c>
      <c r="B1917" t="s">
        <v>272</v>
      </c>
      <c r="C1917" s="1">
        <v>28490</v>
      </c>
      <c r="D1917">
        <v>48</v>
      </c>
      <c r="E1917" s="4" t="s">
        <v>15</v>
      </c>
      <c r="F1917" t="s">
        <v>18</v>
      </c>
      <c r="G1917" s="1">
        <v>45566</v>
      </c>
      <c r="H1917" s="1">
        <f>TablaDatos[[#This Row],[FechaIngreso]]+TablaDatos[[#This Row],[DiasNuevo]]</f>
        <v>45577</v>
      </c>
      <c r="I1917">
        <v>11</v>
      </c>
      <c r="J1917" t="s">
        <v>23</v>
      </c>
      <c r="K1917" s="3">
        <v>251.68</v>
      </c>
      <c r="L1917" t="b">
        <f>TablaDatos[[#This Row],[FechaAlta]] &lt; TablaDatos[[#This Row],[FechaIngreso]]</f>
        <v>0</v>
      </c>
      <c r="M1917">
        <f>_xlfn.XLOOKUP(TablaDatos[[#This Row],[PacienteID]],'Datos_Ejemplo.csv'!A:A,'Datos_Ejemplo.csv'!I:I)</f>
        <v>11</v>
      </c>
      <c r="N1917">
        <f>ABS(TablaDatos[[#This Row],[DiasOriginal]])</f>
        <v>11</v>
      </c>
      <c r="O1917" s="1">
        <f>TablaDatos[[#This Row],[FechaIngreso]]+TablaDatos[[#This Row],[DiasNuevo]]</f>
        <v>45577</v>
      </c>
    </row>
    <row r="1918" spans="1:15">
      <c r="A1918">
        <v>1917</v>
      </c>
      <c r="B1918" t="s">
        <v>49</v>
      </c>
      <c r="C1918" s="1">
        <f ca="1">DATE(YEAR(TODAY())-TablaDatos[[#This Row],[Edad]],1,1)</f>
        <v>18994</v>
      </c>
      <c r="D1918">
        <v>74</v>
      </c>
      <c r="E1918" s="4" t="s">
        <v>15</v>
      </c>
      <c r="F1918" t="s">
        <v>13</v>
      </c>
      <c r="G1918" s="1">
        <v>45176</v>
      </c>
      <c r="H1918" s="1">
        <f>TablaDatos[[#This Row],[FechaIngreso]]+TablaDatos[[#This Row],[DiasNuevo]]</f>
        <v>45188</v>
      </c>
      <c r="I1918">
        <v>12</v>
      </c>
      <c r="J1918" t="s">
        <v>23</v>
      </c>
      <c r="K1918" s="3">
        <v>7593.1</v>
      </c>
      <c r="L1918" t="b">
        <f>TablaDatos[[#This Row],[FechaAlta]] &lt; TablaDatos[[#This Row],[FechaIngreso]]</f>
        <v>0</v>
      </c>
      <c r="M1918">
        <f>_xlfn.XLOOKUP(TablaDatos[[#This Row],[PacienteID]],'Datos_Ejemplo.csv'!A:A,'Datos_Ejemplo.csv'!I:I)</f>
        <v>12</v>
      </c>
      <c r="N1918">
        <f>ABS(TablaDatos[[#This Row],[DiasOriginal]])</f>
        <v>12</v>
      </c>
      <c r="O1918" s="1">
        <f>TablaDatos[[#This Row],[FechaIngreso]]+TablaDatos[[#This Row],[DiasNuevo]]</f>
        <v>45188</v>
      </c>
    </row>
    <row r="1919" spans="1:15">
      <c r="A1919">
        <v>1918</v>
      </c>
      <c r="B1919" t="s">
        <v>325</v>
      </c>
      <c r="C1919" s="1">
        <v>24107</v>
      </c>
      <c r="D1919">
        <v>60</v>
      </c>
      <c r="E1919" s="4" t="s">
        <v>12</v>
      </c>
      <c r="F1919" t="s">
        <v>21</v>
      </c>
      <c r="G1919" s="1">
        <v>45470</v>
      </c>
      <c r="H1919" s="1">
        <f>TablaDatos[[#This Row],[FechaIngreso]]+TablaDatos[[#This Row],[DiasNuevo]]</f>
        <v>45472</v>
      </c>
      <c r="I1919">
        <v>2</v>
      </c>
      <c r="J1919" t="s">
        <v>25</v>
      </c>
      <c r="K1919" s="3">
        <v>12777.48</v>
      </c>
      <c r="L1919" t="b">
        <f>TablaDatos[[#This Row],[FechaAlta]] &lt; TablaDatos[[#This Row],[FechaIngreso]]</f>
        <v>0</v>
      </c>
      <c r="M1919">
        <f>_xlfn.XLOOKUP(TablaDatos[[#This Row],[PacienteID]],'Datos_Ejemplo.csv'!A:A,'Datos_Ejemplo.csv'!I:I)</f>
        <v>2</v>
      </c>
      <c r="N1919">
        <f>ABS(TablaDatos[[#This Row],[DiasOriginal]])</f>
        <v>2</v>
      </c>
      <c r="O1919" s="1">
        <f>TablaDatos[[#This Row],[FechaIngreso]]+TablaDatos[[#This Row],[DiasNuevo]]</f>
        <v>45472</v>
      </c>
    </row>
    <row r="1920" spans="1:15">
      <c r="A1920">
        <v>1919</v>
      </c>
      <c r="B1920" t="s">
        <v>253</v>
      </c>
      <c r="C1920" s="1">
        <v>21916</v>
      </c>
      <c r="D1920">
        <v>66</v>
      </c>
      <c r="E1920" s="4" t="s">
        <v>12</v>
      </c>
      <c r="F1920" t="s">
        <v>13</v>
      </c>
      <c r="G1920" s="1">
        <v>45654</v>
      </c>
      <c r="H1920" s="1">
        <f>TablaDatos[[#This Row],[FechaIngreso]]+TablaDatos[[#This Row],[DiasNuevo]]</f>
        <v>45688</v>
      </c>
      <c r="I1920">
        <v>34</v>
      </c>
      <c r="J1920" t="s">
        <v>23</v>
      </c>
      <c r="K1920" s="3">
        <v>1703.93</v>
      </c>
      <c r="L1920" t="b">
        <f>TablaDatos[[#This Row],[FechaAlta]] &lt; TablaDatos[[#This Row],[FechaIngreso]]</f>
        <v>0</v>
      </c>
      <c r="M1920">
        <f>_xlfn.XLOOKUP(TablaDatos[[#This Row],[PacienteID]],'Datos_Ejemplo.csv'!A:A,'Datos_Ejemplo.csv'!I:I)</f>
        <v>34</v>
      </c>
      <c r="N1920">
        <f>ABS(TablaDatos[[#This Row],[DiasOriginal]])</f>
        <v>34</v>
      </c>
      <c r="O1920" s="1">
        <f>TablaDatos[[#This Row],[FechaIngreso]]+TablaDatos[[#This Row],[DiasNuevo]]</f>
        <v>45688</v>
      </c>
    </row>
    <row r="1921" spans="1:15">
      <c r="A1921">
        <v>1920</v>
      </c>
      <c r="B1921" t="s">
        <v>264</v>
      </c>
      <c r="C1921" s="1">
        <v>44196</v>
      </c>
      <c r="D1921">
        <v>5</v>
      </c>
      <c r="E1921" s="4" t="s">
        <v>12</v>
      </c>
      <c r="F1921" t="s">
        <v>261</v>
      </c>
      <c r="G1921" s="1">
        <v>45188</v>
      </c>
      <c r="H1921" s="1">
        <f>TablaDatos[[#This Row],[FechaIngreso]]+TablaDatos[[#This Row],[DiasNuevo]]</f>
        <v>45189</v>
      </c>
      <c r="I1921">
        <v>1</v>
      </c>
      <c r="J1921" t="s">
        <v>25</v>
      </c>
      <c r="K1921" s="3">
        <v>9137.2999999999993</v>
      </c>
      <c r="L1921" t="b">
        <f>TablaDatos[[#This Row],[FechaAlta]] &lt; TablaDatos[[#This Row],[FechaIngreso]]</f>
        <v>0</v>
      </c>
      <c r="M1921">
        <f>_xlfn.XLOOKUP(TablaDatos[[#This Row],[PacienteID]],'Datos_Ejemplo.csv'!A:A,'Datos_Ejemplo.csv'!I:I)</f>
        <v>1</v>
      </c>
      <c r="N1921">
        <f>ABS(TablaDatos[[#This Row],[DiasOriginal]])</f>
        <v>1</v>
      </c>
      <c r="O1921" s="1">
        <f>TablaDatos[[#This Row],[FechaIngreso]]+TablaDatos[[#This Row],[DiasNuevo]]</f>
        <v>45189</v>
      </c>
    </row>
    <row r="1922" spans="1:15">
      <c r="A1922">
        <v>1921</v>
      </c>
      <c r="B1922" t="s">
        <v>344</v>
      </c>
      <c r="C1922" s="1">
        <v>43100</v>
      </c>
      <c r="D1922">
        <v>8</v>
      </c>
      <c r="E1922" s="4" t="s">
        <v>15</v>
      </c>
      <c r="F1922" t="s">
        <v>261</v>
      </c>
      <c r="G1922" s="1">
        <v>45420</v>
      </c>
      <c r="H1922" s="1">
        <f>TablaDatos[[#This Row],[FechaIngreso]]+TablaDatos[[#This Row],[DiasNuevo]]</f>
        <v>45447</v>
      </c>
      <c r="I1922">
        <v>27</v>
      </c>
      <c r="J1922" t="s">
        <v>23</v>
      </c>
      <c r="K1922" s="3">
        <v>19868.060000000001</v>
      </c>
      <c r="L1922" t="b">
        <f>TablaDatos[[#This Row],[FechaAlta]] &lt; TablaDatos[[#This Row],[FechaIngreso]]</f>
        <v>0</v>
      </c>
      <c r="M1922">
        <f>_xlfn.XLOOKUP(TablaDatos[[#This Row],[PacienteID]],'Datos_Ejemplo.csv'!A:A,'Datos_Ejemplo.csv'!I:I)</f>
        <v>27</v>
      </c>
      <c r="N1922">
        <f>ABS(TablaDatos[[#This Row],[DiasOriginal]])</f>
        <v>27</v>
      </c>
      <c r="O1922" s="1">
        <f>TablaDatos[[#This Row],[FechaIngreso]]+TablaDatos[[#This Row],[DiasNuevo]]</f>
        <v>45447</v>
      </c>
    </row>
    <row r="1923" spans="1:15">
      <c r="A1923">
        <v>1922</v>
      </c>
      <c r="B1923" t="s">
        <v>308</v>
      </c>
      <c r="C1923" s="1">
        <v>44196</v>
      </c>
      <c r="D1923">
        <v>5</v>
      </c>
      <c r="E1923" s="4" t="s">
        <v>12</v>
      </c>
      <c r="F1923" t="s">
        <v>13</v>
      </c>
      <c r="G1923" s="1">
        <v>45170</v>
      </c>
      <c r="H1923" s="1">
        <f>TablaDatos[[#This Row],[FechaIngreso]]+TablaDatos[[#This Row],[DiasNuevo]]</f>
        <v>45187</v>
      </c>
      <c r="I1923">
        <v>17</v>
      </c>
      <c r="J1923" t="s">
        <v>25</v>
      </c>
      <c r="K1923" s="3">
        <v>14302.43</v>
      </c>
      <c r="L1923" t="b">
        <f>TablaDatos[[#This Row],[FechaAlta]] &lt; TablaDatos[[#This Row],[FechaIngreso]]</f>
        <v>0</v>
      </c>
      <c r="M1923">
        <f>_xlfn.XLOOKUP(TablaDatos[[#This Row],[PacienteID]],'Datos_Ejemplo.csv'!A:A,'Datos_Ejemplo.csv'!I:I)</f>
        <v>17</v>
      </c>
      <c r="N1923">
        <f>ABS(TablaDatos[[#This Row],[DiasOriginal]])</f>
        <v>17</v>
      </c>
      <c r="O1923" s="1">
        <f>TablaDatos[[#This Row],[FechaIngreso]]+TablaDatos[[#This Row],[DiasNuevo]]</f>
        <v>45187</v>
      </c>
    </row>
    <row r="1924" spans="1:15">
      <c r="A1924">
        <v>1923</v>
      </c>
      <c r="B1924" t="s">
        <v>339</v>
      </c>
      <c r="C1924" s="1">
        <v>19724</v>
      </c>
      <c r="D1924">
        <v>72</v>
      </c>
      <c r="E1924" s="4" t="s">
        <v>15</v>
      </c>
      <c r="F1924" t="s">
        <v>295</v>
      </c>
      <c r="G1924" s="1">
        <v>45377</v>
      </c>
      <c r="H1924" s="1">
        <f>TablaDatos[[#This Row],[FechaIngreso]]+TablaDatos[[#This Row],[DiasNuevo]]</f>
        <v>45400</v>
      </c>
      <c r="I1924">
        <v>23</v>
      </c>
      <c r="J1924" t="s">
        <v>19</v>
      </c>
      <c r="K1924" s="3">
        <v>10892.1</v>
      </c>
      <c r="L1924" t="b">
        <f>TablaDatos[[#This Row],[FechaAlta]] &lt; TablaDatos[[#This Row],[FechaIngreso]]</f>
        <v>0</v>
      </c>
      <c r="M1924">
        <f>_xlfn.XLOOKUP(TablaDatos[[#This Row],[PacienteID]],'Datos_Ejemplo.csv'!A:A,'Datos_Ejemplo.csv'!I:I)</f>
        <v>23</v>
      </c>
      <c r="N1924">
        <f>ABS(TablaDatos[[#This Row],[DiasOriginal]])</f>
        <v>23</v>
      </c>
      <c r="O1924" s="1">
        <f>TablaDatos[[#This Row],[FechaIngreso]]+TablaDatos[[#This Row],[DiasNuevo]]</f>
        <v>45400</v>
      </c>
    </row>
    <row r="1925" spans="1:15">
      <c r="A1925">
        <v>1924</v>
      </c>
      <c r="B1925" t="s">
        <v>52</v>
      </c>
      <c r="C1925" s="1">
        <v>11689</v>
      </c>
      <c r="D1925">
        <v>94</v>
      </c>
      <c r="E1925" s="4" t="s">
        <v>197</v>
      </c>
      <c r="F1925" t="s">
        <v>13</v>
      </c>
      <c r="G1925" s="1">
        <v>45216</v>
      </c>
      <c r="H1925" s="1">
        <f>TablaDatos[[#This Row],[FechaIngreso]]+TablaDatos[[#This Row],[DiasNuevo]]</f>
        <v>45222</v>
      </c>
      <c r="I1925">
        <v>6</v>
      </c>
      <c r="J1925" t="s">
        <v>23</v>
      </c>
      <c r="K1925" s="3">
        <v>10613.96</v>
      </c>
      <c r="L1925" t="b">
        <f>TablaDatos[[#This Row],[FechaAlta]] &lt; TablaDatos[[#This Row],[FechaIngreso]]</f>
        <v>0</v>
      </c>
      <c r="M1925">
        <f>_xlfn.XLOOKUP(TablaDatos[[#This Row],[PacienteID]],'Datos_Ejemplo.csv'!A:A,'Datos_Ejemplo.csv'!I:I)</f>
        <v>6</v>
      </c>
      <c r="N1925">
        <f>ABS(TablaDatos[[#This Row],[DiasOriginal]])</f>
        <v>6</v>
      </c>
      <c r="O1925" s="1">
        <f>TablaDatos[[#This Row],[FechaIngreso]]+TablaDatos[[#This Row],[DiasNuevo]]</f>
        <v>45222</v>
      </c>
    </row>
    <row r="1926" spans="1:15">
      <c r="A1926">
        <v>1925</v>
      </c>
      <c r="B1926" t="s">
        <v>294</v>
      </c>
      <c r="C1926" s="1">
        <v>34700</v>
      </c>
      <c r="D1926">
        <v>31</v>
      </c>
      <c r="E1926" s="4" t="s">
        <v>12</v>
      </c>
      <c r="F1926" t="s">
        <v>32</v>
      </c>
      <c r="G1926" s="1">
        <v>45189</v>
      </c>
      <c r="H1926" s="1">
        <f>TablaDatos[[#This Row],[FechaIngreso]]+TablaDatos[[#This Row],[DiasNuevo]]</f>
        <v>45216</v>
      </c>
      <c r="I1926">
        <v>27</v>
      </c>
      <c r="J1926" t="s">
        <v>23</v>
      </c>
      <c r="K1926" s="3">
        <v>779.68</v>
      </c>
      <c r="L1926" t="b">
        <f>TablaDatos[[#This Row],[FechaAlta]] &lt; TablaDatos[[#This Row],[FechaIngreso]]</f>
        <v>0</v>
      </c>
      <c r="M1926">
        <f>_xlfn.XLOOKUP(TablaDatos[[#This Row],[PacienteID]],'Datos_Ejemplo.csv'!A:A,'Datos_Ejemplo.csv'!I:I)</f>
        <v>27</v>
      </c>
      <c r="N1926">
        <f>ABS(TablaDatos[[#This Row],[DiasOriginal]])</f>
        <v>27</v>
      </c>
      <c r="O1926" s="1">
        <f>TablaDatos[[#This Row],[FechaIngreso]]+TablaDatos[[#This Row],[DiasNuevo]]</f>
        <v>45216</v>
      </c>
    </row>
    <row r="1927" spans="1:15">
      <c r="A1927">
        <v>1926</v>
      </c>
      <c r="B1927" t="s">
        <v>252</v>
      </c>
      <c r="C1927" s="1">
        <v>31412</v>
      </c>
      <c r="D1927">
        <v>40</v>
      </c>
      <c r="E1927" s="4" t="s">
        <v>15</v>
      </c>
      <c r="F1927" t="s">
        <v>32</v>
      </c>
      <c r="G1927" s="1">
        <v>45240</v>
      </c>
      <c r="H1927" s="1">
        <f>TablaDatos[[#This Row],[FechaIngreso]]+TablaDatos[[#This Row],[DiasNuevo]]</f>
        <v>45259</v>
      </c>
      <c r="I1927">
        <v>19</v>
      </c>
      <c r="J1927" t="s">
        <v>25</v>
      </c>
      <c r="K1927" s="3">
        <v>19142.02</v>
      </c>
      <c r="L1927" t="b">
        <f>TablaDatos[[#This Row],[FechaAlta]] &lt; TablaDatos[[#This Row],[FechaIngreso]]</f>
        <v>0</v>
      </c>
      <c r="M1927">
        <f>_xlfn.XLOOKUP(TablaDatos[[#This Row],[PacienteID]],'Datos_Ejemplo.csv'!A:A,'Datos_Ejemplo.csv'!I:I)</f>
        <v>19</v>
      </c>
      <c r="N1927">
        <f>ABS(TablaDatos[[#This Row],[DiasOriginal]])</f>
        <v>19</v>
      </c>
      <c r="O1927" s="1">
        <f>TablaDatos[[#This Row],[FechaIngreso]]+TablaDatos[[#This Row],[DiasNuevo]]</f>
        <v>45259</v>
      </c>
    </row>
    <row r="1928" spans="1:15">
      <c r="A1928">
        <v>1927</v>
      </c>
      <c r="B1928" t="s">
        <v>313</v>
      </c>
      <c r="C1928" s="1">
        <v>18629</v>
      </c>
      <c r="D1928">
        <v>75</v>
      </c>
      <c r="E1928" s="4" t="s">
        <v>12</v>
      </c>
      <c r="F1928" t="s">
        <v>18</v>
      </c>
      <c r="G1928" s="1">
        <v>45011</v>
      </c>
      <c r="H1928" s="1">
        <f>TablaDatos[[#This Row],[FechaIngreso]]+TablaDatos[[#This Row],[DiasNuevo]]</f>
        <v>45048</v>
      </c>
      <c r="I1928">
        <v>37</v>
      </c>
      <c r="J1928" t="s">
        <v>23</v>
      </c>
      <c r="K1928" s="3">
        <v>18556.37</v>
      </c>
      <c r="L1928" t="b">
        <f>TablaDatos[[#This Row],[FechaAlta]] &lt; TablaDatos[[#This Row],[FechaIngreso]]</f>
        <v>0</v>
      </c>
      <c r="M1928">
        <f>_xlfn.XLOOKUP(TablaDatos[[#This Row],[PacienteID]],'Datos_Ejemplo.csv'!A:A,'Datos_Ejemplo.csv'!I:I)</f>
        <v>37</v>
      </c>
      <c r="N1928">
        <f>ABS(TablaDatos[[#This Row],[DiasOriginal]])</f>
        <v>37</v>
      </c>
      <c r="O1928" s="1">
        <f>TablaDatos[[#This Row],[FechaIngreso]]+TablaDatos[[#This Row],[DiasNuevo]]</f>
        <v>45048</v>
      </c>
    </row>
    <row r="1929" spans="1:15">
      <c r="A1929">
        <v>1928</v>
      </c>
      <c r="B1929" t="s">
        <v>130</v>
      </c>
      <c r="C1929" s="1">
        <v>43466</v>
      </c>
      <c r="D1929">
        <v>7</v>
      </c>
      <c r="E1929" s="4" t="s">
        <v>12</v>
      </c>
      <c r="F1929" t="s">
        <v>21</v>
      </c>
      <c r="G1929" s="1">
        <v>45341</v>
      </c>
      <c r="H1929" s="1">
        <f>TablaDatos[[#This Row],[FechaIngreso]]+TablaDatos[[#This Row],[DiasNuevo]]</f>
        <v>45379</v>
      </c>
      <c r="I1929">
        <v>38</v>
      </c>
      <c r="J1929" t="s">
        <v>25</v>
      </c>
      <c r="K1929" s="3">
        <v>13616.33</v>
      </c>
      <c r="L1929" t="b">
        <f>TablaDatos[[#This Row],[FechaAlta]] &lt; TablaDatos[[#This Row],[FechaIngreso]]</f>
        <v>0</v>
      </c>
      <c r="M1929">
        <f>_xlfn.XLOOKUP(TablaDatos[[#This Row],[PacienteID]],'Datos_Ejemplo.csv'!A:A,'Datos_Ejemplo.csv'!I:I)</f>
        <v>38</v>
      </c>
      <c r="N1929">
        <f>ABS(TablaDatos[[#This Row],[DiasOriginal]])</f>
        <v>38</v>
      </c>
      <c r="O1929" s="1">
        <f>TablaDatos[[#This Row],[FechaIngreso]]+TablaDatos[[#This Row],[DiasNuevo]]</f>
        <v>45379</v>
      </c>
    </row>
    <row r="1930" spans="1:15">
      <c r="A1930">
        <v>1929</v>
      </c>
      <c r="B1930" t="s">
        <v>285</v>
      </c>
      <c r="C1930" s="1">
        <v>20090</v>
      </c>
      <c r="D1930">
        <v>71</v>
      </c>
      <c r="E1930" s="4" t="s">
        <v>15</v>
      </c>
      <c r="F1930" t="s">
        <v>21</v>
      </c>
      <c r="G1930" s="1">
        <v>45255</v>
      </c>
      <c r="H1930" s="1">
        <f>TablaDatos[[#This Row],[FechaIngreso]]+TablaDatos[[#This Row],[DiasNuevo]]</f>
        <v>45282</v>
      </c>
      <c r="I1930">
        <v>27</v>
      </c>
      <c r="J1930" t="s">
        <v>25</v>
      </c>
      <c r="K1930" s="3">
        <v>1890.13</v>
      </c>
      <c r="L1930" t="b">
        <f>TablaDatos[[#This Row],[FechaAlta]] &lt; TablaDatos[[#This Row],[FechaIngreso]]</f>
        <v>0</v>
      </c>
      <c r="M1930">
        <f>_xlfn.XLOOKUP(TablaDatos[[#This Row],[PacienteID]],'Datos_Ejemplo.csv'!A:A,'Datos_Ejemplo.csv'!I:I)</f>
        <v>27</v>
      </c>
      <c r="N1930">
        <f>ABS(TablaDatos[[#This Row],[DiasOriginal]])</f>
        <v>27</v>
      </c>
      <c r="O1930" s="1">
        <f>TablaDatos[[#This Row],[FechaIngreso]]+TablaDatos[[#This Row],[DiasNuevo]]</f>
        <v>45282</v>
      </c>
    </row>
    <row r="1931" spans="1:15">
      <c r="A1931">
        <v>1930</v>
      </c>
      <c r="B1931" t="s">
        <v>245</v>
      </c>
      <c r="C1931" s="1">
        <v>28125</v>
      </c>
      <c r="D1931">
        <v>49</v>
      </c>
      <c r="E1931" s="4" t="s">
        <v>12</v>
      </c>
      <c r="F1931" t="s">
        <v>201</v>
      </c>
      <c r="G1931" s="1">
        <v>44971</v>
      </c>
      <c r="H1931" s="1">
        <f>TablaDatos[[#This Row],[FechaIngreso]]+TablaDatos[[#This Row],[DiasNuevo]]</f>
        <v>44988</v>
      </c>
      <c r="I1931">
        <v>17</v>
      </c>
      <c r="J1931" t="s">
        <v>23</v>
      </c>
      <c r="K1931" s="3">
        <v>4077.46</v>
      </c>
      <c r="L1931" t="b">
        <f>TablaDatos[[#This Row],[FechaAlta]] &lt; TablaDatos[[#This Row],[FechaIngreso]]</f>
        <v>0</v>
      </c>
      <c r="M1931">
        <f>_xlfn.XLOOKUP(TablaDatos[[#This Row],[PacienteID]],'Datos_Ejemplo.csv'!A:A,'Datos_Ejemplo.csv'!I:I)</f>
        <v>17</v>
      </c>
      <c r="N1931">
        <f>ABS(TablaDatos[[#This Row],[DiasOriginal]])</f>
        <v>17</v>
      </c>
      <c r="O1931" s="1">
        <f>TablaDatos[[#This Row],[FechaIngreso]]+TablaDatos[[#This Row],[DiasNuevo]]</f>
        <v>44988</v>
      </c>
    </row>
    <row r="1932" spans="1:15">
      <c r="A1932">
        <v>1931</v>
      </c>
      <c r="B1932" t="s">
        <v>246</v>
      </c>
      <c r="C1932" s="1">
        <v>12785</v>
      </c>
      <c r="D1932">
        <v>91</v>
      </c>
      <c r="E1932" s="4" t="s">
        <v>15</v>
      </c>
      <c r="F1932" t="s">
        <v>295</v>
      </c>
      <c r="G1932" s="1">
        <v>45259</v>
      </c>
      <c r="H1932" s="1">
        <f>TablaDatos[[#This Row],[FechaIngreso]]+TablaDatos[[#This Row],[DiasNuevo]]</f>
        <v>45284</v>
      </c>
      <c r="I1932">
        <v>25</v>
      </c>
      <c r="J1932" t="s">
        <v>23</v>
      </c>
      <c r="K1932" s="3">
        <v>3596.58</v>
      </c>
      <c r="L1932" t="b">
        <f>TablaDatos[[#This Row],[FechaAlta]] &lt; TablaDatos[[#This Row],[FechaIngreso]]</f>
        <v>0</v>
      </c>
      <c r="M1932">
        <f>_xlfn.XLOOKUP(TablaDatos[[#This Row],[PacienteID]],'Datos_Ejemplo.csv'!A:A,'Datos_Ejemplo.csv'!I:I)</f>
        <v>25</v>
      </c>
      <c r="N1932">
        <f>ABS(TablaDatos[[#This Row],[DiasOriginal]])</f>
        <v>25</v>
      </c>
      <c r="O1932" s="1">
        <f>TablaDatos[[#This Row],[FechaIngreso]]+TablaDatos[[#This Row],[DiasNuevo]]</f>
        <v>45284</v>
      </c>
    </row>
    <row r="1933" spans="1:15">
      <c r="A1933">
        <v>1932</v>
      </c>
      <c r="B1933" t="s">
        <v>276</v>
      </c>
      <c r="C1933" s="1">
        <v>23742</v>
      </c>
      <c r="D1933">
        <v>61</v>
      </c>
      <c r="E1933" s="4" t="s">
        <v>12</v>
      </c>
      <c r="F1933" t="s">
        <v>21</v>
      </c>
      <c r="G1933" s="1">
        <v>45391</v>
      </c>
      <c r="H1933" s="1">
        <f>TablaDatos[[#This Row],[FechaIngreso]]+TablaDatos[[#This Row],[DiasNuevo]]</f>
        <v>45395</v>
      </c>
      <c r="I1933">
        <v>4</v>
      </c>
      <c r="J1933" t="s">
        <v>25</v>
      </c>
      <c r="K1933" s="3">
        <v>10343.530000000001</v>
      </c>
      <c r="L1933" t="b">
        <f>TablaDatos[[#This Row],[FechaAlta]] &lt; TablaDatos[[#This Row],[FechaIngreso]]</f>
        <v>0</v>
      </c>
      <c r="M1933">
        <f>_xlfn.XLOOKUP(TablaDatos[[#This Row],[PacienteID]],'Datos_Ejemplo.csv'!A:A,'Datos_Ejemplo.csv'!I:I)</f>
        <v>4</v>
      </c>
      <c r="N1933">
        <f>ABS(TablaDatos[[#This Row],[DiasOriginal]])</f>
        <v>4</v>
      </c>
      <c r="O1933" s="1">
        <f>TablaDatos[[#This Row],[FechaIngreso]]+TablaDatos[[#This Row],[DiasNuevo]]</f>
        <v>45395</v>
      </c>
    </row>
    <row r="1934" spans="1:15">
      <c r="A1934">
        <v>1933</v>
      </c>
      <c r="B1934" t="s">
        <v>349</v>
      </c>
      <c r="C1934" s="1">
        <v>15707</v>
      </c>
      <c r="D1934">
        <v>83</v>
      </c>
      <c r="E1934" s="4" t="s">
        <v>15</v>
      </c>
      <c r="F1934" t="s">
        <v>18</v>
      </c>
      <c r="G1934" s="1">
        <v>45126</v>
      </c>
      <c r="H1934" s="1">
        <f>TablaDatos[[#This Row],[FechaIngreso]]+TablaDatos[[#This Row],[DiasNuevo]]</f>
        <v>45127</v>
      </c>
      <c r="I1934">
        <v>1</v>
      </c>
      <c r="J1934" t="s">
        <v>19</v>
      </c>
      <c r="K1934" s="3">
        <v>4076.86</v>
      </c>
      <c r="L1934" t="b">
        <f>TablaDatos[[#This Row],[FechaAlta]] &lt; TablaDatos[[#This Row],[FechaIngreso]]</f>
        <v>0</v>
      </c>
      <c r="M1934">
        <f>_xlfn.XLOOKUP(TablaDatos[[#This Row],[PacienteID]],'Datos_Ejemplo.csv'!A:A,'Datos_Ejemplo.csv'!I:I)</f>
        <v>1</v>
      </c>
      <c r="N1934">
        <f>ABS(TablaDatos[[#This Row],[DiasOriginal]])</f>
        <v>1</v>
      </c>
      <c r="O1934" s="1">
        <f>TablaDatos[[#This Row],[FechaIngreso]]+TablaDatos[[#This Row],[DiasNuevo]]</f>
        <v>45127</v>
      </c>
    </row>
    <row r="1935" spans="1:15">
      <c r="A1935">
        <v>1934</v>
      </c>
      <c r="B1935" t="s">
        <v>249</v>
      </c>
      <c r="C1935" s="1">
        <v>23742</v>
      </c>
      <c r="D1935">
        <v>61</v>
      </c>
      <c r="E1935" s="4" t="s">
        <v>15</v>
      </c>
      <c r="F1935" t="s">
        <v>32</v>
      </c>
      <c r="G1935" s="1">
        <v>45127</v>
      </c>
      <c r="H1935" s="1">
        <f>TablaDatos[[#This Row],[FechaIngreso]]+TablaDatos[[#This Row],[DiasNuevo]]</f>
        <v>45152</v>
      </c>
      <c r="I1935">
        <v>25</v>
      </c>
      <c r="J1935" t="s">
        <v>23</v>
      </c>
      <c r="K1935" s="3">
        <v>13885.59</v>
      </c>
      <c r="L1935" t="b">
        <f>TablaDatos[[#This Row],[FechaAlta]] &lt; TablaDatos[[#This Row],[FechaIngreso]]</f>
        <v>0</v>
      </c>
      <c r="M1935">
        <f>_xlfn.XLOOKUP(TablaDatos[[#This Row],[PacienteID]],'Datos_Ejemplo.csv'!A:A,'Datos_Ejemplo.csv'!I:I)</f>
        <v>25</v>
      </c>
      <c r="N1935">
        <f>ABS(TablaDatos[[#This Row],[DiasOriginal]])</f>
        <v>25</v>
      </c>
      <c r="O1935" s="1">
        <f>TablaDatos[[#This Row],[FechaIngreso]]+TablaDatos[[#This Row],[DiasNuevo]]</f>
        <v>45152</v>
      </c>
    </row>
    <row r="1936" spans="1:15">
      <c r="A1936">
        <v>1935</v>
      </c>
      <c r="B1936" t="s">
        <v>273</v>
      </c>
      <c r="C1936" s="1">
        <v>43831</v>
      </c>
      <c r="D1936">
        <v>6</v>
      </c>
      <c r="E1936" s="4" t="s">
        <v>15</v>
      </c>
      <c r="F1936" t="s">
        <v>295</v>
      </c>
      <c r="G1936" s="1">
        <v>45255</v>
      </c>
      <c r="H1936" s="1">
        <f>TablaDatos[[#This Row],[FechaIngreso]]+TablaDatos[[#This Row],[DiasNuevo]]</f>
        <v>45287</v>
      </c>
      <c r="I1936">
        <v>32</v>
      </c>
      <c r="J1936" t="s">
        <v>19</v>
      </c>
      <c r="K1936" s="3">
        <v>10859.12</v>
      </c>
      <c r="L1936" t="b">
        <f>TablaDatos[[#This Row],[FechaAlta]] &lt; TablaDatos[[#This Row],[FechaIngreso]]</f>
        <v>0</v>
      </c>
      <c r="M1936">
        <f>_xlfn.XLOOKUP(TablaDatos[[#This Row],[PacienteID]],'Datos_Ejemplo.csv'!A:A,'Datos_Ejemplo.csv'!I:I)</f>
        <v>32</v>
      </c>
      <c r="N1936">
        <f>ABS(TablaDatos[[#This Row],[DiasOriginal]])</f>
        <v>32</v>
      </c>
      <c r="O1936" s="1">
        <f>TablaDatos[[#This Row],[FechaIngreso]]+TablaDatos[[#This Row],[DiasNuevo]]</f>
        <v>45287</v>
      </c>
    </row>
    <row r="1937" spans="1:15">
      <c r="A1937">
        <v>1936</v>
      </c>
      <c r="B1937" t="s">
        <v>354</v>
      </c>
      <c r="C1937" s="1">
        <v>18994</v>
      </c>
      <c r="D1937">
        <f ca="1">DATEDIF(TablaDatos[[#This Row],[FechaNacimiento]],TODAY(),"Y")</f>
        <v>74</v>
      </c>
      <c r="E1937" s="4" t="s">
        <v>12</v>
      </c>
      <c r="F1937" t="s">
        <v>261</v>
      </c>
      <c r="G1937" s="1">
        <v>45606</v>
      </c>
      <c r="H1937" s="1">
        <f>TablaDatos[[#This Row],[FechaIngreso]]+TablaDatos[[#This Row],[DiasNuevo]]</f>
        <v>45636</v>
      </c>
      <c r="I1937">
        <v>30</v>
      </c>
      <c r="J1937" t="s">
        <v>25</v>
      </c>
      <c r="K1937" s="3">
        <v>254.93</v>
      </c>
      <c r="L1937" t="b">
        <f>TablaDatos[[#This Row],[FechaAlta]] &lt; TablaDatos[[#This Row],[FechaIngreso]]</f>
        <v>0</v>
      </c>
      <c r="M1937">
        <f>_xlfn.XLOOKUP(TablaDatos[[#This Row],[PacienteID]],'Datos_Ejemplo.csv'!A:A,'Datos_Ejemplo.csv'!I:I)</f>
        <v>30</v>
      </c>
      <c r="N1937">
        <f>ABS(TablaDatos[[#This Row],[DiasOriginal]])</f>
        <v>30</v>
      </c>
      <c r="O1937" s="1">
        <f>TablaDatos[[#This Row],[FechaIngreso]]+TablaDatos[[#This Row],[DiasNuevo]]</f>
        <v>45636</v>
      </c>
    </row>
    <row r="1938" spans="1:15">
      <c r="A1938">
        <v>1937</v>
      </c>
      <c r="B1938" t="s">
        <v>355</v>
      </c>
      <c r="C1938" s="1">
        <v>15707</v>
      </c>
      <c r="D1938">
        <v>83</v>
      </c>
      <c r="E1938" s="4" t="s">
        <v>12</v>
      </c>
      <c r="F1938" t="s">
        <v>32</v>
      </c>
      <c r="G1938" s="1">
        <v>45166</v>
      </c>
      <c r="H1938" s="1">
        <f>TablaDatos[[#This Row],[FechaIngreso]]+TablaDatos[[#This Row],[DiasNuevo]]</f>
        <v>45170</v>
      </c>
      <c r="I1938">
        <v>4</v>
      </c>
      <c r="J1938" t="s">
        <v>25</v>
      </c>
      <c r="K1938" s="3">
        <v>14855.55</v>
      </c>
      <c r="L1938" t="b">
        <f>TablaDatos[[#This Row],[FechaAlta]] &lt; TablaDatos[[#This Row],[FechaIngreso]]</f>
        <v>0</v>
      </c>
      <c r="M1938">
        <f>_xlfn.XLOOKUP(TablaDatos[[#This Row],[PacienteID]],'Datos_Ejemplo.csv'!A:A,'Datos_Ejemplo.csv'!I:I)</f>
        <v>4</v>
      </c>
      <c r="N1938">
        <f>ABS(TablaDatos[[#This Row],[DiasOriginal]])</f>
        <v>4</v>
      </c>
      <c r="O1938" s="1">
        <f>TablaDatos[[#This Row],[FechaIngreso]]+TablaDatos[[#This Row],[DiasNuevo]]</f>
        <v>45170</v>
      </c>
    </row>
    <row r="1939" spans="1:15">
      <c r="A1939">
        <v>1938</v>
      </c>
      <c r="B1939" t="s">
        <v>303</v>
      </c>
      <c r="C1939" s="1">
        <v>17168</v>
      </c>
      <c r="D1939">
        <v>79</v>
      </c>
      <c r="E1939" s="4" t="s">
        <v>197</v>
      </c>
      <c r="F1939" t="s">
        <v>18</v>
      </c>
      <c r="G1939" s="1">
        <v>45628</v>
      </c>
      <c r="H1939" s="1">
        <f>TablaDatos[[#This Row],[FechaIngreso]]+TablaDatos[[#This Row],[DiasNuevo]]</f>
        <v>45634</v>
      </c>
      <c r="I1939">
        <v>6</v>
      </c>
      <c r="J1939" t="s">
        <v>23</v>
      </c>
      <c r="K1939" s="3">
        <v>3695.46</v>
      </c>
      <c r="L1939" t="b">
        <f>TablaDatos[[#This Row],[FechaAlta]] &lt; TablaDatos[[#This Row],[FechaIngreso]]</f>
        <v>0</v>
      </c>
      <c r="M1939">
        <f>_xlfn.XLOOKUP(TablaDatos[[#This Row],[PacienteID]],'Datos_Ejemplo.csv'!A:A,'Datos_Ejemplo.csv'!I:I)</f>
        <v>6</v>
      </c>
      <c r="N1939">
        <f>ABS(TablaDatos[[#This Row],[DiasOriginal]])</f>
        <v>6</v>
      </c>
      <c r="O1939" s="1">
        <f>TablaDatos[[#This Row],[FechaIngreso]]+TablaDatos[[#This Row],[DiasNuevo]]</f>
        <v>45634</v>
      </c>
    </row>
    <row r="1940" spans="1:15">
      <c r="A1940">
        <v>1939</v>
      </c>
      <c r="B1940" t="s">
        <v>272</v>
      </c>
      <c r="C1940" s="1">
        <v>44927</v>
      </c>
      <c r="D1940">
        <v>3</v>
      </c>
      <c r="E1940" s="4" t="s">
        <v>15</v>
      </c>
      <c r="F1940" t="s">
        <v>295</v>
      </c>
      <c r="G1940" s="1">
        <v>45509</v>
      </c>
      <c r="H1940" s="1">
        <f>TablaDatos[[#This Row],[FechaIngreso]]+TablaDatos[[#This Row],[DiasNuevo]]</f>
        <v>45540</v>
      </c>
      <c r="I1940">
        <v>31</v>
      </c>
      <c r="J1940" t="s">
        <v>23</v>
      </c>
      <c r="K1940" s="3">
        <v>16480.189999999999</v>
      </c>
      <c r="L1940" t="b">
        <f>TablaDatos[[#This Row],[FechaAlta]] &lt; TablaDatos[[#This Row],[FechaIngreso]]</f>
        <v>0</v>
      </c>
      <c r="M1940">
        <f>_xlfn.XLOOKUP(TablaDatos[[#This Row],[PacienteID]],'Datos_Ejemplo.csv'!A:A,'Datos_Ejemplo.csv'!I:I)</f>
        <v>31</v>
      </c>
      <c r="N1940">
        <f>ABS(TablaDatos[[#This Row],[DiasOriginal]])</f>
        <v>31</v>
      </c>
      <c r="O1940" s="1">
        <f>TablaDatos[[#This Row],[FechaIngreso]]+TablaDatos[[#This Row],[DiasNuevo]]</f>
        <v>45540</v>
      </c>
    </row>
    <row r="1941" spans="1:15">
      <c r="A1941">
        <v>1940</v>
      </c>
      <c r="B1941" t="s">
        <v>102</v>
      </c>
      <c r="C1941" s="1">
        <v>44196</v>
      </c>
      <c r="D1941">
        <v>5</v>
      </c>
      <c r="E1941" s="4" t="s">
        <v>15</v>
      </c>
      <c r="F1941" t="s">
        <v>13</v>
      </c>
      <c r="G1941" s="1">
        <v>45583</v>
      </c>
      <c r="H1941" s="1">
        <f>TablaDatos[[#This Row],[FechaIngreso]]+TablaDatos[[#This Row],[DiasNuevo]]</f>
        <v>45619</v>
      </c>
      <c r="I1941">
        <v>36</v>
      </c>
      <c r="J1941" t="s">
        <v>19</v>
      </c>
      <c r="K1941" s="3">
        <v>7036.41</v>
      </c>
      <c r="L1941" t="b">
        <f>TablaDatos[[#This Row],[FechaAlta]] &lt; TablaDatos[[#This Row],[FechaIngreso]]</f>
        <v>0</v>
      </c>
      <c r="M1941">
        <f>_xlfn.XLOOKUP(TablaDatos[[#This Row],[PacienteID]],'Datos_Ejemplo.csv'!A:A,'Datos_Ejemplo.csv'!I:I)</f>
        <v>36</v>
      </c>
      <c r="N1941">
        <f>ABS(TablaDatos[[#This Row],[DiasOriginal]])</f>
        <v>36</v>
      </c>
      <c r="O1941" s="1">
        <f>TablaDatos[[#This Row],[FechaIngreso]]+TablaDatos[[#This Row],[DiasNuevo]]</f>
        <v>45619</v>
      </c>
    </row>
    <row r="1942" spans="1:15">
      <c r="A1942">
        <v>1941</v>
      </c>
      <c r="B1942" t="s">
        <v>356</v>
      </c>
      <c r="C1942" s="1">
        <v>25203</v>
      </c>
      <c r="D1942">
        <v>57</v>
      </c>
      <c r="E1942" s="4" t="s">
        <v>12</v>
      </c>
      <c r="F1942" t="s">
        <v>21</v>
      </c>
      <c r="G1942" s="1">
        <v>45285</v>
      </c>
      <c r="H1942" s="1">
        <f>TablaDatos[[#This Row],[FechaIngreso]]+TablaDatos[[#This Row],[DiasNuevo]]</f>
        <v>45324</v>
      </c>
      <c r="I1942">
        <v>39</v>
      </c>
      <c r="J1942" t="s">
        <v>23</v>
      </c>
      <c r="K1942" s="3">
        <v>6706.26</v>
      </c>
      <c r="L1942" t="b">
        <f>TablaDatos[[#This Row],[FechaAlta]] &lt; TablaDatos[[#This Row],[FechaIngreso]]</f>
        <v>0</v>
      </c>
      <c r="M1942">
        <f>_xlfn.XLOOKUP(TablaDatos[[#This Row],[PacienteID]],'Datos_Ejemplo.csv'!A:A,'Datos_Ejemplo.csv'!I:I)</f>
        <v>39</v>
      </c>
      <c r="N1942">
        <f>ABS(TablaDatos[[#This Row],[DiasOriginal]])</f>
        <v>39</v>
      </c>
      <c r="O1942" s="1">
        <f>TablaDatos[[#This Row],[FechaIngreso]]+TablaDatos[[#This Row],[DiasNuevo]]</f>
        <v>45324</v>
      </c>
    </row>
    <row r="1943" spans="1:15">
      <c r="A1943">
        <v>1942</v>
      </c>
      <c r="B1943" t="s">
        <v>55</v>
      </c>
      <c r="C1943" s="1">
        <v>38352</v>
      </c>
      <c r="D1943">
        <v>21</v>
      </c>
      <c r="E1943" s="4" t="s">
        <v>12</v>
      </c>
      <c r="F1943" t="s">
        <v>18</v>
      </c>
      <c r="G1943" s="1">
        <v>45647</v>
      </c>
      <c r="H1943" s="1">
        <f>TablaDatos[[#This Row],[FechaIngreso]]+TablaDatos[[#This Row],[DiasNuevo]]</f>
        <v>45678</v>
      </c>
      <c r="I1943">
        <v>31</v>
      </c>
      <c r="J1943" t="s">
        <v>19</v>
      </c>
      <c r="K1943" s="3">
        <v>137.53</v>
      </c>
      <c r="L1943" t="b">
        <f>TablaDatos[[#This Row],[FechaAlta]] &lt; TablaDatos[[#This Row],[FechaIngreso]]</f>
        <v>0</v>
      </c>
      <c r="M1943">
        <f>_xlfn.XLOOKUP(TablaDatos[[#This Row],[PacienteID]],'Datos_Ejemplo.csv'!A:A,'Datos_Ejemplo.csv'!I:I)</f>
        <v>31</v>
      </c>
      <c r="N1943">
        <f>ABS(TablaDatos[[#This Row],[DiasOriginal]])</f>
        <v>31</v>
      </c>
      <c r="O1943" s="1">
        <f>TablaDatos[[#This Row],[FechaIngreso]]+TablaDatos[[#This Row],[DiasNuevo]]</f>
        <v>45678</v>
      </c>
    </row>
    <row r="1944" spans="1:15">
      <c r="A1944">
        <v>1943</v>
      </c>
      <c r="B1944" t="s">
        <v>290</v>
      </c>
      <c r="C1944" s="1">
        <v>36891</v>
      </c>
      <c r="D1944">
        <v>25</v>
      </c>
      <c r="E1944" s="4" t="s">
        <v>15</v>
      </c>
      <c r="F1944" t="s">
        <v>295</v>
      </c>
      <c r="G1944" s="1">
        <v>45286</v>
      </c>
      <c r="H1944" s="1">
        <f>TablaDatos[[#This Row],[FechaIngreso]]+TablaDatos[[#This Row],[DiasNuevo]]</f>
        <v>45296</v>
      </c>
      <c r="I1944">
        <v>10</v>
      </c>
      <c r="J1944" t="s">
        <v>23</v>
      </c>
      <c r="K1944" s="3">
        <v>19753.349999999999</v>
      </c>
      <c r="L1944" t="b">
        <f>TablaDatos[[#This Row],[FechaAlta]] &lt; TablaDatos[[#This Row],[FechaIngreso]]</f>
        <v>0</v>
      </c>
      <c r="M1944">
        <f>_xlfn.XLOOKUP(TablaDatos[[#This Row],[PacienteID]],'Datos_Ejemplo.csv'!A:A,'Datos_Ejemplo.csv'!I:I)</f>
        <v>10</v>
      </c>
      <c r="N1944">
        <f>ABS(TablaDatos[[#This Row],[DiasOriginal]])</f>
        <v>10</v>
      </c>
      <c r="O1944" s="1">
        <f>TablaDatos[[#This Row],[FechaIngreso]]+TablaDatos[[#This Row],[DiasNuevo]]</f>
        <v>45296</v>
      </c>
    </row>
    <row r="1945" spans="1:15">
      <c r="A1945">
        <v>1944</v>
      </c>
      <c r="B1945" t="s">
        <v>246</v>
      </c>
      <c r="C1945" s="1">
        <v>45292</v>
      </c>
      <c r="D1945">
        <v>2</v>
      </c>
      <c r="E1945" s="4" t="s">
        <v>15</v>
      </c>
      <c r="F1945" t="s">
        <v>32</v>
      </c>
      <c r="G1945" s="1">
        <v>45304</v>
      </c>
      <c r="H1945" s="1">
        <f>TablaDatos[[#This Row],[FechaIngreso]]+TablaDatos[[#This Row],[DiasNuevo]]</f>
        <v>45330</v>
      </c>
      <c r="I1945">
        <v>26</v>
      </c>
      <c r="J1945" t="s">
        <v>23</v>
      </c>
      <c r="K1945" s="3">
        <v>12201.29</v>
      </c>
      <c r="L1945" t="b">
        <f>TablaDatos[[#This Row],[FechaAlta]] &lt; TablaDatos[[#This Row],[FechaIngreso]]</f>
        <v>0</v>
      </c>
      <c r="M1945">
        <f>_xlfn.XLOOKUP(TablaDatos[[#This Row],[PacienteID]],'Datos_Ejemplo.csv'!A:A,'Datos_Ejemplo.csv'!I:I)</f>
        <v>26</v>
      </c>
      <c r="N1945">
        <f>ABS(TablaDatos[[#This Row],[DiasOriginal]])</f>
        <v>26</v>
      </c>
      <c r="O1945" s="1">
        <f>TablaDatos[[#This Row],[FechaIngreso]]+TablaDatos[[#This Row],[DiasNuevo]]</f>
        <v>45330</v>
      </c>
    </row>
    <row r="1946" spans="1:15">
      <c r="A1946">
        <v>1945</v>
      </c>
      <c r="B1946" t="s">
        <v>363</v>
      </c>
      <c r="C1946" s="1">
        <v>31412</v>
      </c>
      <c r="D1946">
        <v>40</v>
      </c>
      <c r="E1946" s="4" t="s">
        <v>12</v>
      </c>
      <c r="F1946" t="s">
        <v>295</v>
      </c>
      <c r="G1946" s="1">
        <v>45311</v>
      </c>
      <c r="H1946" s="1">
        <f>TablaDatos[[#This Row],[FechaIngreso]]+TablaDatos[[#This Row],[DiasNuevo]]</f>
        <v>45343</v>
      </c>
      <c r="I1946">
        <v>32</v>
      </c>
      <c r="J1946" t="s">
        <v>19</v>
      </c>
      <c r="K1946" s="3">
        <v>8396.8799999999992</v>
      </c>
      <c r="L1946" t="b">
        <f>TablaDatos[[#This Row],[FechaAlta]] &lt; TablaDatos[[#This Row],[FechaIngreso]]</f>
        <v>0</v>
      </c>
      <c r="M1946">
        <f>_xlfn.XLOOKUP(TablaDatos[[#This Row],[PacienteID]],'Datos_Ejemplo.csv'!A:A,'Datos_Ejemplo.csv'!I:I)</f>
        <v>32</v>
      </c>
      <c r="N1946">
        <f>ABS(TablaDatos[[#This Row],[DiasOriginal]])</f>
        <v>32</v>
      </c>
      <c r="O1946" s="1">
        <f>TablaDatos[[#This Row],[FechaIngreso]]+TablaDatos[[#This Row],[DiasNuevo]]</f>
        <v>45343</v>
      </c>
    </row>
    <row r="1947" spans="1:15">
      <c r="A1947">
        <v>1946</v>
      </c>
      <c r="B1947" t="s">
        <v>340</v>
      </c>
      <c r="C1947" s="1">
        <v>24473</v>
      </c>
      <c r="D1947">
        <v>59</v>
      </c>
      <c r="E1947" s="4" t="s">
        <v>15</v>
      </c>
      <c r="F1947" t="s">
        <v>13</v>
      </c>
      <c r="G1947" s="1">
        <v>45646</v>
      </c>
      <c r="H1947" s="1">
        <f>TablaDatos[[#This Row],[FechaIngreso]]+TablaDatos[[#This Row],[DiasNuevo]]</f>
        <v>45653</v>
      </c>
      <c r="I1947">
        <v>7</v>
      </c>
      <c r="J1947" t="s">
        <v>23</v>
      </c>
      <c r="K1947" s="3">
        <v>1842.09</v>
      </c>
      <c r="L1947" t="b">
        <f>TablaDatos[[#This Row],[FechaAlta]] &lt; TablaDatos[[#This Row],[FechaIngreso]]</f>
        <v>0</v>
      </c>
      <c r="M1947">
        <f>_xlfn.XLOOKUP(TablaDatos[[#This Row],[PacienteID]],'Datos_Ejemplo.csv'!A:A,'Datos_Ejemplo.csv'!I:I)</f>
        <v>7</v>
      </c>
      <c r="N1947">
        <f>ABS(TablaDatos[[#This Row],[DiasOriginal]])</f>
        <v>7</v>
      </c>
      <c r="O1947" s="1">
        <f>TablaDatos[[#This Row],[FechaIngreso]]+TablaDatos[[#This Row],[DiasNuevo]]</f>
        <v>45653</v>
      </c>
    </row>
    <row r="1948" spans="1:15">
      <c r="A1948">
        <v>1947</v>
      </c>
      <c r="B1948" t="s">
        <v>338</v>
      </c>
      <c r="C1948" s="1">
        <v>41274</v>
      </c>
      <c r="D1948">
        <v>13</v>
      </c>
      <c r="E1948" s="4" t="s">
        <v>12</v>
      </c>
      <c r="F1948" t="s">
        <v>18</v>
      </c>
      <c r="G1948" s="1">
        <v>45391</v>
      </c>
      <c r="H1948" s="1">
        <f>TablaDatos[[#This Row],[FechaIngreso]]+TablaDatos[[#This Row],[DiasNuevo]]</f>
        <v>45418</v>
      </c>
      <c r="I1948">
        <v>27</v>
      </c>
      <c r="J1948" t="s">
        <v>23</v>
      </c>
      <c r="K1948" s="3">
        <v>13952.88</v>
      </c>
      <c r="L1948" t="b">
        <f>TablaDatos[[#This Row],[FechaAlta]] &lt; TablaDatos[[#This Row],[FechaIngreso]]</f>
        <v>0</v>
      </c>
      <c r="M1948">
        <f>_xlfn.XLOOKUP(TablaDatos[[#This Row],[PacienteID]],'Datos_Ejemplo.csv'!A:A,'Datos_Ejemplo.csv'!I:I)</f>
        <v>27</v>
      </c>
      <c r="N1948">
        <f>ABS(TablaDatos[[#This Row],[DiasOriginal]])</f>
        <v>27</v>
      </c>
      <c r="O1948" s="1">
        <f>TablaDatos[[#This Row],[FechaIngreso]]+TablaDatos[[#This Row],[DiasNuevo]]</f>
        <v>45418</v>
      </c>
    </row>
    <row r="1949" spans="1:15">
      <c r="A1949">
        <v>1948</v>
      </c>
      <c r="B1949" t="s">
        <v>266</v>
      </c>
      <c r="C1949" s="1">
        <v>18994</v>
      </c>
      <c r="D1949">
        <v>74</v>
      </c>
      <c r="E1949" s="4" t="s">
        <v>12</v>
      </c>
      <c r="F1949" t="s">
        <v>295</v>
      </c>
      <c r="G1949" s="1">
        <v>45148</v>
      </c>
      <c r="H1949" s="1">
        <f>TablaDatos[[#This Row],[FechaIngreso]]+TablaDatos[[#This Row],[DiasNuevo]]</f>
        <v>45171</v>
      </c>
      <c r="I1949">
        <v>23</v>
      </c>
      <c r="J1949" t="s">
        <v>23</v>
      </c>
      <c r="K1949" s="3">
        <v>5582.88</v>
      </c>
      <c r="L1949" t="b">
        <f>TablaDatos[[#This Row],[FechaAlta]] &lt; TablaDatos[[#This Row],[FechaIngreso]]</f>
        <v>0</v>
      </c>
      <c r="M1949">
        <f>_xlfn.XLOOKUP(TablaDatos[[#This Row],[PacienteID]],'Datos_Ejemplo.csv'!A:A,'Datos_Ejemplo.csv'!I:I)</f>
        <v>23</v>
      </c>
      <c r="N1949">
        <f>ABS(TablaDatos[[#This Row],[DiasOriginal]])</f>
        <v>23</v>
      </c>
      <c r="O1949" s="1">
        <f>TablaDatos[[#This Row],[FechaIngreso]]+TablaDatos[[#This Row],[DiasNuevo]]</f>
        <v>45171</v>
      </c>
    </row>
    <row r="1950" spans="1:15">
      <c r="A1950">
        <v>1949</v>
      </c>
      <c r="B1950" t="s">
        <v>105</v>
      </c>
      <c r="C1950" s="1">
        <v>16437</v>
      </c>
      <c r="D1950">
        <v>81</v>
      </c>
      <c r="E1950" s="4" t="s">
        <v>12</v>
      </c>
      <c r="F1950" t="s">
        <v>261</v>
      </c>
      <c r="G1950" s="1">
        <v>45601</v>
      </c>
      <c r="H1950" s="1">
        <f>TablaDatos[[#This Row],[FechaIngreso]]+TablaDatos[[#This Row],[DiasNuevo]]</f>
        <v>45633</v>
      </c>
      <c r="I1950">
        <v>32</v>
      </c>
      <c r="J1950" t="s">
        <v>23</v>
      </c>
      <c r="K1950" s="3">
        <v>19764.439999999999</v>
      </c>
      <c r="L1950" t="b">
        <f>TablaDatos[[#This Row],[FechaAlta]] &lt; TablaDatos[[#This Row],[FechaIngreso]]</f>
        <v>0</v>
      </c>
      <c r="M1950">
        <f>_xlfn.XLOOKUP(TablaDatos[[#This Row],[PacienteID]],'Datos_Ejemplo.csv'!A:A,'Datos_Ejemplo.csv'!I:I)</f>
        <v>32</v>
      </c>
      <c r="N1950">
        <f>ABS(TablaDatos[[#This Row],[DiasOriginal]])</f>
        <v>32</v>
      </c>
      <c r="O1950" s="1">
        <f>TablaDatos[[#This Row],[FechaIngreso]]+TablaDatos[[#This Row],[DiasNuevo]]</f>
        <v>45633</v>
      </c>
    </row>
    <row r="1951" spans="1:15">
      <c r="A1951">
        <v>1950</v>
      </c>
      <c r="B1951" t="s">
        <v>233</v>
      </c>
      <c r="C1951" s="1">
        <v>42005</v>
      </c>
      <c r="D1951">
        <f ca="1">DATEDIF(TablaDatos[[#This Row],[FechaNacimiento]],TODAY(),"Y")</f>
        <v>11</v>
      </c>
      <c r="E1951" s="4" t="s">
        <v>12</v>
      </c>
      <c r="F1951" t="s">
        <v>18</v>
      </c>
      <c r="G1951" s="1">
        <v>45291</v>
      </c>
      <c r="H1951" s="1">
        <f>TablaDatos[[#This Row],[FechaIngreso]]+TablaDatos[[#This Row],[DiasNuevo]]</f>
        <v>45316</v>
      </c>
      <c r="I1951">
        <v>25</v>
      </c>
      <c r="J1951" t="s">
        <v>23</v>
      </c>
      <c r="K1951" s="3">
        <v>19006</v>
      </c>
      <c r="L1951" t="b">
        <f>TablaDatos[[#This Row],[FechaAlta]] &lt; TablaDatos[[#This Row],[FechaIngreso]]</f>
        <v>0</v>
      </c>
      <c r="M1951">
        <f>_xlfn.XLOOKUP(TablaDatos[[#This Row],[PacienteID]],'Datos_Ejemplo.csv'!A:A,'Datos_Ejemplo.csv'!I:I)</f>
        <v>25</v>
      </c>
      <c r="N1951">
        <f>ABS(TablaDatos[[#This Row],[DiasOriginal]])</f>
        <v>25</v>
      </c>
      <c r="O1951" s="1">
        <f>TablaDatos[[#This Row],[FechaIngreso]]+TablaDatos[[#This Row],[DiasNuevo]]</f>
        <v>45316</v>
      </c>
    </row>
    <row r="1952" spans="1:15">
      <c r="A1952">
        <v>1951</v>
      </c>
      <c r="B1952" t="s">
        <v>362</v>
      </c>
      <c r="C1952" s="1">
        <v>14611</v>
      </c>
      <c r="D1952">
        <f ca="1">DATEDIF(TablaDatos[[#This Row],[FechaNacimiento]],TODAY(),"Y")</f>
        <v>86</v>
      </c>
      <c r="E1952" s="4" t="s">
        <v>15</v>
      </c>
      <c r="F1952" t="s">
        <v>18</v>
      </c>
      <c r="G1952" s="1">
        <v>44998</v>
      </c>
      <c r="H1952" s="1">
        <f>TablaDatos[[#This Row],[FechaIngreso]]+TablaDatos[[#This Row],[DiasNuevo]]</f>
        <v>45024</v>
      </c>
      <c r="I1952">
        <v>26</v>
      </c>
      <c r="J1952" t="s">
        <v>25</v>
      </c>
      <c r="K1952" s="3">
        <v>14679.46</v>
      </c>
      <c r="L1952" t="b">
        <f>TablaDatos[[#This Row],[FechaAlta]] &lt; TablaDatos[[#This Row],[FechaIngreso]]</f>
        <v>0</v>
      </c>
      <c r="M1952">
        <f>_xlfn.XLOOKUP(TablaDatos[[#This Row],[PacienteID]],'Datos_Ejemplo.csv'!A:A,'Datos_Ejemplo.csv'!I:I)</f>
        <v>26</v>
      </c>
      <c r="N1952">
        <f>ABS(TablaDatos[[#This Row],[DiasOriginal]])</f>
        <v>26</v>
      </c>
      <c r="O1952" s="1">
        <f>TablaDatos[[#This Row],[FechaIngreso]]+TablaDatos[[#This Row],[DiasNuevo]]</f>
        <v>45024</v>
      </c>
    </row>
    <row r="1953" spans="1:15">
      <c r="A1953">
        <v>1952</v>
      </c>
      <c r="B1953" t="s">
        <v>333</v>
      </c>
      <c r="C1953" s="1">
        <v>42005</v>
      </c>
      <c r="D1953">
        <v>11</v>
      </c>
      <c r="E1953" s="4" t="s">
        <v>12</v>
      </c>
      <c r="F1953" t="s">
        <v>32</v>
      </c>
      <c r="G1953" s="1">
        <v>45166</v>
      </c>
      <c r="H1953" s="1">
        <f>TablaDatos[[#This Row],[FechaIngreso]]+TablaDatos[[#This Row],[DiasNuevo]]</f>
        <v>45169</v>
      </c>
      <c r="I1953">
        <v>3</v>
      </c>
      <c r="J1953" t="s">
        <v>25</v>
      </c>
      <c r="K1953" s="3">
        <v>19418.55</v>
      </c>
      <c r="L1953" t="b">
        <f>TablaDatos[[#This Row],[FechaAlta]] &lt; TablaDatos[[#This Row],[FechaIngreso]]</f>
        <v>0</v>
      </c>
      <c r="M1953">
        <f>_xlfn.XLOOKUP(TablaDatos[[#This Row],[PacienteID]],'Datos_Ejemplo.csv'!A:A,'Datos_Ejemplo.csv'!I:I)</f>
        <v>3</v>
      </c>
      <c r="N1953">
        <f>ABS(TablaDatos[[#This Row],[DiasOriginal]])</f>
        <v>3</v>
      </c>
      <c r="O1953" s="1">
        <f>TablaDatos[[#This Row],[FechaIngreso]]+TablaDatos[[#This Row],[DiasNuevo]]</f>
        <v>45169</v>
      </c>
    </row>
    <row r="1954" spans="1:15">
      <c r="A1954">
        <v>1953</v>
      </c>
      <c r="B1954" t="s">
        <v>239</v>
      </c>
      <c r="C1954" s="1">
        <v>41639</v>
      </c>
      <c r="D1954">
        <v>12</v>
      </c>
      <c r="E1954" s="4" t="s">
        <v>12</v>
      </c>
      <c r="F1954" t="s">
        <v>201</v>
      </c>
      <c r="G1954" s="1">
        <v>45430</v>
      </c>
      <c r="H1954" s="1">
        <f>TablaDatos[[#This Row],[FechaIngreso]]+TablaDatos[[#This Row],[DiasNuevo]]</f>
        <v>45430</v>
      </c>
      <c r="I1954">
        <v>0</v>
      </c>
      <c r="J1954" t="s">
        <v>19</v>
      </c>
      <c r="K1954" s="3">
        <v>2023.24</v>
      </c>
      <c r="L1954" t="b">
        <f>TablaDatos[[#This Row],[FechaAlta]] &lt; TablaDatos[[#This Row],[FechaIngreso]]</f>
        <v>0</v>
      </c>
      <c r="M1954">
        <f>_xlfn.XLOOKUP(TablaDatos[[#This Row],[PacienteID]],'Datos_Ejemplo.csv'!A:A,'Datos_Ejemplo.csv'!I:I)</f>
        <v>0</v>
      </c>
      <c r="N1954">
        <f>ABS(TablaDatos[[#This Row],[DiasOriginal]])</f>
        <v>0</v>
      </c>
      <c r="O1954" s="1">
        <f>TablaDatos[[#This Row],[FechaIngreso]]+TablaDatos[[#This Row],[DiasNuevo]]</f>
        <v>45430</v>
      </c>
    </row>
    <row r="1955" spans="1:15">
      <c r="A1955">
        <v>1954</v>
      </c>
      <c r="B1955" t="s">
        <v>305</v>
      </c>
      <c r="C1955" s="1">
        <v>37256</v>
      </c>
      <c r="D1955">
        <v>24</v>
      </c>
      <c r="E1955" s="4" t="s">
        <v>15</v>
      </c>
      <c r="F1955" t="s">
        <v>21</v>
      </c>
      <c r="G1955" s="1">
        <v>45340</v>
      </c>
      <c r="H1955" s="1">
        <f>TablaDatos[[#This Row],[FechaIngreso]]+TablaDatos[[#This Row],[DiasNuevo]]</f>
        <v>45366</v>
      </c>
      <c r="I1955">
        <v>26</v>
      </c>
      <c r="J1955" t="s">
        <v>23</v>
      </c>
      <c r="K1955" s="3">
        <v>5526.3</v>
      </c>
      <c r="L1955" t="b">
        <f>TablaDatos[[#This Row],[FechaAlta]] &lt; TablaDatos[[#This Row],[FechaIngreso]]</f>
        <v>0</v>
      </c>
      <c r="M1955">
        <f>_xlfn.XLOOKUP(TablaDatos[[#This Row],[PacienteID]],'Datos_Ejemplo.csv'!A:A,'Datos_Ejemplo.csv'!I:I)</f>
        <v>26</v>
      </c>
      <c r="N1955">
        <f>ABS(TablaDatos[[#This Row],[DiasOriginal]])</f>
        <v>26</v>
      </c>
      <c r="O1955" s="1">
        <f>TablaDatos[[#This Row],[FechaIngreso]]+TablaDatos[[#This Row],[DiasNuevo]]</f>
        <v>45366</v>
      </c>
    </row>
    <row r="1956" spans="1:15">
      <c r="A1956">
        <v>1955</v>
      </c>
      <c r="B1956" t="s">
        <v>345</v>
      </c>
      <c r="C1956" s="1">
        <v>29951</v>
      </c>
      <c r="D1956">
        <v>44</v>
      </c>
      <c r="E1956" s="4" t="s">
        <v>12</v>
      </c>
      <c r="F1956" t="s">
        <v>201</v>
      </c>
      <c r="G1956" s="1">
        <v>45053</v>
      </c>
      <c r="H1956" s="1">
        <f>TablaDatos[[#This Row],[FechaIngreso]]+TablaDatos[[#This Row],[DiasNuevo]]</f>
        <v>45054</v>
      </c>
      <c r="I1956">
        <v>1</v>
      </c>
      <c r="J1956" t="s">
        <v>23</v>
      </c>
      <c r="K1956" s="3">
        <v>4990.1899999999996</v>
      </c>
      <c r="L1956" t="b">
        <f>TablaDatos[[#This Row],[FechaAlta]] &lt; TablaDatos[[#This Row],[FechaIngreso]]</f>
        <v>0</v>
      </c>
      <c r="M1956">
        <f>_xlfn.XLOOKUP(TablaDatos[[#This Row],[PacienteID]],'Datos_Ejemplo.csv'!A:A,'Datos_Ejemplo.csv'!I:I)</f>
        <v>-1</v>
      </c>
      <c r="N1956">
        <f>ABS(TablaDatos[[#This Row],[DiasOriginal]])</f>
        <v>1</v>
      </c>
      <c r="O1956" s="1">
        <f>TablaDatos[[#This Row],[FechaIngreso]]+TablaDatos[[#This Row],[DiasNuevo]]</f>
        <v>45054</v>
      </c>
    </row>
    <row r="1957" spans="1:15">
      <c r="A1957">
        <v>1956</v>
      </c>
      <c r="B1957" t="s">
        <v>360</v>
      </c>
      <c r="C1957" s="1">
        <v>39448</v>
      </c>
      <c r="D1957">
        <v>18</v>
      </c>
      <c r="E1957" s="4" t="s">
        <v>15</v>
      </c>
      <c r="F1957" t="s">
        <v>261</v>
      </c>
      <c r="G1957" s="1">
        <v>45413</v>
      </c>
      <c r="H1957" s="1">
        <f>TablaDatos[[#This Row],[FechaIngreso]]+TablaDatos[[#This Row],[DiasNuevo]]</f>
        <v>45432</v>
      </c>
      <c r="I1957">
        <v>19</v>
      </c>
      <c r="J1957" t="s">
        <v>23</v>
      </c>
      <c r="K1957" s="3">
        <v>1347.45</v>
      </c>
      <c r="L1957" t="b">
        <f>TablaDatos[[#This Row],[FechaAlta]] &lt; TablaDatos[[#This Row],[FechaIngreso]]</f>
        <v>0</v>
      </c>
      <c r="M1957">
        <f>_xlfn.XLOOKUP(TablaDatos[[#This Row],[PacienteID]],'Datos_Ejemplo.csv'!A:A,'Datos_Ejemplo.csv'!I:I)</f>
        <v>19</v>
      </c>
      <c r="N1957">
        <f>ABS(TablaDatos[[#This Row],[DiasOriginal]])</f>
        <v>19</v>
      </c>
      <c r="O1957" s="1">
        <f>TablaDatos[[#This Row],[FechaIngreso]]+TablaDatos[[#This Row],[DiasNuevo]]</f>
        <v>45432</v>
      </c>
    </row>
    <row r="1958" spans="1:15">
      <c r="A1958">
        <v>1957</v>
      </c>
      <c r="B1958" t="s">
        <v>325</v>
      </c>
      <c r="C1958" s="1">
        <v>26299</v>
      </c>
      <c r="D1958">
        <v>54</v>
      </c>
      <c r="E1958" s="4" t="s">
        <v>12</v>
      </c>
      <c r="F1958" t="s">
        <v>13</v>
      </c>
      <c r="G1958" s="1">
        <v>45523</v>
      </c>
      <c r="H1958" s="1">
        <f>TablaDatos[[#This Row],[FechaIngreso]]+TablaDatos[[#This Row],[DiasNuevo]]</f>
        <v>45547</v>
      </c>
      <c r="I1958">
        <v>24</v>
      </c>
      <c r="J1958" t="s">
        <v>23</v>
      </c>
      <c r="K1958" s="3">
        <v>19441.75</v>
      </c>
      <c r="L1958" t="b">
        <f>TablaDatos[[#This Row],[FechaAlta]] &lt; TablaDatos[[#This Row],[FechaIngreso]]</f>
        <v>0</v>
      </c>
      <c r="M1958">
        <f>_xlfn.XLOOKUP(TablaDatos[[#This Row],[PacienteID]],'Datos_Ejemplo.csv'!A:A,'Datos_Ejemplo.csv'!I:I)</f>
        <v>24</v>
      </c>
      <c r="N1958">
        <f>ABS(TablaDatos[[#This Row],[DiasOriginal]])</f>
        <v>24</v>
      </c>
      <c r="O1958" s="1">
        <f>TablaDatos[[#This Row],[FechaIngreso]]+TablaDatos[[#This Row],[DiasNuevo]]</f>
        <v>45547</v>
      </c>
    </row>
    <row r="1959" spans="1:15">
      <c r="A1959">
        <v>1958</v>
      </c>
      <c r="B1959" t="s">
        <v>338</v>
      </c>
      <c r="C1959" s="1">
        <v>29951</v>
      </c>
      <c r="D1959">
        <v>44</v>
      </c>
      <c r="E1959" s="4" t="s">
        <v>15</v>
      </c>
      <c r="F1959" t="s">
        <v>295</v>
      </c>
      <c r="G1959" s="1">
        <v>45453</v>
      </c>
      <c r="H1959" s="1">
        <f>TablaDatos[[#This Row],[FechaIngreso]]+TablaDatos[[#This Row],[DiasNuevo]]</f>
        <v>45472</v>
      </c>
      <c r="I1959">
        <v>19</v>
      </c>
      <c r="J1959" t="s">
        <v>23</v>
      </c>
      <c r="K1959" s="3">
        <v>1105.48</v>
      </c>
      <c r="L1959" t="b">
        <f>TablaDatos[[#This Row],[FechaAlta]] &lt; TablaDatos[[#This Row],[FechaIngreso]]</f>
        <v>0</v>
      </c>
      <c r="M1959">
        <f>_xlfn.XLOOKUP(TablaDatos[[#This Row],[PacienteID]],'Datos_Ejemplo.csv'!A:A,'Datos_Ejemplo.csv'!I:I)</f>
        <v>19</v>
      </c>
      <c r="N1959">
        <f>ABS(TablaDatos[[#This Row],[DiasOriginal]])</f>
        <v>19</v>
      </c>
      <c r="O1959" s="1">
        <f>TablaDatos[[#This Row],[FechaIngreso]]+TablaDatos[[#This Row],[DiasNuevo]]</f>
        <v>45472</v>
      </c>
    </row>
    <row r="1960" spans="1:15">
      <c r="A1960">
        <v>1959</v>
      </c>
      <c r="B1960" t="s">
        <v>357</v>
      </c>
      <c r="C1960" s="1">
        <v>43466</v>
      </c>
      <c r="D1960">
        <v>7</v>
      </c>
      <c r="E1960" s="4" t="s">
        <v>12</v>
      </c>
      <c r="F1960" t="s">
        <v>201</v>
      </c>
      <c r="G1960" s="1">
        <v>45174</v>
      </c>
      <c r="H1960" s="1">
        <f>TablaDatos[[#This Row],[FechaIngreso]]+TablaDatos[[#This Row],[DiasNuevo]]</f>
        <v>45181</v>
      </c>
      <c r="I1960">
        <v>7</v>
      </c>
      <c r="J1960" t="s">
        <v>25</v>
      </c>
      <c r="K1960" s="3">
        <v>17119.45</v>
      </c>
      <c r="L1960" t="b">
        <f>TablaDatos[[#This Row],[FechaAlta]] &lt; TablaDatos[[#This Row],[FechaIngreso]]</f>
        <v>0</v>
      </c>
      <c r="M1960">
        <f>_xlfn.XLOOKUP(TablaDatos[[#This Row],[PacienteID]],'Datos_Ejemplo.csv'!A:A,'Datos_Ejemplo.csv'!I:I)</f>
        <v>7</v>
      </c>
      <c r="N1960">
        <f>ABS(TablaDatos[[#This Row],[DiasOriginal]])</f>
        <v>7</v>
      </c>
      <c r="O1960" s="1">
        <f>TablaDatos[[#This Row],[FechaIngreso]]+TablaDatos[[#This Row],[DiasNuevo]]</f>
        <v>45181</v>
      </c>
    </row>
    <row r="1961" spans="1:15">
      <c r="A1961">
        <v>1960</v>
      </c>
      <c r="B1961" t="s">
        <v>337</v>
      </c>
      <c r="C1961" s="1">
        <v>12419</v>
      </c>
      <c r="D1961">
        <v>92</v>
      </c>
      <c r="E1961" s="4" t="s">
        <v>15</v>
      </c>
      <c r="F1961" t="s">
        <v>21</v>
      </c>
      <c r="G1961" s="1">
        <v>45408</v>
      </c>
      <c r="H1961" s="1">
        <f>TablaDatos[[#This Row],[FechaIngreso]]+TablaDatos[[#This Row],[DiasNuevo]]</f>
        <v>45424</v>
      </c>
      <c r="I1961">
        <v>16</v>
      </c>
      <c r="J1961" t="s">
        <v>19</v>
      </c>
      <c r="K1961" s="3">
        <v>15340.04</v>
      </c>
      <c r="L1961" t="b">
        <f>TablaDatos[[#This Row],[FechaAlta]] &lt; TablaDatos[[#This Row],[FechaIngreso]]</f>
        <v>0</v>
      </c>
      <c r="M1961">
        <f>_xlfn.XLOOKUP(TablaDatos[[#This Row],[PacienteID]],'Datos_Ejemplo.csv'!A:A,'Datos_Ejemplo.csv'!I:I)</f>
        <v>16</v>
      </c>
      <c r="N1961">
        <f>ABS(TablaDatos[[#This Row],[DiasOriginal]])</f>
        <v>16</v>
      </c>
      <c r="O1961" s="1">
        <f>TablaDatos[[#This Row],[FechaIngreso]]+TablaDatos[[#This Row],[DiasNuevo]]</f>
        <v>45424</v>
      </c>
    </row>
    <row r="1962" spans="1:15">
      <c r="A1962">
        <v>1961</v>
      </c>
      <c r="B1962" t="s">
        <v>260</v>
      </c>
      <c r="C1962" s="1">
        <f ca="1">DATE(YEAR(TODAY())-TablaDatos[[#This Row],[Edad]],1,1)</f>
        <v>27030</v>
      </c>
      <c r="D1962">
        <v>52</v>
      </c>
      <c r="E1962" s="4" t="s">
        <v>15</v>
      </c>
      <c r="F1962" t="s">
        <v>32</v>
      </c>
      <c r="G1962" s="1">
        <v>45238</v>
      </c>
      <c r="H1962" s="1">
        <f>TablaDatos[[#This Row],[FechaIngreso]]+TablaDatos[[#This Row],[DiasNuevo]]</f>
        <v>45259</v>
      </c>
      <c r="I1962">
        <v>21</v>
      </c>
      <c r="J1962" t="s">
        <v>25</v>
      </c>
      <c r="K1962" s="3">
        <v>7454.93</v>
      </c>
      <c r="L1962" t="b">
        <f>TablaDatos[[#This Row],[FechaAlta]] &lt; TablaDatos[[#This Row],[FechaIngreso]]</f>
        <v>0</v>
      </c>
      <c r="M1962">
        <f>_xlfn.XLOOKUP(TablaDatos[[#This Row],[PacienteID]],'Datos_Ejemplo.csv'!A:A,'Datos_Ejemplo.csv'!I:I)</f>
        <v>21</v>
      </c>
      <c r="N1962">
        <f>ABS(TablaDatos[[#This Row],[DiasOriginal]])</f>
        <v>21</v>
      </c>
      <c r="O1962" s="1">
        <f>TablaDatos[[#This Row],[FechaIngreso]]+TablaDatos[[#This Row],[DiasNuevo]]</f>
        <v>45259</v>
      </c>
    </row>
    <row r="1963" spans="1:15">
      <c r="A1963">
        <v>1962</v>
      </c>
      <c r="B1963" t="s">
        <v>355</v>
      </c>
      <c r="C1963" s="1">
        <v>26299</v>
      </c>
      <c r="D1963">
        <v>54</v>
      </c>
      <c r="E1963" s="4" t="s">
        <v>197</v>
      </c>
      <c r="F1963" t="s">
        <v>21</v>
      </c>
      <c r="G1963" s="1">
        <v>45370</v>
      </c>
      <c r="H1963" s="1">
        <f>TablaDatos[[#This Row],[FechaIngreso]]+TablaDatos[[#This Row],[DiasNuevo]]</f>
        <v>45394</v>
      </c>
      <c r="I1963">
        <v>24</v>
      </c>
      <c r="J1963" t="s">
        <v>23</v>
      </c>
      <c r="K1963" s="3">
        <v>278.02999999999997</v>
      </c>
      <c r="L1963" t="b">
        <f>TablaDatos[[#This Row],[FechaAlta]] &lt; TablaDatos[[#This Row],[FechaIngreso]]</f>
        <v>0</v>
      </c>
      <c r="M1963">
        <f>_xlfn.XLOOKUP(TablaDatos[[#This Row],[PacienteID]],'Datos_Ejemplo.csv'!A:A,'Datos_Ejemplo.csv'!I:I)</f>
        <v>24</v>
      </c>
      <c r="N1963">
        <f>ABS(TablaDatos[[#This Row],[DiasOriginal]])</f>
        <v>24</v>
      </c>
      <c r="O1963" s="1">
        <f>TablaDatos[[#This Row],[FechaIngreso]]+TablaDatos[[#This Row],[DiasNuevo]]</f>
        <v>45394</v>
      </c>
    </row>
    <row r="1964" spans="1:15">
      <c r="A1964">
        <v>1963</v>
      </c>
      <c r="B1964" t="s">
        <v>259</v>
      </c>
      <c r="C1964" s="1">
        <v>34700</v>
      </c>
      <c r="D1964">
        <v>31</v>
      </c>
      <c r="E1964" s="4" t="s">
        <v>12</v>
      </c>
      <c r="F1964" t="s">
        <v>18</v>
      </c>
      <c r="G1964" s="1">
        <v>45209</v>
      </c>
      <c r="H1964" s="1">
        <f>TablaDatos[[#This Row],[FechaIngreso]]+TablaDatos[[#This Row],[DiasNuevo]]</f>
        <v>45242</v>
      </c>
      <c r="I1964">
        <v>33</v>
      </c>
      <c r="J1964" t="s">
        <v>19</v>
      </c>
      <c r="K1964" s="3">
        <v>22.53</v>
      </c>
      <c r="L1964" t="b">
        <f>TablaDatos[[#This Row],[FechaAlta]] &lt; TablaDatos[[#This Row],[FechaIngreso]]</f>
        <v>0</v>
      </c>
      <c r="M1964">
        <f>_xlfn.XLOOKUP(TablaDatos[[#This Row],[PacienteID]],'Datos_Ejemplo.csv'!A:A,'Datos_Ejemplo.csv'!I:I)</f>
        <v>33</v>
      </c>
      <c r="N1964">
        <f>ABS(TablaDatos[[#This Row],[DiasOriginal]])</f>
        <v>33</v>
      </c>
      <c r="O1964" s="1">
        <f>TablaDatos[[#This Row],[FechaIngreso]]+TablaDatos[[#This Row],[DiasNuevo]]</f>
        <v>45242</v>
      </c>
    </row>
    <row r="1965" spans="1:15">
      <c r="A1965">
        <v>1964</v>
      </c>
      <c r="B1965" t="s">
        <v>338</v>
      </c>
      <c r="C1965" s="1">
        <v>27760</v>
      </c>
      <c r="D1965">
        <v>50</v>
      </c>
      <c r="E1965" s="4" t="s">
        <v>15</v>
      </c>
      <c r="F1965" t="s">
        <v>18</v>
      </c>
      <c r="G1965" s="1">
        <v>44928</v>
      </c>
      <c r="H1965" s="1">
        <f>TablaDatos[[#This Row],[FechaIngreso]]+TablaDatos[[#This Row],[DiasNuevo]]</f>
        <v>44942</v>
      </c>
      <c r="I1965">
        <v>14</v>
      </c>
      <c r="J1965" t="s">
        <v>19</v>
      </c>
      <c r="K1965" s="3">
        <v>4000.28</v>
      </c>
      <c r="L1965" t="b">
        <f>TablaDatos[[#This Row],[FechaAlta]] &lt; TablaDatos[[#This Row],[FechaIngreso]]</f>
        <v>0</v>
      </c>
      <c r="M1965">
        <f>_xlfn.XLOOKUP(TablaDatos[[#This Row],[PacienteID]],'Datos_Ejemplo.csv'!A:A,'Datos_Ejemplo.csv'!I:I)</f>
        <v>14</v>
      </c>
      <c r="N1965">
        <f>ABS(TablaDatos[[#This Row],[DiasOriginal]])</f>
        <v>14</v>
      </c>
      <c r="O1965" s="1">
        <f>TablaDatos[[#This Row],[FechaIngreso]]+TablaDatos[[#This Row],[DiasNuevo]]</f>
        <v>44942</v>
      </c>
    </row>
    <row r="1966" spans="1:15">
      <c r="A1966">
        <v>1965</v>
      </c>
      <c r="B1966" t="s">
        <v>345</v>
      </c>
      <c r="C1966" s="1">
        <v>30317</v>
      </c>
      <c r="D1966">
        <v>43</v>
      </c>
      <c r="E1966" s="4" t="s">
        <v>15</v>
      </c>
      <c r="F1966" t="s">
        <v>13</v>
      </c>
      <c r="G1966" s="1">
        <v>45000</v>
      </c>
      <c r="H1966" s="1">
        <f>TablaDatos[[#This Row],[FechaIngreso]]+TablaDatos[[#This Row],[DiasNuevo]]</f>
        <v>45007</v>
      </c>
      <c r="I1966">
        <v>7</v>
      </c>
      <c r="J1966" t="s">
        <v>23</v>
      </c>
      <c r="K1966" s="3">
        <v>9826.92</v>
      </c>
      <c r="L1966" t="b">
        <f>TablaDatos[[#This Row],[FechaAlta]] &lt; TablaDatos[[#This Row],[FechaIngreso]]</f>
        <v>0</v>
      </c>
      <c r="M1966">
        <f>_xlfn.XLOOKUP(TablaDatos[[#This Row],[PacienteID]],'Datos_Ejemplo.csv'!A:A,'Datos_Ejemplo.csv'!I:I)</f>
        <v>7</v>
      </c>
      <c r="N1966">
        <f>ABS(TablaDatos[[#This Row],[DiasOriginal]])</f>
        <v>7</v>
      </c>
      <c r="O1966" s="1">
        <f>TablaDatos[[#This Row],[FechaIngreso]]+TablaDatos[[#This Row],[DiasNuevo]]</f>
        <v>45007</v>
      </c>
    </row>
    <row r="1967" spans="1:15">
      <c r="A1967">
        <v>1966</v>
      </c>
      <c r="B1967" t="s">
        <v>302</v>
      </c>
      <c r="C1967" s="1">
        <v>16437</v>
      </c>
      <c r="D1967">
        <v>81</v>
      </c>
      <c r="E1967" s="4" t="s">
        <v>15</v>
      </c>
      <c r="F1967" t="s">
        <v>261</v>
      </c>
      <c r="G1967" s="1">
        <v>44990</v>
      </c>
      <c r="H1967" s="1">
        <f>TablaDatos[[#This Row],[FechaIngreso]]+TablaDatos[[#This Row],[DiasNuevo]]</f>
        <v>45004</v>
      </c>
      <c r="I1967">
        <v>14</v>
      </c>
      <c r="J1967" t="s">
        <v>23</v>
      </c>
      <c r="K1967" s="3">
        <v>9103.99</v>
      </c>
      <c r="L1967" t="b">
        <f>TablaDatos[[#This Row],[FechaAlta]] &lt; TablaDatos[[#This Row],[FechaIngreso]]</f>
        <v>0</v>
      </c>
      <c r="M1967">
        <f>_xlfn.XLOOKUP(TablaDatos[[#This Row],[PacienteID]],'Datos_Ejemplo.csv'!A:A,'Datos_Ejemplo.csv'!I:I)</f>
        <v>14</v>
      </c>
      <c r="N1967">
        <f>ABS(TablaDatos[[#This Row],[DiasOriginal]])</f>
        <v>14</v>
      </c>
      <c r="O1967" s="1">
        <f>TablaDatos[[#This Row],[FechaIngreso]]+TablaDatos[[#This Row],[DiasNuevo]]</f>
        <v>45004</v>
      </c>
    </row>
    <row r="1968" spans="1:15">
      <c r="A1968">
        <v>1967</v>
      </c>
      <c r="B1968" t="s">
        <v>122</v>
      </c>
      <c r="C1968" s="1">
        <v>20820</v>
      </c>
      <c r="D1968">
        <v>69</v>
      </c>
      <c r="E1968" s="4" t="s">
        <v>12</v>
      </c>
      <c r="F1968" t="s">
        <v>295</v>
      </c>
      <c r="G1968" s="1">
        <v>45273</v>
      </c>
      <c r="H1968" s="1">
        <f>TablaDatos[[#This Row],[FechaIngreso]]+TablaDatos[[#This Row],[DiasNuevo]]</f>
        <v>45280</v>
      </c>
      <c r="I1968">
        <v>7</v>
      </c>
      <c r="J1968" t="s">
        <v>25</v>
      </c>
      <c r="K1968" s="3">
        <v>11664.38</v>
      </c>
      <c r="L1968" t="b">
        <f>TablaDatos[[#This Row],[FechaAlta]] &lt; TablaDatos[[#This Row],[FechaIngreso]]</f>
        <v>0</v>
      </c>
      <c r="M1968">
        <f>_xlfn.XLOOKUP(TablaDatos[[#This Row],[PacienteID]],'Datos_Ejemplo.csv'!A:A,'Datos_Ejemplo.csv'!I:I)</f>
        <v>7</v>
      </c>
      <c r="N1968">
        <f>ABS(TablaDatos[[#This Row],[DiasOriginal]])</f>
        <v>7</v>
      </c>
      <c r="O1968" s="1">
        <f>TablaDatos[[#This Row],[FechaIngreso]]+TablaDatos[[#This Row],[DiasNuevo]]</f>
        <v>45280</v>
      </c>
    </row>
    <row r="1969" spans="1:15">
      <c r="A1969">
        <v>1968</v>
      </c>
      <c r="B1969" t="s">
        <v>358</v>
      </c>
      <c r="C1969" s="1">
        <v>39813</v>
      </c>
      <c r="D1969">
        <v>17</v>
      </c>
      <c r="E1969" s="4" t="s">
        <v>12</v>
      </c>
      <c r="F1969" t="s">
        <v>295</v>
      </c>
      <c r="G1969" s="1">
        <v>45250</v>
      </c>
      <c r="H1969" s="1">
        <f>TablaDatos[[#This Row],[FechaIngreso]]+TablaDatos[[#This Row],[DiasNuevo]]</f>
        <v>45257</v>
      </c>
      <c r="I1969">
        <v>7</v>
      </c>
      <c r="J1969" t="s">
        <v>25</v>
      </c>
      <c r="K1969" s="3">
        <v>15416.38</v>
      </c>
      <c r="L1969" t="b">
        <f>TablaDatos[[#This Row],[FechaAlta]] &lt; TablaDatos[[#This Row],[FechaIngreso]]</f>
        <v>0</v>
      </c>
      <c r="M1969">
        <f>_xlfn.XLOOKUP(TablaDatos[[#This Row],[PacienteID]],'Datos_Ejemplo.csv'!A:A,'Datos_Ejemplo.csv'!I:I)</f>
        <v>7</v>
      </c>
      <c r="N1969">
        <f>ABS(TablaDatos[[#This Row],[DiasOriginal]])</f>
        <v>7</v>
      </c>
      <c r="O1969" s="1">
        <f>TablaDatos[[#This Row],[FechaIngreso]]+TablaDatos[[#This Row],[DiasNuevo]]</f>
        <v>45257</v>
      </c>
    </row>
    <row r="1970" spans="1:15">
      <c r="A1970">
        <v>1969</v>
      </c>
      <c r="B1970" t="s">
        <v>344</v>
      </c>
      <c r="C1970" s="1">
        <v>16072</v>
      </c>
      <c r="D1970">
        <v>82</v>
      </c>
      <c r="E1970" s="4" t="s">
        <v>12</v>
      </c>
      <c r="F1970" t="s">
        <v>32</v>
      </c>
      <c r="G1970" s="1">
        <v>45165</v>
      </c>
      <c r="H1970" s="1">
        <f>TablaDatos[[#This Row],[FechaIngreso]]+TablaDatos[[#This Row],[DiasNuevo]]</f>
        <v>45200</v>
      </c>
      <c r="I1970">
        <v>35</v>
      </c>
      <c r="J1970" t="s">
        <v>23</v>
      </c>
      <c r="K1970" s="3">
        <v>7484.83</v>
      </c>
      <c r="L1970" t="b">
        <f>TablaDatos[[#This Row],[FechaAlta]] &lt; TablaDatos[[#This Row],[FechaIngreso]]</f>
        <v>0</v>
      </c>
      <c r="M1970">
        <f>_xlfn.XLOOKUP(TablaDatos[[#This Row],[PacienteID]],'Datos_Ejemplo.csv'!A:A,'Datos_Ejemplo.csv'!I:I)</f>
        <v>35</v>
      </c>
      <c r="N1970">
        <f>ABS(TablaDatos[[#This Row],[DiasOriginal]])</f>
        <v>35</v>
      </c>
      <c r="O1970" s="1">
        <f>TablaDatos[[#This Row],[FechaIngreso]]+TablaDatos[[#This Row],[DiasNuevo]]</f>
        <v>45200</v>
      </c>
    </row>
    <row r="1971" spans="1:15">
      <c r="A1971">
        <v>1970</v>
      </c>
      <c r="B1971" t="s">
        <v>288</v>
      </c>
      <c r="C1971" s="1">
        <v>38352</v>
      </c>
      <c r="D1971">
        <v>21</v>
      </c>
      <c r="E1971" s="4" t="s">
        <v>12</v>
      </c>
      <c r="F1971" t="s">
        <v>13</v>
      </c>
      <c r="G1971" s="1">
        <v>45323</v>
      </c>
      <c r="H1971" s="1">
        <f>TablaDatos[[#This Row],[FechaIngreso]]+TablaDatos[[#This Row],[DiasNuevo]]</f>
        <v>45337</v>
      </c>
      <c r="I1971">
        <v>14</v>
      </c>
      <c r="J1971" t="s">
        <v>23</v>
      </c>
      <c r="K1971" s="3">
        <v>3123.31</v>
      </c>
      <c r="L1971" t="b">
        <f>TablaDatos[[#This Row],[FechaAlta]] &lt; TablaDatos[[#This Row],[FechaIngreso]]</f>
        <v>0</v>
      </c>
      <c r="M1971">
        <f>_xlfn.XLOOKUP(TablaDatos[[#This Row],[PacienteID]],'Datos_Ejemplo.csv'!A:A,'Datos_Ejemplo.csv'!I:I)</f>
        <v>14</v>
      </c>
      <c r="N1971">
        <f>ABS(TablaDatos[[#This Row],[DiasOriginal]])</f>
        <v>14</v>
      </c>
      <c r="O1971" s="1">
        <f>TablaDatos[[#This Row],[FechaIngreso]]+TablaDatos[[#This Row],[DiasNuevo]]</f>
        <v>45337</v>
      </c>
    </row>
    <row r="1972" spans="1:15">
      <c r="A1972">
        <v>1971</v>
      </c>
      <c r="B1972" t="s">
        <v>287</v>
      </c>
      <c r="C1972" s="1">
        <v>32873</v>
      </c>
      <c r="D1972">
        <v>36</v>
      </c>
      <c r="E1972" s="4" t="s">
        <v>12</v>
      </c>
      <c r="F1972" t="s">
        <v>295</v>
      </c>
      <c r="G1972" s="1">
        <v>45263</v>
      </c>
      <c r="H1972" s="1">
        <f>TablaDatos[[#This Row],[FechaIngreso]]+TablaDatos[[#This Row],[DiasNuevo]]</f>
        <v>45286</v>
      </c>
      <c r="I1972">
        <v>23</v>
      </c>
      <c r="J1972" t="s">
        <v>23</v>
      </c>
      <c r="K1972" s="3">
        <v>15980.98</v>
      </c>
      <c r="L1972" t="b">
        <f>TablaDatos[[#This Row],[FechaAlta]] &lt; TablaDatos[[#This Row],[FechaIngreso]]</f>
        <v>0</v>
      </c>
      <c r="M1972">
        <f>_xlfn.XLOOKUP(TablaDatos[[#This Row],[PacienteID]],'Datos_Ejemplo.csv'!A:A,'Datos_Ejemplo.csv'!I:I)</f>
        <v>23</v>
      </c>
      <c r="N1972">
        <f>ABS(TablaDatos[[#This Row],[DiasOriginal]])</f>
        <v>23</v>
      </c>
      <c r="O1972" s="1">
        <f>TablaDatos[[#This Row],[FechaIngreso]]+TablaDatos[[#This Row],[DiasNuevo]]</f>
        <v>45286</v>
      </c>
    </row>
    <row r="1973" spans="1:15">
      <c r="A1973">
        <v>1972</v>
      </c>
      <c r="B1973" t="s">
        <v>292</v>
      </c>
      <c r="C1973" s="1">
        <v>25934</v>
      </c>
      <c r="D1973">
        <v>55</v>
      </c>
      <c r="E1973" s="4" t="s">
        <v>15</v>
      </c>
      <c r="F1973" t="s">
        <v>261</v>
      </c>
      <c r="G1973" s="1">
        <v>45267</v>
      </c>
      <c r="H1973" s="1">
        <f>TablaDatos[[#This Row],[FechaIngreso]]+TablaDatos[[#This Row],[DiasNuevo]]</f>
        <v>45290</v>
      </c>
      <c r="I1973">
        <v>23</v>
      </c>
      <c r="J1973" t="s">
        <v>23</v>
      </c>
      <c r="K1973" s="3">
        <v>6587.08</v>
      </c>
      <c r="L1973" t="b">
        <f>TablaDatos[[#This Row],[FechaAlta]] &lt; TablaDatos[[#This Row],[FechaIngreso]]</f>
        <v>0</v>
      </c>
      <c r="M1973">
        <f>_xlfn.XLOOKUP(TablaDatos[[#This Row],[PacienteID]],'Datos_Ejemplo.csv'!A:A,'Datos_Ejemplo.csv'!I:I)</f>
        <v>23</v>
      </c>
      <c r="N1973">
        <f>ABS(TablaDatos[[#This Row],[DiasOriginal]])</f>
        <v>23</v>
      </c>
      <c r="O1973" s="1">
        <f>TablaDatos[[#This Row],[FechaIngreso]]+TablaDatos[[#This Row],[DiasNuevo]]</f>
        <v>45290</v>
      </c>
    </row>
    <row r="1974" spans="1:15">
      <c r="A1974">
        <v>1973</v>
      </c>
      <c r="B1974" t="s">
        <v>367</v>
      </c>
      <c r="C1974" s="1">
        <v>24838</v>
      </c>
      <c r="D1974">
        <v>58</v>
      </c>
      <c r="E1974" s="4" t="s">
        <v>15</v>
      </c>
      <c r="F1974" t="s">
        <v>18</v>
      </c>
      <c r="G1974" s="1">
        <v>45205</v>
      </c>
      <c r="H1974" s="1">
        <f>TablaDatos[[#This Row],[FechaIngreso]]+TablaDatos[[#This Row],[DiasNuevo]]</f>
        <v>45236</v>
      </c>
      <c r="I1974">
        <v>31</v>
      </c>
      <c r="J1974" t="s">
        <v>23</v>
      </c>
      <c r="K1974" s="3">
        <v>5666.33</v>
      </c>
      <c r="L1974" t="b">
        <f>TablaDatos[[#This Row],[FechaAlta]] &lt; TablaDatos[[#This Row],[FechaIngreso]]</f>
        <v>0</v>
      </c>
      <c r="M1974">
        <f>_xlfn.XLOOKUP(TablaDatos[[#This Row],[PacienteID]],'Datos_Ejemplo.csv'!A:A,'Datos_Ejemplo.csv'!I:I)</f>
        <v>31</v>
      </c>
      <c r="N1974">
        <f>ABS(TablaDatos[[#This Row],[DiasOriginal]])</f>
        <v>31</v>
      </c>
      <c r="O1974" s="1">
        <f>TablaDatos[[#This Row],[FechaIngreso]]+TablaDatos[[#This Row],[DiasNuevo]]</f>
        <v>45236</v>
      </c>
    </row>
    <row r="1975" spans="1:15">
      <c r="A1975">
        <v>1974</v>
      </c>
      <c r="B1975" t="s">
        <v>238</v>
      </c>
      <c r="C1975" s="1">
        <v>45292</v>
      </c>
      <c r="D1975">
        <v>2</v>
      </c>
      <c r="E1975" s="4" t="s">
        <v>12</v>
      </c>
      <c r="F1975" t="s">
        <v>13</v>
      </c>
      <c r="G1975" s="1">
        <v>45279</v>
      </c>
      <c r="H1975" s="1">
        <f>TablaDatos[[#This Row],[FechaIngreso]]+TablaDatos[[#This Row],[DiasNuevo]]</f>
        <v>45280</v>
      </c>
      <c r="I1975">
        <v>1</v>
      </c>
      <c r="J1975" t="s">
        <v>23</v>
      </c>
      <c r="K1975" s="3">
        <v>15262.67</v>
      </c>
      <c r="L1975" t="b">
        <f>TablaDatos[[#This Row],[FechaAlta]] &lt; TablaDatos[[#This Row],[FechaIngreso]]</f>
        <v>0</v>
      </c>
      <c r="M1975">
        <f>_xlfn.XLOOKUP(TablaDatos[[#This Row],[PacienteID]],'Datos_Ejemplo.csv'!A:A,'Datos_Ejemplo.csv'!I:I)</f>
        <v>1</v>
      </c>
      <c r="N1975">
        <f>ABS(TablaDatos[[#This Row],[DiasOriginal]])</f>
        <v>1</v>
      </c>
      <c r="O1975" s="1">
        <f>TablaDatos[[#This Row],[FechaIngreso]]+TablaDatos[[#This Row],[DiasNuevo]]</f>
        <v>45280</v>
      </c>
    </row>
    <row r="1976" spans="1:15">
      <c r="A1976">
        <v>1975</v>
      </c>
      <c r="B1976" t="s">
        <v>304</v>
      </c>
      <c r="C1976" s="1">
        <v>36161</v>
      </c>
      <c r="D1976">
        <v>27</v>
      </c>
      <c r="E1976" s="4" t="s">
        <v>12</v>
      </c>
      <c r="F1976" t="s">
        <v>21</v>
      </c>
      <c r="G1976" s="1">
        <v>45389</v>
      </c>
      <c r="H1976" s="1">
        <f>TablaDatos[[#This Row],[FechaIngreso]]+TablaDatos[[#This Row],[DiasNuevo]]</f>
        <v>45413</v>
      </c>
      <c r="I1976">
        <v>24</v>
      </c>
      <c r="J1976" t="s">
        <v>23</v>
      </c>
      <c r="K1976" s="3">
        <v>18676.2</v>
      </c>
      <c r="L1976" t="b">
        <f>TablaDatos[[#This Row],[FechaAlta]] &lt; TablaDatos[[#This Row],[FechaIngreso]]</f>
        <v>0</v>
      </c>
      <c r="M1976">
        <f>_xlfn.XLOOKUP(TablaDatos[[#This Row],[PacienteID]],'Datos_Ejemplo.csv'!A:A,'Datos_Ejemplo.csv'!I:I)</f>
        <v>24</v>
      </c>
      <c r="N1976">
        <f>ABS(TablaDatos[[#This Row],[DiasOriginal]])</f>
        <v>24</v>
      </c>
      <c r="O1976" s="1">
        <f>TablaDatos[[#This Row],[FechaIngreso]]+TablaDatos[[#This Row],[DiasNuevo]]</f>
        <v>45413</v>
      </c>
    </row>
    <row r="1977" spans="1:15">
      <c r="A1977">
        <v>1976</v>
      </c>
      <c r="B1977" t="s">
        <v>302</v>
      </c>
      <c r="C1977" s="1">
        <v>19359</v>
      </c>
      <c r="D1977">
        <v>73</v>
      </c>
      <c r="E1977" s="4" t="s">
        <v>12</v>
      </c>
      <c r="F1977" t="s">
        <v>201</v>
      </c>
      <c r="G1977" s="1">
        <v>45388</v>
      </c>
      <c r="H1977" s="1">
        <f>TablaDatos[[#This Row],[FechaIngreso]]+TablaDatos[[#This Row],[DiasNuevo]]</f>
        <v>45406</v>
      </c>
      <c r="I1977">
        <v>18</v>
      </c>
      <c r="J1977" t="s">
        <v>25</v>
      </c>
      <c r="K1977" s="3">
        <v>18290.72</v>
      </c>
      <c r="L1977" t="b">
        <f>TablaDatos[[#This Row],[FechaAlta]] &lt; TablaDatos[[#This Row],[FechaIngreso]]</f>
        <v>0</v>
      </c>
      <c r="M1977">
        <f>_xlfn.XLOOKUP(TablaDatos[[#This Row],[PacienteID]],'Datos_Ejemplo.csv'!A:A,'Datos_Ejemplo.csv'!I:I)</f>
        <v>18</v>
      </c>
      <c r="N1977">
        <f>ABS(TablaDatos[[#This Row],[DiasOriginal]])</f>
        <v>18</v>
      </c>
      <c r="O1977" s="1">
        <f>TablaDatos[[#This Row],[FechaIngreso]]+TablaDatos[[#This Row],[DiasNuevo]]</f>
        <v>45406</v>
      </c>
    </row>
    <row r="1978" spans="1:15">
      <c r="A1978">
        <v>1977</v>
      </c>
      <c r="B1978" t="s">
        <v>273</v>
      </c>
      <c r="C1978" s="1">
        <v>33604</v>
      </c>
      <c r="D1978">
        <v>34</v>
      </c>
      <c r="E1978" s="4" t="s">
        <v>12</v>
      </c>
      <c r="F1978" t="s">
        <v>201</v>
      </c>
      <c r="G1978" s="1">
        <v>45639</v>
      </c>
      <c r="H1978" s="1">
        <f>TablaDatos[[#This Row],[FechaIngreso]]+TablaDatos[[#This Row],[DiasNuevo]]</f>
        <v>45672</v>
      </c>
      <c r="I1978">
        <v>33</v>
      </c>
      <c r="J1978" t="s">
        <v>23</v>
      </c>
      <c r="K1978" s="3">
        <v>2662.59</v>
      </c>
      <c r="L1978" t="b">
        <f>TablaDatos[[#This Row],[FechaAlta]] &lt; TablaDatos[[#This Row],[FechaIngreso]]</f>
        <v>0</v>
      </c>
      <c r="M1978">
        <f>_xlfn.XLOOKUP(TablaDatos[[#This Row],[PacienteID]],'Datos_Ejemplo.csv'!A:A,'Datos_Ejemplo.csv'!I:I)</f>
        <v>33</v>
      </c>
      <c r="N1978">
        <f>ABS(TablaDatos[[#This Row],[DiasOriginal]])</f>
        <v>33</v>
      </c>
      <c r="O1978" s="1">
        <f>TablaDatos[[#This Row],[FechaIngreso]]+TablaDatos[[#This Row],[DiasNuevo]]</f>
        <v>45672</v>
      </c>
    </row>
    <row r="1979" spans="1:15">
      <c r="A1979">
        <v>1978</v>
      </c>
      <c r="B1979" t="s">
        <v>258</v>
      </c>
      <c r="C1979" s="1">
        <v>24107</v>
      </c>
      <c r="D1979">
        <v>60</v>
      </c>
      <c r="E1979" s="4" t="s">
        <v>12</v>
      </c>
      <c r="F1979" t="s">
        <v>13</v>
      </c>
      <c r="G1979" s="1">
        <v>45219</v>
      </c>
      <c r="H1979" s="1">
        <f>TablaDatos[[#This Row],[FechaIngreso]]+TablaDatos[[#This Row],[DiasNuevo]]</f>
        <v>45254</v>
      </c>
      <c r="I1979">
        <v>35</v>
      </c>
      <c r="J1979" t="s">
        <v>23</v>
      </c>
      <c r="K1979" s="3">
        <v>10013.48</v>
      </c>
      <c r="L1979" t="b">
        <f>TablaDatos[[#This Row],[FechaAlta]] &lt; TablaDatos[[#This Row],[FechaIngreso]]</f>
        <v>0</v>
      </c>
      <c r="M1979">
        <f>_xlfn.XLOOKUP(TablaDatos[[#This Row],[PacienteID]],'Datos_Ejemplo.csv'!A:A,'Datos_Ejemplo.csv'!I:I)</f>
        <v>35</v>
      </c>
      <c r="N1979">
        <f>ABS(TablaDatos[[#This Row],[DiasOriginal]])</f>
        <v>35</v>
      </c>
      <c r="O1979" s="1">
        <f>TablaDatos[[#This Row],[FechaIngreso]]+TablaDatos[[#This Row],[DiasNuevo]]</f>
        <v>45254</v>
      </c>
    </row>
    <row r="1980" spans="1:15">
      <c r="A1980">
        <v>1979</v>
      </c>
      <c r="B1980" t="s">
        <v>347</v>
      </c>
      <c r="C1980" s="1">
        <v>12419</v>
      </c>
      <c r="D1980">
        <v>92</v>
      </c>
      <c r="E1980" s="4" t="s">
        <v>12</v>
      </c>
      <c r="F1980" t="s">
        <v>13</v>
      </c>
      <c r="G1980" s="1">
        <v>45333</v>
      </c>
      <c r="H1980" s="1">
        <f>TablaDatos[[#This Row],[FechaIngreso]]+TablaDatos[[#This Row],[DiasNuevo]]</f>
        <v>45361</v>
      </c>
      <c r="I1980">
        <v>28</v>
      </c>
      <c r="J1980" t="s">
        <v>19</v>
      </c>
      <c r="K1980" s="3">
        <v>1766.69</v>
      </c>
      <c r="L1980" t="b">
        <f>TablaDatos[[#This Row],[FechaAlta]] &lt; TablaDatos[[#This Row],[FechaIngreso]]</f>
        <v>0</v>
      </c>
      <c r="M1980">
        <f>_xlfn.XLOOKUP(TablaDatos[[#This Row],[PacienteID]],'Datos_Ejemplo.csv'!A:A,'Datos_Ejemplo.csv'!I:I)</f>
        <v>28</v>
      </c>
      <c r="N1980">
        <f>ABS(TablaDatos[[#This Row],[DiasOriginal]])</f>
        <v>28</v>
      </c>
      <c r="O1980" s="1">
        <f>TablaDatos[[#This Row],[FechaIngreso]]+TablaDatos[[#This Row],[DiasNuevo]]</f>
        <v>45361</v>
      </c>
    </row>
    <row r="1981" spans="1:15">
      <c r="A1981">
        <v>1980</v>
      </c>
      <c r="B1981" t="s">
        <v>334</v>
      </c>
      <c r="C1981" s="1">
        <v>26664</v>
      </c>
      <c r="D1981">
        <v>53</v>
      </c>
      <c r="E1981" s="4" t="s">
        <v>15</v>
      </c>
      <c r="F1981" t="s">
        <v>261</v>
      </c>
      <c r="G1981" s="1">
        <v>45088</v>
      </c>
      <c r="H1981" s="1">
        <f>TablaDatos[[#This Row],[FechaIngreso]]+TablaDatos[[#This Row],[DiasNuevo]]</f>
        <v>45092</v>
      </c>
      <c r="I1981">
        <v>4</v>
      </c>
      <c r="J1981" t="s">
        <v>23</v>
      </c>
      <c r="K1981" s="3">
        <v>19215.62</v>
      </c>
      <c r="L1981" t="b">
        <f>TablaDatos[[#This Row],[FechaAlta]] &lt; TablaDatos[[#This Row],[FechaIngreso]]</f>
        <v>0</v>
      </c>
      <c r="M1981">
        <f>_xlfn.XLOOKUP(TablaDatos[[#This Row],[PacienteID]],'Datos_Ejemplo.csv'!A:A,'Datos_Ejemplo.csv'!I:I)</f>
        <v>4</v>
      </c>
      <c r="N1981">
        <f>ABS(TablaDatos[[#This Row],[DiasOriginal]])</f>
        <v>4</v>
      </c>
      <c r="O1981" s="1">
        <f>TablaDatos[[#This Row],[FechaIngreso]]+TablaDatos[[#This Row],[DiasNuevo]]</f>
        <v>45092</v>
      </c>
    </row>
    <row r="1982" spans="1:15">
      <c r="A1982">
        <v>1981</v>
      </c>
      <c r="B1982" t="s">
        <v>267</v>
      </c>
      <c r="C1982" s="1">
        <v>23377</v>
      </c>
      <c r="D1982">
        <v>62</v>
      </c>
      <c r="E1982" s="4" t="s">
        <v>15</v>
      </c>
      <c r="F1982" t="s">
        <v>261</v>
      </c>
      <c r="G1982" s="1">
        <v>45429</v>
      </c>
      <c r="H1982" s="1">
        <f>TablaDatos[[#This Row],[FechaIngreso]]+TablaDatos[[#This Row],[DiasNuevo]]</f>
        <v>45460</v>
      </c>
      <c r="I1982">
        <v>31</v>
      </c>
      <c r="J1982" t="s">
        <v>19</v>
      </c>
      <c r="K1982" s="3">
        <v>4226.08</v>
      </c>
      <c r="L1982" t="b">
        <f>TablaDatos[[#This Row],[FechaAlta]] &lt; TablaDatos[[#This Row],[FechaIngreso]]</f>
        <v>0</v>
      </c>
      <c r="M1982">
        <f>_xlfn.XLOOKUP(TablaDatos[[#This Row],[PacienteID]],'Datos_Ejemplo.csv'!A:A,'Datos_Ejemplo.csv'!I:I)</f>
        <v>31</v>
      </c>
      <c r="N1982">
        <f>ABS(TablaDatos[[#This Row],[DiasOriginal]])</f>
        <v>31</v>
      </c>
      <c r="O1982" s="1">
        <f>TablaDatos[[#This Row],[FechaIngreso]]+TablaDatos[[#This Row],[DiasNuevo]]</f>
        <v>45460</v>
      </c>
    </row>
    <row r="1983" spans="1:15">
      <c r="A1983">
        <v>1982</v>
      </c>
      <c r="B1983" t="s">
        <v>356</v>
      </c>
      <c r="C1983" s="1">
        <v>17533</v>
      </c>
      <c r="D1983">
        <v>78</v>
      </c>
      <c r="E1983" s="4" t="s">
        <v>197</v>
      </c>
      <c r="F1983" t="s">
        <v>295</v>
      </c>
      <c r="G1983" s="1">
        <v>45374</v>
      </c>
      <c r="H1983" s="1">
        <f>TablaDatos[[#This Row],[FechaIngreso]]+TablaDatos[[#This Row],[DiasNuevo]]</f>
        <v>45389</v>
      </c>
      <c r="I1983">
        <v>15</v>
      </c>
      <c r="J1983" t="s">
        <v>23</v>
      </c>
      <c r="K1983" s="3">
        <v>3868.33</v>
      </c>
      <c r="L1983" t="b">
        <f>TablaDatos[[#This Row],[FechaAlta]] &lt; TablaDatos[[#This Row],[FechaIngreso]]</f>
        <v>0</v>
      </c>
      <c r="M1983">
        <f>_xlfn.XLOOKUP(TablaDatos[[#This Row],[PacienteID]],'Datos_Ejemplo.csv'!A:A,'Datos_Ejemplo.csv'!I:I)</f>
        <v>15</v>
      </c>
      <c r="N1983">
        <f>ABS(TablaDatos[[#This Row],[DiasOriginal]])</f>
        <v>15</v>
      </c>
      <c r="O1983" s="1">
        <f>TablaDatos[[#This Row],[FechaIngreso]]+TablaDatos[[#This Row],[DiasNuevo]]</f>
        <v>45389</v>
      </c>
    </row>
    <row r="1984" spans="1:15">
      <c r="A1984">
        <v>1983</v>
      </c>
      <c r="B1984" t="s">
        <v>130</v>
      </c>
      <c r="C1984" s="1">
        <v>43831</v>
      </c>
      <c r="D1984">
        <v>6</v>
      </c>
      <c r="E1984" s="4" t="s">
        <v>12</v>
      </c>
      <c r="F1984" t="s">
        <v>201</v>
      </c>
      <c r="G1984" s="1">
        <v>45621</v>
      </c>
      <c r="H1984" s="1">
        <f>TablaDatos[[#This Row],[FechaIngreso]]+TablaDatos[[#This Row],[DiasNuevo]]</f>
        <v>45642</v>
      </c>
      <c r="I1984">
        <v>21</v>
      </c>
      <c r="J1984" t="s">
        <v>19</v>
      </c>
      <c r="K1984" s="3">
        <v>17766.599999999999</v>
      </c>
      <c r="L1984" t="b">
        <f>TablaDatos[[#This Row],[FechaAlta]] &lt; TablaDatos[[#This Row],[FechaIngreso]]</f>
        <v>0</v>
      </c>
      <c r="M1984">
        <f>_xlfn.XLOOKUP(TablaDatos[[#This Row],[PacienteID]],'Datos_Ejemplo.csv'!A:A,'Datos_Ejemplo.csv'!I:I)</f>
        <v>21</v>
      </c>
      <c r="N1984">
        <f>ABS(TablaDatos[[#This Row],[DiasOriginal]])</f>
        <v>21</v>
      </c>
      <c r="O1984" s="1">
        <f>TablaDatos[[#This Row],[FechaIngreso]]+TablaDatos[[#This Row],[DiasNuevo]]</f>
        <v>45642</v>
      </c>
    </row>
    <row r="1985" spans="1:15">
      <c r="A1985">
        <v>1984</v>
      </c>
      <c r="B1985" t="s">
        <v>347</v>
      </c>
      <c r="C1985" s="1">
        <v>18629</v>
      </c>
      <c r="D1985">
        <v>75</v>
      </c>
      <c r="E1985" s="4" t="s">
        <v>15</v>
      </c>
      <c r="F1985" t="s">
        <v>32</v>
      </c>
      <c r="G1985" s="1">
        <v>45381</v>
      </c>
      <c r="H1985" s="1">
        <f>TablaDatos[[#This Row],[FechaIngreso]]+TablaDatos[[#This Row],[DiasNuevo]]</f>
        <v>45391</v>
      </c>
      <c r="I1985">
        <v>10</v>
      </c>
      <c r="J1985" t="s">
        <v>23</v>
      </c>
      <c r="K1985" s="3">
        <v>19353.8</v>
      </c>
      <c r="L1985" t="b">
        <f>TablaDatos[[#This Row],[FechaAlta]] &lt; TablaDatos[[#This Row],[FechaIngreso]]</f>
        <v>0</v>
      </c>
      <c r="M1985">
        <f>_xlfn.XLOOKUP(TablaDatos[[#This Row],[PacienteID]],'Datos_Ejemplo.csv'!A:A,'Datos_Ejemplo.csv'!I:I)</f>
        <v>10</v>
      </c>
      <c r="N1985">
        <f>ABS(TablaDatos[[#This Row],[DiasOriginal]])</f>
        <v>10</v>
      </c>
      <c r="O1985" s="1">
        <f>TablaDatos[[#This Row],[FechaIngreso]]+TablaDatos[[#This Row],[DiasNuevo]]</f>
        <v>45391</v>
      </c>
    </row>
    <row r="1986" spans="1:15">
      <c r="A1986">
        <v>1985</v>
      </c>
      <c r="B1986" t="s">
        <v>267</v>
      </c>
      <c r="C1986" s="1">
        <f ca="1">DATE(YEAR(TODAY())-TablaDatos[[#This Row],[Edad]],1,1)</f>
        <v>28491</v>
      </c>
      <c r="D1986">
        <v>48</v>
      </c>
      <c r="E1986" s="4" t="s">
        <v>15</v>
      </c>
      <c r="F1986" t="s">
        <v>32</v>
      </c>
      <c r="G1986" s="1">
        <v>45191</v>
      </c>
      <c r="H1986" s="1">
        <f>TablaDatos[[#This Row],[FechaIngreso]]+TablaDatos[[#This Row],[DiasNuevo]]</f>
        <v>45201</v>
      </c>
      <c r="I1986">
        <v>10</v>
      </c>
      <c r="J1986" t="s">
        <v>25</v>
      </c>
      <c r="K1986" s="3">
        <v>13922.41</v>
      </c>
      <c r="L1986" t="b">
        <f>TablaDatos[[#This Row],[FechaAlta]] &lt; TablaDatos[[#This Row],[FechaIngreso]]</f>
        <v>0</v>
      </c>
      <c r="M1986">
        <f>_xlfn.XLOOKUP(TablaDatos[[#This Row],[PacienteID]],'Datos_Ejemplo.csv'!A:A,'Datos_Ejemplo.csv'!I:I)</f>
        <v>10</v>
      </c>
      <c r="N1986">
        <f>ABS(TablaDatos[[#This Row],[DiasOriginal]])</f>
        <v>10</v>
      </c>
      <c r="O1986" s="1">
        <f>TablaDatos[[#This Row],[FechaIngreso]]+TablaDatos[[#This Row],[DiasNuevo]]</f>
        <v>45201</v>
      </c>
    </row>
    <row r="1987" spans="1:15">
      <c r="A1987">
        <v>1986</v>
      </c>
      <c r="B1987" t="s">
        <v>281</v>
      </c>
      <c r="C1987" s="1">
        <v>12054</v>
      </c>
      <c r="D1987">
        <v>93</v>
      </c>
      <c r="E1987" s="4" t="s">
        <v>15</v>
      </c>
      <c r="F1987" t="s">
        <v>261</v>
      </c>
      <c r="G1987" s="1">
        <v>45058</v>
      </c>
      <c r="H1987" s="1">
        <f>TablaDatos[[#This Row],[FechaIngreso]]+TablaDatos[[#This Row],[DiasNuevo]]</f>
        <v>45080</v>
      </c>
      <c r="I1987">
        <v>22</v>
      </c>
      <c r="J1987" t="s">
        <v>23</v>
      </c>
      <c r="K1987" s="3">
        <v>2332.1999999999998</v>
      </c>
      <c r="L1987" t="b">
        <f>TablaDatos[[#This Row],[FechaAlta]] &lt; TablaDatos[[#This Row],[FechaIngreso]]</f>
        <v>0</v>
      </c>
      <c r="M1987">
        <f>_xlfn.XLOOKUP(TablaDatos[[#This Row],[PacienteID]],'Datos_Ejemplo.csv'!A:A,'Datos_Ejemplo.csv'!I:I)</f>
        <v>22</v>
      </c>
      <c r="N1987">
        <f>ABS(TablaDatos[[#This Row],[DiasOriginal]])</f>
        <v>22</v>
      </c>
      <c r="O1987" s="1">
        <f>TablaDatos[[#This Row],[FechaIngreso]]+TablaDatos[[#This Row],[DiasNuevo]]</f>
        <v>45080</v>
      </c>
    </row>
    <row r="1988" spans="1:15">
      <c r="A1988">
        <v>1987</v>
      </c>
      <c r="B1988" t="s">
        <v>66</v>
      </c>
      <c r="C1988" s="1">
        <v>15341</v>
      </c>
      <c r="D1988">
        <v>84</v>
      </c>
      <c r="E1988" s="4" t="s">
        <v>15</v>
      </c>
      <c r="F1988" t="s">
        <v>295</v>
      </c>
      <c r="G1988" s="1">
        <v>45046</v>
      </c>
      <c r="H1988" s="1">
        <f>TablaDatos[[#This Row],[FechaIngreso]]+TablaDatos[[#This Row],[DiasNuevo]]</f>
        <v>45048</v>
      </c>
      <c r="I1988">
        <v>2</v>
      </c>
      <c r="J1988" t="s">
        <v>19</v>
      </c>
      <c r="K1988" s="3">
        <v>9665.7000000000007</v>
      </c>
      <c r="L1988" t="b">
        <f>TablaDatos[[#This Row],[FechaAlta]] &lt; TablaDatos[[#This Row],[FechaIngreso]]</f>
        <v>0</v>
      </c>
      <c r="M1988">
        <f>_xlfn.XLOOKUP(TablaDatos[[#This Row],[PacienteID]],'Datos_Ejemplo.csv'!A:A,'Datos_Ejemplo.csv'!I:I)</f>
        <v>2</v>
      </c>
      <c r="N1988">
        <f>ABS(TablaDatos[[#This Row],[DiasOriginal]])</f>
        <v>2</v>
      </c>
      <c r="O1988" s="1">
        <f>TablaDatos[[#This Row],[FechaIngreso]]+TablaDatos[[#This Row],[DiasNuevo]]</f>
        <v>45048</v>
      </c>
    </row>
    <row r="1989" spans="1:15">
      <c r="A1989">
        <v>1988</v>
      </c>
      <c r="B1989" t="s">
        <v>238</v>
      </c>
      <c r="C1989" s="1">
        <v>35065</v>
      </c>
      <c r="D1989">
        <v>30</v>
      </c>
      <c r="E1989" s="4" t="s">
        <v>12</v>
      </c>
      <c r="F1989" t="s">
        <v>295</v>
      </c>
      <c r="G1989" s="1">
        <v>45145</v>
      </c>
      <c r="H1989" s="1">
        <f>TablaDatos[[#This Row],[FechaIngreso]]+TablaDatos[[#This Row],[DiasNuevo]]</f>
        <v>45181</v>
      </c>
      <c r="I1989">
        <v>36</v>
      </c>
      <c r="J1989" t="s">
        <v>23</v>
      </c>
      <c r="K1989" s="3">
        <v>16313.76</v>
      </c>
      <c r="L1989" t="b">
        <f>TablaDatos[[#This Row],[FechaAlta]] &lt; TablaDatos[[#This Row],[FechaIngreso]]</f>
        <v>0</v>
      </c>
      <c r="M1989">
        <f>_xlfn.XLOOKUP(TablaDatos[[#This Row],[PacienteID]],'Datos_Ejemplo.csv'!A:A,'Datos_Ejemplo.csv'!I:I)</f>
        <v>36</v>
      </c>
      <c r="N1989">
        <f>ABS(TablaDatos[[#This Row],[DiasOriginal]])</f>
        <v>36</v>
      </c>
      <c r="O1989" s="1">
        <f>TablaDatos[[#This Row],[FechaIngreso]]+TablaDatos[[#This Row],[DiasNuevo]]</f>
        <v>45181</v>
      </c>
    </row>
    <row r="1990" spans="1:15">
      <c r="A1990">
        <v>1989</v>
      </c>
      <c r="B1990" t="s">
        <v>267</v>
      </c>
      <c r="C1990" s="1">
        <v>25203</v>
      </c>
      <c r="D1990">
        <v>57</v>
      </c>
      <c r="E1990" s="4" t="s">
        <v>15</v>
      </c>
      <c r="F1990" t="s">
        <v>295</v>
      </c>
      <c r="G1990" s="1">
        <v>45343</v>
      </c>
      <c r="H1990" s="1">
        <f>TablaDatos[[#This Row],[FechaIngreso]]+TablaDatos[[#This Row],[DiasNuevo]]</f>
        <v>45369</v>
      </c>
      <c r="I1990">
        <v>26</v>
      </c>
      <c r="J1990" t="s">
        <v>25</v>
      </c>
      <c r="K1990" s="3">
        <v>11406.79</v>
      </c>
      <c r="L1990" t="b">
        <f>TablaDatos[[#This Row],[FechaAlta]] &lt; TablaDatos[[#This Row],[FechaIngreso]]</f>
        <v>0</v>
      </c>
      <c r="M1990">
        <f>_xlfn.XLOOKUP(TablaDatos[[#This Row],[PacienteID]],'Datos_Ejemplo.csv'!A:A,'Datos_Ejemplo.csv'!I:I)</f>
        <v>26</v>
      </c>
      <c r="N1990">
        <f>ABS(TablaDatos[[#This Row],[DiasOriginal]])</f>
        <v>26</v>
      </c>
      <c r="O1990" s="1">
        <f>TablaDatos[[#This Row],[FechaIngreso]]+TablaDatos[[#This Row],[DiasNuevo]]</f>
        <v>45369</v>
      </c>
    </row>
    <row r="1991" spans="1:15">
      <c r="A1991">
        <v>1990</v>
      </c>
      <c r="B1991" t="s">
        <v>292</v>
      </c>
      <c r="C1991" s="1">
        <v>24107</v>
      </c>
      <c r="D1991">
        <v>60</v>
      </c>
      <c r="E1991" s="4" t="s">
        <v>12</v>
      </c>
      <c r="F1991" t="s">
        <v>261</v>
      </c>
      <c r="G1991" s="1">
        <v>45598</v>
      </c>
      <c r="H1991" s="1">
        <f>TablaDatos[[#This Row],[FechaIngreso]]+TablaDatos[[#This Row],[DiasNuevo]]</f>
        <v>45628</v>
      </c>
      <c r="I1991">
        <v>30</v>
      </c>
      <c r="J1991" t="s">
        <v>23</v>
      </c>
      <c r="K1991" s="3">
        <v>2565.16</v>
      </c>
      <c r="L1991" t="b">
        <f>TablaDatos[[#This Row],[FechaAlta]] &lt; TablaDatos[[#This Row],[FechaIngreso]]</f>
        <v>0</v>
      </c>
      <c r="M1991">
        <f>_xlfn.XLOOKUP(TablaDatos[[#This Row],[PacienteID]],'Datos_Ejemplo.csv'!A:A,'Datos_Ejemplo.csv'!I:I)</f>
        <v>30</v>
      </c>
      <c r="N1991">
        <f>ABS(TablaDatos[[#This Row],[DiasOriginal]])</f>
        <v>30</v>
      </c>
      <c r="O1991" s="1">
        <f>TablaDatos[[#This Row],[FechaIngreso]]+TablaDatos[[#This Row],[DiasNuevo]]</f>
        <v>45628</v>
      </c>
    </row>
    <row r="1992" spans="1:15">
      <c r="A1992">
        <v>1991</v>
      </c>
      <c r="B1992" t="s">
        <v>241</v>
      </c>
      <c r="C1992" s="1">
        <v>37622</v>
      </c>
      <c r="D1992">
        <v>23</v>
      </c>
      <c r="E1992" s="4" t="s">
        <v>15</v>
      </c>
      <c r="F1992" t="s">
        <v>32</v>
      </c>
      <c r="G1992" s="1">
        <v>45431</v>
      </c>
      <c r="H1992" s="1">
        <f>TablaDatos[[#This Row],[FechaIngreso]]+TablaDatos[[#This Row],[DiasNuevo]]</f>
        <v>45452</v>
      </c>
      <c r="I1992">
        <v>21</v>
      </c>
      <c r="J1992" t="s">
        <v>23</v>
      </c>
      <c r="K1992" s="3">
        <v>3354.94</v>
      </c>
      <c r="L1992" t="b">
        <f>TablaDatos[[#This Row],[FechaAlta]] &lt; TablaDatos[[#This Row],[FechaIngreso]]</f>
        <v>0</v>
      </c>
      <c r="M1992">
        <f>_xlfn.XLOOKUP(TablaDatos[[#This Row],[PacienteID]],'Datos_Ejemplo.csv'!A:A,'Datos_Ejemplo.csv'!I:I)</f>
        <v>21</v>
      </c>
      <c r="N1992">
        <f>ABS(TablaDatos[[#This Row],[DiasOriginal]])</f>
        <v>21</v>
      </c>
      <c r="O1992" s="1">
        <f>TablaDatos[[#This Row],[FechaIngreso]]+TablaDatos[[#This Row],[DiasNuevo]]</f>
        <v>45452</v>
      </c>
    </row>
    <row r="1993" spans="1:15">
      <c r="A1993">
        <v>1992</v>
      </c>
      <c r="B1993" t="s">
        <v>255</v>
      </c>
      <c r="C1993" s="1">
        <v>39083</v>
      </c>
      <c r="D1993">
        <v>19</v>
      </c>
      <c r="E1993" s="4" t="s">
        <v>12</v>
      </c>
      <c r="F1993" t="s">
        <v>295</v>
      </c>
      <c r="G1993" s="1">
        <v>45226</v>
      </c>
      <c r="H1993" s="1">
        <f>TablaDatos[[#This Row],[FechaIngreso]]+TablaDatos[[#This Row],[DiasNuevo]]</f>
        <v>45233</v>
      </c>
      <c r="I1993">
        <v>7</v>
      </c>
      <c r="J1993" t="s">
        <v>25</v>
      </c>
      <c r="K1993" s="3">
        <v>17269.25</v>
      </c>
      <c r="L1993" t="b">
        <f>TablaDatos[[#This Row],[FechaAlta]] &lt; TablaDatos[[#This Row],[FechaIngreso]]</f>
        <v>0</v>
      </c>
      <c r="M1993">
        <f>_xlfn.XLOOKUP(TablaDatos[[#This Row],[PacienteID]],'Datos_Ejemplo.csv'!A:A,'Datos_Ejemplo.csv'!I:I)</f>
        <v>7</v>
      </c>
      <c r="N1993">
        <f>ABS(TablaDatos[[#This Row],[DiasOriginal]])</f>
        <v>7</v>
      </c>
      <c r="O1993" s="1">
        <f>TablaDatos[[#This Row],[FechaIngreso]]+TablaDatos[[#This Row],[DiasNuevo]]</f>
        <v>45233</v>
      </c>
    </row>
    <row r="1994" spans="1:15">
      <c r="A1994">
        <v>1993</v>
      </c>
      <c r="B1994" t="s">
        <v>241</v>
      </c>
      <c r="C1994" s="1">
        <v>32873</v>
      </c>
      <c r="D1994">
        <v>36</v>
      </c>
      <c r="E1994" s="4" t="s">
        <v>15</v>
      </c>
      <c r="F1994" t="s">
        <v>261</v>
      </c>
      <c r="G1994" s="1">
        <v>45035</v>
      </c>
      <c r="H1994" s="1">
        <f>TablaDatos[[#This Row],[FechaIngreso]]+TablaDatos[[#This Row],[DiasNuevo]]</f>
        <v>45057</v>
      </c>
      <c r="I1994">
        <v>22</v>
      </c>
      <c r="J1994" t="s">
        <v>23</v>
      </c>
      <c r="K1994" s="3">
        <v>10493.29</v>
      </c>
      <c r="L1994" t="b">
        <f>TablaDatos[[#This Row],[FechaAlta]] &lt; TablaDatos[[#This Row],[FechaIngreso]]</f>
        <v>0</v>
      </c>
      <c r="M1994">
        <f>_xlfn.XLOOKUP(TablaDatos[[#This Row],[PacienteID]],'Datos_Ejemplo.csv'!A:A,'Datos_Ejemplo.csv'!I:I)</f>
        <v>22</v>
      </c>
      <c r="N1994">
        <f>ABS(TablaDatos[[#This Row],[DiasOriginal]])</f>
        <v>22</v>
      </c>
      <c r="O1994" s="1">
        <f>TablaDatos[[#This Row],[FechaIngreso]]+TablaDatos[[#This Row],[DiasNuevo]]</f>
        <v>45057</v>
      </c>
    </row>
    <row r="1995" spans="1:15">
      <c r="A1995">
        <v>1994</v>
      </c>
      <c r="B1995" t="s">
        <v>364</v>
      </c>
      <c r="C1995" s="1">
        <v>44927</v>
      </c>
      <c r="D1995">
        <v>3</v>
      </c>
      <c r="E1995" s="4" t="s">
        <v>12</v>
      </c>
      <c r="F1995" t="s">
        <v>21</v>
      </c>
      <c r="G1995" s="1">
        <v>45164</v>
      </c>
      <c r="H1995" s="1">
        <f>TablaDatos[[#This Row],[FechaIngreso]]+TablaDatos[[#This Row],[DiasNuevo]]</f>
        <v>45202</v>
      </c>
      <c r="I1995">
        <v>38</v>
      </c>
      <c r="J1995" t="s">
        <v>23</v>
      </c>
      <c r="K1995" s="3">
        <v>14087.32</v>
      </c>
      <c r="L1995" t="b">
        <f>TablaDatos[[#This Row],[FechaAlta]] &lt; TablaDatos[[#This Row],[FechaIngreso]]</f>
        <v>0</v>
      </c>
      <c r="M1995">
        <f>_xlfn.XLOOKUP(TablaDatos[[#This Row],[PacienteID]],'Datos_Ejemplo.csv'!A:A,'Datos_Ejemplo.csv'!I:I)</f>
        <v>38</v>
      </c>
      <c r="N1995">
        <f>ABS(TablaDatos[[#This Row],[DiasOriginal]])</f>
        <v>38</v>
      </c>
      <c r="O1995" s="1">
        <f>TablaDatos[[#This Row],[FechaIngreso]]+TablaDatos[[#This Row],[DiasNuevo]]</f>
        <v>45202</v>
      </c>
    </row>
    <row r="1996" spans="1:15">
      <c r="A1996">
        <v>1995</v>
      </c>
      <c r="B1996" t="s">
        <v>360</v>
      </c>
      <c r="C1996" s="1">
        <v>12785</v>
      </c>
      <c r="D1996">
        <v>91</v>
      </c>
      <c r="E1996" s="4" t="s">
        <v>12</v>
      </c>
      <c r="F1996" t="s">
        <v>21</v>
      </c>
      <c r="G1996" s="1">
        <v>45219</v>
      </c>
      <c r="H1996" s="1">
        <f>TablaDatos[[#This Row],[FechaIngreso]]+TablaDatos[[#This Row],[DiasNuevo]]</f>
        <v>45226</v>
      </c>
      <c r="I1996">
        <v>7</v>
      </c>
      <c r="J1996" t="s">
        <v>23</v>
      </c>
      <c r="K1996" s="3">
        <v>7398.56</v>
      </c>
      <c r="L1996" t="b">
        <f>TablaDatos[[#This Row],[FechaAlta]] &lt; TablaDatos[[#This Row],[FechaIngreso]]</f>
        <v>0</v>
      </c>
      <c r="M1996">
        <f>_xlfn.XLOOKUP(TablaDatos[[#This Row],[PacienteID]],'Datos_Ejemplo.csv'!A:A,'Datos_Ejemplo.csv'!I:I)</f>
        <v>7</v>
      </c>
      <c r="N1996">
        <f>ABS(TablaDatos[[#This Row],[DiasOriginal]])</f>
        <v>7</v>
      </c>
      <c r="O1996" s="1">
        <f>TablaDatos[[#This Row],[FechaIngreso]]+TablaDatos[[#This Row],[DiasNuevo]]</f>
        <v>45226</v>
      </c>
    </row>
    <row r="1997" spans="1:15">
      <c r="A1997">
        <v>1996</v>
      </c>
      <c r="B1997" t="s">
        <v>116</v>
      </c>
      <c r="C1997" s="1">
        <v>39083</v>
      </c>
      <c r="D1997">
        <v>19</v>
      </c>
      <c r="E1997" s="4" t="s">
        <v>12</v>
      </c>
      <c r="F1997" t="s">
        <v>18</v>
      </c>
      <c r="G1997" s="1">
        <v>45505</v>
      </c>
      <c r="H1997" s="1">
        <f>TablaDatos[[#This Row],[FechaIngreso]]+TablaDatos[[#This Row],[DiasNuevo]]</f>
        <v>45541</v>
      </c>
      <c r="I1997">
        <v>36</v>
      </c>
      <c r="J1997" t="s">
        <v>23</v>
      </c>
      <c r="K1997" s="3">
        <v>10602.96</v>
      </c>
      <c r="L1997" t="b">
        <f>TablaDatos[[#This Row],[FechaAlta]] &lt; TablaDatos[[#This Row],[FechaIngreso]]</f>
        <v>0</v>
      </c>
      <c r="M1997">
        <f>_xlfn.XLOOKUP(TablaDatos[[#This Row],[PacienteID]],'Datos_Ejemplo.csv'!A:A,'Datos_Ejemplo.csv'!I:I)</f>
        <v>36</v>
      </c>
      <c r="N1997">
        <f>ABS(TablaDatos[[#This Row],[DiasOriginal]])</f>
        <v>36</v>
      </c>
      <c r="O1997" s="1">
        <f>TablaDatos[[#This Row],[FechaIngreso]]+TablaDatos[[#This Row],[DiasNuevo]]</f>
        <v>45541</v>
      </c>
    </row>
    <row r="1998" spans="1:15">
      <c r="A1998">
        <v>1997</v>
      </c>
      <c r="B1998" t="s">
        <v>66</v>
      </c>
      <c r="C1998" s="1">
        <v>24473</v>
      </c>
      <c r="D1998">
        <v>59</v>
      </c>
      <c r="E1998" s="4" t="s">
        <v>15</v>
      </c>
      <c r="F1998" t="s">
        <v>21</v>
      </c>
      <c r="G1998" s="1">
        <v>45113</v>
      </c>
      <c r="H1998" s="1">
        <f>TablaDatos[[#This Row],[FechaIngreso]]+TablaDatos[[#This Row],[DiasNuevo]]</f>
        <v>45126</v>
      </c>
      <c r="I1998">
        <v>13</v>
      </c>
      <c r="J1998" t="s">
        <v>19</v>
      </c>
      <c r="K1998" s="3">
        <v>19539.77</v>
      </c>
      <c r="L1998" t="b">
        <f>TablaDatos[[#This Row],[FechaAlta]] &lt; TablaDatos[[#This Row],[FechaIngreso]]</f>
        <v>0</v>
      </c>
      <c r="M1998">
        <f>_xlfn.XLOOKUP(TablaDatos[[#This Row],[PacienteID]],'Datos_Ejemplo.csv'!A:A,'Datos_Ejemplo.csv'!I:I)</f>
        <v>13</v>
      </c>
      <c r="N1998">
        <f>ABS(TablaDatos[[#This Row],[DiasOriginal]])</f>
        <v>13</v>
      </c>
      <c r="O1998" s="1">
        <f>TablaDatos[[#This Row],[FechaIngreso]]+TablaDatos[[#This Row],[DiasNuevo]]</f>
        <v>45126</v>
      </c>
    </row>
    <row r="1999" spans="1:15">
      <c r="A1999">
        <v>1998</v>
      </c>
      <c r="B1999" t="s">
        <v>248</v>
      </c>
      <c r="C1999" s="1">
        <v>37622</v>
      </c>
      <c r="D1999">
        <v>23</v>
      </c>
      <c r="E1999" s="4" t="s">
        <v>15</v>
      </c>
      <c r="F1999" t="s">
        <v>13</v>
      </c>
      <c r="G1999" s="1">
        <v>44962</v>
      </c>
      <c r="H1999" s="1">
        <f>TablaDatos[[#This Row],[FechaIngreso]]+TablaDatos[[#This Row],[DiasNuevo]]</f>
        <v>44987</v>
      </c>
      <c r="I1999">
        <v>25</v>
      </c>
      <c r="J1999" t="s">
        <v>23</v>
      </c>
      <c r="K1999" s="3">
        <v>6527.03</v>
      </c>
      <c r="L1999" t="b">
        <f>TablaDatos[[#This Row],[FechaAlta]] &lt; TablaDatos[[#This Row],[FechaIngreso]]</f>
        <v>0</v>
      </c>
      <c r="M1999">
        <f>_xlfn.XLOOKUP(TablaDatos[[#This Row],[PacienteID]],'Datos_Ejemplo.csv'!A:A,'Datos_Ejemplo.csv'!I:I)</f>
        <v>25</v>
      </c>
      <c r="N1999">
        <f>ABS(TablaDatos[[#This Row],[DiasOriginal]])</f>
        <v>25</v>
      </c>
      <c r="O1999" s="1">
        <f>TablaDatos[[#This Row],[FechaIngreso]]+TablaDatos[[#This Row],[DiasNuevo]]</f>
        <v>44987</v>
      </c>
    </row>
    <row r="2000" spans="1:15">
      <c r="A2000">
        <v>1999</v>
      </c>
      <c r="B2000" t="s">
        <v>90</v>
      </c>
      <c r="C2000" s="1">
        <v>28125</v>
      </c>
      <c r="D2000">
        <v>49</v>
      </c>
      <c r="E2000" s="4" t="s">
        <v>15</v>
      </c>
      <c r="F2000" t="s">
        <v>18</v>
      </c>
      <c r="G2000" s="1">
        <v>45487</v>
      </c>
      <c r="H2000" s="1">
        <f>TablaDatos[[#This Row],[FechaIngreso]]+TablaDatos[[#This Row],[DiasNuevo]]</f>
        <v>45496</v>
      </c>
      <c r="I2000">
        <v>9</v>
      </c>
      <c r="J2000" t="s">
        <v>19</v>
      </c>
      <c r="K2000" s="3">
        <v>13463.25</v>
      </c>
      <c r="L2000" t="b">
        <f>TablaDatos[[#This Row],[FechaAlta]] &lt; TablaDatos[[#This Row],[FechaIngreso]]</f>
        <v>0</v>
      </c>
      <c r="M2000">
        <f>_xlfn.XLOOKUP(TablaDatos[[#This Row],[PacienteID]],'Datos_Ejemplo.csv'!A:A,'Datos_Ejemplo.csv'!I:I)</f>
        <v>9</v>
      </c>
      <c r="N2000">
        <f>ABS(TablaDatos[[#This Row],[DiasOriginal]])</f>
        <v>9</v>
      </c>
      <c r="O2000" s="1">
        <f>TablaDatos[[#This Row],[FechaIngreso]]+TablaDatos[[#This Row],[DiasNuevo]]</f>
        <v>45496</v>
      </c>
    </row>
    <row r="2001" spans="1:15">
      <c r="A2001">
        <v>2000</v>
      </c>
      <c r="B2001" t="s">
        <v>366</v>
      </c>
      <c r="C2001" s="1">
        <v>28490</v>
      </c>
      <c r="D2001">
        <v>48</v>
      </c>
      <c r="E2001" s="4" t="s">
        <v>15</v>
      </c>
      <c r="F2001" t="s">
        <v>21</v>
      </c>
      <c r="G2001" s="1">
        <v>45182</v>
      </c>
      <c r="H2001" s="1">
        <f>TablaDatos[[#This Row],[FechaIngreso]]+TablaDatos[[#This Row],[DiasNuevo]]</f>
        <v>45211</v>
      </c>
      <c r="I2001">
        <v>29</v>
      </c>
      <c r="J2001" t="s">
        <v>25</v>
      </c>
      <c r="K2001" s="3">
        <v>3367.36</v>
      </c>
      <c r="L2001" t="b">
        <f>TablaDatos[[#This Row],[FechaAlta]] &lt; TablaDatos[[#This Row],[FechaIngreso]]</f>
        <v>0</v>
      </c>
      <c r="M2001">
        <f>_xlfn.XLOOKUP(TablaDatos[[#This Row],[PacienteID]],'Datos_Ejemplo.csv'!A:A,'Datos_Ejemplo.csv'!I:I)</f>
        <v>29</v>
      </c>
      <c r="N2001">
        <f>ABS(TablaDatos[[#This Row],[DiasOriginal]])</f>
        <v>29</v>
      </c>
      <c r="O2001" s="1">
        <f>TablaDatos[[#This Row],[FechaIngreso]]+TablaDatos[[#This Row],[DiasNuevo]]</f>
        <v>45211</v>
      </c>
    </row>
    <row r="2002" spans="1:15">
      <c r="A2002">
        <v>2001</v>
      </c>
      <c r="B2002" t="s">
        <v>303</v>
      </c>
      <c r="C2002" s="1">
        <v>27760</v>
      </c>
      <c r="D2002">
        <v>50</v>
      </c>
      <c r="E2002" s="4" t="s">
        <v>12</v>
      </c>
      <c r="F2002" t="s">
        <v>13</v>
      </c>
      <c r="G2002" s="1">
        <v>45361</v>
      </c>
      <c r="H2002" s="1">
        <f>TablaDatos[[#This Row],[FechaIngreso]]+TablaDatos[[#This Row],[DiasNuevo]]</f>
        <v>45387</v>
      </c>
      <c r="I2002">
        <v>26</v>
      </c>
      <c r="J2002" t="s">
        <v>23</v>
      </c>
      <c r="K2002" s="3">
        <v>2346.9699999999998</v>
      </c>
      <c r="L2002" t="b">
        <f>TablaDatos[[#This Row],[FechaAlta]] &lt; TablaDatos[[#This Row],[FechaIngreso]]</f>
        <v>0</v>
      </c>
      <c r="M2002">
        <f>_xlfn.XLOOKUP(TablaDatos[[#This Row],[PacienteID]],'Datos_Ejemplo.csv'!A:A,'Datos_Ejemplo.csv'!I:I)</f>
        <v>26</v>
      </c>
      <c r="N2002">
        <f>ABS(TablaDatos[[#This Row],[DiasOriginal]])</f>
        <v>26</v>
      </c>
      <c r="O2002" s="1">
        <f>TablaDatos[[#This Row],[FechaIngreso]]+TablaDatos[[#This Row],[DiasNuevo]]</f>
        <v>45387</v>
      </c>
    </row>
    <row r="2003" spans="1:15">
      <c r="A2003">
        <v>2002</v>
      </c>
      <c r="B2003" t="s">
        <v>296</v>
      </c>
      <c r="C2003" s="1">
        <v>33239</v>
      </c>
      <c r="D2003">
        <v>35</v>
      </c>
      <c r="E2003" s="4" t="s">
        <v>12</v>
      </c>
      <c r="F2003" t="s">
        <v>21</v>
      </c>
      <c r="G2003" s="1">
        <v>45545</v>
      </c>
      <c r="H2003" s="1">
        <f>TablaDatos[[#This Row],[FechaIngreso]]+TablaDatos[[#This Row],[DiasNuevo]]</f>
        <v>45569</v>
      </c>
      <c r="I2003">
        <v>24</v>
      </c>
      <c r="J2003" t="s">
        <v>19</v>
      </c>
      <c r="K2003" s="3">
        <v>15651.17</v>
      </c>
      <c r="L2003" t="b">
        <f>TablaDatos[[#This Row],[FechaAlta]] &lt; TablaDatos[[#This Row],[FechaIngreso]]</f>
        <v>0</v>
      </c>
      <c r="M2003">
        <f>_xlfn.XLOOKUP(TablaDatos[[#This Row],[PacienteID]],'Datos_Ejemplo.csv'!A:A,'Datos_Ejemplo.csv'!I:I)</f>
        <v>24</v>
      </c>
      <c r="N2003">
        <f>ABS(TablaDatos[[#This Row],[DiasOriginal]])</f>
        <v>24</v>
      </c>
      <c r="O2003" s="1">
        <f>TablaDatos[[#This Row],[FechaIngreso]]+TablaDatos[[#This Row],[DiasNuevo]]</f>
        <v>45569</v>
      </c>
    </row>
    <row r="2004" spans="1:15">
      <c r="A2004">
        <v>2003</v>
      </c>
      <c r="B2004" t="s">
        <v>301</v>
      </c>
      <c r="C2004" s="1">
        <v>22281</v>
      </c>
      <c r="D2004">
        <v>65</v>
      </c>
      <c r="E2004" s="4" t="s">
        <v>12</v>
      </c>
      <c r="F2004" t="s">
        <v>261</v>
      </c>
      <c r="G2004" s="1">
        <v>44934</v>
      </c>
      <c r="H2004" s="1">
        <f>TablaDatos[[#This Row],[FechaIngreso]]+TablaDatos[[#This Row],[DiasNuevo]]</f>
        <v>44957</v>
      </c>
      <c r="I2004">
        <v>23</v>
      </c>
      <c r="J2004" t="s">
        <v>23</v>
      </c>
      <c r="K2004" s="3">
        <v>16866.580000000002</v>
      </c>
      <c r="L2004" t="b">
        <f>TablaDatos[[#This Row],[FechaAlta]] &lt; TablaDatos[[#This Row],[FechaIngreso]]</f>
        <v>0</v>
      </c>
      <c r="M2004">
        <f>_xlfn.XLOOKUP(TablaDatos[[#This Row],[PacienteID]],'Datos_Ejemplo.csv'!A:A,'Datos_Ejemplo.csv'!I:I)</f>
        <v>23</v>
      </c>
      <c r="N2004">
        <f>ABS(TablaDatos[[#This Row],[DiasOriginal]])</f>
        <v>23</v>
      </c>
      <c r="O2004" s="1">
        <f>TablaDatos[[#This Row],[FechaIngreso]]+TablaDatos[[#This Row],[DiasNuevo]]</f>
        <v>44957</v>
      </c>
    </row>
    <row r="2005" spans="1:15">
      <c r="A2005">
        <v>2004</v>
      </c>
      <c r="B2005" t="s">
        <v>290</v>
      </c>
      <c r="C2005" s="1">
        <v>17533</v>
      </c>
      <c r="D2005">
        <v>78</v>
      </c>
      <c r="E2005" s="4" t="s">
        <v>12</v>
      </c>
      <c r="F2005" t="s">
        <v>201</v>
      </c>
      <c r="G2005" s="1">
        <v>45104</v>
      </c>
      <c r="H2005" s="1">
        <f>TablaDatos[[#This Row],[FechaIngreso]]+TablaDatos[[#This Row],[DiasNuevo]]</f>
        <v>45104</v>
      </c>
      <c r="I2005">
        <v>0</v>
      </c>
      <c r="J2005" t="s">
        <v>23</v>
      </c>
      <c r="K2005" s="3">
        <v>13333.07</v>
      </c>
      <c r="L2005" t="b">
        <f>TablaDatos[[#This Row],[FechaAlta]] &lt; TablaDatos[[#This Row],[FechaIngreso]]</f>
        <v>0</v>
      </c>
      <c r="M2005">
        <f>_xlfn.XLOOKUP(TablaDatos[[#This Row],[PacienteID]],'Datos_Ejemplo.csv'!A:A,'Datos_Ejemplo.csv'!I:I)</f>
        <v>0</v>
      </c>
      <c r="N2005">
        <f>ABS(TablaDatos[[#This Row],[DiasOriginal]])</f>
        <v>0</v>
      </c>
      <c r="O2005" s="1">
        <f>TablaDatos[[#This Row],[FechaIngreso]]+TablaDatos[[#This Row],[DiasNuevo]]</f>
        <v>45104</v>
      </c>
    </row>
    <row r="2006" spans="1:15">
      <c r="A2006">
        <v>2005</v>
      </c>
      <c r="B2006" t="s">
        <v>258</v>
      </c>
      <c r="C2006" s="1">
        <v>33969</v>
      </c>
      <c r="D2006">
        <v>33</v>
      </c>
      <c r="E2006" s="4" t="s">
        <v>15</v>
      </c>
      <c r="F2006" t="s">
        <v>13</v>
      </c>
      <c r="G2006" s="1">
        <v>45168</v>
      </c>
      <c r="H2006" s="1">
        <f>TablaDatos[[#This Row],[FechaIngreso]]+TablaDatos[[#This Row],[DiasNuevo]]</f>
        <v>45191</v>
      </c>
      <c r="I2006">
        <v>23</v>
      </c>
      <c r="J2006" t="s">
        <v>19</v>
      </c>
      <c r="K2006" s="3">
        <v>3079.74</v>
      </c>
      <c r="L2006" t="b">
        <f>TablaDatos[[#This Row],[FechaAlta]] &lt; TablaDatos[[#This Row],[FechaIngreso]]</f>
        <v>0</v>
      </c>
      <c r="M2006">
        <f>_xlfn.XLOOKUP(TablaDatos[[#This Row],[PacienteID]],'Datos_Ejemplo.csv'!A:A,'Datos_Ejemplo.csv'!I:I)</f>
        <v>23</v>
      </c>
      <c r="N2006">
        <f>ABS(TablaDatos[[#This Row],[DiasOriginal]])</f>
        <v>23</v>
      </c>
      <c r="O2006" s="1">
        <f>TablaDatos[[#This Row],[FechaIngreso]]+TablaDatos[[#This Row],[DiasNuevo]]</f>
        <v>45191</v>
      </c>
    </row>
    <row r="2007" spans="1:15">
      <c r="A2007">
        <v>2006</v>
      </c>
      <c r="B2007" t="s">
        <v>244</v>
      </c>
      <c r="C2007" s="1">
        <v>33239</v>
      </c>
      <c r="D2007">
        <v>35</v>
      </c>
      <c r="E2007" s="4" t="s">
        <v>15</v>
      </c>
      <c r="F2007" t="s">
        <v>295</v>
      </c>
      <c r="G2007" s="1">
        <v>44967</v>
      </c>
      <c r="H2007" s="1">
        <f>TablaDatos[[#This Row],[FechaIngreso]]+TablaDatos[[#This Row],[DiasNuevo]]</f>
        <v>45003</v>
      </c>
      <c r="I2007">
        <v>36</v>
      </c>
      <c r="J2007" t="s">
        <v>23</v>
      </c>
      <c r="K2007" s="3">
        <v>4735.82</v>
      </c>
      <c r="L2007" t="b">
        <f>TablaDatos[[#This Row],[FechaAlta]] &lt; TablaDatos[[#This Row],[FechaIngreso]]</f>
        <v>0</v>
      </c>
      <c r="M2007">
        <f>_xlfn.XLOOKUP(TablaDatos[[#This Row],[PacienteID]],'Datos_Ejemplo.csv'!A:A,'Datos_Ejemplo.csv'!I:I)</f>
        <v>36</v>
      </c>
      <c r="N2007">
        <f>ABS(TablaDatos[[#This Row],[DiasOriginal]])</f>
        <v>36</v>
      </c>
      <c r="O2007" s="1">
        <f>TablaDatos[[#This Row],[FechaIngreso]]+TablaDatos[[#This Row],[DiasNuevo]]</f>
        <v>45003</v>
      </c>
    </row>
    <row r="2008" spans="1:15">
      <c r="A2008">
        <v>2007</v>
      </c>
      <c r="B2008" t="s">
        <v>284</v>
      </c>
      <c r="C2008" s="1">
        <v>44196</v>
      </c>
      <c r="D2008">
        <v>5</v>
      </c>
      <c r="E2008" s="4" t="s">
        <v>15</v>
      </c>
      <c r="F2008" t="s">
        <v>261</v>
      </c>
      <c r="G2008" s="1">
        <v>45283</v>
      </c>
      <c r="H2008" s="1">
        <f>TablaDatos[[#This Row],[FechaIngreso]]+TablaDatos[[#This Row],[DiasNuevo]]</f>
        <v>45285</v>
      </c>
      <c r="I2008">
        <v>2</v>
      </c>
      <c r="J2008" t="s">
        <v>25</v>
      </c>
      <c r="K2008" s="3">
        <v>18214.63</v>
      </c>
      <c r="L2008" t="b">
        <f>TablaDatos[[#This Row],[FechaAlta]] &lt; TablaDatos[[#This Row],[FechaIngreso]]</f>
        <v>0</v>
      </c>
      <c r="M2008">
        <f>_xlfn.XLOOKUP(TablaDatos[[#This Row],[PacienteID]],'Datos_Ejemplo.csv'!A:A,'Datos_Ejemplo.csv'!I:I)</f>
        <v>-2</v>
      </c>
      <c r="N2008">
        <f>ABS(TablaDatos[[#This Row],[DiasOriginal]])</f>
        <v>2</v>
      </c>
      <c r="O2008" s="1">
        <f>TablaDatos[[#This Row],[FechaIngreso]]+TablaDatos[[#This Row],[DiasNuevo]]</f>
        <v>45285</v>
      </c>
    </row>
    <row r="2009" spans="1:15">
      <c r="A2009">
        <v>2008</v>
      </c>
      <c r="B2009" t="s">
        <v>344</v>
      </c>
      <c r="C2009" s="1">
        <v>32143</v>
      </c>
      <c r="D2009">
        <v>38</v>
      </c>
      <c r="E2009" s="4" t="s">
        <v>12</v>
      </c>
      <c r="F2009" t="s">
        <v>201</v>
      </c>
      <c r="G2009" s="1">
        <v>45039</v>
      </c>
      <c r="H2009" s="1">
        <f>TablaDatos[[#This Row],[FechaIngreso]]+TablaDatos[[#This Row],[DiasNuevo]]</f>
        <v>45071</v>
      </c>
      <c r="I2009">
        <v>32</v>
      </c>
      <c r="J2009" t="s">
        <v>23</v>
      </c>
      <c r="K2009" s="3">
        <v>5702.95</v>
      </c>
      <c r="L2009" t="b">
        <f>TablaDatos[[#This Row],[FechaAlta]] &lt; TablaDatos[[#This Row],[FechaIngreso]]</f>
        <v>0</v>
      </c>
      <c r="M2009">
        <f>_xlfn.XLOOKUP(TablaDatos[[#This Row],[PacienteID]],'Datos_Ejemplo.csv'!A:A,'Datos_Ejemplo.csv'!I:I)</f>
        <v>32</v>
      </c>
      <c r="N2009">
        <f>ABS(TablaDatos[[#This Row],[DiasOriginal]])</f>
        <v>32</v>
      </c>
      <c r="O2009" s="1">
        <f>TablaDatos[[#This Row],[FechaIngreso]]+TablaDatos[[#This Row],[DiasNuevo]]</f>
        <v>45071</v>
      </c>
    </row>
    <row r="2010" spans="1:15">
      <c r="A2010">
        <v>2009</v>
      </c>
      <c r="B2010" t="s">
        <v>116</v>
      </c>
      <c r="C2010" s="1">
        <v>31047</v>
      </c>
      <c r="D2010">
        <v>41</v>
      </c>
      <c r="E2010" s="4" t="s">
        <v>12</v>
      </c>
      <c r="F2010" t="s">
        <v>13</v>
      </c>
      <c r="G2010" s="1">
        <v>45092</v>
      </c>
      <c r="H2010" s="1">
        <f>TablaDatos[[#This Row],[FechaIngreso]]+TablaDatos[[#This Row],[DiasNuevo]]</f>
        <v>45116</v>
      </c>
      <c r="I2010">
        <v>24</v>
      </c>
      <c r="J2010" t="s">
        <v>25</v>
      </c>
      <c r="K2010" s="3">
        <v>16359.1</v>
      </c>
      <c r="L2010" t="b">
        <f>TablaDatos[[#This Row],[FechaAlta]] &lt; TablaDatos[[#This Row],[FechaIngreso]]</f>
        <v>0</v>
      </c>
      <c r="M2010">
        <f>_xlfn.XLOOKUP(TablaDatos[[#This Row],[PacienteID]],'Datos_Ejemplo.csv'!A:A,'Datos_Ejemplo.csv'!I:I)</f>
        <v>24</v>
      </c>
      <c r="N2010">
        <f>ABS(TablaDatos[[#This Row],[DiasOriginal]])</f>
        <v>24</v>
      </c>
      <c r="O2010" s="1">
        <f>TablaDatos[[#This Row],[FechaIngreso]]+TablaDatos[[#This Row],[DiasNuevo]]</f>
        <v>45116</v>
      </c>
    </row>
    <row r="2011" spans="1:15">
      <c r="A2011">
        <v>2010</v>
      </c>
      <c r="B2011" t="s">
        <v>279</v>
      </c>
      <c r="C2011" s="1">
        <v>25203</v>
      </c>
      <c r="D2011">
        <v>57</v>
      </c>
      <c r="E2011" s="4" t="s">
        <v>15</v>
      </c>
      <c r="F2011" t="s">
        <v>261</v>
      </c>
      <c r="G2011" s="1">
        <v>45430</v>
      </c>
      <c r="H2011" s="1">
        <f>TablaDatos[[#This Row],[FechaIngreso]]+TablaDatos[[#This Row],[DiasNuevo]]</f>
        <v>45431</v>
      </c>
      <c r="I2011">
        <v>1</v>
      </c>
      <c r="J2011" t="s">
        <v>23</v>
      </c>
      <c r="K2011" s="3">
        <v>5647.34</v>
      </c>
      <c r="L2011" t="b">
        <f>TablaDatos[[#This Row],[FechaAlta]] &lt; TablaDatos[[#This Row],[FechaIngreso]]</f>
        <v>0</v>
      </c>
      <c r="M2011">
        <f>_xlfn.XLOOKUP(TablaDatos[[#This Row],[PacienteID]],'Datos_Ejemplo.csv'!A:A,'Datos_Ejemplo.csv'!I:I)</f>
        <v>1</v>
      </c>
      <c r="N2011">
        <f>ABS(TablaDatos[[#This Row],[DiasOriginal]])</f>
        <v>1</v>
      </c>
      <c r="O2011" s="1">
        <f>TablaDatos[[#This Row],[FechaIngreso]]+TablaDatos[[#This Row],[DiasNuevo]]</f>
        <v>45431</v>
      </c>
    </row>
    <row r="2012" spans="1:15">
      <c r="A2012">
        <v>2011</v>
      </c>
      <c r="B2012" t="s">
        <v>146</v>
      </c>
      <c r="C2012" s="1">
        <v>42005</v>
      </c>
      <c r="D2012">
        <v>11</v>
      </c>
      <c r="E2012" s="4" t="s">
        <v>15</v>
      </c>
      <c r="F2012" t="s">
        <v>295</v>
      </c>
      <c r="G2012" s="1">
        <v>45004</v>
      </c>
      <c r="H2012" s="1">
        <f>TablaDatos[[#This Row],[FechaIngreso]]+TablaDatos[[#This Row],[DiasNuevo]]</f>
        <v>45020</v>
      </c>
      <c r="I2012">
        <v>16</v>
      </c>
      <c r="J2012" t="s">
        <v>25</v>
      </c>
      <c r="K2012" s="3">
        <v>18783.2</v>
      </c>
      <c r="L2012" t="b">
        <f>TablaDatos[[#This Row],[FechaAlta]] &lt; TablaDatos[[#This Row],[FechaIngreso]]</f>
        <v>0</v>
      </c>
      <c r="M2012">
        <f>_xlfn.XLOOKUP(TablaDatos[[#This Row],[PacienteID]],'Datos_Ejemplo.csv'!A:A,'Datos_Ejemplo.csv'!I:I)</f>
        <v>16</v>
      </c>
      <c r="N2012">
        <f>ABS(TablaDatos[[#This Row],[DiasOriginal]])</f>
        <v>16</v>
      </c>
      <c r="O2012" s="1">
        <f>TablaDatos[[#This Row],[FechaIngreso]]+TablaDatos[[#This Row],[DiasNuevo]]</f>
        <v>45020</v>
      </c>
    </row>
    <row r="2013" spans="1:15">
      <c r="A2013">
        <v>2012</v>
      </c>
      <c r="B2013" t="s">
        <v>344</v>
      </c>
      <c r="C2013" s="1">
        <v>45292</v>
      </c>
      <c r="D2013">
        <v>2</v>
      </c>
      <c r="E2013" s="4" t="s">
        <v>12</v>
      </c>
      <c r="F2013" t="s">
        <v>13</v>
      </c>
      <c r="G2013" s="1">
        <v>45645</v>
      </c>
      <c r="H2013" s="1">
        <f>TablaDatos[[#This Row],[FechaIngreso]]+TablaDatos[[#This Row],[DiasNuevo]]</f>
        <v>45664</v>
      </c>
      <c r="I2013">
        <v>19</v>
      </c>
      <c r="J2013" t="s">
        <v>23</v>
      </c>
      <c r="K2013" s="3">
        <v>18280.5</v>
      </c>
      <c r="L2013" t="b">
        <f>TablaDatos[[#This Row],[FechaAlta]] &lt; TablaDatos[[#This Row],[FechaIngreso]]</f>
        <v>0</v>
      </c>
      <c r="M2013">
        <f>_xlfn.XLOOKUP(TablaDatos[[#This Row],[PacienteID]],'Datos_Ejemplo.csv'!A:A,'Datos_Ejemplo.csv'!I:I)</f>
        <v>19</v>
      </c>
      <c r="N2013">
        <f>ABS(TablaDatos[[#This Row],[DiasOriginal]])</f>
        <v>19</v>
      </c>
      <c r="O2013" s="1">
        <f>TablaDatos[[#This Row],[FechaIngreso]]+TablaDatos[[#This Row],[DiasNuevo]]</f>
        <v>45664</v>
      </c>
    </row>
    <row r="2014" spans="1:15">
      <c r="A2014">
        <v>2013</v>
      </c>
      <c r="B2014" t="s">
        <v>252</v>
      </c>
      <c r="C2014" s="1">
        <v>39813</v>
      </c>
      <c r="D2014">
        <v>17</v>
      </c>
      <c r="E2014" s="4" t="s">
        <v>12</v>
      </c>
      <c r="F2014" t="s">
        <v>13</v>
      </c>
      <c r="G2014" s="1">
        <v>45122</v>
      </c>
      <c r="H2014" s="1">
        <f>TablaDatos[[#This Row],[FechaIngreso]]+TablaDatos[[#This Row],[DiasNuevo]]</f>
        <v>45125</v>
      </c>
      <c r="I2014">
        <v>3</v>
      </c>
      <c r="J2014" t="s">
        <v>19</v>
      </c>
      <c r="K2014" s="3">
        <v>769.59</v>
      </c>
      <c r="L2014" t="b">
        <f>TablaDatos[[#This Row],[FechaAlta]] &lt; TablaDatos[[#This Row],[FechaIngreso]]</f>
        <v>0</v>
      </c>
      <c r="M2014">
        <f>_xlfn.XLOOKUP(TablaDatos[[#This Row],[PacienteID]],'Datos_Ejemplo.csv'!A:A,'Datos_Ejemplo.csv'!I:I)</f>
        <v>3</v>
      </c>
      <c r="N2014">
        <f>ABS(TablaDatos[[#This Row],[DiasOriginal]])</f>
        <v>3</v>
      </c>
      <c r="O2014" s="1">
        <f>TablaDatos[[#This Row],[FechaIngreso]]+TablaDatos[[#This Row],[DiasNuevo]]</f>
        <v>45125</v>
      </c>
    </row>
    <row r="2015" spans="1:15">
      <c r="A2015">
        <v>2014</v>
      </c>
      <c r="B2015" t="s">
        <v>152</v>
      </c>
      <c r="C2015" s="1">
        <v>31778</v>
      </c>
      <c r="D2015">
        <v>39</v>
      </c>
      <c r="E2015" s="4" t="s">
        <v>12</v>
      </c>
      <c r="F2015" t="s">
        <v>201</v>
      </c>
      <c r="G2015" s="1">
        <v>45328</v>
      </c>
      <c r="H2015" s="1">
        <f>TablaDatos[[#This Row],[FechaIngreso]]+TablaDatos[[#This Row],[DiasNuevo]]</f>
        <v>45334</v>
      </c>
      <c r="I2015">
        <v>6</v>
      </c>
      <c r="J2015" t="s">
        <v>25</v>
      </c>
      <c r="K2015" s="3">
        <v>15385.32</v>
      </c>
      <c r="L2015" t="b">
        <f>TablaDatos[[#This Row],[FechaAlta]] &lt; TablaDatos[[#This Row],[FechaIngreso]]</f>
        <v>0</v>
      </c>
      <c r="M2015">
        <f>_xlfn.XLOOKUP(TablaDatos[[#This Row],[PacienteID]],'Datos_Ejemplo.csv'!A:A,'Datos_Ejemplo.csv'!I:I)</f>
        <v>6</v>
      </c>
      <c r="N2015">
        <f>ABS(TablaDatos[[#This Row],[DiasOriginal]])</f>
        <v>6</v>
      </c>
      <c r="O2015" s="1">
        <f>TablaDatos[[#This Row],[FechaIngreso]]+TablaDatos[[#This Row],[DiasNuevo]]</f>
        <v>45334</v>
      </c>
    </row>
    <row r="2016" spans="1:15">
      <c r="A2016">
        <v>2015</v>
      </c>
      <c r="B2016" t="s">
        <v>252</v>
      </c>
      <c r="C2016" s="1">
        <v>38717</v>
      </c>
      <c r="D2016">
        <v>20</v>
      </c>
      <c r="E2016" s="4" t="s">
        <v>15</v>
      </c>
      <c r="F2016" t="s">
        <v>261</v>
      </c>
      <c r="G2016" s="1">
        <v>44990</v>
      </c>
      <c r="H2016" s="1">
        <f>TablaDatos[[#This Row],[FechaIngreso]]+TablaDatos[[#This Row],[DiasNuevo]]</f>
        <v>44998</v>
      </c>
      <c r="I2016">
        <v>8</v>
      </c>
      <c r="J2016" t="s">
        <v>23</v>
      </c>
      <c r="K2016" s="3">
        <v>3306.18</v>
      </c>
      <c r="L2016" t="b">
        <f>TablaDatos[[#This Row],[FechaAlta]] &lt; TablaDatos[[#This Row],[FechaIngreso]]</f>
        <v>0</v>
      </c>
      <c r="M2016">
        <f>_xlfn.XLOOKUP(TablaDatos[[#This Row],[PacienteID]],'Datos_Ejemplo.csv'!A:A,'Datos_Ejemplo.csv'!I:I)</f>
        <v>8</v>
      </c>
      <c r="N2016">
        <f>ABS(TablaDatos[[#This Row],[DiasOriginal]])</f>
        <v>8</v>
      </c>
      <c r="O2016" s="1">
        <f>TablaDatos[[#This Row],[FechaIngreso]]+TablaDatos[[#This Row],[DiasNuevo]]</f>
        <v>44998</v>
      </c>
    </row>
    <row r="2017" spans="1:15">
      <c r="A2017">
        <v>2016</v>
      </c>
      <c r="B2017" t="s">
        <v>66</v>
      </c>
      <c r="C2017" s="1">
        <v>40909</v>
      </c>
      <c r="D2017">
        <v>14</v>
      </c>
      <c r="E2017" s="4" t="s">
        <v>15</v>
      </c>
      <c r="F2017" t="s">
        <v>21</v>
      </c>
      <c r="G2017" s="1">
        <v>45578</v>
      </c>
      <c r="H2017" s="1">
        <f>TablaDatos[[#This Row],[FechaIngreso]]+TablaDatos[[#This Row],[DiasNuevo]]</f>
        <v>45597</v>
      </c>
      <c r="I2017">
        <v>19</v>
      </c>
      <c r="J2017" t="s">
        <v>23</v>
      </c>
      <c r="K2017" s="3">
        <v>4226.96</v>
      </c>
      <c r="L2017" t="b">
        <f>TablaDatos[[#This Row],[FechaAlta]] &lt; TablaDatos[[#This Row],[FechaIngreso]]</f>
        <v>0</v>
      </c>
      <c r="M2017">
        <f>_xlfn.XLOOKUP(TablaDatos[[#This Row],[PacienteID]],'Datos_Ejemplo.csv'!A:A,'Datos_Ejemplo.csv'!I:I)</f>
        <v>19</v>
      </c>
      <c r="N2017">
        <f>ABS(TablaDatos[[#This Row],[DiasOriginal]])</f>
        <v>19</v>
      </c>
      <c r="O2017" s="1">
        <f>TablaDatos[[#This Row],[FechaIngreso]]+TablaDatos[[#This Row],[DiasNuevo]]</f>
        <v>45597</v>
      </c>
    </row>
    <row r="2018" spans="1:15">
      <c r="A2018">
        <v>2017</v>
      </c>
      <c r="B2018" t="s">
        <v>251</v>
      </c>
      <c r="C2018" s="1">
        <v>36891</v>
      </c>
      <c r="D2018">
        <v>25</v>
      </c>
      <c r="E2018" s="4" t="s">
        <v>197</v>
      </c>
      <c r="F2018" t="s">
        <v>13</v>
      </c>
      <c r="G2018" s="1">
        <v>45351</v>
      </c>
      <c r="H2018" s="1">
        <f>TablaDatos[[#This Row],[FechaIngreso]]+TablaDatos[[#This Row],[DiasNuevo]]</f>
        <v>45357</v>
      </c>
      <c r="I2018">
        <v>6</v>
      </c>
      <c r="J2018" t="s">
        <v>25</v>
      </c>
      <c r="K2018" s="3">
        <v>9142.89</v>
      </c>
      <c r="L2018" t="b">
        <f>TablaDatos[[#This Row],[FechaAlta]] &lt; TablaDatos[[#This Row],[FechaIngreso]]</f>
        <v>0</v>
      </c>
      <c r="M2018">
        <f>_xlfn.XLOOKUP(TablaDatos[[#This Row],[PacienteID]],'Datos_Ejemplo.csv'!A:A,'Datos_Ejemplo.csv'!I:I)</f>
        <v>6</v>
      </c>
      <c r="N2018">
        <f>ABS(TablaDatos[[#This Row],[DiasOriginal]])</f>
        <v>6</v>
      </c>
      <c r="O2018" s="1">
        <f>TablaDatos[[#This Row],[FechaIngreso]]+TablaDatos[[#This Row],[DiasNuevo]]</f>
        <v>45357</v>
      </c>
    </row>
    <row r="2019" spans="1:15">
      <c r="A2019">
        <v>2018</v>
      </c>
      <c r="B2019" t="s">
        <v>305</v>
      </c>
      <c r="C2019" s="1">
        <v>43466</v>
      </c>
      <c r="D2019">
        <v>7</v>
      </c>
      <c r="E2019" s="4" t="s">
        <v>12</v>
      </c>
      <c r="F2019" t="s">
        <v>21</v>
      </c>
      <c r="G2019" s="1">
        <v>44968</v>
      </c>
      <c r="H2019" s="1">
        <f>TablaDatos[[#This Row],[FechaIngreso]]+TablaDatos[[#This Row],[DiasNuevo]]</f>
        <v>44994</v>
      </c>
      <c r="I2019">
        <v>26</v>
      </c>
      <c r="J2019" t="s">
        <v>19</v>
      </c>
      <c r="K2019" s="3">
        <v>11483.99</v>
      </c>
      <c r="L2019" t="b">
        <f>TablaDatos[[#This Row],[FechaAlta]] &lt; TablaDatos[[#This Row],[FechaIngreso]]</f>
        <v>0</v>
      </c>
      <c r="M2019">
        <f>_xlfn.XLOOKUP(TablaDatos[[#This Row],[PacienteID]],'Datos_Ejemplo.csv'!A:A,'Datos_Ejemplo.csv'!I:I)</f>
        <v>26</v>
      </c>
      <c r="N2019">
        <f>ABS(TablaDatos[[#This Row],[DiasOriginal]])</f>
        <v>26</v>
      </c>
      <c r="O2019" s="1">
        <f>TablaDatos[[#This Row],[FechaIngreso]]+TablaDatos[[#This Row],[DiasNuevo]]</f>
        <v>44994</v>
      </c>
    </row>
    <row r="2020" spans="1:15">
      <c r="A2020">
        <v>2019</v>
      </c>
      <c r="B2020" t="s">
        <v>270</v>
      </c>
      <c r="C2020" s="1">
        <f ca="1">DATE(YEAR(TODAY())-TablaDatos[[#This Row],[Edad]],1,1)</f>
        <v>12055</v>
      </c>
      <c r="D2020">
        <v>93</v>
      </c>
      <c r="E2020" s="4" t="s">
        <v>15</v>
      </c>
      <c r="F2020" t="s">
        <v>13</v>
      </c>
      <c r="G2020" s="1">
        <v>45299</v>
      </c>
      <c r="H2020" s="1">
        <f>TablaDatos[[#This Row],[FechaIngreso]]+TablaDatos[[#This Row],[DiasNuevo]]</f>
        <v>45306</v>
      </c>
      <c r="I2020">
        <v>7</v>
      </c>
      <c r="J2020" t="s">
        <v>25</v>
      </c>
      <c r="K2020" s="3">
        <v>6448.57</v>
      </c>
      <c r="L2020" t="b">
        <f>TablaDatos[[#This Row],[FechaAlta]] &lt; TablaDatos[[#This Row],[FechaIngreso]]</f>
        <v>0</v>
      </c>
      <c r="M2020">
        <f>_xlfn.XLOOKUP(TablaDatos[[#This Row],[PacienteID]],'Datos_Ejemplo.csv'!A:A,'Datos_Ejemplo.csv'!I:I)</f>
        <v>7</v>
      </c>
      <c r="N2020">
        <f>ABS(TablaDatos[[#This Row],[DiasOriginal]])</f>
        <v>7</v>
      </c>
      <c r="O2020" s="1">
        <f>TablaDatos[[#This Row],[FechaIngreso]]+TablaDatos[[#This Row],[DiasNuevo]]</f>
        <v>45306</v>
      </c>
    </row>
    <row r="2021" spans="1:15">
      <c r="A2021">
        <v>2020</v>
      </c>
      <c r="B2021" t="s">
        <v>279</v>
      </c>
      <c r="C2021" s="1">
        <v>14611</v>
      </c>
      <c r="D2021">
        <v>86</v>
      </c>
      <c r="E2021" s="4" t="s">
        <v>12</v>
      </c>
      <c r="F2021" t="s">
        <v>32</v>
      </c>
      <c r="G2021" s="1">
        <v>45232</v>
      </c>
      <c r="H2021" s="1">
        <f>TablaDatos[[#This Row],[FechaIngreso]]+TablaDatos[[#This Row],[DiasNuevo]]</f>
        <v>45263</v>
      </c>
      <c r="I2021">
        <v>31</v>
      </c>
      <c r="J2021" t="s">
        <v>23</v>
      </c>
      <c r="K2021" s="3">
        <v>11465.21</v>
      </c>
      <c r="L2021" t="b">
        <f>TablaDatos[[#This Row],[FechaAlta]] &lt; TablaDatos[[#This Row],[FechaIngreso]]</f>
        <v>0</v>
      </c>
      <c r="M2021">
        <f>_xlfn.XLOOKUP(TablaDatos[[#This Row],[PacienteID]],'Datos_Ejemplo.csv'!A:A,'Datos_Ejemplo.csv'!I:I)</f>
        <v>31</v>
      </c>
      <c r="N2021">
        <f>ABS(TablaDatos[[#This Row],[DiasOriginal]])</f>
        <v>31</v>
      </c>
      <c r="O2021" s="1">
        <f>TablaDatos[[#This Row],[FechaIngreso]]+TablaDatos[[#This Row],[DiasNuevo]]</f>
        <v>45263</v>
      </c>
    </row>
    <row r="2022" spans="1:15">
      <c r="A2022">
        <v>2021</v>
      </c>
      <c r="B2022" t="s">
        <v>366</v>
      </c>
      <c r="C2022" s="1">
        <v>31047</v>
      </c>
      <c r="D2022">
        <v>41</v>
      </c>
      <c r="E2022" s="4" t="s">
        <v>12</v>
      </c>
      <c r="F2022" t="s">
        <v>18</v>
      </c>
      <c r="G2022" s="1">
        <v>45135</v>
      </c>
      <c r="H2022" s="1">
        <f>TablaDatos[[#This Row],[FechaIngreso]]+TablaDatos[[#This Row],[DiasNuevo]]</f>
        <v>45163</v>
      </c>
      <c r="I2022">
        <v>28</v>
      </c>
      <c r="J2022" t="s">
        <v>23</v>
      </c>
      <c r="K2022" s="3">
        <v>3330.23</v>
      </c>
      <c r="L2022" t="b">
        <f>TablaDatos[[#This Row],[FechaAlta]] &lt; TablaDatos[[#This Row],[FechaIngreso]]</f>
        <v>0</v>
      </c>
      <c r="M2022">
        <f>_xlfn.XLOOKUP(TablaDatos[[#This Row],[PacienteID]],'Datos_Ejemplo.csv'!A:A,'Datos_Ejemplo.csv'!I:I)</f>
        <v>28</v>
      </c>
      <c r="N2022">
        <f>ABS(TablaDatos[[#This Row],[DiasOriginal]])</f>
        <v>28</v>
      </c>
      <c r="O2022" s="1">
        <f>TablaDatos[[#This Row],[FechaIngreso]]+TablaDatos[[#This Row],[DiasNuevo]]</f>
        <v>45163</v>
      </c>
    </row>
    <row r="2023" spans="1:15">
      <c r="A2023">
        <v>2022</v>
      </c>
      <c r="B2023" t="s">
        <v>253</v>
      </c>
      <c r="C2023" s="1">
        <v>30317</v>
      </c>
      <c r="D2023">
        <v>43</v>
      </c>
      <c r="E2023" s="4" t="s">
        <v>15</v>
      </c>
      <c r="F2023" t="s">
        <v>21</v>
      </c>
      <c r="G2023" s="1">
        <v>45393</v>
      </c>
      <c r="H2023" s="1">
        <f>TablaDatos[[#This Row],[FechaIngreso]]+TablaDatos[[#This Row],[DiasNuevo]]</f>
        <v>45412</v>
      </c>
      <c r="I2023">
        <v>19</v>
      </c>
      <c r="J2023" t="s">
        <v>23</v>
      </c>
      <c r="K2023" s="3">
        <v>348.99</v>
      </c>
      <c r="L2023" t="b">
        <f>TablaDatos[[#This Row],[FechaAlta]] &lt; TablaDatos[[#This Row],[FechaIngreso]]</f>
        <v>0</v>
      </c>
      <c r="M2023">
        <f>_xlfn.XLOOKUP(TablaDatos[[#This Row],[PacienteID]],'Datos_Ejemplo.csv'!A:A,'Datos_Ejemplo.csv'!I:I)</f>
        <v>19</v>
      </c>
      <c r="N2023">
        <f>ABS(TablaDatos[[#This Row],[DiasOriginal]])</f>
        <v>19</v>
      </c>
      <c r="O2023" s="1">
        <f>TablaDatos[[#This Row],[FechaIngreso]]+TablaDatos[[#This Row],[DiasNuevo]]</f>
        <v>45412</v>
      </c>
    </row>
    <row r="2024" spans="1:15">
      <c r="A2024">
        <v>2023</v>
      </c>
      <c r="B2024" t="s">
        <v>247</v>
      </c>
      <c r="C2024" s="1">
        <v>41274</v>
      </c>
      <c r="D2024">
        <v>13</v>
      </c>
      <c r="E2024" s="4" t="s">
        <v>15</v>
      </c>
      <c r="F2024" t="s">
        <v>21</v>
      </c>
      <c r="G2024" s="1">
        <v>45230</v>
      </c>
      <c r="H2024" s="1">
        <f>TablaDatos[[#This Row],[FechaIngreso]]+TablaDatos[[#This Row],[DiasNuevo]]</f>
        <v>45231</v>
      </c>
      <c r="I2024">
        <v>1</v>
      </c>
      <c r="J2024" t="s">
        <v>25</v>
      </c>
      <c r="K2024" s="3">
        <v>11381.61</v>
      </c>
      <c r="L2024" t="b">
        <f>TablaDatos[[#This Row],[FechaAlta]] &lt; TablaDatos[[#This Row],[FechaIngreso]]</f>
        <v>0</v>
      </c>
      <c r="M2024">
        <f>_xlfn.XLOOKUP(TablaDatos[[#This Row],[PacienteID]],'Datos_Ejemplo.csv'!A:A,'Datos_Ejemplo.csv'!I:I)</f>
        <v>1</v>
      </c>
      <c r="N2024">
        <f>ABS(TablaDatos[[#This Row],[DiasOriginal]])</f>
        <v>1</v>
      </c>
      <c r="O2024" s="1">
        <f>TablaDatos[[#This Row],[FechaIngreso]]+TablaDatos[[#This Row],[DiasNuevo]]</f>
        <v>45231</v>
      </c>
    </row>
    <row r="2025" spans="1:15">
      <c r="A2025">
        <v>2024</v>
      </c>
      <c r="B2025" t="s">
        <v>346</v>
      </c>
      <c r="C2025" s="1">
        <v>17898</v>
      </c>
      <c r="D2025">
        <v>77</v>
      </c>
      <c r="E2025" s="4" t="s">
        <v>15</v>
      </c>
      <c r="F2025" t="s">
        <v>201</v>
      </c>
      <c r="G2025" s="1">
        <v>45511</v>
      </c>
      <c r="H2025" s="1">
        <f>TablaDatos[[#This Row],[FechaIngreso]]+TablaDatos[[#This Row],[DiasNuevo]]</f>
        <v>45512</v>
      </c>
      <c r="I2025">
        <v>1</v>
      </c>
      <c r="J2025" t="s">
        <v>25</v>
      </c>
      <c r="K2025" s="3">
        <v>10300.049999999999</v>
      </c>
      <c r="L2025" t="b">
        <f>TablaDatos[[#This Row],[FechaAlta]] &lt; TablaDatos[[#This Row],[FechaIngreso]]</f>
        <v>0</v>
      </c>
      <c r="M2025">
        <f>_xlfn.XLOOKUP(TablaDatos[[#This Row],[PacienteID]],'Datos_Ejemplo.csv'!A:A,'Datos_Ejemplo.csv'!I:I)</f>
        <v>-1</v>
      </c>
      <c r="N2025">
        <f>ABS(TablaDatos[[#This Row],[DiasOriginal]])</f>
        <v>1</v>
      </c>
      <c r="O2025" s="1">
        <f>TablaDatos[[#This Row],[FechaIngreso]]+TablaDatos[[#This Row],[DiasNuevo]]</f>
        <v>45512</v>
      </c>
    </row>
    <row r="2026" spans="1:15">
      <c r="A2026">
        <v>2025</v>
      </c>
      <c r="B2026" t="s">
        <v>329</v>
      </c>
      <c r="C2026" s="1">
        <v>45657</v>
      </c>
      <c r="D2026">
        <v>1</v>
      </c>
      <c r="E2026" s="4" t="s">
        <v>15</v>
      </c>
      <c r="F2026" t="s">
        <v>295</v>
      </c>
      <c r="G2026" s="1">
        <v>45318</v>
      </c>
      <c r="H2026" s="1">
        <f>TablaDatos[[#This Row],[FechaIngreso]]+TablaDatos[[#This Row],[DiasNuevo]]</f>
        <v>45320</v>
      </c>
      <c r="I2026">
        <v>2</v>
      </c>
      <c r="J2026" t="s">
        <v>25</v>
      </c>
      <c r="K2026" s="3">
        <v>13762.04</v>
      </c>
      <c r="L2026" t="b">
        <f>TablaDatos[[#This Row],[FechaAlta]] &lt; TablaDatos[[#This Row],[FechaIngreso]]</f>
        <v>0</v>
      </c>
      <c r="M2026">
        <f>_xlfn.XLOOKUP(TablaDatos[[#This Row],[PacienteID]],'Datos_Ejemplo.csv'!A:A,'Datos_Ejemplo.csv'!I:I)</f>
        <v>2</v>
      </c>
      <c r="N2026">
        <f>ABS(TablaDatos[[#This Row],[DiasOriginal]])</f>
        <v>2</v>
      </c>
      <c r="O2026" s="1">
        <f>TablaDatos[[#This Row],[FechaIngreso]]+TablaDatos[[#This Row],[DiasNuevo]]</f>
        <v>45320</v>
      </c>
    </row>
    <row r="2027" spans="1:15">
      <c r="A2027">
        <v>2026</v>
      </c>
      <c r="B2027" t="s">
        <v>354</v>
      </c>
      <c r="C2027" s="1">
        <v>32873</v>
      </c>
      <c r="D2027">
        <v>36</v>
      </c>
      <c r="E2027" s="4" t="s">
        <v>12</v>
      </c>
      <c r="F2027" t="s">
        <v>32</v>
      </c>
      <c r="G2027" s="1">
        <v>45079</v>
      </c>
      <c r="H2027" s="1">
        <f>TablaDatos[[#This Row],[FechaIngreso]]+TablaDatos[[#This Row],[DiasNuevo]]</f>
        <v>45091</v>
      </c>
      <c r="I2027">
        <v>12</v>
      </c>
      <c r="J2027" t="s">
        <v>19</v>
      </c>
      <c r="K2027" s="3">
        <v>12961.42</v>
      </c>
      <c r="L2027" t="b">
        <f>TablaDatos[[#This Row],[FechaAlta]] &lt; TablaDatos[[#This Row],[FechaIngreso]]</f>
        <v>0</v>
      </c>
      <c r="M2027">
        <f>_xlfn.XLOOKUP(TablaDatos[[#This Row],[PacienteID]],'Datos_Ejemplo.csv'!A:A,'Datos_Ejemplo.csv'!I:I)</f>
        <v>12</v>
      </c>
      <c r="N2027">
        <f>ABS(TablaDatos[[#This Row],[DiasOriginal]])</f>
        <v>12</v>
      </c>
      <c r="O2027" s="1">
        <f>TablaDatos[[#This Row],[FechaIngreso]]+TablaDatos[[#This Row],[DiasNuevo]]</f>
        <v>45091</v>
      </c>
    </row>
    <row r="2028" spans="1:15">
      <c r="A2028">
        <v>2027</v>
      </c>
      <c r="B2028" t="s">
        <v>233</v>
      </c>
      <c r="C2028" s="1">
        <v>21185</v>
      </c>
      <c r="D2028">
        <v>68</v>
      </c>
      <c r="E2028" s="4" t="s">
        <v>15</v>
      </c>
      <c r="F2028" t="s">
        <v>295</v>
      </c>
      <c r="G2028" s="1">
        <v>45573</v>
      </c>
      <c r="H2028" s="1">
        <f>TablaDatos[[#This Row],[FechaIngreso]]+TablaDatos[[#This Row],[DiasNuevo]]</f>
        <v>45589</v>
      </c>
      <c r="I2028">
        <v>16</v>
      </c>
      <c r="J2028" t="s">
        <v>23</v>
      </c>
      <c r="K2028" s="3">
        <v>17939.48</v>
      </c>
      <c r="L2028" t="b">
        <f>TablaDatos[[#This Row],[FechaAlta]] &lt; TablaDatos[[#This Row],[FechaIngreso]]</f>
        <v>0</v>
      </c>
      <c r="M2028">
        <f>_xlfn.XLOOKUP(TablaDatos[[#This Row],[PacienteID]],'Datos_Ejemplo.csv'!A:A,'Datos_Ejemplo.csv'!I:I)</f>
        <v>16</v>
      </c>
      <c r="N2028">
        <f>ABS(TablaDatos[[#This Row],[DiasOriginal]])</f>
        <v>16</v>
      </c>
      <c r="O2028" s="1">
        <f>TablaDatos[[#This Row],[FechaIngreso]]+TablaDatos[[#This Row],[DiasNuevo]]</f>
        <v>45589</v>
      </c>
    </row>
    <row r="2029" spans="1:15">
      <c r="A2029">
        <v>2028</v>
      </c>
      <c r="B2029" t="s">
        <v>232</v>
      </c>
      <c r="C2029" s="1">
        <f ca="1">DATE(YEAR(TODAY())-TablaDatos[[#This Row],[Edad]],1,1)</f>
        <v>32509</v>
      </c>
      <c r="D2029">
        <v>37</v>
      </c>
      <c r="E2029" s="4" t="s">
        <v>12</v>
      </c>
      <c r="F2029" t="s">
        <v>32</v>
      </c>
      <c r="G2029" s="1">
        <v>45288</v>
      </c>
      <c r="H2029" s="1">
        <f>TablaDatos[[#This Row],[FechaIngreso]]+TablaDatos[[#This Row],[DiasNuevo]]</f>
        <v>45323</v>
      </c>
      <c r="I2029">
        <v>35</v>
      </c>
      <c r="J2029" t="s">
        <v>25</v>
      </c>
      <c r="K2029" s="3">
        <v>9135.32</v>
      </c>
      <c r="L2029" t="b">
        <f>TablaDatos[[#This Row],[FechaAlta]] &lt; TablaDatos[[#This Row],[FechaIngreso]]</f>
        <v>0</v>
      </c>
      <c r="M2029">
        <f>_xlfn.XLOOKUP(TablaDatos[[#This Row],[PacienteID]],'Datos_Ejemplo.csv'!A:A,'Datos_Ejemplo.csv'!I:I)</f>
        <v>35</v>
      </c>
      <c r="N2029">
        <f>ABS(TablaDatos[[#This Row],[DiasOriginal]])</f>
        <v>35</v>
      </c>
      <c r="O2029" s="1">
        <f>TablaDatos[[#This Row],[FechaIngreso]]+TablaDatos[[#This Row],[DiasNuevo]]</f>
        <v>45323</v>
      </c>
    </row>
    <row r="2030" spans="1:15">
      <c r="A2030">
        <v>2029</v>
      </c>
      <c r="B2030" t="s">
        <v>306</v>
      </c>
      <c r="C2030" s="1">
        <v>31412</v>
      </c>
      <c r="D2030">
        <v>40</v>
      </c>
      <c r="E2030" s="4" t="s">
        <v>197</v>
      </c>
      <c r="F2030" t="s">
        <v>32</v>
      </c>
      <c r="G2030" s="1">
        <v>45190</v>
      </c>
      <c r="H2030" s="1">
        <f>TablaDatos[[#This Row],[FechaIngreso]]+TablaDatos[[#This Row],[DiasNuevo]]</f>
        <v>45202</v>
      </c>
      <c r="I2030">
        <v>12</v>
      </c>
      <c r="J2030" t="s">
        <v>19</v>
      </c>
      <c r="K2030" s="3">
        <v>68.23</v>
      </c>
      <c r="L2030" t="b">
        <f>TablaDatos[[#This Row],[FechaAlta]] &lt; TablaDatos[[#This Row],[FechaIngreso]]</f>
        <v>0</v>
      </c>
      <c r="M2030">
        <f>_xlfn.XLOOKUP(TablaDatos[[#This Row],[PacienteID]],'Datos_Ejemplo.csv'!A:A,'Datos_Ejemplo.csv'!I:I)</f>
        <v>12</v>
      </c>
      <c r="N2030">
        <f>ABS(TablaDatos[[#This Row],[DiasOriginal]])</f>
        <v>12</v>
      </c>
      <c r="O2030" s="1">
        <f>TablaDatos[[#This Row],[FechaIngreso]]+TablaDatos[[#This Row],[DiasNuevo]]</f>
        <v>45202</v>
      </c>
    </row>
    <row r="2031" spans="1:15">
      <c r="A2031">
        <v>2030</v>
      </c>
      <c r="B2031" t="s">
        <v>136</v>
      </c>
      <c r="C2031" s="1">
        <v>23742</v>
      </c>
      <c r="D2031">
        <v>61</v>
      </c>
      <c r="E2031" s="4" t="s">
        <v>15</v>
      </c>
      <c r="F2031" t="s">
        <v>261</v>
      </c>
      <c r="G2031" s="1">
        <v>45142</v>
      </c>
      <c r="H2031" s="1">
        <f>TablaDatos[[#This Row],[FechaIngreso]]+TablaDatos[[#This Row],[DiasNuevo]]</f>
        <v>45147</v>
      </c>
      <c r="I2031">
        <v>5</v>
      </c>
      <c r="J2031" t="s">
        <v>23</v>
      </c>
      <c r="K2031" s="3">
        <v>12576.12</v>
      </c>
      <c r="L2031" t="b">
        <f>TablaDatos[[#This Row],[FechaAlta]] &lt; TablaDatos[[#This Row],[FechaIngreso]]</f>
        <v>0</v>
      </c>
      <c r="M2031">
        <f>_xlfn.XLOOKUP(TablaDatos[[#This Row],[PacienteID]],'Datos_Ejemplo.csv'!A:A,'Datos_Ejemplo.csv'!I:I)</f>
        <v>5</v>
      </c>
      <c r="N2031">
        <f>ABS(TablaDatos[[#This Row],[DiasOriginal]])</f>
        <v>5</v>
      </c>
      <c r="O2031" s="1">
        <f>TablaDatos[[#This Row],[FechaIngreso]]+TablaDatos[[#This Row],[DiasNuevo]]</f>
        <v>45147</v>
      </c>
    </row>
    <row r="2032" spans="1:15">
      <c r="A2032">
        <v>2031</v>
      </c>
      <c r="B2032" t="s">
        <v>116</v>
      </c>
      <c r="C2032" s="1">
        <v>24473</v>
      </c>
      <c r="D2032">
        <v>59</v>
      </c>
      <c r="E2032" s="4" t="s">
        <v>15</v>
      </c>
      <c r="F2032" t="s">
        <v>261</v>
      </c>
      <c r="G2032" s="1">
        <v>45647</v>
      </c>
      <c r="H2032" s="1">
        <f>TablaDatos[[#This Row],[FechaIngreso]]+TablaDatos[[#This Row],[DiasNuevo]]</f>
        <v>45664</v>
      </c>
      <c r="I2032">
        <v>17</v>
      </c>
      <c r="J2032" t="s">
        <v>25</v>
      </c>
      <c r="K2032" s="3">
        <v>13470.16</v>
      </c>
      <c r="L2032" t="b">
        <f>TablaDatos[[#This Row],[FechaAlta]] &lt; TablaDatos[[#This Row],[FechaIngreso]]</f>
        <v>0</v>
      </c>
      <c r="M2032">
        <f>_xlfn.XLOOKUP(TablaDatos[[#This Row],[PacienteID]],'Datos_Ejemplo.csv'!A:A,'Datos_Ejemplo.csv'!I:I)</f>
        <v>17</v>
      </c>
      <c r="N2032">
        <f>ABS(TablaDatos[[#This Row],[DiasOriginal]])</f>
        <v>17</v>
      </c>
      <c r="O2032" s="1">
        <f>TablaDatos[[#This Row],[FechaIngreso]]+TablaDatos[[#This Row],[DiasNuevo]]</f>
        <v>45664</v>
      </c>
    </row>
    <row r="2033" spans="1:15">
      <c r="A2033">
        <v>2032</v>
      </c>
      <c r="B2033" t="s">
        <v>244</v>
      </c>
      <c r="C2033" s="1">
        <v>41274</v>
      </c>
      <c r="D2033">
        <v>13</v>
      </c>
      <c r="E2033" s="4" t="s">
        <v>12</v>
      </c>
      <c r="F2033" t="s">
        <v>261</v>
      </c>
      <c r="G2033" s="1">
        <v>45642</v>
      </c>
      <c r="H2033" s="1">
        <f>TablaDatos[[#This Row],[FechaIngreso]]+TablaDatos[[#This Row],[DiasNuevo]]</f>
        <v>45651</v>
      </c>
      <c r="I2033">
        <v>9</v>
      </c>
      <c r="J2033" t="s">
        <v>25</v>
      </c>
      <c r="K2033" s="3">
        <v>10382.049999999999</v>
      </c>
      <c r="L2033" t="b">
        <f>TablaDatos[[#This Row],[FechaAlta]] &lt; TablaDatos[[#This Row],[FechaIngreso]]</f>
        <v>0</v>
      </c>
      <c r="M2033">
        <f>_xlfn.XLOOKUP(TablaDatos[[#This Row],[PacienteID]],'Datos_Ejemplo.csv'!A:A,'Datos_Ejemplo.csv'!I:I)</f>
        <v>9</v>
      </c>
      <c r="N2033">
        <f>ABS(TablaDatos[[#This Row],[DiasOriginal]])</f>
        <v>9</v>
      </c>
      <c r="O2033" s="1">
        <f>TablaDatos[[#This Row],[FechaIngreso]]+TablaDatos[[#This Row],[DiasNuevo]]</f>
        <v>45651</v>
      </c>
    </row>
    <row r="2034" spans="1:15">
      <c r="A2034">
        <v>2033</v>
      </c>
      <c r="B2034" t="s">
        <v>105</v>
      </c>
      <c r="C2034" s="1">
        <v>13880</v>
      </c>
      <c r="D2034">
        <f ca="1">DATEDIF(TablaDatos[[#This Row],[FechaNacimiento]],TODAY(),"Y")</f>
        <v>88</v>
      </c>
      <c r="E2034" s="4" t="s">
        <v>12</v>
      </c>
      <c r="F2034" t="s">
        <v>13</v>
      </c>
      <c r="G2034" s="1">
        <v>45548</v>
      </c>
      <c r="H2034" s="1">
        <f>TablaDatos[[#This Row],[FechaIngreso]]+TablaDatos[[#This Row],[DiasNuevo]]</f>
        <v>45549</v>
      </c>
      <c r="I2034">
        <v>1</v>
      </c>
      <c r="J2034" t="s">
        <v>25</v>
      </c>
      <c r="K2034" s="3">
        <v>13755.03</v>
      </c>
      <c r="L2034" t="b">
        <f>TablaDatos[[#This Row],[FechaAlta]] &lt; TablaDatos[[#This Row],[FechaIngreso]]</f>
        <v>0</v>
      </c>
      <c r="M2034">
        <f>_xlfn.XLOOKUP(TablaDatos[[#This Row],[PacienteID]],'Datos_Ejemplo.csv'!A:A,'Datos_Ejemplo.csv'!I:I)</f>
        <v>1</v>
      </c>
      <c r="N2034">
        <f>ABS(TablaDatos[[#This Row],[DiasOriginal]])</f>
        <v>1</v>
      </c>
      <c r="O2034" s="1">
        <f>TablaDatos[[#This Row],[FechaIngreso]]+TablaDatos[[#This Row],[DiasNuevo]]</f>
        <v>45549</v>
      </c>
    </row>
    <row r="2035" spans="1:15">
      <c r="A2035">
        <v>2034</v>
      </c>
      <c r="B2035" t="s">
        <v>257</v>
      </c>
      <c r="C2035" s="1">
        <v>15707</v>
      </c>
      <c r="D2035">
        <v>83</v>
      </c>
      <c r="E2035" s="4" t="s">
        <v>12</v>
      </c>
      <c r="F2035" t="s">
        <v>201</v>
      </c>
      <c r="G2035" s="1">
        <v>45469</v>
      </c>
      <c r="H2035" s="1">
        <f>TablaDatos[[#This Row],[FechaIngreso]]+TablaDatos[[#This Row],[DiasNuevo]]</f>
        <v>45504</v>
      </c>
      <c r="I2035">
        <v>35</v>
      </c>
      <c r="J2035" t="s">
        <v>19</v>
      </c>
      <c r="K2035" s="3">
        <v>6404.03</v>
      </c>
      <c r="L2035" t="b">
        <f>TablaDatos[[#This Row],[FechaAlta]] &lt; TablaDatos[[#This Row],[FechaIngreso]]</f>
        <v>0</v>
      </c>
      <c r="M2035">
        <f>_xlfn.XLOOKUP(TablaDatos[[#This Row],[PacienteID]],'Datos_Ejemplo.csv'!A:A,'Datos_Ejemplo.csv'!I:I)</f>
        <v>35</v>
      </c>
      <c r="N2035">
        <f>ABS(TablaDatos[[#This Row],[DiasOriginal]])</f>
        <v>35</v>
      </c>
      <c r="O2035" s="1">
        <f>TablaDatos[[#This Row],[FechaIngreso]]+TablaDatos[[#This Row],[DiasNuevo]]</f>
        <v>45504</v>
      </c>
    </row>
    <row r="2036" spans="1:15">
      <c r="A2036">
        <v>2035</v>
      </c>
      <c r="B2036" t="s">
        <v>271</v>
      </c>
      <c r="C2036" s="1">
        <v>45657</v>
      </c>
      <c r="D2036">
        <v>1</v>
      </c>
      <c r="E2036" s="4" t="s">
        <v>15</v>
      </c>
      <c r="F2036" t="s">
        <v>295</v>
      </c>
      <c r="G2036" s="1">
        <v>45450</v>
      </c>
      <c r="H2036" s="1">
        <f>TablaDatos[[#This Row],[FechaIngreso]]+TablaDatos[[#This Row],[DiasNuevo]]</f>
        <v>45486</v>
      </c>
      <c r="I2036">
        <v>36</v>
      </c>
      <c r="J2036" t="s">
        <v>25</v>
      </c>
      <c r="K2036" s="3">
        <v>2891.05</v>
      </c>
      <c r="L2036" t="b">
        <f>TablaDatos[[#This Row],[FechaAlta]] &lt; TablaDatos[[#This Row],[FechaIngreso]]</f>
        <v>0</v>
      </c>
      <c r="M2036">
        <f>_xlfn.XLOOKUP(TablaDatos[[#This Row],[PacienteID]],'Datos_Ejemplo.csv'!A:A,'Datos_Ejemplo.csv'!I:I)</f>
        <v>36</v>
      </c>
      <c r="N2036">
        <f>ABS(TablaDatos[[#This Row],[DiasOriginal]])</f>
        <v>36</v>
      </c>
      <c r="O2036" s="1">
        <f>TablaDatos[[#This Row],[FechaIngreso]]+TablaDatos[[#This Row],[DiasNuevo]]</f>
        <v>45486</v>
      </c>
    </row>
    <row r="2037" spans="1:15">
      <c r="A2037">
        <v>2036</v>
      </c>
      <c r="B2037" t="s">
        <v>244</v>
      </c>
      <c r="C2037" s="1">
        <v>20820</v>
      </c>
      <c r="D2037">
        <v>69</v>
      </c>
      <c r="E2037" s="4" t="s">
        <v>15</v>
      </c>
      <c r="F2037" t="s">
        <v>18</v>
      </c>
      <c r="G2037" s="1">
        <v>45565</v>
      </c>
      <c r="H2037" s="1">
        <f>TablaDatos[[#This Row],[FechaIngreso]]+TablaDatos[[#This Row],[DiasNuevo]]</f>
        <v>45598</v>
      </c>
      <c r="I2037">
        <v>33</v>
      </c>
      <c r="J2037" t="s">
        <v>25</v>
      </c>
      <c r="K2037" s="3">
        <v>13257.53</v>
      </c>
      <c r="L2037" t="b">
        <f>TablaDatos[[#This Row],[FechaAlta]] &lt; TablaDatos[[#This Row],[FechaIngreso]]</f>
        <v>0</v>
      </c>
      <c r="M2037">
        <f>_xlfn.XLOOKUP(TablaDatos[[#This Row],[PacienteID]],'Datos_Ejemplo.csv'!A:A,'Datos_Ejemplo.csv'!I:I)</f>
        <v>33</v>
      </c>
      <c r="N2037">
        <f>ABS(TablaDatos[[#This Row],[DiasOriginal]])</f>
        <v>33</v>
      </c>
      <c r="O2037" s="1">
        <f>TablaDatos[[#This Row],[FechaIngreso]]+TablaDatos[[#This Row],[DiasNuevo]]</f>
        <v>45598</v>
      </c>
    </row>
    <row r="2038" spans="1:15">
      <c r="A2038">
        <v>2037</v>
      </c>
      <c r="B2038" t="s">
        <v>270</v>
      </c>
      <c r="C2038" s="1">
        <v>40178</v>
      </c>
      <c r="D2038">
        <v>16</v>
      </c>
      <c r="E2038" s="4" t="s">
        <v>12</v>
      </c>
      <c r="F2038" t="s">
        <v>32</v>
      </c>
      <c r="G2038" s="1">
        <v>45120</v>
      </c>
      <c r="H2038" s="1">
        <f>TablaDatos[[#This Row],[FechaIngreso]]+TablaDatos[[#This Row],[DiasNuevo]]</f>
        <v>45132</v>
      </c>
      <c r="I2038">
        <v>12</v>
      </c>
      <c r="J2038" t="s">
        <v>23</v>
      </c>
      <c r="K2038" s="3">
        <v>4828.25</v>
      </c>
      <c r="L2038" t="b">
        <f>TablaDatos[[#This Row],[FechaAlta]] &lt; TablaDatos[[#This Row],[FechaIngreso]]</f>
        <v>0</v>
      </c>
      <c r="M2038">
        <f>_xlfn.XLOOKUP(TablaDatos[[#This Row],[PacienteID]],'Datos_Ejemplo.csv'!A:A,'Datos_Ejemplo.csv'!I:I)</f>
        <v>12</v>
      </c>
      <c r="N2038">
        <f>ABS(TablaDatos[[#This Row],[DiasOriginal]])</f>
        <v>12</v>
      </c>
      <c r="O2038" s="1">
        <f>TablaDatos[[#This Row],[FechaIngreso]]+TablaDatos[[#This Row],[DiasNuevo]]</f>
        <v>45132</v>
      </c>
    </row>
    <row r="2039" spans="1:15">
      <c r="A2039">
        <v>2038</v>
      </c>
      <c r="B2039" t="s">
        <v>290</v>
      </c>
      <c r="C2039" s="1">
        <v>13880</v>
      </c>
      <c r="D2039">
        <v>88</v>
      </c>
      <c r="E2039" s="4" t="s">
        <v>197</v>
      </c>
      <c r="F2039" t="s">
        <v>32</v>
      </c>
      <c r="G2039" s="1">
        <v>45578</v>
      </c>
      <c r="H2039" s="1">
        <f>TablaDatos[[#This Row],[FechaIngreso]]+TablaDatos[[#This Row],[DiasNuevo]]</f>
        <v>45580</v>
      </c>
      <c r="I2039">
        <v>2</v>
      </c>
      <c r="J2039" t="s">
        <v>19</v>
      </c>
      <c r="K2039" s="3">
        <v>9071.9500000000007</v>
      </c>
      <c r="L2039" t="b">
        <f>TablaDatos[[#This Row],[FechaAlta]] &lt; TablaDatos[[#This Row],[FechaIngreso]]</f>
        <v>0</v>
      </c>
      <c r="M2039">
        <f>_xlfn.XLOOKUP(TablaDatos[[#This Row],[PacienteID]],'Datos_Ejemplo.csv'!A:A,'Datos_Ejemplo.csv'!I:I)</f>
        <v>-2</v>
      </c>
      <c r="N2039">
        <f>ABS(TablaDatos[[#This Row],[DiasOriginal]])</f>
        <v>2</v>
      </c>
      <c r="O2039" s="1">
        <f>TablaDatos[[#This Row],[FechaIngreso]]+TablaDatos[[#This Row],[DiasNuevo]]</f>
        <v>45580</v>
      </c>
    </row>
    <row r="2040" spans="1:15">
      <c r="A2040">
        <v>2039</v>
      </c>
      <c r="B2040" t="s">
        <v>364</v>
      </c>
      <c r="C2040" s="1">
        <v>36161</v>
      </c>
      <c r="D2040">
        <v>27</v>
      </c>
      <c r="E2040" s="4" t="s">
        <v>15</v>
      </c>
      <c r="F2040" t="s">
        <v>201</v>
      </c>
      <c r="G2040" s="1">
        <v>44953</v>
      </c>
      <c r="H2040" s="1">
        <f>TablaDatos[[#This Row],[FechaIngreso]]+TablaDatos[[#This Row],[DiasNuevo]]</f>
        <v>44981</v>
      </c>
      <c r="I2040">
        <v>28</v>
      </c>
      <c r="J2040" t="s">
        <v>23</v>
      </c>
      <c r="K2040" s="3">
        <v>9781.6200000000008</v>
      </c>
      <c r="L2040" t="b">
        <f>TablaDatos[[#This Row],[FechaAlta]] &lt; TablaDatos[[#This Row],[FechaIngreso]]</f>
        <v>0</v>
      </c>
      <c r="M2040">
        <f>_xlfn.XLOOKUP(TablaDatos[[#This Row],[PacienteID]],'Datos_Ejemplo.csv'!A:A,'Datos_Ejemplo.csv'!I:I)</f>
        <v>28</v>
      </c>
      <c r="N2040">
        <f>ABS(TablaDatos[[#This Row],[DiasOriginal]])</f>
        <v>28</v>
      </c>
      <c r="O2040" s="1">
        <f>TablaDatos[[#This Row],[FechaIngreso]]+TablaDatos[[#This Row],[DiasNuevo]]</f>
        <v>44981</v>
      </c>
    </row>
    <row r="2041" spans="1:15">
      <c r="A2041">
        <v>2040</v>
      </c>
      <c r="B2041" t="s">
        <v>152</v>
      </c>
      <c r="C2041" s="1">
        <v>22281</v>
      </c>
      <c r="D2041">
        <v>65</v>
      </c>
      <c r="E2041" s="4" t="s">
        <v>12</v>
      </c>
      <c r="F2041" t="s">
        <v>21</v>
      </c>
      <c r="G2041" s="1">
        <v>44972</v>
      </c>
      <c r="H2041" s="1">
        <f>TablaDatos[[#This Row],[FechaIngreso]]+TablaDatos[[#This Row],[DiasNuevo]]</f>
        <v>44978</v>
      </c>
      <c r="I2041">
        <v>6</v>
      </c>
      <c r="J2041" t="s">
        <v>23</v>
      </c>
      <c r="K2041" s="3">
        <v>9491.7099999999991</v>
      </c>
      <c r="L2041" t="b">
        <f>TablaDatos[[#This Row],[FechaAlta]] &lt; TablaDatos[[#This Row],[FechaIngreso]]</f>
        <v>0</v>
      </c>
      <c r="M2041">
        <f>_xlfn.XLOOKUP(TablaDatos[[#This Row],[PacienteID]],'Datos_Ejemplo.csv'!A:A,'Datos_Ejemplo.csv'!I:I)</f>
        <v>6</v>
      </c>
      <c r="N2041">
        <f>ABS(TablaDatos[[#This Row],[DiasOriginal]])</f>
        <v>6</v>
      </c>
      <c r="O2041" s="1">
        <f>TablaDatos[[#This Row],[FechaIngreso]]+TablaDatos[[#This Row],[DiasNuevo]]</f>
        <v>44978</v>
      </c>
    </row>
    <row r="2042" spans="1:15">
      <c r="A2042">
        <v>2041</v>
      </c>
      <c r="B2042" t="s">
        <v>256</v>
      </c>
      <c r="C2042" s="1">
        <v>33604</v>
      </c>
      <c r="D2042">
        <f ca="1">DATEDIF(TablaDatos[[#This Row],[FechaNacimiento]],TODAY(),"Y")</f>
        <v>34</v>
      </c>
      <c r="E2042" s="4" t="s">
        <v>15</v>
      </c>
      <c r="F2042" t="s">
        <v>13</v>
      </c>
      <c r="G2042" s="1">
        <v>45573</v>
      </c>
      <c r="H2042" s="1">
        <f>TablaDatos[[#This Row],[FechaIngreso]]+TablaDatos[[#This Row],[DiasNuevo]]</f>
        <v>45593</v>
      </c>
      <c r="I2042">
        <v>20</v>
      </c>
      <c r="J2042" t="s">
        <v>23</v>
      </c>
      <c r="K2042" s="3">
        <v>11928.83</v>
      </c>
      <c r="L2042" t="b">
        <f>TablaDatos[[#This Row],[FechaAlta]] &lt; TablaDatos[[#This Row],[FechaIngreso]]</f>
        <v>0</v>
      </c>
      <c r="M2042">
        <f>_xlfn.XLOOKUP(TablaDatos[[#This Row],[PacienteID]],'Datos_Ejemplo.csv'!A:A,'Datos_Ejemplo.csv'!I:I)</f>
        <v>20</v>
      </c>
      <c r="N2042">
        <f>ABS(TablaDatos[[#This Row],[DiasOriginal]])</f>
        <v>20</v>
      </c>
      <c r="O2042" s="1">
        <f>TablaDatos[[#This Row],[FechaIngreso]]+TablaDatos[[#This Row],[DiasNuevo]]</f>
        <v>45593</v>
      </c>
    </row>
    <row r="2043" spans="1:15">
      <c r="A2043">
        <v>2042</v>
      </c>
      <c r="B2043" t="s">
        <v>359</v>
      </c>
      <c r="C2043" s="1">
        <v>44561</v>
      </c>
      <c r="D2043">
        <v>4</v>
      </c>
      <c r="E2043" s="4" t="s">
        <v>197</v>
      </c>
      <c r="F2043" t="s">
        <v>18</v>
      </c>
      <c r="G2043" s="1">
        <v>44984</v>
      </c>
      <c r="H2043" s="1">
        <f>TablaDatos[[#This Row],[FechaIngreso]]+TablaDatos[[#This Row],[DiasNuevo]]</f>
        <v>45007</v>
      </c>
      <c r="I2043">
        <v>23</v>
      </c>
      <c r="J2043" t="s">
        <v>23</v>
      </c>
      <c r="K2043" s="3">
        <v>492.02</v>
      </c>
      <c r="L2043" t="b">
        <f>TablaDatos[[#This Row],[FechaAlta]] &lt; TablaDatos[[#This Row],[FechaIngreso]]</f>
        <v>0</v>
      </c>
      <c r="M2043">
        <f>_xlfn.XLOOKUP(TablaDatos[[#This Row],[PacienteID]],'Datos_Ejemplo.csv'!A:A,'Datos_Ejemplo.csv'!I:I)</f>
        <v>23</v>
      </c>
      <c r="N2043">
        <f>ABS(TablaDatos[[#This Row],[DiasOriginal]])</f>
        <v>23</v>
      </c>
      <c r="O2043" s="1">
        <f>TablaDatos[[#This Row],[FechaIngreso]]+TablaDatos[[#This Row],[DiasNuevo]]</f>
        <v>45007</v>
      </c>
    </row>
    <row r="2044" spans="1:15">
      <c r="A2044">
        <v>2043</v>
      </c>
      <c r="B2044" t="s">
        <v>302</v>
      </c>
      <c r="C2044" s="1">
        <v>22646</v>
      </c>
      <c r="D2044">
        <v>64</v>
      </c>
      <c r="E2044" s="4" t="s">
        <v>12</v>
      </c>
      <c r="F2044" t="s">
        <v>261</v>
      </c>
      <c r="G2044" s="1">
        <v>44939</v>
      </c>
      <c r="H2044" s="1">
        <f>TablaDatos[[#This Row],[FechaIngreso]]+TablaDatos[[#This Row],[DiasNuevo]]</f>
        <v>44976</v>
      </c>
      <c r="I2044">
        <v>37</v>
      </c>
      <c r="J2044" t="s">
        <v>23</v>
      </c>
      <c r="K2044" s="3">
        <v>19792.62</v>
      </c>
      <c r="L2044" t="b">
        <f>TablaDatos[[#This Row],[FechaAlta]] &lt; TablaDatos[[#This Row],[FechaIngreso]]</f>
        <v>0</v>
      </c>
      <c r="M2044">
        <f>_xlfn.XLOOKUP(TablaDatos[[#This Row],[PacienteID]],'Datos_Ejemplo.csv'!A:A,'Datos_Ejemplo.csv'!I:I)</f>
        <v>37</v>
      </c>
      <c r="N2044">
        <f>ABS(TablaDatos[[#This Row],[DiasOriginal]])</f>
        <v>37</v>
      </c>
      <c r="O2044" s="1">
        <f>TablaDatos[[#This Row],[FechaIngreso]]+TablaDatos[[#This Row],[DiasNuevo]]</f>
        <v>44976</v>
      </c>
    </row>
    <row r="2045" spans="1:15">
      <c r="A2045">
        <v>2044</v>
      </c>
      <c r="B2045" t="s">
        <v>357</v>
      </c>
      <c r="C2045" s="1">
        <v>31778</v>
      </c>
      <c r="D2045">
        <v>39</v>
      </c>
      <c r="E2045" s="4" t="s">
        <v>15</v>
      </c>
      <c r="F2045" t="s">
        <v>32</v>
      </c>
      <c r="G2045" s="1">
        <v>45538</v>
      </c>
      <c r="H2045" s="1">
        <f>TablaDatos[[#This Row],[FechaIngreso]]+TablaDatos[[#This Row],[DiasNuevo]]</f>
        <v>45574</v>
      </c>
      <c r="I2045">
        <v>36</v>
      </c>
      <c r="J2045" t="s">
        <v>25</v>
      </c>
      <c r="K2045" s="3">
        <v>14297.84</v>
      </c>
      <c r="L2045" t="b">
        <f>TablaDatos[[#This Row],[FechaAlta]] &lt; TablaDatos[[#This Row],[FechaIngreso]]</f>
        <v>0</v>
      </c>
      <c r="M2045">
        <f>_xlfn.XLOOKUP(TablaDatos[[#This Row],[PacienteID]],'Datos_Ejemplo.csv'!A:A,'Datos_Ejemplo.csv'!I:I)</f>
        <v>36</v>
      </c>
      <c r="N2045">
        <f>ABS(TablaDatos[[#This Row],[DiasOriginal]])</f>
        <v>36</v>
      </c>
      <c r="O2045" s="1">
        <f>TablaDatos[[#This Row],[FechaIngreso]]+TablaDatos[[#This Row],[DiasNuevo]]</f>
        <v>45574</v>
      </c>
    </row>
    <row r="2046" spans="1:15">
      <c r="A2046">
        <v>2045</v>
      </c>
      <c r="B2046" t="s">
        <v>327</v>
      </c>
      <c r="C2046" s="1">
        <v>18629</v>
      </c>
      <c r="D2046">
        <v>75</v>
      </c>
      <c r="E2046" s="4" t="s">
        <v>12</v>
      </c>
      <c r="F2046" t="s">
        <v>21</v>
      </c>
      <c r="G2046" s="1">
        <v>44975</v>
      </c>
      <c r="H2046" s="1">
        <f>TablaDatos[[#This Row],[FechaIngreso]]+TablaDatos[[#This Row],[DiasNuevo]]</f>
        <v>44990</v>
      </c>
      <c r="I2046">
        <v>15</v>
      </c>
      <c r="J2046" t="s">
        <v>23</v>
      </c>
      <c r="K2046" s="3">
        <v>8450.2900000000009</v>
      </c>
      <c r="L2046" t="b">
        <f>TablaDatos[[#This Row],[FechaAlta]] &lt; TablaDatos[[#This Row],[FechaIngreso]]</f>
        <v>0</v>
      </c>
      <c r="M2046">
        <f>_xlfn.XLOOKUP(TablaDatos[[#This Row],[PacienteID]],'Datos_Ejemplo.csv'!A:A,'Datos_Ejemplo.csv'!I:I)</f>
        <v>15</v>
      </c>
      <c r="N2046">
        <f>ABS(TablaDatos[[#This Row],[DiasOriginal]])</f>
        <v>15</v>
      </c>
      <c r="O2046" s="1">
        <f>TablaDatos[[#This Row],[FechaIngreso]]+TablaDatos[[#This Row],[DiasNuevo]]</f>
        <v>44990</v>
      </c>
    </row>
    <row r="2047" spans="1:15">
      <c r="A2047">
        <v>2046</v>
      </c>
      <c r="B2047" t="s">
        <v>298</v>
      </c>
      <c r="C2047" s="1">
        <v>25934</v>
      </c>
      <c r="D2047">
        <v>55</v>
      </c>
      <c r="E2047" s="4" t="s">
        <v>15</v>
      </c>
      <c r="F2047" t="s">
        <v>295</v>
      </c>
      <c r="G2047" s="1">
        <v>45020</v>
      </c>
      <c r="H2047" s="1">
        <f>TablaDatos[[#This Row],[FechaIngreso]]+TablaDatos[[#This Row],[DiasNuevo]]</f>
        <v>45050</v>
      </c>
      <c r="I2047">
        <v>30</v>
      </c>
      <c r="J2047" t="s">
        <v>19</v>
      </c>
      <c r="K2047" s="3">
        <v>3745.73</v>
      </c>
      <c r="L2047" t="b">
        <f>TablaDatos[[#This Row],[FechaAlta]] &lt; TablaDatos[[#This Row],[FechaIngreso]]</f>
        <v>0</v>
      </c>
      <c r="M2047">
        <f>_xlfn.XLOOKUP(TablaDatos[[#This Row],[PacienteID]],'Datos_Ejemplo.csv'!A:A,'Datos_Ejemplo.csv'!I:I)</f>
        <v>30</v>
      </c>
      <c r="N2047">
        <f>ABS(TablaDatos[[#This Row],[DiasOriginal]])</f>
        <v>30</v>
      </c>
      <c r="O2047" s="1">
        <f>TablaDatos[[#This Row],[FechaIngreso]]+TablaDatos[[#This Row],[DiasNuevo]]</f>
        <v>45050</v>
      </c>
    </row>
    <row r="2048" spans="1:15">
      <c r="A2048">
        <v>2047</v>
      </c>
      <c r="B2048" t="s">
        <v>262</v>
      </c>
      <c r="C2048" s="1">
        <v>33239</v>
      </c>
      <c r="D2048">
        <v>35</v>
      </c>
      <c r="E2048" s="4" t="s">
        <v>15</v>
      </c>
      <c r="F2048" t="s">
        <v>32</v>
      </c>
      <c r="G2048" s="1">
        <v>45533</v>
      </c>
      <c r="H2048" s="1">
        <f>TablaDatos[[#This Row],[FechaIngreso]]+TablaDatos[[#This Row],[DiasNuevo]]</f>
        <v>45571</v>
      </c>
      <c r="I2048">
        <v>38</v>
      </c>
      <c r="J2048" t="s">
        <v>25</v>
      </c>
      <c r="K2048" s="3">
        <v>1511.56</v>
      </c>
      <c r="L2048" t="b">
        <f>TablaDatos[[#This Row],[FechaAlta]] &lt; TablaDatos[[#This Row],[FechaIngreso]]</f>
        <v>0</v>
      </c>
      <c r="M2048">
        <f>_xlfn.XLOOKUP(TablaDatos[[#This Row],[PacienteID]],'Datos_Ejemplo.csv'!A:A,'Datos_Ejemplo.csv'!I:I)</f>
        <v>38</v>
      </c>
      <c r="N2048">
        <f>ABS(TablaDatos[[#This Row],[DiasOriginal]])</f>
        <v>38</v>
      </c>
      <c r="O2048" s="1">
        <f>TablaDatos[[#This Row],[FechaIngreso]]+TablaDatos[[#This Row],[DiasNuevo]]</f>
        <v>45571</v>
      </c>
    </row>
    <row r="2049" spans="1:15">
      <c r="A2049">
        <v>2048</v>
      </c>
      <c r="B2049" t="s">
        <v>286</v>
      </c>
      <c r="C2049" s="1">
        <v>29951</v>
      </c>
      <c r="D2049">
        <v>44</v>
      </c>
      <c r="E2049" s="4" t="s">
        <v>15</v>
      </c>
      <c r="F2049" t="s">
        <v>21</v>
      </c>
      <c r="G2049" s="1">
        <v>45583</v>
      </c>
      <c r="H2049" s="1">
        <f>TablaDatos[[#This Row],[FechaIngreso]]+TablaDatos[[#This Row],[DiasNuevo]]</f>
        <v>45619</v>
      </c>
      <c r="I2049">
        <v>36</v>
      </c>
      <c r="J2049" t="s">
        <v>23</v>
      </c>
      <c r="K2049" s="3">
        <v>13411.03</v>
      </c>
      <c r="L2049" t="b">
        <f>TablaDatos[[#This Row],[FechaAlta]] &lt; TablaDatos[[#This Row],[FechaIngreso]]</f>
        <v>0</v>
      </c>
      <c r="M2049">
        <f>_xlfn.XLOOKUP(TablaDatos[[#This Row],[PacienteID]],'Datos_Ejemplo.csv'!A:A,'Datos_Ejemplo.csv'!I:I)</f>
        <v>36</v>
      </c>
      <c r="N2049">
        <f>ABS(TablaDatos[[#This Row],[DiasOriginal]])</f>
        <v>36</v>
      </c>
      <c r="O2049" s="1">
        <f>TablaDatos[[#This Row],[FechaIngreso]]+TablaDatos[[#This Row],[DiasNuevo]]</f>
        <v>45619</v>
      </c>
    </row>
    <row r="2050" spans="1:15">
      <c r="A2050">
        <v>2049</v>
      </c>
      <c r="B2050" t="s">
        <v>290</v>
      </c>
      <c r="C2050" s="1">
        <v>37987</v>
      </c>
      <c r="D2050">
        <v>22</v>
      </c>
      <c r="E2050" s="4" t="s">
        <v>15</v>
      </c>
      <c r="F2050" t="s">
        <v>295</v>
      </c>
      <c r="G2050" s="1">
        <v>45510</v>
      </c>
      <c r="H2050" s="1">
        <f>TablaDatos[[#This Row],[FechaIngreso]]+TablaDatos[[#This Row],[DiasNuevo]]</f>
        <v>45521</v>
      </c>
      <c r="I2050">
        <v>11</v>
      </c>
      <c r="J2050" t="s">
        <v>23</v>
      </c>
      <c r="K2050" s="3">
        <v>6270.81</v>
      </c>
      <c r="L2050" t="b">
        <f>TablaDatos[[#This Row],[FechaAlta]] &lt; TablaDatos[[#This Row],[FechaIngreso]]</f>
        <v>0</v>
      </c>
      <c r="M2050">
        <f>_xlfn.XLOOKUP(TablaDatos[[#This Row],[PacienteID]],'Datos_Ejemplo.csv'!A:A,'Datos_Ejemplo.csv'!I:I)</f>
        <v>11</v>
      </c>
      <c r="N2050">
        <f>ABS(TablaDatos[[#This Row],[DiasOriginal]])</f>
        <v>11</v>
      </c>
      <c r="O2050" s="1">
        <f>TablaDatos[[#This Row],[FechaIngreso]]+TablaDatos[[#This Row],[DiasNuevo]]</f>
        <v>45521</v>
      </c>
    </row>
    <row r="2051" spans="1:15">
      <c r="A2051">
        <v>2050</v>
      </c>
      <c r="B2051" t="s">
        <v>361</v>
      </c>
      <c r="C2051" s="1">
        <v>29221</v>
      </c>
      <c r="D2051">
        <v>46</v>
      </c>
      <c r="E2051" s="4" t="s">
        <v>15</v>
      </c>
      <c r="F2051" t="s">
        <v>13</v>
      </c>
      <c r="G2051" s="1">
        <v>45377</v>
      </c>
      <c r="H2051" s="1">
        <f>TablaDatos[[#This Row],[FechaIngreso]]+TablaDatos[[#This Row],[DiasNuevo]]</f>
        <v>45379</v>
      </c>
      <c r="I2051">
        <v>2</v>
      </c>
      <c r="J2051" t="s">
        <v>19</v>
      </c>
      <c r="K2051" s="3">
        <v>4512.5200000000004</v>
      </c>
      <c r="L2051" t="b">
        <f>TablaDatos[[#This Row],[FechaAlta]] &lt; TablaDatos[[#This Row],[FechaIngreso]]</f>
        <v>0</v>
      </c>
      <c r="M2051">
        <f>_xlfn.XLOOKUP(TablaDatos[[#This Row],[PacienteID]],'Datos_Ejemplo.csv'!A:A,'Datos_Ejemplo.csv'!I:I)</f>
        <v>-2</v>
      </c>
      <c r="N2051">
        <f>ABS(TablaDatos[[#This Row],[DiasOriginal]])</f>
        <v>2</v>
      </c>
      <c r="O2051" s="1">
        <f>TablaDatos[[#This Row],[FechaIngreso]]+TablaDatos[[#This Row],[DiasNuevo]]</f>
        <v>45379</v>
      </c>
    </row>
    <row r="2052" spans="1:15">
      <c r="A2052">
        <v>2051</v>
      </c>
      <c r="B2052" t="s">
        <v>49</v>
      </c>
      <c r="C2052" s="1">
        <v>35065</v>
      </c>
      <c r="D2052">
        <v>30</v>
      </c>
      <c r="E2052" s="4" t="s">
        <v>12</v>
      </c>
      <c r="F2052" t="s">
        <v>261</v>
      </c>
      <c r="G2052" s="1">
        <v>45305</v>
      </c>
      <c r="H2052" s="1">
        <f>TablaDatos[[#This Row],[FechaIngreso]]+TablaDatos[[#This Row],[DiasNuevo]]</f>
        <v>45315</v>
      </c>
      <c r="I2052">
        <v>10</v>
      </c>
      <c r="J2052" t="s">
        <v>23</v>
      </c>
      <c r="K2052" s="3">
        <v>7537.08</v>
      </c>
      <c r="L2052" t="b">
        <f>TablaDatos[[#This Row],[FechaAlta]] &lt; TablaDatos[[#This Row],[FechaIngreso]]</f>
        <v>0</v>
      </c>
      <c r="M2052">
        <f>_xlfn.XLOOKUP(TablaDatos[[#This Row],[PacienteID]],'Datos_Ejemplo.csv'!A:A,'Datos_Ejemplo.csv'!I:I)</f>
        <v>10</v>
      </c>
      <c r="N2052">
        <f>ABS(TablaDatos[[#This Row],[DiasOriginal]])</f>
        <v>10</v>
      </c>
      <c r="O2052" s="1">
        <f>TablaDatos[[#This Row],[FechaIngreso]]+TablaDatos[[#This Row],[DiasNuevo]]</f>
        <v>45315</v>
      </c>
    </row>
    <row r="2053" spans="1:15">
      <c r="A2053">
        <v>2052</v>
      </c>
      <c r="B2053" t="s">
        <v>273</v>
      </c>
      <c r="C2053" s="1">
        <v>42370</v>
      </c>
      <c r="D2053">
        <v>10</v>
      </c>
      <c r="E2053" s="4" t="s">
        <v>12</v>
      </c>
      <c r="F2053" t="s">
        <v>201</v>
      </c>
      <c r="G2053" s="1">
        <v>44936</v>
      </c>
      <c r="H2053" s="1">
        <f>TablaDatos[[#This Row],[FechaIngreso]]+TablaDatos[[#This Row],[DiasNuevo]]</f>
        <v>44948</v>
      </c>
      <c r="I2053">
        <v>12</v>
      </c>
      <c r="J2053" t="s">
        <v>19</v>
      </c>
      <c r="K2053" s="3">
        <v>11817.75</v>
      </c>
      <c r="L2053" t="b">
        <f>TablaDatos[[#This Row],[FechaAlta]] &lt; TablaDatos[[#This Row],[FechaIngreso]]</f>
        <v>0</v>
      </c>
      <c r="M2053">
        <f>_xlfn.XLOOKUP(TablaDatos[[#This Row],[PacienteID]],'Datos_Ejemplo.csv'!A:A,'Datos_Ejemplo.csv'!I:I)</f>
        <v>12</v>
      </c>
      <c r="N2053">
        <f>ABS(TablaDatos[[#This Row],[DiasOriginal]])</f>
        <v>12</v>
      </c>
      <c r="O2053" s="1">
        <f>TablaDatos[[#This Row],[FechaIngreso]]+TablaDatos[[#This Row],[DiasNuevo]]</f>
        <v>44948</v>
      </c>
    </row>
    <row r="2054" spans="1:15">
      <c r="A2054">
        <v>2053</v>
      </c>
      <c r="B2054" t="s">
        <v>262</v>
      </c>
      <c r="C2054" s="1">
        <v>42735</v>
      </c>
      <c r="D2054">
        <v>9</v>
      </c>
      <c r="E2054" s="4" t="s">
        <v>15</v>
      </c>
      <c r="F2054" t="s">
        <v>295</v>
      </c>
      <c r="G2054" s="1">
        <v>45600</v>
      </c>
      <c r="H2054" s="1">
        <f>TablaDatos[[#This Row],[FechaIngreso]]+TablaDatos[[#This Row],[DiasNuevo]]</f>
        <v>45634</v>
      </c>
      <c r="I2054">
        <v>34</v>
      </c>
      <c r="J2054" t="s">
        <v>23</v>
      </c>
      <c r="K2054" s="3">
        <v>13401.27</v>
      </c>
      <c r="L2054" t="b">
        <f>TablaDatos[[#This Row],[FechaAlta]] &lt; TablaDatos[[#This Row],[FechaIngreso]]</f>
        <v>0</v>
      </c>
      <c r="M2054">
        <f>_xlfn.XLOOKUP(TablaDatos[[#This Row],[PacienteID]],'Datos_Ejemplo.csv'!A:A,'Datos_Ejemplo.csv'!I:I)</f>
        <v>34</v>
      </c>
      <c r="N2054">
        <f>ABS(TablaDatos[[#This Row],[DiasOriginal]])</f>
        <v>34</v>
      </c>
      <c r="O2054" s="1">
        <f>TablaDatos[[#This Row],[FechaIngreso]]+TablaDatos[[#This Row],[DiasNuevo]]</f>
        <v>45634</v>
      </c>
    </row>
    <row r="2055" spans="1:15">
      <c r="A2055">
        <v>2054</v>
      </c>
      <c r="B2055" t="s">
        <v>164</v>
      </c>
      <c r="C2055" s="1">
        <v>21916</v>
      </c>
      <c r="D2055">
        <v>66</v>
      </c>
      <c r="E2055" s="4" t="s">
        <v>12</v>
      </c>
      <c r="F2055" t="s">
        <v>32</v>
      </c>
      <c r="G2055" s="1">
        <v>45652</v>
      </c>
      <c r="H2055" s="1">
        <f>TablaDatos[[#This Row],[FechaIngreso]]+TablaDatos[[#This Row],[DiasNuevo]]</f>
        <v>45654</v>
      </c>
      <c r="I2055">
        <v>2</v>
      </c>
      <c r="J2055" t="s">
        <v>23</v>
      </c>
      <c r="K2055" s="3">
        <v>12867.92</v>
      </c>
      <c r="L2055" t="b">
        <f>TablaDatos[[#This Row],[FechaAlta]] &lt; TablaDatos[[#This Row],[FechaIngreso]]</f>
        <v>0</v>
      </c>
      <c r="M2055">
        <f>_xlfn.XLOOKUP(TablaDatos[[#This Row],[PacienteID]],'Datos_Ejemplo.csv'!A:A,'Datos_Ejemplo.csv'!I:I)</f>
        <v>2</v>
      </c>
      <c r="N2055">
        <f>ABS(TablaDatos[[#This Row],[DiasOriginal]])</f>
        <v>2</v>
      </c>
      <c r="O2055" s="1">
        <f>TablaDatos[[#This Row],[FechaIngreso]]+TablaDatos[[#This Row],[DiasNuevo]]</f>
        <v>45654</v>
      </c>
    </row>
    <row r="2056" spans="1:15">
      <c r="A2056">
        <v>2055</v>
      </c>
      <c r="B2056" t="s">
        <v>239</v>
      </c>
      <c r="C2056" s="1">
        <v>41274</v>
      </c>
      <c r="D2056">
        <f ca="1">DATEDIF(TablaDatos[[#This Row],[FechaNacimiento]],TODAY(),"Y")</f>
        <v>13</v>
      </c>
      <c r="E2056" s="4" t="s">
        <v>12</v>
      </c>
      <c r="F2056" t="s">
        <v>18</v>
      </c>
      <c r="G2056" s="1">
        <v>45442</v>
      </c>
      <c r="H2056" s="1">
        <f>TablaDatos[[#This Row],[FechaIngreso]]+TablaDatos[[#This Row],[DiasNuevo]]</f>
        <v>45453</v>
      </c>
      <c r="I2056">
        <v>11</v>
      </c>
      <c r="J2056" t="s">
        <v>23</v>
      </c>
      <c r="K2056" s="3">
        <v>17251.64</v>
      </c>
      <c r="L2056" t="b">
        <f>TablaDatos[[#This Row],[FechaAlta]] &lt; TablaDatos[[#This Row],[FechaIngreso]]</f>
        <v>0</v>
      </c>
      <c r="M2056">
        <f>_xlfn.XLOOKUP(TablaDatos[[#This Row],[PacienteID]],'Datos_Ejemplo.csv'!A:A,'Datos_Ejemplo.csv'!I:I)</f>
        <v>11</v>
      </c>
      <c r="N2056">
        <f>ABS(TablaDatos[[#This Row],[DiasOriginal]])</f>
        <v>11</v>
      </c>
      <c r="O2056" s="1">
        <f>TablaDatos[[#This Row],[FechaIngreso]]+TablaDatos[[#This Row],[DiasNuevo]]</f>
        <v>45453</v>
      </c>
    </row>
    <row r="2057" spans="1:15">
      <c r="A2057">
        <v>2056</v>
      </c>
      <c r="B2057" t="s">
        <v>162</v>
      </c>
      <c r="C2057" s="1">
        <v>17168</v>
      </c>
      <c r="D2057">
        <v>79</v>
      </c>
      <c r="E2057" s="4" t="s">
        <v>197</v>
      </c>
      <c r="F2057" t="s">
        <v>295</v>
      </c>
      <c r="G2057" s="1">
        <v>45150</v>
      </c>
      <c r="H2057" s="1">
        <f>TablaDatos[[#This Row],[FechaIngreso]]+TablaDatos[[#This Row],[DiasNuevo]]</f>
        <v>45161</v>
      </c>
      <c r="I2057">
        <v>11</v>
      </c>
      <c r="J2057" t="s">
        <v>23</v>
      </c>
      <c r="K2057" s="3">
        <v>4297.0200000000004</v>
      </c>
      <c r="L2057" t="b">
        <f>TablaDatos[[#This Row],[FechaAlta]] &lt; TablaDatos[[#This Row],[FechaIngreso]]</f>
        <v>0</v>
      </c>
      <c r="M2057">
        <f>_xlfn.XLOOKUP(TablaDatos[[#This Row],[PacienteID]],'Datos_Ejemplo.csv'!A:A,'Datos_Ejemplo.csv'!I:I)</f>
        <v>11</v>
      </c>
      <c r="N2057">
        <f>ABS(TablaDatos[[#This Row],[DiasOriginal]])</f>
        <v>11</v>
      </c>
      <c r="O2057" s="1">
        <f>TablaDatos[[#This Row],[FechaIngreso]]+TablaDatos[[#This Row],[DiasNuevo]]</f>
        <v>45161</v>
      </c>
    </row>
    <row r="2058" spans="1:15">
      <c r="A2058">
        <v>2057</v>
      </c>
      <c r="B2058" t="s">
        <v>230</v>
      </c>
      <c r="C2058" s="1">
        <v>19359</v>
      </c>
      <c r="D2058">
        <v>73</v>
      </c>
      <c r="E2058" s="4" t="s">
        <v>12</v>
      </c>
      <c r="F2058" t="s">
        <v>18</v>
      </c>
      <c r="G2058" s="1">
        <v>45307</v>
      </c>
      <c r="H2058" s="1">
        <f>TablaDatos[[#This Row],[FechaIngreso]]+TablaDatos[[#This Row],[DiasNuevo]]</f>
        <v>45309</v>
      </c>
      <c r="I2058">
        <v>2</v>
      </c>
      <c r="J2058" t="s">
        <v>23</v>
      </c>
      <c r="K2058" s="3">
        <v>12698.6</v>
      </c>
      <c r="L2058" t="b">
        <f>TablaDatos[[#This Row],[FechaAlta]] &lt; TablaDatos[[#This Row],[FechaIngreso]]</f>
        <v>0</v>
      </c>
      <c r="M2058">
        <f>_xlfn.XLOOKUP(TablaDatos[[#This Row],[PacienteID]],'Datos_Ejemplo.csv'!A:A,'Datos_Ejemplo.csv'!I:I)</f>
        <v>2</v>
      </c>
      <c r="N2058">
        <f>ABS(TablaDatos[[#This Row],[DiasOriginal]])</f>
        <v>2</v>
      </c>
      <c r="O2058" s="1">
        <f>TablaDatos[[#This Row],[FechaIngreso]]+TablaDatos[[#This Row],[DiasNuevo]]</f>
        <v>45309</v>
      </c>
    </row>
    <row r="2059" spans="1:15">
      <c r="A2059">
        <v>2058</v>
      </c>
      <c r="B2059" t="s">
        <v>116</v>
      </c>
      <c r="C2059" s="1">
        <v>12419</v>
      </c>
      <c r="D2059">
        <v>92</v>
      </c>
      <c r="E2059" s="4" t="s">
        <v>15</v>
      </c>
      <c r="F2059" t="s">
        <v>18</v>
      </c>
      <c r="G2059" s="1">
        <v>45467</v>
      </c>
      <c r="H2059" s="1">
        <f>TablaDatos[[#This Row],[FechaIngreso]]+TablaDatos[[#This Row],[DiasNuevo]]</f>
        <v>45475</v>
      </c>
      <c r="I2059">
        <v>8</v>
      </c>
      <c r="J2059" t="s">
        <v>23</v>
      </c>
      <c r="K2059" s="3">
        <v>1932.4</v>
      </c>
      <c r="L2059" t="b">
        <f>TablaDatos[[#This Row],[FechaAlta]] &lt; TablaDatos[[#This Row],[FechaIngreso]]</f>
        <v>0</v>
      </c>
      <c r="M2059">
        <f>_xlfn.XLOOKUP(TablaDatos[[#This Row],[PacienteID]],'Datos_Ejemplo.csv'!A:A,'Datos_Ejemplo.csv'!I:I)</f>
        <v>8</v>
      </c>
      <c r="N2059">
        <f>ABS(TablaDatos[[#This Row],[DiasOriginal]])</f>
        <v>8</v>
      </c>
      <c r="O2059" s="1">
        <f>TablaDatos[[#This Row],[FechaIngreso]]+TablaDatos[[#This Row],[DiasNuevo]]</f>
        <v>45475</v>
      </c>
    </row>
    <row r="2060" spans="1:15">
      <c r="A2060">
        <v>2059</v>
      </c>
      <c r="B2060" t="s">
        <v>325</v>
      </c>
      <c r="C2060" s="1">
        <v>42735</v>
      </c>
      <c r="D2060">
        <v>9</v>
      </c>
      <c r="E2060" s="4" t="s">
        <v>15</v>
      </c>
      <c r="F2060" t="s">
        <v>295</v>
      </c>
      <c r="G2060" s="1">
        <v>45228</v>
      </c>
      <c r="H2060" s="1">
        <f>TablaDatos[[#This Row],[FechaIngreso]]+TablaDatos[[#This Row],[DiasNuevo]]</f>
        <v>45257</v>
      </c>
      <c r="I2060">
        <v>29</v>
      </c>
      <c r="J2060" t="s">
        <v>23</v>
      </c>
      <c r="K2060" s="3">
        <v>10913.49</v>
      </c>
      <c r="L2060" t="b">
        <f>TablaDatos[[#This Row],[FechaAlta]] &lt; TablaDatos[[#This Row],[FechaIngreso]]</f>
        <v>0</v>
      </c>
      <c r="M2060">
        <f>_xlfn.XLOOKUP(TablaDatos[[#This Row],[PacienteID]],'Datos_Ejemplo.csv'!A:A,'Datos_Ejemplo.csv'!I:I)</f>
        <v>29</v>
      </c>
      <c r="N2060">
        <f>ABS(TablaDatos[[#This Row],[DiasOriginal]])</f>
        <v>29</v>
      </c>
      <c r="O2060" s="1">
        <f>TablaDatos[[#This Row],[FechaIngreso]]+TablaDatos[[#This Row],[DiasNuevo]]</f>
        <v>45257</v>
      </c>
    </row>
    <row r="2061" spans="1:15">
      <c r="A2061">
        <v>2060</v>
      </c>
      <c r="B2061" t="s">
        <v>67</v>
      </c>
      <c r="C2061" s="1">
        <v>18629</v>
      </c>
      <c r="D2061">
        <v>75</v>
      </c>
      <c r="E2061" s="4" t="s">
        <v>12</v>
      </c>
      <c r="F2061" t="s">
        <v>201</v>
      </c>
      <c r="G2061" s="1">
        <v>45129</v>
      </c>
      <c r="H2061" s="1">
        <f>TablaDatos[[#This Row],[FechaIngreso]]+TablaDatos[[#This Row],[DiasNuevo]]</f>
        <v>45131</v>
      </c>
      <c r="I2061">
        <v>2</v>
      </c>
      <c r="J2061" t="s">
        <v>23</v>
      </c>
      <c r="K2061" s="3">
        <v>11637.56</v>
      </c>
      <c r="L2061" t="b">
        <f>TablaDatos[[#This Row],[FechaAlta]] &lt; TablaDatos[[#This Row],[FechaIngreso]]</f>
        <v>0</v>
      </c>
      <c r="M2061">
        <f>_xlfn.XLOOKUP(TablaDatos[[#This Row],[PacienteID]],'Datos_Ejemplo.csv'!A:A,'Datos_Ejemplo.csv'!I:I)</f>
        <v>2</v>
      </c>
      <c r="N2061">
        <f>ABS(TablaDatos[[#This Row],[DiasOriginal]])</f>
        <v>2</v>
      </c>
      <c r="O2061" s="1">
        <f>TablaDatos[[#This Row],[FechaIngreso]]+TablaDatos[[#This Row],[DiasNuevo]]</f>
        <v>45131</v>
      </c>
    </row>
    <row r="2062" spans="1:15">
      <c r="A2062">
        <v>2061</v>
      </c>
      <c r="B2062" t="s">
        <v>359</v>
      </c>
      <c r="C2062" s="1">
        <v>12054</v>
      </c>
      <c r="D2062">
        <v>93</v>
      </c>
      <c r="E2062" s="4" t="s">
        <v>15</v>
      </c>
      <c r="F2062" t="s">
        <v>201</v>
      </c>
      <c r="G2062" s="1">
        <v>45515</v>
      </c>
      <c r="H2062" s="1">
        <f>TablaDatos[[#This Row],[FechaIngreso]]+TablaDatos[[#This Row],[DiasNuevo]]</f>
        <v>45548</v>
      </c>
      <c r="I2062">
        <v>33</v>
      </c>
      <c r="J2062" t="s">
        <v>23</v>
      </c>
      <c r="K2062" s="3">
        <v>4246.37</v>
      </c>
      <c r="L2062" t="b">
        <f>TablaDatos[[#This Row],[FechaAlta]] &lt; TablaDatos[[#This Row],[FechaIngreso]]</f>
        <v>0</v>
      </c>
      <c r="M2062">
        <f>_xlfn.XLOOKUP(TablaDatos[[#This Row],[PacienteID]],'Datos_Ejemplo.csv'!A:A,'Datos_Ejemplo.csv'!I:I)</f>
        <v>33</v>
      </c>
      <c r="N2062">
        <f>ABS(TablaDatos[[#This Row],[DiasOriginal]])</f>
        <v>33</v>
      </c>
      <c r="O2062" s="1">
        <f>TablaDatos[[#This Row],[FechaIngreso]]+TablaDatos[[#This Row],[DiasNuevo]]</f>
        <v>45548</v>
      </c>
    </row>
    <row r="2063" spans="1:15">
      <c r="A2063">
        <v>2062</v>
      </c>
      <c r="B2063" t="s">
        <v>300</v>
      </c>
      <c r="C2063" s="1">
        <v>46022</v>
      </c>
      <c r="D2063">
        <v>0</v>
      </c>
      <c r="E2063" s="4" t="s">
        <v>15</v>
      </c>
      <c r="F2063" t="s">
        <v>13</v>
      </c>
      <c r="G2063" s="1">
        <v>45497</v>
      </c>
      <c r="H2063" s="1">
        <f>TablaDatos[[#This Row],[FechaIngreso]]+TablaDatos[[#This Row],[DiasNuevo]]</f>
        <v>45509</v>
      </c>
      <c r="I2063">
        <v>12</v>
      </c>
      <c r="J2063" t="s">
        <v>23</v>
      </c>
      <c r="K2063" s="3">
        <v>7773.03</v>
      </c>
      <c r="L2063" t="b">
        <f>TablaDatos[[#This Row],[FechaAlta]] &lt; TablaDatos[[#This Row],[FechaIngreso]]</f>
        <v>0</v>
      </c>
      <c r="M2063">
        <f>_xlfn.XLOOKUP(TablaDatos[[#This Row],[PacienteID]],'Datos_Ejemplo.csv'!A:A,'Datos_Ejemplo.csv'!I:I)</f>
        <v>12</v>
      </c>
      <c r="N2063">
        <f>ABS(TablaDatos[[#This Row],[DiasOriginal]])</f>
        <v>12</v>
      </c>
      <c r="O2063" s="1">
        <f>TablaDatos[[#This Row],[FechaIngreso]]+TablaDatos[[#This Row],[DiasNuevo]]</f>
        <v>45509</v>
      </c>
    </row>
    <row r="2064" spans="1:15">
      <c r="A2064">
        <v>2063</v>
      </c>
      <c r="B2064" t="s">
        <v>105</v>
      </c>
      <c r="C2064" s="1">
        <v>44561</v>
      </c>
      <c r="D2064">
        <v>4</v>
      </c>
      <c r="E2064" s="4" t="s">
        <v>15</v>
      </c>
      <c r="F2064" t="s">
        <v>201</v>
      </c>
      <c r="G2064" s="1">
        <v>45122</v>
      </c>
      <c r="H2064" s="1">
        <f>TablaDatos[[#This Row],[FechaIngreso]]+TablaDatos[[#This Row],[DiasNuevo]]</f>
        <v>45126</v>
      </c>
      <c r="I2064">
        <v>4</v>
      </c>
      <c r="J2064" t="s">
        <v>23</v>
      </c>
      <c r="K2064" s="3">
        <v>16526.580000000002</v>
      </c>
      <c r="L2064" t="b">
        <f>TablaDatos[[#This Row],[FechaAlta]] &lt; TablaDatos[[#This Row],[FechaIngreso]]</f>
        <v>0</v>
      </c>
      <c r="M2064">
        <f>_xlfn.XLOOKUP(TablaDatos[[#This Row],[PacienteID]],'Datos_Ejemplo.csv'!A:A,'Datos_Ejemplo.csv'!I:I)</f>
        <v>4</v>
      </c>
      <c r="N2064">
        <f>ABS(TablaDatos[[#This Row],[DiasOriginal]])</f>
        <v>4</v>
      </c>
      <c r="O2064" s="1">
        <f>TablaDatos[[#This Row],[FechaIngreso]]+TablaDatos[[#This Row],[DiasNuevo]]</f>
        <v>45126</v>
      </c>
    </row>
    <row r="2065" spans="1:15">
      <c r="A2065">
        <v>2064</v>
      </c>
      <c r="B2065" t="s">
        <v>347</v>
      </c>
      <c r="C2065" s="1">
        <v>39083</v>
      </c>
      <c r="D2065">
        <v>19</v>
      </c>
      <c r="E2065" s="4" t="s">
        <v>15</v>
      </c>
      <c r="F2065" t="s">
        <v>295</v>
      </c>
      <c r="G2065" s="1">
        <v>45248</v>
      </c>
      <c r="H2065" s="1">
        <f>TablaDatos[[#This Row],[FechaIngreso]]+TablaDatos[[#This Row],[DiasNuevo]]</f>
        <v>45250</v>
      </c>
      <c r="I2065">
        <v>2</v>
      </c>
      <c r="J2065" t="s">
        <v>23</v>
      </c>
      <c r="K2065" s="3">
        <v>2883.02</v>
      </c>
      <c r="L2065" t="b">
        <f>TablaDatos[[#This Row],[FechaAlta]] &lt; TablaDatos[[#This Row],[FechaIngreso]]</f>
        <v>0</v>
      </c>
      <c r="M2065">
        <f>_xlfn.XLOOKUP(TablaDatos[[#This Row],[PacienteID]],'Datos_Ejemplo.csv'!A:A,'Datos_Ejemplo.csv'!I:I)</f>
        <v>2</v>
      </c>
      <c r="N2065">
        <f>ABS(TablaDatos[[#This Row],[DiasOriginal]])</f>
        <v>2</v>
      </c>
      <c r="O2065" s="1">
        <f>TablaDatos[[#This Row],[FechaIngreso]]+TablaDatos[[#This Row],[DiasNuevo]]</f>
        <v>45250</v>
      </c>
    </row>
    <row r="2066" spans="1:15">
      <c r="A2066">
        <v>2065</v>
      </c>
      <c r="B2066" t="s">
        <v>297</v>
      </c>
      <c r="C2066" s="1">
        <v>43466</v>
      </c>
      <c r="D2066">
        <v>7</v>
      </c>
      <c r="E2066" s="4" t="s">
        <v>15</v>
      </c>
      <c r="F2066" t="s">
        <v>201</v>
      </c>
      <c r="G2066" s="1">
        <v>45344</v>
      </c>
      <c r="H2066" s="1">
        <f>TablaDatos[[#This Row],[FechaIngreso]]+TablaDatos[[#This Row],[DiasNuevo]]</f>
        <v>45371</v>
      </c>
      <c r="I2066">
        <v>27</v>
      </c>
      <c r="J2066" t="s">
        <v>19</v>
      </c>
      <c r="K2066" s="3">
        <v>8633.57</v>
      </c>
      <c r="L2066" t="b">
        <f>TablaDatos[[#This Row],[FechaAlta]] &lt; TablaDatos[[#This Row],[FechaIngreso]]</f>
        <v>0</v>
      </c>
      <c r="M2066">
        <f>_xlfn.XLOOKUP(TablaDatos[[#This Row],[PacienteID]],'Datos_Ejemplo.csv'!A:A,'Datos_Ejemplo.csv'!I:I)</f>
        <v>27</v>
      </c>
      <c r="N2066">
        <f>ABS(TablaDatos[[#This Row],[DiasOriginal]])</f>
        <v>27</v>
      </c>
      <c r="O2066" s="1">
        <f>TablaDatos[[#This Row],[FechaIngreso]]+TablaDatos[[#This Row],[DiasNuevo]]</f>
        <v>45371</v>
      </c>
    </row>
    <row r="2067" spans="1:15">
      <c r="A2067">
        <v>2066</v>
      </c>
      <c r="B2067" t="s">
        <v>249</v>
      </c>
      <c r="C2067" s="1">
        <v>30682</v>
      </c>
      <c r="D2067">
        <v>42</v>
      </c>
      <c r="E2067" s="4" t="s">
        <v>12</v>
      </c>
      <c r="F2067" t="s">
        <v>21</v>
      </c>
      <c r="G2067" s="1">
        <v>45545</v>
      </c>
      <c r="H2067" s="1">
        <f>TablaDatos[[#This Row],[FechaIngreso]]+TablaDatos[[#This Row],[DiasNuevo]]</f>
        <v>45557</v>
      </c>
      <c r="I2067">
        <v>12</v>
      </c>
      <c r="J2067" t="s">
        <v>23</v>
      </c>
      <c r="K2067" s="3">
        <v>18647.93</v>
      </c>
      <c r="L2067" t="b">
        <f>TablaDatos[[#This Row],[FechaAlta]] &lt; TablaDatos[[#This Row],[FechaIngreso]]</f>
        <v>0</v>
      </c>
      <c r="M2067">
        <f>_xlfn.XLOOKUP(TablaDatos[[#This Row],[PacienteID]],'Datos_Ejemplo.csv'!A:A,'Datos_Ejemplo.csv'!I:I)</f>
        <v>12</v>
      </c>
      <c r="N2067">
        <f>ABS(TablaDatos[[#This Row],[DiasOriginal]])</f>
        <v>12</v>
      </c>
      <c r="O2067" s="1">
        <f>TablaDatos[[#This Row],[FechaIngreso]]+TablaDatos[[#This Row],[DiasNuevo]]</f>
        <v>45557</v>
      </c>
    </row>
    <row r="2068" spans="1:15">
      <c r="A2068">
        <v>2067</v>
      </c>
      <c r="B2068" t="s">
        <v>272</v>
      </c>
      <c r="C2068" s="1">
        <v>18629</v>
      </c>
      <c r="D2068">
        <v>75</v>
      </c>
      <c r="E2068" s="4" t="s">
        <v>15</v>
      </c>
      <c r="F2068" t="s">
        <v>261</v>
      </c>
      <c r="G2068" s="1">
        <v>45268</v>
      </c>
      <c r="H2068" s="1">
        <f>TablaDatos[[#This Row],[FechaIngreso]]+TablaDatos[[#This Row],[DiasNuevo]]</f>
        <v>45295</v>
      </c>
      <c r="I2068">
        <v>27</v>
      </c>
      <c r="J2068" t="s">
        <v>23</v>
      </c>
      <c r="K2068" s="3">
        <v>10032.59</v>
      </c>
      <c r="L2068" t="b">
        <f>TablaDatos[[#This Row],[FechaAlta]] &lt; TablaDatos[[#This Row],[FechaIngreso]]</f>
        <v>0</v>
      </c>
      <c r="M2068">
        <f>_xlfn.XLOOKUP(TablaDatos[[#This Row],[PacienteID]],'Datos_Ejemplo.csv'!A:A,'Datos_Ejemplo.csv'!I:I)</f>
        <v>27</v>
      </c>
      <c r="N2068">
        <f>ABS(TablaDatos[[#This Row],[DiasOriginal]])</f>
        <v>27</v>
      </c>
      <c r="O2068" s="1">
        <f>TablaDatos[[#This Row],[FechaIngreso]]+TablaDatos[[#This Row],[DiasNuevo]]</f>
        <v>45295</v>
      </c>
    </row>
    <row r="2069" spans="1:15">
      <c r="A2069">
        <v>2068</v>
      </c>
      <c r="B2069" t="s">
        <v>351</v>
      </c>
      <c r="C2069" s="1">
        <v>46022</v>
      </c>
      <c r="D2069">
        <v>0</v>
      </c>
      <c r="E2069" s="4" t="s">
        <v>12</v>
      </c>
      <c r="F2069" t="s">
        <v>18</v>
      </c>
      <c r="G2069" s="1">
        <v>45315</v>
      </c>
      <c r="H2069" s="1">
        <f>TablaDatos[[#This Row],[FechaIngreso]]+TablaDatos[[#This Row],[DiasNuevo]]</f>
        <v>45326</v>
      </c>
      <c r="I2069">
        <v>11</v>
      </c>
      <c r="J2069" t="s">
        <v>19</v>
      </c>
      <c r="K2069" s="3">
        <v>14475.19</v>
      </c>
      <c r="L2069" t="b">
        <f>TablaDatos[[#This Row],[FechaAlta]] &lt; TablaDatos[[#This Row],[FechaIngreso]]</f>
        <v>0</v>
      </c>
      <c r="M2069">
        <f>_xlfn.XLOOKUP(TablaDatos[[#This Row],[PacienteID]],'Datos_Ejemplo.csv'!A:A,'Datos_Ejemplo.csv'!I:I)</f>
        <v>11</v>
      </c>
      <c r="N2069">
        <f>ABS(TablaDatos[[#This Row],[DiasOriginal]])</f>
        <v>11</v>
      </c>
      <c r="O2069" s="1">
        <f>TablaDatos[[#This Row],[FechaIngreso]]+TablaDatos[[#This Row],[DiasNuevo]]</f>
        <v>45326</v>
      </c>
    </row>
    <row r="2070" spans="1:15">
      <c r="A2070">
        <v>2069</v>
      </c>
      <c r="B2070" t="s">
        <v>277</v>
      </c>
      <c r="C2070" s="1">
        <v>25568</v>
      </c>
      <c r="D2070">
        <v>56</v>
      </c>
      <c r="E2070" s="4" t="s">
        <v>12</v>
      </c>
      <c r="F2070" t="s">
        <v>261</v>
      </c>
      <c r="G2070" s="1">
        <v>44935</v>
      </c>
      <c r="H2070" s="1">
        <f>TablaDatos[[#This Row],[FechaIngreso]]+TablaDatos[[#This Row],[DiasNuevo]]</f>
        <v>44956</v>
      </c>
      <c r="I2070">
        <v>21</v>
      </c>
      <c r="J2070" t="s">
        <v>25</v>
      </c>
      <c r="K2070" s="3">
        <v>16520.009999999998</v>
      </c>
      <c r="L2070" t="b">
        <f>TablaDatos[[#This Row],[FechaAlta]] &lt; TablaDatos[[#This Row],[FechaIngreso]]</f>
        <v>0</v>
      </c>
      <c r="M2070">
        <f>_xlfn.XLOOKUP(TablaDatos[[#This Row],[PacienteID]],'Datos_Ejemplo.csv'!A:A,'Datos_Ejemplo.csv'!I:I)</f>
        <v>21</v>
      </c>
      <c r="N2070">
        <f>ABS(TablaDatos[[#This Row],[DiasOriginal]])</f>
        <v>21</v>
      </c>
      <c r="O2070" s="1">
        <f>TablaDatos[[#This Row],[FechaIngreso]]+TablaDatos[[#This Row],[DiasNuevo]]</f>
        <v>44956</v>
      </c>
    </row>
    <row r="2071" spans="1:15">
      <c r="A2071">
        <v>2070</v>
      </c>
      <c r="B2071" t="s">
        <v>251</v>
      </c>
      <c r="C2071" s="1">
        <v>23012</v>
      </c>
      <c r="D2071">
        <f ca="1">DATEDIF(TablaDatos[[#This Row],[FechaNacimiento]],TODAY(),"Y")</f>
        <v>63</v>
      </c>
      <c r="E2071" s="4" t="s">
        <v>15</v>
      </c>
      <c r="F2071" t="s">
        <v>32</v>
      </c>
      <c r="G2071" s="1">
        <v>45458</v>
      </c>
      <c r="H2071" s="1">
        <f>TablaDatos[[#This Row],[FechaIngreso]]+TablaDatos[[#This Row],[DiasNuevo]]</f>
        <v>45479</v>
      </c>
      <c r="I2071">
        <v>21</v>
      </c>
      <c r="J2071" t="s">
        <v>23</v>
      </c>
      <c r="K2071" s="3">
        <v>3995.86</v>
      </c>
      <c r="L2071" t="b">
        <f>TablaDatos[[#This Row],[FechaAlta]] &lt; TablaDatos[[#This Row],[FechaIngreso]]</f>
        <v>0</v>
      </c>
      <c r="M2071">
        <f>_xlfn.XLOOKUP(TablaDatos[[#This Row],[PacienteID]],'Datos_Ejemplo.csv'!A:A,'Datos_Ejemplo.csv'!I:I)</f>
        <v>21</v>
      </c>
      <c r="N2071">
        <f>ABS(TablaDatos[[#This Row],[DiasOriginal]])</f>
        <v>21</v>
      </c>
      <c r="O2071" s="1">
        <f>TablaDatos[[#This Row],[FechaIngreso]]+TablaDatos[[#This Row],[DiasNuevo]]</f>
        <v>45479</v>
      </c>
    </row>
    <row r="2072" spans="1:15">
      <c r="A2072">
        <v>2071</v>
      </c>
      <c r="B2072" t="s">
        <v>362</v>
      </c>
      <c r="C2072" s="1">
        <v>15707</v>
      </c>
      <c r="D2072">
        <v>83</v>
      </c>
      <c r="E2072" s="4" t="s">
        <v>15</v>
      </c>
      <c r="F2072" t="s">
        <v>18</v>
      </c>
      <c r="G2072" s="1">
        <v>45075</v>
      </c>
      <c r="H2072" s="1">
        <f>TablaDatos[[#This Row],[FechaIngreso]]+TablaDatos[[#This Row],[DiasNuevo]]</f>
        <v>45107</v>
      </c>
      <c r="I2072">
        <v>32</v>
      </c>
      <c r="J2072" t="s">
        <v>25</v>
      </c>
      <c r="K2072" s="3">
        <v>4286.17</v>
      </c>
      <c r="L2072" t="b">
        <f>TablaDatos[[#This Row],[FechaAlta]] &lt; TablaDatos[[#This Row],[FechaIngreso]]</f>
        <v>0</v>
      </c>
      <c r="M2072">
        <f>_xlfn.XLOOKUP(TablaDatos[[#This Row],[PacienteID]],'Datos_Ejemplo.csv'!A:A,'Datos_Ejemplo.csv'!I:I)</f>
        <v>32</v>
      </c>
      <c r="N2072">
        <f>ABS(TablaDatos[[#This Row],[DiasOriginal]])</f>
        <v>32</v>
      </c>
      <c r="O2072" s="1">
        <f>TablaDatos[[#This Row],[FechaIngreso]]+TablaDatos[[#This Row],[DiasNuevo]]</f>
        <v>45107</v>
      </c>
    </row>
    <row r="2073" spans="1:15">
      <c r="A2073">
        <v>2072</v>
      </c>
      <c r="B2073" t="s">
        <v>291</v>
      </c>
      <c r="C2073" s="1">
        <v>36161</v>
      </c>
      <c r="D2073">
        <v>27</v>
      </c>
      <c r="E2073" s="4" t="s">
        <v>15</v>
      </c>
      <c r="F2073" t="s">
        <v>32</v>
      </c>
      <c r="G2073" s="1">
        <v>45309</v>
      </c>
      <c r="H2073" s="1">
        <f>TablaDatos[[#This Row],[FechaIngreso]]+TablaDatos[[#This Row],[DiasNuevo]]</f>
        <v>45311</v>
      </c>
      <c r="I2073">
        <v>2</v>
      </c>
      <c r="J2073" t="s">
        <v>19</v>
      </c>
      <c r="K2073" s="3">
        <v>15147.69</v>
      </c>
      <c r="L2073" t="b">
        <f>TablaDatos[[#This Row],[FechaAlta]] &lt; TablaDatos[[#This Row],[FechaIngreso]]</f>
        <v>0</v>
      </c>
      <c r="M2073">
        <f>_xlfn.XLOOKUP(TablaDatos[[#This Row],[PacienteID]],'Datos_Ejemplo.csv'!A:A,'Datos_Ejemplo.csv'!I:I)</f>
        <v>2</v>
      </c>
      <c r="N2073">
        <f>ABS(TablaDatos[[#This Row],[DiasOriginal]])</f>
        <v>2</v>
      </c>
      <c r="O2073" s="1">
        <f>TablaDatos[[#This Row],[FechaIngreso]]+TablaDatos[[#This Row],[DiasNuevo]]</f>
        <v>45311</v>
      </c>
    </row>
    <row r="2074" spans="1:15">
      <c r="A2074">
        <v>2073</v>
      </c>
      <c r="B2074" t="s">
        <v>267</v>
      </c>
      <c r="C2074" s="1">
        <v>32873</v>
      </c>
      <c r="D2074">
        <v>36</v>
      </c>
      <c r="E2074" s="4" t="s">
        <v>15</v>
      </c>
      <c r="F2074" t="s">
        <v>21</v>
      </c>
      <c r="G2074" s="1">
        <v>45455</v>
      </c>
      <c r="H2074" s="1">
        <f>TablaDatos[[#This Row],[FechaIngreso]]+TablaDatos[[#This Row],[DiasNuevo]]</f>
        <v>45464</v>
      </c>
      <c r="I2074">
        <v>9</v>
      </c>
      <c r="J2074" t="s">
        <v>23</v>
      </c>
      <c r="K2074" s="3">
        <v>15041.47</v>
      </c>
      <c r="L2074" t="b">
        <f>TablaDatos[[#This Row],[FechaAlta]] &lt; TablaDatos[[#This Row],[FechaIngreso]]</f>
        <v>0</v>
      </c>
      <c r="M2074">
        <f>_xlfn.XLOOKUP(TablaDatos[[#This Row],[PacienteID]],'Datos_Ejemplo.csv'!A:A,'Datos_Ejemplo.csv'!I:I)</f>
        <v>9</v>
      </c>
      <c r="N2074">
        <f>ABS(TablaDatos[[#This Row],[DiasOriginal]])</f>
        <v>9</v>
      </c>
      <c r="O2074" s="1">
        <f>TablaDatos[[#This Row],[FechaIngreso]]+TablaDatos[[#This Row],[DiasNuevo]]</f>
        <v>45464</v>
      </c>
    </row>
    <row r="2075" spans="1:15">
      <c r="A2075">
        <v>2074</v>
      </c>
      <c r="B2075" t="s">
        <v>306</v>
      </c>
      <c r="C2075" s="1">
        <v>29221</v>
      </c>
      <c r="D2075">
        <v>46</v>
      </c>
      <c r="E2075" s="4" t="s">
        <v>15</v>
      </c>
      <c r="F2075" t="s">
        <v>21</v>
      </c>
      <c r="G2075" s="1">
        <v>44938</v>
      </c>
      <c r="H2075" s="1">
        <f>TablaDatos[[#This Row],[FechaIngreso]]+TablaDatos[[#This Row],[DiasNuevo]]</f>
        <v>44955</v>
      </c>
      <c r="I2075">
        <v>17</v>
      </c>
      <c r="J2075" t="s">
        <v>25</v>
      </c>
      <c r="K2075" s="3">
        <v>1109.68</v>
      </c>
      <c r="L2075" t="b">
        <f>TablaDatos[[#This Row],[FechaAlta]] &lt; TablaDatos[[#This Row],[FechaIngreso]]</f>
        <v>0</v>
      </c>
      <c r="M2075">
        <f>_xlfn.XLOOKUP(TablaDatos[[#This Row],[PacienteID]],'Datos_Ejemplo.csv'!A:A,'Datos_Ejemplo.csv'!I:I)</f>
        <v>17</v>
      </c>
      <c r="N2075">
        <f>ABS(TablaDatos[[#This Row],[DiasOriginal]])</f>
        <v>17</v>
      </c>
      <c r="O2075" s="1">
        <f>TablaDatos[[#This Row],[FechaIngreso]]+TablaDatos[[#This Row],[DiasNuevo]]</f>
        <v>44955</v>
      </c>
    </row>
    <row r="2076" spans="1:15">
      <c r="A2076">
        <v>2075</v>
      </c>
      <c r="B2076" t="s">
        <v>162</v>
      </c>
      <c r="C2076" s="1">
        <v>18629</v>
      </c>
      <c r="D2076">
        <v>75</v>
      </c>
      <c r="E2076" s="4" t="s">
        <v>15</v>
      </c>
      <c r="F2076" t="s">
        <v>261</v>
      </c>
      <c r="G2076" s="1">
        <v>45402</v>
      </c>
      <c r="H2076" s="1">
        <f>TablaDatos[[#This Row],[FechaIngreso]]+TablaDatos[[#This Row],[DiasNuevo]]</f>
        <v>45404</v>
      </c>
      <c r="I2076">
        <v>2</v>
      </c>
      <c r="J2076" t="s">
        <v>23</v>
      </c>
      <c r="K2076" s="3">
        <v>6382.21</v>
      </c>
      <c r="L2076" t="b">
        <f>TablaDatos[[#This Row],[FechaAlta]] &lt; TablaDatos[[#This Row],[FechaIngreso]]</f>
        <v>0</v>
      </c>
      <c r="M2076">
        <f>_xlfn.XLOOKUP(TablaDatos[[#This Row],[PacienteID]],'Datos_Ejemplo.csv'!A:A,'Datos_Ejemplo.csv'!I:I)</f>
        <v>2</v>
      </c>
      <c r="N2076">
        <f>ABS(TablaDatos[[#This Row],[DiasOriginal]])</f>
        <v>2</v>
      </c>
      <c r="O2076" s="1">
        <f>TablaDatos[[#This Row],[FechaIngreso]]+TablaDatos[[#This Row],[DiasNuevo]]</f>
        <v>45404</v>
      </c>
    </row>
    <row r="2077" spans="1:15">
      <c r="A2077">
        <v>2076</v>
      </c>
      <c r="B2077" t="s">
        <v>360</v>
      </c>
      <c r="C2077" s="1">
        <v>32873</v>
      </c>
      <c r="D2077">
        <v>36</v>
      </c>
      <c r="E2077" s="4" t="s">
        <v>12</v>
      </c>
      <c r="F2077" t="s">
        <v>21</v>
      </c>
      <c r="G2077" s="1">
        <v>45520</v>
      </c>
      <c r="H2077" s="1">
        <f>TablaDatos[[#This Row],[FechaIngreso]]+TablaDatos[[#This Row],[DiasNuevo]]</f>
        <v>45553</v>
      </c>
      <c r="I2077">
        <v>33</v>
      </c>
      <c r="J2077" t="s">
        <v>23</v>
      </c>
      <c r="K2077" s="3">
        <v>7910.5</v>
      </c>
      <c r="L2077" t="b">
        <f>TablaDatos[[#This Row],[FechaAlta]] &lt; TablaDatos[[#This Row],[FechaIngreso]]</f>
        <v>0</v>
      </c>
      <c r="M2077">
        <f>_xlfn.XLOOKUP(TablaDatos[[#This Row],[PacienteID]],'Datos_Ejemplo.csv'!A:A,'Datos_Ejemplo.csv'!I:I)</f>
        <v>33</v>
      </c>
      <c r="N2077">
        <f>ABS(TablaDatos[[#This Row],[DiasOriginal]])</f>
        <v>33</v>
      </c>
      <c r="O2077" s="1">
        <f>TablaDatos[[#This Row],[FechaIngreso]]+TablaDatos[[#This Row],[DiasNuevo]]</f>
        <v>45553</v>
      </c>
    </row>
    <row r="2078" spans="1:15">
      <c r="A2078">
        <v>2077</v>
      </c>
      <c r="B2078" t="s">
        <v>312</v>
      </c>
      <c r="C2078" s="1">
        <v>28490</v>
      </c>
      <c r="D2078">
        <v>48</v>
      </c>
      <c r="E2078" s="4" t="s">
        <v>12</v>
      </c>
      <c r="F2078" t="s">
        <v>295</v>
      </c>
      <c r="G2078" s="1">
        <v>45505</v>
      </c>
      <c r="H2078" s="1">
        <f>TablaDatos[[#This Row],[FechaIngreso]]+TablaDatos[[#This Row],[DiasNuevo]]</f>
        <v>45523</v>
      </c>
      <c r="I2078">
        <v>18</v>
      </c>
      <c r="J2078" t="s">
        <v>23</v>
      </c>
      <c r="K2078" s="3">
        <v>16563.71</v>
      </c>
      <c r="L2078" t="b">
        <f>TablaDatos[[#This Row],[FechaAlta]] &lt; TablaDatos[[#This Row],[FechaIngreso]]</f>
        <v>0</v>
      </c>
      <c r="M2078">
        <f>_xlfn.XLOOKUP(TablaDatos[[#This Row],[PacienteID]],'Datos_Ejemplo.csv'!A:A,'Datos_Ejemplo.csv'!I:I)</f>
        <v>18</v>
      </c>
      <c r="N2078">
        <f>ABS(TablaDatos[[#This Row],[DiasOriginal]])</f>
        <v>18</v>
      </c>
      <c r="O2078" s="1">
        <f>TablaDatos[[#This Row],[FechaIngreso]]+TablaDatos[[#This Row],[DiasNuevo]]</f>
        <v>45523</v>
      </c>
    </row>
    <row r="2079" spans="1:15">
      <c r="A2079">
        <v>2078</v>
      </c>
      <c r="B2079" t="s">
        <v>231</v>
      </c>
      <c r="C2079" s="1">
        <v>30317</v>
      </c>
      <c r="D2079">
        <v>43</v>
      </c>
      <c r="E2079" s="4" t="s">
        <v>15</v>
      </c>
      <c r="F2079" t="s">
        <v>18</v>
      </c>
      <c r="G2079" s="1">
        <v>45571</v>
      </c>
      <c r="H2079" s="1">
        <f>TablaDatos[[#This Row],[FechaIngreso]]+TablaDatos[[#This Row],[DiasNuevo]]</f>
        <v>45607</v>
      </c>
      <c r="I2079">
        <v>36</v>
      </c>
      <c r="J2079" t="s">
        <v>25</v>
      </c>
      <c r="K2079" s="3">
        <v>8379.43</v>
      </c>
      <c r="L2079" t="b">
        <f>TablaDatos[[#This Row],[FechaAlta]] &lt; TablaDatos[[#This Row],[FechaIngreso]]</f>
        <v>0</v>
      </c>
      <c r="M2079">
        <f>_xlfn.XLOOKUP(TablaDatos[[#This Row],[PacienteID]],'Datos_Ejemplo.csv'!A:A,'Datos_Ejemplo.csv'!I:I)</f>
        <v>36</v>
      </c>
      <c r="N2079">
        <f>ABS(TablaDatos[[#This Row],[DiasOriginal]])</f>
        <v>36</v>
      </c>
      <c r="O2079" s="1">
        <f>TablaDatos[[#This Row],[FechaIngreso]]+TablaDatos[[#This Row],[DiasNuevo]]</f>
        <v>45607</v>
      </c>
    </row>
    <row r="2080" spans="1:15">
      <c r="A2080">
        <v>2079</v>
      </c>
      <c r="B2080" t="s">
        <v>281</v>
      </c>
      <c r="C2080" s="1">
        <v>25934</v>
      </c>
      <c r="D2080">
        <v>55</v>
      </c>
      <c r="E2080" s="4" t="s">
        <v>15</v>
      </c>
      <c r="F2080" t="s">
        <v>32</v>
      </c>
      <c r="G2080" s="1">
        <v>44979</v>
      </c>
      <c r="H2080" s="1">
        <f>TablaDatos[[#This Row],[FechaIngreso]]+TablaDatos[[#This Row],[DiasNuevo]]</f>
        <v>44979</v>
      </c>
      <c r="I2080">
        <v>0</v>
      </c>
      <c r="J2080" t="s">
        <v>23</v>
      </c>
      <c r="K2080" s="3">
        <v>18511.169999999998</v>
      </c>
      <c r="L2080" t="b">
        <f>TablaDatos[[#This Row],[FechaAlta]] &lt; TablaDatos[[#This Row],[FechaIngreso]]</f>
        <v>0</v>
      </c>
      <c r="M2080">
        <f>_xlfn.XLOOKUP(TablaDatos[[#This Row],[PacienteID]],'Datos_Ejemplo.csv'!A:A,'Datos_Ejemplo.csv'!I:I)</f>
        <v>0</v>
      </c>
      <c r="N2080">
        <f>ABS(TablaDatos[[#This Row],[DiasOriginal]])</f>
        <v>0</v>
      </c>
      <c r="O2080" s="1">
        <f>TablaDatos[[#This Row],[FechaIngreso]]+TablaDatos[[#This Row],[DiasNuevo]]</f>
        <v>44979</v>
      </c>
    </row>
    <row r="2081" spans="1:15">
      <c r="A2081">
        <v>2080</v>
      </c>
      <c r="B2081" t="s">
        <v>111</v>
      </c>
      <c r="C2081" s="1">
        <v>36161</v>
      </c>
      <c r="D2081">
        <v>27</v>
      </c>
      <c r="E2081" s="4" t="s">
        <v>12</v>
      </c>
      <c r="F2081" t="s">
        <v>201</v>
      </c>
      <c r="G2081" s="1">
        <v>45362</v>
      </c>
      <c r="H2081" s="1">
        <f>TablaDatos[[#This Row],[FechaIngreso]]+TablaDatos[[#This Row],[DiasNuevo]]</f>
        <v>45388</v>
      </c>
      <c r="I2081">
        <v>26</v>
      </c>
      <c r="J2081" t="s">
        <v>23</v>
      </c>
      <c r="K2081" s="3">
        <v>19931.82</v>
      </c>
      <c r="L2081" t="b">
        <f>TablaDatos[[#This Row],[FechaAlta]] &lt; TablaDatos[[#This Row],[FechaIngreso]]</f>
        <v>0</v>
      </c>
      <c r="M2081">
        <f>_xlfn.XLOOKUP(TablaDatos[[#This Row],[PacienteID]],'Datos_Ejemplo.csv'!A:A,'Datos_Ejemplo.csv'!I:I)</f>
        <v>26</v>
      </c>
      <c r="N2081">
        <f>ABS(TablaDatos[[#This Row],[DiasOriginal]])</f>
        <v>26</v>
      </c>
      <c r="O2081" s="1">
        <f>TablaDatos[[#This Row],[FechaIngreso]]+TablaDatos[[#This Row],[DiasNuevo]]</f>
        <v>45388</v>
      </c>
    </row>
    <row r="2082" spans="1:15">
      <c r="A2082">
        <v>2081</v>
      </c>
      <c r="B2082" t="s">
        <v>232</v>
      </c>
      <c r="C2082" s="1">
        <v>17533</v>
      </c>
      <c r="D2082">
        <v>78</v>
      </c>
      <c r="E2082" s="4" t="s">
        <v>12</v>
      </c>
      <c r="F2082" t="s">
        <v>261</v>
      </c>
      <c r="G2082" s="1">
        <v>45132</v>
      </c>
      <c r="H2082" s="1">
        <f>TablaDatos[[#This Row],[FechaIngreso]]+TablaDatos[[#This Row],[DiasNuevo]]</f>
        <v>45154</v>
      </c>
      <c r="I2082">
        <v>22</v>
      </c>
      <c r="J2082" t="s">
        <v>25</v>
      </c>
      <c r="K2082" s="3">
        <v>15592.6</v>
      </c>
      <c r="L2082" t="b">
        <f>TablaDatos[[#This Row],[FechaAlta]] &lt; TablaDatos[[#This Row],[FechaIngreso]]</f>
        <v>0</v>
      </c>
      <c r="M2082">
        <f>_xlfn.XLOOKUP(TablaDatos[[#This Row],[PacienteID]],'Datos_Ejemplo.csv'!A:A,'Datos_Ejemplo.csv'!I:I)</f>
        <v>22</v>
      </c>
      <c r="N2082">
        <f>ABS(TablaDatos[[#This Row],[DiasOriginal]])</f>
        <v>22</v>
      </c>
      <c r="O2082" s="1">
        <f>TablaDatos[[#This Row],[FechaIngreso]]+TablaDatos[[#This Row],[DiasNuevo]]</f>
        <v>45154</v>
      </c>
    </row>
    <row r="2083" spans="1:15">
      <c r="A2083">
        <v>2082</v>
      </c>
      <c r="B2083" t="s">
        <v>355</v>
      </c>
      <c r="C2083" s="1">
        <v>44196</v>
      </c>
      <c r="D2083">
        <v>5</v>
      </c>
      <c r="E2083" s="4" t="s">
        <v>12</v>
      </c>
      <c r="F2083" t="s">
        <v>261</v>
      </c>
      <c r="G2083" s="1">
        <v>44980</v>
      </c>
      <c r="H2083" s="1">
        <f>TablaDatos[[#This Row],[FechaIngreso]]+TablaDatos[[#This Row],[DiasNuevo]]</f>
        <v>45004</v>
      </c>
      <c r="I2083">
        <v>24</v>
      </c>
      <c r="J2083" t="s">
        <v>25</v>
      </c>
      <c r="K2083" s="3">
        <v>13294.37</v>
      </c>
      <c r="L2083" t="b">
        <f>TablaDatos[[#This Row],[FechaAlta]] &lt; TablaDatos[[#This Row],[FechaIngreso]]</f>
        <v>0</v>
      </c>
      <c r="M2083">
        <f>_xlfn.XLOOKUP(TablaDatos[[#This Row],[PacienteID]],'Datos_Ejemplo.csv'!A:A,'Datos_Ejemplo.csv'!I:I)</f>
        <v>24</v>
      </c>
      <c r="N2083">
        <f>ABS(TablaDatos[[#This Row],[DiasOriginal]])</f>
        <v>24</v>
      </c>
      <c r="O2083" s="1">
        <f>TablaDatos[[#This Row],[FechaIngreso]]+TablaDatos[[#This Row],[DiasNuevo]]</f>
        <v>45004</v>
      </c>
    </row>
    <row r="2084" spans="1:15">
      <c r="A2084">
        <v>2083</v>
      </c>
      <c r="B2084" t="s">
        <v>280</v>
      </c>
      <c r="C2084" s="1">
        <v>24107</v>
      </c>
      <c r="D2084">
        <v>60</v>
      </c>
      <c r="E2084" s="4" t="s">
        <v>12</v>
      </c>
      <c r="F2084" t="s">
        <v>21</v>
      </c>
      <c r="G2084" s="1">
        <v>45506</v>
      </c>
      <c r="H2084" s="1">
        <f>TablaDatos[[#This Row],[FechaIngreso]]+TablaDatos[[#This Row],[DiasNuevo]]</f>
        <v>45539</v>
      </c>
      <c r="I2084">
        <v>33</v>
      </c>
      <c r="J2084" t="s">
        <v>23</v>
      </c>
      <c r="K2084" s="3">
        <v>7777.13</v>
      </c>
      <c r="L2084" t="b">
        <f>TablaDatos[[#This Row],[FechaAlta]] &lt; TablaDatos[[#This Row],[FechaIngreso]]</f>
        <v>0</v>
      </c>
      <c r="M2084">
        <f>_xlfn.XLOOKUP(TablaDatos[[#This Row],[PacienteID]],'Datos_Ejemplo.csv'!A:A,'Datos_Ejemplo.csv'!I:I)</f>
        <v>33</v>
      </c>
      <c r="N2084">
        <f>ABS(TablaDatos[[#This Row],[DiasOriginal]])</f>
        <v>33</v>
      </c>
      <c r="O2084" s="1">
        <f>TablaDatos[[#This Row],[FechaIngreso]]+TablaDatos[[#This Row],[DiasNuevo]]</f>
        <v>45539</v>
      </c>
    </row>
    <row r="2085" spans="1:15">
      <c r="A2085">
        <v>2084</v>
      </c>
      <c r="B2085" t="s">
        <v>344</v>
      </c>
      <c r="C2085" s="1">
        <v>39083</v>
      </c>
      <c r="D2085">
        <v>19</v>
      </c>
      <c r="E2085" s="4" t="s">
        <v>15</v>
      </c>
      <c r="F2085" t="s">
        <v>21</v>
      </c>
      <c r="G2085" s="1">
        <v>45416</v>
      </c>
      <c r="H2085" s="1">
        <f>TablaDatos[[#This Row],[FechaIngreso]]+TablaDatos[[#This Row],[DiasNuevo]]</f>
        <v>45435</v>
      </c>
      <c r="I2085">
        <v>19</v>
      </c>
      <c r="J2085" t="s">
        <v>23</v>
      </c>
      <c r="K2085" s="3">
        <v>1247.49</v>
      </c>
      <c r="L2085" t="b">
        <f>TablaDatos[[#This Row],[FechaAlta]] &lt; TablaDatos[[#This Row],[FechaIngreso]]</f>
        <v>0</v>
      </c>
      <c r="M2085">
        <f>_xlfn.XLOOKUP(TablaDatos[[#This Row],[PacienteID]],'Datos_Ejemplo.csv'!A:A,'Datos_Ejemplo.csv'!I:I)</f>
        <v>19</v>
      </c>
      <c r="N2085">
        <f>ABS(TablaDatos[[#This Row],[DiasOriginal]])</f>
        <v>19</v>
      </c>
      <c r="O2085" s="1">
        <f>TablaDatos[[#This Row],[FechaIngreso]]+TablaDatos[[#This Row],[DiasNuevo]]</f>
        <v>45435</v>
      </c>
    </row>
    <row r="2086" spans="1:15">
      <c r="A2086">
        <v>2085</v>
      </c>
      <c r="B2086" t="s">
        <v>299</v>
      </c>
      <c r="C2086" s="1">
        <v>17898</v>
      </c>
      <c r="D2086">
        <v>77</v>
      </c>
      <c r="E2086" s="4" t="s">
        <v>15</v>
      </c>
      <c r="F2086" t="s">
        <v>32</v>
      </c>
      <c r="G2086" s="1">
        <v>45270</v>
      </c>
      <c r="H2086" s="1">
        <f>TablaDatos[[#This Row],[FechaIngreso]]+TablaDatos[[#This Row],[DiasNuevo]]</f>
        <v>45305</v>
      </c>
      <c r="I2086">
        <v>35</v>
      </c>
      <c r="J2086" t="s">
        <v>23</v>
      </c>
      <c r="K2086" s="3">
        <v>11420.09</v>
      </c>
      <c r="L2086" t="b">
        <f>TablaDatos[[#This Row],[FechaAlta]] &lt; TablaDatos[[#This Row],[FechaIngreso]]</f>
        <v>0</v>
      </c>
      <c r="M2086">
        <f>_xlfn.XLOOKUP(TablaDatos[[#This Row],[PacienteID]],'Datos_Ejemplo.csv'!A:A,'Datos_Ejemplo.csv'!I:I)</f>
        <v>35</v>
      </c>
      <c r="N2086">
        <f>ABS(TablaDatos[[#This Row],[DiasOriginal]])</f>
        <v>35</v>
      </c>
      <c r="O2086" s="1">
        <f>TablaDatos[[#This Row],[FechaIngreso]]+TablaDatos[[#This Row],[DiasNuevo]]</f>
        <v>45305</v>
      </c>
    </row>
    <row r="2087" spans="1:15">
      <c r="A2087">
        <v>2086</v>
      </c>
      <c r="B2087" t="s">
        <v>235</v>
      </c>
      <c r="C2087" s="1">
        <v>45657</v>
      </c>
      <c r="D2087">
        <v>1</v>
      </c>
      <c r="E2087" s="4" t="s">
        <v>12</v>
      </c>
      <c r="F2087" t="s">
        <v>18</v>
      </c>
      <c r="G2087" s="1">
        <v>45095</v>
      </c>
      <c r="H2087" s="1">
        <f>TablaDatos[[#This Row],[FechaIngreso]]+TablaDatos[[#This Row],[DiasNuevo]]</f>
        <v>45127</v>
      </c>
      <c r="I2087">
        <v>32</v>
      </c>
      <c r="J2087" t="s">
        <v>19</v>
      </c>
      <c r="K2087" s="3">
        <v>7170.27</v>
      </c>
      <c r="L2087" t="b">
        <f>TablaDatos[[#This Row],[FechaAlta]] &lt; TablaDatos[[#This Row],[FechaIngreso]]</f>
        <v>0</v>
      </c>
      <c r="M2087">
        <f>_xlfn.XLOOKUP(TablaDatos[[#This Row],[PacienteID]],'Datos_Ejemplo.csv'!A:A,'Datos_Ejemplo.csv'!I:I)</f>
        <v>32</v>
      </c>
      <c r="N2087">
        <f>ABS(TablaDatos[[#This Row],[DiasOriginal]])</f>
        <v>32</v>
      </c>
      <c r="O2087" s="1">
        <f>TablaDatos[[#This Row],[FechaIngreso]]+TablaDatos[[#This Row],[DiasNuevo]]</f>
        <v>45127</v>
      </c>
    </row>
    <row r="2088" spans="1:15">
      <c r="A2088">
        <v>2087</v>
      </c>
      <c r="B2088" t="s">
        <v>349</v>
      </c>
      <c r="C2088" s="1">
        <v>19724</v>
      </c>
      <c r="D2088">
        <v>72</v>
      </c>
      <c r="E2088" s="4" t="s">
        <v>15</v>
      </c>
      <c r="F2088" t="s">
        <v>18</v>
      </c>
      <c r="G2088" s="1">
        <v>45087</v>
      </c>
      <c r="H2088" s="1">
        <f>TablaDatos[[#This Row],[FechaIngreso]]+TablaDatos[[#This Row],[DiasNuevo]]</f>
        <v>45089</v>
      </c>
      <c r="I2088">
        <v>2</v>
      </c>
      <c r="J2088" t="s">
        <v>23</v>
      </c>
      <c r="K2088" s="3">
        <v>6953.05</v>
      </c>
      <c r="L2088" t="b">
        <f>TablaDatos[[#This Row],[FechaAlta]] &lt; TablaDatos[[#This Row],[FechaIngreso]]</f>
        <v>0</v>
      </c>
      <c r="M2088">
        <f>_xlfn.XLOOKUP(TablaDatos[[#This Row],[PacienteID]],'Datos_Ejemplo.csv'!A:A,'Datos_Ejemplo.csv'!I:I)</f>
        <v>-2</v>
      </c>
      <c r="N2088">
        <f>ABS(TablaDatos[[#This Row],[DiasOriginal]])</f>
        <v>2</v>
      </c>
      <c r="O2088" s="1">
        <f>TablaDatos[[#This Row],[FechaIngreso]]+TablaDatos[[#This Row],[DiasNuevo]]</f>
        <v>45089</v>
      </c>
    </row>
    <row r="2089" spans="1:15">
      <c r="A2089">
        <v>2088</v>
      </c>
      <c r="B2089" t="s">
        <v>347</v>
      </c>
      <c r="C2089" s="1">
        <v>32873</v>
      </c>
      <c r="D2089">
        <v>36</v>
      </c>
      <c r="E2089" s="4" t="s">
        <v>197</v>
      </c>
      <c r="F2089" t="s">
        <v>261</v>
      </c>
      <c r="G2089" s="1">
        <v>45453</v>
      </c>
      <c r="H2089" s="1">
        <f>TablaDatos[[#This Row],[FechaIngreso]]+TablaDatos[[#This Row],[DiasNuevo]]</f>
        <v>45453</v>
      </c>
      <c r="I2089">
        <v>0</v>
      </c>
      <c r="J2089" t="s">
        <v>25</v>
      </c>
      <c r="K2089" s="3">
        <v>13722.96</v>
      </c>
      <c r="L2089" t="b">
        <f>TablaDatos[[#This Row],[FechaAlta]] &lt; TablaDatos[[#This Row],[FechaIngreso]]</f>
        <v>0</v>
      </c>
      <c r="M2089">
        <f>_xlfn.XLOOKUP(TablaDatos[[#This Row],[PacienteID]],'Datos_Ejemplo.csv'!A:A,'Datos_Ejemplo.csv'!I:I)</f>
        <v>0</v>
      </c>
      <c r="N2089">
        <f>ABS(TablaDatos[[#This Row],[DiasOriginal]])</f>
        <v>0</v>
      </c>
      <c r="O2089" s="1">
        <f>TablaDatos[[#This Row],[FechaIngreso]]+TablaDatos[[#This Row],[DiasNuevo]]</f>
        <v>45453</v>
      </c>
    </row>
    <row r="2090" spans="1:15">
      <c r="A2090">
        <v>2089</v>
      </c>
      <c r="B2090" t="s">
        <v>358</v>
      </c>
      <c r="C2090" s="1">
        <v>39083</v>
      </c>
      <c r="D2090">
        <v>19</v>
      </c>
      <c r="E2090" s="4" t="s">
        <v>12</v>
      </c>
      <c r="F2090" t="s">
        <v>32</v>
      </c>
      <c r="G2090" s="1">
        <v>45629</v>
      </c>
      <c r="H2090" s="1">
        <f>TablaDatos[[#This Row],[FechaIngreso]]+TablaDatos[[#This Row],[DiasNuevo]]</f>
        <v>45650</v>
      </c>
      <c r="I2090">
        <v>21</v>
      </c>
      <c r="J2090" t="s">
        <v>25</v>
      </c>
      <c r="K2090" s="3">
        <v>9219.15</v>
      </c>
      <c r="L2090" t="b">
        <f>TablaDatos[[#This Row],[FechaAlta]] &lt; TablaDatos[[#This Row],[FechaIngreso]]</f>
        <v>0</v>
      </c>
      <c r="M2090">
        <f>_xlfn.XLOOKUP(TablaDatos[[#This Row],[PacienteID]],'Datos_Ejemplo.csv'!A:A,'Datos_Ejemplo.csv'!I:I)</f>
        <v>21</v>
      </c>
      <c r="N2090">
        <f>ABS(TablaDatos[[#This Row],[DiasOriginal]])</f>
        <v>21</v>
      </c>
      <c r="O2090" s="1">
        <f>TablaDatos[[#This Row],[FechaIngreso]]+TablaDatos[[#This Row],[DiasNuevo]]</f>
        <v>45650</v>
      </c>
    </row>
    <row r="2091" spans="1:15">
      <c r="A2091">
        <v>2090</v>
      </c>
      <c r="B2091" t="s">
        <v>279</v>
      </c>
      <c r="C2091" s="1">
        <v>36891</v>
      </c>
      <c r="D2091">
        <v>25</v>
      </c>
      <c r="E2091" s="4" t="s">
        <v>12</v>
      </c>
      <c r="F2091" t="s">
        <v>261</v>
      </c>
      <c r="G2091" s="1">
        <v>45453</v>
      </c>
      <c r="H2091" s="1">
        <f>TablaDatos[[#This Row],[FechaIngreso]]+TablaDatos[[#This Row],[DiasNuevo]]</f>
        <v>45458</v>
      </c>
      <c r="I2091">
        <v>5</v>
      </c>
      <c r="J2091" t="s">
        <v>19</v>
      </c>
      <c r="K2091" s="3">
        <v>15017.09</v>
      </c>
      <c r="L2091" t="b">
        <f>TablaDatos[[#This Row],[FechaAlta]] &lt; TablaDatos[[#This Row],[FechaIngreso]]</f>
        <v>0</v>
      </c>
      <c r="M2091">
        <f>_xlfn.XLOOKUP(TablaDatos[[#This Row],[PacienteID]],'Datos_Ejemplo.csv'!A:A,'Datos_Ejemplo.csv'!I:I)</f>
        <v>5</v>
      </c>
      <c r="N2091">
        <f>ABS(TablaDatos[[#This Row],[DiasOriginal]])</f>
        <v>5</v>
      </c>
      <c r="O2091" s="1">
        <f>TablaDatos[[#This Row],[FechaIngreso]]+TablaDatos[[#This Row],[DiasNuevo]]</f>
        <v>45458</v>
      </c>
    </row>
    <row r="2092" spans="1:15">
      <c r="A2092">
        <v>2091</v>
      </c>
      <c r="B2092" t="s">
        <v>248</v>
      </c>
      <c r="C2092" s="1">
        <v>35795</v>
      </c>
      <c r="D2092">
        <v>28</v>
      </c>
      <c r="E2092" s="4" t="s">
        <v>15</v>
      </c>
      <c r="F2092" t="s">
        <v>201</v>
      </c>
      <c r="G2092" s="1">
        <v>45213</v>
      </c>
      <c r="H2092" s="1">
        <f>TablaDatos[[#This Row],[FechaIngreso]]+TablaDatos[[#This Row],[DiasNuevo]]</f>
        <v>45249</v>
      </c>
      <c r="I2092">
        <v>36</v>
      </c>
      <c r="J2092" t="s">
        <v>25</v>
      </c>
      <c r="K2092" s="3">
        <v>7903.28</v>
      </c>
      <c r="L2092" t="b">
        <f>TablaDatos[[#This Row],[FechaAlta]] &lt; TablaDatos[[#This Row],[FechaIngreso]]</f>
        <v>0</v>
      </c>
      <c r="M2092">
        <f>_xlfn.XLOOKUP(TablaDatos[[#This Row],[PacienteID]],'Datos_Ejemplo.csv'!A:A,'Datos_Ejemplo.csv'!I:I)</f>
        <v>36</v>
      </c>
      <c r="N2092">
        <f>ABS(TablaDatos[[#This Row],[DiasOriginal]])</f>
        <v>36</v>
      </c>
      <c r="O2092" s="1">
        <f>TablaDatos[[#This Row],[FechaIngreso]]+TablaDatos[[#This Row],[DiasNuevo]]</f>
        <v>45249</v>
      </c>
    </row>
    <row r="2093" spans="1:15">
      <c r="A2093">
        <v>2092</v>
      </c>
      <c r="B2093" t="s">
        <v>343</v>
      </c>
      <c r="C2093" s="1">
        <v>46022</v>
      </c>
      <c r="D2093">
        <v>0</v>
      </c>
      <c r="E2093" s="4" t="s">
        <v>12</v>
      </c>
      <c r="F2093" t="s">
        <v>13</v>
      </c>
      <c r="G2093" s="1">
        <v>45338</v>
      </c>
      <c r="H2093" s="1">
        <f>TablaDatos[[#This Row],[FechaIngreso]]+TablaDatos[[#This Row],[DiasNuevo]]</f>
        <v>45353</v>
      </c>
      <c r="I2093">
        <v>15</v>
      </c>
      <c r="J2093" t="s">
        <v>23</v>
      </c>
      <c r="K2093" s="3">
        <v>2932.35</v>
      </c>
      <c r="L2093" t="b">
        <f>TablaDatos[[#This Row],[FechaAlta]] &lt; TablaDatos[[#This Row],[FechaIngreso]]</f>
        <v>0</v>
      </c>
      <c r="M2093">
        <f>_xlfn.XLOOKUP(TablaDatos[[#This Row],[PacienteID]],'Datos_Ejemplo.csv'!A:A,'Datos_Ejemplo.csv'!I:I)</f>
        <v>15</v>
      </c>
      <c r="N2093">
        <f>ABS(TablaDatos[[#This Row],[DiasOriginal]])</f>
        <v>15</v>
      </c>
      <c r="O2093" s="1">
        <f>TablaDatos[[#This Row],[FechaIngreso]]+TablaDatos[[#This Row],[DiasNuevo]]</f>
        <v>45353</v>
      </c>
    </row>
    <row r="2094" spans="1:15">
      <c r="A2094">
        <v>2093</v>
      </c>
      <c r="B2094" t="s">
        <v>357</v>
      </c>
      <c r="C2094" s="1">
        <v>33604</v>
      </c>
      <c r="D2094">
        <v>34</v>
      </c>
      <c r="E2094" s="4" t="s">
        <v>12</v>
      </c>
      <c r="F2094" t="s">
        <v>18</v>
      </c>
      <c r="G2094" s="1">
        <v>45448</v>
      </c>
      <c r="H2094" s="1">
        <f>TablaDatos[[#This Row],[FechaIngreso]]+TablaDatos[[#This Row],[DiasNuevo]]</f>
        <v>45486</v>
      </c>
      <c r="I2094">
        <v>38</v>
      </c>
      <c r="J2094" t="s">
        <v>19</v>
      </c>
      <c r="K2094" s="3">
        <v>9173.09</v>
      </c>
      <c r="L2094" t="b">
        <f>TablaDatos[[#This Row],[FechaAlta]] &lt; TablaDatos[[#This Row],[FechaIngreso]]</f>
        <v>0</v>
      </c>
      <c r="M2094">
        <f>_xlfn.XLOOKUP(TablaDatos[[#This Row],[PacienteID]],'Datos_Ejemplo.csv'!A:A,'Datos_Ejemplo.csv'!I:I)</f>
        <v>38</v>
      </c>
      <c r="N2094">
        <f>ABS(TablaDatos[[#This Row],[DiasOriginal]])</f>
        <v>38</v>
      </c>
      <c r="O2094" s="1">
        <f>TablaDatos[[#This Row],[FechaIngreso]]+TablaDatos[[#This Row],[DiasNuevo]]</f>
        <v>45486</v>
      </c>
    </row>
    <row r="2095" spans="1:15">
      <c r="A2095">
        <v>2094</v>
      </c>
      <c r="B2095" t="s">
        <v>349</v>
      </c>
      <c r="C2095" s="1">
        <v>20820</v>
      </c>
      <c r="D2095">
        <v>69</v>
      </c>
      <c r="E2095" s="4" t="s">
        <v>15</v>
      </c>
      <c r="F2095" t="s">
        <v>32</v>
      </c>
      <c r="G2095" s="1">
        <v>45495</v>
      </c>
      <c r="H2095" s="1">
        <f>TablaDatos[[#This Row],[FechaIngreso]]+TablaDatos[[#This Row],[DiasNuevo]]</f>
        <v>45495</v>
      </c>
      <c r="I2095">
        <v>0</v>
      </c>
      <c r="J2095" t="s">
        <v>19</v>
      </c>
      <c r="K2095" s="3">
        <v>19015.349999999999</v>
      </c>
      <c r="L2095" t="b">
        <f>TablaDatos[[#This Row],[FechaAlta]] &lt; TablaDatos[[#This Row],[FechaIngreso]]</f>
        <v>0</v>
      </c>
      <c r="M2095">
        <f>_xlfn.XLOOKUP(TablaDatos[[#This Row],[PacienteID]],'Datos_Ejemplo.csv'!A:A,'Datos_Ejemplo.csv'!I:I)</f>
        <v>0</v>
      </c>
      <c r="N2095">
        <f>ABS(TablaDatos[[#This Row],[DiasOriginal]])</f>
        <v>0</v>
      </c>
      <c r="O2095" s="1">
        <f>TablaDatos[[#This Row],[FechaIngreso]]+TablaDatos[[#This Row],[DiasNuevo]]</f>
        <v>45495</v>
      </c>
    </row>
    <row r="2096" spans="1:15">
      <c r="A2096">
        <v>2095</v>
      </c>
      <c r="B2096" t="s">
        <v>335</v>
      </c>
      <c r="C2096" s="1">
        <v>24838</v>
      </c>
      <c r="D2096">
        <v>58</v>
      </c>
      <c r="E2096" s="4" t="s">
        <v>15</v>
      </c>
      <c r="F2096" t="s">
        <v>201</v>
      </c>
      <c r="G2096" s="1">
        <v>45125</v>
      </c>
      <c r="H2096" s="1">
        <f>TablaDatos[[#This Row],[FechaIngreso]]+TablaDatos[[#This Row],[DiasNuevo]]</f>
        <v>45140</v>
      </c>
      <c r="I2096">
        <v>15</v>
      </c>
      <c r="J2096" t="s">
        <v>23</v>
      </c>
      <c r="K2096" s="3">
        <v>16010.65</v>
      </c>
      <c r="L2096" t="b">
        <f>TablaDatos[[#This Row],[FechaAlta]] &lt; TablaDatos[[#This Row],[FechaIngreso]]</f>
        <v>0</v>
      </c>
      <c r="M2096">
        <f>_xlfn.XLOOKUP(TablaDatos[[#This Row],[PacienteID]],'Datos_Ejemplo.csv'!A:A,'Datos_Ejemplo.csv'!I:I)</f>
        <v>15</v>
      </c>
      <c r="N2096">
        <f>ABS(TablaDatos[[#This Row],[DiasOriginal]])</f>
        <v>15</v>
      </c>
      <c r="O2096" s="1">
        <f>TablaDatos[[#This Row],[FechaIngreso]]+TablaDatos[[#This Row],[DiasNuevo]]</f>
        <v>45140</v>
      </c>
    </row>
    <row r="2097" spans="1:15">
      <c r="A2097">
        <v>2096</v>
      </c>
      <c r="B2097" t="s">
        <v>293</v>
      </c>
      <c r="C2097" s="1">
        <v>21185</v>
      </c>
      <c r="D2097">
        <v>68</v>
      </c>
      <c r="E2097" s="4" t="s">
        <v>12</v>
      </c>
      <c r="F2097" t="s">
        <v>32</v>
      </c>
      <c r="G2097" s="1">
        <v>45087</v>
      </c>
      <c r="H2097" s="1">
        <f>TablaDatos[[#This Row],[FechaIngreso]]+TablaDatos[[#This Row],[DiasNuevo]]</f>
        <v>45100</v>
      </c>
      <c r="I2097">
        <v>13</v>
      </c>
      <c r="J2097" t="s">
        <v>23</v>
      </c>
      <c r="K2097" s="3">
        <v>4035.56</v>
      </c>
      <c r="L2097" t="b">
        <f>TablaDatos[[#This Row],[FechaAlta]] &lt; TablaDatos[[#This Row],[FechaIngreso]]</f>
        <v>0</v>
      </c>
      <c r="M2097">
        <f>_xlfn.XLOOKUP(TablaDatos[[#This Row],[PacienteID]],'Datos_Ejemplo.csv'!A:A,'Datos_Ejemplo.csv'!I:I)</f>
        <v>13</v>
      </c>
      <c r="N2097">
        <f>ABS(TablaDatos[[#This Row],[DiasOriginal]])</f>
        <v>13</v>
      </c>
      <c r="O2097" s="1">
        <f>TablaDatos[[#This Row],[FechaIngreso]]+TablaDatos[[#This Row],[DiasNuevo]]</f>
        <v>45100</v>
      </c>
    </row>
    <row r="2098" spans="1:15">
      <c r="A2098">
        <v>2097</v>
      </c>
      <c r="B2098" t="s">
        <v>360</v>
      </c>
      <c r="C2098" s="1">
        <v>34334</v>
      </c>
      <c r="D2098">
        <v>32</v>
      </c>
      <c r="E2098" s="4" t="s">
        <v>12</v>
      </c>
      <c r="F2098" t="s">
        <v>261</v>
      </c>
      <c r="G2098" s="1">
        <v>45315</v>
      </c>
      <c r="H2098" s="1">
        <f>TablaDatos[[#This Row],[FechaIngreso]]+TablaDatos[[#This Row],[DiasNuevo]]</f>
        <v>45344</v>
      </c>
      <c r="I2098">
        <v>29</v>
      </c>
      <c r="J2098" t="s">
        <v>23</v>
      </c>
      <c r="K2098" s="3">
        <v>7765.14</v>
      </c>
      <c r="L2098" t="b">
        <f>TablaDatos[[#This Row],[FechaAlta]] &lt; TablaDatos[[#This Row],[FechaIngreso]]</f>
        <v>0</v>
      </c>
      <c r="M2098">
        <f>_xlfn.XLOOKUP(TablaDatos[[#This Row],[PacienteID]],'Datos_Ejemplo.csv'!A:A,'Datos_Ejemplo.csv'!I:I)</f>
        <v>29</v>
      </c>
      <c r="N2098">
        <f>ABS(TablaDatos[[#This Row],[DiasOriginal]])</f>
        <v>29</v>
      </c>
      <c r="O2098" s="1">
        <f>TablaDatos[[#This Row],[FechaIngreso]]+TablaDatos[[#This Row],[DiasNuevo]]</f>
        <v>45344</v>
      </c>
    </row>
    <row r="2099" spans="1:15">
      <c r="A2099">
        <v>2098</v>
      </c>
      <c r="B2099" t="s">
        <v>338</v>
      </c>
      <c r="C2099" s="1">
        <v>27760</v>
      </c>
      <c r="D2099">
        <v>50</v>
      </c>
      <c r="E2099" s="4" t="s">
        <v>15</v>
      </c>
      <c r="F2099" t="s">
        <v>21</v>
      </c>
      <c r="G2099" s="1">
        <v>45400</v>
      </c>
      <c r="H2099" s="1">
        <f>TablaDatos[[#This Row],[FechaIngreso]]+TablaDatos[[#This Row],[DiasNuevo]]</f>
        <v>45402</v>
      </c>
      <c r="I2099">
        <v>2</v>
      </c>
      <c r="J2099" t="s">
        <v>23</v>
      </c>
      <c r="K2099" s="3">
        <v>18548.62</v>
      </c>
      <c r="L2099" t="b">
        <f>TablaDatos[[#This Row],[FechaAlta]] &lt; TablaDatos[[#This Row],[FechaIngreso]]</f>
        <v>0</v>
      </c>
      <c r="M2099">
        <f>_xlfn.XLOOKUP(TablaDatos[[#This Row],[PacienteID]],'Datos_Ejemplo.csv'!A:A,'Datos_Ejemplo.csv'!I:I)</f>
        <v>-2</v>
      </c>
      <c r="N2099">
        <f>ABS(TablaDatos[[#This Row],[DiasOriginal]])</f>
        <v>2</v>
      </c>
      <c r="O2099" s="1">
        <f>TablaDatos[[#This Row],[FechaIngreso]]+TablaDatos[[#This Row],[DiasNuevo]]</f>
        <v>45402</v>
      </c>
    </row>
    <row r="2100" spans="1:15">
      <c r="A2100">
        <v>2099</v>
      </c>
      <c r="B2100" t="s">
        <v>242</v>
      </c>
      <c r="C2100" s="1">
        <v>17898</v>
      </c>
      <c r="D2100">
        <v>77</v>
      </c>
      <c r="E2100" s="4" t="s">
        <v>15</v>
      </c>
      <c r="F2100" t="s">
        <v>32</v>
      </c>
      <c r="G2100" s="1">
        <v>45307</v>
      </c>
      <c r="H2100" s="1">
        <f>TablaDatos[[#This Row],[FechaIngreso]]+TablaDatos[[#This Row],[DiasNuevo]]</f>
        <v>45330</v>
      </c>
      <c r="I2100">
        <v>23</v>
      </c>
      <c r="J2100" t="s">
        <v>23</v>
      </c>
      <c r="K2100" s="3">
        <v>2386.35</v>
      </c>
      <c r="L2100" t="b">
        <f>TablaDatos[[#This Row],[FechaAlta]] &lt; TablaDatos[[#This Row],[FechaIngreso]]</f>
        <v>0</v>
      </c>
      <c r="M2100">
        <f>_xlfn.XLOOKUP(TablaDatos[[#This Row],[PacienteID]],'Datos_Ejemplo.csv'!A:A,'Datos_Ejemplo.csv'!I:I)</f>
        <v>23</v>
      </c>
      <c r="N2100">
        <f>ABS(TablaDatos[[#This Row],[DiasOriginal]])</f>
        <v>23</v>
      </c>
      <c r="O2100" s="1">
        <f>TablaDatos[[#This Row],[FechaIngreso]]+TablaDatos[[#This Row],[DiasNuevo]]</f>
        <v>45330</v>
      </c>
    </row>
    <row r="2101" spans="1:15">
      <c r="A2101">
        <v>2100</v>
      </c>
      <c r="B2101" t="s">
        <v>350</v>
      </c>
      <c r="C2101" s="1">
        <v>42005</v>
      </c>
      <c r="D2101">
        <v>11</v>
      </c>
      <c r="E2101" s="4" t="s">
        <v>12</v>
      </c>
      <c r="F2101" t="s">
        <v>261</v>
      </c>
      <c r="G2101" s="1">
        <v>45557</v>
      </c>
      <c r="H2101" s="1">
        <f>TablaDatos[[#This Row],[FechaIngreso]]+TablaDatos[[#This Row],[DiasNuevo]]</f>
        <v>45566</v>
      </c>
      <c r="I2101">
        <v>9</v>
      </c>
      <c r="J2101" t="s">
        <v>23</v>
      </c>
      <c r="K2101" s="3">
        <v>5004.3999999999996</v>
      </c>
      <c r="L2101" t="b">
        <f>TablaDatos[[#This Row],[FechaAlta]] &lt; TablaDatos[[#This Row],[FechaIngreso]]</f>
        <v>0</v>
      </c>
      <c r="M2101">
        <f>_xlfn.XLOOKUP(TablaDatos[[#This Row],[PacienteID]],'Datos_Ejemplo.csv'!A:A,'Datos_Ejemplo.csv'!I:I)</f>
        <v>9</v>
      </c>
      <c r="N2101">
        <f>ABS(TablaDatos[[#This Row],[DiasOriginal]])</f>
        <v>9</v>
      </c>
      <c r="O2101" s="1">
        <f>TablaDatos[[#This Row],[FechaIngreso]]+TablaDatos[[#This Row],[DiasNuevo]]</f>
        <v>45566</v>
      </c>
    </row>
    <row r="2102" spans="1:15">
      <c r="A2102">
        <v>2101</v>
      </c>
      <c r="B2102" t="s">
        <v>264</v>
      </c>
      <c r="C2102" s="1">
        <v>39083</v>
      </c>
      <c r="D2102">
        <v>19</v>
      </c>
      <c r="E2102" s="4" t="s">
        <v>12</v>
      </c>
      <c r="F2102" t="s">
        <v>295</v>
      </c>
      <c r="G2102" s="1">
        <v>45518</v>
      </c>
      <c r="H2102" s="1">
        <f>TablaDatos[[#This Row],[FechaIngreso]]+TablaDatos[[#This Row],[DiasNuevo]]</f>
        <v>45553</v>
      </c>
      <c r="I2102">
        <v>35</v>
      </c>
      <c r="J2102" t="s">
        <v>23</v>
      </c>
      <c r="K2102" s="3">
        <v>5170.68</v>
      </c>
      <c r="L2102" t="b">
        <f>TablaDatos[[#This Row],[FechaAlta]] &lt; TablaDatos[[#This Row],[FechaIngreso]]</f>
        <v>0</v>
      </c>
      <c r="M2102">
        <f>_xlfn.XLOOKUP(TablaDatos[[#This Row],[PacienteID]],'Datos_Ejemplo.csv'!A:A,'Datos_Ejemplo.csv'!I:I)</f>
        <v>35</v>
      </c>
      <c r="N2102">
        <f>ABS(TablaDatos[[#This Row],[DiasOriginal]])</f>
        <v>35</v>
      </c>
      <c r="O2102" s="1">
        <f>TablaDatos[[#This Row],[FechaIngreso]]+TablaDatos[[#This Row],[DiasNuevo]]</f>
        <v>45553</v>
      </c>
    </row>
    <row r="2103" spans="1:15">
      <c r="A2103">
        <v>2102</v>
      </c>
      <c r="B2103" t="s">
        <v>288</v>
      </c>
      <c r="C2103" s="1">
        <v>27029</v>
      </c>
      <c r="D2103">
        <v>52</v>
      </c>
      <c r="E2103" s="4" t="s">
        <v>12</v>
      </c>
      <c r="F2103" t="s">
        <v>21</v>
      </c>
      <c r="G2103" s="1">
        <v>45050</v>
      </c>
      <c r="H2103" s="1">
        <f>TablaDatos[[#This Row],[FechaIngreso]]+TablaDatos[[#This Row],[DiasNuevo]]</f>
        <v>45068</v>
      </c>
      <c r="I2103">
        <v>18</v>
      </c>
      <c r="J2103" t="s">
        <v>23</v>
      </c>
      <c r="K2103" s="3">
        <v>11375.75</v>
      </c>
      <c r="L2103" t="b">
        <f>TablaDatos[[#This Row],[FechaAlta]] &lt; TablaDatos[[#This Row],[FechaIngreso]]</f>
        <v>0</v>
      </c>
      <c r="M2103">
        <f>_xlfn.XLOOKUP(TablaDatos[[#This Row],[PacienteID]],'Datos_Ejemplo.csv'!A:A,'Datos_Ejemplo.csv'!I:I)</f>
        <v>18</v>
      </c>
      <c r="N2103">
        <f>ABS(TablaDatos[[#This Row],[DiasOriginal]])</f>
        <v>18</v>
      </c>
      <c r="O2103" s="1">
        <f>TablaDatos[[#This Row],[FechaIngreso]]+TablaDatos[[#This Row],[DiasNuevo]]</f>
        <v>45068</v>
      </c>
    </row>
    <row r="2104" spans="1:15">
      <c r="A2104">
        <v>2103</v>
      </c>
      <c r="B2104" t="s">
        <v>363</v>
      </c>
      <c r="C2104" s="1">
        <v>14246</v>
      </c>
      <c r="D2104">
        <v>87</v>
      </c>
      <c r="E2104" s="4" t="s">
        <v>12</v>
      </c>
      <c r="F2104" t="s">
        <v>21</v>
      </c>
      <c r="G2104" s="1">
        <v>44998</v>
      </c>
      <c r="H2104" s="1">
        <f>TablaDatos[[#This Row],[FechaIngreso]]+TablaDatos[[#This Row],[DiasNuevo]]</f>
        <v>45036</v>
      </c>
      <c r="I2104">
        <v>38</v>
      </c>
      <c r="J2104" t="s">
        <v>19</v>
      </c>
      <c r="K2104" s="3">
        <v>8155.74</v>
      </c>
      <c r="L2104" t="b">
        <f>TablaDatos[[#This Row],[FechaAlta]] &lt; TablaDatos[[#This Row],[FechaIngreso]]</f>
        <v>0</v>
      </c>
      <c r="M2104">
        <f>_xlfn.XLOOKUP(TablaDatos[[#This Row],[PacienteID]],'Datos_Ejemplo.csv'!A:A,'Datos_Ejemplo.csv'!I:I)</f>
        <v>38</v>
      </c>
      <c r="N2104">
        <f>ABS(TablaDatos[[#This Row],[DiasOriginal]])</f>
        <v>38</v>
      </c>
      <c r="O2104" s="1">
        <f>TablaDatos[[#This Row],[FechaIngreso]]+TablaDatos[[#This Row],[DiasNuevo]]</f>
        <v>45036</v>
      </c>
    </row>
    <row r="2105" spans="1:15">
      <c r="A2105">
        <v>2104</v>
      </c>
      <c r="B2105" t="s">
        <v>230</v>
      </c>
      <c r="C2105" s="1">
        <v>30682</v>
      </c>
      <c r="D2105">
        <v>42</v>
      </c>
      <c r="E2105" s="4" t="s">
        <v>15</v>
      </c>
      <c r="F2105" t="s">
        <v>18</v>
      </c>
      <c r="G2105" s="1">
        <v>45094</v>
      </c>
      <c r="H2105" s="1">
        <f>TablaDatos[[#This Row],[FechaIngreso]]+TablaDatos[[#This Row],[DiasNuevo]]</f>
        <v>45104</v>
      </c>
      <c r="I2105">
        <v>10</v>
      </c>
      <c r="J2105" t="s">
        <v>23</v>
      </c>
      <c r="K2105" s="3">
        <v>1505.4</v>
      </c>
      <c r="L2105" t="b">
        <f>TablaDatos[[#This Row],[FechaAlta]] &lt; TablaDatos[[#This Row],[FechaIngreso]]</f>
        <v>0</v>
      </c>
      <c r="M2105">
        <f>_xlfn.XLOOKUP(TablaDatos[[#This Row],[PacienteID]],'Datos_Ejemplo.csv'!A:A,'Datos_Ejemplo.csv'!I:I)</f>
        <v>10</v>
      </c>
      <c r="N2105">
        <f>ABS(TablaDatos[[#This Row],[DiasOriginal]])</f>
        <v>10</v>
      </c>
      <c r="O2105" s="1">
        <f>TablaDatos[[#This Row],[FechaIngreso]]+TablaDatos[[#This Row],[DiasNuevo]]</f>
        <v>45104</v>
      </c>
    </row>
    <row r="2106" spans="1:15">
      <c r="A2106">
        <v>2105</v>
      </c>
      <c r="B2106" t="s">
        <v>260</v>
      </c>
      <c r="C2106" s="1">
        <v>13880</v>
      </c>
      <c r="D2106">
        <v>88</v>
      </c>
      <c r="E2106" s="4" t="s">
        <v>12</v>
      </c>
      <c r="F2106" t="s">
        <v>13</v>
      </c>
      <c r="G2106" s="1">
        <v>45210</v>
      </c>
      <c r="H2106" s="1">
        <f>TablaDatos[[#This Row],[FechaIngreso]]+TablaDatos[[#This Row],[DiasNuevo]]</f>
        <v>45219</v>
      </c>
      <c r="I2106">
        <v>9</v>
      </c>
      <c r="J2106" t="s">
        <v>23</v>
      </c>
      <c r="K2106" s="3">
        <v>12546.55</v>
      </c>
      <c r="L2106" t="b">
        <f>TablaDatos[[#This Row],[FechaAlta]] &lt; TablaDatos[[#This Row],[FechaIngreso]]</f>
        <v>0</v>
      </c>
      <c r="M2106">
        <f>_xlfn.XLOOKUP(TablaDatos[[#This Row],[PacienteID]],'Datos_Ejemplo.csv'!A:A,'Datos_Ejemplo.csv'!I:I)</f>
        <v>9</v>
      </c>
      <c r="N2106">
        <f>ABS(TablaDatos[[#This Row],[DiasOriginal]])</f>
        <v>9</v>
      </c>
      <c r="O2106" s="1">
        <f>TablaDatos[[#This Row],[FechaIngreso]]+TablaDatos[[#This Row],[DiasNuevo]]</f>
        <v>45219</v>
      </c>
    </row>
    <row r="2107" spans="1:15">
      <c r="A2107">
        <v>2106</v>
      </c>
      <c r="B2107" t="s">
        <v>310</v>
      </c>
      <c r="C2107" s="1">
        <v>28125</v>
      </c>
      <c r="D2107">
        <v>49</v>
      </c>
      <c r="E2107" s="4" t="s">
        <v>15</v>
      </c>
      <c r="F2107" t="s">
        <v>18</v>
      </c>
      <c r="G2107" s="1">
        <v>45420</v>
      </c>
      <c r="H2107" s="1">
        <f>TablaDatos[[#This Row],[FechaIngreso]]+TablaDatos[[#This Row],[DiasNuevo]]</f>
        <v>45430</v>
      </c>
      <c r="I2107">
        <v>10</v>
      </c>
      <c r="J2107" t="s">
        <v>25</v>
      </c>
      <c r="K2107" s="3">
        <v>1891.47</v>
      </c>
      <c r="L2107" t="b">
        <f>TablaDatos[[#This Row],[FechaAlta]] &lt; TablaDatos[[#This Row],[FechaIngreso]]</f>
        <v>0</v>
      </c>
      <c r="M2107">
        <f>_xlfn.XLOOKUP(TablaDatos[[#This Row],[PacienteID]],'Datos_Ejemplo.csv'!A:A,'Datos_Ejemplo.csv'!I:I)</f>
        <v>10</v>
      </c>
      <c r="N2107">
        <f>ABS(TablaDatos[[#This Row],[DiasOriginal]])</f>
        <v>10</v>
      </c>
      <c r="O2107" s="1">
        <f>TablaDatos[[#This Row],[FechaIngreso]]+TablaDatos[[#This Row],[DiasNuevo]]</f>
        <v>45430</v>
      </c>
    </row>
    <row r="2108" spans="1:15">
      <c r="A2108">
        <v>2107</v>
      </c>
      <c r="B2108" t="s">
        <v>331</v>
      </c>
      <c r="C2108" s="1">
        <v>35795</v>
      </c>
      <c r="D2108">
        <v>28</v>
      </c>
      <c r="E2108" s="4" t="s">
        <v>12</v>
      </c>
      <c r="F2108" t="s">
        <v>295</v>
      </c>
      <c r="G2108" s="1">
        <v>44962</v>
      </c>
      <c r="H2108" s="1">
        <f>TablaDatos[[#This Row],[FechaIngreso]]+TablaDatos[[#This Row],[DiasNuevo]]</f>
        <v>44977</v>
      </c>
      <c r="I2108">
        <v>15</v>
      </c>
      <c r="J2108" t="s">
        <v>25</v>
      </c>
      <c r="K2108" s="3">
        <v>12088.94</v>
      </c>
      <c r="L2108" t="b">
        <f>TablaDatos[[#This Row],[FechaAlta]] &lt; TablaDatos[[#This Row],[FechaIngreso]]</f>
        <v>0</v>
      </c>
      <c r="M2108">
        <f>_xlfn.XLOOKUP(TablaDatos[[#This Row],[PacienteID]],'Datos_Ejemplo.csv'!A:A,'Datos_Ejemplo.csv'!I:I)</f>
        <v>15</v>
      </c>
      <c r="N2108">
        <f>ABS(TablaDatos[[#This Row],[DiasOriginal]])</f>
        <v>15</v>
      </c>
      <c r="O2108" s="1">
        <f>TablaDatos[[#This Row],[FechaIngreso]]+TablaDatos[[#This Row],[DiasNuevo]]</f>
        <v>44977</v>
      </c>
    </row>
    <row r="2109" spans="1:15">
      <c r="A2109">
        <v>2108</v>
      </c>
      <c r="B2109" t="s">
        <v>270</v>
      </c>
      <c r="C2109" s="1">
        <v>25568</v>
      </c>
      <c r="D2109">
        <v>56</v>
      </c>
      <c r="E2109" s="4" t="s">
        <v>12</v>
      </c>
      <c r="F2109" t="s">
        <v>261</v>
      </c>
      <c r="G2109" s="1">
        <v>45101</v>
      </c>
      <c r="H2109" s="1">
        <f>TablaDatos[[#This Row],[FechaIngreso]]+TablaDatos[[#This Row],[DiasNuevo]]</f>
        <v>45117</v>
      </c>
      <c r="I2109">
        <v>16</v>
      </c>
      <c r="J2109" t="s">
        <v>23</v>
      </c>
      <c r="K2109" s="3">
        <v>10090.870000000001</v>
      </c>
      <c r="L2109" t="b">
        <f>TablaDatos[[#This Row],[FechaAlta]] &lt; TablaDatos[[#This Row],[FechaIngreso]]</f>
        <v>0</v>
      </c>
      <c r="M2109">
        <f>_xlfn.XLOOKUP(TablaDatos[[#This Row],[PacienteID]],'Datos_Ejemplo.csv'!A:A,'Datos_Ejemplo.csv'!I:I)</f>
        <v>16</v>
      </c>
      <c r="N2109">
        <f>ABS(TablaDatos[[#This Row],[DiasOriginal]])</f>
        <v>16</v>
      </c>
      <c r="O2109" s="1">
        <f>TablaDatos[[#This Row],[FechaIngreso]]+TablaDatos[[#This Row],[DiasNuevo]]</f>
        <v>45117</v>
      </c>
    </row>
    <row r="2110" spans="1:15">
      <c r="A2110">
        <v>2109</v>
      </c>
      <c r="B2110" t="s">
        <v>293</v>
      </c>
      <c r="C2110" s="1">
        <v>32143</v>
      </c>
      <c r="D2110">
        <v>38</v>
      </c>
      <c r="E2110" s="4" t="s">
        <v>15</v>
      </c>
      <c r="F2110" t="s">
        <v>21</v>
      </c>
      <c r="G2110" s="1">
        <v>45125</v>
      </c>
      <c r="H2110" s="1">
        <f>TablaDatos[[#This Row],[FechaIngreso]]+TablaDatos[[#This Row],[DiasNuevo]]</f>
        <v>45141</v>
      </c>
      <c r="I2110">
        <v>16</v>
      </c>
      <c r="J2110" t="s">
        <v>25</v>
      </c>
      <c r="K2110" s="3">
        <v>9822.74</v>
      </c>
      <c r="L2110" t="b">
        <f>TablaDatos[[#This Row],[FechaAlta]] &lt; TablaDatos[[#This Row],[FechaIngreso]]</f>
        <v>0</v>
      </c>
      <c r="M2110">
        <f>_xlfn.XLOOKUP(TablaDatos[[#This Row],[PacienteID]],'Datos_Ejemplo.csv'!A:A,'Datos_Ejemplo.csv'!I:I)</f>
        <v>16</v>
      </c>
      <c r="N2110">
        <f>ABS(TablaDatos[[#This Row],[DiasOriginal]])</f>
        <v>16</v>
      </c>
      <c r="O2110" s="1">
        <f>TablaDatos[[#This Row],[FechaIngreso]]+TablaDatos[[#This Row],[DiasNuevo]]</f>
        <v>45141</v>
      </c>
    </row>
    <row r="2111" spans="1:15">
      <c r="A2111">
        <v>2110</v>
      </c>
      <c r="B2111" t="s">
        <v>360</v>
      </c>
      <c r="C2111" s="1">
        <v>11689</v>
      </c>
      <c r="D2111">
        <v>94</v>
      </c>
      <c r="E2111" s="4" t="s">
        <v>15</v>
      </c>
      <c r="F2111" t="s">
        <v>21</v>
      </c>
      <c r="G2111" s="1">
        <v>45042</v>
      </c>
      <c r="H2111" s="1">
        <f>TablaDatos[[#This Row],[FechaIngreso]]+TablaDatos[[#This Row],[DiasNuevo]]</f>
        <v>45045</v>
      </c>
      <c r="I2111">
        <v>3</v>
      </c>
      <c r="J2111" t="s">
        <v>25</v>
      </c>
      <c r="K2111" s="3">
        <v>1256.67</v>
      </c>
      <c r="L2111" t="b">
        <f>TablaDatos[[#This Row],[FechaAlta]] &lt; TablaDatos[[#This Row],[FechaIngreso]]</f>
        <v>0</v>
      </c>
      <c r="M2111">
        <f>_xlfn.XLOOKUP(TablaDatos[[#This Row],[PacienteID]],'Datos_Ejemplo.csv'!A:A,'Datos_Ejemplo.csv'!I:I)</f>
        <v>3</v>
      </c>
      <c r="N2111">
        <f>ABS(TablaDatos[[#This Row],[DiasOriginal]])</f>
        <v>3</v>
      </c>
      <c r="O2111" s="1">
        <f>TablaDatos[[#This Row],[FechaIngreso]]+TablaDatos[[#This Row],[DiasNuevo]]</f>
        <v>45045</v>
      </c>
    </row>
    <row r="2112" spans="1:15">
      <c r="A2112">
        <v>2111</v>
      </c>
      <c r="B2112" t="s">
        <v>344</v>
      </c>
      <c r="C2112" s="1">
        <v>25934</v>
      </c>
      <c r="D2112">
        <v>55</v>
      </c>
      <c r="E2112" s="4" t="s">
        <v>12</v>
      </c>
      <c r="F2112" t="s">
        <v>201</v>
      </c>
      <c r="G2112" s="1">
        <v>45241</v>
      </c>
      <c r="H2112" s="1">
        <f>TablaDatos[[#This Row],[FechaIngreso]]+TablaDatos[[#This Row],[DiasNuevo]]</f>
        <v>45245</v>
      </c>
      <c r="I2112">
        <v>4</v>
      </c>
      <c r="J2112" t="s">
        <v>19</v>
      </c>
      <c r="K2112" s="3">
        <v>12748.33</v>
      </c>
      <c r="L2112" t="b">
        <f>TablaDatos[[#This Row],[FechaAlta]] &lt; TablaDatos[[#This Row],[FechaIngreso]]</f>
        <v>0</v>
      </c>
      <c r="M2112">
        <f>_xlfn.XLOOKUP(TablaDatos[[#This Row],[PacienteID]],'Datos_Ejemplo.csv'!A:A,'Datos_Ejemplo.csv'!I:I)</f>
        <v>4</v>
      </c>
      <c r="N2112">
        <f>ABS(TablaDatos[[#This Row],[DiasOriginal]])</f>
        <v>4</v>
      </c>
      <c r="O2112" s="1">
        <f>TablaDatos[[#This Row],[FechaIngreso]]+TablaDatos[[#This Row],[DiasNuevo]]</f>
        <v>45245</v>
      </c>
    </row>
    <row r="2113" spans="1:15">
      <c r="A2113">
        <v>2112</v>
      </c>
      <c r="B2113" t="s">
        <v>257</v>
      </c>
      <c r="C2113" s="1">
        <v>30682</v>
      </c>
      <c r="D2113">
        <v>42</v>
      </c>
      <c r="E2113" s="4" t="s">
        <v>15</v>
      </c>
      <c r="F2113" t="s">
        <v>32</v>
      </c>
      <c r="G2113" s="1">
        <v>45146</v>
      </c>
      <c r="H2113" s="1">
        <f>TablaDatos[[#This Row],[FechaIngreso]]+TablaDatos[[#This Row],[DiasNuevo]]</f>
        <v>45150</v>
      </c>
      <c r="I2113">
        <v>4</v>
      </c>
      <c r="J2113" t="s">
        <v>23</v>
      </c>
      <c r="K2113" s="3">
        <v>8569.5400000000009</v>
      </c>
      <c r="L2113" t="b">
        <f>TablaDatos[[#This Row],[FechaAlta]] &lt; TablaDatos[[#This Row],[FechaIngreso]]</f>
        <v>0</v>
      </c>
      <c r="M2113">
        <f>_xlfn.XLOOKUP(TablaDatos[[#This Row],[PacienteID]],'Datos_Ejemplo.csv'!A:A,'Datos_Ejemplo.csv'!I:I)</f>
        <v>4</v>
      </c>
      <c r="N2113">
        <f>ABS(TablaDatos[[#This Row],[DiasOriginal]])</f>
        <v>4</v>
      </c>
      <c r="O2113" s="1">
        <f>TablaDatos[[#This Row],[FechaIngreso]]+TablaDatos[[#This Row],[DiasNuevo]]</f>
        <v>45150</v>
      </c>
    </row>
    <row r="2114" spans="1:15">
      <c r="A2114">
        <v>2113</v>
      </c>
      <c r="B2114" t="s">
        <v>253</v>
      </c>
      <c r="C2114" s="1">
        <v>28125</v>
      </c>
      <c r="D2114">
        <v>49</v>
      </c>
      <c r="E2114" s="4" t="s">
        <v>15</v>
      </c>
      <c r="F2114" t="s">
        <v>13</v>
      </c>
      <c r="G2114" s="1">
        <v>45504</v>
      </c>
      <c r="H2114" s="1">
        <f>TablaDatos[[#This Row],[FechaIngreso]]+TablaDatos[[#This Row],[DiasNuevo]]</f>
        <v>45529</v>
      </c>
      <c r="I2114">
        <v>25</v>
      </c>
      <c r="J2114" t="s">
        <v>25</v>
      </c>
      <c r="K2114" s="3">
        <v>8163.23</v>
      </c>
      <c r="L2114" t="b">
        <f>TablaDatos[[#This Row],[FechaAlta]] &lt; TablaDatos[[#This Row],[FechaIngreso]]</f>
        <v>0</v>
      </c>
      <c r="M2114">
        <f>_xlfn.XLOOKUP(TablaDatos[[#This Row],[PacienteID]],'Datos_Ejemplo.csv'!A:A,'Datos_Ejemplo.csv'!I:I)</f>
        <v>25</v>
      </c>
      <c r="N2114">
        <f>ABS(TablaDatos[[#This Row],[DiasOriginal]])</f>
        <v>25</v>
      </c>
      <c r="O2114" s="1">
        <f>TablaDatos[[#This Row],[FechaIngreso]]+TablaDatos[[#This Row],[DiasNuevo]]</f>
        <v>45529</v>
      </c>
    </row>
    <row r="2115" spans="1:15">
      <c r="A2115">
        <v>2114</v>
      </c>
      <c r="B2115" t="s">
        <v>235</v>
      </c>
      <c r="C2115" s="1">
        <v>37987</v>
      </c>
      <c r="D2115">
        <v>22</v>
      </c>
      <c r="E2115" s="4" t="s">
        <v>12</v>
      </c>
      <c r="F2115" t="s">
        <v>13</v>
      </c>
      <c r="G2115" s="1">
        <v>45060</v>
      </c>
      <c r="H2115" s="1">
        <f>TablaDatos[[#This Row],[FechaIngreso]]+TablaDatos[[#This Row],[DiasNuevo]]</f>
        <v>45085</v>
      </c>
      <c r="I2115">
        <v>25</v>
      </c>
      <c r="J2115" t="s">
        <v>23</v>
      </c>
      <c r="K2115" s="3">
        <v>11888.67</v>
      </c>
      <c r="L2115" t="b">
        <f>TablaDatos[[#This Row],[FechaAlta]] &lt; TablaDatos[[#This Row],[FechaIngreso]]</f>
        <v>0</v>
      </c>
      <c r="M2115">
        <f>_xlfn.XLOOKUP(TablaDatos[[#This Row],[PacienteID]],'Datos_Ejemplo.csv'!A:A,'Datos_Ejemplo.csv'!I:I)</f>
        <v>25</v>
      </c>
      <c r="N2115">
        <f>ABS(TablaDatos[[#This Row],[DiasOriginal]])</f>
        <v>25</v>
      </c>
      <c r="O2115" s="1">
        <f>TablaDatos[[#This Row],[FechaIngreso]]+TablaDatos[[#This Row],[DiasNuevo]]</f>
        <v>45085</v>
      </c>
    </row>
    <row r="2116" spans="1:15">
      <c r="A2116">
        <v>2115</v>
      </c>
      <c r="B2116" t="s">
        <v>232</v>
      </c>
      <c r="C2116" s="1">
        <v>30317</v>
      </c>
      <c r="D2116">
        <v>43</v>
      </c>
      <c r="E2116" s="4" t="s">
        <v>15</v>
      </c>
      <c r="F2116" t="s">
        <v>32</v>
      </c>
      <c r="G2116" s="1">
        <v>45557</v>
      </c>
      <c r="H2116" s="1">
        <f>TablaDatos[[#This Row],[FechaIngreso]]+TablaDatos[[#This Row],[DiasNuevo]]</f>
        <v>45573</v>
      </c>
      <c r="I2116">
        <v>16</v>
      </c>
      <c r="J2116" t="s">
        <v>23</v>
      </c>
      <c r="K2116" s="3">
        <v>12085.59</v>
      </c>
      <c r="L2116" t="b">
        <f>TablaDatos[[#This Row],[FechaAlta]] &lt; TablaDatos[[#This Row],[FechaIngreso]]</f>
        <v>0</v>
      </c>
      <c r="M2116">
        <f>_xlfn.XLOOKUP(TablaDatos[[#This Row],[PacienteID]],'Datos_Ejemplo.csv'!A:A,'Datos_Ejemplo.csv'!I:I)</f>
        <v>16</v>
      </c>
      <c r="N2116">
        <f>ABS(TablaDatos[[#This Row],[DiasOriginal]])</f>
        <v>16</v>
      </c>
      <c r="O2116" s="1">
        <f>TablaDatos[[#This Row],[FechaIngreso]]+TablaDatos[[#This Row],[DiasNuevo]]</f>
        <v>45573</v>
      </c>
    </row>
    <row r="2117" spans="1:15">
      <c r="A2117">
        <v>2116</v>
      </c>
      <c r="B2117" t="s">
        <v>361</v>
      </c>
      <c r="C2117" s="1">
        <v>32508</v>
      </c>
      <c r="D2117">
        <v>37</v>
      </c>
      <c r="E2117" s="4" t="s">
        <v>12</v>
      </c>
      <c r="F2117" t="s">
        <v>295</v>
      </c>
      <c r="G2117" s="1">
        <v>45048</v>
      </c>
      <c r="H2117" s="1">
        <f>TablaDatos[[#This Row],[FechaIngreso]]+TablaDatos[[#This Row],[DiasNuevo]]</f>
        <v>45061</v>
      </c>
      <c r="I2117">
        <v>13</v>
      </c>
      <c r="J2117" t="s">
        <v>23</v>
      </c>
      <c r="K2117" s="3">
        <v>202.17</v>
      </c>
      <c r="L2117" t="b">
        <f>TablaDatos[[#This Row],[FechaAlta]] &lt; TablaDatos[[#This Row],[FechaIngreso]]</f>
        <v>0</v>
      </c>
      <c r="M2117">
        <f>_xlfn.XLOOKUP(TablaDatos[[#This Row],[PacienteID]],'Datos_Ejemplo.csv'!A:A,'Datos_Ejemplo.csv'!I:I)</f>
        <v>13</v>
      </c>
      <c r="N2117">
        <f>ABS(TablaDatos[[#This Row],[DiasOriginal]])</f>
        <v>13</v>
      </c>
      <c r="O2117" s="1">
        <f>TablaDatos[[#This Row],[FechaIngreso]]+TablaDatos[[#This Row],[DiasNuevo]]</f>
        <v>45061</v>
      </c>
    </row>
    <row r="2118" spans="1:15">
      <c r="A2118">
        <v>2117</v>
      </c>
      <c r="B2118" t="s">
        <v>348</v>
      </c>
      <c r="C2118" s="1">
        <v>15707</v>
      </c>
      <c r="D2118">
        <v>83</v>
      </c>
      <c r="E2118" s="4" t="s">
        <v>15</v>
      </c>
      <c r="F2118" t="s">
        <v>13</v>
      </c>
      <c r="G2118" s="1">
        <v>45347</v>
      </c>
      <c r="H2118" s="1">
        <f>TablaDatos[[#This Row],[FechaIngreso]]+TablaDatos[[#This Row],[DiasNuevo]]</f>
        <v>45361</v>
      </c>
      <c r="I2118">
        <v>14</v>
      </c>
      <c r="J2118" t="s">
        <v>25</v>
      </c>
      <c r="K2118" s="3">
        <v>2417.04</v>
      </c>
      <c r="L2118" t="b">
        <f>TablaDatos[[#This Row],[FechaAlta]] &lt; TablaDatos[[#This Row],[FechaIngreso]]</f>
        <v>0</v>
      </c>
      <c r="M2118">
        <f>_xlfn.XLOOKUP(TablaDatos[[#This Row],[PacienteID]],'Datos_Ejemplo.csv'!A:A,'Datos_Ejemplo.csv'!I:I)</f>
        <v>14</v>
      </c>
      <c r="N2118">
        <f>ABS(TablaDatos[[#This Row],[DiasOriginal]])</f>
        <v>14</v>
      </c>
      <c r="O2118" s="1">
        <f>TablaDatos[[#This Row],[FechaIngreso]]+TablaDatos[[#This Row],[DiasNuevo]]</f>
        <v>45361</v>
      </c>
    </row>
    <row r="2119" spans="1:15">
      <c r="A2119">
        <v>2118</v>
      </c>
      <c r="B2119" t="s">
        <v>241</v>
      </c>
      <c r="C2119" s="1">
        <v>37987</v>
      </c>
      <c r="D2119">
        <v>22</v>
      </c>
      <c r="E2119" s="4" t="s">
        <v>12</v>
      </c>
      <c r="F2119" t="s">
        <v>21</v>
      </c>
      <c r="G2119" s="1">
        <v>45418</v>
      </c>
      <c r="H2119" s="1">
        <f>TablaDatos[[#This Row],[FechaIngreso]]+TablaDatos[[#This Row],[DiasNuevo]]</f>
        <v>45437</v>
      </c>
      <c r="I2119">
        <v>19</v>
      </c>
      <c r="J2119" t="s">
        <v>25</v>
      </c>
      <c r="K2119" s="3">
        <v>4654.0200000000004</v>
      </c>
      <c r="L2119" t="b">
        <f>TablaDatos[[#This Row],[FechaAlta]] &lt; TablaDatos[[#This Row],[FechaIngreso]]</f>
        <v>0</v>
      </c>
      <c r="M2119">
        <f>_xlfn.XLOOKUP(TablaDatos[[#This Row],[PacienteID]],'Datos_Ejemplo.csv'!A:A,'Datos_Ejemplo.csv'!I:I)</f>
        <v>19</v>
      </c>
      <c r="N2119">
        <f>ABS(TablaDatos[[#This Row],[DiasOriginal]])</f>
        <v>19</v>
      </c>
      <c r="O2119" s="1">
        <f>TablaDatos[[#This Row],[FechaIngreso]]+TablaDatos[[#This Row],[DiasNuevo]]</f>
        <v>45437</v>
      </c>
    </row>
    <row r="2120" spans="1:15">
      <c r="A2120">
        <v>2119</v>
      </c>
      <c r="B2120" t="s">
        <v>361</v>
      </c>
      <c r="C2120" s="1">
        <v>29951</v>
      </c>
      <c r="D2120">
        <v>44</v>
      </c>
      <c r="E2120" s="4" t="s">
        <v>15</v>
      </c>
      <c r="F2120" t="s">
        <v>295</v>
      </c>
      <c r="G2120" s="1">
        <v>45525</v>
      </c>
      <c r="H2120" s="1">
        <f>TablaDatos[[#This Row],[FechaIngreso]]+TablaDatos[[#This Row],[DiasNuevo]]</f>
        <v>45541</v>
      </c>
      <c r="I2120">
        <v>16</v>
      </c>
      <c r="J2120" t="s">
        <v>19</v>
      </c>
      <c r="K2120" s="3">
        <v>13527.34</v>
      </c>
      <c r="L2120" t="b">
        <f>TablaDatos[[#This Row],[FechaAlta]] &lt; TablaDatos[[#This Row],[FechaIngreso]]</f>
        <v>0</v>
      </c>
      <c r="M2120">
        <f>_xlfn.XLOOKUP(TablaDatos[[#This Row],[PacienteID]],'Datos_Ejemplo.csv'!A:A,'Datos_Ejemplo.csv'!I:I)</f>
        <v>16</v>
      </c>
      <c r="N2120">
        <f>ABS(TablaDatos[[#This Row],[DiasOriginal]])</f>
        <v>16</v>
      </c>
      <c r="O2120" s="1">
        <f>TablaDatos[[#This Row],[FechaIngreso]]+TablaDatos[[#This Row],[DiasNuevo]]</f>
        <v>45541</v>
      </c>
    </row>
    <row r="2121" spans="1:15">
      <c r="A2121">
        <v>2120</v>
      </c>
      <c r="B2121" t="s">
        <v>325</v>
      </c>
      <c r="C2121" s="1">
        <v>27395</v>
      </c>
      <c r="D2121">
        <v>51</v>
      </c>
      <c r="E2121" s="4" t="s">
        <v>15</v>
      </c>
      <c r="F2121" t="s">
        <v>18</v>
      </c>
      <c r="G2121" s="1">
        <v>45215</v>
      </c>
      <c r="H2121" s="1">
        <f>TablaDatos[[#This Row],[FechaIngreso]]+TablaDatos[[#This Row],[DiasNuevo]]</f>
        <v>45241</v>
      </c>
      <c r="I2121">
        <v>26</v>
      </c>
      <c r="J2121" t="s">
        <v>23</v>
      </c>
      <c r="K2121" s="3">
        <v>11492.5</v>
      </c>
      <c r="L2121" t="b">
        <f>TablaDatos[[#This Row],[FechaAlta]] &lt; TablaDatos[[#This Row],[FechaIngreso]]</f>
        <v>0</v>
      </c>
      <c r="M2121">
        <f>_xlfn.XLOOKUP(TablaDatos[[#This Row],[PacienteID]],'Datos_Ejemplo.csv'!A:A,'Datos_Ejemplo.csv'!I:I)</f>
        <v>26</v>
      </c>
      <c r="N2121">
        <f>ABS(TablaDatos[[#This Row],[DiasOriginal]])</f>
        <v>26</v>
      </c>
      <c r="O2121" s="1">
        <f>TablaDatos[[#This Row],[FechaIngreso]]+TablaDatos[[#This Row],[DiasNuevo]]</f>
        <v>45241</v>
      </c>
    </row>
    <row r="2122" spans="1:15">
      <c r="A2122">
        <v>2121</v>
      </c>
      <c r="B2122" t="s">
        <v>256</v>
      </c>
      <c r="C2122" s="1">
        <v>17168</v>
      </c>
      <c r="D2122">
        <v>79</v>
      </c>
      <c r="E2122" s="4" t="s">
        <v>12</v>
      </c>
      <c r="F2122" t="s">
        <v>18</v>
      </c>
      <c r="G2122" s="1">
        <v>45575</v>
      </c>
      <c r="H2122" s="1">
        <f>TablaDatos[[#This Row],[FechaIngreso]]+TablaDatos[[#This Row],[DiasNuevo]]</f>
        <v>45591</v>
      </c>
      <c r="I2122">
        <v>16</v>
      </c>
      <c r="J2122" t="s">
        <v>19</v>
      </c>
      <c r="K2122" s="3">
        <v>15128.35</v>
      </c>
      <c r="L2122" t="b">
        <f>TablaDatos[[#This Row],[FechaAlta]] &lt; TablaDatos[[#This Row],[FechaIngreso]]</f>
        <v>0</v>
      </c>
      <c r="M2122">
        <f>_xlfn.XLOOKUP(TablaDatos[[#This Row],[PacienteID]],'Datos_Ejemplo.csv'!A:A,'Datos_Ejemplo.csv'!I:I)</f>
        <v>16</v>
      </c>
      <c r="N2122">
        <f>ABS(TablaDatos[[#This Row],[DiasOriginal]])</f>
        <v>16</v>
      </c>
      <c r="O2122" s="1">
        <f>TablaDatos[[#This Row],[FechaIngreso]]+TablaDatos[[#This Row],[DiasNuevo]]</f>
        <v>45591</v>
      </c>
    </row>
    <row r="2123" spans="1:15">
      <c r="A2123">
        <v>2122</v>
      </c>
      <c r="B2123" t="s">
        <v>310</v>
      </c>
      <c r="C2123" s="1">
        <v>28125</v>
      </c>
      <c r="D2123">
        <v>49</v>
      </c>
      <c r="E2123" s="4" t="s">
        <v>12</v>
      </c>
      <c r="F2123" t="s">
        <v>295</v>
      </c>
      <c r="G2123" s="1">
        <v>44979</v>
      </c>
      <c r="H2123" s="1">
        <f>TablaDatos[[#This Row],[FechaIngreso]]+TablaDatos[[#This Row],[DiasNuevo]]</f>
        <v>45011</v>
      </c>
      <c r="I2123">
        <v>32</v>
      </c>
      <c r="J2123" t="s">
        <v>19</v>
      </c>
      <c r="K2123" s="3">
        <v>14786.22</v>
      </c>
      <c r="L2123" t="b">
        <f>TablaDatos[[#This Row],[FechaAlta]] &lt; TablaDatos[[#This Row],[FechaIngreso]]</f>
        <v>0</v>
      </c>
      <c r="M2123">
        <f>_xlfn.XLOOKUP(TablaDatos[[#This Row],[PacienteID]],'Datos_Ejemplo.csv'!A:A,'Datos_Ejemplo.csv'!I:I)</f>
        <v>32</v>
      </c>
      <c r="N2123">
        <f>ABS(TablaDatos[[#This Row],[DiasOriginal]])</f>
        <v>32</v>
      </c>
      <c r="O2123" s="1">
        <f>TablaDatos[[#This Row],[FechaIngreso]]+TablaDatos[[#This Row],[DiasNuevo]]</f>
        <v>45011</v>
      </c>
    </row>
    <row r="2124" spans="1:15">
      <c r="A2124">
        <v>2123</v>
      </c>
      <c r="B2124" t="s">
        <v>130</v>
      </c>
      <c r="C2124" s="1">
        <v>43466</v>
      </c>
      <c r="D2124">
        <v>7</v>
      </c>
      <c r="E2124" s="4" t="s">
        <v>15</v>
      </c>
      <c r="F2124" t="s">
        <v>21</v>
      </c>
      <c r="G2124" s="1">
        <v>45131</v>
      </c>
      <c r="H2124" s="1">
        <f>TablaDatos[[#This Row],[FechaIngreso]]+TablaDatos[[#This Row],[DiasNuevo]]</f>
        <v>45153</v>
      </c>
      <c r="I2124">
        <v>22</v>
      </c>
      <c r="J2124" t="s">
        <v>23</v>
      </c>
      <c r="K2124" s="3">
        <v>17048.98</v>
      </c>
      <c r="L2124" t="b">
        <f>TablaDatos[[#This Row],[FechaAlta]] &lt; TablaDatos[[#This Row],[FechaIngreso]]</f>
        <v>0</v>
      </c>
      <c r="M2124">
        <f>_xlfn.XLOOKUP(TablaDatos[[#This Row],[PacienteID]],'Datos_Ejemplo.csv'!A:A,'Datos_Ejemplo.csv'!I:I)</f>
        <v>22</v>
      </c>
      <c r="N2124">
        <f>ABS(TablaDatos[[#This Row],[DiasOriginal]])</f>
        <v>22</v>
      </c>
      <c r="O2124" s="1">
        <f>TablaDatos[[#This Row],[FechaIngreso]]+TablaDatos[[#This Row],[DiasNuevo]]</f>
        <v>45153</v>
      </c>
    </row>
    <row r="2125" spans="1:15">
      <c r="A2125">
        <v>2124</v>
      </c>
      <c r="B2125" t="s">
        <v>243</v>
      </c>
      <c r="C2125" s="1">
        <v>15341</v>
      </c>
      <c r="D2125">
        <v>84</v>
      </c>
      <c r="E2125" s="4" t="s">
        <v>15</v>
      </c>
      <c r="F2125" t="s">
        <v>201</v>
      </c>
      <c r="G2125" s="1">
        <v>45274</v>
      </c>
      <c r="H2125" s="1">
        <f>TablaDatos[[#This Row],[FechaIngreso]]+TablaDatos[[#This Row],[DiasNuevo]]</f>
        <v>45291</v>
      </c>
      <c r="I2125">
        <v>17</v>
      </c>
      <c r="J2125" t="s">
        <v>25</v>
      </c>
      <c r="K2125" s="3">
        <v>7473.98</v>
      </c>
      <c r="L2125" t="b">
        <f>TablaDatos[[#This Row],[FechaAlta]] &lt; TablaDatos[[#This Row],[FechaIngreso]]</f>
        <v>0</v>
      </c>
      <c r="M2125">
        <f>_xlfn.XLOOKUP(TablaDatos[[#This Row],[PacienteID]],'Datos_Ejemplo.csv'!A:A,'Datos_Ejemplo.csv'!I:I)</f>
        <v>17</v>
      </c>
      <c r="N2125">
        <f>ABS(TablaDatos[[#This Row],[DiasOriginal]])</f>
        <v>17</v>
      </c>
      <c r="O2125" s="1">
        <f>TablaDatos[[#This Row],[FechaIngreso]]+TablaDatos[[#This Row],[DiasNuevo]]</f>
        <v>45291</v>
      </c>
    </row>
    <row r="2126" spans="1:15">
      <c r="A2126">
        <v>2125</v>
      </c>
      <c r="B2126" t="s">
        <v>343</v>
      </c>
      <c r="C2126" s="1">
        <v>46022</v>
      </c>
      <c r="D2126">
        <v>0</v>
      </c>
      <c r="E2126" s="4" t="s">
        <v>12</v>
      </c>
      <c r="F2126" t="s">
        <v>18</v>
      </c>
      <c r="G2126" s="1">
        <v>44977</v>
      </c>
      <c r="H2126" s="1">
        <f>TablaDatos[[#This Row],[FechaIngreso]]+TablaDatos[[#This Row],[DiasNuevo]]</f>
        <v>45011</v>
      </c>
      <c r="I2126">
        <v>34</v>
      </c>
      <c r="J2126" t="s">
        <v>19</v>
      </c>
      <c r="K2126" s="3">
        <v>6835.78</v>
      </c>
      <c r="L2126" t="b">
        <f>TablaDatos[[#This Row],[FechaAlta]] &lt; TablaDatos[[#This Row],[FechaIngreso]]</f>
        <v>0</v>
      </c>
      <c r="M2126">
        <f>_xlfn.XLOOKUP(TablaDatos[[#This Row],[PacienteID]],'Datos_Ejemplo.csv'!A:A,'Datos_Ejemplo.csv'!I:I)</f>
        <v>34</v>
      </c>
      <c r="N2126">
        <f>ABS(TablaDatos[[#This Row],[DiasOriginal]])</f>
        <v>34</v>
      </c>
      <c r="O2126" s="1">
        <f>TablaDatos[[#This Row],[FechaIngreso]]+TablaDatos[[#This Row],[DiasNuevo]]</f>
        <v>45011</v>
      </c>
    </row>
    <row r="2127" spans="1:15">
      <c r="A2127">
        <v>2126</v>
      </c>
      <c r="B2127" t="s">
        <v>338</v>
      </c>
      <c r="C2127" s="1">
        <v>43466</v>
      </c>
      <c r="D2127">
        <v>7</v>
      </c>
      <c r="E2127" s="4" t="s">
        <v>12</v>
      </c>
      <c r="F2127" t="s">
        <v>261</v>
      </c>
      <c r="G2127" s="1">
        <v>44966</v>
      </c>
      <c r="H2127" s="1">
        <f>TablaDatos[[#This Row],[FechaIngreso]]+TablaDatos[[#This Row],[DiasNuevo]]</f>
        <v>44982</v>
      </c>
      <c r="I2127">
        <v>16</v>
      </c>
      <c r="J2127" t="s">
        <v>23</v>
      </c>
      <c r="K2127" s="3">
        <v>16603.41</v>
      </c>
      <c r="L2127" t="b">
        <f>TablaDatos[[#This Row],[FechaAlta]] &lt; TablaDatos[[#This Row],[FechaIngreso]]</f>
        <v>0</v>
      </c>
      <c r="M2127">
        <f>_xlfn.XLOOKUP(TablaDatos[[#This Row],[PacienteID]],'Datos_Ejemplo.csv'!A:A,'Datos_Ejemplo.csv'!I:I)</f>
        <v>16</v>
      </c>
      <c r="N2127">
        <f>ABS(TablaDatos[[#This Row],[DiasOriginal]])</f>
        <v>16</v>
      </c>
      <c r="O2127" s="1">
        <f>TablaDatos[[#This Row],[FechaIngreso]]+TablaDatos[[#This Row],[DiasNuevo]]</f>
        <v>44982</v>
      </c>
    </row>
    <row r="2128" spans="1:15">
      <c r="A2128">
        <v>2127</v>
      </c>
      <c r="B2128" t="s">
        <v>281</v>
      </c>
      <c r="C2128" s="1">
        <v>35795</v>
      </c>
      <c r="D2128">
        <f ca="1">DATEDIF(TablaDatos[[#This Row],[FechaNacimiento]],TODAY(),"Y")</f>
        <v>28</v>
      </c>
      <c r="E2128" s="4" t="s">
        <v>197</v>
      </c>
      <c r="F2128" t="s">
        <v>21</v>
      </c>
      <c r="G2128" s="1">
        <v>45176</v>
      </c>
      <c r="H2128" s="1">
        <f>TablaDatos[[#This Row],[FechaIngreso]]+TablaDatos[[#This Row],[DiasNuevo]]</f>
        <v>45215</v>
      </c>
      <c r="I2128">
        <v>39</v>
      </c>
      <c r="J2128" t="s">
        <v>19</v>
      </c>
      <c r="K2128" s="3">
        <v>4675.79</v>
      </c>
      <c r="L2128" t="b">
        <f>TablaDatos[[#This Row],[FechaAlta]] &lt; TablaDatos[[#This Row],[FechaIngreso]]</f>
        <v>0</v>
      </c>
      <c r="M2128">
        <f>_xlfn.XLOOKUP(TablaDatos[[#This Row],[PacienteID]],'Datos_Ejemplo.csv'!A:A,'Datos_Ejemplo.csv'!I:I)</f>
        <v>39</v>
      </c>
      <c r="N2128">
        <f>ABS(TablaDatos[[#This Row],[DiasOriginal]])</f>
        <v>39</v>
      </c>
      <c r="O2128" s="1">
        <f>TablaDatos[[#This Row],[FechaIngreso]]+TablaDatos[[#This Row],[DiasNuevo]]</f>
        <v>45215</v>
      </c>
    </row>
    <row r="2129" spans="1:15">
      <c r="A2129">
        <v>2128</v>
      </c>
      <c r="B2129" t="s">
        <v>349</v>
      </c>
      <c r="C2129" s="1">
        <v>44561</v>
      </c>
      <c r="D2129">
        <f ca="1">DATEDIF(TablaDatos[[#This Row],[FechaNacimiento]],TODAY(),"Y")</f>
        <v>4</v>
      </c>
      <c r="E2129" s="4" t="s">
        <v>197</v>
      </c>
      <c r="F2129" t="s">
        <v>32</v>
      </c>
      <c r="G2129" s="1">
        <v>45144</v>
      </c>
      <c r="H2129" s="1">
        <f>TablaDatos[[#This Row],[FechaIngreso]]+TablaDatos[[#This Row],[DiasNuevo]]</f>
        <v>45154</v>
      </c>
      <c r="I2129">
        <v>10</v>
      </c>
      <c r="J2129" t="s">
        <v>23</v>
      </c>
      <c r="K2129" s="3">
        <v>9169.56</v>
      </c>
      <c r="L2129" t="b">
        <f>TablaDatos[[#This Row],[FechaAlta]] &lt; TablaDatos[[#This Row],[FechaIngreso]]</f>
        <v>0</v>
      </c>
      <c r="M2129">
        <f>_xlfn.XLOOKUP(TablaDatos[[#This Row],[PacienteID]],'Datos_Ejemplo.csv'!A:A,'Datos_Ejemplo.csv'!I:I)</f>
        <v>10</v>
      </c>
      <c r="N2129">
        <f>ABS(TablaDatos[[#This Row],[DiasOriginal]])</f>
        <v>10</v>
      </c>
      <c r="O2129" s="1">
        <f>TablaDatos[[#This Row],[FechaIngreso]]+TablaDatos[[#This Row],[DiasNuevo]]</f>
        <v>45154</v>
      </c>
    </row>
    <row r="2130" spans="1:15">
      <c r="A2130">
        <v>2129</v>
      </c>
      <c r="B2130" t="s">
        <v>116</v>
      </c>
      <c r="C2130" s="1">
        <v>14976</v>
      </c>
      <c r="D2130">
        <v>85</v>
      </c>
      <c r="E2130" s="4" t="s">
        <v>12</v>
      </c>
      <c r="F2130" t="s">
        <v>13</v>
      </c>
      <c r="G2130" s="1">
        <v>45105</v>
      </c>
      <c r="H2130" s="1">
        <f>TablaDatos[[#This Row],[FechaIngreso]]+TablaDatos[[#This Row],[DiasNuevo]]</f>
        <v>45114</v>
      </c>
      <c r="I2130">
        <v>9</v>
      </c>
      <c r="J2130" t="s">
        <v>19</v>
      </c>
      <c r="K2130" s="3">
        <v>3805.95</v>
      </c>
      <c r="L2130" t="b">
        <f>TablaDatos[[#This Row],[FechaAlta]] &lt; TablaDatos[[#This Row],[FechaIngreso]]</f>
        <v>0</v>
      </c>
      <c r="M2130">
        <f>_xlfn.XLOOKUP(TablaDatos[[#This Row],[PacienteID]],'Datos_Ejemplo.csv'!A:A,'Datos_Ejemplo.csv'!I:I)</f>
        <v>9</v>
      </c>
      <c r="N2130">
        <f>ABS(TablaDatos[[#This Row],[DiasOriginal]])</f>
        <v>9</v>
      </c>
      <c r="O2130" s="1">
        <f>TablaDatos[[#This Row],[FechaIngreso]]+TablaDatos[[#This Row],[DiasNuevo]]</f>
        <v>45114</v>
      </c>
    </row>
    <row r="2131" spans="1:15">
      <c r="A2131">
        <v>2130</v>
      </c>
      <c r="B2131" t="s">
        <v>360</v>
      </c>
      <c r="C2131" s="1">
        <v>29221</v>
      </c>
      <c r="D2131">
        <v>46</v>
      </c>
      <c r="E2131" s="4" t="s">
        <v>15</v>
      </c>
      <c r="F2131" t="s">
        <v>201</v>
      </c>
      <c r="G2131" s="1">
        <v>45477</v>
      </c>
      <c r="H2131" s="1">
        <f>TablaDatos[[#This Row],[FechaIngreso]]+TablaDatos[[#This Row],[DiasNuevo]]</f>
        <v>45489</v>
      </c>
      <c r="I2131">
        <v>12</v>
      </c>
      <c r="J2131" t="s">
        <v>19</v>
      </c>
      <c r="K2131" s="3">
        <v>18268.2</v>
      </c>
      <c r="L2131" t="b">
        <f>TablaDatos[[#This Row],[FechaAlta]] &lt; TablaDatos[[#This Row],[FechaIngreso]]</f>
        <v>0</v>
      </c>
      <c r="M2131">
        <f>_xlfn.XLOOKUP(TablaDatos[[#This Row],[PacienteID]],'Datos_Ejemplo.csv'!A:A,'Datos_Ejemplo.csv'!I:I)</f>
        <v>12</v>
      </c>
      <c r="N2131">
        <f>ABS(TablaDatos[[#This Row],[DiasOriginal]])</f>
        <v>12</v>
      </c>
      <c r="O2131" s="1">
        <f>TablaDatos[[#This Row],[FechaIngreso]]+TablaDatos[[#This Row],[DiasNuevo]]</f>
        <v>45489</v>
      </c>
    </row>
    <row r="2132" spans="1:15">
      <c r="A2132">
        <v>2131</v>
      </c>
      <c r="B2132" t="s">
        <v>299</v>
      </c>
      <c r="C2132" s="1">
        <v>33969</v>
      </c>
      <c r="D2132">
        <v>33</v>
      </c>
      <c r="E2132" s="4" t="s">
        <v>12</v>
      </c>
      <c r="F2132" t="s">
        <v>201</v>
      </c>
      <c r="G2132" s="1">
        <v>45109</v>
      </c>
      <c r="H2132" s="1">
        <f>TablaDatos[[#This Row],[FechaIngreso]]+TablaDatos[[#This Row],[DiasNuevo]]</f>
        <v>45110</v>
      </c>
      <c r="I2132">
        <v>1</v>
      </c>
      <c r="J2132" t="s">
        <v>23</v>
      </c>
      <c r="K2132" s="3">
        <v>8096.84</v>
      </c>
      <c r="L2132" t="b">
        <f>TablaDatos[[#This Row],[FechaAlta]] &lt; TablaDatos[[#This Row],[FechaIngreso]]</f>
        <v>0</v>
      </c>
      <c r="M2132">
        <f>_xlfn.XLOOKUP(TablaDatos[[#This Row],[PacienteID]],'Datos_Ejemplo.csv'!A:A,'Datos_Ejemplo.csv'!I:I)</f>
        <v>1</v>
      </c>
      <c r="N2132">
        <f>ABS(TablaDatos[[#This Row],[DiasOriginal]])</f>
        <v>1</v>
      </c>
      <c r="O2132" s="1">
        <f>TablaDatos[[#This Row],[FechaIngreso]]+TablaDatos[[#This Row],[DiasNuevo]]</f>
        <v>45110</v>
      </c>
    </row>
    <row r="2133" spans="1:15">
      <c r="A2133">
        <v>2132</v>
      </c>
      <c r="B2133" t="s">
        <v>236</v>
      </c>
      <c r="C2133" s="1">
        <v>22646</v>
      </c>
      <c r="D2133">
        <v>64</v>
      </c>
      <c r="E2133" s="4" t="s">
        <v>12</v>
      </c>
      <c r="F2133" t="s">
        <v>295</v>
      </c>
      <c r="G2133" s="1">
        <v>45090</v>
      </c>
      <c r="H2133" s="1">
        <f>TablaDatos[[#This Row],[FechaIngreso]]+TablaDatos[[#This Row],[DiasNuevo]]</f>
        <v>45102</v>
      </c>
      <c r="I2133">
        <v>12</v>
      </c>
      <c r="J2133" t="s">
        <v>23</v>
      </c>
      <c r="K2133" s="3">
        <v>4170.99</v>
      </c>
      <c r="L2133" t="b">
        <f>TablaDatos[[#This Row],[FechaAlta]] &lt; TablaDatos[[#This Row],[FechaIngreso]]</f>
        <v>0</v>
      </c>
      <c r="M2133">
        <f>_xlfn.XLOOKUP(TablaDatos[[#This Row],[PacienteID]],'Datos_Ejemplo.csv'!A:A,'Datos_Ejemplo.csv'!I:I)</f>
        <v>12</v>
      </c>
      <c r="N2133">
        <f>ABS(TablaDatos[[#This Row],[DiasOriginal]])</f>
        <v>12</v>
      </c>
      <c r="O2133" s="1">
        <f>TablaDatos[[#This Row],[FechaIngreso]]+TablaDatos[[#This Row],[DiasNuevo]]</f>
        <v>45102</v>
      </c>
    </row>
    <row r="2134" spans="1:15">
      <c r="A2134">
        <v>2133</v>
      </c>
      <c r="B2134" t="s">
        <v>102</v>
      </c>
      <c r="C2134" s="1">
        <v>26299</v>
      </c>
      <c r="D2134">
        <v>54</v>
      </c>
      <c r="E2134" s="4" t="s">
        <v>15</v>
      </c>
      <c r="F2134" t="s">
        <v>13</v>
      </c>
      <c r="G2134" s="1">
        <v>45303</v>
      </c>
      <c r="H2134" s="1">
        <f>TablaDatos[[#This Row],[FechaIngreso]]+TablaDatos[[#This Row],[DiasNuevo]]</f>
        <v>45317</v>
      </c>
      <c r="I2134">
        <v>14</v>
      </c>
      <c r="J2134" t="s">
        <v>23</v>
      </c>
      <c r="K2134" s="3">
        <v>13809.47</v>
      </c>
      <c r="L2134" t="b">
        <f>TablaDatos[[#This Row],[FechaAlta]] &lt; TablaDatos[[#This Row],[FechaIngreso]]</f>
        <v>0</v>
      </c>
      <c r="M2134">
        <f>_xlfn.XLOOKUP(TablaDatos[[#This Row],[PacienteID]],'Datos_Ejemplo.csv'!A:A,'Datos_Ejemplo.csv'!I:I)</f>
        <v>14</v>
      </c>
      <c r="N2134">
        <f>ABS(TablaDatos[[#This Row],[DiasOriginal]])</f>
        <v>14</v>
      </c>
      <c r="O2134" s="1">
        <f>TablaDatos[[#This Row],[FechaIngreso]]+TablaDatos[[#This Row],[DiasNuevo]]</f>
        <v>45317</v>
      </c>
    </row>
    <row r="2135" spans="1:15">
      <c r="A2135">
        <v>2134</v>
      </c>
      <c r="B2135" t="s">
        <v>335</v>
      </c>
      <c r="C2135" s="1">
        <v>13515</v>
      </c>
      <c r="D2135">
        <v>89</v>
      </c>
      <c r="E2135" s="4" t="s">
        <v>15</v>
      </c>
      <c r="F2135" t="s">
        <v>32</v>
      </c>
      <c r="G2135" s="1">
        <v>45631</v>
      </c>
      <c r="H2135" s="1">
        <f>TablaDatos[[#This Row],[FechaIngreso]]+TablaDatos[[#This Row],[DiasNuevo]]</f>
        <v>45655</v>
      </c>
      <c r="I2135">
        <v>24</v>
      </c>
      <c r="J2135" t="s">
        <v>25</v>
      </c>
      <c r="K2135" s="3">
        <v>4817.3599999999997</v>
      </c>
      <c r="L2135" t="b">
        <f>TablaDatos[[#This Row],[FechaAlta]] &lt; TablaDatos[[#This Row],[FechaIngreso]]</f>
        <v>0</v>
      </c>
      <c r="M2135">
        <f>_xlfn.XLOOKUP(TablaDatos[[#This Row],[PacienteID]],'Datos_Ejemplo.csv'!A:A,'Datos_Ejemplo.csv'!I:I)</f>
        <v>24</v>
      </c>
      <c r="N2135">
        <f>ABS(TablaDatos[[#This Row],[DiasOriginal]])</f>
        <v>24</v>
      </c>
      <c r="O2135" s="1">
        <f>TablaDatos[[#This Row],[FechaIngreso]]+TablaDatos[[#This Row],[DiasNuevo]]</f>
        <v>45655</v>
      </c>
    </row>
    <row r="2136" spans="1:15">
      <c r="A2136">
        <v>2135</v>
      </c>
      <c r="B2136" t="s">
        <v>297</v>
      </c>
      <c r="C2136" s="1">
        <v>30682</v>
      </c>
      <c r="D2136">
        <v>42</v>
      </c>
      <c r="E2136" s="4" t="s">
        <v>15</v>
      </c>
      <c r="F2136" t="s">
        <v>18</v>
      </c>
      <c r="G2136" s="1">
        <v>45423</v>
      </c>
      <c r="H2136" s="1">
        <f>TablaDatos[[#This Row],[FechaIngreso]]+TablaDatos[[#This Row],[DiasNuevo]]</f>
        <v>45431</v>
      </c>
      <c r="I2136">
        <v>8</v>
      </c>
      <c r="J2136" t="s">
        <v>23</v>
      </c>
      <c r="K2136" s="3">
        <v>18864.419999999998</v>
      </c>
      <c r="L2136" t="b">
        <f>TablaDatos[[#This Row],[FechaAlta]] &lt; TablaDatos[[#This Row],[FechaIngreso]]</f>
        <v>0</v>
      </c>
      <c r="M2136">
        <f>_xlfn.XLOOKUP(TablaDatos[[#This Row],[PacienteID]],'Datos_Ejemplo.csv'!A:A,'Datos_Ejemplo.csv'!I:I)</f>
        <v>8</v>
      </c>
      <c r="N2136">
        <f>ABS(TablaDatos[[#This Row],[DiasOriginal]])</f>
        <v>8</v>
      </c>
      <c r="O2136" s="1">
        <f>TablaDatos[[#This Row],[FechaIngreso]]+TablaDatos[[#This Row],[DiasNuevo]]</f>
        <v>45431</v>
      </c>
    </row>
    <row r="2137" spans="1:15">
      <c r="A2137">
        <v>2136</v>
      </c>
      <c r="B2137" t="s">
        <v>359</v>
      </c>
      <c r="C2137" s="1">
        <v>19359</v>
      </c>
      <c r="D2137">
        <v>73</v>
      </c>
      <c r="E2137" s="4" t="s">
        <v>15</v>
      </c>
      <c r="F2137" t="s">
        <v>201</v>
      </c>
      <c r="G2137" s="1">
        <v>45523</v>
      </c>
      <c r="H2137" s="1">
        <f>TablaDatos[[#This Row],[FechaIngreso]]+TablaDatos[[#This Row],[DiasNuevo]]</f>
        <v>45543</v>
      </c>
      <c r="I2137">
        <v>20</v>
      </c>
      <c r="J2137" t="s">
        <v>19</v>
      </c>
      <c r="K2137" s="3">
        <v>7289.1</v>
      </c>
      <c r="L2137" t="b">
        <f>TablaDatos[[#This Row],[FechaAlta]] &lt; TablaDatos[[#This Row],[FechaIngreso]]</f>
        <v>0</v>
      </c>
      <c r="M2137">
        <f>_xlfn.XLOOKUP(TablaDatos[[#This Row],[PacienteID]],'Datos_Ejemplo.csv'!A:A,'Datos_Ejemplo.csv'!I:I)</f>
        <v>20</v>
      </c>
      <c r="N2137">
        <f>ABS(TablaDatos[[#This Row],[DiasOriginal]])</f>
        <v>20</v>
      </c>
      <c r="O2137" s="1">
        <f>TablaDatos[[#This Row],[FechaIngreso]]+TablaDatos[[#This Row],[DiasNuevo]]</f>
        <v>45543</v>
      </c>
    </row>
    <row r="2138" spans="1:15">
      <c r="A2138">
        <v>2137</v>
      </c>
      <c r="B2138" t="s">
        <v>252</v>
      </c>
      <c r="C2138" s="1">
        <v>35430</v>
      </c>
      <c r="D2138">
        <v>29</v>
      </c>
      <c r="E2138" s="4" t="s">
        <v>15</v>
      </c>
      <c r="F2138" t="s">
        <v>261</v>
      </c>
      <c r="G2138" s="1">
        <v>45387</v>
      </c>
      <c r="H2138" s="1">
        <f>TablaDatos[[#This Row],[FechaIngreso]]+TablaDatos[[#This Row],[DiasNuevo]]</f>
        <v>45399</v>
      </c>
      <c r="I2138">
        <v>12</v>
      </c>
      <c r="J2138" t="s">
        <v>23</v>
      </c>
      <c r="K2138" s="3">
        <v>13259.28</v>
      </c>
      <c r="L2138" t="b">
        <f>TablaDatos[[#This Row],[FechaAlta]] &lt; TablaDatos[[#This Row],[FechaIngreso]]</f>
        <v>0</v>
      </c>
      <c r="M2138">
        <f>_xlfn.XLOOKUP(TablaDatos[[#This Row],[PacienteID]],'Datos_Ejemplo.csv'!A:A,'Datos_Ejemplo.csv'!I:I)</f>
        <v>12</v>
      </c>
      <c r="N2138">
        <f>ABS(TablaDatos[[#This Row],[DiasOriginal]])</f>
        <v>12</v>
      </c>
      <c r="O2138" s="1">
        <f>TablaDatos[[#This Row],[FechaIngreso]]+TablaDatos[[#This Row],[DiasNuevo]]</f>
        <v>45399</v>
      </c>
    </row>
    <row r="2139" spans="1:15">
      <c r="A2139">
        <v>2138</v>
      </c>
      <c r="B2139" t="s">
        <v>310</v>
      </c>
      <c r="C2139" s="1">
        <v>16437</v>
      </c>
      <c r="D2139">
        <v>81</v>
      </c>
      <c r="E2139" s="4" t="s">
        <v>12</v>
      </c>
      <c r="F2139" t="s">
        <v>21</v>
      </c>
      <c r="G2139" s="1">
        <v>45400</v>
      </c>
      <c r="H2139" s="1">
        <f>TablaDatos[[#This Row],[FechaIngreso]]+TablaDatos[[#This Row],[DiasNuevo]]</f>
        <v>45428</v>
      </c>
      <c r="I2139">
        <v>28</v>
      </c>
      <c r="J2139" t="s">
        <v>23</v>
      </c>
      <c r="K2139" s="3">
        <v>6839.42</v>
      </c>
      <c r="L2139" t="b">
        <f>TablaDatos[[#This Row],[FechaAlta]] &lt; TablaDatos[[#This Row],[FechaIngreso]]</f>
        <v>0</v>
      </c>
      <c r="M2139">
        <f>_xlfn.XLOOKUP(TablaDatos[[#This Row],[PacienteID]],'Datos_Ejemplo.csv'!A:A,'Datos_Ejemplo.csv'!I:I)</f>
        <v>28</v>
      </c>
      <c r="N2139">
        <f>ABS(TablaDatos[[#This Row],[DiasOriginal]])</f>
        <v>28</v>
      </c>
      <c r="O2139" s="1">
        <f>TablaDatos[[#This Row],[FechaIngreso]]+TablaDatos[[#This Row],[DiasNuevo]]</f>
        <v>45428</v>
      </c>
    </row>
    <row r="2140" spans="1:15">
      <c r="A2140">
        <v>2139</v>
      </c>
      <c r="B2140" t="s">
        <v>248</v>
      </c>
      <c r="C2140" s="1">
        <v>40178</v>
      </c>
      <c r="D2140">
        <v>16</v>
      </c>
      <c r="E2140" s="4" t="s">
        <v>12</v>
      </c>
      <c r="F2140" t="s">
        <v>201</v>
      </c>
      <c r="G2140" s="1">
        <v>45611</v>
      </c>
      <c r="H2140" s="1">
        <f>TablaDatos[[#This Row],[FechaIngreso]]+TablaDatos[[#This Row],[DiasNuevo]]</f>
        <v>45634</v>
      </c>
      <c r="I2140">
        <v>23</v>
      </c>
      <c r="J2140" t="s">
        <v>23</v>
      </c>
      <c r="K2140" s="3">
        <v>16125.64</v>
      </c>
      <c r="L2140" t="b">
        <f>TablaDatos[[#This Row],[FechaAlta]] &lt; TablaDatos[[#This Row],[FechaIngreso]]</f>
        <v>0</v>
      </c>
      <c r="M2140">
        <f>_xlfn.XLOOKUP(TablaDatos[[#This Row],[PacienteID]],'Datos_Ejemplo.csv'!A:A,'Datos_Ejemplo.csv'!I:I)</f>
        <v>23</v>
      </c>
      <c r="N2140">
        <f>ABS(TablaDatos[[#This Row],[DiasOriginal]])</f>
        <v>23</v>
      </c>
      <c r="O2140" s="1">
        <f>TablaDatos[[#This Row],[FechaIngreso]]+TablaDatos[[#This Row],[DiasNuevo]]</f>
        <v>45634</v>
      </c>
    </row>
    <row r="2141" spans="1:15">
      <c r="A2141">
        <v>2140</v>
      </c>
      <c r="B2141" t="s">
        <v>111</v>
      </c>
      <c r="C2141" s="1">
        <v>36891</v>
      </c>
      <c r="D2141">
        <v>25</v>
      </c>
      <c r="E2141" s="4" t="s">
        <v>12</v>
      </c>
      <c r="F2141" t="s">
        <v>201</v>
      </c>
      <c r="G2141" s="1">
        <v>44963</v>
      </c>
      <c r="H2141" s="1">
        <f>TablaDatos[[#This Row],[FechaIngreso]]+TablaDatos[[#This Row],[DiasNuevo]]</f>
        <v>44967</v>
      </c>
      <c r="I2141">
        <v>4</v>
      </c>
      <c r="J2141" t="s">
        <v>23</v>
      </c>
      <c r="K2141" s="3">
        <v>17928.150000000001</v>
      </c>
      <c r="L2141" t="b">
        <f>TablaDatos[[#This Row],[FechaAlta]] &lt; TablaDatos[[#This Row],[FechaIngreso]]</f>
        <v>0</v>
      </c>
      <c r="M2141">
        <f>_xlfn.XLOOKUP(TablaDatos[[#This Row],[PacienteID]],'Datos_Ejemplo.csv'!A:A,'Datos_Ejemplo.csv'!I:I)</f>
        <v>4</v>
      </c>
      <c r="N2141">
        <f>ABS(TablaDatos[[#This Row],[DiasOriginal]])</f>
        <v>4</v>
      </c>
      <c r="O2141" s="1">
        <f>TablaDatos[[#This Row],[FechaIngreso]]+TablaDatos[[#This Row],[DiasNuevo]]</f>
        <v>44967</v>
      </c>
    </row>
    <row r="2142" spans="1:15">
      <c r="A2142">
        <v>2141</v>
      </c>
      <c r="B2142" t="s">
        <v>357</v>
      </c>
      <c r="C2142" s="1">
        <v>43466</v>
      </c>
      <c r="D2142">
        <v>7</v>
      </c>
      <c r="E2142" s="4" t="s">
        <v>15</v>
      </c>
      <c r="F2142" t="s">
        <v>21</v>
      </c>
      <c r="G2142" s="1">
        <v>45525</v>
      </c>
      <c r="H2142" s="1">
        <f>TablaDatos[[#This Row],[FechaIngreso]]+TablaDatos[[#This Row],[DiasNuevo]]</f>
        <v>45535</v>
      </c>
      <c r="I2142">
        <v>10</v>
      </c>
      <c r="J2142" t="s">
        <v>23</v>
      </c>
      <c r="K2142" s="3">
        <v>15737.16</v>
      </c>
      <c r="L2142" t="b">
        <f>TablaDatos[[#This Row],[FechaAlta]] &lt; TablaDatos[[#This Row],[FechaIngreso]]</f>
        <v>0</v>
      </c>
      <c r="M2142">
        <f>_xlfn.XLOOKUP(TablaDatos[[#This Row],[PacienteID]],'Datos_Ejemplo.csv'!A:A,'Datos_Ejemplo.csv'!I:I)</f>
        <v>10</v>
      </c>
      <c r="N2142">
        <f>ABS(TablaDatos[[#This Row],[DiasOriginal]])</f>
        <v>10</v>
      </c>
      <c r="O2142" s="1">
        <f>TablaDatos[[#This Row],[FechaIngreso]]+TablaDatos[[#This Row],[DiasNuevo]]</f>
        <v>45535</v>
      </c>
    </row>
    <row r="2143" spans="1:15">
      <c r="A2143">
        <v>2142</v>
      </c>
      <c r="B2143" t="s">
        <v>344</v>
      </c>
      <c r="C2143" s="1">
        <v>29221</v>
      </c>
      <c r="D2143">
        <v>46</v>
      </c>
      <c r="E2143" s="4" t="s">
        <v>15</v>
      </c>
      <c r="F2143" t="s">
        <v>32</v>
      </c>
      <c r="G2143" s="1">
        <v>45567</v>
      </c>
      <c r="H2143" s="1">
        <f>TablaDatos[[#This Row],[FechaIngreso]]+TablaDatos[[#This Row],[DiasNuevo]]</f>
        <v>45577</v>
      </c>
      <c r="I2143">
        <v>10</v>
      </c>
      <c r="J2143" t="s">
        <v>25</v>
      </c>
      <c r="K2143" s="3">
        <v>16954.830000000002</v>
      </c>
      <c r="L2143" t="b">
        <f>TablaDatos[[#This Row],[FechaAlta]] &lt; TablaDatos[[#This Row],[FechaIngreso]]</f>
        <v>0</v>
      </c>
      <c r="M2143">
        <f>_xlfn.XLOOKUP(TablaDatos[[#This Row],[PacienteID]],'Datos_Ejemplo.csv'!A:A,'Datos_Ejemplo.csv'!I:I)</f>
        <v>10</v>
      </c>
      <c r="N2143">
        <f>ABS(TablaDatos[[#This Row],[DiasOriginal]])</f>
        <v>10</v>
      </c>
      <c r="O2143" s="1">
        <f>TablaDatos[[#This Row],[FechaIngreso]]+TablaDatos[[#This Row],[DiasNuevo]]</f>
        <v>45577</v>
      </c>
    </row>
    <row r="2144" spans="1:15">
      <c r="A2144">
        <v>2143</v>
      </c>
      <c r="B2144" t="s">
        <v>239</v>
      </c>
      <c r="C2144" s="1">
        <v>18629</v>
      </c>
      <c r="D2144">
        <v>75</v>
      </c>
      <c r="E2144" s="4" t="s">
        <v>12</v>
      </c>
      <c r="F2144" t="s">
        <v>295</v>
      </c>
      <c r="G2144" s="1">
        <v>45632</v>
      </c>
      <c r="H2144" s="1">
        <f>TablaDatos[[#This Row],[FechaIngreso]]+TablaDatos[[#This Row],[DiasNuevo]]</f>
        <v>45649</v>
      </c>
      <c r="I2144">
        <v>17</v>
      </c>
      <c r="J2144" t="s">
        <v>23</v>
      </c>
      <c r="K2144" s="3">
        <v>1947.8</v>
      </c>
      <c r="L2144" t="b">
        <f>TablaDatos[[#This Row],[FechaAlta]] &lt; TablaDatos[[#This Row],[FechaIngreso]]</f>
        <v>0</v>
      </c>
      <c r="M2144">
        <f>_xlfn.XLOOKUP(TablaDatos[[#This Row],[PacienteID]],'Datos_Ejemplo.csv'!A:A,'Datos_Ejemplo.csv'!I:I)</f>
        <v>17</v>
      </c>
      <c r="N2144">
        <f>ABS(TablaDatos[[#This Row],[DiasOriginal]])</f>
        <v>17</v>
      </c>
      <c r="O2144" s="1">
        <f>TablaDatos[[#This Row],[FechaIngreso]]+TablaDatos[[#This Row],[DiasNuevo]]</f>
        <v>45649</v>
      </c>
    </row>
    <row r="2145" spans="1:15">
      <c r="A2145">
        <v>2144</v>
      </c>
      <c r="B2145" t="s">
        <v>343</v>
      </c>
      <c r="C2145" s="1">
        <v>13150</v>
      </c>
      <c r="D2145">
        <v>90</v>
      </c>
      <c r="E2145" s="4" t="s">
        <v>15</v>
      </c>
      <c r="F2145" t="s">
        <v>201</v>
      </c>
      <c r="G2145" s="1">
        <v>45245</v>
      </c>
      <c r="H2145" s="1">
        <f>TablaDatos[[#This Row],[FechaIngreso]]+TablaDatos[[#This Row],[DiasNuevo]]</f>
        <v>45276</v>
      </c>
      <c r="I2145">
        <v>31</v>
      </c>
      <c r="J2145" t="s">
        <v>23</v>
      </c>
      <c r="K2145" s="3">
        <v>18473.7</v>
      </c>
      <c r="L2145" t="b">
        <f>TablaDatos[[#This Row],[FechaAlta]] &lt; TablaDatos[[#This Row],[FechaIngreso]]</f>
        <v>0</v>
      </c>
      <c r="M2145">
        <f>_xlfn.XLOOKUP(TablaDatos[[#This Row],[PacienteID]],'Datos_Ejemplo.csv'!A:A,'Datos_Ejemplo.csv'!I:I)</f>
        <v>31</v>
      </c>
      <c r="N2145">
        <f>ABS(TablaDatos[[#This Row],[DiasOriginal]])</f>
        <v>31</v>
      </c>
      <c r="O2145" s="1">
        <f>TablaDatos[[#This Row],[FechaIngreso]]+TablaDatos[[#This Row],[DiasNuevo]]</f>
        <v>45276</v>
      </c>
    </row>
    <row r="2146" spans="1:15">
      <c r="A2146">
        <v>2145</v>
      </c>
      <c r="B2146" t="s">
        <v>291</v>
      </c>
      <c r="C2146" s="1">
        <v>20090</v>
      </c>
      <c r="D2146">
        <v>71</v>
      </c>
      <c r="E2146" s="4" t="s">
        <v>12</v>
      </c>
      <c r="F2146" t="s">
        <v>201</v>
      </c>
      <c r="G2146" s="1">
        <v>45481</v>
      </c>
      <c r="H2146" s="1">
        <f>TablaDatos[[#This Row],[FechaIngreso]]+TablaDatos[[#This Row],[DiasNuevo]]</f>
        <v>45488</v>
      </c>
      <c r="I2146">
        <v>7</v>
      </c>
      <c r="J2146" t="s">
        <v>25</v>
      </c>
      <c r="K2146" s="3">
        <v>12448.44</v>
      </c>
      <c r="L2146" t="b">
        <f>TablaDatos[[#This Row],[FechaAlta]] &lt; TablaDatos[[#This Row],[FechaIngreso]]</f>
        <v>0</v>
      </c>
      <c r="M2146">
        <f>_xlfn.XLOOKUP(TablaDatos[[#This Row],[PacienteID]],'Datos_Ejemplo.csv'!A:A,'Datos_Ejemplo.csv'!I:I)</f>
        <v>7</v>
      </c>
      <c r="N2146">
        <f>ABS(TablaDatos[[#This Row],[DiasOriginal]])</f>
        <v>7</v>
      </c>
      <c r="O2146" s="1">
        <f>TablaDatos[[#This Row],[FechaIngreso]]+TablaDatos[[#This Row],[DiasNuevo]]</f>
        <v>45488</v>
      </c>
    </row>
    <row r="2147" spans="1:15">
      <c r="A2147">
        <v>2146</v>
      </c>
      <c r="B2147" t="s">
        <v>339</v>
      </c>
      <c r="C2147" s="1">
        <v>13880</v>
      </c>
      <c r="D2147">
        <v>88</v>
      </c>
      <c r="E2147" s="4" t="s">
        <v>197</v>
      </c>
      <c r="F2147" t="s">
        <v>13</v>
      </c>
      <c r="G2147" s="1">
        <v>45338</v>
      </c>
      <c r="H2147" s="1">
        <f>TablaDatos[[#This Row],[FechaIngreso]]+TablaDatos[[#This Row],[DiasNuevo]]</f>
        <v>45372</v>
      </c>
      <c r="I2147">
        <v>34</v>
      </c>
      <c r="J2147" t="s">
        <v>25</v>
      </c>
      <c r="K2147" s="3">
        <v>17371.27</v>
      </c>
      <c r="L2147" t="b">
        <f>TablaDatos[[#This Row],[FechaAlta]] &lt; TablaDatos[[#This Row],[FechaIngreso]]</f>
        <v>0</v>
      </c>
      <c r="M2147">
        <f>_xlfn.XLOOKUP(TablaDatos[[#This Row],[PacienteID]],'Datos_Ejemplo.csv'!A:A,'Datos_Ejemplo.csv'!I:I)</f>
        <v>34</v>
      </c>
      <c r="N2147">
        <f>ABS(TablaDatos[[#This Row],[DiasOriginal]])</f>
        <v>34</v>
      </c>
      <c r="O2147" s="1">
        <f>TablaDatos[[#This Row],[FechaIngreso]]+TablaDatos[[#This Row],[DiasNuevo]]</f>
        <v>45372</v>
      </c>
    </row>
    <row r="2148" spans="1:15">
      <c r="A2148">
        <v>2147</v>
      </c>
      <c r="B2148" t="s">
        <v>281</v>
      </c>
      <c r="C2148" s="1">
        <v>29586</v>
      </c>
      <c r="D2148">
        <v>45</v>
      </c>
      <c r="E2148" s="4" t="s">
        <v>15</v>
      </c>
      <c r="F2148" t="s">
        <v>261</v>
      </c>
      <c r="G2148" s="1">
        <v>45282</v>
      </c>
      <c r="H2148" s="1">
        <f>TablaDatos[[#This Row],[FechaIngreso]]+TablaDatos[[#This Row],[DiasNuevo]]</f>
        <v>45306</v>
      </c>
      <c r="I2148">
        <v>24</v>
      </c>
      <c r="J2148" t="s">
        <v>19</v>
      </c>
      <c r="K2148" s="3">
        <v>13657.18</v>
      </c>
      <c r="L2148" t="b">
        <f>TablaDatos[[#This Row],[FechaAlta]] &lt; TablaDatos[[#This Row],[FechaIngreso]]</f>
        <v>0</v>
      </c>
      <c r="M2148">
        <f>_xlfn.XLOOKUP(TablaDatos[[#This Row],[PacienteID]],'Datos_Ejemplo.csv'!A:A,'Datos_Ejemplo.csv'!I:I)</f>
        <v>24</v>
      </c>
      <c r="N2148">
        <f>ABS(TablaDatos[[#This Row],[DiasOriginal]])</f>
        <v>24</v>
      </c>
      <c r="O2148" s="1">
        <f>TablaDatos[[#This Row],[FechaIngreso]]+TablaDatos[[#This Row],[DiasNuevo]]</f>
        <v>45306</v>
      </c>
    </row>
    <row r="2149" spans="1:15">
      <c r="A2149">
        <v>2148</v>
      </c>
      <c r="B2149" t="s">
        <v>116</v>
      </c>
      <c r="C2149" s="1">
        <v>21551</v>
      </c>
      <c r="D2149">
        <v>67</v>
      </c>
      <c r="E2149" s="4" t="s">
        <v>15</v>
      </c>
      <c r="F2149" t="s">
        <v>18</v>
      </c>
      <c r="G2149" s="1">
        <v>45597</v>
      </c>
      <c r="H2149" s="1">
        <f>TablaDatos[[#This Row],[FechaIngreso]]+TablaDatos[[#This Row],[DiasNuevo]]</f>
        <v>45628</v>
      </c>
      <c r="I2149">
        <v>31</v>
      </c>
      <c r="J2149" t="s">
        <v>23</v>
      </c>
      <c r="K2149" s="3">
        <v>3957.14</v>
      </c>
      <c r="L2149" t="b">
        <f>TablaDatos[[#This Row],[FechaAlta]] &lt; TablaDatos[[#This Row],[FechaIngreso]]</f>
        <v>0</v>
      </c>
      <c r="M2149">
        <f>_xlfn.XLOOKUP(TablaDatos[[#This Row],[PacienteID]],'Datos_Ejemplo.csv'!A:A,'Datos_Ejemplo.csv'!I:I)</f>
        <v>31</v>
      </c>
      <c r="N2149">
        <f>ABS(TablaDatos[[#This Row],[DiasOriginal]])</f>
        <v>31</v>
      </c>
      <c r="O2149" s="1">
        <f>TablaDatos[[#This Row],[FechaIngreso]]+TablaDatos[[#This Row],[DiasNuevo]]</f>
        <v>45628</v>
      </c>
    </row>
    <row r="2150" spans="1:15">
      <c r="A2150">
        <v>2149</v>
      </c>
      <c r="B2150" t="s">
        <v>346</v>
      </c>
      <c r="C2150" s="1">
        <v>34334</v>
      </c>
      <c r="D2150">
        <v>32</v>
      </c>
      <c r="E2150" s="4" t="s">
        <v>15</v>
      </c>
      <c r="F2150" t="s">
        <v>295</v>
      </c>
      <c r="G2150" s="1">
        <v>45543</v>
      </c>
      <c r="H2150" s="1">
        <f>TablaDatos[[#This Row],[FechaIngreso]]+TablaDatos[[#This Row],[DiasNuevo]]</f>
        <v>45576</v>
      </c>
      <c r="I2150">
        <v>33</v>
      </c>
      <c r="J2150" t="s">
        <v>25</v>
      </c>
      <c r="K2150" s="3">
        <v>12152.06</v>
      </c>
      <c r="L2150" t="b">
        <f>TablaDatos[[#This Row],[FechaAlta]] &lt; TablaDatos[[#This Row],[FechaIngreso]]</f>
        <v>0</v>
      </c>
      <c r="M2150">
        <f>_xlfn.XLOOKUP(TablaDatos[[#This Row],[PacienteID]],'Datos_Ejemplo.csv'!A:A,'Datos_Ejemplo.csv'!I:I)</f>
        <v>33</v>
      </c>
      <c r="N2150">
        <f>ABS(TablaDatos[[#This Row],[DiasOriginal]])</f>
        <v>33</v>
      </c>
      <c r="O2150" s="1">
        <f>TablaDatos[[#This Row],[FechaIngreso]]+TablaDatos[[#This Row],[DiasNuevo]]</f>
        <v>45576</v>
      </c>
    </row>
    <row r="2151" spans="1:15">
      <c r="A2151">
        <v>2150</v>
      </c>
      <c r="B2151" t="s">
        <v>240</v>
      </c>
      <c r="C2151" s="1">
        <v>46022</v>
      </c>
      <c r="D2151">
        <v>0</v>
      </c>
      <c r="E2151" s="4" t="s">
        <v>197</v>
      </c>
      <c r="F2151" t="s">
        <v>261</v>
      </c>
      <c r="G2151" s="1">
        <v>45155</v>
      </c>
      <c r="H2151" s="1">
        <f>TablaDatos[[#This Row],[FechaIngreso]]+TablaDatos[[#This Row],[DiasNuevo]]</f>
        <v>45168</v>
      </c>
      <c r="I2151">
        <v>13</v>
      </c>
      <c r="J2151" t="s">
        <v>25</v>
      </c>
      <c r="K2151" s="3">
        <v>1728.02</v>
      </c>
      <c r="L2151" t="b">
        <f>TablaDatos[[#This Row],[FechaAlta]] &lt; TablaDatos[[#This Row],[FechaIngreso]]</f>
        <v>0</v>
      </c>
      <c r="M2151">
        <f>_xlfn.XLOOKUP(TablaDatos[[#This Row],[PacienteID]],'Datos_Ejemplo.csv'!A:A,'Datos_Ejemplo.csv'!I:I)</f>
        <v>13</v>
      </c>
      <c r="N2151">
        <f>ABS(TablaDatos[[#This Row],[DiasOriginal]])</f>
        <v>13</v>
      </c>
      <c r="O2151" s="1">
        <f>TablaDatos[[#This Row],[FechaIngreso]]+TablaDatos[[#This Row],[DiasNuevo]]</f>
        <v>45168</v>
      </c>
    </row>
    <row r="2152" spans="1:15">
      <c r="A2152">
        <v>2151</v>
      </c>
      <c r="B2152" t="s">
        <v>339</v>
      </c>
      <c r="C2152" s="1">
        <v>39448</v>
      </c>
      <c r="D2152">
        <v>18</v>
      </c>
      <c r="E2152" s="4" t="s">
        <v>12</v>
      </c>
      <c r="F2152" t="s">
        <v>261</v>
      </c>
      <c r="G2152" s="1">
        <v>45655</v>
      </c>
      <c r="H2152" s="1">
        <f>TablaDatos[[#This Row],[FechaIngreso]]+TablaDatos[[#This Row],[DiasNuevo]]</f>
        <v>45673</v>
      </c>
      <c r="I2152">
        <v>18</v>
      </c>
      <c r="J2152" t="s">
        <v>23</v>
      </c>
      <c r="K2152" s="3">
        <v>13884.03</v>
      </c>
      <c r="L2152" t="b">
        <f>TablaDatos[[#This Row],[FechaAlta]] &lt; TablaDatos[[#This Row],[FechaIngreso]]</f>
        <v>0</v>
      </c>
      <c r="M2152">
        <f>_xlfn.XLOOKUP(TablaDatos[[#This Row],[PacienteID]],'Datos_Ejemplo.csv'!A:A,'Datos_Ejemplo.csv'!I:I)</f>
        <v>18</v>
      </c>
      <c r="N2152">
        <f>ABS(TablaDatos[[#This Row],[DiasOriginal]])</f>
        <v>18</v>
      </c>
      <c r="O2152" s="1">
        <f>TablaDatos[[#This Row],[FechaIngreso]]+TablaDatos[[#This Row],[DiasNuevo]]</f>
        <v>45673</v>
      </c>
    </row>
    <row r="2153" spans="1:15">
      <c r="A2153">
        <v>2152</v>
      </c>
      <c r="B2153" t="s">
        <v>146</v>
      </c>
      <c r="C2153" s="1">
        <v>35065</v>
      </c>
      <c r="D2153">
        <v>30</v>
      </c>
      <c r="E2153" s="4" t="s">
        <v>12</v>
      </c>
      <c r="F2153" t="s">
        <v>32</v>
      </c>
      <c r="G2153" s="1">
        <v>45190</v>
      </c>
      <c r="H2153" s="1">
        <f>TablaDatos[[#This Row],[FechaIngreso]]+TablaDatos[[#This Row],[DiasNuevo]]</f>
        <v>45203</v>
      </c>
      <c r="I2153">
        <v>13</v>
      </c>
      <c r="J2153" t="s">
        <v>23</v>
      </c>
      <c r="K2153" s="3">
        <v>8120.92</v>
      </c>
      <c r="L2153" t="b">
        <f>TablaDatos[[#This Row],[FechaAlta]] &lt; TablaDatos[[#This Row],[FechaIngreso]]</f>
        <v>0</v>
      </c>
      <c r="M2153">
        <f>_xlfn.XLOOKUP(TablaDatos[[#This Row],[PacienteID]],'Datos_Ejemplo.csv'!A:A,'Datos_Ejemplo.csv'!I:I)</f>
        <v>13</v>
      </c>
      <c r="N2153">
        <f>ABS(TablaDatos[[#This Row],[DiasOriginal]])</f>
        <v>13</v>
      </c>
      <c r="O2153" s="1">
        <f>TablaDatos[[#This Row],[FechaIngreso]]+TablaDatos[[#This Row],[DiasNuevo]]</f>
        <v>45203</v>
      </c>
    </row>
    <row r="2154" spans="1:15">
      <c r="A2154">
        <v>2153</v>
      </c>
      <c r="B2154" t="s">
        <v>305</v>
      </c>
      <c r="C2154" s="1">
        <v>17168</v>
      </c>
      <c r="D2154">
        <v>79</v>
      </c>
      <c r="E2154" s="4" t="s">
        <v>15</v>
      </c>
      <c r="F2154" t="s">
        <v>32</v>
      </c>
      <c r="G2154" s="1">
        <v>45413</v>
      </c>
      <c r="H2154" s="1">
        <f>TablaDatos[[#This Row],[FechaIngreso]]+TablaDatos[[#This Row],[DiasNuevo]]</f>
        <v>45427</v>
      </c>
      <c r="I2154">
        <v>14</v>
      </c>
      <c r="J2154" t="s">
        <v>19</v>
      </c>
      <c r="K2154" s="3">
        <v>2949.84</v>
      </c>
      <c r="L2154" t="b">
        <f>TablaDatos[[#This Row],[FechaAlta]] &lt; TablaDatos[[#This Row],[FechaIngreso]]</f>
        <v>0</v>
      </c>
      <c r="M2154">
        <f>_xlfn.XLOOKUP(TablaDatos[[#This Row],[PacienteID]],'Datos_Ejemplo.csv'!A:A,'Datos_Ejemplo.csv'!I:I)</f>
        <v>14</v>
      </c>
      <c r="N2154">
        <f>ABS(TablaDatos[[#This Row],[DiasOriginal]])</f>
        <v>14</v>
      </c>
      <c r="O2154" s="1">
        <f>TablaDatos[[#This Row],[FechaIngreso]]+TablaDatos[[#This Row],[DiasNuevo]]</f>
        <v>45427</v>
      </c>
    </row>
    <row r="2155" spans="1:15">
      <c r="A2155">
        <v>2154</v>
      </c>
      <c r="B2155" t="s">
        <v>232</v>
      </c>
      <c r="C2155" s="1">
        <v>41274</v>
      </c>
      <c r="D2155">
        <v>13</v>
      </c>
      <c r="E2155" s="4" t="s">
        <v>197</v>
      </c>
      <c r="F2155" t="s">
        <v>21</v>
      </c>
      <c r="G2155" s="1">
        <v>45487</v>
      </c>
      <c r="H2155" s="1">
        <f>TablaDatos[[#This Row],[FechaIngreso]]+TablaDatos[[#This Row],[DiasNuevo]]</f>
        <v>45499</v>
      </c>
      <c r="I2155">
        <v>12</v>
      </c>
      <c r="J2155" t="s">
        <v>19</v>
      </c>
      <c r="K2155" s="3">
        <v>19582.52</v>
      </c>
      <c r="L2155" t="b">
        <f>TablaDatos[[#This Row],[FechaAlta]] &lt; TablaDatos[[#This Row],[FechaIngreso]]</f>
        <v>0</v>
      </c>
      <c r="M2155">
        <f>_xlfn.XLOOKUP(TablaDatos[[#This Row],[PacienteID]],'Datos_Ejemplo.csv'!A:A,'Datos_Ejemplo.csv'!I:I)</f>
        <v>12</v>
      </c>
      <c r="N2155">
        <f>ABS(TablaDatos[[#This Row],[DiasOriginal]])</f>
        <v>12</v>
      </c>
      <c r="O2155" s="1">
        <f>TablaDatos[[#This Row],[FechaIngreso]]+TablaDatos[[#This Row],[DiasNuevo]]</f>
        <v>45499</v>
      </c>
    </row>
    <row r="2156" spans="1:15">
      <c r="A2156">
        <v>2155</v>
      </c>
      <c r="B2156" t="s">
        <v>345</v>
      </c>
      <c r="C2156" s="1">
        <v>27029</v>
      </c>
      <c r="D2156">
        <f ca="1">DATEDIF(TablaDatos[[#This Row],[FechaNacimiento]],TODAY(),"Y")</f>
        <v>52</v>
      </c>
      <c r="E2156" s="4" t="s">
        <v>15</v>
      </c>
      <c r="F2156" t="s">
        <v>18</v>
      </c>
      <c r="G2156" s="1">
        <v>45278</v>
      </c>
      <c r="H2156" s="1">
        <f>TablaDatos[[#This Row],[FechaIngreso]]+TablaDatos[[#This Row],[DiasNuevo]]</f>
        <v>45288</v>
      </c>
      <c r="I2156">
        <v>10</v>
      </c>
      <c r="J2156" t="s">
        <v>23</v>
      </c>
      <c r="K2156" s="3">
        <v>18011.8</v>
      </c>
      <c r="L2156" t="b">
        <f>TablaDatos[[#This Row],[FechaAlta]] &lt; TablaDatos[[#This Row],[FechaIngreso]]</f>
        <v>0</v>
      </c>
      <c r="M2156">
        <f>_xlfn.XLOOKUP(TablaDatos[[#This Row],[PacienteID]],'Datos_Ejemplo.csv'!A:A,'Datos_Ejemplo.csv'!I:I)</f>
        <v>10</v>
      </c>
      <c r="N2156">
        <f>ABS(TablaDatos[[#This Row],[DiasOriginal]])</f>
        <v>10</v>
      </c>
      <c r="O2156" s="1">
        <f>TablaDatos[[#This Row],[FechaIngreso]]+TablaDatos[[#This Row],[DiasNuevo]]</f>
        <v>45288</v>
      </c>
    </row>
    <row r="2157" spans="1:15">
      <c r="A2157">
        <v>2156</v>
      </c>
      <c r="B2157" t="s">
        <v>341</v>
      </c>
      <c r="C2157" s="1">
        <v>28856</v>
      </c>
      <c r="D2157">
        <v>47</v>
      </c>
      <c r="E2157" s="4" t="s">
        <v>15</v>
      </c>
      <c r="F2157" t="s">
        <v>295</v>
      </c>
      <c r="G2157" s="1">
        <v>45368</v>
      </c>
      <c r="H2157" s="1">
        <f>TablaDatos[[#This Row],[FechaIngreso]]+TablaDatos[[#This Row],[DiasNuevo]]</f>
        <v>45398</v>
      </c>
      <c r="I2157">
        <v>30</v>
      </c>
      <c r="J2157" t="s">
        <v>19</v>
      </c>
      <c r="K2157" s="3">
        <v>17860.23</v>
      </c>
      <c r="L2157" t="b">
        <f>TablaDatos[[#This Row],[FechaAlta]] &lt; TablaDatos[[#This Row],[FechaIngreso]]</f>
        <v>0</v>
      </c>
      <c r="M2157">
        <f>_xlfn.XLOOKUP(TablaDatos[[#This Row],[PacienteID]],'Datos_Ejemplo.csv'!A:A,'Datos_Ejemplo.csv'!I:I)</f>
        <v>30</v>
      </c>
      <c r="N2157">
        <f>ABS(TablaDatos[[#This Row],[DiasOriginal]])</f>
        <v>30</v>
      </c>
      <c r="O2157" s="1">
        <f>TablaDatos[[#This Row],[FechaIngreso]]+TablaDatos[[#This Row],[DiasNuevo]]</f>
        <v>45398</v>
      </c>
    </row>
    <row r="2158" spans="1:15">
      <c r="A2158">
        <v>2157</v>
      </c>
      <c r="B2158" t="s">
        <v>269</v>
      </c>
      <c r="C2158" s="1">
        <v>21185</v>
      </c>
      <c r="D2158">
        <v>68</v>
      </c>
      <c r="E2158" s="4" t="s">
        <v>12</v>
      </c>
      <c r="F2158" t="s">
        <v>21</v>
      </c>
      <c r="G2158" s="1">
        <v>45561</v>
      </c>
      <c r="H2158" s="1">
        <f>TablaDatos[[#This Row],[FechaIngreso]]+TablaDatos[[#This Row],[DiasNuevo]]</f>
        <v>45563</v>
      </c>
      <c r="I2158">
        <v>2</v>
      </c>
      <c r="J2158" t="s">
        <v>25</v>
      </c>
      <c r="K2158" s="3">
        <v>15755.29</v>
      </c>
      <c r="L2158" t="b">
        <f>TablaDatos[[#This Row],[FechaAlta]] &lt; TablaDatos[[#This Row],[FechaIngreso]]</f>
        <v>0</v>
      </c>
      <c r="M2158">
        <f>_xlfn.XLOOKUP(TablaDatos[[#This Row],[PacienteID]],'Datos_Ejemplo.csv'!A:A,'Datos_Ejemplo.csv'!I:I)</f>
        <v>2</v>
      </c>
      <c r="N2158">
        <f>ABS(TablaDatos[[#This Row],[DiasOriginal]])</f>
        <v>2</v>
      </c>
      <c r="O2158" s="1">
        <f>TablaDatos[[#This Row],[FechaIngreso]]+TablaDatos[[#This Row],[DiasNuevo]]</f>
        <v>45563</v>
      </c>
    </row>
    <row r="2159" spans="1:15">
      <c r="A2159">
        <v>2158</v>
      </c>
      <c r="B2159" t="s">
        <v>299</v>
      </c>
      <c r="C2159" s="1">
        <v>13515</v>
      </c>
      <c r="D2159">
        <v>89</v>
      </c>
      <c r="E2159" s="4" t="s">
        <v>12</v>
      </c>
      <c r="F2159" t="s">
        <v>201</v>
      </c>
      <c r="G2159" s="1">
        <v>45385</v>
      </c>
      <c r="H2159" s="1">
        <f>TablaDatos[[#This Row],[FechaIngreso]]+TablaDatos[[#This Row],[DiasNuevo]]</f>
        <v>45409</v>
      </c>
      <c r="I2159">
        <v>24</v>
      </c>
      <c r="J2159" t="s">
        <v>25</v>
      </c>
      <c r="K2159" s="3">
        <v>13808.82</v>
      </c>
      <c r="L2159" t="b">
        <f>TablaDatos[[#This Row],[FechaAlta]] &lt; TablaDatos[[#This Row],[FechaIngreso]]</f>
        <v>0</v>
      </c>
      <c r="M2159">
        <f>_xlfn.XLOOKUP(TablaDatos[[#This Row],[PacienteID]],'Datos_Ejemplo.csv'!A:A,'Datos_Ejemplo.csv'!I:I)</f>
        <v>24</v>
      </c>
      <c r="N2159">
        <f>ABS(TablaDatos[[#This Row],[DiasOriginal]])</f>
        <v>24</v>
      </c>
      <c r="O2159" s="1">
        <f>TablaDatos[[#This Row],[FechaIngreso]]+TablaDatos[[#This Row],[DiasNuevo]]</f>
        <v>45409</v>
      </c>
    </row>
    <row r="2160" spans="1:15">
      <c r="A2160">
        <v>2159</v>
      </c>
      <c r="B2160" t="s">
        <v>349</v>
      </c>
      <c r="C2160" s="1">
        <v>23742</v>
      </c>
      <c r="D2160">
        <v>61</v>
      </c>
      <c r="E2160" s="4" t="s">
        <v>15</v>
      </c>
      <c r="F2160" t="s">
        <v>18</v>
      </c>
      <c r="G2160" s="1">
        <v>44951</v>
      </c>
      <c r="H2160" s="1">
        <f>TablaDatos[[#This Row],[FechaIngreso]]+TablaDatos[[#This Row],[DiasNuevo]]</f>
        <v>44953</v>
      </c>
      <c r="I2160">
        <v>2</v>
      </c>
      <c r="J2160" t="s">
        <v>23</v>
      </c>
      <c r="K2160" s="3">
        <v>13067.1</v>
      </c>
      <c r="L2160" t="b">
        <f>TablaDatos[[#This Row],[FechaAlta]] &lt; TablaDatos[[#This Row],[FechaIngreso]]</f>
        <v>0</v>
      </c>
      <c r="M2160">
        <f>_xlfn.XLOOKUP(TablaDatos[[#This Row],[PacienteID]],'Datos_Ejemplo.csv'!A:A,'Datos_Ejemplo.csv'!I:I)</f>
        <v>-2</v>
      </c>
      <c r="N2160">
        <f>ABS(TablaDatos[[#This Row],[DiasOriginal]])</f>
        <v>2</v>
      </c>
      <c r="O2160" s="1">
        <f>TablaDatos[[#This Row],[FechaIngreso]]+TablaDatos[[#This Row],[DiasNuevo]]</f>
        <v>44953</v>
      </c>
    </row>
    <row r="2161" spans="1:15">
      <c r="A2161">
        <v>2160</v>
      </c>
      <c r="B2161" t="s">
        <v>55</v>
      </c>
      <c r="C2161" s="1">
        <v>12785</v>
      </c>
      <c r="D2161">
        <v>91</v>
      </c>
      <c r="E2161" s="4" t="s">
        <v>15</v>
      </c>
      <c r="F2161" t="s">
        <v>13</v>
      </c>
      <c r="G2161" s="1">
        <v>45057</v>
      </c>
      <c r="H2161" s="1">
        <f>TablaDatos[[#This Row],[FechaIngreso]]+TablaDatos[[#This Row],[DiasNuevo]]</f>
        <v>45084</v>
      </c>
      <c r="I2161">
        <v>27</v>
      </c>
      <c r="J2161" t="s">
        <v>19</v>
      </c>
      <c r="K2161" s="3">
        <v>2032.49</v>
      </c>
      <c r="L2161" t="b">
        <f>TablaDatos[[#This Row],[FechaAlta]] &lt; TablaDatos[[#This Row],[FechaIngreso]]</f>
        <v>0</v>
      </c>
      <c r="M2161">
        <f>_xlfn.XLOOKUP(TablaDatos[[#This Row],[PacienteID]],'Datos_Ejemplo.csv'!A:A,'Datos_Ejemplo.csv'!I:I)</f>
        <v>27</v>
      </c>
      <c r="N2161">
        <f>ABS(TablaDatos[[#This Row],[DiasOriginal]])</f>
        <v>27</v>
      </c>
      <c r="O2161" s="1">
        <f>TablaDatos[[#This Row],[FechaIngreso]]+TablaDatos[[#This Row],[DiasNuevo]]</f>
        <v>45084</v>
      </c>
    </row>
    <row r="2162" spans="1:15">
      <c r="A2162">
        <v>2161</v>
      </c>
      <c r="B2162" t="s">
        <v>311</v>
      </c>
      <c r="C2162" s="1">
        <v>22281</v>
      </c>
      <c r="D2162">
        <v>65</v>
      </c>
      <c r="E2162" s="4" t="s">
        <v>15</v>
      </c>
      <c r="F2162" t="s">
        <v>13</v>
      </c>
      <c r="G2162" s="1">
        <v>45296</v>
      </c>
      <c r="H2162" s="1">
        <f>TablaDatos[[#This Row],[FechaIngreso]]+TablaDatos[[#This Row],[DiasNuevo]]</f>
        <v>45316</v>
      </c>
      <c r="I2162">
        <v>20</v>
      </c>
      <c r="J2162" t="s">
        <v>23</v>
      </c>
      <c r="K2162" s="3">
        <v>18001.38</v>
      </c>
      <c r="L2162" t="b">
        <f>TablaDatos[[#This Row],[FechaAlta]] &lt; TablaDatos[[#This Row],[FechaIngreso]]</f>
        <v>0</v>
      </c>
      <c r="M2162">
        <f>_xlfn.XLOOKUP(TablaDatos[[#This Row],[PacienteID]],'Datos_Ejemplo.csv'!A:A,'Datos_Ejemplo.csv'!I:I)</f>
        <v>20</v>
      </c>
      <c r="N2162">
        <f>ABS(TablaDatos[[#This Row],[DiasOriginal]])</f>
        <v>20</v>
      </c>
      <c r="O2162" s="1">
        <f>TablaDatos[[#This Row],[FechaIngreso]]+TablaDatos[[#This Row],[DiasNuevo]]</f>
        <v>45316</v>
      </c>
    </row>
    <row r="2163" spans="1:15">
      <c r="A2163">
        <v>2162</v>
      </c>
      <c r="B2163" t="s">
        <v>273</v>
      </c>
      <c r="C2163" s="1">
        <v>23012</v>
      </c>
      <c r="D2163">
        <v>63</v>
      </c>
      <c r="E2163" s="4" t="s">
        <v>15</v>
      </c>
      <c r="F2163" t="s">
        <v>21</v>
      </c>
      <c r="G2163" s="1">
        <v>45362</v>
      </c>
      <c r="H2163" s="1">
        <f>TablaDatos[[#This Row],[FechaIngreso]]+TablaDatos[[#This Row],[DiasNuevo]]</f>
        <v>45374</v>
      </c>
      <c r="I2163">
        <v>12</v>
      </c>
      <c r="J2163" t="s">
        <v>23</v>
      </c>
      <c r="K2163" s="3">
        <v>17610.68</v>
      </c>
      <c r="L2163" t="b">
        <f>TablaDatos[[#This Row],[FechaAlta]] &lt; TablaDatos[[#This Row],[FechaIngreso]]</f>
        <v>0</v>
      </c>
      <c r="M2163">
        <f>_xlfn.XLOOKUP(TablaDatos[[#This Row],[PacienteID]],'Datos_Ejemplo.csv'!A:A,'Datos_Ejemplo.csv'!I:I)</f>
        <v>12</v>
      </c>
      <c r="N2163">
        <f>ABS(TablaDatos[[#This Row],[DiasOriginal]])</f>
        <v>12</v>
      </c>
      <c r="O2163" s="1">
        <f>TablaDatos[[#This Row],[FechaIngreso]]+TablaDatos[[#This Row],[DiasNuevo]]</f>
        <v>45374</v>
      </c>
    </row>
    <row r="2164" spans="1:15">
      <c r="A2164">
        <v>2163</v>
      </c>
      <c r="B2164" t="s">
        <v>308</v>
      </c>
      <c r="C2164" s="1">
        <v>20820</v>
      </c>
      <c r="D2164">
        <v>69</v>
      </c>
      <c r="E2164" s="4" t="s">
        <v>15</v>
      </c>
      <c r="F2164" t="s">
        <v>295</v>
      </c>
      <c r="G2164" s="1">
        <v>45150</v>
      </c>
      <c r="H2164" s="1">
        <f>TablaDatos[[#This Row],[FechaIngreso]]+TablaDatos[[#This Row],[DiasNuevo]]</f>
        <v>45183</v>
      </c>
      <c r="I2164">
        <v>33</v>
      </c>
      <c r="J2164" t="s">
        <v>23</v>
      </c>
      <c r="K2164" s="3">
        <v>14931.84</v>
      </c>
      <c r="L2164" t="b">
        <f>TablaDatos[[#This Row],[FechaAlta]] &lt; TablaDatos[[#This Row],[FechaIngreso]]</f>
        <v>0</v>
      </c>
      <c r="M2164">
        <f>_xlfn.XLOOKUP(TablaDatos[[#This Row],[PacienteID]],'Datos_Ejemplo.csv'!A:A,'Datos_Ejemplo.csv'!I:I)</f>
        <v>33</v>
      </c>
      <c r="N2164">
        <f>ABS(TablaDatos[[#This Row],[DiasOriginal]])</f>
        <v>33</v>
      </c>
      <c r="O2164" s="1">
        <f>TablaDatos[[#This Row],[FechaIngreso]]+TablaDatos[[#This Row],[DiasNuevo]]</f>
        <v>45183</v>
      </c>
    </row>
    <row r="2165" spans="1:15">
      <c r="A2165">
        <v>2164</v>
      </c>
      <c r="B2165" t="s">
        <v>151</v>
      </c>
      <c r="C2165" s="1">
        <v>23377</v>
      </c>
      <c r="D2165">
        <v>62</v>
      </c>
      <c r="E2165" s="4" t="s">
        <v>197</v>
      </c>
      <c r="F2165" t="s">
        <v>18</v>
      </c>
      <c r="G2165" s="1">
        <v>45537</v>
      </c>
      <c r="H2165" s="1">
        <f>TablaDatos[[#This Row],[FechaIngreso]]+TablaDatos[[#This Row],[DiasNuevo]]</f>
        <v>45553</v>
      </c>
      <c r="I2165">
        <v>16</v>
      </c>
      <c r="J2165" t="s">
        <v>23</v>
      </c>
      <c r="K2165" s="3">
        <v>18539.03</v>
      </c>
      <c r="L2165" t="b">
        <f>TablaDatos[[#This Row],[FechaAlta]] &lt; TablaDatos[[#This Row],[FechaIngreso]]</f>
        <v>0</v>
      </c>
      <c r="M2165">
        <f>_xlfn.XLOOKUP(TablaDatos[[#This Row],[PacienteID]],'Datos_Ejemplo.csv'!A:A,'Datos_Ejemplo.csv'!I:I)</f>
        <v>16</v>
      </c>
      <c r="N2165">
        <f>ABS(TablaDatos[[#This Row],[DiasOriginal]])</f>
        <v>16</v>
      </c>
      <c r="O2165" s="1">
        <f>TablaDatos[[#This Row],[FechaIngreso]]+TablaDatos[[#This Row],[DiasNuevo]]</f>
        <v>45553</v>
      </c>
    </row>
    <row r="2166" spans="1:15">
      <c r="A2166">
        <v>2165</v>
      </c>
      <c r="B2166" t="s">
        <v>345</v>
      </c>
      <c r="C2166" s="1">
        <v>19724</v>
      </c>
      <c r="D2166">
        <v>72</v>
      </c>
      <c r="E2166" s="4" t="s">
        <v>12</v>
      </c>
      <c r="F2166" t="s">
        <v>13</v>
      </c>
      <c r="G2166" s="1">
        <v>45278</v>
      </c>
      <c r="H2166" s="1">
        <f>TablaDatos[[#This Row],[FechaIngreso]]+TablaDatos[[#This Row],[DiasNuevo]]</f>
        <v>45305</v>
      </c>
      <c r="I2166">
        <v>27</v>
      </c>
      <c r="J2166" t="s">
        <v>23</v>
      </c>
      <c r="K2166" s="3">
        <v>11016.98</v>
      </c>
      <c r="L2166" t="b">
        <f>TablaDatos[[#This Row],[FechaAlta]] &lt; TablaDatos[[#This Row],[FechaIngreso]]</f>
        <v>0</v>
      </c>
      <c r="M2166">
        <f>_xlfn.XLOOKUP(TablaDatos[[#This Row],[PacienteID]],'Datos_Ejemplo.csv'!A:A,'Datos_Ejemplo.csv'!I:I)</f>
        <v>27</v>
      </c>
      <c r="N2166">
        <f>ABS(TablaDatos[[#This Row],[DiasOriginal]])</f>
        <v>27</v>
      </c>
      <c r="O2166" s="1">
        <f>TablaDatos[[#This Row],[FechaIngreso]]+TablaDatos[[#This Row],[DiasNuevo]]</f>
        <v>45305</v>
      </c>
    </row>
    <row r="2167" spans="1:15">
      <c r="A2167">
        <v>2166</v>
      </c>
      <c r="B2167" t="s">
        <v>247</v>
      </c>
      <c r="C2167" s="1">
        <v>34334</v>
      </c>
      <c r="D2167">
        <v>32</v>
      </c>
      <c r="E2167" s="4" t="s">
        <v>12</v>
      </c>
      <c r="F2167" t="s">
        <v>13</v>
      </c>
      <c r="G2167" s="1">
        <v>45411</v>
      </c>
      <c r="H2167" s="1">
        <f>TablaDatos[[#This Row],[FechaIngreso]]+TablaDatos[[#This Row],[DiasNuevo]]</f>
        <v>45424</v>
      </c>
      <c r="I2167">
        <v>13</v>
      </c>
      <c r="J2167" t="s">
        <v>19</v>
      </c>
      <c r="K2167" s="3">
        <v>8897.61</v>
      </c>
      <c r="L2167" t="b">
        <f>TablaDatos[[#This Row],[FechaAlta]] &lt; TablaDatos[[#This Row],[FechaIngreso]]</f>
        <v>0</v>
      </c>
      <c r="M2167">
        <f>_xlfn.XLOOKUP(TablaDatos[[#This Row],[PacienteID]],'Datos_Ejemplo.csv'!A:A,'Datos_Ejemplo.csv'!I:I)</f>
        <v>13</v>
      </c>
      <c r="N2167">
        <f>ABS(TablaDatos[[#This Row],[DiasOriginal]])</f>
        <v>13</v>
      </c>
      <c r="O2167" s="1">
        <f>TablaDatos[[#This Row],[FechaIngreso]]+TablaDatos[[#This Row],[DiasNuevo]]</f>
        <v>45424</v>
      </c>
    </row>
    <row r="2168" spans="1:15">
      <c r="A2168">
        <v>2167</v>
      </c>
      <c r="B2168" t="s">
        <v>305</v>
      </c>
      <c r="C2168" s="1">
        <v>31412</v>
      </c>
      <c r="D2168">
        <v>40</v>
      </c>
      <c r="E2168" s="4" t="s">
        <v>12</v>
      </c>
      <c r="F2168" t="s">
        <v>295</v>
      </c>
      <c r="G2168" s="1">
        <v>45123</v>
      </c>
      <c r="H2168" s="1">
        <f>TablaDatos[[#This Row],[FechaIngreso]]+TablaDatos[[#This Row],[DiasNuevo]]</f>
        <v>45138</v>
      </c>
      <c r="I2168">
        <v>15</v>
      </c>
      <c r="J2168" t="s">
        <v>19</v>
      </c>
      <c r="K2168" s="3">
        <v>19355.740000000002</v>
      </c>
      <c r="L2168" t="b">
        <f>TablaDatos[[#This Row],[FechaAlta]] &lt; TablaDatos[[#This Row],[FechaIngreso]]</f>
        <v>0</v>
      </c>
      <c r="M2168">
        <f>_xlfn.XLOOKUP(TablaDatos[[#This Row],[PacienteID]],'Datos_Ejemplo.csv'!A:A,'Datos_Ejemplo.csv'!I:I)</f>
        <v>15</v>
      </c>
      <c r="N2168">
        <f>ABS(TablaDatos[[#This Row],[DiasOriginal]])</f>
        <v>15</v>
      </c>
      <c r="O2168" s="1">
        <f>TablaDatos[[#This Row],[FechaIngreso]]+TablaDatos[[#This Row],[DiasNuevo]]</f>
        <v>45138</v>
      </c>
    </row>
    <row r="2169" spans="1:15">
      <c r="A2169">
        <v>2168</v>
      </c>
      <c r="B2169" t="s">
        <v>264</v>
      </c>
      <c r="C2169" s="1">
        <v>13880</v>
      </c>
      <c r="D2169">
        <v>88</v>
      </c>
      <c r="E2169" s="4" t="s">
        <v>12</v>
      </c>
      <c r="F2169" t="s">
        <v>21</v>
      </c>
      <c r="G2169" s="1">
        <v>45035</v>
      </c>
      <c r="H2169" s="1">
        <f>TablaDatos[[#This Row],[FechaIngreso]]+TablaDatos[[#This Row],[DiasNuevo]]</f>
        <v>45058</v>
      </c>
      <c r="I2169">
        <v>23</v>
      </c>
      <c r="J2169" t="s">
        <v>19</v>
      </c>
      <c r="K2169" s="3">
        <v>9229.0400000000009</v>
      </c>
      <c r="L2169" t="b">
        <f>TablaDatos[[#This Row],[FechaAlta]] &lt; TablaDatos[[#This Row],[FechaIngreso]]</f>
        <v>0</v>
      </c>
      <c r="M2169">
        <f>_xlfn.XLOOKUP(TablaDatos[[#This Row],[PacienteID]],'Datos_Ejemplo.csv'!A:A,'Datos_Ejemplo.csv'!I:I)</f>
        <v>23</v>
      </c>
      <c r="N2169">
        <f>ABS(TablaDatos[[#This Row],[DiasOriginal]])</f>
        <v>23</v>
      </c>
      <c r="O2169" s="1">
        <f>TablaDatos[[#This Row],[FechaIngreso]]+TablaDatos[[#This Row],[DiasNuevo]]</f>
        <v>45058</v>
      </c>
    </row>
    <row r="2170" spans="1:15">
      <c r="A2170">
        <v>2169</v>
      </c>
      <c r="B2170" t="s">
        <v>265</v>
      </c>
      <c r="C2170" s="1">
        <v>28856</v>
      </c>
      <c r="D2170">
        <v>47</v>
      </c>
      <c r="E2170" s="4" t="s">
        <v>12</v>
      </c>
      <c r="F2170" t="s">
        <v>32</v>
      </c>
      <c r="G2170" s="1">
        <v>45146</v>
      </c>
      <c r="H2170" s="1">
        <f>TablaDatos[[#This Row],[FechaIngreso]]+TablaDatos[[#This Row],[DiasNuevo]]</f>
        <v>45160</v>
      </c>
      <c r="I2170">
        <v>14</v>
      </c>
      <c r="J2170" t="s">
        <v>19</v>
      </c>
      <c r="K2170" s="3">
        <v>12790.62</v>
      </c>
      <c r="L2170" t="b">
        <f>TablaDatos[[#This Row],[FechaAlta]] &lt; TablaDatos[[#This Row],[FechaIngreso]]</f>
        <v>0</v>
      </c>
      <c r="M2170">
        <f>_xlfn.XLOOKUP(TablaDatos[[#This Row],[PacienteID]],'Datos_Ejemplo.csv'!A:A,'Datos_Ejemplo.csv'!I:I)</f>
        <v>14</v>
      </c>
      <c r="N2170">
        <f>ABS(TablaDatos[[#This Row],[DiasOriginal]])</f>
        <v>14</v>
      </c>
      <c r="O2170" s="1">
        <f>TablaDatos[[#This Row],[FechaIngreso]]+TablaDatos[[#This Row],[DiasNuevo]]</f>
        <v>45160</v>
      </c>
    </row>
    <row r="2171" spans="1:15">
      <c r="A2171">
        <v>2170</v>
      </c>
      <c r="B2171" t="s">
        <v>251</v>
      </c>
      <c r="C2171" s="1">
        <v>41639</v>
      </c>
      <c r="D2171">
        <v>12</v>
      </c>
      <c r="E2171" s="4" t="s">
        <v>12</v>
      </c>
      <c r="F2171" t="s">
        <v>201</v>
      </c>
      <c r="G2171" s="1">
        <v>45646</v>
      </c>
      <c r="H2171" s="1">
        <f>TablaDatos[[#This Row],[FechaIngreso]]+TablaDatos[[#This Row],[DiasNuevo]]</f>
        <v>45654</v>
      </c>
      <c r="I2171">
        <v>8</v>
      </c>
      <c r="J2171" t="s">
        <v>23</v>
      </c>
      <c r="K2171" s="3">
        <v>7398.55</v>
      </c>
      <c r="L2171" t="b">
        <f>TablaDatos[[#This Row],[FechaAlta]] &lt; TablaDatos[[#This Row],[FechaIngreso]]</f>
        <v>0</v>
      </c>
      <c r="M2171">
        <f>_xlfn.XLOOKUP(TablaDatos[[#This Row],[PacienteID]],'Datos_Ejemplo.csv'!A:A,'Datos_Ejemplo.csv'!I:I)</f>
        <v>8</v>
      </c>
      <c r="N2171">
        <f>ABS(TablaDatos[[#This Row],[DiasOriginal]])</f>
        <v>8</v>
      </c>
      <c r="O2171" s="1">
        <f>TablaDatos[[#This Row],[FechaIngreso]]+TablaDatos[[#This Row],[DiasNuevo]]</f>
        <v>45654</v>
      </c>
    </row>
    <row r="2172" spans="1:15">
      <c r="A2172">
        <v>2171</v>
      </c>
      <c r="B2172" t="s">
        <v>349</v>
      </c>
      <c r="C2172" s="1">
        <v>19724</v>
      </c>
      <c r="D2172">
        <v>72</v>
      </c>
      <c r="E2172" s="4" t="s">
        <v>15</v>
      </c>
      <c r="F2172" t="s">
        <v>261</v>
      </c>
      <c r="G2172" s="1">
        <v>45245</v>
      </c>
      <c r="H2172" s="1">
        <f>TablaDatos[[#This Row],[FechaIngreso]]+TablaDatos[[#This Row],[DiasNuevo]]</f>
        <v>45271</v>
      </c>
      <c r="I2172">
        <v>26</v>
      </c>
      <c r="J2172" t="s">
        <v>23</v>
      </c>
      <c r="K2172" s="3">
        <v>12690.16</v>
      </c>
      <c r="L2172" t="b">
        <f>TablaDatos[[#This Row],[FechaAlta]] &lt; TablaDatos[[#This Row],[FechaIngreso]]</f>
        <v>0</v>
      </c>
      <c r="M2172">
        <f>_xlfn.XLOOKUP(TablaDatos[[#This Row],[PacienteID]],'Datos_Ejemplo.csv'!A:A,'Datos_Ejemplo.csv'!I:I)</f>
        <v>26</v>
      </c>
      <c r="N2172">
        <f>ABS(TablaDatos[[#This Row],[DiasOriginal]])</f>
        <v>26</v>
      </c>
      <c r="O2172" s="1">
        <f>TablaDatos[[#This Row],[FechaIngreso]]+TablaDatos[[#This Row],[DiasNuevo]]</f>
        <v>45271</v>
      </c>
    </row>
    <row r="2173" spans="1:15">
      <c r="A2173">
        <v>2172</v>
      </c>
      <c r="B2173" t="s">
        <v>235</v>
      </c>
      <c r="C2173" s="1">
        <v>18263</v>
      </c>
      <c r="D2173">
        <v>76</v>
      </c>
      <c r="E2173" s="4" t="s">
        <v>12</v>
      </c>
      <c r="F2173" t="s">
        <v>201</v>
      </c>
      <c r="G2173" s="1">
        <v>45008</v>
      </c>
      <c r="H2173" s="1">
        <f>TablaDatos[[#This Row],[FechaIngreso]]+TablaDatos[[#This Row],[DiasNuevo]]</f>
        <v>45014</v>
      </c>
      <c r="I2173">
        <v>6</v>
      </c>
      <c r="J2173" t="s">
        <v>23</v>
      </c>
      <c r="K2173" s="3">
        <v>14373.99</v>
      </c>
      <c r="L2173" t="b">
        <f>TablaDatos[[#This Row],[FechaAlta]] &lt; TablaDatos[[#This Row],[FechaIngreso]]</f>
        <v>0</v>
      </c>
      <c r="M2173">
        <f>_xlfn.XLOOKUP(TablaDatos[[#This Row],[PacienteID]],'Datos_Ejemplo.csv'!A:A,'Datos_Ejemplo.csv'!I:I)</f>
        <v>6</v>
      </c>
      <c r="N2173">
        <f>ABS(TablaDatos[[#This Row],[DiasOriginal]])</f>
        <v>6</v>
      </c>
      <c r="O2173" s="1">
        <f>TablaDatos[[#This Row],[FechaIngreso]]+TablaDatos[[#This Row],[DiasNuevo]]</f>
        <v>45014</v>
      </c>
    </row>
    <row r="2174" spans="1:15">
      <c r="A2174">
        <v>2173</v>
      </c>
      <c r="B2174" t="s">
        <v>267</v>
      </c>
      <c r="C2174" s="1">
        <v>35065</v>
      </c>
      <c r="D2174">
        <v>30</v>
      </c>
      <c r="E2174" s="4" t="s">
        <v>12</v>
      </c>
      <c r="F2174" t="s">
        <v>18</v>
      </c>
      <c r="G2174" s="1">
        <v>45463</v>
      </c>
      <c r="H2174" s="1">
        <f>TablaDatos[[#This Row],[FechaIngreso]]+TablaDatos[[#This Row],[DiasNuevo]]</f>
        <v>45477</v>
      </c>
      <c r="I2174">
        <v>14</v>
      </c>
      <c r="J2174" t="s">
        <v>23</v>
      </c>
      <c r="K2174" s="3">
        <v>12455.58</v>
      </c>
      <c r="L2174" t="b">
        <f>TablaDatos[[#This Row],[FechaAlta]] &lt; TablaDatos[[#This Row],[FechaIngreso]]</f>
        <v>0</v>
      </c>
      <c r="M2174">
        <f>_xlfn.XLOOKUP(TablaDatos[[#This Row],[PacienteID]],'Datos_Ejemplo.csv'!A:A,'Datos_Ejemplo.csv'!I:I)</f>
        <v>14</v>
      </c>
      <c r="N2174">
        <f>ABS(TablaDatos[[#This Row],[DiasOriginal]])</f>
        <v>14</v>
      </c>
      <c r="O2174" s="1">
        <f>TablaDatos[[#This Row],[FechaIngreso]]+TablaDatos[[#This Row],[DiasNuevo]]</f>
        <v>45477</v>
      </c>
    </row>
    <row r="2175" spans="1:15">
      <c r="A2175">
        <v>2174</v>
      </c>
      <c r="B2175" t="s">
        <v>302</v>
      </c>
      <c r="C2175" s="1">
        <v>18994</v>
      </c>
      <c r="D2175">
        <v>74</v>
      </c>
      <c r="E2175" s="4" t="s">
        <v>12</v>
      </c>
      <c r="F2175" t="s">
        <v>13</v>
      </c>
      <c r="G2175" s="1">
        <v>45624</v>
      </c>
      <c r="H2175" s="1">
        <f>TablaDatos[[#This Row],[FechaIngreso]]+TablaDatos[[#This Row],[DiasNuevo]]</f>
        <v>45648</v>
      </c>
      <c r="I2175">
        <v>24</v>
      </c>
      <c r="J2175" t="s">
        <v>23</v>
      </c>
      <c r="K2175" s="3">
        <v>10242.719999999999</v>
      </c>
      <c r="L2175" t="b">
        <f>TablaDatos[[#This Row],[FechaAlta]] &lt; TablaDatos[[#This Row],[FechaIngreso]]</f>
        <v>0</v>
      </c>
      <c r="M2175">
        <f>_xlfn.XLOOKUP(TablaDatos[[#This Row],[PacienteID]],'Datos_Ejemplo.csv'!A:A,'Datos_Ejemplo.csv'!I:I)</f>
        <v>24</v>
      </c>
      <c r="N2175">
        <f>ABS(TablaDatos[[#This Row],[DiasOriginal]])</f>
        <v>24</v>
      </c>
      <c r="O2175" s="1">
        <f>TablaDatos[[#This Row],[FechaIngreso]]+TablaDatos[[#This Row],[DiasNuevo]]</f>
        <v>45648</v>
      </c>
    </row>
    <row r="2176" spans="1:15">
      <c r="A2176">
        <v>2175</v>
      </c>
      <c r="B2176" t="s">
        <v>313</v>
      </c>
      <c r="C2176" s="1">
        <v>21551</v>
      </c>
      <c r="D2176">
        <v>67</v>
      </c>
      <c r="E2176" s="4" t="s">
        <v>197</v>
      </c>
      <c r="F2176" t="s">
        <v>261</v>
      </c>
      <c r="G2176" s="1">
        <v>45358</v>
      </c>
      <c r="H2176" s="1">
        <f>TablaDatos[[#This Row],[FechaIngreso]]+TablaDatos[[#This Row],[DiasNuevo]]</f>
        <v>45392</v>
      </c>
      <c r="I2176">
        <v>34</v>
      </c>
      <c r="J2176" t="s">
        <v>25</v>
      </c>
      <c r="K2176" s="3">
        <v>5932.23</v>
      </c>
      <c r="L2176" t="b">
        <f>TablaDatos[[#This Row],[FechaAlta]] &lt; TablaDatos[[#This Row],[FechaIngreso]]</f>
        <v>0</v>
      </c>
      <c r="M2176">
        <f>_xlfn.XLOOKUP(TablaDatos[[#This Row],[PacienteID]],'Datos_Ejemplo.csv'!A:A,'Datos_Ejemplo.csv'!I:I)</f>
        <v>34</v>
      </c>
      <c r="N2176">
        <f>ABS(TablaDatos[[#This Row],[DiasOriginal]])</f>
        <v>34</v>
      </c>
      <c r="O2176" s="1">
        <f>TablaDatos[[#This Row],[FechaIngreso]]+TablaDatos[[#This Row],[DiasNuevo]]</f>
        <v>45392</v>
      </c>
    </row>
    <row r="2177" spans="1:15">
      <c r="A2177">
        <v>2176</v>
      </c>
      <c r="B2177" t="s">
        <v>234</v>
      </c>
      <c r="C2177" s="1">
        <v>44927</v>
      </c>
      <c r="D2177">
        <v>3</v>
      </c>
      <c r="E2177" s="4" t="s">
        <v>15</v>
      </c>
      <c r="F2177" t="s">
        <v>261</v>
      </c>
      <c r="G2177" s="1">
        <v>44934</v>
      </c>
      <c r="H2177" s="1">
        <f>TablaDatos[[#This Row],[FechaIngreso]]+TablaDatos[[#This Row],[DiasNuevo]]</f>
        <v>44953</v>
      </c>
      <c r="I2177">
        <v>19</v>
      </c>
      <c r="J2177" t="s">
        <v>19</v>
      </c>
      <c r="K2177" s="3">
        <v>12841.3</v>
      </c>
      <c r="L2177" t="b">
        <f>TablaDatos[[#This Row],[FechaAlta]] &lt; TablaDatos[[#This Row],[FechaIngreso]]</f>
        <v>0</v>
      </c>
      <c r="M2177">
        <f>_xlfn.XLOOKUP(TablaDatos[[#This Row],[PacienteID]],'Datos_Ejemplo.csv'!A:A,'Datos_Ejemplo.csv'!I:I)</f>
        <v>19</v>
      </c>
      <c r="N2177">
        <f>ABS(TablaDatos[[#This Row],[DiasOriginal]])</f>
        <v>19</v>
      </c>
      <c r="O2177" s="1">
        <f>TablaDatos[[#This Row],[FechaIngreso]]+TablaDatos[[#This Row],[DiasNuevo]]</f>
        <v>44953</v>
      </c>
    </row>
    <row r="2178" spans="1:15">
      <c r="A2178">
        <v>2177</v>
      </c>
      <c r="B2178" t="s">
        <v>256</v>
      </c>
      <c r="C2178" s="1">
        <v>39448</v>
      </c>
      <c r="D2178">
        <v>18</v>
      </c>
      <c r="E2178" s="4" t="s">
        <v>12</v>
      </c>
      <c r="F2178" t="s">
        <v>32</v>
      </c>
      <c r="G2178" s="1">
        <v>45562</v>
      </c>
      <c r="H2178" s="1">
        <f>TablaDatos[[#This Row],[FechaIngreso]]+TablaDatos[[#This Row],[DiasNuevo]]</f>
        <v>45567</v>
      </c>
      <c r="I2178">
        <v>5</v>
      </c>
      <c r="J2178" t="s">
        <v>23</v>
      </c>
      <c r="K2178" s="3">
        <v>18159.419999999998</v>
      </c>
      <c r="L2178" t="b">
        <f>TablaDatos[[#This Row],[FechaAlta]] &lt; TablaDatos[[#This Row],[FechaIngreso]]</f>
        <v>0</v>
      </c>
      <c r="M2178">
        <f>_xlfn.XLOOKUP(TablaDatos[[#This Row],[PacienteID]],'Datos_Ejemplo.csv'!A:A,'Datos_Ejemplo.csv'!I:I)</f>
        <v>5</v>
      </c>
      <c r="N2178">
        <f>ABS(TablaDatos[[#This Row],[DiasOriginal]])</f>
        <v>5</v>
      </c>
      <c r="O2178" s="1">
        <f>TablaDatos[[#This Row],[FechaIngreso]]+TablaDatos[[#This Row],[DiasNuevo]]</f>
        <v>45567</v>
      </c>
    </row>
    <row r="2179" spans="1:15">
      <c r="A2179">
        <v>2178</v>
      </c>
      <c r="B2179" t="s">
        <v>360</v>
      </c>
      <c r="C2179" s="1">
        <v>20820</v>
      </c>
      <c r="D2179">
        <v>69</v>
      </c>
      <c r="E2179" s="4" t="s">
        <v>15</v>
      </c>
      <c r="F2179" t="s">
        <v>261</v>
      </c>
      <c r="G2179" s="1">
        <v>45075</v>
      </c>
      <c r="H2179" s="1">
        <f>TablaDatos[[#This Row],[FechaIngreso]]+TablaDatos[[#This Row],[DiasNuevo]]</f>
        <v>45075</v>
      </c>
      <c r="I2179">
        <v>0</v>
      </c>
      <c r="J2179" t="s">
        <v>23</v>
      </c>
      <c r="K2179" s="3">
        <v>38.94</v>
      </c>
      <c r="L2179" t="b">
        <f>TablaDatos[[#This Row],[FechaAlta]] &lt; TablaDatos[[#This Row],[FechaIngreso]]</f>
        <v>0</v>
      </c>
      <c r="M2179">
        <f>_xlfn.XLOOKUP(TablaDatos[[#This Row],[PacienteID]],'Datos_Ejemplo.csv'!A:A,'Datos_Ejemplo.csv'!I:I)</f>
        <v>0</v>
      </c>
      <c r="N2179">
        <f>ABS(TablaDatos[[#This Row],[DiasOriginal]])</f>
        <v>0</v>
      </c>
      <c r="O2179" s="1">
        <f>TablaDatos[[#This Row],[FechaIngreso]]+TablaDatos[[#This Row],[DiasNuevo]]</f>
        <v>45075</v>
      </c>
    </row>
    <row r="2180" spans="1:15">
      <c r="A2180">
        <v>2179</v>
      </c>
      <c r="B2180" t="s">
        <v>302</v>
      </c>
      <c r="C2180" s="1">
        <v>16437</v>
      </c>
      <c r="D2180">
        <v>81</v>
      </c>
      <c r="E2180" s="4" t="s">
        <v>12</v>
      </c>
      <c r="F2180" t="s">
        <v>295</v>
      </c>
      <c r="G2180" s="1">
        <v>45024</v>
      </c>
      <c r="H2180" s="1">
        <f>TablaDatos[[#This Row],[FechaIngreso]]+TablaDatos[[#This Row],[DiasNuevo]]</f>
        <v>45059</v>
      </c>
      <c r="I2180">
        <v>35</v>
      </c>
      <c r="J2180" t="s">
        <v>19</v>
      </c>
      <c r="K2180" s="3">
        <v>2591.9699999999998</v>
      </c>
      <c r="L2180" t="b">
        <f>TablaDatos[[#This Row],[FechaAlta]] &lt; TablaDatos[[#This Row],[FechaIngreso]]</f>
        <v>0</v>
      </c>
      <c r="M2180">
        <f>_xlfn.XLOOKUP(TablaDatos[[#This Row],[PacienteID]],'Datos_Ejemplo.csv'!A:A,'Datos_Ejemplo.csv'!I:I)</f>
        <v>35</v>
      </c>
      <c r="N2180">
        <f>ABS(TablaDatos[[#This Row],[DiasOriginal]])</f>
        <v>35</v>
      </c>
      <c r="O2180" s="1">
        <f>TablaDatos[[#This Row],[FechaIngreso]]+TablaDatos[[#This Row],[DiasNuevo]]</f>
        <v>45059</v>
      </c>
    </row>
    <row r="2181" spans="1:15">
      <c r="A2181">
        <v>2180</v>
      </c>
      <c r="B2181" t="s">
        <v>257</v>
      </c>
      <c r="C2181" s="1">
        <v>41639</v>
      </c>
      <c r="D2181">
        <v>12</v>
      </c>
      <c r="E2181" s="4" t="s">
        <v>15</v>
      </c>
      <c r="F2181" t="s">
        <v>21</v>
      </c>
      <c r="G2181" s="1">
        <v>45654</v>
      </c>
      <c r="H2181" s="1">
        <f>TablaDatos[[#This Row],[FechaIngreso]]+TablaDatos[[#This Row],[DiasNuevo]]</f>
        <v>45686</v>
      </c>
      <c r="I2181">
        <v>32</v>
      </c>
      <c r="J2181" t="s">
        <v>19</v>
      </c>
      <c r="K2181" s="3">
        <v>2307.44</v>
      </c>
      <c r="L2181" t="b">
        <f>TablaDatos[[#This Row],[FechaAlta]] &lt; TablaDatos[[#This Row],[FechaIngreso]]</f>
        <v>0</v>
      </c>
      <c r="M2181">
        <f>_xlfn.XLOOKUP(TablaDatos[[#This Row],[PacienteID]],'Datos_Ejemplo.csv'!A:A,'Datos_Ejemplo.csv'!I:I)</f>
        <v>32</v>
      </c>
      <c r="N2181">
        <f>ABS(TablaDatos[[#This Row],[DiasOriginal]])</f>
        <v>32</v>
      </c>
      <c r="O2181" s="1">
        <f>TablaDatos[[#This Row],[FechaIngreso]]+TablaDatos[[#This Row],[DiasNuevo]]</f>
        <v>45686</v>
      </c>
    </row>
    <row r="2182" spans="1:15">
      <c r="A2182">
        <v>2181</v>
      </c>
      <c r="B2182" t="s">
        <v>363</v>
      </c>
      <c r="C2182" s="1">
        <v>37987</v>
      </c>
      <c r="D2182">
        <v>22</v>
      </c>
      <c r="E2182" s="4" t="s">
        <v>15</v>
      </c>
      <c r="F2182" t="s">
        <v>18</v>
      </c>
      <c r="G2182" s="1">
        <v>45027</v>
      </c>
      <c r="H2182" s="1">
        <f>TablaDatos[[#This Row],[FechaIngreso]]+TablaDatos[[#This Row],[DiasNuevo]]</f>
        <v>45056</v>
      </c>
      <c r="I2182">
        <v>29</v>
      </c>
      <c r="J2182" t="s">
        <v>23</v>
      </c>
      <c r="K2182" s="3">
        <v>18456.43</v>
      </c>
      <c r="L2182" t="b">
        <f>TablaDatos[[#This Row],[FechaAlta]] &lt; TablaDatos[[#This Row],[FechaIngreso]]</f>
        <v>0</v>
      </c>
      <c r="M2182">
        <f>_xlfn.XLOOKUP(TablaDatos[[#This Row],[PacienteID]],'Datos_Ejemplo.csv'!A:A,'Datos_Ejemplo.csv'!I:I)</f>
        <v>29</v>
      </c>
      <c r="N2182">
        <f>ABS(TablaDatos[[#This Row],[DiasOriginal]])</f>
        <v>29</v>
      </c>
      <c r="O2182" s="1">
        <f>TablaDatos[[#This Row],[FechaIngreso]]+TablaDatos[[#This Row],[DiasNuevo]]</f>
        <v>45056</v>
      </c>
    </row>
    <row r="2183" spans="1:15">
      <c r="A2183">
        <v>2182</v>
      </c>
      <c r="B2183" t="s">
        <v>343</v>
      </c>
      <c r="C2183" s="1">
        <v>16072</v>
      </c>
      <c r="D2183">
        <v>82</v>
      </c>
      <c r="E2183" s="4" t="s">
        <v>15</v>
      </c>
      <c r="F2183" t="s">
        <v>295</v>
      </c>
      <c r="G2183" s="1">
        <v>45656</v>
      </c>
      <c r="H2183" s="1">
        <f>TablaDatos[[#This Row],[FechaIngreso]]+TablaDatos[[#This Row],[DiasNuevo]]</f>
        <v>45661</v>
      </c>
      <c r="I2183">
        <v>5</v>
      </c>
      <c r="J2183" t="s">
        <v>25</v>
      </c>
      <c r="K2183" s="3">
        <v>13221.23</v>
      </c>
      <c r="L2183" t="b">
        <f>TablaDatos[[#This Row],[FechaAlta]] &lt; TablaDatos[[#This Row],[FechaIngreso]]</f>
        <v>0</v>
      </c>
      <c r="M2183">
        <f>_xlfn.XLOOKUP(TablaDatos[[#This Row],[PacienteID]],'Datos_Ejemplo.csv'!A:A,'Datos_Ejemplo.csv'!I:I)</f>
        <v>5</v>
      </c>
      <c r="N2183">
        <f>ABS(TablaDatos[[#This Row],[DiasOriginal]])</f>
        <v>5</v>
      </c>
      <c r="O2183" s="1">
        <f>TablaDatos[[#This Row],[FechaIngreso]]+TablaDatos[[#This Row],[DiasNuevo]]</f>
        <v>45661</v>
      </c>
    </row>
    <row r="2184" spans="1:15">
      <c r="A2184">
        <v>2183</v>
      </c>
      <c r="B2184" t="s">
        <v>348</v>
      </c>
      <c r="C2184" s="1">
        <v>18994</v>
      </c>
      <c r="D2184">
        <v>74</v>
      </c>
      <c r="E2184" s="4" t="s">
        <v>12</v>
      </c>
      <c r="F2184" t="s">
        <v>21</v>
      </c>
      <c r="G2184" s="1">
        <v>45293</v>
      </c>
      <c r="H2184" s="1">
        <f>TablaDatos[[#This Row],[FechaIngreso]]+TablaDatos[[#This Row],[DiasNuevo]]</f>
        <v>45317</v>
      </c>
      <c r="I2184">
        <v>24</v>
      </c>
      <c r="J2184" t="s">
        <v>25</v>
      </c>
      <c r="K2184" s="3">
        <v>19030.939999999999</v>
      </c>
      <c r="L2184" t="b">
        <f>TablaDatos[[#This Row],[FechaAlta]] &lt; TablaDatos[[#This Row],[FechaIngreso]]</f>
        <v>0</v>
      </c>
      <c r="M2184">
        <f>_xlfn.XLOOKUP(TablaDatos[[#This Row],[PacienteID]],'Datos_Ejemplo.csv'!A:A,'Datos_Ejemplo.csv'!I:I)</f>
        <v>24</v>
      </c>
      <c r="N2184">
        <f>ABS(TablaDatos[[#This Row],[DiasOriginal]])</f>
        <v>24</v>
      </c>
      <c r="O2184" s="1">
        <f>TablaDatos[[#This Row],[FechaIngreso]]+TablaDatos[[#This Row],[DiasNuevo]]</f>
        <v>45317</v>
      </c>
    </row>
    <row r="2185" spans="1:15">
      <c r="A2185">
        <v>2184</v>
      </c>
      <c r="B2185" t="s">
        <v>255</v>
      </c>
      <c r="C2185" s="1">
        <v>46022</v>
      </c>
      <c r="D2185">
        <v>0</v>
      </c>
      <c r="E2185" s="4" t="s">
        <v>15</v>
      </c>
      <c r="F2185" t="s">
        <v>295</v>
      </c>
      <c r="G2185" s="1">
        <v>45388</v>
      </c>
      <c r="H2185" s="1">
        <f>TablaDatos[[#This Row],[FechaIngreso]]+TablaDatos[[#This Row],[DiasNuevo]]</f>
        <v>45417</v>
      </c>
      <c r="I2185">
        <v>29</v>
      </c>
      <c r="J2185" t="s">
        <v>23</v>
      </c>
      <c r="K2185" s="3">
        <v>11614.55</v>
      </c>
      <c r="L2185" t="b">
        <f>TablaDatos[[#This Row],[FechaAlta]] &lt; TablaDatos[[#This Row],[FechaIngreso]]</f>
        <v>0</v>
      </c>
      <c r="M2185">
        <f>_xlfn.XLOOKUP(TablaDatos[[#This Row],[PacienteID]],'Datos_Ejemplo.csv'!A:A,'Datos_Ejemplo.csv'!I:I)</f>
        <v>29</v>
      </c>
      <c r="N2185">
        <f>ABS(TablaDatos[[#This Row],[DiasOriginal]])</f>
        <v>29</v>
      </c>
      <c r="O2185" s="1">
        <f>TablaDatos[[#This Row],[FechaIngreso]]+TablaDatos[[#This Row],[DiasNuevo]]</f>
        <v>45417</v>
      </c>
    </row>
    <row r="2186" spans="1:15">
      <c r="A2186">
        <v>2185</v>
      </c>
      <c r="B2186" t="s">
        <v>238</v>
      </c>
      <c r="C2186" s="1">
        <v>14246</v>
      </c>
      <c r="D2186">
        <v>87</v>
      </c>
      <c r="E2186" s="4" t="s">
        <v>12</v>
      </c>
      <c r="F2186" t="s">
        <v>13</v>
      </c>
      <c r="G2186" s="1">
        <v>45340</v>
      </c>
      <c r="H2186" s="1">
        <f>TablaDatos[[#This Row],[FechaIngreso]]+TablaDatos[[#This Row],[DiasNuevo]]</f>
        <v>45373</v>
      </c>
      <c r="I2186">
        <v>33</v>
      </c>
      <c r="J2186" t="s">
        <v>23</v>
      </c>
      <c r="K2186" s="3">
        <v>9180.83</v>
      </c>
      <c r="L2186" t="b">
        <f>TablaDatos[[#This Row],[FechaAlta]] &lt; TablaDatos[[#This Row],[FechaIngreso]]</f>
        <v>0</v>
      </c>
      <c r="M2186">
        <f>_xlfn.XLOOKUP(TablaDatos[[#This Row],[PacienteID]],'Datos_Ejemplo.csv'!A:A,'Datos_Ejemplo.csv'!I:I)</f>
        <v>33</v>
      </c>
      <c r="N2186">
        <f>ABS(TablaDatos[[#This Row],[DiasOriginal]])</f>
        <v>33</v>
      </c>
      <c r="O2186" s="1">
        <f>TablaDatos[[#This Row],[FechaIngreso]]+TablaDatos[[#This Row],[DiasNuevo]]</f>
        <v>45373</v>
      </c>
    </row>
    <row r="2187" spans="1:15">
      <c r="A2187">
        <v>2186</v>
      </c>
      <c r="B2187" t="s">
        <v>236</v>
      </c>
      <c r="C2187" s="1">
        <v>26664</v>
      </c>
      <c r="D2187">
        <v>53</v>
      </c>
      <c r="E2187" s="4" t="s">
        <v>15</v>
      </c>
      <c r="F2187" t="s">
        <v>13</v>
      </c>
      <c r="G2187" s="1">
        <v>45185</v>
      </c>
      <c r="H2187" s="1">
        <f>TablaDatos[[#This Row],[FechaIngreso]]+TablaDatos[[#This Row],[DiasNuevo]]</f>
        <v>45216</v>
      </c>
      <c r="I2187">
        <v>31</v>
      </c>
      <c r="J2187" t="s">
        <v>23</v>
      </c>
      <c r="K2187" s="3">
        <v>15826.09</v>
      </c>
      <c r="L2187" t="b">
        <f>TablaDatos[[#This Row],[FechaAlta]] &lt; TablaDatos[[#This Row],[FechaIngreso]]</f>
        <v>0</v>
      </c>
      <c r="M2187">
        <f>_xlfn.XLOOKUP(TablaDatos[[#This Row],[PacienteID]],'Datos_Ejemplo.csv'!A:A,'Datos_Ejemplo.csv'!I:I)</f>
        <v>31</v>
      </c>
      <c r="N2187">
        <f>ABS(TablaDatos[[#This Row],[DiasOriginal]])</f>
        <v>31</v>
      </c>
      <c r="O2187" s="1">
        <f>TablaDatos[[#This Row],[FechaIngreso]]+TablaDatos[[#This Row],[DiasNuevo]]</f>
        <v>45216</v>
      </c>
    </row>
    <row r="2188" spans="1:15">
      <c r="A2188">
        <v>2187</v>
      </c>
      <c r="B2188" t="s">
        <v>356</v>
      </c>
      <c r="C2188" s="1">
        <v>20455</v>
      </c>
      <c r="D2188">
        <v>70</v>
      </c>
      <c r="E2188" s="4" t="s">
        <v>12</v>
      </c>
      <c r="F2188" t="s">
        <v>32</v>
      </c>
      <c r="G2188" s="1">
        <v>45282</v>
      </c>
      <c r="H2188" s="1">
        <f>TablaDatos[[#This Row],[FechaIngreso]]+TablaDatos[[#This Row],[DiasNuevo]]</f>
        <v>45304</v>
      </c>
      <c r="I2188">
        <v>22</v>
      </c>
      <c r="J2188" t="s">
        <v>25</v>
      </c>
      <c r="K2188" s="3">
        <v>3134.94</v>
      </c>
      <c r="L2188" t="b">
        <f>TablaDatos[[#This Row],[FechaAlta]] &lt; TablaDatos[[#This Row],[FechaIngreso]]</f>
        <v>0</v>
      </c>
      <c r="M2188">
        <f>_xlfn.XLOOKUP(TablaDatos[[#This Row],[PacienteID]],'Datos_Ejemplo.csv'!A:A,'Datos_Ejemplo.csv'!I:I)</f>
        <v>22</v>
      </c>
      <c r="N2188">
        <f>ABS(TablaDatos[[#This Row],[DiasOriginal]])</f>
        <v>22</v>
      </c>
      <c r="O2188" s="1">
        <f>TablaDatos[[#This Row],[FechaIngreso]]+TablaDatos[[#This Row],[DiasNuevo]]</f>
        <v>45304</v>
      </c>
    </row>
    <row r="2189" spans="1:15">
      <c r="A2189">
        <v>2188</v>
      </c>
      <c r="B2189" t="s">
        <v>251</v>
      </c>
      <c r="C2189" s="1">
        <v>13880</v>
      </c>
      <c r="D2189">
        <v>88</v>
      </c>
      <c r="E2189" s="4" t="s">
        <v>12</v>
      </c>
      <c r="F2189" t="s">
        <v>295</v>
      </c>
      <c r="G2189" s="1">
        <v>44937</v>
      </c>
      <c r="H2189" s="1">
        <f>TablaDatos[[#This Row],[FechaIngreso]]+TablaDatos[[#This Row],[DiasNuevo]]</f>
        <v>44965</v>
      </c>
      <c r="I2189">
        <v>28</v>
      </c>
      <c r="J2189" t="s">
        <v>23</v>
      </c>
      <c r="K2189" s="3">
        <v>7564.9</v>
      </c>
      <c r="L2189" t="b">
        <f>TablaDatos[[#This Row],[FechaAlta]] &lt; TablaDatos[[#This Row],[FechaIngreso]]</f>
        <v>0</v>
      </c>
      <c r="M2189">
        <f>_xlfn.XLOOKUP(TablaDatos[[#This Row],[PacienteID]],'Datos_Ejemplo.csv'!A:A,'Datos_Ejemplo.csv'!I:I)</f>
        <v>28</v>
      </c>
      <c r="N2189">
        <f>ABS(TablaDatos[[#This Row],[DiasOriginal]])</f>
        <v>28</v>
      </c>
      <c r="O2189" s="1">
        <f>TablaDatos[[#This Row],[FechaIngreso]]+TablaDatos[[#This Row],[DiasNuevo]]</f>
        <v>44965</v>
      </c>
    </row>
    <row r="2190" spans="1:15">
      <c r="A2190">
        <v>2189</v>
      </c>
      <c r="B2190" t="s">
        <v>359</v>
      </c>
      <c r="C2190" s="1">
        <v>15341</v>
      </c>
      <c r="D2190">
        <v>84</v>
      </c>
      <c r="E2190" s="4" t="s">
        <v>15</v>
      </c>
      <c r="F2190" t="s">
        <v>201</v>
      </c>
      <c r="G2190" s="1">
        <v>45342</v>
      </c>
      <c r="H2190" s="1">
        <f>TablaDatos[[#This Row],[FechaIngreso]]+TablaDatos[[#This Row],[DiasNuevo]]</f>
        <v>45381</v>
      </c>
      <c r="I2190">
        <v>39</v>
      </c>
      <c r="J2190" t="s">
        <v>23</v>
      </c>
      <c r="K2190" s="3">
        <v>9272.11</v>
      </c>
      <c r="L2190" t="b">
        <f>TablaDatos[[#This Row],[FechaAlta]] &lt; TablaDatos[[#This Row],[FechaIngreso]]</f>
        <v>0</v>
      </c>
      <c r="M2190">
        <f>_xlfn.XLOOKUP(TablaDatos[[#This Row],[PacienteID]],'Datos_Ejemplo.csv'!A:A,'Datos_Ejemplo.csv'!I:I)</f>
        <v>39</v>
      </c>
      <c r="N2190">
        <f>ABS(TablaDatos[[#This Row],[DiasOriginal]])</f>
        <v>39</v>
      </c>
      <c r="O2190" s="1">
        <f>TablaDatos[[#This Row],[FechaIngreso]]+TablaDatos[[#This Row],[DiasNuevo]]</f>
        <v>45381</v>
      </c>
    </row>
    <row r="2191" spans="1:15">
      <c r="A2191">
        <v>2190</v>
      </c>
      <c r="B2191" t="s">
        <v>230</v>
      </c>
      <c r="C2191" s="1">
        <v>40909</v>
      </c>
      <c r="D2191">
        <v>14</v>
      </c>
      <c r="E2191" s="4" t="s">
        <v>15</v>
      </c>
      <c r="F2191" t="s">
        <v>261</v>
      </c>
      <c r="G2191" s="1">
        <v>45497</v>
      </c>
      <c r="H2191" s="1">
        <f>TablaDatos[[#This Row],[FechaIngreso]]+TablaDatos[[#This Row],[DiasNuevo]]</f>
        <v>45507</v>
      </c>
      <c r="I2191">
        <v>10</v>
      </c>
      <c r="J2191" t="s">
        <v>25</v>
      </c>
      <c r="K2191" s="3">
        <v>5899.01</v>
      </c>
      <c r="L2191" t="b">
        <f>TablaDatos[[#This Row],[FechaAlta]] &lt; TablaDatos[[#This Row],[FechaIngreso]]</f>
        <v>0</v>
      </c>
      <c r="M2191">
        <f>_xlfn.XLOOKUP(TablaDatos[[#This Row],[PacienteID]],'Datos_Ejemplo.csv'!A:A,'Datos_Ejemplo.csv'!I:I)</f>
        <v>10</v>
      </c>
      <c r="N2191">
        <f>ABS(TablaDatos[[#This Row],[DiasOriginal]])</f>
        <v>10</v>
      </c>
      <c r="O2191" s="1">
        <f>TablaDatos[[#This Row],[FechaIngreso]]+TablaDatos[[#This Row],[DiasNuevo]]</f>
        <v>45507</v>
      </c>
    </row>
    <row r="2192" spans="1:15">
      <c r="A2192">
        <v>2191</v>
      </c>
      <c r="B2192" t="s">
        <v>252</v>
      </c>
      <c r="C2192" s="1">
        <v>22646</v>
      </c>
      <c r="D2192">
        <v>64</v>
      </c>
      <c r="E2192" s="4" t="s">
        <v>12</v>
      </c>
      <c r="F2192" t="s">
        <v>13</v>
      </c>
      <c r="G2192" s="1">
        <v>45176</v>
      </c>
      <c r="H2192" s="1">
        <f>TablaDatos[[#This Row],[FechaIngreso]]+TablaDatos[[#This Row],[DiasNuevo]]</f>
        <v>45188</v>
      </c>
      <c r="I2192">
        <v>12</v>
      </c>
      <c r="J2192" t="s">
        <v>19</v>
      </c>
      <c r="K2192" s="3">
        <v>7362.84</v>
      </c>
      <c r="L2192" t="b">
        <f>TablaDatos[[#This Row],[FechaAlta]] &lt; TablaDatos[[#This Row],[FechaIngreso]]</f>
        <v>0</v>
      </c>
      <c r="M2192">
        <f>_xlfn.XLOOKUP(TablaDatos[[#This Row],[PacienteID]],'Datos_Ejemplo.csv'!A:A,'Datos_Ejemplo.csv'!I:I)</f>
        <v>12</v>
      </c>
      <c r="N2192">
        <f>ABS(TablaDatos[[#This Row],[DiasOriginal]])</f>
        <v>12</v>
      </c>
      <c r="O2192" s="1">
        <f>TablaDatos[[#This Row],[FechaIngreso]]+TablaDatos[[#This Row],[DiasNuevo]]</f>
        <v>45188</v>
      </c>
    </row>
    <row r="2193" spans="1:15">
      <c r="A2193">
        <v>2192</v>
      </c>
      <c r="B2193" t="s">
        <v>248</v>
      </c>
      <c r="C2193" s="1">
        <v>18629</v>
      </c>
      <c r="D2193">
        <v>75</v>
      </c>
      <c r="E2193" s="4" t="s">
        <v>12</v>
      </c>
      <c r="F2193" t="s">
        <v>21</v>
      </c>
      <c r="G2193" s="1">
        <v>45578</v>
      </c>
      <c r="H2193" s="1">
        <f>TablaDatos[[#This Row],[FechaIngreso]]+TablaDatos[[#This Row],[DiasNuevo]]</f>
        <v>45588</v>
      </c>
      <c r="I2193">
        <v>10</v>
      </c>
      <c r="J2193" t="s">
        <v>19</v>
      </c>
      <c r="K2193" s="3">
        <v>1469.91</v>
      </c>
      <c r="L2193" t="b">
        <f>TablaDatos[[#This Row],[FechaAlta]] &lt; TablaDatos[[#This Row],[FechaIngreso]]</f>
        <v>0</v>
      </c>
      <c r="M2193">
        <f>_xlfn.XLOOKUP(TablaDatos[[#This Row],[PacienteID]],'Datos_Ejemplo.csv'!A:A,'Datos_Ejemplo.csv'!I:I)</f>
        <v>10</v>
      </c>
      <c r="N2193">
        <f>ABS(TablaDatos[[#This Row],[DiasOriginal]])</f>
        <v>10</v>
      </c>
      <c r="O2193" s="1">
        <f>TablaDatos[[#This Row],[FechaIngreso]]+TablaDatos[[#This Row],[DiasNuevo]]</f>
        <v>45588</v>
      </c>
    </row>
    <row r="2194" spans="1:15">
      <c r="A2194">
        <v>2193</v>
      </c>
      <c r="B2194" t="s">
        <v>273</v>
      </c>
      <c r="C2194" s="1">
        <v>20455</v>
      </c>
      <c r="D2194">
        <v>70</v>
      </c>
      <c r="E2194" s="4" t="s">
        <v>12</v>
      </c>
      <c r="F2194" t="s">
        <v>32</v>
      </c>
      <c r="G2194" s="1">
        <v>45476</v>
      </c>
      <c r="H2194" s="1">
        <f>TablaDatos[[#This Row],[FechaIngreso]]+TablaDatos[[#This Row],[DiasNuevo]]</f>
        <v>45506</v>
      </c>
      <c r="I2194">
        <v>30</v>
      </c>
      <c r="J2194" t="s">
        <v>25</v>
      </c>
      <c r="K2194" s="3">
        <v>3879.47</v>
      </c>
      <c r="L2194" t="b">
        <f>TablaDatos[[#This Row],[FechaAlta]] &lt; TablaDatos[[#This Row],[FechaIngreso]]</f>
        <v>0</v>
      </c>
      <c r="M2194">
        <f>_xlfn.XLOOKUP(TablaDatos[[#This Row],[PacienteID]],'Datos_Ejemplo.csv'!A:A,'Datos_Ejemplo.csv'!I:I)</f>
        <v>30</v>
      </c>
      <c r="N2194">
        <f>ABS(TablaDatos[[#This Row],[DiasOriginal]])</f>
        <v>30</v>
      </c>
      <c r="O2194" s="1">
        <f>TablaDatos[[#This Row],[FechaIngreso]]+TablaDatos[[#This Row],[DiasNuevo]]</f>
        <v>45506</v>
      </c>
    </row>
    <row r="2195" spans="1:15">
      <c r="A2195">
        <v>2194</v>
      </c>
      <c r="B2195" t="s">
        <v>346</v>
      </c>
      <c r="C2195" s="1">
        <v>40909</v>
      </c>
      <c r="D2195">
        <v>14</v>
      </c>
      <c r="E2195" s="4" t="s">
        <v>15</v>
      </c>
      <c r="F2195" t="s">
        <v>261</v>
      </c>
      <c r="G2195" s="1">
        <v>45048</v>
      </c>
      <c r="H2195" s="1">
        <f>TablaDatos[[#This Row],[FechaIngreso]]+TablaDatos[[#This Row],[DiasNuevo]]</f>
        <v>45076</v>
      </c>
      <c r="I2195">
        <v>28</v>
      </c>
      <c r="J2195" t="s">
        <v>19</v>
      </c>
      <c r="K2195" s="3">
        <v>6643.48</v>
      </c>
      <c r="L2195" t="b">
        <f>TablaDatos[[#This Row],[FechaAlta]] &lt; TablaDatos[[#This Row],[FechaIngreso]]</f>
        <v>0</v>
      </c>
      <c r="M2195">
        <f>_xlfn.XLOOKUP(TablaDatos[[#This Row],[PacienteID]],'Datos_Ejemplo.csv'!A:A,'Datos_Ejemplo.csv'!I:I)</f>
        <v>28</v>
      </c>
      <c r="N2195">
        <f>ABS(TablaDatos[[#This Row],[DiasOriginal]])</f>
        <v>28</v>
      </c>
      <c r="O2195" s="1">
        <f>TablaDatos[[#This Row],[FechaIngreso]]+TablaDatos[[#This Row],[DiasNuevo]]</f>
        <v>45076</v>
      </c>
    </row>
    <row r="2196" spans="1:15">
      <c r="A2196">
        <v>2195</v>
      </c>
      <c r="B2196" t="s">
        <v>336</v>
      </c>
      <c r="C2196" s="1">
        <v>38717</v>
      </c>
      <c r="D2196">
        <v>20</v>
      </c>
      <c r="E2196" s="4" t="s">
        <v>12</v>
      </c>
      <c r="F2196" t="s">
        <v>18</v>
      </c>
      <c r="G2196" s="1">
        <v>44991</v>
      </c>
      <c r="H2196" s="1">
        <f>TablaDatos[[#This Row],[FechaIngreso]]+TablaDatos[[#This Row],[DiasNuevo]]</f>
        <v>45013</v>
      </c>
      <c r="I2196">
        <v>22</v>
      </c>
      <c r="J2196" t="s">
        <v>23</v>
      </c>
      <c r="K2196" s="3">
        <v>15897.4</v>
      </c>
      <c r="L2196" t="b">
        <f>TablaDatos[[#This Row],[FechaAlta]] &lt; TablaDatos[[#This Row],[FechaIngreso]]</f>
        <v>0</v>
      </c>
      <c r="M2196">
        <f>_xlfn.XLOOKUP(TablaDatos[[#This Row],[PacienteID]],'Datos_Ejemplo.csv'!A:A,'Datos_Ejemplo.csv'!I:I)</f>
        <v>22</v>
      </c>
      <c r="N2196">
        <f>ABS(TablaDatos[[#This Row],[DiasOriginal]])</f>
        <v>22</v>
      </c>
      <c r="O2196" s="1">
        <f>TablaDatos[[#This Row],[FechaIngreso]]+TablaDatos[[#This Row],[DiasNuevo]]</f>
        <v>45013</v>
      </c>
    </row>
    <row r="2197" spans="1:15">
      <c r="A2197">
        <v>2196</v>
      </c>
      <c r="B2197" t="s">
        <v>311</v>
      </c>
      <c r="C2197" s="1">
        <v>39448</v>
      </c>
      <c r="D2197">
        <v>18</v>
      </c>
      <c r="E2197" s="4" t="s">
        <v>197</v>
      </c>
      <c r="F2197" t="s">
        <v>295</v>
      </c>
      <c r="G2197" s="1">
        <v>45584</v>
      </c>
      <c r="H2197" s="1">
        <f>TablaDatos[[#This Row],[FechaIngreso]]+TablaDatos[[#This Row],[DiasNuevo]]</f>
        <v>45621</v>
      </c>
      <c r="I2197">
        <v>37</v>
      </c>
      <c r="J2197" t="s">
        <v>19</v>
      </c>
      <c r="K2197" s="3">
        <v>3568.2</v>
      </c>
      <c r="L2197" t="b">
        <f>TablaDatos[[#This Row],[FechaAlta]] &lt; TablaDatos[[#This Row],[FechaIngreso]]</f>
        <v>0</v>
      </c>
      <c r="M2197">
        <f>_xlfn.XLOOKUP(TablaDatos[[#This Row],[PacienteID]],'Datos_Ejemplo.csv'!A:A,'Datos_Ejemplo.csv'!I:I)</f>
        <v>37</v>
      </c>
      <c r="N2197">
        <f>ABS(TablaDatos[[#This Row],[DiasOriginal]])</f>
        <v>37</v>
      </c>
      <c r="O2197" s="1">
        <f>TablaDatos[[#This Row],[FechaIngreso]]+TablaDatos[[#This Row],[DiasNuevo]]</f>
        <v>45621</v>
      </c>
    </row>
    <row r="2198" spans="1:15">
      <c r="A2198">
        <v>2197</v>
      </c>
      <c r="B2198" t="s">
        <v>338</v>
      </c>
      <c r="C2198" s="1">
        <v>24473</v>
      </c>
      <c r="D2198">
        <v>59</v>
      </c>
      <c r="E2198" s="4" t="s">
        <v>15</v>
      </c>
      <c r="F2198" t="s">
        <v>201</v>
      </c>
      <c r="G2198" s="1">
        <v>45228</v>
      </c>
      <c r="H2198" s="1">
        <f>TablaDatos[[#This Row],[FechaIngreso]]+TablaDatos[[#This Row],[DiasNuevo]]</f>
        <v>45248</v>
      </c>
      <c r="I2198">
        <v>20</v>
      </c>
      <c r="J2198" t="s">
        <v>25</v>
      </c>
      <c r="K2198" s="3">
        <v>6867.47</v>
      </c>
      <c r="L2198" t="b">
        <f>TablaDatos[[#This Row],[FechaAlta]] &lt; TablaDatos[[#This Row],[FechaIngreso]]</f>
        <v>0</v>
      </c>
      <c r="M2198">
        <f>_xlfn.XLOOKUP(TablaDatos[[#This Row],[PacienteID]],'Datos_Ejemplo.csv'!A:A,'Datos_Ejemplo.csv'!I:I)</f>
        <v>20</v>
      </c>
      <c r="N2198">
        <f>ABS(TablaDatos[[#This Row],[DiasOriginal]])</f>
        <v>20</v>
      </c>
      <c r="O2198" s="1">
        <f>TablaDatos[[#This Row],[FechaIngreso]]+TablaDatos[[#This Row],[DiasNuevo]]</f>
        <v>45248</v>
      </c>
    </row>
    <row r="2199" spans="1:15">
      <c r="A2199">
        <v>2198</v>
      </c>
      <c r="B2199" t="s">
        <v>307</v>
      </c>
      <c r="C2199" s="1">
        <v>12419</v>
      </c>
      <c r="D2199">
        <v>92</v>
      </c>
      <c r="E2199" s="4" t="s">
        <v>15</v>
      </c>
      <c r="F2199" t="s">
        <v>13</v>
      </c>
      <c r="G2199" s="1">
        <v>45051</v>
      </c>
      <c r="H2199" s="1">
        <f>TablaDatos[[#This Row],[FechaIngreso]]+TablaDatos[[#This Row],[DiasNuevo]]</f>
        <v>45086</v>
      </c>
      <c r="I2199">
        <v>35</v>
      </c>
      <c r="J2199" t="s">
        <v>23</v>
      </c>
      <c r="K2199" s="3">
        <v>1204.9000000000001</v>
      </c>
      <c r="L2199" t="b">
        <f>TablaDatos[[#This Row],[FechaAlta]] &lt; TablaDatos[[#This Row],[FechaIngreso]]</f>
        <v>0</v>
      </c>
      <c r="M2199">
        <f>_xlfn.XLOOKUP(TablaDatos[[#This Row],[PacienteID]],'Datos_Ejemplo.csv'!A:A,'Datos_Ejemplo.csv'!I:I)</f>
        <v>35</v>
      </c>
      <c r="N2199">
        <f>ABS(TablaDatos[[#This Row],[DiasOriginal]])</f>
        <v>35</v>
      </c>
      <c r="O2199" s="1">
        <f>TablaDatos[[#This Row],[FechaIngreso]]+TablaDatos[[#This Row],[DiasNuevo]]</f>
        <v>45086</v>
      </c>
    </row>
    <row r="2200" spans="1:15">
      <c r="A2200">
        <v>2199</v>
      </c>
      <c r="B2200" t="s">
        <v>346</v>
      </c>
      <c r="C2200" s="1">
        <v>13880</v>
      </c>
      <c r="D2200">
        <v>88</v>
      </c>
      <c r="E2200" s="4" t="s">
        <v>15</v>
      </c>
      <c r="F2200" t="s">
        <v>201</v>
      </c>
      <c r="G2200" s="1">
        <v>45238</v>
      </c>
      <c r="H2200" s="1">
        <f>TablaDatos[[#This Row],[FechaIngreso]]+TablaDatos[[#This Row],[DiasNuevo]]</f>
        <v>45238</v>
      </c>
      <c r="I2200">
        <v>0</v>
      </c>
      <c r="J2200" t="s">
        <v>23</v>
      </c>
      <c r="K2200" s="3">
        <v>11097.8</v>
      </c>
      <c r="L2200" t="b">
        <f>TablaDatos[[#This Row],[FechaAlta]] &lt; TablaDatos[[#This Row],[FechaIngreso]]</f>
        <v>0</v>
      </c>
      <c r="M2200">
        <f>_xlfn.XLOOKUP(TablaDatos[[#This Row],[PacienteID]],'Datos_Ejemplo.csv'!A:A,'Datos_Ejemplo.csv'!I:I)</f>
        <v>0</v>
      </c>
      <c r="N2200">
        <f>ABS(TablaDatos[[#This Row],[DiasOriginal]])</f>
        <v>0</v>
      </c>
      <c r="O2200" s="1">
        <f>TablaDatos[[#This Row],[FechaIngreso]]+TablaDatos[[#This Row],[DiasNuevo]]</f>
        <v>45238</v>
      </c>
    </row>
    <row r="2201" spans="1:15">
      <c r="A2201">
        <v>2200</v>
      </c>
      <c r="B2201" t="s">
        <v>345</v>
      </c>
      <c r="C2201" s="1">
        <v>34334</v>
      </c>
      <c r="D2201">
        <v>32</v>
      </c>
      <c r="E2201" s="4" t="s">
        <v>12</v>
      </c>
      <c r="F2201" t="s">
        <v>261</v>
      </c>
      <c r="G2201" s="1">
        <v>45117</v>
      </c>
      <c r="H2201" s="1">
        <f>TablaDatos[[#This Row],[FechaIngreso]]+TablaDatos[[#This Row],[DiasNuevo]]</f>
        <v>45130</v>
      </c>
      <c r="I2201">
        <v>13</v>
      </c>
      <c r="J2201" t="s">
        <v>25</v>
      </c>
      <c r="K2201" s="3">
        <v>12186.14</v>
      </c>
      <c r="L2201" t="b">
        <f>TablaDatos[[#This Row],[FechaAlta]] &lt; TablaDatos[[#This Row],[FechaIngreso]]</f>
        <v>0</v>
      </c>
      <c r="M2201">
        <f>_xlfn.XLOOKUP(TablaDatos[[#This Row],[PacienteID]],'Datos_Ejemplo.csv'!A:A,'Datos_Ejemplo.csv'!I:I)</f>
        <v>13</v>
      </c>
      <c r="N2201">
        <f>ABS(TablaDatos[[#This Row],[DiasOriginal]])</f>
        <v>13</v>
      </c>
      <c r="O2201" s="1">
        <f>TablaDatos[[#This Row],[FechaIngreso]]+TablaDatos[[#This Row],[DiasNuevo]]</f>
        <v>45130</v>
      </c>
    </row>
    <row r="2202" spans="1:15">
      <c r="A2202">
        <v>2201</v>
      </c>
      <c r="B2202" t="s">
        <v>248</v>
      </c>
      <c r="C2202" s="1">
        <v>28490</v>
      </c>
      <c r="D2202">
        <v>48</v>
      </c>
      <c r="E2202" s="4" t="s">
        <v>12</v>
      </c>
      <c r="F2202" t="s">
        <v>21</v>
      </c>
      <c r="G2202" s="1">
        <v>45376</v>
      </c>
      <c r="H2202" s="1">
        <f>TablaDatos[[#This Row],[FechaIngreso]]+TablaDatos[[#This Row],[DiasNuevo]]</f>
        <v>45377</v>
      </c>
      <c r="I2202">
        <v>1</v>
      </c>
      <c r="J2202" t="s">
        <v>25</v>
      </c>
      <c r="K2202" s="3">
        <v>17296.88</v>
      </c>
      <c r="L2202" t="b">
        <f>TablaDatos[[#This Row],[FechaAlta]] &lt; TablaDatos[[#This Row],[FechaIngreso]]</f>
        <v>0</v>
      </c>
      <c r="M2202">
        <f>_xlfn.XLOOKUP(TablaDatos[[#This Row],[PacienteID]],'Datos_Ejemplo.csv'!A:A,'Datos_Ejemplo.csv'!I:I)</f>
        <v>-1</v>
      </c>
      <c r="N2202">
        <f>ABS(TablaDatos[[#This Row],[DiasOriginal]])</f>
        <v>1</v>
      </c>
      <c r="O2202" s="1">
        <f>TablaDatos[[#This Row],[FechaIngreso]]+TablaDatos[[#This Row],[DiasNuevo]]</f>
        <v>45377</v>
      </c>
    </row>
    <row r="2203" spans="1:15">
      <c r="A2203">
        <v>2202</v>
      </c>
      <c r="B2203" t="s">
        <v>281</v>
      </c>
      <c r="C2203" s="1">
        <v>33604</v>
      </c>
      <c r="D2203">
        <v>34</v>
      </c>
      <c r="E2203" s="4" t="s">
        <v>15</v>
      </c>
      <c r="F2203" t="s">
        <v>295</v>
      </c>
      <c r="G2203" s="1">
        <v>45620</v>
      </c>
      <c r="H2203" s="1">
        <f>TablaDatos[[#This Row],[FechaIngreso]]+TablaDatos[[#This Row],[DiasNuevo]]</f>
        <v>45640</v>
      </c>
      <c r="I2203">
        <v>20</v>
      </c>
      <c r="J2203" t="s">
        <v>19</v>
      </c>
      <c r="K2203" s="3">
        <v>16364.23</v>
      </c>
      <c r="L2203" t="b">
        <f>TablaDatos[[#This Row],[FechaAlta]] &lt; TablaDatos[[#This Row],[FechaIngreso]]</f>
        <v>0</v>
      </c>
      <c r="M2203">
        <f>_xlfn.XLOOKUP(TablaDatos[[#This Row],[PacienteID]],'Datos_Ejemplo.csv'!A:A,'Datos_Ejemplo.csv'!I:I)</f>
        <v>20</v>
      </c>
      <c r="N2203">
        <f>ABS(TablaDatos[[#This Row],[DiasOriginal]])</f>
        <v>20</v>
      </c>
      <c r="O2203" s="1">
        <f>TablaDatos[[#This Row],[FechaIngreso]]+TablaDatos[[#This Row],[DiasNuevo]]</f>
        <v>45640</v>
      </c>
    </row>
    <row r="2204" spans="1:15">
      <c r="A2204">
        <v>2203</v>
      </c>
      <c r="B2204" t="s">
        <v>243</v>
      </c>
      <c r="C2204" s="1">
        <v>30317</v>
      </c>
      <c r="D2204">
        <v>43</v>
      </c>
      <c r="E2204" s="4" t="s">
        <v>15</v>
      </c>
      <c r="F2204" t="s">
        <v>201</v>
      </c>
      <c r="G2204" s="1">
        <v>45085</v>
      </c>
      <c r="H2204" s="1">
        <f>TablaDatos[[#This Row],[FechaIngreso]]+TablaDatos[[#This Row],[DiasNuevo]]</f>
        <v>45116</v>
      </c>
      <c r="I2204">
        <v>31</v>
      </c>
      <c r="J2204" t="s">
        <v>23</v>
      </c>
      <c r="K2204" s="3">
        <v>5636.1</v>
      </c>
      <c r="L2204" t="b">
        <f>TablaDatos[[#This Row],[FechaAlta]] &lt; TablaDatos[[#This Row],[FechaIngreso]]</f>
        <v>0</v>
      </c>
      <c r="M2204">
        <f>_xlfn.XLOOKUP(TablaDatos[[#This Row],[PacienteID]],'Datos_Ejemplo.csv'!A:A,'Datos_Ejemplo.csv'!I:I)</f>
        <v>31</v>
      </c>
      <c r="N2204">
        <f>ABS(TablaDatos[[#This Row],[DiasOriginal]])</f>
        <v>31</v>
      </c>
      <c r="O2204" s="1">
        <f>TablaDatos[[#This Row],[FechaIngreso]]+TablaDatos[[#This Row],[DiasNuevo]]</f>
        <v>45116</v>
      </c>
    </row>
    <row r="2205" spans="1:15">
      <c r="A2205">
        <v>2204</v>
      </c>
      <c r="B2205" t="s">
        <v>271</v>
      </c>
      <c r="C2205" s="1">
        <v>13515</v>
      </c>
      <c r="D2205">
        <v>89</v>
      </c>
      <c r="E2205" s="4" t="s">
        <v>15</v>
      </c>
      <c r="F2205" t="s">
        <v>21</v>
      </c>
      <c r="G2205" s="1">
        <v>45279</v>
      </c>
      <c r="H2205" s="1">
        <f>TablaDatos[[#This Row],[FechaIngreso]]+TablaDatos[[#This Row],[DiasNuevo]]</f>
        <v>45306</v>
      </c>
      <c r="I2205">
        <v>27</v>
      </c>
      <c r="J2205" t="s">
        <v>25</v>
      </c>
      <c r="K2205" s="3">
        <v>2652.77</v>
      </c>
      <c r="L2205" t="b">
        <f>TablaDatos[[#This Row],[FechaAlta]] &lt; TablaDatos[[#This Row],[FechaIngreso]]</f>
        <v>0</v>
      </c>
      <c r="M2205">
        <f>_xlfn.XLOOKUP(TablaDatos[[#This Row],[PacienteID]],'Datos_Ejemplo.csv'!A:A,'Datos_Ejemplo.csv'!I:I)</f>
        <v>27</v>
      </c>
      <c r="N2205">
        <f>ABS(TablaDatos[[#This Row],[DiasOriginal]])</f>
        <v>27</v>
      </c>
      <c r="O2205" s="1">
        <f>TablaDatos[[#This Row],[FechaIngreso]]+TablaDatos[[#This Row],[DiasNuevo]]</f>
        <v>45306</v>
      </c>
    </row>
    <row r="2206" spans="1:15">
      <c r="A2206">
        <v>2205</v>
      </c>
      <c r="B2206" t="s">
        <v>329</v>
      </c>
      <c r="C2206" s="1">
        <v>42370</v>
      </c>
      <c r="D2206">
        <v>10</v>
      </c>
      <c r="E2206" s="4" t="s">
        <v>15</v>
      </c>
      <c r="F2206" t="s">
        <v>32</v>
      </c>
      <c r="G2206" s="1">
        <v>45600</v>
      </c>
      <c r="H2206" s="1">
        <f>TablaDatos[[#This Row],[FechaIngreso]]+TablaDatos[[#This Row],[DiasNuevo]]</f>
        <v>45607</v>
      </c>
      <c r="I2206">
        <v>7</v>
      </c>
      <c r="J2206" t="s">
        <v>23</v>
      </c>
      <c r="K2206" s="3">
        <v>3037.27</v>
      </c>
      <c r="L2206" t="b">
        <f>TablaDatos[[#This Row],[FechaAlta]] &lt; TablaDatos[[#This Row],[FechaIngreso]]</f>
        <v>0</v>
      </c>
      <c r="M2206">
        <f>_xlfn.XLOOKUP(TablaDatos[[#This Row],[PacienteID]],'Datos_Ejemplo.csv'!A:A,'Datos_Ejemplo.csv'!I:I)</f>
        <v>7</v>
      </c>
      <c r="N2206">
        <f>ABS(TablaDatos[[#This Row],[DiasOriginal]])</f>
        <v>7</v>
      </c>
      <c r="O2206" s="1">
        <f>TablaDatos[[#This Row],[FechaIngreso]]+TablaDatos[[#This Row],[DiasNuevo]]</f>
        <v>45607</v>
      </c>
    </row>
    <row r="2207" spans="1:15">
      <c r="A2207">
        <v>2206</v>
      </c>
      <c r="B2207" t="s">
        <v>325</v>
      </c>
      <c r="C2207" s="1">
        <v>20090</v>
      </c>
      <c r="D2207">
        <v>71</v>
      </c>
      <c r="E2207" s="4" t="s">
        <v>15</v>
      </c>
      <c r="F2207" t="s">
        <v>13</v>
      </c>
      <c r="G2207" s="1">
        <v>45189</v>
      </c>
      <c r="H2207" s="1">
        <f>TablaDatos[[#This Row],[FechaIngreso]]+TablaDatos[[#This Row],[DiasNuevo]]</f>
        <v>45191</v>
      </c>
      <c r="I2207">
        <v>2</v>
      </c>
      <c r="J2207" t="s">
        <v>23</v>
      </c>
      <c r="K2207" s="3">
        <v>19376.18</v>
      </c>
      <c r="L2207" t="b">
        <f>TablaDatos[[#This Row],[FechaAlta]] &lt; TablaDatos[[#This Row],[FechaIngreso]]</f>
        <v>0</v>
      </c>
      <c r="M2207">
        <f>_xlfn.XLOOKUP(TablaDatos[[#This Row],[PacienteID]],'Datos_Ejemplo.csv'!A:A,'Datos_Ejemplo.csv'!I:I)</f>
        <v>-2</v>
      </c>
      <c r="N2207">
        <f>ABS(TablaDatos[[#This Row],[DiasOriginal]])</f>
        <v>2</v>
      </c>
      <c r="O2207" s="1">
        <f>TablaDatos[[#This Row],[FechaIngreso]]+TablaDatos[[#This Row],[DiasNuevo]]</f>
        <v>45191</v>
      </c>
    </row>
    <row r="2208" spans="1:15">
      <c r="A2208">
        <v>2207</v>
      </c>
      <c r="B2208" t="s">
        <v>328</v>
      </c>
      <c r="C2208" s="1">
        <v>17898</v>
      </c>
      <c r="D2208">
        <v>77</v>
      </c>
      <c r="E2208" s="4" t="s">
        <v>197</v>
      </c>
      <c r="F2208" t="s">
        <v>13</v>
      </c>
      <c r="G2208" s="1">
        <v>45655</v>
      </c>
      <c r="H2208" s="1">
        <f>TablaDatos[[#This Row],[FechaIngreso]]+TablaDatos[[#This Row],[DiasNuevo]]</f>
        <v>45674</v>
      </c>
      <c r="I2208">
        <v>19</v>
      </c>
      <c r="J2208" t="s">
        <v>19</v>
      </c>
      <c r="K2208" s="3">
        <v>13431.84</v>
      </c>
      <c r="L2208" t="b">
        <f>TablaDatos[[#This Row],[FechaAlta]] &lt; TablaDatos[[#This Row],[FechaIngreso]]</f>
        <v>0</v>
      </c>
      <c r="M2208">
        <f>_xlfn.XLOOKUP(TablaDatos[[#This Row],[PacienteID]],'Datos_Ejemplo.csv'!A:A,'Datos_Ejemplo.csv'!I:I)</f>
        <v>19</v>
      </c>
      <c r="N2208">
        <f>ABS(TablaDatos[[#This Row],[DiasOriginal]])</f>
        <v>19</v>
      </c>
      <c r="O2208" s="1">
        <f>TablaDatos[[#This Row],[FechaIngreso]]+TablaDatos[[#This Row],[DiasNuevo]]</f>
        <v>45674</v>
      </c>
    </row>
    <row r="2209" spans="1:15">
      <c r="A2209">
        <v>2208</v>
      </c>
      <c r="B2209" t="s">
        <v>284</v>
      </c>
      <c r="C2209" s="1">
        <v>19359</v>
      </c>
      <c r="D2209">
        <v>73</v>
      </c>
      <c r="E2209" s="4" t="s">
        <v>15</v>
      </c>
      <c r="F2209" t="s">
        <v>32</v>
      </c>
      <c r="G2209" s="1">
        <v>45332</v>
      </c>
      <c r="H2209" s="1">
        <f>TablaDatos[[#This Row],[FechaIngreso]]+TablaDatos[[#This Row],[DiasNuevo]]</f>
        <v>45362</v>
      </c>
      <c r="I2209">
        <v>30</v>
      </c>
      <c r="J2209" t="s">
        <v>25</v>
      </c>
      <c r="K2209" s="3">
        <v>755.67</v>
      </c>
      <c r="L2209" t="b">
        <f>TablaDatos[[#This Row],[FechaAlta]] &lt; TablaDatos[[#This Row],[FechaIngreso]]</f>
        <v>0</v>
      </c>
      <c r="M2209">
        <f>_xlfn.XLOOKUP(TablaDatos[[#This Row],[PacienteID]],'Datos_Ejemplo.csv'!A:A,'Datos_Ejemplo.csv'!I:I)</f>
        <v>30</v>
      </c>
      <c r="N2209">
        <f>ABS(TablaDatos[[#This Row],[DiasOriginal]])</f>
        <v>30</v>
      </c>
      <c r="O2209" s="1">
        <f>TablaDatos[[#This Row],[FechaIngreso]]+TablaDatos[[#This Row],[DiasNuevo]]</f>
        <v>45362</v>
      </c>
    </row>
    <row r="2210" spans="1:15">
      <c r="A2210">
        <v>2209</v>
      </c>
      <c r="B2210" t="s">
        <v>309</v>
      </c>
      <c r="C2210" s="1">
        <v>22281</v>
      </c>
      <c r="D2210">
        <v>65</v>
      </c>
      <c r="E2210" s="4" t="s">
        <v>15</v>
      </c>
      <c r="F2210" t="s">
        <v>21</v>
      </c>
      <c r="G2210" s="1">
        <v>45619</v>
      </c>
      <c r="H2210" s="1">
        <f>TablaDatos[[#This Row],[FechaIngreso]]+TablaDatos[[#This Row],[DiasNuevo]]</f>
        <v>45641</v>
      </c>
      <c r="I2210">
        <v>22</v>
      </c>
      <c r="J2210" t="s">
        <v>23</v>
      </c>
      <c r="K2210" s="3">
        <v>2649.26</v>
      </c>
      <c r="L2210" t="b">
        <f>TablaDatos[[#This Row],[FechaAlta]] &lt; TablaDatos[[#This Row],[FechaIngreso]]</f>
        <v>0</v>
      </c>
      <c r="M2210">
        <f>_xlfn.XLOOKUP(TablaDatos[[#This Row],[PacienteID]],'Datos_Ejemplo.csv'!A:A,'Datos_Ejemplo.csv'!I:I)</f>
        <v>22</v>
      </c>
      <c r="N2210">
        <f>ABS(TablaDatos[[#This Row],[DiasOriginal]])</f>
        <v>22</v>
      </c>
      <c r="O2210" s="1">
        <f>TablaDatos[[#This Row],[FechaIngreso]]+TablaDatos[[#This Row],[DiasNuevo]]</f>
        <v>45641</v>
      </c>
    </row>
    <row r="2211" spans="1:15">
      <c r="A2211">
        <v>2210</v>
      </c>
      <c r="B2211" t="s">
        <v>258</v>
      </c>
      <c r="C2211" s="1">
        <v>29586</v>
      </c>
      <c r="D2211">
        <v>45</v>
      </c>
      <c r="E2211" s="4" t="s">
        <v>12</v>
      </c>
      <c r="F2211" t="s">
        <v>201</v>
      </c>
      <c r="G2211" s="1">
        <v>45529</v>
      </c>
      <c r="H2211" s="1">
        <f>TablaDatos[[#This Row],[FechaIngreso]]+TablaDatos[[#This Row],[DiasNuevo]]</f>
        <v>45548</v>
      </c>
      <c r="I2211">
        <v>19</v>
      </c>
      <c r="J2211" t="s">
        <v>23</v>
      </c>
      <c r="K2211" s="3">
        <v>9664.58</v>
      </c>
      <c r="L2211" t="b">
        <f>TablaDatos[[#This Row],[FechaAlta]] &lt; TablaDatos[[#This Row],[FechaIngreso]]</f>
        <v>0</v>
      </c>
      <c r="M2211">
        <f>_xlfn.XLOOKUP(TablaDatos[[#This Row],[PacienteID]],'Datos_Ejemplo.csv'!A:A,'Datos_Ejemplo.csv'!I:I)</f>
        <v>19</v>
      </c>
      <c r="N2211">
        <f>ABS(TablaDatos[[#This Row],[DiasOriginal]])</f>
        <v>19</v>
      </c>
      <c r="O2211" s="1">
        <f>TablaDatos[[#This Row],[FechaIngreso]]+TablaDatos[[#This Row],[DiasNuevo]]</f>
        <v>45548</v>
      </c>
    </row>
    <row r="2212" spans="1:15">
      <c r="A2212">
        <v>2211</v>
      </c>
      <c r="B2212" t="s">
        <v>334</v>
      </c>
      <c r="C2212" s="1">
        <v>43100</v>
      </c>
      <c r="D2212">
        <v>8</v>
      </c>
      <c r="E2212" s="4" t="s">
        <v>12</v>
      </c>
      <c r="F2212" t="s">
        <v>295</v>
      </c>
      <c r="G2212" s="1">
        <v>44943</v>
      </c>
      <c r="H2212" s="1">
        <f>TablaDatos[[#This Row],[FechaIngreso]]+TablaDatos[[#This Row],[DiasNuevo]]</f>
        <v>44956</v>
      </c>
      <c r="I2212">
        <v>13</v>
      </c>
      <c r="J2212" t="s">
        <v>23</v>
      </c>
      <c r="K2212" s="3">
        <v>4077.36</v>
      </c>
      <c r="L2212" t="b">
        <f>TablaDatos[[#This Row],[FechaAlta]] &lt; TablaDatos[[#This Row],[FechaIngreso]]</f>
        <v>0</v>
      </c>
      <c r="M2212">
        <f>_xlfn.XLOOKUP(TablaDatos[[#This Row],[PacienteID]],'Datos_Ejemplo.csv'!A:A,'Datos_Ejemplo.csv'!I:I)</f>
        <v>13</v>
      </c>
      <c r="N2212">
        <f>ABS(TablaDatos[[#This Row],[DiasOriginal]])</f>
        <v>13</v>
      </c>
      <c r="O2212" s="1">
        <f>TablaDatos[[#This Row],[FechaIngreso]]+TablaDatos[[#This Row],[DiasNuevo]]</f>
        <v>44956</v>
      </c>
    </row>
    <row r="2213" spans="1:15">
      <c r="A2213">
        <v>2212</v>
      </c>
      <c r="B2213" t="s">
        <v>280</v>
      </c>
      <c r="C2213" s="1">
        <v>45292</v>
      </c>
      <c r="D2213">
        <v>2</v>
      </c>
      <c r="E2213" s="4" t="s">
        <v>12</v>
      </c>
      <c r="F2213" t="s">
        <v>21</v>
      </c>
      <c r="G2213" s="1">
        <v>45563</v>
      </c>
      <c r="H2213" s="1">
        <f>TablaDatos[[#This Row],[FechaIngreso]]+TablaDatos[[#This Row],[DiasNuevo]]</f>
        <v>45590</v>
      </c>
      <c r="I2213">
        <v>27</v>
      </c>
      <c r="J2213" t="s">
        <v>19</v>
      </c>
      <c r="K2213" s="3">
        <v>16053.55</v>
      </c>
      <c r="L2213" t="b">
        <f>TablaDatos[[#This Row],[FechaAlta]] &lt; TablaDatos[[#This Row],[FechaIngreso]]</f>
        <v>0</v>
      </c>
      <c r="M2213">
        <f>_xlfn.XLOOKUP(TablaDatos[[#This Row],[PacienteID]],'Datos_Ejemplo.csv'!A:A,'Datos_Ejemplo.csv'!I:I)</f>
        <v>27</v>
      </c>
      <c r="N2213">
        <f>ABS(TablaDatos[[#This Row],[DiasOriginal]])</f>
        <v>27</v>
      </c>
      <c r="O2213" s="1">
        <f>TablaDatos[[#This Row],[FechaIngreso]]+TablaDatos[[#This Row],[DiasNuevo]]</f>
        <v>45590</v>
      </c>
    </row>
    <row r="2214" spans="1:15">
      <c r="A2214">
        <v>2213</v>
      </c>
      <c r="B2214" t="s">
        <v>287</v>
      </c>
      <c r="C2214" s="1">
        <v>15341</v>
      </c>
      <c r="D2214">
        <v>84</v>
      </c>
      <c r="E2214" s="4" t="s">
        <v>15</v>
      </c>
      <c r="F2214" t="s">
        <v>295</v>
      </c>
      <c r="G2214" s="1">
        <v>45186</v>
      </c>
      <c r="H2214" s="1">
        <f>TablaDatos[[#This Row],[FechaIngreso]]+TablaDatos[[#This Row],[DiasNuevo]]</f>
        <v>45201</v>
      </c>
      <c r="I2214">
        <v>15</v>
      </c>
      <c r="J2214" t="s">
        <v>25</v>
      </c>
      <c r="K2214" s="3">
        <v>11421.66</v>
      </c>
      <c r="L2214" t="b">
        <f>TablaDatos[[#This Row],[FechaAlta]] &lt; TablaDatos[[#This Row],[FechaIngreso]]</f>
        <v>0</v>
      </c>
      <c r="M2214">
        <f>_xlfn.XLOOKUP(TablaDatos[[#This Row],[PacienteID]],'Datos_Ejemplo.csv'!A:A,'Datos_Ejemplo.csv'!I:I)</f>
        <v>15</v>
      </c>
      <c r="N2214">
        <f>ABS(TablaDatos[[#This Row],[DiasOriginal]])</f>
        <v>15</v>
      </c>
      <c r="O2214" s="1">
        <f>TablaDatos[[#This Row],[FechaIngreso]]+TablaDatos[[#This Row],[DiasNuevo]]</f>
        <v>45201</v>
      </c>
    </row>
    <row r="2215" spans="1:15">
      <c r="A2215">
        <v>2214</v>
      </c>
      <c r="B2215" t="s">
        <v>105</v>
      </c>
      <c r="C2215" s="1">
        <v>36891</v>
      </c>
      <c r="D2215">
        <v>25</v>
      </c>
      <c r="E2215" s="4" t="s">
        <v>15</v>
      </c>
      <c r="F2215" t="s">
        <v>261</v>
      </c>
      <c r="G2215" s="1">
        <v>45281</v>
      </c>
      <c r="H2215" s="1">
        <f>TablaDatos[[#This Row],[FechaIngreso]]+TablaDatos[[#This Row],[DiasNuevo]]</f>
        <v>45302</v>
      </c>
      <c r="I2215">
        <v>21</v>
      </c>
      <c r="J2215" t="s">
        <v>23</v>
      </c>
      <c r="K2215" s="3">
        <v>12213.91</v>
      </c>
      <c r="L2215" t="b">
        <f>TablaDatos[[#This Row],[FechaAlta]] &lt; TablaDatos[[#This Row],[FechaIngreso]]</f>
        <v>0</v>
      </c>
      <c r="M2215">
        <f>_xlfn.XLOOKUP(TablaDatos[[#This Row],[PacienteID]],'Datos_Ejemplo.csv'!A:A,'Datos_Ejemplo.csv'!I:I)</f>
        <v>21</v>
      </c>
      <c r="N2215">
        <f>ABS(TablaDatos[[#This Row],[DiasOriginal]])</f>
        <v>21</v>
      </c>
      <c r="O2215" s="1">
        <f>TablaDatos[[#This Row],[FechaIngreso]]+TablaDatos[[#This Row],[DiasNuevo]]</f>
        <v>45302</v>
      </c>
    </row>
    <row r="2216" spans="1:15">
      <c r="A2216">
        <v>2215</v>
      </c>
      <c r="B2216" t="s">
        <v>256</v>
      </c>
      <c r="C2216" s="1">
        <v>20090</v>
      </c>
      <c r="D2216">
        <v>71</v>
      </c>
      <c r="E2216" s="4" t="s">
        <v>12</v>
      </c>
      <c r="F2216" t="s">
        <v>32</v>
      </c>
      <c r="G2216" s="1">
        <v>45415</v>
      </c>
      <c r="H2216" s="1">
        <f>TablaDatos[[#This Row],[FechaIngreso]]+TablaDatos[[#This Row],[DiasNuevo]]</f>
        <v>45417</v>
      </c>
      <c r="I2216">
        <v>2</v>
      </c>
      <c r="J2216" t="s">
        <v>19</v>
      </c>
      <c r="K2216" s="3">
        <v>9202.7900000000009</v>
      </c>
      <c r="L2216" t="b">
        <f>TablaDatos[[#This Row],[FechaAlta]] &lt; TablaDatos[[#This Row],[FechaIngreso]]</f>
        <v>0</v>
      </c>
      <c r="M2216">
        <f>_xlfn.XLOOKUP(TablaDatos[[#This Row],[PacienteID]],'Datos_Ejemplo.csv'!A:A,'Datos_Ejemplo.csv'!I:I)</f>
        <v>2</v>
      </c>
      <c r="N2216">
        <f>ABS(TablaDatos[[#This Row],[DiasOriginal]])</f>
        <v>2</v>
      </c>
      <c r="O2216" s="1">
        <f>TablaDatos[[#This Row],[FechaIngreso]]+TablaDatos[[#This Row],[DiasNuevo]]</f>
        <v>45417</v>
      </c>
    </row>
    <row r="2217" spans="1:15">
      <c r="A2217">
        <v>2216</v>
      </c>
      <c r="B2217" t="s">
        <v>52</v>
      </c>
      <c r="C2217" s="1">
        <v>28856</v>
      </c>
      <c r="D2217">
        <v>47</v>
      </c>
      <c r="E2217" s="4" t="s">
        <v>12</v>
      </c>
      <c r="F2217" t="s">
        <v>18</v>
      </c>
      <c r="G2217" s="1">
        <v>45140</v>
      </c>
      <c r="H2217" s="1">
        <f>TablaDatos[[#This Row],[FechaIngreso]]+TablaDatos[[#This Row],[DiasNuevo]]</f>
        <v>45174</v>
      </c>
      <c r="I2217">
        <v>34</v>
      </c>
      <c r="J2217" t="s">
        <v>25</v>
      </c>
      <c r="K2217" s="3">
        <v>5046.8599999999997</v>
      </c>
      <c r="L2217" t="b">
        <f>TablaDatos[[#This Row],[FechaAlta]] &lt; TablaDatos[[#This Row],[FechaIngreso]]</f>
        <v>0</v>
      </c>
      <c r="M2217">
        <f>_xlfn.XLOOKUP(TablaDatos[[#This Row],[PacienteID]],'Datos_Ejemplo.csv'!A:A,'Datos_Ejemplo.csv'!I:I)</f>
        <v>34</v>
      </c>
      <c r="N2217">
        <f>ABS(TablaDatos[[#This Row],[DiasOriginal]])</f>
        <v>34</v>
      </c>
      <c r="O2217" s="1">
        <f>TablaDatos[[#This Row],[FechaIngreso]]+TablaDatos[[#This Row],[DiasNuevo]]</f>
        <v>45174</v>
      </c>
    </row>
    <row r="2218" spans="1:15">
      <c r="A2218">
        <v>2217</v>
      </c>
      <c r="B2218" t="s">
        <v>257</v>
      </c>
      <c r="C2218" s="1">
        <v>22281</v>
      </c>
      <c r="D2218">
        <v>65</v>
      </c>
      <c r="E2218" s="4" t="s">
        <v>15</v>
      </c>
      <c r="F2218" t="s">
        <v>295</v>
      </c>
      <c r="G2218" s="1">
        <v>45165</v>
      </c>
      <c r="H2218" s="1">
        <f>TablaDatos[[#This Row],[FechaIngreso]]+TablaDatos[[#This Row],[DiasNuevo]]</f>
        <v>45185</v>
      </c>
      <c r="I2218">
        <v>20</v>
      </c>
      <c r="J2218" t="s">
        <v>23</v>
      </c>
      <c r="K2218" s="3">
        <v>11747.01</v>
      </c>
      <c r="L2218" t="b">
        <f>TablaDatos[[#This Row],[FechaAlta]] &lt; TablaDatos[[#This Row],[FechaIngreso]]</f>
        <v>0</v>
      </c>
      <c r="M2218">
        <f>_xlfn.XLOOKUP(TablaDatos[[#This Row],[PacienteID]],'Datos_Ejemplo.csv'!A:A,'Datos_Ejemplo.csv'!I:I)</f>
        <v>20</v>
      </c>
      <c r="N2218">
        <f>ABS(TablaDatos[[#This Row],[DiasOriginal]])</f>
        <v>20</v>
      </c>
      <c r="O2218" s="1">
        <f>TablaDatos[[#This Row],[FechaIngreso]]+TablaDatos[[#This Row],[DiasNuevo]]</f>
        <v>45185</v>
      </c>
    </row>
    <row r="2219" spans="1:15">
      <c r="A2219">
        <v>2218</v>
      </c>
      <c r="B2219" t="s">
        <v>136</v>
      </c>
      <c r="C2219" s="1">
        <v>20820</v>
      </c>
      <c r="D2219">
        <v>69</v>
      </c>
      <c r="E2219" s="4" t="s">
        <v>12</v>
      </c>
      <c r="F2219" t="s">
        <v>13</v>
      </c>
      <c r="G2219" s="1">
        <v>45106</v>
      </c>
      <c r="H2219" s="1">
        <f>TablaDatos[[#This Row],[FechaIngreso]]+TablaDatos[[#This Row],[DiasNuevo]]</f>
        <v>45145</v>
      </c>
      <c r="I2219">
        <v>39</v>
      </c>
      <c r="J2219" t="s">
        <v>25</v>
      </c>
      <c r="K2219" s="3">
        <v>14311.1</v>
      </c>
      <c r="L2219" t="b">
        <f>TablaDatos[[#This Row],[FechaAlta]] &lt; TablaDatos[[#This Row],[FechaIngreso]]</f>
        <v>0</v>
      </c>
      <c r="M2219">
        <f>_xlfn.XLOOKUP(TablaDatos[[#This Row],[PacienteID]],'Datos_Ejemplo.csv'!A:A,'Datos_Ejemplo.csv'!I:I)</f>
        <v>39</v>
      </c>
      <c r="N2219">
        <f>ABS(TablaDatos[[#This Row],[DiasOriginal]])</f>
        <v>39</v>
      </c>
      <c r="O2219" s="1">
        <f>TablaDatos[[#This Row],[FechaIngreso]]+TablaDatos[[#This Row],[DiasNuevo]]</f>
        <v>45145</v>
      </c>
    </row>
    <row r="2220" spans="1:15">
      <c r="A2220">
        <v>2219</v>
      </c>
      <c r="B2220" t="s">
        <v>239</v>
      </c>
      <c r="C2220" s="1">
        <v>36161</v>
      </c>
      <c r="D2220">
        <v>27</v>
      </c>
      <c r="E2220" s="4" t="s">
        <v>12</v>
      </c>
      <c r="F2220" t="s">
        <v>261</v>
      </c>
      <c r="G2220" s="1">
        <v>45345</v>
      </c>
      <c r="H2220" s="1">
        <f>TablaDatos[[#This Row],[FechaIngreso]]+TablaDatos[[#This Row],[DiasNuevo]]</f>
        <v>45369</v>
      </c>
      <c r="I2220">
        <v>24</v>
      </c>
      <c r="J2220" t="s">
        <v>25</v>
      </c>
      <c r="K2220" s="3">
        <v>7356.06</v>
      </c>
      <c r="L2220" t="b">
        <f>TablaDatos[[#This Row],[FechaAlta]] &lt; TablaDatos[[#This Row],[FechaIngreso]]</f>
        <v>0</v>
      </c>
      <c r="M2220">
        <f>_xlfn.XLOOKUP(TablaDatos[[#This Row],[PacienteID]],'Datos_Ejemplo.csv'!A:A,'Datos_Ejemplo.csv'!I:I)</f>
        <v>24</v>
      </c>
      <c r="N2220">
        <f>ABS(TablaDatos[[#This Row],[DiasOriginal]])</f>
        <v>24</v>
      </c>
      <c r="O2220" s="1">
        <f>TablaDatos[[#This Row],[FechaIngreso]]+TablaDatos[[#This Row],[DiasNuevo]]</f>
        <v>45369</v>
      </c>
    </row>
    <row r="2221" spans="1:15">
      <c r="A2221">
        <v>2220</v>
      </c>
      <c r="B2221" t="s">
        <v>55</v>
      </c>
      <c r="C2221" s="1">
        <v>12419</v>
      </c>
      <c r="D2221">
        <v>92</v>
      </c>
      <c r="E2221" s="4" t="s">
        <v>15</v>
      </c>
      <c r="F2221" t="s">
        <v>13</v>
      </c>
      <c r="G2221" s="1">
        <v>45610</v>
      </c>
      <c r="H2221" s="1">
        <f>TablaDatos[[#This Row],[FechaIngreso]]+TablaDatos[[#This Row],[DiasNuevo]]</f>
        <v>45619</v>
      </c>
      <c r="I2221">
        <v>9</v>
      </c>
      <c r="J2221" t="s">
        <v>19</v>
      </c>
      <c r="K2221" s="3">
        <v>10049.370000000001</v>
      </c>
      <c r="L2221" t="b">
        <f>TablaDatos[[#This Row],[FechaAlta]] &lt; TablaDatos[[#This Row],[FechaIngreso]]</f>
        <v>0</v>
      </c>
      <c r="M2221">
        <f>_xlfn.XLOOKUP(TablaDatos[[#This Row],[PacienteID]],'Datos_Ejemplo.csv'!A:A,'Datos_Ejemplo.csv'!I:I)</f>
        <v>9</v>
      </c>
      <c r="N2221">
        <f>ABS(TablaDatos[[#This Row],[DiasOriginal]])</f>
        <v>9</v>
      </c>
      <c r="O2221" s="1">
        <f>TablaDatos[[#This Row],[FechaIngreso]]+TablaDatos[[#This Row],[DiasNuevo]]</f>
        <v>45619</v>
      </c>
    </row>
    <row r="2222" spans="1:15">
      <c r="A2222">
        <v>2221</v>
      </c>
      <c r="B2222" t="s">
        <v>152</v>
      </c>
      <c r="C2222" s="1">
        <v>36891</v>
      </c>
      <c r="D2222">
        <v>25</v>
      </c>
      <c r="E2222" s="4" t="s">
        <v>12</v>
      </c>
      <c r="F2222" t="s">
        <v>261</v>
      </c>
      <c r="G2222" s="1">
        <v>45069</v>
      </c>
      <c r="H2222" s="1">
        <f>TablaDatos[[#This Row],[FechaIngreso]]+TablaDatos[[#This Row],[DiasNuevo]]</f>
        <v>45076</v>
      </c>
      <c r="I2222">
        <v>7</v>
      </c>
      <c r="J2222" t="s">
        <v>19</v>
      </c>
      <c r="K2222" s="3">
        <v>16777.650000000001</v>
      </c>
      <c r="L2222" t="b">
        <f>TablaDatos[[#This Row],[FechaAlta]] &lt; TablaDatos[[#This Row],[FechaIngreso]]</f>
        <v>0</v>
      </c>
      <c r="M2222">
        <f>_xlfn.XLOOKUP(TablaDatos[[#This Row],[PacienteID]],'Datos_Ejemplo.csv'!A:A,'Datos_Ejemplo.csv'!I:I)</f>
        <v>7</v>
      </c>
      <c r="N2222">
        <f>ABS(TablaDatos[[#This Row],[DiasOriginal]])</f>
        <v>7</v>
      </c>
      <c r="O2222" s="1">
        <f>TablaDatos[[#This Row],[FechaIngreso]]+TablaDatos[[#This Row],[DiasNuevo]]</f>
        <v>45076</v>
      </c>
    </row>
    <row r="2223" spans="1:15">
      <c r="A2223">
        <v>2222</v>
      </c>
      <c r="B2223" t="s">
        <v>146</v>
      </c>
      <c r="C2223" s="1">
        <v>37256</v>
      </c>
      <c r="D2223">
        <v>24</v>
      </c>
      <c r="E2223" s="4" t="s">
        <v>12</v>
      </c>
      <c r="F2223" t="s">
        <v>13</v>
      </c>
      <c r="G2223" s="1">
        <v>45243</v>
      </c>
      <c r="H2223" s="1">
        <f>TablaDatos[[#This Row],[FechaIngreso]]+TablaDatos[[#This Row],[DiasNuevo]]</f>
        <v>45274</v>
      </c>
      <c r="I2223">
        <v>31</v>
      </c>
      <c r="J2223" t="s">
        <v>23</v>
      </c>
      <c r="K2223" s="3">
        <v>2888.5</v>
      </c>
      <c r="L2223" t="b">
        <f>TablaDatos[[#This Row],[FechaAlta]] &lt; TablaDatos[[#This Row],[FechaIngreso]]</f>
        <v>0</v>
      </c>
      <c r="M2223">
        <f>_xlfn.XLOOKUP(TablaDatos[[#This Row],[PacienteID]],'Datos_Ejemplo.csv'!A:A,'Datos_Ejemplo.csv'!I:I)</f>
        <v>31</v>
      </c>
      <c r="N2223">
        <f>ABS(TablaDatos[[#This Row],[DiasOriginal]])</f>
        <v>31</v>
      </c>
      <c r="O2223" s="1">
        <f>TablaDatos[[#This Row],[FechaIngreso]]+TablaDatos[[#This Row],[DiasNuevo]]</f>
        <v>45274</v>
      </c>
    </row>
    <row r="2224" spans="1:15">
      <c r="A2224">
        <v>2223</v>
      </c>
      <c r="B2224" t="s">
        <v>266</v>
      </c>
      <c r="C2224" s="1">
        <v>42005</v>
      </c>
      <c r="D2224">
        <v>11</v>
      </c>
      <c r="E2224" s="4" t="s">
        <v>15</v>
      </c>
      <c r="F2224" t="s">
        <v>21</v>
      </c>
      <c r="G2224" s="1">
        <v>45170</v>
      </c>
      <c r="H2224" s="1">
        <f>TablaDatos[[#This Row],[FechaIngreso]]+TablaDatos[[#This Row],[DiasNuevo]]</f>
        <v>45200</v>
      </c>
      <c r="I2224">
        <v>30</v>
      </c>
      <c r="J2224" t="s">
        <v>23</v>
      </c>
      <c r="K2224" s="3">
        <v>10859.01</v>
      </c>
      <c r="L2224" t="b">
        <f>TablaDatos[[#This Row],[FechaAlta]] &lt; TablaDatos[[#This Row],[FechaIngreso]]</f>
        <v>0</v>
      </c>
      <c r="M2224">
        <f>_xlfn.XLOOKUP(TablaDatos[[#This Row],[PacienteID]],'Datos_Ejemplo.csv'!A:A,'Datos_Ejemplo.csv'!I:I)</f>
        <v>30</v>
      </c>
      <c r="N2224">
        <f>ABS(TablaDatos[[#This Row],[DiasOriginal]])</f>
        <v>30</v>
      </c>
      <c r="O2224" s="1">
        <f>TablaDatos[[#This Row],[FechaIngreso]]+TablaDatos[[#This Row],[DiasNuevo]]</f>
        <v>45200</v>
      </c>
    </row>
    <row r="2225" spans="1:15">
      <c r="A2225">
        <v>2224</v>
      </c>
      <c r="B2225" t="s">
        <v>152</v>
      </c>
      <c r="C2225" s="1">
        <v>44561</v>
      </c>
      <c r="D2225">
        <v>4</v>
      </c>
      <c r="E2225" s="4" t="s">
        <v>12</v>
      </c>
      <c r="F2225" t="s">
        <v>201</v>
      </c>
      <c r="G2225" s="1">
        <v>45158</v>
      </c>
      <c r="H2225" s="1">
        <f>TablaDatos[[#This Row],[FechaIngreso]]+TablaDatos[[#This Row],[DiasNuevo]]</f>
        <v>45171</v>
      </c>
      <c r="I2225">
        <v>13</v>
      </c>
      <c r="J2225" t="s">
        <v>23</v>
      </c>
      <c r="K2225" s="3">
        <v>6903.09</v>
      </c>
      <c r="L2225" t="b">
        <f>TablaDatos[[#This Row],[FechaAlta]] &lt; TablaDatos[[#This Row],[FechaIngreso]]</f>
        <v>0</v>
      </c>
      <c r="M2225">
        <f>_xlfn.XLOOKUP(TablaDatos[[#This Row],[PacienteID]],'Datos_Ejemplo.csv'!A:A,'Datos_Ejemplo.csv'!I:I)</f>
        <v>13</v>
      </c>
      <c r="N2225">
        <f>ABS(TablaDatos[[#This Row],[DiasOriginal]])</f>
        <v>13</v>
      </c>
      <c r="O2225" s="1">
        <f>TablaDatos[[#This Row],[FechaIngreso]]+TablaDatos[[#This Row],[DiasNuevo]]</f>
        <v>45171</v>
      </c>
    </row>
    <row r="2226" spans="1:15">
      <c r="A2226">
        <v>2225</v>
      </c>
      <c r="B2226" t="s">
        <v>233</v>
      </c>
      <c r="C2226" s="1">
        <v>28856</v>
      </c>
      <c r="D2226">
        <v>47</v>
      </c>
      <c r="E2226" s="4" t="s">
        <v>12</v>
      </c>
      <c r="F2226" t="s">
        <v>21</v>
      </c>
      <c r="G2226" s="1">
        <v>45610</v>
      </c>
      <c r="H2226" s="1">
        <f>TablaDatos[[#This Row],[FechaIngreso]]+TablaDatos[[#This Row],[DiasNuevo]]</f>
        <v>45636</v>
      </c>
      <c r="I2226">
        <v>26</v>
      </c>
      <c r="J2226" t="s">
        <v>23</v>
      </c>
      <c r="K2226" s="3">
        <v>14026.17</v>
      </c>
      <c r="L2226" t="b">
        <f>TablaDatos[[#This Row],[FechaAlta]] &lt; TablaDatos[[#This Row],[FechaIngreso]]</f>
        <v>0</v>
      </c>
      <c r="M2226">
        <f>_xlfn.XLOOKUP(TablaDatos[[#This Row],[PacienteID]],'Datos_Ejemplo.csv'!A:A,'Datos_Ejemplo.csv'!I:I)</f>
        <v>26</v>
      </c>
      <c r="N2226">
        <f>ABS(TablaDatos[[#This Row],[DiasOriginal]])</f>
        <v>26</v>
      </c>
      <c r="O2226" s="1">
        <f>TablaDatos[[#This Row],[FechaIngreso]]+TablaDatos[[#This Row],[DiasNuevo]]</f>
        <v>45636</v>
      </c>
    </row>
    <row r="2227" spans="1:15">
      <c r="A2227">
        <v>2226</v>
      </c>
      <c r="B2227" t="s">
        <v>276</v>
      </c>
      <c r="C2227" s="1">
        <v>32873</v>
      </c>
      <c r="D2227">
        <v>36</v>
      </c>
      <c r="E2227" s="4" t="s">
        <v>12</v>
      </c>
      <c r="F2227" t="s">
        <v>21</v>
      </c>
      <c r="G2227" s="1">
        <v>45515</v>
      </c>
      <c r="H2227" s="1">
        <f>TablaDatos[[#This Row],[FechaIngreso]]+TablaDatos[[#This Row],[DiasNuevo]]</f>
        <v>45530</v>
      </c>
      <c r="I2227">
        <v>15</v>
      </c>
      <c r="J2227" t="s">
        <v>23</v>
      </c>
      <c r="K2227" s="3">
        <v>278.08999999999997</v>
      </c>
      <c r="L2227" t="b">
        <f>TablaDatos[[#This Row],[FechaAlta]] &lt; TablaDatos[[#This Row],[FechaIngreso]]</f>
        <v>0</v>
      </c>
      <c r="M2227">
        <f>_xlfn.XLOOKUP(TablaDatos[[#This Row],[PacienteID]],'Datos_Ejemplo.csv'!A:A,'Datos_Ejemplo.csv'!I:I)</f>
        <v>15</v>
      </c>
      <c r="N2227">
        <f>ABS(TablaDatos[[#This Row],[DiasOriginal]])</f>
        <v>15</v>
      </c>
      <c r="O2227" s="1">
        <f>TablaDatos[[#This Row],[FechaIngreso]]+TablaDatos[[#This Row],[DiasNuevo]]</f>
        <v>45530</v>
      </c>
    </row>
    <row r="2228" spans="1:15">
      <c r="A2228">
        <v>2227</v>
      </c>
      <c r="B2228" t="s">
        <v>105</v>
      </c>
      <c r="C2228" s="1">
        <v>17533</v>
      </c>
      <c r="D2228">
        <v>78</v>
      </c>
      <c r="E2228" s="4" t="s">
        <v>15</v>
      </c>
      <c r="F2228" t="s">
        <v>201</v>
      </c>
      <c r="G2228" s="1">
        <v>45229</v>
      </c>
      <c r="H2228" s="1">
        <f>TablaDatos[[#This Row],[FechaIngreso]]+TablaDatos[[#This Row],[DiasNuevo]]</f>
        <v>45253</v>
      </c>
      <c r="I2228">
        <v>24</v>
      </c>
      <c r="J2228" t="s">
        <v>25</v>
      </c>
      <c r="K2228" s="3">
        <v>13376.51</v>
      </c>
      <c r="L2228" t="b">
        <f>TablaDatos[[#This Row],[FechaAlta]] &lt; TablaDatos[[#This Row],[FechaIngreso]]</f>
        <v>0</v>
      </c>
      <c r="M2228">
        <f>_xlfn.XLOOKUP(TablaDatos[[#This Row],[PacienteID]],'Datos_Ejemplo.csv'!A:A,'Datos_Ejemplo.csv'!I:I)</f>
        <v>24</v>
      </c>
      <c r="N2228">
        <f>ABS(TablaDatos[[#This Row],[DiasOriginal]])</f>
        <v>24</v>
      </c>
      <c r="O2228" s="1">
        <f>TablaDatos[[#This Row],[FechaIngreso]]+TablaDatos[[#This Row],[DiasNuevo]]</f>
        <v>45253</v>
      </c>
    </row>
    <row r="2229" spans="1:15">
      <c r="A2229">
        <v>2228</v>
      </c>
      <c r="B2229" t="s">
        <v>291</v>
      </c>
      <c r="C2229" s="1">
        <v>30317</v>
      </c>
      <c r="D2229">
        <v>43</v>
      </c>
      <c r="E2229" s="4" t="s">
        <v>15</v>
      </c>
      <c r="F2229" t="s">
        <v>261</v>
      </c>
      <c r="G2229" s="1">
        <v>45257</v>
      </c>
      <c r="H2229" s="1">
        <f>TablaDatos[[#This Row],[FechaIngreso]]+TablaDatos[[#This Row],[DiasNuevo]]</f>
        <v>45261</v>
      </c>
      <c r="I2229">
        <v>4</v>
      </c>
      <c r="J2229" t="s">
        <v>19</v>
      </c>
      <c r="K2229" s="3">
        <v>1968.24</v>
      </c>
      <c r="L2229" t="b">
        <f>TablaDatos[[#This Row],[FechaAlta]] &lt; TablaDatos[[#This Row],[FechaIngreso]]</f>
        <v>0</v>
      </c>
      <c r="M2229">
        <f>_xlfn.XLOOKUP(TablaDatos[[#This Row],[PacienteID]],'Datos_Ejemplo.csv'!A:A,'Datos_Ejemplo.csv'!I:I)</f>
        <v>4</v>
      </c>
      <c r="N2229">
        <f>ABS(TablaDatos[[#This Row],[DiasOriginal]])</f>
        <v>4</v>
      </c>
      <c r="O2229" s="1">
        <f>TablaDatos[[#This Row],[FechaIngreso]]+TablaDatos[[#This Row],[DiasNuevo]]</f>
        <v>45261</v>
      </c>
    </row>
    <row r="2230" spans="1:15">
      <c r="A2230">
        <v>2229</v>
      </c>
      <c r="B2230" t="s">
        <v>241</v>
      </c>
      <c r="C2230" s="1">
        <v>40909</v>
      </c>
      <c r="D2230">
        <v>14</v>
      </c>
      <c r="E2230" s="4" t="s">
        <v>12</v>
      </c>
      <c r="F2230" t="s">
        <v>261</v>
      </c>
      <c r="G2230" s="1">
        <v>45487</v>
      </c>
      <c r="H2230" s="1">
        <f>TablaDatos[[#This Row],[FechaIngreso]]+TablaDatos[[#This Row],[DiasNuevo]]</f>
        <v>45520</v>
      </c>
      <c r="I2230">
        <v>33</v>
      </c>
      <c r="J2230" t="s">
        <v>25</v>
      </c>
      <c r="K2230" s="3">
        <v>1201.83</v>
      </c>
      <c r="L2230" t="b">
        <f>TablaDatos[[#This Row],[FechaAlta]] &lt; TablaDatos[[#This Row],[FechaIngreso]]</f>
        <v>0</v>
      </c>
      <c r="M2230">
        <f>_xlfn.XLOOKUP(TablaDatos[[#This Row],[PacienteID]],'Datos_Ejemplo.csv'!A:A,'Datos_Ejemplo.csv'!I:I)</f>
        <v>33</v>
      </c>
      <c r="N2230">
        <f>ABS(TablaDatos[[#This Row],[DiasOriginal]])</f>
        <v>33</v>
      </c>
      <c r="O2230" s="1">
        <f>TablaDatos[[#This Row],[FechaIngreso]]+TablaDatos[[#This Row],[DiasNuevo]]</f>
        <v>45520</v>
      </c>
    </row>
    <row r="2231" spans="1:15">
      <c r="A2231">
        <v>2230</v>
      </c>
      <c r="B2231" t="s">
        <v>230</v>
      </c>
      <c r="C2231" s="1">
        <v>30682</v>
      </c>
      <c r="D2231">
        <v>42</v>
      </c>
      <c r="E2231" s="4" t="s">
        <v>15</v>
      </c>
      <c r="F2231" t="s">
        <v>201</v>
      </c>
      <c r="G2231" s="1">
        <v>45174</v>
      </c>
      <c r="H2231" s="1">
        <f>TablaDatos[[#This Row],[FechaIngreso]]+TablaDatos[[#This Row],[DiasNuevo]]</f>
        <v>45198</v>
      </c>
      <c r="I2231">
        <v>24</v>
      </c>
      <c r="J2231" t="s">
        <v>19</v>
      </c>
      <c r="K2231" s="3">
        <v>14464.93</v>
      </c>
      <c r="L2231" t="b">
        <f>TablaDatos[[#This Row],[FechaAlta]] &lt; TablaDatos[[#This Row],[FechaIngreso]]</f>
        <v>0</v>
      </c>
      <c r="M2231">
        <f>_xlfn.XLOOKUP(TablaDatos[[#This Row],[PacienteID]],'Datos_Ejemplo.csv'!A:A,'Datos_Ejemplo.csv'!I:I)</f>
        <v>24</v>
      </c>
      <c r="N2231">
        <f>ABS(TablaDatos[[#This Row],[DiasOriginal]])</f>
        <v>24</v>
      </c>
      <c r="O2231" s="1">
        <f>TablaDatos[[#This Row],[FechaIngreso]]+TablaDatos[[#This Row],[DiasNuevo]]</f>
        <v>45198</v>
      </c>
    </row>
    <row r="2232" spans="1:15">
      <c r="A2232">
        <v>2231</v>
      </c>
      <c r="B2232" t="s">
        <v>307</v>
      </c>
      <c r="C2232" s="1">
        <v>28856</v>
      </c>
      <c r="D2232">
        <v>47</v>
      </c>
      <c r="E2232" s="4" t="s">
        <v>15</v>
      </c>
      <c r="F2232" t="s">
        <v>13</v>
      </c>
      <c r="G2232" s="1">
        <v>45209</v>
      </c>
      <c r="H2232" s="1">
        <f>TablaDatos[[#This Row],[FechaIngreso]]+TablaDatos[[#This Row],[DiasNuevo]]</f>
        <v>45216</v>
      </c>
      <c r="I2232">
        <v>7</v>
      </c>
      <c r="J2232" t="s">
        <v>19</v>
      </c>
      <c r="K2232" s="3">
        <v>12770.88</v>
      </c>
      <c r="L2232" t="b">
        <f>TablaDatos[[#This Row],[FechaAlta]] &lt; TablaDatos[[#This Row],[FechaIngreso]]</f>
        <v>0</v>
      </c>
      <c r="M2232">
        <f>_xlfn.XLOOKUP(TablaDatos[[#This Row],[PacienteID]],'Datos_Ejemplo.csv'!A:A,'Datos_Ejemplo.csv'!I:I)</f>
        <v>7</v>
      </c>
      <c r="N2232">
        <f>ABS(TablaDatos[[#This Row],[DiasOriginal]])</f>
        <v>7</v>
      </c>
      <c r="O2232" s="1">
        <f>TablaDatos[[#This Row],[FechaIngreso]]+TablaDatos[[#This Row],[DiasNuevo]]</f>
        <v>45216</v>
      </c>
    </row>
    <row r="2233" spans="1:15">
      <c r="A2233">
        <v>2232</v>
      </c>
      <c r="B2233" t="s">
        <v>245</v>
      </c>
      <c r="C2233" s="1">
        <v>14611</v>
      </c>
      <c r="D2233">
        <v>86</v>
      </c>
      <c r="E2233" s="4" t="s">
        <v>15</v>
      </c>
      <c r="F2233" t="s">
        <v>295</v>
      </c>
      <c r="G2233" s="1">
        <v>45213</v>
      </c>
      <c r="H2233" s="1">
        <f>TablaDatos[[#This Row],[FechaIngreso]]+TablaDatos[[#This Row],[DiasNuevo]]</f>
        <v>45220</v>
      </c>
      <c r="I2233">
        <v>7</v>
      </c>
      <c r="J2233" t="s">
        <v>25</v>
      </c>
      <c r="K2233" s="3">
        <v>17888.21</v>
      </c>
      <c r="L2233" t="b">
        <f>TablaDatos[[#This Row],[FechaAlta]] &lt; TablaDatos[[#This Row],[FechaIngreso]]</f>
        <v>0</v>
      </c>
      <c r="M2233">
        <f>_xlfn.XLOOKUP(TablaDatos[[#This Row],[PacienteID]],'Datos_Ejemplo.csv'!A:A,'Datos_Ejemplo.csv'!I:I)</f>
        <v>7</v>
      </c>
      <c r="N2233">
        <f>ABS(TablaDatos[[#This Row],[DiasOriginal]])</f>
        <v>7</v>
      </c>
      <c r="O2233" s="1">
        <f>TablaDatos[[#This Row],[FechaIngreso]]+TablaDatos[[#This Row],[DiasNuevo]]</f>
        <v>45220</v>
      </c>
    </row>
    <row r="2234" spans="1:15">
      <c r="A2234">
        <v>2233</v>
      </c>
      <c r="B2234" t="s">
        <v>298</v>
      </c>
      <c r="C2234" s="1">
        <v>20820</v>
      </c>
      <c r="D2234">
        <v>69</v>
      </c>
      <c r="E2234" s="4" t="s">
        <v>15</v>
      </c>
      <c r="F2234" t="s">
        <v>261</v>
      </c>
      <c r="G2234" s="1">
        <v>44958</v>
      </c>
      <c r="H2234" s="1">
        <f>TablaDatos[[#This Row],[FechaIngreso]]+TablaDatos[[#This Row],[DiasNuevo]]</f>
        <v>44966</v>
      </c>
      <c r="I2234">
        <v>8</v>
      </c>
      <c r="J2234" t="s">
        <v>25</v>
      </c>
      <c r="K2234" s="3">
        <v>10345.06</v>
      </c>
      <c r="L2234" t="b">
        <f>TablaDatos[[#This Row],[FechaAlta]] &lt; TablaDatos[[#This Row],[FechaIngreso]]</f>
        <v>0</v>
      </c>
      <c r="M2234">
        <f>_xlfn.XLOOKUP(TablaDatos[[#This Row],[PacienteID]],'Datos_Ejemplo.csv'!A:A,'Datos_Ejemplo.csv'!I:I)</f>
        <v>8</v>
      </c>
      <c r="N2234">
        <f>ABS(TablaDatos[[#This Row],[DiasOriginal]])</f>
        <v>8</v>
      </c>
      <c r="O2234" s="1">
        <f>TablaDatos[[#This Row],[FechaIngreso]]+TablaDatos[[#This Row],[DiasNuevo]]</f>
        <v>44966</v>
      </c>
    </row>
    <row r="2235" spans="1:15">
      <c r="A2235">
        <v>2234</v>
      </c>
      <c r="B2235" t="s">
        <v>238</v>
      </c>
      <c r="C2235" s="1">
        <v>29586</v>
      </c>
      <c r="D2235">
        <v>45</v>
      </c>
      <c r="E2235" s="4" t="s">
        <v>197</v>
      </c>
      <c r="F2235" t="s">
        <v>13</v>
      </c>
      <c r="G2235" s="1">
        <v>45426</v>
      </c>
      <c r="H2235" s="1">
        <f>TablaDatos[[#This Row],[FechaIngreso]]+TablaDatos[[#This Row],[DiasNuevo]]</f>
        <v>45453</v>
      </c>
      <c r="I2235">
        <v>27</v>
      </c>
      <c r="J2235" t="s">
        <v>23</v>
      </c>
      <c r="K2235" s="3">
        <v>10553.49</v>
      </c>
      <c r="L2235" t="b">
        <f>TablaDatos[[#This Row],[FechaAlta]] &lt; TablaDatos[[#This Row],[FechaIngreso]]</f>
        <v>0</v>
      </c>
      <c r="M2235">
        <f>_xlfn.XLOOKUP(TablaDatos[[#This Row],[PacienteID]],'Datos_Ejemplo.csv'!A:A,'Datos_Ejemplo.csv'!I:I)</f>
        <v>27</v>
      </c>
      <c r="N2235">
        <f>ABS(TablaDatos[[#This Row],[DiasOriginal]])</f>
        <v>27</v>
      </c>
      <c r="O2235" s="1">
        <f>TablaDatos[[#This Row],[FechaIngreso]]+TablaDatos[[#This Row],[DiasNuevo]]</f>
        <v>45453</v>
      </c>
    </row>
    <row r="2236" spans="1:15">
      <c r="A2236">
        <v>2235</v>
      </c>
      <c r="B2236" t="s">
        <v>275</v>
      </c>
      <c r="C2236" s="1">
        <v>30682</v>
      </c>
      <c r="D2236">
        <v>42</v>
      </c>
      <c r="E2236" s="4" t="s">
        <v>15</v>
      </c>
      <c r="F2236" t="s">
        <v>295</v>
      </c>
      <c r="G2236" s="1">
        <v>45596</v>
      </c>
      <c r="H2236" s="1">
        <f>TablaDatos[[#This Row],[FechaIngreso]]+TablaDatos[[#This Row],[DiasNuevo]]</f>
        <v>45596</v>
      </c>
      <c r="I2236">
        <v>0</v>
      </c>
      <c r="J2236" t="s">
        <v>19</v>
      </c>
      <c r="K2236" s="3">
        <v>14111.06</v>
      </c>
      <c r="L2236" t="b">
        <f>TablaDatos[[#This Row],[FechaAlta]] &lt; TablaDatos[[#This Row],[FechaIngreso]]</f>
        <v>0</v>
      </c>
      <c r="M2236">
        <f>_xlfn.XLOOKUP(TablaDatos[[#This Row],[PacienteID]],'Datos_Ejemplo.csv'!A:A,'Datos_Ejemplo.csv'!I:I)</f>
        <v>0</v>
      </c>
      <c r="N2236">
        <f>ABS(TablaDatos[[#This Row],[DiasOriginal]])</f>
        <v>0</v>
      </c>
      <c r="O2236" s="1">
        <f>TablaDatos[[#This Row],[FechaIngreso]]+TablaDatos[[#This Row],[DiasNuevo]]</f>
        <v>45596</v>
      </c>
    </row>
    <row r="2237" spans="1:15">
      <c r="A2237">
        <v>2236</v>
      </c>
      <c r="B2237" t="s">
        <v>312</v>
      </c>
      <c r="C2237" s="1">
        <v>38717</v>
      </c>
      <c r="D2237">
        <v>20</v>
      </c>
      <c r="E2237" s="4" t="s">
        <v>197</v>
      </c>
      <c r="F2237" t="s">
        <v>201</v>
      </c>
      <c r="G2237" s="1">
        <v>45456</v>
      </c>
      <c r="H2237" s="1">
        <f>TablaDatos[[#This Row],[FechaIngreso]]+TablaDatos[[#This Row],[DiasNuevo]]</f>
        <v>45482</v>
      </c>
      <c r="I2237">
        <v>26</v>
      </c>
      <c r="J2237" t="s">
        <v>23</v>
      </c>
      <c r="K2237" s="3">
        <v>6400.29</v>
      </c>
      <c r="L2237" t="b">
        <f>TablaDatos[[#This Row],[FechaAlta]] &lt; TablaDatos[[#This Row],[FechaIngreso]]</f>
        <v>0</v>
      </c>
      <c r="M2237">
        <f>_xlfn.XLOOKUP(TablaDatos[[#This Row],[PacienteID]],'Datos_Ejemplo.csv'!A:A,'Datos_Ejemplo.csv'!I:I)</f>
        <v>26</v>
      </c>
      <c r="N2237">
        <f>ABS(TablaDatos[[#This Row],[DiasOriginal]])</f>
        <v>26</v>
      </c>
      <c r="O2237" s="1">
        <f>TablaDatos[[#This Row],[FechaIngreso]]+TablaDatos[[#This Row],[DiasNuevo]]</f>
        <v>45482</v>
      </c>
    </row>
    <row r="2238" spans="1:15">
      <c r="A2238">
        <v>2237</v>
      </c>
      <c r="B2238" t="s">
        <v>240</v>
      </c>
      <c r="C2238" s="1">
        <v>37987</v>
      </c>
      <c r="D2238">
        <v>22</v>
      </c>
      <c r="E2238" s="4" t="s">
        <v>15</v>
      </c>
      <c r="F2238" t="s">
        <v>21</v>
      </c>
      <c r="G2238" s="1">
        <v>45307</v>
      </c>
      <c r="H2238" s="1">
        <f>TablaDatos[[#This Row],[FechaIngreso]]+TablaDatos[[#This Row],[DiasNuevo]]</f>
        <v>45318</v>
      </c>
      <c r="I2238">
        <v>11</v>
      </c>
      <c r="J2238" t="s">
        <v>23</v>
      </c>
      <c r="K2238" s="3">
        <v>641.94000000000005</v>
      </c>
      <c r="L2238" t="b">
        <f>TablaDatos[[#This Row],[FechaAlta]] &lt; TablaDatos[[#This Row],[FechaIngreso]]</f>
        <v>0</v>
      </c>
      <c r="M2238">
        <f>_xlfn.XLOOKUP(TablaDatos[[#This Row],[PacienteID]],'Datos_Ejemplo.csv'!A:A,'Datos_Ejemplo.csv'!I:I)</f>
        <v>11</v>
      </c>
      <c r="N2238">
        <f>ABS(TablaDatos[[#This Row],[DiasOriginal]])</f>
        <v>11</v>
      </c>
      <c r="O2238" s="1">
        <f>TablaDatos[[#This Row],[FechaIngreso]]+TablaDatos[[#This Row],[DiasNuevo]]</f>
        <v>45318</v>
      </c>
    </row>
    <row r="2239" spans="1:15">
      <c r="A2239">
        <v>2238</v>
      </c>
      <c r="B2239" t="s">
        <v>245</v>
      </c>
      <c r="C2239" s="1">
        <v>17168</v>
      </c>
      <c r="D2239">
        <v>79</v>
      </c>
      <c r="E2239" s="4" t="s">
        <v>12</v>
      </c>
      <c r="F2239" t="s">
        <v>261</v>
      </c>
      <c r="G2239" s="1">
        <v>44989</v>
      </c>
      <c r="H2239" s="1">
        <f>TablaDatos[[#This Row],[FechaIngreso]]+TablaDatos[[#This Row],[DiasNuevo]]</f>
        <v>44999</v>
      </c>
      <c r="I2239">
        <v>10</v>
      </c>
      <c r="J2239" t="s">
        <v>23</v>
      </c>
      <c r="K2239" s="3">
        <v>4523.92</v>
      </c>
      <c r="L2239" t="b">
        <f>TablaDatos[[#This Row],[FechaAlta]] &lt; TablaDatos[[#This Row],[FechaIngreso]]</f>
        <v>0</v>
      </c>
      <c r="M2239">
        <f>_xlfn.XLOOKUP(TablaDatos[[#This Row],[PacienteID]],'Datos_Ejemplo.csv'!A:A,'Datos_Ejemplo.csv'!I:I)</f>
        <v>10</v>
      </c>
      <c r="N2239">
        <f>ABS(TablaDatos[[#This Row],[DiasOriginal]])</f>
        <v>10</v>
      </c>
      <c r="O2239" s="1">
        <f>TablaDatos[[#This Row],[FechaIngreso]]+TablaDatos[[#This Row],[DiasNuevo]]</f>
        <v>44999</v>
      </c>
    </row>
    <row r="2240" spans="1:15">
      <c r="A2240">
        <v>2239</v>
      </c>
      <c r="B2240" t="s">
        <v>61</v>
      </c>
      <c r="C2240" s="1">
        <v>29221</v>
      </c>
      <c r="D2240">
        <v>46</v>
      </c>
      <c r="E2240" s="4" t="s">
        <v>15</v>
      </c>
      <c r="F2240" t="s">
        <v>18</v>
      </c>
      <c r="G2240" s="1">
        <v>45054</v>
      </c>
      <c r="H2240" s="1">
        <f>TablaDatos[[#This Row],[FechaIngreso]]+TablaDatos[[#This Row],[DiasNuevo]]</f>
        <v>45070</v>
      </c>
      <c r="I2240">
        <v>16</v>
      </c>
      <c r="J2240" t="s">
        <v>23</v>
      </c>
      <c r="K2240" s="3">
        <v>4684.07</v>
      </c>
      <c r="L2240" t="b">
        <f>TablaDatos[[#This Row],[FechaAlta]] &lt; TablaDatos[[#This Row],[FechaIngreso]]</f>
        <v>0</v>
      </c>
      <c r="M2240">
        <f>_xlfn.XLOOKUP(TablaDatos[[#This Row],[PacienteID]],'Datos_Ejemplo.csv'!A:A,'Datos_Ejemplo.csv'!I:I)</f>
        <v>16</v>
      </c>
      <c r="N2240">
        <f>ABS(TablaDatos[[#This Row],[DiasOriginal]])</f>
        <v>16</v>
      </c>
      <c r="O2240" s="1">
        <f>TablaDatos[[#This Row],[FechaIngreso]]+TablaDatos[[#This Row],[DiasNuevo]]</f>
        <v>45070</v>
      </c>
    </row>
    <row r="2241" spans="1:15">
      <c r="A2241">
        <v>2240</v>
      </c>
      <c r="B2241" t="s">
        <v>269</v>
      </c>
      <c r="C2241" s="1">
        <v>40909</v>
      </c>
      <c r="D2241">
        <v>14</v>
      </c>
      <c r="E2241" s="4" t="s">
        <v>12</v>
      </c>
      <c r="F2241" t="s">
        <v>21</v>
      </c>
      <c r="G2241" s="1">
        <v>45454</v>
      </c>
      <c r="H2241" s="1">
        <f>TablaDatos[[#This Row],[FechaIngreso]]+TablaDatos[[#This Row],[DiasNuevo]]</f>
        <v>45476</v>
      </c>
      <c r="I2241">
        <v>22</v>
      </c>
      <c r="J2241" t="s">
        <v>19</v>
      </c>
      <c r="K2241" s="3">
        <v>6646.74</v>
      </c>
      <c r="L2241" t="b">
        <f>TablaDatos[[#This Row],[FechaAlta]] &lt; TablaDatos[[#This Row],[FechaIngreso]]</f>
        <v>0</v>
      </c>
      <c r="M2241">
        <f>_xlfn.XLOOKUP(TablaDatos[[#This Row],[PacienteID]],'Datos_Ejemplo.csv'!A:A,'Datos_Ejemplo.csv'!I:I)</f>
        <v>22</v>
      </c>
      <c r="N2241">
        <f>ABS(TablaDatos[[#This Row],[DiasOriginal]])</f>
        <v>22</v>
      </c>
      <c r="O2241" s="1">
        <f>TablaDatos[[#This Row],[FechaIngreso]]+TablaDatos[[#This Row],[DiasNuevo]]</f>
        <v>45476</v>
      </c>
    </row>
    <row r="2242" spans="1:15">
      <c r="A2242">
        <v>2241</v>
      </c>
      <c r="B2242" t="s">
        <v>343</v>
      </c>
      <c r="C2242" s="1">
        <v>37256</v>
      </c>
      <c r="D2242">
        <v>24</v>
      </c>
      <c r="E2242" s="4" t="s">
        <v>12</v>
      </c>
      <c r="F2242" t="s">
        <v>32</v>
      </c>
      <c r="G2242" s="1">
        <v>45089</v>
      </c>
      <c r="H2242" s="1">
        <f>TablaDatos[[#This Row],[FechaIngreso]]+TablaDatos[[#This Row],[DiasNuevo]]</f>
        <v>45096</v>
      </c>
      <c r="I2242">
        <v>7</v>
      </c>
      <c r="J2242" t="s">
        <v>25</v>
      </c>
      <c r="K2242" s="3">
        <v>18863.599999999999</v>
      </c>
      <c r="L2242" t="b">
        <f>TablaDatos[[#This Row],[FechaAlta]] &lt; TablaDatos[[#This Row],[FechaIngreso]]</f>
        <v>0</v>
      </c>
      <c r="M2242">
        <f>_xlfn.XLOOKUP(TablaDatos[[#This Row],[PacienteID]],'Datos_Ejemplo.csv'!A:A,'Datos_Ejemplo.csv'!I:I)</f>
        <v>7</v>
      </c>
      <c r="N2242">
        <f>ABS(TablaDatos[[#This Row],[DiasOriginal]])</f>
        <v>7</v>
      </c>
      <c r="O2242" s="1">
        <f>TablaDatos[[#This Row],[FechaIngreso]]+TablaDatos[[#This Row],[DiasNuevo]]</f>
        <v>45096</v>
      </c>
    </row>
    <row r="2243" spans="1:15">
      <c r="A2243">
        <v>2242</v>
      </c>
      <c r="B2243" t="s">
        <v>275</v>
      </c>
      <c r="C2243" s="1">
        <v>33239</v>
      </c>
      <c r="D2243">
        <v>35</v>
      </c>
      <c r="E2243" s="4" t="s">
        <v>15</v>
      </c>
      <c r="F2243" t="s">
        <v>295</v>
      </c>
      <c r="G2243" s="1">
        <v>45177</v>
      </c>
      <c r="H2243" s="1">
        <f>TablaDatos[[#This Row],[FechaIngreso]]+TablaDatos[[#This Row],[DiasNuevo]]</f>
        <v>45189</v>
      </c>
      <c r="I2243">
        <v>12</v>
      </c>
      <c r="J2243" t="s">
        <v>25</v>
      </c>
      <c r="K2243" s="3">
        <v>16077.34</v>
      </c>
      <c r="L2243" t="b">
        <f>TablaDatos[[#This Row],[FechaAlta]] &lt; TablaDatos[[#This Row],[FechaIngreso]]</f>
        <v>0</v>
      </c>
      <c r="M2243">
        <f>_xlfn.XLOOKUP(TablaDatos[[#This Row],[PacienteID]],'Datos_Ejemplo.csv'!A:A,'Datos_Ejemplo.csv'!I:I)</f>
        <v>12</v>
      </c>
      <c r="N2243">
        <f>ABS(TablaDatos[[#This Row],[DiasOriginal]])</f>
        <v>12</v>
      </c>
      <c r="O2243" s="1">
        <f>TablaDatos[[#This Row],[FechaIngreso]]+TablaDatos[[#This Row],[DiasNuevo]]</f>
        <v>45189</v>
      </c>
    </row>
    <row r="2244" spans="1:15">
      <c r="A2244">
        <v>2243</v>
      </c>
      <c r="B2244" t="s">
        <v>111</v>
      </c>
      <c r="C2244" s="1">
        <v>18994</v>
      </c>
      <c r="D2244">
        <v>74</v>
      </c>
      <c r="E2244" s="4" t="s">
        <v>12</v>
      </c>
      <c r="F2244" t="s">
        <v>18</v>
      </c>
      <c r="G2244" s="1">
        <v>45575</v>
      </c>
      <c r="H2244" s="1">
        <f>TablaDatos[[#This Row],[FechaIngreso]]+TablaDatos[[#This Row],[DiasNuevo]]</f>
        <v>45600</v>
      </c>
      <c r="I2244">
        <v>25</v>
      </c>
      <c r="J2244" t="s">
        <v>19</v>
      </c>
      <c r="K2244" s="3">
        <v>18712.72</v>
      </c>
      <c r="L2244" t="b">
        <f>TablaDatos[[#This Row],[FechaAlta]] &lt; TablaDatos[[#This Row],[FechaIngreso]]</f>
        <v>0</v>
      </c>
      <c r="M2244">
        <f>_xlfn.XLOOKUP(TablaDatos[[#This Row],[PacienteID]],'Datos_Ejemplo.csv'!A:A,'Datos_Ejemplo.csv'!I:I)</f>
        <v>25</v>
      </c>
      <c r="N2244">
        <f>ABS(TablaDatos[[#This Row],[DiasOriginal]])</f>
        <v>25</v>
      </c>
      <c r="O2244" s="1">
        <f>TablaDatos[[#This Row],[FechaIngreso]]+TablaDatos[[#This Row],[DiasNuevo]]</f>
        <v>45600</v>
      </c>
    </row>
    <row r="2245" spans="1:15">
      <c r="A2245">
        <v>2244</v>
      </c>
      <c r="B2245" t="s">
        <v>164</v>
      </c>
      <c r="C2245" s="1">
        <v>27760</v>
      </c>
      <c r="D2245">
        <v>50</v>
      </c>
      <c r="E2245" s="4" t="s">
        <v>15</v>
      </c>
      <c r="F2245" t="s">
        <v>21</v>
      </c>
      <c r="G2245" s="1">
        <v>45221</v>
      </c>
      <c r="H2245" s="1">
        <f>TablaDatos[[#This Row],[FechaIngreso]]+TablaDatos[[#This Row],[DiasNuevo]]</f>
        <v>45258</v>
      </c>
      <c r="I2245">
        <v>37</v>
      </c>
      <c r="J2245" t="s">
        <v>25</v>
      </c>
      <c r="K2245" s="3">
        <v>19972.05</v>
      </c>
      <c r="L2245" t="b">
        <f>TablaDatos[[#This Row],[FechaAlta]] &lt; TablaDatos[[#This Row],[FechaIngreso]]</f>
        <v>0</v>
      </c>
      <c r="M2245">
        <f>_xlfn.XLOOKUP(TablaDatos[[#This Row],[PacienteID]],'Datos_Ejemplo.csv'!A:A,'Datos_Ejemplo.csv'!I:I)</f>
        <v>37</v>
      </c>
      <c r="N2245">
        <f>ABS(TablaDatos[[#This Row],[DiasOriginal]])</f>
        <v>37</v>
      </c>
      <c r="O2245" s="1">
        <f>TablaDatos[[#This Row],[FechaIngreso]]+TablaDatos[[#This Row],[DiasNuevo]]</f>
        <v>45258</v>
      </c>
    </row>
    <row r="2246" spans="1:15">
      <c r="A2246">
        <v>2245</v>
      </c>
      <c r="B2246" t="s">
        <v>122</v>
      </c>
      <c r="C2246" s="1">
        <v>40909</v>
      </c>
      <c r="D2246">
        <v>14</v>
      </c>
      <c r="E2246" s="4" t="s">
        <v>12</v>
      </c>
      <c r="F2246" t="s">
        <v>261</v>
      </c>
      <c r="G2246" s="1">
        <v>45105</v>
      </c>
      <c r="H2246" s="1">
        <f>TablaDatos[[#This Row],[FechaIngreso]]+TablaDatos[[#This Row],[DiasNuevo]]</f>
        <v>45140</v>
      </c>
      <c r="I2246">
        <v>35</v>
      </c>
      <c r="J2246" t="s">
        <v>19</v>
      </c>
      <c r="K2246" s="3">
        <v>8618.9599999999991</v>
      </c>
      <c r="L2246" t="b">
        <f>TablaDatos[[#This Row],[FechaAlta]] &lt; TablaDatos[[#This Row],[FechaIngreso]]</f>
        <v>0</v>
      </c>
      <c r="M2246">
        <f>_xlfn.XLOOKUP(TablaDatos[[#This Row],[PacienteID]],'Datos_Ejemplo.csv'!A:A,'Datos_Ejemplo.csv'!I:I)</f>
        <v>35</v>
      </c>
      <c r="N2246">
        <f>ABS(TablaDatos[[#This Row],[DiasOriginal]])</f>
        <v>35</v>
      </c>
      <c r="O2246" s="1">
        <f>TablaDatos[[#This Row],[FechaIngreso]]+TablaDatos[[#This Row],[DiasNuevo]]</f>
        <v>45140</v>
      </c>
    </row>
    <row r="2247" spans="1:15">
      <c r="A2247">
        <v>2246</v>
      </c>
      <c r="B2247" t="s">
        <v>302</v>
      </c>
      <c r="C2247" s="1">
        <f ca="1">DATE(YEAR(TODAY())-TablaDatos[[#This Row],[Edad]],1,1)</f>
        <v>21551</v>
      </c>
      <c r="D2247">
        <v>67</v>
      </c>
      <c r="E2247" s="4" t="s">
        <v>197</v>
      </c>
      <c r="F2247" t="s">
        <v>18</v>
      </c>
      <c r="G2247" s="1">
        <v>45155</v>
      </c>
      <c r="H2247" s="1">
        <f>TablaDatos[[#This Row],[FechaIngreso]]+TablaDatos[[#This Row],[DiasNuevo]]</f>
        <v>45159</v>
      </c>
      <c r="I2247">
        <v>4</v>
      </c>
      <c r="J2247" t="s">
        <v>19</v>
      </c>
      <c r="K2247" s="3">
        <v>4464.17</v>
      </c>
      <c r="L2247" t="b">
        <f>TablaDatos[[#This Row],[FechaAlta]] &lt; TablaDatos[[#This Row],[FechaIngreso]]</f>
        <v>0</v>
      </c>
      <c r="M2247">
        <f>_xlfn.XLOOKUP(TablaDatos[[#This Row],[PacienteID]],'Datos_Ejemplo.csv'!A:A,'Datos_Ejemplo.csv'!I:I)</f>
        <v>4</v>
      </c>
      <c r="N2247">
        <f>ABS(TablaDatos[[#This Row],[DiasOriginal]])</f>
        <v>4</v>
      </c>
      <c r="O2247" s="1">
        <f>TablaDatos[[#This Row],[FechaIngreso]]+TablaDatos[[#This Row],[DiasNuevo]]</f>
        <v>45159</v>
      </c>
    </row>
    <row r="2248" spans="1:15">
      <c r="A2248">
        <v>2247</v>
      </c>
      <c r="B2248" t="s">
        <v>269</v>
      </c>
      <c r="C2248" s="1">
        <v>38717</v>
      </c>
      <c r="D2248">
        <v>20</v>
      </c>
      <c r="E2248" s="4" t="s">
        <v>12</v>
      </c>
      <c r="F2248" t="s">
        <v>13</v>
      </c>
      <c r="G2248" s="1">
        <v>45320</v>
      </c>
      <c r="H2248" s="1">
        <f>TablaDatos[[#This Row],[FechaIngreso]]+TablaDatos[[#This Row],[DiasNuevo]]</f>
        <v>45331</v>
      </c>
      <c r="I2248">
        <v>11</v>
      </c>
      <c r="J2248" t="s">
        <v>19</v>
      </c>
      <c r="K2248" s="3">
        <v>11156.08</v>
      </c>
      <c r="L2248" t="b">
        <f>TablaDatos[[#This Row],[FechaAlta]] &lt; TablaDatos[[#This Row],[FechaIngreso]]</f>
        <v>0</v>
      </c>
      <c r="M2248">
        <f>_xlfn.XLOOKUP(TablaDatos[[#This Row],[PacienteID]],'Datos_Ejemplo.csv'!A:A,'Datos_Ejemplo.csv'!I:I)</f>
        <v>11</v>
      </c>
      <c r="N2248">
        <f>ABS(TablaDatos[[#This Row],[DiasOriginal]])</f>
        <v>11</v>
      </c>
      <c r="O2248" s="1">
        <f>TablaDatos[[#This Row],[FechaIngreso]]+TablaDatos[[#This Row],[DiasNuevo]]</f>
        <v>45331</v>
      </c>
    </row>
    <row r="2249" spans="1:15">
      <c r="A2249">
        <v>2248</v>
      </c>
      <c r="B2249" t="s">
        <v>362</v>
      </c>
      <c r="C2249" s="1">
        <v>41639</v>
      </c>
      <c r="D2249">
        <v>12</v>
      </c>
      <c r="E2249" s="4" t="s">
        <v>12</v>
      </c>
      <c r="F2249" t="s">
        <v>295</v>
      </c>
      <c r="G2249" s="1">
        <v>45618</v>
      </c>
      <c r="H2249" s="1">
        <f>TablaDatos[[#This Row],[FechaIngreso]]+TablaDatos[[#This Row],[DiasNuevo]]</f>
        <v>45645</v>
      </c>
      <c r="I2249">
        <v>27</v>
      </c>
      <c r="J2249" t="s">
        <v>23</v>
      </c>
      <c r="K2249" s="3">
        <v>17610.8</v>
      </c>
      <c r="L2249" t="b">
        <f>TablaDatos[[#This Row],[FechaAlta]] &lt; TablaDatos[[#This Row],[FechaIngreso]]</f>
        <v>0</v>
      </c>
      <c r="M2249">
        <f>_xlfn.XLOOKUP(TablaDatos[[#This Row],[PacienteID]],'Datos_Ejemplo.csv'!A:A,'Datos_Ejemplo.csv'!I:I)</f>
        <v>27</v>
      </c>
      <c r="N2249">
        <f>ABS(TablaDatos[[#This Row],[DiasOriginal]])</f>
        <v>27</v>
      </c>
      <c r="O2249" s="1">
        <f>TablaDatos[[#This Row],[FechaIngreso]]+TablaDatos[[#This Row],[DiasNuevo]]</f>
        <v>45645</v>
      </c>
    </row>
    <row r="2250" spans="1:15">
      <c r="A2250">
        <v>2249</v>
      </c>
      <c r="B2250" t="s">
        <v>289</v>
      </c>
      <c r="C2250" s="1">
        <v>14976</v>
      </c>
      <c r="D2250">
        <v>85</v>
      </c>
      <c r="E2250" s="4" t="s">
        <v>15</v>
      </c>
      <c r="F2250" t="s">
        <v>32</v>
      </c>
      <c r="G2250" s="1">
        <v>45322</v>
      </c>
      <c r="H2250" s="1">
        <f>TablaDatos[[#This Row],[FechaIngreso]]+TablaDatos[[#This Row],[DiasNuevo]]</f>
        <v>45359</v>
      </c>
      <c r="I2250">
        <v>37</v>
      </c>
      <c r="J2250" t="s">
        <v>25</v>
      </c>
      <c r="K2250" s="3">
        <v>9261.2099999999991</v>
      </c>
      <c r="L2250" t="b">
        <f>TablaDatos[[#This Row],[FechaAlta]] &lt; TablaDatos[[#This Row],[FechaIngreso]]</f>
        <v>0</v>
      </c>
      <c r="M2250">
        <f>_xlfn.XLOOKUP(TablaDatos[[#This Row],[PacienteID]],'Datos_Ejemplo.csv'!A:A,'Datos_Ejemplo.csv'!I:I)</f>
        <v>37</v>
      </c>
      <c r="N2250">
        <f>ABS(TablaDatos[[#This Row],[DiasOriginal]])</f>
        <v>37</v>
      </c>
      <c r="O2250" s="1">
        <f>TablaDatos[[#This Row],[FechaIngreso]]+TablaDatos[[#This Row],[DiasNuevo]]</f>
        <v>45359</v>
      </c>
    </row>
    <row r="2251" spans="1:15">
      <c r="A2251">
        <v>2250</v>
      </c>
      <c r="B2251" t="s">
        <v>333</v>
      </c>
      <c r="C2251" s="1">
        <v>39448</v>
      </c>
      <c r="D2251">
        <v>18</v>
      </c>
      <c r="E2251" s="4" t="s">
        <v>15</v>
      </c>
      <c r="F2251" t="s">
        <v>13</v>
      </c>
      <c r="G2251" s="1">
        <v>44998</v>
      </c>
      <c r="H2251" s="1">
        <f>TablaDatos[[#This Row],[FechaIngreso]]+TablaDatos[[#This Row],[DiasNuevo]]</f>
        <v>45007</v>
      </c>
      <c r="I2251">
        <v>9</v>
      </c>
      <c r="J2251" t="s">
        <v>23</v>
      </c>
      <c r="K2251" s="3">
        <v>10058.530000000001</v>
      </c>
      <c r="L2251" t="b">
        <f>TablaDatos[[#This Row],[FechaAlta]] &lt; TablaDatos[[#This Row],[FechaIngreso]]</f>
        <v>0</v>
      </c>
      <c r="M2251">
        <f>_xlfn.XLOOKUP(TablaDatos[[#This Row],[PacienteID]],'Datos_Ejemplo.csv'!A:A,'Datos_Ejemplo.csv'!I:I)</f>
        <v>9</v>
      </c>
      <c r="N2251">
        <f>ABS(TablaDatos[[#This Row],[DiasOriginal]])</f>
        <v>9</v>
      </c>
      <c r="O2251" s="1">
        <f>TablaDatos[[#This Row],[FechaIngreso]]+TablaDatos[[#This Row],[DiasNuevo]]</f>
        <v>45007</v>
      </c>
    </row>
    <row r="2252" spans="1:15">
      <c r="A2252">
        <v>2251</v>
      </c>
      <c r="B2252" t="s">
        <v>300</v>
      </c>
      <c r="C2252" s="1">
        <v>33969</v>
      </c>
      <c r="D2252">
        <v>33</v>
      </c>
      <c r="E2252" s="4" t="s">
        <v>15</v>
      </c>
      <c r="F2252" t="s">
        <v>18</v>
      </c>
      <c r="G2252" s="1">
        <v>45244</v>
      </c>
      <c r="H2252" s="1">
        <f>TablaDatos[[#This Row],[FechaIngreso]]+TablaDatos[[#This Row],[DiasNuevo]]</f>
        <v>45269</v>
      </c>
      <c r="I2252">
        <v>25</v>
      </c>
      <c r="J2252" t="s">
        <v>23</v>
      </c>
      <c r="K2252" s="3">
        <v>2602.23</v>
      </c>
      <c r="L2252" t="b">
        <f>TablaDatos[[#This Row],[FechaAlta]] &lt; TablaDatos[[#This Row],[FechaIngreso]]</f>
        <v>0</v>
      </c>
      <c r="M2252">
        <f>_xlfn.XLOOKUP(TablaDatos[[#This Row],[PacienteID]],'Datos_Ejemplo.csv'!A:A,'Datos_Ejemplo.csv'!I:I)</f>
        <v>25</v>
      </c>
      <c r="N2252">
        <f>ABS(TablaDatos[[#This Row],[DiasOriginal]])</f>
        <v>25</v>
      </c>
      <c r="O2252" s="1">
        <f>TablaDatos[[#This Row],[FechaIngreso]]+TablaDatos[[#This Row],[DiasNuevo]]</f>
        <v>45269</v>
      </c>
    </row>
    <row r="2253" spans="1:15">
      <c r="A2253">
        <v>2252</v>
      </c>
      <c r="B2253" t="s">
        <v>236</v>
      </c>
      <c r="C2253" s="1">
        <v>17898</v>
      </c>
      <c r="D2253">
        <v>77</v>
      </c>
      <c r="E2253" s="4" t="s">
        <v>12</v>
      </c>
      <c r="F2253" t="s">
        <v>21</v>
      </c>
      <c r="G2253" s="1">
        <v>45521</v>
      </c>
      <c r="H2253" s="1">
        <f>TablaDatos[[#This Row],[FechaIngreso]]+TablaDatos[[#This Row],[DiasNuevo]]</f>
        <v>45532</v>
      </c>
      <c r="I2253">
        <v>11</v>
      </c>
      <c r="J2253" t="s">
        <v>19</v>
      </c>
      <c r="K2253" s="3">
        <v>8351.16</v>
      </c>
      <c r="L2253" t="b">
        <f>TablaDatos[[#This Row],[FechaAlta]] &lt; TablaDatos[[#This Row],[FechaIngreso]]</f>
        <v>0</v>
      </c>
      <c r="M2253">
        <f>_xlfn.XLOOKUP(TablaDatos[[#This Row],[PacienteID]],'Datos_Ejemplo.csv'!A:A,'Datos_Ejemplo.csv'!I:I)</f>
        <v>11</v>
      </c>
      <c r="N2253">
        <f>ABS(TablaDatos[[#This Row],[DiasOriginal]])</f>
        <v>11</v>
      </c>
      <c r="O2253" s="1">
        <f>TablaDatos[[#This Row],[FechaIngreso]]+TablaDatos[[#This Row],[DiasNuevo]]</f>
        <v>45532</v>
      </c>
    </row>
    <row r="2254" spans="1:15">
      <c r="A2254">
        <v>2253</v>
      </c>
      <c r="B2254" t="s">
        <v>259</v>
      </c>
      <c r="C2254" s="1">
        <v>21551</v>
      </c>
      <c r="D2254">
        <v>67</v>
      </c>
      <c r="E2254" s="4" t="s">
        <v>12</v>
      </c>
      <c r="F2254" t="s">
        <v>295</v>
      </c>
      <c r="G2254" s="1">
        <v>45305</v>
      </c>
      <c r="H2254" s="1">
        <f>TablaDatos[[#This Row],[FechaIngreso]]+TablaDatos[[#This Row],[DiasNuevo]]</f>
        <v>45307</v>
      </c>
      <c r="I2254">
        <v>2</v>
      </c>
      <c r="J2254" t="s">
        <v>25</v>
      </c>
      <c r="K2254" s="3">
        <v>7678.6</v>
      </c>
      <c r="L2254" t="b">
        <f>TablaDatos[[#This Row],[FechaAlta]] &lt; TablaDatos[[#This Row],[FechaIngreso]]</f>
        <v>0</v>
      </c>
      <c r="M2254">
        <f>_xlfn.XLOOKUP(TablaDatos[[#This Row],[PacienteID]],'Datos_Ejemplo.csv'!A:A,'Datos_Ejemplo.csv'!I:I)</f>
        <v>-2</v>
      </c>
      <c r="N2254">
        <f>ABS(TablaDatos[[#This Row],[DiasOriginal]])</f>
        <v>2</v>
      </c>
      <c r="O2254" s="1">
        <f>TablaDatos[[#This Row],[FechaIngreso]]+TablaDatos[[#This Row],[DiasNuevo]]</f>
        <v>45307</v>
      </c>
    </row>
    <row r="2255" spans="1:15">
      <c r="A2255">
        <v>2254</v>
      </c>
      <c r="B2255" t="s">
        <v>116</v>
      </c>
      <c r="C2255" s="1">
        <v>27395</v>
      </c>
      <c r="D2255">
        <v>51</v>
      </c>
      <c r="E2255" s="4" t="s">
        <v>15</v>
      </c>
      <c r="F2255" t="s">
        <v>261</v>
      </c>
      <c r="G2255" s="1">
        <v>45062</v>
      </c>
      <c r="H2255" s="1">
        <f>TablaDatos[[#This Row],[FechaIngreso]]+TablaDatos[[#This Row],[DiasNuevo]]</f>
        <v>45063</v>
      </c>
      <c r="I2255">
        <v>1</v>
      </c>
      <c r="J2255" t="s">
        <v>23</v>
      </c>
      <c r="K2255" s="3">
        <v>6968.94</v>
      </c>
      <c r="L2255" t="b">
        <f>TablaDatos[[#This Row],[FechaAlta]] &lt; TablaDatos[[#This Row],[FechaIngreso]]</f>
        <v>0</v>
      </c>
      <c r="M2255">
        <f>_xlfn.XLOOKUP(TablaDatos[[#This Row],[PacienteID]],'Datos_Ejemplo.csv'!A:A,'Datos_Ejemplo.csv'!I:I)</f>
        <v>1</v>
      </c>
      <c r="N2255">
        <f>ABS(TablaDatos[[#This Row],[DiasOriginal]])</f>
        <v>1</v>
      </c>
      <c r="O2255" s="1">
        <f>TablaDatos[[#This Row],[FechaIngreso]]+TablaDatos[[#This Row],[DiasNuevo]]</f>
        <v>45063</v>
      </c>
    </row>
    <row r="2256" spans="1:15">
      <c r="A2256">
        <v>2255</v>
      </c>
      <c r="B2256" t="s">
        <v>339</v>
      </c>
      <c r="C2256" s="1">
        <v>36526</v>
      </c>
      <c r="D2256">
        <v>26</v>
      </c>
      <c r="E2256" s="4" t="s">
        <v>12</v>
      </c>
      <c r="F2256" t="s">
        <v>32</v>
      </c>
      <c r="G2256" s="1">
        <v>45656</v>
      </c>
      <c r="H2256" s="1">
        <f>TablaDatos[[#This Row],[FechaIngreso]]+TablaDatos[[#This Row],[DiasNuevo]]</f>
        <v>45671</v>
      </c>
      <c r="I2256">
        <v>15</v>
      </c>
      <c r="J2256" t="s">
        <v>19</v>
      </c>
      <c r="K2256" s="3">
        <v>17734.7</v>
      </c>
      <c r="L2256" t="b">
        <f>TablaDatos[[#This Row],[FechaAlta]] &lt; TablaDatos[[#This Row],[FechaIngreso]]</f>
        <v>0</v>
      </c>
      <c r="M2256">
        <f>_xlfn.XLOOKUP(TablaDatos[[#This Row],[PacienteID]],'Datos_Ejemplo.csv'!A:A,'Datos_Ejemplo.csv'!I:I)</f>
        <v>15</v>
      </c>
      <c r="N2256">
        <f>ABS(TablaDatos[[#This Row],[DiasOriginal]])</f>
        <v>15</v>
      </c>
      <c r="O2256" s="1">
        <f>TablaDatos[[#This Row],[FechaIngreso]]+TablaDatos[[#This Row],[DiasNuevo]]</f>
        <v>45671</v>
      </c>
    </row>
    <row r="2257" spans="1:15">
      <c r="A2257">
        <v>2256</v>
      </c>
      <c r="B2257" t="s">
        <v>278</v>
      </c>
      <c r="C2257" s="1">
        <v>35795</v>
      </c>
      <c r="D2257">
        <v>28</v>
      </c>
      <c r="E2257" s="4" t="s">
        <v>15</v>
      </c>
      <c r="F2257" t="s">
        <v>21</v>
      </c>
      <c r="G2257" s="1">
        <v>45547</v>
      </c>
      <c r="H2257" s="1">
        <f>TablaDatos[[#This Row],[FechaIngreso]]+TablaDatos[[#This Row],[DiasNuevo]]</f>
        <v>45580</v>
      </c>
      <c r="I2257">
        <v>33</v>
      </c>
      <c r="J2257" t="s">
        <v>23</v>
      </c>
      <c r="K2257" s="3">
        <v>1091.96</v>
      </c>
      <c r="L2257" t="b">
        <f>TablaDatos[[#This Row],[FechaAlta]] &lt; TablaDatos[[#This Row],[FechaIngreso]]</f>
        <v>0</v>
      </c>
      <c r="M2257">
        <f>_xlfn.XLOOKUP(TablaDatos[[#This Row],[PacienteID]],'Datos_Ejemplo.csv'!A:A,'Datos_Ejemplo.csv'!I:I)</f>
        <v>33</v>
      </c>
      <c r="N2257">
        <f>ABS(TablaDatos[[#This Row],[DiasOriginal]])</f>
        <v>33</v>
      </c>
      <c r="O2257" s="1">
        <f>TablaDatos[[#This Row],[FechaIngreso]]+TablaDatos[[#This Row],[DiasNuevo]]</f>
        <v>45580</v>
      </c>
    </row>
    <row r="2258" spans="1:15">
      <c r="A2258">
        <v>2257</v>
      </c>
      <c r="B2258" t="s">
        <v>122</v>
      </c>
      <c r="C2258" s="1">
        <v>36161</v>
      </c>
      <c r="D2258">
        <v>27</v>
      </c>
      <c r="E2258" s="4" t="s">
        <v>15</v>
      </c>
      <c r="F2258" t="s">
        <v>32</v>
      </c>
      <c r="G2258" s="1">
        <v>45304</v>
      </c>
      <c r="H2258" s="1">
        <f>TablaDatos[[#This Row],[FechaIngreso]]+TablaDatos[[#This Row],[DiasNuevo]]</f>
        <v>45333</v>
      </c>
      <c r="I2258">
        <v>29</v>
      </c>
      <c r="J2258" t="s">
        <v>23</v>
      </c>
      <c r="K2258" s="3">
        <v>19440.16</v>
      </c>
      <c r="L2258" t="b">
        <f>TablaDatos[[#This Row],[FechaAlta]] &lt; TablaDatos[[#This Row],[FechaIngreso]]</f>
        <v>0</v>
      </c>
      <c r="M2258">
        <f>_xlfn.XLOOKUP(TablaDatos[[#This Row],[PacienteID]],'Datos_Ejemplo.csv'!A:A,'Datos_Ejemplo.csv'!I:I)</f>
        <v>29</v>
      </c>
      <c r="N2258">
        <f>ABS(TablaDatos[[#This Row],[DiasOriginal]])</f>
        <v>29</v>
      </c>
      <c r="O2258" s="1">
        <f>TablaDatos[[#This Row],[FechaIngreso]]+TablaDatos[[#This Row],[DiasNuevo]]</f>
        <v>45333</v>
      </c>
    </row>
    <row r="2259" spans="1:15">
      <c r="A2259">
        <v>2258</v>
      </c>
      <c r="B2259" t="s">
        <v>269</v>
      </c>
      <c r="C2259" s="1">
        <v>33604</v>
      </c>
      <c r="D2259">
        <v>34</v>
      </c>
      <c r="E2259" s="4" t="s">
        <v>12</v>
      </c>
      <c r="F2259" t="s">
        <v>261</v>
      </c>
      <c r="G2259" s="1">
        <v>45045</v>
      </c>
      <c r="H2259" s="1">
        <f>TablaDatos[[#This Row],[FechaIngreso]]+TablaDatos[[#This Row],[DiasNuevo]]</f>
        <v>45070</v>
      </c>
      <c r="I2259">
        <v>25</v>
      </c>
      <c r="J2259" t="s">
        <v>23</v>
      </c>
      <c r="K2259" s="3">
        <v>65.760000000000005</v>
      </c>
      <c r="L2259" t="b">
        <f>TablaDatos[[#This Row],[FechaAlta]] &lt; TablaDatos[[#This Row],[FechaIngreso]]</f>
        <v>0</v>
      </c>
      <c r="M2259">
        <f>_xlfn.XLOOKUP(TablaDatos[[#This Row],[PacienteID]],'Datos_Ejemplo.csv'!A:A,'Datos_Ejemplo.csv'!I:I)</f>
        <v>25</v>
      </c>
      <c r="N2259">
        <f>ABS(TablaDatos[[#This Row],[DiasOriginal]])</f>
        <v>25</v>
      </c>
      <c r="O2259" s="1">
        <f>TablaDatos[[#This Row],[FechaIngreso]]+TablaDatos[[#This Row],[DiasNuevo]]</f>
        <v>45070</v>
      </c>
    </row>
    <row r="2260" spans="1:15">
      <c r="A2260">
        <v>2259</v>
      </c>
      <c r="B2260" t="s">
        <v>288</v>
      </c>
      <c r="C2260" s="1">
        <v>43466</v>
      </c>
      <c r="D2260">
        <v>7</v>
      </c>
      <c r="E2260" s="4" t="s">
        <v>15</v>
      </c>
      <c r="F2260" t="s">
        <v>201</v>
      </c>
      <c r="G2260" s="1">
        <v>45456</v>
      </c>
      <c r="H2260" s="1">
        <f>TablaDatos[[#This Row],[FechaIngreso]]+TablaDatos[[#This Row],[DiasNuevo]]</f>
        <v>45481</v>
      </c>
      <c r="I2260">
        <v>25</v>
      </c>
      <c r="J2260" t="s">
        <v>25</v>
      </c>
      <c r="K2260" s="3">
        <v>18906.439999999999</v>
      </c>
      <c r="L2260" t="b">
        <f>TablaDatos[[#This Row],[FechaAlta]] &lt; TablaDatos[[#This Row],[FechaIngreso]]</f>
        <v>0</v>
      </c>
      <c r="M2260">
        <f>_xlfn.XLOOKUP(TablaDatos[[#This Row],[PacienteID]],'Datos_Ejemplo.csv'!A:A,'Datos_Ejemplo.csv'!I:I)</f>
        <v>25</v>
      </c>
      <c r="N2260">
        <f>ABS(TablaDatos[[#This Row],[DiasOriginal]])</f>
        <v>25</v>
      </c>
      <c r="O2260" s="1">
        <f>TablaDatos[[#This Row],[FechaIngreso]]+TablaDatos[[#This Row],[DiasNuevo]]</f>
        <v>45481</v>
      </c>
    </row>
    <row r="2261" spans="1:15">
      <c r="A2261">
        <v>2260</v>
      </c>
      <c r="B2261" t="s">
        <v>326</v>
      </c>
      <c r="C2261" s="1">
        <v>40544</v>
      </c>
      <c r="D2261">
        <v>15</v>
      </c>
      <c r="E2261" s="4" t="s">
        <v>12</v>
      </c>
      <c r="F2261" t="s">
        <v>295</v>
      </c>
      <c r="G2261" s="1">
        <v>45592</v>
      </c>
      <c r="H2261" s="1">
        <f>TablaDatos[[#This Row],[FechaIngreso]]+TablaDatos[[#This Row],[DiasNuevo]]</f>
        <v>45627</v>
      </c>
      <c r="I2261">
        <v>35</v>
      </c>
      <c r="J2261" t="s">
        <v>23</v>
      </c>
      <c r="K2261" s="3">
        <v>10915.75</v>
      </c>
      <c r="L2261" t="b">
        <f>TablaDatos[[#This Row],[FechaAlta]] &lt; TablaDatos[[#This Row],[FechaIngreso]]</f>
        <v>0</v>
      </c>
      <c r="M2261">
        <f>_xlfn.XLOOKUP(TablaDatos[[#This Row],[PacienteID]],'Datos_Ejemplo.csv'!A:A,'Datos_Ejemplo.csv'!I:I)</f>
        <v>35</v>
      </c>
      <c r="N2261">
        <f>ABS(TablaDatos[[#This Row],[DiasOriginal]])</f>
        <v>35</v>
      </c>
      <c r="O2261" s="1">
        <f>TablaDatos[[#This Row],[FechaIngreso]]+TablaDatos[[#This Row],[DiasNuevo]]</f>
        <v>45627</v>
      </c>
    </row>
    <row r="2262" spans="1:15">
      <c r="A2262">
        <v>2261</v>
      </c>
      <c r="B2262" t="s">
        <v>103</v>
      </c>
      <c r="C2262" s="1">
        <v>33239</v>
      </c>
      <c r="D2262">
        <v>35</v>
      </c>
      <c r="E2262" s="4" t="s">
        <v>15</v>
      </c>
      <c r="F2262" t="s">
        <v>18</v>
      </c>
      <c r="G2262" s="1">
        <v>45449</v>
      </c>
      <c r="H2262" s="1">
        <f>TablaDatos[[#This Row],[FechaIngreso]]+TablaDatos[[#This Row],[DiasNuevo]]</f>
        <v>45478</v>
      </c>
      <c r="I2262">
        <v>29</v>
      </c>
      <c r="J2262" t="s">
        <v>23</v>
      </c>
      <c r="K2262" s="3">
        <v>14019.15</v>
      </c>
      <c r="L2262" t="b">
        <f>TablaDatos[[#This Row],[FechaAlta]] &lt; TablaDatos[[#This Row],[FechaIngreso]]</f>
        <v>0</v>
      </c>
      <c r="M2262">
        <f>_xlfn.XLOOKUP(TablaDatos[[#This Row],[PacienteID]],'Datos_Ejemplo.csv'!A:A,'Datos_Ejemplo.csv'!I:I)</f>
        <v>29</v>
      </c>
      <c r="N2262">
        <f>ABS(TablaDatos[[#This Row],[DiasOriginal]])</f>
        <v>29</v>
      </c>
      <c r="O2262" s="1">
        <f>TablaDatos[[#This Row],[FechaIngreso]]+TablaDatos[[#This Row],[DiasNuevo]]</f>
        <v>45478</v>
      </c>
    </row>
    <row r="2263" spans="1:15">
      <c r="A2263">
        <v>2262</v>
      </c>
      <c r="B2263" t="s">
        <v>264</v>
      </c>
      <c r="C2263" s="1">
        <v>35430</v>
      </c>
      <c r="D2263">
        <v>29</v>
      </c>
      <c r="E2263" s="4" t="s">
        <v>12</v>
      </c>
      <c r="F2263" t="s">
        <v>32</v>
      </c>
      <c r="G2263" s="1">
        <v>45576</v>
      </c>
      <c r="H2263" s="1">
        <f>TablaDatos[[#This Row],[FechaIngreso]]+TablaDatos[[#This Row],[DiasNuevo]]</f>
        <v>45581</v>
      </c>
      <c r="I2263">
        <v>5</v>
      </c>
      <c r="J2263" t="s">
        <v>23</v>
      </c>
      <c r="K2263" s="3">
        <v>3661.37</v>
      </c>
      <c r="L2263" t="b">
        <f>TablaDatos[[#This Row],[FechaAlta]] &lt; TablaDatos[[#This Row],[FechaIngreso]]</f>
        <v>0</v>
      </c>
      <c r="M2263">
        <f>_xlfn.XLOOKUP(TablaDatos[[#This Row],[PacienteID]],'Datos_Ejemplo.csv'!A:A,'Datos_Ejemplo.csv'!I:I)</f>
        <v>5</v>
      </c>
      <c r="N2263">
        <f>ABS(TablaDatos[[#This Row],[DiasOriginal]])</f>
        <v>5</v>
      </c>
      <c r="O2263" s="1">
        <f>TablaDatos[[#This Row],[FechaIngreso]]+TablaDatos[[#This Row],[DiasNuevo]]</f>
        <v>45581</v>
      </c>
    </row>
    <row r="2264" spans="1:15">
      <c r="A2264">
        <v>2263</v>
      </c>
      <c r="B2264" t="s">
        <v>342</v>
      </c>
      <c r="C2264" s="1">
        <v>39813</v>
      </c>
      <c r="D2264">
        <v>17</v>
      </c>
      <c r="E2264" s="4" t="s">
        <v>15</v>
      </c>
      <c r="F2264" t="s">
        <v>295</v>
      </c>
      <c r="G2264" s="1">
        <v>45313</v>
      </c>
      <c r="H2264" s="1">
        <f>TablaDatos[[#This Row],[FechaIngreso]]+TablaDatos[[#This Row],[DiasNuevo]]</f>
        <v>45335</v>
      </c>
      <c r="I2264">
        <v>22</v>
      </c>
      <c r="J2264" t="s">
        <v>23</v>
      </c>
      <c r="K2264" s="3">
        <v>13049.65</v>
      </c>
      <c r="L2264" t="b">
        <f>TablaDatos[[#This Row],[FechaAlta]] &lt; TablaDatos[[#This Row],[FechaIngreso]]</f>
        <v>0</v>
      </c>
      <c r="M2264">
        <f>_xlfn.XLOOKUP(TablaDatos[[#This Row],[PacienteID]],'Datos_Ejemplo.csv'!A:A,'Datos_Ejemplo.csv'!I:I)</f>
        <v>22</v>
      </c>
      <c r="N2264">
        <f>ABS(TablaDatos[[#This Row],[DiasOriginal]])</f>
        <v>22</v>
      </c>
      <c r="O2264" s="1">
        <f>TablaDatos[[#This Row],[FechaIngreso]]+TablaDatos[[#This Row],[DiasNuevo]]</f>
        <v>45335</v>
      </c>
    </row>
    <row r="2265" spans="1:15">
      <c r="A2265">
        <v>2264</v>
      </c>
      <c r="B2265" t="s">
        <v>240</v>
      </c>
      <c r="C2265" s="1">
        <v>45657</v>
      </c>
      <c r="D2265">
        <v>1</v>
      </c>
      <c r="E2265" s="4" t="s">
        <v>15</v>
      </c>
      <c r="F2265" t="s">
        <v>32</v>
      </c>
      <c r="G2265" s="1">
        <v>45500</v>
      </c>
      <c r="H2265" s="1">
        <f>TablaDatos[[#This Row],[FechaIngreso]]+TablaDatos[[#This Row],[DiasNuevo]]</f>
        <v>45517</v>
      </c>
      <c r="I2265">
        <v>17</v>
      </c>
      <c r="J2265" t="s">
        <v>25</v>
      </c>
      <c r="K2265" s="3">
        <v>17627.349999999999</v>
      </c>
      <c r="L2265" t="b">
        <f>TablaDatos[[#This Row],[FechaAlta]] &lt; TablaDatos[[#This Row],[FechaIngreso]]</f>
        <v>0</v>
      </c>
      <c r="M2265">
        <f>_xlfn.XLOOKUP(TablaDatos[[#This Row],[PacienteID]],'Datos_Ejemplo.csv'!A:A,'Datos_Ejemplo.csv'!I:I)</f>
        <v>17</v>
      </c>
      <c r="N2265">
        <f>ABS(TablaDatos[[#This Row],[DiasOriginal]])</f>
        <v>17</v>
      </c>
      <c r="O2265" s="1">
        <f>TablaDatos[[#This Row],[FechaIngreso]]+TablaDatos[[#This Row],[DiasNuevo]]</f>
        <v>45517</v>
      </c>
    </row>
    <row r="2266" spans="1:15">
      <c r="A2266">
        <v>2265</v>
      </c>
      <c r="B2266" t="s">
        <v>345</v>
      </c>
      <c r="C2266" s="1">
        <v>28490</v>
      </c>
      <c r="D2266">
        <v>48</v>
      </c>
      <c r="E2266" s="4" t="s">
        <v>12</v>
      </c>
      <c r="F2266" t="s">
        <v>21</v>
      </c>
      <c r="G2266" s="1">
        <v>45509</v>
      </c>
      <c r="H2266" s="1">
        <f>TablaDatos[[#This Row],[FechaIngreso]]+TablaDatos[[#This Row],[DiasNuevo]]</f>
        <v>45539</v>
      </c>
      <c r="I2266">
        <v>30</v>
      </c>
      <c r="J2266" t="s">
        <v>19</v>
      </c>
      <c r="K2266" s="3">
        <v>2703.55</v>
      </c>
      <c r="L2266" t="b">
        <f>TablaDatos[[#This Row],[FechaAlta]] &lt; TablaDatos[[#This Row],[FechaIngreso]]</f>
        <v>0</v>
      </c>
      <c r="M2266">
        <f>_xlfn.XLOOKUP(TablaDatos[[#This Row],[PacienteID]],'Datos_Ejemplo.csv'!A:A,'Datos_Ejemplo.csv'!I:I)</f>
        <v>30</v>
      </c>
      <c r="N2266">
        <f>ABS(TablaDatos[[#This Row],[DiasOriginal]])</f>
        <v>30</v>
      </c>
      <c r="O2266" s="1">
        <f>TablaDatos[[#This Row],[FechaIngreso]]+TablaDatos[[#This Row],[DiasNuevo]]</f>
        <v>45539</v>
      </c>
    </row>
    <row r="2267" spans="1:15">
      <c r="A2267">
        <v>2266</v>
      </c>
      <c r="B2267" t="s">
        <v>279</v>
      </c>
      <c r="C2267" s="1">
        <v>18263</v>
      </c>
      <c r="D2267">
        <v>76</v>
      </c>
      <c r="E2267" s="4" t="s">
        <v>12</v>
      </c>
      <c r="F2267" t="s">
        <v>32</v>
      </c>
      <c r="G2267" s="1">
        <v>45499</v>
      </c>
      <c r="H2267" s="1">
        <f>TablaDatos[[#This Row],[FechaIngreso]]+TablaDatos[[#This Row],[DiasNuevo]]</f>
        <v>45526</v>
      </c>
      <c r="I2267">
        <v>27</v>
      </c>
      <c r="J2267" t="s">
        <v>25</v>
      </c>
      <c r="K2267" s="3">
        <v>2454.34</v>
      </c>
      <c r="L2267" t="b">
        <f>TablaDatos[[#This Row],[FechaAlta]] &lt; TablaDatos[[#This Row],[FechaIngreso]]</f>
        <v>0</v>
      </c>
      <c r="M2267">
        <f>_xlfn.XLOOKUP(TablaDatos[[#This Row],[PacienteID]],'Datos_Ejemplo.csv'!A:A,'Datos_Ejemplo.csv'!I:I)</f>
        <v>27</v>
      </c>
      <c r="N2267">
        <f>ABS(TablaDatos[[#This Row],[DiasOriginal]])</f>
        <v>27</v>
      </c>
      <c r="O2267" s="1">
        <f>TablaDatos[[#This Row],[FechaIngreso]]+TablaDatos[[#This Row],[DiasNuevo]]</f>
        <v>45526</v>
      </c>
    </row>
    <row r="2268" spans="1:15">
      <c r="A2268">
        <v>2267</v>
      </c>
      <c r="B2268" t="s">
        <v>281</v>
      </c>
      <c r="C2268" s="1">
        <v>44927</v>
      </c>
      <c r="D2268">
        <v>3</v>
      </c>
      <c r="E2268" s="4" t="s">
        <v>15</v>
      </c>
      <c r="F2268" t="s">
        <v>201</v>
      </c>
      <c r="G2268" s="1">
        <v>45570</v>
      </c>
      <c r="H2268" s="1">
        <f>TablaDatos[[#This Row],[FechaIngreso]]+TablaDatos[[#This Row],[DiasNuevo]]</f>
        <v>45604</v>
      </c>
      <c r="I2268">
        <v>34</v>
      </c>
      <c r="J2268" t="s">
        <v>23</v>
      </c>
      <c r="K2268" s="3">
        <v>6009.96</v>
      </c>
      <c r="L2268" t="b">
        <f>TablaDatos[[#This Row],[FechaAlta]] &lt; TablaDatos[[#This Row],[FechaIngreso]]</f>
        <v>0</v>
      </c>
      <c r="M2268">
        <f>_xlfn.XLOOKUP(TablaDatos[[#This Row],[PacienteID]],'Datos_Ejemplo.csv'!A:A,'Datos_Ejemplo.csv'!I:I)</f>
        <v>34</v>
      </c>
      <c r="N2268">
        <f>ABS(TablaDatos[[#This Row],[DiasOriginal]])</f>
        <v>34</v>
      </c>
      <c r="O2268" s="1">
        <f>TablaDatos[[#This Row],[FechaIngreso]]+TablaDatos[[#This Row],[DiasNuevo]]</f>
        <v>45604</v>
      </c>
    </row>
    <row r="2269" spans="1:15">
      <c r="A2269">
        <v>2268</v>
      </c>
      <c r="B2269" t="s">
        <v>248</v>
      </c>
      <c r="C2269" s="1">
        <v>13515</v>
      </c>
      <c r="D2269">
        <v>89</v>
      </c>
      <c r="E2269" s="4" t="s">
        <v>15</v>
      </c>
      <c r="F2269" t="s">
        <v>21</v>
      </c>
      <c r="G2269" s="1">
        <v>45499</v>
      </c>
      <c r="H2269" s="1">
        <f>TablaDatos[[#This Row],[FechaIngreso]]+TablaDatos[[#This Row],[DiasNuevo]]</f>
        <v>45512</v>
      </c>
      <c r="I2269">
        <v>13</v>
      </c>
      <c r="J2269" t="s">
        <v>25</v>
      </c>
      <c r="K2269" s="3">
        <v>3150.69</v>
      </c>
      <c r="L2269" t="b">
        <f>TablaDatos[[#This Row],[FechaAlta]] &lt; TablaDatos[[#This Row],[FechaIngreso]]</f>
        <v>0</v>
      </c>
      <c r="M2269">
        <f>_xlfn.XLOOKUP(TablaDatos[[#This Row],[PacienteID]],'Datos_Ejemplo.csv'!A:A,'Datos_Ejemplo.csv'!I:I)</f>
        <v>13</v>
      </c>
      <c r="N2269">
        <f>ABS(TablaDatos[[#This Row],[DiasOriginal]])</f>
        <v>13</v>
      </c>
      <c r="O2269" s="1">
        <f>TablaDatos[[#This Row],[FechaIngreso]]+TablaDatos[[#This Row],[DiasNuevo]]</f>
        <v>45512</v>
      </c>
    </row>
    <row r="2270" spans="1:15">
      <c r="A2270">
        <v>2269</v>
      </c>
      <c r="B2270" t="s">
        <v>309</v>
      </c>
      <c r="C2270" s="1">
        <v>13880</v>
      </c>
      <c r="D2270">
        <v>88</v>
      </c>
      <c r="E2270" s="4" t="s">
        <v>12</v>
      </c>
      <c r="F2270" t="s">
        <v>21</v>
      </c>
      <c r="G2270" s="1">
        <v>45195</v>
      </c>
      <c r="H2270" s="1">
        <f>TablaDatos[[#This Row],[FechaIngreso]]+TablaDatos[[#This Row],[DiasNuevo]]</f>
        <v>45217</v>
      </c>
      <c r="I2270">
        <v>22</v>
      </c>
      <c r="J2270" t="s">
        <v>19</v>
      </c>
      <c r="K2270" s="3">
        <v>2123.98</v>
      </c>
      <c r="L2270" t="b">
        <f>TablaDatos[[#This Row],[FechaAlta]] &lt; TablaDatos[[#This Row],[FechaIngreso]]</f>
        <v>0</v>
      </c>
      <c r="M2270">
        <f>_xlfn.XLOOKUP(TablaDatos[[#This Row],[PacienteID]],'Datos_Ejemplo.csv'!A:A,'Datos_Ejemplo.csv'!I:I)</f>
        <v>22</v>
      </c>
      <c r="N2270">
        <f>ABS(TablaDatos[[#This Row],[DiasOriginal]])</f>
        <v>22</v>
      </c>
      <c r="O2270" s="1">
        <f>TablaDatos[[#This Row],[FechaIngreso]]+TablaDatos[[#This Row],[DiasNuevo]]</f>
        <v>45217</v>
      </c>
    </row>
    <row r="2271" spans="1:15">
      <c r="A2271">
        <v>2270</v>
      </c>
      <c r="B2271" t="s">
        <v>251</v>
      </c>
      <c r="C2271" s="1">
        <v>12054</v>
      </c>
      <c r="D2271">
        <v>93</v>
      </c>
      <c r="E2271" s="4" t="s">
        <v>15</v>
      </c>
      <c r="F2271" t="s">
        <v>295</v>
      </c>
      <c r="G2271" s="1">
        <v>45450</v>
      </c>
      <c r="H2271" s="1">
        <f>TablaDatos[[#This Row],[FechaIngreso]]+TablaDatos[[#This Row],[DiasNuevo]]</f>
        <v>45485</v>
      </c>
      <c r="I2271">
        <v>35</v>
      </c>
      <c r="J2271" t="s">
        <v>23</v>
      </c>
      <c r="K2271" s="3">
        <v>13534.21</v>
      </c>
      <c r="L2271" t="b">
        <f>TablaDatos[[#This Row],[FechaAlta]] &lt; TablaDatos[[#This Row],[FechaIngreso]]</f>
        <v>0</v>
      </c>
      <c r="M2271">
        <f>_xlfn.XLOOKUP(TablaDatos[[#This Row],[PacienteID]],'Datos_Ejemplo.csv'!A:A,'Datos_Ejemplo.csv'!I:I)</f>
        <v>35</v>
      </c>
      <c r="N2271">
        <f>ABS(TablaDatos[[#This Row],[DiasOriginal]])</f>
        <v>35</v>
      </c>
      <c r="O2271" s="1">
        <f>TablaDatos[[#This Row],[FechaIngreso]]+TablaDatos[[#This Row],[DiasNuevo]]</f>
        <v>45485</v>
      </c>
    </row>
    <row r="2272" spans="1:15">
      <c r="A2272">
        <v>2271</v>
      </c>
      <c r="B2272" t="s">
        <v>250</v>
      </c>
      <c r="C2272" s="1">
        <v>18994</v>
      </c>
      <c r="D2272">
        <v>74</v>
      </c>
      <c r="E2272" s="4" t="s">
        <v>12</v>
      </c>
      <c r="F2272" t="s">
        <v>13</v>
      </c>
      <c r="G2272" s="1">
        <v>45473</v>
      </c>
      <c r="H2272" s="1">
        <f>TablaDatos[[#This Row],[FechaIngreso]]+TablaDatos[[#This Row],[DiasNuevo]]</f>
        <v>45512</v>
      </c>
      <c r="I2272">
        <v>39</v>
      </c>
      <c r="J2272" t="s">
        <v>19</v>
      </c>
      <c r="K2272" s="3">
        <v>4197.91</v>
      </c>
      <c r="L2272" t="b">
        <f>TablaDatos[[#This Row],[FechaAlta]] &lt; TablaDatos[[#This Row],[FechaIngreso]]</f>
        <v>0</v>
      </c>
      <c r="M2272">
        <f>_xlfn.XLOOKUP(TablaDatos[[#This Row],[PacienteID]],'Datos_Ejemplo.csv'!A:A,'Datos_Ejemplo.csv'!I:I)</f>
        <v>39</v>
      </c>
      <c r="N2272">
        <f>ABS(TablaDatos[[#This Row],[DiasOriginal]])</f>
        <v>39</v>
      </c>
      <c r="O2272" s="1">
        <f>TablaDatos[[#This Row],[FechaIngreso]]+TablaDatos[[#This Row],[DiasNuevo]]</f>
        <v>45512</v>
      </c>
    </row>
    <row r="2273" spans="1:15">
      <c r="A2273">
        <v>2272</v>
      </c>
      <c r="B2273" t="s">
        <v>244</v>
      </c>
      <c r="C2273" s="1">
        <v>43831</v>
      </c>
      <c r="D2273">
        <v>6</v>
      </c>
      <c r="E2273" s="4" t="s">
        <v>12</v>
      </c>
      <c r="F2273" t="s">
        <v>261</v>
      </c>
      <c r="G2273" s="1">
        <v>45412</v>
      </c>
      <c r="H2273" s="1">
        <f>TablaDatos[[#This Row],[FechaIngreso]]+TablaDatos[[#This Row],[DiasNuevo]]</f>
        <v>45419</v>
      </c>
      <c r="I2273">
        <v>7</v>
      </c>
      <c r="J2273" t="s">
        <v>25</v>
      </c>
      <c r="K2273" s="3">
        <v>13307</v>
      </c>
      <c r="L2273" t="b">
        <f>TablaDatos[[#This Row],[FechaAlta]] &lt; TablaDatos[[#This Row],[FechaIngreso]]</f>
        <v>0</v>
      </c>
      <c r="M2273">
        <f>_xlfn.XLOOKUP(TablaDatos[[#This Row],[PacienteID]],'Datos_Ejemplo.csv'!A:A,'Datos_Ejemplo.csv'!I:I)</f>
        <v>7</v>
      </c>
      <c r="N2273">
        <f>ABS(TablaDatos[[#This Row],[DiasOriginal]])</f>
        <v>7</v>
      </c>
      <c r="O2273" s="1">
        <f>TablaDatos[[#This Row],[FechaIngreso]]+TablaDatos[[#This Row],[DiasNuevo]]</f>
        <v>45419</v>
      </c>
    </row>
    <row r="2274" spans="1:15">
      <c r="A2274">
        <v>2273</v>
      </c>
      <c r="B2274" t="s">
        <v>111</v>
      </c>
      <c r="C2274" s="1">
        <v>11689</v>
      </c>
      <c r="D2274">
        <v>94</v>
      </c>
      <c r="E2274" s="4" t="s">
        <v>15</v>
      </c>
      <c r="F2274" t="s">
        <v>32</v>
      </c>
      <c r="G2274" s="1">
        <v>45364</v>
      </c>
      <c r="H2274" s="1">
        <f>TablaDatos[[#This Row],[FechaIngreso]]+TablaDatos[[#This Row],[DiasNuevo]]</f>
        <v>45366</v>
      </c>
      <c r="I2274">
        <v>2</v>
      </c>
      <c r="J2274" t="s">
        <v>19</v>
      </c>
      <c r="K2274" s="3">
        <v>17224.78</v>
      </c>
      <c r="L2274" t="b">
        <f>TablaDatos[[#This Row],[FechaAlta]] &lt; TablaDatos[[#This Row],[FechaIngreso]]</f>
        <v>0</v>
      </c>
      <c r="M2274">
        <f>_xlfn.XLOOKUP(TablaDatos[[#This Row],[PacienteID]],'Datos_Ejemplo.csv'!A:A,'Datos_Ejemplo.csv'!I:I)</f>
        <v>2</v>
      </c>
      <c r="N2274">
        <f>ABS(TablaDatos[[#This Row],[DiasOriginal]])</f>
        <v>2</v>
      </c>
      <c r="O2274" s="1">
        <f>TablaDatos[[#This Row],[FechaIngreso]]+TablaDatos[[#This Row],[DiasNuevo]]</f>
        <v>45366</v>
      </c>
    </row>
    <row r="2275" spans="1:15">
      <c r="A2275">
        <v>2274</v>
      </c>
      <c r="B2275" t="s">
        <v>257</v>
      </c>
      <c r="C2275" s="1">
        <v>19359</v>
      </c>
      <c r="D2275">
        <v>73</v>
      </c>
      <c r="E2275" s="4" t="s">
        <v>15</v>
      </c>
      <c r="F2275" t="s">
        <v>18</v>
      </c>
      <c r="G2275" s="1">
        <v>45489</v>
      </c>
      <c r="H2275" s="1">
        <f>TablaDatos[[#This Row],[FechaIngreso]]+TablaDatos[[#This Row],[DiasNuevo]]</f>
        <v>45494</v>
      </c>
      <c r="I2275">
        <v>5</v>
      </c>
      <c r="J2275" t="s">
        <v>23</v>
      </c>
      <c r="K2275" s="3">
        <v>13005.7</v>
      </c>
      <c r="L2275" t="b">
        <f>TablaDatos[[#This Row],[FechaAlta]] &lt; TablaDatos[[#This Row],[FechaIngreso]]</f>
        <v>0</v>
      </c>
      <c r="M2275">
        <f>_xlfn.XLOOKUP(TablaDatos[[#This Row],[PacienteID]],'Datos_Ejemplo.csv'!A:A,'Datos_Ejemplo.csv'!I:I)</f>
        <v>5</v>
      </c>
      <c r="N2275">
        <f>ABS(TablaDatos[[#This Row],[DiasOriginal]])</f>
        <v>5</v>
      </c>
      <c r="O2275" s="1">
        <f>TablaDatos[[#This Row],[FechaIngreso]]+TablaDatos[[#This Row],[DiasNuevo]]</f>
        <v>45494</v>
      </c>
    </row>
    <row r="2276" spans="1:15">
      <c r="A2276">
        <v>2275</v>
      </c>
      <c r="B2276" t="s">
        <v>313</v>
      </c>
      <c r="C2276" s="1">
        <v>32143</v>
      </c>
      <c r="D2276">
        <v>38</v>
      </c>
      <c r="E2276" s="4" t="s">
        <v>12</v>
      </c>
      <c r="F2276" t="s">
        <v>21</v>
      </c>
      <c r="G2276" s="1">
        <v>45481</v>
      </c>
      <c r="H2276" s="1">
        <f>TablaDatos[[#This Row],[FechaIngreso]]+TablaDatos[[#This Row],[DiasNuevo]]</f>
        <v>45511</v>
      </c>
      <c r="I2276">
        <v>30</v>
      </c>
      <c r="J2276" t="s">
        <v>23</v>
      </c>
      <c r="K2276" s="3">
        <v>2299.2800000000002</v>
      </c>
      <c r="L2276" t="b">
        <f>TablaDatos[[#This Row],[FechaAlta]] &lt; TablaDatos[[#This Row],[FechaIngreso]]</f>
        <v>0</v>
      </c>
      <c r="M2276">
        <f>_xlfn.XLOOKUP(TablaDatos[[#This Row],[PacienteID]],'Datos_Ejemplo.csv'!A:A,'Datos_Ejemplo.csv'!I:I)</f>
        <v>30</v>
      </c>
      <c r="N2276">
        <f>ABS(TablaDatos[[#This Row],[DiasOriginal]])</f>
        <v>30</v>
      </c>
      <c r="O2276" s="1">
        <f>TablaDatos[[#This Row],[FechaIngreso]]+TablaDatos[[#This Row],[DiasNuevo]]</f>
        <v>45511</v>
      </c>
    </row>
    <row r="2277" spans="1:15">
      <c r="A2277">
        <v>2276</v>
      </c>
      <c r="B2277" t="s">
        <v>254</v>
      </c>
      <c r="C2277" s="1">
        <v>41639</v>
      </c>
      <c r="D2277">
        <v>12</v>
      </c>
      <c r="E2277" s="4" t="s">
        <v>15</v>
      </c>
      <c r="F2277" t="s">
        <v>13</v>
      </c>
      <c r="G2277" s="1">
        <v>45037</v>
      </c>
      <c r="H2277" s="1">
        <f>TablaDatos[[#This Row],[FechaIngreso]]+TablaDatos[[#This Row],[DiasNuevo]]</f>
        <v>45071</v>
      </c>
      <c r="I2277">
        <v>34</v>
      </c>
      <c r="J2277" t="s">
        <v>19</v>
      </c>
      <c r="K2277" s="3">
        <v>11428.91</v>
      </c>
      <c r="L2277" t="b">
        <f>TablaDatos[[#This Row],[FechaAlta]] &lt; TablaDatos[[#This Row],[FechaIngreso]]</f>
        <v>0</v>
      </c>
      <c r="M2277">
        <f>_xlfn.XLOOKUP(TablaDatos[[#This Row],[PacienteID]],'Datos_Ejemplo.csv'!A:A,'Datos_Ejemplo.csv'!I:I)</f>
        <v>34</v>
      </c>
      <c r="N2277">
        <f>ABS(TablaDatos[[#This Row],[DiasOriginal]])</f>
        <v>34</v>
      </c>
      <c r="O2277" s="1">
        <f>TablaDatos[[#This Row],[FechaIngreso]]+TablaDatos[[#This Row],[DiasNuevo]]</f>
        <v>45071</v>
      </c>
    </row>
    <row r="2278" spans="1:15">
      <c r="A2278">
        <v>2277</v>
      </c>
      <c r="B2278" t="s">
        <v>232</v>
      </c>
      <c r="C2278" s="1">
        <v>35065</v>
      </c>
      <c r="D2278">
        <v>30</v>
      </c>
      <c r="E2278" s="4" t="s">
        <v>12</v>
      </c>
      <c r="F2278" t="s">
        <v>21</v>
      </c>
      <c r="G2278" s="1">
        <v>45248</v>
      </c>
      <c r="H2278" s="1">
        <f>TablaDatos[[#This Row],[FechaIngreso]]+TablaDatos[[#This Row],[DiasNuevo]]</f>
        <v>45250</v>
      </c>
      <c r="I2278">
        <v>2</v>
      </c>
      <c r="J2278" t="s">
        <v>25</v>
      </c>
      <c r="K2278" s="3">
        <v>7811.94</v>
      </c>
      <c r="L2278" t="b">
        <f>TablaDatos[[#This Row],[FechaAlta]] &lt; TablaDatos[[#This Row],[FechaIngreso]]</f>
        <v>0</v>
      </c>
      <c r="M2278">
        <f>_xlfn.XLOOKUP(TablaDatos[[#This Row],[PacienteID]],'Datos_Ejemplo.csv'!A:A,'Datos_Ejemplo.csv'!I:I)</f>
        <v>-2</v>
      </c>
      <c r="N2278">
        <f>ABS(TablaDatos[[#This Row],[DiasOriginal]])</f>
        <v>2</v>
      </c>
      <c r="O2278" s="1">
        <f>TablaDatos[[#This Row],[FechaIngreso]]+TablaDatos[[#This Row],[DiasNuevo]]</f>
        <v>45250</v>
      </c>
    </row>
    <row r="2279" spans="1:15">
      <c r="A2279">
        <v>2278</v>
      </c>
      <c r="B2279" t="s">
        <v>241</v>
      </c>
      <c r="C2279" s="1">
        <v>20455</v>
      </c>
      <c r="D2279">
        <v>70</v>
      </c>
      <c r="E2279" s="4" t="s">
        <v>15</v>
      </c>
      <c r="F2279" t="s">
        <v>13</v>
      </c>
      <c r="G2279" s="1">
        <v>45453</v>
      </c>
      <c r="H2279" s="1">
        <f>TablaDatos[[#This Row],[FechaIngreso]]+TablaDatos[[#This Row],[DiasNuevo]]</f>
        <v>45481</v>
      </c>
      <c r="I2279">
        <v>28</v>
      </c>
      <c r="J2279" t="s">
        <v>25</v>
      </c>
      <c r="K2279" s="3">
        <v>6801.76</v>
      </c>
      <c r="L2279" t="b">
        <f>TablaDatos[[#This Row],[FechaAlta]] &lt; TablaDatos[[#This Row],[FechaIngreso]]</f>
        <v>0</v>
      </c>
      <c r="M2279">
        <f>_xlfn.XLOOKUP(TablaDatos[[#This Row],[PacienteID]],'Datos_Ejemplo.csv'!A:A,'Datos_Ejemplo.csv'!I:I)</f>
        <v>28</v>
      </c>
      <c r="N2279">
        <f>ABS(TablaDatos[[#This Row],[DiasOriginal]])</f>
        <v>28</v>
      </c>
      <c r="O2279" s="1">
        <f>TablaDatos[[#This Row],[FechaIngreso]]+TablaDatos[[#This Row],[DiasNuevo]]</f>
        <v>45481</v>
      </c>
    </row>
    <row r="2280" spans="1:15">
      <c r="A2280">
        <v>2279</v>
      </c>
      <c r="B2280" t="s">
        <v>331</v>
      </c>
      <c r="C2280" s="1">
        <v>23377</v>
      </c>
      <c r="D2280">
        <v>62</v>
      </c>
      <c r="E2280" s="4" t="s">
        <v>12</v>
      </c>
      <c r="F2280" t="s">
        <v>13</v>
      </c>
      <c r="G2280" s="1">
        <v>45103</v>
      </c>
      <c r="H2280" s="1">
        <f>TablaDatos[[#This Row],[FechaIngreso]]+TablaDatos[[#This Row],[DiasNuevo]]</f>
        <v>45107</v>
      </c>
      <c r="I2280">
        <v>4</v>
      </c>
      <c r="J2280" t="s">
        <v>25</v>
      </c>
      <c r="K2280" s="3">
        <v>6302.48</v>
      </c>
      <c r="L2280" t="b">
        <f>TablaDatos[[#This Row],[FechaAlta]] &lt; TablaDatos[[#This Row],[FechaIngreso]]</f>
        <v>0</v>
      </c>
      <c r="M2280">
        <f>_xlfn.XLOOKUP(TablaDatos[[#This Row],[PacienteID]],'Datos_Ejemplo.csv'!A:A,'Datos_Ejemplo.csv'!I:I)</f>
        <v>4</v>
      </c>
      <c r="N2280">
        <f>ABS(TablaDatos[[#This Row],[DiasOriginal]])</f>
        <v>4</v>
      </c>
      <c r="O2280" s="1">
        <f>TablaDatos[[#This Row],[FechaIngreso]]+TablaDatos[[#This Row],[DiasNuevo]]</f>
        <v>45107</v>
      </c>
    </row>
    <row r="2281" spans="1:15">
      <c r="A2281">
        <v>2280</v>
      </c>
      <c r="B2281" t="s">
        <v>103</v>
      </c>
      <c r="C2281" s="1">
        <v>25934</v>
      </c>
      <c r="D2281">
        <v>55</v>
      </c>
      <c r="E2281" s="4" t="s">
        <v>15</v>
      </c>
      <c r="F2281" t="s">
        <v>18</v>
      </c>
      <c r="G2281" s="1">
        <v>45600</v>
      </c>
      <c r="H2281" s="1">
        <f>TablaDatos[[#This Row],[FechaIngreso]]+TablaDatos[[#This Row],[DiasNuevo]]</f>
        <v>45620</v>
      </c>
      <c r="I2281">
        <v>20</v>
      </c>
      <c r="J2281" t="s">
        <v>25</v>
      </c>
      <c r="K2281" s="3">
        <v>18581.59</v>
      </c>
      <c r="L2281" t="b">
        <f>TablaDatos[[#This Row],[FechaAlta]] &lt; TablaDatos[[#This Row],[FechaIngreso]]</f>
        <v>0</v>
      </c>
      <c r="M2281">
        <f>_xlfn.XLOOKUP(TablaDatos[[#This Row],[PacienteID]],'Datos_Ejemplo.csv'!A:A,'Datos_Ejemplo.csv'!I:I)</f>
        <v>20</v>
      </c>
      <c r="N2281">
        <f>ABS(TablaDatos[[#This Row],[DiasOriginal]])</f>
        <v>20</v>
      </c>
      <c r="O2281" s="1">
        <f>TablaDatos[[#This Row],[FechaIngreso]]+TablaDatos[[#This Row],[DiasNuevo]]</f>
        <v>45620</v>
      </c>
    </row>
    <row r="2282" spans="1:15">
      <c r="A2282">
        <v>2281</v>
      </c>
      <c r="B2282" t="s">
        <v>116</v>
      </c>
      <c r="C2282" s="1">
        <v>31047</v>
      </c>
      <c r="D2282">
        <v>41</v>
      </c>
      <c r="E2282" s="4" t="s">
        <v>12</v>
      </c>
      <c r="F2282" t="s">
        <v>13</v>
      </c>
      <c r="G2282" s="1">
        <v>45477</v>
      </c>
      <c r="H2282" s="1">
        <f>TablaDatos[[#This Row],[FechaIngreso]]+TablaDatos[[#This Row],[DiasNuevo]]</f>
        <v>45498</v>
      </c>
      <c r="I2282">
        <v>21</v>
      </c>
      <c r="J2282" t="s">
        <v>23</v>
      </c>
      <c r="K2282" s="3">
        <v>14824.4</v>
      </c>
      <c r="L2282" t="b">
        <f>TablaDatos[[#This Row],[FechaAlta]] &lt; TablaDatos[[#This Row],[FechaIngreso]]</f>
        <v>0</v>
      </c>
      <c r="M2282">
        <f>_xlfn.XLOOKUP(TablaDatos[[#This Row],[PacienteID]],'Datos_Ejemplo.csv'!A:A,'Datos_Ejemplo.csv'!I:I)</f>
        <v>21</v>
      </c>
      <c r="N2282">
        <f>ABS(TablaDatos[[#This Row],[DiasOriginal]])</f>
        <v>21</v>
      </c>
      <c r="O2282" s="1">
        <f>TablaDatos[[#This Row],[FechaIngreso]]+TablaDatos[[#This Row],[DiasNuevo]]</f>
        <v>45498</v>
      </c>
    </row>
    <row r="2283" spans="1:15">
      <c r="A2283">
        <v>2282</v>
      </c>
      <c r="B2283" t="s">
        <v>342</v>
      </c>
      <c r="C2283" s="1">
        <v>24107</v>
      </c>
      <c r="D2283">
        <v>60</v>
      </c>
      <c r="E2283" s="4" t="s">
        <v>15</v>
      </c>
      <c r="F2283" t="s">
        <v>18</v>
      </c>
      <c r="G2283" s="1">
        <v>45464</v>
      </c>
      <c r="H2283" s="1">
        <f>TablaDatos[[#This Row],[FechaIngreso]]+TablaDatos[[#This Row],[DiasNuevo]]</f>
        <v>45475</v>
      </c>
      <c r="I2283">
        <v>11</v>
      </c>
      <c r="J2283" t="s">
        <v>23</v>
      </c>
      <c r="K2283" s="3">
        <v>2590.36</v>
      </c>
      <c r="L2283" t="b">
        <f>TablaDatos[[#This Row],[FechaAlta]] &lt; TablaDatos[[#This Row],[FechaIngreso]]</f>
        <v>0</v>
      </c>
      <c r="M2283">
        <f>_xlfn.XLOOKUP(TablaDatos[[#This Row],[PacienteID]],'Datos_Ejemplo.csv'!A:A,'Datos_Ejemplo.csv'!I:I)</f>
        <v>11</v>
      </c>
      <c r="N2283">
        <f>ABS(TablaDatos[[#This Row],[DiasOriginal]])</f>
        <v>11</v>
      </c>
      <c r="O2283" s="1">
        <f>TablaDatos[[#This Row],[FechaIngreso]]+TablaDatos[[#This Row],[DiasNuevo]]</f>
        <v>45475</v>
      </c>
    </row>
    <row r="2284" spans="1:15">
      <c r="A2284">
        <v>2283</v>
      </c>
      <c r="B2284" t="s">
        <v>152</v>
      </c>
      <c r="C2284" s="1">
        <v>31047</v>
      </c>
      <c r="D2284">
        <v>41</v>
      </c>
      <c r="E2284" s="4" t="s">
        <v>15</v>
      </c>
      <c r="F2284" t="s">
        <v>295</v>
      </c>
      <c r="G2284" s="1">
        <v>45550</v>
      </c>
      <c r="H2284" s="1">
        <f>TablaDatos[[#This Row],[FechaIngreso]]+TablaDatos[[#This Row],[DiasNuevo]]</f>
        <v>45570</v>
      </c>
      <c r="I2284">
        <v>20</v>
      </c>
      <c r="J2284" t="s">
        <v>19</v>
      </c>
      <c r="K2284" s="3">
        <v>9467.7099999999991</v>
      </c>
      <c r="L2284" t="b">
        <f>TablaDatos[[#This Row],[FechaAlta]] &lt; TablaDatos[[#This Row],[FechaIngreso]]</f>
        <v>0</v>
      </c>
      <c r="M2284">
        <f>_xlfn.XLOOKUP(TablaDatos[[#This Row],[PacienteID]],'Datos_Ejemplo.csv'!A:A,'Datos_Ejemplo.csv'!I:I)</f>
        <v>20</v>
      </c>
      <c r="N2284">
        <f>ABS(TablaDatos[[#This Row],[DiasOriginal]])</f>
        <v>20</v>
      </c>
      <c r="O2284" s="1">
        <f>TablaDatos[[#This Row],[FechaIngreso]]+TablaDatos[[#This Row],[DiasNuevo]]</f>
        <v>45570</v>
      </c>
    </row>
    <row r="2285" spans="1:15">
      <c r="A2285">
        <v>2284</v>
      </c>
      <c r="B2285" t="s">
        <v>111</v>
      </c>
      <c r="C2285" s="1">
        <v>25934</v>
      </c>
      <c r="D2285">
        <v>55</v>
      </c>
      <c r="E2285" s="4" t="s">
        <v>12</v>
      </c>
      <c r="F2285" t="s">
        <v>21</v>
      </c>
      <c r="G2285" s="1">
        <v>45399</v>
      </c>
      <c r="H2285" s="1">
        <f>TablaDatos[[#This Row],[FechaIngreso]]+TablaDatos[[#This Row],[DiasNuevo]]</f>
        <v>45405</v>
      </c>
      <c r="I2285">
        <v>6</v>
      </c>
      <c r="J2285" t="s">
        <v>23</v>
      </c>
      <c r="K2285" s="3">
        <v>6296.28</v>
      </c>
      <c r="L2285" t="b">
        <f>TablaDatos[[#This Row],[FechaAlta]] &lt; TablaDatos[[#This Row],[FechaIngreso]]</f>
        <v>0</v>
      </c>
      <c r="M2285">
        <f>_xlfn.XLOOKUP(TablaDatos[[#This Row],[PacienteID]],'Datos_Ejemplo.csv'!A:A,'Datos_Ejemplo.csv'!I:I)</f>
        <v>6</v>
      </c>
      <c r="N2285">
        <f>ABS(TablaDatos[[#This Row],[DiasOriginal]])</f>
        <v>6</v>
      </c>
      <c r="O2285" s="1">
        <f>TablaDatos[[#This Row],[FechaIngreso]]+TablaDatos[[#This Row],[DiasNuevo]]</f>
        <v>45405</v>
      </c>
    </row>
    <row r="2286" spans="1:15">
      <c r="A2286">
        <v>2285</v>
      </c>
      <c r="B2286" t="s">
        <v>130</v>
      </c>
      <c r="C2286" s="1">
        <v>33239</v>
      </c>
      <c r="D2286">
        <v>35</v>
      </c>
      <c r="E2286" s="4" t="s">
        <v>15</v>
      </c>
      <c r="F2286" t="s">
        <v>18</v>
      </c>
      <c r="G2286" s="1">
        <v>45489</v>
      </c>
      <c r="H2286" s="1">
        <f>TablaDatos[[#This Row],[FechaIngreso]]+TablaDatos[[#This Row],[DiasNuevo]]</f>
        <v>45494</v>
      </c>
      <c r="I2286">
        <v>5</v>
      </c>
      <c r="J2286" t="s">
        <v>23</v>
      </c>
      <c r="K2286" s="3">
        <v>19556.560000000001</v>
      </c>
      <c r="L2286" t="b">
        <f>TablaDatos[[#This Row],[FechaAlta]] &lt; TablaDatos[[#This Row],[FechaIngreso]]</f>
        <v>0</v>
      </c>
      <c r="M2286">
        <f>_xlfn.XLOOKUP(TablaDatos[[#This Row],[PacienteID]],'Datos_Ejemplo.csv'!A:A,'Datos_Ejemplo.csv'!I:I)</f>
        <v>5</v>
      </c>
      <c r="N2286">
        <f>ABS(TablaDatos[[#This Row],[DiasOriginal]])</f>
        <v>5</v>
      </c>
      <c r="O2286" s="1">
        <f>TablaDatos[[#This Row],[FechaIngreso]]+TablaDatos[[#This Row],[DiasNuevo]]</f>
        <v>45494</v>
      </c>
    </row>
    <row r="2287" spans="1:15">
      <c r="A2287">
        <v>2286</v>
      </c>
      <c r="B2287" t="s">
        <v>303</v>
      </c>
      <c r="C2287" s="1">
        <v>15707</v>
      </c>
      <c r="D2287">
        <v>83</v>
      </c>
      <c r="E2287" s="4" t="s">
        <v>15</v>
      </c>
      <c r="F2287" t="s">
        <v>261</v>
      </c>
      <c r="G2287" s="1">
        <v>45314</v>
      </c>
      <c r="H2287" s="1">
        <f>TablaDatos[[#This Row],[FechaIngreso]]+TablaDatos[[#This Row],[DiasNuevo]]</f>
        <v>45319</v>
      </c>
      <c r="I2287">
        <v>5</v>
      </c>
      <c r="J2287" t="s">
        <v>23</v>
      </c>
      <c r="K2287" s="3">
        <v>19558.38</v>
      </c>
      <c r="L2287" t="b">
        <f>TablaDatos[[#This Row],[FechaAlta]] &lt; TablaDatos[[#This Row],[FechaIngreso]]</f>
        <v>0</v>
      </c>
      <c r="M2287">
        <f>_xlfn.XLOOKUP(TablaDatos[[#This Row],[PacienteID]],'Datos_Ejemplo.csv'!A:A,'Datos_Ejemplo.csv'!I:I)</f>
        <v>5</v>
      </c>
      <c r="N2287">
        <f>ABS(TablaDatos[[#This Row],[DiasOriginal]])</f>
        <v>5</v>
      </c>
      <c r="O2287" s="1">
        <f>TablaDatos[[#This Row],[FechaIngreso]]+TablaDatos[[#This Row],[DiasNuevo]]</f>
        <v>45319</v>
      </c>
    </row>
    <row r="2288" spans="1:15">
      <c r="A2288">
        <v>2287</v>
      </c>
      <c r="B2288" t="s">
        <v>238</v>
      </c>
      <c r="C2288" s="1">
        <v>21551</v>
      </c>
      <c r="D2288">
        <v>67</v>
      </c>
      <c r="E2288" s="4" t="s">
        <v>15</v>
      </c>
      <c r="F2288" t="s">
        <v>201</v>
      </c>
      <c r="G2288" s="1">
        <v>45024</v>
      </c>
      <c r="H2288" s="1">
        <f>TablaDatos[[#This Row],[FechaIngreso]]+TablaDatos[[#This Row],[DiasNuevo]]</f>
        <v>45024</v>
      </c>
      <c r="I2288">
        <v>0</v>
      </c>
      <c r="J2288" t="s">
        <v>19</v>
      </c>
      <c r="K2288" s="3">
        <v>6322.64</v>
      </c>
      <c r="L2288" t="b">
        <f>TablaDatos[[#This Row],[FechaAlta]] &lt; TablaDatos[[#This Row],[FechaIngreso]]</f>
        <v>0</v>
      </c>
      <c r="M2288">
        <f>_xlfn.XLOOKUP(TablaDatos[[#This Row],[PacienteID]],'Datos_Ejemplo.csv'!A:A,'Datos_Ejemplo.csv'!I:I)</f>
        <v>0</v>
      </c>
      <c r="N2288">
        <f>ABS(TablaDatos[[#This Row],[DiasOriginal]])</f>
        <v>0</v>
      </c>
      <c r="O2288" s="1">
        <f>TablaDatos[[#This Row],[FechaIngreso]]+TablaDatos[[#This Row],[DiasNuevo]]</f>
        <v>45024</v>
      </c>
    </row>
    <row r="2289" spans="1:15">
      <c r="A2289">
        <v>2288</v>
      </c>
      <c r="B2289" t="s">
        <v>305</v>
      </c>
      <c r="C2289" s="1">
        <v>43831</v>
      </c>
      <c r="D2289">
        <v>6</v>
      </c>
      <c r="E2289" s="4" t="s">
        <v>15</v>
      </c>
      <c r="F2289" t="s">
        <v>21</v>
      </c>
      <c r="G2289" s="1">
        <v>45337</v>
      </c>
      <c r="H2289" s="1">
        <f>TablaDatos[[#This Row],[FechaIngreso]]+TablaDatos[[#This Row],[DiasNuevo]]</f>
        <v>45366</v>
      </c>
      <c r="I2289">
        <v>29</v>
      </c>
      <c r="J2289" t="s">
        <v>23</v>
      </c>
      <c r="K2289" s="3">
        <v>6977.47</v>
      </c>
      <c r="L2289" t="b">
        <f>TablaDatos[[#This Row],[FechaAlta]] &lt; TablaDatos[[#This Row],[FechaIngreso]]</f>
        <v>0</v>
      </c>
      <c r="M2289">
        <f>_xlfn.XLOOKUP(TablaDatos[[#This Row],[PacienteID]],'Datos_Ejemplo.csv'!A:A,'Datos_Ejemplo.csv'!I:I)</f>
        <v>29</v>
      </c>
      <c r="N2289">
        <f>ABS(TablaDatos[[#This Row],[DiasOriginal]])</f>
        <v>29</v>
      </c>
      <c r="O2289" s="1">
        <f>TablaDatos[[#This Row],[FechaIngreso]]+TablaDatos[[#This Row],[DiasNuevo]]</f>
        <v>45366</v>
      </c>
    </row>
    <row r="2290" spans="1:15">
      <c r="A2290">
        <v>2289</v>
      </c>
      <c r="B2290" t="s">
        <v>311</v>
      </c>
      <c r="C2290" s="1">
        <v>26664</v>
      </c>
      <c r="D2290">
        <v>53</v>
      </c>
      <c r="E2290" s="4" t="s">
        <v>12</v>
      </c>
      <c r="F2290" t="s">
        <v>201</v>
      </c>
      <c r="G2290" s="1">
        <v>45301</v>
      </c>
      <c r="H2290" s="1">
        <f>TablaDatos[[#This Row],[FechaIngreso]]+TablaDatos[[#This Row],[DiasNuevo]]</f>
        <v>45302</v>
      </c>
      <c r="I2290">
        <v>1</v>
      </c>
      <c r="J2290" t="s">
        <v>25</v>
      </c>
      <c r="K2290" s="3">
        <v>11948.23</v>
      </c>
      <c r="L2290" t="b">
        <f>TablaDatos[[#This Row],[FechaAlta]] &lt; TablaDatos[[#This Row],[FechaIngreso]]</f>
        <v>0</v>
      </c>
      <c r="M2290">
        <f>_xlfn.XLOOKUP(TablaDatos[[#This Row],[PacienteID]],'Datos_Ejemplo.csv'!A:A,'Datos_Ejemplo.csv'!I:I)</f>
        <v>1</v>
      </c>
      <c r="N2290">
        <f>ABS(TablaDatos[[#This Row],[DiasOriginal]])</f>
        <v>1</v>
      </c>
      <c r="O2290" s="1">
        <f>TablaDatos[[#This Row],[FechaIngreso]]+TablaDatos[[#This Row],[DiasNuevo]]</f>
        <v>45302</v>
      </c>
    </row>
    <row r="2291" spans="1:15">
      <c r="A2291">
        <v>2290</v>
      </c>
      <c r="B2291" t="s">
        <v>256</v>
      </c>
      <c r="C2291" s="1">
        <v>46022</v>
      </c>
      <c r="D2291">
        <v>0</v>
      </c>
      <c r="E2291" s="4" t="s">
        <v>12</v>
      </c>
      <c r="F2291" t="s">
        <v>261</v>
      </c>
      <c r="G2291" s="1">
        <v>45096</v>
      </c>
      <c r="H2291" s="1">
        <f>TablaDatos[[#This Row],[FechaIngreso]]+TablaDatos[[#This Row],[DiasNuevo]]</f>
        <v>45131</v>
      </c>
      <c r="I2291">
        <v>35</v>
      </c>
      <c r="J2291" t="s">
        <v>25</v>
      </c>
      <c r="K2291" s="3">
        <v>9534.07</v>
      </c>
      <c r="L2291" t="b">
        <f>TablaDatos[[#This Row],[FechaAlta]] &lt; TablaDatos[[#This Row],[FechaIngreso]]</f>
        <v>0</v>
      </c>
      <c r="M2291">
        <f>_xlfn.XLOOKUP(TablaDatos[[#This Row],[PacienteID]],'Datos_Ejemplo.csv'!A:A,'Datos_Ejemplo.csv'!I:I)</f>
        <v>35</v>
      </c>
      <c r="N2291">
        <f>ABS(TablaDatos[[#This Row],[DiasOriginal]])</f>
        <v>35</v>
      </c>
      <c r="O2291" s="1">
        <f>TablaDatos[[#This Row],[FechaIngreso]]+TablaDatos[[#This Row],[DiasNuevo]]</f>
        <v>45131</v>
      </c>
    </row>
    <row r="2292" spans="1:15">
      <c r="A2292">
        <v>2291</v>
      </c>
      <c r="B2292" t="s">
        <v>258</v>
      </c>
      <c r="C2292" s="1">
        <v>30317</v>
      </c>
      <c r="D2292">
        <v>43</v>
      </c>
      <c r="E2292" s="4" t="s">
        <v>15</v>
      </c>
      <c r="F2292" t="s">
        <v>32</v>
      </c>
      <c r="G2292" s="1">
        <v>44982</v>
      </c>
      <c r="H2292" s="1">
        <f>TablaDatos[[#This Row],[FechaIngreso]]+TablaDatos[[#This Row],[DiasNuevo]]</f>
        <v>44983</v>
      </c>
      <c r="I2292">
        <v>1</v>
      </c>
      <c r="J2292" t="s">
        <v>19</v>
      </c>
      <c r="K2292" s="3">
        <v>4183.33</v>
      </c>
      <c r="L2292" t="b">
        <f>TablaDatos[[#This Row],[FechaAlta]] &lt; TablaDatos[[#This Row],[FechaIngreso]]</f>
        <v>0</v>
      </c>
      <c r="M2292">
        <f>_xlfn.XLOOKUP(TablaDatos[[#This Row],[PacienteID]],'Datos_Ejemplo.csv'!A:A,'Datos_Ejemplo.csv'!I:I)</f>
        <v>-1</v>
      </c>
      <c r="N2292">
        <f>ABS(TablaDatos[[#This Row],[DiasOriginal]])</f>
        <v>1</v>
      </c>
      <c r="O2292" s="1">
        <f>TablaDatos[[#This Row],[FechaIngreso]]+TablaDatos[[#This Row],[DiasNuevo]]</f>
        <v>44983</v>
      </c>
    </row>
    <row r="2293" spans="1:15">
      <c r="A2293">
        <v>2292</v>
      </c>
      <c r="B2293" t="s">
        <v>351</v>
      </c>
      <c r="C2293" s="1">
        <v>29951</v>
      </c>
      <c r="D2293">
        <v>44</v>
      </c>
      <c r="E2293" s="4" t="s">
        <v>12</v>
      </c>
      <c r="F2293" t="s">
        <v>261</v>
      </c>
      <c r="G2293" s="1">
        <v>45251</v>
      </c>
      <c r="H2293" s="1">
        <f>TablaDatos[[#This Row],[FechaIngreso]]+TablaDatos[[#This Row],[DiasNuevo]]</f>
        <v>45257</v>
      </c>
      <c r="I2293">
        <v>6</v>
      </c>
      <c r="J2293" t="s">
        <v>19</v>
      </c>
      <c r="K2293" s="3">
        <v>13174.28</v>
      </c>
      <c r="L2293" t="b">
        <f>TablaDatos[[#This Row],[FechaAlta]] &lt; TablaDatos[[#This Row],[FechaIngreso]]</f>
        <v>0</v>
      </c>
      <c r="M2293">
        <f>_xlfn.XLOOKUP(TablaDatos[[#This Row],[PacienteID]],'Datos_Ejemplo.csv'!A:A,'Datos_Ejemplo.csv'!I:I)</f>
        <v>6</v>
      </c>
      <c r="N2293">
        <f>ABS(TablaDatos[[#This Row],[DiasOriginal]])</f>
        <v>6</v>
      </c>
      <c r="O2293" s="1">
        <f>TablaDatos[[#This Row],[FechaIngreso]]+TablaDatos[[#This Row],[DiasNuevo]]</f>
        <v>45257</v>
      </c>
    </row>
    <row r="2294" spans="1:15">
      <c r="A2294">
        <v>2293</v>
      </c>
      <c r="B2294" t="s">
        <v>355</v>
      </c>
      <c r="C2294" s="1">
        <v>29221</v>
      </c>
      <c r="D2294">
        <v>46</v>
      </c>
      <c r="E2294" s="4" t="s">
        <v>12</v>
      </c>
      <c r="F2294" t="s">
        <v>295</v>
      </c>
      <c r="G2294" s="1">
        <v>45584</v>
      </c>
      <c r="H2294" s="1">
        <f>TablaDatos[[#This Row],[FechaIngreso]]+TablaDatos[[#This Row],[DiasNuevo]]</f>
        <v>45586</v>
      </c>
      <c r="I2294">
        <v>2</v>
      </c>
      <c r="J2294" t="s">
        <v>19</v>
      </c>
      <c r="K2294" s="3">
        <v>6615.99</v>
      </c>
      <c r="L2294" t="b">
        <f>TablaDatos[[#This Row],[FechaAlta]] &lt; TablaDatos[[#This Row],[FechaIngreso]]</f>
        <v>0</v>
      </c>
      <c r="M2294">
        <f>_xlfn.XLOOKUP(TablaDatos[[#This Row],[PacienteID]],'Datos_Ejemplo.csv'!A:A,'Datos_Ejemplo.csv'!I:I)</f>
        <v>-2</v>
      </c>
      <c r="N2294">
        <f>ABS(TablaDatos[[#This Row],[DiasOriginal]])</f>
        <v>2</v>
      </c>
      <c r="O2294" s="1">
        <f>TablaDatos[[#This Row],[FechaIngreso]]+TablaDatos[[#This Row],[DiasNuevo]]</f>
        <v>45586</v>
      </c>
    </row>
    <row r="2295" spans="1:15">
      <c r="A2295">
        <v>2294</v>
      </c>
      <c r="B2295" t="s">
        <v>273</v>
      </c>
      <c r="C2295" s="1">
        <f ca="1">DATE(YEAR(TODAY())-TablaDatos[[#This Row],[Edad]],1,1)</f>
        <v>0</v>
      </c>
      <c r="D2295">
        <f ca="1">DATEDIF(TablaDatos[[#This Row],[FechaNacimiento]],TODAY(),"Y")</f>
        <v>126</v>
      </c>
      <c r="E2295" s="4" t="s">
        <v>12</v>
      </c>
      <c r="F2295" t="s">
        <v>32</v>
      </c>
      <c r="G2295" s="1">
        <v>45186</v>
      </c>
      <c r="H2295" s="1">
        <f>TablaDatos[[#This Row],[FechaIngreso]]+TablaDatos[[#This Row],[DiasNuevo]]</f>
        <v>45194</v>
      </c>
      <c r="I2295">
        <v>8</v>
      </c>
      <c r="J2295" t="s">
        <v>23</v>
      </c>
      <c r="K2295" s="3">
        <v>13039.7</v>
      </c>
      <c r="L2295" t="b">
        <f>TablaDatos[[#This Row],[FechaAlta]] &lt; TablaDatos[[#This Row],[FechaIngreso]]</f>
        <v>0</v>
      </c>
      <c r="M2295">
        <f>_xlfn.XLOOKUP(TablaDatos[[#This Row],[PacienteID]],'Datos_Ejemplo.csv'!A:A,'Datos_Ejemplo.csv'!I:I)</f>
        <v>8</v>
      </c>
      <c r="N2295">
        <f>ABS(TablaDatos[[#This Row],[DiasOriginal]])</f>
        <v>8</v>
      </c>
      <c r="O2295" s="1">
        <f>TablaDatos[[#This Row],[FechaIngreso]]+TablaDatos[[#This Row],[DiasNuevo]]</f>
        <v>45194</v>
      </c>
    </row>
    <row r="2296" spans="1:15">
      <c r="A2296">
        <v>2295</v>
      </c>
      <c r="B2296" t="s">
        <v>231</v>
      </c>
      <c r="C2296" s="1">
        <v>38352</v>
      </c>
      <c r="D2296">
        <v>21</v>
      </c>
      <c r="E2296" s="4" t="s">
        <v>15</v>
      </c>
      <c r="F2296" t="s">
        <v>32</v>
      </c>
      <c r="G2296" s="1">
        <v>45567</v>
      </c>
      <c r="H2296" s="1">
        <f>TablaDatos[[#This Row],[FechaIngreso]]+TablaDatos[[#This Row],[DiasNuevo]]</f>
        <v>45593</v>
      </c>
      <c r="I2296">
        <v>26</v>
      </c>
      <c r="J2296" t="s">
        <v>23</v>
      </c>
      <c r="K2296" s="3">
        <v>7612</v>
      </c>
      <c r="L2296" t="b">
        <f>TablaDatos[[#This Row],[FechaAlta]] &lt; TablaDatos[[#This Row],[FechaIngreso]]</f>
        <v>0</v>
      </c>
      <c r="M2296">
        <f>_xlfn.XLOOKUP(TablaDatos[[#This Row],[PacienteID]],'Datos_Ejemplo.csv'!A:A,'Datos_Ejemplo.csv'!I:I)</f>
        <v>26</v>
      </c>
      <c r="N2296">
        <f>ABS(TablaDatos[[#This Row],[DiasOriginal]])</f>
        <v>26</v>
      </c>
      <c r="O2296" s="1">
        <f>TablaDatos[[#This Row],[FechaIngreso]]+TablaDatos[[#This Row],[DiasNuevo]]</f>
        <v>45593</v>
      </c>
    </row>
    <row r="2297" spans="1:15">
      <c r="A2297">
        <v>2296</v>
      </c>
      <c r="B2297" t="s">
        <v>49</v>
      </c>
      <c r="C2297" s="1">
        <v>38717</v>
      </c>
      <c r="D2297">
        <v>20</v>
      </c>
      <c r="E2297" s="4" t="s">
        <v>12</v>
      </c>
      <c r="F2297" t="s">
        <v>13</v>
      </c>
      <c r="G2297" s="1">
        <v>45488</v>
      </c>
      <c r="H2297" s="1">
        <f>TablaDatos[[#This Row],[FechaIngreso]]+TablaDatos[[#This Row],[DiasNuevo]]</f>
        <v>45511</v>
      </c>
      <c r="I2297">
        <v>23</v>
      </c>
      <c r="J2297" t="s">
        <v>19</v>
      </c>
      <c r="K2297" s="3">
        <v>13974.22</v>
      </c>
      <c r="L2297" t="b">
        <f>TablaDatos[[#This Row],[FechaAlta]] &lt; TablaDatos[[#This Row],[FechaIngreso]]</f>
        <v>0</v>
      </c>
      <c r="M2297">
        <f>_xlfn.XLOOKUP(TablaDatos[[#This Row],[PacienteID]],'Datos_Ejemplo.csv'!A:A,'Datos_Ejemplo.csv'!I:I)</f>
        <v>23</v>
      </c>
      <c r="N2297">
        <f>ABS(TablaDatos[[#This Row],[DiasOriginal]])</f>
        <v>23</v>
      </c>
      <c r="O2297" s="1">
        <f>TablaDatos[[#This Row],[FechaIngreso]]+TablaDatos[[#This Row],[DiasNuevo]]</f>
        <v>45511</v>
      </c>
    </row>
    <row r="2298" spans="1:15">
      <c r="A2298">
        <v>2297</v>
      </c>
      <c r="B2298" t="s">
        <v>122</v>
      </c>
      <c r="C2298" s="1">
        <v>14976</v>
      </c>
      <c r="D2298">
        <v>85</v>
      </c>
      <c r="E2298" s="4" t="s">
        <v>12</v>
      </c>
      <c r="F2298" t="s">
        <v>261</v>
      </c>
      <c r="G2298" s="1">
        <v>45266</v>
      </c>
      <c r="H2298" s="1">
        <f>TablaDatos[[#This Row],[FechaIngreso]]+TablaDatos[[#This Row],[DiasNuevo]]</f>
        <v>45290</v>
      </c>
      <c r="I2298">
        <v>24</v>
      </c>
      <c r="J2298" t="s">
        <v>19</v>
      </c>
      <c r="K2298" s="3">
        <v>13322.77</v>
      </c>
      <c r="L2298" t="b">
        <f>TablaDatos[[#This Row],[FechaAlta]] &lt; TablaDatos[[#This Row],[FechaIngreso]]</f>
        <v>0</v>
      </c>
      <c r="M2298">
        <f>_xlfn.XLOOKUP(TablaDatos[[#This Row],[PacienteID]],'Datos_Ejemplo.csv'!A:A,'Datos_Ejemplo.csv'!I:I)</f>
        <v>24</v>
      </c>
      <c r="N2298">
        <f>ABS(TablaDatos[[#This Row],[DiasOriginal]])</f>
        <v>24</v>
      </c>
      <c r="O2298" s="1">
        <f>TablaDatos[[#This Row],[FechaIngreso]]+TablaDatos[[#This Row],[DiasNuevo]]</f>
        <v>45290</v>
      </c>
    </row>
    <row r="2299" spans="1:15">
      <c r="A2299">
        <v>2298</v>
      </c>
      <c r="B2299" t="s">
        <v>339</v>
      </c>
      <c r="C2299" s="1">
        <v>12785</v>
      </c>
      <c r="D2299">
        <v>91</v>
      </c>
      <c r="E2299" s="4" t="s">
        <v>12</v>
      </c>
      <c r="F2299" t="s">
        <v>13</v>
      </c>
      <c r="G2299" s="1">
        <v>45330</v>
      </c>
      <c r="H2299" s="1">
        <f>TablaDatos[[#This Row],[FechaIngreso]]+TablaDatos[[#This Row],[DiasNuevo]]</f>
        <v>45365</v>
      </c>
      <c r="I2299">
        <v>35</v>
      </c>
      <c r="J2299" t="s">
        <v>19</v>
      </c>
      <c r="K2299" s="3">
        <v>10127.14</v>
      </c>
      <c r="L2299" t="b">
        <f>TablaDatos[[#This Row],[FechaAlta]] &lt; TablaDatos[[#This Row],[FechaIngreso]]</f>
        <v>0</v>
      </c>
      <c r="M2299">
        <f>_xlfn.XLOOKUP(TablaDatos[[#This Row],[PacienteID]],'Datos_Ejemplo.csv'!A:A,'Datos_Ejemplo.csv'!I:I)</f>
        <v>35</v>
      </c>
      <c r="N2299">
        <f>ABS(TablaDatos[[#This Row],[DiasOriginal]])</f>
        <v>35</v>
      </c>
      <c r="O2299" s="1">
        <f>TablaDatos[[#This Row],[FechaIngreso]]+TablaDatos[[#This Row],[DiasNuevo]]</f>
        <v>45365</v>
      </c>
    </row>
    <row r="2300" spans="1:15">
      <c r="A2300">
        <v>2299</v>
      </c>
      <c r="B2300" t="s">
        <v>234</v>
      </c>
      <c r="C2300" s="1">
        <v>43100</v>
      </c>
      <c r="D2300">
        <v>8</v>
      </c>
      <c r="E2300" s="4" t="s">
        <v>15</v>
      </c>
      <c r="F2300" t="s">
        <v>261</v>
      </c>
      <c r="G2300" s="1">
        <v>45458</v>
      </c>
      <c r="H2300" s="1">
        <f>TablaDatos[[#This Row],[FechaIngreso]]+TablaDatos[[#This Row],[DiasNuevo]]</f>
        <v>45484</v>
      </c>
      <c r="I2300">
        <v>26</v>
      </c>
      <c r="J2300" t="s">
        <v>25</v>
      </c>
      <c r="K2300" s="3">
        <v>14065.27</v>
      </c>
      <c r="L2300" t="b">
        <f>TablaDatos[[#This Row],[FechaAlta]] &lt; TablaDatos[[#This Row],[FechaIngreso]]</f>
        <v>0</v>
      </c>
      <c r="M2300">
        <f>_xlfn.XLOOKUP(TablaDatos[[#This Row],[PacienteID]],'Datos_Ejemplo.csv'!A:A,'Datos_Ejemplo.csv'!I:I)</f>
        <v>26</v>
      </c>
      <c r="N2300">
        <f>ABS(TablaDatos[[#This Row],[DiasOriginal]])</f>
        <v>26</v>
      </c>
      <c r="O2300" s="1">
        <f>TablaDatos[[#This Row],[FechaIngreso]]+TablaDatos[[#This Row],[DiasNuevo]]</f>
        <v>45484</v>
      </c>
    </row>
    <row r="2301" spans="1:15">
      <c r="A2301">
        <v>2300</v>
      </c>
      <c r="B2301" t="s">
        <v>359</v>
      </c>
      <c r="C2301" s="1">
        <v>36891</v>
      </c>
      <c r="D2301">
        <f ca="1">DATEDIF(TablaDatos[[#This Row],[FechaNacimiento]],TODAY(),"Y")</f>
        <v>25</v>
      </c>
      <c r="E2301" s="4" t="s">
        <v>15</v>
      </c>
      <c r="F2301" t="s">
        <v>32</v>
      </c>
      <c r="G2301" s="1">
        <v>45100</v>
      </c>
      <c r="H2301" s="1">
        <f>TablaDatos[[#This Row],[FechaIngreso]]+TablaDatos[[#This Row],[DiasNuevo]]</f>
        <v>45130</v>
      </c>
      <c r="I2301">
        <v>30</v>
      </c>
      <c r="J2301" t="s">
        <v>19</v>
      </c>
      <c r="K2301" s="3">
        <v>9165.41</v>
      </c>
      <c r="L2301" t="b">
        <f>TablaDatos[[#This Row],[FechaAlta]] &lt; TablaDatos[[#This Row],[FechaIngreso]]</f>
        <v>0</v>
      </c>
      <c r="M2301">
        <f>_xlfn.XLOOKUP(TablaDatos[[#This Row],[PacienteID]],'Datos_Ejemplo.csv'!A:A,'Datos_Ejemplo.csv'!I:I)</f>
        <v>30</v>
      </c>
      <c r="N2301">
        <f>ABS(TablaDatos[[#This Row],[DiasOriginal]])</f>
        <v>30</v>
      </c>
      <c r="O2301" s="1">
        <f>TablaDatos[[#This Row],[FechaIngreso]]+TablaDatos[[#This Row],[DiasNuevo]]</f>
        <v>45130</v>
      </c>
    </row>
    <row r="2302" spans="1:15">
      <c r="A2302">
        <v>2301</v>
      </c>
      <c r="B2302" t="s">
        <v>279</v>
      </c>
      <c r="C2302" s="1">
        <v>43100</v>
      </c>
      <c r="D2302">
        <v>8</v>
      </c>
      <c r="E2302" s="4" t="s">
        <v>12</v>
      </c>
      <c r="F2302" t="s">
        <v>13</v>
      </c>
      <c r="G2302" s="1">
        <v>45464</v>
      </c>
      <c r="H2302" s="1">
        <f>TablaDatos[[#This Row],[FechaIngreso]]+TablaDatos[[#This Row],[DiasNuevo]]</f>
        <v>45489</v>
      </c>
      <c r="I2302">
        <v>25</v>
      </c>
      <c r="J2302" t="s">
        <v>25</v>
      </c>
      <c r="K2302" s="3">
        <v>2234.38</v>
      </c>
      <c r="L2302" t="b">
        <f>TablaDatos[[#This Row],[FechaAlta]] &lt; TablaDatos[[#This Row],[FechaIngreso]]</f>
        <v>0</v>
      </c>
      <c r="M2302">
        <f>_xlfn.XLOOKUP(TablaDatos[[#This Row],[PacienteID]],'Datos_Ejemplo.csv'!A:A,'Datos_Ejemplo.csv'!I:I)</f>
        <v>25</v>
      </c>
      <c r="N2302">
        <f>ABS(TablaDatos[[#This Row],[DiasOriginal]])</f>
        <v>25</v>
      </c>
      <c r="O2302" s="1">
        <f>TablaDatos[[#This Row],[FechaIngreso]]+TablaDatos[[#This Row],[DiasNuevo]]</f>
        <v>45489</v>
      </c>
    </row>
    <row r="2303" spans="1:15">
      <c r="A2303">
        <v>2302</v>
      </c>
      <c r="B2303" t="s">
        <v>273</v>
      </c>
      <c r="C2303" s="1">
        <v>40909</v>
      </c>
      <c r="D2303">
        <v>14</v>
      </c>
      <c r="E2303" s="4" t="s">
        <v>15</v>
      </c>
      <c r="F2303" t="s">
        <v>201</v>
      </c>
      <c r="G2303" s="1">
        <v>45086</v>
      </c>
      <c r="H2303" s="1">
        <f>TablaDatos[[#This Row],[FechaIngreso]]+TablaDatos[[#This Row],[DiasNuevo]]</f>
        <v>45114</v>
      </c>
      <c r="I2303">
        <v>28</v>
      </c>
      <c r="J2303" t="s">
        <v>25</v>
      </c>
      <c r="K2303" s="3">
        <v>3560.34</v>
      </c>
      <c r="L2303" t="b">
        <f>TablaDatos[[#This Row],[FechaAlta]] &lt; TablaDatos[[#This Row],[FechaIngreso]]</f>
        <v>0</v>
      </c>
      <c r="M2303">
        <f>_xlfn.XLOOKUP(TablaDatos[[#This Row],[PacienteID]],'Datos_Ejemplo.csv'!A:A,'Datos_Ejemplo.csv'!I:I)</f>
        <v>28</v>
      </c>
      <c r="N2303">
        <f>ABS(TablaDatos[[#This Row],[DiasOriginal]])</f>
        <v>28</v>
      </c>
      <c r="O2303" s="1">
        <f>TablaDatos[[#This Row],[FechaIngreso]]+TablaDatos[[#This Row],[DiasNuevo]]</f>
        <v>45114</v>
      </c>
    </row>
    <row r="2304" spans="1:15">
      <c r="A2304">
        <v>2303</v>
      </c>
      <c r="B2304" t="s">
        <v>233</v>
      </c>
      <c r="C2304" s="1">
        <v>42735</v>
      </c>
      <c r="D2304">
        <v>9</v>
      </c>
      <c r="E2304" s="4" t="s">
        <v>12</v>
      </c>
      <c r="F2304" t="s">
        <v>21</v>
      </c>
      <c r="G2304" s="1">
        <v>44936</v>
      </c>
      <c r="H2304" s="1">
        <f>TablaDatos[[#This Row],[FechaIngreso]]+TablaDatos[[#This Row],[DiasNuevo]]</f>
        <v>44952</v>
      </c>
      <c r="I2304">
        <v>16</v>
      </c>
      <c r="J2304" t="s">
        <v>23</v>
      </c>
      <c r="K2304" s="3">
        <v>4844.46</v>
      </c>
      <c r="L2304" t="b">
        <f>TablaDatos[[#This Row],[FechaAlta]] &lt; TablaDatos[[#This Row],[FechaIngreso]]</f>
        <v>0</v>
      </c>
      <c r="M2304">
        <f>_xlfn.XLOOKUP(TablaDatos[[#This Row],[PacienteID]],'Datos_Ejemplo.csv'!A:A,'Datos_Ejemplo.csv'!I:I)</f>
        <v>16</v>
      </c>
      <c r="N2304">
        <f>ABS(TablaDatos[[#This Row],[DiasOriginal]])</f>
        <v>16</v>
      </c>
      <c r="O2304" s="1">
        <f>TablaDatos[[#This Row],[FechaIngreso]]+TablaDatos[[#This Row],[DiasNuevo]]</f>
        <v>44952</v>
      </c>
    </row>
    <row r="2305" spans="1:15">
      <c r="A2305">
        <v>2304</v>
      </c>
      <c r="B2305" t="s">
        <v>235</v>
      </c>
      <c r="C2305" s="1">
        <v>14246</v>
      </c>
      <c r="D2305">
        <v>87</v>
      </c>
      <c r="E2305" s="4" t="s">
        <v>15</v>
      </c>
      <c r="F2305" t="s">
        <v>261</v>
      </c>
      <c r="G2305" s="1">
        <v>45520</v>
      </c>
      <c r="H2305" s="1">
        <f>TablaDatos[[#This Row],[FechaIngreso]]+TablaDatos[[#This Row],[DiasNuevo]]</f>
        <v>45543</v>
      </c>
      <c r="I2305">
        <v>23</v>
      </c>
      <c r="J2305" t="s">
        <v>19</v>
      </c>
      <c r="K2305" s="3">
        <v>1170.9000000000001</v>
      </c>
      <c r="L2305" t="b">
        <f>TablaDatos[[#This Row],[FechaAlta]] &lt; TablaDatos[[#This Row],[FechaIngreso]]</f>
        <v>0</v>
      </c>
      <c r="M2305">
        <f>_xlfn.XLOOKUP(TablaDatos[[#This Row],[PacienteID]],'Datos_Ejemplo.csv'!A:A,'Datos_Ejemplo.csv'!I:I)</f>
        <v>23</v>
      </c>
      <c r="N2305">
        <f>ABS(TablaDatos[[#This Row],[DiasOriginal]])</f>
        <v>23</v>
      </c>
      <c r="O2305" s="1">
        <f>TablaDatos[[#This Row],[FechaIngreso]]+TablaDatos[[#This Row],[DiasNuevo]]</f>
        <v>45543</v>
      </c>
    </row>
    <row r="2306" spans="1:15">
      <c r="A2306">
        <v>2305</v>
      </c>
      <c r="B2306" t="s">
        <v>297</v>
      </c>
      <c r="C2306" s="1">
        <v>31047</v>
      </c>
      <c r="D2306">
        <v>41</v>
      </c>
      <c r="E2306" s="4" t="s">
        <v>12</v>
      </c>
      <c r="F2306" t="s">
        <v>261</v>
      </c>
      <c r="G2306" s="1">
        <v>45182</v>
      </c>
      <c r="H2306" s="1">
        <f>TablaDatos[[#This Row],[FechaIngreso]]+TablaDatos[[#This Row],[DiasNuevo]]</f>
        <v>45208</v>
      </c>
      <c r="I2306">
        <v>26</v>
      </c>
      <c r="J2306" t="s">
        <v>23</v>
      </c>
      <c r="K2306" s="3">
        <v>14198.76</v>
      </c>
      <c r="L2306" t="b">
        <f>TablaDatos[[#This Row],[FechaAlta]] &lt; TablaDatos[[#This Row],[FechaIngreso]]</f>
        <v>0</v>
      </c>
      <c r="M2306">
        <f>_xlfn.XLOOKUP(TablaDatos[[#This Row],[PacienteID]],'Datos_Ejemplo.csv'!A:A,'Datos_Ejemplo.csv'!I:I)</f>
        <v>26</v>
      </c>
      <c r="N2306">
        <f>ABS(TablaDatos[[#This Row],[DiasOriginal]])</f>
        <v>26</v>
      </c>
      <c r="O2306" s="1">
        <f>TablaDatos[[#This Row],[FechaIngreso]]+TablaDatos[[#This Row],[DiasNuevo]]</f>
        <v>45208</v>
      </c>
    </row>
    <row r="2307" spans="1:15">
      <c r="A2307">
        <v>2306</v>
      </c>
      <c r="B2307" t="s">
        <v>345</v>
      </c>
      <c r="C2307" s="1">
        <v>20090</v>
      </c>
      <c r="D2307">
        <v>71</v>
      </c>
      <c r="E2307" s="4" t="s">
        <v>12</v>
      </c>
      <c r="F2307" t="s">
        <v>13</v>
      </c>
      <c r="G2307" s="1">
        <v>45543</v>
      </c>
      <c r="H2307" s="1">
        <f>TablaDatos[[#This Row],[FechaIngreso]]+TablaDatos[[#This Row],[DiasNuevo]]</f>
        <v>45551</v>
      </c>
      <c r="I2307">
        <v>8</v>
      </c>
      <c r="J2307" t="s">
        <v>19</v>
      </c>
      <c r="K2307" s="3">
        <v>7284.54</v>
      </c>
      <c r="L2307" t="b">
        <f>TablaDatos[[#This Row],[FechaAlta]] &lt; TablaDatos[[#This Row],[FechaIngreso]]</f>
        <v>0</v>
      </c>
      <c r="M2307">
        <f>_xlfn.XLOOKUP(TablaDatos[[#This Row],[PacienteID]],'Datos_Ejemplo.csv'!A:A,'Datos_Ejemplo.csv'!I:I)</f>
        <v>8</v>
      </c>
      <c r="N2307">
        <f>ABS(TablaDatos[[#This Row],[DiasOriginal]])</f>
        <v>8</v>
      </c>
      <c r="O2307" s="1">
        <f>TablaDatos[[#This Row],[FechaIngreso]]+TablaDatos[[#This Row],[DiasNuevo]]</f>
        <v>45551</v>
      </c>
    </row>
    <row r="2308" spans="1:15">
      <c r="A2308">
        <v>2307</v>
      </c>
      <c r="B2308" t="s">
        <v>306</v>
      </c>
      <c r="C2308" s="1">
        <v>37622</v>
      </c>
      <c r="D2308">
        <v>23</v>
      </c>
      <c r="E2308" s="4" t="s">
        <v>12</v>
      </c>
      <c r="F2308" t="s">
        <v>261</v>
      </c>
      <c r="G2308" s="1">
        <v>45578</v>
      </c>
      <c r="H2308" s="1">
        <f>TablaDatos[[#This Row],[FechaIngreso]]+TablaDatos[[#This Row],[DiasNuevo]]</f>
        <v>45616</v>
      </c>
      <c r="I2308">
        <v>38</v>
      </c>
      <c r="J2308" t="s">
        <v>23</v>
      </c>
      <c r="K2308" s="3">
        <v>1779.82</v>
      </c>
      <c r="L2308" t="b">
        <f>TablaDatos[[#This Row],[FechaAlta]] &lt; TablaDatos[[#This Row],[FechaIngreso]]</f>
        <v>0</v>
      </c>
      <c r="M2308">
        <f>_xlfn.XLOOKUP(TablaDatos[[#This Row],[PacienteID]],'Datos_Ejemplo.csv'!A:A,'Datos_Ejemplo.csv'!I:I)</f>
        <v>38</v>
      </c>
      <c r="N2308">
        <f>ABS(TablaDatos[[#This Row],[DiasOriginal]])</f>
        <v>38</v>
      </c>
      <c r="O2308" s="1">
        <f>TablaDatos[[#This Row],[FechaIngreso]]+TablaDatos[[#This Row],[DiasNuevo]]</f>
        <v>45616</v>
      </c>
    </row>
    <row r="2309" spans="1:15">
      <c r="A2309">
        <v>2308</v>
      </c>
      <c r="B2309" t="s">
        <v>281</v>
      </c>
      <c r="C2309" s="1">
        <v>17168</v>
      </c>
      <c r="D2309">
        <v>79</v>
      </c>
      <c r="E2309" s="4" t="s">
        <v>12</v>
      </c>
      <c r="F2309" t="s">
        <v>32</v>
      </c>
      <c r="G2309" s="1">
        <v>45640</v>
      </c>
      <c r="H2309" s="1">
        <f>TablaDatos[[#This Row],[FechaIngreso]]+TablaDatos[[#This Row],[DiasNuevo]]</f>
        <v>45669</v>
      </c>
      <c r="I2309">
        <v>29</v>
      </c>
      <c r="J2309" t="s">
        <v>19</v>
      </c>
      <c r="K2309" s="3">
        <v>16381.16</v>
      </c>
      <c r="L2309" t="b">
        <f>TablaDatos[[#This Row],[FechaAlta]] &lt; TablaDatos[[#This Row],[FechaIngreso]]</f>
        <v>0</v>
      </c>
      <c r="M2309">
        <f>_xlfn.XLOOKUP(TablaDatos[[#This Row],[PacienteID]],'Datos_Ejemplo.csv'!A:A,'Datos_Ejemplo.csv'!I:I)</f>
        <v>29</v>
      </c>
      <c r="N2309">
        <f>ABS(TablaDatos[[#This Row],[DiasOriginal]])</f>
        <v>29</v>
      </c>
      <c r="O2309" s="1">
        <f>TablaDatos[[#This Row],[FechaIngreso]]+TablaDatos[[#This Row],[DiasNuevo]]</f>
        <v>45669</v>
      </c>
    </row>
    <row r="2310" spans="1:15">
      <c r="A2310">
        <v>2309</v>
      </c>
      <c r="B2310" t="s">
        <v>330</v>
      </c>
      <c r="C2310" s="1">
        <v>28490</v>
      </c>
      <c r="D2310">
        <v>48</v>
      </c>
      <c r="E2310" s="4" t="s">
        <v>12</v>
      </c>
      <c r="F2310" t="s">
        <v>13</v>
      </c>
      <c r="G2310" s="1">
        <v>45270</v>
      </c>
      <c r="H2310" s="1">
        <f>TablaDatos[[#This Row],[FechaIngreso]]+TablaDatos[[#This Row],[DiasNuevo]]</f>
        <v>45288</v>
      </c>
      <c r="I2310">
        <v>18</v>
      </c>
      <c r="J2310" t="s">
        <v>19</v>
      </c>
      <c r="K2310" s="3">
        <v>13641.45</v>
      </c>
      <c r="L2310" t="b">
        <f>TablaDatos[[#This Row],[FechaAlta]] &lt; TablaDatos[[#This Row],[FechaIngreso]]</f>
        <v>0</v>
      </c>
      <c r="M2310">
        <f>_xlfn.XLOOKUP(TablaDatos[[#This Row],[PacienteID]],'Datos_Ejemplo.csv'!A:A,'Datos_Ejemplo.csv'!I:I)</f>
        <v>18</v>
      </c>
      <c r="N2310">
        <f>ABS(TablaDatos[[#This Row],[DiasOriginal]])</f>
        <v>18</v>
      </c>
      <c r="O2310" s="1">
        <f>TablaDatos[[#This Row],[FechaIngreso]]+TablaDatos[[#This Row],[DiasNuevo]]</f>
        <v>45288</v>
      </c>
    </row>
    <row r="2311" spans="1:15">
      <c r="A2311">
        <v>2310</v>
      </c>
      <c r="B2311" t="s">
        <v>238</v>
      </c>
      <c r="C2311" s="1">
        <v>36891</v>
      </c>
      <c r="D2311">
        <v>25</v>
      </c>
      <c r="E2311" s="4" t="s">
        <v>15</v>
      </c>
      <c r="F2311" t="s">
        <v>13</v>
      </c>
      <c r="G2311" s="1">
        <v>45462</v>
      </c>
      <c r="H2311" s="1">
        <f>TablaDatos[[#This Row],[FechaIngreso]]+TablaDatos[[#This Row],[DiasNuevo]]</f>
        <v>45497</v>
      </c>
      <c r="I2311">
        <v>35</v>
      </c>
      <c r="J2311" t="s">
        <v>19</v>
      </c>
      <c r="K2311" s="3">
        <v>8989.7099999999991</v>
      </c>
      <c r="L2311" t="b">
        <f>TablaDatos[[#This Row],[FechaAlta]] &lt; TablaDatos[[#This Row],[FechaIngreso]]</f>
        <v>0</v>
      </c>
      <c r="M2311">
        <f>_xlfn.XLOOKUP(TablaDatos[[#This Row],[PacienteID]],'Datos_Ejemplo.csv'!A:A,'Datos_Ejemplo.csv'!I:I)</f>
        <v>35</v>
      </c>
      <c r="N2311">
        <f>ABS(TablaDatos[[#This Row],[DiasOriginal]])</f>
        <v>35</v>
      </c>
      <c r="O2311" s="1">
        <f>TablaDatos[[#This Row],[FechaIngreso]]+TablaDatos[[#This Row],[DiasNuevo]]</f>
        <v>45497</v>
      </c>
    </row>
    <row r="2312" spans="1:15">
      <c r="A2312">
        <v>2311</v>
      </c>
      <c r="B2312" t="s">
        <v>360</v>
      </c>
      <c r="C2312" s="1">
        <v>13150</v>
      </c>
      <c r="D2312">
        <v>90</v>
      </c>
      <c r="E2312" s="4" t="s">
        <v>12</v>
      </c>
      <c r="F2312" t="s">
        <v>18</v>
      </c>
      <c r="G2312" s="1">
        <v>45299</v>
      </c>
      <c r="H2312" s="1">
        <f>TablaDatos[[#This Row],[FechaIngreso]]+TablaDatos[[#This Row],[DiasNuevo]]</f>
        <v>45330</v>
      </c>
      <c r="I2312">
        <v>31</v>
      </c>
      <c r="J2312" t="s">
        <v>19</v>
      </c>
      <c r="K2312" s="3">
        <v>4873.25</v>
      </c>
      <c r="L2312" t="b">
        <f>TablaDatos[[#This Row],[FechaAlta]] &lt; TablaDatos[[#This Row],[FechaIngreso]]</f>
        <v>0</v>
      </c>
      <c r="M2312">
        <f>_xlfn.XLOOKUP(TablaDatos[[#This Row],[PacienteID]],'Datos_Ejemplo.csv'!A:A,'Datos_Ejemplo.csv'!I:I)</f>
        <v>31</v>
      </c>
      <c r="N2312">
        <f>ABS(TablaDatos[[#This Row],[DiasOriginal]])</f>
        <v>31</v>
      </c>
      <c r="O2312" s="1">
        <f>TablaDatos[[#This Row],[FechaIngreso]]+TablaDatos[[#This Row],[DiasNuevo]]</f>
        <v>45330</v>
      </c>
    </row>
    <row r="2313" spans="1:15">
      <c r="A2313">
        <v>2312</v>
      </c>
      <c r="B2313" t="s">
        <v>344</v>
      </c>
      <c r="C2313" s="1">
        <v>32873</v>
      </c>
      <c r="D2313">
        <v>36</v>
      </c>
      <c r="E2313" s="4" t="s">
        <v>15</v>
      </c>
      <c r="F2313" t="s">
        <v>201</v>
      </c>
      <c r="G2313" s="1">
        <v>45361</v>
      </c>
      <c r="H2313" s="1">
        <f>TablaDatos[[#This Row],[FechaIngreso]]+TablaDatos[[#This Row],[DiasNuevo]]</f>
        <v>45398</v>
      </c>
      <c r="I2313">
        <v>37</v>
      </c>
      <c r="J2313" t="s">
        <v>19</v>
      </c>
      <c r="K2313" s="3">
        <v>2950.09</v>
      </c>
      <c r="L2313" t="b">
        <f>TablaDatos[[#This Row],[FechaAlta]] &lt; TablaDatos[[#This Row],[FechaIngreso]]</f>
        <v>0</v>
      </c>
      <c r="M2313">
        <f>_xlfn.XLOOKUP(TablaDatos[[#This Row],[PacienteID]],'Datos_Ejemplo.csv'!A:A,'Datos_Ejemplo.csv'!I:I)</f>
        <v>37</v>
      </c>
      <c r="N2313">
        <f>ABS(TablaDatos[[#This Row],[DiasOriginal]])</f>
        <v>37</v>
      </c>
      <c r="O2313" s="1">
        <f>TablaDatos[[#This Row],[FechaIngreso]]+TablaDatos[[#This Row],[DiasNuevo]]</f>
        <v>45398</v>
      </c>
    </row>
    <row r="2314" spans="1:15">
      <c r="A2314">
        <v>2313</v>
      </c>
      <c r="B2314" t="s">
        <v>332</v>
      </c>
      <c r="C2314" s="1">
        <v>21551</v>
      </c>
      <c r="D2314">
        <v>67</v>
      </c>
      <c r="E2314" s="4" t="s">
        <v>12</v>
      </c>
      <c r="F2314" t="s">
        <v>201</v>
      </c>
      <c r="G2314" s="1">
        <v>44972</v>
      </c>
      <c r="H2314" s="1">
        <f>TablaDatos[[#This Row],[FechaIngreso]]+TablaDatos[[#This Row],[DiasNuevo]]</f>
        <v>44991</v>
      </c>
      <c r="I2314">
        <v>19</v>
      </c>
      <c r="J2314" t="s">
        <v>19</v>
      </c>
      <c r="K2314" s="3">
        <v>9113.32</v>
      </c>
      <c r="L2314" t="b">
        <f>TablaDatos[[#This Row],[FechaAlta]] &lt; TablaDatos[[#This Row],[FechaIngreso]]</f>
        <v>0</v>
      </c>
      <c r="M2314">
        <f>_xlfn.XLOOKUP(TablaDatos[[#This Row],[PacienteID]],'Datos_Ejemplo.csv'!A:A,'Datos_Ejemplo.csv'!I:I)</f>
        <v>19</v>
      </c>
      <c r="N2314">
        <f>ABS(TablaDatos[[#This Row],[DiasOriginal]])</f>
        <v>19</v>
      </c>
      <c r="O2314" s="1">
        <f>TablaDatos[[#This Row],[FechaIngreso]]+TablaDatos[[#This Row],[DiasNuevo]]</f>
        <v>44991</v>
      </c>
    </row>
    <row r="2315" spans="1:15">
      <c r="A2315">
        <v>2314</v>
      </c>
      <c r="B2315" t="s">
        <v>262</v>
      </c>
      <c r="C2315" s="1">
        <v>28125</v>
      </c>
      <c r="D2315">
        <v>49</v>
      </c>
      <c r="E2315" s="4" t="s">
        <v>15</v>
      </c>
      <c r="F2315" t="s">
        <v>18</v>
      </c>
      <c r="G2315" s="1">
        <v>45655</v>
      </c>
      <c r="H2315" s="1">
        <f>TablaDatos[[#This Row],[FechaIngreso]]+TablaDatos[[#This Row],[DiasNuevo]]</f>
        <v>45679</v>
      </c>
      <c r="I2315">
        <v>24</v>
      </c>
      <c r="J2315" t="s">
        <v>23</v>
      </c>
      <c r="K2315" s="3">
        <v>17693.439999999999</v>
      </c>
      <c r="L2315" t="b">
        <f>TablaDatos[[#This Row],[FechaAlta]] &lt; TablaDatos[[#This Row],[FechaIngreso]]</f>
        <v>0</v>
      </c>
      <c r="M2315">
        <f>_xlfn.XLOOKUP(TablaDatos[[#This Row],[PacienteID]],'Datos_Ejemplo.csv'!A:A,'Datos_Ejemplo.csv'!I:I)</f>
        <v>24</v>
      </c>
      <c r="N2315">
        <f>ABS(TablaDatos[[#This Row],[DiasOriginal]])</f>
        <v>24</v>
      </c>
      <c r="O2315" s="1">
        <f>TablaDatos[[#This Row],[FechaIngreso]]+TablaDatos[[#This Row],[DiasNuevo]]</f>
        <v>45679</v>
      </c>
    </row>
    <row r="2316" spans="1:15">
      <c r="A2316">
        <v>2315</v>
      </c>
      <c r="B2316" t="s">
        <v>248</v>
      </c>
      <c r="C2316" s="1">
        <v>37622</v>
      </c>
      <c r="D2316">
        <v>23</v>
      </c>
      <c r="E2316" s="4" t="s">
        <v>12</v>
      </c>
      <c r="F2316" t="s">
        <v>32</v>
      </c>
      <c r="G2316" s="1">
        <v>44981</v>
      </c>
      <c r="H2316" s="1">
        <f>TablaDatos[[#This Row],[FechaIngreso]]+TablaDatos[[#This Row],[DiasNuevo]]</f>
        <v>44986</v>
      </c>
      <c r="I2316">
        <v>5</v>
      </c>
      <c r="J2316" t="s">
        <v>23</v>
      </c>
      <c r="K2316" s="3">
        <v>3686.75</v>
      </c>
      <c r="L2316" t="b">
        <f>TablaDatos[[#This Row],[FechaAlta]] &lt; TablaDatos[[#This Row],[FechaIngreso]]</f>
        <v>0</v>
      </c>
      <c r="M2316">
        <f>_xlfn.XLOOKUP(TablaDatos[[#This Row],[PacienteID]],'Datos_Ejemplo.csv'!A:A,'Datos_Ejemplo.csv'!I:I)</f>
        <v>5</v>
      </c>
      <c r="N2316">
        <f>ABS(TablaDatos[[#This Row],[DiasOriginal]])</f>
        <v>5</v>
      </c>
      <c r="O2316" s="1">
        <f>TablaDatos[[#This Row],[FechaIngreso]]+TablaDatos[[#This Row],[DiasNuevo]]</f>
        <v>44986</v>
      </c>
    </row>
    <row r="2317" spans="1:15">
      <c r="A2317">
        <v>2316</v>
      </c>
      <c r="B2317" t="s">
        <v>240</v>
      </c>
      <c r="C2317" s="1">
        <v>39448</v>
      </c>
      <c r="D2317">
        <v>18</v>
      </c>
      <c r="E2317" s="4" t="s">
        <v>12</v>
      </c>
      <c r="F2317" t="s">
        <v>21</v>
      </c>
      <c r="G2317" s="1">
        <v>45004</v>
      </c>
      <c r="H2317" s="1">
        <f>TablaDatos[[#This Row],[FechaIngreso]]+TablaDatos[[#This Row],[DiasNuevo]]</f>
        <v>45041</v>
      </c>
      <c r="I2317">
        <v>37</v>
      </c>
      <c r="J2317" t="s">
        <v>23</v>
      </c>
      <c r="K2317" s="3">
        <v>11330.05</v>
      </c>
      <c r="L2317" t="b">
        <f>TablaDatos[[#This Row],[FechaAlta]] &lt; TablaDatos[[#This Row],[FechaIngreso]]</f>
        <v>0</v>
      </c>
      <c r="M2317">
        <f>_xlfn.XLOOKUP(TablaDatos[[#This Row],[PacienteID]],'Datos_Ejemplo.csv'!A:A,'Datos_Ejemplo.csv'!I:I)</f>
        <v>37</v>
      </c>
      <c r="N2317">
        <f>ABS(TablaDatos[[#This Row],[DiasOriginal]])</f>
        <v>37</v>
      </c>
      <c r="O2317" s="1">
        <f>TablaDatos[[#This Row],[FechaIngreso]]+TablaDatos[[#This Row],[DiasNuevo]]</f>
        <v>45041</v>
      </c>
    </row>
    <row r="2318" spans="1:15">
      <c r="A2318">
        <v>2317</v>
      </c>
      <c r="B2318" t="s">
        <v>347</v>
      </c>
      <c r="C2318" s="1">
        <v>24473</v>
      </c>
      <c r="D2318">
        <v>59</v>
      </c>
      <c r="E2318" s="4" t="s">
        <v>15</v>
      </c>
      <c r="F2318" t="s">
        <v>261</v>
      </c>
      <c r="G2318" s="1">
        <v>45417</v>
      </c>
      <c r="H2318" s="1">
        <f>TablaDatos[[#This Row],[FechaIngreso]]+TablaDatos[[#This Row],[DiasNuevo]]</f>
        <v>45445</v>
      </c>
      <c r="I2318">
        <v>28</v>
      </c>
      <c r="J2318" t="s">
        <v>23</v>
      </c>
      <c r="K2318" s="3">
        <v>19229.89</v>
      </c>
      <c r="L2318" t="b">
        <f>TablaDatos[[#This Row],[FechaAlta]] &lt; TablaDatos[[#This Row],[FechaIngreso]]</f>
        <v>0</v>
      </c>
      <c r="M2318">
        <f>_xlfn.XLOOKUP(TablaDatos[[#This Row],[PacienteID]],'Datos_Ejemplo.csv'!A:A,'Datos_Ejemplo.csv'!I:I)</f>
        <v>28</v>
      </c>
      <c r="N2318">
        <f>ABS(TablaDatos[[#This Row],[DiasOriginal]])</f>
        <v>28</v>
      </c>
      <c r="O2318" s="1">
        <f>TablaDatos[[#This Row],[FechaIngreso]]+TablaDatos[[#This Row],[DiasNuevo]]</f>
        <v>45445</v>
      </c>
    </row>
    <row r="2319" spans="1:15">
      <c r="A2319">
        <v>2318</v>
      </c>
      <c r="B2319" t="s">
        <v>233</v>
      </c>
      <c r="C2319" s="1">
        <v>32143</v>
      </c>
      <c r="D2319">
        <v>38</v>
      </c>
      <c r="E2319" s="4" t="s">
        <v>15</v>
      </c>
      <c r="F2319" t="s">
        <v>295</v>
      </c>
      <c r="G2319" s="1">
        <v>45597</v>
      </c>
      <c r="H2319" s="1">
        <f>TablaDatos[[#This Row],[FechaIngreso]]+TablaDatos[[#This Row],[DiasNuevo]]</f>
        <v>45599</v>
      </c>
      <c r="I2319">
        <v>2</v>
      </c>
      <c r="J2319" t="s">
        <v>23</v>
      </c>
      <c r="K2319" s="3">
        <v>12706.04</v>
      </c>
      <c r="L2319" t="b">
        <f>TablaDatos[[#This Row],[FechaAlta]] &lt; TablaDatos[[#This Row],[FechaIngreso]]</f>
        <v>0</v>
      </c>
      <c r="M2319">
        <f>_xlfn.XLOOKUP(TablaDatos[[#This Row],[PacienteID]],'Datos_Ejemplo.csv'!A:A,'Datos_Ejemplo.csv'!I:I)</f>
        <v>-2</v>
      </c>
      <c r="N2319">
        <f>ABS(TablaDatos[[#This Row],[DiasOriginal]])</f>
        <v>2</v>
      </c>
      <c r="O2319" s="1">
        <f>TablaDatos[[#This Row],[FechaIngreso]]+TablaDatos[[#This Row],[DiasNuevo]]</f>
        <v>45599</v>
      </c>
    </row>
    <row r="2320" spans="1:15">
      <c r="A2320">
        <v>2319</v>
      </c>
      <c r="B2320" t="s">
        <v>304</v>
      </c>
      <c r="C2320" s="1">
        <v>19359</v>
      </c>
      <c r="D2320">
        <v>73</v>
      </c>
      <c r="E2320" s="4" t="s">
        <v>197</v>
      </c>
      <c r="F2320" t="s">
        <v>261</v>
      </c>
      <c r="G2320" s="1">
        <v>45198</v>
      </c>
      <c r="H2320" s="1">
        <f>TablaDatos[[#This Row],[FechaIngreso]]+TablaDatos[[#This Row],[DiasNuevo]]</f>
        <v>45234</v>
      </c>
      <c r="I2320">
        <v>36</v>
      </c>
      <c r="J2320" t="s">
        <v>23</v>
      </c>
      <c r="K2320" s="3">
        <v>8743.2900000000009</v>
      </c>
      <c r="L2320" t="b">
        <f>TablaDatos[[#This Row],[FechaAlta]] &lt; TablaDatos[[#This Row],[FechaIngreso]]</f>
        <v>0</v>
      </c>
      <c r="M2320">
        <f>_xlfn.XLOOKUP(TablaDatos[[#This Row],[PacienteID]],'Datos_Ejemplo.csv'!A:A,'Datos_Ejemplo.csv'!I:I)</f>
        <v>36</v>
      </c>
      <c r="N2320">
        <f>ABS(TablaDatos[[#This Row],[DiasOriginal]])</f>
        <v>36</v>
      </c>
      <c r="O2320" s="1">
        <f>TablaDatos[[#This Row],[FechaIngreso]]+TablaDatos[[#This Row],[DiasNuevo]]</f>
        <v>45234</v>
      </c>
    </row>
    <row r="2321" spans="1:15">
      <c r="A2321">
        <v>2320</v>
      </c>
      <c r="B2321" t="s">
        <v>334</v>
      </c>
      <c r="C2321" s="1">
        <v>13880</v>
      </c>
      <c r="D2321">
        <v>88</v>
      </c>
      <c r="E2321" s="4" t="s">
        <v>15</v>
      </c>
      <c r="F2321" t="s">
        <v>295</v>
      </c>
      <c r="G2321" s="1">
        <v>45586</v>
      </c>
      <c r="H2321" s="1">
        <f>TablaDatos[[#This Row],[FechaIngreso]]+TablaDatos[[#This Row],[DiasNuevo]]</f>
        <v>45617</v>
      </c>
      <c r="I2321">
        <v>31</v>
      </c>
      <c r="J2321" t="s">
        <v>19</v>
      </c>
      <c r="K2321" s="3">
        <v>14299.1</v>
      </c>
      <c r="L2321" t="b">
        <f>TablaDatos[[#This Row],[FechaAlta]] &lt; TablaDatos[[#This Row],[FechaIngreso]]</f>
        <v>0</v>
      </c>
      <c r="M2321">
        <f>_xlfn.XLOOKUP(TablaDatos[[#This Row],[PacienteID]],'Datos_Ejemplo.csv'!A:A,'Datos_Ejemplo.csv'!I:I)</f>
        <v>31</v>
      </c>
      <c r="N2321">
        <f>ABS(TablaDatos[[#This Row],[DiasOriginal]])</f>
        <v>31</v>
      </c>
      <c r="O2321" s="1">
        <f>TablaDatos[[#This Row],[FechaIngreso]]+TablaDatos[[#This Row],[DiasNuevo]]</f>
        <v>45617</v>
      </c>
    </row>
    <row r="2322" spans="1:15">
      <c r="A2322">
        <v>2321</v>
      </c>
      <c r="B2322" t="s">
        <v>162</v>
      </c>
      <c r="C2322" s="1">
        <v>39813</v>
      </c>
      <c r="D2322">
        <v>17</v>
      </c>
      <c r="E2322" s="4" t="s">
        <v>15</v>
      </c>
      <c r="F2322" t="s">
        <v>201</v>
      </c>
      <c r="G2322" s="1">
        <v>45476</v>
      </c>
      <c r="H2322" s="1">
        <f>TablaDatos[[#This Row],[FechaIngreso]]+TablaDatos[[#This Row],[DiasNuevo]]</f>
        <v>45497</v>
      </c>
      <c r="I2322">
        <v>21</v>
      </c>
      <c r="J2322" t="s">
        <v>23</v>
      </c>
      <c r="K2322" s="3">
        <v>16474.02</v>
      </c>
      <c r="L2322" t="b">
        <f>TablaDatos[[#This Row],[FechaAlta]] &lt; TablaDatos[[#This Row],[FechaIngreso]]</f>
        <v>0</v>
      </c>
      <c r="M2322">
        <f>_xlfn.XLOOKUP(TablaDatos[[#This Row],[PacienteID]],'Datos_Ejemplo.csv'!A:A,'Datos_Ejemplo.csv'!I:I)</f>
        <v>21</v>
      </c>
      <c r="N2322">
        <f>ABS(TablaDatos[[#This Row],[DiasOriginal]])</f>
        <v>21</v>
      </c>
      <c r="O2322" s="1">
        <f>TablaDatos[[#This Row],[FechaIngreso]]+TablaDatos[[#This Row],[DiasNuevo]]</f>
        <v>45497</v>
      </c>
    </row>
    <row r="2323" spans="1:15">
      <c r="A2323">
        <v>2322</v>
      </c>
      <c r="B2323" t="s">
        <v>298</v>
      </c>
      <c r="C2323" s="1">
        <v>39448</v>
      </c>
      <c r="D2323">
        <v>18</v>
      </c>
      <c r="E2323" s="4" t="s">
        <v>15</v>
      </c>
      <c r="F2323" t="s">
        <v>32</v>
      </c>
      <c r="G2323" s="1">
        <v>45037</v>
      </c>
      <c r="H2323" s="1">
        <f>TablaDatos[[#This Row],[FechaIngreso]]+TablaDatos[[#This Row],[DiasNuevo]]</f>
        <v>45062</v>
      </c>
      <c r="I2323">
        <v>25</v>
      </c>
      <c r="J2323" t="s">
        <v>23</v>
      </c>
      <c r="K2323" s="3">
        <v>11769.38</v>
      </c>
      <c r="L2323" t="b">
        <f>TablaDatos[[#This Row],[FechaAlta]] &lt; TablaDatos[[#This Row],[FechaIngreso]]</f>
        <v>0</v>
      </c>
      <c r="M2323">
        <f>_xlfn.XLOOKUP(TablaDatos[[#This Row],[PacienteID]],'Datos_Ejemplo.csv'!A:A,'Datos_Ejemplo.csv'!I:I)</f>
        <v>25</v>
      </c>
      <c r="N2323">
        <f>ABS(TablaDatos[[#This Row],[DiasOriginal]])</f>
        <v>25</v>
      </c>
      <c r="O2323" s="1">
        <f>TablaDatos[[#This Row],[FechaIngreso]]+TablaDatos[[#This Row],[DiasNuevo]]</f>
        <v>45062</v>
      </c>
    </row>
    <row r="2324" spans="1:15">
      <c r="A2324">
        <v>2323</v>
      </c>
      <c r="B2324" t="s">
        <v>284</v>
      </c>
      <c r="C2324" s="1">
        <v>33239</v>
      </c>
      <c r="D2324">
        <v>35</v>
      </c>
      <c r="E2324" s="4" t="s">
        <v>197</v>
      </c>
      <c r="F2324" t="s">
        <v>21</v>
      </c>
      <c r="G2324" s="1">
        <v>44941</v>
      </c>
      <c r="H2324" s="1">
        <f>TablaDatos[[#This Row],[FechaIngreso]]+TablaDatos[[#This Row],[DiasNuevo]]</f>
        <v>44942</v>
      </c>
      <c r="I2324">
        <v>1</v>
      </c>
      <c r="J2324" t="s">
        <v>25</v>
      </c>
      <c r="K2324" s="3">
        <v>17423.830000000002</v>
      </c>
      <c r="L2324" t="b">
        <f>TablaDatos[[#This Row],[FechaAlta]] &lt; TablaDatos[[#This Row],[FechaIngreso]]</f>
        <v>0</v>
      </c>
      <c r="M2324">
        <f>_xlfn.XLOOKUP(TablaDatos[[#This Row],[PacienteID]],'Datos_Ejemplo.csv'!A:A,'Datos_Ejemplo.csv'!I:I)</f>
        <v>1</v>
      </c>
      <c r="N2324">
        <f>ABS(TablaDatos[[#This Row],[DiasOriginal]])</f>
        <v>1</v>
      </c>
      <c r="O2324" s="1">
        <f>TablaDatos[[#This Row],[FechaIngreso]]+TablaDatos[[#This Row],[DiasNuevo]]</f>
        <v>44942</v>
      </c>
    </row>
    <row r="2325" spans="1:15">
      <c r="A2325">
        <v>2324</v>
      </c>
      <c r="B2325" t="s">
        <v>276</v>
      </c>
      <c r="C2325" s="1">
        <v>19359</v>
      </c>
      <c r="D2325">
        <v>73</v>
      </c>
      <c r="E2325" s="4" t="s">
        <v>197</v>
      </c>
      <c r="F2325" t="s">
        <v>21</v>
      </c>
      <c r="G2325" s="1">
        <v>45004</v>
      </c>
      <c r="H2325" s="1">
        <f>TablaDatos[[#This Row],[FechaIngreso]]+TablaDatos[[#This Row],[DiasNuevo]]</f>
        <v>45019</v>
      </c>
      <c r="I2325">
        <v>15</v>
      </c>
      <c r="J2325" t="s">
        <v>23</v>
      </c>
      <c r="K2325" s="3">
        <v>10243.290000000001</v>
      </c>
      <c r="L2325" t="b">
        <f>TablaDatos[[#This Row],[FechaAlta]] &lt; TablaDatos[[#This Row],[FechaIngreso]]</f>
        <v>0</v>
      </c>
      <c r="M2325">
        <f>_xlfn.XLOOKUP(TablaDatos[[#This Row],[PacienteID]],'Datos_Ejemplo.csv'!A:A,'Datos_Ejemplo.csv'!I:I)</f>
        <v>15</v>
      </c>
      <c r="N2325">
        <f>ABS(TablaDatos[[#This Row],[DiasOriginal]])</f>
        <v>15</v>
      </c>
      <c r="O2325" s="1">
        <f>TablaDatos[[#This Row],[FechaIngreso]]+TablaDatos[[#This Row],[DiasNuevo]]</f>
        <v>45019</v>
      </c>
    </row>
    <row r="2326" spans="1:15">
      <c r="A2326">
        <v>2325</v>
      </c>
      <c r="B2326" t="s">
        <v>326</v>
      </c>
      <c r="C2326" s="1">
        <v>26299</v>
      </c>
      <c r="D2326">
        <v>54</v>
      </c>
      <c r="E2326" s="4" t="s">
        <v>12</v>
      </c>
      <c r="F2326" t="s">
        <v>21</v>
      </c>
      <c r="G2326" s="1">
        <v>45427</v>
      </c>
      <c r="H2326" s="1">
        <f>TablaDatos[[#This Row],[FechaIngreso]]+TablaDatos[[#This Row],[DiasNuevo]]</f>
        <v>45453</v>
      </c>
      <c r="I2326">
        <v>26</v>
      </c>
      <c r="J2326" t="s">
        <v>23</v>
      </c>
      <c r="K2326" s="3">
        <v>16583.580000000002</v>
      </c>
      <c r="L2326" t="b">
        <f>TablaDatos[[#This Row],[FechaAlta]] &lt; TablaDatos[[#This Row],[FechaIngreso]]</f>
        <v>0</v>
      </c>
      <c r="M2326">
        <f>_xlfn.XLOOKUP(TablaDatos[[#This Row],[PacienteID]],'Datos_Ejemplo.csv'!A:A,'Datos_Ejemplo.csv'!I:I)</f>
        <v>26</v>
      </c>
      <c r="N2326">
        <f>ABS(TablaDatos[[#This Row],[DiasOriginal]])</f>
        <v>26</v>
      </c>
      <c r="O2326" s="1">
        <f>TablaDatos[[#This Row],[FechaIngreso]]+TablaDatos[[#This Row],[DiasNuevo]]</f>
        <v>45453</v>
      </c>
    </row>
    <row r="2327" spans="1:15">
      <c r="A2327">
        <v>2326</v>
      </c>
      <c r="B2327" t="s">
        <v>258</v>
      </c>
      <c r="C2327" s="1">
        <v>21185</v>
      </c>
      <c r="D2327">
        <v>68</v>
      </c>
      <c r="E2327" s="4" t="s">
        <v>12</v>
      </c>
      <c r="F2327" t="s">
        <v>18</v>
      </c>
      <c r="G2327" s="1">
        <v>45514</v>
      </c>
      <c r="H2327" s="1">
        <f>TablaDatos[[#This Row],[FechaIngreso]]+TablaDatos[[#This Row],[DiasNuevo]]</f>
        <v>45534</v>
      </c>
      <c r="I2327">
        <v>20</v>
      </c>
      <c r="J2327" t="s">
        <v>25</v>
      </c>
      <c r="K2327" s="3">
        <v>19035.59</v>
      </c>
      <c r="L2327" t="b">
        <f>TablaDatos[[#This Row],[FechaAlta]] &lt; TablaDatos[[#This Row],[FechaIngreso]]</f>
        <v>0</v>
      </c>
      <c r="M2327">
        <f>_xlfn.XLOOKUP(TablaDatos[[#This Row],[PacienteID]],'Datos_Ejemplo.csv'!A:A,'Datos_Ejemplo.csv'!I:I)</f>
        <v>20</v>
      </c>
      <c r="N2327">
        <f>ABS(TablaDatos[[#This Row],[DiasOriginal]])</f>
        <v>20</v>
      </c>
      <c r="O2327" s="1">
        <f>TablaDatos[[#This Row],[FechaIngreso]]+TablaDatos[[#This Row],[DiasNuevo]]</f>
        <v>45534</v>
      </c>
    </row>
    <row r="2328" spans="1:15">
      <c r="A2328">
        <v>2327</v>
      </c>
      <c r="B2328" t="s">
        <v>299</v>
      </c>
      <c r="C2328" s="1">
        <v>29221</v>
      </c>
      <c r="D2328">
        <v>46</v>
      </c>
      <c r="E2328" s="4" t="s">
        <v>15</v>
      </c>
      <c r="F2328" t="s">
        <v>32</v>
      </c>
      <c r="G2328" s="1">
        <v>45344</v>
      </c>
      <c r="H2328" s="1">
        <f>TablaDatos[[#This Row],[FechaIngreso]]+TablaDatos[[#This Row],[DiasNuevo]]</f>
        <v>45378</v>
      </c>
      <c r="I2328">
        <v>34</v>
      </c>
      <c r="J2328" t="s">
        <v>19</v>
      </c>
      <c r="K2328" s="3">
        <v>9974.99</v>
      </c>
      <c r="L2328" t="b">
        <f>TablaDatos[[#This Row],[FechaAlta]] &lt; TablaDatos[[#This Row],[FechaIngreso]]</f>
        <v>0</v>
      </c>
      <c r="M2328">
        <f>_xlfn.XLOOKUP(TablaDatos[[#This Row],[PacienteID]],'Datos_Ejemplo.csv'!A:A,'Datos_Ejemplo.csv'!I:I)</f>
        <v>34</v>
      </c>
      <c r="N2328">
        <f>ABS(TablaDatos[[#This Row],[DiasOriginal]])</f>
        <v>34</v>
      </c>
      <c r="O2328" s="1">
        <f>TablaDatos[[#This Row],[FechaIngreso]]+TablaDatos[[#This Row],[DiasNuevo]]</f>
        <v>45378</v>
      </c>
    </row>
    <row r="2329" spans="1:15">
      <c r="A2329">
        <v>2328</v>
      </c>
      <c r="B2329" t="s">
        <v>292</v>
      </c>
      <c r="C2329" s="1">
        <v>28490</v>
      </c>
      <c r="D2329">
        <v>48</v>
      </c>
      <c r="E2329" s="4" t="s">
        <v>197</v>
      </c>
      <c r="F2329" t="s">
        <v>295</v>
      </c>
      <c r="G2329" s="1">
        <v>45201</v>
      </c>
      <c r="H2329" s="1">
        <f>TablaDatos[[#This Row],[FechaIngreso]]+TablaDatos[[#This Row],[DiasNuevo]]</f>
        <v>45225</v>
      </c>
      <c r="I2329">
        <v>24</v>
      </c>
      <c r="J2329" t="s">
        <v>25</v>
      </c>
      <c r="K2329" s="3">
        <v>12060.53</v>
      </c>
      <c r="L2329" t="b">
        <f>TablaDatos[[#This Row],[FechaAlta]] &lt; TablaDatos[[#This Row],[FechaIngreso]]</f>
        <v>0</v>
      </c>
      <c r="M2329">
        <f>_xlfn.XLOOKUP(TablaDatos[[#This Row],[PacienteID]],'Datos_Ejemplo.csv'!A:A,'Datos_Ejemplo.csv'!I:I)</f>
        <v>24</v>
      </c>
      <c r="N2329">
        <f>ABS(TablaDatos[[#This Row],[DiasOriginal]])</f>
        <v>24</v>
      </c>
      <c r="O2329" s="1">
        <f>TablaDatos[[#This Row],[FechaIngreso]]+TablaDatos[[#This Row],[DiasNuevo]]</f>
        <v>45225</v>
      </c>
    </row>
    <row r="2330" spans="1:15">
      <c r="A2330">
        <v>2329</v>
      </c>
      <c r="B2330" t="s">
        <v>230</v>
      </c>
      <c r="C2330" s="1">
        <v>34334</v>
      </c>
      <c r="D2330">
        <v>32</v>
      </c>
      <c r="E2330" s="4" t="s">
        <v>15</v>
      </c>
      <c r="F2330" t="s">
        <v>21</v>
      </c>
      <c r="G2330" s="1">
        <v>45420</v>
      </c>
      <c r="H2330" s="1">
        <f>TablaDatos[[#This Row],[FechaIngreso]]+TablaDatos[[#This Row],[DiasNuevo]]</f>
        <v>45433</v>
      </c>
      <c r="I2330">
        <v>13</v>
      </c>
      <c r="J2330" t="s">
        <v>19</v>
      </c>
      <c r="K2330" s="3">
        <v>12150.3</v>
      </c>
      <c r="L2330" t="b">
        <f>TablaDatos[[#This Row],[FechaAlta]] &lt; TablaDatos[[#This Row],[FechaIngreso]]</f>
        <v>0</v>
      </c>
      <c r="M2330">
        <f>_xlfn.XLOOKUP(TablaDatos[[#This Row],[PacienteID]],'Datos_Ejemplo.csv'!A:A,'Datos_Ejemplo.csv'!I:I)</f>
        <v>13</v>
      </c>
      <c r="N2330">
        <f>ABS(TablaDatos[[#This Row],[DiasOriginal]])</f>
        <v>13</v>
      </c>
      <c r="O2330" s="1">
        <f>TablaDatos[[#This Row],[FechaIngreso]]+TablaDatos[[#This Row],[DiasNuevo]]</f>
        <v>45433</v>
      </c>
    </row>
    <row r="2331" spans="1:15">
      <c r="A2331">
        <v>2330</v>
      </c>
      <c r="B2331" t="s">
        <v>325</v>
      </c>
      <c r="C2331" s="1">
        <v>38717</v>
      </c>
      <c r="D2331">
        <v>20</v>
      </c>
      <c r="E2331" s="4" t="s">
        <v>15</v>
      </c>
      <c r="F2331" t="s">
        <v>32</v>
      </c>
      <c r="G2331" s="1">
        <v>45123</v>
      </c>
      <c r="H2331" s="1">
        <f>TablaDatos[[#This Row],[FechaIngreso]]+TablaDatos[[#This Row],[DiasNuevo]]</f>
        <v>45147</v>
      </c>
      <c r="I2331">
        <v>24</v>
      </c>
      <c r="J2331" t="s">
        <v>23</v>
      </c>
      <c r="K2331" s="3">
        <v>15606.84</v>
      </c>
      <c r="L2331" t="b">
        <f>TablaDatos[[#This Row],[FechaAlta]] &lt; TablaDatos[[#This Row],[FechaIngreso]]</f>
        <v>0</v>
      </c>
      <c r="M2331">
        <f>_xlfn.XLOOKUP(TablaDatos[[#This Row],[PacienteID]],'Datos_Ejemplo.csv'!A:A,'Datos_Ejemplo.csv'!I:I)</f>
        <v>24</v>
      </c>
      <c r="N2331">
        <f>ABS(TablaDatos[[#This Row],[DiasOriginal]])</f>
        <v>24</v>
      </c>
      <c r="O2331" s="1">
        <f>TablaDatos[[#This Row],[FechaIngreso]]+TablaDatos[[#This Row],[DiasNuevo]]</f>
        <v>45147</v>
      </c>
    </row>
    <row r="2332" spans="1:15">
      <c r="A2332">
        <v>2331</v>
      </c>
      <c r="B2332" t="s">
        <v>339</v>
      </c>
      <c r="C2332" s="1">
        <v>16802</v>
      </c>
      <c r="D2332">
        <v>80</v>
      </c>
      <c r="E2332" s="4" t="s">
        <v>15</v>
      </c>
      <c r="F2332" t="s">
        <v>261</v>
      </c>
      <c r="G2332" s="1">
        <v>45302</v>
      </c>
      <c r="H2332" s="1">
        <f>TablaDatos[[#This Row],[FechaIngreso]]+TablaDatos[[#This Row],[DiasNuevo]]</f>
        <v>45308</v>
      </c>
      <c r="I2332">
        <v>6</v>
      </c>
      <c r="J2332" t="s">
        <v>25</v>
      </c>
      <c r="K2332" s="3">
        <v>16441.61</v>
      </c>
      <c r="L2332" t="b">
        <f>TablaDatos[[#This Row],[FechaAlta]] &lt; TablaDatos[[#This Row],[FechaIngreso]]</f>
        <v>0</v>
      </c>
      <c r="M2332">
        <f>_xlfn.XLOOKUP(TablaDatos[[#This Row],[PacienteID]],'Datos_Ejemplo.csv'!A:A,'Datos_Ejemplo.csv'!I:I)</f>
        <v>6</v>
      </c>
      <c r="N2332">
        <f>ABS(TablaDatos[[#This Row],[DiasOriginal]])</f>
        <v>6</v>
      </c>
      <c r="O2332" s="1">
        <f>TablaDatos[[#This Row],[FechaIngreso]]+TablaDatos[[#This Row],[DiasNuevo]]</f>
        <v>45308</v>
      </c>
    </row>
    <row r="2333" spans="1:15">
      <c r="A2333">
        <v>2332</v>
      </c>
      <c r="B2333" t="s">
        <v>274</v>
      </c>
      <c r="C2333" s="1">
        <v>38352</v>
      </c>
      <c r="D2333">
        <f ca="1">DATEDIF(TablaDatos[[#This Row],[FechaNacimiento]],TODAY(),"Y")</f>
        <v>21</v>
      </c>
      <c r="E2333" s="4" t="s">
        <v>12</v>
      </c>
      <c r="F2333" t="s">
        <v>295</v>
      </c>
      <c r="G2333" s="1">
        <v>44989</v>
      </c>
      <c r="H2333" s="1">
        <f>TablaDatos[[#This Row],[FechaIngreso]]+TablaDatos[[#This Row],[DiasNuevo]]</f>
        <v>44991</v>
      </c>
      <c r="I2333">
        <v>2</v>
      </c>
      <c r="J2333" t="s">
        <v>25</v>
      </c>
      <c r="K2333" s="3">
        <v>447.31</v>
      </c>
      <c r="L2333" t="b">
        <f>TablaDatos[[#This Row],[FechaAlta]] &lt; TablaDatos[[#This Row],[FechaIngreso]]</f>
        <v>0</v>
      </c>
      <c r="M2333">
        <f>_xlfn.XLOOKUP(TablaDatos[[#This Row],[PacienteID]],'Datos_Ejemplo.csv'!A:A,'Datos_Ejemplo.csv'!I:I)</f>
        <v>2</v>
      </c>
      <c r="N2333">
        <f>ABS(TablaDatos[[#This Row],[DiasOriginal]])</f>
        <v>2</v>
      </c>
      <c r="O2333" s="1">
        <f>TablaDatos[[#This Row],[FechaIngreso]]+TablaDatos[[#This Row],[DiasNuevo]]</f>
        <v>44991</v>
      </c>
    </row>
    <row r="2334" spans="1:15">
      <c r="A2334">
        <v>2333</v>
      </c>
      <c r="B2334" t="s">
        <v>311</v>
      </c>
      <c r="C2334" s="1">
        <v>28856</v>
      </c>
      <c r="D2334">
        <v>47</v>
      </c>
      <c r="E2334" s="4" t="s">
        <v>12</v>
      </c>
      <c r="F2334" t="s">
        <v>201</v>
      </c>
      <c r="G2334" s="1">
        <v>45287</v>
      </c>
      <c r="H2334" s="1">
        <f>TablaDatos[[#This Row],[FechaIngreso]]+TablaDatos[[#This Row],[DiasNuevo]]</f>
        <v>45292</v>
      </c>
      <c r="I2334">
        <v>5</v>
      </c>
      <c r="J2334" t="s">
        <v>25</v>
      </c>
      <c r="K2334" s="3">
        <v>14640.53</v>
      </c>
      <c r="L2334" t="b">
        <f>TablaDatos[[#This Row],[FechaAlta]] &lt; TablaDatos[[#This Row],[FechaIngreso]]</f>
        <v>0</v>
      </c>
      <c r="M2334">
        <f>_xlfn.XLOOKUP(TablaDatos[[#This Row],[PacienteID]],'Datos_Ejemplo.csv'!A:A,'Datos_Ejemplo.csv'!I:I)</f>
        <v>5</v>
      </c>
      <c r="N2334">
        <f>ABS(TablaDatos[[#This Row],[DiasOriginal]])</f>
        <v>5</v>
      </c>
      <c r="O2334" s="1">
        <f>TablaDatos[[#This Row],[FechaIngreso]]+TablaDatos[[#This Row],[DiasNuevo]]</f>
        <v>45292</v>
      </c>
    </row>
    <row r="2335" spans="1:15">
      <c r="A2335">
        <v>2334</v>
      </c>
      <c r="B2335" t="s">
        <v>352</v>
      </c>
      <c r="C2335" s="1">
        <v>32873</v>
      </c>
      <c r="D2335">
        <v>36</v>
      </c>
      <c r="E2335" s="4" t="s">
        <v>15</v>
      </c>
      <c r="F2335" t="s">
        <v>18</v>
      </c>
      <c r="G2335" s="1">
        <v>45470</v>
      </c>
      <c r="H2335" s="1">
        <f>TablaDatos[[#This Row],[FechaIngreso]]+TablaDatos[[#This Row],[DiasNuevo]]</f>
        <v>45485</v>
      </c>
      <c r="I2335">
        <v>15</v>
      </c>
      <c r="J2335" t="s">
        <v>19</v>
      </c>
      <c r="K2335" s="3">
        <v>15654.69</v>
      </c>
      <c r="L2335" t="b">
        <f>TablaDatos[[#This Row],[FechaAlta]] &lt; TablaDatos[[#This Row],[FechaIngreso]]</f>
        <v>0</v>
      </c>
      <c r="M2335">
        <f>_xlfn.XLOOKUP(TablaDatos[[#This Row],[PacienteID]],'Datos_Ejemplo.csv'!A:A,'Datos_Ejemplo.csv'!I:I)</f>
        <v>15</v>
      </c>
      <c r="N2335">
        <f>ABS(TablaDatos[[#This Row],[DiasOriginal]])</f>
        <v>15</v>
      </c>
      <c r="O2335" s="1">
        <f>TablaDatos[[#This Row],[FechaIngreso]]+TablaDatos[[#This Row],[DiasNuevo]]</f>
        <v>45485</v>
      </c>
    </row>
    <row r="2336" spans="1:15">
      <c r="A2336">
        <v>2335</v>
      </c>
      <c r="B2336" t="s">
        <v>246</v>
      </c>
      <c r="C2336" s="1">
        <v>40909</v>
      </c>
      <c r="D2336">
        <v>14</v>
      </c>
      <c r="E2336" s="4" t="s">
        <v>197</v>
      </c>
      <c r="F2336" t="s">
        <v>13</v>
      </c>
      <c r="G2336" s="1">
        <v>45036</v>
      </c>
      <c r="H2336" s="1">
        <f>TablaDatos[[#This Row],[FechaIngreso]]+TablaDatos[[#This Row],[DiasNuevo]]</f>
        <v>45068</v>
      </c>
      <c r="I2336">
        <v>32</v>
      </c>
      <c r="J2336" t="s">
        <v>19</v>
      </c>
      <c r="K2336" s="3">
        <v>13978.63</v>
      </c>
      <c r="L2336" t="b">
        <f>TablaDatos[[#This Row],[FechaAlta]] &lt; TablaDatos[[#This Row],[FechaIngreso]]</f>
        <v>0</v>
      </c>
      <c r="M2336">
        <f>_xlfn.XLOOKUP(TablaDatos[[#This Row],[PacienteID]],'Datos_Ejemplo.csv'!A:A,'Datos_Ejemplo.csv'!I:I)</f>
        <v>32</v>
      </c>
      <c r="N2336">
        <f>ABS(TablaDatos[[#This Row],[DiasOriginal]])</f>
        <v>32</v>
      </c>
      <c r="O2336" s="1">
        <f>TablaDatos[[#This Row],[FechaIngreso]]+TablaDatos[[#This Row],[DiasNuevo]]</f>
        <v>45068</v>
      </c>
    </row>
    <row r="2337" spans="1:15">
      <c r="A2337">
        <v>2336</v>
      </c>
      <c r="B2337" t="s">
        <v>366</v>
      </c>
      <c r="C2337" s="1">
        <v>33604</v>
      </c>
      <c r="D2337">
        <v>34</v>
      </c>
      <c r="E2337" s="4" t="s">
        <v>15</v>
      </c>
      <c r="F2337" t="s">
        <v>295</v>
      </c>
      <c r="G2337" s="1">
        <v>45603</v>
      </c>
      <c r="H2337" s="1">
        <f>TablaDatos[[#This Row],[FechaIngreso]]+TablaDatos[[#This Row],[DiasNuevo]]</f>
        <v>45606</v>
      </c>
      <c r="I2337">
        <v>3</v>
      </c>
      <c r="J2337" t="s">
        <v>23</v>
      </c>
      <c r="K2337" s="3">
        <v>14245.28</v>
      </c>
      <c r="L2337" t="b">
        <f>TablaDatos[[#This Row],[FechaAlta]] &lt; TablaDatos[[#This Row],[FechaIngreso]]</f>
        <v>0</v>
      </c>
      <c r="M2337">
        <f>_xlfn.XLOOKUP(TablaDatos[[#This Row],[PacienteID]],'Datos_Ejemplo.csv'!A:A,'Datos_Ejemplo.csv'!I:I)</f>
        <v>3</v>
      </c>
      <c r="N2337">
        <f>ABS(TablaDatos[[#This Row],[DiasOriginal]])</f>
        <v>3</v>
      </c>
      <c r="O2337" s="1">
        <f>TablaDatos[[#This Row],[FechaIngreso]]+TablaDatos[[#This Row],[DiasNuevo]]</f>
        <v>45606</v>
      </c>
    </row>
    <row r="2338" spans="1:15">
      <c r="A2338">
        <v>2337</v>
      </c>
      <c r="B2338" t="s">
        <v>276</v>
      </c>
      <c r="C2338" s="1">
        <v>12785</v>
      </c>
      <c r="D2338">
        <v>91</v>
      </c>
      <c r="E2338" s="4" t="s">
        <v>15</v>
      </c>
      <c r="F2338" t="s">
        <v>201</v>
      </c>
      <c r="G2338" s="1">
        <v>45120</v>
      </c>
      <c r="H2338" s="1">
        <f>TablaDatos[[#This Row],[FechaIngreso]]+TablaDatos[[#This Row],[DiasNuevo]]</f>
        <v>45140</v>
      </c>
      <c r="I2338">
        <v>20</v>
      </c>
      <c r="J2338" t="s">
        <v>23</v>
      </c>
      <c r="K2338" s="3">
        <v>732.2</v>
      </c>
      <c r="L2338" t="b">
        <f>TablaDatos[[#This Row],[FechaAlta]] &lt; TablaDatos[[#This Row],[FechaIngreso]]</f>
        <v>0</v>
      </c>
      <c r="M2338">
        <f>_xlfn.XLOOKUP(TablaDatos[[#This Row],[PacienteID]],'Datos_Ejemplo.csv'!A:A,'Datos_Ejemplo.csv'!I:I)</f>
        <v>20</v>
      </c>
      <c r="N2338">
        <f>ABS(TablaDatos[[#This Row],[DiasOriginal]])</f>
        <v>20</v>
      </c>
      <c r="O2338" s="1">
        <f>TablaDatos[[#This Row],[FechaIngreso]]+TablaDatos[[#This Row],[DiasNuevo]]</f>
        <v>45140</v>
      </c>
    </row>
    <row r="2339" spans="1:15">
      <c r="A2339">
        <v>2338</v>
      </c>
      <c r="B2339" t="s">
        <v>334</v>
      </c>
      <c r="C2339" s="1">
        <v>20455</v>
      </c>
      <c r="D2339">
        <v>70</v>
      </c>
      <c r="E2339" s="4" t="s">
        <v>15</v>
      </c>
      <c r="F2339" t="s">
        <v>201</v>
      </c>
      <c r="G2339" s="1">
        <v>45445</v>
      </c>
      <c r="H2339" s="1">
        <f>TablaDatos[[#This Row],[FechaIngreso]]+TablaDatos[[#This Row],[DiasNuevo]]</f>
        <v>45468</v>
      </c>
      <c r="I2339">
        <v>23</v>
      </c>
      <c r="J2339" t="s">
        <v>23</v>
      </c>
      <c r="K2339" s="3">
        <v>8784.98</v>
      </c>
      <c r="L2339" t="b">
        <f>TablaDatos[[#This Row],[FechaAlta]] &lt; TablaDatos[[#This Row],[FechaIngreso]]</f>
        <v>0</v>
      </c>
      <c r="M2339">
        <f>_xlfn.XLOOKUP(TablaDatos[[#This Row],[PacienteID]],'Datos_Ejemplo.csv'!A:A,'Datos_Ejemplo.csv'!I:I)</f>
        <v>23</v>
      </c>
      <c r="N2339">
        <f>ABS(TablaDatos[[#This Row],[DiasOriginal]])</f>
        <v>23</v>
      </c>
      <c r="O2339" s="1">
        <f>TablaDatos[[#This Row],[FechaIngreso]]+TablaDatos[[#This Row],[DiasNuevo]]</f>
        <v>45468</v>
      </c>
    </row>
    <row r="2340" spans="1:15">
      <c r="A2340">
        <v>2339</v>
      </c>
      <c r="B2340" t="s">
        <v>39</v>
      </c>
      <c r="C2340" s="1">
        <v>34700</v>
      </c>
      <c r="D2340">
        <v>31</v>
      </c>
      <c r="E2340" s="4" t="s">
        <v>12</v>
      </c>
      <c r="F2340" t="s">
        <v>201</v>
      </c>
      <c r="G2340" s="1">
        <v>45577</v>
      </c>
      <c r="H2340" s="1">
        <f>TablaDatos[[#This Row],[FechaIngreso]]+TablaDatos[[#This Row],[DiasNuevo]]</f>
        <v>45613</v>
      </c>
      <c r="I2340">
        <v>36</v>
      </c>
      <c r="J2340" t="s">
        <v>19</v>
      </c>
      <c r="K2340" s="3">
        <v>16345.41</v>
      </c>
      <c r="L2340" t="b">
        <f>TablaDatos[[#This Row],[FechaAlta]] &lt; TablaDatos[[#This Row],[FechaIngreso]]</f>
        <v>0</v>
      </c>
      <c r="M2340">
        <f>_xlfn.XLOOKUP(TablaDatos[[#This Row],[PacienteID]],'Datos_Ejemplo.csv'!A:A,'Datos_Ejemplo.csv'!I:I)</f>
        <v>36</v>
      </c>
      <c r="N2340">
        <f>ABS(TablaDatos[[#This Row],[DiasOriginal]])</f>
        <v>36</v>
      </c>
      <c r="O2340" s="1">
        <f>TablaDatos[[#This Row],[FechaIngreso]]+TablaDatos[[#This Row],[DiasNuevo]]</f>
        <v>45613</v>
      </c>
    </row>
    <row r="2341" spans="1:15">
      <c r="A2341">
        <v>2340</v>
      </c>
      <c r="B2341" t="s">
        <v>341</v>
      </c>
      <c r="C2341" s="1">
        <v>42370</v>
      </c>
      <c r="D2341">
        <v>10</v>
      </c>
      <c r="E2341" s="4" t="s">
        <v>12</v>
      </c>
      <c r="F2341" t="s">
        <v>261</v>
      </c>
      <c r="G2341" s="1">
        <v>45385</v>
      </c>
      <c r="H2341" s="1">
        <f>TablaDatos[[#This Row],[FechaIngreso]]+TablaDatos[[#This Row],[DiasNuevo]]</f>
        <v>45406</v>
      </c>
      <c r="I2341">
        <v>21</v>
      </c>
      <c r="J2341" t="s">
        <v>23</v>
      </c>
      <c r="K2341" s="3">
        <v>18673.54</v>
      </c>
      <c r="L2341" t="b">
        <f>TablaDatos[[#This Row],[FechaAlta]] &lt; TablaDatos[[#This Row],[FechaIngreso]]</f>
        <v>0</v>
      </c>
      <c r="M2341">
        <f>_xlfn.XLOOKUP(TablaDatos[[#This Row],[PacienteID]],'Datos_Ejemplo.csv'!A:A,'Datos_Ejemplo.csv'!I:I)</f>
        <v>21</v>
      </c>
      <c r="N2341">
        <f>ABS(TablaDatos[[#This Row],[DiasOriginal]])</f>
        <v>21</v>
      </c>
      <c r="O2341" s="1">
        <f>TablaDatos[[#This Row],[FechaIngreso]]+TablaDatos[[#This Row],[DiasNuevo]]</f>
        <v>45406</v>
      </c>
    </row>
    <row r="2342" spans="1:15">
      <c r="A2342">
        <v>2341</v>
      </c>
      <c r="B2342" t="s">
        <v>334</v>
      </c>
      <c r="C2342" s="1">
        <v>42735</v>
      </c>
      <c r="D2342">
        <v>9</v>
      </c>
      <c r="E2342" s="4" t="s">
        <v>15</v>
      </c>
      <c r="F2342" t="s">
        <v>295</v>
      </c>
      <c r="G2342" s="1">
        <v>45227</v>
      </c>
      <c r="H2342" s="1">
        <f>TablaDatos[[#This Row],[FechaIngreso]]+TablaDatos[[#This Row],[DiasNuevo]]</f>
        <v>45234</v>
      </c>
      <c r="I2342">
        <v>7</v>
      </c>
      <c r="J2342" t="s">
        <v>25</v>
      </c>
      <c r="K2342" s="3">
        <v>4512.3100000000004</v>
      </c>
      <c r="L2342" t="b">
        <f>TablaDatos[[#This Row],[FechaAlta]] &lt; TablaDatos[[#This Row],[FechaIngreso]]</f>
        <v>0</v>
      </c>
      <c r="M2342">
        <f>_xlfn.XLOOKUP(TablaDatos[[#This Row],[PacienteID]],'Datos_Ejemplo.csv'!A:A,'Datos_Ejemplo.csv'!I:I)</f>
        <v>7</v>
      </c>
      <c r="N2342">
        <f>ABS(TablaDatos[[#This Row],[DiasOriginal]])</f>
        <v>7</v>
      </c>
      <c r="O2342" s="1">
        <f>TablaDatos[[#This Row],[FechaIngreso]]+TablaDatos[[#This Row],[DiasNuevo]]</f>
        <v>45234</v>
      </c>
    </row>
    <row r="2343" spans="1:15">
      <c r="A2343">
        <v>2342</v>
      </c>
      <c r="B2343" t="s">
        <v>292</v>
      </c>
      <c r="C2343" s="1">
        <v>19724</v>
      </c>
      <c r="D2343">
        <v>72</v>
      </c>
      <c r="E2343" s="4" t="s">
        <v>12</v>
      </c>
      <c r="F2343" t="s">
        <v>295</v>
      </c>
      <c r="G2343" s="1">
        <v>45494</v>
      </c>
      <c r="H2343" s="1">
        <f>TablaDatos[[#This Row],[FechaIngreso]]+TablaDatos[[#This Row],[DiasNuevo]]</f>
        <v>45506</v>
      </c>
      <c r="I2343">
        <v>12</v>
      </c>
      <c r="J2343" t="s">
        <v>25</v>
      </c>
      <c r="K2343" s="3">
        <v>11541.82</v>
      </c>
      <c r="L2343" t="b">
        <f>TablaDatos[[#This Row],[FechaAlta]] &lt; TablaDatos[[#This Row],[FechaIngreso]]</f>
        <v>0</v>
      </c>
      <c r="M2343">
        <f>_xlfn.XLOOKUP(TablaDatos[[#This Row],[PacienteID]],'Datos_Ejemplo.csv'!A:A,'Datos_Ejemplo.csv'!I:I)</f>
        <v>12</v>
      </c>
      <c r="N2343">
        <f>ABS(TablaDatos[[#This Row],[DiasOriginal]])</f>
        <v>12</v>
      </c>
      <c r="O2343" s="1">
        <f>TablaDatos[[#This Row],[FechaIngreso]]+TablaDatos[[#This Row],[DiasNuevo]]</f>
        <v>45506</v>
      </c>
    </row>
    <row r="2344" spans="1:15">
      <c r="A2344">
        <v>2343</v>
      </c>
      <c r="B2344" t="s">
        <v>368</v>
      </c>
      <c r="C2344" s="1">
        <v>17898</v>
      </c>
      <c r="D2344">
        <v>77</v>
      </c>
      <c r="E2344" s="4" t="s">
        <v>15</v>
      </c>
      <c r="F2344" t="s">
        <v>13</v>
      </c>
      <c r="G2344" s="1">
        <v>45598</v>
      </c>
      <c r="H2344" s="1">
        <f>TablaDatos[[#This Row],[FechaIngreso]]+TablaDatos[[#This Row],[DiasNuevo]]</f>
        <v>45633</v>
      </c>
      <c r="I2344">
        <v>35</v>
      </c>
      <c r="J2344" t="s">
        <v>25</v>
      </c>
      <c r="K2344" s="3">
        <v>16067.04</v>
      </c>
      <c r="L2344" t="b">
        <f>TablaDatos[[#This Row],[FechaAlta]] &lt; TablaDatos[[#This Row],[FechaIngreso]]</f>
        <v>0</v>
      </c>
      <c r="M2344">
        <f>_xlfn.XLOOKUP(TablaDatos[[#This Row],[PacienteID]],'Datos_Ejemplo.csv'!A:A,'Datos_Ejemplo.csv'!I:I)</f>
        <v>35</v>
      </c>
      <c r="N2344">
        <f>ABS(TablaDatos[[#This Row],[DiasOriginal]])</f>
        <v>35</v>
      </c>
      <c r="O2344" s="1">
        <f>TablaDatos[[#This Row],[FechaIngreso]]+TablaDatos[[#This Row],[DiasNuevo]]</f>
        <v>45633</v>
      </c>
    </row>
    <row r="2345" spans="1:15">
      <c r="A2345">
        <v>2344</v>
      </c>
      <c r="B2345" t="s">
        <v>336</v>
      </c>
      <c r="C2345" s="1">
        <v>18263</v>
      </c>
      <c r="D2345">
        <v>76</v>
      </c>
      <c r="E2345" s="4" t="s">
        <v>12</v>
      </c>
      <c r="F2345" t="s">
        <v>21</v>
      </c>
      <c r="G2345" s="1">
        <v>45422</v>
      </c>
      <c r="H2345" s="1">
        <f>TablaDatos[[#This Row],[FechaIngreso]]+TablaDatos[[#This Row],[DiasNuevo]]</f>
        <v>45439</v>
      </c>
      <c r="I2345">
        <v>17</v>
      </c>
      <c r="J2345" t="s">
        <v>23</v>
      </c>
      <c r="K2345" s="3">
        <v>15023.39</v>
      </c>
      <c r="L2345" t="b">
        <f>TablaDatos[[#This Row],[FechaAlta]] &lt; TablaDatos[[#This Row],[FechaIngreso]]</f>
        <v>0</v>
      </c>
      <c r="M2345">
        <f>_xlfn.XLOOKUP(TablaDatos[[#This Row],[PacienteID]],'Datos_Ejemplo.csv'!A:A,'Datos_Ejemplo.csv'!I:I)</f>
        <v>17</v>
      </c>
      <c r="N2345">
        <f>ABS(TablaDatos[[#This Row],[DiasOriginal]])</f>
        <v>17</v>
      </c>
      <c r="O2345" s="1">
        <f>TablaDatos[[#This Row],[FechaIngreso]]+TablaDatos[[#This Row],[DiasNuevo]]</f>
        <v>45439</v>
      </c>
    </row>
    <row r="2346" spans="1:15">
      <c r="A2346">
        <v>2345</v>
      </c>
      <c r="B2346" t="s">
        <v>278</v>
      </c>
      <c r="C2346" s="1">
        <v>25568</v>
      </c>
      <c r="D2346">
        <v>56</v>
      </c>
      <c r="E2346" s="4" t="s">
        <v>197</v>
      </c>
      <c r="F2346" t="s">
        <v>261</v>
      </c>
      <c r="G2346" s="1">
        <v>45075</v>
      </c>
      <c r="H2346" s="1">
        <f>TablaDatos[[#This Row],[FechaIngreso]]+TablaDatos[[#This Row],[DiasNuevo]]</f>
        <v>45101</v>
      </c>
      <c r="I2346">
        <v>26</v>
      </c>
      <c r="J2346" t="s">
        <v>25</v>
      </c>
      <c r="K2346" s="3">
        <v>12339.69</v>
      </c>
      <c r="L2346" t="b">
        <f>TablaDatos[[#This Row],[FechaAlta]] &lt; TablaDatos[[#This Row],[FechaIngreso]]</f>
        <v>0</v>
      </c>
      <c r="M2346">
        <f>_xlfn.XLOOKUP(TablaDatos[[#This Row],[PacienteID]],'Datos_Ejemplo.csv'!A:A,'Datos_Ejemplo.csv'!I:I)</f>
        <v>26</v>
      </c>
      <c r="N2346">
        <f>ABS(TablaDatos[[#This Row],[DiasOriginal]])</f>
        <v>26</v>
      </c>
      <c r="O2346" s="1">
        <f>TablaDatos[[#This Row],[FechaIngreso]]+TablaDatos[[#This Row],[DiasNuevo]]</f>
        <v>45101</v>
      </c>
    </row>
    <row r="2347" spans="1:15">
      <c r="A2347">
        <v>2346</v>
      </c>
      <c r="B2347" t="s">
        <v>49</v>
      </c>
      <c r="C2347" s="1">
        <v>37256</v>
      </c>
      <c r="D2347">
        <v>24</v>
      </c>
      <c r="E2347" s="4" t="s">
        <v>15</v>
      </c>
      <c r="F2347" t="s">
        <v>201</v>
      </c>
      <c r="G2347" s="1">
        <v>45387</v>
      </c>
      <c r="H2347" s="1">
        <f>TablaDatos[[#This Row],[FechaIngreso]]+TablaDatos[[#This Row],[DiasNuevo]]</f>
        <v>45390</v>
      </c>
      <c r="I2347">
        <v>3</v>
      </c>
      <c r="J2347" t="s">
        <v>25</v>
      </c>
      <c r="K2347" s="3">
        <v>275.69</v>
      </c>
      <c r="L2347" t="b">
        <f>TablaDatos[[#This Row],[FechaAlta]] &lt; TablaDatos[[#This Row],[FechaIngreso]]</f>
        <v>0</v>
      </c>
      <c r="M2347">
        <f>_xlfn.XLOOKUP(TablaDatos[[#This Row],[PacienteID]],'Datos_Ejemplo.csv'!A:A,'Datos_Ejemplo.csv'!I:I)</f>
        <v>3</v>
      </c>
      <c r="N2347">
        <f>ABS(TablaDatos[[#This Row],[DiasOriginal]])</f>
        <v>3</v>
      </c>
      <c r="O2347" s="1">
        <f>TablaDatos[[#This Row],[FechaIngreso]]+TablaDatos[[#This Row],[DiasNuevo]]</f>
        <v>45390</v>
      </c>
    </row>
    <row r="2348" spans="1:15">
      <c r="A2348">
        <v>2347</v>
      </c>
      <c r="B2348" t="s">
        <v>286</v>
      </c>
      <c r="C2348" s="1">
        <v>45657</v>
      </c>
      <c r="D2348">
        <v>1</v>
      </c>
      <c r="E2348" s="4" t="s">
        <v>12</v>
      </c>
      <c r="F2348" t="s">
        <v>13</v>
      </c>
      <c r="G2348" s="1">
        <v>45065</v>
      </c>
      <c r="H2348" s="1">
        <f>TablaDatos[[#This Row],[FechaIngreso]]+TablaDatos[[#This Row],[DiasNuevo]]</f>
        <v>45071</v>
      </c>
      <c r="I2348">
        <v>6</v>
      </c>
      <c r="J2348" t="s">
        <v>19</v>
      </c>
      <c r="K2348" s="3">
        <v>14450.11</v>
      </c>
      <c r="L2348" t="b">
        <f>TablaDatos[[#This Row],[FechaAlta]] &lt; TablaDatos[[#This Row],[FechaIngreso]]</f>
        <v>0</v>
      </c>
      <c r="M2348">
        <f>_xlfn.XLOOKUP(TablaDatos[[#This Row],[PacienteID]],'Datos_Ejemplo.csv'!A:A,'Datos_Ejemplo.csv'!I:I)</f>
        <v>6</v>
      </c>
      <c r="N2348">
        <f>ABS(TablaDatos[[#This Row],[DiasOriginal]])</f>
        <v>6</v>
      </c>
      <c r="O2348" s="1">
        <f>TablaDatos[[#This Row],[FechaIngreso]]+TablaDatos[[#This Row],[DiasNuevo]]</f>
        <v>45071</v>
      </c>
    </row>
    <row r="2349" spans="1:15">
      <c r="A2349">
        <v>2348</v>
      </c>
      <c r="B2349" t="s">
        <v>286</v>
      </c>
      <c r="C2349" s="1">
        <v>23012</v>
      </c>
      <c r="D2349">
        <v>63</v>
      </c>
      <c r="E2349" s="4" t="s">
        <v>12</v>
      </c>
      <c r="F2349" t="s">
        <v>295</v>
      </c>
      <c r="G2349" s="1">
        <v>45218</v>
      </c>
      <c r="H2349" s="1">
        <f>TablaDatos[[#This Row],[FechaIngreso]]+TablaDatos[[#This Row],[DiasNuevo]]</f>
        <v>45220</v>
      </c>
      <c r="I2349">
        <v>2</v>
      </c>
      <c r="J2349" t="s">
        <v>19</v>
      </c>
      <c r="K2349" s="3">
        <v>15442.17</v>
      </c>
      <c r="L2349" t="b">
        <f>TablaDatos[[#This Row],[FechaAlta]] &lt; TablaDatos[[#This Row],[FechaIngreso]]</f>
        <v>0</v>
      </c>
      <c r="M2349">
        <f>_xlfn.XLOOKUP(TablaDatos[[#This Row],[PacienteID]],'Datos_Ejemplo.csv'!A:A,'Datos_Ejemplo.csv'!I:I)</f>
        <v>2</v>
      </c>
      <c r="N2349">
        <f>ABS(TablaDatos[[#This Row],[DiasOriginal]])</f>
        <v>2</v>
      </c>
      <c r="O2349" s="1">
        <f>TablaDatos[[#This Row],[FechaIngreso]]+TablaDatos[[#This Row],[DiasNuevo]]</f>
        <v>45220</v>
      </c>
    </row>
    <row r="2350" spans="1:15">
      <c r="A2350">
        <v>2349</v>
      </c>
      <c r="B2350" t="s">
        <v>244</v>
      </c>
      <c r="C2350" s="1">
        <v>33604</v>
      </c>
      <c r="D2350">
        <v>34</v>
      </c>
      <c r="E2350" s="4" t="s">
        <v>15</v>
      </c>
      <c r="F2350" t="s">
        <v>261</v>
      </c>
      <c r="G2350" s="1">
        <v>45261</v>
      </c>
      <c r="H2350" s="1">
        <f>TablaDatos[[#This Row],[FechaIngreso]]+TablaDatos[[#This Row],[DiasNuevo]]</f>
        <v>45297</v>
      </c>
      <c r="I2350">
        <v>36</v>
      </c>
      <c r="J2350" t="s">
        <v>23</v>
      </c>
      <c r="K2350" s="3">
        <v>14429.28</v>
      </c>
      <c r="L2350" t="b">
        <f>TablaDatos[[#This Row],[FechaAlta]] &lt; TablaDatos[[#This Row],[FechaIngreso]]</f>
        <v>0</v>
      </c>
      <c r="M2350">
        <f>_xlfn.XLOOKUP(TablaDatos[[#This Row],[PacienteID]],'Datos_Ejemplo.csv'!A:A,'Datos_Ejemplo.csv'!I:I)</f>
        <v>36</v>
      </c>
      <c r="N2350">
        <f>ABS(TablaDatos[[#This Row],[DiasOriginal]])</f>
        <v>36</v>
      </c>
      <c r="O2350" s="1">
        <f>TablaDatos[[#This Row],[FechaIngreso]]+TablaDatos[[#This Row],[DiasNuevo]]</f>
        <v>45297</v>
      </c>
    </row>
    <row r="2351" spans="1:15">
      <c r="A2351">
        <v>2350</v>
      </c>
      <c r="B2351" t="s">
        <v>67</v>
      </c>
      <c r="C2351" s="1">
        <v>43831</v>
      </c>
      <c r="D2351">
        <v>6</v>
      </c>
      <c r="E2351" s="4" t="s">
        <v>12</v>
      </c>
      <c r="F2351" t="s">
        <v>18</v>
      </c>
      <c r="G2351" s="1">
        <v>45625</v>
      </c>
      <c r="H2351" s="1">
        <f>TablaDatos[[#This Row],[FechaIngreso]]+TablaDatos[[#This Row],[DiasNuevo]]</f>
        <v>45641</v>
      </c>
      <c r="I2351">
        <v>16</v>
      </c>
      <c r="J2351" t="s">
        <v>19</v>
      </c>
      <c r="K2351" s="3">
        <v>15292.76</v>
      </c>
      <c r="L2351" t="b">
        <f>TablaDatos[[#This Row],[FechaAlta]] &lt; TablaDatos[[#This Row],[FechaIngreso]]</f>
        <v>0</v>
      </c>
      <c r="M2351">
        <f>_xlfn.XLOOKUP(TablaDatos[[#This Row],[PacienteID]],'Datos_Ejemplo.csv'!A:A,'Datos_Ejemplo.csv'!I:I)</f>
        <v>16</v>
      </c>
      <c r="N2351">
        <f>ABS(TablaDatos[[#This Row],[DiasOriginal]])</f>
        <v>16</v>
      </c>
      <c r="O2351" s="1">
        <f>TablaDatos[[#This Row],[FechaIngreso]]+TablaDatos[[#This Row],[DiasNuevo]]</f>
        <v>45641</v>
      </c>
    </row>
    <row r="2352" spans="1:15">
      <c r="A2352">
        <v>2351</v>
      </c>
      <c r="B2352" t="s">
        <v>277</v>
      </c>
      <c r="C2352" s="1">
        <v>15341</v>
      </c>
      <c r="D2352">
        <v>84</v>
      </c>
      <c r="E2352" s="4" t="s">
        <v>12</v>
      </c>
      <c r="F2352" t="s">
        <v>295</v>
      </c>
      <c r="G2352" s="1">
        <v>45110</v>
      </c>
      <c r="H2352" s="1">
        <f>TablaDatos[[#This Row],[FechaIngreso]]+TablaDatos[[#This Row],[DiasNuevo]]</f>
        <v>45112</v>
      </c>
      <c r="I2352">
        <v>2</v>
      </c>
      <c r="J2352" t="s">
        <v>23</v>
      </c>
      <c r="K2352" s="3">
        <v>8561.39</v>
      </c>
      <c r="L2352" t="b">
        <f>TablaDatos[[#This Row],[FechaAlta]] &lt; TablaDatos[[#This Row],[FechaIngreso]]</f>
        <v>0</v>
      </c>
      <c r="M2352">
        <f>_xlfn.XLOOKUP(TablaDatos[[#This Row],[PacienteID]],'Datos_Ejemplo.csv'!A:A,'Datos_Ejemplo.csv'!I:I)</f>
        <v>2</v>
      </c>
      <c r="N2352">
        <f>ABS(TablaDatos[[#This Row],[DiasOriginal]])</f>
        <v>2</v>
      </c>
      <c r="O2352" s="1">
        <f>TablaDatos[[#This Row],[FechaIngreso]]+TablaDatos[[#This Row],[DiasNuevo]]</f>
        <v>45112</v>
      </c>
    </row>
    <row r="2353" spans="1:15">
      <c r="A2353">
        <v>2352</v>
      </c>
      <c r="B2353" t="s">
        <v>301</v>
      </c>
      <c r="C2353" s="1">
        <v>39813</v>
      </c>
      <c r="D2353">
        <v>17</v>
      </c>
      <c r="E2353" s="4" t="s">
        <v>15</v>
      </c>
      <c r="F2353" t="s">
        <v>18</v>
      </c>
      <c r="G2353" s="1">
        <v>45233</v>
      </c>
      <c r="H2353" s="1">
        <f>TablaDatos[[#This Row],[FechaIngreso]]+TablaDatos[[#This Row],[DiasNuevo]]</f>
        <v>45250</v>
      </c>
      <c r="I2353">
        <v>17</v>
      </c>
      <c r="J2353" t="s">
        <v>23</v>
      </c>
      <c r="K2353" s="3">
        <v>19874.419999999998</v>
      </c>
      <c r="L2353" t="b">
        <f>TablaDatos[[#This Row],[FechaAlta]] &lt; TablaDatos[[#This Row],[FechaIngreso]]</f>
        <v>0</v>
      </c>
      <c r="M2353">
        <f>_xlfn.XLOOKUP(TablaDatos[[#This Row],[PacienteID]],'Datos_Ejemplo.csv'!A:A,'Datos_Ejemplo.csv'!I:I)</f>
        <v>17</v>
      </c>
      <c r="N2353">
        <f>ABS(TablaDatos[[#This Row],[DiasOriginal]])</f>
        <v>17</v>
      </c>
      <c r="O2353" s="1">
        <f>TablaDatos[[#This Row],[FechaIngreso]]+TablaDatos[[#This Row],[DiasNuevo]]</f>
        <v>45250</v>
      </c>
    </row>
    <row r="2354" spans="1:15">
      <c r="A2354">
        <v>2353</v>
      </c>
      <c r="B2354" t="s">
        <v>136</v>
      </c>
      <c r="C2354" s="1">
        <v>21916</v>
      </c>
      <c r="D2354">
        <v>66</v>
      </c>
      <c r="E2354" s="4" t="s">
        <v>15</v>
      </c>
      <c r="F2354" t="s">
        <v>32</v>
      </c>
      <c r="G2354" s="1">
        <v>45188</v>
      </c>
      <c r="H2354" s="1">
        <f>TablaDatos[[#This Row],[FechaIngreso]]+TablaDatos[[#This Row],[DiasNuevo]]</f>
        <v>45196</v>
      </c>
      <c r="I2354">
        <v>8</v>
      </c>
      <c r="J2354" t="s">
        <v>23</v>
      </c>
      <c r="K2354" s="3">
        <v>15392.82</v>
      </c>
      <c r="L2354" t="b">
        <f>TablaDatos[[#This Row],[FechaAlta]] &lt; TablaDatos[[#This Row],[FechaIngreso]]</f>
        <v>0</v>
      </c>
      <c r="M2354">
        <f>_xlfn.XLOOKUP(TablaDatos[[#This Row],[PacienteID]],'Datos_Ejemplo.csv'!A:A,'Datos_Ejemplo.csv'!I:I)</f>
        <v>8</v>
      </c>
      <c r="N2354">
        <f>ABS(TablaDatos[[#This Row],[DiasOriginal]])</f>
        <v>8</v>
      </c>
      <c r="O2354" s="1">
        <f>TablaDatos[[#This Row],[FechaIngreso]]+TablaDatos[[#This Row],[DiasNuevo]]</f>
        <v>45196</v>
      </c>
    </row>
    <row r="2355" spans="1:15">
      <c r="A2355">
        <v>2354</v>
      </c>
      <c r="B2355" t="s">
        <v>269</v>
      </c>
      <c r="C2355" s="1">
        <v>31047</v>
      </c>
      <c r="D2355">
        <v>41</v>
      </c>
      <c r="E2355" s="4" t="s">
        <v>15</v>
      </c>
      <c r="F2355" t="s">
        <v>18</v>
      </c>
      <c r="G2355" s="1">
        <v>45236</v>
      </c>
      <c r="H2355" s="1">
        <f>TablaDatos[[#This Row],[FechaIngreso]]+TablaDatos[[#This Row],[DiasNuevo]]</f>
        <v>45260</v>
      </c>
      <c r="I2355">
        <v>24</v>
      </c>
      <c r="J2355" t="s">
        <v>23</v>
      </c>
      <c r="K2355" s="3">
        <v>11531.47</v>
      </c>
      <c r="L2355" t="b">
        <f>TablaDatos[[#This Row],[FechaAlta]] &lt; TablaDatos[[#This Row],[FechaIngreso]]</f>
        <v>0</v>
      </c>
      <c r="M2355">
        <f>_xlfn.XLOOKUP(TablaDatos[[#This Row],[PacienteID]],'Datos_Ejemplo.csv'!A:A,'Datos_Ejemplo.csv'!I:I)</f>
        <v>24</v>
      </c>
      <c r="N2355">
        <f>ABS(TablaDatos[[#This Row],[DiasOriginal]])</f>
        <v>24</v>
      </c>
      <c r="O2355" s="1">
        <f>TablaDatos[[#This Row],[FechaIngreso]]+TablaDatos[[#This Row],[DiasNuevo]]</f>
        <v>45260</v>
      </c>
    </row>
    <row r="2356" spans="1:15">
      <c r="A2356">
        <v>2355</v>
      </c>
      <c r="B2356" t="s">
        <v>146</v>
      </c>
      <c r="C2356" s="1">
        <v>32143</v>
      </c>
      <c r="D2356">
        <v>38</v>
      </c>
      <c r="E2356" s="4" t="s">
        <v>12</v>
      </c>
      <c r="F2356" t="s">
        <v>295</v>
      </c>
      <c r="G2356" s="1">
        <v>45270</v>
      </c>
      <c r="H2356" s="1">
        <f>TablaDatos[[#This Row],[FechaIngreso]]+TablaDatos[[#This Row],[DiasNuevo]]</f>
        <v>45296</v>
      </c>
      <c r="I2356">
        <v>26</v>
      </c>
      <c r="J2356" t="s">
        <v>23</v>
      </c>
      <c r="K2356" s="3">
        <v>18677.240000000002</v>
      </c>
      <c r="L2356" t="b">
        <f>TablaDatos[[#This Row],[FechaAlta]] &lt; TablaDatos[[#This Row],[FechaIngreso]]</f>
        <v>0</v>
      </c>
      <c r="M2356">
        <f>_xlfn.XLOOKUP(TablaDatos[[#This Row],[PacienteID]],'Datos_Ejemplo.csv'!A:A,'Datos_Ejemplo.csv'!I:I)</f>
        <v>26</v>
      </c>
      <c r="N2356">
        <f>ABS(TablaDatos[[#This Row],[DiasOriginal]])</f>
        <v>26</v>
      </c>
      <c r="O2356" s="1">
        <f>TablaDatos[[#This Row],[FechaIngreso]]+TablaDatos[[#This Row],[DiasNuevo]]</f>
        <v>45296</v>
      </c>
    </row>
    <row r="2357" spans="1:15">
      <c r="A2357">
        <v>2356</v>
      </c>
      <c r="B2357" t="s">
        <v>279</v>
      </c>
      <c r="C2357" s="1">
        <v>31412</v>
      </c>
      <c r="D2357">
        <v>40</v>
      </c>
      <c r="E2357" s="4" t="s">
        <v>12</v>
      </c>
      <c r="F2357" t="s">
        <v>13</v>
      </c>
      <c r="G2357" s="1">
        <v>45350</v>
      </c>
      <c r="H2357" s="1">
        <f>TablaDatos[[#This Row],[FechaIngreso]]+TablaDatos[[#This Row],[DiasNuevo]]</f>
        <v>45354</v>
      </c>
      <c r="I2357">
        <v>4</v>
      </c>
      <c r="J2357" t="s">
        <v>19</v>
      </c>
      <c r="K2357" s="3">
        <v>18154.79</v>
      </c>
      <c r="L2357" t="b">
        <f>TablaDatos[[#This Row],[FechaAlta]] &lt; TablaDatos[[#This Row],[FechaIngreso]]</f>
        <v>0</v>
      </c>
      <c r="M2357">
        <f>_xlfn.XLOOKUP(TablaDatos[[#This Row],[PacienteID]],'Datos_Ejemplo.csv'!A:A,'Datos_Ejemplo.csv'!I:I)</f>
        <v>4</v>
      </c>
      <c r="N2357">
        <f>ABS(TablaDatos[[#This Row],[DiasOriginal]])</f>
        <v>4</v>
      </c>
      <c r="O2357" s="1">
        <f>TablaDatos[[#This Row],[FechaIngreso]]+TablaDatos[[#This Row],[DiasNuevo]]</f>
        <v>45354</v>
      </c>
    </row>
    <row r="2358" spans="1:15">
      <c r="A2358">
        <v>2357</v>
      </c>
      <c r="B2358" t="s">
        <v>330</v>
      </c>
      <c r="C2358" s="1">
        <v>18994</v>
      </c>
      <c r="D2358">
        <v>74</v>
      </c>
      <c r="E2358" s="4" t="s">
        <v>12</v>
      </c>
      <c r="F2358" t="s">
        <v>295</v>
      </c>
      <c r="G2358" s="1">
        <v>45583</v>
      </c>
      <c r="H2358" s="1">
        <f>TablaDatos[[#This Row],[FechaIngreso]]+TablaDatos[[#This Row],[DiasNuevo]]</f>
        <v>45583</v>
      </c>
      <c r="I2358">
        <v>0</v>
      </c>
      <c r="J2358" t="s">
        <v>19</v>
      </c>
      <c r="K2358" s="3">
        <v>16272.8</v>
      </c>
      <c r="L2358" t="b">
        <f>TablaDatos[[#This Row],[FechaAlta]] &lt; TablaDatos[[#This Row],[FechaIngreso]]</f>
        <v>0</v>
      </c>
      <c r="M2358">
        <f>_xlfn.XLOOKUP(TablaDatos[[#This Row],[PacienteID]],'Datos_Ejemplo.csv'!A:A,'Datos_Ejemplo.csv'!I:I)</f>
        <v>0</v>
      </c>
      <c r="N2358">
        <f>ABS(TablaDatos[[#This Row],[DiasOriginal]])</f>
        <v>0</v>
      </c>
      <c r="O2358" s="1">
        <f>TablaDatos[[#This Row],[FechaIngreso]]+TablaDatos[[#This Row],[DiasNuevo]]</f>
        <v>45583</v>
      </c>
    </row>
    <row r="2359" spans="1:15">
      <c r="A2359">
        <v>2358</v>
      </c>
      <c r="B2359" t="s">
        <v>360</v>
      </c>
      <c r="C2359" s="1">
        <v>37622</v>
      </c>
      <c r="D2359">
        <v>23</v>
      </c>
      <c r="E2359" s="4" t="s">
        <v>15</v>
      </c>
      <c r="F2359" t="s">
        <v>295</v>
      </c>
      <c r="G2359" s="1">
        <v>45440</v>
      </c>
      <c r="H2359" s="1">
        <f>TablaDatos[[#This Row],[FechaIngreso]]+TablaDatos[[#This Row],[DiasNuevo]]</f>
        <v>45442</v>
      </c>
      <c r="I2359">
        <v>2</v>
      </c>
      <c r="J2359" t="s">
        <v>23</v>
      </c>
      <c r="K2359" s="3">
        <v>11230.27</v>
      </c>
      <c r="L2359" t="b">
        <f>TablaDatos[[#This Row],[FechaAlta]] &lt; TablaDatos[[#This Row],[FechaIngreso]]</f>
        <v>0</v>
      </c>
      <c r="M2359">
        <f>_xlfn.XLOOKUP(TablaDatos[[#This Row],[PacienteID]],'Datos_Ejemplo.csv'!A:A,'Datos_Ejemplo.csv'!I:I)</f>
        <v>2</v>
      </c>
      <c r="N2359">
        <f>ABS(TablaDatos[[#This Row],[DiasOriginal]])</f>
        <v>2</v>
      </c>
      <c r="O2359" s="1">
        <f>TablaDatos[[#This Row],[FechaIngreso]]+TablaDatos[[#This Row],[DiasNuevo]]</f>
        <v>45442</v>
      </c>
    </row>
    <row r="2360" spans="1:15">
      <c r="A2360">
        <v>2359</v>
      </c>
      <c r="B2360" t="s">
        <v>303</v>
      </c>
      <c r="C2360" s="1">
        <v>24473</v>
      </c>
      <c r="D2360">
        <f ca="1">DATEDIF(TablaDatos[[#This Row],[FechaNacimiento]],TODAY(),"Y")</f>
        <v>59</v>
      </c>
      <c r="E2360" s="4" t="s">
        <v>15</v>
      </c>
      <c r="F2360" t="s">
        <v>32</v>
      </c>
      <c r="G2360" s="1">
        <v>45450</v>
      </c>
      <c r="H2360" s="1">
        <f>TablaDatos[[#This Row],[FechaIngreso]]+TablaDatos[[#This Row],[DiasNuevo]]</f>
        <v>45460</v>
      </c>
      <c r="I2360">
        <v>10</v>
      </c>
      <c r="J2360" t="s">
        <v>23</v>
      </c>
      <c r="K2360" s="3">
        <v>10494.73</v>
      </c>
      <c r="L2360" t="b">
        <f>TablaDatos[[#This Row],[FechaAlta]] &lt; TablaDatos[[#This Row],[FechaIngreso]]</f>
        <v>0</v>
      </c>
      <c r="M2360">
        <f>_xlfn.XLOOKUP(TablaDatos[[#This Row],[PacienteID]],'Datos_Ejemplo.csv'!A:A,'Datos_Ejemplo.csv'!I:I)</f>
        <v>10</v>
      </c>
      <c r="N2360">
        <f>ABS(TablaDatos[[#This Row],[DiasOriginal]])</f>
        <v>10</v>
      </c>
      <c r="O2360" s="1">
        <f>TablaDatos[[#This Row],[FechaIngreso]]+TablaDatos[[#This Row],[DiasNuevo]]</f>
        <v>45460</v>
      </c>
    </row>
    <row r="2361" spans="1:15">
      <c r="A2361">
        <v>2360</v>
      </c>
      <c r="B2361" t="s">
        <v>66</v>
      </c>
      <c r="C2361" s="1">
        <v>29586</v>
      </c>
      <c r="D2361">
        <v>45</v>
      </c>
      <c r="E2361" s="4" t="s">
        <v>15</v>
      </c>
      <c r="F2361" t="s">
        <v>201</v>
      </c>
      <c r="G2361" s="1">
        <v>45187</v>
      </c>
      <c r="H2361" s="1">
        <f>TablaDatos[[#This Row],[FechaIngreso]]+TablaDatos[[#This Row],[DiasNuevo]]</f>
        <v>45200</v>
      </c>
      <c r="I2361">
        <v>13</v>
      </c>
      <c r="J2361" t="s">
        <v>23</v>
      </c>
      <c r="K2361" s="3">
        <v>6507.03</v>
      </c>
      <c r="L2361" t="b">
        <f>TablaDatos[[#This Row],[FechaAlta]] &lt; TablaDatos[[#This Row],[FechaIngreso]]</f>
        <v>0</v>
      </c>
      <c r="M2361">
        <f>_xlfn.XLOOKUP(TablaDatos[[#This Row],[PacienteID]],'Datos_Ejemplo.csv'!A:A,'Datos_Ejemplo.csv'!I:I)</f>
        <v>13</v>
      </c>
      <c r="N2361">
        <f>ABS(TablaDatos[[#This Row],[DiasOriginal]])</f>
        <v>13</v>
      </c>
      <c r="O2361" s="1">
        <f>TablaDatos[[#This Row],[FechaIngreso]]+TablaDatos[[#This Row],[DiasNuevo]]</f>
        <v>45200</v>
      </c>
    </row>
    <row r="2362" spans="1:15">
      <c r="A2362">
        <v>2361</v>
      </c>
      <c r="B2362" t="s">
        <v>313</v>
      </c>
      <c r="C2362" s="1">
        <v>39448</v>
      </c>
      <c r="D2362">
        <v>18</v>
      </c>
      <c r="E2362" s="4" t="s">
        <v>12</v>
      </c>
      <c r="F2362" t="s">
        <v>21</v>
      </c>
      <c r="G2362" s="1">
        <v>45288</v>
      </c>
      <c r="H2362" s="1">
        <f>TablaDatos[[#This Row],[FechaIngreso]]+TablaDatos[[#This Row],[DiasNuevo]]</f>
        <v>45297</v>
      </c>
      <c r="I2362">
        <v>9</v>
      </c>
      <c r="J2362" t="s">
        <v>23</v>
      </c>
      <c r="K2362" s="3">
        <v>4942.6499999999996</v>
      </c>
      <c r="L2362" t="b">
        <f>TablaDatos[[#This Row],[FechaAlta]] &lt; TablaDatos[[#This Row],[FechaIngreso]]</f>
        <v>0</v>
      </c>
      <c r="M2362">
        <f>_xlfn.XLOOKUP(TablaDatos[[#This Row],[PacienteID]],'Datos_Ejemplo.csv'!A:A,'Datos_Ejemplo.csv'!I:I)</f>
        <v>9</v>
      </c>
      <c r="N2362">
        <f>ABS(TablaDatos[[#This Row],[DiasOriginal]])</f>
        <v>9</v>
      </c>
      <c r="O2362" s="1">
        <f>TablaDatos[[#This Row],[FechaIngreso]]+TablaDatos[[#This Row],[DiasNuevo]]</f>
        <v>45297</v>
      </c>
    </row>
    <row r="2363" spans="1:15">
      <c r="A2363">
        <v>2362</v>
      </c>
      <c r="B2363" t="s">
        <v>362</v>
      </c>
      <c r="C2363" s="1">
        <v>21551</v>
      </c>
      <c r="D2363">
        <v>67</v>
      </c>
      <c r="E2363" s="4" t="s">
        <v>197</v>
      </c>
      <c r="F2363" t="s">
        <v>295</v>
      </c>
      <c r="G2363" s="1">
        <v>45095</v>
      </c>
      <c r="H2363" s="1">
        <f>TablaDatos[[#This Row],[FechaIngreso]]+TablaDatos[[#This Row],[DiasNuevo]]</f>
        <v>45131</v>
      </c>
      <c r="I2363">
        <v>36</v>
      </c>
      <c r="J2363" t="s">
        <v>25</v>
      </c>
      <c r="K2363" s="3">
        <v>10198.43</v>
      </c>
      <c r="L2363" t="b">
        <f>TablaDatos[[#This Row],[FechaAlta]] &lt; TablaDatos[[#This Row],[FechaIngreso]]</f>
        <v>0</v>
      </c>
      <c r="M2363">
        <f>_xlfn.XLOOKUP(TablaDatos[[#This Row],[PacienteID]],'Datos_Ejemplo.csv'!A:A,'Datos_Ejemplo.csv'!I:I)</f>
        <v>36</v>
      </c>
      <c r="N2363">
        <f>ABS(TablaDatos[[#This Row],[DiasOriginal]])</f>
        <v>36</v>
      </c>
      <c r="O2363" s="1">
        <f>TablaDatos[[#This Row],[FechaIngreso]]+TablaDatos[[#This Row],[DiasNuevo]]</f>
        <v>45131</v>
      </c>
    </row>
    <row r="2364" spans="1:15">
      <c r="A2364">
        <v>2363</v>
      </c>
      <c r="B2364" t="s">
        <v>313</v>
      </c>
      <c r="C2364" s="1">
        <v>13515</v>
      </c>
      <c r="D2364">
        <v>89</v>
      </c>
      <c r="E2364" s="4" t="s">
        <v>12</v>
      </c>
      <c r="F2364" t="s">
        <v>32</v>
      </c>
      <c r="G2364" s="1">
        <v>45586</v>
      </c>
      <c r="H2364" s="1">
        <f>TablaDatos[[#This Row],[FechaIngreso]]+TablaDatos[[#This Row],[DiasNuevo]]</f>
        <v>45610</v>
      </c>
      <c r="I2364">
        <v>24</v>
      </c>
      <c r="J2364" t="s">
        <v>25</v>
      </c>
      <c r="K2364" s="3">
        <v>11513.41</v>
      </c>
      <c r="L2364" t="b">
        <f>TablaDatos[[#This Row],[FechaAlta]] &lt; TablaDatos[[#This Row],[FechaIngreso]]</f>
        <v>0</v>
      </c>
      <c r="M2364">
        <f>_xlfn.XLOOKUP(TablaDatos[[#This Row],[PacienteID]],'Datos_Ejemplo.csv'!A:A,'Datos_Ejemplo.csv'!I:I)</f>
        <v>24</v>
      </c>
      <c r="N2364">
        <f>ABS(TablaDatos[[#This Row],[DiasOriginal]])</f>
        <v>24</v>
      </c>
      <c r="O2364" s="1">
        <f>TablaDatos[[#This Row],[FechaIngreso]]+TablaDatos[[#This Row],[DiasNuevo]]</f>
        <v>45610</v>
      </c>
    </row>
    <row r="2365" spans="1:15">
      <c r="A2365">
        <v>2364</v>
      </c>
      <c r="B2365" t="s">
        <v>269</v>
      </c>
      <c r="C2365" s="1">
        <v>31047</v>
      </c>
      <c r="D2365">
        <v>41</v>
      </c>
      <c r="E2365" s="4" t="s">
        <v>15</v>
      </c>
      <c r="F2365" t="s">
        <v>13</v>
      </c>
      <c r="G2365" s="1">
        <v>45126</v>
      </c>
      <c r="H2365" s="1">
        <f>TablaDatos[[#This Row],[FechaIngreso]]+TablaDatos[[#This Row],[DiasNuevo]]</f>
        <v>45156</v>
      </c>
      <c r="I2365">
        <v>30</v>
      </c>
      <c r="J2365" t="s">
        <v>23</v>
      </c>
      <c r="K2365" s="3">
        <v>4814.9799999999996</v>
      </c>
      <c r="L2365" t="b">
        <f>TablaDatos[[#This Row],[FechaAlta]] &lt; TablaDatos[[#This Row],[FechaIngreso]]</f>
        <v>0</v>
      </c>
      <c r="M2365">
        <f>_xlfn.XLOOKUP(TablaDatos[[#This Row],[PacienteID]],'Datos_Ejemplo.csv'!A:A,'Datos_Ejemplo.csv'!I:I)</f>
        <v>30</v>
      </c>
      <c r="N2365">
        <f>ABS(TablaDatos[[#This Row],[DiasOriginal]])</f>
        <v>30</v>
      </c>
      <c r="O2365" s="1">
        <f>TablaDatos[[#This Row],[FechaIngreso]]+TablaDatos[[#This Row],[DiasNuevo]]</f>
        <v>45156</v>
      </c>
    </row>
    <row r="2366" spans="1:15">
      <c r="A2366">
        <v>2365</v>
      </c>
      <c r="B2366" t="s">
        <v>280</v>
      </c>
      <c r="C2366" s="1">
        <v>34700</v>
      </c>
      <c r="D2366">
        <v>31</v>
      </c>
      <c r="E2366" s="4" t="s">
        <v>12</v>
      </c>
      <c r="F2366" t="s">
        <v>32</v>
      </c>
      <c r="G2366" s="1">
        <v>45311</v>
      </c>
      <c r="H2366" s="1">
        <f>TablaDatos[[#This Row],[FechaIngreso]]+TablaDatos[[#This Row],[DiasNuevo]]</f>
        <v>45323</v>
      </c>
      <c r="I2366">
        <v>12</v>
      </c>
      <c r="J2366" t="s">
        <v>19</v>
      </c>
      <c r="K2366" s="3">
        <v>18444.28</v>
      </c>
      <c r="L2366" t="b">
        <f>TablaDatos[[#This Row],[FechaAlta]] &lt; TablaDatos[[#This Row],[FechaIngreso]]</f>
        <v>0</v>
      </c>
      <c r="M2366">
        <f>_xlfn.XLOOKUP(TablaDatos[[#This Row],[PacienteID]],'Datos_Ejemplo.csv'!A:A,'Datos_Ejemplo.csv'!I:I)</f>
        <v>12</v>
      </c>
      <c r="N2366">
        <f>ABS(TablaDatos[[#This Row],[DiasOriginal]])</f>
        <v>12</v>
      </c>
      <c r="O2366" s="1">
        <f>TablaDatos[[#This Row],[FechaIngreso]]+TablaDatos[[#This Row],[DiasNuevo]]</f>
        <v>45323</v>
      </c>
    </row>
    <row r="2367" spans="1:15">
      <c r="A2367">
        <v>2366</v>
      </c>
      <c r="B2367" t="s">
        <v>290</v>
      </c>
      <c r="C2367" s="1">
        <v>32143</v>
      </c>
      <c r="D2367">
        <v>38</v>
      </c>
      <c r="E2367" s="4" t="s">
        <v>12</v>
      </c>
      <c r="F2367" t="s">
        <v>32</v>
      </c>
      <c r="G2367" s="1">
        <v>45238</v>
      </c>
      <c r="H2367" s="1">
        <f>TablaDatos[[#This Row],[FechaIngreso]]+TablaDatos[[#This Row],[DiasNuevo]]</f>
        <v>45256</v>
      </c>
      <c r="I2367">
        <v>18</v>
      </c>
      <c r="J2367" t="s">
        <v>25</v>
      </c>
      <c r="K2367" s="3">
        <v>11101.21</v>
      </c>
      <c r="L2367" t="b">
        <f>TablaDatos[[#This Row],[FechaAlta]] &lt; TablaDatos[[#This Row],[FechaIngreso]]</f>
        <v>0</v>
      </c>
      <c r="M2367">
        <f>_xlfn.XLOOKUP(TablaDatos[[#This Row],[PacienteID]],'Datos_Ejemplo.csv'!A:A,'Datos_Ejemplo.csv'!I:I)</f>
        <v>18</v>
      </c>
      <c r="N2367">
        <f>ABS(TablaDatos[[#This Row],[DiasOriginal]])</f>
        <v>18</v>
      </c>
      <c r="O2367" s="1">
        <f>TablaDatos[[#This Row],[FechaIngreso]]+TablaDatos[[#This Row],[DiasNuevo]]</f>
        <v>45256</v>
      </c>
    </row>
    <row r="2368" spans="1:15">
      <c r="A2368">
        <v>2367</v>
      </c>
      <c r="B2368" t="s">
        <v>277</v>
      </c>
      <c r="C2368" s="1">
        <v>33239</v>
      </c>
      <c r="D2368">
        <v>35</v>
      </c>
      <c r="E2368" s="4" t="s">
        <v>15</v>
      </c>
      <c r="F2368" t="s">
        <v>18</v>
      </c>
      <c r="G2368" s="1">
        <v>45508</v>
      </c>
      <c r="H2368" s="1">
        <f>TablaDatos[[#This Row],[FechaIngreso]]+TablaDatos[[#This Row],[DiasNuevo]]</f>
        <v>45522</v>
      </c>
      <c r="I2368">
        <v>14</v>
      </c>
      <c r="J2368" t="s">
        <v>25</v>
      </c>
      <c r="K2368" s="3">
        <v>10482.76</v>
      </c>
      <c r="L2368" t="b">
        <f>TablaDatos[[#This Row],[FechaAlta]] &lt; TablaDatos[[#This Row],[FechaIngreso]]</f>
        <v>0</v>
      </c>
      <c r="M2368">
        <f>_xlfn.XLOOKUP(TablaDatos[[#This Row],[PacienteID]],'Datos_Ejemplo.csv'!A:A,'Datos_Ejemplo.csv'!I:I)</f>
        <v>14</v>
      </c>
      <c r="N2368">
        <f>ABS(TablaDatos[[#This Row],[DiasOriginal]])</f>
        <v>14</v>
      </c>
      <c r="O2368" s="1">
        <f>TablaDatos[[#This Row],[FechaIngreso]]+TablaDatos[[#This Row],[DiasNuevo]]</f>
        <v>45522</v>
      </c>
    </row>
    <row r="2369" spans="1:15">
      <c r="A2369">
        <v>2368</v>
      </c>
      <c r="B2369" t="s">
        <v>240</v>
      </c>
      <c r="C2369" s="1">
        <v>33239</v>
      </c>
      <c r="D2369">
        <v>35</v>
      </c>
      <c r="E2369" s="4" t="s">
        <v>12</v>
      </c>
      <c r="F2369" t="s">
        <v>21</v>
      </c>
      <c r="G2369" s="1">
        <v>45238</v>
      </c>
      <c r="H2369" s="1">
        <f>TablaDatos[[#This Row],[FechaIngreso]]+TablaDatos[[#This Row],[DiasNuevo]]</f>
        <v>45272</v>
      </c>
      <c r="I2369">
        <v>34</v>
      </c>
      <c r="J2369" t="s">
        <v>23</v>
      </c>
      <c r="K2369" s="3">
        <v>8656.33</v>
      </c>
      <c r="L2369" t="b">
        <f>TablaDatos[[#This Row],[FechaAlta]] &lt; TablaDatos[[#This Row],[FechaIngreso]]</f>
        <v>0</v>
      </c>
      <c r="M2369">
        <f>_xlfn.XLOOKUP(TablaDatos[[#This Row],[PacienteID]],'Datos_Ejemplo.csv'!A:A,'Datos_Ejemplo.csv'!I:I)</f>
        <v>34</v>
      </c>
      <c r="N2369">
        <f>ABS(TablaDatos[[#This Row],[DiasOriginal]])</f>
        <v>34</v>
      </c>
      <c r="O2369" s="1">
        <f>TablaDatos[[#This Row],[FechaIngreso]]+TablaDatos[[#This Row],[DiasNuevo]]</f>
        <v>45272</v>
      </c>
    </row>
    <row r="2370" spans="1:15">
      <c r="A2370">
        <v>2369</v>
      </c>
      <c r="B2370" t="s">
        <v>348</v>
      </c>
      <c r="C2370" s="1">
        <v>45292</v>
      </c>
      <c r="D2370">
        <v>2</v>
      </c>
      <c r="E2370" s="4" t="s">
        <v>15</v>
      </c>
      <c r="F2370" t="s">
        <v>21</v>
      </c>
      <c r="G2370" s="1">
        <v>45492</v>
      </c>
      <c r="H2370" s="1">
        <f>TablaDatos[[#This Row],[FechaIngreso]]+TablaDatos[[#This Row],[DiasNuevo]]</f>
        <v>45504</v>
      </c>
      <c r="I2370">
        <v>12</v>
      </c>
      <c r="J2370" t="s">
        <v>23</v>
      </c>
      <c r="K2370" s="3">
        <v>1067.23</v>
      </c>
      <c r="L2370" t="b">
        <f>TablaDatos[[#This Row],[FechaAlta]] &lt; TablaDatos[[#This Row],[FechaIngreso]]</f>
        <v>0</v>
      </c>
      <c r="M2370">
        <f>_xlfn.XLOOKUP(TablaDatos[[#This Row],[PacienteID]],'Datos_Ejemplo.csv'!A:A,'Datos_Ejemplo.csv'!I:I)</f>
        <v>12</v>
      </c>
      <c r="N2370">
        <f>ABS(TablaDatos[[#This Row],[DiasOriginal]])</f>
        <v>12</v>
      </c>
      <c r="O2370" s="1">
        <f>TablaDatos[[#This Row],[FechaIngreso]]+TablaDatos[[#This Row],[DiasNuevo]]</f>
        <v>45504</v>
      </c>
    </row>
    <row r="2371" spans="1:15">
      <c r="A2371">
        <v>2370</v>
      </c>
      <c r="B2371" t="s">
        <v>346</v>
      </c>
      <c r="C2371" s="1">
        <v>19724</v>
      </c>
      <c r="D2371">
        <v>72</v>
      </c>
      <c r="E2371" s="4" t="s">
        <v>15</v>
      </c>
      <c r="F2371" t="s">
        <v>261</v>
      </c>
      <c r="G2371" s="1">
        <v>45321</v>
      </c>
      <c r="H2371" s="1">
        <f>TablaDatos[[#This Row],[FechaIngreso]]+TablaDatos[[#This Row],[DiasNuevo]]</f>
        <v>45338</v>
      </c>
      <c r="I2371">
        <v>17</v>
      </c>
      <c r="J2371" t="s">
        <v>25</v>
      </c>
      <c r="K2371" s="3">
        <v>17636.27</v>
      </c>
      <c r="L2371" t="b">
        <f>TablaDatos[[#This Row],[FechaAlta]] &lt; TablaDatos[[#This Row],[FechaIngreso]]</f>
        <v>0</v>
      </c>
      <c r="M2371">
        <f>_xlfn.XLOOKUP(TablaDatos[[#This Row],[PacienteID]],'Datos_Ejemplo.csv'!A:A,'Datos_Ejemplo.csv'!I:I)</f>
        <v>17</v>
      </c>
      <c r="N2371">
        <f>ABS(TablaDatos[[#This Row],[DiasOriginal]])</f>
        <v>17</v>
      </c>
      <c r="O2371" s="1">
        <f>TablaDatos[[#This Row],[FechaIngreso]]+TablaDatos[[#This Row],[DiasNuevo]]</f>
        <v>45338</v>
      </c>
    </row>
    <row r="2372" spans="1:15">
      <c r="A2372">
        <v>2371</v>
      </c>
      <c r="B2372" t="s">
        <v>248</v>
      </c>
      <c r="C2372" s="1">
        <v>43466</v>
      </c>
      <c r="D2372">
        <v>7</v>
      </c>
      <c r="E2372" s="4" t="s">
        <v>15</v>
      </c>
      <c r="F2372" t="s">
        <v>201</v>
      </c>
      <c r="G2372" s="1">
        <v>45277</v>
      </c>
      <c r="H2372" s="1">
        <f>TablaDatos[[#This Row],[FechaIngreso]]+TablaDatos[[#This Row],[DiasNuevo]]</f>
        <v>45293</v>
      </c>
      <c r="I2372">
        <v>16</v>
      </c>
      <c r="J2372" t="s">
        <v>19</v>
      </c>
      <c r="K2372" s="3">
        <v>6271.58</v>
      </c>
      <c r="L2372" t="b">
        <f>TablaDatos[[#This Row],[FechaAlta]] &lt; TablaDatos[[#This Row],[FechaIngreso]]</f>
        <v>0</v>
      </c>
      <c r="M2372">
        <f>_xlfn.XLOOKUP(TablaDatos[[#This Row],[PacienteID]],'Datos_Ejemplo.csv'!A:A,'Datos_Ejemplo.csv'!I:I)</f>
        <v>16</v>
      </c>
      <c r="N2372">
        <f>ABS(TablaDatos[[#This Row],[DiasOriginal]])</f>
        <v>16</v>
      </c>
      <c r="O2372" s="1">
        <f>TablaDatos[[#This Row],[FechaIngreso]]+TablaDatos[[#This Row],[DiasNuevo]]</f>
        <v>45293</v>
      </c>
    </row>
    <row r="2373" spans="1:15">
      <c r="A2373">
        <v>2372</v>
      </c>
      <c r="B2373" t="s">
        <v>249</v>
      </c>
      <c r="C2373" s="1">
        <v>20820</v>
      </c>
      <c r="D2373">
        <v>69</v>
      </c>
      <c r="E2373" s="4" t="s">
        <v>15</v>
      </c>
      <c r="F2373" t="s">
        <v>13</v>
      </c>
      <c r="G2373" s="1">
        <v>44954</v>
      </c>
      <c r="H2373" s="1">
        <f>TablaDatos[[#This Row],[FechaIngreso]]+TablaDatos[[#This Row],[DiasNuevo]]</f>
        <v>44956</v>
      </c>
      <c r="I2373">
        <v>2</v>
      </c>
      <c r="J2373" t="s">
        <v>23</v>
      </c>
      <c r="K2373" s="3">
        <v>12813.45</v>
      </c>
      <c r="L2373" t="b">
        <f>TablaDatos[[#This Row],[FechaAlta]] &lt; TablaDatos[[#This Row],[FechaIngreso]]</f>
        <v>0</v>
      </c>
      <c r="M2373">
        <f>_xlfn.XLOOKUP(TablaDatos[[#This Row],[PacienteID]],'Datos_Ejemplo.csv'!A:A,'Datos_Ejemplo.csv'!I:I)</f>
        <v>-2</v>
      </c>
      <c r="N2373">
        <f>ABS(TablaDatos[[#This Row],[DiasOriginal]])</f>
        <v>2</v>
      </c>
      <c r="O2373" s="1">
        <f>TablaDatos[[#This Row],[FechaIngreso]]+TablaDatos[[#This Row],[DiasNuevo]]</f>
        <v>44956</v>
      </c>
    </row>
    <row r="2374" spans="1:15">
      <c r="A2374">
        <v>2373</v>
      </c>
      <c r="B2374" t="s">
        <v>66</v>
      </c>
      <c r="C2374" s="1">
        <v>31412</v>
      </c>
      <c r="D2374">
        <v>40</v>
      </c>
      <c r="E2374" s="4" t="s">
        <v>15</v>
      </c>
      <c r="F2374" t="s">
        <v>261</v>
      </c>
      <c r="G2374" s="1">
        <v>45558</v>
      </c>
      <c r="H2374" s="1">
        <f>TablaDatos[[#This Row],[FechaIngreso]]+TablaDatos[[#This Row],[DiasNuevo]]</f>
        <v>45559</v>
      </c>
      <c r="I2374">
        <v>1</v>
      </c>
      <c r="J2374" t="s">
        <v>25</v>
      </c>
      <c r="K2374" s="3">
        <v>12109.41</v>
      </c>
      <c r="L2374" t="b">
        <f>TablaDatos[[#This Row],[FechaAlta]] &lt; TablaDatos[[#This Row],[FechaIngreso]]</f>
        <v>0</v>
      </c>
      <c r="M2374">
        <f>_xlfn.XLOOKUP(TablaDatos[[#This Row],[PacienteID]],'Datos_Ejemplo.csv'!A:A,'Datos_Ejemplo.csv'!I:I)</f>
        <v>1</v>
      </c>
      <c r="N2374">
        <f>ABS(TablaDatos[[#This Row],[DiasOriginal]])</f>
        <v>1</v>
      </c>
      <c r="O2374" s="1">
        <f>TablaDatos[[#This Row],[FechaIngreso]]+TablaDatos[[#This Row],[DiasNuevo]]</f>
        <v>45559</v>
      </c>
    </row>
    <row r="2375" spans="1:15">
      <c r="A2375">
        <v>2374</v>
      </c>
      <c r="B2375" t="s">
        <v>271</v>
      </c>
      <c r="C2375" s="1">
        <v>21551</v>
      </c>
      <c r="D2375">
        <f ca="1">DATEDIF(TablaDatos[[#This Row],[FechaNacimiento]],TODAY(),"Y")</f>
        <v>67</v>
      </c>
      <c r="E2375" s="4" t="s">
        <v>15</v>
      </c>
      <c r="F2375" t="s">
        <v>201</v>
      </c>
      <c r="G2375" s="1">
        <v>45059</v>
      </c>
      <c r="H2375" s="1">
        <f>TablaDatos[[#This Row],[FechaIngreso]]+TablaDatos[[#This Row],[DiasNuevo]]</f>
        <v>45059</v>
      </c>
      <c r="I2375">
        <v>0</v>
      </c>
      <c r="J2375" t="s">
        <v>23</v>
      </c>
      <c r="K2375" s="3">
        <v>11648.19</v>
      </c>
      <c r="L2375" t="b">
        <f>TablaDatos[[#This Row],[FechaAlta]] &lt; TablaDatos[[#This Row],[FechaIngreso]]</f>
        <v>0</v>
      </c>
      <c r="M2375">
        <f>_xlfn.XLOOKUP(TablaDatos[[#This Row],[PacienteID]],'Datos_Ejemplo.csv'!A:A,'Datos_Ejemplo.csv'!I:I)</f>
        <v>0</v>
      </c>
      <c r="N2375">
        <f>ABS(TablaDatos[[#This Row],[DiasOriginal]])</f>
        <v>0</v>
      </c>
      <c r="O2375" s="1">
        <f>TablaDatos[[#This Row],[FechaIngreso]]+TablaDatos[[#This Row],[DiasNuevo]]</f>
        <v>45059</v>
      </c>
    </row>
    <row r="2376" spans="1:15">
      <c r="A2376">
        <v>2375</v>
      </c>
      <c r="B2376" t="s">
        <v>262</v>
      </c>
      <c r="C2376" s="1">
        <v>41639</v>
      </c>
      <c r="D2376">
        <v>12</v>
      </c>
      <c r="E2376" s="4" t="s">
        <v>15</v>
      </c>
      <c r="F2376" t="s">
        <v>201</v>
      </c>
      <c r="G2376" s="1">
        <v>45306</v>
      </c>
      <c r="H2376" s="1">
        <f>TablaDatos[[#This Row],[FechaIngreso]]+TablaDatos[[#This Row],[DiasNuevo]]</f>
        <v>45311</v>
      </c>
      <c r="I2376">
        <v>5</v>
      </c>
      <c r="J2376" t="s">
        <v>25</v>
      </c>
      <c r="K2376" s="3">
        <v>10466.82</v>
      </c>
      <c r="L2376" t="b">
        <f>TablaDatos[[#This Row],[FechaAlta]] &lt; TablaDatos[[#This Row],[FechaIngreso]]</f>
        <v>0</v>
      </c>
      <c r="M2376">
        <f>_xlfn.XLOOKUP(TablaDatos[[#This Row],[PacienteID]],'Datos_Ejemplo.csv'!A:A,'Datos_Ejemplo.csv'!I:I)</f>
        <v>5</v>
      </c>
      <c r="N2376">
        <f>ABS(TablaDatos[[#This Row],[DiasOriginal]])</f>
        <v>5</v>
      </c>
      <c r="O2376" s="1">
        <f>TablaDatos[[#This Row],[FechaIngreso]]+TablaDatos[[#This Row],[DiasNuevo]]</f>
        <v>45311</v>
      </c>
    </row>
    <row r="2377" spans="1:15">
      <c r="A2377">
        <v>2376</v>
      </c>
      <c r="B2377" t="s">
        <v>268</v>
      </c>
      <c r="C2377" s="1">
        <v>28490</v>
      </c>
      <c r="D2377">
        <v>48</v>
      </c>
      <c r="E2377" s="4" t="s">
        <v>12</v>
      </c>
      <c r="F2377" t="s">
        <v>32</v>
      </c>
      <c r="G2377" s="1">
        <v>45528</v>
      </c>
      <c r="H2377" s="1">
        <f>TablaDatos[[#This Row],[FechaIngreso]]+TablaDatos[[#This Row],[DiasNuevo]]</f>
        <v>45566</v>
      </c>
      <c r="I2377">
        <v>38</v>
      </c>
      <c r="J2377" t="s">
        <v>25</v>
      </c>
      <c r="K2377" s="3">
        <v>3546.94</v>
      </c>
      <c r="L2377" t="b">
        <f>TablaDatos[[#This Row],[FechaAlta]] &lt; TablaDatos[[#This Row],[FechaIngreso]]</f>
        <v>0</v>
      </c>
      <c r="M2377">
        <f>_xlfn.XLOOKUP(TablaDatos[[#This Row],[PacienteID]],'Datos_Ejemplo.csv'!A:A,'Datos_Ejemplo.csv'!I:I)</f>
        <v>38</v>
      </c>
      <c r="N2377">
        <f>ABS(TablaDatos[[#This Row],[DiasOriginal]])</f>
        <v>38</v>
      </c>
      <c r="O2377" s="1">
        <f>TablaDatos[[#This Row],[FechaIngreso]]+TablaDatos[[#This Row],[DiasNuevo]]</f>
        <v>45566</v>
      </c>
    </row>
    <row r="2378" spans="1:15">
      <c r="A2378">
        <v>2377</v>
      </c>
      <c r="B2378" t="s">
        <v>116</v>
      </c>
      <c r="C2378" s="1">
        <v>24473</v>
      </c>
      <c r="D2378">
        <f ca="1">DATEDIF(TablaDatos[[#This Row],[FechaNacimiento]],TODAY(),"Y")</f>
        <v>59</v>
      </c>
      <c r="E2378" s="4" t="s">
        <v>197</v>
      </c>
      <c r="F2378" t="s">
        <v>13</v>
      </c>
      <c r="G2378" s="1">
        <v>45454</v>
      </c>
      <c r="H2378" s="1">
        <f>TablaDatos[[#This Row],[FechaIngreso]]+TablaDatos[[#This Row],[DiasNuevo]]</f>
        <v>45456</v>
      </c>
      <c r="I2378">
        <v>2</v>
      </c>
      <c r="J2378" t="s">
        <v>23</v>
      </c>
      <c r="K2378" s="3">
        <v>5540.18</v>
      </c>
      <c r="L2378" t="b">
        <f>TablaDatos[[#This Row],[FechaAlta]] &lt; TablaDatos[[#This Row],[FechaIngreso]]</f>
        <v>0</v>
      </c>
      <c r="M2378">
        <f>_xlfn.XLOOKUP(TablaDatos[[#This Row],[PacienteID]],'Datos_Ejemplo.csv'!A:A,'Datos_Ejemplo.csv'!I:I)</f>
        <v>2</v>
      </c>
      <c r="N2378">
        <f>ABS(TablaDatos[[#This Row],[DiasOriginal]])</f>
        <v>2</v>
      </c>
      <c r="O2378" s="1">
        <f>TablaDatos[[#This Row],[FechaIngreso]]+TablaDatos[[#This Row],[DiasNuevo]]</f>
        <v>45456</v>
      </c>
    </row>
    <row r="2379" spans="1:15">
      <c r="A2379">
        <v>2378</v>
      </c>
      <c r="B2379" t="s">
        <v>255</v>
      </c>
      <c r="C2379" s="1">
        <v>45657</v>
      </c>
      <c r="D2379">
        <v>1</v>
      </c>
      <c r="E2379" s="4" t="s">
        <v>12</v>
      </c>
      <c r="F2379" t="s">
        <v>201</v>
      </c>
      <c r="G2379" s="1">
        <v>45213</v>
      </c>
      <c r="H2379" s="1">
        <f>TablaDatos[[#This Row],[FechaIngreso]]+TablaDatos[[#This Row],[DiasNuevo]]</f>
        <v>45219</v>
      </c>
      <c r="I2379">
        <v>6</v>
      </c>
      <c r="J2379" t="s">
        <v>19</v>
      </c>
      <c r="K2379" s="3">
        <v>10436.18</v>
      </c>
      <c r="L2379" t="b">
        <f>TablaDatos[[#This Row],[FechaAlta]] &lt; TablaDatos[[#This Row],[FechaIngreso]]</f>
        <v>0</v>
      </c>
      <c r="M2379">
        <f>_xlfn.XLOOKUP(TablaDatos[[#This Row],[PacienteID]],'Datos_Ejemplo.csv'!A:A,'Datos_Ejemplo.csv'!I:I)</f>
        <v>6</v>
      </c>
      <c r="N2379">
        <f>ABS(TablaDatos[[#This Row],[DiasOriginal]])</f>
        <v>6</v>
      </c>
      <c r="O2379" s="1">
        <f>TablaDatos[[#This Row],[FechaIngreso]]+TablaDatos[[#This Row],[DiasNuevo]]</f>
        <v>45219</v>
      </c>
    </row>
    <row r="2380" spans="1:15">
      <c r="A2380">
        <v>2379</v>
      </c>
      <c r="B2380" t="s">
        <v>357</v>
      </c>
      <c r="C2380" s="1">
        <v>24473</v>
      </c>
      <c r="D2380">
        <v>59</v>
      </c>
      <c r="E2380" s="4" t="s">
        <v>15</v>
      </c>
      <c r="F2380" t="s">
        <v>13</v>
      </c>
      <c r="G2380" s="1">
        <v>45210</v>
      </c>
      <c r="H2380" s="1">
        <f>TablaDatos[[#This Row],[FechaIngreso]]+TablaDatos[[#This Row],[DiasNuevo]]</f>
        <v>45212</v>
      </c>
      <c r="I2380">
        <v>2</v>
      </c>
      <c r="J2380" t="s">
        <v>19</v>
      </c>
      <c r="K2380" s="3">
        <v>15765.78</v>
      </c>
      <c r="L2380" t="b">
        <f>TablaDatos[[#This Row],[FechaAlta]] &lt; TablaDatos[[#This Row],[FechaIngreso]]</f>
        <v>0</v>
      </c>
      <c r="M2380">
        <f>_xlfn.XLOOKUP(TablaDatos[[#This Row],[PacienteID]],'Datos_Ejemplo.csv'!A:A,'Datos_Ejemplo.csv'!I:I)</f>
        <v>-2</v>
      </c>
      <c r="N2380">
        <f>ABS(TablaDatos[[#This Row],[DiasOriginal]])</f>
        <v>2</v>
      </c>
      <c r="O2380" s="1">
        <f>TablaDatos[[#This Row],[FechaIngreso]]+TablaDatos[[#This Row],[DiasNuevo]]</f>
        <v>45212</v>
      </c>
    </row>
    <row r="2381" spans="1:15">
      <c r="A2381">
        <v>2380</v>
      </c>
      <c r="B2381" t="s">
        <v>269</v>
      </c>
      <c r="C2381" s="1">
        <v>44561</v>
      </c>
      <c r="D2381">
        <v>4</v>
      </c>
      <c r="E2381" s="4" t="s">
        <v>15</v>
      </c>
      <c r="F2381" t="s">
        <v>21</v>
      </c>
      <c r="G2381" s="1">
        <v>45575</v>
      </c>
      <c r="H2381" s="1">
        <f>TablaDatos[[#This Row],[FechaIngreso]]+TablaDatos[[#This Row],[DiasNuevo]]</f>
        <v>45602</v>
      </c>
      <c r="I2381">
        <v>27</v>
      </c>
      <c r="J2381" t="s">
        <v>23</v>
      </c>
      <c r="K2381" s="3">
        <v>8582.98</v>
      </c>
      <c r="L2381" t="b">
        <f>TablaDatos[[#This Row],[FechaAlta]] &lt; TablaDatos[[#This Row],[FechaIngreso]]</f>
        <v>0</v>
      </c>
      <c r="M2381">
        <f>_xlfn.XLOOKUP(TablaDatos[[#This Row],[PacienteID]],'Datos_Ejemplo.csv'!A:A,'Datos_Ejemplo.csv'!I:I)</f>
        <v>27</v>
      </c>
      <c r="N2381">
        <f>ABS(TablaDatos[[#This Row],[DiasOriginal]])</f>
        <v>27</v>
      </c>
      <c r="O2381" s="1">
        <f>TablaDatos[[#This Row],[FechaIngreso]]+TablaDatos[[#This Row],[DiasNuevo]]</f>
        <v>45602</v>
      </c>
    </row>
    <row r="2382" spans="1:15">
      <c r="A2382">
        <v>2381</v>
      </c>
      <c r="B2382" t="s">
        <v>350</v>
      </c>
      <c r="C2382" s="1">
        <v>30317</v>
      </c>
      <c r="D2382">
        <v>43</v>
      </c>
      <c r="E2382" s="4" t="s">
        <v>15</v>
      </c>
      <c r="F2382" t="s">
        <v>21</v>
      </c>
      <c r="G2382" s="1">
        <v>45153</v>
      </c>
      <c r="H2382" s="1">
        <f>TablaDatos[[#This Row],[FechaIngreso]]+TablaDatos[[#This Row],[DiasNuevo]]</f>
        <v>45157</v>
      </c>
      <c r="I2382">
        <v>4</v>
      </c>
      <c r="J2382" t="s">
        <v>25</v>
      </c>
      <c r="K2382" s="3">
        <v>3998.84</v>
      </c>
      <c r="L2382" t="b">
        <f>TablaDatos[[#This Row],[FechaAlta]] &lt; TablaDatos[[#This Row],[FechaIngreso]]</f>
        <v>0</v>
      </c>
      <c r="M2382">
        <f>_xlfn.XLOOKUP(TablaDatos[[#This Row],[PacienteID]],'Datos_Ejemplo.csv'!A:A,'Datos_Ejemplo.csv'!I:I)</f>
        <v>4</v>
      </c>
      <c r="N2382">
        <f>ABS(TablaDatos[[#This Row],[DiasOriginal]])</f>
        <v>4</v>
      </c>
      <c r="O2382" s="1">
        <f>TablaDatos[[#This Row],[FechaIngreso]]+TablaDatos[[#This Row],[DiasNuevo]]</f>
        <v>45157</v>
      </c>
    </row>
    <row r="2383" spans="1:15">
      <c r="A2383">
        <v>2382</v>
      </c>
      <c r="B2383" t="s">
        <v>334</v>
      </c>
      <c r="C2383" s="1">
        <v>36526</v>
      </c>
      <c r="D2383">
        <v>26</v>
      </c>
      <c r="E2383" s="4" t="s">
        <v>15</v>
      </c>
      <c r="F2383" t="s">
        <v>21</v>
      </c>
      <c r="G2383" s="1">
        <v>45353</v>
      </c>
      <c r="H2383" s="1">
        <f>TablaDatos[[#This Row],[FechaIngreso]]+TablaDatos[[#This Row],[DiasNuevo]]</f>
        <v>45372</v>
      </c>
      <c r="I2383">
        <v>19</v>
      </c>
      <c r="J2383" t="s">
        <v>23</v>
      </c>
      <c r="K2383" s="3">
        <v>1667.68</v>
      </c>
      <c r="L2383" t="b">
        <f>TablaDatos[[#This Row],[FechaAlta]] &lt; TablaDatos[[#This Row],[FechaIngreso]]</f>
        <v>0</v>
      </c>
      <c r="M2383">
        <f>_xlfn.XLOOKUP(TablaDatos[[#This Row],[PacienteID]],'Datos_Ejemplo.csv'!A:A,'Datos_Ejemplo.csv'!I:I)</f>
        <v>19</v>
      </c>
      <c r="N2383">
        <f>ABS(TablaDatos[[#This Row],[DiasOriginal]])</f>
        <v>19</v>
      </c>
      <c r="O2383" s="1">
        <f>TablaDatos[[#This Row],[FechaIngreso]]+TablaDatos[[#This Row],[DiasNuevo]]</f>
        <v>45372</v>
      </c>
    </row>
    <row r="2384" spans="1:15">
      <c r="A2384">
        <v>2383</v>
      </c>
      <c r="B2384" t="s">
        <v>246</v>
      </c>
      <c r="C2384" s="1">
        <v>34700</v>
      </c>
      <c r="D2384">
        <v>31</v>
      </c>
      <c r="E2384" s="4" t="s">
        <v>12</v>
      </c>
      <c r="F2384" t="s">
        <v>295</v>
      </c>
      <c r="G2384" s="1">
        <v>44953</v>
      </c>
      <c r="H2384" s="1">
        <f>TablaDatos[[#This Row],[FechaIngreso]]+TablaDatos[[#This Row],[DiasNuevo]]</f>
        <v>44970</v>
      </c>
      <c r="I2384">
        <v>17</v>
      </c>
      <c r="J2384" t="s">
        <v>23</v>
      </c>
      <c r="K2384" s="3">
        <v>13226.52</v>
      </c>
      <c r="L2384" t="b">
        <f>TablaDatos[[#This Row],[FechaAlta]] &lt; TablaDatos[[#This Row],[FechaIngreso]]</f>
        <v>0</v>
      </c>
      <c r="M2384">
        <f>_xlfn.XLOOKUP(TablaDatos[[#This Row],[PacienteID]],'Datos_Ejemplo.csv'!A:A,'Datos_Ejemplo.csv'!I:I)</f>
        <v>17</v>
      </c>
      <c r="N2384">
        <f>ABS(TablaDatos[[#This Row],[DiasOriginal]])</f>
        <v>17</v>
      </c>
      <c r="O2384" s="1">
        <f>TablaDatos[[#This Row],[FechaIngreso]]+TablaDatos[[#This Row],[DiasNuevo]]</f>
        <v>44970</v>
      </c>
    </row>
    <row r="2385" spans="1:15">
      <c r="A2385">
        <v>2384</v>
      </c>
      <c r="B2385" t="s">
        <v>263</v>
      </c>
      <c r="C2385" s="1">
        <v>38717</v>
      </c>
      <c r="D2385">
        <v>20</v>
      </c>
      <c r="E2385" s="4" t="s">
        <v>12</v>
      </c>
      <c r="F2385" t="s">
        <v>32</v>
      </c>
      <c r="G2385" s="1">
        <v>45258</v>
      </c>
      <c r="H2385" s="1">
        <f>TablaDatos[[#This Row],[FechaIngreso]]+TablaDatos[[#This Row],[DiasNuevo]]</f>
        <v>45284</v>
      </c>
      <c r="I2385">
        <v>26</v>
      </c>
      <c r="J2385" t="s">
        <v>23</v>
      </c>
      <c r="K2385" s="3">
        <v>8409.1299999999992</v>
      </c>
      <c r="L2385" t="b">
        <f>TablaDatos[[#This Row],[FechaAlta]] &lt; TablaDatos[[#This Row],[FechaIngreso]]</f>
        <v>0</v>
      </c>
      <c r="M2385">
        <f>_xlfn.XLOOKUP(TablaDatos[[#This Row],[PacienteID]],'Datos_Ejemplo.csv'!A:A,'Datos_Ejemplo.csv'!I:I)</f>
        <v>26</v>
      </c>
      <c r="N2385">
        <f>ABS(TablaDatos[[#This Row],[DiasOriginal]])</f>
        <v>26</v>
      </c>
      <c r="O2385" s="1">
        <f>TablaDatos[[#This Row],[FechaIngreso]]+TablaDatos[[#This Row],[DiasNuevo]]</f>
        <v>45284</v>
      </c>
    </row>
    <row r="2386" spans="1:15">
      <c r="A2386">
        <v>2385</v>
      </c>
      <c r="B2386" t="s">
        <v>333</v>
      </c>
      <c r="C2386" s="1">
        <v>43466</v>
      </c>
      <c r="D2386">
        <v>7</v>
      </c>
      <c r="E2386" s="4" t="s">
        <v>12</v>
      </c>
      <c r="F2386" t="s">
        <v>13</v>
      </c>
      <c r="G2386" s="1">
        <v>45043</v>
      </c>
      <c r="H2386" s="1">
        <f>TablaDatos[[#This Row],[FechaIngreso]]+TablaDatos[[#This Row],[DiasNuevo]]</f>
        <v>45067</v>
      </c>
      <c r="I2386">
        <v>24</v>
      </c>
      <c r="J2386" t="s">
        <v>23</v>
      </c>
      <c r="K2386" s="3">
        <v>2419.9499999999998</v>
      </c>
      <c r="L2386" t="b">
        <f>TablaDatos[[#This Row],[FechaAlta]] &lt; TablaDatos[[#This Row],[FechaIngreso]]</f>
        <v>0</v>
      </c>
      <c r="M2386">
        <f>_xlfn.XLOOKUP(TablaDatos[[#This Row],[PacienteID]],'Datos_Ejemplo.csv'!A:A,'Datos_Ejemplo.csv'!I:I)</f>
        <v>24</v>
      </c>
      <c r="N2386">
        <f>ABS(TablaDatos[[#This Row],[DiasOriginal]])</f>
        <v>24</v>
      </c>
      <c r="O2386" s="1">
        <f>TablaDatos[[#This Row],[FechaIngreso]]+TablaDatos[[#This Row],[DiasNuevo]]</f>
        <v>45067</v>
      </c>
    </row>
    <row r="2387" spans="1:15">
      <c r="A2387">
        <v>2386</v>
      </c>
      <c r="B2387" t="s">
        <v>290</v>
      </c>
      <c r="C2387" s="1">
        <v>20090</v>
      </c>
      <c r="D2387">
        <v>71</v>
      </c>
      <c r="E2387" s="4" t="s">
        <v>12</v>
      </c>
      <c r="F2387" t="s">
        <v>32</v>
      </c>
      <c r="G2387" s="1">
        <v>45015</v>
      </c>
      <c r="H2387" s="1">
        <f>TablaDatos[[#This Row],[FechaIngreso]]+TablaDatos[[#This Row],[DiasNuevo]]</f>
        <v>45037</v>
      </c>
      <c r="I2387">
        <v>22</v>
      </c>
      <c r="J2387" t="s">
        <v>19</v>
      </c>
      <c r="K2387" s="3">
        <v>13456.78</v>
      </c>
      <c r="L2387" t="b">
        <f>TablaDatos[[#This Row],[FechaAlta]] &lt; TablaDatos[[#This Row],[FechaIngreso]]</f>
        <v>0</v>
      </c>
      <c r="M2387">
        <f>_xlfn.XLOOKUP(TablaDatos[[#This Row],[PacienteID]],'Datos_Ejemplo.csv'!A:A,'Datos_Ejemplo.csv'!I:I)</f>
        <v>22</v>
      </c>
      <c r="N2387">
        <f>ABS(TablaDatos[[#This Row],[DiasOriginal]])</f>
        <v>22</v>
      </c>
      <c r="O2387" s="1">
        <f>TablaDatos[[#This Row],[FechaIngreso]]+TablaDatos[[#This Row],[DiasNuevo]]</f>
        <v>45037</v>
      </c>
    </row>
    <row r="2388" spans="1:15">
      <c r="A2388">
        <v>2387</v>
      </c>
      <c r="B2388" t="s">
        <v>254</v>
      </c>
      <c r="C2388" s="1">
        <v>28125</v>
      </c>
      <c r="D2388">
        <v>49</v>
      </c>
      <c r="E2388" s="4" t="s">
        <v>15</v>
      </c>
      <c r="F2388" t="s">
        <v>201</v>
      </c>
      <c r="G2388" s="1">
        <v>45545</v>
      </c>
      <c r="H2388" s="1">
        <f>TablaDatos[[#This Row],[FechaIngreso]]+TablaDatos[[#This Row],[DiasNuevo]]</f>
        <v>45577</v>
      </c>
      <c r="I2388">
        <v>32</v>
      </c>
      <c r="J2388" t="s">
        <v>23</v>
      </c>
      <c r="K2388" s="3">
        <v>4072.33</v>
      </c>
      <c r="L2388" t="b">
        <f>TablaDatos[[#This Row],[FechaAlta]] &lt; TablaDatos[[#This Row],[FechaIngreso]]</f>
        <v>0</v>
      </c>
      <c r="M2388">
        <f>_xlfn.XLOOKUP(TablaDatos[[#This Row],[PacienteID]],'Datos_Ejemplo.csv'!A:A,'Datos_Ejemplo.csv'!I:I)</f>
        <v>32</v>
      </c>
      <c r="N2388">
        <f>ABS(TablaDatos[[#This Row],[DiasOriginal]])</f>
        <v>32</v>
      </c>
      <c r="O2388" s="1">
        <f>TablaDatos[[#This Row],[FechaIngreso]]+TablaDatos[[#This Row],[DiasNuevo]]</f>
        <v>45577</v>
      </c>
    </row>
    <row r="2389" spans="1:15">
      <c r="A2389">
        <v>2388</v>
      </c>
      <c r="B2389" t="s">
        <v>282</v>
      </c>
      <c r="C2389" s="1">
        <v>21916</v>
      </c>
      <c r="D2389">
        <v>66</v>
      </c>
      <c r="E2389" s="4" t="s">
        <v>15</v>
      </c>
      <c r="F2389" t="s">
        <v>13</v>
      </c>
      <c r="G2389" s="1">
        <v>45048</v>
      </c>
      <c r="H2389" s="1">
        <f>TablaDatos[[#This Row],[FechaIngreso]]+TablaDatos[[#This Row],[DiasNuevo]]</f>
        <v>45072</v>
      </c>
      <c r="I2389">
        <v>24</v>
      </c>
      <c r="J2389" t="s">
        <v>23</v>
      </c>
      <c r="K2389" s="3">
        <v>10131.219999999999</v>
      </c>
      <c r="L2389" t="b">
        <f>TablaDatos[[#This Row],[FechaAlta]] &lt; TablaDatos[[#This Row],[FechaIngreso]]</f>
        <v>0</v>
      </c>
      <c r="M2389">
        <f>_xlfn.XLOOKUP(TablaDatos[[#This Row],[PacienteID]],'Datos_Ejemplo.csv'!A:A,'Datos_Ejemplo.csv'!I:I)</f>
        <v>24</v>
      </c>
      <c r="N2389">
        <f>ABS(TablaDatos[[#This Row],[DiasOriginal]])</f>
        <v>24</v>
      </c>
      <c r="O2389" s="1">
        <f>TablaDatos[[#This Row],[FechaIngreso]]+TablaDatos[[#This Row],[DiasNuevo]]</f>
        <v>45072</v>
      </c>
    </row>
    <row r="2390" spans="1:15">
      <c r="A2390">
        <v>2389</v>
      </c>
      <c r="B2390" t="s">
        <v>346</v>
      </c>
      <c r="C2390" s="1">
        <v>30317</v>
      </c>
      <c r="D2390">
        <v>43</v>
      </c>
      <c r="E2390" s="4" t="s">
        <v>12</v>
      </c>
      <c r="F2390" t="s">
        <v>13</v>
      </c>
      <c r="G2390" s="1">
        <v>44959</v>
      </c>
      <c r="H2390" s="1">
        <f>TablaDatos[[#This Row],[FechaIngreso]]+TablaDatos[[#This Row],[DiasNuevo]]</f>
        <v>44967</v>
      </c>
      <c r="I2390">
        <v>8</v>
      </c>
      <c r="J2390" t="s">
        <v>23</v>
      </c>
      <c r="K2390" s="3">
        <v>6054.38</v>
      </c>
      <c r="L2390" t="b">
        <f>TablaDatos[[#This Row],[FechaAlta]] &lt; TablaDatos[[#This Row],[FechaIngreso]]</f>
        <v>0</v>
      </c>
      <c r="M2390">
        <f>_xlfn.XLOOKUP(TablaDatos[[#This Row],[PacienteID]],'Datos_Ejemplo.csv'!A:A,'Datos_Ejemplo.csv'!I:I)</f>
        <v>8</v>
      </c>
      <c r="N2390">
        <f>ABS(TablaDatos[[#This Row],[DiasOriginal]])</f>
        <v>8</v>
      </c>
      <c r="O2390" s="1">
        <f>TablaDatos[[#This Row],[FechaIngreso]]+TablaDatos[[#This Row],[DiasNuevo]]</f>
        <v>44967</v>
      </c>
    </row>
    <row r="2391" spans="1:15">
      <c r="A2391">
        <v>2390</v>
      </c>
      <c r="B2391" t="s">
        <v>250</v>
      </c>
      <c r="C2391" s="1">
        <v>25203</v>
      </c>
      <c r="D2391">
        <v>57</v>
      </c>
      <c r="E2391" s="4" t="s">
        <v>15</v>
      </c>
      <c r="F2391" t="s">
        <v>261</v>
      </c>
      <c r="G2391" s="1">
        <v>45529</v>
      </c>
      <c r="H2391" s="1">
        <f>TablaDatos[[#This Row],[FechaIngreso]]+TablaDatos[[#This Row],[DiasNuevo]]</f>
        <v>45543</v>
      </c>
      <c r="I2391">
        <v>14</v>
      </c>
      <c r="J2391" t="s">
        <v>25</v>
      </c>
      <c r="K2391" s="3">
        <v>18626.97</v>
      </c>
      <c r="L2391" t="b">
        <f>TablaDatos[[#This Row],[FechaAlta]] &lt; TablaDatos[[#This Row],[FechaIngreso]]</f>
        <v>0</v>
      </c>
      <c r="M2391">
        <f>_xlfn.XLOOKUP(TablaDatos[[#This Row],[PacienteID]],'Datos_Ejemplo.csv'!A:A,'Datos_Ejemplo.csv'!I:I)</f>
        <v>14</v>
      </c>
      <c r="N2391">
        <f>ABS(TablaDatos[[#This Row],[DiasOriginal]])</f>
        <v>14</v>
      </c>
      <c r="O2391" s="1">
        <f>TablaDatos[[#This Row],[FechaIngreso]]+TablaDatos[[#This Row],[DiasNuevo]]</f>
        <v>45543</v>
      </c>
    </row>
    <row r="2392" spans="1:15">
      <c r="A2392">
        <v>2391</v>
      </c>
      <c r="B2392" t="s">
        <v>362</v>
      </c>
      <c r="C2392" s="1">
        <v>45292</v>
      </c>
      <c r="D2392">
        <v>2</v>
      </c>
      <c r="E2392" s="4" t="s">
        <v>15</v>
      </c>
      <c r="F2392" t="s">
        <v>13</v>
      </c>
      <c r="G2392" s="1">
        <v>45622</v>
      </c>
      <c r="H2392" s="1">
        <f>TablaDatos[[#This Row],[FechaIngreso]]+TablaDatos[[#This Row],[DiasNuevo]]</f>
        <v>45650</v>
      </c>
      <c r="I2392">
        <v>28</v>
      </c>
      <c r="J2392" t="s">
        <v>23</v>
      </c>
      <c r="K2392" s="3">
        <v>4488.59</v>
      </c>
      <c r="L2392" t="b">
        <f>TablaDatos[[#This Row],[FechaAlta]] &lt; TablaDatos[[#This Row],[FechaIngreso]]</f>
        <v>0</v>
      </c>
      <c r="M2392">
        <f>_xlfn.XLOOKUP(TablaDatos[[#This Row],[PacienteID]],'Datos_Ejemplo.csv'!A:A,'Datos_Ejemplo.csv'!I:I)</f>
        <v>28</v>
      </c>
      <c r="N2392">
        <f>ABS(TablaDatos[[#This Row],[DiasOriginal]])</f>
        <v>28</v>
      </c>
      <c r="O2392" s="1">
        <f>TablaDatos[[#This Row],[FechaIngreso]]+TablaDatos[[#This Row],[DiasNuevo]]</f>
        <v>45650</v>
      </c>
    </row>
    <row r="2393" spans="1:15">
      <c r="A2393">
        <v>2392</v>
      </c>
      <c r="B2393" t="s">
        <v>105</v>
      </c>
      <c r="C2393" s="1">
        <v>14976</v>
      </c>
      <c r="D2393">
        <v>85</v>
      </c>
      <c r="E2393" s="4" t="s">
        <v>15</v>
      </c>
      <c r="F2393" t="s">
        <v>13</v>
      </c>
      <c r="G2393" s="1">
        <v>45324</v>
      </c>
      <c r="H2393" s="1">
        <f>TablaDatos[[#This Row],[FechaIngreso]]+TablaDatos[[#This Row],[DiasNuevo]]</f>
        <v>45339</v>
      </c>
      <c r="I2393">
        <v>15</v>
      </c>
      <c r="J2393" t="s">
        <v>19</v>
      </c>
      <c r="K2393" s="3">
        <v>8340.36</v>
      </c>
      <c r="L2393" t="b">
        <f>TablaDatos[[#This Row],[FechaAlta]] &lt; TablaDatos[[#This Row],[FechaIngreso]]</f>
        <v>0</v>
      </c>
      <c r="M2393">
        <f>_xlfn.XLOOKUP(TablaDatos[[#This Row],[PacienteID]],'Datos_Ejemplo.csv'!A:A,'Datos_Ejemplo.csv'!I:I)</f>
        <v>15</v>
      </c>
      <c r="N2393">
        <f>ABS(TablaDatos[[#This Row],[DiasOriginal]])</f>
        <v>15</v>
      </c>
      <c r="O2393" s="1">
        <f>TablaDatos[[#This Row],[FechaIngreso]]+TablaDatos[[#This Row],[DiasNuevo]]</f>
        <v>45339</v>
      </c>
    </row>
    <row r="2394" spans="1:15">
      <c r="A2394">
        <v>2393</v>
      </c>
      <c r="B2394" t="s">
        <v>252</v>
      </c>
      <c r="C2394" s="1">
        <v>20820</v>
      </c>
      <c r="D2394">
        <v>69</v>
      </c>
      <c r="E2394" s="4" t="s">
        <v>15</v>
      </c>
      <c r="F2394" t="s">
        <v>18</v>
      </c>
      <c r="G2394" s="1">
        <v>45451</v>
      </c>
      <c r="H2394" s="1">
        <f>TablaDatos[[#This Row],[FechaIngreso]]+TablaDatos[[#This Row],[DiasNuevo]]</f>
        <v>45467</v>
      </c>
      <c r="I2394">
        <v>16</v>
      </c>
      <c r="J2394" t="s">
        <v>19</v>
      </c>
      <c r="K2394" s="3">
        <v>19185.82</v>
      </c>
      <c r="L2394" t="b">
        <f>TablaDatos[[#This Row],[FechaAlta]] &lt; TablaDatos[[#This Row],[FechaIngreso]]</f>
        <v>0</v>
      </c>
      <c r="M2394">
        <f>_xlfn.XLOOKUP(TablaDatos[[#This Row],[PacienteID]],'Datos_Ejemplo.csv'!A:A,'Datos_Ejemplo.csv'!I:I)</f>
        <v>16</v>
      </c>
      <c r="N2394">
        <f>ABS(TablaDatos[[#This Row],[DiasOriginal]])</f>
        <v>16</v>
      </c>
      <c r="O2394" s="1">
        <f>TablaDatos[[#This Row],[FechaIngreso]]+TablaDatos[[#This Row],[DiasNuevo]]</f>
        <v>45467</v>
      </c>
    </row>
    <row r="2395" spans="1:15">
      <c r="A2395">
        <v>2394</v>
      </c>
      <c r="B2395" t="s">
        <v>258</v>
      </c>
      <c r="C2395" s="1">
        <v>45657</v>
      </c>
      <c r="D2395">
        <v>1</v>
      </c>
      <c r="E2395" s="4" t="s">
        <v>15</v>
      </c>
      <c r="F2395" t="s">
        <v>18</v>
      </c>
      <c r="G2395" s="1">
        <v>44950</v>
      </c>
      <c r="H2395" s="1">
        <f>TablaDatos[[#This Row],[FechaIngreso]]+TablaDatos[[#This Row],[DiasNuevo]]</f>
        <v>44985</v>
      </c>
      <c r="I2395">
        <v>35</v>
      </c>
      <c r="J2395" t="s">
        <v>19</v>
      </c>
      <c r="K2395" s="3">
        <v>6306.38</v>
      </c>
      <c r="L2395" t="b">
        <f>TablaDatos[[#This Row],[FechaAlta]] &lt; TablaDatos[[#This Row],[FechaIngreso]]</f>
        <v>0</v>
      </c>
      <c r="M2395">
        <f>_xlfn.XLOOKUP(TablaDatos[[#This Row],[PacienteID]],'Datos_Ejemplo.csv'!A:A,'Datos_Ejemplo.csv'!I:I)</f>
        <v>35</v>
      </c>
      <c r="N2395">
        <f>ABS(TablaDatos[[#This Row],[DiasOriginal]])</f>
        <v>35</v>
      </c>
      <c r="O2395" s="1">
        <f>TablaDatos[[#This Row],[FechaIngreso]]+TablaDatos[[#This Row],[DiasNuevo]]</f>
        <v>44985</v>
      </c>
    </row>
    <row r="2396" spans="1:15">
      <c r="A2396">
        <v>2395</v>
      </c>
      <c r="B2396" t="s">
        <v>344</v>
      </c>
      <c r="C2396" s="1">
        <v>14611</v>
      </c>
      <c r="D2396">
        <v>86</v>
      </c>
      <c r="E2396" s="4" t="s">
        <v>12</v>
      </c>
      <c r="F2396" t="s">
        <v>261</v>
      </c>
      <c r="G2396" s="1">
        <v>45251</v>
      </c>
      <c r="H2396" s="1">
        <f>TablaDatos[[#This Row],[FechaIngreso]]+TablaDatos[[#This Row],[DiasNuevo]]</f>
        <v>45277</v>
      </c>
      <c r="I2396">
        <v>26</v>
      </c>
      <c r="J2396" t="s">
        <v>25</v>
      </c>
      <c r="K2396" s="3">
        <v>12856.32</v>
      </c>
      <c r="L2396" t="b">
        <f>TablaDatos[[#This Row],[FechaAlta]] &lt; TablaDatos[[#This Row],[FechaIngreso]]</f>
        <v>0</v>
      </c>
      <c r="M2396">
        <f>_xlfn.XLOOKUP(TablaDatos[[#This Row],[PacienteID]],'Datos_Ejemplo.csv'!A:A,'Datos_Ejemplo.csv'!I:I)</f>
        <v>26</v>
      </c>
      <c r="N2396">
        <f>ABS(TablaDatos[[#This Row],[DiasOriginal]])</f>
        <v>26</v>
      </c>
      <c r="O2396" s="1">
        <f>TablaDatos[[#This Row],[FechaIngreso]]+TablaDatos[[#This Row],[DiasNuevo]]</f>
        <v>45277</v>
      </c>
    </row>
    <row r="2397" spans="1:15">
      <c r="A2397">
        <v>2396</v>
      </c>
      <c r="B2397" t="s">
        <v>335</v>
      </c>
      <c r="C2397" s="1">
        <v>30317</v>
      </c>
      <c r="D2397">
        <v>43</v>
      </c>
      <c r="E2397" s="4" t="s">
        <v>12</v>
      </c>
      <c r="F2397" t="s">
        <v>295</v>
      </c>
      <c r="G2397" s="1">
        <v>44960</v>
      </c>
      <c r="H2397" s="1">
        <f>TablaDatos[[#This Row],[FechaIngreso]]+TablaDatos[[#This Row],[DiasNuevo]]</f>
        <v>44972</v>
      </c>
      <c r="I2397">
        <v>12</v>
      </c>
      <c r="J2397" t="s">
        <v>23</v>
      </c>
      <c r="K2397" s="3">
        <v>6266.21</v>
      </c>
      <c r="L2397" t="b">
        <f>TablaDatos[[#This Row],[FechaAlta]] &lt; TablaDatos[[#This Row],[FechaIngreso]]</f>
        <v>0</v>
      </c>
      <c r="M2397">
        <f>_xlfn.XLOOKUP(TablaDatos[[#This Row],[PacienteID]],'Datos_Ejemplo.csv'!A:A,'Datos_Ejemplo.csv'!I:I)</f>
        <v>12</v>
      </c>
      <c r="N2397">
        <f>ABS(TablaDatos[[#This Row],[DiasOriginal]])</f>
        <v>12</v>
      </c>
      <c r="O2397" s="1">
        <f>TablaDatos[[#This Row],[FechaIngreso]]+TablaDatos[[#This Row],[DiasNuevo]]</f>
        <v>44972</v>
      </c>
    </row>
    <row r="2398" spans="1:15">
      <c r="A2398">
        <v>2397</v>
      </c>
      <c r="B2398" t="s">
        <v>312</v>
      </c>
      <c r="C2398" s="1">
        <f ca="1">DATE(YEAR(TODAY())-TablaDatos[[#This Row],[Edad]],1,1)</f>
        <v>45658</v>
      </c>
      <c r="D2398">
        <v>1</v>
      </c>
      <c r="E2398" s="4" t="s">
        <v>15</v>
      </c>
      <c r="F2398" t="s">
        <v>21</v>
      </c>
      <c r="G2398" s="1">
        <v>45173</v>
      </c>
      <c r="H2398" s="1">
        <f>TablaDatos[[#This Row],[FechaIngreso]]+TablaDatos[[#This Row],[DiasNuevo]]</f>
        <v>45177</v>
      </c>
      <c r="I2398">
        <v>4</v>
      </c>
      <c r="J2398" t="s">
        <v>23</v>
      </c>
      <c r="K2398" s="3">
        <v>2124.5700000000002</v>
      </c>
      <c r="L2398" t="b">
        <f>TablaDatos[[#This Row],[FechaAlta]] &lt; TablaDatos[[#This Row],[FechaIngreso]]</f>
        <v>0</v>
      </c>
      <c r="M2398">
        <f>_xlfn.XLOOKUP(TablaDatos[[#This Row],[PacienteID]],'Datos_Ejemplo.csv'!A:A,'Datos_Ejemplo.csv'!I:I)</f>
        <v>4</v>
      </c>
      <c r="N2398">
        <f>ABS(TablaDatos[[#This Row],[DiasOriginal]])</f>
        <v>4</v>
      </c>
      <c r="O2398" s="1">
        <f>TablaDatos[[#This Row],[FechaIngreso]]+TablaDatos[[#This Row],[DiasNuevo]]</f>
        <v>45177</v>
      </c>
    </row>
    <row r="2399" spans="1:15">
      <c r="A2399">
        <v>2398</v>
      </c>
      <c r="B2399" t="s">
        <v>307</v>
      </c>
      <c r="C2399" s="1">
        <v>16802</v>
      </c>
      <c r="D2399">
        <v>80</v>
      </c>
      <c r="E2399" s="4" t="s">
        <v>15</v>
      </c>
      <c r="F2399" t="s">
        <v>201</v>
      </c>
      <c r="G2399" s="1">
        <v>44945</v>
      </c>
      <c r="H2399" s="1">
        <f>TablaDatos[[#This Row],[FechaIngreso]]+TablaDatos[[#This Row],[DiasNuevo]]</f>
        <v>44979</v>
      </c>
      <c r="I2399">
        <v>34</v>
      </c>
      <c r="J2399" t="s">
        <v>23</v>
      </c>
      <c r="K2399" s="3">
        <v>12513.7</v>
      </c>
      <c r="L2399" t="b">
        <f>TablaDatos[[#This Row],[FechaAlta]] &lt; TablaDatos[[#This Row],[FechaIngreso]]</f>
        <v>0</v>
      </c>
      <c r="M2399">
        <f>_xlfn.XLOOKUP(TablaDatos[[#This Row],[PacienteID]],'Datos_Ejemplo.csv'!A:A,'Datos_Ejemplo.csv'!I:I)</f>
        <v>34</v>
      </c>
      <c r="N2399">
        <f>ABS(TablaDatos[[#This Row],[DiasOriginal]])</f>
        <v>34</v>
      </c>
      <c r="O2399" s="1">
        <f>TablaDatos[[#This Row],[FechaIngreso]]+TablaDatos[[#This Row],[DiasNuevo]]</f>
        <v>44979</v>
      </c>
    </row>
    <row r="2400" spans="1:15">
      <c r="A2400">
        <v>2399</v>
      </c>
      <c r="B2400" t="s">
        <v>237</v>
      </c>
      <c r="C2400" s="1">
        <v>33604</v>
      </c>
      <c r="D2400">
        <v>34</v>
      </c>
      <c r="E2400" s="4" t="s">
        <v>12</v>
      </c>
      <c r="F2400" t="s">
        <v>201</v>
      </c>
      <c r="G2400" s="1">
        <v>44956</v>
      </c>
      <c r="H2400" s="1">
        <f>TablaDatos[[#This Row],[FechaIngreso]]+TablaDatos[[#This Row],[DiasNuevo]]</f>
        <v>44990</v>
      </c>
      <c r="I2400">
        <v>34</v>
      </c>
      <c r="J2400" t="s">
        <v>25</v>
      </c>
      <c r="K2400" s="3">
        <v>18312.23</v>
      </c>
      <c r="L2400" t="b">
        <f>TablaDatos[[#This Row],[FechaAlta]] &lt; TablaDatos[[#This Row],[FechaIngreso]]</f>
        <v>0</v>
      </c>
      <c r="M2400">
        <f>_xlfn.XLOOKUP(TablaDatos[[#This Row],[PacienteID]],'Datos_Ejemplo.csv'!A:A,'Datos_Ejemplo.csv'!I:I)</f>
        <v>34</v>
      </c>
      <c r="N2400">
        <f>ABS(TablaDatos[[#This Row],[DiasOriginal]])</f>
        <v>34</v>
      </c>
      <c r="O2400" s="1">
        <f>TablaDatos[[#This Row],[FechaIngreso]]+TablaDatos[[#This Row],[DiasNuevo]]</f>
        <v>44990</v>
      </c>
    </row>
    <row r="2401" spans="1:15">
      <c r="A2401">
        <v>2400</v>
      </c>
      <c r="B2401" t="s">
        <v>279</v>
      </c>
      <c r="C2401" s="1">
        <f ca="1">DATE(YEAR(TODAY())-TablaDatos[[#This Row],[Edad]],1,1)</f>
        <v>14611</v>
      </c>
      <c r="D2401">
        <v>86</v>
      </c>
      <c r="E2401" s="4" t="s">
        <v>15</v>
      </c>
      <c r="F2401" t="s">
        <v>13</v>
      </c>
      <c r="G2401" s="1">
        <v>44975</v>
      </c>
      <c r="H2401" s="1">
        <f>TablaDatos[[#This Row],[FechaIngreso]]+TablaDatos[[#This Row],[DiasNuevo]]</f>
        <v>44979</v>
      </c>
      <c r="I2401">
        <v>4</v>
      </c>
      <c r="J2401" t="s">
        <v>19</v>
      </c>
      <c r="K2401" s="3">
        <v>8996.5499999999993</v>
      </c>
      <c r="L2401" t="b">
        <f>TablaDatos[[#This Row],[FechaAlta]] &lt; TablaDatos[[#This Row],[FechaIngreso]]</f>
        <v>0</v>
      </c>
      <c r="M2401">
        <f>_xlfn.XLOOKUP(TablaDatos[[#This Row],[PacienteID]],'Datos_Ejemplo.csv'!A:A,'Datos_Ejemplo.csv'!I:I)</f>
        <v>4</v>
      </c>
      <c r="N2401">
        <f>ABS(TablaDatos[[#This Row],[DiasOriginal]])</f>
        <v>4</v>
      </c>
      <c r="O2401" s="1">
        <f>TablaDatos[[#This Row],[FechaIngreso]]+TablaDatos[[#This Row],[DiasNuevo]]</f>
        <v>44979</v>
      </c>
    </row>
    <row r="2402" spans="1:15">
      <c r="A2402">
        <v>2401</v>
      </c>
      <c r="B2402" t="s">
        <v>273</v>
      </c>
      <c r="C2402" s="1">
        <v>35430</v>
      </c>
      <c r="D2402">
        <v>29</v>
      </c>
      <c r="E2402" s="4" t="s">
        <v>15</v>
      </c>
      <c r="F2402" t="s">
        <v>32</v>
      </c>
      <c r="G2402" s="1">
        <v>45106</v>
      </c>
      <c r="H2402" s="1">
        <f>TablaDatos[[#This Row],[FechaIngreso]]+TablaDatos[[#This Row],[DiasNuevo]]</f>
        <v>45125</v>
      </c>
      <c r="I2402">
        <v>19</v>
      </c>
      <c r="J2402" t="s">
        <v>25</v>
      </c>
      <c r="K2402" s="3">
        <v>12486.15</v>
      </c>
      <c r="L2402" t="b">
        <f>TablaDatos[[#This Row],[FechaAlta]] &lt; TablaDatos[[#This Row],[FechaIngreso]]</f>
        <v>0</v>
      </c>
      <c r="M2402">
        <f>_xlfn.XLOOKUP(TablaDatos[[#This Row],[PacienteID]],'Datos_Ejemplo.csv'!A:A,'Datos_Ejemplo.csv'!I:I)</f>
        <v>19</v>
      </c>
      <c r="N2402">
        <f>ABS(TablaDatos[[#This Row],[DiasOriginal]])</f>
        <v>19</v>
      </c>
      <c r="O2402" s="1">
        <f>TablaDatos[[#This Row],[FechaIngreso]]+TablaDatos[[#This Row],[DiasNuevo]]</f>
        <v>45125</v>
      </c>
    </row>
    <row r="2403" spans="1:15">
      <c r="A2403">
        <v>2402</v>
      </c>
      <c r="B2403" t="s">
        <v>341</v>
      </c>
      <c r="C2403" s="1">
        <v>43466</v>
      </c>
      <c r="D2403">
        <v>7</v>
      </c>
      <c r="E2403" s="4" t="s">
        <v>15</v>
      </c>
      <c r="F2403" t="s">
        <v>201</v>
      </c>
      <c r="G2403" s="1">
        <v>45296</v>
      </c>
      <c r="H2403" s="1">
        <f>TablaDatos[[#This Row],[FechaIngreso]]+TablaDatos[[#This Row],[DiasNuevo]]</f>
        <v>45305</v>
      </c>
      <c r="I2403">
        <v>9</v>
      </c>
      <c r="J2403" t="s">
        <v>23</v>
      </c>
      <c r="K2403" s="3">
        <v>12138.86</v>
      </c>
      <c r="L2403" t="b">
        <f>TablaDatos[[#This Row],[FechaAlta]] &lt; TablaDatos[[#This Row],[FechaIngreso]]</f>
        <v>0</v>
      </c>
      <c r="M2403">
        <f>_xlfn.XLOOKUP(TablaDatos[[#This Row],[PacienteID]],'Datos_Ejemplo.csv'!A:A,'Datos_Ejemplo.csv'!I:I)</f>
        <v>9</v>
      </c>
      <c r="N2403">
        <f>ABS(TablaDatos[[#This Row],[DiasOriginal]])</f>
        <v>9</v>
      </c>
      <c r="O2403" s="1">
        <f>TablaDatos[[#This Row],[FechaIngreso]]+TablaDatos[[#This Row],[DiasNuevo]]</f>
        <v>45305</v>
      </c>
    </row>
    <row r="2404" spans="1:15">
      <c r="A2404">
        <v>2403</v>
      </c>
      <c r="B2404" t="s">
        <v>254</v>
      </c>
      <c r="C2404" s="1">
        <v>38352</v>
      </c>
      <c r="D2404">
        <v>21</v>
      </c>
      <c r="E2404" s="4" t="s">
        <v>15</v>
      </c>
      <c r="F2404" t="s">
        <v>18</v>
      </c>
      <c r="G2404" s="1">
        <v>45321</v>
      </c>
      <c r="H2404" s="1">
        <f>TablaDatos[[#This Row],[FechaIngreso]]+TablaDatos[[#This Row],[DiasNuevo]]</f>
        <v>45326</v>
      </c>
      <c r="I2404">
        <v>5</v>
      </c>
      <c r="J2404" t="s">
        <v>19</v>
      </c>
      <c r="K2404" s="3">
        <v>8243.2999999999993</v>
      </c>
      <c r="L2404" t="b">
        <f>TablaDatos[[#This Row],[FechaAlta]] &lt; TablaDatos[[#This Row],[FechaIngreso]]</f>
        <v>0</v>
      </c>
      <c r="M2404">
        <f>_xlfn.XLOOKUP(TablaDatos[[#This Row],[PacienteID]],'Datos_Ejemplo.csv'!A:A,'Datos_Ejemplo.csv'!I:I)</f>
        <v>5</v>
      </c>
      <c r="N2404">
        <f>ABS(TablaDatos[[#This Row],[DiasOriginal]])</f>
        <v>5</v>
      </c>
      <c r="O2404" s="1">
        <f>TablaDatos[[#This Row],[FechaIngreso]]+TablaDatos[[#This Row],[DiasNuevo]]</f>
        <v>45326</v>
      </c>
    </row>
    <row r="2405" spans="1:15">
      <c r="A2405">
        <v>2404</v>
      </c>
      <c r="B2405" t="s">
        <v>248</v>
      </c>
      <c r="C2405" s="1">
        <v>30317</v>
      </c>
      <c r="D2405">
        <v>43</v>
      </c>
      <c r="E2405" s="4" t="s">
        <v>12</v>
      </c>
      <c r="F2405" t="s">
        <v>21</v>
      </c>
      <c r="G2405" s="1">
        <v>45516</v>
      </c>
      <c r="H2405" s="1">
        <f>TablaDatos[[#This Row],[FechaIngreso]]+TablaDatos[[#This Row],[DiasNuevo]]</f>
        <v>45531</v>
      </c>
      <c r="I2405">
        <v>15</v>
      </c>
      <c r="J2405" t="s">
        <v>25</v>
      </c>
      <c r="K2405" s="3">
        <v>12259.42</v>
      </c>
      <c r="L2405" t="b">
        <f>TablaDatos[[#This Row],[FechaAlta]] &lt; TablaDatos[[#This Row],[FechaIngreso]]</f>
        <v>0</v>
      </c>
      <c r="M2405">
        <f>_xlfn.XLOOKUP(TablaDatos[[#This Row],[PacienteID]],'Datos_Ejemplo.csv'!A:A,'Datos_Ejemplo.csv'!I:I)</f>
        <v>15</v>
      </c>
      <c r="N2405">
        <f>ABS(TablaDatos[[#This Row],[DiasOriginal]])</f>
        <v>15</v>
      </c>
      <c r="O2405" s="1">
        <f>TablaDatos[[#This Row],[FechaIngreso]]+TablaDatos[[#This Row],[DiasNuevo]]</f>
        <v>45531</v>
      </c>
    </row>
    <row r="2406" spans="1:15">
      <c r="A2406">
        <v>2405</v>
      </c>
      <c r="B2406" t="s">
        <v>254</v>
      </c>
      <c r="C2406" s="1">
        <v>25203</v>
      </c>
      <c r="D2406">
        <v>57</v>
      </c>
      <c r="E2406" s="4" t="s">
        <v>12</v>
      </c>
      <c r="F2406" t="s">
        <v>295</v>
      </c>
      <c r="G2406" s="1">
        <v>45422</v>
      </c>
      <c r="H2406" s="1">
        <f>TablaDatos[[#This Row],[FechaIngreso]]+TablaDatos[[#This Row],[DiasNuevo]]</f>
        <v>45447</v>
      </c>
      <c r="I2406">
        <v>25</v>
      </c>
      <c r="J2406" t="s">
        <v>23</v>
      </c>
      <c r="K2406" s="3">
        <v>5112.29</v>
      </c>
      <c r="L2406" t="b">
        <f>TablaDatos[[#This Row],[FechaAlta]] &lt; TablaDatos[[#This Row],[FechaIngreso]]</f>
        <v>0</v>
      </c>
      <c r="M2406">
        <f>_xlfn.XLOOKUP(TablaDatos[[#This Row],[PacienteID]],'Datos_Ejemplo.csv'!A:A,'Datos_Ejemplo.csv'!I:I)</f>
        <v>25</v>
      </c>
      <c r="N2406">
        <f>ABS(TablaDatos[[#This Row],[DiasOriginal]])</f>
        <v>25</v>
      </c>
      <c r="O2406" s="1">
        <f>TablaDatos[[#This Row],[FechaIngreso]]+TablaDatos[[#This Row],[DiasNuevo]]</f>
        <v>45447</v>
      </c>
    </row>
    <row r="2407" spans="1:15">
      <c r="A2407">
        <v>2406</v>
      </c>
      <c r="B2407" t="s">
        <v>328</v>
      </c>
      <c r="C2407" s="1">
        <v>33239</v>
      </c>
      <c r="D2407">
        <v>35</v>
      </c>
      <c r="E2407" s="4" t="s">
        <v>15</v>
      </c>
      <c r="F2407" t="s">
        <v>21</v>
      </c>
      <c r="G2407" s="1">
        <v>45357</v>
      </c>
      <c r="H2407" s="1">
        <f>TablaDatos[[#This Row],[FechaIngreso]]+TablaDatos[[#This Row],[DiasNuevo]]</f>
        <v>45372</v>
      </c>
      <c r="I2407">
        <v>15</v>
      </c>
      <c r="J2407" t="s">
        <v>23</v>
      </c>
      <c r="K2407" s="3">
        <v>7498.56</v>
      </c>
      <c r="L2407" t="b">
        <f>TablaDatos[[#This Row],[FechaAlta]] &lt; TablaDatos[[#This Row],[FechaIngreso]]</f>
        <v>0</v>
      </c>
      <c r="M2407">
        <f>_xlfn.XLOOKUP(TablaDatos[[#This Row],[PacienteID]],'Datos_Ejemplo.csv'!A:A,'Datos_Ejemplo.csv'!I:I)</f>
        <v>15</v>
      </c>
      <c r="N2407">
        <f>ABS(TablaDatos[[#This Row],[DiasOriginal]])</f>
        <v>15</v>
      </c>
      <c r="O2407" s="1">
        <f>TablaDatos[[#This Row],[FechaIngreso]]+TablaDatos[[#This Row],[DiasNuevo]]</f>
        <v>45372</v>
      </c>
    </row>
    <row r="2408" spans="1:15">
      <c r="A2408">
        <v>2407</v>
      </c>
      <c r="B2408" t="s">
        <v>242</v>
      </c>
      <c r="C2408" s="1">
        <v>21185</v>
      </c>
      <c r="D2408">
        <v>68</v>
      </c>
      <c r="E2408" s="4" t="s">
        <v>15</v>
      </c>
      <c r="F2408" t="s">
        <v>13</v>
      </c>
      <c r="G2408" s="1">
        <v>45133</v>
      </c>
      <c r="H2408" s="1">
        <f>TablaDatos[[#This Row],[FechaIngreso]]+TablaDatos[[#This Row],[DiasNuevo]]</f>
        <v>45161</v>
      </c>
      <c r="I2408">
        <v>28</v>
      </c>
      <c r="J2408" t="s">
        <v>25</v>
      </c>
      <c r="K2408" s="3">
        <v>8790.61</v>
      </c>
      <c r="L2408" t="b">
        <f>TablaDatos[[#This Row],[FechaAlta]] &lt; TablaDatos[[#This Row],[FechaIngreso]]</f>
        <v>0</v>
      </c>
      <c r="M2408">
        <f>_xlfn.XLOOKUP(TablaDatos[[#This Row],[PacienteID]],'Datos_Ejemplo.csv'!A:A,'Datos_Ejemplo.csv'!I:I)</f>
        <v>28</v>
      </c>
      <c r="N2408">
        <f>ABS(TablaDatos[[#This Row],[DiasOriginal]])</f>
        <v>28</v>
      </c>
      <c r="O2408" s="1">
        <f>TablaDatos[[#This Row],[FechaIngreso]]+TablaDatos[[#This Row],[DiasNuevo]]</f>
        <v>45161</v>
      </c>
    </row>
    <row r="2409" spans="1:15">
      <c r="A2409">
        <v>2408</v>
      </c>
      <c r="B2409" t="s">
        <v>274</v>
      </c>
      <c r="C2409" s="1">
        <v>18263</v>
      </c>
      <c r="D2409">
        <v>76</v>
      </c>
      <c r="E2409" s="4" t="s">
        <v>15</v>
      </c>
      <c r="F2409" t="s">
        <v>21</v>
      </c>
      <c r="G2409" s="1">
        <v>44961</v>
      </c>
      <c r="H2409" s="1">
        <f>TablaDatos[[#This Row],[FechaIngreso]]+TablaDatos[[#This Row],[DiasNuevo]]</f>
        <v>44975</v>
      </c>
      <c r="I2409">
        <v>14</v>
      </c>
      <c r="J2409" t="s">
        <v>23</v>
      </c>
      <c r="K2409" s="3">
        <v>17266.57</v>
      </c>
      <c r="L2409" t="b">
        <f>TablaDatos[[#This Row],[FechaAlta]] &lt; TablaDatos[[#This Row],[FechaIngreso]]</f>
        <v>0</v>
      </c>
      <c r="M2409">
        <f>_xlfn.XLOOKUP(TablaDatos[[#This Row],[PacienteID]],'Datos_Ejemplo.csv'!A:A,'Datos_Ejemplo.csv'!I:I)</f>
        <v>14</v>
      </c>
      <c r="N2409">
        <f>ABS(TablaDatos[[#This Row],[DiasOriginal]])</f>
        <v>14</v>
      </c>
      <c r="O2409" s="1">
        <f>TablaDatos[[#This Row],[FechaIngreso]]+TablaDatos[[#This Row],[DiasNuevo]]</f>
        <v>44975</v>
      </c>
    </row>
    <row r="2410" spans="1:15">
      <c r="A2410">
        <v>2409</v>
      </c>
      <c r="B2410" t="s">
        <v>347</v>
      </c>
      <c r="C2410" s="1">
        <v>12419</v>
      </c>
      <c r="D2410">
        <v>92</v>
      </c>
      <c r="E2410" s="4" t="s">
        <v>15</v>
      </c>
      <c r="F2410" t="s">
        <v>13</v>
      </c>
      <c r="G2410" s="1">
        <v>45509</v>
      </c>
      <c r="H2410" s="1">
        <f>TablaDatos[[#This Row],[FechaIngreso]]+TablaDatos[[#This Row],[DiasNuevo]]</f>
        <v>45529</v>
      </c>
      <c r="I2410">
        <v>20</v>
      </c>
      <c r="J2410" t="s">
        <v>23</v>
      </c>
      <c r="K2410" s="3">
        <v>6901.49</v>
      </c>
      <c r="L2410" t="b">
        <f>TablaDatos[[#This Row],[FechaAlta]] &lt; TablaDatos[[#This Row],[FechaIngreso]]</f>
        <v>0</v>
      </c>
      <c r="M2410">
        <f>_xlfn.XLOOKUP(TablaDatos[[#This Row],[PacienteID]],'Datos_Ejemplo.csv'!A:A,'Datos_Ejemplo.csv'!I:I)</f>
        <v>20</v>
      </c>
      <c r="N2410">
        <f>ABS(TablaDatos[[#This Row],[DiasOriginal]])</f>
        <v>20</v>
      </c>
      <c r="O2410" s="1">
        <f>TablaDatos[[#This Row],[FechaIngreso]]+TablaDatos[[#This Row],[DiasNuevo]]</f>
        <v>45529</v>
      </c>
    </row>
    <row r="2411" spans="1:15">
      <c r="A2411">
        <v>2410</v>
      </c>
      <c r="B2411" t="s">
        <v>310</v>
      </c>
      <c r="C2411" s="1">
        <f ca="1">DATE(YEAR(TODAY())-TablaDatos[[#This Row],[Edad]],1,1)</f>
        <v>35065</v>
      </c>
      <c r="D2411">
        <v>30</v>
      </c>
      <c r="E2411" s="4" t="s">
        <v>197</v>
      </c>
      <c r="F2411" t="s">
        <v>261</v>
      </c>
      <c r="G2411" s="1">
        <v>45339</v>
      </c>
      <c r="H2411" s="1">
        <f>TablaDatos[[#This Row],[FechaIngreso]]+TablaDatos[[#This Row],[DiasNuevo]]</f>
        <v>45347</v>
      </c>
      <c r="I2411">
        <v>8</v>
      </c>
      <c r="J2411" t="s">
        <v>23</v>
      </c>
      <c r="K2411" s="3">
        <v>12666.25</v>
      </c>
      <c r="L2411" t="b">
        <f>TablaDatos[[#This Row],[FechaAlta]] &lt; TablaDatos[[#This Row],[FechaIngreso]]</f>
        <v>0</v>
      </c>
      <c r="M2411">
        <f>_xlfn.XLOOKUP(TablaDatos[[#This Row],[PacienteID]],'Datos_Ejemplo.csv'!A:A,'Datos_Ejemplo.csv'!I:I)</f>
        <v>8</v>
      </c>
      <c r="N2411">
        <f>ABS(TablaDatos[[#This Row],[DiasOriginal]])</f>
        <v>8</v>
      </c>
      <c r="O2411" s="1">
        <f>TablaDatos[[#This Row],[FechaIngreso]]+TablaDatos[[#This Row],[DiasNuevo]]</f>
        <v>45347</v>
      </c>
    </row>
    <row r="2412" spans="1:15">
      <c r="A2412">
        <v>2411</v>
      </c>
      <c r="B2412" t="s">
        <v>238</v>
      </c>
      <c r="C2412" s="1">
        <v>29221</v>
      </c>
      <c r="D2412">
        <v>46</v>
      </c>
      <c r="E2412" s="4" t="s">
        <v>12</v>
      </c>
      <c r="F2412" t="s">
        <v>18</v>
      </c>
      <c r="G2412" s="1">
        <v>45290</v>
      </c>
      <c r="H2412" s="1">
        <f>TablaDatos[[#This Row],[FechaIngreso]]+TablaDatos[[#This Row],[DiasNuevo]]</f>
        <v>45302</v>
      </c>
      <c r="I2412">
        <v>12</v>
      </c>
      <c r="J2412" t="s">
        <v>19</v>
      </c>
      <c r="K2412" s="3">
        <v>4189.42</v>
      </c>
      <c r="L2412" t="b">
        <f>TablaDatos[[#This Row],[FechaAlta]] &lt; TablaDatos[[#This Row],[FechaIngreso]]</f>
        <v>0</v>
      </c>
      <c r="M2412">
        <f>_xlfn.XLOOKUP(TablaDatos[[#This Row],[PacienteID]],'Datos_Ejemplo.csv'!A:A,'Datos_Ejemplo.csv'!I:I)</f>
        <v>12</v>
      </c>
      <c r="N2412">
        <f>ABS(TablaDatos[[#This Row],[DiasOriginal]])</f>
        <v>12</v>
      </c>
      <c r="O2412" s="1">
        <f>TablaDatos[[#This Row],[FechaIngreso]]+TablaDatos[[#This Row],[DiasNuevo]]</f>
        <v>45302</v>
      </c>
    </row>
    <row r="2413" spans="1:15">
      <c r="A2413">
        <v>2412</v>
      </c>
      <c r="B2413" t="s">
        <v>39</v>
      </c>
      <c r="C2413" s="1">
        <v>26299</v>
      </c>
      <c r="D2413">
        <f ca="1">DATEDIF(TablaDatos[[#This Row],[FechaNacimiento]],TODAY(),"Y")</f>
        <v>54</v>
      </c>
      <c r="E2413" s="4" t="s">
        <v>12</v>
      </c>
      <c r="F2413" t="s">
        <v>18</v>
      </c>
      <c r="G2413" s="1">
        <v>45236</v>
      </c>
      <c r="H2413" s="1">
        <f>TablaDatos[[#This Row],[FechaIngreso]]+TablaDatos[[#This Row],[DiasNuevo]]</f>
        <v>45263</v>
      </c>
      <c r="I2413">
        <v>27</v>
      </c>
      <c r="J2413" t="s">
        <v>23</v>
      </c>
      <c r="K2413" s="3">
        <v>4976.6499999999996</v>
      </c>
      <c r="L2413" t="b">
        <f>TablaDatos[[#This Row],[FechaAlta]] &lt; TablaDatos[[#This Row],[FechaIngreso]]</f>
        <v>0</v>
      </c>
      <c r="M2413">
        <f>_xlfn.XLOOKUP(TablaDatos[[#This Row],[PacienteID]],'Datos_Ejemplo.csv'!A:A,'Datos_Ejemplo.csv'!I:I)</f>
        <v>27</v>
      </c>
      <c r="N2413">
        <f>ABS(TablaDatos[[#This Row],[DiasOriginal]])</f>
        <v>27</v>
      </c>
      <c r="O2413" s="1">
        <f>TablaDatos[[#This Row],[FechaIngreso]]+TablaDatos[[#This Row],[DiasNuevo]]</f>
        <v>45263</v>
      </c>
    </row>
    <row r="2414" spans="1:15">
      <c r="A2414">
        <v>2413</v>
      </c>
      <c r="B2414" t="s">
        <v>281</v>
      </c>
      <c r="C2414" s="1">
        <v>17168</v>
      </c>
      <c r="D2414">
        <v>79</v>
      </c>
      <c r="E2414" s="4" t="s">
        <v>12</v>
      </c>
      <c r="F2414" t="s">
        <v>13</v>
      </c>
      <c r="G2414" s="1">
        <v>45205</v>
      </c>
      <c r="H2414" s="1">
        <f>TablaDatos[[#This Row],[FechaIngreso]]+TablaDatos[[#This Row],[DiasNuevo]]</f>
        <v>45233</v>
      </c>
      <c r="I2414">
        <v>28</v>
      </c>
      <c r="J2414" t="s">
        <v>23</v>
      </c>
      <c r="K2414" s="3">
        <v>12933.42</v>
      </c>
      <c r="L2414" t="b">
        <f>TablaDatos[[#This Row],[FechaAlta]] &lt; TablaDatos[[#This Row],[FechaIngreso]]</f>
        <v>0</v>
      </c>
      <c r="M2414">
        <f>_xlfn.XLOOKUP(TablaDatos[[#This Row],[PacienteID]],'Datos_Ejemplo.csv'!A:A,'Datos_Ejemplo.csv'!I:I)</f>
        <v>28</v>
      </c>
      <c r="N2414">
        <f>ABS(TablaDatos[[#This Row],[DiasOriginal]])</f>
        <v>28</v>
      </c>
      <c r="O2414" s="1">
        <f>TablaDatos[[#This Row],[FechaIngreso]]+TablaDatos[[#This Row],[DiasNuevo]]</f>
        <v>45233</v>
      </c>
    </row>
    <row r="2415" spans="1:15">
      <c r="A2415">
        <v>2414</v>
      </c>
      <c r="B2415" t="s">
        <v>250</v>
      </c>
      <c r="C2415" s="1">
        <v>23742</v>
      </c>
      <c r="D2415">
        <v>61</v>
      </c>
      <c r="E2415" s="4" t="s">
        <v>12</v>
      </c>
      <c r="F2415" t="s">
        <v>32</v>
      </c>
      <c r="G2415" s="1">
        <v>45078</v>
      </c>
      <c r="H2415" s="1">
        <f>TablaDatos[[#This Row],[FechaIngreso]]+TablaDatos[[#This Row],[DiasNuevo]]</f>
        <v>45081</v>
      </c>
      <c r="I2415">
        <v>3</v>
      </c>
      <c r="J2415" t="s">
        <v>25</v>
      </c>
      <c r="K2415" s="3">
        <v>15222.43</v>
      </c>
      <c r="L2415" t="b">
        <f>TablaDatos[[#This Row],[FechaAlta]] &lt; TablaDatos[[#This Row],[FechaIngreso]]</f>
        <v>0</v>
      </c>
      <c r="M2415">
        <f>_xlfn.XLOOKUP(TablaDatos[[#This Row],[PacienteID]],'Datos_Ejemplo.csv'!A:A,'Datos_Ejemplo.csv'!I:I)</f>
        <v>3</v>
      </c>
      <c r="N2415">
        <f>ABS(TablaDatos[[#This Row],[DiasOriginal]])</f>
        <v>3</v>
      </c>
      <c r="O2415" s="1">
        <f>TablaDatos[[#This Row],[FechaIngreso]]+TablaDatos[[#This Row],[DiasNuevo]]</f>
        <v>45081</v>
      </c>
    </row>
    <row r="2416" spans="1:15">
      <c r="A2416">
        <v>2415</v>
      </c>
      <c r="B2416" t="s">
        <v>251</v>
      </c>
      <c r="C2416" s="1">
        <v>35430</v>
      </c>
      <c r="D2416">
        <v>29</v>
      </c>
      <c r="E2416" s="4" t="s">
        <v>12</v>
      </c>
      <c r="F2416" t="s">
        <v>18</v>
      </c>
      <c r="G2416" s="1">
        <v>45153</v>
      </c>
      <c r="H2416" s="1">
        <f>TablaDatos[[#This Row],[FechaIngreso]]+TablaDatos[[#This Row],[DiasNuevo]]</f>
        <v>45162</v>
      </c>
      <c r="I2416">
        <v>9</v>
      </c>
      <c r="J2416" t="s">
        <v>19</v>
      </c>
      <c r="K2416" s="3">
        <v>9188.56</v>
      </c>
      <c r="L2416" t="b">
        <f>TablaDatos[[#This Row],[FechaAlta]] &lt; TablaDatos[[#This Row],[FechaIngreso]]</f>
        <v>0</v>
      </c>
      <c r="M2416">
        <f>_xlfn.XLOOKUP(TablaDatos[[#This Row],[PacienteID]],'Datos_Ejemplo.csv'!A:A,'Datos_Ejemplo.csv'!I:I)</f>
        <v>9</v>
      </c>
      <c r="N2416">
        <f>ABS(TablaDatos[[#This Row],[DiasOriginal]])</f>
        <v>9</v>
      </c>
      <c r="O2416" s="1">
        <f>TablaDatos[[#This Row],[FechaIngreso]]+TablaDatos[[#This Row],[DiasNuevo]]</f>
        <v>45162</v>
      </c>
    </row>
    <row r="2417" spans="1:15">
      <c r="A2417">
        <v>2416</v>
      </c>
      <c r="B2417" t="s">
        <v>105</v>
      </c>
      <c r="C2417" s="1">
        <v>26299</v>
      </c>
      <c r="D2417">
        <v>54</v>
      </c>
      <c r="E2417" s="4" t="s">
        <v>15</v>
      </c>
      <c r="F2417" t="s">
        <v>32</v>
      </c>
      <c r="G2417" s="1">
        <v>45169</v>
      </c>
      <c r="H2417" s="1">
        <f>TablaDatos[[#This Row],[FechaIngreso]]+TablaDatos[[#This Row],[DiasNuevo]]</f>
        <v>45189</v>
      </c>
      <c r="I2417">
        <v>20</v>
      </c>
      <c r="J2417" t="s">
        <v>25</v>
      </c>
      <c r="K2417" s="3">
        <v>6635.5</v>
      </c>
      <c r="L2417" t="b">
        <f>TablaDatos[[#This Row],[FechaAlta]] &lt; TablaDatos[[#This Row],[FechaIngreso]]</f>
        <v>0</v>
      </c>
      <c r="M2417">
        <f>_xlfn.XLOOKUP(TablaDatos[[#This Row],[PacienteID]],'Datos_Ejemplo.csv'!A:A,'Datos_Ejemplo.csv'!I:I)</f>
        <v>20</v>
      </c>
      <c r="N2417">
        <f>ABS(TablaDatos[[#This Row],[DiasOriginal]])</f>
        <v>20</v>
      </c>
      <c r="O2417" s="1">
        <f>TablaDatos[[#This Row],[FechaIngreso]]+TablaDatos[[#This Row],[DiasNuevo]]</f>
        <v>45189</v>
      </c>
    </row>
    <row r="2418" spans="1:15">
      <c r="A2418">
        <v>2417</v>
      </c>
      <c r="B2418" t="s">
        <v>114</v>
      </c>
      <c r="C2418" s="1">
        <v>40544</v>
      </c>
      <c r="D2418">
        <v>15</v>
      </c>
      <c r="E2418" s="4" t="s">
        <v>15</v>
      </c>
      <c r="F2418" t="s">
        <v>13</v>
      </c>
      <c r="G2418" s="1">
        <v>44936</v>
      </c>
      <c r="H2418" s="1">
        <f>TablaDatos[[#This Row],[FechaIngreso]]+TablaDatos[[#This Row],[DiasNuevo]]</f>
        <v>44972</v>
      </c>
      <c r="I2418">
        <v>36</v>
      </c>
      <c r="J2418" t="s">
        <v>25</v>
      </c>
      <c r="K2418" s="3">
        <v>18196.46</v>
      </c>
      <c r="L2418" t="b">
        <f>TablaDatos[[#This Row],[FechaAlta]] &lt; TablaDatos[[#This Row],[FechaIngreso]]</f>
        <v>0</v>
      </c>
      <c r="M2418">
        <f>_xlfn.XLOOKUP(TablaDatos[[#This Row],[PacienteID]],'Datos_Ejemplo.csv'!A:A,'Datos_Ejemplo.csv'!I:I)</f>
        <v>36</v>
      </c>
      <c r="N2418">
        <f>ABS(TablaDatos[[#This Row],[DiasOriginal]])</f>
        <v>36</v>
      </c>
      <c r="O2418" s="1">
        <f>TablaDatos[[#This Row],[FechaIngreso]]+TablaDatos[[#This Row],[DiasNuevo]]</f>
        <v>44972</v>
      </c>
    </row>
    <row r="2419" spans="1:15">
      <c r="A2419">
        <v>2418</v>
      </c>
      <c r="B2419" t="s">
        <v>248</v>
      </c>
      <c r="C2419" s="1">
        <v>42005</v>
      </c>
      <c r="D2419">
        <v>11</v>
      </c>
      <c r="E2419" s="4" t="s">
        <v>12</v>
      </c>
      <c r="F2419" t="s">
        <v>261</v>
      </c>
      <c r="G2419" s="1">
        <v>45318</v>
      </c>
      <c r="H2419" s="1">
        <f>TablaDatos[[#This Row],[FechaIngreso]]+TablaDatos[[#This Row],[DiasNuevo]]</f>
        <v>45355</v>
      </c>
      <c r="I2419">
        <v>37</v>
      </c>
      <c r="J2419" t="s">
        <v>23</v>
      </c>
      <c r="K2419" s="3">
        <v>2629.74</v>
      </c>
      <c r="L2419" t="b">
        <f>TablaDatos[[#This Row],[FechaAlta]] &lt; TablaDatos[[#This Row],[FechaIngreso]]</f>
        <v>0</v>
      </c>
      <c r="M2419">
        <f>_xlfn.XLOOKUP(TablaDatos[[#This Row],[PacienteID]],'Datos_Ejemplo.csv'!A:A,'Datos_Ejemplo.csv'!I:I)</f>
        <v>37</v>
      </c>
      <c r="N2419">
        <f>ABS(TablaDatos[[#This Row],[DiasOriginal]])</f>
        <v>37</v>
      </c>
      <c r="O2419" s="1">
        <f>TablaDatos[[#This Row],[FechaIngreso]]+TablaDatos[[#This Row],[DiasNuevo]]</f>
        <v>45355</v>
      </c>
    </row>
    <row r="2420" spans="1:15">
      <c r="A2420">
        <v>2419</v>
      </c>
      <c r="B2420" t="s">
        <v>264</v>
      </c>
      <c r="C2420" s="1">
        <v>40178</v>
      </c>
      <c r="D2420">
        <v>16</v>
      </c>
      <c r="E2420" s="4" t="s">
        <v>15</v>
      </c>
      <c r="F2420" t="s">
        <v>13</v>
      </c>
      <c r="G2420" s="1">
        <v>44974</v>
      </c>
      <c r="H2420" s="1">
        <f>TablaDatos[[#This Row],[FechaIngreso]]+TablaDatos[[#This Row],[DiasNuevo]]</f>
        <v>45007</v>
      </c>
      <c r="I2420">
        <v>33</v>
      </c>
      <c r="J2420" t="s">
        <v>23</v>
      </c>
      <c r="K2420" s="3">
        <v>14386.36</v>
      </c>
      <c r="L2420" t="b">
        <f>TablaDatos[[#This Row],[FechaAlta]] &lt; TablaDatos[[#This Row],[FechaIngreso]]</f>
        <v>0</v>
      </c>
      <c r="M2420">
        <f>_xlfn.XLOOKUP(TablaDatos[[#This Row],[PacienteID]],'Datos_Ejemplo.csv'!A:A,'Datos_Ejemplo.csv'!I:I)</f>
        <v>33</v>
      </c>
      <c r="N2420">
        <f>ABS(TablaDatos[[#This Row],[DiasOriginal]])</f>
        <v>33</v>
      </c>
      <c r="O2420" s="1">
        <f>TablaDatos[[#This Row],[FechaIngreso]]+TablaDatos[[#This Row],[DiasNuevo]]</f>
        <v>45007</v>
      </c>
    </row>
    <row r="2421" spans="1:15">
      <c r="A2421">
        <v>2420</v>
      </c>
      <c r="B2421" t="s">
        <v>259</v>
      </c>
      <c r="C2421" s="1">
        <v>40544</v>
      </c>
      <c r="D2421">
        <v>15</v>
      </c>
      <c r="E2421" s="4" t="s">
        <v>197</v>
      </c>
      <c r="F2421" t="s">
        <v>261</v>
      </c>
      <c r="G2421" s="1">
        <v>45550</v>
      </c>
      <c r="H2421" s="1">
        <f>TablaDatos[[#This Row],[FechaIngreso]]+TablaDatos[[#This Row],[DiasNuevo]]</f>
        <v>45582</v>
      </c>
      <c r="I2421">
        <v>32</v>
      </c>
      <c r="J2421" t="s">
        <v>23</v>
      </c>
      <c r="K2421" s="3">
        <v>13772.43</v>
      </c>
      <c r="L2421" t="b">
        <f>TablaDatos[[#This Row],[FechaAlta]] &lt; TablaDatos[[#This Row],[FechaIngreso]]</f>
        <v>0</v>
      </c>
      <c r="M2421">
        <f>_xlfn.XLOOKUP(TablaDatos[[#This Row],[PacienteID]],'Datos_Ejemplo.csv'!A:A,'Datos_Ejemplo.csv'!I:I)</f>
        <v>32</v>
      </c>
      <c r="N2421">
        <f>ABS(TablaDatos[[#This Row],[DiasOriginal]])</f>
        <v>32</v>
      </c>
      <c r="O2421" s="1">
        <f>TablaDatos[[#This Row],[FechaIngreso]]+TablaDatos[[#This Row],[DiasNuevo]]</f>
        <v>45582</v>
      </c>
    </row>
    <row r="2422" spans="1:15">
      <c r="A2422">
        <v>2421</v>
      </c>
      <c r="B2422" t="s">
        <v>270</v>
      </c>
      <c r="C2422" s="1">
        <v>42005</v>
      </c>
      <c r="D2422">
        <v>11</v>
      </c>
      <c r="E2422" s="4" t="s">
        <v>12</v>
      </c>
      <c r="F2422" t="s">
        <v>201</v>
      </c>
      <c r="G2422" s="1">
        <v>45130</v>
      </c>
      <c r="H2422" s="1">
        <f>TablaDatos[[#This Row],[FechaIngreso]]+TablaDatos[[#This Row],[DiasNuevo]]</f>
        <v>45130</v>
      </c>
      <c r="I2422">
        <v>0</v>
      </c>
      <c r="J2422" t="s">
        <v>23</v>
      </c>
      <c r="K2422" s="3">
        <v>13773.93</v>
      </c>
      <c r="L2422" t="b">
        <f>TablaDatos[[#This Row],[FechaAlta]] &lt; TablaDatos[[#This Row],[FechaIngreso]]</f>
        <v>0</v>
      </c>
      <c r="M2422">
        <f>_xlfn.XLOOKUP(TablaDatos[[#This Row],[PacienteID]],'Datos_Ejemplo.csv'!A:A,'Datos_Ejemplo.csv'!I:I)</f>
        <v>0</v>
      </c>
      <c r="N2422">
        <f>ABS(TablaDatos[[#This Row],[DiasOriginal]])</f>
        <v>0</v>
      </c>
      <c r="O2422" s="1">
        <f>TablaDatos[[#This Row],[FechaIngreso]]+TablaDatos[[#This Row],[DiasNuevo]]</f>
        <v>45130</v>
      </c>
    </row>
    <row r="2423" spans="1:15">
      <c r="A2423">
        <v>2422</v>
      </c>
      <c r="B2423" t="s">
        <v>259</v>
      </c>
      <c r="C2423" s="1">
        <v>43466</v>
      </c>
      <c r="D2423">
        <v>7</v>
      </c>
      <c r="E2423" s="4" t="s">
        <v>12</v>
      </c>
      <c r="F2423" t="s">
        <v>18</v>
      </c>
      <c r="G2423" s="1">
        <v>45083</v>
      </c>
      <c r="H2423" s="1">
        <f>TablaDatos[[#This Row],[FechaIngreso]]+TablaDatos[[#This Row],[DiasNuevo]]</f>
        <v>45122</v>
      </c>
      <c r="I2423">
        <v>39</v>
      </c>
      <c r="J2423" t="s">
        <v>19</v>
      </c>
      <c r="K2423" s="3">
        <v>18701.95</v>
      </c>
      <c r="L2423" t="b">
        <f>TablaDatos[[#This Row],[FechaAlta]] &lt; TablaDatos[[#This Row],[FechaIngreso]]</f>
        <v>0</v>
      </c>
      <c r="M2423">
        <f>_xlfn.XLOOKUP(TablaDatos[[#This Row],[PacienteID]],'Datos_Ejemplo.csv'!A:A,'Datos_Ejemplo.csv'!I:I)</f>
        <v>39</v>
      </c>
      <c r="N2423">
        <f>ABS(TablaDatos[[#This Row],[DiasOriginal]])</f>
        <v>39</v>
      </c>
      <c r="O2423" s="1">
        <f>TablaDatos[[#This Row],[FechaIngreso]]+TablaDatos[[#This Row],[DiasNuevo]]</f>
        <v>45122</v>
      </c>
    </row>
    <row r="2424" spans="1:15">
      <c r="A2424">
        <v>2423</v>
      </c>
      <c r="B2424" t="s">
        <v>330</v>
      </c>
      <c r="C2424" s="1">
        <v>15707</v>
      </c>
      <c r="D2424">
        <v>83</v>
      </c>
      <c r="E2424" s="4" t="s">
        <v>15</v>
      </c>
      <c r="F2424" t="s">
        <v>32</v>
      </c>
      <c r="G2424" s="1">
        <v>44952</v>
      </c>
      <c r="H2424" s="1">
        <f>TablaDatos[[#This Row],[FechaIngreso]]+TablaDatos[[#This Row],[DiasNuevo]]</f>
        <v>44977</v>
      </c>
      <c r="I2424">
        <v>25</v>
      </c>
      <c r="J2424" t="s">
        <v>23</v>
      </c>
      <c r="K2424" s="3">
        <v>14536.63</v>
      </c>
      <c r="L2424" t="b">
        <f>TablaDatos[[#This Row],[FechaAlta]] &lt; TablaDatos[[#This Row],[FechaIngreso]]</f>
        <v>0</v>
      </c>
      <c r="M2424">
        <f>_xlfn.XLOOKUP(TablaDatos[[#This Row],[PacienteID]],'Datos_Ejemplo.csv'!A:A,'Datos_Ejemplo.csv'!I:I)</f>
        <v>25</v>
      </c>
      <c r="N2424">
        <f>ABS(TablaDatos[[#This Row],[DiasOriginal]])</f>
        <v>25</v>
      </c>
      <c r="O2424" s="1">
        <f>TablaDatos[[#This Row],[FechaIngreso]]+TablaDatos[[#This Row],[DiasNuevo]]</f>
        <v>44977</v>
      </c>
    </row>
    <row r="2425" spans="1:15">
      <c r="A2425">
        <v>2424</v>
      </c>
      <c r="B2425" t="s">
        <v>103</v>
      </c>
      <c r="C2425" s="1">
        <v>45292</v>
      </c>
      <c r="D2425">
        <v>2</v>
      </c>
      <c r="E2425" s="4" t="s">
        <v>12</v>
      </c>
      <c r="F2425" t="s">
        <v>13</v>
      </c>
      <c r="G2425" s="1">
        <v>45347</v>
      </c>
      <c r="H2425" s="1">
        <f>TablaDatos[[#This Row],[FechaIngreso]]+TablaDatos[[#This Row],[DiasNuevo]]</f>
        <v>45359</v>
      </c>
      <c r="I2425">
        <v>12</v>
      </c>
      <c r="J2425" t="s">
        <v>23</v>
      </c>
      <c r="K2425" s="3">
        <v>5961.46</v>
      </c>
      <c r="L2425" t="b">
        <f>TablaDatos[[#This Row],[FechaAlta]] &lt; TablaDatos[[#This Row],[FechaIngreso]]</f>
        <v>0</v>
      </c>
      <c r="M2425">
        <f>_xlfn.XLOOKUP(TablaDatos[[#This Row],[PacienteID]],'Datos_Ejemplo.csv'!A:A,'Datos_Ejemplo.csv'!I:I)</f>
        <v>12</v>
      </c>
      <c r="N2425">
        <f>ABS(TablaDatos[[#This Row],[DiasOriginal]])</f>
        <v>12</v>
      </c>
      <c r="O2425" s="1">
        <f>TablaDatos[[#This Row],[FechaIngreso]]+TablaDatos[[#This Row],[DiasNuevo]]</f>
        <v>45359</v>
      </c>
    </row>
    <row r="2426" spans="1:15">
      <c r="A2426">
        <v>2425</v>
      </c>
      <c r="B2426" t="s">
        <v>362</v>
      </c>
      <c r="C2426" s="1">
        <v>40544</v>
      </c>
      <c r="D2426">
        <v>15</v>
      </c>
      <c r="E2426" s="4" t="s">
        <v>15</v>
      </c>
      <c r="F2426" t="s">
        <v>201</v>
      </c>
      <c r="G2426" s="1">
        <v>45604</v>
      </c>
      <c r="H2426" s="1">
        <f>TablaDatos[[#This Row],[FechaIngreso]]+TablaDatos[[#This Row],[DiasNuevo]]</f>
        <v>45614</v>
      </c>
      <c r="I2426">
        <v>10</v>
      </c>
      <c r="J2426" t="s">
        <v>25</v>
      </c>
      <c r="K2426" s="3">
        <v>7003.53</v>
      </c>
      <c r="L2426" t="b">
        <f>TablaDatos[[#This Row],[FechaAlta]] &lt; TablaDatos[[#This Row],[FechaIngreso]]</f>
        <v>0</v>
      </c>
      <c r="M2426">
        <f>_xlfn.XLOOKUP(TablaDatos[[#This Row],[PacienteID]],'Datos_Ejemplo.csv'!A:A,'Datos_Ejemplo.csv'!I:I)</f>
        <v>10</v>
      </c>
      <c r="N2426">
        <f>ABS(TablaDatos[[#This Row],[DiasOriginal]])</f>
        <v>10</v>
      </c>
      <c r="O2426" s="1">
        <f>TablaDatos[[#This Row],[FechaIngreso]]+TablaDatos[[#This Row],[DiasNuevo]]</f>
        <v>45614</v>
      </c>
    </row>
    <row r="2427" spans="1:15">
      <c r="A2427">
        <v>2426</v>
      </c>
      <c r="B2427" t="s">
        <v>67</v>
      </c>
      <c r="C2427" s="1">
        <v>35430</v>
      </c>
      <c r="D2427">
        <v>29</v>
      </c>
      <c r="E2427" s="4" t="s">
        <v>197</v>
      </c>
      <c r="F2427" t="s">
        <v>18</v>
      </c>
      <c r="G2427" s="1">
        <v>45190</v>
      </c>
      <c r="H2427" s="1">
        <f>TablaDatos[[#This Row],[FechaIngreso]]+TablaDatos[[#This Row],[DiasNuevo]]</f>
        <v>45206</v>
      </c>
      <c r="I2427">
        <v>16</v>
      </c>
      <c r="J2427" t="s">
        <v>23</v>
      </c>
      <c r="K2427" s="3">
        <v>7761.33</v>
      </c>
      <c r="L2427" t="b">
        <f>TablaDatos[[#This Row],[FechaAlta]] &lt; TablaDatos[[#This Row],[FechaIngreso]]</f>
        <v>0</v>
      </c>
      <c r="M2427">
        <f>_xlfn.XLOOKUP(TablaDatos[[#This Row],[PacienteID]],'Datos_Ejemplo.csv'!A:A,'Datos_Ejemplo.csv'!I:I)</f>
        <v>16</v>
      </c>
      <c r="N2427">
        <f>ABS(TablaDatos[[#This Row],[DiasOriginal]])</f>
        <v>16</v>
      </c>
      <c r="O2427" s="1">
        <f>TablaDatos[[#This Row],[FechaIngreso]]+TablaDatos[[#This Row],[DiasNuevo]]</f>
        <v>45206</v>
      </c>
    </row>
    <row r="2428" spans="1:15">
      <c r="A2428">
        <v>2427</v>
      </c>
      <c r="B2428" t="s">
        <v>302</v>
      </c>
      <c r="C2428" s="1">
        <v>37987</v>
      </c>
      <c r="D2428">
        <v>22</v>
      </c>
      <c r="E2428" s="4" t="s">
        <v>15</v>
      </c>
      <c r="F2428" t="s">
        <v>201</v>
      </c>
      <c r="G2428" s="1">
        <v>45455</v>
      </c>
      <c r="H2428" s="1">
        <f>TablaDatos[[#This Row],[FechaIngreso]]+TablaDatos[[#This Row],[DiasNuevo]]</f>
        <v>45492</v>
      </c>
      <c r="I2428">
        <v>37</v>
      </c>
      <c r="J2428" t="s">
        <v>19</v>
      </c>
      <c r="K2428" s="3">
        <v>519.25</v>
      </c>
      <c r="L2428" t="b">
        <f>TablaDatos[[#This Row],[FechaAlta]] &lt; TablaDatos[[#This Row],[FechaIngreso]]</f>
        <v>0</v>
      </c>
      <c r="M2428">
        <f>_xlfn.XLOOKUP(TablaDatos[[#This Row],[PacienteID]],'Datos_Ejemplo.csv'!A:A,'Datos_Ejemplo.csv'!I:I)</f>
        <v>37</v>
      </c>
      <c r="N2428">
        <f>ABS(TablaDatos[[#This Row],[DiasOriginal]])</f>
        <v>37</v>
      </c>
      <c r="O2428" s="1">
        <f>TablaDatos[[#This Row],[FechaIngreso]]+TablaDatos[[#This Row],[DiasNuevo]]</f>
        <v>45492</v>
      </c>
    </row>
    <row r="2429" spans="1:15">
      <c r="A2429">
        <v>2428</v>
      </c>
      <c r="B2429" t="s">
        <v>161</v>
      </c>
      <c r="C2429" s="1">
        <v>12785</v>
      </c>
      <c r="D2429">
        <v>91</v>
      </c>
      <c r="E2429" s="4" t="s">
        <v>12</v>
      </c>
      <c r="F2429" t="s">
        <v>261</v>
      </c>
      <c r="G2429" s="1">
        <v>45514</v>
      </c>
      <c r="H2429" s="1">
        <f>TablaDatos[[#This Row],[FechaIngreso]]+TablaDatos[[#This Row],[DiasNuevo]]</f>
        <v>45529</v>
      </c>
      <c r="I2429">
        <v>15</v>
      </c>
      <c r="J2429" t="s">
        <v>19</v>
      </c>
      <c r="K2429" s="3">
        <v>18261.560000000001</v>
      </c>
      <c r="L2429" t="b">
        <f>TablaDatos[[#This Row],[FechaAlta]] &lt; TablaDatos[[#This Row],[FechaIngreso]]</f>
        <v>0</v>
      </c>
      <c r="M2429">
        <f>_xlfn.XLOOKUP(TablaDatos[[#This Row],[PacienteID]],'Datos_Ejemplo.csv'!A:A,'Datos_Ejemplo.csv'!I:I)</f>
        <v>15</v>
      </c>
      <c r="N2429">
        <f>ABS(TablaDatos[[#This Row],[DiasOriginal]])</f>
        <v>15</v>
      </c>
      <c r="O2429" s="1">
        <f>TablaDatos[[#This Row],[FechaIngreso]]+TablaDatos[[#This Row],[DiasNuevo]]</f>
        <v>45529</v>
      </c>
    </row>
    <row r="2430" spans="1:15">
      <c r="A2430">
        <v>2429</v>
      </c>
      <c r="B2430" t="s">
        <v>233</v>
      </c>
      <c r="C2430" s="1">
        <v>44561</v>
      </c>
      <c r="D2430">
        <v>4</v>
      </c>
      <c r="E2430" s="4" t="s">
        <v>12</v>
      </c>
      <c r="F2430" t="s">
        <v>13</v>
      </c>
      <c r="G2430" s="1">
        <v>45396</v>
      </c>
      <c r="H2430" s="1">
        <f>TablaDatos[[#This Row],[FechaIngreso]]+TablaDatos[[#This Row],[DiasNuevo]]</f>
        <v>45424</v>
      </c>
      <c r="I2430">
        <v>28</v>
      </c>
      <c r="J2430" t="s">
        <v>25</v>
      </c>
      <c r="K2430" s="3">
        <v>1378.41</v>
      </c>
      <c r="L2430" t="b">
        <f>TablaDatos[[#This Row],[FechaAlta]] &lt; TablaDatos[[#This Row],[FechaIngreso]]</f>
        <v>0</v>
      </c>
      <c r="M2430">
        <f>_xlfn.XLOOKUP(TablaDatos[[#This Row],[PacienteID]],'Datos_Ejemplo.csv'!A:A,'Datos_Ejemplo.csv'!I:I)</f>
        <v>28</v>
      </c>
      <c r="N2430">
        <f>ABS(TablaDatos[[#This Row],[DiasOriginal]])</f>
        <v>28</v>
      </c>
      <c r="O2430" s="1">
        <f>TablaDatos[[#This Row],[FechaIngreso]]+TablaDatos[[#This Row],[DiasNuevo]]</f>
        <v>45424</v>
      </c>
    </row>
    <row r="2431" spans="1:15">
      <c r="A2431">
        <v>2430</v>
      </c>
      <c r="B2431" t="s">
        <v>242</v>
      </c>
      <c r="C2431" s="1">
        <v>15707</v>
      </c>
      <c r="D2431">
        <v>83</v>
      </c>
      <c r="E2431" s="4" t="s">
        <v>15</v>
      </c>
      <c r="F2431" t="s">
        <v>201</v>
      </c>
      <c r="G2431" s="1">
        <v>45180</v>
      </c>
      <c r="H2431" s="1">
        <f>TablaDatos[[#This Row],[FechaIngreso]]+TablaDatos[[#This Row],[DiasNuevo]]</f>
        <v>45214</v>
      </c>
      <c r="I2431">
        <v>34</v>
      </c>
      <c r="J2431" t="s">
        <v>23</v>
      </c>
      <c r="K2431" s="3">
        <v>13965.87</v>
      </c>
      <c r="L2431" t="b">
        <f>TablaDatos[[#This Row],[FechaAlta]] &lt; TablaDatos[[#This Row],[FechaIngreso]]</f>
        <v>0</v>
      </c>
      <c r="M2431">
        <f>_xlfn.XLOOKUP(TablaDatos[[#This Row],[PacienteID]],'Datos_Ejemplo.csv'!A:A,'Datos_Ejemplo.csv'!I:I)</f>
        <v>34</v>
      </c>
      <c r="N2431">
        <f>ABS(TablaDatos[[#This Row],[DiasOriginal]])</f>
        <v>34</v>
      </c>
      <c r="O2431" s="1">
        <f>TablaDatos[[#This Row],[FechaIngreso]]+TablaDatos[[#This Row],[DiasNuevo]]</f>
        <v>45214</v>
      </c>
    </row>
    <row r="2432" spans="1:15">
      <c r="A2432">
        <v>2431</v>
      </c>
      <c r="B2432" t="s">
        <v>343</v>
      </c>
      <c r="C2432" s="1">
        <v>22646</v>
      </c>
      <c r="D2432">
        <f ca="1">DATEDIF(TablaDatos[[#This Row],[FechaNacimiento]],TODAY(),"Y")</f>
        <v>64</v>
      </c>
      <c r="E2432" s="4" t="s">
        <v>15</v>
      </c>
      <c r="F2432" t="s">
        <v>201</v>
      </c>
      <c r="G2432" s="1">
        <v>45644</v>
      </c>
      <c r="H2432" s="1">
        <f>TablaDatos[[#This Row],[FechaIngreso]]+TablaDatos[[#This Row],[DiasNuevo]]</f>
        <v>45662</v>
      </c>
      <c r="I2432">
        <v>18</v>
      </c>
      <c r="J2432" t="s">
        <v>25</v>
      </c>
      <c r="K2432" s="3">
        <v>14576.24</v>
      </c>
      <c r="L2432" t="b">
        <f>TablaDatos[[#This Row],[FechaAlta]] &lt; TablaDatos[[#This Row],[FechaIngreso]]</f>
        <v>0</v>
      </c>
      <c r="M2432">
        <f>_xlfn.XLOOKUP(TablaDatos[[#This Row],[PacienteID]],'Datos_Ejemplo.csv'!A:A,'Datos_Ejemplo.csv'!I:I)</f>
        <v>18</v>
      </c>
      <c r="N2432">
        <f>ABS(TablaDatos[[#This Row],[DiasOriginal]])</f>
        <v>18</v>
      </c>
      <c r="O2432" s="1">
        <f>TablaDatos[[#This Row],[FechaIngreso]]+TablaDatos[[#This Row],[DiasNuevo]]</f>
        <v>45662</v>
      </c>
    </row>
    <row r="2433" spans="1:15">
      <c r="A2433">
        <v>2432</v>
      </c>
      <c r="B2433" t="s">
        <v>111</v>
      </c>
      <c r="C2433" s="1">
        <v>35430</v>
      </c>
      <c r="D2433">
        <v>29</v>
      </c>
      <c r="E2433" s="4" t="s">
        <v>197</v>
      </c>
      <c r="F2433" t="s">
        <v>261</v>
      </c>
      <c r="G2433" s="1">
        <v>45472</v>
      </c>
      <c r="H2433" s="1">
        <f>TablaDatos[[#This Row],[FechaIngreso]]+TablaDatos[[#This Row],[DiasNuevo]]</f>
        <v>45508</v>
      </c>
      <c r="I2433">
        <v>36</v>
      </c>
      <c r="J2433" t="s">
        <v>23</v>
      </c>
      <c r="K2433" s="3">
        <v>16858.669999999998</v>
      </c>
      <c r="L2433" t="b">
        <f>TablaDatos[[#This Row],[FechaAlta]] &lt; TablaDatos[[#This Row],[FechaIngreso]]</f>
        <v>0</v>
      </c>
      <c r="M2433">
        <f>_xlfn.XLOOKUP(TablaDatos[[#This Row],[PacienteID]],'Datos_Ejemplo.csv'!A:A,'Datos_Ejemplo.csv'!I:I)</f>
        <v>36</v>
      </c>
      <c r="N2433">
        <f>ABS(TablaDatos[[#This Row],[DiasOriginal]])</f>
        <v>36</v>
      </c>
      <c r="O2433" s="1">
        <f>TablaDatos[[#This Row],[FechaIngreso]]+TablaDatos[[#This Row],[DiasNuevo]]</f>
        <v>45508</v>
      </c>
    </row>
    <row r="2434" spans="1:15">
      <c r="A2434">
        <v>2433</v>
      </c>
      <c r="B2434" t="s">
        <v>357</v>
      </c>
      <c r="C2434" s="1">
        <v>38717</v>
      </c>
      <c r="D2434">
        <v>20</v>
      </c>
      <c r="E2434" s="4" t="s">
        <v>15</v>
      </c>
      <c r="F2434" t="s">
        <v>21</v>
      </c>
      <c r="G2434" s="1">
        <v>45073</v>
      </c>
      <c r="H2434" s="1">
        <f>TablaDatos[[#This Row],[FechaIngreso]]+TablaDatos[[#This Row],[DiasNuevo]]</f>
        <v>45075</v>
      </c>
      <c r="I2434">
        <v>2</v>
      </c>
      <c r="J2434" t="s">
        <v>23</v>
      </c>
      <c r="K2434" s="3">
        <v>11022.58</v>
      </c>
      <c r="L2434" t="b">
        <f>TablaDatos[[#This Row],[FechaAlta]] &lt; TablaDatos[[#This Row],[FechaIngreso]]</f>
        <v>0</v>
      </c>
      <c r="M2434">
        <f>_xlfn.XLOOKUP(TablaDatos[[#This Row],[PacienteID]],'Datos_Ejemplo.csv'!A:A,'Datos_Ejemplo.csv'!I:I)</f>
        <v>2</v>
      </c>
      <c r="N2434">
        <f>ABS(TablaDatos[[#This Row],[DiasOriginal]])</f>
        <v>2</v>
      </c>
      <c r="O2434" s="1">
        <f>TablaDatos[[#This Row],[FechaIngreso]]+TablaDatos[[#This Row],[DiasNuevo]]</f>
        <v>45075</v>
      </c>
    </row>
    <row r="2435" spans="1:15">
      <c r="A2435">
        <v>2434</v>
      </c>
      <c r="B2435" t="s">
        <v>255</v>
      </c>
      <c r="C2435" s="1">
        <v>15707</v>
      </c>
      <c r="D2435">
        <v>83</v>
      </c>
      <c r="E2435" s="4" t="s">
        <v>12</v>
      </c>
      <c r="F2435" t="s">
        <v>261</v>
      </c>
      <c r="G2435" s="1">
        <v>45252</v>
      </c>
      <c r="H2435" s="1">
        <f>TablaDatos[[#This Row],[FechaIngreso]]+TablaDatos[[#This Row],[DiasNuevo]]</f>
        <v>45266</v>
      </c>
      <c r="I2435">
        <v>14</v>
      </c>
      <c r="J2435" t="s">
        <v>19</v>
      </c>
      <c r="K2435" s="3">
        <v>14477.81</v>
      </c>
      <c r="L2435" t="b">
        <f>TablaDatos[[#This Row],[FechaAlta]] &lt; TablaDatos[[#This Row],[FechaIngreso]]</f>
        <v>0</v>
      </c>
      <c r="M2435">
        <f>_xlfn.XLOOKUP(TablaDatos[[#This Row],[PacienteID]],'Datos_Ejemplo.csv'!A:A,'Datos_Ejemplo.csv'!I:I)</f>
        <v>14</v>
      </c>
      <c r="N2435">
        <f>ABS(TablaDatos[[#This Row],[DiasOriginal]])</f>
        <v>14</v>
      </c>
      <c r="O2435" s="1">
        <f>TablaDatos[[#This Row],[FechaIngreso]]+TablaDatos[[#This Row],[DiasNuevo]]</f>
        <v>45266</v>
      </c>
    </row>
    <row r="2436" spans="1:15">
      <c r="A2436">
        <v>2435</v>
      </c>
      <c r="B2436" t="s">
        <v>361</v>
      </c>
      <c r="C2436" s="1">
        <v>20820</v>
      </c>
      <c r="D2436">
        <v>69</v>
      </c>
      <c r="E2436" s="4" t="s">
        <v>15</v>
      </c>
      <c r="F2436" t="s">
        <v>21</v>
      </c>
      <c r="G2436" s="1">
        <v>45264</v>
      </c>
      <c r="H2436" s="1">
        <f>TablaDatos[[#This Row],[FechaIngreso]]+TablaDatos[[#This Row],[DiasNuevo]]</f>
        <v>45280</v>
      </c>
      <c r="I2436">
        <v>16</v>
      </c>
      <c r="J2436" t="s">
        <v>23</v>
      </c>
      <c r="K2436" s="3">
        <v>5984.73</v>
      </c>
      <c r="L2436" t="b">
        <f>TablaDatos[[#This Row],[FechaAlta]] &lt; TablaDatos[[#This Row],[FechaIngreso]]</f>
        <v>0</v>
      </c>
      <c r="M2436">
        <f>_xlfn.XLOOKUP(TablaDatos[[#This Row],[PacienteID]],'Datos_Ejemplo.csv'!A:A,'Datos_Ejemplo.csv'!I:I)</f>
        <v>16</v>
      </c>
      <c r="N2436">
        <f>ABS(TablaDatos[[#This Row],[DiasOriginal]])</f>
        <v>16</v>
      </c>
      <c r="O2436" s="1">
        <f>TablaDatos[[#This Row],[FechaIngreso]]+TablaDatos[[#This Row],[DiasNuevo]]</f>
        <v>45280</v>
      </c>
    </row>
    <row r="2437" spans="1:15">
      <c r="A2437">
        <v>2436</v>
      </c>
      <c r="B2437" t="s">
        <v>258</v>
      </c>
      <c r="C2437" s="1">
        <v>38352</v>
      </c>
      <c r="D2437">
        <f ca="1">DATEDIF(TablaDatos[[#This Row],[FechaNacimiento]],TODAY(),"Y")</f>
        <v>21</v>
      </c>
      <c r="E2437" s="4" t="s">
        <v>12</v>
      </c>
      <c r="F2437" t="s">
        <v>18</v>
      </c>
      <c r="G2437" s="1">
        <v>45044</v>
      </c>
      <c r="H2437" s="1">
        <f>TablaDatos[[#This Row],[FechaIngreso]]+TablaDatos[[#This Row],[DiasNuevo]]</f>
        <v>45045</v>
      </c>
      <c r="I2437">
        <v>1</v>
      </c>
      <c r="J2437" t="s">
        <v>25</v>
      </c>
      <c r="K2437" s="3">
        <v>14886.24</v>
      </c>
      <c r="L2437" t="b">
        <f>TablaDatos[[#This Row],[FechaAlta]] &lt; TablaDatos[[#This Row],[FechaIngreso]]</f>
        <v>0</v>
      </c>
      <c r="M2437">
        <f>_xlfn.XLOOKUP(TablaDatos[[#This Row],[PacienteID]],'Datos_Ejemplo.csv'!A:A,'Datos_Ejemplo.csv'!I:I)</f>
        <v>1</v>
      </c>
      <c r="N2437">
        <f>ABS(TablaDatos[[#This Row],[DiasOriginal]])</f>
        <v>1</v>
      </c>
      <c r="O2437" s="1">
        <f>TablaDatos[[#This Row],[FechaIngreso]]+TablaDatos[[#This Row],[DiasNuevo]]</f>
        <v>45045</v>
      </c>
    </row>
    <row r="2438" spans="1:15">
      <c r="A2438">
        <v>2437</v>
      </c>
      <c r="B2438" t="s">
        <v>122</v>
      </c>
      <c r="C2438" s="1">
        <v>16437</v>
      </c>
      <c r="D2438">
        <v>81</v>
      </c>
      <c r="E2438" s="4" t="s">
        <v>12</v>
      </c>
      <c r="F2438" t="s">
        <v>13</v>
      </c>
      <c r="G2438" s="1">
        <v>45091</v>
      </c>
      <c r="H2438" s="1">
        <f>TablaDatos[[#This Row],[FechaIngreso]]+TablaDatos[[#This Row],[DiasNuevo]]</f>
        <v>45114</v>
      </c>
      <c r="I2438">
        <v>23</v>
      </c>
      <c r="J2438" t="s">
        <v>23</v>
      </c>
      <c r="K2438" s="3">
        <v>6802.66</v>
      </c>
      <c r="L2438" t="b">
        <f>TablaDatos[[#This Row],[FechaAlta]] &lt; TablaDatos[[#This Row],[FechaIngreso]]</f>
        <v>0</v>
      </c>
      <c r="M2438">
        <f>_xlfn.XLOOKUP(TablaDatos[[#This Row],[PacienteID]],'Datos_Ejemplo.csv'!A:A,'Datos_Ejemplo.csv'!I:I)</f>
        <v>23</v>
      </c>
      <c r="N2438">
        <f>ABS(TablaDatos[[#This Row],[DiasOriginal]])</f>
        <v>23</v>
      </c>
      <c r="O2438" s="1">
        <f>TablaDatos[[#This Row],[FechaIngreso]]+TablaDatos[[#This Row],[DiasNuevo]]</f>
        <v>45114</v>
      </c>
    </row>
    <row r="2439" spans="1:15">
      <c r="A2439">
        <v>2438</v>
      </c>
      <c r="B2439" t="s">
        <v>51</v>
      </c>
      <c r="C2439" s="1">
        <v>20090</v>
      </c>
      <c r="D2439">
        <v>71</v>
      </c>
      <c r="E2439" s="4" t="s">
        <v>15</v>
      </c>
      <c r="F2439" t="s">
        <v>201</v>
      </c>
      <c r="G2439" s="1">
        <v>45476</v>
      </c>
      <c r="H2439" s="1">
        <f>TablaDatos[[#This Row],[FechaIngreso]]+TablaDatos[[#This Row],[DiasNuevo]]</f>
        <v>45497</v>
      </c>
      <c r="I2439">
        <v>21</v>
      </c>
      <c r="J2439" t="s">
        <v>23</v>
      </c>
      <c r="K2439" s="3">
        <v>18047.05</v>
      </c>
      <c r="L2439" t="b">
        <f>TablaDatos[[#This Row],[FechaAlta]] &lt; TablaDatos[[#This Row],[FechaIngreso]]</f>
        <v>0</v>
      </c>
      <c r="M2439">
        <f>_xlfn.XLOOKUP(TablaDatos[[#This Row],[PacienteID]],'Datos_Ejemplo.csv'!A:A,'Datos_Ejemplo.csv'!I:I)</f>
        <v>21</v>
      </c>
      <c r="N2439">
        <f>ABS(TablaDatos[[#This Row],[DiasOriginal]])</f>
        <v>21</v>
      </c>
      <c r="O2439" s="1">
        <f>TablaDatos[[#This Row],[FechaIngreso]]+TablaDatos[[#This Row],[DiasNuevo]]</f>
        <v>45497</v>
      </c>
    </row>
    <row r="2440" spans="1:15">
      <c r="A2440">
        <v>2439</v>
      </c>
      <c r="B2440" t="s">
        <v>274</v>
      </c>
      <c r="C2440" s="1">
        <v>34700</v>
      </c>
      <c r="D2440">
        <v>31</v>
      </c>
      <c r="E2440" s="4" t="s">
        <v>15</v>
      </c>
      <c r="F2440" t="s">
        <v>18</v>
      </c>
      <c r="G2440" s="1">
        <v>45575</v>
      </c>
      <c r="H2440" s="1">
        <f>TablaDatos[[#This Row],[FechaIngreso]]+TablaDatos[[#This Row],[DiasNuevo]]</f>
        <v>45611</v>
      </c>
      <c r="I2440">
        <v>36</v>
      </c>
      <c r="J2440" t="s">
        <v>23</v>
      </c>
      <c r="K2440" s="3">
        <v>3183.97</v>
      </c>
      <c r="L2440" t="b">
        <f>TablaDatos[[#This Row],[FechaAlta]] &lt; TablaDatos[[#This Row],[FechaIngreso]]</f>
        <v>0</v>
      </c>
      <c r="M2440">
        <f>_xlfn.XLOOKUP(TablaDatos[[#This Row],[PacienteID]],'Datos_Ejemplo.csv'!A:A,'Datos_Ejemplo.csv'!I:I)</f>
        <v>36</v>
      </c>
      <c r="N2440">
        <f>ABS(TablaDatos[[#This Row],[DiasOriginal]])</f>
        <v>36</v>
      </c>
      <c r="O2440" s="1">
        <f>TablaDatos[[#This Row],[FechaIngreso]]+TablaDatos[[#This Row],[DiasNuevo]]</f>
        <v>45611</v>
      </c>
    </row>
    <row r="2441" spans="1:15">
      <c r="A2441">
        <v>2440</v>
      </c>
      <c r="B2441" t="s">
        <v>325</v>
      </c>
      <c r="C2441" s="1">
        <v>34334</v>
      </c>
      <c r="D2441">
        <v>32</v>
      </c>
      <c r="E2441" s="4" t="s">
        <v>12</v>
      </c>
      <c r="F2441" t="s">
        <v>295</v>
      </c>
      <c r="G2441" s="1">
        <v>45124</v>
      </c>
      <c r="H2441" s="1">
        <f>TablaDatos[[#This Row],[FechaIngreso]]+TablaDatos[[#This Row],[DiasNuevo]]</f>
        <v>45159</v>
      </c>
      <c r="I2441">
        <v>35</v>
      </c>
      <c r="J2441" t="s">
        <v>23</v>
      </c>
      <c r="K2441" s="3">
        <v>6246.72</v>
      </c>
      <c r="L2441" t="b">
        <f>TablaDatos[[#This Row],[FechaAlta]] &lt; TablaDatos[[#This Row],[FechaIngreso]]</f>
        <v>0</v>
      </c>
      <c r="M2441">
        <f>_xlfn.XLOOKUP(TablaDatos[[#This Row],[PacienteID]],'Datos_Ejemplo.csv'!A:A,'Datos_Ejemplo.csv'!I:I)</f>
        <v>35</v>
      </c>
      <c r="N2441">
        <f>ABS(TablaDatos[[#This Row],[DiasOriginal]])</f>
        <v>35</v>
      </c>
      <c r="O2441" s="1">
        <f>TablaDatos[[#This Row],[FechaIngreso]]+TablaDatos[[#This Row],[DiasNuevo]]</f>
        <v>45159</v>
      </c>
    </row>
    <row r="2442" spans="1:15">
      <c r="A2442">
        <v>2441</v>
      </c>
      <c r="B2442" t="s">
        <v>327</v>
      </c>
      <c r="C2442" s="1">
        <v>40544</v>
      </c>
      <c r="D2442">
        <v>15</v>
      </c>
      <c r="E2442" s="4" t="s">
        <v>15</v>
      </c>
      <c r="F2442" t="s">
        <v>261</v>
      </c>
      <c r="G2442" s="1">
        <v>45300</v>
      </c>
      <c r="H2442" s="1">
        <f>TablaDatos[[#This Row],[FechaIngreso]]+TablaDatos[[#This Row],[DiasNuevo]]</f>
        <v>45316</v>
      </c>
      <c r="I2442">
        <v>16</v>
      </c>
      <c r="J2442" t="s">
        <v>25</v>
      </c>
      <c r="K2442" s="3">
        <v>9925.27</v>
      </c>
      <c r="L2442" t="b">
        <f>TablaDatos[[#This Row],[FechaAlta]] &lt; TablaDatos[[#This Row],[FechaIngreso]]</f>
        <v>0</v>
      </c>
      <c r="M2442">
        <f>_xlfn.XLOOKUP(TablaDatos[[#This Row],[PacienteID]],'Datos_Ejemplo.csv'!A:A,'Datos_Ejemplo.csv'!I:I)</f>
        <v>16</v>
      </c>
      <c r="N2442">
        <f>ABS(TablaDatos[[#This Row],[DiasOriginal]])</f>
        <v>16</v>
      </c>
      <c r="O2442" s="1">
        <f>TablaDatos[[#This Row],[FechaIngreso]]+TablaDatos[[#This Row],[DiasNuevo]]</f>
        <v>45316</v>
      </c>
    </row>
    <row r="2443" spans="1:15">
      <c r="A2443">
        <v>2442</v>
      </c>
      <c r="B2443" t="s">
        <v>272</v>
      </c>
      <c r="C2443" s="1">
        <v>18629</v>
      </c>
      <c r="D2443">
        <v>75</v>
      </c>
      <c r="E2443" s="4" t="s">
        <v>15</v>
      </c>
      <c r="F2443" t="s">
        <v>18</v>
      </c>
      <c r="G2443" s="1">
        <v>45504</v>
      </c>
      <c r="H2443" s="1">
        <f>TablaDatos[[#This Row],[FechaIngreso]]+TablaDatos[[#This Row],[DiasNuevo]]</f>
        <v>45531</v>
      </c>
      <c r="I2443">
        <v>27</v>
      </c>
      <c r="J2443" t="s">
        <v>25</v>
      </c>
      <c r="K2443" s="3">
        <v>15494.6</v>
      </c>
      <c r="L2443" t="b">
        <f>TablaDatos[[#This Row],[FechaAlta]] &lt; TablaDatos[[#This Row],[FechaIngreso]]</f>
        <v>0</v>
      </c>
      <c r="M2443">
        <f>_xlfn.XLOOKUP(TablaDatos[[#This Row],[PacienteID]],'Datos_Ejemplo.csv'!A:A,'Datos_Ejemplo.csv'!I:I)</f>
        <v>27</v>
      </c>
      <c r="N2443">
        <f>ABS(TablaDatos[[#This Row],[DiasOriginal]])</f>
        <v>27</v>
      </c>
      <c r="O2443" s="1">
        <f>TablaDatos[[#This Row],[FechaIngreso]]+TablaDatos[[#This Row],[DiasNuevo]]</f>
        <v>45531</v>
      </c>
    </row>
    <row r="2444" spans="1:15">
      <c r="A2444">
        <v>2443</v>
      </c>
      <c r="B2444" t="s">
        <v>332</v>
      </c>
      <c r="C2444" s="1">
        <v>32508</v>
      </c>
      <c r="D2444">
        <v>37</v>
      </c>
      <c r="E2444" s="4" t="s">
        <v>12</v>
      </c>
      <c r="F2444" t="s">
        <v>18</v>
      </c>
      <c r="G2444" s="1">
        <v>45518</v>
      </c>
      <c r="H2444" s="1">
        <f>TablaDatos[[#This Row],[FechaIngreso]]+TablaDatos[[#This Row],[DiasNuevo]]</f>
        <v>45541</v>
      </c>
      <c r="I2444">
        <v>23</v>
      </c>
      <c r="J2444" t="s">
        <v>23</v>
      </c>
      <c r="K2444" s="3">
        <v>14950.86</v>
      </c>
      <c r="L2444" t="b">
        <f>TablaDatos[[#This Row],[FechaAlta]] &lt; TablaDatos[[#This Row],[FechaIngreso]]</f>
        <v>0</v>
      </c>
      <c r="M2444">
        <f>_xlfn.XLOOKUP(TablaDatos[[#This Row],[PacienteID]],'Datos_Ejemplo.csv'!A:A,'Datos_Ejemplo.csv'!I:I)</f>
        <v>23</v>
      </c>
      <c r="N2444">
        <f>ABS(TablaDatos[[#This Row],[DiasOriginal]])</f>
        <v>23</v>
      </c>
      <c r="O2444" s="1">
        <f>TablaDatos[[#This Row],[FechaIngreso]]+TablaDatos[[#This Row],[DiasNuevo]]</f>
        <v>45541</v>
      </c>
    </row>
    <row r="2445" spans="1:15">
      <c r="A2445">
        <v>2444</v>
      </c>
      <c r="B2445" t="s">
        <v>293</v>
      </c>
      <c r="C2445" s="1">
        <v>41274</v>
      </c>
      <c r="D2445">
        <v>13</v>
      </c>
      <c r="E2445" s="4" t="s">
        <v>15</v>
      </c>
      <c r="F2445" t="s">
        <v>201</v>
      </c>
      <c r="G2445" s="1">
        <v>45490</v>
      </c>
      <c r="H2445" s="1">
        <f>TablaDatos[[#This Row],[FechaIngreso]]+TablaDatos[[#This Row],[DiasNuevo]]</f>
        <v>45498</v>
      </c>
      <c r="I2445">
        <v>8</v>
      </c>
      <c r="J2445" t="s">
        <v>23</v>
      </c>
      <c r="K2445" s="3">
        <v>4135.41</v>
      </c>
      <c r="L2445" t="b">
        <f>TablaDatos[[#This Row],[FechaAlta]] &lt; TablaDatos[[#This Row],[FechaIngreso]]</f>
        <v>0</v>
      </c>
      <c r="M2445">
        <f>_xlfn.XLOOKUP(TablaDatos[[#This Row],[PacienteID]],'Datos_Ejemplo.csv'!A:A,'Datos_Ejemplo.csv'!I:I)</f>
        <v>8</v>
      </c>
      <c r="N2445">
        <f>ABS(TablaDatos[[#This Row],[DiasOriginal]])</f>
        <v>8</v>
      </c>
      <c r="O2445" s="1">
        <f>TablaDatos[[#This Row],[FechaIngreso]]+TablaDatos[[#This Row],[DiasNuevo]]</f>
        <v>45498</v>
      </c>
    </row>
    <row r="2446" spans="1:15">
      <c r="A2446">
        <v>2445</v>
      </c>
      <c r="B2446" t="s">
        <v>326</v>
      </c>
      <c r="C2446" s="1">
        <v>33239</v>
      </c>
      <c r="D2446">
        <v>35</v>
      </c>
      <c r="E2446" s="4" t="s">
        <v>15</v>
      </c>
      <c r="F2446" t="s">
        <v>21</v>
      </c>
      <c r="G2446" s="1">
        <v>45055</v>
      </c>
      <c r="H2446" s="1">
        <f>TablaDatos[[#This Row],[FechaIngreso]]+TablaDatos[[#This Row],[DiasNuevo]]</f>
        <v>45091</v>
      </c>
      <c r="I2446">
        <v>36</v>
      </c>
      <c r="J2446" t="s">
        <v>23</v>
      </c>
      <c r="K2446" s="3">
        <v>2799.14</v>
      </c>
      <c r="L2446" t="b">
        <f>TablaDatos[[#This Row],[FechaAlta]] &lt; TablaDatos[[#This Row],[FechaIngreso]]</f>
        <v>0</v>
      </c>
      <c r="M2446">
        <f>_xlfn.XLOOKUP(TablaDatos[[#This Row],[PacienteID]],'Datos_Ejemplo.csv'!A:A,'Datos_Ejemplo.csv'!I:I)</f>
        <v>36</v>
      </c>
      <c r="N2446">
        <f>ABS(TablaDatos[[#This Row],[DiasOriginal]])</f>
        <v>36</v>
      </c>
      <c r="O2446" s="1">
        <f>TablaDatos[[#This Row],[FechaIngreso]]+TablaDatos[[#This Row],[DiasNuevo]]</f>
        <v>45091</v>
      </c>
    </row>
    <row r="2447" spans="1:15">
      <c r="A2447">
        <v>2446</v>
      </c>
      <c r="B2447" t="s">
        <v>162</v>
      </c>
      <c r="C2447" s="1">
        <v>37987</v>
      </c>
      <c r="D2447">
        <v>22</v>
      </c>
      <c r="E2447" s="4" t="s">
        <v>12</v>
      </c>
      <c r="F2447" t="s">
        <v>261</v>
      </c>
      <c r="G2447" s="1">
        <v>45340</v>
      </c>
      <c r="H2447" s="1">
        <f>TablaDatos[[#This Row],[FechaIngreso]]+TablaDatos[[#This Row],[DiasNuevo]]</f>
        <v>45340</v>
      </c>
      <c r="I2447">
        <v>0</v>
      </c>
      <c r="J2447" t="s">
        <v>25</v>
      </c>
      <c r="K2447" s="3">
        <v>6009.79</v>
      </c>
      <c r="L2447" t="b">
        <f>TablaDatos[[#This Row],[FechaAlta]] &lt; TablaDatos[[#This Row],[FechaIngreso]]</f>
        <v>0</v>
      </c>
      <c r="M2447">
        <f>_xlfn.XLOOKUP(TablaDatos[[#This Row],[PacienteID]],'Datos_Ejemplo.csv'!A:A,'Datos_Ejemplo.csv'!I:I)</f>
        <v>0</v>
      </c>
      <c r="N2447">
        <f>ABS(TablaDatos[[#This Row],[DiasOriginal]])</f>
        <v>0</v>
      </c>
      <c r="O2447" s="1">
        <f>TablaDatos[[#This Row],[FechaIngreso]]+TablaDatos[[#This Row],[DiasNuevo]]</f>
        <v>45340</v>
      </c>
    </row>
    <row r="2448" spans="1:15">
      <c r="A2448">
        <v>2447</v>
      </c>
      <c r="B2448" t="s">
        <v>344</v>
      </c>
      <c r="C2448" s="1">
        <v>22281</v>
      </c>
      <c r="D2448">
        <v>65</v>
      </c>
      <c r="E2448" s="4" t="s">
        <v>15</v>
      </c>
      <c r="F2448" t="s">
        <v>21</v>
      </c>
      <c r="G2448" s="1">
        <v>45306</v>
      </c>
      <c r="H2448" s="1">
        <f>TablaDatos[[#This Row],[FechaIngreso]]+TablaDatos[[#This Row],[DiasNuevo]]</f>
        <v>45325</v>
      </c>
      <c r="I2448">
        <v>19</v>
      </c>
      <c r="J2448" t="s">
        <v>23</v>
      </c>
      <c r="K2448" s="3">
        <v>9623.4599999999991</v>
      </c>
      <c r="L2448" t="b">
        <f>TablaDatos[[#This Row],[FechaAlta]] &lt; TablaDatos[[#This Row],[FechaIngreso]]</f>
        <v>0</v>
      </c>
      <c r="M2448">
        <f>_xlfn.XLOOKUP(TablaDatos[[#This Row],[PacienteID]],'Datos_Ejemplo.csv'!A:A,'Datos_Ejemplo.csv'!I:I)</f>
        <v>19</v>
      </c>
      <c r="N2448">
        <f>ABS(TablaDatos[[#This Row],[DiasOriginal]])</f>
        <v>19</v>
      </c>
      <c r="O2448" s="1">
        <f>TablaDatos[[#This Row],[FechaIngreso]]+TablaDatos[[#This Row],[DiasNuevo]]</f>
        <v>45325</v>
      </c>
    </row>
    <row r="2449" spans="1:15">
      <c r="A2449">
        <v>2448</v>
      </c>
      <c r="B2449" t="s">
        <v>362</v>
      </c>
      <c r="C2449" s="1">
        <v>15341</v>
      </c>
      <c r="D2449">
        <v>84</v>
      </c>
      <c r="E2449" s="4" t="s">
        <v>15</v>
      </c>
      <c r="F2449" t="s">
        <v>13</v>
      </c>
      <c r="G2449" s="1">
        <v>44927</v>
      </c>
      <c r="H2449" s="1">
        <f>TablaDatos[[#This Row],[FechaIngreso]]+TablaDatos[[#This Row],[DiasNuevo]]</f>
        <v>44941</v>
      </c>
      <c r="I2449">
        <v>14</v>
      </c>
      <c r="J2449" t="s">
        <v>19</v>
      </c>
      <c r="K2449" s="3">
        <v>10734</v>
      </c>
      <c r="L2449" t="b">
        <f>TablaDatos[[#This Row],[FechaAlta]] &lt; TablaDatos[[#This Row],[FechaIngreso]]</f>
        <v>0</v>
      </c>
      <c r="M2449">
        <f>_xlfn.XLOOKUP(TablaDatos[[#This Row],[PacienteID]],'Datos_Ejemplo.csv'!A:A,'Datos_Ejemplo.csv'!I:I)</f>
        <v>14</v>
      </c>
      <c r="N2449">
        <f>ABS(TablaDatos[[#This Row],[DiasOriginal]])</f>
        <v>14</v>
      </c>
      <c r="O2449" s="1">
        <f>TablaDatos[[#This Row],[FechaIngreso]]+TablaDatos[[#This Row],[DiasNuevo]]</f>
        <v>44941</v>
      </c>
    </row>
    <row r="2450" spans="1:15">
      <c r="A2450">
        <v>2449</v>
      </c>
      <c r="B2450" t="s">
        <v>254</v>
      </c>
      <c r="C2450" s="1">
        <v>45657</v>
      </c>
      <c r="D2450">
        <v>1</v>
      </c>
      <c r="E2450" s="4" t="s">
        <v>15</v>
      </c>
      <c r="F2450" t="s">
        <v>18</v>
      </c>
      <c r="G2450" s="1">
        <v>45093</v>
      </c>
      <c r="H2450" s="1">
        <f>TablaDatos[[#This Row],[FechaIngreso]]+TablaDatos[[#This Row],[DiasNuevo]]</f>
        <v>45101</v>
      </c>
      <c r="I2450">
        <v>8</v>
      </c>
      <c r="J2450" t="s">
        <v>23</v>
      </c>
      <c r="K2450" s="3">
        <v>8525.67</v>
      </c>
      <c r="L2450" t="b">
        <f>TablaDatos[[#This Row],[FechaAlta]] &lt; TablaDatos[[#This Row],[FechaIngreso]]</f>
        <v>0</v>
      </c>
      <c r="M2450">
        <f>_xlfn.XLOOKUP(TablaDatos[[#This Row],[PacienteID]],'Datos_Ejemplo.csv'!A:A,'Datos_Ejemplo.csv'!I:I)</f>
        <v>8</v>
      </c>
      <c r="N2450">
        <f>ABS(TablaDatos[[#This Row],[DiasOriginal]])</f>
        <v>8</v>
      </c>
      <c r="O2450" s="1">
        <f>TablaDatos[[#This Row],[FechaIngreso]]+TablaDatos[[#This Row],[DiasNuevo]]</f>
        <v>45101</v>
      </c>
    </row>
    <row r="2451" spans="1:15">
      <c r="A2451">
        <v>2450</v>
      </c>
      <c r="B2451" t="s">
        <v>296</v>
      </c>
      <c r="C2451" s="1">
        <v>13150</v>
      </c>
      <c r="D2451">
        <v>90</v>
      </c>
      <c r="E2451" s="4" t="s">
        <v>12</v>
      </c>
      <c r="F2451" t="s">
        <v>261</v>
      </c>
      <c r="G2451" s="1">
        <v>44942</v>
      </c>
      <c r="H2451" s="1">
        <f>TablaDatos[[#This Row],[FechaIngreso]]+TablaDatos[[#This Row],[DiasNuevo]]</f>
        <v>44978</v>
      </c>
      <c r="I2451">
        <v>36</v>
      </c>
      <c r="J2451" t="s">
        <v>23</v>
      </c>
      <c r="K2451" s="3">
        <v>13228.11</v>
      </c>
      <c r="L2451" t="b">
        <f>TablaDatos[[#This Row],[FechaAlta]] &lt; TablaDatos[[#This Row],[FechaIngreso]]</f>
        <v>0</v>
      </c>
      <c r="M2451">
        <f>_xlfn.XLOOKUP(TablaDatos[[#This Row],[PacienteID]],'Datos_Ejemplo.csv'!A:A,'Datos_Ejemplo.csv'!I:I)</f>
        <v>36</v>
      </c>
      <c r="N2451">
        <f>ABS(TablaDatos[[#This Row],[DiasOriginal]])</f>
        <v>36</v>
      </c>
      <c r="O2451" s="1">
        <f>TablaDatos[[#This Row],[FechaIngreso]]+TablaDatos[[#This Row],[DiasNuevo]]</f>
        <v>44978</v>
      </c>
    </row>
    <row r="2452" spans="1:15">
      <c r="A2452">
        <v>2451</v>
      </c>
      <c r="B2452" t="s">
        <v>273</v>
      </c>
      <c r="C2452" s="1">
        <v>19724</v>
      </c>
      <c r="D2452">
        <v>72</v>
      </c>
      <c r="E2452" s="4" t="s">
        <v>12</v>
      </c>
      <c r="F2452" t="s">
        <v>18</v>
      </c>
      <c r="G2452" s="1">
        <v>45583</v>
      </c>
      <c r="H2452" s="1">
        <f>TablaDatos[[#This Row],[FechaIngreso]]+TablaDatos[[#This Row],[DiasNuevo]]</f>
        <v>45607</v>
      </c>
      <c r="I2452">
        <v>24</v>
      </c>
      <c r="J2452" t="s">
        <v>19</v>
      </c>
      <c r="K2452" s="3">
        <v>8493.93</v>
      </c>
      <c r="L2452" t="b">
        <f>TablaDatos[[#This Row],[FechaAlta]] &lt; TablaDatos[[#This Row],[FechaIngreso]]</f>
        <v>0</v>
      </c>
      <c r="M2452">
        <f>_xlfn.XLOOKUP(TablaDatos[[#This Row],[PacienteID]],'Datos_Ejemplo.csv'!A:A,'Datos_Ejemplo.csv'!I:I)</f>
        <v>24</v>
      </c>
      <c r="N2452">
        <f>ABS(TablaDatos[[#This Row],[DiasOriginal]])</f>
        <v>24</v>
      </c>
      <c r="O2452" s="1">
        <f>TablaDatos[[#This Row],[FechaIngreso]]+TablaDatos[[#This Row],[DiasNuevo]]</f>
        <v>45607</v>
      </c>
    </row>
    <row r="2453" spans="1:15">
      <c r="A2453">
        <v>2452</v>
      </c>
      <c r="B2453" t="s">
        <v>241</v>
      </c>
      <c r="C2453" s="1">
        <v>22646</v>
      </c>
      <c r="D2453">
        <v>64</v>
      </c>
      <c r="E2453" s="4" t="s">
        <v>12</v>
      </c>
      <c r="F2453" t="s">
        <v>13</v>
      </c>
      <c r="G2453" s="1">
        <v>45038</v>
      </c>
      <c r="H2453" s="1">
        <f>TablaDatos[[#This Row],[FechaIngreso]]+TablaDatos[[#This Row],[DiasNuevo]]</f>
        <v>45064</v>
      </c>
      <c r="I2453">
        <v>26</v>
      </c>
      <c r="J2453" t="s">
        <v>23</v>
      </c>
      <c r="K2453" s="3">
        <v>18921.21</v>
      </c>
      <c r="L2453" t="b">
        <f>TablaDatos[[#This Row],[FechaAlta]] &lt; TablaDatos[[#This Row],[FechaIngreso]]</f>
        <v>0</v>
      </c>
      <c r="M2453">
        <f>_xlfn.XLOOKUP(TablaDatos[[#This Row],[PacienteID]],'Datos_Ejemplo.csv'!A:A,'Datos_Ejemplo.csv'!I:I)</f>
        <v>26</v>
      </c>
      <c r="N2453">
        <f>ABS(TablaDatos[[#This Row],[DiasOriginal]])</f>
        <v>26</v>
      </c>
      <c r="O2453" s="1">
        <f>TablaDatos[[#This Row],[FechaIngreso]]+TablaDatos[[#This Row],[DiasNuevo]]</f>
        <v>45064</v>
      </c>
    </row>
    <row r="2454" spans="1:15">
      <c r="A2454">
        <v>2453</v>
      </c>
      <c r="B2454" t="s">
        <v>278</v>
      </c>
      <c r="C2454" s="1">
        <v>18994</v>
      </c>
      <c r="D2454">
        <v>74</v>
      </c>
      <c r="E2454" s="4" t="s">
        <v>15</v>
      </c>
      <c r="F2454" t="s">
        <v>32</v>
      </c>
      <c r="G2454" s="1">
        <v>45294</v>
      </c>
      <c r="H2454" s="1">
        <f>TablaDatos[[#This Row],[FechaIngreso]]+TablaDatos[[#This Row],[DiasNuevo]]</f>
        <v>45303</v>
      </c>
      <c r="I2454">
        <v>9</v>
      </c>
      <c r="J2454" t="s">
        <v>19</v>
      </c>
      <c r="K2454" s="3">
        <v>5145.47</v>
      </c>
      <c r="L2454" t="b">
        <f>TablaDatos[[#This Row],[FechaAlta]] &lt; TablaDatos[[#This Row],[FechaIngreso]]</f>
        <v>0</v>
      </c>
      <c r="M2454">
        <f>_xlfn.XLOOKUP(TablaDatos[[#This Row],[PacienteID]],'Datos_Ejemplo.csv'!A:A,'Datos_Ejemplo.csv'!I:I)</f>
        <v>9</v>
      </c>
      <c r="N2454">
        <f>ABS(TablaDatos[[#This Row],[DiasOriginal]])</f>
        <v>9</v>
      </c>
      <c r="O2454" s="1">
        <f>TablaDatos[[#This Row],[FechaIngreso]]+TablaDatos[[#This Row],[DiasNuevo]]</f>
        <v>45303</v>
      </c>
    </row>
    <row r="2455" spans="1:15">
      <c r="A2455">
        <v>2454</v>
      </c>
      <c r="B2455" t="s">
        <v>114</v>
      </c>
      <c r="C2455" s="1">
        <v>21916</v>
      </c>
      <c r="D2455">
        <v>66</v>
      </c>
      <c r="E2455" s="4" t="s">
        <v>15</v>
      </c>
      <c r="F2455" t="s">
        <v>13</v>
      </c>
      <c r="G2455" s="1">
        <v>45028</v>
      </c>
      <c r="H2455" s="1">
        <f>TablaDatos[[#This Row],[FechaIngreso]]+TablaDatos[[#This Row],[DiasNuevo]]</f>
        <v>45038</v>
      </c>
      <c r="I2455">
        <v>10</v>
      </c>
      <c r="J2455" t="s">
        <v>25</v>
      </c>
      <c r="K2455" s="3">
        <v>12510.18</v>
      </c>
      <c r="L2455" t="b">
        <f>TablaDatos[[#This Row],[FechaAlta]] &lt; TablaDatos[[#This Row],[FechaIngreso]]</f>
        <v>0</v>
      </c>
      <c r="M2455">
        <f>_xlfn.XLOOKUP(TablaDatos[[#This Row],[PacienteID]],'Datos_Ejemplo.csv'!A:A,'Datos_Ejemplo.csv'!I:I)</f>
        <v>10</v>
      </c>
      <c r="N2455">
        <f>ABS(TablaDatos[[#This Row],[DiasOriginal]])</f>
        <v>10</v>
      </c>
      <c r="O2455" s="1">
        <f>TablaDatos[[#This Row],[FechaIngreso]]+TablaDatos[[#This Row],[DiasNuevo]]</f>
        <v>45038</v>
      </c>
    </row>
    <row r="2456" spans="1:15">
      <c r="A2456">
        <v>2455</v>
      </c>
      <c r="B2456" t="s">
        <v>363</v>
      </c>
      <c r="C2456" s="1">
        <v>27395</v>
      </c>
      <c r="D2456">
        <f ca="1">DATEDIF(TablaDatos[[#This Row],[FechaNacimiento]],TODAY(),"Y")</f>
        <v>51</v>
      </c>
      <c r="E2456" s="4" t="s">
        <v>15</v>
      </c>
      <c r="F2456" t="s">
        <v>21</v>
      </c>
      <c r="G2456" s="1">
        <v>45520</v>
      </c>
      <c r="H2456" s="1">
        <f>TablaDatos[[#This Row],[FechaIngreso]]+TablaDatos[[#This Row],[DiasNuevo]]</f>
        <v>45528</v>
      </c>
      <c r="I2456">
        <v>8</v>
      </c>
      <c r="J2456" t="s">
        <v>23</v>
      </c>
      <c r="K2456" s="3">
        <v>12188.7</v>
      </c>
      <c r="L2456" t="b">
        <f>TablaDatos[[#This Row],[FechaAlta]] &lt; TablaDatos[[#This Row],[FechaIngreso]]</f>
        <v>0</v>
      </c>
      <c r="M2456">
        <f>_xlfn.XLOOKUP(TablaDatos[[#This Row],[PacienteID]],'Datos_Ejemplo.csv'!A:A,'Datos_Ejemplo.csv'!I:I)</f>
        <v>8</v>
      </c>
      <c r="N2456">
        <f>ABS(TablaDatos[[#This Row],[DiasOriginal]])</f>
        <v>8</v>
      </c>
      <c r="O2456" s="1">
        <f>TablaDatos[[#This Row],[FechaIngreso]]+TablaDatos[[#This Row],[DiasNuevo]]</f>
        <v>45528</v>
      </c>
    </row>
    <row r="2457" spans="1:15">
      <c r="A2457">
        <v>2456</v>
      </c>
      <c r="B2457" t="s">
        <v>272</v>
      </c>
      <c r="C2457" s="1">
        <v>23742</v>
      </c>
      <c r="D2457">
        <v>61</v>
      </c>
      <c r="E2457" s="4" t="s">
        <v>15</v>
      </c>
      <c r="F2457" t="s">
        <v>21</v>
      </c>
      <c r="G2457" s="1">
        <v>45332</v>
      </c>
      <c r="H2457" s="1">
        <f>TablaDatos[[#This Row],[FechaIngreso]]+TablaDatos[[#This Row],[DiasNuevo]]</f>
        <v>45360</v>
      </c>
      <c r="I2457">
        <v>28</v>
      </c>
      <c r="J2457" t="s">
        <v>23</v>
      </c>
      <c r="K2457" s="3">
        <v>5559.65</v>
      </c>
      <c r="L2457" t="b">
        <f>TablaDatos[[#This Row],[FechaAlta]] &lt; TablaDatos[[#This Row],[FechaIngreso]]</f>
        <v>0</v>
      </c>
      <c r="M2457">
        <f>_xlfn.XLOOKUP(TablaDatos[[#This Row],[PacienteID]],'Datos_Ejemplo.csv'!A:A,'Datos_Ejemplo.csv'!I:I)</f>
        <v>28</v>
      </c>
      <c r="N2457">
        <f>ABS(TablaDatos[[#This Row],[DiasOriginal]])</f>
        <v>28</v>
      </c>
      <c r="O2457" s="1">
        <f>TablaDatos[[#This Row],[FechaIngreso]]+TablaDatos[[#This Row],[DiasNuevo]]</f>
        <v>45360</v>
      </c>
    </row>
    <row r="2458" spans="1:15">
      <c r="A2458">
        <v>2457</v>
      </c>
      <c r="B2458" t="s">
        <v>233</v>
      </c>
      <c r="C2458" s="1">
        <v>37987</v>
      </c>
      <c r="D2458">
        <v>22</v>
      </c>
      <c r="E2458" s="4" t="s">
        <v>12</v>
      </c>
      <c r="F2458" t="s">
        <v>18</v>
      </c>
      <c r="G2458" s="1">
        <v>45433</v>
      </c>
      <c r="H2458" s="1">
        <f>TablaDatos[[#This Row],[FechaIngreso]]+TablaDatos[[#This Row],[DiasNuevo]]</f>
        <v>45441</v>
      </c>
      <c r="I2458">
        <v>8</v>
      </c>
      <c r="J2458" t="s">
        <v>25</v>
      </c>
      <c r="K2458" s="3">
        <v>8174.92</v>
      </c>
      <c r="L2458" t="b">
        <f>TablaDatos[[#This Row],[FechaAlta]] &lt; TablaDatos[[#This Row],[FechaIngreso]]</f>
        <v>0</v>
      </c>
      <c r="M2458">
        <f>_xlfn.XLOOKUP(TablaDatos[[#This Row],[PacienteID]],'Datos_Ejemplo.csv'!A:A,'Datos_Ejemplo.csv'!I:I)</f>
        <v>8</v>
      </c>
      <c r="N2458">
        <f>ABS(TablaDatos[[#This Row],[DiasOriginal]])</f>
        <v>8</v>
      </c>
      <c r="O2458" s="1">
        <f>TablaDatos[[#This Row],[FechaIngreso]]+TablaDatos[[#This Row],[DiasNuevo]]</f>
        <v>45441</v>
      </c>
    </row>
    <row r="2459" spans="1:15">
      <c r="A2459">
        <v>2458</v>
      </c>
      <c r="B2459" t="s">
        <v>232</v>
      </c>
      <c r="C2459" s="1">
        <v>36891</v>
      </c>
      <c r="D2459">
        <f ca="1">DATEDIF(TablaDatos[[#This Row],[FechaNacimiento]],TODAY(),"Y")</f>
        <v>25</v>
      </c>
      <c r="E2459" s="4" t="s">
        <v>15</v>
      </c>
      <c r="F2459" t="s">
        <v>21</v>
      </c>
      <c r="G2459" s="1">
        <v>45537</v>
      </c>
      <c r="H2459" s="1">
        <f>TablaDatos[[#This Row],[FechaIngreso]]+TablaDatos[[#This Row],[DiasNuevo]]</f>
        <v>45575</v>
      </c>
      <c r="I2459">
        <v>38</v>
      </c>
      <c r="J2459" t="s">
        <v>23</v>
      </c>
      <c r="K2459" s="3">
        <v>7246.02</v>
      </c>
      <c r="L2459" t="b">
        <f>TablaDatos[[#This Row],[FechaAlta]] &lt; TablaDatos[[#This Row],[FechaIngreso]]</f>
        <v>0</v>
      </c>
      <c r="M2459">
        <f>_xlfn.XLOOKUP(TablaDatos[[#This Row],[PacienteID]],'Datos_Ejemplo.csv'!A:A,'Datos_Ejemplo.csv'!I:I)</f>
        <v>38</v>
      </c>
      <c r="N2459">
        <f>ABS(TablaDatos[[#This Row],[DiasOriginal]])</f>
        <v>38</v>
      </c>
      <c r="O2459" s="1">
        <f>TablaDatos[[#This Row],[FechaIngreso]]+TablaDatos[[#This Row],[DiasNuevo]]</f>
        <v>45575</v>
      </c>
    </row>
    <row r="2460" spans="1:15">
      <c r="A2460">
        <v>2459</v>
      </c>
      <c r="B2460" t="s">
        <v>301</v>
      </c>
      <c r="C2460" s="1">
        <v>21551</v>
      </c>
      <c r="D2460">
        <v>67</v>
      </c>
      <c r="E2460" s="4" t="s">
        <v>15</v>
      </c>
      <c r="F2460" t="s">
        <v>261</v>
      </c>
      <c r="G2460" s="1">
        <v>45597</v>
      </c>
      <c r="H2460" s="1">
        <f>TablaDatos[[#This Row],[FechaIngreso]]+TablaDatos[[#This Row],[DiasNuevo]]</f>
        <v>45630</v>
      </c>
      <c r="I2460">
        <v>33</v>
      </c>
      <c r="J2460" t="s">
        <v>19</v>
      </c>
      <c r="K2460" s="3">
        <v>3367.23</v>
      </c>
      <c r="L2460" t="b">
        <f>TablaDatos[[#This Row],[FechaAlta]] &lt; TablaDatos[[#This Row],[FechaIngreso]]</f>
        <v>0</v>
      </c>
      <c r="M2460">
        <f>_xlfn.XLOOKUP(TablaDatos[[#This Row],[PacienteID]],'Datos_Ejemplo.csv'!A:A,'Datos_Ejemplo.csv'!I:I)</f>
        <v>33</v>
      </c>
      <c r="N2460">
        <f>ABS(TablaDatos[[#This Row],[DiasOriginal]])</f>
        <v>33</v>
      </c>
      <c r="O2460" s="1">
        <f>TablaDatos[[#This Row],[FechaIngreso]]+TablaDatos[[#This Row],[DiasNuevo]]</f>
        <v>45630</v>
      </c>
    </row>
    <row r="2461" spans="1:15">
      <c r="A2461">
        <v>2460</v>
      </c>
      <c r="B2461" t="s">
        <v>39</v>
      </c>
      <c r="C2461" s="1">
        <v>16437</v>
      </c>
      <c r="D2461">
        <f ca="1">DATEDIF(TablaDatos[[#This Row],[FechaNacimiento]],TODAY(),"Y")</f>
        <v>81</v>
      </c>
      <c r="E2461" s="4" t="s">
        <v>15</v>
      </c>
      <c r="F2461" t="s">
        <v>13</v>
      </c>
      <c r="G2461" s="1">
        <v>44966</v>
      </c>
      <c r="H2461" s="1">
        <f>TablaDatos[[#This Row],[FechaIngreso]]+TablaDatos[[#This Row],[DiasNuevo]]</f>
        <v>44967</v>
      </c>
      <c r="I2461">
        <v>1</v>
      </c>
      <c r="J2461" t="s">
        <v>25</v>
      </c>
      <c r="K2461" s="3">
        <v>9493.6299999999992</v>
      </c>
      <c r="L2461" t="b">
        <f>TablaDatos[[#This Row],[FechaAlta]] &lt; TablaDatos[[#This Row],[FechaIngreso]]</f>
        <v>0</v>
      </c>
      <c r="M2461">
        <f>_xlfn.XLOOKUP(TablaDatos[[#This Row],[PacienteID]],'Datos_Ejemplo.csv'!A:A,'Datos_Ejemplo.csv'!I:I)</f>
        <v>-1</v>
      </c>
      <c r="N2461">
        <f>ABS(TablaDatos[[#This Row],[DiasOriginal]])</f>
        <v>1</v>
      </c>
      <c r="O2461" s="1">
        <f>TablaDatos[[#This Row],[FechaIngreso]]+TablaDatos[[#This Row],[DiasNuevo]]</f>
        <v>44967</v>
      </c>
    </row>
    <row r="2462" spans="1:15">
      <c r="A2462">
        <v>2461</v>
      </c>
      <c r="B2462" t="s">
        <v>258</v>
      </c>
      <c r="C2462" s="1">
        <v>26299</v>
      </c>
      <c r="D2462">
        <v>54</v>
      </c>
      <c r="E2462" s="4" t="s">
        <v>12</v>
      </c>
      <c r="F2462" t="s">
        <v>18</v>
      </c>
      <c r="G2462" s="1">
        <v>45593</v>
      </c>
      <c r="H2462" s="1">
        <f>TablaDatos[[#This Row],[FechaIngreso]]+TablaDatos[[#This Row],[DiasNuevo]]</f>
        <v>45613</v>
      </c>
      <c r="I2462">
        <v>20</v>
      </c>
      <c r="J2462" t="s">
        <v>19</v>
      </c>
      <c r="K2462" s="3">
        <v>7671.91</v>
      </c>
      <c r="L2462" t="b">
        <f>TablaDatos[[#This Row],[FechaAlta]] &lt; TablaDatos[[#This Row],[FechaIngreso]]</f>
        <v>0</v>
      </c>
      <c r="M2462">
        <f>_xlfn.XLOOKUP(TablaDatos[[#This Row],[PacienteID]],'Datos_Ejemplo.csv'!A:A,'Datos_Ejemplo.csv'!I:I)</f>
        <v>20</v>
      </c>
      <c r="N2462">
        <f>ABS(TablaDatos[[#This Row],[DiasOriginal]])</f>
        <v>20</v>
      </c>
      <c r="O2462" s="1">
        <f>TablaDatos[[#This Row],[FechaIngreso]]+TablaDatos[[#This Row],[DiasNuevo]]</f>
        <v>45613</v>
      </c>
    </row>
    <row r="2463" spans="1:15">
      <c r="A2463">
        <v>2462</v>
      </c>
      <c r="B2463" t="s">
        <v>300</v>
      </c>
      <c r="C2463" s="1">
        <v>44196</v>
      </c>
      <c r="D2463">
        <v>5</v>
      </c>
      <c r="E2463" s="4" t="s">
        <v>12</v>
      </c>
      <c r="F2463" t="s">
        <v>13</v>
      </c>
      <c r="G2463" s="1">
        <v>45474</v>
      </c>
      <c r="H2463" s="1">
        <f>TablaDatos[[#This Row],[FechaIngreso]]+TablaDatos[[#This Row],[DiasNuevo]]</f>
        <v>45507</v>
      </c>
      <c r="I2463">
        <v>33</v>
      </c>
      <c r="J2463" t="s">
        <v>23</v>
      </c>
      <c r="K2463" s="3">
        <v>3484.18</v>
      </c>
      <c r="L2463" t="b">
        <f>TablaDatos[[#This Row],[FechaAlta]] &lt; TablaDatos[[#This Row],[FechaIngreso]]</f>
        <v>0</v>
      </c>
      <c r="M2463">
        <f>_xlfn.XLOOKUP(TablaDatos[[#This Row],[PacienteID]],'Datos_Ejemplo.csv'!A:A,'Datos_Ejemplo.csv'!I:I)</f>
        <v>33</v>
      </c>
      <c r="N2463">
        <f>ABS(TablaDatos[[#This Row],[DiasOriginal]])</f>
        <v>33</v>
      </c>
      <c r="O2463" s="1">
        <f>TablaDatos[[#This Row],[FechaIngreso]]+TablaDatos[[#This Row],[DiasNuevo]]</f>
        <v>45507</v>
      </c>
    </row>
    <row r="2464" spans="1:15">
      <c r="A2464">
        <v>2463</v>
      </c>
      <c r="B2464" t="s">
        <v>303</v>
      </c>
      <c r="C2464" s="1">
        <v>33604</v>
      </c>
      <c r="D2464">
        <v>34</v>
      </c>
      <c r="E2464" s="4" t="s">
        <v>12</v>
      </c>
      <c r="F2464" t="s">
        <v>13</v>
      </c>
      <c r="G2464" s="1">
        <v>45307</v>
      </c>
      <c r="H2464" s="1">
        <f>TablaDatos[[#This Row],[FechaIngreso]]+TablaDatos[[#This Row],[DiasNuevo]]</f>
        <v>45318</v>
      </c>
      <c r="I2464">
        <v>11</v>
      </c>
      <c r="J2464" t="s">
        <v>23</v>
      </c>
      <c r="K2464" s="3">
        <v>8942.59</v>
      </c>
      <c r="L2464" t="b">
        <f>TablaDatos[[#This Row],[FechaAlta]] &lt; TablaDatos[[#This Row],[FechaIngreso]]</f>
        <v>0</v>
      </c>
      <c r="M2464">
        <f>_xlfn.XLOOKUP(TablaDatos[[#This Row],[PacienteID]],'Datos_Ejemplo.csv'!A:A,'Datos_Ejemplo.csv'!I:I)</f>
        <v>11</v>
      </c>
      <c r="N2464">
        <f>ABS(TablaDatos[[#This Row],[DiasOriginal]])</f>
        <v>11</v>
      </c>
      <c r="O2464" s="1">
        <f>TablaDatos[[#This Row],[FechaIngreso]]+TablaDatos[[#This Row],[DiasNuevo]]</f>
        <v>45318</v>
      </c>
    </row>
    <row r="2465" spans="1:15">
      <c r="A2465">
        <v>2464</v>
      </c>
      <c r="B2465" t="s">
        <v>364</v>
      </c>
      <c r="C2465" s="1">
        <v>38352</v>
      </c>
      <c r="D2465">
        <v>21</v>
      </c>
      <c r="E2465" s="4" t="s">
        <v>12</v>
      </c>
      <c r="F2465" t="s">
        <v>18</v>
      </c>
      <c r="G2465" s="1">
        <v>45442</v>
      </c>
      <c r="H2465" s="1">
        <f>TablaDatos[[#This Row],[FechaIngreso]]+TablaDatos[[#This Row],[DiasNuevo]]</f>
        <v>45476</v>
      </c>
      <c r="I2465">
        <v>34</v>
      </c>
      <c r="J2465" t="s">
        <v>23</v>
      </c>
      <c r="K2465" s="3">
        <v>8379.06</v>
      </c>
      <c r="L2465" t="b">
        <f>TablaDatos[[#This Row],[FechaAlta]] &lt; TablaDatos[[#This Row],[FechaIngreso]]</f>
        <v>0</v>
      </c>
      <c r="M2465">
        <f>_xlfn.XLOOKUP(TablaDatos[[#This Row],[PacienteID]],'Datos_Ejemplo.csv'!A:A,'Datos_Ejemplo.csv'!I:I)</f>
        <v>34</v>
      </c>
      <c r="N2465">
        <f>ABS(TablaDatos[[#This Row],[DiasOriginal]])</f>
        <v>34</v>
      </c>
      <c r="O2465" s="1">
        <f>TablaDatos[[#This Row],[FechaIngreso]]+TablaDatos[[#This Row],[DiasNuevo]]</f>
        <v>45476</v>
      </c>
    </row>
    <row r="2466" spans="1:15">
      <c r="A2466">
        <v>2465</v>
      </c>
      <c r="B2466" t="s">
        <v>289</v>
      </c>
      <c r="C2466" s="1">
        <v>30682</v>
      </c>
      <c r="D2466">
        <v>42</v>
      </c>
      <c r="E2466" s="4" t="s">
        <v>12</v>
      </c>
      <c r="F2466" t="s">
        <v>201</v>
      </c>
      <c r="G2466" s="1">
        <v>45423</v>
      </c>
      <c r="H2466" s="1">
        <f>TablaDatos[[#This Row],[FechaIngreso]]+TablaDatos[[#This Row],[DiasNuevo]]</f>
        <v>45447</v>
      </c>
      <c r="I2466">
        <v>24</v>
      </c>
      <c r="J2466" t="s">
        <v>23</v>
      </c>
      <c r="K2466" s="3">
        <v>2540.4499999999998</v>
      </c>
      <c r="L2466" t="b">
        <f>TablaDatos[[#This Row],[FechaAlta]] &lt; TablaDatos[[#This Row],[FechaIngreso]]</f>
        <v>0</v>
      </c>
      <c r="M2466">
        <f>_xlfn.XLOOKUP(TablaDatos[[#This Row],[PacienteID]],'Datos_Ejemplo.csv'!A:A,'Datos_Ejemplo.csv'!I:I)</f>
        <v>24</v>
      </c>
      <c r="N2466">
        <f>ABS(TablaDatos[[#This Row],[DiasOriginal]])</f>
        <v>24</v>
      </c>
      <c r="O2466" s="1">
        <f>TablaDatos[[#This Row],[FechaIngreso]]+TablaDatos[[#This Row],[DiasNuevo]]</f>
        <v>45447</v>
      </c>
    </row>
    <row r="2467" spans="1:15">
      <c r="A2467">
        <v>2466</v>
      </c>
      <c r="B2467" t="s">
        <v>355</v>
      </c>
      <c r="C2467" s="1">
        <v>40909</v>
      </c>
      <c r="D2467">
        <v>14</v>
      </c>
      <c r="E2467" s="4" t="s">
        <v>15</v>
      </c>
      <c r="F2467" t="s">
        <v>32</v>
      </c>
      <c r="G2467" s="1">
        <v>45207</v>
      </c>
      <c r="H2467" s="1">
        <f>TablaDatos[[#This Row],[FechaIngreso]]+TablaDatos[[#This Row],[DiasNuevo]]</f>
        <v>45216</v>
      </c>
      <c r="I2467">
        <v>9</v>
      </c>
      <c r="J2467" t="s">
        <v>19</v>
      </c>
      <c r="K2467" s="3">
        <v>2536.87</v>
      </c>
      <c r="L2467" t="b">
        <f>TablaDatos[[#This Row],[FechaAlta]] &lt; TablaDatos[[#This Row],[FechaIngreso]]</f>
        <v>0</v>
      </c>
      <c r="M2467">
        <f>_xlfn.XLOOKUP(TablaDatos[[#This Row],[PacienteID]],'Datos_Ejemplo.csv'!A:A,'Datos_Ejemplo.csv'!I:I)</f>
        <v>9</v>
      </c>
      <c r="N2467">
        <f>ABS(TablaDatos[[#This Row],[DiasOriginal]])</f>
        <v>9</v>
      </c>
      <c r="O2467" s="1">
        <f>TablaDatos[[#This Row],[FechaIngreso]]+TablaDatos[[#This Row],[DiasNuevo]]</f>
        <v>45216</v>
      </c>
    </row>
    <row r="2468" spans="1:15">
      <c r="A2468">
        <v>2467</v>
      </c>
      <c r="B2468" t="s">
        <v>304</v>
      </c>
      <c r="C2468" s="1">
        <v>14976</v>
      </c>
      <c r="D2468">
        <v>85</v>
      </c>
      <c r="E2468" s="4" t="s">
        <v>15</v>
      </c>
      <c r="F2468" t="s">
        <v>201</v>
      </c>
      <c r="G2468" s="1">
        <v>45277</v>
      </c>
      <c r="H2468" s="1">
        <f>TablaDatos[[#This Row],[FechaIngreso]]+TablaDatos[[#This Row],[DiasNuevo]]</f>
        <v>45303</v>
      </c>
      <c r="I2468">
        <v>26</v>
      </c>
      <c r="J2468" t="s">
        <v>23</v>
      </c>
      <c r="K2468" s="3">
        <v>12914.9</v>
      </c>
      <c r="L2468" t="b">
        <f>TablaDatos[[#This Row],[FechaAlta]] &lt; TablaDatos[[#This Row],[FechaIngreso]]</f>
        <v>0</v>
      </c>
      <c r="M2468">
        <f>_xlfn.XLOOKUP(TablaDatos[[#This Row],[PacienteID]],'Datos_Ejemplo.csv'!A:A,'Datos_Ejemplo.csv'!I:I)</f>
        <v>26</v>
      </c>
      <c r="N2468">
        <f>ABS(TablaDatos[[#This Row],[DiasOriginal]])</f>
        <v>26</v>
      </c>
      <c r="O2468" s="1">
        <f>TablaDatos[[#This Row],[FechaIngreso]]+TablaDatos[[#This Row],[DiasNuevo]]</f>
        <v>45303</v>
      </c>
    </row>
    <row r="2469" spans="1:15">
      <c r="A2469">
        <v>2468</v>
      </c>
      <c r="B2469" t="s">
        <v>162</v>
      </c>
      <c r="C2469" s="1">
        <v>24473</v>
      </c>
      <c r="D2469">
        <v>59</v>
      </c>
      <c r="E2469" s="4" t="s">
        <v>12</v>
      </c>
      <c r="F2469" t="s">
        <v>21</v>
      </c>
      <c r="G2469" s="1">
        <v>45260</v>
      </c>
      <c r="H2469" s="1">
        <f>TablaDatos[[#This Row],[FechaIngreso]]+TablaDatos[[#This Row],[DiasNuevo]]</f>
        <v>45263</v>
      </c>
      <c r="I2469">
        <v>3</v>
      </c>
      <c r="J2469" t="s">
        <v>25</v>
      </c>
      <c r="K2469" s="3">
        <v>14102.27</v>
      </c>
      <c r="L2469" t="b">
        <f>TablaDatos[[#This Row],[FechaAlta]] &lt; TablaDatos[[#This Row],[FechaIngreso]]</f>
        <v>0</v>
      </c>
      <c r="M2469">
        <f>_xlfn.XLOOKUP(TablaDatos[[#This Row],[PacienteID]],'Datos_Ejemplo.csv'!A:A,'Datos_Ejemplo.csv'!I:I)</f>
        <v>3</v>
      </c>
      <c r="N2469">
        <f>ABS(TablaDatos[[#This Row],[DiasOriginal]])</f>
        <v>3</v>
      </c>
      <c r="O2469" s="1">
        <f>TablaDatos[[#This Row],[FechaIngreso]]+TablaDatos[[#This Row],[DiasNuevo]]</f>
        <v>45263</v>
      </c>
    </row>
    <row r="2470" spans="1:15">
      <c r="A2470">
        <v>2469</v>
      </c>
      <c r="B2470" t="s">
        <v>240</v>
      </c>
      <c r="C2470" s="1">
        <v>42005</v>
      </c>
      <c r="D2470">
        <v>11</v>
      </c>
      <c r="E2470" s="4" t="s">
        <v>12</v>
      </c>
      <c r="F2470" t="s">
        <v>295</v>
      </c>
      <c r="G2470" s="1">
        <v>45450</v>
      </c>
      <c r="H2470" s="1">
        <f>TablaDatos[[#This Row],[FechaIngreso]]+TablaDatos[[#This Row],[DiasNuevo]]</f>
        <v>45470</v>
      </c>
      <c r="I2470">
        <v>20</v>
      </c>
      <c r="J2470" t="s">
        <v>25</v>
      </c>
      <c r="K2470" s="3">
        <v>18817.73</v>
      </c>
      <c r="L2470" t="b">
        <f>TablaDatos[[#This Row],[FechaAlta]] &lt; TablaDatos[[#This Row],[FechaIngreso]]</f>
        <v>0</v>
      </c>
      <c r="M2470">
        <f>_xlfn.XLOOKUP(TablaDatos[[#This Row],[PacienteID]],'Datos_Ejemplo.csv'!A:A,'Datos_Ejemplo.csv'!I:I)</f>
        <v>20</v>
      </c>
      <c r="N2470">
        <f>ABS(TablaDatos[[#This Row],[DiasOriginal]])</f>
        <v>20</v>
      </c>
      <c r="O2470" s="1">
        <f>TablaDatos[[#This Row],[FechaIngreso]]+TablaDatos[[#This Row],[DiasNuevo]]</f>
        <v>45470</v>
      </c>
    </row>
    <row r="2471" spans="1:15">
      <c r="A2471">
        <v>2470</v>
      </c>
      <c r="B2471" t="s">
        <v>164</v>
      </c>
      <c r="C2471" s="1">
        <v>28490</v>
      </c>
      <c r="D2471">
        <v>48</v>
      </c>
      <c r="E2471" s="4" t="s">
        <v>12</v>
      </c>
      <c r="F2471" t="s">
        <v>201</v>
      </c>
      <c r="G2471" s="1">
        <v>45209</v>
      </c>
      <c r="H2471" s="1">
        <f>TablaDatos[[#This Row],[FechaIngreso]]+TablaDatos[[#This Row],[DiasNuevo]]</f>
        <v>45216</v>
      </c>
      <c r="I2471">
        <v>7</v>
      </c>
      <c r="J2471" t="s">
        <v>23</v>
      </c>
      <c r="K2471" s="3">
        <v>1648.79</v>
      </c>
      <c r="L2471" t="b">
        <f>TablaDatos[[#This Row],[FechaAlta]] &lt; TablaDatos[[#This Row],[FechaIngreso]]</f>
        <v>0</v>
      </c>
      <c r="M2471">
        <f>_xlfn.XLOOKUP(TablaDatos[[#This Row],[PacienteID]],'Datos_Ejemplo.csv'!A:A,'Datos_Ejemplo.csv'!I:I)</f>
        <v>7</v>
      </c>
      <c r="N2471">
        <f>ABS(TablaDatos[[#This Row],[DiasOriginal]])</f>
        <v>7</v>
      </c>
      <c r="O2471" s="1">
        <f>TablaDatos[[#This Row],[FechaIngreso]]+TablaDatos[[#This Row],[DiasNuevo]]</f>
        <v>45216</v>
      </c>
    </row>
    <row r="2472" spans="1:15">
      <c r="A2472">
        <v>2471</v>
      </c>
      <c r="B2472" t="s">
        <v>252</v>
      </c>
      <c r="C2472" s="1">
        <v>31047</v>
      </c>
      <c r="D2472">
        <v>41</v>
      </c>
      <c r="E2472" s="4" t="s">
        <v>12</v>
      </c>
      <c r="F2472" t="s">
        <v>295</v>
      </c>
      <c r="G2472" s="1">
        <v>45654</v>
      </c>
      <c r="H2472" s="1">
        <f>TablaDatos[[#This Row],[FechaIngreso]]+TablaDatos[[#This Row],[DiasNuevo]]</f>
        <v>45685</v>
      </c>
      <c r="I2472">
        <v>31</v>
      </c>
      <c r="J2472" t="s">
        <v>25</v>
      </c>
      <c r="K2472" s="3">
        <v>2269.02</v>
      </c>
      <c r="L2472" t="b">
        <f>TablaDatos[[#This Row],[FechaAlta]] &lt; TablaDatos[[#This Row],[FechaIngreso]]</f>
        <v>0</v>
      </c>
      <c r="M2472">
        <f>_xlfn.XLOOKUP(TablaDatos[[#This Row],[PacienteID]],'Datos_Ejemplo.csv'!A:A,'Datos_Ejemplo.csv'!I:I)</f>
        <v>31</v>
      </c>
      <c r="N2472">
        <f>ABS(TablaDatos[[#This Row],[DiasOriginal]])</f>
        <v>31</v>
      </c>
      <c r="O2472" s="1">
        <f>TablaDatos[[#This Row],[FechaIngreso]]+TablaDatos[[#This Row],[DiasNuevo]]</f>
        <v>45685</v>
      </c>
    </row>
    <row r="2473" spans="1:15">
      <c r="A2473">
        <v>2472</v>
      </c>
      <c r="B2473" t="s">
        <v>355</v>
      </c>
      <c r="C2473" s="1">
        <v>32508</v>
      </c>
      <c r="D2473">
        <v>37</v>
      </c>
      <c r="E2473" s="4" t="s">
        <v>12</v>
      </c>
      <c r="F2473" t="s">
        <v>295</v>
      </c>
      <c r="G2473" s="1">
        <v>45245</v>
      </c>
      <c r="H2473" s="1">
        <f>TablaDatos[[#This Row],[FechaIngreso]]+TablaDatos[[#This Row],[DiasNuevo]]</f>
        <v>45254</v>
      </c>
      <c r="I2473">
        <v>9</v>
      </c>
      <c r="J2473" t="s">
        <v>23</v>
      </c>
      <c r="K2473" s="3">
        <v>941.54</v>
      </c>
      <c r="L2473" t="b">
        <f>TablaDatos[[#This Row],[FechaAlta]] &lt; TablaDatos[[#This Row],[FechaIngreso]]</f>
        <v>0</v>
      </c>
      <c r="M2473">
        <f>_xlfn.XLOOKUP(TablaDatos[[#This Row],[PacienteID]],'Datos_Ejemplo.csv'!A:A,'Datos_Ejemplo.csv'!I:I)</f>
        <v>9</v>
      </c>
      <c r="N2473">
        <f>ABS(TablaDatos[[#This Row],[DiasOriginal]])</f>
        <v>9</v>
      </c>
      <c r="O2473" s="1">
        <f>TablaDatos[[#This Row],[FechaIngreso]]+TablaDatos[[#This Row],[DiasNuevo]]</f>
        <v>45254</v>
      </c>
    </row>
    <row r="2474" spans="1:15">
      <c r="A2474">
        <v>2473</v>
      </c>
      <c r="B2474" t="s">
        <v>354</v>
      </c>
      <c r="C2474" s="1">
        <v>16437</v>
      </c>
      <c r="D2474">
        <v>81</v>
      </c>
      <c r="E2474" s="4" t="s">
        <v>12</v>
      </c>
      <c r="F2474" t="s">
        <v>21</v>
      </c>
      <c r="G2474" s="1">
        <v>45340</v>
      </c>
      <c r="H2474" s="1">
        <f>TablaDatos[[#This Row],[FechaIngreso]]+TablaDatos[[#This Row],[DiasNuevo]]</f>
        <v>45369</v>
      </c>
      <c r="I2474">
        <v>29</v>
      </c>
      <c r="J2474" t="s">
        <v>25</v>
      </c>
      <c r="K2474" s="3">
        <v>10597.79</v>
      </c>
      <c r="L2474" t="b">
        <f>TablaDatos[[#This Row],[FechaAlta]] &lt; TablaDatos[[#This Row],[FechaIngreso]]</f>
        <v>0</v>
      </c>
      <c r="M2474">
        <f>_xlfn.XLOOKUP(TablaDatos[[#This Row],[PacienteID]],'Datos_Ejemplo.csv'!A:A,'Datos_Ejemplo.csv'!I:I)</f>
        <v>29</v>
      </c>
      <c r="N2474">
        <f>ABS(TablaDatos[[#This Row],[DiasOriginal]])</f>
        <v>29</v>
      </c>
      <c r="O2474" s="1">
        <f>TablaDatos[[#This Row],[FechaIngreso]]+TablaDatos[[#This Row],[DiasNuevo]]</f>
        <v>45369</v>
      </c>
    </row>
    <row r="2475" spans="1:15">
      <c r="A2475">
        <v>2474</v>
      </c>
      <c r="B2475" t="s">
        <v>285</v>
      </c>
      <c r="C2475" s="1">
        <v>29951</v>
      </c>
      <c r="D2475">
        <v>44</v>
      </c>
      <c r="E2475" s="4" t="s">
        <v>12</v>
      </c>
      <c r="F2475" t="s">
        <v>32</v>
      </c>
      <c r="G2475" s="1">
        <v>45520</v>
      </c>
      <c r="H2475" s="1">
        <f>TablaDatos[[#This Row],[FechaIngreso]]+TablaDatos[[#This Row],[DiasNuevo]]</f>
        <v>45543</v>
      </c>
      <c r="I2475">
        <v>23</v>
      </c>
      <c r="J2475" t="s">
        <v>25</v>
      </c>
      <c r="K2475" s="3">
        <v>12417.21</v>
      </c>
      <c r="L2475" t="b">
        <f>TablaDatos[[#This Row],[FechaAlta]] &lt; TablaDatos[[#This Row],[FechaIngreso]]</f>
        <v>0</v>
      </c>
      <c r="M2475">
        <f>_xlfn.XLOOKUP(TablaDatos[[#This Row],[PacienteID]],'Datos_Ejemplo.csv'!A:A,'Datos_Ejemplo.csv'!I:I)</f>
        <v>23</v>
      </c>
      <c r="N2475">
        <f>ABS(TablaDatos[[#This Row],[DiasOriginal]])</f>
        <v>23</v>
      </c>
      <c r="O2475" s="1">
        <f>TablaDatos[[#This Row],[FechaIngreso]]+TablaDatos[[#This Row],[DiasNuevo]]</f>
        <v>45543</v>
      </c>
    </row>
    <row r="2476" spans="1:15">
      <c r="A2476">
        <v>2475</v>
      </c>
      <c r="B2476" t="s">
        <v>276</v>
      </c>
      <c r="C2476" s="1">
        <v>33604</v>
      </c>
      <c r="D2476">
        <v>34</v>
      </c>
      <c r="E2476" s="4" t="s">
        <v>12</v>
      </c>
      <c r="F2476" t="s">
        <v>13</v>
      </c>
      <c r="G2476" s="1">
        <v>44940</v>
      </c>
      <c r="H2476" s="1">
        <f>TablaDatos[[#This Row],[FechaIngreso]]+TablaDatos[[#This Row],[DiasNuevo]]</f>
        <v>44944</v>
      </c>
      <c r="I2476">
        <v>4</v>
      </c>
      <c r="J2476" t="s">
        <v>23</v>
      </c>
      <c r="K2476" s="3">
        <v>8010.82</v>
      </c>
      <c r="L2476" t="b">
        <f>TablaDatos[[#This Row],[FechaAlta]] &lt; TablaDatos[[#This Row],[FechaIngreso]]</f>
        <v>0</v>
      </c>
      <c r="M2476">
        <f>_xlfn.XLOOKUP(TablaDatos[[#This Row],[PacienteID]],'Datos_Ejemplo.csv'!A:A,'Datos_Ejemplo.csv'!I:I)</f>
        <v>4</v>
      </c>
      <c r="N2476">
        <f>ABS(TablaDatos[[#This Row],[DiasOriginal]])</f>
        <v>4</v>
      </c>
      <c r="O2476" s="1">
        <f>TablaDatos[[#This Row],[FechaIngreso]]+TablaDatos[[#This Row],[DiasNuevo]]</f>
        <v>44944</v>
      </c>
    </row>
    <row r="2477" spans="1:15">
      <c r="A2477">
        <v>2476</v>
      </c>
      <c r="B2477" t="s">
        <v>328</v>
      </c>
      <c r="C2477" s="1">
        <v>35430</v>
      </c>
      <c r="D2477">
        <v>29</v>
      </c>
      <c r="E2477" s="4" t="s">
        <v>15</v>
      </c>
      <c r="F2477" t="s">
        <v>18</v>
      </c>
      <c r="G2477" s="1">
        <v>44982</v>
      </c>
      <c r="H2477" s="1">
        <f>TablaDatos[[#This Row],[FechaIngreso]]+TablaDatos[[#This Row],[DiasNuevo]]</f>
        <v>45011</v>
      </c>
      <c r="I2477">
        <v>29</v>
      </c>
      <c r="J2477" t="s">
        <v>25</v>
      </c>
      <c r="K2477" s="3">
        <v>15937.83</v>
      </c>
      <c r="L2477" t="b">
        <f>TablaDatos[[#This Row],[FechaAlta]] &lt; TablaDatos[[#This Row],[FechaIngreso]]</f>
        <v>0</v>
      </c>
      <c r="M2477">
        <f>_xlfn.XLOOKUP(TablaDatos[[#This Row],[PacienteID]],'Datos_Ejemplo.csv'!A:A,'Datos_Ejemplo.csv'!I:I)</f>
        <v>29</v>
      </c>
      <c r="N2477">
        <f>ABS(TablaDatos[[#This Row],[DiasOriginal]])</f>
        <v>29</v>
      </c>
      <c r="O2477" s="1">
        <f>TablaDatos[[#This Row],[FechaIngreso]]+TablaDatos[[#This Row],[DiasNuevo]]</f>
        <v>45011</v>
      </c>
    </row>
    <row r="2478" spans="1:15">
      <c r="A2478">
        <v>2477</v>
      </c>
      <c r="B2478" t="s">
        <v>231</v>
      </c>
      <c r="C2478" s="1">
        <v>14246</v>
      </c>
      <c r="D2478">
        <v>87</v>
      </c>
      <c r="E2478" s="4" t="s">
        <v>12</v>
      </c>
      <c r="F2478" t="s">
        <v>32</v>
      </c>
      <c r="G2478" s="1">
        <v>45329</v>
      </c>
      <c r="H2478" s="1">
        <f>TablaDatos[[#This Row],[FechaIngreso]]+TablaDatos[[#This Row],[DiasNuevo]]</f>
        <v>45359</v>
      </c>
      <c r="I2478">
        <v>30</v>
      </c>
      <c r="J2478" t="s">
        <v>23</v>
      </c>
      <c r="K2478" s="3">
        <v>13702.66</v>
      </c>
      <c r="L2478" t="b">
        <f>TablaDatos[[#This Row],[FechaAlta]] &lt; TablaDatos[[#This Row],[FechaIngreso]]</f>
        <v>0</v>
      </c>
      <c r="M2478">
        <f>_xlfn.XLOOKUP(TablaDatos[[#This Row],[PacienteID]],'Datos_Ejemplo.csv'!A:A,'Datos_Ejemplo.csv'!I:I)</f>
        <v>30</v>
      </c>
      <c r="N2478">
        <f>ABS(TablaDatos[[#This Row],[DiasOriginal]])</f>
        <v>30</v>
      </c>
      <c r="O2478" s="1">
        <f>TablaDatos[[#This Row],[FechaIngreso]]+TablaDatos[[#This Row],[DiasNuevo]]</f>
        <v>45359</v>
      </c>
    </row>
    <row r="2479" spans="1:15">
      <c r="A2479">
        <v>2478</v>
      </c>
      <c r="B2479" t="s">
        <v>304</v>
      </c>
      <c r="C2479" s="1">
        <v>35430</v>
      </c>
      <c r="D2479">
        <v>29</v>
      </c>
      <c r="E2479" s="4" t="s">
        <v>12</v>
      </c>
      <c r="F2479" t="s">
        <v>295</v>
      </c>
      <c r="G2479" s="1">
        <v>45268</v>
      </c>
      <c r="H2479" s="1">
        <f>TablaDatos[[#This Row],[FechaIngreso]]+TablaDatos[[#This Row],[DiasNuevo]]</f>
        <v>45283</v>
      </c>
      <c r="I2479">
        <v>15</v>
      </c>
      <c r="J2479" t="s">
        <v>23</v>
      </c>
      <c r="K2479" s="3">
        <v>19715.39</v>
      </c>
      <c r="L2479" t="b">
        <f>TablaDatos[[#This Row],[FechaAlta]] &lt; TablaDatos[[#This Row],[FechaIngreso]]</f>
        <v>0</v>
      </c>
      <c r="M2479">
        <f>_xlfn.XLOOKUP(TablaDatos[[#This Row],[PacienteID]],'Datos_Ejemplo.csv'!A:A,'Datos_Ejemplo.csv'!I:I)</f>
        <v>15</v>
      </c>
      <c r="N2479">
        <f>ABS(TablaDatos[[#This Row],[DiasOriginal]])</f>
        <v>15</v>
      </c>
      <c r="O2479" s="1">
        <f>TablaDatos[[#This Row],[FechaIngreso]]+TablaDatos[[#This Row],[DiasNuevo]]</f>
        <v>45283</v>
      </c>
    </row>
    <row r="2480" spans="1:15">
      <c r="A2480">
        <v>2479</v>
      </c>
      <c r="B2480" t="s">
        <v>334</v>
      </c>
      <c r="C2480" s="1">
        <v>17898</v>
      </c>
      <c r="D2480">
        <v>77</v>
      </c>
      <c r="E2480" s="4" t="s">
        <v>15</v>
      </c>
      <c r="F2480" t="s">
        <v>261</v>
      </c>
      <c r="G2480" s="1">
        <v>45125</v>
      </c>
      <c r="H2480" s="1">
        <f>TablaDatos[[#This Row],[FechaIngreso]]+TablaDatos[[#This Row],[DiasNuevo]]</f>
        <v>45157</v>
      </c>
      <c r="I2480">
        <v>32</v>
      </c>
      <c r="J2480" t="s">
        <v>25</v>
      </c>
      <c r="K2480" s="3">
        <v>2671.69</v>
      </c>
      <c r="L2480" t="b">
        <f>TablaDatos[[#This Row],[FechaAlta]] &lt; TablaDatos[[#This Row],[FechaIngreso]]</f>
        <v>0</v>
      </c>
      <c r="M2480">
        <f>_xlfn.XLOOKUP(TablaDatos[[#This Row],[PacienteID]],'Datos_Ejemplo.csv'!A:A,'Datos_Ejemplo.csv'!I:I)</f>
        <v>32</v>
      </c>
      <c r="N2480">
        <f>ABS(TablaDatos[[#This Row],[DiasOriginal]])</f>
        <v>32</v>
      </c>
      <c r="O2480" s="1">
        <f>TablaDatos[[#This Row],[FechaIngreso]]+TablaDatos[[#This Row],[DiasNuevo]]</f>
        <v>45157</v>
      </c>
    </row>
    <row r="2481" spans="1:15">
      <c r="A2481">
        <v>2480</v>
      </c>
      <c r="B2481" t="s">
        <v>297</v>
      </c>
      <c r="C2481" s="1">
        <v>44196</v>
      </c>
      <c r="D2481">
        <v>5</v>
      </c>
      <c r="E2481" s="4" t="s">
        <v>12</v>
      </c>
      <c r="F2481" t="s">
        <v>21</v>
      </c>
      <c r="G2481" s="1">
        <v>45604</v>
      </c>
      <c r="H2481" s="1">
        <f>TablaDatos[[#This Row],[FechaIngreso]]+TablaDatos[[#This Row],[DiasNuevo]]</f>
        <v>45621</v>
      </c>
      <c r="I2481">
        <v>17</v>
      </c>
      <c r="J2481" t="s">
        <v>19</v>
      </c>
      <c r="K2481" s="3">
        <v>1072.1400000000001</v>
      </c>
      <c r="L2481" t="b">
        <f>TablaDatos[[#This Row],[FechaAlta]] &lt; TablaDatos[[#This Row],[FechaIngreso]]</f>
        <v>0</v>
      </c>
      <c r="M2481">
        <f>_xlfn.XLOOKUP(TablaDatos[[#This Row],[PacienteID]],'Datos_Ejemplo.csv'!A:A,'Datos_Ejemplo.csv'!I:I)</f>
        <v>17</v>
      </c>
      <c r="N2481">
        <f>ABS(TablaDatos[[#This Row],[DiasOriginal]])</f>
        <v>17</v>
      </c>
      <c r="O2481" s="1">
        <f>TablaDatos[[#This Row],[FechaIngreso]]+TablaDatos[[#This Row],[DiasNuevo]]</f>
        <v>45621</v>
      </c>
    </row>
    <row r="2482" spans="1:15">
      <c r="A2482">
        <v>2481</v>
      </c>
      <c r="B2482" t="s">
        <v>328</v>
      </c>
      <c r="C2482" s="1">
        <v>21916</v>
      </c>
      <c r="D2482">
        <v>66</v>
      </c>
      <c r="E2482" s="4" t="s">
        <v>12</v>
      </c>
      <c r="F2482" t="s">
        <v>201</v>
      </c>
      <c r="G2482" s="1">
        <v>45218</v>
      </c>
      <c r="H2482" s="1">
        <f>TablaDatos[[#This Row],[FechaIngreso]]+TablaDatos[[#This Row],[DiasNuevo]]</f>
        <v>45246</v>
      </c>
      <c r="I2482">
        <v>28</v>
      </c>
      <c r="J2482" t="s">
        <v>23</v>
      </c>
      <c r="K2482" s="3">
        <v>5423.55</v>
      </c>
      <c r="L2482" t="b">
        <f>TablaDatos[[#This Row],[FechaAlta]] &lt; TablaDatos[[#This Row],[FechaIngreso]]</f>
        <v>0</v>
      </c>
      <c r="M2482">
        <f>_xlfn.XLOOKUP(TablaDatos[[#This Row],[PacienteID]],'Datos_Ejemplo.csv'!A:A,'Datos_Ejemplo.csv'!I:I)</f>
        <v>28</v>
      </c>
      <c r="N2482">
        <f>ABS(TablaDatos[[#This Row],[DiasOriginal]])</f>
        <v>28</v>
      </c>
      <c r="O2482" s="1">
        <f>TablaDatos[[#This Row],[FechaIngreso]]+TablaDatos[[#This Row],[DiasNuevo]]</f>
        <v>45246</v>
      </c>
    </row>
    <row r="2483" spans="1:15">
      <c r="A2483">
        <v>2482</v>
      </c>
      <c r="B2483" t="s">
        <v>343</v>
      </c>
      <c r="C2483" s="1">
        <v>17168</v>
      </c>
      <c r="D2483">
        <v>79</v>
      </c>
      <c r="E2483" s="4" t="s">
        <v>15</v>
      </c>
      <c r="F2483" t="s">
        <v>21</v>
      </c>
      <c r="G2483" s="1">
        <v>45584</v>
      </c>
      <c r="H2483" s="1">
        <f>TablaDatos[[#This Row],[FechaIngreso]]+TablaDatos[[#This Row],[DiasNuevo]]</f>
        <v>45586</v>
      </c>
      <c r="I2483">
        <v>2</v>
      </c>
      <c r="J2483" t="s">
        <v>25</v>
      </c>
      <c r="K2483" s="3">
        <v>282.91000000000003</v>
      </c>
      <c r="L2483" t="b">
        <f>TablaDatos[[#This Row],[FechaAlta]] &lt; TablaDatos[[#This Row],[FechaIngreso]]</f>
        <v>0</v>
      </c>
      <c r="M2483">
        <f>_xlfn.XLOOKUP(TablaDatos[[#This Row],[PacienteID]],'Datos_Ejemplo.csv'!A:A,'Datos_Ejemplo.csv'!I:I)</f>
        <v>2</v>
      </c>
      <c r="N2483">
        <f>ABS(TablaDatos[[#This Row],[DiasOriginal]])</f>
        <v>2</v>
      </c>
      <c r="O2483" s="1">
        <f>TablaDatos[[#This Row],[FechaIngreso]]+TablaDatos[[#This Row],[DiasNuevo]]</f>
        <v>45586</v>
      </c>
    </row>
    <row r="2484" spans="1:15">
      <c r="A2484">
        <v>2483</v>
      </c>
      <c r="B2484" t="s">
        <v>245</v>
      </c>
      <c r="C2484" s="1">
        <v>43831</v>
      </c>
      <c r="D2484">
        <v>6</v>
      </c>
      <c r="E2484" s="4" t="s">
        <v>12</v>
      </c>
      <c r="F2484" t="s">
        <v>201</v>
      </c>
      <c r="G2484" s="1">
        <v>45367</v>
      </c>
      <c r="H2484" s="1">
        <f>TablaDatos[[#This Row],[FechaIngreso]]+TablaDatos[[#This Row],[DiasNuevo]]</f>
        <v>45396</v>
      </c>
      <c r="I2484">
        <v>29</v>
      </c>
      <c r="J2484" t="s">
        <v>19</v>
      </c>
      <c r="K2484" s="3">
        <v>18645.490000000002</v>
      </c>
      <c r="L2484" t="b">
        <f>TablaDatos[[#This Row],[FechaAlta]] &lt; TablaDatos[[#This Row],[FechaIngreso]]</f>
        <v>0</v>
      </c>
      <c r="M2484">
        <f>_xlfn.XLOOKUP(TablaDatos[[#This Row],[PacienteID]],'Datos_Ejemplo.csv'!A:A,'Datos_Ejemplo.csv'!I:I)</f>
        <v>29</v>
      </c>
      <c r="N2484">
        <f>ABS(TablaDatos[[#This Row],[DiasOriginal]])</f>
        <v>29</v>
      </c>
      <c r="O2484" s="1">
        <f>TablaDatos[[#This Row],[FechaIngreso]]+TablaDatos[[#This Row],[DiasNuevo]]</f>
        <v>45396</v>
      </c>
    </row>
    <row r="2485" spans="1:15">
      <c r="A2485">
        <v>2484</v>
      </c>
      <c r="B2485" t="s">
        <v>245</v>
      </c>
      <c r="C2485" s="1">
        <v>27395</v>
      </c>
      <c r="D2485">
        <v>51</v>
      </c>
      <c r="E2485" s="4" t="s">
        <v>15</v>
      </c>
      <c r="F2485" t="s">
        <v>18</v>
      </c>
      <c r="G2485" s="1">
        <v>45004</v>
      </c>
      <c r="H2485" s="1">
        <f>TablaDatos[[#This Row],[FechaIngreso]]+TablaDatos[[#This Row],[DiasNuevo]]</f>
        <v>45043</v>
      </c>
      <c r="I2485">
        <v>39</v>
      </c>
      <c r="J2485" t="s">
        <v>25</v>
      </c>
      <c r="K2485" s="3">
        <v>6009.43</v>
      </c>
      <c r="L2485" t="b">
        <f>TablaDatos[[#This Row],[FechaAlta]] &lt; TablaDatos[[#This Row],[FechaIngreso]]</f>
        <v>0</v>
      </c>
      <c r="M2485">
        <f>_xlfn.XLOOKUP(TablaDatos[[#This Row],[PacienteID]],'Datos_Ejemplo.csv'!A:A,'Datos_Ejemplo.csv'!I:I)</f>
        <v>39</v>
      </c>
      <c r="N2485">
        <f>ABS(TablaDatos[[#This Row],[DiasOriginal]])</f>
        <v>39</v>
      </c>
      <c r="O2485" s="1">
        <f>TablaDatos[[#This Row],[FechaIngreso]]+TablaDatos[[#This Row],[DiasNuevo]]</f>
        <v>45043</v>
      </c>
    </row>
    <row r="2486" spans="1:15">
      <c r="A2486">
        <v>2485</v>
      </c>
      <c r="B2486" t="s">
        <v>249</v>
      </c>
      <c r="C2486" s="1">
        <v>41274</v>
      </c>
      <c r="D2486">
        <v>13</v>
      </c>
      <c r="E2486" s="4" t="s">
        <v>197</v>
      </c>
      <c r="F2486" t="s">
        <v>261</v>
      </c>
      <c r="G2486" s="1">
        <v>45038</v>
      </c>
      <c r="H2486" s="1">
        <f>TablaDatos[[#This Row],[FechaIngreso]]+TablaDatos[[#This Row],[DiasNuevo]]</f>
        <v>45054</v>
      </c>
      <c r="I2486">
        <v>16</v>
      </c>
      <c r="J2486" t="s">
        <v>25</v>
      </c>
      <c r="K2486" s="3">
        <v>11003.85</v>
      </c>
      <c r="L2486" t="b">
        <f>TablaDatos[[#This Row],[FechaAlta]] &lt; TablaDatos[[#This Row],[FechaIngreso]]</f>
        <v>0</v>
      </c>
      <c r="M2486">
        <f>_xlfn.XLOOKUP(TablaDatos[[#This Row],[PacienteID]],'Datos_Ejemplo.csv'!A:A,'Datos_Ejemplo.csv'!I:I)</f>
        <v>16</v>
      </c>
      <c r="N2486">
        <f>ABS(TablaDatos[[#This Row],[DiasOriginal]])</f>
        <v>16</v>
      </c>
      <c r="O2486" s="1">
        <f>TablaDatos[[#This Row],[FechaIngreso]]+TablaDatos[[#This Row],[DiasNuevo]]</f>
        <v>45054</v>
      </c>
    </row>
    <row r="2487" spans="1:15">
      <c r="A2487">
        <v>2486</v>
      </c>
      <c r="B2487" t="s">
        <v>281</v>
      </c>
      <c r="C2487" s="1">
        <v>19724</v>
      </c>
      <c r="D2487">
        <v>72</v>
      </c>
      <c r="E2487" s="4" t="s">
        <v>12</v>
      </c>
      <c r="F2487" t="s">
        <v>13</v>
      </c>
      <c r="G2487" s="1">
        <v>45461</v>
      </c>
      <c r="H2487" s="1">
        <f>TablaDatos[[#This Row],[FechaIngreso]]+TablaDatos[[#This Row],[DiasNuevo]]</f>
        <v>45463</v>
      </c>
      <c r="I2487">
        <v>2</v>
      </c>
      <c r="J2487" t="s">
        <v>19</v>
      </c>
      <c r="K2487" s="3">
        <v>6293.2</v>
      </c>
      <c r="L2487" t="b">
        <f>TablaDatos[[#This Row],[FechaAlta]] &lt; TablaDatos[[#This Row],[FechaIngreso]]</f>
        <v>0</v>
      </c>
      <c r="M2487">
        <f>_xlfn.XLOOKUP(TablaDatos[[#This Row],[PacienteID]],'Datos_Ejemplo.csv'!A:A,'Datos_Ejemplo.csv'!I:I)</f>
        <v>-2</v>
      </c>
      <c r="N2487">
        <f>ABS(TablaDatos[[#This Row],[DiasOriginal]])</f>
        <v>2</v>
      </c>
      <c r="O2487" s="1">
        <f>TablaDatos[[#This Row],[FechaIngreso]]+TablaDatos[[#This Row],[DiasNuevo]]</f>
        <v>45463</v>
      </c>
    </row>
    <row r="2488" spans="1:15">
      <c r="A2488">
        <v>2487</v>
      </c>
      <c r="B2488" t="s">
        <v>250</v>
      </c>
      <c r="C2488" s="1">
        <v>40909</v>
      </c>
      <c r="D2488">
        <v>14</v>
      </c>
      <c r="E2488" s="4" t="s">
        <v>15</v>
      </c>
      <c r="F2488" t="s">
        <v>32</v>
      </c>
      <c r="G2488" s="1">
        <v>45301</v>
      </c>
      <c r="H2488" s="1">
        <f>TablaDatos[[#This Row],[FechaIngreso]]+TablaDatos[[#This Row],[DiasNuevo]]</f>
        <v>45305</v>
      </c>
      <c r="I2488">
        <v>4</v>
      </c>
      <c r="J2488" t="s">
        <v>25</v>
      </c>
      <c r="K2488" s="3">
        <v>4840.75</v>
      </c>
      <c r="L2488" t="b">
        <f>TablaDatos[[#This Row],[FechaAlta]] &lt; TablaDatos[[#This Row],[FechaIngreso]]</f>
        <v>0</v>
      </c>
      <c r="M2488">
        <f>_xlfn.XLOOKUP(TablaDatos[[#This Row],[PacienteID]],'Datos_Ejemplo.csv'!A:A,'Datos_Ejemplo.csv'!I:I)</f>
        <v>4</v>
      </c>
      <c r="N2488">
        <f>ABS(TablaDatos[[#This Row],[DiasOriginal]])</f>
        <v>4</v>
      </c>
      <c r="O2488" s="1">
        <f>TablaDatos[[#This Row],[FechaIngreso]]+TablaDatos[[#This Row],[DiasNuevo]]</f>
        <v>45305</v>
      </c>
    </row>
    <row r="2489" spans="1:15">
      <c r="A2489">
        <v>2488</v>
      </c>
      <c r="B2489" t="s">
        <v>354</v>
      </c>
      <c r="C2489" s="1">
        <v>38717</v>
      </c>
      <c r="D2489">
        <v>20</v>
      </c>
      <c r="E2489" s="4" t="s">
        <v>15</v>
      </c>
      <c r="F2489" t="s">
        <v>261</v>
      </c>
      <c r="G2489" s="1">
        <v>45042</v>
      </c>
      <c r="H2489" s="1">
        <f>TablaDatos[[#This Row],[FechaIngreso]]+TablaDatos[[#This Row],[DiasNuevo]]</f>
        <v>45061</v>
      </c>
      <c r="I2489">
        <v>19</v>
      </c>
      <c r="J2489" t="s">
        <v>23</v>
      </c>
      <c r="K2489" s="3">
        <v>2962.53</v>
      </c>
      <c r="L2489" t="b">
        <f>TablaDatos[[#This Row],[FechaAlta]] &lt; TablaDatos[[#This Row],[FechaIngreso]]</f>
        <v>0</v>
      </c>
      <c r="M2489">
        <f>_xlfn.XLOOKUP(TablaDatos[[#This Row],[PacienteID]],'Datos_Ejemplo.csv'!A:A,'Datos_Ejemplo.csv'!I:I)</f>
        <v>19</v>
      </c>
      <c r="N2489">
        <f>ABS(TablaDatos[[#This Row],[DiasOriginal]])</f>
        <v>19</v>
      </c>
      <c r="O2489" s="1">
        <f>TablaDatos[[#This Row],[FechaIngreso]]+TablaDatos[[#This Row],[DiasNuevo]]</f>
        <v>45061</v>
      </c>
    </row>
    <row r="2490" spans="1:15">
      <c r="A2490">
        <v>2489</v>
      </c>
      <c r="B2490" t="s">
        <v>267</v>
      </c>
      <c r="C2490" s="1">
        <v>33604</v>
      </c>
      <c r="D2490">
        <v>34</v>
      </c>
      <c r="E2490" s="4" t="s">
        <v>12</v>
      </c>
      <c r="F2490" t="s">
        <v>32</v>
      </c>
      <c r="G2490" s="1">
        <v>45068</v>
      </c>
      <c r="H2490" s="1">
        <f>TablaDatos[[#This Row],[FechaIngreso]]+TablaDatos[[#This Row],[DiasNuevo]]</f>
        <v>45099</v>
      </c>
      <c r="I2490">
        <v>31</v>
      </c>
      <c r="J2490" t="s">
        <v>23</v>
      </c>
      <c r="K2490" s="3">
        <v>6339.35</v>
      </c>
      <c r="L2490" t="b">
        <f>TablaDatos[[#This Row],[FechaAlta]] &lt; TablaDatos[[#This Row],[FechaIngreso]]</f>
        <v>0</v>
      </c>
      <c r="M2490">
        <f>_xlfn.XLOOKUP(TablaDatos[[#This Row],[PacienteID]],'Datos_Ejemplo.csv'!A:A,'Datos_Ejemplo.csv'!I:I)</f>
        <v>31</v>
      </c>
      <c r="N2490">
        <f>ABS(TablaDatos[[#This Row],[DiasOriginal]])</f>
        <v>31</v>
      </c>
      <c r="O2490" s="1">
        <f>TablaDatos[[#This Row],[FechaIngreso]]+TablaDatos[[#This Row],[DiasNuevo]]</f>
        <v>45099</v>
      </c>
    </row>
    <row r="2491" spans="1:15">
      <c r="A2491">
        <v>2490</v>
      </c>
      <c r="B2491" t="s">
        <v>61</v>
      </c>
      <c r="C2491" s="1">
        <v>22281</v>
      </c>
      <c r="D2491">
        <v>65</v>
      </c>
      <c r="E2491" s="4" t="s">
        <v>15</v>
      </c>
      <c r="F2491" t="s">
        <v>32</v>
      </c>
      <c r="G2491" s="1">
        <v>45123</v>
      </c>
      <c r="H2491" s="1">
        <f>TablaDatos[[#This Row],[FechaIngreso]]+TablaDatos[[#This Row],[DiasNuevo]]</f>
        <v>45130</v>
      </c>
      <c r="I2491">
        <v>7</v>
      </c>
      <c r="J2491" t="s">
        <v>23</v>
      </c>
      <c r="K2491" s="3">
        <v>12269.92</v>
      </c>
      <c r="L2491" t="b">
        <f>TablaDatos[[#This Row],[FechaAlta]] &lt; TablaDatos[[#This Row],[FechaIngreso]]</f>
        <v>0</v>
      </c>
      <c r="M2491">
        <f>_xlfn.XLOOKUP(TablaDatos[[#This Row],[PacienteID]],'Datos_Ejemplo.csv'!A:A,'Datos_Ejemplo.csv'!I:I)</f>
        <v>7</v>
      </c>
      <c r="N2491">
        <f>ABS(TablaDatos[[#This Row],[DiasOriginal]])</f>
        <v>7</v>
      </c>
      <c r="O2491" s="1">
        <f>TablaDatos[[#This Row],[FechaIngreso]]+TablaDatos[[#This Row],[DiasNuevo]]</f>
        <v>45130</v>
      </c>
    </row>
    <row r="2492" spans="1:15">
      <c r="A2492">
        <v>2491</v>
      </c>
      <c r="B2492" t="s">
        <v>262</v>
      </c>
      <c r="C2492" s="1">
        <v>13150</v>
      </c>
      <c r="D2492">
        <v>90</v>
      </c>
      <c r="E2492" s="4" t="s">
        <v>15</v>
      </c>
      <c r="F2492" t="s">
        <v>13</v>
      </c>
      <c r="G2492" s="1">
        <v>45466</v>
      </c>
      <c r="H2492" s="1">
        <f>TablaDatos[[#This Row],[FechaIngreso]]+TablaDatos[[#This Row],[DiasNuevo]]</f>
        <v>45505</v>
      </c>
      <c r="I2492">
        <v>39</v>
      </c>
      <c r="J2492" t="s">
        <v>25</v>
      </c>
      <c r="K2492" s="3">
        <v>19429.59</v>
      </c>
      <c r="L2492" t="b">
        <f>TablaDatos[[#This Row],[FechaAlta]] &lt; TablaDatos[[#This Row],[FechaIngreso]]</f>
        <v>0</v>
      </c>
      <c r="M2492">
        <f>_xlfn.XLOOKUP(TablaDatos[[#This Row],[PacienteID]],'Datos_Ejemplo.csv'!A:A,'Datos_Ejemplo.csv'!I:I)</f>
        <v>39</v>
      </c>
      <c r="N2492">
        <f>ABS(TablaDatos[[#This Row],[DiasOriginal]])</f>
        <v>39</v>
      </c>
      <c r="O2492" s="1">
        <f>TablaDatos[[#This Row],[FechaIngreso]]+TablaDatos[[#This Row],[DiasNuevo]]</f>
        <v>45505</v>
      </c>
    </row>
    <row r="2493" spans="1:15">
      <c r="A2493">
        <v>2492</v>
      </c>
      <c r="B2493" t="s">
        <v>349</v>
      </c>
      <c r="C2493" s="1">
        <v>45657</v>
      </c>
      <c r="D2493">
        <v>1</v>
      </c>
      <c r="E2493" s="4" t="s">
        <v>12</v>
      </c>
      <c r="F2493" t="s">
        <v>13</v>
      </c>
      <c r="G2493" s="1">
        <v>45225</v>
      </c>
      <c r="H2493" s="1">
        <f>TablaDatos[[#This Row],[FechaIngreso]]+TablaDatos[[#This Row],[DiasNuevo]]</f>
        <v>45248</v>
      </c>
      <c r="I2493">
        <v>23</v>
      </c>
      <c r="J2493" t="s">
        <v>23</v>
      </c>
      <c r="K2493" s="3">
        <v>11117.65</v>
      </c>
      <c r="L2493" t="b">
        <f>TablaDatos[[#This Row],[FechaAlta]] &lt; TablaDatos[[#This Row],[FechaIngreso]]</f>
        <v>0</v>
      </c>
      <c r="M2493">
        <f>_xlfn.XLOOKUP(TablaDatos[[#This Row],[PacienteID]],'Datos_Ejemplo.csv'!A:A,'Datos_Ejemplo.csv'!I:I)</f>
        <v>23</v>
      </c>
      <c r="N2493">
        <f>ABS(TablaDatos[[#This Row],[DiasOriginal]])</f>
        <v>23</v>
      </c>
      <c r="O2493" s="1">
        <f>TablaDatos[[#This Row],[FechaIngreso]]+TablaDatos[[#This Row],[DiasNuevo]]</f>
        <v>45248</v>
      </c>
    </row>
    <row r="2494" spans="1:15">
      <c r="A2494">
        <v>2493</v>
      </c>
      <c r="B2494" t="s">
        <v>116</v>
      </c>
      <c r="C2494" s="1">
        <v>33604</v>
      </c>
      <c r="D2494">
        <v>34</v>
      </c>
      <c r="E2494" s="4" t="s">
        <v>15</v>
      </c>
      <c r="F2494" t="s">
        <v>201</v>
      </c>
      <c r="G2494" s="1">
        <v>45002</v>
      </c>
      <c r="H2494" s="1">
        <f>TablaDatos[[#This Row],[FechaIngreso]]+TablaDatos[[#This Row],[DiasNuevo]]</f>
        <v>45031</v>
      </c>
      <c r="I2494">
        <v>29</v>
      </c>
      <c r="J2494" t="s">
        <v>23</v>
      </c>
      <c r="K2494" s="3">
        <v>10607.45</v>
      </c>
      <c r="L2494" t="b">
        <f>TablaDatos[[#This Row],[FechaAlta]] &lt; TablaDatos[[#This Row],[FechaIngreso]]</f>
        <v>0</v>
      </c>
      <c r="M2494">
        <f>_xlfn.XLOOKUP(TablaDatos[[#This Row],[PacienteID]],'Datos_Ejemplo.csv'!A:A,'Datos_Ejemplo.csv'!I:I)</f>
        <v>29</v>
      </c>
      <c r="N2494">
        <f>ABS(TablaDatos[[#This Row],[DiasOriginal]])</f>
        <v>29</v>
      </c>
      <c r="O2494" s="1">
        <f>TablaDatos[[#This Row],[FechaIngreso]]+TablaDatos[[#This Row],[DiasNuevo]]</f>
        <v>45031</v>
      </c>
    </row>
    <row r="2495" spans="1:15">
      <c r="A2495">
        <v>2494</v>
      </c>
      <c r="B2495" t="s">
        <v>162</v>
      </c>
      <c r="C2495" s="1">
        <v>16437</v>
      </c>
      <c r="D2495">
        <v>81</v>
      </c>
      <c r="E2495" s="4" t="s">
        <v>15</v>
      </c>
      <c r="F2495" t="s">
        <v>13</v>
      </c>
      <c r="G2495" s="1">
        <v>45456</v>
      </c>
      <c r="H2495" s="1">
        <f>TablaDatos[[#This Row],[FechaIngreso]]+TablaDatos[[#This Row],[DiasNuevo]]</f>
        <v>45495</v>
      </c>
      <c r="I2495">
        <v>39</v>
      </c>
      <c r="J2495" t="s">
        <v>23</v>
      </c>
      <c r="K2495" s="3">
        <v>608.79</v>
      </c>
      <c r="L2495" t="b">
        <f>TablaDatos[[#This Row],[FechaAlta]] &lt; TablaDatos[[#This Row],[FechaIngreso]]</f>
        <v>0</v>
      </c>
      <c r="M2495">
        <f>_xlfn.XLOOKUP(TablaDatos[[#This Row],[PacienteID]],'Datos_Ejemplo.csv'!A:A,'Datos_Ejemplo.csv'!I:I)</f>
        <v>39</v>
      </c>
      <c r="N2495">
        <f>ABS(TablaDatos[[#This Row],[DiasOriginal]])</f>
        <v>39</v>
      </c>
      <c r="O2495" s="1">
        <f>TablaDatos[[#This Row],[FechaIngreso]]+TablaDatos[[#This Row],[DiasNuevo]]</f>
        <v>45495</v>
      </c>
    </row>
    <row r="2496" spans="1:15">
      <c r="A2496">
        <v>2495</v>
      </c>
      <c r="B2496" t="s">
        <v>164</v>
      </c>
      <c r="C2496" s="1">
        <v>17898</v>
      </c>
      <c r="D2496">
        <v>77</v>
      </c>
      <c r="E2496" s="4" t="s">
        <v>12</v>
      </c>
      <c r="F2496" t="s">
        <v>18</v>
      </c>
      <c r="G2496" s="1">
        <v>45026</v>
      </c>
      <c r="H2496" s="1">
        <f>TablaDatos[[#This Row],[FechaIngreso]]+TablaDatos[[#This Row],[DiasNuevo]]</f>
        <v>45050</v>
      </c>
      <c r="I2496">
        <v>24</v>
      </c>
      <c r="J2496" t="s">
        <v>23</v>
      </c>
      <c r="K2496" s="3">
        <v>16785.990000000002</v>
      </c>
      <c r="L2496" t="b">
        <f>TablaDatos[[#This Row],[FechaAlta]] &lt; TablaDatos[[#This Row],[FechaIngreso]]</f>
        <v>0</v>
      </c>
      <c r="M2496">
        <f>_xlfn.XLOOKUP(TablaDatos[[#This Row],[PacienteID]],'Datos_Ejemplo.csv'!A:A,'Datos_Ejemplo.csv'!I:I)</f>
        <v>24</v>
      </c>
      <c r="N2496">
        <f>ABS(TablaDatos[[#This Row],[DiasOriginal]])</f>
        <v>24</v>
      </c>
      <c r="O2496" s="1">
        <f>TablaDatos[[#This Row],[FechaIngreso]]+TablaDatos[[#This Row],[DiasNuevo]]</f>
        <v>45050</v>
      </c>
    </row>
    <row r="2497" spans="1:15">
      <c r="A2497">
        <v>2496</v>
      </c>
      <c r="B2497" t="s">
        <v>164</v>
      </c>
      <c r="C2497" s="1">
        <v>39083</v>
      </c>
      <c r="D2497">
        <v>19</v>
      </c>
      <c r="E2497" s="4" t="s">
        <v>12</v>
      </c>
      <c r="F2497" t="s">
        <v>21</v>
      </c>
      <c r="G2497" s="1">
        <v>45405</v>
      </c>
      <c r="H2497" s="1">
        <f>TablaDatos[[#This Row],[FechaIngreso]]+TablaDatos[[#This Row],[DiasNuevo]]</f>
        <v>45414</v>
      </c>
      <c r="I2497">
        <v>9</v>
      </c>
      <c r="J2497" t="s">
        <v>23</v>
      </c>
      <c r="K2497" s="3">
        <v>801.31</v>
      </c>
      <c r="L2497" t="b">
        <f>TablaDatos[[#This Row],[FechaAlta]] &lt; TablaDatos[[#This Row],[FechaIngreso]]</f>
        <v>0</v>
      </c>
      <c r="M2497">
        <f>_xlfn.XLOOKUP(TablaDatos[[#This Row],[PacienteID]],'Datos_Ejemplo.csv'!A:A,'Datos_Ejemplo.csv'!I:I)</f>
        <v>9</v>
      </c>
      <c r="N2497">
        <f>ABS(TablaDatos[[#This Row],[DiasOriginal]])</f>
        <v>9</v>
      </c>
      <c r="O2497" s="1">
        <f>TablaDatos[[#This Row],[FechaIngreso]]+TablaDatos[[#This Row],[DiasNuevo]]</f>
        <v>45414</v>
      </c>
    </row>
    <row r="2498" spans="1:15">
      <c r="A2498">
        <v>2497</v>
      </c>
      <c r="B2498" t="s">
        <v>349</v>
      </c>
      <c r="C2498" s="1">
        <v>16437</v>
      </c>
      <c r="D2498">
        <v>81</v>
      </c>
      <c r="E2498" s="4" t="s">
        <v>12</v>
      </c>
      <c r="F2498" t="s">
        <v>295</v>
      </c>
      <c r="G2498" s="1">
        <v>45394</v>
      </c>
      <c r="H2498" s="1">
        <f>TablaDatos[[#This Row],[FechaIngreso]]+TablaDatos[[#This Row],[DiasNuevo]]</f>
        <v>45431</v>
      </c>
      <c r="I2498">
        <v>37</v>
      </c>
      <c r="J2498" t="s">
        <v>23</v>
      </c>
      <c r="K2498" s="3">
        <v>18115.27</v>
      </c>
      <c r="L2498" t="b">
        <f>TablaDatos[[#This Row],[FechaAlta]] &lt; TablaDatos[[#This Row],[FechaIngreso]]</f>
        <v>0</v>
      </c>
      <c r="M2498">
        <f>_xlfn.XLOOKUP(TablaDatos[[#This Row],[PacienteID]],'Datos_Ejemplo.csv'!A:A,'Datos_Ejemplo.csv'!I:I)</f>
        <v>37</v>
      </c>
      <c r="N2498">
        <f>ABS(TablaDatos[[#This Row],[DiasOriginal]])</f>
        <v>37</v>
      </c>
      <c r="O2498" s="1">
        <f>TablaDatos[[#This Row],[FechaIngreso]]+TablaDatos[[#This Row],[DiasNuevo]]</f>
        <v>45431</v>
      </c>
    </row>
    <row r="2499" spans="1:15">
      <c r="A2499">
        <v>2498</v>
      </c>
      <c r="B2499" t="s">
        <v>230</v>
      </c>
      <c r="C2499" s="1">
        <v>42735</v>
      </c>
      <c r="D2499">
        <v>9</v>
      </c>
      <c r="E2499" s="4" t="s">
        <v>12</v>
      </c>
      <c r="F2499" t="s">
        <v>13</v>
      </c>
      <c r="G2499" s="1">
        <v>45562</v>
      </c>
      <c r="H2499" s="1">
        <f>TablaDatos[[#This Row],[FechaIngreso]]+TablaDatos[[#This Row],[DiasNuevo]]</f>
        <v>45582</v>
      </c>
      <c r="I2499">
        <v>20</v>
      </c>
      <c r="J2499" t="s">
        <v>19</v>
      </c>
      <c r="K2499" s="3">
        <v>10727.3</v>
      </c>
      <c r="L2499" t="b">
        <f>TablaDatos[[#This Row],[FechaAlta]] &lt; TablaDatos[[#This Row],[FechaIngreso]]</f>
        <v>0</v>
      </c>
      <c r="M2499">
        <f>_xlfn.XLOOKUP(TablaDatos[[#This Row],[PacienteID]],'Datos_Ejemplo.csv'!A:A,'Datos_Ejemplo.csv'!I:I)</f>
        <v>20</v>
      </c>
      <c r="N2499">
        <f>ABS(TablaDatos[[#This Row],[DiasOriginal]])</f>
        <v>20</v>
      </c>
      <c r="O2499" s="1">
        <f>TablaDatos[[#This Row],[FechaIngreso]]+TablaDatos[[#This Row],[DiasNuevo]]</f>
        <v>45582</v>
      </c>
    </row>
    <row r="2500" spans="1:15">
      <c r="A2500">
        <v>2499</v>
      </c>
      <c r="B2500" t="s">
        <v>51</v>
      </c>
      <c r="C2500" s="1">
        <v>37256</v>
      </c>
      <c r="D2500">
        <v>24</v>
      </c>
      <c r="E2500" s="4" t="s">
        <v>15</v>
      </c>
      <c r="F2500" t="s">
        <v>21</v>
      </c>
      <c r="G2500" s="1">
        <v>45218</v>
      </c>
      <c r="H2500" s="1">
        <f>TablaDatos[[#This Row],[FechaIngreso]]+TablaDatos[[#This Row],[DiasNuevo]]</f>
        <v>45229</v>
      </c>
      <c r="I2500">
        <v>11</v>
      </c>
      <c r="J2500" t="s">
        <v>19</v>
      </c>
      <c r="K2500" s="3">
        <v>3286.18</v>
      </c>
      <c r="L2500" t="b">
        <f>TablaDatos[[#This Row],[FechaAlta]] &lt; TablaDatos[[#This Row],[FechaIngreso]]</f>
        <v>0</v>
      </c>
      <c r="M2500">
        <f>_xlfn.XLOOKUP(TablaDatos[[#This Row],[PacienteID]],'Datos_Ejemplo.csv'!A:A,'Datos_Ejemplo.csv'!I:I)</f>
        <v>11</v>
      </c>
      <c r="N2500">
        <f>ABS(TablaDatos[[#This Row],[DiasOriginal]])</f>
        <v>11</v>
      </c>
      <c r="O2500" s="1">
        <f>TablaDatos[[#This Row],[FechaIngreso]]+TablaDatos[[#This Row],[DiasNuevo]]</f>
        <v>45229</v>
      </c>
    </row>
    <row r="2501" spans="1:15">
      <c r="A2501">
        <v>2500</v>
      </c>
      <c r="B2501" t="s">
        <v>363</v>
      </c>
      <c r="C2501" s="1">
        <v>22281</v>
      </c>
      <c r="D2501">
        <v>65</v>
      </c>
      <c r="E2501" s="4" t="s">
        <v>15</v>
      </c>
      <c r="F2501" t="s">
        <v>201</v>
      </c>
      <c r="G2501" s="1">
        <v>45051</v>
      </c>
      <c r="H2501" s="1">
        <f>TablaDatos[[#This Row],[FechaIngreso]]+TablaDatos[[#This Row],[DiasNuevo]]</f>
        <v>45082</v>
      </c>
      <c r="I2501">
        <v>31</v>
      </c>
      <c r="J2501" t="s">
        <v>19</v>
      </c>
      <c r="K2501" s="3">
        <v>8979.32</v>
      </c>
      <c r="L2501" t="b">
        <f>TablaDatos[[#This Row],[FechaAlta]] &lt; TablaDatos[[#This Row],[FechaIngreso]]</f>
        <v>0</v>
      </c>
      <c r="M2501">
        <f>_xlfn.XLOOKUP(TablaDatos[[#This Row],[PacienteID]],'Datos_Ejemplo.csv'!A:A,'Datos_Ejemplo.csv'!I:I)</f>
        <v>31</v>
      </c>
      <c r="N2501">
        <f>ABS(TablaDatos[[#This Row],[DiasOriginal]])</f>
        <v>31</v>
      </c>
      <c r="O2501" s="1">
        <f>TablaDatos[[#This Row],[FechaIngreso]]+TablaDatos[[#This Row],[DiasNuevo]]</f>
        <v>45082</v>
      </c>
    </row>
    <row r="2502" spans="1:15">
      <c r="A2502">
        <v>2501</v>
      </c>
      <c r="B2502" t="s">
        <v>230</v>
      </c>
      <c r="C2502" s="1">
        <v>37256</v>
      </c>
      <c r="D2502">
        <v>24</v>
      </c>
      <c r="E2502" s="4" t="s">
        <v>15</v>
      </c>
      <c r="F2502" t="s">
        <v>13</v>
      </c>
      <c r="G2502" s="1">
        <v>45445</v>
      </c>
      <c r="H2502" s="1">
        <f>TablaDatos[[#This Row],[FechaIngreso]]+TablaDatos[[#This Row],[DiasNuevo]]</f>
        <v>45459</v>
      </c>
      <c r="I2502">
        <v>14</v>
      </c>
      <c r="J2502" t="s">
        <v>23</v>
      </c>
      <c r="K2502" s="3">
        <v>19899.189999999999</v>
      </c>
      <c r="L2502" t="b">
        <f>TablaDatos[[#This Row],[FechaAlta]] &lt; TablaDatos[[#This Row],[FechaIngreso]]</f>
        <v>0</v>
      </c>
      <c r="M2502">
        <f>_xlfn.XLOOKUP(TablaDatos[[#This Row],[PacienteID]],'Datos_Ejemplo.csv'!A:A,'Datos_Ejemplo.csv'!I:I)</f>
        <v>14</v>
      </c>
      <c r="N2502">
        <f>ABS(TablaDatos[[#This Row],[DiasOriginal]])</f>
        <v>14</v>
      </c>
      <c r="O2502" s="1">
        <f>TablaDatos[[#This Row],[FechaIngreso]]+TablaDatos[[#This Row],[DiasNuevo]]</f>
        <v>45459</v>
      </c>
    </row>
    <row r="2503" spans="1:15">
      <c r="A2503">
        <v>2502</v>
      </c>
      <c r="B2503" t="s">
        <v>341</v>
      </c>
      <c r="C2503" s="1">
        <v>26664</v>
      </c>
      <c r="D2503">
        <v>53</v>
      </c>
      <c r="E2503" s="4" t="s">
        <v>12</v>
      </c>
      <c r="F2503" t="s">
        <v>295</v>
      </c>
      <c r="G2503" s="1">
        <v>44949</v>
      </c>
      <c r="H2503" s="1">
        <f>TablaDatos[[#This Row],[FechaIngreso]]+TablaDatos[[#This Row],[DiasNuevo]]</f>
        <v>44952</v>
      </c>
      <c r="I2503">
        <v>3</v>
      </c>
      <c r="J2503" t="s">
        <v>23</v>
      </c>
      <c r="K2503" s="3">
        <v>6032.17</v>
      </c>
      <c r="L2503" t="b">
        <f>TablaDatos[[#This Row],[FechaAlta]] &lt; TablaDatos[[#This Row],[FechaIngreso]]</f>
        <v>0</v>
      </c>
      <c r="M2503">
        <f>_xlfn.XLOOKUP(TablaDatos[[#This Row],[PacienteID]],'Datos_Ejemplo.csv'!A:A,'Datos_Ejemplo.csv'!I:I)</f>
        <v>3</v>
      </c>
      <c r="N2503">
        <f>ABS(TablaDatos[[#This Row],[DiasOriginal]])</f>
        <v>3</v>
      </c>
      <c r="O2503" s="1">
        <f>TablaDatos[[#This Row],[FechaIngreso]]+TablaDatos[[#This Row],[DiasNuevo]]</f>
        <v>44952</v>
      </c>
    </row>
    <row r="2504" spans="1:15">
      <c r="A2504">
        <v>2503</v>
      </c>
      <c r="B2504" t="s">
        <v>136</v>
      </c>
      <c r="C2504" s="1">
        <v>34334</v>
      </c>
      <c r="D2504">
        <v>32</v>
      </c>
      <c r="E2504" s="4" t="s">
        <v>12</v>
      </c>
      <c r="F2504" t="s">
        <v>261</v>
      </c>
      <c r="G2504" s="1">
        <v>45088</v>
      </c>
      <c r="H2504" s="1">
        <f>TablaDatos[[#This Row],[FechaIngreso]]+TablaDatos[[#This Row],[DiasNuevo]]</f>
        <v>45112</v>
      </c>
      <c r="I2504">
        <v>24</v>
      </c>
      <c r="J2504" t="s">
        <v>23</v>
      </c>
      <c r="K2504" s="3">
        <v>5316.14</v>
      </c>
      <c r="L2504" t="b">
        <f>TablaDatos[[#This Row],[FechaAlta]] &lt; TablaDatos[[#This Row],[FechaIngreso]]</f>
        <v>0</v>
      </c>
      <c r="M2504">
        <f>_xlfn.XLOOKUP(TablaDatos[[#This Row],[PacienteID]],'Datos_Ejemplo.csv'!A:A,'Datos_Ejemplo.csv'!I:I)</f>
        <v>24</v>
      </c>
      <c r="N2504">
        <f>ABS(TablaDatos[[#This Row],[DiasOriginal]])</f>
        <v>24</v>
      </c>
      <c r="O2504" s="1">
        <f>TablaDatos[[#This Row],[FechaIngreso]]+TablaDatos[[#This Row],[DiasNuevo]]</f>
        <v>45112</v>
      </c>
    </row>
    <row r="2505" spans="1:15">
      <c r="A2505">
        <v>2504</v>
      </c>
      <c r="B2505" t="s">
        <v>361</v>
      </c>
      <c r="C2505" s="1">
        <v>33239</v>
      </c>
      <c r="D2505">
        <f ca="1">DATEDIF(TablaDatos[[#This Row],[FechaNacimiento]],TODAY(),"Y")</f>
        <v>35</v>
      </c>
      <c r="E2505" s="4" t="s">
        <v>12</v>
      </c>
      <c r="F2505" t="s">
        <v>13</v>
      </c>
      <c r="G2505" s="1">
        <v>45555</v>
      </c>
      <c r="H2505" s="1">
        <f>TablaDatos[[#This Row],[FechaIngreso]]+TablaDatos[[#This Row],[DiasNuevo]]</f>
        <v>45560</v>
      </c>
      <c r="I2505">
        <v>5</v>
      </c>
      <c r="J2505" t="s">
        <v>23</v>
      </c>
      <c r="K2505" s="3">
        <v>2271.92</v>
      </c>
      <c r="L2505" t="b">
        <f>TablaDatos[[#This Row],[FechaAlta]] &lt; TablaDatos[[#This Row],[FechaIngreso]]</f>
        <v>0</v>
      </c>
      <c r="M2505">
        <f>_xlfn.XLOOKUP(TablaDatos[[#This Row],[PacienteID]],'Datos_Ejemplo.csv'!A:A,'Datos_Ejemplo.csv'!I:I)</f>
        <v>5</v>
      </c>
      <c r="N2505">
        <f>ABS(TablaDatos[[#This Row],[DiasOriginal]])</f>
        <v>5</v>
      </c>
      <c r="O2505" s="1">
        <f>TablaDatos[[#This Row],[FechaIngreso]]+TablaDatos[[#This Row],[DiasNuevo]]</f>
        <v>45560</v>
      </c>
    </row>
    <row r="2506" spans="1:15">
      <c r="A2506">
        <v>2505</v>
      </c>
      <c r="B2506" t="s">
        <v>250</v>
      </c>
      <c r="C2506" s="1">
        <v>11689</v>
      </c>
      <c r="D2506">
        <v>94</v>
      </c>
      <c r="E2506" s="4" t="s">
        <v>12</v>
      </c>
      <c r="F2506" t="s">
        <v>21</v>
      </c>
      <c r="G2506" s="1">
        <v>45432</v>
      </c>
      <c r="H2506" s="1">
        <f>TablaDatos[[#This Row],[FechaIngreso]]+TablaDatos[[#This Row],[DiasNuevo]]</f>
        <v>45462</v>
      </c>
      <c r="I2506">
        <v>30</v>
      </c>
      <c r="J2506" t="s">
        <v>23</v>
      </c>
      <c r="K2506" s="3">
        <v>11902.56</v>
      </c>
      <c r="L2506" t="b">
        <f>TablaDatos[[#This Row],[FechaAlta]] &lt; TablaDatos[[#This Row],[FechaIngreso]]</f>
        <v>0</v>
      </c>
      <c r="M2506">
        <f>_xlfn.XLOOKUP(TablaDatos[[#This Row],[PacienteID]],'Datos_Ejemplo.csv'!A:A,'Datos_Ejemplo.csv'!I:I)</f>
        <v>30</v>
      </c>
      <c r="N2506">
        <f>ABS(TablaDatos[[#This Row],[DiasOriginal]])</f>
        <v>30</v>
      </c>
      <c r="O2506" s="1">
        <f>TablaDatos[[#This Row],[FechaIngreso]]+TablaDatos[[#This Row],[DiasNuevo]]</f>
        <v>45462</v>
      </c>
    </row>
    <row r="2507" spans="1:15">
      <c r="A2507">
        <v>2506</v>
      </c>
      <c r="B2507" t="s">
        <v>152</v>
      </c>
      <c r="C2507" s="1">
        <v>41274</v>
      </c>
      <c r="D2507">
        <v>13</v>
      </c>
      <c r="E2507" s="4" t="s">
        <v>12</v>
      </c>
      <c r="F2507" t="s">
        <v>201</v>
      </c>
      <c r="G2507" s="1">
        <v>44947</v>
      </c>
      <c r="H2507" s="1">
        <f>TablaDatos[[#This Row],[FechaIngreso]]+TablaDatos[[#This Row],[DiasNuevo]]</f>
        <v>44979</v>
      </c>
      <c r="I2507">
        <v>32</v>
      </c>
      <c r="J2507" t="s">
        <v>23</v>
      </c>
      <c r="K2507" s="3">
        <v>1693.46</v>
      </c>
      <c r="L2507" t="b">
        <f>TablaDatos[[#This Row],[FechaAlta]] &lt; TablaDatos[[#This Row],[FechaIngreso]]</f>
        <v>0</v>
      </c>
      <c r="M2507">
        <f>_xlfn.XLOOKUP(TablaDatos[[#This Row],[PacienteID]],'Datos_Ejemplo.csv'!A:A,'Datos_Ejemplo.csv'!I:I)</f>
        <v>32</v>
      </c>
      <c r="N2507">
        <f>ABS(TablaDatos[[#This Row],[DiasOriginal]])</f>
        <v>32</v>
      </c>
      <c r="O2507" s="1">
        <f>TablaDatos[[#This Row],[FechaIngreso]]+TablaDatos[[#This Row],[DiasNuevo]]</f>
        <v>44979</v>
      </c>
    </row>
    <row r="2508" spans="1:15">
      <c r="A2508">
        <v>2507</v>
      </c>
      <c r="B2508" t="s">
        <v>292</v>
      </c>
      <c r="C2508" s="1">
        <v>22646</v>
      </c>
      <c r="D2508">
        <v>64</v>
      </c>
      <c r="E2508" s="4" t="s">
        <v>15</v>
      </c>
      <c r="F2508" t="s">
        <v>201</v>
      </c>
      <c r="G2508" s="1">
        <v>45390</v>
      </c>
      <c r="H2508" s="1">
        <f>TablaDatos[[#This Row],[FechaIngreso]]+TablaDatos[[#This Row],[DiasNuevo]]</f>
        <v>45404</v>
      </c>
      <c r="I2508">
        <v>14</v>
      </c>
      <c r="J2508" t="s">
        <v>23</v>
      </c>
      <c r="K2508" s="3">
        <v>15296.76</v>
      </c>
      <c r="L2508" t="b">
        <f>TablaDatos[[#This Row],[FechaAlta]] &lt; TablaDatos[[#This Row],[FechaIngreso]]</f>
        <v>0</v>
      </c>
      <c r="M2508">
        <f>_xlfn.XLOOKUP(TablaDatos[[#This Row],[PacienteID]],'Datos_Ejemplo.csv'!A:A,'Datos_Ejemplo.csv'!I:I)</f>
        <v>14</v>
      </c>
      <c r="N2508">
        <f>ABS(TablaDatos[[#This Row],[DiasOriginal]])</f>
        <v>14</v>
      </c>
      <c r="O2508" s="1">
        <f>TablaDatos[[#This Row],[FechaIngreso]]+TablaDatos[[#This Row],[DiasNuevo]]</f>
        <v>45404</v>
      </c>
    </row>
    <row r="2509" spans="1:15">
      <c r="A2509">
        <v>2508</v>
      </c>
      <c r="B2509" t="s">
        <v>298</v>
      </c>
      <c r="C2509" s="1">
        <v>17168</v>
      </c>
      <c r="D2509">
        <v>79</v>
      </c>
      <c r="E2509" s="4" t="s">
        <v>15</v>
      </c>
      <c r="F2509" t="s">
        <v>18</v>
      </c>
      <c r="G2509" s="1">
        <v>45409</v>
      </c>
      <c r="H2509" s="1">
        <f>TablaDatos[[#This Row],[FechaIngreso]]+TablaDatos[[#This Row],[DiasNuevo]]</f>
        <v>45432</v>
      </c>
      <c r="I2509">
        <v>23</v>
      </c>
      <c r="J2509" t="s">
        <v>19</v>
      </c>
      <c r="K2509" s="3">
        <v>18376.39</v>
      </c>
      <c r="L2509" t="b">
        <f>TablaDatos[[#This Row],[FechaAlta]] &lt; TablaDatos[[#This Row],[FechaIngreso]]</f>
        <v>0</v>
      </c>
      <c r="M2509">
        <f>_xlfn.XLOOKUP(TablaDatos[[#This Row],[PacienteID]],'Datos_Ejemplo.csv'!A:A,'Datos_Ejemplo.csv'!I:I)</f>
        <v>23</v>
      </c>
      <c r="N2509">
        <f>ABS(TablaDatos[[#This Row],[DiasOriginal]])</f>
        <v>23</v>
      </c>
      <c r="O2509" s="1">
        <f>TablaDatos[[#This Row],[FechaIngreso]]+TablaDatos[[#This Row],[DiasNuevo]]</f>
        <v>45432</v>
      </c>
    </row>
    <row r="2510" spans="1:15">
      <c r="A2510">
        <v>2509</v>
      </c>
      <c r="B2510" t="s">
        <v>236</v>
      </c>
      <c r="C2510" s="1">
        <v>26664</v>
      </c>
      <c r="D2510">
        <v>53</v>
      </c>
      <c r="E2510" s="4" t="s">
        <v>15</v>
      </c>
      <c r="F2510" t="s">
        <v>201</v>
      </c>
      <c r="G2510" s="1">
        <v>45428</v>
      </c>
      <c r="H2510" s="1">
        <f>TablaDatos[[#This Row],[FechaIngreso]]+TablaDatos[[#This Row],[DiasNuevo]]</f>
        <v>45432</v>
      </c>
      <c r="I2510">
        <v>4</v>
      </c>
      <c r="J2510" t="s">
        <v>23</v>
      </c>
      <c r="K2510" s="3">
        <v>18630.61</v>
      </c>
      <c r="L2510" t="b">
        <f>TablaDatos[[#This Row],[FechaAlta]] &lt; TablaDatos[[#This Row],[FechaIngreso]]</f>
        <v>0</v>
      </c>
      <c r="M2510">
        <f>_xlfn.XLOOKUP(TablaDatos[[#This Row],[PacienteID]],'Datos_Ejemplo.csv'!A:A,'Datos_Ejemplo.csv'!I:I)</f>
        <v>4</v>
      </c>
      <c r="N2510">
        <f>ABS(TablaDatos[[#This Row],[DiasOriginal]])</f>
        <v>4</v>
      </c>
      <c r="O2510" s="1">
        <f>TablaDatos[[#This Row],[FechaIngreso]]+TablaDatos[[#This Row],[DiasNuevo]]</f>
        <v>45432</v>
      </c>
    </row>
    <row r="2511" spans="1:15">
      <c r="A2511">
        <v>2510</v>
      </c>
      <c r="B2511" t="s">
        <v>367</v>
      </c>
      <c r="C2511" s="1">
        <v>27395</v>
      </c>
      <c r="D2511">
        <v>51</v>
      </c>
      <c r="E2511" s="4" t="s">
        <v>15</v>
      </c>
      <c r="F2511" t="s">
        <v>261</v>
      </c>
      <c r="G2511" s="1">
        <v>45235</v>
      </c>
      <c r="H2511" s="1">
        <f>TablaDatos[[#This Row],[FechaIngreso]]+TablaDatos[[#This Row],[DiasNuevo]]</f>
        <v>45256</v>
      </c>
      <c r="I2511">
        <v>21</v>
      </c>
      <c r="J2511" t="s">
        <v>19</v>
      </c>
      <c r="K2511" s="3">
        <v>2069.12</v>
      </c>
      <c r="L2511" t="b">
        <f>TablaDatos[[#This Row],[FechaAlta]] &lt; TablaDatos[[#This Row],[FechaIngreso]]</f>
        <v>0</v>
      </c>
      <c r="M2511">
        <f>_xlfn.XLOOKUP(TablaDatos[[#This Row],[PacienteID]],'Datos_Ejemplo.csv'!A:A,'Datos_Ejemplo.csv'!I:I)</f>
        <v>21</v>
      </c>
      <c r="N2511">
        <f>ABS(TablaDatos[[#This Row],[DiasOriginal]])</f>
        <v>21</v>
      </c>
      <c r="O2511" s="1">
        <f>TablaDatos[[#This Row],[FechaIngreso]]+TablaDatos[[#This Row],[DiasNuevo]]</f>
        <v>45256</v>
      </c>
    </row>
    <row r="2512" spans="1:15">
      <c r="A2512">
        <v>2511</v>
      </c>
      <c r="B2512" t="s">
        <v>350</v>
      </c>
      <c r="C2512" s="1">
        <v>45292</v>
      </c>
      <c r="D2512">
        <v>2</v>
      </c>
      <c r="E2512" s="4" t="s">
        <v>12</v>
      </c>
      <c r="F2512" t="s">
        <v>201</v>
      </c>
      <c r="G2512" s="1">
        <v>45522</v>
      </c>
      <c r="H2512" s="1">
        <f>TablaDatos[[#This Row],[FechaIngreso]]+TablaDatos[[#This Row],[DiasNuevo]]</f>
        <v>45544</v>
      </c>
      <c r="I2512">
        <v>22</v>
      </c>
      <c r="J2512" t="s">
        <v>23</v>
      </c>
      <c r="K2512" s="3">
        <v>11121.08</v>
      </c>
      <c r="L2512" t="b">
        <f>TablaDatos[[#This Row],[FechaAlta]] &lt; TablaDatos[[#This Row],[FechaIngreso]]</f>
        <v>0</v>
      </c>
      <c r="M2512">
        <f>_xlfn.XLOOKUP(TablaDatos[[#This Row],[PacienteID]],'Datos_Ejemplo.csv'!A:A,'Datos_Ejemplo.csv'!I:I)</f>
        <v>22</v>
      </c>
      <c r="N2512">
        <f>ABS(TablaDatos[[#This Row],[DiasOriginal]])</f>
        <v>22</v>
      </c>
      <c r="O2512" s="1">
        <f>TablaDatos[[#This Row],[FechaIngreso]]+TablaDatos[[#This Row],[DiasNuevo]]</f>
        <v>45544</v>
      </c>
    </row>
    <row r="2513" spans="1:15">
      <c r="A2513">
        <v>2512</v>
      </c>
      <c r="B2513" t="s">
        <v>361</v>
      </c>
      <c r="C2513" s="1">
        <v>31412</v>
      </c>
      <c r="D2513">
        <v>40</v>
      </c>
      <c r="E2513" s="4" t="s">
        <v>15</v>
      </c>
      <c r="F2513" t="s">
        <v>201</v>
      </c>
      <c r="G2513" s="1">
        <v>45479</v>
      </c>
      <c r="H2513" s="1">
        <f>TablaDatos[[#This Row],[FechaIngreso]]+TablaDatos[[#This Row],[DiasNuevo]]</f>
        <v>45511</v>
      </c>
      <c r="I2513">
        <v>32</v>
      </c>
      <c r="J2513" t="s">
        <v>19</v>
      </c>
      <c r="K2513" s="3">
        <v>1851.91</v>
      </c>
      <c r="L2513" t="b">
        <f>TablaDatos[[#This Row],[FechaAlta]] &lt; TablaDatos[[#This Row],[FechaIngreso]]</f>
        <v>0</v>
      </c>
      <c r="M2513">
        <f>_xlfn.XLOOKUP(TablaDatos[[#This Row],[PacienteID]],'Datos_Ejemplo.csv'!A:A,'Datos_Ejemplo.csv'!I:I)</f>
        <v>32</v>
      </c>
      <c r="N2513">
        <f>ABS(TablaDatos[[#This Row],[DiasOriginal]])</f>
        <v>32</v>
      </c>
      <c r="O2513" s="1">
        <f>TablaDatos[[#This Row],[FechaIngreso]]+TablaDatos[[#This Row],[DiasNuevo]]</f>
        <v>45511</v>
      </c>
    </row>
    <row r="2514" spans="1:15">
      <c r="A2514">
        <v>2513</v>
      </c>
      <c r="B2514" t="s">
        <v>39</v>
      </c>
      <c r="C2514" s="1">
        <v>44196</v>
      </c>
      <c r="D2514">
        <v>5</v>
      </c>
      <c r="E2514" s="4" t="s">
        <v>12</v>
      </c>
      <c r="F2514" t="s">
        <v>261</v>
      </c>
      <c r="G2514" s="1">
        <v>45129</v>
      </c>
      <c r="H2514" s="1">
        <f>TablaDatos[[#This Row],[FechaIngreso]]+TablaDatos[[#This Row],[DiasNuevo]]</f>
        <v>45152</v>
      </c>
      <c r="I2514">
        <v>23</v>
      </c>
      <c r="J2514" t="s">
        <v>19</v>
      </c>
      <c r="K2514" s="3">
        <v>11397.52</v>
      </c>
      <c r="L2514" t="b">
        <f>TablaDatos[[#This Row],[FechaAlta]] &lt; TablaDatos[[#This Row],[FechaIngreso]]</f>
        <v>0</v>
      </c>
      <c r="M2514">
        <f>_xlfn.XLOOKUP(TablaDatos[[#This Row],[PacienteID]],'Datos_Ejemplo.csv'!A:A,'Datos_Ejemplo.csv'!I:I)</f>
        <v>23</v>
      </c>
      <c r="N2514">
        <f>ABS(TablaDatos[[#This Row],[DiasOriginal]])</f>
        <v>23</v>
      </c>
      <c r="O2514" s="1">
        <f>TablaDatos[[#This Row],[FechaIngreso]]+TablaDatos[[#This Row],[DiasNuevo]]</f>
        <v>45152</v>
      </c>
    </row>
    <row r="2515" spans="1:15">
      <c r="A2515">
        <v>2514</v>
      </c>
      <c r="B2515" t="s">
        <v>275</v>
      </c>
      <c r="C2515" s="1">
        <v>37256</v>
      </c>
      <c r="D2515">
        <v>24</v>
      </c>
      <c r="E2515" s="4" t="s">
        <v>12</v>
      </c>
      <c r="F2515" t="s">
        <v>261</v>
      </c>
      <c r="G2515" s="1">
        <v>45342</v>
      </c>
      <c r="H2515" s="1">
        <f>TablaDatos[[#This Row],[FechaIngreso]]+TablaDatos[[#This Row],[DiasNuevo]]</f>
        <v>45344</v>
      </c>
      <c r="I2515">
        <v>2</v>
      </c>
      <c r="J2515" t="s">
        <v>23</v>
      </c>
      <c r="K2515" s="3">
        <v>16281.11</v>
      </c>
      <c r="L2515" t="b">
        <f>TablaDatos[[#This Row],[FechaAlta]] &lt; TablaDatos[[#This Row],[FechaIngreso]]</f>
        <v>0</v>
      </c>
      <c r="M2515">
        <f>_xlfn.XLOOKUP(TablaDatos[[#This Row],[PacienteID]],'Datos_Ejemplo.csv'!A:A,'Datos_Ejemplo.csv'!I:I)</f>
        <v>2</v>
      </c>
      <c r="N2515">
        <f>ABS(TablaDatos[[#This Row],[DiasOriginal]])</f>
        <v>2</v>
      </c>
      <c r="O2515" s="1">
        <f>TablaDatos[[#This Row],[FechaIngreso]]+TablaDatos[[#This Row],[DiasNuevo]]</f>
        <v>45344</v>
      </c>
    </row>
    <row r="2516" spans="1:15">
      <c r="A2516">
        <v>2515</v>
      </c>
      <c r="B2516" t="s">
        <v>340</v>
      </c>
      <c r="C2516" s="1">
        <v>41639</v>
      </c>
      <c r="D2516">
        <v>12</v>
      </c>
      <c r="E2516" s="4" t="s">
        <v>15</v>
      </c>
      <c r="F2516" t="s">
        <v>295</v>
      </c>
      <c r="G2516" s="1">
        <v>45566</v>
      </c>
      <c r="H2516" s="1">
        <f>TablaDatos[[#This Row],[FechaIngreso]]+TablaDatos[[#This Row],[DiasNuevo]]</f>
        <v>45601</v>
      </c>
      <c r="I2516">
        <v>35</v>
      </c>
      <c r="J2516" t="s">
        <v>19</v>
      </c>
      <c r="K2516" s="3">
        <v>10709.58</v>
      </c>
      <c r="L2516" t="b">
        <f>TablaDatos[[#This Row],[FechaAlta]] &lt; TablaDatos[[#This Row],[FechaIngreso]]</f>
        <v>0</v>
      </c>
      <c r="M2516">
        <f>_xlfn.XLOOKUP(TablaDatos[[#This Row],[PacienteID]],'Datos_Ejemplo.csv'!A:A,'Datos_Ejemplo.csv'!I:I)</f>
        <v>35</v>
      </c>
      <c r="N2516">
        <f>ABS(TablaDatos[[#This Row],[DiasOriginal]])</f>
        <v>35</v>
      </c>
      <c r="O2516" s="1">
        <f>TablaDatos[[#This Row],[FechaIngreso]]+TablaDatos[[#This Row],[DiasNuevo]]</f>
        <v>45601</v>
      </c>
    </row>
    <row r="2517" spans="1:15">
      <c r="A2517">
        <v>2516</v>
      </c>
      <c r="B2517" t="s">
        <v>345</v>
      </c>
      <c r="C2517" s="1">
        <v>43466</v>
      </c>
      <c r="D2517">
        <v>7</v>
      </c>
      <c r="E2517" s="4" t="s">
        <v>15</v>
      </c>
      <c r="F2517" t="s">
        <v>21</v>
      </c>
      <c r="G2517" s="1">
        <v>45068</v>
      </c>
      <c r="H2517" s="1">
        <f>TablaDatos[[#This Row],[FechaIngreso]]+TablaDatos[[#This Row],[DiasNuevo]]</f>
        <v>45100</v>
      </c>
      <c r="I2517">
        <v>32</v>
      </c>
      <c r="J2517" t="s">
        <v>25</v>
      </c>
      <c r="K2517" s="3">
        <v>17428.28</v>
      </c>
      <c r="L2517" t="b">
        <f>TablaDatos[[#This Row],[FechaAlta]] &lt; TablaDatos[[#This Row],[FechaIngreso]]</f>
        <v>0</v>
      </c>
      <c r="M2517">
        <f>_xlfn.XLOOKUP(TablaDatos[[#This Row],[PacienteID]],'Datos_Ejemplo.csv'!A:A,'Datos_Ejemplo.csv'!I:I)</f>
        <v>32</v>
      </c>
      <c r="N2517">
        <f>ABS(TablaDatos[[#This Row],[DiasOriginal]])</f>
        <v>32</v>
      </c>
      <c r="O2517" s="1">
        <f>TablaDatos[[#This Row],[FechaIngreso]]+TablaDatos[[#This Row],[DiasNuevo]]</f>
        <v>45100</v>
      </c>
    </row>
    <row r="2518" spans="1:15">
      <c r="A2518">
        <v>2517</v>
      </c>
      <c r="B2518" t="s">
        <v>252</v>
      </c>
      <c r="C2518" s="1">
        <v>38717</v>
      </c>
      <c r="D2518">
        <f ca="1">DATEDIF(TablaDatos[[#This Row],[FechaNacimiento]],TODAY(),"Y")</f>
        <v>20</v>
      </c>
      <c r="E2518" s="4" t="s">
        <v>15</v>
      </c>
      <c r="F2518" t="s">
        <v>32</v>
      </c>
      <c r="G2518" s="1">
        <v>45541</v>
      </c>
      <c r="H2518" s="1">
        <f>TablaDatos[[#This Row],[FechaIngreso]]+TablaDatos[[#This Row],[DiasNuevo]]</f>
        <v>45568</v>
      </c>
      <c r="I2518">
        <v>27</v>
      </c>
      <c r="J2518" t="s">
        <v>19</v>
      </c>
      <c r="K2518" s="3">
        <v>16013.65</v>
      </c>
      <c r="L2518" t="b">
        <f>TablaDatos[[#This Row],[FechaAlta]] &lt; TablaDatos[[#This Row],[FechaIngreso]]</f>
        <v>0</v>
      </c>
      <c r="M2518">
        <f>_xlfn.XLOOKUP(TablaDatos[[#This Row],[PacienteID]],'Datos_Ejemplo.csv'!A:A,'Datos_Ejemplo.csv'!I:I)</f>
        <v>27</v>
      </c>
      <c r="N2518">
        <f>ABS(TablaDatos[[#This Row],[DiasOriginal]])</f>
        <v>27</v>
      </c>
      <c r="O2518" s="1">
        <f>TablaDatos[[#This Row],[FechaIngreso]]+TablaDatos[[#This Row],[DiasNuevo]]</f>
        <v>45568</v>
      </c>
    </row>
    <row r="2519" spans="1:15">
      <c r="A2519">
        <v>2518</v>
      </c>
      <c r="B2519" t="s">
        <v>267</v>
      </c>
      <c r="C2519" s="1">
        <v>21551</v>
      </c>
      <c r="D2519">
        <v>67</v>
      </c>
      <c r="E2519" s="4" t="s">
        <v>15</v>
      </c>
      <c r="F2519" t="s">
        <v>201</v>
      </c>
      <c r="G2519" s="1">
        <v>45033</v>
      </c>
      <c r="H2519" s="1">
        <f>TablaDatos[[#This Row],[FechaIngreso]]+TablaDatos[[#This Row],[DiasNuevo]]</f>
        <v>45055</v>
      </c>
      <c r="I2519">
        <v>22</v>
      </c>
      <c r="J2519" t="s">
        <v>23</v>
      </c>
      <c r="K2519" s="3">
        <v>5458.62</v>
      </c>
      <c r="L2519" t="b">
        <f>TablaDatos[[#This Row],[FechaAlta]] &lt; TablaDatos[[#This Row],[FechaIngreso]]</f>
        <v>0</v>
      </c>
      <c r="M2519">
        <f>_xlfn.XLOOKUP(TablaDatos[[#This Row],[PacienteID]],'Datos_Ejemplo.csv'!A:A,'Datos_Ejemplo.csv'!I:I)</f>
        <v>22</v>
      </c>
      <c r="N2519">
        <f>ABS(TablaDatos[[#This Row],[DiasOriginal]])</f>
        <v>22</v>
      </c>
      <c r="O2519" s="1">
        <f>TablaDatos[[#This Row],[FechaIngreso]]+TablaDatos[[#This Row],[DiasNuevo]]</f>
        <v>45055</v>
      </c>
    </row>
    <row r="2520" spans="1:15">
      <c r="A2520">
        <v>2519</v>
      </c>
      <c r="B2520" t="s">
        <v>271</v>
      </c>
      <c r="C2520" s="1">
        <v>37256</v>
      </c>
      <c r="D2520">
        <v>24</v>
      </c>
      <c r="E2520" s="4" t="s">
        <v>12</v>
      </c>
      <c r="F2520" t="s">
        <v>32</v>
      </c>
      <c r="G2520" s="1">
        <v>45455</v>
      </c>
      <c r="H2520" s="1">
        <f>TablaDatos[[#This Row],[FechaIngreso]]+TablaDatos[[#This Row],[DiasNuevo]]</f>
        <v>45476</v>
      </c>
      <c r="I2520">
        <v>21</v>
      </c>
      <c r="J2520" t="s">
        <v>19</v>
      </c>
      <c r="K2520" s="3">
        <v>12565.06</v>
      </c>
      <c r="L2520" t="b">
        <f>TablaDatos[[#This Row],[FechaAlta]] &lt; TablaDatos[[#This Row],[FechaIngreso]]</f>
        <v>0</v>
      </c>
      <c r="M2520">
        <f>_xlfn.XLOOKUP(TablaDatos[[#This Row],[PacienteID]],'Datos_Ejemplo.csv'!A:A,'Datos_Ejemplo.csv'!I:I)</f>
        <v>21</v>
      </c>
      <c r="N2520">
        <f>ABS(TablaDatos[[#This Row],[DiasOriginal]])</f>
        <v>21</v>
      </c>
      <c r="O2520" s="1">
        <f>TablaDatos[[#This Row],[FechaIngreso]]+TablaDatos[[#This Row],[DiasNuevo]]</f>
        <v>45476</v>
      </c>
    </row>
    <row r="2521" spans="1:15">
      <c r="A2521">
        <v>2520</v>
      </c>
      <c r="B2521" t="s">
        <v>335</v>
      </c>
      <c r="C2521" s="1">
        <v>17533</v>
      </c>
      <c r="D2521">
        <v>78</v>
      </c>
      <c r="E2521" s="4" t="s">
        <v>15</v>
      </c>
      <c r="F2521" t="s">
        <v>32</v>
      </c>
      <c r="G2521" s="1">
        <v>45463</v>
      </c>
      <c r="H2521" s="1">
        <f>TablaDatos[[#This Row],[FechaIngreso]]+TablaDatos[[#This Row],[DiasNuevo]]</f>
        <v>45490</v>
      </c>
      <c r="I2521">
        <v>27</v>
      </c>
      <c r="J2521" t="s">
        <v>25</v>
      </c>
      <c r="K2521" s="3">
        <v>48.98</v>
      </c>
      <c r="L2521" t="b">
        <f>TablaDatos[[#This Row],[FechaAlta]] &lt; TablaDatos[[#This Row],[FechaIngreso]]</f>
        <v>0</v>
      </c>
      <c r="M2521">
        <f>_xlfn.XLOOKUP(TablaDatos[[#This Row],[PacienteID]],'Datos_Ejemplo.csv'!A:A,'Datos_Ejemplo.csv'!I:I)</f>
        <v>27</v>
      </c>
      <c r="N2521">
        <f>ABS(TablaDatos[[#This Row],[DiasOriginal]])</f>
        <v>27</v>
      </c>
      <c r="O2521" s="1">
        <f>TablaDatos[[#This Row],[FechaIngreso]]+TablaDatos[[#This Row],[DiasNuevo]]</f>
        <v>45490</v>
      </c>
    </row>
    <row r="2522" spans="1:15">
      <c r="A2522">
        <v>2521</v>
      </c>
      <c r="B2522" t="s">
        <v>257</v>
      </c>
      <c r="C2522" s="1">
        <v>21551</v>
      </c>
      <c r="D2522">
        <v>67</v>
      </c>
      <c r="E2522" s="4" t="s">
        <v>12</v>
      </c>
      <c r="F2522" t="s">
        <v>18</v>
      </c>
      <c r="G2522" s="1">
        <v>45502</v>
      </c>
      <c r="H2522" s="1">
        <f>TablaDatos[[#This Row],[FechaIngreso]]+TablaDatos[[#This Row],[DiasNuevo]]</f>
        <v>45519</v>
      </c>
      <c r="I2522">
        <v>17</v>
      </c>
      <c r="J2522" t="s">
        <v>23</v>
      </c>
      <c r="K2522" s="3">
        <v>7860.44</v>
      </c>
      <c r="L2522" t="b">
        <f>TablaDatos[[#This Row],[FechaAlta]] &lt; TablaDatos[[#This Row],[FechaIngreso]]</f>
        <v>0</v>
      </c>
      <c r="M2522">
        <f>_xlfn.XLOOKUP(TablaDatos[[#This Row],[PacienteID]],'Datos_Ejemplo.csv'!A:A,'Datos_Ejemplo.csv'!I:I)</f>
        <v>17</v>
      </c>
      <c r="N2522">
        <f>ABS(TablaDatos[[#This Row],[DiasOriginal]])</f>
        <v>17</v>
      </c>
      <c r="O2522" s="1">
        <f>TablaDatos[[#This Row],[FechaIngreso]]+TablaDatos[[#This Row],[DiasNuevo]]</f>
        <v>45519</v>
      </c>
    </row>
    <row r="2523" spans="1:15">
      <c r="A2523">
        <v>2522</v>
      </c>
      <c r="B2523" t="s">
        <v>326</v>
      </c>
      <c r="C2523" s="1">
        <v>29951</v>
      </c>
      <c r="D2523">
        <v>44</v>
      </c>
      <c r="E2523" s="4" t="s">
        <v>12</v>
      </c>
      <c r="F2523" t="s">
        <v>13</v>
      </c>
      <c r="G2523" s="1">
        <v>45614</v>
      </c>
      <c r="H2523" s="1">
        <f>TablaDatos[[#This Row],[FechaIngreso]]+TablaDatos[[#This Row],[DiasNuevo]]</f>
        <v>45614</v>
      </c>
      <c r="I2523">
        <v>0</v>
      </c>
      <c r="J2523" t="s">
        <v>19</v>
      </c>
      <c r="K2523" s="3">
        <v>4683</v>
      </c>
      <c r="L2523" t="b">
        <f>TablaDatos[[#This Row],[FechaAlta]] &lt; TablaDatos[[#This Row],[FechaIngreso]]</f>
        <v>0</v>
      </c>
      <c r="M2523">
        <f>_xlfn.XLOOKUP(TablaDatos[[#This Row],[PacienteID]],'Datos_Ejemplo.csv'!A:A,'Datos_Ejemplo.csv'!I:I)</f>
        <v>0</v>
      </c>
      <c r="N2523">
        <f>ABS(TablaDatos[[#This Row],[DiasOriginal]])</f>
        <v>0</v>
      </c>
      <c r="O2523" s="1">
        <f>TablaDatos[[#This Row],[FechaIngreso]]+TablaDatos[[#This Row],[DiasNuevo]]</f>
        <v>45614</v>
      </c>
    </row>
    <row r="2524" spans="1:15">
      <c r="A2524">
        <v>2523</v>
      </c>
      <c r="B2524" t="s">
        <v>248</v>
      </c>
      <c r="C2524" s="1">
        <v>24473</v>
      </c>
      <c r="D2524">
        <f ca="1">DATEDIF(TablaDatos[[#This Row],[FechaNacimiento]],TODAY(),"Y")</f>
        <v>59</v>
      </c>
      <c r="E2524" s="4" t="s">
        <v>12</v>
      </c>
      <c r="F2524" t="s">
        <v>201</v>
      </c>
      <c r="G2524" s="1">
        <v>45217</v>
      </c>
      <c r="H2524" s="1">
        <f>TablaDatos[[#This Row],[FechaIngreso]]+TablaDatos[[#This Row],[DiasNuevo]]</f>
        <v>45246</v>
      </c>
      <c r="I2524">
        <v>29</v>
      </c>
      <c r="J2524" t="s">
        <v>25</v>
      </c>
      <c r="K2524" s="3">
        <v>18736.04</v>
      </c>
      <c r="L2524" t="b">
        <f>TablaDatos[[#This Row],[FechaAlta]] &lt; TablaDatos[[#This Row],[FechaIngreso]]</f>
        <v>0</v>
      </c>
      <c r="M2524">
        <f>_xlfn.XLOOKUP(TablaDatos[[#This Row],[PacienteID]],'Datos_Ejemplo.csv'!A:A,'Datos_Ejemplo.csv'!I:I)</f>
        <v>29</v>
      </c>
      <c r="N2524">
        <f>ABS(TablaDatos[[#This Row],[DiasOriginal]])</f>
        <v>29</v>
      </c>
      <c r="O2524" s="1">
        <f>TablaDatos[[#This Row],[FechaIngreso]]+TablaDatos[[#This Row],[DiasNuevo]]</f>
        <v>45246</v>
      </c>
    </row>
    <row r="2525" spans="1:15">
      <c r="A2525">
        <v>2524</v>
      </c>
      <c r="B2525" t="s">
        <v>257</v>
      </c>
      <c r="C2525" s="1">
        <v>42005</v>
      </c>
      <c r="D2525">
        <v>11</v>
      </c>
      <c r="E2525" s="4" t="s">
        <v>12</v>
      </c>
      <c r="F2525" t="s">
        <v>13</v>
      </c>
      <c r="G2525" s="1">
        <v>45237</v>
      </c>
      <c r="H2525" s="1">
        <f>TablaDatos[[#This Row],[FechaIngreso]]+TablaDatos[[#This Row],[DiasNuevo]]</f>
        <v>45242</v>
      </c>
      <c r="I2525">
        <v>5</v>
      </c>
      <c r="J2525" t="s">
        <v>23</v>
      </c>
      <c r="K2525" s="3">
        <v>8048.32</v>
      </c>
      <c r="L2525" t="b">
        <f>TablaDatos[[#This Row],[FechaAlta]] &lt; TablaDatos[[#This Row],[FechaIngreso]]</f>
        <v>0</v>
      </c>
      <c r="M2525">
        <f>_xlfn.XLOOKUP(TablaDatos[[#This Row],[PacienteID]],'Datos_Ejemplo.csv'!A:A,'Datos_Ejemplo.csv'!I:I)</f>
        <v>5</v>
      </c>
      <c r="N2525">
        <f>ABS(TablaDatos[[#This Row],[DiasOriginal]])</f>
        <v>5</v>
      </c>
      <c r="O2525" s="1">
        <f>TablaDatos[[#This Row],[FechaIngreso]]+TablaDatos[[#This Row],[DiasNuevo]]</f>
        <v>45242</v>
      </c>
    </row>
    <row r="2526" spans="1:15">
      <c r="A2526">
        <v>2525</v>
      </c>
      <c r="B2526" t="s">
        <v>364</v>
      </c>
      <c r="C2526" s="1">
        <v>34700</v>
      </c>
      <c r="D2526">
        <v>31</v>
      </c>
      <c r="E2526" s="4" t="s">
        <v>15</v>
      </c>
      <c r="F2526" t="s">
        <v>13</v>
      </c>
      <c r="G2526" s="1">
        <v>45594</v>
      </c>
      <c r="H2526" s="1">
        <f>TablaDatos[[#This Row],[FechaIngreso]]+TablaDatos[[#This Row],[DiasNuevo]]</f>
        <v>45614</v>
      </c>
      <c r="I2526">
        <v>20</v>
      </c>
      <c r="J2526" t="s">
        <v>23</v>
      </c>
      <c r="K2526" s="3">
        <v>13046.7</v>
      </c>
      <c r="L2526" t="b">
        <f>TablaDatos[[#This Row],[FechaAlta]] &lt; TablaDatos[[#This Row],[FechaIngreso]]</f>
        <v>0</v>
      </c>
      <c r="M2526">
        <f>_xlfn.XLOOKUP(TablaDatos[[#This Row],[PacienteID]],'Datos_Ejemplo.csv'!A:A,'Datos_Ejemplo.csv'!I:I)</f>
        <v>20</v>
      </c>
      <c r="N2526">
        <f>ABS(TablaDatos[[#This Row],[DiasOriginal]])</f>
        <v>20</v>
      </c>
      <c r="O2526" s="1">
        <f>TablaDatos[[#This Row],[FechaIngreso]]+TablaDatos[[#This Row],[DiasNuevo]]</f>
        <v>45614</v>
      </c>
    </row>
    <row r="2527" spans="1:15">
      <c r="A2527">
        <v>2526</v>
      </c>
      <c r="B2527" t="s">
        <v>360</v>
      </c>
      <c r="C2527" s="1">
        <v>12785</v>
      </c>
      <c r="D2527">
        <v>91</v>
      </c>
      <c r="E2527" s="4" t="s">
        <v>15</v>
      </c>
      <c r="F2527" t="s">
        <v>18</v>
      </c>
      <c r="G2527" s="1">
        <v>45311</v>
      </c>
      <c r="H2527" s="1">
        <f>TablaDatos[[#This Row],[FechaIngreso]]+TablaDatos[[#This Row],[DiasNuevo]]</f>
        <v>45324</v>
      </c>
      <c r="I2527">
        <v>13</v>
      </c>
      <c r="J2527" t="s">
        <v>23</v>
      </c>
      <c r="K2527" s="3">
        <v>14612.83</v>
      </c>
      <c r="L2527" t="b">
        <f>TablaDatos[[#This Row],[FechaAlta]] &lt; TablaDatos[[#This Row],[FechaIngreso]]</f>
        <v>0</v>
      </c>
      <c r="M2527">
        <f>_xlfn.XLOOKUP(TablaDatos[[#This Row],[PacienteID]],'Datos_Ejemplo.csv'!A:A,'Datos_Ejemplo.csv'!I:I)</f>
        <v>13</v>
      </c>
      <c r="N2527">
        <f>ABS(TablaDatos[[#This Row],[DiasOriginal]])</f>
        <v>13</v>
      </c>
      <c r="O2527" s="1">
        <f>TablaDatos[[#This Row],[FechaIngreso]]+TablaDatos[[#This Row],[DiasNuevo]]</f>
        <v>45324</v>
      </c>
    </row>
    <row r="2528" spans="1:15">
      <c r="A2528">
        <v>2527</v>
      </c>
      <c r="B2528" t="s">
        <v>67</v>
      </c>
      <c r="C2528" s="1">
        <v>41639</v>
      </c>
      <c r="D2528">
        <v>12</v>
      </c>
      <c r="E2528" s="4" t="s">
        <v>15</v>
      </c>
      <c r="F2528" t="s">
        <v>32</v>
      </c>
      <c r="G2528" s="1">
        <v>44979</v>
      </c>
      <c r="H2528" s="1">
        <f>TablaDatos[[#This Row],[FechaIngreso]]+TablaDatos[[#This Row],[DiasNuevo]]</f>
        <v>45011</v>
      </c>
      <c r="I2528">
        <v>32</v>
      </c>
      <c r="J2528" t="s">
        <v>23</v>
      </c>
      <c r="K2528" s="3">
        <v>15441.57</v>
      </c>
      <c r="L2528" t="b">
        <f>TablaDatos[[#This Row],[FechaAlta]] &lt; TablaDatos[[#This Row],[FechaIngreso]]</f>
        <v>0</v>
      </c>
      <c r="M2528">
        <f>_xlfn.XLOOKUP(TablaDatos[[#This Row],[PacienteID]],'Datos_Ejemplo.csv'!A:A,'Datos_Ejemplo.csv'!I:I)</f>
        <v>32</v>
      </c>
      <c r="N2528">
        <f>ABS(TablaDatos[[#This Row],[DiasOriginal]])</f>
        <v>32</v>
      </c>
      <c r="O2528" s="1">
        <f>TablaDatos[[#This Row],[FechaIngreso]]+TablaDatos[[#This Row],[DiasNuevo]]</f>
        <v>45011</v>
      </c>
    </row>
    <row r="2529" spans="1:15">
      <c r="A2529">
        <v>2528</v>
      </c>
      <c r="B2529" t="s">
        <v>244</v>
      </c>
      <c r="C2529" s="1">
        <f ca="1">DATE(YEAR(TODAY())-TablaDatos[[#This Row],[Edad]],1,1)</f>
        <v>35065</v>
      </c>
      <c r="D2529">
        <v>30</v>
      </c>
      <c r="E2529" s="4" t="s">
        <v>15</v>
      </c>
      <c r="F2529" t="s">
        <v>261</v>
      </c>
      <c r="G2529" s="1">
        <v>45511</v>
      </c>
      <c r="H2529" s="1">
        <f>TablaDatos[[#This Row],[FechaIngreso]]+TablaDatos[[#This Row],[DiasNuevo]]</f>
        <v>45533</v>
      </c>
      <c r="I2529">
        <v>22</v>
      </c>
      <c r="J2529" t="s">
        <v>25</v>
      </c>
      <c r="K2529" s="3">
        <v>14689.08</v>
      </c>
      <c r="L2529" t="b">
        <f>TablaDatos[[#This Row],[FechaAlta]] &lt; TablaDatos[[#This Row],[FechaIngreso]]</f>
        <v>0</v>
      </c>
      <c r="M2529">
        <f>_xlfn.XLOOKUP(TablaDatos[[#This Row],[PacienteID]],'Datos_Ejemplo.csv'!A:A,'Datos_Ejemplo.csv'!I:I)</f>
        <v>22</v>
      </c>
      <c r="N2529">
        <f>ABS(TablaDatos[[#This Row],[DiasOriginal]])</f>
        <v>22</v>
      </c>
      <c r="O2529" s="1">
        <f>TablaDatos[[#This Row],[FechaIngreso]]+TablaDatos[[#This Row],[DiasNuevo]]</f>
        <v>45533</v>
      </c>
    </row>
    <row r="2530" spans="1:15">
      <c r="A2530">
        <v>2529</v>
      </c>
      <c r="B2530" t="s">
        <v>297</v>
      </c>
      <c r="C2530" s="1">
        <v>17898</v>
      </c>
      <c r="D2530">
        <v>77</v>
      </c>
      <c r="E2530" s="4" t="s">
        <v>12</v>
      </c>
      <c r="F2530" t="s">
        <v>13</v>
      </c>
      <c r="G2530" s="1">
        <v>45109</v>
      </c>
      <c r="H2530" s="1">
        <f>TablaDatos[[#This Row],[FechaIngreso]]+TablaDatos[[#This Row],[DiasNuevo]]</f>
        <v>45121</v>
      </c>
      <c r="I2530">
        <v>12</v>
      </c>
      <c r="J2530" t="s">
        <v>19</v>
      </c>
      <c r="K2530" s="3">
        <v>5712.22</v>
      </c>
      <c r="L2530" t="b">
        <f>TablaDatos[[#This Row],[FechaAlta]] &lt; TablaDatos[[#This Row],[FechaIngreso]]</f>
        <v>0</v>
      </c>
      <c r="M2530">
        <f>_xlfn.XLOOKUP(TablaDatos[[#This Row],[PacienteID]],'Datos_Ejemplo.csv'!A:A,'Datos_Ejemplo.csv'!I:I)</f>
        <v>12</v>
      </c>
      <c r="N2530">
        <f>ABS(TablaDatos[[#This Row],[DiasOriginal]])</f>
        <v>12</v>
      </c>
      <c r="O2530" s="1">
        <f>TablaDatos[[#This Row],[FechaIngreso]]+TablaDatos[[#This Row],[DiasNuevo]]</f>
        <v>45121</v>
      </c>
    </row>
    <row r="2531" spans="1:15">
      <c r="A2531">
        <v>2530</v>
      </c>
      <c r="B2531" t="s">
        <v>368</v>
      </c>
      <c r="C2531" s="1">
        <v>39083</v>
      </c>
      <c r="D2531">
        <v>19</v>
      </c>
      <c r="E2531" s="4" t="s">
        <v>12</v>
      </c>
      <c r="F2531" t="s">
        <v>261</v>
      </c>
      <c r="G2531" s="1">
        <v>45295</v>
      </c>
      <c r="H2531" s="1">
        <f>TablaDatos[[#This Row],[FechaIngreso]]+TablaDatos[[#This Row],[DiasNuevo]]</f>
        <v>45300</v>
      </c>
      <c r="I2531">
        <v>5</v>
      </c>
      <c r="J2531" t="s">
        <v>25</v>
      </c>
      <c r="K2531" s="3">
        <v>13689.96</v>
      </c>
      <c r="L2531" t="b">
        <f>TablaDatos[[#This Row],[FechaAlta]] &lt; TablaDatos[[#This Row],[FechaIngreso]]</f>
        <v>0</v>
      </c>
      <c r="M2531">
        <f>_xlfn.XLOOKUP(TablaDatos[[#This Row],[PacienteID]],'Datos_Ejemplo.csv'!A:A,'Datos_Ejemplo.csv'!I:I)</f>
        <v>5</v>
      </c>
      <c r="N2531">
        <f>ABS(TablaDatos[[#This Row],[DiasOriginal]])</f>
        <v>5</v>
      </c>
      <c r="O2531" s="1">
        <f>TablaDatos[[#This Row],[FechaIngreso]]+TablaDatos[[#This Row],[DiasNuevo]]</f>
        <v>45300</v>
      </c>
    </row>
    <row r="2532" spans="1:15">
      <c r="A2532">
        <v>2531</v>
      </c>
      <c r="B2532" t="s">
        <v>114</v>
      </c>
      <c r="C2532" s="1">
        <v>39813</v>
      </c>
      <c r="D2532">
        <v>17</v>
      </c>
      <c r="E2532" s="4" t="s">
        <v>15</v>
      </c>
      <c r="F2532" t="s">
        <v>261</v>
      </c>
      <c r="G2532" s="1">
        <v>45627</v>
      </c>
      <c r="H2532" s="1">
        <f>TablaDatos[[#This Row],[FechaIngreso]]+TablaDatos[[#This Row],[DiasNuevo]]</f>
        <v>45658</v>
      </c>
      <c r="I2532">
        <v>31</v>
      </c>
      <c r="J2532" t="s">
        <v>23</v>
      </c>
      <c r="K2532" s="3">
        <v>10935.09</v>
      </c>
      <c r="L2532" t="b">
        <f>TablaDatos[[#This Row],[FechaAlta]] &lt; TablaDatos[[#This Row],[FechaIngreso]]</f>
        <v>0</v>
      </c>
      <c r="M2532">
        <f>_xlfn.XLOOKUP(TablaDatos[[#This Row],[PacienteID]],'Datos_Ejemplo.csv'!A:A,'Datos_Ejemplo.csv'!I:I)</f>
        <v>31</v>
      </c>
      <c r="N2532">
        <f>ABS(TablaDatos[[#This Row],[DiasOriginal]])</f>
        <v>31</v>
      </c>
      <c r="O2532" s="1">
        <f>TablaDatos[[#This Row],[FechaIngreso]]+TablaDatos[[#This Row],[DiasNuevo]]</f>
        <v>45658</v>
      </c>
    </row>
    <row r="2533" spans="1:15">
      <c r="A2533">
        <v>2532</v>
      </c>
      <c r="B2533" t="s">
        <v>296</v>
      </c>
      <c r="C2533" s="1">
        <v>12419</v>
      </c>
      <c r="D2533">
        <v>92</v>
      </c>
      <c r="E2533" s="4" t="s">
        <v>15</v>
      </c>
      <c r="F2533" t="s">
        <v>18</v>
      </c>
      <c r="G2533" s="1">
        <v>44939</v>
      </c>
      <c r="H2533" s="1">
        <f>TablaDatos[[#This Row],[FechaIngreso]]+TablaDatos[[#This Row],[DiasNuevo]]</f>
        <v>44961</v>
      </c>
      <c r="I2533">
        <v>22</v>
      </c>
      <c r="J2533" t="s">
        <v>19</v>
      </c>
      <c r="K2533" s="3">
        <v>11907.19</v>
      </c>
      <c r="L2533" t="b">
        <f>TablaDatos[[#This Row],[FechaAlta]] &lt; TablaDatos[[#This Row],[FechaIngreso]]</f>
        <v>0</v>
      </c>
      <c r="M2533">
        <f>_xlfn.XLOOKUP(TablaDatos[[#This Row],[PacienteID]],'Datos_Ejemplo.csv'!A:A,'Datos_Ejemplo.csv'!I:I)</f>
        <v>22</v>
      </c>
      <c r="N2533">
        <f>ABS(TablaDatos[[#This Row],[DiasOriginal]])</f>
        <v>22</v>
      </c>
      <c r="O2533" s="1">
        <f>TablaDatos[[#This Row],[FechaIngreso]]+TablaDatos[[#This Row],[DiasNuevo]]</f>
        <v>44961</v>
      </c>
    </row>
    <row r="2534" spans="1:15">
      <c r="A2534">
        <v>2533</v>
      </c>
      <c r="B2534" t="s">
        <v>245</v>
      </c>
      <c r="C2534" s="1">
        <v>24473</v>
      </c>
      <c r="D2534">
        <v>59</v>
      </c>
      <c r="E2534" s="4" t="s">
        <v>15</v>
      </c>
      <c r="F2534" t="s">
        <v>18</v>
      </c>
      <c r="G2534" s="1">
        <v>45485</v>
      </c>
      <c r="H2534" s="1">
        <f>TablaDatos[[#This Row],[FechaIngreso]]+TablaDatos[[#This Row],[DiasNuevo]]</f>
        <v>45501</v>
      </c>
      <c r="I2534">
        <v>16</v>
      </c>
      <c r="J2534" t="s">
        <v>25</v>
      </c>
      <c r="K2534" s="3">
        <v>-83.63</v>
      </c>
      <c r="L2534" t="b">
        <f>TablaDatos[[#This Row],[FechaAlta]] &lt; TablaDatos[[#This Row],[FechaIngreso]]</f>
        <v>0</v>
      </c>
      <c r="M2534">
        <f>_xlfn.XLOOKUP(TablaDatos[[#This Row],[PacienteID]],'Datos_Ejemplo.csv'!A:A,'Datos_Ejemplo.csv'!I:I)</f>
        <v>16</v>
      </c>
      <c r="N2534">
        <f>ABS(TablaDatos[[#This Row],[DiasOriginal]])</f>
        <v>16</v>
      </c>
      <c r="O2534" s="1">
        <f>TablaDatos[[#This Row],[FechaIngreso]]+TablaDatos[[#This Row],[DiasNuevo]]</f>
        <v>45501</v>
      </c>
    </row>
    <row r="2535" spans="1:15">
      <c r="A2535">
        <v>2534</v>
      </c>
      <c r="B2535" t="s">
        <v>284</v>
      </c>
      <c r="C2535" s="1">
        <v>23377</v>
      </c>
      <c r="D2535">
        <v>62</v>
      </c>
      <c r="E2535" s="4" t="s">
        <v>12</v>
      </c>
      <c r="F2535" t="s">
        <v>21</v>
      </c>
      <c r="G2535" s="1">
        <v>45086</v>
      </c>
      <c r="H2535" s="1">
        <f>TablaDatos[[#This Row],[FechaIngreso]]+TablaDatos[[#This Row],[DiasNuevo]]</f>
        <v>45096</v>
      </c>
      <c r="I2535">
        <v>10</v>
      </c>
      <c r="J2535" t="s">
        <v>23</v>
      </c>
      <c r="K2535" s="3">
        <v>5090.9799999999996</v>
      </c>
      <c r="L2535" t="b">
        <f>TablaDatos[[#This Row],[FechaAlta]] &lt; TablaDatos[[#This Row],[FechaIngreso]]</f>
        <v>0</v>
      </c>
      <c r="M2535">
        <f>_xlfn.XLOOKUP(TablaDatos[[#This Row],[PacienteID]],'Datos_Ejemplo.csv'!A:A,'Datos_Ejemplo.csv'!I:I)</f>
        <v>10</v>
      </c>
      <c r="N2535">
        <f>ABS(TablaDatos[[#This Row],[DiasOriginal]])</f>
        <v>10</v>
      </c>
      <c r="O2535" s="1">
        <f>TablaDatos[[#This Row],[FechaIngreso]]+TablaDatos[[#This Row],[DiasNuevo]]</f>
        <v>45096</v>
      </c>
    </row>
    <row r="2536" spans="1:15">
      <c r="A2536">
        <v>2535</v>
      </c>
      <c r="B2536" t="s">
        <v>349</v>
      </c>
      <c r="C2536" s="1">
        <v>44196</v>
      </c>
      <c r="D2536">
        <v>5</v>
      </c>
      <c r="E2536" s="4" t="s">
        <v>12</v>
      </c>
      <c r="F2536" t="s">
        <v>201</v>
      </c>
      <c r="G2536" s="1">
        <v>45210</v>
      </c>
      <c r="H2536" s="1">
        <f>TablaDatos[[#This Row],[FechaIngreso]]+TablaDatos[[#This Row],[DiasNuevo]]</f>
        <v>45219</v>
      </c>
      <c r="I2536">
        <v>9</v>
      </c>
      <c r="J2536" t="s">
        <v>23</v>
      </c>
      <c r="K2536" s="3">
        <v>18606.740000000002</v>
      </c>
      <c r="L2536" t="b">
        <f>TablaDatos[[#This Row],[FechaAlta]] &lt; TablaDatos[[#This Row],[FechaIngreso]]</f>
        <v>0</v>
      </c>
      <c r="M2536">
        <f>_xlfn.XLOOKUP(TablaDatos[[#This Row],[PacienteID]],'Datos_Ejemplo.csv'!A:A,'Datos_Ejemplo.csv'!I:I)</f>
        <v>9</v>
      </c>
      <c r="N2536">
        <f>ABS(TablaDatos[[#This Row],[DiasOriginal]])</f>
        <v>9</v>
      </c>
      <c r="O2536" s="1">
        <f>TablaDatos[[#This Row],[FechaIngreso]]+TablaDatos[[#This Row],[DiasNuevo]]</f>
        <v>45219</v>
      </c>
    </row>
    <row r="2537" spans="1:15">
      <c r="A2537">
        <v>2536</v>
      </c>
      <c r="B2537" t="s">
        <v>347</v>
      </c>
      <c r="C2537" s="1">
        <v>34700</v>
      </c>
      <c r="D2537">
        <v>31</v>
      </c>
      <c r="E2537" s="4" t="s">
        <v>12</v>
      </c>
      <c r="F2537" t="s">
        <v>13</v>
      </c>
      <c r="G2537" s="1">
        <v>45491</v>
      </c>
      <c r="H2537" s="1">
        <f>TablaDatos[[#This Row],[FechaIngreso]]+TablaDatos[[#This Row],[DiasNuevo]]</f>
        <v>45503</v>
      </c>
      <c r="I2537">
        <v>12</v>
      </c>
      <c r="J2537" t="s">
        <v>19</v>
      </c>
      <c r="K2537" s="3">
        <v>5730.53</v>
      </c>
      <c r="L2537" t="b">
        <f>TablaDatos[[#This Row],[FechaAlta]] &lt; TablaDatos[[#This Row],[FechaIngreso]]</f>
        <v>0</v>
      </c>
      <c r="M2537">
        <f>_xlfn.XLOOKUP(TablaDatos[[#This Row],[PacienteID]],'Datos_Ejemplo.csv'!A:A,'Datos_Ejemplo.csv'!I:I)</f>
        <v>12</v>
      </c>
      <c r="N2537">
        <f>ABS(TablaDatos[[#This Row],[DiasOriginal]])</f>
        <v>12</v>
      </c>
      <c r="O2537" s="1">
        <f>TablaDatos[[#This Row],[FechaIngreso]]+TablaDatos[[#This Row],[DiasNuevo]]</f>
        <v>45503</v>
      </c>
    </row>
    <row r="2538" spans="1:15">
      <c r="A2538">
        <v>2537</v>
      </c>
      <c r="B2538" t="s">
        <v>278</v>
      </c>
      <c r="C2538" s="1">
        <v>12419</v>
      </c>
      <c r="D2538">
        <f ca="1">DATEDIF(TablaDatos[[#This Row],[FechaNacimiento]],TODAY(),"Y")</f>
        <v>92</v>
      </c>
      <c r="E2538" s="4" t="s">
        <v>12</v>
      </c>
      <c r="F2538" t="s">
        <v>32</v>
      </c>
      <c r="G2538" s="1">
        <v>45213</v>
      </c>
      <c r="H2538" s="1">
        <f>TablaDatos[[#This Row],[FechaIngreso]]+TablaDatos[[#This Row],[DiasNuevo]]</f>
        <v>45233</v>
      </c>
      <c r="I2538">
        <v>20</v>
      </c>
      <c r="J2538" t="s">
        <v>19</v>
      </c>
      <c r="K2538" s="3">
        <v>8704.11</v>
      </c>
      <c r="L2538" t="b">
        <f>TablaDatos[[#This Row],[FechaAlta]] &lt; TablaDatos[[#This Row],[FechaIngreso]]</f>
        <v>0</v>
      </c>
      <c r="M2538">
        <f>_xlfn.XLOOKUP(TablaDatos[[#This Row],[PacienteID]],'Datos_Ejemplo.csv'!A:A,'Datos_Ejemplo.csv'!I:I)</f>
        <v>20</v>
      </c>
      <c r="N2538">
        <f>ABS(TablaDatos[[#This Row],[DiasOriginal]])</f>
        <v>20</v>
      </c>
      <c r="O2538" s="1">
        <f>TablaDatos[[#This Row],[FechaIngreso]]+TablaDatos[[#This Row],[DiasNuevo]]</f>
        <v>45233</v>
      </c>
    </row>
    <row r="2539" spans="1:15">
      <c r="A2539">
        <v>2538</v>
      </c>
      <c r="B2539" t="s">
        <v>51</v>
      </c>
      <c r="C2539" s="1">
        <v>30682</v>
      </c>
      <c r="D2539">
        <v>42</v>
      </c>
      <c r="E2539" s="4" t="s">
        <v>15</v>
      </c>
      <c r="F2539" t="s">
        <v>295</v>
      </c>
      <c r="G2539" s="1">
        <v>44934</v>
      </c>
      <c r="H2539" s="1">
        <f>TablaDatos[[#This Row],[FechaIngreso]]+TablaDatos[[#This Row],[DiasNuevo]]</f>
        <v>44971</v>
      </c>
      <c r="I2539">
        <v>37</v>
      </c>
      <c r="J2539" t="s">
        <v>23</v>
      </c>
      <c r="K2539" s="3">
        <v>3652.15</v>
      </c>
      <c r="L2539" t="b">
        <f>TablaDatos[[#This Row],[FechaAlta]] &lt; TablaDatos[[#This Row],[FechaIngreso]]</f>
        <v>0</v>
      </c>
      <c r="M2539">
        <f>_xlfn.XLOOKUP(TablaDatos[[#This Row],[PacienteID]],'Datos_Ejemplo.csv'!A:A,'Datos_Ejemplo.csv'!I:I)</f>
        <v>37</v>
      </c>
      <c r="N2539">
        <f>ABS(TablaDatos[[#This Row],[DiasOriginal]])</f>
        <v>37</v>
      </c>
      <c r="O2539" s="1">
        <f>TablaDatos[[#This Row],[FechaIngreso]]+TablaDatos[[#This Row],[DiasNuevo]]</f>
        <v>44971</v>
      </c>
    </row>
    <row r="2540" spans="1:15">
      <c r="A2540">
        <v>2539</v>
      </c>
      <c r="B2540" t="s">
        <v>61</v>
      </c>
      <c r="C2540" s="1">
        <v>45657</v>
      </c>
      <c r="D2540">
        <v>1</v>
      </c>
      <c r="E2540" s="4" t="s">
        <v>15</v>
      </c>
      <c r="F2540" t="s">
        <v>18</v>
      </c>
      <c r="G2540" s="1">
        <v>44998</v>
      </c>
      <c r="H2540" s="1">
        <f>TablaDatos[[#This Row],[FechaIngreso]]+TablaDatos[[#This Row],[DiasNuevo]]</f>
        <v>44999</v>
      </c>
      <c r="I2540">
        <v>1</v>
      </c>
      <c r="J2540" t="s">
        <v>23</v>
      </c>
      <c r="K2540" s="3">
        <v>2685.91</v>
      </c>
      <c r="L2540" t="b">
        <f>TablaDatos[[#This Row],[FechaAlta]] &lt; TablaDatos[[#This Row],[FechaIngreso]]</f>
        <v>0</v>
      </c>
      <c r="M2540">
        <f>_xlfn.XLOOKUP(TablaDatos[[#This Row],[PacienteID]],'Datos_Ejemplo.csv'!A:A,'Datos_Ejemplo.csv'!I:I)</f>
        <v>-1</v>
      </c>
      <c r="N2540">
        <f>ABS(TablaDatos[[#This Row],[DiasOriginal]])</f>
        <v>1</v>
      </c>
      <c r="O2540" s="1">
        <f>TablaDatos[[#This Row],[FechaIngreso]]+TablaDatos[[#This Row],[DiasNuevo]]</f>
        <v>44999</v>
      </c>
    </row>
    <row r="2541" spans="1:15">
      <c r="A2541">
        <v>2540</v>
      </c>
      <c r="B2541" t="s">
        <v>103</v>
      </c>
      <c r="C2541" s="1">
        <v>24473</v>
      </c>
      <c r="D2541">
        <v>59</v>
      </c>
      <c r="E2541" s="4" t="s">
        <v>15</v>
      </c>
      <c r="F2541" t="s">
        <v>261</v>
      </c>
      <c r="G2541" s="1">
        <v>45024</v>
      </c>
      <c r="H2541" s="1">
        <f>TablaDatos[[#This Row],[FechaIngreso]]+TablaDatos[[#This Row],[DiasNuevo]]</f>
        <v>45061</v>
      </c>
      <c r="I2541">
        <v>37</v>
      </c>
      <c r="J2541" t="s">
        <v>19</v>
      </c>
      <c r="K2541" s="3">
        <v>4094.25</v>
      </c>
      <c r="L2541" t="b">
        <f>TablaDatos[[#This Row],[FechaAlta]] &lt; TablaDatos[[#This Row],[FechaIngreso]]</f>
        <v>0</v>
      </c>
      <c r="M2541">
        <f>_xlfn.XLOOKUP(TablaDatos[[#This Row],[PacienteID]],'Datos_Ejemplo.csv'!A:A,'Datos_Ejemplo.csv'!I:I)</f>
        <v>37</v>
      </c>
      <c r="N2541">
        <f>ABS(TablaDatos[[#This Row],[DiasOriginal]])</f>
        <v>37</v>
      </c>
      <c r="O2541" s="1">
        <f>TablaDatos[[#This Row],[FechaIngreso]]+TablaDatos[[#This Row],[DiasNuevo]]</f>
        <v>45061</v>
      </c>
    </row>
    <row r="2542" spans="1:15">
      <c r="A2542">
        <v>2541</v>
      </c>
      <c r="B2542" t="s">
        <v>277</v>
      </c>
      <c r="C2542" s="1">
        <v>37987</v>
      </c>
      <c r="D2542">
        <v>22</v>
      </c>
      <c r="E2542" s="4" t="s">
        <v>15</v>
      </c>
      <c r="F2542" t="s">
        <v>21</v>
      </c>
      <c r="G2542" s="1">
        <v>45013</v>
      </c>
      <c r="H2542" s="1">
        <f>TablaDatos[[#This Row],[FechaIngreso]]+TablaDatos[[#This Row],[DiasNuevo]]</f>
        <v>45033</v>
      </c>
      <c r="I2542">
        <v>20</v>
      </c>
      <c r="J2542" t="s">
        <v>23</v>
      </c>
      <c r="K2542" s="3">
        <v>11028.31</v>
      </c>
      <c r="L2542" t="b">
        <f>TablaDatos[[#This Row],[FechaAlta]] &lt; TablaDatos[[#This Row],[FechaIngreso]]</f>
        <v>0</v>
      </c>
      <c r="M2542">
        <f>_xlfn.XLOOKUP(TablaDatos[[#This Row],[PacienteID]],'Datos_Ejemplo.csv'!A:A,'Datos_Ejemplo.csv'!I:I)</f>
        <v>20</v>
      </c>
      <c r="N2542">
        <f>ABS(TablaDatos[[#This Row],[DiasOriginal]])</f>
        <v>20</v>
      </c>
      <c r="O2542" s="1">
        <f>TablaDatos[[#This Row],[FechaIngreso]]+TablaDatos[[#This Row],[DiasNuevo]]</f>
        <v>45033</v>
      </c>
    </row>
    <row r="2543" spans="1:15">
      <c r="A2543">
        <v>2542</v>
      </c>
      <c r="B2543" t="s">
        <v>357</v>
      </c>
      <c r="C2543" s="1">
        <v>16072</v>
      </c>
      <c r="D2543">
        <v>82</v>
      </c>
      <c r="E2543" s="4" t="s">
        <v>12</v>
      </c>
      <c r="F2543" t="s">
        <v>295</v>
      </c>
      <c r="G2543" s="1">
        <v>45027</v>
      </c>
      <c r="H2543" s="1">
        <f>TablaDatos[[#This Row],[FechaIngreso]]+TablaDatos[[#This Row],[DiasNuevo]]</f>
        <v>45029</v>
      </c>
      <c r="I2543">
        <v>2</v>
      </c>
      <c r="J2543" t="s">
        <v>19</v>
      </c>
      <c r="K2543" s="3">
        <v>18372.48</v>
      </c>
      <c r="L2543" t="b">
        <f>TablaDatos[[#This Row],[FechaAlta]] &lt; TablaDatos[[#This Row],[FechaIngreso]]</f>
        <v>0</v>
      </c>
      <c r="M2543">
        <f>_xlfn.XLOOKUP(TablaDatos[[#This Row],[PacienteID]],'Datos_Ejemplo.csv'!A:A,'Datos_Ejemplo.csv'!I:I)</f>
        <v>2</v>
      </c>
      <c r="N2543">
        <f>ABS(TablaDatos[[#This Row],[DiasOriginal]])</f>
        <v>2</v>
      </c>
      <c r="O2543" s="1">
        <f>TablaDatos[[#This Row],[FechaIngreso]]+TablaDatos[[#This Row],[DiasNuevo]]</f>
        <v>45029</v>
      </c>
    </row>
    <row r="2544" spans="1:15">
      <c r="A2544">
        <v>2543</v>
      </c>
      <c r="B2544" t="s">
        <v>273</v>
      </c>
      <c r="C2544" s="1">
        <v>35065</v>
      </c>
      <c r="D2544">
        <v>30</v>
      </c>
      <c r="E2544" s="4" t="s">
        <v>12</v>
      </c>
      <c r="F2544" t="s">
        <v>18</v>
      </c>
      <c r="G2544" s="1">
        <v>45207</v>
      </c>
      <c r="H2544" s="1">
        <f>TablaDatos[[#This Row],[FechaIngreso]]+TablaDatos[[#This Row],[DiasNuevo]]</f>
        <v>45238</v>
      </c>
      <c r="I2544">
        <v>31</v>
      </c>
      <c r="J2544" t="s">
        <v>23</v>
      </c>
      <c r="K2544" s="3">
        <v>6456.6</v>
      </c>
      <c r="L2544" t="b">
        <f>TablaDatos[[#This Row],[FechaAlta]] &lt; TablaDatos[[#This Row],[FechaIngreso]]</f>
        <v>0</v>
      </c>
      <c r="M2544">
        <f>_xlfn.XLOOKUP(TablaDatos[[#This Row],[PacienteID]],'Datos_Ejemplo.csv'!A:A,'Datos_Ejemplo.csv'!I:I)</f>
        <v>31</v>
      </c>
      <c r="N2544">
        <f>ABS(TablaDatos[[#This Row],[DiasOriginal]])</f>
        <v>31</v>
      </c>
      <c r="O2544" s="1">
        <f>TablaDatos[[#This Row],[FechaIngreso]]+TablaDatos[[#This Row],[DiasNuevo]]</f>
        <v>45238</v>
      </c>
    </row>
    <row r="2545" spans="1:15">
      <c r="A2545">
        <v>2544</v>
      </c>
      <c r="B2545" t="s">
        <v>258</v>
      </c>
      <c r="C2545" s="1">
        <v>44561</v>
      </c>
      <c r="D2545">
        <v>4</v>
      </c>
      <c r="E2545" s="4" t="s">
        <v>12</v>
      </c>
      <c r="F2545" t="s">
        <v>21</v>
      </c>
      <c r="G2545" s="1">
        <v>45215</v>
      </c>
      <c r="H2545" s="1">
        <f>TablaDatos[[#This Row],[FechaIngreso]]+TablaDatos[[#This Row],[DiasNuevo]]</f>
        <v>45222</v>
      </c>
      <c r="I2545">
        <v>7</v>
      </c>
      <c r="J2545" t="s">
        <v>25</v>
      </c>
      <c r="K2545" s="3">
        <v>6400.5</v>
      </c>
      <c r="L2545" t="b">
        <f>TablaDatos[[#This Row],[FechaAlta]] &lt; TablaDatos[[#This Row],[FechaIngreso]]</f>
        <v>0</v>
      </c>
      <c r="M2545">
        <f>_xlfn.XLOOKUP(TablaDatos[[#This Row],[PacienteID]],'Datos_Ejemplo.csv'!A:A,'Datos_Ejemplo.csv'!I:I)</f>
        <v>7</v>
      </c>
      <c r="N2545">
        <f>ABS(TablaDatos[[#This Row],[DiasOriginal]])</f>
        <v>7</v>
      </c>
      <c r="O2545" s="1">
        <f>TablaDatos[[#This Row],[FechaIngreso]]+TablaDatos[[#This Row],[DiasNuevo]]</f>
        <v>45222</v>
      </c>
    </row>
    <row r="2546" spans="1:15">
      <c r="A2546">
        <v>2545</v>
      </c>
      <c r="B2546" t="s">
        <v>341</v>
      </c>
      <c r="C2546" s="1">
        <v>16072</v>
      </c>
      <c r="D2546">
        <v>82</v>
      </c>
      <c r="E2546" s="4" t="s">
        <v>12</v>
      </c>
      <c r="F2546" t="s">
        <v>261</v>
      </c>
      <c r="G2546" s="1">
        <v>45122</v>
      </c>
      <c r="H2546" s="1">
        <f>TablaDatos[[#This Row],[FechaIngreso]]+TablaDatos[[#This Row],[DiasNuevo]]</f>
        <v>45146</v>
      </c>
      <c r="I2546">
        <v>24</v>
      </c>
      <c r="J2546" t="s">
        <v>23</v>
      </c>
      <c r="K2546" s="3">
        <v>11239.23</v>
      </c>
      <c r="L2546" t="b">
        <f>TablaDatos[[#This Row],[FechaAlta]] &lt; TablaDatos[[#This Row],[FechaIngreso]]</f>
        <v>0</v>
      </c>
      <c r="M2546">
        <f>_xlfn.XLOOKUP(TablaDatos[[#This Row],[PacienteID]],'Datos_Ejemplo.csv'!A:A,'Datos_Ejemplo.csv'!I:I)</f>
        <v>24</v>
      </c>
      <c r="N2546">
        <f>ABS(TablaDatos[[#This Row],[DiasOriginal]])</f>
        <v>24</v>
      </c>
      <c r="O2546" s="1">
        <f>TablaDatos[[#This Row],[FechaIngreso]]+TablaDatos[[#This Row],[DiasNuevo]]</f>
        <v>45146</v>
      </c>
    </row>
    <row r="2547" spans="1:15">
      <c r="A2547">
        <v>2546</v>
      </c>
      <c r="B2547" t="s">
        <v>336</v>
      </c>
      <c r="C2547" s="1">
        <v>33969</v>
      </c>
      <c r="D2547">
        <v>33</v>
      </c>
      <c r="E2547" s="4" t="s">
        <v>15</v>
      </c>
      <c r="F2547" t="s">
        <v>13</v>
      </c>
      <c r="G2547" s="1">
        <v>45317</v>
      </c>
      <c r="H2547" s="1">
        <f>TablaDatos[[#This Row],[FechaIngreso]]+TablaDatos[[#This Row],[DiasNuevo]]</f>
        <v>45356</v>
      </c>
      <c r="I2547">
        <v>39</v>
      </c>
      <c r="J2547" t="s">
        <v>19</v>
      </c>
      <c r="K2547" s="3">
        <v>7070.53</v>
      </c>
      <c r="L2547" t="b">
        <f>TablaDatos[[#This Row],[FechaAlta]] &lt; TablaDatos[[#This Row],[FechaIngreso]]</f>
        <v>0</v>
      </c>
      <c r="M2547">
        <f>_xlfn.XLOOKUP(TablaDatos[[#This Row],[PacienteID]],'Datos_Ejemplo.csv'!A:A,'Datos_Ejemplo.csv'!I:I)</f>
        <v>39</v>
      </c>
      <c r="N2547">
        <f>ABS(TablaDatos[[#This Row],[DiasOriginal]])</f>
        <v>39</v>
      </c>
      <c r="O2547" s="1">
        <f>TablaDatos[[#This Row],[FechaIngreso]]+TablaDatos[[#This Row],[DiasNuevo]]</f>
        <v>45356</v>
      </c>
    </row>
    <row r="2548" spans="1:15">
      <c r="A2548">
        <v>2547</v>
      </c>
      <c r="B2548" t="s">
        <v>130</v>
      </c>
      <c r="C2548" s="1">
        <v>42735</v>
      </c>
      <c r="D2548">
        <v>9</v>
      </c>
      <c r="E2548" s="4" t="s">
        <v>15</v>
      </c>
      <c r="F2548" t="s">
        <v>201</v>
      </c>
      <c r="G2548" s="1">
        <v>45535</v>
      </c>
      <c r="H2548" s="1">
        <f>TablaDatos[[#This Row],[FechaIngreso]]+TablaDatos[[#This Row],[DiasNuevo]]</f>
        <v>45536</v>
      </c>
      <c r="I2548">
        <v>1</v>
      </c>
      <c r="J2548" t="s">
        <v>19</v>
      </c>
      <c r="K2548" s="3">
        <v>18199.36</v>
      </c>
      <c r="L2548" t="b">
        <f>TablaDatos[[#This Row],[FechaAlta]] &lt; TablaDatos[[#This Row],[FechaIngreso]]</f>
        <v>0</v>
      </c>
      <c r="M2548">
        <f>_xlfn.XLOOKUP(TablaDatos[[#This Row],[PacienteID]],'Datos_Ejemplo.csv'!A:A,'Datos_Ejemplo.csv'!I:I)</f>
        <v>1</v>
      </c>
      <c r="N2548">
        <f>ABS(TablaDatos[[#This Row],[DiasOriginal]])</f>
        <v>1</v>
      </c>
      <c r="O2548" s="1">
        <f>TablaDatos[[#This Row],[FechaIngreso]]+TablaDatos[[#This Row],[DiasNuevo]]</f>
        <v>45536</v>
      </c>
    </row>
    <row r="2549" spans="1:15">
      <c r="A2549">
        <v>2548</v>
      </c>
      <c r="B2549" t="s">
        <v>67</v>
      </c>
      <c r="C2549" s="1">
        <v>13880</v>
      </c>
      <c r="D2549">
        <v>88</v>
      </c>
      <c r="E2549" s="4" t="s">
        <v>12</v>
      </c>
      <c r="F2549" t="s">
        <v>201</v>
      </c>
      <c r="G2549" s="1">
        <v>45376</v>
      </c>
      <c r="H2549" s="1">
        <f>TablaDatos[[#This Row],[FechaIngreso]]+TablaDatos[[#This Row],[DiasNuevo]]</f>
        <v>45377</v>
      </c>
      <c r="I2549">
        <v>1</v>
      </c>
      <c r="J2549" t="s">
        <v>19</v>
      </c>
      <c r="K2549" s="3">
        <v>7494.75</v>
      </c>
      <c r="L2549" t="b">
        <f>TablaDatos[[#This Row],[FechaAlta]] &lt; TablaDatos[[#This Row],[FechaIngreso]]</f>
        <v>0</v>
      </c>
      <c r="M2549">
        <f>_xlfn.XLOOKUP(TablaDatos[[#This Row],[PacienteID]],'Datos_Ejemplo.csv'!A:A,'Datos_Ejemplo.csv'!I:I)</f>
        <v>1</v>
      </c>
      <c r="N2549">
        <f>ABS(TablaDatos[[#This Row],[DiasOriginal]])</f>
        <v>1</v>
      </c>
      <c r="O2549" s="1">
        <f>TablaDatos[[#This Row],[FechaIngreso]]+TablaDatos[[#This Row],[DiasNuevo]]</f>
        <v>45377</v>
      </c>
    </row>
    <row r="2550" spans="1:15">
      <c r="A2550">
        <v>2549</v>
      </c>
      <c r="B2550" t="s">
        <v>262</v>
      </c>
      <c r="C2550" s="1">
        <v>45657</v>
      </c>
      <c r="D2550">
        <v>1</v>
      </c>
      <c r="E2550" s="4" t="s">
        <v>12</v>
      </c>
      <c r="F2550" t="s">
        <v>21</v>
      </c>
      <c r="G2550" s="1">
        <v>45294</v>
      </c>
      <c r="H2550" s="1">
        <f>TablaDatos[[#This Row],[FechaIngreso]]+TablaDatos[[#This Row],[DiasNuevo]]</f>
        <v>45299</v>
      </c>
      <c r="I2550">
        <v>5</v>
      </c>
      <c r="J2550" t="s">
        <v>25</v>
      </c>
      <c r="K2550" s="3">
        <v>9757.89</v>
      </c>
      <c r="L2550" t="b">
        <f>TablaDatos[[#This Row],[FechaAlta]] &lt; TablaDatos[[#This Row],[FechaIngreso]]</f>
        <v>0</v>
      </c>
      <c r="M2550">
        <f>_xlfn.XLOOKUP(TablaDatos[[#This Row],[PacienteID]],'Datos_Ejemplo.csv'!A:A,'Datos_Ejemplo.csv'!I:I)</f>
        <v>5</v>
      </c>
      <c r="N2550">
        <f>ABS(TablaDatos[[#This Row],[DiasOriginal]])</f>
        <v>5</v>
      </c>
      <c r="O2550" s="1">
        <f>TablaDatos[[#This Row],[FechaIngreso]]+TablaDatos[[#This Row],[DiasNuevo]]</f>
        <v>45299</v>
      </c>
    </row>
    <row r="2551" spans="1:15">
      <c r="A2551">
        <v>2550</v>
      </c>
      <c r="B2551" t="s">
        <v>346</v>
      </c>
      <c r="C2551" s="1">
        <v>42370</v>
      </c>
      <c r="D2551">
        <f ca="1">DATEDIF(TablaDatos[[#This Row],[FechaNacimiento]],TODAY(),"Y")</f>
        <v>10</v>
      </c>
      <c r="E2551" s="4" t="s">
        <v>15</v>
      </c>
      <c r="F2551" t="s">
        <v>18</v>
      </c>
      <c r="G2551" s="1">
        <v>45356</v>
      </c>
      <c r="H2551" s="1">
        <f>TablaDatos[[#This Row],[FechaIngreso]]+TablaDatos[[#This Row],[DiasNuevo]]</f>
        <v>45359</v>
      </c>
      <c r="I2551">
        <v>3</v>
      </c>
      <c r="J2551" t="s">
        <v>23</v>
      </c>
      <c r="K2551" s="3">
        <v>10621.12</v>
      </c>
      <c r="L2551" t="b">
        <f>TablaDatos[[#This Row],[FechaAlta]] &lt; TablaDatos[[#This Row],[FechaIngreso]]</f>
        <v>0</v>
      </c>
      <c r="M2551">
        <f>_xlfn.XLOOKUP(TablaDatos[[#This Row],[PacienteID]],'Datos_Ejemplo.csv'!A:A,'Datos_Ejemplo.csv'!I:I)</f>
        <v>3</v>
      </c>
      <c r="N2551">
        <f>ABS(TablaDatos[[#This Row],[DiasOriginal]])</f>
        <v>3</v>
      </c>
      <c r="O2551" s="1">
        <f>TablaDatos[[#This Row],[FechaIngreso]]+TablaDatos[[#This Row],[DiasNuevo]]</f>
        <v>45359</v>
      </c>
    </row>
    <row r="2552" spans="1:15">
      <c r="A2552">
        <v>2551</v>
      </c>
      <c r="B2552" t="s">
        <v>333</v>
      </c>
      <c r="C2552" s="1">
        <v>28125</v>
      </c>
      <c r="D2552">
        <v>49</v>
      </c>
      <c r="E2552" s="4" t="s">
        <v>12</v>
      </c>
      <c r="F2552" t="s">
        <v>201</v>
      </c>
      <c r="G2552" s="1">
        <v>45022</v>
      </c>
      <c r="H2552" s="1">
        <f>TablaDatos[[#This Row],[FechaIngreso]]+TablaDatos[[#This Row],[DiasNuevo]]</f>
        <v>45044</v>
      </c>
      <c r="I2552">
        <v>22</v>
      </c>
      <c r="J2552" t="s">
        <v>23</v>
      </c>
      <c r="K2552" s="3">
        <v>15619.56</v>
      </c>
      <c r="L2552" t="b">
        <f>TablaDatos[[#This Row],[FechaAlta]] &lt; TablaDatos[[#This Row],[FechaIngreso]]</f>
        <v>0</v>
      </c>
      <c r="M2552">
        <f>_xlfn.XLOOKUP(TablaDatos[[#This Row],[PacienteID]],'Datos_Ejemplo.csv'!A:A,'Datos_Ejemplo.csv'!I:I)</f>
        <v>22</v>
      </c>
      <c r="N2552">
        <f>ABS(TablaDatos[[#This Row],[DiasOriginal]])</f>
        <v>22</v>
      </c>
      <c r="O2552" s="1">
        <f>TablaDatos[[#This Row],[FechaIngreso]]+TablaDatos[[#This Row],[DiasNuevo]]</f>
        <v>45044</v>
      </c>
    </row>
    <row r="2553" spans="1:15">
      <c r="A2553">
        <v>2552</v>
      </c>
      <c r="B2553" t="s">
        <v>354</v>
      </c>
      <c r="C2553" s="1">
        <v>35065</v>
      </c>
      <c r="D2553">
        <v>30</v>
      </c>
      <c r="E2553" s="4" t="s">
        <v>12</v>
      </c>
      <c r="F2553" t="s">
        <v>201</v>
      </c>
      <c r="G2553" s="1">
        <v>45187</v>
      </c>
      <c r="H2553" s="1">
        <f>TablaDatos[[#This Row],[FechaIngreso]]+TablaDatos[[#This Row],[DiasNuevo]]</f>
        <v>45211</v>
      </c>
      <c r="I2553">
        <v>24</v>
      </c>
      <c r="J2553" t="s">
        <v>23</v>
      </c>
      <c r="K2553" s="3">
        <v>11234.51</v>
      </c>
      <c r="L2553" t="b">
        <f>TablaDatos[[#This Row],[FechaAlta]] &lt; TablaDatos[[#This Row],[FechaIngreso]]</f>
        <v>0</v>
      </c>
      <c r="M2553">
        <f>_xlfn.XLOOKUP(TablaDatos[[#This Row],[PacienteID]],'Datos_Ejemplo.csv'!A:A,'Datos_Ejemplo.csv'!I:I)</f>
        <v>24</v>
      </c>
      <c r="N2553">
        <f>ABS(TablaDatos[[#This Row],[DiasOriginal]])</f>
        <v>24</v>
      </c>
      <c r="O2553" s="1">
        <f>TablaDatos[[#This Row],[FechaIngreso]]+TablaDatos[[#This Row],[DiasNuevo]]</f>
        <v>45211</v>
      </c>
    </row>
    <row r="2554" spans="1:15">
      <c r="A2554">
        <v>2553</v>
      </c>
      <c r="B2554" t="s">
        <v>234</v>
      </c>
      <c r="C2554" s="1">
        <v>25934</v>
      </c>
      <c r="D2554">
        <v>55</v>
      </c>
      <c r="E2554" s="4" t="s">
        <v>15</v>
      </c>
      <c r="F2554" t="s">
        <v>13</v>
      </c>
      <c r="G2554" s="1">
        <v>45438</v>
      </c>
      <c r="H2554" s="1">
        <f>TablaDatos[[#This Row],[FechaIngreso]]+TablaDatos[[#This Row],[DiasNuevo]]</f>
        <v>45475</v>
      </c>
      <c r="I2554">
        <v>37</v>
      </c>
      <c r="J2554" t="s">
        <v>23</v>
      </c>
      <c r="K2554" s="3">
        <v>4707.0200000000004</v>
      </c>
      <c r="L2554" t="b">
        <f>TablaDatos[[#This Row],[FechaAlta]] &lt; TablaDatos[[#This Row],[FechaIngreso]]</f>
        <v>0</v>
      </c>
      <c r="M2554">
        <f>_xlfn.XLOOKUP(TablaDatos[[#This Row],[PacienteID]],'Datos_Ejemplo.csv'!A:A,'Datos_Ejemplo.csv'!I:I)</f>
        <v>37</v>
      </c>
      <c r="N2554">
        <f>ABS(TablaDatos[[#This Row],[DiasOriginal]])</f>
        <v>37</v>
      </c>
      <c r="O2554" s="1">
        <f>TablaDatos[[#This Row],[FechaIngreso]]+TablaDatos[[#This Row],[DiasNuevo]]</f>
        <v>45475</v>
      </c>
    </row>
    <row r="2555" spans="1:15">
      <c r="A2555">
        <v>2554</v>
      </c>
      <c r="B2555" t="s">
        <v>306</v>
      </c>
      <c r="C2555" s="1">
        <v>17533</v>
      </c>
      <c r="D2555">
        <v>78</v>
      </c>
      <c r="E2555" s="4" t="s">
        <v>12</v>
      </c>
      <c r="F2555" t="s">
        <v>261</v>
      </c>
      <c r="G2555" s="1">
        <v>45047</v>
      </c>
      <c r="H2555" s="1">
        <f>TablaDatos[[#This Row],[FechaIngreso]]+TablaDatos[[#This Row],[DiasNuevo]]</f>
        <v>45064</v>
      </c>
      <c r="I2555">
        <v>17</v>
      </c>
      <c r="J2555" t="s">
        <v>23</v>
      </c>
      <c r="K2555" s="3">
        <v>2392.14</v>
      </c>
      <c r="L2555" t="b">
        <f>TablaDatos[[#This Row],[FechaAlta]] &lt; TablaDatos[[#This Row],[FechaIngreso]]</f>
        <v>0</v>
      </c>
      <c r="M2555">
        <f>_xlfn.XLOOKUP(TablaDatos[[#This Row],[PacienteID]],'Datos_Ejemplo.csv'!A:A,'Datos_Ejemplo.csv'!I:I)</f>
        <v>17</v>
      </c>
      <c r="N2555">
        <f>ABS(TablaDatos[[#This Row],[DiasOriginal]])</f>
        <v>17</v>
      </c>
      <c r="O2555" s="1">
        <f>TablaDatos[[#This Row],[FechaIngreso]]+TablaDatos[[#This Row],[DiasNuevo]]</f>
        <v>45064</v>
      </c>
    </row>
    <row r="2556" spans="1:15">
      <c r="A2556">
        <v>2555</v>
      </c>
      <c r="B2556" t="s">
        <v>273</v>
      </c>
      <c r="C2556" s="1">
        <v>19724</v>
      </c>
      <c r="D2556">
        <v>72</v>
      </c>
      <c r="E2556" s="4" t="s">
        <v>15</v>
      </c>
      <c r="F2556" t="s">
        <v>32</v>
      </c>
      <c r="G2556" s="1">
        <v>45292</v>
      </c>
      <c r="H2556" s="1">
        <f>TablaDatos[[#This Row],[FechaIngreso]]+TablaDatos[[#This Row],[DiasNuevo]]</f>
        <v>45316</v>
      </c>
      <c r="I2556">
        <v>24</v>
      </c>
      <c r="J2556" t="s">
        <v>19</v>
      </c>
      <c r="K2556" s="3">
        <v>18749.27</v>
      </c>
      <c r="L2556" t="b">
        <f>TablaDatos[[#This Row],[FechaAlta]] &lt; TablaDatos[[#This Row],[FechaIngreso]]</f>
        <v>0</v>
      </c>
      <c r="M2556">
        <f>_xlfn.XLOOKUP(TablaDatos[[#This Row],[PacienteID]],'Datos_Ejemplo.csv'!A:A,'Datos_Ejemplo.csv'!I:I)</f>
        <v>24</v>
      </c>
      <c r="N2556">
        <f>ABS(TablaDatos[[#This Row],[DiasOriginal]])</f>
        <v>24</v>
      </c>
      <c r="O2556" s="1">
        <f>TablaDatos[[#This Row],[FechaIngreso]]+TablaDatos[[#This Row],[DiasNuevo]]</f>
        <v>45316</v>
      </c>
    </row>
    <row r="2557" spans="1:15">
      <c r="A2557">
        <v>2556</v>
      </c>
      <c r="B2557" t="s">
        <v>294</v>
      </c>
      <c r="C2557" s="1">
        <v>14611</v>
      </c>
      <c r="D2557">
        <v>86</v>
      </c>
      <c r="E2557" s="4" t="s">
        <v>12</v>
      </c>
      <c r="F2557" t="s">
        <v>201</v>
      </c>
      <c r="G2557" s="1">
        <v>45258</v>
      </c>
      <c r="H2557" s="1">
        <f>TablaDatos[[#This Row],[FechaIngreso]]+TablaDatos[[#This Row],[DiasNuevo]]</f>
        <v>45262</v>
      </c>
      <c r="I2557">
        <v>4</v>
      </c>
      <c r="J2557" t="s">
        <v>23</v>
      </c>
      <c r="K2557" s="3">
        <v>16011.42</v>
      </c>
      <c r="L2557" t="b">
        <f>TablaDatos[[#This Row],[FechaAlta]] &lt; TablaDatos[[#This Row],[FechaIngreso]]</f>
        <v>0</v>
      </c>
      <c r="M2557">
        <f>_xlfn.XLOOKUP(TablaDatos[[#This Row],[PacienteID]],'Datos_Ejemplo.csv'!A:A,'Datos_Ejemplo.csv'!I:I)</f>
        <v>4</v>
      </c>
      <c r="N2557">
        <f>ABS(TablaDatos[[#This Row],[DiasOriginal]])</f>
        <v>4</v>
      </c>
      <c r="O2557" s="1">
        <f>TablaDatos[[#This Row],[FechaIngreso]]+TablaDatos[[#This Row],[DiasNuevo]]</f>
        <v>45262</v>
      </c>
    </row>
    <row r="2558" spans="1:15">
      <c r="A2558">
        <v>2557</v>
      </c>
      <c r="B2558" t="s">
        <v>292</v>
      </c>
      <c r="C2558" s="1">
        <f ca="1">DATE(YEAR(TODAY())-TablaDatos[[#This Row],[Edad]],1,1)</f>
        <v>16072</v>
      </c>
      <c r="D2558">
        <v>82</v>
      </c>
      <c r="E2558" s="4" t="s">
        <v>12</v>
      </c>
      <c r="F2558" t="s">
        <v>21</v>
      </c>
      <c r="G2558" s="1">
        <v>44978</v>
      </c>
      <c r="H2558" s="1">
        <f>TablaDatos[[#This Row],[FechaIngreso]]+TablaDatos[[#This Row],[DiasNuevo]]</f>
        <v>44998</v>
      </c>
      <c r="I2558">
        <v>20</v>
      </c>
      <c r="J2558" t="s">
        <v>25</v>
      </c>
      <c r="K2558" s="3">
        <v>361.6</v>
      </c>
      <c r="L2558" t="b">
        <f>TablaDatos[[#This Row],[FechaAlta]] &lt; TablaDatos[[#This Row],[FechaIngreso]]</f>
        <v>0</v>
      </c>
      <c r="M2558">
        <f>_xlfn.XLOOKUP(TablaDatos[[#This Row],[PacienteID]],'Datos_Ejemplo.csv'!A:A,'Datos_Ejemplo.csv'!I:I)</f>
        <v>20</v>
      </c>
      <c r="N2558">
        <f>ABS(TablaDatos[[#This Row],[DiasOriginal]])</f>
        <v>20</v>
      </c>
      <c r="O2558" s="1">
        <f>TablaDatos[[#This Row],[FechaIngreso]]+TablaDatos[[#This Row],[DiasNuevo]]</f>
        <v>44998</v>
      </c>
    </row>
    <row r="2559" spans="1:15">
      <c r="A2559">
        <v>2558</v>
      </c>
      <c r="B2559" t="s">
        <v>239</v>
      </c>
      <c r="C2559" s="1">
        <f ca="1">DATE(YEAR(TODAY())-TablaDatos[[#This Row],[Edad]],1,1)</f>
        <v>43101</v>
      </c>
      <c r="D2559">
        <v>8</v>
      </c>
      <c r="E2559" s="4" t="s">
        <v>197</v>
      </c>
      <c r="F2559" t="s">
        <v>295</v>
      </c>
      <c r="G2559" s="1">
        <v>45322</v>
      </c>
      <c r="H2559" s="1">
        <f>TablaDatos[[#This Row],[FechaIngreso]]+TablaDatos[[#This Row],[DiasNuevo]]</f>
        <v>45339</v>
      </c>
      <c r="I2559">
        <v>17</v>
      </c>
      <c r="J2559" t="s">
        <v>23</v>
      </c>
      <c r="K2559" s="3">
        <v>16412.73</v>
      </c>
      <c r="L2559" t="b">
        <f>TablaDatos[[#This Row],[FechaAlta]] &lt; TablaDatos[[#This Row],[FechaIngreso]]</f>
        <v>0</v>
      </c>
      <c r="M2559">
        <f>_xlfn.XLOOKUP(TablaDatos[[#This Row],[PacienteID]],'Datos_Ejemplo.csv'!A:A,'Datos_Ejemplo.csv'!I:I)</f>
        <v>17</v>
      </c>
      <c r="N2559">
        <f>ABS(TablaDatos[[#This Row],[DiasOriginal]])</f>
        <v>17</v>
      </c>
      <c r="O2559" s="1">
        <f>TablaDatos[[#This Row],[FechaIngreso]]+TablaDatos[[#This Row],[DiasNuevo]]</f>
        <v>45339</v>
      </c>
    </row>
    <row r="2560" spans="1:15">
      <c r="A2560">
        <v>2559</v>
      </c>
      <c r="B2560" t="s">
        <v>305</v>
      </c>
      <c r="C2560" s="1">
        <v>38717</v>
      </c>
      <c r="D2560">
        <v>20</v>
      </c>
      <c r="E2560" s="4" t="s">
        <v>15</v>
      </c>
      <c r="F2560" t="s">
        <v>261</v>
      </c>
      <c r="G2560" s="1">
        <v>45244</v>
      </c>
      <c r="H2560" s="1">
        <f>TablaDatos[[#This Row],[FechaIngreso]]+TablaDatos[[#This Row],[DiasNuevo]]</f>
        <v>45275</v>
      </c>
      <c r="I2560">
        <v>31</v>
      </c>
      <c r="J2560" t="s">
        <v>19</v>
      </c>
      <c r="K2560" s="3">
        <v>11771.02</v>
      </c>
      <c r="L2560" t="b">
        <f>TablaDatos[[#This Row],[FechaAlta]] &lt; TablaDatos[[#This Row],[FechaIngreso]]</f>
        <v>0</v>
      </c>
      <c r="M2560">
        <f>_xlfn.XLOOKUP(TablaDatos[[#This Row],[PacienteID]],'Datos_Ejemplo.csv'!A:A,'Datos_Ejemplo.csv'!I:I)</f>
        <v>31</v>
      </c>
      <c r="N2560">
        <f>ABS(TablaDatos[[#This Row],[DiasOriginal]])</f>
        <v>31</v>
      </c>
      <c r="O2560" s="1">
        <f>TablaDatos[[#This Row],[FechaIngreso]]+TablaDatos[[#This Row],[DiasNuevo]]</f>
        <v>45275</v>
      </c>
    </row>
    <row r="2561" spans="1:15">
      <c r="A2561">
        <v>2560</v>
      </c>
      <c r="B2561" t="s">
        <v>368</v>
      </c>
      <c r="C2561" s="1">
        <v>19724</v>
      </c>
      <c r="D2561">
        <v>72</v>
      </c>
      <c r="E2561" s="4" t="s">
        <v>15</v>
      </c>
      <c r="F2561" t="s">
        <v>13</v>
      </c>
      <c r="G2561" s="1">
        <v>45601</v>
      </c>
      <c r="H2561" s="1">
        <f>TablaDatos[[#This Row],[FechaIngreso]]+TablaDatos[[#This Row],[DiasNuevo]]</f>
        <v>45627</v>
      </c>
      <c r="I2561">
        <v>26</v>
      </c>
      <c r="J2561" t="s">
        <v>23</v>
      </c>
      <c r="K2561" s="3">
        <v>10329.77</v>
      </c>
      <c r="L2561" t="b">
        <f>TablaDatos[[#This Row],[FechaAlta]] &lt; TablaDatos[[#This Row],[FechaIngreso]]</f>
        <v>0</v>
      </c>
      <c r="M2561">
        <f>_xlfn.XLOOKUP(TablaDatos[[#This Row],[PacienteID]],'Datos_Ejemplo.csv'!A:A,'Datos_Ejemplo.csv'!I:I)</f>
        <v>26</v>
      </c>
      <c r="N2561">
        <f>ABS(TablaDatos[[#This Row],[DiasOriginal]])</f>
        <v>26</v>
      </c>
      <c r="O2561" s="1">
        <f>TablaDatos[[#This Row],[FechaIngreso]]+TablaDatos[[#This Row],[DiasNuevo]]</f>
        <v>45627</v>
      </c>
    </row>
    <row r="2562" spans="1:15">
      <c r="A2562">
        <v>2561</v>
      </c>
      <c r="B2562" t="s">
        <v>235</v>
      </c>
      <c r="C2562" s="1">
        <v>36161</v>
      </c>
      <c r="D2562">
        <v>27</v>
      </c>
      <c r="E2562" s="4" t="s">
        <v>15</v>
      </c>
      <c r="F2562" t="s">
        <v>261</v>
      </c>
      <c r="G2562" s="1">
        <v>45628</v>
      </c>
      <c r="H2562" s="1">
        <f>TablaDatos[[#This Row],[FechaIngreso]]+TablaDatos[[#This Row],[DiasNuevo]]</f>
        <v>45630</v>
      </c>
      <c r="I2562">
        <v>2</v>
      </c>
      <c r="J2562" t="s">
        <v>25</v>
      </c>
      <c r="K2562" s="3">
        <v>145.81</v>
      </c>
      <c r="L2562" t="b">
        <f>TablaDatos[[#This Row],[FechaAlta]] &lt; TablaDatos[[#This Row],[FechaIngreso]]</f>
        <v>0</v>
      </c>
      <c r="M2562">
        <f>_xlfn.XLOOKUP(TablaDatos[[#This Row],[PacienteID]],'Datos_Ejemplo.csv'!A:A,'Datos_Ejemplo.csv'!I:I)</f>
        <v>2</v>
      </c>
      <c r="N2562">
        <f>ABS(TablaDatos[[#This Row],[DiasOriginal]])</f>
        <v>2</v>
      </c>
      <c r="O2562" s="1">
        <f>TablaDatos[[#This Row],[FechaIngreso]]+TablaDatos[[#This Row],[DiasNuevo]]</f>
        <v>45630</v>
      </c>
    </row>
    <row r="2563" spans="1:15">
      <c r="A2563">
        <v>2562</v>
      </c>
      <c r="B2563" t="s">
        <v>277</v>
      </c>
      <c r="C2563" s="1">
        <v>23742</v>
      </c>
      <c r="D2563">
        <v>61</v>
      </c>
      <c r="E2563" s="4" t="s">
        <v>15</v>
      </c>
      <c r="F2563" t="s">
        <v>13</v>
      </c>
      <c r="G2563" s="1">
        <v>45203</v>
      </c>
      <c r="H2563" s="1">
        <f>TablaDatos[[#This Row],[FechaIngreso]]+TablaDatos[[#This Row],[DiasNuevo]]</f>
        <v>45227</v>
      </c>
      <c r="I2563">
        <v>24</v>
      </c>
      <c r="J2563" t="s">
        <v>25</v>
      </c>
      <c r="K2563" s="3">
        <v>15595.37</v>
      </c>
      <c r="L2563" t="b">
        <f>TablaDatos[[#This Row],[FechaAlta]] &lt; TablaDatos[[#This Row],[FechaIngreso]]</f>
        <v>0</v>
      </c>
      <c r="M2563">
        <f>_xlfn.XLOOKUP(TablaDatos[[#This Row],[PacienteID]],'Datos_Ejemplo.csv'!A:A,'Datos_Ejemplo.csv'!I:I)</f>
        <v>24</v>
      </c>
      <c r="N2563">
        <f>ABS(TablaDatos[[#This Row],[DiasOriginal]])</f>
        <v>24</v>
      </c>
      <c r="O2563" s="1">
        <f>TablaDatos[[#This Row],[FechaIngreso]]+TablaDatos[[#This Row],[DiasNuevo]]</f>
        <v>45227</v>
      </c>
    </row>
    <row r="2564" spans="1:15">
      <c r="A2564">
        <v>2563</v>
      </c>
      <c r="B2564" t="s">
        <v>325</v>
      </c>
      <c r="C2564" s="1">
        <v>43831</v>
      </c>
      <c r="D2564">
        <v>6</v>
      </c>
      <c r="E2564" s="4" t="s">
        <v>12</v>
      </c>
      <c r="F2564" t="s">
        <v>261</v>
      </c>
      <c r="G2564" s="1">
        <v>45523</v>
      </c>
      <c r="H2564" s="1">
        <f>TablaDatos[[#This Row],[FechaIngreso]]+TablaDatos[[#This Row],[DiasNuevo]]</f>
        <v>45532</v>
      </c>
      <c r="I2564">
        <v>9</v>
      </c>
      <c r="J2564" t="s">
        <v>23</v>
      </c>
      <c r="K2564" s="3">
        <v>3881.11</v>
      </c>
      <c r="L2564" t="b">
        <f>TablaDatos[[#This Row],[FechaAlta]] &lt; TablaDatos[[#This Row],[FechaIngreso]]</f>
        <v>0</v>
      </c>
      <c r="M2564">
        <f>_xlfn.XLOOKUP(TablaDatos[[#This Row],[PacienteID]],'Datos_Ejemplo.csv'!A:A,'Datos_Ejemplo.csv'!I:I)</f>
        <v>9</v>
      </c>
      <c r="N2564">
        <f>ABS(TablaDatos[[#This Row],[DiasOriginal]])</f>
        <v>9</v>
      </c>
      <c r="O2564" s="1">
        <f>TablaDatos[[#This Row],[FechaIngreso]]+TablaDatos[[#This Row],[DiasNuevo]]</f>
        <v>45532</v>
      </c>
    </row>
    <row r="2565" spans="1:15">
      <c r="A2565">
        <v>2564</v>
      </c>
      <c r="B2565" t="s">
        <v>287</v>
      </c>
      <c r="C2565" s="1">
        <v>17168</v>
      </c>
      <c r="D2565">
        <v>79</v>
      </c>
      <c r="E2565" s="4" t="s">
        <v>12</v>
      </c>
      <c r="F2565" t="s">
        <v>32</v>
      </c>
      <c r="G2565" s="1">
        <v>45120</v>
      </c>
      <c r="H2565" s="1">
        <f>TablaDatos[[#This Row],[FechaIngreso]]+TablaDatos[[#This Row],[DiasNuevo]]</f>
        <v>45134</v>
      </c>
      <c r="I2565">
        <v>14</v>
      </c>
      <c r="J2565" t="s">
        <v>23</v>
      </c>
      <c r="K2565" s="3">
        <v>14532.42</v>
      </c>
      <c r="L2565" t="b">
        <f>TablaDatos[[#This Row],[FechaAlta]] &lt; TablaDatos[[#This Row],[FechaIngreso]]</f>
        <v>0</v>
      </c>
      <c r="M2565">
        <f>_xlfn.XLOOKUP(TablaDatos[[#This Row],[PacienteID]],'Datos_Ejemplo.csv'!A:A,'Datos_Ejemplo.csv'!I:I)</f>
        <v>14</v>
      </c>
      <c r="N2565">
        <f>ABS(TablaDatos[[#This Row],[DiasOriginal]])</f>
        <v>14</v>
      </c>
      <c r="O2565" s="1">
        <f>TablaDatos[[#This Row],[FechaIngreso]]+TablaDatos[[#This Row],[DiasNuevo]]</f>
        <v>45134</v>
      </c>
    </row>
    <row r="2566" spans="1:15">
      <c r="A2566">
        <v>2565</v>
      </c>
      <c r="B2566" t="s">
        <v>296</v>
      </c>
      <c r="C2566" s="1">
        <v>40544</v>
      </c>
      <c r="D2566">
        <v>15</v>
      </c>
      <c r="E2566" s="4" t="s">
        <v>15</v>
      </c>
      <c r="F2566" t="s">
        <v>21</v>
      </c>
      <c r="G2566" s="1">
        <v>45619</v>
      </c>
      <c r="H2566" s="1">
        <f>TablaDatos[[#This Row],[FechaIngreso]]+TablaDatos[[#This Row],[DiasNuevo]]</f>
        <v>45653</v>
      </c>
      <c r="I2566">
        <v>34</v>
      </c>
      <c r="J2566" t="s">
        <v>23</v>
      </c>
      <c r="K2566" s="3">
        <v>218.95</v>
      </c>
      <c r="L2566" t="b">
        <f>TablaDatos[[#This Row],[FechaAlta]] &lt; TablaDatos[[#This Row],[FechaIngreso]]</f>
        <v>0</v>
      </c>
      <c r="M2566">
        <f>_xlfn.XLOOKUP(TablaDatos[[#This Row],[PacienteID]],'Datos_Ejemplo.csv'!A:A,'Datos_Ejemplo.csv'!I:I)</f>
        <v>34</v>
      </c>
      <c r="N2566">
        <f>ABS(TablaDatos[[#This Row],[DiasOriginal]])</f>
        <v>34</v>
      </c>
      <c r="O2566" s="1">
        <f>TablaDatos[[#This Row],[FechaIngreso]]+TablaDatos[[#This Row],[DiasNuevo]]</f>
        <v>45653</v>
      </c>
    </row>
    <row r="2567" spans="1:15">
      <c r="A2567">
        <v>2566</v>
      </c>
      <c r="B2567" t="s">
        <v>161</v>
      </c>
      <c r="C2567" s="1">
        <v>44927</v>
      </c>
      <c r="D2567">
        <v>3</v>
      </c>
      <c r="E2567" s="4" t="s">
        <v>15</v>
      </c>
      <c r="F2567" t="s">
        <v>295</v>
      </c>
      <c r="G2567" s="1">
        <v>44947</v>
      </c>
      <c r="H2567" s="1">
        <f>TablaDatos[[#This Row],[FechaIngreso]]+TablaDatos[[#This Row],[DiasNuevo]]</f>
        <v>44978</v>
      </c>
      <c r="I2567">
        <v>31</v>
      </c>
      <c r="J2567" t="s">
        <v>23</v>
      </c>
      <c r="K2567" s="3">
        <v>15906.71</v>
      </c>
      <c r="L2567" t="b">
        <f>TablaDatos[[#This Row],[FechaAlta]] &lt; TablaDatos[[#This Row],[FechaIngreso]]</f>
        <v>0</v>
      </c>
      <c r="M2567">
        <f>_xlfn.XLOOKUP(TablaDatos[[#This Row],[PacienteID]],'Datos_Ejemplo.csv'!A:A,'Datos_Ejemplo.csv'!I:I)</f>
        <v>31</v>
      </c>
      <c r="N2567">
        <f>ABS(TablaDatos[[#This Row],[DiasOriginal]])</f>
        <v>31</v>
      </c>
      <c r="O2567" s="1">
        <f>TablaDatos[[#This Row],[FechaIngreso]]+TablaDatos[[#This Row],[DiasNuevo]]</f>
        <v>44978</v>
      </c>
    </row>
    <row r="2568" spans="1:15">
      <c r="A2568">
        <v>2567</v>
      </c>
      <c r="B2568" t="s">
        <v>303</v>
      </c>
      <c r="C2568" s="1">
        <v>44927</v>
      </c>
      <c r="D2568">
        <v>3</v>
      </c>
      <c r="E2568" s="4" t="s">
        <v>15</v>
      </c>
      <c r="F2568" t="s">
        <v>201</v>
      </c>
      <c r="G2568" s="1">
        <v>45325</v>
      </c>
      <c r="H2568" s="1">
        <f>TablaDatos[[#This Row],[FechaIngreso]]+TablaDatos[[#This Row],[DiasNuevo]]</f>
        <v>45352</v>
      </c>
      <c r="I2568">
        <v>27</v>
      </c>
      <c r="J2568" t="s">
        <v>19</v>
      </c>
      <c r="K2568" s="3">
        <v>363.09</v>
      </c>
      <c r="L2568" t="b">
        <f>TablaDatos[[#This Row],[FechaAlta]] &lt; TablaDatos[[#This Row],[FechaIngreso]]</f>
        <v>0</v>
      </c>
      <c r="M2568">
        <f>_xlfn.XLOOKUP(TablaDatos[[#This Row],[PacienteID]],'Datos_Ejemplo.csv'!A:A,'Datos_Ejemplo.csv'!I:I)</f>
        <v>27</v>
      </c>
      <c r="N2568">
        <f>ABS(TablaDatos[[#This Row],[DiasOriginal]])</f>
        <v>27</v>
      </c>
      <c r="O2568" s="1">
        <f>TablaDatos[[#This Row],[FechaIngreso]]+TablaDatos[[#This Row],[DiasNuevo]]</f>
        <v>45352</v>
      </c>
    </row>
    <row r="2569" spans="1:15">
      <c r="A2569">
        <v>2568</v>
      </c>
      <c r="B2569" t="s">
        <v>286</v>
      </c>
      <c r="C2569" s="1">
        <v>31778</v>
      </c>
      <c r="D2569">
        <v>39</v>
      </c>
      <c r="E2569" s="4" t="s">
        <v>15</v>
      </c>
      <c r="F2569" t="s">
        <v>32</v>
      </c>
      <c r="G2569" s="1">
        <v>45641</v>
      </c>
      <c r="H2569" s="1">
        <f>TablaDatos[[#This Row],[FechaIngreso]]+TablaDatos[[#This Row],[DiasNuevo]]</f>
        <v>45674</v>
      </c>
      <c r="I2569">
        <v>33</v>
      </c>
      <c r="J2569" t="s">
        <v>23</v>
      </c>
      <c r="K2569" s="3">
        <v>4641.45</v>
      </c>
      <c r="L2569" t="b">
        <f>TablaDatos[[#This Row],[FechaAlta]] &lt; TablaDatos[[#This Row],[FechaIngreso]]</f>
        <v>0</v>
      </c>
      <c r="M2569">
        <f>_xlfn.XLOOKUP(TablaDatos[[#This Row],[PacienteID]],'Datos_Ejemplo.csv'!A:A,'Datos_Ejemplo.csv'!I:I)</f>
        <v>33</v>
      </c>
      <c r="N2569">
        <f>ABS(TablaDatos[[#This Row],[DiasOriginal]])</f>
        <v>33</v>
      </c>
      <c r="O2569" s="1">
        <f>TablaDatos[[#This Row],[FechaIngreso]]+TablaDatos[[#This Row],[DiasNuevo]]</f>
        <v>45674</v>
      </c>
    </row>
    <row r="2570" spans="1:15">
      <c r="A2570">
        <v>2569</v>
      </c>
      <c r="B2570" t="s">
        <v>252</v>
      </c>
      <c r="C2570" s="1">
        <v>40178</v>
      </c>
      <c r="D2570">
        <f ca="1">DATEDIF(TablaDatos[[#This Row],[FechaNacimiento]],TODAY(),"Y")</f>
        <v>16</v>
      </c>
      <c r="E2570" s="4" t="s">
        <v>15</v>
      </c>
      <c r="F2570" t="s">
        <v>21</v>
      </c>
      <c r="G2570" s="1">
        <v>45128</v>
      </c>
      <c r="H2570" s="1">
        <f>TablaDatos[[#This Row],[FechaIngreso]]+TablaDatos[[#This Row],[DiasNuevo]]</f>
        <v>45131</v>
      </c>
      <c r="I2570">
        <v>3</v>
      </c>
      <c r="J2570" t="s">
        <v>19</v>
      </c>
      <c r="K2570" s="3">
        <v>5292.39</v>
      </c>
      <c r="L2570" t="b">
        <f>TablaDatos[[#This Row],[FechaAlta]] &lt; TablaDatos[[#This Row],[FechaIngreso]]</f>
        <v>0</v>
      </c>
      <c r="M2570">
        <f>_xlfn.XLOOKUP(TablaDatos[[#This Row],[PacienteID]],'Datos_Ejemplo.csv'!A:A,'Datos_Ejemplo.csv'!I:I)</f>
        <v>3</v>
      </c>
      <c r="N2570">
        <f>ABS(TablaDatos[[#This Row],[DiasOriginal]])</f>
        <v>3</v>
      </c>
      <c r="O2570" s="1">
        <f>TablaDatos[[#This Row],[FechaIngreso]]+TablaDatos[[#This Row],[DiasNuevo]]</f>
        <v>45131</v>
      </c>
    </row>
    <row r="2571" spans="1:15">
      <c r="A2571">
        <v>2570</v>
      </c>
      <c r="B2571" t="s">
        <v>301</v>
      </c>
      <c r="C2571" s="1">
        <v>27395</v>
      </c>
      <c r="D2571">
        <v>51</v>
      </c>
      <c r="E2571" s="4" t="s">
        <v>15</v>
      </c>
      <c r="F2571" t="s">
        <v>295</v>
      </c>
      <c r="G2571" s="1">
        <v>45392</v>
      </c>
      <c r="H2571" s="1">
        <f>TablaDatos[[#This Row],[FechaIngreso]]+TablaDatos[[#This Row],[DiasNuevo]]</f>
        <v>45421</v>
      </c>
      <c r="I2571">
        <v>29</v>
      </c>
      <c r="J2571" t="s">
        <v>19</v>
      </c>
      <c r="K2571" s="3">
        <v>3065.92</v>
      </c>
      <c r="L2571" t="b">
        <f>TablaDatos[[#This Row],[FechaAlta]] &lt; TablaDatos[[#This Row],[FechaIngreso]]</f>
        <v>0</v>
      </c>
      <c r="M2571">
        <f>_xlfn.XLOOKUP(TablaDatos[[#This Row],[PacienteID]],'Datos_Ejemplo.csv'!A:A,'Datos_Ejemplo.csv'!I:I)</f>
        <v>29</v>
      </c>
      <c r="N2571">
        <f>ABS(TablaDatos[[#This Row],[DiasOriginal]])</f>
        <v>29</v>
      </c>
      <c r="O2571" s="1">
        <f>TablaDatos[[#This Row],[FechaIngreso]]+TablaDatos[[#This Row],[DiasNuevo]]</f>
        <v>45421</v>
      </c>
    </row>
    <row r="2572" spans="1:15">
      <c r="A2572">
        <v>2571</v>
      </c>
      <c r="B2572" t="s">
        <v>293</v>
      </c>
      <c r="C2572" s="1">
        <v>12419</v>
      </c>
      <c r="D2572">
        <v>92</v>
      </c>
      <c r="E2572" s="4" t="s">
        <v>12</v>
      </c>
      <c r="F2572" t="s">
        <v>261</v>
      </c>
      <c r="G2572" s="1">
        <v>45077</v>
      </c>
      <c r="H2572" s="1">
        <f>TablaDatos[[#This Row],[FechaIngreso]]+TablaDatos[[#This Row],[DiasNuevo]]</f>
        <v>45106</v>
      </c>
      <c r="I2572">
        <v>29</v>
      </c>
      <c r="J2572" t="s">
        <v>23</v>
      </c>
      <c r="K2572" s="3">
        <v>9569.27</v>
      </c>
      <c r="L2572" t="b">
        <f>TablaDatos[[#This Row],[FechaAlta]] &lt; TablaDatos[[#This Row],[FechaIngreso]]</f>
        <v>0</v>
      </c>
      <c r="M2572">
        <f>_xlfn.XLOOKUP(TablaDatos[[#This Row],[PacienteID]],'Datos_Ejemplo.csv'!A:A,'Datos_Ejemplo.csv'!I:I)</f>
        <v>29</v>
      </c>
      <c r="N2572">
        <f>ABS(TablaDatos[[#This Row],[DiasOriginal]])</f>
        <v>29</v>
      </c>
      <c r="O2572" s="1">
        <f>TablaDatos[[#This Row],[FechaIngreso]]+TablaDatos[[#This Row],[DiasNuevo]]</f>
        <v>45106</v>
      </c>
    </row>
    <row r="2573" spans="1:15">
      <c r="A2573">
        <v>2572</v>
      </c>
      <c r="B2573" t="s">
        <v>283</v>
      </c>
      <c r="C2573" s="1">
        <v>27395</v>
      </c>
      <c r="D2573">
        <v>51</v>
      </c>
      <c r="E2573" s="4" t="s">
        <v>15</v>
      </c>
      <c r="F2573" t="s">
        <v>201</v>
      </c>
      <c r="G2573" s="1">
        <v>45085</v>
      </c>
      <c r="H2573" s="1">
        <f>TablaDatos[[#This Row],[FechaIngreso]]+TablaDatos[[#This Row],[DiasNuevo]]</f>
        <v>45091</v>
      </c>
      <c r="I2573">
        <v>6</v>
      </c>
      <c r="J2573" t="s">
        <v>23</v>
      </c>
      <c r="K2573" s="3">
        <v>5602.13</v>
      </c>
      <c r="L2573" t="b">
        <f>TablaDatos[[#This Row],[FechaAlta]] &lt; TablaDatos[[#This Row],[FechaIngreso]]</f>
        <v>0</v>
      </c>
      <c r="M2573">
        <f>_xlfn.XLOOKUP(TablaDatos[[#This Row],[PacienteID]],'Datos_Ejemplo.csv'!A:A,'Datos_Ejemplo.csv'!I:I)</f>
        <v>6</v>
      </c>
      <c r="N2573">
        <f>ABS(TablaDatos[[#This Row],[DiasOriginal]])</f>
        <v>6</v>
      </c>
      <c r="O2573" s="1">
        <f>TablaDatos[[#This Row],[FechaIngreso]]+TablaDatos[[#This Row],[DiasNuevo]]</f>
        <v>45091</v>
      </c>
    </row>
    <row r="2574" spans="1:15">
      <c r="A2574">
        <v>2573</v>
      </c>
      <c r="B2574" t="s">
        <v>302</v>
      </c>
      <c r="C2574" s="1">
        <v>33239</v>
      </c>
      <c r="D2574">
        <v>35</v>
      </c>
      <c r="E2574" s="4" t="s">
        <v>12</v>
      </c>
      <c r="F2574" t="s">
        <v>295</v>
      </c>
      <c r="G2574" s="1">
        <v>45236</v>
      </c>
      <c r="H2574" s="1">
        <f>TablaDatos[[#This Row],[FechaIngreso]]+TablaDatos[[#This Row],[DiasNuevo]]</f>
        <v>45255</v>
      </c>
      <c r="I2574">
        <v>19</v>
      </c>
      <c r="J2574" t="s">
        <v>25</v>
      </c>
      <c r="K2574" s="3">
        <v>19865.09</v>
      </c>
      <c r="L2574" t="b">
        <f>TablaDatos[[#This Row],[FechaAlta]] &lt; TablaDatos[[#This Row],[FechaIngreso]]</f>
        <v>0</v>
      </c>
      <c r="M2574">
        <f>_xlfn.XLOOKUP(TablaDatos[[#This Row],[PacienteID]],'Datos_Ejemplo.csv'!A:A,'Datos_Ejemplo.csv'!I:I)</f>
        <v>19</v>
      </c>
      <c r="N2574">
        <f>ABS(TablaDatos[[#This Row],[DiasOriginal]])</f>
        <v>19</v>
      </c>
      <c r="O2574" s="1">
        <f>TablaDatos[[#This Row],[FechaIngreso]]+TablaDatos[[#This Row],[DiasNuevo]]</f>
        <v>45255</v>
      </c>
    </row>
    <row r="2575" spans="1:15">
      <c r="A2575">
        <v>2574</v>
      </c>
      <c r="B2575" t="s">
        <v>333</v>
      </c>
      <c r="C2575" s="1">
        <v>32508</v>
      </c>
      <c r="D2575">
        <v>37</v>
      </c>
      <c r="E2575" s="4" t="s">
        <v>12</v>
      </c>
      <c r="F2575" t="s">
        <v>18</v>
      </c>
      <c r="G2575" s="1">
        <v>45430</v>
      </c>
      <c r="H2575" s="1">
        <f>TablaDatos[[#This Row],[FechaIngreso]]+TablaDatos[[#This Row],[DiasNuevo]]</f>
        <v>45437</v>
      </c>
      <c r="I2575">
        <v>7</v>
      </c>
      <c r="J2575" t="s">
        <v>25</v>
      </c>
      <c r="K2575" s="3">
        <v>11557.37</v>
      </c>
      <c r="L2575" t="b">
        <f>TablaDatos[[#This Row],[FechaAlta]] &lt; TablaDatos[[#This Row],[FechaIngreso]]</f>
        <v>0</v>
      </c>
      <c r="M2575">
        <f>_xlfn.XLOOKUP(TablaDatos[[#This Row],[PacienteID]],'Datos_Ejemplo.csv'!A:A,'Datos_Ejemplo.csv'!I:I)</f>
        <v>7</v>
      </c>
      <c r="N2575">
        <f>ABS(TablaDatos[[#This Row],[DiasOriginal]])</f>
        <v>7</v>
      </c>
      <c r="O2575" s="1">
        <f>TablaDatos[[#This Row],[FechaIngreso]]+TablaDatos[[#This Row],[DiasNuevo]]</f>
        <v>45437</v>
      </c>
    </row>
    <row r="2576" spans="1:15">
      <c r="A2576">
        <v>2575</v>
      </c>
      <c r="B2576" t="s">
        <v>344</v>
      </c>
      <c r="C2576" s="1">
        <v>28125</v>
      </c>
      <c r="D2576">
        <v>49</v>
      </c>
      <c r="E2576" s="4" t="s">
        <v>15</v>
      </c>
      <c r="F2576" t="s">
        <v>295</v>
      </c>
      <c r="G2576" s="1">
        <v>44952</v>
      </c>
      <c r="H2576" s="1">
        <f>TablaDatos[[#This Row],[FechaIngreso]]+TablaDatos[[#This Row],[DiasNuevo]]</f>
        <v>44978</v>
      </c>
      <c r="I2576">
        <v>26</v>
      </c>
      <c r="J2576" t="s">
        <v>23</v>
      </c>
      <c r="K2576" s="3">
        <v>11286.2</v>
      </c>
      <c r="L2576" t="b">
        <f>TablaDatos[[#This Row],[FechaAlta]] &lt; TablaDatos[[#This Row],[FechaIngreso]]</f>
        <v>0</v>
      </c>
      <c r="M2576">
        <f>_xlfn.XLOOKUP(TablaDatos[[#This Row],[PacienteID]],'Datos_Ejemplo.csv'!A:A,'Datos_Ejemplo.csv'!I:I)</f>
        <v>26</v>
      </c>
      <c r="N2576">
        <f>ABS(TablaDatos[[#This Row],[DiasOriginal]])</f>
        <v>26</v>
      </c>
      <c r="O2576" s="1">
        <f>TablaDatos[[#This Row],[FechaIngreso]]+TablaDatos[[#This Row],[DiasNuevo]]</f>
        <v>44978</v>
      </c>
    </row>
    <row r="2577" spans="1:15">
      <c r="A2577">
        <v>2576</v>
      </c>
      <c r="B2577" t="s">
        <v>51</v>
      </c>
      <c r="C2577" s="1">
        <v>23377</v>
      </c>
      <c r="D2577">
        <v>62</v>
      </c>
      <c r="E2577" s="4" t="s">
        <v>12</v>
      </c>
      <c r="F2577" t="s">
        <v>21</v>
      </c>
      <c r="G2577" s="1">
        <v>44992</v>
      </c>
      <c r="H2577" s="1">
        <f>TablaDatos[[#This Row],[FechaIngreso]]+TablaDatos[[#This Row],[DiasNuevo]]</f>
        <v>45000</v>
      </c>
      <c r="I2577">
        <v>8</v>
      </c>
      <c r="J2577" t="s">
        <v>25</v>
      </c>
      <c r="K2577" s="3">
        <v>4339.4799999999996</v>
      </c>
      <c r="L2577" t="b">
        <f>TablaDatos[[#This Row],[FechaAlta]] &lt; TablaDatos[[#This Row],[FechaIngreso]]</f>
        <v>0</v>
      </c>
      <c r="M2577">
        <f>_xlfn.XLOOKUP(TablaDatos[[#This Row],[PacienteID]],'Datos_Ejemplo.csv'!A:A,'Datos_Ejemplo.csv'!I:I)</f>
        <v>8</v>
      </c>
      <c r="N2577">
        <f>ABS(TablaDatos[[#This Row],[DiasOriginal]])</f>
        <v>8</v>
      </c>
      <c r="O2577" s="1">
        <f>TablaDatos[[#This Row],[FechaIngreso]]+TablaDatos[[#This Row],[DiasNuevo]]</f>
        <v>45000</v>
      </c>
    </row>
    <row r="2578" spans="1:15">
      <c r="A2578">
        <v>2577</v>
      </c>
      <c r="B2578" t="s">
        <v>307</v>
      </c>
      <c r="C2578" s="1">
        <v>23377</v>
      </c>
      <c r="D2578">
        <v>62</v>
      </c>
      <c r="E2578" s="4" t="s">
        <v>12</v>
      </c>
      <c r="F2578" t="s">
        <v>32</v>
      </c>
      <c r="G2578" s="1">
        <v>45189</v>
      </c>
      <c r="H2578" s="1">
        <f>TablaDatos[[#This Row],[FechaIngreso]]+TablaDatos[[#This Row],[DiasNuevo]]</f>
        <v>45214</v>
      </c>
      <c r="I2578">
        <v>25</v>
      </c>
      <c r="J2578" t="s">
        <v>25</v>
      </c>
      <c r="K2578" s="3">
        <v>8114.66</v>
      </c>
      <c r="L2578" t="b">
        <f>TablaDatos[[#This Row],[FechaAlta]] &lt; TablaDatos[[#This Row],[FechaIngreso]]</f>
        <v>0</v>
      </c>
      <c r="M2578">
        <f>_xlfn.XLOOKUP(TablaDatos[[#This Row],[PacienteID]],'Datos_Ejemplo.csv'!A:A,'Datos_Ejemplo.csv'!I:I)</f>
        <v>25</v>
      </c>
      <c r="N2578">
        <f>ABS(TablaDatos[[#This Row],[DiasOriginal]])</f>
        <v>25</v>
      </c>
      <c r="O2578" s="1">
        <f>TablaDatos[[#This Row],[FechaIngreso]]+TablaDatos[[#This Row],[DiasNuevo]]</f>
        <v>45214</v>
      </c>
    </row>
    <row r="2579" spans="1:15">
      <c r="A2579">
        <v>2578</v>
      </c>
      <c r="B2579" t="s">
        <v>334</v>
      </c>
      <c r="C2579" s="1">
        <v>23742</v>
      </c>
      <c r="D2579">
        <v>61</v>
      </c>
      <c r="E2579" s="4" t="s">
        <v>12</v>
      </c>
      <c r="F2579" t="s">
        <v>201</v>
      </c>
      <c r="G2579" s="1">
        <v>45398</v>
      </c>
      <c r="H2579" s="1">
        <f>TablaDatos[[#This Row],[FechaIngreso]]+TablaDatos[[#This Row],[DiasNuevo]]</f>
        <v>45399</v>
      </c>
      <c r="I2579">
        <v>1</v>
      </c>
      <c r="J2579" t="s">
        <v>23</v>
      </c>
      <c r="K2579" s="3">
        <v>2391.96</v>
      </c>
      <c r="L2579" t="b">
        <f>TablaDatos[[#This Row],[FechaAlta]] &lt; TablaDatos[[#This Row],[FechaIngreso]]</f>
        <v>0</v>
      </c>
      <c r="M2579">
        <f>_xlfn.XLOOKUP(TablaDatos[[#This Row],[PacienteID]],'Datos_Ejemplo.csv'!A:A,'Datos_Ejemplo.csv'!I:I)</f>
        <v>-1</v>
      </c>
      <c r="N2579">
        <f>ABS(TablaDatos[[#This Row],[DiasOriginal]])</f>
        <v>1</v>
      </c>
      <c r="O2579" s="1">
        <f>TablaDatos[[#This Row],[FechaIngreso]]+TablaDatos[[#This Row],[DiasNuevo]]</f>
        <v>45399</v>
      </c>
    </row>
    <row r="2580" spans="1:15">
      <c r="A2580">
        <v>2579</v>
      </c>
      <c r="B2580" t="s">
        <v>252</v>
      </c>
      <c r="C2580" s="1">
        <v>43831</v>
      </c>
      <c r="D2580">
        <v>6</v>
      </c>
      <c r="E2580" s="4" t="s">
        <v>15</v>
      </c>
      <c r="F2580" t="s">
        <v>32</v>
      </c>
      <c r="G2580" s="1">
        <v>45093</v>
      </c>
      <c r="H2580" s="1">
        <f>TablaDatos[[#This Row],[FechaIngreso]]+TablaDatos[[#This Row],[DiasNuevo]]</f>
        <v>45111</v>
      </c>
      <c r="I2580">
        <v>18</v>
      </c>
      <c r="J2580" t="s">
        <v>25</v>
      </c>
      <c r="K2580" s="3">
        <v>15226.84</v>
      </c>
      <c r="L2580" t="b">
        <f>TablaDatos[[#This Row],[FechaAlta]] &lt; TablaDatos[[#This Row],[FechaIngreso]]</f>
        <v>0</v>
      </c>
      <c r="M2580">
        <f>_xlfn.XLOOKUP(TablaDatos[[#This Row],[PacienteID]],'Datos_Ejemplo.csv'!A:A,'Datos_Ejemplo.csv'!I:I)</f>
        <v>18</v>
      </c>
      <c r="N2580">
        <f>ABS(TablaDatos[[#This Row],[DiasOriginal]])</f>
        <v>18</v>
      </c>
      <c r="O2580" s="1">
        <f>TablaDatos[[#This Row],[FechaIngreso]]+TablaDatos[[#This Row],[DiasNuevo]]</f>
        <v>45111</v>
      </c>
    </row>
    <row r="2581" spans="1:15">
      <c r="A2581">
        <v>2580</v>
      </c>
      <c r="B2581" t="s">
        <v>343</v>
      </c>
      <c r="C2581" s="1">
        <v>36526</v>
      </c>
      <c r="D2581">
        <v>26</v>
      </c>
      <c r="E2581" s="4" t="s">
        <v>15</v>
      </c>
      <c r="F2581" t="s">
        <v>201</v>
      </c>
      <c r="G2581" s="1">
        <v>45080</v>
      </c>
      <c r="H2581" s="1">
        <f>TablaDatos[[#This Row],[FechaIngreso]]+TablaDatos[[#This Row],[DiasNuevo]]</f>
        <v>45108</v>
      </c>
      <c r="I2581">
        <v>28</v>
      </c>
      <c r="J2581" t="s">
        <v>23</v>
      </c>
      <c r="K2581" s="3">
        <v>6556.3</v>
      </c>
      <c r="L2581" t="b">
        <f>TablaDatos[[#This Row],[FechaAlta]] &lt; TablaDatos[[#This Row],[FechaIngreso]]</f>
        <v>0</v>
      </c>
      <c r="M2581">
        <f>_xlfn.XLOOKUP(TablaDatos[[#This Row],[PacienteID]],'Datos_Ejemplo.csv'!A:A,'Datos_Ejemplo.csv'!I:I)</f>
        <v>28</v>
      </c>
      <c r="N2581">
        <f>ABS(TablaDatos[[#This Row],[DiasOriginal]])</f>
        <v>28</v>
      </c>
      <c r="O2581" s="1">
        <f>TablaDatos[[#This Row],[FechaIngreso]]+TablaDatos[[#This Row],[DiasNuevo]]</f>
        <v>45108</v>
      </c>
    </row>
    <row r="2582" spans="1:15">
      <c r="A2582">
        <v>2581</v>
      </c>
      <c r="B2582" t="s">
        <v>257</v>
      </c>
      <c r="C2582" s="1">
        <v>12785</v>
      </c>
      <c r="D2582">
        <v>91</v>
      </c>
      <c r="E2582" s="4" t="s">
        <v>12</v>
      </c>
      <c r="F2582" t="s">
        <v>18</v>
      </c>
      <c r="G2582" s="1">
        <v>45269</v>
      </c>
      <c r="H2582" s="1">
        <f>TablaDatos[[#This Row],[FechaIngreso]]+TablaDatos[[#This Row],[DiasNuevo]]</f>
        <v>45307</v>
      </c>
      <c r="I2582">
        <v>38</v>
      </c>
      <c r="J2582" t="s">
        <v>19</v>
      </c>
      <c r="K2582" s="3">
        <v>15014.51</v>
      </c>
      <c r="L2582" t="b">
        <f>TablaDatos[[#This Row],[FechaAlta]] &lt; TablaDatos[[#This Row],[FechaIngreso]]</f>
        <v>0</v>
      </c>
      <c r="M2582">
        <f>_xlfn.XLOOKUP(TablaDatos[[#This Row],[PacienteID]],'Datos_Ejemplo.csv'!A:A,'Datos_Ejemplo.csv'!I:I)</f>
        <v>38</v>
      </c>
      <c r="N2582">
        <f>ABS(TablaDatos[[#This Row],[DiasOriginal]])</f>
        <v>38</v>
      </c>
      <c r="O2582" s="1">
        <f>TablaDatos[[#This Row],[FechaIngreso]]+TablaDatos[[#This Row],[DiasNuevo]]</f>
        <v>45307</v>
      </c>
    </row>
    <row r="2583" spans="1:15">
      <c r="A2583">
        <v>2582</v>
      </c>
      <c r="B2583" t="s">
        <v>310</v>
      </c>
      <c r="C2583" s="1">
        <v>14976</v>
      </c>
      <c r="D2583">
        <v>85</v>
      </c>
      <c r="E2583" s="4" t="s">
        <v>12</v>
      </c>
      <c r="F2583" t="s">
        <v>21</v>
      </c>
      <c r="G2583" s="1">
        <v>45644</v>
      </c>
      <c r="H2583" s="1">
        <f>TablaDatos[[#This Row],[FechaIngreso]]+TablaDatos[[#This Row],[DiasNuevo]]</f>
        <v>45658</v>
      </c>
      <c r="I2583">
        <v>14</v>
      </c>
      <c r="J2583" t="s">
        <v>23</v>
      </c>
      <c r="K2583" s="3">
        <v>7371.09</v>
      </c>
      <c r="L2583" t="b">
        <f>TablaDatos[[#This Row],[FechaAlta]] &lt; TablaDatos[[#This Row],[FechaIngreso]]</f>
        <v>0</v>
      </c>
      <c r="M2583">
        <f>_xlfn.XLOOKUP(TablaDatos[[#This Row],[PacienteID]],'Datos_Ejemplo.csv'!A:A,'Datos_Ejemplo.csv'!I:I)</f>
        <v>14</v>
      </c>
      <c r="N2583">
        <f>ABS(TablaDatos[[#This Row],[DiasOriginal]])</f>
        <v>14</v>
      </c>
      <c r="O2583" s="1">
        <f>TablaDatos[[#This Row],[FechaIngreso]]+TablaDatos[[#This Row],[DiasNuevo]]</f>
        <v>45658</v>
      </c>
    </row>
    <row r="2584" spans="1:15">
      <c r="A2584">
        <v>2583</v>
      </c>
      <c r="B2584" t="s">
        <v>51</v>
      </c>
      <c r="C2584" s="1">
        <v>41274</v>
      </c>
      <c r="D2584">
        <v>13</v>
      </c>
      <c r="E2584" s="4" t="s">
        <v>15</v>
      </c>
      <c r="F2584" t="s">
        <v>295</v>
      </c>
      <c r="G2584" s="1">
        <v>45339</v>
      </c>
      <c r="H2584" s="1">
        <f>TablaDatos[[#This Row],[FechaIngreso]]+TablaDatos[[#This Row],[DiasNuevo]]</f>
        <v>45363</v>
      </c>
      <c r="I2584">
        <v>24</v>
      </c>
      <c r="J2584" t="s">
        <v>25</v>
      </c>
      <c r="K2584" s="3">
        <v>19774.02</v>
      </c>
      <c r="L2584" t="b">
        <f>TablaDatos[[#This Row],[FechaAlta]] &lt; TablaDatos[[#This Row],[FechaIngreso]]</f>
        <v>0</v>
      </c>
      <c r="M2584">
        <f>_xlfn.XLOOKUP(TablaDatos[[#This Row],[PacienteID]],'Datos_Ejemplo.csv'!A:A,'Datos_Ejemplo.csv'!I:I)</f>
        <v>24</v>
      </c>
      <c r="N2584">
        <f>ABS(TablaDatos[[#This Row],[DiasOriginal]])</f>
        <v>24</v>
      </c>
      <c r="O2584" s="1">
        <f>TablaDatos[[#This Row],[FechaIngreso]]+TablaDatos[[#This Row],[DiasNuevo]]</f>
        <v>45363</v>
      </c>
    </row>
    <row r="2585" spans="1:15">
      <c r="A2585">
        <v>2584</v>
      </c>
      <c r="B2585" t="s">
        <v>260</v>
      </c>
      <c r="C2585" s="1">
        <v>20455</v>
      </c>
      <c r="D2585">
        <f ca="1">DATEDIF(TablaDatos[[#This Row],[FechaNacimiento]],TODAY(),"Y")</f>
        <v>70</v>
      </c>
      <c r="E2585" s="4" t="s">
        <v>15</v>
      </c>
      <c r="F2585" t="s">
        <v>18</v>
      </c>
      <c r="G2585" s="1">
        <v>45591</v>
      </c>
      <c r="H2585" s="1">
        <f>TablaDatos[[#This Row],[FechaIngreso]]+TablaDatos[[#This Row],[DiasNuevo]]</f>
        <v>45618</v>
      </c>
      <c r="I2585">
        <v>27</v>
      </c>
      <c r="J2585" t="s">
        <v>23</v>
      </c>
      <c r="K2585" s="3">
        <v>3339.54</v>
      </c>
      <c r="L2585" t="b">
        <f>TablaDatos[[#This Row],[FechaAlta]] &lt; TablaDatos[[#This Row],[FechaIngreso]]</f>
        <v>0</v>
      </c>
      <c r="M2585">
        <f>_xlfn.XLOOKUP(TablaDatos[[#This Row],[PacienteID]],'Datos_Ejemplo.csv'!A:A,'Datos_Ejemplo.csv'!I:I)</f>
        <v>27</v>
      </c>
      <c r="N2585">
        <f>ABS(TablaDatos[[#This Row],[DiasOriginal]])</f>
        <v>27</v>
      </c>
      <c r="O2585" s="1">
        <f>TablaDatos[[#This Row],[FechaIngreso]]+TablaDatos[[#This Row],[DiasNuevo]]</f>
        <v>45618</v>
      </c>
    </row>
    <row r="2586" spans="1:15">
      <c r="A2586">
        <v>2585</v>
      </c>
      <c r="B2586" t="s">
        <v>90</v>
      </c>
      <c r="C2586" s="1">
        <v>14976</v>
      </c>
      <c r="D2586">
        <v>85</v>
      </c>
      <c r="E2586" s="4" t="s">
        <v>15</v>
      </c>
      <c r="F2586" t="s">
        <v>261</v>
      </c>
      <c r="G2586" s="1">
        <v>45110</v>
      </c>
      <c r="H2586" s="1">
        <f>TablaDatos[[#This Row],[FechaIngreso]]+TablaDatos[[#This Row],[DiasNuevo]]</f>
        <v>45148</v>
      </c>
      <c r="I2586">
        <v>38</v>
      </c>
      <c r="J2586" t="s">
        <v>25</v>
      </c>
      <c r="K2586" s="3">
        <v>-69.37</v>
      </c>
      <c r="L2586" t="b">
        <f>TablaDatos[[#This Row],[FechaAlta]] &lt; TablaDatos[[#This Row],[FechaIngreso]]</f>
        <v>0</v>
      </c>
      <c r="M2586">
        <f>_xlfn.XLOOKUP(TablaDatos[[#This Row],[PacienteID]],'Datos_Ejemplo.csv'!A:A,'Datos_Ejemplo.csv'!I:I)</f>
        <v>38</v>
      </c>
      <c r="N2586">
        <f>ABS(TablaDatos[[#This Row],[DiasOriginal]])</f>
        <v>38</v>
      </c>
      <c r="O2586" s="1">
        <f>TablaDatos[[#This Row],[FechaIngreso]]+TablaDatos[[#This Row],[DiasNuevo]]</f>
        <v>45148</v>
      </c>
    </row>
    <row r="2587" spans="1:15">
      <c r="A2587">
        <v>2586</v>
      </c>
      <c r="B2587" t="s">
        <v>244</v>
      </c>
      <c r="C2587" s="1">
        <v>44561</v>
      </c>
      <c r="D2587">
        <f ca="1">DATEDIF(TablaDatos[[#This Row],[FechaNacimiento]],TODAY(),"Y")</f>
        <v>4</v>
      </c>
      <c r="E2587" s="4" t="s">
        <v>15</v>
      </c>
      <c r="F2587" t="s">
        <v>13</v>
      </c>
      <c r="G2587" s="1">
        <v>45597</v>
      </c>
      <c r="H2587" s="1">
        <f>TablaDatos[[#This Row],[FechaIngreso]]+TablaDatos[[#This Row],[DiasNuevo]]</f>
        <v>45602</v>
      </c>
      <c r="I2587">
        <v>5</v>
      </c>
      <c r="J2587" t="s">
        <v>23</v>
      </c>
      <c r="K2587" s="3">
        <v>11855.99</v>
      </c>
      <c r="L2587" t="b">
        <f>TablaDatos[[#This Row],[FechaAlta]] &lt; TablaDatos[[#This Row],[FechaIngreso]]</f>
        <v>0</v>
      </c>
      <c r="M2587">
        <f>_xlfn.XLOOKUP(TablaDatos[[#This Row],[PacienteID]],'Datos_Ejemplo.csv'!A:A,'Datos_Ejemplo.csv'!I:I)</f>
        <v>5</v>
      </c>
      <c r="N2587">
        <f>ABS(TablaDatos[[#This Row],[DiasOriginal]])</f>
        <v>5</v>
      </c>
      <c r="O2587" s="1">
        <f>TablaDatos[[#This Row],[FechaIngreso]]+TablaDatos[[#This Row],[DiasNuevo]]</f>
        <v>45602</v>
      </c>
    </row>
    <row r="2588" spans="1:15">
      <c r="A2588">
        <v>2587</v>
      </c>
      <c r="B2588" t="s">
        <v>306</v>
      </c>
      <c r="C2588" s="1">
        <v>26299</v>
      </c>
      <c r="D2588">
        <v>54</v>
      </c>
      <c r="E2588" s="4" t="s">
        <v>12</v>
      </c>
      <c r="F2588" t="s">
        <v>261</v>
      </c>
      <c r="G2588" s="1">
        <v>45120</v>
      </c>
      <c r="H2588" s="1">
        <f>TablaDatos[[#This Row],[FechaIngreso]]+TablaDatos[[#This Row],[DiasNuevo]]</f>
        <v>45154</v>
      </c>
      <c r="I2588">
        <v>34</v>
      </c>
      <c r="J2588" t="s">
        <v>25</v>
      </c>
      <c r="K2588" s="3">
        <v>19054.36</v>
      </c>
      <c r="L2588" t="b">
        <f>TablaDatos[[#This Row],[FechaAlta]] &lt; TablaDatos[[#This Row],[FechaIngreso]]</f>
        <v>0</v>
      </c>
      <c r="M2588">
        <f>_xlfn.XLOOKUP(TablaDatos[[#This Row],[PacienteID]],'Datos_Ejemplo.csv'!A:A,'Datos_Ejemplo.csv'!I:I)</f>
        <v>34</v>
      </c>
      <c r="N2588">
        <f>ABS(TablaDatos[[#This Row],[DiasOriginal]])</f>
        <v>34</v>
      </c>
      <c r="O2588" s="1">
        <f>TablaDatos[[#This Row],[FechaIngreso]]+TablaDatos[[#This Row],[DiasNuevo]]</f>
        <v>45154</v>
      </c>
    </row>
    <row r="2589" spans="1:15">
      <c r="A2589">
        <v>2588</v>
      </c>
      <c r="B2589" t="s">
        <v>237</v>
      </c>
      <c r="C2589" s="1">
        <v>45657</v>
      </c>
      <c r="D2589">
        <v>1</v>
      </c>
      <c r="E2589" s="4" t="s">
        <v>15</v>
      </c>
      <c r="F2589" t="s">
        <v>21</v>
      </c>
      <c r="G2589" s="1">
        <v>44928</v>
      </c>
      <c r="H2589" s="1">
        <f>TablaDatos[[#This Row],[FechaIngreso]]+TablaDatos[[#This Row],[DiasNuevo]]</f>
        <v>44930</v>
      </c>
      <c r="I2589">
        <v>2</v>
      </c>
      <c r="J2589" t="s">
        <v>19</v>
      </c>
      <c r="K2589" s="3">
        <v>12905.79</v>
      </c>
      <c r="L2589" t="b">
        <f>TablaDatos[[#This Row],[FechaAlta]] &lt; TablaDatos[[#This Row],[FechaIngreso]]</f>
        <v>0</v>
      </c>
      <c r="M2589">
        <f>_xlfn.XLOOKUP(TablaDatos[[#This Row],[PacienteID]],'Datos_Ejemplo.csv'!A:A,'Datos_Ejemplo.csv'!I:I)</f>
        <v>2</v>
      </c>
      <c r="N2589">
        <f>ABS(TablaDatos[[#This Row],[DiasOriginal]])</f>
        <v>2</v>
      </c>
      <c r="O2589" s="1">
        <f>TablaDatos[[#This Row],[FechaIngreso]]+TablaDatos[[#This Row],[DiasNuevo]]</f>
        <v>44930</v>
      </c>
    </row>
    <row r="2590" spans="1:15">
      <c r="A2590">
        <v>2589</v>
      </c>
      <c r="B2590" t="s">
        <v>250</v>
      </c>
      <c r="C2590" s="1">
        <v>23742</v>
      </c>
      <c r="D2590">
        <v>61</v>
      </c>
      <c r="E2590" s="4" t="s">
        <v>15</v>
      </c>
      <c r="F2590" t="s">
        <v>18</v>
      </c>
      <c r="G2590" s="1">
        <v>45141</v>
      </c>
      <c r="H2590" s="1">
        <f>TablaDatos[[#This Row],[FechaIngreso]]+TablaDatos[[#This Row],[DiasNuevo]]</f>
        <v>45164</v>
      </c>
      <c r="I2590">
        <v>23</v>
      </c>
      <c r="J2590" t="s">
        <v>23</v>
      </c>
      <c r="K2590" s="3">
        <v>1623.04</v>
      </c>
      <c r="L2590" t="b">
        <f>TablaDatos[[#This Row],[FechaAlta]] &lt; TablaDatos[[#This Row],[FechaIngreso]]</f>
        <v>0</v>
      </c>
      <c r="M2590">
        <f>_xlfn.XLOOKUP(TablaDatos[[#This Row],[PacienteID]],'Datos_Ejemplo.csv'!A:A,'Datos_Ejemplo.csv'!I:I)</f>
        <v>23</v>
      </c>
      <c r="N2590">
        <f>ABS(TablaDatos[[#This Row],[DiasOriginal]])</f>
        <v>23</v>
      </c>
      <c r="O2590" s="1">
        <f>TablaDatos[[#This Row],[FechaIngreso]]+TablaDatos[[#This Row],[DiasNuevo]]</f>
        <v>45164</v>
      </c>
    </row>
    <row r="2591" spans="1:15">
      <c r="A2591">
        <v>2590</v>
      </c>
      <c r="B2591" t="s">
        <v>359</v>
      </c>
      <c r="C2591" s="1">
        <v>13150</v>
      </c>
      <c r="D2591">
        <v>90</v>
      </c>
      <c r="E2591" s="4" t="s">
        <v>12</v>
      </c>
      <c r="F2591" t="s">
        <v>32</v>
      </c>
      <c r="G2591" s="1">
        <v>45613</v>
      </c>
      <c r="H2591" s="1">
        <f>TablaDatos[[#This Row],[FechaIngreso]]+TablaDatos[[#This Row],[DiasNuevo]]</f>
        <v>45616</v>
      </c>
      <c r="I2591">
        <v>3</v>
      </c>
      <c r="J2591" t="s">
        <v>23</v>
      </c>
      <c r="K2591" s="3">
        <v>10763.66</v>
      </c>
      <c r="L2591" t="b">
        <f>TablaDatos[[#This Row],[FechaAlta]] &lt; TablaDatos[[#This Row],[FechaIngreso]]</f>
        <v>0</v>
      </c>
      <c r="M2591">
        <f>_xlfn.XLOOKUP(TablaDatos[[#This Row],[PacienteID]],'Datos_Ejemplo.csv'!A:A,'Datos_Ejemplo.csv'!I:I)</f>
        <v>3</v>
      </c>
      <c r="N2591">
        <f>ABS(TablaDatos[[#This Row],[DiasOriginal]])</f>
        <v>3</v>
      </c>
      <c r="O2591" s="1">
        <f>TablaDatos[[#This Row],[FechaIngreso]]+TablaDatos[[#This Row],[DiasNuevo]]</f>
        <v>45616</v>
      </c>
    </row>
    <row r="2592" spans="1:15">
      <c r="A2592">
        <v>2591</v>
      </c>
      <c r="B2592" t="s">
        <v>302</v>
      </c>
      <c r="C2592" s="1">
        <v>38717</v>
      </c>
      <c r="D2592">
        <v>20</v>
      </c>
      <c r="E2592" s="4" t="s">
        <v>15</v>
      </c>
      <c r="F2592" t="s">
        <v>18</v>
      </c>
      <c r="G2592" s="1">
        <v>45513</v>
      </c>
      <c r="H2592" s="1">
        <f>TablaDatos[[#This Row],[FechaIngreso]]+TablaDatos[[#This Row],[DiasNuevo]]</f>
        <v>45526</v>
      </c>
      <c r="I2592">
        <v>13</v>
      </c>
      <c r="J2592" t="s">
        <v>19</v>
      </c>
      <c r="K2592" s="3">
        <v>18180.689999999999</v>
      </c>
      <c r="L2592" t="b">
        <f>TablaDatos[[#This Row],[FechaAlta]] &lt; TablaDatos[[#This Row],[FechaIngreso]]</f>
        <v>0</v>
      </c>
      <c r="M2592">
        <f>_xlfn.XLOOKUP(TablaDatos[[#This Row],[PacienteID]],'Datos_Ejemplo.csv'!A:A,'Datos_Ejemplo.csv'!I:I)</f>
        <v>13</v>
      </c>
      <c r="N2592">
        <f>ABS(TablaDatos[[#This Row],[DiasOriginal]])</f>
        <v>13</v>
      </c>
      <c r="O2592" s="1">
        <f>TablaDatos[[#This Row],[FechaIngreso]]+TablaDatos[[#This Row],[DiasNuevo]]</f>
        <v>45526</v>
      </c>
    </row>
    <row r="2593" spans="1:15">
      <c r="A2593">
        <v>2592</v>
      </c>
      <c r="B2593" t="s">
        <v>252</v>
      </c>
      <c r="C2593" s="1">
        <v>17533</v>
      </c>
      <c r="D2593">
        <v>78</v>
      </c>
      <c r="E2593" s="4" t="s">
        <v>12</v>
      </c>
      <c r="F2593" t="s">
        <v>13</v>
      </c>
      <c r="G2593" s="1">
        <v>45565</v>
      </c>
      <c r="H2593" s="1">
        <f>TablaDatos[[#This Row],[FechaIngreso]]+TablaDatos[[#This Row],[DiasNuevo]]</f>
        <v>45567</v>
      </c>
      <c r="I2593">
        <v>2</v>
      </c>
      <c r="J2593" t="s">
        <v>25</v>
      </c>
      <c r="K2593" s="3">
        <v>30.77</v>
      </c>
      <c r="L2593" t="b">
        <f>TablaDatos[[#This Row],[FechaAlta]] &lt; TablaDatos[[#This Row],[FechaIngreso]]</f>
        <v>0</v>
      </c>
      <c r="M2593">
        <f>_xlfn.XLOOKUP(TablaDatos[[#This Row],[PacienteID]],'Datos_Ejemplo.csv'!A:A,'Datos_Ejemplo.csv'!I:I)</f>
        <v>-2</v>
      </c>
      <c r="N2593">
        <f>ABS(TablaDatos[[#This Row],[DiasOriginal]])</f>
        <v>2</v>
      </c>
      <c r="O2593" s="1">
        <f>TablaDatos[[#This Row],[FechaIngreso]]+TablaDatos[[#This Row],[DiasNuevo]]</f>
        <v>45567</v>
      </c>
    </row>
    <row r="2594" spans="1:15">
      <c r="A2594">
        <v>2593</v>
      </c>
      <c r="B2594" t="s">
        <v>312</v>
      </c>
      <c r="C2594" s="1">
        <v>38717</v>
      </c>
      <c r="D2594">
        <f ca="1">DATEDIF(TablaDatos[[#This Row],[FechaNacimiento]],TODAY(),"Y")</f>
        <v>20</v>
      </c>
      <c r="E2594" s="4" t="s">
        <v>12</v>
      </c>
      <c r="F2594" t="s">
        <v>21</v>
      </c>
      <c r="G2594" s="1">
        <v>45409</v>
      </c>
      <c r="H2594" s="1">
        <f>TablaDatos[[#This Row],[FechaIngreso]]+TablaDatos[[#This Row],[DiasNuevo]]</f>
        <v>45415</v>
      </c>
      <c r="I2594">
        <v>6</v>
      </c>
      <c r="J2594" t="s">
        <v>25</v>
      </c>
      <c r="K2594" s="3">
        <v>3254.94</v>
      </c>
      <c r="L2594" t="b">
        <f>TablaDatos[[#This Row],[FechaAlta]] &lt; TablaDatos[[#This Row],[FechaIngreso]]</f>
        <v>0</v>
      </c>
      <c r="M2594">
        <f>_xlfn.XLOOKUP(TablaDatos[[#This Row],[PacienteID]],'Datos_Ejemplo.csv'!A:A,'Datos_Ejemplo.csv'!I:I)</f>
        <v>6</v>
      </c>
      <c r="N2594">
        <f>ABS(TablaDatos[[#This Row],[DiasOriginal]])</f>
        <v>6</v>
      </c>
      <c r="O2594" s="1">
        <f>TablaDatos[[#This Row],[FechaIngreso]]+TablaDatos[[#This Row],[DiasNuevo]]</f>
        <v>45415</v>
      </c>
    </row>
    <row r="2595" spans="1:15">
      <c r="A2595">
        <v>2594</v>
      </c>
      <c r="B2595" t="s">
        <v>249</v>
      </c>
      <c r="C2595" s="1">
        <v>42735</v>
      </c>
      <c r="D2595">
        <v>9</v>
      </c>
      <c r="E2595" s="4" t="s">
        <v>15</v>
      </c>
      <c r="F2595" t="s">
        <v>18</v>
      </c>
      <c r="G2595" s="1">
        <v>45487</v>
      </c>
      <c r="H2595" s="1">
        <f>TablaDatos[[#This Row],[FechaIngreso]]+TablaDatos[[#This Row],[DiasNuevo]]</f>
        <v>45505</v>
      </c>
      <c r="I2595">
        <v>18</v>
      </c>
      <c r="J2595" t="s">
        <v>25</v>
      </c>
      <c r="K2595" s="3">
        <v>16272.69</v>
      </c>
      <c r="L2595" t="b">
        <f>TablaDatos[[#This Row],[FechaAlta]] &lt; TablaDatos[[#This Row],[FechaIngreso]]</f>
        <v>0</v>
      </c>
      <c r="M2595">
        <f>_xlfn.XLOOKUP(TablaDatos[[#This Row],[PacienteID]],'Datos_Ejemplo.csv'!A:A,'Datos_Ejemplo.csv'!I:I)</f>
        <v>18</v>
      </c>
      <c r="N2595">
        <f>ABS(TablaDatos[[#This Row],[DiasOriginal]])</f>
        <v>18</v>
      </c>
      <c r="O2595" s="1">
        <f>TablaDatos[[#This Row],[FechaIngreso]]+TablaDatos[[#This Row],[DiasNuevo]]</f>
        <v>45505</v>
      </c>
    </row>
    <row r="2596" spans="1:15">
      <c r="A2596">
        <v>2595</v>
      </c>
      <c r="B2596" t="s">
        <v>347</v>
      </c>
      <c r="C2596" s="1">
        <v>14611</v>
      </c>
      <c r="D2596">
        <v>86</v>
      </c>
      <c r="E2596" s="4" t="s">
        <v>12</v>
      </c>
      <c r="F2596" t="s">
        <v>201</v>
      </c>
      <c r="G2596" s="1">
        <v>44958</v>
      </c>
      <c r="H2596" s="1">
        <f>TablaDatos[[#This Row],[FechaIngreso]]+TablaDatos[[#This Row],[DiasNuevo]]</f>
        <v>44962</v>
      </c>
      <c r="I2596">
        <v>4</v>
      </c>
      <c r="J2596" t="s">
        <v>23</v>
      </c>
      <c r="K2596" s="3">
        <v>17867.53</v>
      </c>
      <c r="L2596" t="b">
        <f>TablaDatos[[#This Row],[FechaAlta]] &lt; TablaDatos[[#This Row],[FechaIngreso]]</f>
        <v>0</v>
      </c>
      <c r="M2596">
        <f>_xlfn.XLOOKUP(TablaDatos[[#This Row],[PacienteID]],'Datos_Ejemplo.csv'!A:A,'Datos_Ejemplo.csv'!I:I)</f>
        <v>4</v>
      </c>
      <c r="N2596">
        <f>ABS(TablaDatos[[#This Row],[DiasOriginal]])</f>
        <v>4</v>
      </c>
      <c r="O2596" s="1">
        <f>TablaDatos[[#This Row],[FechaIngreso]]+TablaDatos[[#This Row],[DiasNuevo]]</f>
        <v>44962</v>
      </c>
    </row>
    <row r="2597" spans="1:15">
      <c r="A2597">
        <v>2596</v>
      </c>
      <c r="B2597" t="s">
        <v>340</v>
      </c>
      <c r="C2597" s="1">
        <v>25203</v>
      </c>
      <c r="D2597">
        <v>57</v>
      </c>
      <c r="E2597" s="4" t="s">
        <v>12</v>
      </c>
      <c r="F2597" t="s">
        <v>261</v>
      </c>
      <c r="G2597" s="1">
        <v>45596</v>
      </c>
      <c r="H2597" s="1">
        <f>TablaDatos[[#This Row],[FechaIngreso]]+TablaDatos[[#This Row],[DiasNuevo]]</f>
        <v>45608</v>
      </c>
      <c r="I2597">
        <v>12</v>
      </c>
      <c r="J2597" t="s">
        <v>23</v>
      </c>
      <c r="K2597" s="3">
        <v>14113.93</v>
      </c>
      <c r="L2597" t="b">
        <f>TablaDatos[[#This Row],[FechaAlta]] &lt; TablaDatos[[#This Row],[FechaIngreso]]</f>
        <v>0</v>
      </c>
      <c r="M2597">
        <f>_xlfn.XLOOKUP(TablaDatos[[#This Row],[PacienteID]],'Datos_Ejemplo.csv'!A:A,'Datos_Ejemplo.csv'!I:I)</f>
        <v>12</v>
      </c>
      <c r="N2597">
        <f>ABS(TablaDatos[[#This Row],[DiasOriginal]])</f>
        <v>12</v>
      </c>
      <c r="O2597" s="1">
        <f>TablaDatos[[#This Row],[FechaIngreso]]+TablaDatos[[#This Row],[DiasNuevo]]</f>
        <v>45608</v>
      </c>
    </row>
    <row r="2598" spans="1:15">
      <c r="A2598">
        <v>2597</v>
      </c>
      <c r="B2598" t="s">
        <v>111</v>
      </c>
      <c r="C2598" s="1">
        <v>32143</v>
      </c>
      <c r="D2598">
        <v>38</v>
      </c>
      <c r="E2598" s="4" t="s">
        <v>15</v>
      </c>
      <c r="F2598" t="s">
        <v>295</v>
      </c>
      <c r="G2598" s="1">
        <v>44941</v>
      </c>
      <c r="H2598" s="1">
        <f>TablaDatos[[#This Row],[FechaIngreso]]+TablaDatos[[#This Row],[DiasNuevo]]</f>
        <v>44962</v>
      </c>
      <c r="I2598">
        <v>21</v>
      </c>
      <c r="J2598" t="s">
        <v>23</v>
      </c>
      <c r="K2598" s="3">
        <v>19830.36</v>
      </c>
      <c r="L2598" t="b">
        <f>TablaDatos[[#This Row],[FechaAlta]] &lt; TablaDatos[[#This Row],[FechaIngreso]]</f>
        <v>0</v>
      </c>
      <c r="M2598">
        <f>_xlfn.XLOOKUP(TablaDatos[[#This Row],[PacienteID]],'Datos_Ejemplo.csv'!A:A,'Datos_Ejemplo.csv'!I:I)</f>
        <v>21</v>
      </c>
      <c r="N2598">
        <f>ABS(TablaDatos[[#This Row],[DiasOriginal]])</f>
        <v>21</v>
      </c>
      <c r="O2598" s="1">
        <f>TablaDatos[[#This Row],[FechaIngreso]]+TablaDatos[[#This Row],[DiasNuevo]]</f>
        <v>44962</v>
      </c>
    </row>
    <row r="2599" spans="1:15">
      <c r="A2599">
        <v>2598</v>
      </c>
      <c r="B2599" t="s">
        <v>263</v>
      </c>
      <c r="C2599" s="1">
        <v>44561</v>
      </c>
      <c r="D2599">
        <v>4</v>
      </c>
      <c r="E2599" s="4" t="s">
        <v>15</v>
      </c>
      <c r="F2599" t="s">
        <v>261</v>
      </c>
      <c r="G2599" s="1">
        <v>45244</v>
      </c>
      <c r="H2599" s="1">
        <f>TablaDatos[[#This Row],[FechaIngreso]]+TablaDatos[[#This Row],[DiasNuevo]]</f>
        <v>45246</v>
      </c>
      <c r="I2599">
        <v>2</v>
      </c>
      <c r="J2599" t="s">
        <v>19</v>
      </c>
      <c r="K2599" s="3">
        <v>1713.34</v>
      </c>
      <c r="L2599" t="b">
        <f>TablaDatos[[#This Row],[FechaAlta]] &lt; TablaDatos[[#This Row],[FechaIngreso]]</f>
        <v>0</v>
      </c>
      <c r="M2599">
        <f>_xlfn.XLOOKUP(TablaDatos[[#This Row],[PacienteID]],'Datos_Ejemplo.csv'!A:A,'Datos_Ejemplo.csv'!I:I)</f>
        <v>2</v>
      </c>
      <c r="N2599">
        <f>ABS(TablaDatos[[#This Row],[DiasOriginal]])</f>
        <v>2</v>
      </c>
      <c r="O2599" s="1">
        <f>TablaDatos[[#This Row],[FechaIngreso]]+TablaDatos[[#This Row],[DiasNuevo]]</f>
        <v>45246</v>
      </c>
    </row>
    <row r="2600" spans="1:15">
      <c r="A2600">
        <v>2599</v>
      </c>
      <c r="B2600" t="s">
        <v>235</v>
      </c>
      <c r="C2600" s="1">
        <v>22646</v>
      </c>
      <c r="D2600">
        <v>64</v>
      </c>
      <c r="E2600" s="4" t="s">
        <v>12</v>
      </c>
      <c r="F2600" t="s">
        <v>21</v>
      </c>
      <c r="G2600" s="1">
        <v>45169</v>
      </c>
      <c r="H2600" s="1">
        <f>TablaDatos[[#This Row],[FechaIngreso]]+TablaDatos[[#This Row],[DiasNuevo]]</f>
        <v>45204</v>
      </c>
      <c r="I2600">
        <v>35</v>
      </c>
      <c r="J2600" t="s">
        <v>23</v>
      </c>
      <c r="K2600" s="3">
        <v>10868.1</v>
      </c>
      <c r="L2600" t="b">
        <f>TablaDatos[[#This Row],[FechaAlta]] &lt; TablaDatos[[#This Row],[FechaIngreso]]</f>
        <v>0</v>
      </c>
      <c r="M2600">
        <f>_xlfn.XLOOKUP(TablaDatos[[#This Row],[PacienteID]],'Datos_Ejemplo.csv'!A:A,'Datos_Ejemplo.csv'!I:I)</f>
        <v>35</v>
      </c>
      <c r="N2600">
        <f>ABS(TablaDatos[[#This Row],[DiasOriginal]])</f>
        <v>35</v>
      </c>
      <c r="O2600" s="1">
        <f>TablaDatos[[#This Row],[FechaIngreso]]+TablaDatos[[#This Row],[DiasNuevo]]</f>
        <v>45204</v>
      </c>
    </row>
    <row r="2601" spans="1:15">
      <c r="A2601">
        <v>2600</v>
      </c>
      <c r="B2601" t="s">
        <v>361</v>
      </c>
      <c r="C2601" s="1">
        <v>41639</v>
      </c>
      <c r="D2601">
        <v>12</v>
      </c>
      <c r="E2601" s="4" t="s">
        <v>12</v>
      </c>
      <c r="F2601" t="s">
        <v>18</v>
      </c>
      <c r="G2601" s="1">
        <v>44943</v>
      </c>
      <c r="H2601" s="1">
        <f>TablaDatos[[#This Row],[FechaIngreso]]+TablaDatos[[#This Row],[DiasNuevo]]</f>
        <v>44969</v>
      </c>
      <c r="I2601">
        <v>26</v>
      </c>
      <c r="J2601" t="s">
        <v>23</v>
      </c>
      <c r="K2601" s="3">
        <v>13668.39</v>
      </c>
      <c r="L2601" t="b">
        <f>TablaDatos[[#This Row],[FechaAlta]] &lt; TablaDatos[[#This Row],[FechaIngreso]]</f>
        <v>0</v>
      </c>
      <c r="M2601">
        <f>_xlfn.XLOOKUP(TablaDatos[[#This Row],[PacienteID]],'Datos_Ejemplo.csv'!A:A,'Datos_Ejemplo.csv'!I:I)</f>
        <v>26</v>
      </c>
      <c r="N2601">
        <f>ABS(TablaDatos[[#This Row],[DiasOriginal]])</f>
        <v>26</v>
      </c>
      <c r="O2601" s="1">
        <f>TablaDatos[[#This Row],[FechaIngreso]]+TablaDatos[[#This Row],[DiasNuevo]]</f>
        <v>44969</v>
      </c>
    </row>
    <row r="2602" spans="1:15">
      <c r="A2602">
        <v>2601</v>
      </c>
      <c r="B2602" t="s">
        <v>300</v>
      </c>
      <c r="C2602" s="1">
        <v>15341</v>
      </c>
      <c r="D2602">
        <v>84</v>
      </c>
      <c r="E2602" s="4" t="s">
        <v>12</v>
      </c>
      <c r="F2602" t="s">
        <v>261</v>
      </c>
      <c r="G2602" s="1">
        <v>45460</v>
      </c>
      <c r="H2602" s="1">
        <f>TablaDatos[[#This Row],[FechaIngreso]]+TablaDatos[[#This Row],[DiasNuevo]]</f>
        <v>45468</v>
      </c>
      <c r="I2602">
        <v>8</v>
      </c>
      <c r="J2602" t="s">
        <v>25</v>
      </c>
      <c r="K2602" s="3">
        <v>14023.16</v>
      </c>
      <c r="L2602" t="b">
        <f>TablaDatos[[#This Row],[FechaAlta]] &lt; TablaDatos[[#This Row],[FechaIngreso]]</f>
        <v>0</v>
      </c>
      <c r="M2602">
        <f>_xlfn.XLOOKUP(TablaDatos[[#This Row],[PacienteID]],'Datos_Ejemplo.csv'!A:A,'Datos_Ejemplo.csv'!I:I)</f>
        <v>8</v>
      </c>
      <c r="N2602">
        <f>ABS(TablaDatos[[#This Row],[DiasOriginal]])</f>
        <v>8</v>
      </c>
      <c r="O2602" s="1">
        <f>TablaDatos[[#This Row],[FechaIngreso]]+TablaDatos[[#This Row],[DiasNuevo]]</f>
        <v>45468</v>
      </c>
    </row>
    <row r="2603" spans="1:15">
      <c r="A2603">
        <v>2602</v>
      </c>
      <c r="B2603" t="s">
        <v>332</v>
      </c>
      <c r="C2603" s="1">
        <v>13515</v>
      </c>
      <c r="D2603">
        <v>89</v>
      </c>
      <c r="E2603" s="4" t="s">
        <v>15</v>
      </c>
      <c r="F2603" t="s">
        <v>18</v>
      </c>
      <c r="G2603" s="1">
        <v>45007</v>
      </c>
      <c r="H2603" s="1">
        <f>TablaDatos[[#This Row],[FechaIngreso]]+TablaDatos[[#This Row],[DiasNuevo]]</f>
        <v>45008</v>
      </c>
      <c r="I2603">
        <v>1</v>
      </c>
      <c r="J2603" t="s">
        <v>19</v>
      </c>
      <c r="K2603" s="3">
        <v>15849.04</v>
      </c>
      <c r="L2603" t="b">
        <f>TablaDatos[[#This Row],[FechaAlta]] &lt; TablaDatos[[#This Row],[FechaIngreso]]</f>
        <v>0</v>
      </c>
      <c r="M2603">
        <f>_xlfn.XLOOKUP(TablaDatos[[#This Row],[PacienteID]],'Datos_Ejemplo.csv'!A:A,'Datos_Ejemplo.csv'!I:I)</f>
        <v>1</v>
      </c>
      <c r="N2603">
        <f>ABS(TablaDatos[[#This Row],[DiasOriginal]])</f>
        <v>1</v>
      </c>
      <c r="O2603" s="1">
        <f>TablaDatos[[#This Row],[FechaIngreso]]+TablaDatos[[#This Row],[DiasNuevo]]</f>
        <v>45008</v>
      </c>
    </row>
    <row r="2604" spans="1:15">
      <c r="A2604">
        <v>2603</v>
      </c>
      <c r="B2604" t="s">
        <v>328</v>
      </c>
      <c r="C2604" s="1">
        <v>15341</v>
      </c>
      <c r="D2604">
        <v>84</v>
      </c>
      <c r="E2604" s="4" t="s">
        <v>12</v>
      </c>
      <c r="F2604" t="s">
        <v>261</v>
      </c>
      <c r="G2604" s="1">
        <v>45582</v>
      </c>
      <c r="H2604" s="1">
        <f>TablaDatos[[#This Row],[FechaIngreso]]+TablaDatos[[#This Row],[DiasNuevo]]</f>
        <v>45589</v>
      </c>
      <c r="I2604">
        <v>7</v>
      </c>
      <c r="J2604" t="s">
        <v>25</v>
      </c>
      <c r="K2604" s="3">
        <v>18344.28</v>
      </c>
      <c r="L2604" t="b">
        <f>TablaDatos[[#This Row],[FechaAlta]] &lt; TablaDatos[[#This Row],[FechaIngreso]]</f>
        <v>0</v>
      </c>
      <c r="M2604">
        <f>_xlfn.XLOOKUP(TablaDatos[[#This Row],[PacienteID]],'Datos_Ejemplo.csv'!A:A,'Datos_Ejemplo.csv'!I:I)</f>
        <v>7</v>
      </c>
      <c r="N2604">
        <f>ABS(TablaDatos[[#This Row],[DiasOriginal]])</f>
        <v>7</v>
      </c>
      <c r="O2604" s="1">
        <f>TablaDatos[[#This Row],[FechaIngreso]]+TablaDatos[[#This Row],[DiasNuevo]]</f>
        <v>45589</v>
      </c>
    </row>
    <row r="2605" spans="1:15">
      <c r="A2605">
        <v>2604</v>
      </c>
      <c r="B2605" t="s">
        <v>285</v>
      </c>
      <c r="C2605" s="1">
        <v>27029</v>
      </c>
      <c r="D2605">
        <v>52</v>
      </c>
      <c r="E2605" s="4" t="s">
        <v>15</v>
      </c>
      <c r="F2605" t="s">
        <v>21</v>
      </c>
      <c r="G2605" s="1">
        <v>45362</v>
      </c>
      <c r="H2605" s="1">
        <f>TablaDatos[[#This Row],[FechaIngreso]]+TablaDatos[[#This Row],[DiasNuevo]]</f>
        <v>45393</v>
      </c>
      <c r="I2605">
        <v>31</v>
      </c>
      <c r="J2605" t="s">
        <v>23</v>
      </c>
      <c r="K2605" s="3">
        <v>7168.99</v>
      </c>
      <c r="L2605" t="b">
        <f>TablaDatos[[#This Row],[FechaAlta]] &lt; TablaDatos[[#This Row],[FechaIngreso]]</f>
        <v>0</v>
      </c>
      <c r="M2605">
        <f>_xlfn.XLOOKUP(TablaDatos[[#This Row],[PacienteID]],'Datos_Ejemplo.csv'!A:A,'Datos_Ejemplo.csv'!I:I)</f>
        <v>31</v>
      </c>
      <c r="N2605">
        <f>ABS(TablaDatos[[#This Row],[DiasOriginal]])</f>
        <v>31</v>
      </c>
      <c r="O2605" s="1">
        <f>TablaDatos[[#This Row],[FechaIngreso]]+TablaDatos[[#This Row],[DiasNuevo]]</f>
        <v>45393</v>
      </c>
    </row>
    <row r="2606" spans="1:15">
      <c r="A2606">
        <v>2605</v>
      </c>
      <c r="B2606" t="s">
        <v>236</v>
      </c>
      <c r="C2606" s="1">
        <v>16437</v>
      </c>
      <c r="D2606">
        <v>81</v>
      </c>
      <c r="E2606" s="4" t="s">
        <v>12</v>
      </c>
      <c r="F2606" t="s">
        <v>32</v>
      </c>
      <c r="G2606" s="1">
        <v>44934</v>
      </c>
      <c r="H2606" s="1">
        <f>TablaDatos[[#This Row],[FechaIngreso]]+TablaDatos[[#This Row],[DiasNuevo]]</f>
        <v>44935</v>
      </c>
      <c r="I2606">
        <v>1</v>
      </c>
      <c r="J2606" t="s">
        <v>19</v>
      </c>
      <c r="K2606" s="3">
        <v>763.56</v>
      </c>
      <c r="L2606" t="b">
        <f>TablaDatos[[#This Row],[FechaAlta]] &lt; TablaDatos[[#This Row],[FechaIngreso]]</f>
        <v>0</v>
      </c>
      <c r="M2606">
        <f>_xlfn.XLOOKUP(TablaDatos[[#This Row],[PacienteID]],'Datos_Ejemplo.csv'!A:A,'Datos_Ejemplo.csv'!I:I)</f>
        <v>1</v>
      </c>
      <c r="N2606">
        <f>ABS(TablaDatos[[#This Row],[DiasOriginal]])</f>
        <v>1</v>
      </c>
      <c r="O2606" s="1">
        <f>TablaDatos[[#This Row],[FechaIngreso]]+TablaDatos[[#This Row],[DiasNuevo]]</f>
        <v>44935</v>
      </c>
    </row>
    <row r="2607" spans="1:15">
      <c r="A2607">
        <v>2606</v>
      </c>
      <c r="B2607" t="s">
        <v>287</v>
      </c>
      <c r="C2607" s="1">
        <v>29951</v>
      </c>
      <c r="D2607">
        <v>44</v>
      </c>
      <c r="E2607" s="4" t="s">
        <v>12</v>
      </c>
      <c r="F2607" t="s">
        <v>261</v>
      </c>
      <c r="G2607" s="1">
        <v>45605</v>
      </c>
      <c r="H2607" s="1">
        <f>TablaDatos[[#This Row],[FechaIngreso]]+TablaDatos[[#This Row],[DiasNuevo]]</f>
        <v>45612</v>
      </c>
      <c r="I2607">
        <v>7</v>
      </c>
      <c r="J2607" t="s">
        <v>23</v>
      </c>
      <c r="K2607" s="3">
        <v>7185.08</v>
      </c>
      <c r="L2607" t="b">
        <f>TablaDatos[[#This Row],[FechaAlta]] &lt; TablaDatos[[#This Row],[FechaIngreso]]</f>
        <v>0</v>
      </c>
      <c r="M2607">
        <f>_xlfn.XLOOKUP(TablaDatos[[#This Row],[PacienteID]],'Datos_Ejemplo.csv'!A:A,'Datos_Ejemplo.csv'!I:I)</f>
        <v>7</v>
      </c>
      <c r="N2607">
        <f>ABS(TablaDatos[[#This Row],[DiasOriginal]])</f>
        <v>7</v>
      </c>
      <c r="O2607" s="1">
        <f>TablaDatos[[#This Row],[FechaIngreso]]+TablaDatos[[#This Row],[DiasNuevo]]</f>
        <v>45612</v>
      </c>
    </row>
    <row r="2608" spans="1:15">
      <c r="A2608">
        <v>2607</v>
      </c>
      <c r="B2608" t="s">
        <v>268</v>
      </c>
      <c r="C2608" s="1">
        <v>34700</v>
      </c>
      <c r="D2608">
        <v>31</v>
      </c>
      <c r="E2608" s="4" t="s">
        <v>12</v>
      </c>
      <c r="F2608" t="s">
        <v>295</v>
      </c>
      <c r="G2608" s="1">
        <v>45213</v>
      </c>
      <c r="H2608" s="1">
        <f>TablaDatos[[#This Row],[FechaIngreso]]+TablaDatos[[#This Row],[DiasNuevo]]</f>
        <v>45243</v>
      </c>
      <c r="I2608">
        <v>30</v>
      </c>
      <c r="J2608" t="s">
        <v>23</v>
      </c>
      <c r="K2608" s="3">
        <v>13399.46</v>
      </c>
      <c r="L2608" t="b">
        <f>TablaDatos[[#This Row],[FechaAlta]] &lt; TablaDatos[[#This Row],[FechaIngreso]]</f>
        <v>0</v>
      </c>
      <c r="M2608">
        <f>_xlfn.XLOOKUP(TablaDatos[[#This Row],[PacienteID]],'Datos_Ejemplo.csv'!A:A,'Datos_Ejemplo.csv'!I:I)</f>
        <v>30</v>
      </c>
      <c r="N2608">
        <f>ABS(TablaDatos[[#This Row],[DiasOriginal]])</f>
        <v>30</v>
      </c>
      <c r="O2608" s="1">
        <f>TablaDatos[[#This Row],[FechaIngreso]]+TablaDatos[[#This Row],[DiasNuevo]]</f>
        <v>45243</v>
      </c>
    </row>
    <row r="2609" spans="1:15">
      <c r="A2609">
        <v>2608</v>
      </c>
      <c r="B2609" t="s">
        <v>238</v>
      </c>
      <c r="C2609" s="1">
        <v>33239</v>
      </c>
      <c r="D2609">
        <v>35</v>
      </c>
      <c r="E2609" s="4" t="s">
        <v>12</v>
      </c>
      <c r="F2609" t="s">
        <v>261</v>
      </c>
      <c r="G2609" s="1">
        <v>45112</v>
      </c>
      <c r="H2609" s="1">
        <f>TablaDatos[[#This Row],[FechaIngreso]]+TablaDatos[[#This Row],[DiasNuevo]]</f>
        <v>45127</v>
      </c>
      <c r="I2609">
        <v>15</v>
      </c>
      <c r="J2609" t="s">
        <v>23</v>
      </c>
      <c r="K2609" s="3">
        <v>4190.47</v>
      </c>
      <c r="L2609" t="b">
        <f>TablaDatos[[#This Row],[FechaAlta]] &lt; TablaDatos[[#This Row],[FechaIngreso]]</f>
        <v>0</v>
      </c>
      <c r="M2609">
        <f>_xlfn.XLOOKUP(TablaDatos[[#This Row],[PacienteID]],'Datos_Ejemplo.csv'!A:A,'Datos_Ejemplo.csv'!I:I)</f>
        <v>15</v>
      </c>
      <c r="N2609">
        <f>ABS(TablaDatos[[#This Row],[DiasOriginal]])</f>
        <v>15</v>
      </c>
      <c r="O2609" s="1">
        <f>TablaDatos[[#This Row],[FechaIngreso]]+TablaDatos[[#This Row],[DiasNuevo]]</f>
        <v>45127</v>
      </c>
    </row>
    <row r="2610" spans="1:15">
      <c r="A2610">
        <v>2609</v>
      </c>
      <c r="B2610" t="s">
        <v>337</v>
      </c>
      <c r="C2610" s="1">
        <v>16802</v>
      </c>
      <c r="D2610">
        <v>80</v>
      </c>
      <c r="E2610" s="4" t="s">
        <v>12</v>
      </c>
      <c r="F2610" t="s">
        <v>21</v>
      </c>
      <c r="G2610" s="1">
        <v>45450</v>
      </c>
      <c r="H2610" s="1">
        <f>TablaDatos[[#This Row],[FechaIngreso]]+TablaDatos[[#This Row],[DiasNuevo]]</f>
        <v>45459</v>
      </c>
      <c r="I2610">
        <v>9</v>
      </c>
      <c r="J2610" t="s">
        <v>23</v>
      </c>
      <c r="K2610" s="3">
        <v>16180.46</v>
      </c>
      <c r="L2610" t="b">
        <f>TablaDatos[[#This Row],[FechaAlta]] &lt; TablaDatos[[#This Row],[FechaIngreso]]</f>
        <v>0</v>
      </c>
      <c r="M2610">
        <f>_xlfn.XLOOKUP(TablaDatos[[#This Row],[PacienteID]],'Datos_Ejemplo.csv'!A:A,'Datos_Ejemplo.csv'!I:I)</f>
        <v>9</v>
      </c>
      <c r="N2610">
        <f>ABS(TablaDatos[[#This Row],[DiasOriginal]])</f>
        <v>9</v>
      </c>
      <c r="O2610" s="1">
        <f>TablaDatos[[#This Row],[FechaIngreso]]+TablaDatos[[#This Row],[DiasNuevo]]</f>
        <v>45459</v>
      </c>
    </row>
    <row r="2611" spans="1:15">
      <c r="A2611">
        <v>2610</v>
      </c>
      <c r="B2611" t="s">
        <v>359</v>
      </c>
      <c r="C2611" s="1">
        <v>24473</v>
      </c>
      <c r="D2611">
        <v>59</v>
      </c>
      <c r="E2611" s="4" t="s">
        <v>12</v>
      </c>
      <c r="F2611" t="s">
        <v>261</v>
      </c>
      <c r="G2611" s="1">
        <v>45348</v>
      </c>
      <c r="H2611" s="1">
        <f>TablaDatos[[#This Row],[FechaIngreso]]+TablaDatos[[#This Row],[DiasNuevo]]</f>
        <v>45368</v>
      </c>
      <c r="I2611">
        <v>20</v>
      </c>
      <c r="J2611" t="s">
        <v>23</v>
      </c>
      <c r="K2611" s="3">
        <v>4317.2700000000004</v>
      </c>
      <c r="L2611" t="b">
        <f>TablaDatos[[#This Row],[FechaAlta]] &lt; TablaDatos[[#This Row],[FechaIngreso]]</f>
        <v>0</v>
      </c>
      <c r="M2611">
        <f>_xlfn.XLOOKUP(TablaDatos[[#This Row],[PacienteID]],'Datos_Ejemplo.csv'!A:A,'Datos_Ejemplo.csv'!I:I)</f>
        <v>20</v>
      </c>
      <c r="N2611">
        <f>ABS(TablaDatos[[#This Row],[DiasOriginal]])</f>
        <v>20</v>
      </c>
      <c r="O2611" s="1">
        <f>TablaDatos[[#This Row],[FechaIngreso]]+TablaDatos[[#This Row],[DiasNuevo]]</f>
        <v>45368</v>
      </c>
    </row>
    <row r="2612" spans="1:15">
      <c r="A2612">
        <v>2611</v>
      </c>
      <c r="B2612" t="s">
        <v>292</v>
      </c>
      <c r="C2612" s="1">
        <v>42370</v>
      </c>
      <c r="D2612">
        <v>10</v>
      </c>
      <c r="E2612" s="4" t="s">
        <v>15</v>
      </c>
      <c r="F2612" t="s">
        <v>295</v>
      </c>
      <c r="G2612" s="1">
        <v>45392</v>
      </c>
      <c r="H2612" s="1">
        <f>TablaDatos[[#This Row],[FechaIngreso]]+TablaDatos[[#This Row],[DiasNuevo]]</f>
        <v>45414</v>
      </c>
      <c r="I2612">
        <v>22</v>
      </c>
      <c r="J2612" t="s">
        <v>23</v>
      </c>
      <c r="K2612" s="3">
        <v>102.27</v>
      </c>
      <c r="L2612" t="b">
        <f>TablaDatos[[#This Row],[FechaAlta]] &lt; TablaDatos[[#This Row],[FechaIngreso]]</f>
        <v>0</v>
      </c>
      <c r="M2612">
        <f>_xlfn.XLOOKUP(TablaDatos[[#This Row],[PacienteID]],'Datos_Ejemplo.csv'!A:A,'Datos_Ejemplo.csv'!I:I)</f>
        <v>22</v>
      </c>
      <c r="N2612">
        <f>ABS(TablaDatos[[#This Row],[DiasOriginal]])</f>
        <v>22</v>
      </c>
      <c r="O2612" s="1">
        <f>TablaDatos[[#This Row],[FechaIngreso]]+TablaDatos[[#This Row],[DiasNuevo]]</f>
        <v>45414</v>
      </c>
    </row>
    <row r="2613" spans="1:15">
      <c r="A2613">
        <v>2612</v>
      </c>
      <c r="B2613" t="s">
        <v>346</v>
      </c>
      <c r="C2613" s="1">
        <v>23377</v>
      </c>
      <c r="D2613">
        <f ca="1">DATEDIF(TablaDatos[[#This Row],[FechaNacimiento]],TODAY(),"Y")</f>
        <v>62</v>
      </c>
      <c r="E2613" s="4" t="s">
        <v>12</v>
      </c>
      <c r="F2613" t="s">
        <v>201</v>
      </c>
      <c r="G2613" s="1">
        <v>45009</v>
      </c>
      <c r="H2613" s="1">
        <f>TablaDatos[[#This Row],[FechaIngreso]]+TablaDatos[[#This Row],[DiasNuevo]]</f>
        <v>45043</v>
      </c>
      <c r="I2613">
        <v>34</v>
      </c>
      <c r="J2613" t="s">
        <v>23</v>
      </c>
      <c r="K2613" s="3">
        <v>10112.42</v>
      </c>
      <c r="L2613" t="b">
        <f>TablaDatos[[#This Row],[FechaAlta]] &lt; TablaDatos[[#This Row],[FechaIngreso]]</f>
        <v>0</v>
      </c>
      <c r="M2613">
        <f>_xlfn.XLOOKUP(TablaDatos[[#This Row],[PacienteID]],'Datos_Ejemplo.csv'!A:A,'Datos_Ejemplo.csv'!I:I)</f>
        <v>34</v>
      </c>
      <c r="N2613">
        <f>ABS(TablaDatos[[#This Row],[DiasOriginal]])</f>
        <v>34</v>
      </c>
      <c r="O2613" s="1">
        <f>TablaDatos[[#This Row],[FechaIngreso]]+TablaDatos[[#This Row],[DiasNuevo]]</f>
        <v>45043</v>
      </c>
    </row>
    <row r="2614" spans="1:15">
      <c r="A2614">
        <v>2613</v>
      </c>
      <c r="B2614" t="s">
        <v>263</v>
      </c>
      <c r="C2614" s="1">
        <v>38717</v>
      </c>
      <c r="D2614">
        <v>20</v>
      </c>
      <c r="E2614" s="4" t="s">
        <v>12</v>
      </c>
      <c r="F2614" t="s">
        <v>295</v>
      </c>
      <c r="G2614" s="1">
        <v>45493</v>
      </c>
      <c r="H2614" s="1">
        <f>TablaDatos[[#This Row],[FechaIngreso]]+TablaDatos[[#This Row],[DiasNuevo]]</f>
        <v>45494</v>
      </c>
      <c r="I2614">
        <v>1</v>
      </c>
      <c r="J2614" t="s">
        <v>23</v>
      </c>
      <c r="K2614" s="3">
        <v>14501.88</v>
      </c>
      <c r="L2614" t="b">
        <f>TablaDatos[[#This Row],[FechaAlta]] &lt; TablaDatos[[#This Row],[FechaIngreso]]</f>
        <v>0</v>
      </c>
      <c r="M2614">
        <f>_xlfn.XLOOKUP(TablaDatos[[#This Row],[PacienteID]],'Datos_Ejemplo.csv'!A:A,'Datos_Ejemplo.csv'!I:I)</f>
        <v>1</v>
      </c>
      <c r="N2614">
        <f>ABS(TablaDatos[[#This Row],[DiasOriginal]])</f>
        <v>1</v>
      </c>
      <c r="O2614" s="1">
        <f>TablaDatos[[#This Row],[FechaIngreso]]+TablaDatos[[#This Row],[DiasNuevo]]</f>
        <v>45494</v>
      </c>
    </row>
    <row r="2615" spans="1:15">
      <c r="A2615">
        <v>2614</v>
      </c>
      <c r="B2615" t="s">
        <v>263</v>
      </c>
      <c r="C2615" s="1">
        <v>27395</v>
      </c>
      <c r="D2615">
        <v>51</v>
      </c>
      <c r="E2615" s="4" t="s">
        <v>15</v>
      </c>
      <c r="F2615" t="s">
        <v>21</v>
      </c>
      <c r="G2615" s="1">
        <v>45569</v>
      </c>
      <c r="H2615" s="1">
        <f>TablaDatos[[#This Row],[FechaIngreso]]+TablaDatos[[#This Row],[DiasNuevo]]</f>
        <v>45579</v>
      </c>
      <c r="I2615">
        <v>10</v>
      </c>
      <c r="J2615" t="s">
        <v>19</v>
      </c>
      <c r="K2615" s="3">
        <v>6928.07</v>
      </c>
      <c r="L2615" t="b">
        <f>TablaDatos[[#This Row],[FechaAlta]] &lt; TablaDatos[[#This Row],[FechaIngreso]]</f>
        <v>0</v>
      </c>
      <c r="M2615">
        <f>_xlfn.XLOOKUP(TablaDatos[[#This Row],[PacienteID]],'Datos_Ejemplo.csv'!A:A,'Datos_Ejemplo.csv'!I:I)</f>
        <v>10</v>
      </c>
      <c r="N2615">
        <f>ABS(TablaDatos[[#This Row],[DiasOriginal]])</f>
        <v>10</v>
      </c>
      <c r="O2615" s="1">
        <f>TablaDatos[[#This Row],[FechaIngreso]]+TablaDatos[[#This Row],[DiasNuevo]]</f>
        <v>45579</v>
      </c>
    </row>
    <row r="2616" spans="1:15">
      <c r="A2616">
        <v>2615</v>
      </c>
      <c r="B2616" t="s">
        <v>151</v>
      </c>
      <c r="C2616" s="1">
        <v>26299</v>
      </c>
      <c r="D2616">
        <v>54</v>
      </c>
      <c r="E2616" s="4" t="s">
        <v>12</v>
      </c>
      <c r="F2616" t="s">
        <v>18</v>
      </c>
      <c r="G2616" s="1">
        <v>45563</v>
      </c>
      <c r="H2616" s="1">
        <f>TablaDatos[[#This Row],[FechaIngreso]]+TablaDatos[[#This Row],[DiasNuevo]]</f>
        <v>45578</v>
      </c>
      <c r="I2616">
        <v>15</v>
      </c>
      <c r="J2616" t="s">
        <v>23</v>
      </c>
      <c r="K2616" s="3">
        <v>14952.81</v>
      </c>
      <c r="L2616" t="b">
        <f>TablaDatos[[#This Row],[FechaAlta]] &lt; TablaDatos[[#This Row],[FechaIngreso]]</f>
        <v>0</v>
      </c>
      <c r="M2616">
        <f>_xlfn.XLOOKUP(TablaDatos[[#This Row],[PacienteID]],'Datos_Ejemplo.csv'!A:A,'Datos_Ejemplo.csv'!I:I)</f>
        <v>15</v>
      </c>
      <c r="N2616">
        <f>ABS(TablaDatos[[#This Row],[DiasOriginal]])</f>
        <v>15</v>
      </c>
      <c r="O2616" s="1">
        <f>TablaDatos[[#This Row],[FechaIngreso]]+TablaDatos[[#This Row],[DiasNuevo]]</f>
        <v>45578</v>
      </c>
    </row>
    <row r="2617" spans="1:15">
      <c r="A2617">
        <v>2616</v>
      </c>
      <c r="B2617" t="s">
        <v>270</v>
      </c>
      <c r="C2617" s="1">
        <v>36891</v>
      </c>
      <c r="D2617">
        <v>25</v>
      </c>
      <c r="E2617" s="4" t="s">
        <v>15</v>
      </c>
      <c r="F2617" t="s">
        <v>261</v>
      </c>
      <c r="G2617" s="1">
        <v>45409</v>
      </c>
      <c r="H2617" s="1">
        <f>TablaDatos[[#This Row],[FechaIngreso]]+TablaDatos[[#This Row],[DiasNuevo]]</f>
        <v>45435</v>
      </c>
      <c r="I2617">
        <v>26</v>
      </c>
      <c r="J2617" t="s">
        <v>19</v>
      </c>
      <c r="K2617" s="3">
        <v>8711.93</v>
      </c>
      <c r="L2617" t="b">
        <f>TablaDatos[[#This Row],[FechaAlta]] &lt; TablaDatos[[#This Row],[FechaIngreso]]</f>
        <v>0</v>
      </c>
      <c r="M2617">
        <f>_xlfn.XLOOKUP(TablaDatos[[#This Row],[PacienteID]],'Datos_Ejemplo.csv'!A:A,'Datos_Ejemplo.csv'!I:I)</f>
        <v>26</v>
      </c>
      <c r="N2617">
        <f>ABS(TablaDatos[[#This Row],[DiasOriginal]])</f>
        <v>26</v>
      </c>
      <c r="O2617" s="1">
        <f>TablaDatos[[#This Row],[FechaIngreso]]+TablaDatos[[#This Row],[DiasNuevo]]</f>
        <v>45435</v>
      </c>
    </row>
    <row r="2618" spans="1:15">
      <c r="A2618">
        <v>2617</v>
      </c>
      <c r="B2618" t="s">
        <v>49</v>
      </c>
      <c r="C2618" s="1">
        <v>21551</v>
      </c>
      <c r="D2618">
        <v>67</v>
      </c>
      <c r="E2618" s="4" t="s">
        <v>12</v>
      </c>
      <c r="F2618" t="s">
        <v>32</v>
      </c>
      <c r="G2618" s="1">
        <v>45251</v>
      </c>
      <c r="H2618" s="1">
        <f>TablaDatos[[#This Row],[FechaIngreso]]+TablaDatos[[#This Row],[DiasNuevo]]</f>
        <v>45278</v>
      </c>
      <c r="I2618">
        <v>27</v>
      </c>
      <c r="J2618" t="s">
        <v>25</v>
      </c>
      <c r="K2618" s="3">
        <v>3351.46</v>
      </c>
      <c r="L2618" t="b">
        <f>TablaDatos[[#This Row],[FechaAlta]] &lt; TablaDatos[[#This Row],[FechaIngreso]]</f>
        <v>0</v>
      </c>
      <c r="M2618">
        <f>_xlfn.XLOOKUP(TablaDatos[[#This Row],[PacienteID]],'Datos_Ejemplo.csv'!A:A,'Datos_Ejemplo.csv'!I:I)</f>
        <v>27</v>
      </c>
      <c r="N2618">
        <f>ABS(TablaDatos[[#This Row],[DiasOriginal]])</f>
        <v>27</v>
      </c>
      <c r="O2618" s="1">
        <f>TablaDatos[[#This Row],[FechaIngreso]]+TablaDatos[[#This Row],[DiasNuevo]]</f>
        <v>45278</v>
      </c>
    </row>
    <row r="2619" spans="1:15">
      <c r="A2619">
        <v>2618</v>
      </c>
      <c r="B2619" t="s">
        <v>362</v>
      </c>
      <c r="C2619" s="1">
        <v>33969</v>
      </c>
      <c r="D2619">
        <v>33</v>
      </c>
      <c r="E2619" s="4" t="s">
        <v>12</v>
      </c>
      <c r="F2619" t="s">
        <v>295</v>
      </c>
      <c r="G2619" s="1">
        <v>45345</v>
      </c>
      <c r="H2619" s="1">
        <f>TablaDatos[[#This Row],[FechaIngreso]]+TablaDatos[[#This Row],[DiasNuevo]]</f>
        <v>45380</v>
      </c>
      <c r="I2619">
        <v>35</v>
      </c>
      <c r="J2619" t="s">
        <v>19</v>
      </c>
      <c r="K2619" s="3">
        <v>1720.22</v>
      </c>
      <c r="L2619" t="b">
        <f>TablaDatos[[#This Row],[FechaAlta]] &lt; TablaDatos[[#This Row],[FechaIngreso]]</f>
        <v>0</v>
      </c>
      <c r="M2619">
        <f>_xlfn.XLOOKUP(TablaDatos[[#This Row],[PacienteID]],'Datos_Ejemplo.csv'!A:A,'Datos_Ejemplo.csv'!I:I)</f>
        <v>35</v>
      </c>
      <c r="N2619">
        <f>ABS(TablaDatos[[#This Row],[DiasOriginal]])</f>
        <v>35</v>
      </c>
      <c r="O2619" s="1">
        <f>TablaDatos[[#This Row],[FechaIngreso]]+TablaDatos[[#This Row],[DiasNuevo]]</f>
        <v>45380</v>
      </c>
    </row>
    <row r="2620" spans="1:15">
      <c r="A2620">
        <v>2619</v>
      </c>
      <c r="B2620" t="s">
        <v>327</v>
      </c>
      <c r="C2620" s="1">
        <v>27395</v>
      </c>
      <c r="D2620">
        <v>51</v>
      </c>
      <c r="E2620" s="4" t="s">
        <v>15</v>
      </c>
      <c r="F2620" t="s">
        <v>201</v>
      </c>
      <c r="G2620" s="1">
        <v>44977</v>
      </c>
      <c r="H2620" s="1">
        <f>TablaDatos[[#This Row],[FechaIngreso]]+TablaDatos[[#This Row],[DiasNuevo]]</f>
        <v>45002</v>
      </c>
      <c r="I2620">
        <v>25</v>
      </c>
      <c r="J2620" t="s">
        <v>23</v>
      </c>
      <c r="K2620" s="3">
        <v>14182.8</v>
      </c>
      <c r="L2620" t="b">
        <f>TablaDatos[[#This Row],[FechaAlta]] &lt; TablaDatos[[#This Row],[FechaIngreso]]</f>
        <v>0</v>
      </c>
      <c r="M2620">
        <f>_xlfn.XLOOKUP(TablaDatos[[#This Row],[PacienteID]],'Datos_Ejemplo.csv'!A:A,'Datos_Ejemplo.csv'!I:I)</f>
        <v>25</v>
      </c>
      <c r="N2620">
        <f>ABS(TablaDatos[[#This Row],[DiasOriginal]])</f>
        <v>25</v>
      </c>
      <c r="O2620" s="1">
        <f>TablaDatos[[#This Row],[FechaIngreso]]+TablaDatos[[#This Row],[DiasNuevo]]</f>
        <v>45002</v>
      </c>
    </row>
    <row r="2621" spans="1:15">
      <c r="A2621">
        <v>2620</v>
      </c>
      <c r="B2621" t="s">
        <v>294</v>
      </c>
      <c r="C2621" s="1">
        <v>16437</v>
      </c>
      <c r="D2621">
        <v>81</v>
      </c>
      <c r="E2621" s="4" t="s">
        <v>12</v>
      </c>
      <c r="F2621" t="s">
        <v>295</v>
      </c>
      <c r="G2621" s="1">
        <v>44953</v>
      </c>
      <c r="H2621" s="1">
        <f>TablaDatos[[#This Row],[FechaIngreso]]+TablaDatos[[#This Row],[DiasNuevo]]</f>
        <v>44957</v>
      </c>
      <c r="I2621">
        <v>4</v>
      </c>
      <c r="J2621" t="s">
        <v>25</v>
      </c>
      <c r="K2621" s="3">
        <v>7652.87</v>
      </c>
      <c r="L2621" t="b">
        <f>TablaDatos[[#This Row],[FechaAlta]] &lt; TablaDatos[[#This Row],[FechaIngreso]]</f>
        <v>0</v>
      </c>
      <c r="M2621">
        <f>_xlfn.XLOOKUP(TablaDatos[[#This Row],[PacienteID]],'Datos_Ejemplo.csv'!A:A,'Datos_Ejemplo.csv'!I:I)</f>
        <v>4</v>
      </c>
      <c r="N2621">
        <f>ABS(TablaDatos[[#This Row],[DiasOriginal]])</f>
        <v>4</v>
      </c>
      <c r="O2621" s="1">
        <f>TablaDatos[[#This Row],[FechaIngreso]]+TablaDatos[[#This Row],[DiasNuevo]]</f>
        <v>44957</v>
      </c>
    </row>
    <row r="2622" spans="1:15">
      <c r="A2622">
        <v>2621</v>
      </c>
      <c r="B2622" t="s">
        <v>283</v>
      </c>
      <c r="C2622" s="1">
        <v>12419</v>
      </c>
      <c r="D2622">
        <v>92</v>
      </c>
      <c r="E2622" s="4" t="s">
        <v>15</v>
      </c>
      <c r="F2622" t="s">
        <v>261</v>
      </c>
      <c r="G2622" s="1">
        <v>45603</v>
      </c>
      <c r="H2622" s="1">
        <f>TablaDatos[[#This Row],[FechaIngreso]]+TablaDatos[[#This Row],[DiasNuevo]]</f>
        <v>45624</v>
      </c>
      <c r="I2622">
        <v>21</v>
      </c>
      <c r="J2622" t="s">
        <v>23</v>
      </c>
      <c r="K2622" s="3">
        <v>18246.75</v>
      </c>
      <c r="L2622" t="b">
        <f>TablaDatos[[#This Row],[FechaAlta]] &lt; TablaDatos[[#This Row],[FechaIngreso]]</f>
        <v>0</v>
      </c>
      <c r="M2622">
        <f>_xlfn.XLOOKUP(TablaDatos[[#This Row],[PacienteID]],'Datos_Ejemplo.csv'!A:A,'Datos_Ejemplo.csv'!I:I)</f>
        <v>21</v>
      </c>
      <c r="N2622">
        <f>ABS(TablaDatos[[#This Row],[DiasOriginal]])</f>
        <v>21</v>
      </c>
      <c r="O2622" s="1">
        <f>TablaDatos[[#This Row],[FechaIngreso]]+TablaDatos[[#This Row],[DiasNuevo]]</f>
        <v>45624</v>
      </c>
    </row>
    <row r="2623" spans="1:15">
      <c r="A2623">
        <v>2622</v>
      </c>
      <c r="B2623" t="s">
        <v>354</v>
      </c>
      <c r="C2623" s="1">
        <v>27395</v>
      </c>
      <c r="D2623">
        <v>51</v>
      </c>
      <c r="E2623" s="4" t="s">
        <v>12</v>
      </c>
      <c r="F2623" t="s">
        <v>18</v>
      </c>
      <c r="G2623" s="1">
        <v>45471</v>
      </c>
      <c r="H2623" s="1">
        <f>TablaDatos[[#This Row],[FechaIngreso]]+TablaDatos[[#This Row],[DiasNuevo]]</f>
        <v>45509</v>
      </c>
      <c r="I2623">
        <v>38</v>
      </c>
      <c r="J2623" t="s">
        <v>19</v>
      </c>
      <c r="K2623" s="3">
        <v>10759.13</v>
      </c>
      <c r="L2623" t="b">
        <f>TablaDatos[[#This Row],[FechaAlta]] &lt; TablaDatos[[#This Row],[FechaIngreso]]</f>
        <v>0</v>
      </c>
      <c r="M2623">
        <f>_xlfn.XLOOKUP(TablaDatos[[#This Row],[PacienteID]],'Datos_Ejemplo.csv'!A:A,'Datos_Ejemplo.csv'!I:I)</f>
        <v>38</v>
      </c>
      <c r="N2623">
        <f>ABS(TablaDatos[[#This Row],[DiasOriginal]])</f>
        <v>38</v>
      </c>
      <c r="O2623" s="1">
        <f>TablaDatos[[#This Row],[FechaIngreso]]+TablaDatos[[#This Row],[DiasNuevo]]</f>
        <v>45509</v>
      </c>
    </row>
    <row r="2624" spans="1:15">
      <c r="A2624">
        <v>2623</v>
      </c>
      <c r="B2624" t="s">
        <v>356</v>
      </c>
      <c r="C2624" s="1">
        <v>35795</v>
      </c>
      <c r="D2624">
        <v>28</v>
      </c>
      <c r="E2624" s="4" t="s">
        <v>15</v>
      </c>
      <c r="F2624" t="s">
        <v>261</v>
      </c>
      <c r="G2624" s="1">
        <v>44988</v>
      </c>
      <c r="H2624" s="1">
        <f>TablaDatos[[#This Row],[FechaIngreso]]+TablaDatos[[#This Row],[DiasNuevo]]</f>
        <v>44995</v>
      </c>
      <c r="I2624">
        <v>7</v>
      </c>
      <c r="J2624" t="s">
        <v>19</v>
      </c>
      <c r="K2624" s="3">
        <v>6903.49</v>
      </c>
      <c r="L2624" t="b">
        <f>TablaDatos[[#This Row],[FechaAlta]] &lt; TablaDatos[[#This Row],[FechaIngreso]]</f>
        <v>0</v>
      </c>
      <c r="M2624">
        <f>_xlfn.XLOOKUP(TablaDatos[[#This Row],[PacienteID]],'Datos_Ejemplo.csv'!A:A,'Datos_Ejemplo.csv'!I:I)</f>
        <v>7</v>
      </c>
      <c r="N2624">
        <f>ABS(TablaDatos[[#This Row],[DiasOriginal]])</f>
        <v>7</v>
      </c>
      <c r="O2624" s="1">
        <f>TablaDatos[[#This Row],[FechaIngreso]]+TablaDatos[[#This Row],[DiasNuevo]]</f>
        <v>44995</v>
      </c>
    </row>
    <row r="2625" spans="1:15">
      <c r="A2625">
        <v>2624</v>
      </c>
      <c r="B2625" t="s">
        <v>329</v>
      </c>
      <c r="C2625" s="1">
        <v>32508</v>
      </c>
      <c r="D2625">
        <v>37</v>
      </c>
      <c r="E2625" s="4" t="s">
        <v>15</v>
      </c>
      <c r="F2625" t="s">
        <v>201</v>
      </c>
      <c r="G2625" s="1">
        <v>45583</v>
      </c>
      <c r="H2625" s="1">
        <f>TablaDatos[[#This Row],[FechaIngreso]]+TablaDatos[[#This Row],[DiasNuevo]]</f>
        <v>45617</v>
      </c>
      <c r="I2625">
        <v>34</v>
      </c>
      <c r="J2625" t="s">
        <v>23</v>
      </c>
      <c r="K2625" s="3">
        <v>6914.72</v>
      </c>
      <c r="L2625" t="b">
        <f>TablaDatos[[#This Row],[FechaAlta]] &lt; TablaDatos[[#This Row],[FechaIngreso]]</f>
        <v>0</v>
      </c>
      <c r="M2625">
        <f>_xlfn.XLOOKUP(TablaDatos[[#This Row],[PacienteID]],'Datos_Ejemplo.csv'!A:A,'Datos_Ejemplo.csv'!I:I)</f>
        <v>34</v>
      </c>
      <c r="N2625">
        <f>ABS(TablaDatos[[#This Row],[DiasOriginal]])</f>
        <v>34</v>
      </c>
      <c r="O2625" s="1">
        <f>TablaDatos[[#This Row],[FechaIngreso]]+TablaDatos[[#This Row],[DiasNuevo]]</f>
        <v>45617</v>
      </c>
    </row>
    <row r="2626" spans="1:15">
      <c r="A2626">
        <v>2625</v>
      </c>
      <c r="B2626" t="s">
        <v>90</v>
      </c>
      <c r="C2626" s="1">
        <v>31047</v>
      </c>
      <c r="D2626">
        <v>41</v>
      </c>
      <c r="E2626" s="4" t="s">
        <v>15</v>
      </c>
      <c r="F2626" t="s">
        <v>201</v>
      </c>
      <c r="G2626" s="1">
        <v>45097</v>
      </c>
      <c r="H2626" s="1">
        <f>TablaDatos[[#This Row],[FechaIngreso]]+TablaDatos[[#This Row],[DiasNuevo]]</f>
        <v>45121</v>
      </c>
      <c r="I2626">
        <v>24</v>
      </c>
      <c r="J2626" t="s">
        <v>23</v>
      </c>
      <c r="K2626" s="3">
        <v>2541.9</v>
      </c>
      <c r="L2626" t="b">
        <f>TablaDatos[[#This Row],[FechaAlta]] &lt; TablaDatos[[#This Row],[FechaIngreso]]</f>
        <v>0</v>
      </c>
      <c r="M2626">
        <f>_xlfn.XLOOKUP(TablaDatos[[#This Row],[PacienteID]],'Datos_Ejemplo.csv'!A:A,'Datos_Ejemplo.csv'!I:I)</f>
        <v>24</v>
      </c>
      <c r="N2626">
        <f>ABS(TablaDatos[[#This Row],[DiasOriginal]])</f>
        <v>24</v>
      </c>
      <c r="O2626" s="1">
        <f>TablaDatos[[#This Row],[FechaIngreso]]+TablaDatos[[#This Row],[DiasNuevo]]</f>
        <v>45121</v>
      </c>
    </row>
    <row r="2627" spans="1:15">
      <c r="A2627">
        <v>2626</v>
      </c>
      <c r="B2627" t="s">
        <v>336</v>
      </c>
      <c r="C2627" s="1">
        <v>38717</v>
      </c>
      <c r="D2627">
        <v>20</v>
      </c>
      <c r="E2627" s="4" t="s">
        <v>15</v>
      </c>
      <c r="F2627" t="s">
        <v>21</v>
      </c>
      <c r="G2627" s="1">
        <v>45212</v>
      </c>
      <c r="H2627" s="1">
        <f>TablaDatos[[#This Row],[FechaIngreso]]+TablaDatos[[#This Row],[DiasNuevo]]</f>
        <v>45230</v>
      </c>
      <c r="I2627">
        <v>18</v>
      </c>
      <c r="J2627" t="s">
        <v>23</v>
      </c>
      <c r="K2627" s="3">
        <v>11835.16</v>
      </c>
      <c r="L2627" t="b">
        <f>TablaDatos[[#This Row],[FechaAlta]] &lt; TablaDatos[[#This Row],[FechaIngreso]]</f>
        <v>0</v>
      </c>
      <c r="M2627">
        <f>_xlfn.XLOOKUP(TablaDatos[[#This Row],[PacienteID]],'Datos_Ejemplo.csv'!A:A,'Datos_Ejemplo.csv'!I:I)</f>
        <v>18</v>
      </c>
      <c r="N2627">
        <f>ABS(TablaDatos[[#This Row],[DiasOriginal]])</f>
        <v>18</v>
      </c>
      <c r="O2627" s="1">
        <f>TablaDatos[[#This Row],[FechaIngreso]]+TablaDatos[[#This Row],[DiasNuevo]]</f>
        <v>45230</v>
      </c>
    </row>
    <row r="2628" spans="1:15">
      <c r="A2628">
        <v>2627</v>
      </c>
      <c r="B2628" t="s">
        <v>244</v>
      </c>
      <c r="C2628" s="1">
        <v>31047</v>
      </c>
      <c r="D2628">
        <v>41</v>
      </c>
      <c r="E2628" s="4" t="s">
        <v>12</v>
      </c>
      <c r="F2628" t="s">
        <v>32</v>
      </c>
      <c r="G2628" s="1">
        <v>45043</v>
      </c>
      <c r="H2628" s="1">
        <f>TablaDatos[[#This Row],[FechaIngreso]]+TablaDatos[[#This Row],[DiasNuevo]]</f>
        <v>45076</v>
      </c>
      <c r="I2628">
        <v>33</v>
      </c>
      <c r="J2628" t="s">
        <v>23</v>
      </c>
      <c r="K2628" s="3">
        <v>11601.56</v>
      </c>
      <c r="L2628" t="b">
        <f>TablaDatos[[#This Row],[FechaAlta]] &lt; TablaDatos[[#This Row],[FechaIngreso]]</f>
        <v>0</v>
      </c>
      <c r="M2628">
        <f>_xlfn.XLOOKUP(TablaDatos[[#This Row],[PacienteID]],'Datos_Ejemplo.csv'!A:A,'Datos_Ejemplo.csv'!I:I)</f>
        <v>33</v>
      </c>
      <c r="N2628">
        <f>ABS(TablaDatos[[#This Row],[DiasOriginal]])</f>
        <v>33</v>
      </c>
      <c r="O2628" s="1">
        <f>TablaDatos[[#This Row],[FechaIngreso]]+TablaDatos[[#This Row],[DiasNuevo]]</f>
        <v>45076</v>
      </c>
    </row>
    <row r="2629" spans="1:15">
      <c r="A2629">
        <v>2628</v>
      </c>
      <c r="B2629" t="s">
        <v>258</v>
      </c>
      <c r="C2629" s="1">
        <v>41639</v>
      </c>
      <c r="D2629">
        <v>12</v>
      </c>
      <c r="E2629" s="4" t="s">
        <v>12</v>
      </c>
      <c r="F2629" t="s">
        <v>261</v>
      </c>
      <c r="G2629" s="1">
        <v>44930</v>
      </c>
      <c r="H2629" s="1">
        <f>TablaDatos[[#This Row],[FechaIngreso]]+TablaDatos[[#This Row],[DiasNuevo]]</f>
        <v>44956</v>
      </c>
      <c r="I2629">
        <v>26</v>
      </c>
      <c r="J2629" t="s">
        <v>23</v>
      </c>
      <c r="K2629" s="3">
        <v>15979.87</v>
      </c>
      <c r="L2629" t="b">
        <f>TablaDatos[[#This Row],[FechaAlta]] &lt; TablaDatos[[#This Row],[FechaIngreso]]</f>
        <v>0</v>
      </c>
      <c r="M2629">
        <f>_xlfn.XLOOKUP(TablaDatos[[#This Row],[PacienteID]],'Datos_Ejemplo.csv'!A:A,'Datos_Ejemplo.csv'!I:I)</f>
        <v>26</v>
      </c>
      <c r="N2629">
        <f>ABS(TablaDatos[[#This Row],[DiasOriginal]])</f>
        <v>26</v>
      </c>
      <c r="O2629" s="1">
        <f>TablaDatos[[#This Row],[FechaIngreso]]+TablaDatos[[#This Row],[DiasNuevo]]</f>
        <v>44956</v>
      </c>
    </row>
    <row r="2630" spans="1:15">
      <c r="A2630">
        <v>2629</v>
      </c>
      <c r="B2630" t="s">
        <v>146</v>
      </c>
      <c r="C2630" s="1">
        <v>23012</v>
      </c>
      <c r="D2630">
        <v>63</v>
      </c>
      <c r="E2630" s="4" t="s">
        <v>15</v>
      </c>
      <c r="F2630" t="s">
        <v>295</v>
      </c>
      <c r="G2630" s="1">
        <v>44992</v>
      </c>
      <c r="H2630" s="1">
        <f>TablaDatos[[#This Row],[FechaIngreso]]+TablaDatos[[#This Row],[DiasNuevo]]</f>
        <v>44996</v>
      </c>
      <c r="I2630">
        <v>4</v>
      </c>
      <c r="J2630" t="s">
        <v>23</v>
      </c>
      <c r="K2630" s="3">
        <v>3944.06</v>
      </c>
      <c r="L2630" t="b">
        <f>TablaDatos[[#This Row],[FechaAlta]] &lt; TablaDatos[[#This Row],[FechaIngreso]]</f>
        <v>0</v>
      </c>
      <c r="M2630">
        <f>_xlfn.XLOOKUP(TablaDatos[[#This Row],[PacienteID]],'Datos_Ejemplo.csv'!A:A,'Datos_Ejemplo.csv'!I:I)</f>
        <v>4</v>
      </c>
      <c r="N2630">
        <f>ABS(TablaDatos[[#This Row],[DiasOriginal]])</f>
        <v>4</v>
      </c>
      <c r="O2630" s="1">
        <f>TablaDatos[[#This Row],[FechaIngreso]]+TablaDatos[[#This Row],[DiasNuevo]]</f>
        <v>44996</v>
      </c>
    </row>
    <row r="2631" spans="1:15">
      <c r="A2631">
        <v>2630</v>
      </c>
      <c r="B2631" t="s">
        <v>55</v>
      </c>
      <c r="C2631" s="1">
        <v>40178</v>
      </c>
      <c r="D2631">
        <v>16</v>
      </c>
      <c r="E2631" s="4" t="s">
        <v>15</v>
      </c>
      <c r="F2631" t="s">
        <v>295</v>
      </c>
      <c r="G2631" s="1">
        <v>44986</v>
      </c>
      <c r="H2631" s="1">
        <f>TablaDatos[[#This Row],[FechaIngreso]]+TablaDatos[[#This Row],[DiasNuevo]]</f>
        <v>44996</v>
      </c>
      <c r="I2631">
        <v>10</v>
      </c>
      <c r="J2631" t="s">
        <v>25</v>
      </c>
      <c r="K2631" s="3">
        <v>5744.87</v>
      </c>
      <c r="L2631" t="b">
        <f>TablaDatos[[#This Row],[FechaAlta]] &lt; TablaDatos[[#This Row],[FechaIngreso]]</f>
        <v>0</v>
      </c>
      <c r="M2631">
        <f>_xlfn.XLOOKUP(TablaDatos[[#This Row],[PacienteID]],'Datos_Ejemplo.csv'!A:A,'Datos_Ejemplo.csv'!I:I)</f>
        <v>10</v>
      </c>
      <c r="N2631">
        <f>ABS(TablaDatos[[#This Row],[DiasOriginal]])</f>
        <v>10</v>
      </c>
      <c r="O2631" s="1">
        <f>TablaDatos[[#This Row],[FechaIngreso]]+TablaDatos[[#This Row],[DiasNuevo]]</f>
        <v>44996</v>
      </c>
    </row>
    <row r="2632" spans="1:15">
      <c r="A2632">
        <v>2631</v>
      </c>
      <c r="B2632" t="s">
        <v>276</v>
      </c>
      <c r="C2632" s="1">
        <f ca="1">DATE(YEAR(TODAY())-TablaDatos[[#This Row],[Edad]],1,1)</f>
        <v>43101</v>
      </c>
      <c r="D2632">
        <v>8</v>
      </c>
      <c r="E2632" s="4" t="s">
        <v>15</v>
      </c>
      <c r="F2632" t="s">
        <v>21</v>
      </c>
      <c r="G2632" s="1">
        <v>45428</v>
      </c>
      <c r="H2632" s="1">
        <f>TablaDatos[[#This Row],[FechaIngreso]]+TablaDatos[[#This Row],[DiasNuevo]]</f>
        <v>45448</v>
      </c>
      <c r="I2632">
        <v>20</v>
      </c>
      <c r="J2632" t="s">
        <v>23</v>
      </c>
      <c r="K2632" s="3">
        <v>1854.48</v>
      </c>
      <c r="L2632" t="b">
        <f>TablaDatos[[#This Row],[FechaAlta]] &lt; TablaDatos[[#This Row],[FechaIngreso]]</f>
        <v>0</v>
      </c>
      <c r="M2632">
        <f>_xlfn.XLOOKUP(TablaDatos[[#This Row],[PacienteID]],'Datos_Ejemplo.csv'!A:A,'Datos_Ejemplo.csv'!I:I)</f>
        <v>20</v>
      </c>
      <c r="N2632">
        <f>ABS(TablaDatos[[#This Row],[DiasOriginal]])</f>
        <v>20</v>
      </c>
      <c r="O2632" s="1">
        <f>TablaDatos[[#This Row],[FechaIngreso]]+TablaDatos[[#This Row],[DiasNuevo]]</f>
        <v>45448</v>
      </c>
    </row>
    <row r="2633" spans="1:15">
      <c r="A2633">
        <v>2632</v>
      </c>
      <c r="B2633" t="s">
        <v>90</v>
      </c>
      <c r="C2633" s="1">
        <f ca="1">DATE(YEAR(TODAY())-TablaDatos[[#This Row],[Edad]],1,1)</f>
        <v>31413</v>
      </c>
      <c r="D2633">
        <v>40</v>
      </c>
      <c r="E2633" s="4" t="s">
        <v>12</v>
      </c>
      <c r="F2633" t="s">
        <v>18</v>
      </c>
      <c r="G2633" s="1">
        <v>45155</v>
      </c>
      <c r="H2633" s="1">
        <f>TablaDatos[[#This Row],[FechaIngreso]]+TablaDatos[[#This Row],[DiasNuevo]]</f>
        <v>45177</v>
      </c>
      <c r="I2633">
        <v>22</v>
      </c>
      <c r="J2633" t="s">
        <v>25</v>
      </c>
      <c r="K2633" s="3">
        <v>5836.38</v>
      </c>
      <c r="L2633" t="b">
        <f>TablaDatos[[#This Row],[FechaAlta]] &lt; TablaDatos[[#This Row],[FechaIngreso]]</f>
        <v>0</v>
      </c>
      <c r="M2633">
        <f>_xlfn.XLOOKUP(TablaDatos[[#This Row],[PacienteID]],'Datos_Ejemplo.csv'!A:A,'Datos_Ejemplo.csv'!I:I)</f>
        <v>22</v>
      </c>
      <c r="N2633">
        <f>ABS(TablaDatos[[#This Row],[DiasOriginal]])</f>
        <v>22</v>
      </c>
      <c r="O2633" s="1">
        <f>TablaDatos[[#This Row],[FechaIngreso]]+TablaDatos[[#This Row],[DiasNuevo]]</f>
        <v>45177</v>
      </c>
    </row>
    <row r="2634" spans="1:15">
      <c r="A2634">
        <v>2633</v>
      </c>
      <c r="B2634" t="s">
        <v>300</v>
      </c>
      <c r="C2634" s="1">
        <v>46022</v>
      </c>
      <c r="D2634">
        <v>0</v>
      </c>
      <c r="E2634" s="4" t="s">
        <v>12</v>
      </c>
      <c r="F2634" t="s">
        <v>261</v>
      </c>
      <c r="G2634" s="1">
        <v>45026</v>
      </c>
      <c r="H2634" s="1">
        <f>TablaDatos[[#This Row],[FechaIngreso]]+TablaDatos[[#This Row],[DiasNuevo]]</f>
        <v>45064</v>
      </c>
      <c r="I2634">
        <v>38</v>
      </c>
      <c r="J2634" t="s">
        <v>23</v>
      </c>
      <c r="K2634" s="3">
        <v>8504.85</v>
      </c>
      <c r="L2634" t="b">
        <f>TablaDatos[[#This Row],[FechaAlta]] &lt; TablaDatos[[#This Row],[FechaIngreso]]</f>
        <v>0</v>
      </c>
      <c r="M2634">
        <f>_xlfn.XLOOKUP(TablaDatos[[#This Row],[PacienteID]],'Datos_Ejemplo.csv'!A:A,'Datos_Ejemplo.csv'!I:I)</f>
        <v>38</v>
      </c>
      <c r="N2634">
        <f>ABS(TablaDatos[[#This Row],[DiasOriginal]])</f>
        <v>38</v>
      </c>
      <c r="O2634" s="1">
        <f>TablaDatos[[#This Row],[FechaIngreso]]+TablaDatos[[#This Row],[DiasNuevo]]</f>
        <v>45064</v>
      </c>
    </row>
    <row r="2635" spans="1:15">
      <c r="A2635">
        <v>2634</v>
      </c>
      <c r="B2635" t="s">
        <v>347</v>
      </c>
      <c r="C2635" s="1">
        <v>45657</v>
      </c>
      <c r="D2635">
        <f ca="1">DATEDIF(TablaDatos[[#This Row],[FechaNacimiento]],TODAY(),"Y")</f>
        <v>1</v>
      </c>
      <c r="E2635" s="4" t="s">
        <v>15</v>
      </c>
      <c r="F2635" t="s">
        <v>13</v>
      </c>
      <c r="G2635" s="1">
        <v>45045</v>
      </c>
      <c r="H2635" s="1">
        <f>TablaDatos[[#This Row],[FechaIngreso]]+TablaDatos[[#This Row],[DiasNuevo]]</f>
        <v>45055</v>
      </c>
      <c r="I2635">
        <v>10</v>
      </c>
      <c r="J2635" t="s">
        <v>23</v>
      </c>
      <c r="K2635" s="3">
        <v>19276.97</v>
      </c>
      <c r="L2635" t="b">
        <f>TablaDatos[[#This Row],[FechaAlta]] &lt; TablaDatos[[#This Row],[FechaIngreso]]</f>
        <v>0</v>
      </c>
      <c r="M2635">
        <f>_xlfn.XLOOKUP(TablaDatos[[#This Row],[PacienteID]],'Datos_Ejemplo.csv'!A:A,'Datos_Ejemplo.csv'!I:I)</f>
        <v>10</v>
      </c>
      <c r="N2635">
        <f>ABS(TablaDatos[[#This Row],[DiasOriginal]])</f>
        <v>10</v>
      </c>
      <c r="O2635" s="1">
        <f>TablaDatos[[#This Row],[FechaIngreso]]+TablaDatos[[#This Row],[DiasNuevo]]</f>
        <v>45055</v>
      </c>
    </row>
    <row r="2636" spans="1:15">
      <c r="A2636">
        <v>2635</v>
      </c>
      <c r="B2636" t="s">
        <v>357</v>
      </c>
      <c r="C2636" s="1">
        <v>24473</v>
      </c>
      <c r="D2636">
        <f ca="1">DATEDIF(TablaDatos[[#This Row],[FechaNacimiento]],TODAY(),"Y")</f>
        <v>59</v>
      </c>
      <c r="E2636" s="4" t="s">
        <v>12</v>
      </c>
      <c r="F2636" t="s">
        <v>18</v>
      </c>
      <c r="G2636" s="1">
        <v>44995</v>
      </c>
      <c r="H2636" s="1">
        <f>TablaDatos[[#This Row],[FechaIngreso]]+TablaDatos[[#This Row],[DiasNuevo]]</f>
        <v>45029</v>
      </c>
      <c r="I2636">
        <v>34</v>
      </c>
      <c r="J2636" t="s">
        <v>23</v>
      </c>
      <c r="K2636" s="3">
        <v>13026.63</v>
      </c>
      <c r="L2636" t="b">
        <f>TablaDatos[[#This Row],[FechaAlta]] &lt; TablaDatos[[#This Row],[FechaIngreso]]</f>
        <v>0</v>
      </c>
      <c r="M2636">
        <f>_xlfn.XLOOKUP(TablaDatos[[#This Row],[PacienteID]],'Datos_Ejemplo.csv'!A:A,'Datos_Ejemplo.csv'!I:I)</f>
        <v>34</v>
      </c>
      <c r="N2636">
        <f>ABS(TablaDatos[[#This Row],[DiasOriginal]])</f>
        <v>34</v>
      </c>
      <c r="O2636" s="1">
        <f>TablaDatos[[#This Row],[FechaIngreso]]+TablaDatos[[#This Row],[DiasNuevo]]</f>
        <v>45029</v>
      </c>
    </row>
    <row r="2637" spans="1:15">
      <c r="A2637">
        <v>2636</v>
      </c>
      <c r="B2637" t="s">
        <v>361</v>
      </c>
      <c r="C2637" s="1">
        <v>28856</v>
      </c>
      <c r="D2637">
        <v>47</v>
      </c>
      <c r="E2637" s="4" t="s">
        <v>15</v>
      </c>
      <c r="F2637" t="s">
        <v>295</v>
      </c>
      <c r="G2637" s="1">
        <v>45590</v>
      </c>
      <c r="H2637" s="1">
        <f>TablaDatos[[#This Row],[FechaIngreso]]+TablaDatos[[#This Row],[DiasNuevo]]</f>
        <v>45617</v>
      </c>
      <c r="I2637">
        <v>27</v>
      </c>
      <c r="J2637" t="s">
        <v>19</v>
      </c>
      <c r="K2637" s="3">
        <v>15635.77</v>
      </c>
      <c r="L2637" t="b">
        <f>TablaDatos[[#This Row],[FechaAlta]] &lt; TablaDatos[[#This Row],[FechaIngreso]]</f>
        <v>0</v>
      </c>
      <c r="M2637">
        <f>_xlfn.XLOOKUP(TablaDatos[[#This Row],[PacienteID]],'Datos_Ejemplo.csv'!A:A,'Datos_Ejemplo.csv'!I:I)</f>
        <v>27</v>
      </c>
      <c r="N2637">
        <f>ABS(TablaDatos[[#This Row],[DiasOriginal]])</f>
        <v>27</v>
      </c>
      <c r="O2637" s="1">
        <f>TablaDatos[[#This Row],[FechaIngreso]]+TablaDatos[[#This Row],[DiasNuevo]]</f>
        <v>45617</v>
      </c>
    </row>
    <row r="2638" spans="1:15">
      <c r="A2638">
        <v>2637</v>
      </c>
      <c r="B2638" t="s">
        <v>122</v>
      </c>
      <c r="C2638" s="1">
        <v>35795</v>
      </c>
      <c r="D2638">
        <v>28</v>
      </c>
      <c r="E2638" s="4" t="s">
        <v>12</v>
      </c>
      <c r="F2638" t="s">
        <v>201</v>
      </c>
      <c r="G2638" s="1">
        <v>45147</v>
      </c>
      <c r="H2638" s="1">
        <f>TablaDatos[[#This Row],[FechaIngreso]]+TablaDatos[[#This Row],[DiasNuevo]]</f>
        <v>45170</v>
      </c>
      <c r="I2638">
        <v>23</v>
      </c>
      <c r="J2638" t="s">
        <v>23</v>
      </c>
      <c r="K2638" s="3">
        <v>6442.75</v>
      </c>
      <c r="L2638" t="b">
        <f>TablaDatos[[#This Row],[FechaAlta]] &lt; TablaDatos[[#This Row],[FechaIngreso]]</f>
        <v>0</v>
      </c>
      <c r="M2638">
        <f>_xlfn.XLOOKUP(TablaDatos[[#This Row],[PacienteID]],'Datos_Ejemplo.csv'!A:A,'Datos_Ejemplo.csv'!I:I)</f>
        <v>23</v>
      </c>
      <c r="N2638">
        <f>ABS(TablaDatos[[#This Row],[DiasOriginal]])</f>
        <v>23</v>
      </c>
      <c r="O2638" s="1">
        <f>TablaDatos[[#This Row],[FechaIngreso]]+TablaDatos[[#This Row],[DiasNuevo]]</f>
        <v>45170</v>
      </c>
    </row>
    <row r="2639" spans="1:15">
      <c r="A2639">
        <v>2638</v>
      </c>
      <c r="B2639" t="s">
        <v>281</v>
      </c>
      <c r="C2639" s="1">
        <v>42735</v>
      </c>
      <c r="D2639">
        <v>9</v>
      </c>
      <c r="E2639" s="4" t="s">
        <v>12</v>
      </c>
      <c r="F2639" t="s">
        <v>261</v>
      </c>
      <c r="G2639" s="1">
        <v>45149</v>
      </c>
      <c r="H2639" s="1">
        <f>TablaDatos[[#This Row],[FechaIngreso]]+TablaDatos[[#This Row],[DiasNuevo]]</f>
        <v>45158</v>
      </c>
      <c r="I2639">
        <v>9</v>
      </c>
      <c r="J2639" t="s">
        <v>23</v>
      </c>
      <c r="K2639" s="3">
        <v>2804.71</v>
      </c>
      <c r="L2639" t="b">
        <f>TablaDatos[[#This Row],[FechaAlta]] &lt; TablaDatos[[#This Row],[FechaIngreso]]</f>
        <v>0</v>
      </c>
      <c r="M2639">
        <f>_xlfn.XLOOKUP(TablaDatos[[#This Row],[PacienteID]],'Datos_Ejemplo.csv'!A:A,'Datos_Ejemplo.csv'!I:I)</f>
        <v>9</v>
      </c>
      <c r="N2639">
        <f>ABS(TablaDatos[[#This Row],[DiasOriginal]])</f>
        <v>9</v>
      </c>
      <c r="O2639" s="1">
        <f>TablaDatos[[#This Row],[FechaIngreso]]+TablaDatos[[#This Row],[DiasNuevo]]</f>
        <v>45158</v>
      </c>
    </row>
    <row r="2640" spans="1:15">
      <c r="A2640">
        <v>2639</v>
      </c>
      <c r="B2640" t="s">
        <v>256</v>
      </c>
      <c r="C2640" s="1">
        <v>25203</v>
      </c>
      <c r="D2640">
        <v>57</v>
      </c>
      <c r="E2640" s="4" t="s">
        <v>12</v>
      </c>
      <c r="F2640" t="s">
        <v>201</v>
      </c>
      <c r="G2640" s="1">
        <v>45603</v>
      </c>
      <c r="H2640" s="1">
        <f>TablaDatos[[#This Row],[FechaIngreso]]+TablaDatos[[#This Row],[DiasNuevo]]</f>
        <v>45605</v>
      </c>
      <c r="I2640">
        <v>2</v>
      </c>
      <c r="J2640" t="s">
        <v>19</v>
      </c>
      <c r="K2640" s="3">
        <v>5060.07</v>
      </c>
      <c r="L2640" t="b">
        <f>TablaDatos[[#This Row],[FechaAlta]] &lt; TablaDatos[[#This Row],[FechaIngreso]]</f>
        <v>0</v>
      </c>
      <c r="M2640">
        <f>_xlfn.XLOOKUP(TablaDatos[[#This Row],[PacienteID]],'Datos_Ejemplo.csv'!A:A,'Datos_Ejemplo.csv'!I:I)</f>
        <v>-2</v>
      </c>
      <c r="N2640">
        <f>ABS(TablaDatos[[#This Row],[DiasOriginal]])</f>
        <v>2</v>
      </c>
      <c r="O2640" s="1">
        <f>TablaDatos[[#This Row],[FechaIngreso]]+TablaDatos[[#This Row],[DiasNuevo]]</f>
        <v>45605</v>
      </c>
    </row>
    <row r="2641" spans="1:15">
      <c r="A2641">
        <v>2640</v>
      </c>
      <c r="B2641" t="s">
        <v>287</v>
      </c>
      <c r="C2641" s="1">
        <v>24473</v>
      </c>
      <c r="D2641">
        <v>59</v>
      </c>
      <c r="E2641" s="4" t="s">
        <v>12</v>
      </c>
      <c r="F2641" t="s">
        <v>295</v>
      </c>
      <c r="G2641" s="1">
        <v>45430</v>
      </c>
      <c r="H2641" s="1">
        <f>TablaDatos[[#This Row],[FechaIngreso]]+TablaDatos[[#This Row],[DiasNuevo]]</f>
        <v>45445</v>
      </c>
      <c r="I2641">
        <v>15</v>
      </c>
      <c r="J2641" t="s">
        <v>23</v>
      </c>
      <c r="K2641" s="3">
        <v>5055</v>
      </c>
      <c r="L2641" t="b">
        <f>TablaDatos[[#This Row],[FechaAlta]] &lt; TablaDatos[[#This Row],[FechaIngreso]]</f>
        <v>0</v>
      </c>
      <c r="M2641">
        <f>_xlfn.XLOOKUP(TablaDatos[[#This Row],[PacienteID]],'Datos_Ejemplo.csv'!A:A,'Datos_Ejemplo.csv'!I:I)</f>
        <v>15</v>
      </c>
      <c r="N2641">
        <f>ABS(TablaDatos[[#This Row],[DiasOriginal]])</f>
        <v>15</v>
      </c>
      <c r="O2641" s="1">
        <f>TablaDatos[[#This Row],[FechaIngreso]]+TablaDatos[[#This Row],[DiasNuevo]]</f>
        <v>45445</v>
      </c>
    </row>
    <row r="2642" spans="1:15">
      <c r="A2642">
        <v>2641</v>
      </c>
      <c r="B2642" t="s">
        <v>266</v>
      </c>
      <c r="C2642" s="1">
        <v>38717</v>
      </c>
      <c r="D2642">
        <v>20</v>
      </c>
      <c r="E2642" s="4" t="s">
        <v>12</v>
      </c>
      <c r="F2642" t="s">
        <v>32</v>
      </c>
      <c r="G2642" s="1">
        <v>45137</v>
      </c>
      <c r="H2642" s="1">
        <f>TablaDatos[[#This Row],[FechaIngreso]]+TablaDatos[[#This Row],[DiasNuevo]]</f>
        <v>45155</v>
      </c>
      <c r="I2642">
        <v>18</v>
      </c>
      <c r="J2642" t="s">
        <v>23</v>
      </c>
      <c r="K2642" s="3">
        <v>11620.62</v>
      </c>
      <c r="L2642" t="b">
        <f>TablaDatos[[#This Row],[FechaAlta]] &lt; TablaDatos[[#This Row],[FechaIngreso]]</f>
        <v>0</v>
      </c>
      <c r="M2642">
        <f>_xlfn.XLOOKUP(TablaDatos[[#This Row],[PacienteID]],'Datos_Ejemplo.csv'!A:A,'Datos_Ejemplo.csv'!I:I)</f>
        <v>18</v>
      </c>
      <c r="N2642">
        <f>ABS(TablaDatos[[#This Row],[DiasOriginal]])</f>
        <v>18</v>
      </c>
      <c r="O2642" s="1">
        <f>TablaDatos[[#This Row],[FechaIngreso]]+TablaDatos[[#This Row],[DiasNuevo]]</f>
        <v>45155</v>
      </c>
    </row>
    <row r="2643" spans="1:15">
      <c r="A2643">
        <v>2642</v>
      </c>
      <c r="B2643" t="s">
        <v>273</v>
      </c>
      <c r="C2643" s="1">
        <f ca="1">DATE(YEAR(TODAY())-TablaDatos[[#This Row],[Edad]],1,1)</f>
        <v>0</v>
      </c>
      <c r="D2643">
        <f ca="1">DATEDIF(TablaDatos[[#This Row],[FechaNacimiento]],TODAY(),"Y")</f>
        <v>126</v>
      </c>
      <c r="E2643" s="4" t="s">
        <v>12</v>
      </c>
      <c r="F2643" t="s">
        <v>18</v>
      </c>
      <c r="G2643" s="1">
        <v>45501</v>
      </c>
      <c r="H2643" s="1">
        <f>TablaDatos[[#This Row],[FechaIngreso]]+TablaDatos[[#This Row],[DiasNuevo]]</f>
        <v>45522</v>
      </c>
      <c r="I2643">
        <v>21</v>
      </c>
      <c r="J2643" t="s">
        <v>23</v>
      </c>
      <c r="K2643" s="3">
        <v>6763.57</v>
      </c>
      <c r="L2643" t="b">
        <f>TablaDatos[[#This Row],[FechaAlta]] &lt; TablaDatos[[#This Row],[FechaIngreso]]</f>
        <v>0</v>
      </c>
      <c r="M2643">
        <f>_xlfn.XLOOKUP(TablaDatos[[#This Row],[PacienteID]],'Datos_Ejemplo.csv'!A:A,'Datos_Ejemplo.csv'!I:I)</f>
        <v>21</v>
      </c>
      <c r="N2643">
        <f>ABS(TablaDatos[[#This Row],[DiasOriginal]])</f>
        <v>21</v>
      </c>
      <c r="O2643" s="1">
        <f>TablaDatos[[#This Row],[FechaIngreso]]+TablaDatos[[#This Row],[DiasNuevo]]</f>
        <v>45522</v>
      </c>
    </row>
    <row r="2644" spans="1:15">
      <c r="A2644">
        <v>2643</v>
      </c>
      <c r="B2644" t="s">
        <v>362</v>
      </c>
      <c r="C2644" s="1">
        <v>18994</v>
      </c>
      <c r="D2644">
        <v>74</v>
      </c>
      <c r="E2644" s="4" t="s">
        <v>12</v>
      </c>
      <c r="F2644" t="s">
        <v>13</v>
      </c>
      <c r="G2644" s="1">
        <v>45188</v>
      </c>
      <c r="H2644" s="1">
        <f>TablaDatos[[#This Row],[FechaIngreso]]+TablaDatos[[#This Row],[DiasNuevo]]</f>
        <v>45202</v>
      </c>
      <c r="I2644">
        <v>14</v>
      </c>
      <c r="J2644" t="s">
        <v>23</v>
      </c>
      <c r="K2644" s="3">
        <v>17133.72</v>
      </c>
      <c r="L2644" t="b">
        <f>TablaDatos[[#This Row],[FechaAlta]] &lt; TablaDatos[[#This Row],[FechaIngreso]]</f>
        <v>0</v>
      </c>
      <c r="M2644">
        <f>_xlfn.XLOOKUP(TablaDatos[[#This Row],[PacienteID]],'Datos_Ejemplo.csv'!A:A,'Datos_Ejemplo.csv'!I:I)</f>
        <v>14</v>
      </c>
      <c r="N2644">
        <f>ABS(TablaDatos[[#This Row],[DiasOriginal]])</f>
        <v>14</v>
      </c>
      <c r="O2644" s="1">
        <f>TablaDatos[[#This Row],[FechaIngreso]]+TablaDatos[[#This Row],[DiasNuevo]]</f>
        <v>45202</v>
      </c>
    </row>
    <row r="2645" spans="1:15">
      <c r="A2645">
        <v>2644</v>
      </c>
      <c r="B2645" t="s">
        <v>146</v>
      </c>
      <c r="C2645" s="1">
        <v>33969</v>
      </c>
      <c r="D2645">
        <v>33</v>
      </c>
      <c r="E2645" s="4" t="s">
        <v>15</v>
      </c>
      <c r="F2645" t="s">
        <v>32</v>
      </c>
      <c r="G2645" s="1">
        <v>45444</v>
      </c>
      <c r="H2645" s="1">
        <f>TablaDatos[[#This Row],[FechaIngreso]]+TablaDatos[[#This Row],[DiasNuevo]]</f>
        <v>45483</v>
      </c>
      <c r="I2645">
        <v>39</v>
      </c>
      <c r="J2645" t="s">
        <v>23</v>
      </c>
      <c r="K2645" s="3">
        <v>19769.740000000002</v>
      </c>
      <c r="L2645" t="b">
        <f>TablaDatos[[#This Row],[FechaAlta]] &lt; TablaDatos[[#This Row],[FechaIngreso]]</f>
        <v>0</v>
      </c>
      <c r="M2645">
        <f>_xlfn.XLOOKUP(TablaDatos[[#This Row],[PacienteID]],'Datos_Ejemplo.csv'!A:A,'Datos_Ejemplo.csv'!I:I)</f>
        <v>39</v>
      </c>
      <c r="N2645">
        <f>ABS(TablaDatos[[#This Row],[DiasOriginal]])</f>
        <v>39</v>
      </c>
      <c r="O2645" s="1">
        <f>TablaDatos[[#This Row],[FechaIngreso]]+TablaDatos[[#This Row],[DiasNuevo]]</f>
        <v>45483</v>
      </c>
    </row>
    <row r="2646" spans="1:15">
      <c r="A2646">
        <v>2645</v>
      </c>
      <c r="B2646" t="s">
        <v>238</v>
      </c>
      <c r="C2646" s="1">
        <v>43466</v>
      </c>
      <c r="D2646">
        <v>7</v>
      </c>
      <c r="E2646" s="4" t="s">
        <v>15</v>
      </c>
      <c r="F2646" t="s">
        <v>13</v>
      </c>
      <c r="G2646" s="1">
        <v>45174</v>
      </c>
      <c r="H2646" s="1">
        <f>TablaDatos[[#This Row],[FechaIngreso]]+TablaDatos[[#This Row],[DiasNuevo]]</f>
        <v>45180</v>
      </c>
      <c r="I2646">
        <v>6</v>
      </c>
      <c r="J2646" t="s">
        <v>25</v>
      </c>
      <c r="K2646" s="3">
        <v>6800.3</v>
      </c>
      <c r="L2646" t="b">
        <f>TablaDatos[[#This Row],[FechaAlta]] &lt; TablaDatos[[#This Row],[FechaIngreso]]</f>
        <v>0</v>
      </c>
      <c r="M2646">
        <f>_xlfn.XLOOKUP(TablaDatos[[#This Row],[PacienteID]],'Datos_Ejemplo.csv'!A:A,'Datos_Ejemplo.csv'!I:I)</f>
        <v>6</v>
      </c>
      <c r="N2646">
        <f>ABS(TablaDatos[[#This Row],[DiasOriginal]])</f>
        <v>6</v>
      </c>
      <c r="O2646" s="1">
        <f>TablaDatos[[#This Row],[FechaIngreso]]+TablaDatos[[#This Row],[DiasNuevo]]</f>
        <v>45180</v>
      </c>
    </row>
    <row r="2647" spans="1:15">
      <c r="A2647">
        <v>2646</v>
      </c>
      <c r="B2647" t="s">
        <v>333</v>
      </c>
      <c r="C2647" s="1">
        <v>24838</v>
      </c>
      <c r="D2647">
        <v>58</v>
      </c>
      <c r="E2647" s="4" t="s">
        <v>15</v>
      </c>
      <c r="F2647" t="s">
        <v>32</v>
      </c>
      <c r="G2647" s="1">
        <v>45183</v>
      </c>
      <c r="H2647" s="1">
        <f>TablaDatos[[#This Row],[FechaIngreso]]+TablaDatos[[#This Row],[DiasNuevo]]</f>
        <v>45220</v>
      </c>
      <c r="I2647">
        <v>37</v>
      </c>
      <c r="J2647" t="s">
        <v>19</v>
      </c>
      <c r="K2647" s="3">
        <v>14071.71</v>
      </c>
      <c r="L2647" t="b">
        <f>TablaDatos[[#This Row],[FechaAlta]] &lt; TablaDatos[[#This Row],[FechaIngreso]]</f>
        <v>0</v>
      </c>
      <c r="M2647">
        <f>_xlfn.XLOOKUP(TablaDatos[[#This Row],[PacienteID]],'Datos_Ejemplo.csv'!A:A,'Datos_Ejemplo.csv'!I:I)</f>
        <v>37</v>
      </c>
      <c r="N2647">
        <f>ABS(TablaDatos[[#This Row],[DiasOriginal]])</f>
        <v>37</v>
      </c>
      <c r="O2647" s="1">
        <f>TablaDatos[[#This Row],[FechaIngreso]]+TablaDatos[[#This Row],[DiasNuevo]]</f>
        <v>45220</v>
      </c>
    </row>
    <row r="2648" spans="1:15">
      <c r="A2648">
        <v>2647</v>
      </c>
      <c r="B2648" t="s">
        <v>311</v>
      </c>
      <c r="C2648" s="1">
        <v>14976</v>
      </c>
      <c r="D2648">
        <v>85</v>
      </c>
      <c r="E2648" s="4" t="s">
        <v>12</v>
      </c>
      <c r="F2648" t="s">
        <v>18</v>
      </c>
      <c r="G2648" s="1">
        <v>44989</v>
      </c>
      <c r="H2648" s="1">
        <f>TablaDatos[[#This Row],[FechaIngreso]]+TablaDatos[[#This Row],[DiasNuevo]]</f>
        <v>45014</v>
      </c>
      <c r="I2648">
        <v>25</v>
      </c>
      <c r="J2648" t="s">
        <v>23</v>
      </c>
      <c r="K2648" s="3">
        <v>13115.48</v>
      </c>
      <c r="L2648" t="b">
        <f>TablaDatos[[#This Row],[FechaAlta]] &lt; TablaDatos[[#This Row],[FechaIngreso]]</f>
        <v>0</v>
      </c>
      <c r="M2648">
        <f>_xlfn.XLOOKUP(TablaDatos[[#This Row],[PacienteID]],'Datos_Ejemplo.csv'!A:A,'Datos_Ejemplo.csv'!I:I)</f>
        <v>25</v>
      </c>
      <c r="N2648">
        <f>ABS(TablaDatos[[#This Row],[DiasOriginal]])</f>
        <v>25</v>
      </c>
      <c r="O2648" s="1">
        <f>TablaDatos[[#This Row],[FechaIngreso]]+TablaDatos[[#This Row],[DiasNuevo]]</f>
        <v>45014</v>
      </c>
    </row>
    <row r="2649" spans="1:15">
      <c r="A2649">
        <v>2648</v>
      </c>
      <c r="B2649" t="s">
        <v>67</v>
      </c>
      <c r="C2649" s="1">
        <v>20090</v>
      </c>
      <c r="D2649">
        <v>71</v>
      </c>
      <c r="E2649" s="4" t="s">
        <v>15</v>
      </c>
      <c r="F2649" t="s">
        <v>295</v>
      </c>
      <c r="G2649" s="1">
        <v>45318</v>
      </c>
      <c r="H2649" s="1">
        <f>TablaDatos[[#This Row],[FechaIngreso]]+TablaDatos[[#This Row],[DiasNuevo]]</f>
        <v>45330</v>
      </c>
      <c r="I2649">
        <v>12</v>
      </c>
      <c r="J2649" t="s">
        <v>25</v>
      </c>
      <c r="K2649" s="3">
        <v>3808.7</v>
      </c>
      <c r="L2649" t="b">
        <f>TablaDatos[[#This Row],[FechaAlta]] &lt; TablaDatos[[#This Row],[FechaIngreso]]</f>
        <v>0</v>
      </c>
      <c r="M2649">
        <f>_xlfn.XLOOKUP(TablaDatos[[#This Row],[PacienteID]],'Datos_Ejemplo.csv'!A:A,'Datos_Ejemplo.csv'!I:I)</f>
        <v>12</v>
      </c>
      <c r="N2649">
        <f>ABS(TablaDatos[[#This Row],[DiasOriginal]])</f>
        <v>12</v>
      </c>
      <c r="O2649" s="1">
        <f>TablaDatos[[#This Row],[FechaIngreso]]+TablaDatos[[#This Row],[DiasNuevo]]</f>
        <v>45330</v>
      </c>
    </row>
    <row r="2650" spans="1:15">
      <c r="A2650">
        <v>2649</v>
      </c>
      <c r="B2650" t="s">
        <v>311</v>
      </c>
      <c r="C2650" s="1">
        <v>28490</v>
      </c>
      <c r="D2650">
        <v>48</v>
      </c>
      <c r="E2650" s="4" t="s">
        <v>15</v>
      </c>
      <c r="F2650" t="s">
        <v>13</v>
      </c>
      <c r="G2650" s="1">
        <v>45466</v>
      </c>
      <c r="H2650" s="1">
        <f>TablaDatos[[#This Row],[FechaIngreso]]+TablaDatos[[#This Row],[DiasNuevo]]</f>
        <v>45476</v>
      </c>
      <c r="I2650">
        <v>10</v>
      </c>
      <c r="J2650" t="s">
        <v>25</v>
      </c>
      <c r="K2650" s="3">
        <v>18351.97</v>
      </c>
      <c r="L2650" t="b">
        <f>TablaDatos[[#This Row],[FechaAlta]] &lt; TablaDatos[[#This Row],[FechaIngreso]]</f>
        <v>0</v>
      </c>
      <c r="M2650">
        <f>_xlfn.XLOOKUP(TablaDatos[[#This Row],[PacienteID]],'Datos_Ejemplo.csv'!A:A,'Datos_Ejemplo.csv'!I:I)</f>
        <v>10</v>
      </c>
      <c r="N2650">
        <f>ABS(TablaDatos[[#This Row],[DiasOriginal]])</f>
        <v>10</v>
      </c>
      <c r="O2650" s="1">
        <f>TablaDatos[[#This Row],[FechaIngreso]]+TablaDatos[[#This Row],[DiasNuevo]]</f>
        <v>45476</v>
      </c>
    </row>
    <row r="2651" spans="1:15">
      <c r="A2651">
        <v>2650</v>
      </c>
      <c r="B2651" t="s">
        <v>304</v>
      </c>
      <c r="C2651" s="1">
        <v>17533</v>
      </c>
      <c r="D2651">
        <v>78</v>
      </c>
      <c r="E2651" s="4" t="s">
        <v>15</v>
      </c>
      <c r="F2651" t="s">
        <v>18</v>
      </c>
      <c r="G2651" s="1">
        <v>45343</v>
      </c>
      <c r="H2651" s="1">
        <f>TablaDatos[[#This Row],[FechaIngreso]]+TablaDatos[[#This Row],[DiasNuevo]]</f>
        <v>45368</v>
      </c>
      <c r="I2651">
        <v>25</v>
      </c>
      <c r="J2651" t="s">
        <v>23</v>
      </c>
      <c r="K2651" s="3">
        <v>3908.8</v>
      </c>
      <c r="L2651" t="b">
        <f>TablaDatos[[#This Row],[FechaAlta]] &lt; TablaDatos[[#This Row],[FechaIngreso]]</f>
        <v>0</v>
      </c>
      <c r="M2651">
        <f>_xlfn.XLOOKUP(TablaDatos[[#This Row],[PacienteID]],'Datos_Ejemplo.csv'!A:A,'Datos_Ejemplo.csv'!I:I)</f>
        <v>25</v>
      </c>
      <c r="N2651">
        <f>ABS(TablaDatos[[#This Row],[DiasOriginal]])</f>
        <v>25</v>
      </c>
      <c r="O2651" s="1">
        <f>TablaDatos[[#This Row],[FechaIngreso]]+TablaDatos[[#This Row],[DiasNuevo]]</f>
        <v>45368</v>
      </c>
    </row>
    <row r="2652" spans="1:15">
      <c r="A2652">
        <v>2651</v>
      </c>
      <c r="B2652" t="s">
        <v>329</v>
      </c>
      <c r="C2652" s="1">
        <v>40178</v>
      </c>
      <c r="D2652">
        <v>16</v>
      </c>
      <c r="E2652" s="4" t="s">
        <v>15</v>
      </c>
      <c r="F2652" t="s">
        <v>13</v>
      </c>
      <c r="G2652" s="1">
        <v>44979</v>
      </c>
      <c r="H2652" s="1">
        <f>TablaDatos[[#This Row],[FechaIngreso]]+TablaDatos[[#This Row],[DiasNuevo]]</f>
        <v>44993</v>
      </c>
      <c r="I2652">
        <v>14</v>
      </c>
      <c r="J2652" t="s">
        <v>23</v>
      </c>
      <c r="K2652" s="3">
        <v>14712.84</v>
      </c>
      <c r="L2652" t="b">
        <f>TablaDatos[[#This Row],[FechaAlta]] &lt; TablaDatos[[#This Row],[FechaIngreso]]</f>
        <v>0</v>
      </c>
      <c r="M2652">
        <f>_xlfn.XLOOKUP(TablaDatos[[#This Row],[PacienteID]],'Datos_Ejemplo.csv'!A:A,'Datos_Ejemplo.csv'!I:I)</f>
        <v>14</v>
      </c>
      <c r="N2652">
        <f>ABS(TablaDatos[[#This Row],[DiasOriginal]])</f>
        <v>14</v>
      </c>
      <c r="O2652" s="1">
        <f>TablaDatos[[#This Row],[FechaIngreso]]+TablaDatos[[#This Row],[DiasNuevo]]</f>
        <v>44993</v>
      </c>
    </row>
    <row r="2653" spans="1:15">
      <c r="A2653">
        <v>2652</v>
      </c>
      <c r="B2653" t="s">
        <v>49</v>
      </c>
      <c r="C2653" s="1">
        <v>24473</v>
      </c>
      <c r="D2653">
        <v>59</v>
      </c>
      <c r="E2653" s="4" t="s">
        <v>12</v>
      </c>
      <c r="F2653" t="s">
        <v>18</v>
      </c>
      <c r="G2653" s="1">
        <v>44964</v>
      </c>
      <c r="H2653" s="1">
        <f>TablaDatos[[#This Row],[FechaIngreso]]+TablaDatos[[#This Row],[DiasNuevo]]</f>
        <v>44970</v>
      </c>
      <c r="I2653">
        <v>6</v>
      </c>
      <c r="J2653" t="s">
        <v>23</v>
      </c>
      <c r="K2653" s="3">
        <v>6886.95</v>
      </c>
      <c r="L2653" t="b">
        <f>TablaDatos[[#This Row],[FechaAlta]] &lt; TablaDatos[[#This Row],[FechaIngreso]]</f>
        <v>0</v>
      </c>
      <c r="M2653">
        <f>_xlfn.XLOOKUP(TablaDatos[[#This Row],[PacienteID]],'Datos_Ejemplo.csv'!A:A,'Datos_Ejemplo.csv'!I:I)</f>
        <v>6</v>
      </c>
      <c r="N2653">
        <f>ABS(TablaDatos[[#This Row],[DiasOriginal]])</f>
        <v>6</v>
      </c>
      <c r="O2653" s="1">
        <f>TablaDatos[[#This Row],[FechaIngreso]]+TablaDatos[[#This Row],[DiasNuevo]]</f>
        <v>44970</v>
      </c>
    </row>
    <row r="2654" spans="1:15">
      <c r="A2654">
        <v>2653</v>
      </c>
      <c r="B2654" t="s">
        <v>102</v>
      </c>
      <c r="C2654" s="1">
        <v>14611</v>
      </c>
      <c r="D2654">
        <v>86</v>
      </c>
      <c r="E2654" s="4" t="s">
        <v>12</v>
      </c>
      <c r="F2654" t="s">
        <v>32</v>
      </c>
      <c r="G2654" s="1">
        <v>45234</v>
      </c>
      <c r="H2654" s="1">
        <f>TablaDatos[[#This Row],[FechaIngreso]]+TablaDatos[[#This Row],[DiasNuevo]]</f>
        <v>45252</v>
      </c>
      <c r="I2654">
        <v>18</v>
      </c>
      <c r="J2654" t="s">
        <v>25</v>
      </c>
      <c r="K2654" s="3">
        <v>7278.34</v>
      </c>
      <c r="L2654" t="b">
        <f>TablaDatos[[#This Row],[FechaAlta]] &lt; TablaDatos[[#This Row],[FechaIngreso]]</f>
        <v>0</v>
      </c>
      <c r="M2654">
        <f>_xlfn.XLOOKUP(TablaDatos[[#This Row],[PacienteID]],'Datos_Ejemplo.csv'!A:A,'Datos_Ejemplo.csv'!I:I)</f>
        <v>18</v>
      </c>
      <c r="N2654">
        <f>ABS(TablaDatos[[#This Row],[DiasOriginal]])</f>
        <v>18</v>
      </c>
      <c r="O2654" s="1">
        <f>TablaDatos[[#This Row],[FechaIngreso]]+TablaDatos[[#This Row],[DiasNuevo]]</f>
        <v>45252</v>
      </c>
    </row>
    <row r="2655" spans="1:15">
      <c r="A2655">
        <v>2654</v>
      </c>
      <c r="B2655" t="s">
        <v>363</v>
      </c>
      <c r="C2655" s="1">
        <v>14246</v>
      </c>
      <c r="D2655">
        <v>87</v>
      </c>
      <c r="E2655" s="4" t="s">
        <v>12</v>
      </c>
      <c r="F2655" t="s">
        <v>18</v>
      </c>
      <c r="G2655" s="1">
        <v>45577</v>
      </c>
      <c r="H2655" s="1">
        <f>TablaDatos[[#This Row],[FechaIngreso]]+TablaDatos[[#This Row],[DiasNuevo]]</f>
        <v>45604</v>
      </c>
      <c r="I2655">
        <v>27</v>
      </c>
      <c r="J2655" t="s">
        <v>23</v>
      </c>
      <c r="K2655" s="3">
        <v>9054.5300000000007</v>
      </c>
      <c r="L2655" t="b">
        <f>TablaDatos[[#This Row],[FechaAlta]] &lt; TablaDatos[[#This Row],[FechaIngreso]]</f>
        <v>0</v>
      </c>
      <c r="M2655">
        <f>_xlfn.XLOOKUP(TablaDatos[[#This Row],[PacienteID]],'Datos_Ejemplo.csv'!A:A,'Datos_Ejemplo.csv'!I:I)</f>
        <v>27</v>
      </c>
      <c r="N2655">
        <f>ABS(TablaDatos[[#This Row],[DiasOriginal]])</f>
        <v>27</v>
      </c>
      <c r="O2655" s="1">
        <f>TablaDatos[[#This Row],[FechaIngreso]]+TablaDatos[[#This Row],[DiasNuevo]]</f>
        <v>45604</v>
      </c>
    </row>
    <row r="2656" spans="1:15">
      <c r="A2656">
        <v>2655</v>
      </c>
      <c r="B2656" t="s">
        <v>151</v>
      </c>
      <c r="C2656" s="1">
        <v>29951</v>
      </c>
      <c r="D2656">
        <v>44</v>
      </c>
      <c r="E2656" s="4" t="s">
        <v>12</v>
      </c>
      <c r="F2656" t="s">
        <v>32</v>
      </c>
      <c r="G2656" s="1">
        <v>44979</v>
      </c>
      <c r="H2656" s="1">
        <f>TablaDatos[[#This Row],[FechaIngreso]]+TablaDatos[[#This Row],[DiasNuevo]]</f>
        <v>44987</v>
      </c>
      <c r="I2656">
        <v>8</v>
      </c>
      <c r="J2656" t="s">
        <v>25</v>
      </c>
      <c r="K2656" s="3">
        <v>17276.61</v>
      </c>
      <c r="L2656" t="b">
        <f>TablaDatos[[#This Row],[FechaAlta]] &lt; TablaDatos[[#This Row],[FechaIngreso]]</f>
        <v>0</v>
      </c>
      <c r="M2656">
        <f>_xlfn.XLOOKUP(TablaDatos[[#This Row],[PacienteID]],'Datos_Ejemplo.csv'!A:A,'Datos_Ejemplo.csv'!I:I)</f>
        <v>8</v>
      </c>
      <c r="N2656">
        <f>ABS(TablaDatos[[#This Row],[DiasOriginal]])</f>
        <v>8</v>
      </c>
      <c r="O2656" s="1">
        <f>TablaDatos[[#This Row],[FechaIngreso]]+TablaDatos[[#This Row],[DiasNuevo]]</f>
        <v>44987</v>
      </c>
    </row>
    <row r="2657" spans="1:15">
      <c r="A2657">
        <v>2656</v>
      </c>
      <c r="B2657" t="s">
        <v>353</v>
      </c>
      <c r="C2657" s="1">
        <v>16072</v>
      </c>
      <c r="D2657">
        <v>82</v>
      </c>
      <c r="E2657" s="4" t="s">
        <v>12</v>
      </c>
      <c r="F2657" t="s">
        <v>295</v>
      </c>
      <c r="G2657" s="1">
        <v>45532</v>
      </c>
      <c r="H2657" s="1">
        <f>TablaDatos[[#This Row],[FechaIngreso]]+TablaDatos[[#This Row],[DiasNuevo]]</f>
        <v>45559</v>
      </c>
      <c r="I2657">
        <v>27</v>
      </c>
      <c r="J2657" t="s">
        <v>23</v>
      </c>
      <c r="K2657" s="3">
        <v>2719.06</v>
      </c>
      <c r="L2657" t="b">
        <f>TablaDatos[[#This Row],[FechaAlta]] &lt; TablaDatos[[#This Row],[FechaIngreso]]</f>
        <v>0</v>
      </c>
      <c r="M2657">
        <f>_xlfn.XLOOKUP(TablaDatos[[#This Row],[PacienteID]],'Datos_Ejemplo.csv'!A:A,'Datos_Ejemplo.csv'!I:I)</f>
        <v>27</v>
      </c>
      <c r="N2657">
        <f>ABS(TablaDatos[[#This Row],[DiasOriginal]])</f>
        <v>27</v>
      </c>
      <c r="O2657" s="1">
        <f>TablaDatos[[#This Row],[FechaIngreso]]+TablaDatos[[#This Row],[DiasNuevo]]</f>
        <v>45559</v>
      </c>
    </row>
    <row r="2658" spans="1:15">
      <c r="A2658">
        <v>2657</v>
      </c>
      <c r="B2658" t="s">
        <v>241</v>
      </c>
      <c r="C2658" s="1">
        <v>21185</v>
      </c>
      <c r="D2658">
        <v>68</v>
      </c>
      <c r="E2658" s="4" t="s">
        <v>12</v>
      </c>
      <c r="F2658" t="s">
        <v>32</v>
      </c>
      <c r="G2658" s="1">
        <v>45532</v>
      </c>
      <c r="H2658" s="1">
        <f>TablaDatos[[#This Row],[FechaIngreso]]+TablaDatos[[#This Row],[DiasNuevo]]</f>
        <v>45565</v>
      </c>
      <c r="I2658">
        <v>33</v>
      </c>
      <c r="J2658" t="s">
        <v>25</v>
      </c>
      <c r="K2658" s="3">
        <v>996.85</v>
      </c>
      <c r="L2658" t="b">
        <f>TablaDatos[[#This Row],[FechaAlta]] &lt; TablaDatos[[#This Row],[FechaIngreso]]</f>
        <v>0</v>
      </c>
      <c r="M2658">
        <f>_xlfn.XLOOKUP(TablaDatos[[#This Row],[PacienteID]],'Datos_Ejemplo.csv'!A:A,'Datos_Ejemplo.csv'!I:I)</f>
        <v>33</v>
      </c>
      <c r="N2658">
        <f>ABS(TablaDatos[[#This Row],[DiasOriginal]])</f>
        <v>33</v>
      </c>
      <c r="O2658" s="1">
        <f>TablaDatos[[#This Row],[FechaIngreso]]+TablaDatos[[#This Row],[DiasNuevo]]</f>
        <v>45565</v>
      </c>
    </row>
    <row r="2659" spans="1:15">
      <c r="A2659">
        <v>2658</v>
      </c>
      <c r="B2659" t="s">
        <v>353</v>
      </c>
      <c r="C2659" s="1">
        <v>34700</v>
      </c>
      <c r="D2659">
        <v>31</v>
      </c>
      <c r="E2659" s="4" t="s">
        <v>15</v>
      </c>
      <c r="F2659" t="s">
        <v>21</v>
      </c>
      <c r="G2659" s="1">
        <v>45378</v>
      </c>
      <c r="H2659" s="1">
        <f>TablaDatos[[#This Row],[FechaIngreso]]+TablaDatos[[#This Row],[DiasNuevo]]</f>
        <v>45400</v>
      </c>
      <c r="I2659">
        <v>22</v>
      </c>
      <c r="J2659" t="s">
        <v>23</v>
      </c>
      <c r="K2659" s="3">
        <v>7981.02</v>
      </c>
      <c r="L2659" t="b">
        <f>TablaDatos[[#This Row],[FechaAlta]] &lt; TablaDatos[[#This Row],[FechaIngreso]]</f>
        <v>0</v>
      </c>
      <c r="M2659">
        <f>_xlfn.XLOOKUP(TablaDatos[[#This Row],[PacienteID]],'Datos_Ejemplo.csv'!A:A,'Datos_Ejemplo.csv'!I:I)</f>
        <v>22</v>
      </c>
      <c r="N2659">
        <f>ABS(TablaDatos[[#This Row],[DiasOriginal]])</f>
        <v>22</v>
      </c>
      <c r="O2659" s="1">
        <f>TablaDatos[[#This Row],[FechaIngreso]]+TablaDatos[[#This Row],[DiasNuevo]]</f>
        <v>45400</v>
      </c>
    </row>
    <row r="2660" spans="1:15">
      <c r="A2660">
        <v>2659</v>
      </c>
      <c r="B2660" t="s">
        <v>246</v>
      </c>
      <c r="C2660" s="1">
        <v>30317</v>
      </c>
      <c r="D2660">
        <v>43</v>
      </c>
      <c r="E2660" s="4" t="s">
        <v>12</v>
      </c>
      <c r="F2660" t="s">
        <v>295</v>
      </c>
      <c r="G2660" s="1">
        <v>45387</v>
      </c>
      <c r="H2660" s="1">
        <f>TablaDatos[[#This Row],[FechaIngreso]]+TablaDatos[[#This Row],[DiasNuevo]]</f>
        <v>45391</v>
      </c>
      <c r="I2660">
        <v>4</v>
      </c>
      <c r="J2660" t="s">
        <v>23</v>
      </c>
      <c r="K2660" s="3">
        <v>1017.26</v>
      </c>
      <c r="L2660" t="b">
        <f>TablaDatos[[#This Row],[FechaAlta]] &lt; TablaDatos[[#This Row],[FechaIngreso]]</f>
        <v>0</v>
      </c>
      <c r="M2660">
        <f>_xlfn.XLOOKUP(TablaDatos[[#This Row],[PacienteID]],'Datos_Ejemplo.csv'!A:A,'Datos_Ejemplo.csv'!I:I)</f>
        <v>4</v>
      </c>
      <c r="N2660">
        <f>ABS(TablaDatos[[#This Row],[DiasOriginal]])</f>
        <v>4</v>
      </c>
      <c r="O2660" s="1">
        <f>TablaDatos[[#This Row],[FechaIngreso]]+TablaDatos[[#This Row],[DiasNuevo]]</f>
        <v>45391</v>
      </c>
    </row>
    <row r="2661" spans="1:15">
      <c r="A2661">
        <v>2660</v>
      </c>
      <c r="B2661" t="s">
        <v>309</v>
      </c>
      <c r="C2661" s="1">
        <v>22646</v>
      </c>
      <c r="D2661">
        <v>64</v>
      </c>
      <c r="E2661" s="4" t="s">
        <v>15</v>
      </c>
      <c r="F2661" t="s">
        <v>201</v>
      </c>
      <c r="G2661" s="1">
        <v>45412</v>
      </c>
      <c r="H2661" s="1">
        <f>TablaDatos[[#This Row],[FechaIngreso]]+TablaDatos[[#This Row],[DiasNuevo]]</f>
        <v>45429</v>
      </c>
      <c r="I2661">
        <v>17</v>
      </c>
      <c r="J2661" t="s">
        <v>23</v>
      </c>
      <c r="K2661" s="3">
        <v>13720.78</v>
      </c>
      <c r="L2661" t="b">
        <f>TablaDatos[[#This Row],[FechaAlta]] &lt; TablaDatos[[#This Row],[FechaIngreso]]</f>
        <v>0</v>
      </c>
      <c r="M2661">
        <f>_xlfn.XLOOKUP(TablaDatos[[#This Row],[PacienteID]],'Datos_Ejemplo.csv'!A:A,'Datos_Ejemplo.csv'!I:I)</f>
        <v>17</v>
      </c>
      <c r="N2661">
        <f>ABS(TablaDatos[[#This Row],[DiasOriginal]])</f>
        <v>17</v>
      </c>
      <c r="O2661" s="1">
        <f>TablaDatos[[#This Row],[FechaIngreso]]+TablaDatos[[#This Row],[DiasNuevo]]</f>
        <v>45429</v>
      </c>
    </row>
    <row r="2662" spans="1:15">
      <c r="A2662">
        <v>2661</v>
      </c>
      <c r="B2662" t="s">
        <v>354</v>
      </c>
      <c r="C2662" s="1">
        <v>14611</v>
      </c>
      <c r="D2662">
        <v>86</v>
      </c>
      <c r="E2662" s="4" t="s">
        <v>15</v>
      </c>
      <c r="F2662" t="s">
        <v>201</v>
      </c>
      <c r="G2662" s="1">
        <v>45063</v>
      </c>
      <c r="H2662" s="1">
        <f>TablaDatos[[#This Row],[FechaIngreso]]+TablaDatos[[#This Row],[DiasNuevo]]</f>
        <v>45095</v>
      </c>
      <c r="I2662">
        <v>32</v>
      </c>
      <c r="J2662" t="s">
        <v>25</v>
      </c>
      <c r="K2662" s="3">
        <v>15182.53</v>
      </c>
      <c r="L2662" t="b">
        <f>TablaDatos[[#This Row],[FechaAlta]] &lt; TablaDatos[[#This Row],[FechaIngreso]]</f>
        <v>0</v>
      </c>
      <c r="M2662">
        <f>_xlfn.XLOOKUP(TablaDatos[[#This Row],[PacienteID]],'Datos_Ejemplo.csv'!A:A,'Datos_Ejemplo.csv'!I:I)</f>
        <v>32</v>
      </c>
      <c r="N2662">
        <f>ABS(TablaDatos[[#This Row],[DiasOriginal]])</f>
        <v>32</v>
      </c>
      <c r="O2662" s="1">
        <f>TablaDatos[[#This Row],[FechaIngreso]]+TablaDatos[[#This Row],[DiasNuevo]]</f>
        <v>45095</v>
      </c>
    </row>
    <row r="2663" spans="1:15">
      <c r="A2663">
        <v>2662</v>
      </c>
      <c r="B2663" t="s">
        <v>357</v>
      </c>
      <c r="C2663" s="1">
        <v>43466</v>
      </c>
      <c r="D2663">
        <v>7</v>
      </c>
      <c r="E2663" s="4" t="s">
        <v>12</v>
      </c>
      <c r="F2663" t="s">
        <v>201</v>
      </c>
      <c r="G2663" s="1">
        <v>45298</v>
      </c>
      <c r="H2663" s="1">
        <f>TablaDatos[[#This Row],[FechaIngreso]]+TablaDatos[[#This Row],[DiasNuevo]]</f>
        <v>45305</v>
      </c>
      <c r="I2663">
        <v>7</v>
      </c>
      <c r="J2663" t="s">
        <v>23</v>
      </c>
      <c r="K2663" s="3">
        <v>17079.72</v>
      </c>
      <c r="L2663" t="b">
        <f>TablaDatos[[#This Row],[FechaAlta]] &lt; TablaDatos[[#This Row],[FechaIngreso]]</f>
        <v>0</v>
      </c>
      <c r="M2663">
        <f>_xlfn.XLOOKUP(TablaDatos[[#This Row],[PacienteID]],'Datos_Ejemplo.csv'!A:A,'Datos_Ejemplo.csv'!I:I)</f>
        <v>7</v>
      </c>
      <c r="N2663">
        <f>ABS(TablaDatos[[#This Row],[DiasOriginal]])</f>
        <v>7</v>
      </c>
      <c r="O2663" s="1">
        <f>TablaDatos[[#This Row],[FechaIngreso]]+TablaDatos[[#This Row],[DiasNuevo]]</f>
        <v>45305</v>
      </c>
    </row>
    <row r="2664" spans="1:15">
      <c r="A2664">
        <v>2663</v>
      </c>
      <c r="B2664" t="s">
        <v>339</v>
      </c>
      <c r="C2664" s="1">
        <v>18263</v>
      </c>
      <c r="D2664">
        <v>76</v>
      </c>
      <c r="E2664" s="4" t="s">
        <v>15</v>
      </c>
      <c r="F2664" t="s">
        <v>261</v>
      </c>
      <c r="G2664" s="1">
        <v>45182</v>
      </c>
      <c r="H2664" s="1">
        <f>TablaDatos[[#This Row],[FechaIngreso]]+TablaDatos[[#This Row],[DiasNuevo]]</f>
        <v>45214</v>
      </c>
      <c r="I2664">
        <v>32</v>
      </c>
      <c r="J2664" t="s">
        <v>23</v>
      </c>
      <c r="K2664" s="3">
        <v>14851.23</v>
      </c>
      <c r="L2664" t="b">
        <f>TablaDatos[[#This Row],[FechaAlta]] &lt; TablaDatos[[#This Row],[FechaIngreso]]</f>
        <v>0</v>
      </c>
      <c r="M2664">
        <f>_xlfn.XLOOKUP(TablaDatos[[#This Row],[PacienteID]],'Datos_Ejemplo.csv'!A:A,'Datos_Ejemplo.csv'!I:I)</f>
        <v>32</v>
      </c>
      <c r="N2664">
        <f>ABS(TablaDatos[[#This Row],[DiasOriginal]])</f>
        <v>32</v>
      </c>
      <c r="O2664" s="1">
        <f>TablaDatos[[#This Row],[FechaIngreso]]+TablaDatos[[#This Row],[DiasNuevo]]</f>
        <v>45214</v>
      </c>
    </row>
    <row r="2665" spans="1:15">
      <c r="A2665">
        <v>2664</v>
      </c>
      <c r="B2665" t="s">
        <v>359</v>
      </c>
      <c r="C2665" s="1">
        <v>20090</v>
      </c>
      <c r="D2665">
        <f ca="1">DATEDIF(TablaDatos[[#This Row],[FechaNacimiento]],TODAY(),"Y")</f>
        <v>71</v>
      </c>
      <c r="E2665" s="4" t="s">
        <v>15</v>
      </c>
      <c r="F2665" t="s">
        <v>261</v>
      </c>
      <c r="G2665" s="1">
        <v>45321</v>
      </c>
      <c r="H2665" s="1">
        <f>TablaDatos[[#This Row],[FechaIngreso]]+TablaDatos[[#This Row],[DiasNuevo]]</f>
        <v>45323</v>
      </c>
      <c r="I2665">
        <v>2</v>
      </c>
      <c r="J2665" t="s">
        <v>19</v>
      </c>
      <c r="K2665" s="3">
        <v>18318.66</v>
      </c>
      <c r="L2665" t="b">
        <f>TablaDatos[[#This Row],[FechaAlta]] &lt; TablaDatos[[#This Row],[FechaIngreso]]</f>
        <v>0</v>
      </c>
      <c r="M2665">
        <f>_xlfn.XLOOKUP(TablaDatos[[#This Row],[PacienteID]],'Datos_Ejemplo.csv'!A:A,'Datos_Ejemplo.csv'!I:I)</f>
        <v>-2</v>
      </c>
      <c r="N2665">
        <f>ABS(TablaDatos[[#This Row],[DiasOriginal]])</f>
        <v>2</v>
      </c>
      <c r="O2665" s="1">
        <f>TablaDatos[[#This Row],[FechaIngreso]]+TablaDatos[[#This Row],[DiasNuevo]]</f>
        <v>45323</v>
      </c>
    </row>
    <row r="2666" spans="1:15">
      <c r="A2666">
        <v>2665</v>
      </c>
      <c r="B2666" t="s">
        <v>267</v>
      </c>
      <c r="C2666" s="1">
        <v>14611</v>
      </c>
      <c r="D2666">
        <v>86</v>
      </c>
      <c r="E2666" s="4" t="s">
        <v>15</v>
      </c>
      <c r="F2666" t="s">
        <v>18</v>
      </c>
      <c r="G2666" s="1">
        <v>44963</v>
      </c>
      <c r="H2666" s="1">
        <f>TablaDatos[[#This Row],[FechaIngreso]]+TablaDatos[[#This Row],[DiasNuevo]]</f>
        <v>44974</v>
      </c>
      <c r="I2666">
        <v>11</v>
      </c>
      <c r="J2666" t="s">
        <v>23</v>
      </c>
      <c r="K2666" s="3">
        <v>14940.85</v>
      </c>
      <c r="L2666" t="b">
        <f>TablaDatos[[#This Row],[FechaAlta]] &lt; TablaDatos[[#This Row],[FechaIngreso]]</f>
        <v>0</v>
      </c>
      <c r="M2666">
        <f>_xlfn.XLOOKUP(TablaDatos[[#This Row],[PacienteID]],'Datos_Ejemplo.csv'!A:A,'Datos_Ejemplo.csv'!I:I)</f>
        <v>11</v>
      </c>
      <c r="N2666">
        <f>ABS(TablaDatos[[#This Row],[DiasOriginal]])</f>
        <v>11</v>
      </c>
      <c r="O2666" s="1">
        <f>TablaDatos[[#This Row],[FechaIngreso]]+TablaDatos[[#This Row],[DiasNuevo]]</f>
        <v>44974</v>
      </c>
    </row>
    <row r="2667" spans="1:15">
      <c r="A2667">
        <v>2666</v>
      </c>
      <c r="B2667" t="s">
        <v>301</v>
      </c>
      <c r="C2667" s="1">
        <v>30682</v>
      </c>
      <c r="D2667">
        <v>42</v>
      </c>
      <c r="E2667" s="4" t="s">
        <v>15</v>
      </c>
      <c r="F2667" t="s">
        <v>18</v>
      </c>
      <c r="G2667" s="1">
        <v>45580</v>
      </c>
      <c r="H2667" s="1">
        <f>TablaDatos[[#This Row],[FechaIngreso]]+TablaDatos[[#This Row],[DiasNuevo]]</f>
        <v>45582</v>
      </c>
      <c r="I2667">
        <v>2</v>
      </c>
      <c r="J2667" t="s">
        <v>23</v>
      </c>
      <c r="K2667" s="3">
        <v>18715.12</v>
      </c>
      <c r="L2667" t="b">
        <f>TablaDatos[[#This Row],[FechaAlta]] &lt; TablaDatos[[#This Row],[FechaIngreso]]</f>
        <v>0</v>
      </c>
      <c r="M2667">
        <f>_xlfn.XLOOKUP(TablaDatos[[#This Row],[PacienteID]],'Datos_Ejemplo.csv'!A:A,'Datos_Ejemplo.csv'!I:I)</f>
        <v>2</v>
      </c>
      <c r="N2667">
        <f>ABS(TablaDatos[[#This Row],[DiasOriginal]])</f>
        <v>2</v>
      </c>
      <c r="O2667" s="1">
        <f>TablaDatos[[#This Row],[FechaIngreso]]+TablaDatos[[#This Row],[DiasNuevo]]</f>
        <v>45582</v>
      </c>
    </row>
    <row r="2668" spans="1:15">
      <c r="A2668">
        <v>2667</v>
      </c>
      <c r="B2668" t="s">
        <v>297</v>
      </c>
      <c r="C2668" s="1">
        <v>46022</v>
      </c>
      <c r="D2668">
        <v>0</v>
      </c>
      <c r="E2668" s="4" t="s">
        <v>15</v>
      </c>
      <c r="F2668" t="s">
        <v>21</v>
      </c>
      <c r="G2668" s="1">
        <v>45073</v>
      </c>
      <c r="H2668" s="1">
        <f>TablaDatos[[#This Row],[FechaIngreso]]+TablaDatos[[#This Row],[DiasNuevo]]</f>
        <v>45110</v>
      </c>
      <c r="I2668">
        <v>37</v>
      </c>
      <c r="J2668" t="s">
        <v>23</v>
      </c>
      <c r="K2668" s="3">
        <v>3781.53</v>
      </c>
      <c r="L2668" t="b">
        <f>TablaDatos[[#This Row],[FechaAlta]] &lt; TablaDatos[[#This Row],[FechaIngreso]]</f>
        <v>0</v>
      </c>
      <c r="M2668">
        <f>_xlfn.XLOOKUP(TablaDatos[[#This Row],[PacienteID]],'Datos_Ejemplo.csv'!A:A,'Datos_Ejemplo.csv'!I:I)</f>
        <v>37</v>
      </c>
      <c r="N2668">
        <f>ABS(TablaDatos[[#This Row],[DiasOriginal]])</f>
        <v>37</v>
      </c>
      <c r="O2668" s="1">
        <f>TablaDatos[[#This Row],[FechaIngreso]]+TablaDatos[[#This Row],[DiasNuevo]]</f>
        <v>45110</v>
      </c>
    </row>
    <row r="2669" spans="1:15">
      <c r="A2669">
        <v>2668</v>
      </c>
      <c r="B2669" t="s">
        <v>243</v>
      </c>
      <c r="C2669" s="1">
        <v>27760</v>
      </c>
      <c r="D2669">
        <v>50</v>
      </c>
      <c r="E2669" s="4" t="s">
        <v>15</v>
      </c>
      <c r="F2669" t="s">
        <v>18</v>
      </c>
      <c r="G2669" s="1">
        <v>44934</v>
      </c>
      <c r="H2669" s="1">
        <f>TablaDatos[[#This Row],[FechaIngreso]]+TablaDatos[[#This Row],[DiasNuevo]]</f>
        <v>44969</v>
      </c>
      <c r="I2669">
        <v>35</v>
      </c>
      <c r="J2669" t="s">
        <v>23</v>
      </c>
      <c r="K2669" s="3">
        <v>9947.25</v>
      </c>
      <c r="L2669" t="b">
        <f>TablaDatos[[#This Row],[FechaAlta]] &lt; TablaDatos[[#This Row],[FechaIngreso]]</f>
        <v>0</v>
      </c>
      <c r="M2669">
        <f>_xlfn.XLOOKUP(TablaDatos[[#This Row],[PacienteID]],'Datos_Ejemplo.csv'!A:A,'Datos_Ejemplo.csv'!I:I)</f>
        <v>35</v>
      </c>
      <c r="N2669">
        <f>ABS(TablaDatos[[#This Row],[DiasOriginal]])</f>
        <v>35</v>
      </c>
      <c r="O2669" s="1">
        <f>TablaDatos[[#This Row],[FechaIngreso]]+TablaDatos[[#This Row],[DiasNuevo]]</f>
        <v>44969</v>
      </c>
    </row>
    <row r="2670" spans="1:15">
      <c r="A2670">
        <v>2669</v>
      </c>
      <c r="B2670" t="s">
        <v>335</v>
      </c>
      <c r="C2670" s="1">
        <v>37622</v>
      </c>
      <c r="D2670">
        <v>23</v>
      </c>
      <c r="E2670" s="4" t="s">
        <v>12</v>
      </c>
      <c r="F2670" t="s">
        <v>295</v>
      </c>
      <c r="G2670" s="1">
        <v>45177</v>
      </c>
      <c r="H2670" s="1">
        <f>TablaDatos[[#This Row],[FechaIngreso]]+TablaDatos[[#This Row],[DiasNuevo]]</f>
        <v>45208</v>
      </c>
      <c r="I2670">
        <v>31</v>
      </c>
      <c r="J2670" t="s">
        <v>25</v>
      </c>
      <c r="K2670" s="3">
        <v>19878.009999999998</v>
      </c>
      <c r="L2670" t="b">
        <f>TablaDatos[[#This Row],[FechaAlta]] &lt; TablaDatos[[#This Row],[FechaIngreso]]</f>
        <v>0</v>
      </c>
      <c r="M2670">
        <f>_xlfn.XLOOKUP(TablaDatos[[#This Row],[PacienteID]],'Datos_Ejemplo.csv'!A:A,'Datos_Ejemplo.csv'!I:I)</f>
        <v>31</v>
      </c>
      <c r="N2670">
        <f>ABS(TablaDatos[[#This Row],[DiasOriginal]])</f>
        <v>31</v>
      </c>
      <c r="O2670" s="1">
        <f>TablaDatos[[#This Row],[FechaIngreso]]+TablaDatos[[#This Row],[DiasNuevo]]</f>
        <v>45208</v>
      </c>
    </row>
    <row r="2671" spans="1:15">
      <c r="A2671">
        <v>2670</v>
      </c>
      <c r="B2671" t="s">
        <v>312</v>
      </c>
      <c r="C2671" s="1">
        <v>37622</v>
      </c>
      <c r="D2671">
        <f ca="1">DATEDIF(TablaDatos[[#This Row],[FechaNacimiento]],TODAY(),"Y")</f>
        <v>23</v>
      </c>
      <c r="E2671" s="4" t="s">
        <v>12</v>
      </c>
      <c r="F2671" t="s">
        <v>295</v>
      </c>
      <c r="G2671" s="1">
        <v>45573</v>
      </c>
      <c r="H2671" s="1">
        <f>TablaDatos[[#This Row],[FechaIngreso]]+TablaDatos[[#This Row],[DiasNuevo]]</f>
        <v>45594</v>
      </c>
      <c r="I2671">
        <v>21</v>
      </c>
      <c r="J2671" t="s">
        <v>23</v>
      </c>
      <c r="K2671" s="3">
        <v>13599.72</v>
      </c>
      <c r="L2671" t="b">
        <f>TablaDatos[[#This Row],[FechaAlta]] &lt; TablaDatos[[#This Row],[FechaIngreso]]</f>
        <v>0</v>
      </c>
      <c r="M2671">
        <f>_xlfn.XLOOKUP(TablaDatos[[#This Row],[PacienteID]],'Datos_Ejemplo.csv'!A:A,'Datos_Ejemplo.csv'!I:I)</f>
        <v>21</v>
      </c>
      <c r="N2671">
        <f>ABS(TablaDatos[[#This Row],[DiasOriginal]])</f>
        <v>21</v>
      </c>
      <c r="O2671" s="1">
        <f>TablaDatos[[#This Row],[FechaIngreso]]+TablaDatos[[#This Row],[DiasNuevo]]</f>
        <v>45594</v>
      </c>
    </row>
    <row r="2672" spans="1:15">
      <c r="A2672">
        <v>2671</v>
      </c>
      <c r="B2672" t="s">
        <v>293</v>
      </c>
      <c r="C2672" s="1">
        <v>40178</v>
      </c>
      <c r="D2672">
        <v>16</v>
      </c>
      <c r="E2672" s="4" t="s">
        <v>15</v>
      </c>
      <c r="F2672" t="s">
        <v>201</v>
      </c>
      <c r="G2672" s="1">
        <v>45497</v>
      </c>
      <c r="H2672" s="1">
        <f>TablaDatos[[#This Row],[FechaIngreso]]+TablaDatos[[#This Row],[DiasNuevo]]</f>
        <v>45498</v>
      </c>
      <c r="I2672">
        <v>1</v>
      </c>
      <c r="J2672" t="s">
        <v>19</v>
      </c>
      <c r="K2672" s="3">
        <v>17560.689999999999</v>
      </c>
      <c r="L2672" t="b">
        <f>TablaDatos[[#This Row],[FechaAlta]] &lt; TablaDatos[[#This Row],[FechaIngreso]]</f>
        <v>0</v>
      </c>
      <c r="M2672">
        <f>_xlfn.XLOOKUP(TablaDatos[[#This Row],[PacienteID]],'Datos_Ejemplo.csv'!A:A,'Datos_Ejemplo.csv'!I:I)</f>
        <v>1</v>
      </c>
      <c r="N2672">
        <f>ABS(TablaDatos[[#This Row],[DiasOriginal]])</f>
        <v>1</v>
      </c>
      <c r="O2672" s="1">
        <f>TablaDatos[[#This Row],[FechaIngreso]]+TablaDatos[[#This Row],[DiasNuevo]]</f>
        <v>45498</v>
      </c>
    </row>
    <row r="2673" spans="1:15">
      <c r="A2673">
        <v>2672</v>
      </c>
      <c r="B2673" t="s">
        <v>67</v>
      </c>
      <c r="C2673" s="1">
        <v>44561</v>
      </c>
      <c r="D2673">
        <v>4</v>
      </c>
      <c r="E2673" s="4" t="s">
        <v>12</v>
      </c>
      <c r="F2673" t="s">
        <v>32</v>
      </c>
      <c r="G2673" s="1">
        <v>45561</v>
      </c>
      <c r="H2673" s="1">
        <f>TablaDatos[[#This Row],[FechaIngreso]]+TablaDatos[[#This Row],[DiasNuevo]]</f>
        <v>45585</v>
      </c>
      <c r="I2673">
        <v>24</v>
      </c>
      <c r="J2673" t="s">
        <v>19</v>
      </c>
      <c r="K2673" s="3">
        <v>510.92</v>
      </c>
      <c r="L2673" t="b">
        <f>TablaDatos[[#This Row],[FechaAlta]] &lt; TablaDatos[[#This Row],[FechaIngreso]]</f>
        <v>0</v>
      </c>
      <c r="M2673">
        <f>_xlfn.XLOOKUP(TablaDatos[[#This Row],[PacienteID]],'Datos_Ejemplo.csv'!A:A,'Datos_Ejemplo.csv'!I:I)</f>
        <v>24</v>
      </c>
      <c r="N2673">
        <f>ABS(TablaDatos[[#This Row],[DiasOriginal]])</f>
        <v>24</v>
      </c>
      <c r="O2673" s="1">
        <f>TablaDatos[[#This Row],[FechaIngreso]]+TablaDatos[[#This Row],[DiasNuevo]]</f>
        <v>45585</v>
      </c>
    </row>
    <row r="2674" spans="1:15">
      <c r="A2674">
        <v>2673</v>
      </c>
      <c r="B2674" t="s">
        <v>136</v>
      </c>
      <c r="C2674" s="1">
        <v>39083</v>
      </c>
      <c r="D2674">
        <v>19</v>
      </c>
      <c r="E2674" s="4" t="s">
        <v>15</v>
      </c>
      <c r="F2674" t="s">
        <v>13</v>
      </c>
      <c r="G2674" s="1">
        <v>45373</v>
      </c>
      <c r="H2674" s="1">
        <f>TablaDatos[[#This Row],[FechaIngreso]]+TablaDatos[[#This Row],[DiasNuevo]]</f>
        <v>45375</v>
      </c>
      <c r="I2674">
        <v>2</v>
      </c>
      <c r="J2674" t="s">
        <v>23</v>
      </c>
      <c r="K2674" s="3">
        <v>17422.330000000002</v>
      </c>
      <c r="L2674" t="b">
        <f>TablaDatos[[#This Row],[FechaAlta]] &lt; TablaDatos[[#This Row],[FechaIngreso]]</f>
        <v>0</v>
      </c>
      <c r="M2674">
        <f>_xlfn.XLOOKUP(TablaDatos[[#This Row],[PacienteID]],'Datos_Ejemplo.csv'!A:A,'Datos_Ejemplo.csv'!I:I)</f>
        <v>2</v>
      </c>
      <c r="N2674">
        <f>ABS(TablaDatos[[#This Row],[DiasOriginal]])</f>
        <v>2</v>
      </c>
      <c r="O2674" s="1">
        <f>TablaDatos[[#This Row],[FechaIngreso]]+TablaDatos[[#This Row],[DiasNuevo]]</f>
        <v>45375</v>
      </c>
    </row>
    <row r="2675" spans="1:15">
      <c r="A2675">
        <v>2674</v>
      </c>
      <c r="B2675" t="s">
        <v>51</v>
      </c>
      <c r="C2675" s="1">
        <v>38717</v>
      </c>
      <c r="D2675">
        <v>20</v>
      </c>
      <c r="E2675" s="4" t="s">
        <v>15</v>
      </c>
      <c r="F2675" t="s">
        <v>18</v>
      </c>
      <c r="G2675" s="1">
        <v>45189</v>
      </c>
      <c r="H2675" s="1">
        <f>TablaDatos[[#This Row],[FechaIngreso]]+TablaDatos[[#This Row],[DiasNuevo]]</f>
        <v>45199</v>
      </c>
      <c r="I2675">
        <v>10</v>
      </c>
      <c r="J2675" t="s">
        <v>25</v>
      </c>
      <c r="K2675" s="3">
        <v>13924.04</v>
      </c>
      <c r="L2675" t="b">
        <f>TablaDatos[[#This Row],[FechaAlta]] &lt; TablaDatos[[#This Row],[FechaIngreso]]</f>
        <v>0</v>
      </c>
      <c r="M2675">
        <f>_xlfn.XLOOKUP(TablaDatos[[#This Row],[PacienteID]],'Datos_Ejemplo.csv'!A:A,'Datos_Ejemplo.csv'!I:I)</f>
        <v>10</v>
      </c>
      <c r="N2675">
        <f>ABS(TablaDatos[[#This Row],[DiasOriginal]])</f>
        <v>10</v>
      </c>
      <c r="O2675" s="1">
        <f>TablaDatos[[#This Row],[FechaIngreso]]+TablaDatos[[#This Row],[DiasNuevo]]</f>
        <v>45199</v>
      </c>
    </row>
    <row r="2676" spans="1:15">
      <c r="A2676">
        <v>2675</v>
      </c>
      <c r="B2676" t="s">
        <v>249</v>
      </c>
      <c r="C2676" s="1">
        <v>25203</v>
      </c>
      <c r="D2676">
        <v>57</v>
      </c>
      <c r="E2676" s="4" t="s">
        <v>15</v>
      </c>
      <c r="F2676" t="s">
        <v>21</v>
      </c>
      <c r="G2676" s="1">
        <v>45558</v>
      </c>
      <c r="H2676" s="1">
        <f>TablaDatos[[#This Row],[FechaIngreso]]+TablaDatos[[#This Row],[DiasNuevo]]</f>
        <v>45595</v>
      </c>
      <c r="I2676">
        <v>37</v>
      </c>
      <c r="J2676" t="s">
        <v>25</v>
      </c>
      <c r="K2676" s="3">
        <v>3332.18</v>
      </c>
      <c r="L2676" t="b">
        <f>TablaDatos[[#This Row],[FechaAlta]] &lt; TablaDatos[[#This Row],[FechaIngreso]]</f>
        <v>0</v>
      </c>
      <c r="M2676">
        <f>_xlfn.XLOOKUP(TablaDatos[[#This Row],[PacienteID]],'Datos_Ejemplo.csv'!A:A,'Datos_Ejemplo.csv'!I:I)</f>
        <v>37</v>
      </c>
      <c r="N2676">
        <f>ABS(TablaDatos[[#This Row],[DiasOriginal]])</f>
        <v>37</v>
      </c>
      <c r="O2676" s="1">
        <f>TablaDatos[[#This Row],[FechaIngreso]]+TablaDatos[[#This Row],[DiasNuevo]]</f>
        <v>45595</v>
      </c>
    </row>
    <row r="2677" spans="1:15">
      <c r="A2677">
        <v>2676</v>
      </c>
      <c r="B2677" t="s">
        <v>269</v>
      </c>
      <c r="C2677" s="1">
        <v>35065</v>
      </c>
      <c r="D2677">
        <v>30</v>
      </c>
      <c r="E2677" s="4" t="s">
        <v>12</v>
      </c>
      <c r="F2677" t="s">
        <v>201</v>
      </c>
      <c r="G2677" s="1">
        <v>45365</v>
      </c>
      <c r="H2677" s="1">
        <f>TablaDatos[[#This Row],[FechaIngreso]]+TablaDatos[[#This Row],[DiasNuevo]]</f>
        <v>45383</v>
      </c>
      <c r="I2677">
        <v>18</v>
      </c>
      <c r="J2677" t="s">
        <v>23</v>
      </c>
      <c r="K2677" s="3">
        <v>416.19</v>
      </c>
      <c r="L2677" t="b">
        <f>TablaDatos[[#This Row],[FechaAlta]] &lt; TablaDatos[[#This Row],[FechaIngreso]]</f>
        <v>0</v>
      </c>
      <c r="M2677">
        <f>_xlfn.XLOOKUP(TablaDatos[[#This Row],[PacienteID]],'Datos_Ejemplo.csv'!A:A,'Datos_Ejemplo.csv'!I:I)</f>
        <v>18</v>
      </c>
      <c r="N2677">
        <f>ABS(TablaDatos[[#This Row],[DiasOriginal]])</f>
        <v>18</v>
      </c>
      <c r="O2677" s="1">
        <f>TablaDatos[[#This Row],[FechaIngreso]]+TablaDatos[[#This Row],[DiasNuevo]]</f>
        <v>45383</v>
      </c>
    </row>
    <row r="2678" spans="1:15">
      <c r="A2678">
        <v>2677</v>
      </c>
      <c r="B2678" t="s">
        <v>39</v>
      </c>
      <c r="C2678" s="1">
        <v>42370</v>
      </c>
      <c r="D2678">
        <v>10</v>
      </c>
      <c r="E2678" s="4" t="s">
        <v>15</v>
      </c>
      <c r="F2678" t="s">
        <v>261</v>
      </c>
      <c r="G2678" s="1">
        <v>45185</v>
      </c>
      <c r="H2678" s="1">
        <f>TablaDatos[[#This Row],[FechaIngreso]]+TablaDatos[[#This Row],[DiasNuevo]]</f>
        <v>45219</v>
      </c>
      <c r="I2678">
        <v>34</v>
      </c>
      <c r="J2678" t="s">
        <v>23</v>
      </c>
      <c r="K2678" s="3">
        <v>5124.5200000000004</v>
      </c>
      <c r="L2678" t="b">
        <f>TablaDatos[[#This Row],[FechaAlta]] &lt; TablaDatos[[#This Row],[FechaIngreso]]</f>
        <v>0</v>
      </c>
      <c r="M2678">
        <f>_xlfn.XLOOKUP(TablaDatos[[#This Row],[PacienteID]],'Datos_Ejemplo.csv'!A:A,'Datos_Ejemplo.csv'!I:I)</f>
        <v>34</v>
      </c>
      <c r="N2678">
        <f>ABS(TablaDatos[[#This Row],[DiasOriginal]])</f>
        <v>34</v>
      </c>
      <c r="O2678" s="1">
        <f>TablaDatos[[#This Row],[FechaIngreso]]+TablaDatos[[#This Row],[DiasNuevo]]</f>
        <v>45219</v>
      </c>
    </row>
    <row r="2679" spans="1:15">
      <c r="A2679">
        <v>2678</v>
      </c>
      <c r="B2679" t="s">
        <v>232</v>
      </c>
      <c r="C2679" s="1">
        <v>27395</v>
      </c>
      <c r="D2679">
        <v>51</v>
      </c>
      <c r="E2679" s="4" t="s">
        <v>12</v>
      </c>
      <c r="F2679" t="s">
        <v>295</v>
      </c>
      <c r="G2679" s="1">
        <v>45249</v>
      </c>
      <c r="H2679" s="1">
        <f>TablaDatos[[#This Row],[FechaIngreso]]+TablaDatos[[#This Row],[DiasNuevo]]</f>
        <v>45278</v>
      </c>
      <c r="I2679">
        <v>29</v>
      </c>
      <c r="J2679" t="s">
        <v>23</v>
      </c>
      <c r="K2679" s="3">
        <v>18307.04</v>
      </c>
      <c r="L2679" t="b">
        <f>TablaDatos[[#This Row],[FechaAlta]] &lt; TablaDatos[[#This Row],[FechaIngreso]]</f>
        <v>0</v>
      </c>
      <c r="M2679">
        <f>_xlfn.XLOOKUP(TablaDatos[[#This Row],[PacienteID]],'Datos_Ejemplo.csv'!A:A,'Datos_Ejemplo.csv'!I:I)</f>
        <v>29</v>
      </c>
      <c r="N2679">
        <f>ABS(TablaDatos[[#This Row],[DiasOriginal]])</f>
        <v>29</v>
      </c>
      <c r="O2679" s="1">
        <f>TablaDatos[[#This Row],[FechaIngreso]]+TablaDatos[[#This Row],[DiasNuevo]]</f>
        <v>45278</v>
      </c>
    </row>
    <row r="2680" spans="1:15">
      <c r="A2680">
        <v>2679</v>
      </c>
      <c r="B2680" t="s">
        <v>260</v>
      </c>
      <c r="C2680" s="1">
        <v>40909</v>
      </c>
      <c r="D2680">
        <v>14</v>
      </c>
      <c r="E2680" s="4" t="s">
        <v>12</v>
      </c>
      <c r="F2680" t="s">
        <v>295</v>
      </c>
      <c r="G2680" s="1">
        <v>45456</v>
      </c>
      <c r="H2680" s="1">
        <f>TablaDatos[[#This Row],[FechaIngreso]]+TablaDatos[[#This Row],[DiasNuevo]]</f>
        <v>45491</v>
      </c>
      <c r="I2680">
        <v>35</v>
      </c>
      <c r="J2680" t="s">
        <v>25</v>
      </c>
      <c r="K2680" s="3">
        <v>13329.47</v>
      </c>
      <c r="L2680" t="b">
        <f>TablaDatos[[#This Row],[FechaAlta]] &lt; TablaDatos[[#This Row],[FechaIngreso]]</f>
        <v>0</v>
      </c>
      <c r="M2680">
        <f>_xlfn.XLOOKUP(TablaDatos[[#This Row],[PacienteID]],'Datos_Ejemplo.csv'!A:A,'Datos_Ejemplo.csv'!I:I)</f>
        <v>35</v>
      </c>
      <c r="N2680">
        <f>ABS(TablaDatos[[#This Row],[DiasOriginal]])</f>
        <v>35</v>
      </c>
      <c r="O2680" s="1">
        <f>TablaDatos[[#This Row],[FechaIngreso]]+TablaDatos[[#This Row],[DiasNuevo]]</f>
        <v>45491</v>
      </c>
    </row>
    <row r="2681" spans="1:15">
      <c r="A2681">
        <v>2680</v>
      </c>
      <c r="B2681" t="s">
        <v>51</v>
      </c>
      <c r="C2681" s="1">
        <v>16072</v>
      </c>
      <c r="D2681">
        <v>82</v>
      </c>
      <c r="E2681" s="4" t="s">
        <v>12</v>
      </c>
      <c r="F2681" t="s">
        <v>295</v>
      </c>
      <c r="G2681" s="1">
        <v>45227</v>
      </c>
      <c r="H2681" s="1">
        <f>TablaDatos[[#This Row],[FechaIngreso]]+TablaDatos[[#This Row],[DiasNuevo]]</f>
        <v>45255</v>
      </c>
      <c r="I2681">
        <v>28</v>
      </c>
      <c r="J2681" t="s">
        <v>19</v>
      </c>
      <c r="K2681" s="3">
        <v>18381.330000000002</v>
      </c>
      <c r="L2681" t="b">
        <f>TablaDatos[[#This Row],[FechaAlta]] &lt; TablaDatos[[#This Row],[FechaIngreso]]</f>
        <v>0</v>
      </c>
      <c r="M2681">
        <f>_xlfn.XLOOKUP(TablaDatos[[#This Row],[PacienteID]],'Datos_Ejemplo.csv'!A:A,'Datos_Ejemplo.csv'!I:I)</f>
        <v>28</v>
      </c>
      <c r="N2681">
        <f>ABS(TablaDatos[[#This Row],[DiasOriginal]])</f>
        <v>28</v>
      </c>
      <c r="O2681" s="1">
        <f>TablaDatos[[#This Row],[FechaIngreso]]+TablaDatos[[#This Row],[DiasNuevo]]</f>
        <v>45255</v>
      </c>
    </row>
    <row r="2682" spans="1:15">
      <c r="A2682">
        <v>2681</v>
      </c>
      <c r="B2682" t="s">
        <v>339</v>
      </c>
      <c r="C2682" s="1">
        <v>43831</v>
      </c>
      <c r="D2682">
        <v>6</v>
      </c>
      <c r="E2682" s="4" t="s">
        <v>12</v>
      </c>
      <c r="F2682" t="s">
        <v>13</v>
      </c>
      <c r="G2682" s="1">
        <v>45411</v>
      </c>
      <c r="H2682" s="1">
        <f>TablaDatos[[#This Row],[FechaIngreso]]+TablaDatos[[#This Row],[DiasNuevo]]</f>
        <v>45440</v>
      </c>
      <c r="I2682">
        <v>29</v>
      </c>
      <c r="J2682" t="s">
        <v>19</v>
      </c>
      <c r="K2682" s="3">
        <v>8867.6299999999992</v>
      </c>
      <c r="L2682" t="b">
        <f>TablaDatos[[#This Row],[FechaAlta]] &lt; TablaDatos[[#This Row],[FechaIngreso]]</f>
        <v>0</v>
      </c>
      <c r="M2682">
        <f>_xlfn.XLOOKUP(TablaDatos[[#This Row],[PacienteID]],'Datos_Ejemplo.csv'!A:A,'Datos_Ejemplo.csv'!I:I)</f>
        <v>29</v>
      </c>
      <c r="N2682">
        <f>ABS(TablaDatos[[#This Row],[DiasOriginal]])</f>
        <v>29</v>
      </c>
      <c r="O2682" s="1">
        <f>TablaDatos[[#This Row],[FechaIngreso]]+TablaDatos[[#This Row],[DiasNuevo]]</f>
        <v>45440</v>
      </c>
    </row>
    <row r="2683" spans="1:15">
      <c r="A2683">
        <v>2682</v>
      </c>
      <c r="B2683" t="s">
        <v>263</v>
      </c>
      <c r="C2683" s="1">
        <v>36161</v>
      </c>
      <c r="D2683">
        <v>27</v>
      </c>
      <c r="E2683" s="4" t="s">
        <v>12</v>
      </c>
      <c r="F2683" t="s">
        <v>13</v>
      </c>
      <c r="G2683" s="1">
        <v>45018</v>
      </c>
      <c r="H2683" s="1">
        <f>TablaDatos[[#This Row],[FechaIngreso]]+TablaDatos[[#This Row],[DiasNuevo]]</f>
        <v>45030</v>
      </c>
      <c r="I2683">
        <v>12</v>
      </c>
      <c r="J2683" t="s">
        <v>23</v>
      </c>
      <c r="K2683" s="3">
        <v>18726.2</v>
      </c>
      <c r="L2683" t="b">
        <f>TablaDatos[[#This Row],[FechaAlta]] &lt; TablaDatos[[#This Row],[FechaIngreso]]</f>
        <v>0</v>
      </c>
      <c r="M2683">
        <f>_xlfn.XLOOKUP(TablaDatos[[#This Row],[PacienteID]],'Datos_Ejemplo.csv'!A:A,'Datos_Ejemplo.csv'!I:I)</f>
        <v>12</v>
      </c>
      <c r="N2683">
        <f>ABS(TablaDatos[[#This Row],[DiasOriginal]])</f>
        <v>12</v>
      </c>
      <c r="O2683" s="1">
        <f>TablaDatos[[#This Row],[FechaIngreso]]+TablaDatos[[#This Row],[DiasNuevo]]</f>
        <v>45030</v>
      </c>
    </row>
    <row r="2684" spans="1:15">
      <c r="A2684">
        <v>2683</v>
      </c>
      <c r="B2684" t="s">
        <v>235</v>
      </c>
      <c r="C2684" s="1">
        <v>27760</v>
      </c>
      <c r="D2684">
        <v>50</v>
      </c>
      <c r="E2684" s="4" t="s">
        <v>15</v>
      </c>
      <c r="F2684" t="s">
        <v>18</v>
      </c>
      <c r="G2684" s="1">
        <v>45090</v>
      </c>
      <c r="H2684" s="1">
        <f>TablaDatos[[#This Row],[FechaIngreso]]+TablaDatos[[#This Row],[DiasNuevo]]</f>
        <v>45117</v>
      </c>
      <c r="I2684">
        <v>27</v>
      </c>
      <c r="J2684" t="s">
        <v>23</v>
      </c>
      <c r="K2684" s="3">
        <v>9205.49</v>
      </c>
      <c r="L2684" t="b">
        <f>TablaDatos[[#This Row],[FechaAlta]] &lt; TablaDatos[[#This Row],[FechaIngreso]]</f>
        <v>0</v>
      </c>
      <c r="M2684">
        <f>_xlfn.XLOOKUP(TablaDatos[[#This Row],[PacienteID]],'Datos_Ejemplo.csv'!A:A,'Datos_Ejemplo.csv'!I:I)</f>
        <v>27</v>
      </c>
      <c r="N2684">
        <f>ABS(TablaDatos[[#This Row],[DiasOriginal]])</f>
        <v>27</v>
      </c>
      <c r="O2684" s="1">
        <f>TablaDatos[[#This Row],[FechaIngreso]]+TablaDatos[[#This Row],[DiasNuevo]]</f>
        <v>45117</v>
      </c>
    </row>
    <row r="2685" spans="1:15">
      <c r="A2685">
        <v>2684</v>
      </c>
      <c r="B2685" t="s">
        <v>51</v>
      </c>
      <c r="C2685" s="1">
        <v>25203</v>
      </c>
      <c r="D2685">
        <v>57</v>
      </c>
      <c r="E2685" s="4" t="s">
        <v>15</v>
      </c>
      <c r="F2685" t="s">
        <v>261</v>
      </c>
      <c r="G2685" s="1">
        <v>45582</v>
      </c>
      <c r="H2685" s="1">
        <f>TablaDatos[[#This Row],[FechaIngreso]]+TablaDatos[[#This Row],[DiasNuevo]]</f>
        <v>45586</v>
      </c>
      <c r="I2685">
        <v>4</v>
      </c>
      <c r="J2685" t="s">
        <v>23</v>
      </c>
      <c r="K2685" s="3">
        <v>4005.52</v>
      </c>
      <c r="L2685" t="b">
        <f>TablaDatos[[#This Row],[FechaAlta]] &lt; TablaDatos[[#This Row],[FechaIngreso]]</f>
        <v>0</v>
      </c>
      <c r="M2685">
        <f>_xlfn.XLOOKUP(TablaDatos[[#This Row],[PacienteID]],'Datos_Ejemplo.csv'!A:A,'Datos_Ejemplo.csv'!I:I)</f>
        <v>4</v>
      </c>
      <c r="N2685">
        <f>ABS(TablaDatos[[#This Row],[DiasOriginal]])</f>
        <v>4</v>
      </c>
      <c r="O2685" s="1">
        <f>TablaDatos[[#This Row],[FechaIngreso]]+TablaDatos[[#This Row],[DiasNuevo]]</f>
        <v>45586</v>
      </c>
    </row>
    <row r="2686" spans="1:15">
      <c r="A2686">
        <v>2685</v>
      </c>
      <c r="B2686" t="s">
        <v>266</v>
      </c>
      <c r="C2686" s="1">
        <v>44561</v>
      </c>
      <c r="D2686">
        <v>4</v>
      </c>
      <c r="E2686" s="4" t="s">
        <v>12</v>
      </c>
      <c r="F2686" t="s">
        <v>21</v>
      </c>
      <c r="G2686" s="1">
        <v>45261</v>
      </c>
      <c r="H2686" s="1">
        <f>TablaDatos[[#This Row],[FechaIngreso]]+TablaDatos[[#This Row],[DiasNuevo]]</f>
        <v>45296</v>
      </c>
      <c r="I2686">
        <v>35</v>
      </c>
      <c r="J2686" t="s">
        <v>19</v>
      </c>
      <c r="K2686" s="3">
        <v>2943.01</v>
      </c>
      <c r="L2686" t="b">
        <f>TablaDatos[[#This Row],[FechaAlta]] &lt; TablaDatos[[#This Row],[FechaIngreso]]</f>
        <v>0</v>
      </c>
      <c r="M2686">
        <f>_xlfn.XLOOKUP(TablaDatos[[#This Row],[PacienteID]],'Datos_Ejemplo.csv'!A:A,'Datos_Ejemplo.csv'!I:I)</f>
        <v>35</v>
      </c>
      <c r="N2686">
        <f>ABS(TablaDatos[[#This Row],[DiasOriginal]])</f>
        <v>35</v>
      </c>
      <c r="O2686" s="1">
        <f>TablaDatos[[#This Row],[FechaIngreso]]+TablaDatos[[#This Row],[DiasNuevo]]</f>
        <v>45296</v>
      </c>
    </row>
    <row r="2687" spans="1:15">
      <c r="A2687">
        <v>2686</v>
      </c>
      <c r="B2687" t="s">
        <v>294</v>
      </c>
      <c r="C2687" s="1">
        <v>44561</v>
      </c>
      <c r="D2687">
        <v>4</v>
      </c>
      <c r="E2687" s="4" t="s">
        <v>12</v>
      </c>
      <c r="F2687" t="s">
        <v>13</v>
      </c>
      <c r="G2687" s="1">
        <v>45241</v>
      </c>
      <c r="H2687" s="1">
        <f>TablaDatos[[#This Row],[FechaIngreso]]+TablaDatos[[#This Row],[DiasNuevo]]</f>
        <v>45269</v>
      </c>
      <c r="I2687">
        <v>28</v>
      </c>
      <c r="J2687" t="s">
        <v>23</v>
      </c>
      <c r="K2687" s="3">
        <v>19875.62</v>
      </c>
      <c r="L2687" t="b">
        <f>TablaDatos[[#This Row],[FechaAlta]] &lt; TablaDatos[[#This Row],[FechaIngreso]]</f>
        <v>0</v>
      </c>
      <c r="M2687">
        <f>_xlfn.XLOOKUP(TablaDatos[[#This Row],[PacienteID]],'Datos_Ejemplo.csv'!A:A,'Datos_Ejemplo.csv'!I:I)</f>
        <v>28</v>
      </c>
      <c r="N2687">
        <f>ABS(TablaDatos[[#This Row],[DiasOriginal]])</f>
        <v>28</v>
      </c>
      <c r="O2687" s="1">
        <f>TablaDatos[[#This Row],[FechaIngreso]]+TablaDatos[[#This Row],[DiasNuevo]]</f>
        <v>45269</v>
      </c>
    </row>
    <row r="2688" spans="1:15">
      <c r="A2688">
        <v>2687</v>
      </c>
      <c r="B2688" t="s">
        <v>259</v>
      </c>
      <c r="C2688" s="1">
        <v>12054</v>
      </c>
      <c r="D2688">
        <v>93</v>
      </c>
      <c r="E2688" s="4" t="s">
        <v>15</v>
      </c>
      <c r="F2688" t="s">
        <v>32</v>
      </c>
      <c r="G2688" s="1">
        <v>45164</v>
      </c>
      <c r="H2688" s="1">
        <f>TablaDatos[[#This Row],[FechaIngreso]]+TablaDatos[[#This Row],[DiasNuevo]]</f>
        <v>45187</v>
      </c>
      <c r="I2688">
        <v>23</v>
      </c>
      <c r="J2688" t="s">
        <v>23</v>
      </c>
      <c r="K2688" s="3">
        <v>6610.64</v>
      </c>
      <c r="L2688" t="b">
        <f>TablaDatos[[#This Row],[FechaAlta]] &lt; TablaDatos[[#This Row],[FechaIngreso]]</f>
        <v>0</v>
      </c>
      <c r="M2688">
        <f>_xlfn.XLOOKUP(TablaDatos[[#This Row],[PacienteID]],'Datos_Ejemplo.csv'!A:A,'Datos_Ejemplo.csv'!I:I)</f>
        <v>23</v>
      </c>
      <c r="N2688">
        <f>ABS(TablaDatos[[#This Row],[DiasOriginal]])</f>
        <v>23</v>
      </c>
      <c r="O2688" s="1">
        <f>TablaDatos[[#This Row],[FechaIngreso]]+TablaDatos[[#This Row],[DiasNuevo]]</f>
        <v>45187</v>
      </c>
    </row>
    <row r="2689" spans="1:15">
      <c r="A2689">
        <v>2688</v>
      </c>
      <c r="B2689" t="s">
        <v>230</v>
      </c>
      <c r="C2689" s="1">
        <v>43466</v>
      </c>
      <c r="D2689">
        <v>7</v>
      </c>
      <c r="E2689" s="4" t="s">
        <v>15</v>
      </c>
      <c r="F2689" t="s">
        <v>13</v>
      </c>
      <c r="G2689" s="1">
        <v>45612</v>
      </c>
      <c r="H2689" s="1">
        <f>TablaDatos[[#This Row],[FechaIngreso]]+TablaDatos[[#This Row],[DiasNuevo]]</f>
        <v>45645</v>
      </c>
      <c r="I2689">
        <v>33</v>
      </c>
      <c r="J2689" t="s">
        <v>25</v>
      </c>
      <c r="K2689" s="3">
        <v>3117.07</v>
      </c>
      <c r="L2689" t="b">
        <f>TablaDatos[[#This Row],[FechaAlta]] &lt; TablaDatos[[#This Row],[FechaIngreso]]</f>
        <v>0</v>
      </c>
      <c r="M2689">
        <f>_xlfn.XLOOKUP(TablaDatos[[#This Row],[PacienteID]],'Datos_Ejemplo.csv'!A:A,'Datos_Ejemplo.csv'!I:I)</f>
        <v>33</v>
      </c>
      <c r="N2689">
        <f>ABS(TablaDatos[[#This Row],[DiasOriginal]])</f>
        <v>33</v>
      </c>
      <c r="O2689" s="1">
        <f>TablaDatos[[#This Row],[FechaIngreso]]+TablaDatos[[#This Row],[DiasNuevo]]</f>
        <v>45645</v>
      </c>
    </row>
    <row r="2690" spans="1:15">
      <c r="A2690">
        <v>2689</v>
      </c>
      <c r="B2690" t="s">
        <v>299</v>
      </c>
      <c r="C2690" s="1">
        <v>23012</v>
      </c>
      <c r="D2690">
        <v>63</v>
      </c>
      <c r="E2690" s="4" t="s">
        <v>15</v>
      </c>
      <c r="F2690" t="s">
        <v>295</v>
      </c>
      <c r="G2690" s="1">
        <v>45009</v>
      </c>
      <c r="H2690" s="1">
        <f>TablaDatos[[#This Row],[FechaIngreso]]+TablaDatos[[#This Row],[DiasNuevo]]</f>
        <v>45032</v>
      </c>
      <c r="I2690">
        <v>23</v>
      </c>
      <c r="J2690" t="s">
        <v>23</v>
      </c>
      <c r="K2690" s="3">
        <v>69.010000000000005</v>
      </c>
      <c r="L2690" t="b">
        <f>TablaDatos[[#This Row],[FechaAlta]] &lt; TablaDatos[[#This Row],[FechaIngreso]]</f>
        <v>0</v>
      </c>
      <c r="M2690">
        <f>_xlfn.XLOOKUP(TablaDatos[[#This Row],[PacienteID]],'Datos_Ejemplo.csv'!A:A,'Datos_Ejemplo.csv'!I:I)</f>
        <v>23</v>
      </c>
      <c r="N2690">
        <f>ABS(TablaDatos[[#This Row],[DiasOriginal]])</f>
        <v>23</v>
      </c>
      <c r="O2690" s="1">
        <f>TablaDatos[[#This Row],[FechaIngreso]]+TablaDatos[[#This Row],[DiasNuevo]]</f>
        <v>45032</v>
      </c>
    </row>
    <row r="2691" spans="1:15">
      <c r="A2691">
        <v>2690</v>
      </c>
      <c r="B2691" t="s">
        <v>230</v>
      </c>
      <c r="C2691" s="1">
        <v>42735</v>
      </c>
      <c r="D2691">
        <v>9</v>
      </c>
      <c r="E2691" s="4" t="s">
        <v>15</v>
      </c>
      <c r="F2691" t="s">
        <v>21</v>
      </c>
      <c r="G2691" s="1">
        <v>45595</v>
      </c>
      <c r="H2691" s="1">
        <f>TablaDatos[[#This Row],[FechaIngreso]]+TablaDatos[[#This Row],[DiasNuevo]]</f>
        <v>45596</v>
      </c>
      <c r="I2691">
        <v>1</v>
      </c>
      <c r="J2691" t="s">
        <v>23</v>
      </c>
      <c r="K2691" s="3">
        <v>5639.95</v>
      </c>
      <c r="L2691" t="b">
        <f>TablaDatos[[#This Row],[FechaAlta]] &lt; TablaDatos[[#This Row],[FechaIngreso]]</f>
        <v>0</v>
      </c>
      <c r="M2691">
        <f>_xlfn.XLOOKUP(TablaDatos[[#This Row],[PacienteID]],'Datos_Ejemplo.csv'!A:A,'Datos_Ejemplo.csv'!I:I)</f>
        <v>-1</v>
      </c>
      <c r="N2691">
        <f>ABS(TablaDatos[[#This Row],[DiasOriginal]])</f>
        <v>1</v>
      </c>
      <c r="O2691" s="1">
        <f>TablaDatos[[#This Row],[FechaIngreso]]+TablaDatos[[#This Row],[DiasNuevo]]</f>
        <v>45596</v>
      </c>
    </row>
    <row r="2692" spans="1:15">
      <c r="A2692">
        <v>2691</v>
      </c>
      <c r="B2692" t="s">
        <v>282</v>
      </c>
      <c r="C2692" s="1">
        <v>32508</v>
      </c>
      <c r="D2692">
        <v>37</v>
      </c>
      <c r="E2692" s="4" t="s">
        <v>15</v>
      </c>
      <c r="F2692" t="s">
        <v>18</v>
      </c>
      <c r="G2692" s="1">
        <v>45035</v>
      </c>
      <c r="H2692" s="1">
        <f>TablaDatos[[#This Row],[FechaIngreso]]+TablaDatos[[#This Row],[DiasNuevo]]</f>
        <v>45041</v>
      </c>
      <c r="I2692">
        <v>6</v>
      </c>
      <c r="J2692" t="s">
        <v>23</v>
      </c>
      <c r="K2692" s="3">
        <v>17771.23</v>
      </c>
      <c r="L2692" t="b">
        <f>TablaDatos[[#This Row],[FechaAlta]] &lt; TablaDatos[[#This Row],[FechaIngreso]]</f>
        <v>0</v>
      </c>
      <c r="M2692">
        <f>_xlfn.XLOOKUP(TablaDatos[[#This Row],[PacienteID]],'Datos_Ejemplo.csv'!A:A,'Datos_Ejemplo.csv'!I:I)</f>
        <v>6</v>
      </c>
      <c r="N2692">
        <f>ABS(TablaDatos[[#This Row],[DiasOriginal]])</f>
        <v>6</v>
      </c>
      <c r="O2692" s="1">
        <f>TablaDatos[[#This Row],[FechaIngreso]]+TablaDatos[[#This Row],[DiasNuevo]]</f>
        <v>45041</v>
      </c>
    </row>
    <row r="2693" spans="1:15">
      <c r="A2693">
        <v>2692</v>
      </c>
      <c r="B2693" t="s">
        <v>367</v>
      </c>
      <c r="C2693" s="1">
        <v>12785</v>
      </c>
      <c r="D2693">
        <v>91</v>
      </c>
      <c r="E2693" s="4" t="s">
        <v>12</v>
      </c>
      <c r="F2693" t="s">
        <v>13</v>
      </c>
      <c r="G2693" s="1">
        <v>45104</v>
      </c>
      <c r="H2693" s="1">
        <f>TablaDatos[[#This Row],[FechaIngreso]]+TablaDatos[[#This Row],[DiasNuevo]]</f>
        <v>45106</v>
      </c>
      <c r="I2693">
        <v>2</v>
      </c>
      <c r="J2693" t="s">
        <v>25</v>
      </c>
      <c r="K2693" s="3">
        <v>10633.59</v>
      </c>
      <c r="L2693" t="b">
        <f>TablaDatos[[#This Row],[FechaAlta]] &lt; TablaDatos[[#This Row],[FechaIngreso]]</f>
        <v>0</v>
      </c>
      <c r="M2693">
        <f>_xlfn.XLOOKUP(TablaDatos[[#This Row],[PacienteID]],'Datos_Ejemplo.csv'!A:A,'Datos_Ejemplo.csv'!I:I)</f>
        <v>2</v>
      </c>
      <c r="N2693">
        <f>ABS(TablaDatos[[#This Row],[DiasOriginal]])</f>
        <v>2</v>
      </c>
      <c r="O2693" s="1">
        <f>TablaDatos[[#This Row],[FechaIngreso]]+TablaDatos[[#This Row],[DiasNuevo]]</f>
        <v>45106</v>
      </c>
    </row>
    <row r="2694" spans="1:15">
      <c r="A2694">
        <v>2693</v>
      </c>
      <c r="B2694" t="s">
        <v>351</v>
      </c>
      <c r="C2694" s="1">
        <v>16802</v>
      </c>
      <c r="D2694">
        <v>80</v>
      </c>
      <c r="E2694" s="4" t="s">
        <v>12</v>
      </c>
      <c r="F2694" t="s">
        <v>295</v>
      </c>
      <c r="G2694" s="1">
        <v>45176</v>
      </c>
      <c r="H2694" s="1">
        <f>TablaDatos[[#This Row],[FechaIngreso]]+TablaDatos[[#This Row],[DiasNuevo]]</f>
        <v>45200</v>
      </c>
      <c r="I2694">
        <v>24</v>
      </c>
      <c r="J2694" t="s">
        <v>23</v>
      </c>
      <c r="K2694" s="3">
        <v>12611.94</v>
      </c>
      <c r="L2694" t="b">
        <f>TablaDatos[[#This Row],[FechaAlta]] &lt; TablaDatos[[#This Row],[FechaIngreso]]</f>
        <v>0</v>
      </c>
      <c r="M2694">
        <f>_xlfn.XLOOKUP(TablaDatos[[#This Row],[PacienteID]],'Datos_Ejemplo.csv'!A:A,'Datos_Ejemplo.csv'!I:I)</f>
        <v>24</v>
      </c>
      <c r="N2694">
        <f>ABS(TablaDatos[[#This Row],[DiasOriginal]])</f>
        <v>24</v>
      </c>
      <c r="O2694" s="1">
        <f>TablaDatos[[#This Row],[FechaIngreso]]+TablaDatos[[#This Row],[DiasNuevo]]</f>
        <v>45200</v>
      </c>
    </row>
    <row r="2695" spans="1:15">
      <c r="A2695">
        <v>2694</v>
      </c>
      <c r="B2695" t="s">
        <v>334</v>
      </c>
      <c r="C2695" s="1">
        <v>11689</v>
      </c>
      <c r="D2695">
        <v>94</v>
      </c>
      <c r="E2695" s="4" t="s">
        <v>12</v>
      </c>
      <c r="F2695" t="s">
        <v>201</v>
      </c>
      <c r="G2695" s="1">
        <v>45493</v>
      </c>
      <c r="H2695" s="1">
        <f>TablaDatos[[#This Row],[FechaIngreso]]+TablaDatos[[#This Row],[DiasNuevo]]</f>
        <v>45502</v>
      </c>
      <c r="I2695">
        <v>9</v>
      </c>
      <c r="J2695" t="s">
        <v>23</v>
      </c>
      <c r="K2695" s="3">
        <v>18440.060000000001</v>
      </c>
      <c r="L2695" t="b">
        <f>TablaDatos[[#This Row],[FechaAlta]] &lt; TablaDatos[[#This Row],[FechaIngreso]]</f>
        <v>0</v>
      </c>
      <c r="M2695">
        <f>_xlfn.XLOOKUP(TablaDatos[[#This Row],[PacienteID]],'Datos_Ejemplo.csv'!A:A,'Datos_Ejemplo.csv'!I:I)</f>
        <v>9</v>
      </c>
      <c r="N2695">
        <f>ABS(TablaDatos[[#This Row],[DiasOriginal]])</f>
        <v>9</v>
      </c>
      <c r="O2695" s="1">
        <f>TablaDatos[[#This Row],[FechaIngreso]]+TablaDatos[[#This Row],[DiasNuevo]]</f>
        <v>45502</v>
      </c>
    </row>
    <row r="2696" spans="1:15">
      <c r="A2696">
        <v>2695</v>
      </c>
      <c r="B2696" t="s">
        <v>246</v>
      </c>
      <c r="C2696" s="1">
        <v>43466</v>
      </c>
      <c r="D2696">
        <v>7</v>
      </c>
      <c r="E2696" s="4" t="s">
        <v>12</v>
      </c>
      <c r="F2696" t="s">
        <v>32</v>
      </c>
      <c r="G2696" s="1">
        <v>45593</v>
      </c>
      <c r="H2696" s="1">
        <f>TablaDatos[[#This Row],[FechaIngreso]]+TablaDatos[[#This Row],[DiasNuevo]]</f>
        <v>45625</v>
      </c>
      <c r="I2696">
        <v>32</v>
      </c>
      <c r="J2696" t="s">
        <v>19</v>
      </c>
      <c r="K2696" s="3">
        <v>10208.08</v>
      </c>
      <c r="L2696" t="b">
        <f>TablaDatos[[#This Row],[FechaAlta]] &lt; TablaDatos[[#This Row],[FechaIngreso]]</f>
        <v>0</v>
      </c>
      <c r="M2696">
        <f>_xlfn.XLOOKUP(TablaDatos[[#This Row],[PacienteID]],'Datos_Ejemplo.csv'!A:A,'Datos_Ejemplo.csv'!I:I)</f>
        <v>32</v>
      </c>
      <c r="N2696">
        <f>ABS(TablaDatos[[#This Row],[DiasOriginal]])</f>
        <v>32</v>
      </c>
      <c r="O2696" s="1">
        <f>TablaDatos[[#This Row],[FechaIngreso]]+TablaDatos[[#This Row],[DiasNuevo]]</f>
        <v>45625</v>
      </c>
    </row>
    <row r="2697" spans="1:15">
      <c r="A2697">
        <v>2696</v>
      </c>
      <c r="B2697" t="s">
        <v>310</v>
      </c>
      <c r="C2697" s="1">
        <v>37256</v>
      </c>
      <c r="D2697">
        <v>24</v>
      </c>
      <c r="E2697" s="4" t="s">
        <v>12</v>
      </c>
      <c r="F2697" t="s">
        <v>32</v>
      </c>
      <c r="G2697" s="1">
        <v>45017</v>
      </c>
      <c r="H2697" s="1">
        <f>TablaDatos[[#This Row],[FechaIngreso]]+TablaDatos[[#This Row],[DiasNuevo]]</f>
        <v>45043</v>
      </c>
      <c r="I2697">
        <v>26</v>
      </c>
      <c r="J2697" t="s">
        <v>19</v>
      </c>
      <c r="K2697" s="3">
        <v>16749.419999999998</v>
      </c>
      <c r="L2697" t="b">
        <f>TablaDatos[[#This Row],[FechaAlta]] &lt; TablaDatos[[#This Row],[FechaIngreso]]</f>
        <v>0</v>
      </c>
      <c r="M2697">
        <f>_xlfn.XLOOKUP(TablaDatos[[#This Row],[PacienteID]],'Datos_Ejemplo.csv'!A:A,'Datos_Ejemplo.csv'!I:I)</f>
        <v>26</v>
      </c>
      <c r="N2697">
        <f>ABS(TablaDatos[[#This Row],[DiasOriginal]])</f>
        <v>26</v>
      </c>
      <c r="O2697" s="1">
        <f>TablaDatos[[#This Row],[FechaIngreso]]+TablaDatos[[#This Row],[DiasNuevo]]</f>
        <v>45043</v>
      </c>
    </row>
    <row r="2698" spans="1:15">
      <c r="A2698">
        <v>2697</v>
      </c>
      <c r="B2698" t="s">
        <v>342</v>
      </c>
      <c r="C2698" s="1">
        <v>19724</v>
      </c>
      <c r="D2698">
        <v>72</v>
      </c>
      <c r="E2698" s="4" t="s">
        <v>15</v>
      </c>
      <c r="F2698" t="s">
        <v>201</v>
      </c>
      <c r="G2698" s="1">
        <v>45265</v>
      </c>
      <c r="H2698" s="1">
        <f>TablaDatos[[#This Row],[FechaIngreso]]+TablaDatos[[#This Row],[DiasNuevo]]</f>
        <v>45278</v>
      </c>
      <c r="I2698">
        <v>13</v>
      </c>
      <c r="J2698" t="s">
        <v>23</v>
      </c>
      <c r="K2698" s="3">
        <v>6409.05</v>
      </c>
      <c r="L2698" t="b">
        <f>TablaDatos[[#This Row],[FechaAlta]] &lt; TablaDatos[[#This Row],[FechaIngreso]]</f>
        <v>0</v>
      </c>
      <c r="M2698">
        <f>_xlfn.XLOOKUP(TablaDatos[[#This Row],[PacienteID]],'Datos_Ejemplo.csv'!A:A,'Datos_Ejemplo.csv'!I:I)</f>
        <v>13</v>
      </c>
      <c r="N2698">
        <f>ABS(TablaDatos[[#This Row],[DiasOriginal]])</f>
        <v>13</v>
      </c>
      <c r="O2698" s="1">
        <f>TablaDatos[[#This Row],[FechaIngreso]]+TablaDatos[[#This Row],[DiasNuevo]]</f>
        <v>45278</v>
      </c>
    </row>
    <row r="2699" spans="1:15">
      <c r="A2699">
        <v>2698</v>
      </c>
      <c r="B2699" t="s">
        <v>250</v>
      </c>
      <c r="C2699" s="1">
        <v>22281</v>
      </c>
      <c r="D2699">
        <v>65</v>
      </c>
      <c r="E2699" s="4" t="s">
        <v>15</v>
      </c>
      <c r="F2699" t="s">
        <v>18</v>
      </c>
      <c r="G2699" s="1">
        <v>45564</v>
      </c>
      <c r="H2699" s="1">
        <f>TablaDatos[[#This Row],[FechaIngreso]]+TablaDatos[[#This Row],[DiasNuevo]]</f>
        <v>45580</v>
      </c>
      <c r="I2699">
        <v>16</v>
      </c>
      <c r="J2699" t="s">
        <v>25</v>
      </c>
      <c r="K2699" s="3">
        <v>19539.75</v>
      </c>
      <c r="L2699" t="b">
        <f>TablaDatos[[#This Row],[FechaAlta]] &lt; TablaDatos[[#This Row],[FechaIngreso]]</f>
        <v>0</v>
      </c>
      <c r="M2699">
        <f>_xlfn.XLOOKUP(TablaDatos[[#This Row],[PacienteID]],'Datos_Ejemplo.csv'!A:A,'Datos_Ejemplo.csv'!I:I)</f>
        <v>16</v>
      </c>
      <c r="N2699">
        <f>ABS(TablaDatos[[#This Row],[DiasOriginal]])</f>
        <v>16</v>
      </c>
      <c r="O2699" s="1">
        <f>TablaDatos[[#This Row],[FechaIngreso]]+TablaDatos[[#This Row],[DiasNuevo]]</f>
        <v>45580</v>
      </c>
    </row>
    <row r="2700" spans="1:15">
      <c r="A2700">
        <v>2699</v>
      </c>
      <c r="B2700" t="s">
        <v>269</v>
      </c>
      <c r="C2700" s="1">
        <v>17533</v>
      </c>
      <c r="D2700">
        <v>78</v>
      </c>
      <c r="E2700" s="4" t="s">
        <v>12</v>
      </c>
      <c r="F2700" t="s">
        <v>18</v>
      </c>
      <c r="G2700" s="1">
        <v>45095</v>
      </c>
      <c r="H2700" s="1">
        <f>TablaDatos[[#This Row],[FechaIngreso]]+TablaDatos[[#This Row],[DiasNuevo]]</f>
        <v>45119</v>
      </c>
      <c r="I2700">
        <v>24</v>
      </c>
      <c r="J2700" t="s">
        <v>25</v>
      </c>
      <c r="K2700" s="3">
        <v>1484.16</v>
      </c>
      <c r="L2700" t="b">
        <f>TablaDatos[[#This Row],[FechaAlta]] &lt; TablaDatos[[#This Row],[FechaIngreso]]</f>
        <v>0</v>
      </c>
      <c r="M2700">
        <f>_xlfn.XLOOKUP(TablaDatos[[#This Row],[PacienteID]],'Datos_Ejemplo.csv'!A:A,'Datos_Ejemplo.csv'!I:I)</f>
        <v>24</v>
      </c>
      <c r="N2700">
        <f>ABS(TablaDatos[[#This Row],[DiasOriginal]])</f>
        <v>24</v>
      </c>
      <c r="O2700" s="1">
        <f>TablaDatos[[#This Row],[FechaIngreso]]+TablaDatos[[#This Row],[DiasNuevo]]</f>
        <v>45119</v>
      </c>
    </row>
    <row r="2701" spans="1:15">
      <c r="A2701">
        <v>2700</v>
      </c>
      <c r="B2701" t="s">
        <v>301</v>
      </c>
      <c r="C2701" s="1">
        <v>28125</v>
      </c>
      <c r="D2701">
        <v>49</v>
      </c>
      <c r="E2701" s="4" t="s">
        <v>12</v>
      </c>
      <c r="F2701" t="s">
        <v>13</v>
      </c>
      <c r="G2701" s="1">
        <v>45065</v>
      </c>
      <c r="H2701" s="1">
        <f>TablaDatos[[#This Row],[FechaIngreso]]+TablaDatos[[#This Row],[DiasNuevo]]</f>
        <v>45080</v>
      </c>
      <c r="I2701">
        <v>15</v>
      </c>
      <c r="J2701" t="s">
        <v>25</v>
      </c>
      <c r="K2701" s="3">
        <v>14469.07</v>
      </c>
      <c r="L2701" t="b">
        <f>TablaDatos[[#This Row],[FechaAlta]] &lt; TablaDatos[[#This Row],[FechaIngreso]]</f>
        <v>0</v>
      </c>
      <c r="M2701">
        <f>_xlfn.XLOOKUP(TablaDatos[[#This Row],[PacienteID]],'Datos_Ejemplo.csv'!A:A,'Datos_Ejemplo.csv'!I:I)</f>
        <v>15</v>
      </c>
      <c r="N2701">
        <f>ABS(TablaDatos[[#This Row],[DiasOriginal]])</f>
        <v>15</v>
      </c>
      <c r="O2701" s="1">
        <f>TablaDatos[[#This Row],[FechaIngreso]]+TablaDatos[[#This Row],[DiasNuevo]]</f>
        <v>45080</v>
      </c>
    </row>
    <row r="2702" spans="1:15">
      <c r="A2702">
        <v>2701</v>
      </c>
      <c r="B2702" t="s">
        <v>326</v>
      </c>
      <c r="C2702" s="1">
        <v>21916</v>
      </c>
      <c r="D2702">
        <v>66</v>
      </c>
      <c r="E2702" s="4" t="s">
        <v>15</v>
      </c>
      <c r="F2702" t="s">
        <v>18</v>
      </c>
      <c r="G2702" s="1">
        <v>45443</v>
      </c>
      <c r="H2702" s="1">
        <f>TablaDatos[[#This Row],[FechaIngreso]]+TablaDatos[[#This Row],[DiasNuevo]]</f>
        <v>45481</v>
      </c>
      <c r="I2702">
        <v>38</v>
      </c>
      <c r="J2702" t="s">
        <v>23</v>
      </c>
      <c r="K2702" s="3">
        <v>13177.38</v>
      </c>
      <c r="L2702" t="b">
        <f>TablaDatos[[#This Row],[FechaAlta]] &lt; TablaDatos[[#This Row],[FechaIngreso]]</f>
        <v>0</v>
      </c>
      <c r="M2702">
        <f>_xlfn.XLOOKUP(TablaDatos[[#This Row],[PacienteID]],'Datos_Ejemplo.csv'!A:A,'Datos_Ejemplo.csv'!I:I)</f>
        <v>38</v>
      </c>
      <c r="N2702">
        <f>ABS(TablaDatos[[#This Row],[DiasOriginal]])</f>
        <v>38</v>
      </c>
      <c r="O2702" s="1">
        <f>TablaDatos[[#This Row],[FechaIngreso]]+TablaDatos[[#This Row],[DiasNuevo]]</f>
        <v>45481</v>
      </c>
    </row>
    <row r="2703" spans="1:15">
      <c r="A2703">
        <v>2702</v>
      </c>
      <c r="B2703" t="s">
        <v>248</v>
      </c>
      <c r="C2703" s="1">
        <v>28490</v>
      </c>
      <c r="D2703">
        <v>48</v>
      </c>
      <c r="E2703" s="4" t="s">
        <v>197</v>
      </c>
      <c r="F2703" t="s">
        <v>261</v>
      </c>
      <c r="G2703" s="1">
        <v>45504</v>
      </c>
      <c r="H2703" s="1">
        <f>TablaDatos[[#This Row],[FechaIngreso]]+TablaDatos[[#This Row],[DiasNuevo]]</f>
        <v>45514</v>
      </c>
      <c r="I2703">
        <v>10</v>
      </c>
      <c r="J2703" t="s">
        <v>23</v>
      </c>
      <c r="K2703" s="3">
        <v>3752.6</v>
      </c>
      <c r="L2703" t="b">
        <f>TablaDatos[[#This Row],[FechaAlta]] &lt; TablaDatos[[#This Row],[FechaIngreso]]</f>
        <v>0</v>
      </c>
      <c r="M2703">
        <f>_xlfn.XLOOKUP(TablaDatos[[#This Row],[PacienteID]],'Datos_Ejemplo.csv'!A:A,'Datos_Ejemplo.csv'!I:I)</f>
        <v>10</v>
      </c>
      <c r="N2703">
        <f>ABS(TablaDatos[[#This Row],[DiasOriginal]])</f>
        <v>10</v>
      </c>
      <c r="O2703" s="1">
        <f>TablaDatos[[#This Row],[FechaIngreso]]+TablaDatos[[#This Row],[DiasNuevo]]</f>
        <v>45514</v>
      </c>
    </row>
    <row r="2704" spans="1:15">
      <c r="A2704">
        <v>2703</v>
      </c>
      <c r="B2704" t="s">
        <v>340</v>
      </c>
      <c r="C2704" s="1">
        <v>33239</v>
      </c>
      <c r="D2704">
        <v>35</v>
      </c>
      <c r="E2704" s="4" t="s">
        <v>15</v>
      </c>
      <c r="F2704" t="s">
        <v>261</v>
      </c>
      <c r="G2704" s="1">
        <v>45549</v>
      </c>
      <c r="H2704" s="1">
        <f>TablaDatos[[#This Row],[FechaIngreso]]+TablaDatos[[#This Row],[DiasNuevo]]</f>
        <v>45576</v>
      </c>
      <c r="I2704">
        <v>27</v>
      </c>
      <c r="J2704" t="s">
        <v>25</v>
      </c>
      <c r="K2704" s="3">
        <v>7715.76</v>
      </c>
      <c r="L2704" t="b">
        <f>TablaDatos[[#This Row],[FechaAlta]] &lt; TablaDatos[[#This Row],[FechaIngreso]]</f>
        <v>0</v>
      </c>
      <c r="M2704">
        <f>_xlfn.XLOOKUP(TablaDatos[[#This Row],[PacienteID]],'Datos_Ejemplo.csv'!A:A,'Datos_Ejemplo.csv'!I:I)</f>
        <v>27</v>
      </c>
      <c r="N2704">
        <f>ABS(TablaDatos[[#This Row],[DiasOriginal]])</f>
        <v>27</v>
      </c>
      <c r="O2704" s="1">
        <f>TablaDatos[[#This Row],[FechaIngreso]]+TablaDatos[[#This Row],[DiasNuevo]]</f>
        <v>45576</v>
      </c>
    </row>
    <row r="2705" spans="1:15">
      <c r="A2705">
        <v>2704</v>
      </c>
      <c r="B2705" t="s">
        <v>130</v>
      </c>
      <c r="C2705" s="1">
        <v>21551</v>
      </c>
      <c r="D2705">
        <v>67</v>
      </c>
      <c r="E2705" s="4" t="s">
        <v>15</v>
      </c>
      <c r="F2705" t="s">
        <v>295</v>
      </c>
      <c r="G2705" s="1">
        <v>45110</v>
      </c>
      <c r="H2705" s="1">
        <f>TablaDatos[[#This Row],[FechaIngreso]]+TablaDatos[[#This Row],[DiasNuevo]]</f>
        <v>45133</v>
      </c>
      <c r="I2705">
        <v>23</v>
      </c>
      <c r="J2705" t="s">
        <v>19</v>
      </c>
      <c r="K2705" s="3">
        <v>6187.87</v>
      </c>
      <c r="L2705" t="b">
        <f>TablaDatos[[#This Row],[FechaAlta]] &lt; TablaDatos[[#This Row],[FechaIngreso]]</f>
        <v>0</v>
      </c>
      <c r="M2705">
        <f>_xlfn.XLOOKUP(TablaDatos[[#This Row],[PacienteID]],'Datos_Ejemplo.csv'!A:A,'Datos_Ejemplo.csv'!I:I)</f>
        <v>23</v>
      </c>
      <c r="N2705">
        <f>ABS(TablaDatos[[#This Row],[DiasOriginal]])</f>
        <v>23</v>
      </c>
      <c r="O2705" s="1">
        <f>TablaDatos[[#This Row],[FechaIngreso]]+TablaDatos[[#This Row],[DiasNuevo]]</f>
        <v>45133</v>
      </c>
    </row>
    <row r="2706" spans="1:15">
      <c r="A2706">
        <v>2705</v>
      </c>
      <c r="B2706" t="s">
        <v>231</v>
      </c>
      <c r="C2706" s="1">
        <v>17898</v>
      </c>
      <c r="D2706">
        <v>77</v>
      </c>
      <c r="E2706" s="4" t="s">
        <v>15</v>
      </c>
      <c r="F2706" t="s">
        <v>295</v>
      </c>
      <c r="G2706" s="1">
        <v>45096</v>
      </c>
      <c r="H2706" s="1">
        <f>TablaDatos[[#This Row],[FechaIngreso]]+TablaDatos[[#This Row],[DiasNuevo]]</f>
        <v>45099</v>
      </c>
      <c r="I2706">
        <v>3</v>
      </c>
      <c r="J2706" t="s">
        <v>23</v>
      </c>
      <c r="K2706" s="3">
        <v>1799.31</v>
      </c>
      <c r="L2706" t="b">
        <f>TablaDatos[[#This Row],[FechaAlta]] &lt; TablaDatos[[#This Row],[FechaIngreso]]</f>
        <v>0</v>
      </c>
      <c r="M2706">
        <f>_xlfn.XLOOKUP(TablaDatos[[#This Row],[PacienteID]],'Datos_Ejemplo.csv'!A:A,'Datos_Ejemplo.csv'!I:I)</f>
        <v>3</v>
      </c>
      <c r="N2706">
        <f>ABS(TablaDatos[[#This Row],[DiasOriginal]])</f>
        <v>3</v>
      </c>
      <c r="O2706" s="1">
        <f>TablaDatos[[#This Row],[FechaIngreso]]+TablaDatos[[#This Row],[DiasNuevo]]</f>
        <v>45099</v>
      </c>
    </row>
    <row r="2707" spans="1:15">
      <c r="A2707">
        <v>2706</v>
      </c>
      <c r="B2707" t="s">
        <v>122</v>
      </c>
      <c r="C2707" s="1">
        <v>31412</v>
      </c>
      <c r="D2707">
        <v>40</v>
      </c>
      <c r="E2707" s="4" t="s">
        <v>15</v>
      </c>
      <c r="F2707" t="s">
        <v>295</v>
      </c>
      <c r="G2707" s="1">
        <v>45288</v>
      </c>
      <c r="H2707" s="1">
        <f>TablaDatos[[#This Row],[FechaIngreso]]+TablaDatos[[#This Row],[DiasNuevo]]</f>
        <v>45288</v>
      </c>
      <c r="I2707">
        <v>0</v>
      </c>
      <c r="J2707" t="s">
        <v>25</v>
      </c>
      <c r="K2707" s="3">
        <v>11654.24</v>
      </c>
      <c r="L2707" t="b">
        <f>TablaDatos[[#This Row],[FechaAlta]] &lt; TablaDatos[[#This Row],[FechaIngreso]]</f>
        <v>0</v>
      </c>
      <c r="M2707">
        <f>_xlfn.XLOOKUP(TablaDatos[[#This Row],[PacienteID]],'Datos_Ejemplo.csv'!A:A,'Datos_Ejemplo.csv'!I:I)</f>
        <v>0</v>
      </c>
      <c r="N2707">
        <f>ABS(TablaDatos[[#This Row],[DiasOriginal]])</f>
        <v>0</v>
      </c>
      <c r="O2707" s="1">
        <f>TablaDatos[[#This Row],[FechaIngreso]]+TablaDatos[[#This Row],[DiasNuevo]]</f>
        <v>45288</v>
      </c>
    </row>
    <row r="2708" spans="1:15">
      <c r="A2708">
        <v>2707</v>
      </c>
      <c r="B2708" t="s">
        <v>311</v>
      </c>
      <c r="C2708" s="1">
        <v>13880</v>
      </c>
      <c r="D2708">
        <v>88</v>
      </c>
      <c r="E2708" s="4" t="s">
        <v>12</v>
      </c>
      <c r="F2708" t="s">
        <v>261</v>
      </c>
      <c r="G2708" s="1">
        <v>45170</v>
      </c>
      <c r="H2708" s="1">
        <f>TablaDatos[[#This Row],[FechaIngreso]]+TablaDatos[[#This Row],[DiasNuevo]]</f>
        <v>45190</v>
      </c>
      <c r="I2708">
        <v>20</v>
      </c>
      <c r="J2708" t="s">
        <v>23</v>
      </c>
      <c r="K2708" s="3">
        <v>19872.759999999998</v>
      </c>
      <c r="L2708" t="b">
        <f>TablaDatos[[#This Row],[FechaAlta]] &lt; TablaDatos[[#This Row],[FechaIngreso]]</f>
        <v>0</v>
      </c>
      <c r="M2708">
        <f>_xlfn.XLOOKUP(TablaDatos[[#This Row],[PacienteID]],'Datos_Ejemplo.csv'!A:A,'Datos_Ejemplo.csv'!I:I)</f>
        <v>20</v>
      </c>
      <c r="N2708">
        <f>ABS(TablaDatos[[#This Row],[DiasOriginal]])</f>
        <v>20</v>
      </c>
      <c r="O2708" s="1">
        <f>TablaDatos[[#This Row],[FechaIngreso]]+TablaDatos[[#This Row],[DiasNuevo]]</f>
        <v>45190</v>
      </c>
    </row>
    <row r="2709" spans="1:15">
      <c r="A2709">
        <v>2708</v>
      </c>
      <c r="B2709" t="s">
        <v>307</v>
      </c>
      <c r="C2709" s="1">
        <v>23742</v>
      </c>
      <c r="D2709">
        <v>61</v>
      </c>
      <c r="E2709" s="4" t="s">
        <v>12</v>
      </c>
      <c r="F2709" t="s">
        <v>13</v>
      </c>
      <c r="G2709" s="1">
        <v>45064</v>
      </c>
      <c r="H2709" s="1">
        <f>TablaDatos[[#This Row],[FechaIngreso]]+TablaDatos[[#This Row],[DiasNuevo]]</f>
        <v>45073</v>
      </c>
      <c r="I2709">
        <v>9</v>
      </c>
      <c r="J2709" t="s">
        <v>23</v>
      </c>
      <c r="K2709" s="3">
        <v>11147.72</v>
      </c>
      <c r="L2709" t="b">
        <f>TablaDatos[[#This Row],[FechaAlta]] &lt; TablaDatos[[#This Row],[FechaIngreso]]</f>
        <v>0</v>
      </c>
      <c r="M2709">
        <f>_xlfn.XLOOKUP(TablaDatos[[#This Row],[PacienteID]],'Datos_Ejemplo.csv'!A:A,'Datos_Ejemplo.csv'!I:I)</f>
        <v>9</v>
      </c>
      <c r="N2709">
        <f>ABS(TablaDatos[[#This Row],[DiasOriginal]])</f>
        <v>9</v>
      </c>
      <c r="O2709" s="1">
        <f>TablaDatos[[#This Row],[FechaIngreso]]+TablaDatos[[#This Row],[DiasNuevo]]</f>
        <v>45073</v>
      </c>
    </row>
    <row r="2710" spans="1:15">
      <c r="A2710">
        <v>2709</v>
      </c>
      <c r="B2710" t="s">
        <v>230</v>
      </c>
      <c r="C2710" s="1">
        <v>42735</v>
      </c>
      <c r="D2710">
        <v>9</v>
      </c>
      <c r="E2710" s="4" t="s">
        <v>15</v>
      </c>
      <c r="F2710" t="s">
        <v>13</v>
      </c>
      <c r="G2710" s="1">
        <v>44954</v>
      </c>
      <c r="H2710" s="1">
        <f>TablaDatos[[#This Row],[FechaIngreso]]+TablaDatos[[#This Row],[DiasNuevo]]</f>
        <v>44992</v>
      </c>
      <c r="I2710">
        <v>38</v>
      </c>
      <c r="J2710" t="s">
        <v>23</v>
      </c>
      <c r="K2710" s="3">
        <v>10859.72</v>
      </c>
      <c r="L2710" t="b">
        <f>TablaDatos[[#This Row],[FechaAlta]] &lt; TablaDatos[[#This Row],[FechaIngreso]]</f>
        <v>0</v>
      </c>
      <c r="M2710">
        <f>_xlfn.XLOOKUP(TablaDatos[[#This Row],[PacienteID]],'Datos_Ejemplo.csv'!A:A,'Datos_Ejemplo.csv'!I:I)</f>
        <v>38</v>
      </c>
      <c r="N2710">
        <f>ABS(TablaDatos[[#This Row],[DiasOriginal]])</f>
        <v>38</v>
      </c>
      <c r="O2710" s="1">
        <f>TablaDatos[[#This Row],[FechaIngreso]]+TablaDatos[[#This Row],[DiasNuevo]]</f>
        <v>44992</v>
      </c>
    </row>
    <row r="2711" spans="1:15">
      <c r="A2711">
        <v>2710</v>
      </c>
      <c r="B2711" t="s">
        <v>350</v>
      </c>
      <c r="C2711" s="1">
        <v>38717</v>
      </c>
      <c r="D2711">
        <v>20</v>
      </c>
      <c r="E2711" s="4" t="s">
        <v>12</v>
      </c>
      <c r="F2711" t="s">
        <v>18</v>
      </c>
      <c r="G2711" s="1">
        <v>45445</v>
      </c>
      <c r="H2711" s="1">
        <f>TablaDatos[[#This Row],[FechaIngreso]]+TablaDatos[[#This Row],[DiasNuevo]]</f>
        <v>45483</v>
      </c>
      <c r="I2711">
        <v>38</v>
      </c>
      <c r="J2711" t="s">
        <v>23</v>
      </c>
      <c r="K2711" s="3">
        <v>710.31</v>
      </c>
      <c r="L2711" t="b">
        <f>TablaDatos[[#This Row],[FechaAlta]] &lt; TablaDatos[[#This Row],[FechaIngreso]]</f>
        <v>0</v>
      </c>
      <c r="M2711">
        <f>_xlfn.XLOOKUP(TablaDatos[[#This Row],[PacienteID]],'Datos_Ejemplo.csv'!A:A,'Datos_Ejemplo.csv'!I:I)</f>
        <v>38</v>
      </c>
      <c r="N2711">
        <f>ABS(TablaDatos[[#This Row],[DiasOriginal]])</f>
        <v>38</v>
      </c>
      <c r="O2711" s="1">
        <f>TablaDatos[[#This Row],[FechaIngreso]]+TablaDatos[[#This Row],[DiasNuevo]]</f>
        <v>45483</v>
      </c>
    </row>
    <row r="2712" spans="1:15">
      <c r="A2712">
        <v>2711</v>
      </c>
      <c r="B2712" t="s">
        <v>346</v>
      </c>
      <c r="C2712" s="1">
        <v>33239</v>
      </c>
      <c r="D2712">
        <v>35</v>
      </c>
      <c r="E2712" s="4" t="s">
        <v>12</v>
      </c>
      <c r="F2712" t="s">
        <v>13</v>
      </c>
      <c r="G2712" s="1">
        <v>45324</v>
      </c>
      <c r="H2712" s="1">
        <f>TablaDatos[[#This Row],[FechaIngreso]]+TablaDatos[[#This Row],[DiasNuevo]]</f>
        <v>45336</v>
      </c>
      <c r="I2712">
        <v>12</v>
      </c>
      <c r="J2712" t="s">
        <v>25</v>
      </c>
      <c r="K2712" s="3">
        <v>2698.33</v>
      </c>
      <c r="L2712" t="b">
        <f>TablaDatos[[#This Row],[FechaAlta]] &lt; TablaDatos[[#This Row],[FechaIngreso]]</f>
        <v>0</v>
      </c>
      <c r="M2712">
        <f>_xlfn.XLOOKUP(TablaDatos[[#This Row],[PacienteID]],'Datos_Ejemplo.csv'!A:A,'Datos_Ejemplo.csv'!I:I)</f>
        <v>12</v>
      </c>
      <c r="N2712">
        <f>ABS(TablaDatos[[#This Row],[DiasOriginal]])</f>
        <v>12</v>
      </c>
      <c r="O2712" s="1">
        <f>TablaDatos[[#This Row],[FechaIngreso]]+TablaDatos[[#This Row],[DiasNuevo]]</f>
        <v>45336</v>
      </c>
    </row>
    <row r="2713" spans="1:15">
      <c r="A2713">
        <v>2712</v>
      </c>
      <c r="B2713" t="s">
        <v>338</v>
      </c>
      <c r="C2713" s="1">
        <v>42005</v>
      </c>
      <c r="D2713">
        <v>11</v>
      </c>
      <c r="E2713" s="4" t="s">
        <v>12</v>
      </c>
      <c r="F2713" t="s">
        <v>295</v>
      </c>
      <c r="G2713" s="1">
        <v>45259</v>
      </c>
      <c r="H2713" s="1">
        <f>TablaDatos[[#This Row],[FechaIngreso]]+TablaDatos[[#This Row],[DiasNuevo]]</f>
        <v>45261</v>
      </c>
      <c r="I2713">
        <v>2</v>
      </c>
      <c r="J2713" t="s">
        <v>23</v>
      </c>
      <c r="K2713" s="3">
        <v>10215.700000000001</v>
      </c>
      <c r="L2713" t="b">
        <f>TablaDatos[[#This Row],[FechaAlta]] &lt; TablaDatos[[#This Row],[FechaIngreso]]</f>
        <v>0</v>
      </c>
      <c r="M2713">
        <f>_xlfn.XLOOKUP(TablaDatos[[#This Row],[PacienteID]],'Datos_Ejemplo.csv'!A:A,'Datos_Ejemplo.csv'!I:I)</f>
        <v>-2</v>
      </c>
      <c r="N2713">
        <f>ABS(TablaDatos[[#This Row],[DiasOriginal]])</f>
        <v>2</v>
      </c>
      <c r="O2713" s="1">
        <f>TablaDatos[[#This Row],[FechaIngreso]]+TablaDatos[[#This Row],[DiasNuevo]]</f>
        <v>45261</v>
      </c>
    </row>
    <row r="2714" spans="1:15">
      <c r="A2714">
        <v>2713</v>
      </c>
      <c r="B2714" t="s">
        <v>66</v>
      </c>
      <c r="C2714" s="1">
        <v>13150</v>
      </c>
      <c r="D2714">
        <f ca="1">DATEDIF(TablaDatos[[#This Row],[FechaNacimiento]],TODAY(),"Y")</f>
        <v>90</v>
      </c>
      <c r="E2714" s="4" t="s">
        <v>12</v>
      </c>
      <c r="F2714" t="s">
        <v>21</v>
      </c>
      <c r="G2714" s="1">
        <v>45243</v>
      </c>
      <c r="H2714" s="1">
        <f>TablaDatos[[#This Row],[FechaIngreso]]+TablaDatos[[#This Row],[DiasNuevo]]</f>
        <v>45248</v>
      </c>
      <c r="I2714">
        <v>5</v>
      </c>
      <c r="J2714" t="s">
        <v>23</v>
      </c>
      <c r="K2714" s="3">
        <v>19702.09</v>
      </c>
      <c r="L2714" t="b">
        <f>TablaDatos[[#This Row],[FechaAlta]] &lt; TablaDatos[[#This Row],[FechaIngreso]]</f>
        <v>0</v>
      </c>
      <c r="M2714">
        <f>_xlfn.XLOOKUP(TablaDatos[[#This Row],[PacienteID]],'Datos_Ejemplo.csv'!A:A,'Datos_Ejemplo.csv'!I:I)</f>
        <v>5</v>
      </c>
      <c r="N2714">
        <f>ABS(TablaDatos[[#This Row],[DiasOriginal]])</f>
        <v>5</v>
      </c>
      <c r="O2714" s="1">
        <f>TablaDatos[[#This Row],[FechaIngreso]]+TablaDatos[[#This Row],[DiasNuevo]]</f>
        <v>45248</v>
      </c>
    </row>
    <row r="2715" spans="1:15">
      <c r="A2715">
        <v>2714</v>
      </c>
      <c r="B2715" t="s">
        <v>325</v>
      </c>
      <c r="C2715" s="1">
        <v>45657</v>
      </c>
      <c r="D2715">
        <v>1</v>
      </c>
      <c r="E2715" s="4" t="s">
        <v>15</v>
      </c>
      <c r="F2715" t="s">
        <v>295</v>
      </c>
      <c r="G2715" s="1">
        <v>45489</v>
      </c>
      <c r="H2715" s="1">
        <f>TablaDatos[[#This Row],[FechaIngreso]]+TablaDatos[[#This Row],[DiasNuevo]]</f>
        <v>45517</v>
      </c>
      <c r="I2715">
        <v>28</v>
      </c>
      <c r="J2715" t="s">
        <v>25</v>
      </c>
      <c r="K2715" s="3">
        <v>17519.82</v>
      </c>
      <c r="L2715" t="b">
        <f>TablaDatos[[#This Row],[FechaAlta]] &lt; TablaDatos[[#This Row],[FechaIngreso]]</f>
        <v>0</v>
      </c>
      <c r="M2715">
        <f>_xlfn.XLOOKUP(TablaDatos[[#This Row],[PacienteID]],'Datos_Ejemplo.csv'!A:A,'Datos_Ejemplo.csv'!I:I)</f>
        <v>28</v>
      </c>
      <c r="N2715">
        <f>ABS(TablaDatos[[#This Row],[DiasOriginal]])</f>
        <v>28</v>
      </c>
      <c r="O2715" s="1">
        <f>TablaDatos[[#This Row],[FechaIngreso]]+TablaDatos[[#This Row],[DiasNuevo]]</f>
        <v>45517</v>
      </c>
    </row>
    <row r="2716" spans="1:15">
      <c r="A2716">
        <v>2715</v>
      </c>
      <c r="B2716" t="s">
        <v>367</v>
      </c>
      <c r="C2716" s="1">
        <v>41639</v>
      </c>
      <c r="D2716">
        <v>12</v>
      </c>
      <c r="E2716" s="4" t="s">
        <v>12</v>
      </c>
      <c r="F2716" t="s">
        <v>261</v>
      </c>
      <c r="G2716" s="1">
        <v>45352</v>
      </c>
      <c r="H2716" s="1">
        <f>TablaDatos[[#This Row],[FechaIngreso]]+TablaDatos[[#This Row],[DiasNuevo]]</f>
        <v>45360</v>
      </c>
      <c r="I2716">
        <v>8</v>
      </c>
      <c r="J2716" t="s">
        <v>25</v>
      </c>
      <c r="K2716" s="3">
        <v>6738.2</v>
      </c>
      <c r="L2716" t="b">
        <f>TablaDatos[[#This Row],[FechaAlta]] &lt; TablaDatos[[#This Row],[FechaIngreso]]</f>
        <v>0</v>
      </c>
      <c r="M2716">
        <f>_xlfn.XLOOKUP(TablaDatos[[#This Row],[PacienteID]],'Datos_Ejemplo.csv'!A:A,'Datos_Ejemplo.csv'!I:I)</f>
        <v>8</v>
      </c>
      <c r="N2716">
        <f>ABS(TablaDatos[[#This Row],[DiasOriginal]])</f>
        <v>8</v>
      </c>
      <c r="O2716" s="1">
        <f>TablaDatos[[#This Row],[FechaIngreso]]+TablaDatos[[#This Row],[DiasNuevo]]</f>
        <v>45360</v>
      </c>
    </row>
    <row r="2717" spans="1:15">
      <c r="A2717">
        <v>2716</v>
      </c>
      <c r="B2717" t="s">
        <v>257</v>
      </c>
      <c r="C2717" s="1">
        <v>27029</v>
      </c>
      <c r="D2717">
        <v>52</v>
      </c>
      <c r="E2717" s="4" t="s">
        <v>15</v>
      </c>
      <c r="F2717" t="s">
        <v>201</v>
      </c>
      <c r="G2717" s="1">
        <v>45062</v>
      </c>
      <c r="H2717" s="1">
        <f>TablaDatos[[#This Row],[FechaIngreso]]+TablaDatos[[#This Row],[DiasNuevo]]</f>
        <v>45076</v>
      </c>
      <c r="I2717">
        <v>14</v>
      </c>
      <c r="J2717" t="s">
        <v>25</v>
      </c>
      <c r="K2717" s="3">
        <v>10814.39</v>
      </c>
      <c r="L2717" t="b">
        <f>TablaDatos[[#This Row],[FechaAlta]] &lt; TablaDatos[[#This Row],[FechaIngreso]]</f>
        <v>0</v>
      </c>
      <c r="M2717">
        <f>_xlfn.XLOOKUP(TablaDatos[[#This Row],[PacienteID]],'Datos_Ejemplo.csv'!A:A,'Datos_Ejemplo.csv'!I:I)</f>
        <v>14</v>
      </c>
      <c r="N2717">
        <f>ABS(TablaDatos[[#This Row],[DiasOriginal]])</f>
        <v>14</v>
      </c>
      <c r="O2717" s="1">
        <f>TablaDatos[[#This Row],[FechaIngreso]]+TablaDatos[[#This Row],[DiasNuevo]]</f>
        <v>45076</v>
      </c>
    </row>
    <row r="2718" spans="1:15">
      <c r="A2718">
        <v>2717</v>
      </c>
      <c r="B2718" t="s">
        <v>272</v>
      </c>
      <c r="C2718" s="1">
        <v>34700</v>
      </c>
      <c r="D2718">
        <f ca="1">DATEDIF(TablaDatos[[#This Row],[FechaNacimiento]],TODAY(),"Y")</f>
        <v>31</v>
      </c>
      <c r="E2718" s="4" t="s">
        <v>12</v>
      </c>
      <c r="F2718" t="s">
        <v>21</v>
      </c>
      <c r="G2718" s="1">
        <v>45616</v>
      </c>
      <c r="H2718" s="1">
        <f>TablaDatos[[#This Row],[FechaIngreso]]+TablaDatos[[#This Row],[DiasNuevo]]</f>
        <v>45640</v>
      </c>
      <c r="I2718">
        <v>24</v>
      </c>
      <c r="J2718" t="s">
        <v>23</v>
      </c>
      <c r="K2718" s="3">
        <v>11009.31</v>
      </c>
      <c r="L2718" t="b">
        <f>TablaDatos[[#This Row],[FechaAlta]] &lt; TablaDatos[[#This Row],[FechaIngreso]]</f>
        <v>0</v>
      </c>
      <c r="M2718">
        <f>_xlfn.XLOOKUP(TablaDatos[[#This Row],[PacienteID]],'Datos_Ejemplo.csv'!A:A,'Datos_Ejemplo.csv'!I:I)</f>
        <v>24</v>
      </c>
      <c r="N2718">
        <f>ABS(TablaDatos[[#This Row],[DiasOriginal]])</f>
        <v>24</v>
      </c>
      <c r="O2718" s="1">
        <f>TablaDatos[[#This Row],[FechaIngreso]]+TablaDatos[[#This Row],[DiasNuevo]]</f>
        <v>45640</v>
      </c>
    </row>
    <row r="2719" spans="1:15">
      <c r="A2719">
        <v>2718</v>
      </c>
      <c r="B2719" t="s">
        <v>331</v>
      </c>
      <c r="C2719" s="1">
        <v>11689</v>
      </c>
      <c r="D2719">
        <v>94</v>
      </c>
      <c r="E2719" s="4" t="s">
        <v>15</v>
      </c>
      <c r="F2719" t="s">
        <v>18</v>
      </c>
      <c r="G2719" s="1">
        <v>45567</v>
      </c>
      <c r="H2719" s="1">
        <f>TablaDatos[[#This Row],[FechaIngreso]]+TablaDatos[[#This Row],[DiasNuevo]]</f>
        <v>45595</v>
      </c>
      <c r="I2719">
        <v>28</v>
      </c>
      <c r="J2719" t="s">
        <v>25</v>
      </c>
      <c r="K2719" s="3">
        <v>13675.75</v>
      </c>
      <c r="L2719" t="b">
        <f>TablaDatos[[#This Row],[FechaAlta]] &lt; TablaDatos[[#This Row],[FechaIngreso]]</f>
        <v>0</v>
      </c>
      <c r="M2719">
        <f>_xlfn.XLOOKUP(TablaDatos[[#This Row],[PacienteID]],'Datos_Ejemplo.csv'!A:A,'Datos_Ejemplo.csv'!I:I)</f>
        <v>28</v>
      </c>
      <c r="N2719">
        <f>ABS(TablaDatos[[#This Row],[DiasOriginal]])</f>
        <v>28</v>
      </c>
      <c r="O2719" s="1">
        <f>TablaDatos[[#This Row],[FechaIngreso]]+TablaDatos[[#This Row],[DiasNuevo]]</f>
        <v>45595</v>
      </c>
    </row>
    <row r="2720" spans="1:15">
      <c r="A2720">
        <v>2719</v>
      </c>
      <c r="B2720" t="s">
        <v>294</v>
      </c>
      <c r="C2720" s="1">
        <v>40544</v>
      </c>
      <c r="D2720">
        <v>15</v>
      </c>
      <c r="E2720" s="4" t="s">
        <v>12</v>
      </c>
      <c r="F2720" t="s">
        <v>32</v>
      </c>
      <c r="G2720" s="1">
        <v>45635</v>
      </c>
      <c r="H2720" s="1">
        <f>TablaDatos[[#This Row],[FechaIngreso]]+TablaDatos[[#This Row],[DiasNuevo]]</f>
        <v>45659</v>
      </c>
      <c r="I2720">
        <v>24</v>
      </c>
      <c r="J2720" t="s">
        <v>19</v>
      </c>
      <c r="K2720" s="3">
        <v>13724.42</v>
      </c>
      <c r="L2720" t="b">
        <f>TablaDatos[[#This Row],[FechaAlta]] &lt; TablaDatos[[#This Row],[FechaIngreso]]</f>
        <v>0</v>
      </c>
      <c r="M2720">
        <f>_xlfn.XLOOKUP(TablaDatos[[#This Row],[PacienteID]],'Datos_Ejemplo.csv'!A:A,'Datos_Ejemplo.csv'!I:I)</f>
        <v>24</v>
      </c>
      <c r="N2720">
        <f>ABS(TablaDatos[[#This Row],[DiasOriginal]])</f>
        <v>24</v>
      </c>
      <c r="O2720" s="1">
        <f>TablaDatos[[#This Row],[FechaIngreso]]+TablaDatos[[#This Row],[DiasNuevo]]</f>
        <v>45659</v>
      </c>
    </row>
    <row r="2721" spans="1:15">
      <c r="A2721">
        <v>2720</v>
      </c>
      <c r="B2721" t="s">
        <v>346</v>
      </c>
      <c r="C2721" s="1">
        <v>34700</v>
      </c>
      <c r="D2721">
        <v>31</v>
      </c>
      <c r="E2721" s="4" t="s">
        <v>12</v>
      </c>
      <c r="F2721" t="s">
        <v>201</v>
      </c>
      <c r="G2721" s="1">
        <v>45193</v>
      </c>
      <c r="H2721" s="1">
        <f>TablaDatos[[#This Row],[FechaIngreso]]+TablaDatos[[#This Row],[DiasNuevo]]</f>
        <v>45204</v>
      </c>
      <c r="I2721">
        <v>11</v>
      </c>
      <c r="J2721" t="s">
        <v>23</v>
      </c>
      <c r="K2721" s="3">
        <v>15774.83</v>
      </c>
      <c r="L2721" t="b">
        <f>TablaDatos[[#This Row],[FechaAlta]] &lt; TablaDatos[[#This Row],[FechaIngreso]]</f>
        <v>0</v>
      </c>
      <c r="M2721">
        <f>_xlfn.XLOOKUP(TablaDatos[[#This Row],[PacienteID]],'Datos_Ejemplo.csv'!A:A,'Datos_Ejemplo.csv'!I:I)</f>
        <v>11</v>
      </c>
      <c r="N2721">
        <f>ABS(TablaDatos[[#This Row],[DiasOriginal]])</f>
        <v>11</v>
      </c>
      <c r="O2721" s="1">
        <f>TablaDatos[[#This Row],[FechaIngreso]]+TablaDatos[[#This Row],[DiasNuevo]]</f>
        <v>45204</v>
      </c>
    </row>
    <row r="2722" spans="1:15">
      <c r="A2722">
        <v>2721</v>
      </c>
      <c r="B2722" t="s">
        <v>268</v>
      </c>
      <c r="C2722" s="1">
        <v>34700</v>
      </c>
      <c r="D2722">
        <v>31</v>
      </c>
      <c r="E2722" s="4" t="s">
        <v>15</v>
      </c>
      <c r="F2722" t="s">
        <v>13</v>
      </c>
      <c r="G2722" s="1">
        <v>45033</v>
      </c>
      <c r="H2722" s="1">
        <f>TablaDatos[[#This Row],[FechaIngreso]]+TablaDatos[[#This Row],[DiasNuevo]]</f>
        <v>45053</v>
      </c>
      <c r="I2722">
        <v>20</v>
      </c>
      <c r="J2722" t="s">
        <v>19</v>
      </c>
      <c r="K2722" s="3">
        <v>401.92</v>
      </c>
      <c r="L2722" t="b">
        <f>TablaDatos[[#This Row],[FechaAlta]] &lt; TablaDatos[[#This Row],[FechaIngreso]]</f>
        <v>0</v>
      </c>
      <c r="M2722">
        <f>_xlfn.XLOOKUP(TablaDatos[[#This Row],[PacienteID]],'Datos_Ejemplo.csv'!A:A,'Datos_Ejemplo.csv'!I:I)</f>
        <v>20</v>
      </c>
      <c r="N2722">
        <f>ABS(TablaDatos[[#This Row],[DiasOriginal]])</f>
        <v>20</v>
      </c>
      <c r="O2722" s="1">
        <f>TablaDatos[[#This Row],[FechaIngreso]]+TablaDatos[[#This Row],[DiasNuevo]]</f>
        <v>45053</v>
      </c>
    </row>
    <row r="2723" spans="1:15">
      <c r="A2723">
        <v>2722</v>
      </c>
      <c r="B2723" t="s">
        <v>332</v>
      </c>
      <c r="C2723" s="1">
        <v>42370</v>
      </c>
      <c r="D2723">
        <v>10</v>
      </c>
      <c r="E2723" s="4" t="s">
        <v>15</v>
      </c>
      <c r="F2723" t="s">
        <v>13</v>
      </c>
      <c r="G2723" s="1">
        <v>45486</v>
      </c>
      <c r="H2723" s="1">
        <f>TablaDatos[[#This Row],[FechaIngreso]]+TablaDatos[[#This Row],[DiasNuevo]]</f>
        <v>45488</v>
      </c>
      <c r="I2723">
        <v>2</v>
      </c>
      <c r="J2723" t="s">
        <v>23</v>
      </c>
      <c r="K2723" s="3">
        <v>18867.97</v>
      </c>
      <c r="L2723" t="b">
        <f>TablaDatos[[#This Row],[FechaAlta]] &lt; TablaDatos[[#This Row],[FechaIngreso]]</f>
        <v>0</v>
      </c>
      <c r="M2723">
        <f>_xlfn.XLOOKUP(TablaDatos[[#This Row],[PacienteID]],'Datos_Ejemplo.csv'!A:A,'Datos_Ejemplo.csv'!I:I)</f>
        <v>2</v>
      </c>
      <c r="N2723">
        <f>ABS(TablaDatos[[#This Row],[DiasOriginal]])</f>
        <v>2</v>
      </c>
      <c r="O2723" s="1">
        <f>TablaDatos[[#This Row],[FechaIngreso]]+TablaDatos[[#This Row],[DiasNuevo]]</f>
        <v>45488</v>
      </c>
    </row>
    <row r="2724" spans="1:15">
      <c r="A2724">
        <v>2723</v>
      </c>
      <c r="B2724" t="s">
        <v>253</v>
      </c>
      <c r="C2724" s="1">
        <f ca="1">DATE(YEAR(TODAY())-TablaDatos[[#This Row],[Edad]],1,1)</f>
        <v>42736</v>
      </c>
      <c r="D2724">
        <v>9</v>
      </c>
      <c r="E2724" s="4" t="s">
        <v>12</v>
      </c>
      <c r="F2724" t="s">
        <v>261</v>
      </c>
      <c r="G2724" s="1">
        <v>45064</v>
      </c>
      <c r="H2724" s="1">
        <f>TablaDatos[[#This Row],[FechaIngreso]]+TablaDatos[[#This Row],[DiasNuevo]]</f>
        <v>45091</v>
      </c>
      <c r="I2724">
        <v>27</v>
      </c>
      <c r="J2724" t="s">
        <v>23</v>
      </c>
      <c r="K2724" s="3">
        <v>1308.25</v>
      </c>
      <c r="L2724" t="b">
        <f>TablaDatos[[#This Row],[FechaAlta]] &lt; TablaDatos[[#This Row],[FechaIngreso]]</f>
        <v>0</v>
      </c>
      <c r="M2724">
        <f>_xlfn.XLOOKUP(TablaDatos[[#This Row],[PacienteID]],'Datos_Ejemplo.csv'!A:A,'Datos_Ejemplo.csv'!I:I)</f>
        <v>27</v>
      </c>
      <c r="N2724">
        <f>ABS(TablaDatos[[#This Row],[DiasOriginal]])</f>
        <v>27</v>
      </c>
      <c r="O2724" s="1">
        <f>TablaDatos[[#This Row],[FechaIngreso]]+TablaDatos[[#This Row],[DiasNuevo]]</f>
        <v>45091</v>
      </c>
    </row>
    <row r="2725" spans="1:15">
      <c r="A2725">
        <v>2724</v>
      </c>
      <c r="B2725" t="s">
        <v>67</v>
      </c>
      <c r="C2725" s="1">
        <v>40909</v>
      </c>
      <c r="D2725">
        <v>14</v>
      </c>
      <c r="E2725" s="4" t="s">
        <v>12</v>
      </c>
      <c r="F2725" t="s">
        <v>295</v>
      </c>
      <c r="G2725" s="1">
        <v>45541</v>
      </c>
      <c r="H2725" s="1">
        <f>TablaDatos[[#This Row],[FechaIngreso]]+TablaDatos[[#This Row],[DiasNuevo]]</f>
        <v>45572</v>
      </c>
      <c r="I2725">
        <v>31</v>
      </c>
      <c r="J2725" t="s">
        <v>23</v>
      </c>
      <c r="K2725" s="3">
        <v>9470.82</v>
      </c>
      <c r="L2725" t="b">
        <f>TablaDatos[[#This Row],[FechaAlta]] &lt; TablaDatos[[#This Row],[FechaIngreso]]</f>
        <v>0</v>
      </c>
      <c r="M2725">
        <f>_xlfn.XLOOKUP(TablaDatos[[#This Row],[PacienteID]],'Datos_Ejemplo.csv'!A:A,'Datos_Ejemplo.csv'!I:I)</f>
        <v>31</v>
      </c>
      <c r="N2725">
        <f>ABS(TablaDatos[[#This Row],[DiasOriginal]])</f>
        <v>31</v>
      </c>
      <c r="O2725" s="1">
        <f>TablaDatos[[#This Row],[FechaIngreso]]+TablaDatos[[#This Row],[DiasNuevo]]</f>
        <v>45572</v>
      </c>
    </row>
    <row r="2726" spans="1:15">
      <c r="A2726">
        <v>2725</v>
      </c>
      <c r="B2726" t="s">
        <v>251</v>
      </c>
      <c r="C2726" s="1">
        <v>40178</v>
      </c>
      <c r="D2726">
        <v>16</v>
      </c>
      <c r="E2726" s="4" t="s">
        <v>15</v>
      </c>
      <c r="F2726" t="s">
        <v>295</v>
      </c>
      <c r="G2726" s="1">
        <v>44973</v>
      </c>
      <c r="H2726" s="1">
        <f>TablaDatos[[#This Row],[FechaIngreso]]+TablaDatos[[#This Row],[DiasNuevo]]</f>
        <v>44989</v>
      </c>
      <c r="I2726">
        <v>16</v>
      </c>
      <c r="J2726" t="s">
        <v>23</v>
      </c>
      <c r="K2726" s="3">
        <v>18383.54</v>
      </c>
      <c r="L2726" t="b">
        <f>TablaDatos[[#This Row],[FechaAlta]] &lt; TablaDatos[[#This Row],[FechaIngreso]]</f>
        <v>0</v>
      </c>
      <c r="M2726">
        <f>_xlfn.XLOOKUP(TablaDatos[[#This Row],[PacienteID]],'Datos_Ejemplo.csv'!A:A,'Datos_Ejemplo.csv'!I:I)</f>
        <v>16</v>
      </c>
      <c r="N2726">
        <f>ABS(TablaDatos[[#This Row],[DiasOriginal]])</f>
        <v>16</v>
      </c>
      <c r="O2726" s="1">
        <f>TablaDatos[[#This Row],[FechaIngreso]]+TablaDatos[[#This Row],[DiasNuevo]]</f>
        <v>44989</v>
      </c>
    </row>
    <row r="2727" spans="1:15">
      <c r="A2727">
        <v>2726</v>
      </c>
      <c r="B2727" t="s">
        <v>279</v>
      </c>
      <c r="C2727" s="1">
        <v>31778</v>
      </c>
      <c r="D2727">
        <v>39</v>
      </c>
      <c r="E2727" s="4" t="s">
        <v>12</v>
      </c>
      <c r="F2727" t="s">
        <v>21</v>
      </c>
      <c r="G2727" s="1">
        <v>45591</v>
      </c>
      <c r="H2727" s="1">
        <f>TablaDatos[[#This Row],[FechaIngreso]]+TablaDatos[[#This Row],[DiasNuevo]]</f>
        <v>45619</v>
      </c>
      <c r="I2727">
        <v>28</v>
      </c>
      <c r="J2727" t="s">
        <v>23</v>
      </c>
      <c r="K2727" s="3">
        <v>9702.14</v>
      </c>
      <c r="L2727" t="b">
        <f>TablaDatos[[#This Row],[FechaAlta]] &lt; TablaDatos[[#This Row],[FechaIngreso]]</f>
        <v>0</v>
      </c>
      <c r="M2727">
        <f>_xlfn.XLOOKUP(TablaDatos[[#This Row],[PacienteID]],'Datos_Ejemplo.csv'!A:A,'Datos_Ejemplo.csv'!I:I)</f>
        <v>28</v>
      </c>
      <c r="N2727">
        <f>ABS(TablaDatos[[#This Row],[DiasOriginal]])</f>
        <v>28</v>
      </c>
      <c r="O2727" s="1">
        <f>TablaDatos[[#This Row],[FechaIngreso]]+TablaDatos[[#This Row],[DiasNuevo]]</f>
        <v>45619</v>
      </c>
    </row>
    <row r="2728" spans="1:15">
      <c r="A2728">
        <v>2727</v>
      </c>
      <c r="B2728" t="s">
        <v>52</v>
      </c>
      <c r="C2728" s="1">
        <v>39813</v>
      </c>
      <c r="D2728">
        <v>17</v>
      </c>
      <c r="E2728" s="4" t="s">
        <v>15</v>
      </c>
      <c r="F2728" t="s">
        <v>13</v>
      </c>
      <c r="G2728" s="1">
        <v>45294</v>
      </c>
      <c r="H2728" s="1">
        <f>TablaDatos[[#This Row],[FechaIngreso]]+TablaDatos[[#This Row],[DiasNuevo]]</f>
        <v>45307</v>
      </c>
      <c r="I2728">
        <v>13</v>
      </c>
      <c r="J2728" t="s">
        <v>19</v>
      </c>
      <c r="K2728" s="3">
        <v>1179.0999999999999</v>
      </c>
      <c r="L2728" t="b">
        <f>TablaDatos[[#This Row],[FechaAlta]] &lt; TablaDatos[[#This Row],[FechaIngreso]]</f>
        <v>0</v>
      </c>
      <c r="M2728">
        <f>_xlfn.XLOOKUP(TablaDatos[[#This Row],[PacienteID]],'Datos_Ejemplo.csv'!A:A,'Datos_Ejemplo.csv'!I:I)</f>
        <v>13</v>
      </c>
      <c r="N2728">
        <f>ABS(TablaDatos[[#This Row],[DiasOriginal]])</f>
        <v>13</v>
      </c>
      <c r="O2728" s="1">
        <f>TablaDatos[[#This Row],[FechaIngreso]]+TablaDatos[[#This Row],[DiasNuevo]]</f>
        <v>45307</v>
      </c>
    </row>
    <row r="2729" spans="1:15">
      <c r="A2729">
        <v>2728</v>
      </c>
      <c r="B2729" t="s">
        <v>274</v>
      </c>
      <c r="C2729" s="1">
        <v>26299</v>
      </c>
      <c r="D2729">
        <f ca="1">DATEDIF(TablaDatos[[#This Row],[FechaNacimiento]],TODAY(),"Y")</f>
        <v>54</v>
      </c>
      <c r="E2729" s="4" t="s">
        <v>15</v>
      </c>
      <c r="F2729" t="s">
        <v>201</v>
      </c>
      <c r="G2729" s="1">
        <v>44932</v>
      </c>
      <c r="H2729" s="1">
        <f>TablaDatos[[#This Row],[FechaIngreso]]+TablaDatos[[#This Row],[DiasNuevo]]</f>
        <v>44956</v>
      </c>
      <c r="I2729">
        <v>24</v>
      </c>
      <c r="J2729" t="s">
        <v>23</v>
      </c>
      <c r="K2729" s="3">
        <v>4507.72</v>
      </c>
      <c r="L2729" t="b">
        <f>TablaDatos[[#This Row],[FechaAlta]] &lt; TablaDatos[[#This Row],[FechaIngreso]]</f>
        <v>0</v>
      </c>
      <c r="M2729">
        <f>_xlfn.XLOOKUP(TablaDatos[[#This Row],[PacienteID]],'Datos_Ejemplo.csv'!A:A,'Datos_Ejemplo.csv'!I:I)</f>
        <v>24</v>
      </c>
      <c r="N2729">
        <f>ABS(TablaDatos[[#This Row],[DiasOriginal]])</f>
        <v>24</v>
      </c>
      <c r="O2729" s="1">
        <f>TablaDatos[[#This Row],[FechaIngreso]]+TablaDatos[[#This Row],[DiasNuevo]]</f>
        <v>44956</v>
      </c>
    </row>
    <row r="2730" spans="1:15">
      <c r="A2730">
        <v>2729</v>
      </c>
      <c r="B2730" t="s">
        <v>265</v>
      </c>
      <c r="C2730" s="1">
        <v>19724</v>
      </c>
      <c r="D2730">
        <v>72</v>
      </c>
      <c r="E2730" s="4" t="s">
        <v>15</v>
      </c>
      <c r="F2730" t="s">
        <v>261</v>
      </c>
      <c r="G2730" s="1">
        <v>45449</v>
      </c>
      <c r="H2730" s="1">
        <f>TablaDatos[[#This Row],[FechaIngreso]]+TablaDatos[[#This Row],[DiasNuevo]]</f>
        <v>45472</v>
      </c>
      <c r="I2730">
        <v>23</v>
      </c>
      <c r="J2730" t="s">
        <v>25</v>
      </c>
      <c r="K2730" s="3">
        <v>11531.2</v>
      </c>
      <c r="L2730" t="b">
        <f>TablaDatos[[#This Row],[FechaAlta]] &lt; TablaDatos[[#This Row],[FechaIngreso]]</f>
        <v>0</v>
      </c>
      <c r="M2730">
        <f>_xlfn.XLOOKUP(TablaDatos[[#This Row],[PacienteID]],'Datos_Ejemplo.csv'!A:A,'Datos_Ejemplo.csv'!I:I)</f>
        <v>23</v>
      </c>
      <c r="N2730">
        <f>ABS(TablaDatos[[#This Row],[DiasOriginal]])</f>
        <v>23</v>
      </c>
      <c r="O2730" s="1">
        <f>TablaDatos[[#This Row],[FechaIngreso]]+TablaDatos[[#This Row],[DiasNuevo]]</f>
        <v>45472</v>
      </c>
    </row>
    <row r="2731" spans="1:15">
      <c r="A2731">
        <v>2730</v>
      </c>
      <c r="B2731" t="s">
        <v>362</v>
      </c>
      <c r="C2731" s="1">
        <v>37256</v>
      </c>
      <c r="D2731">
        <v>24</v>
      </c>
      <c r="E2731" s="4" t="s">
        <v>15</v>
      </c>
      <c r="F2731" t="s">
        <v>201</v>
      </c>
      <c r="G2731" s="1">
        <v>45455</v>
      </c>
      <c r="H2731" s="1">
        <f>TablaDatos[[#This Row],[FechaIngreso]]+TablaDatos[[#This Row],[DiasNuevo]]</f>
        <v>45491</v>
      </c>
      <c r="I2731">
        <v>36</v>
      </c>
      <c r="J2731" t="s">
        <v>25</v>
      </c>
      <c r="K2731" s="3">
        <v>1666.02</v>
      </c>
      <c r="L2731" t="b">
        <f>TablaDatos[[#This Row],[FechaAlta]] &lt; TablaDatos[[#This Row],[FechaIngreso]]</f>
        <v>0</v>
      </c>
      <c r="M2731">
        <f>_xlfn.XLOOKUP(TablaDatos[[#This Row],[PacienteID]],'Datos_Ejemplo.csv'!A:A,'Datos_Ejemplo.csv'!I:I)</f>
        <v>36</v>
      </c>
      <c r="N2731">
        <f>ABS(TablaDatos[[#This Row],[DiasOriginal]])</f>
        <v>36</v>
      </c>
      <c r="O2731" s="1">
        <f>TablaDatos[[#This Row],[FechaIngreso]]+TablaDatos[[#This Row],[DiasNuevo]]</f>
        <v>45491</v>
      </c>
    </row>
    <row r="2732" spans="1:15">
      <c r="A2732">
        <v>2731</v>
      </c>
      <c r="B2732" t="s">
        <v>352</v>
      </c>
      <c r="C2732" s="1">
        <v>24838</v>
      </c>
      <c r="D2732">
        <v>58</v>
      </c>
      <c r="E2732" s="4" t="s">
        <v>12</v>
      </c>
      <c r="F2732" t="s">
        <v>18</v>
      </c>
      <c r="G2732" s="1">
        <v>45581</v>
      </c>
      <c r="H2732" s="1">
        <f>TablaDatos[[#This Row],[FechaIngreso]]+TablaDatos[[#This Row],[DiasNuevo]]</f>
        <v>45607</v>
      </c>
      <c r="I2732">
        <v>26</v>
      </c>
      <c r="J2732" t="s">
        <v>23</v>
      </c>
      <c r="K2732" s="3">
        <v>8415.93</v>
      </c>
      <c r="L2732" t="b">
        <f>TablaDatos[[#This Row],[FechaAlta]] &lt; TablaDatos[[#This Row],[FechaIngreso]]</f>
        <v>0</v>
      </c>
      <c r="M2732">
        <f>_xlfn.XLOOKUP(TablaDatos[[#This Row],[PacienteID]],'Datos_Ejemplo.csv'!A:A,'Datos_Ejemplo.csv'!I:I)</f>
        <v>26</v>
      </c>
      <c r="N2732">
        <f>ABS(TablaDatos[[#This Row],[DiasOriginal]])</f>
        <v>26</v>
      </c>
      <c r="O2732" s="1">
        <f>TablaDatos[[#This Row],[FechaIngreso]]+TablaDatos[[#This Row],[DiasNuevo]]</f>
        <v>45607</v>
      </c>
    </row>
    <row r="2733" spans="1:15">
      <c r="A2733">
        <v>2732</v>
      </c>
      <c r="B2733" t="s">
        <v>273</v>
      </c>
      <c r="C2733" s="1">
        <v>17898</v>
      </c>
      <c r="D2733">
        <v>77</v>
      </c>
      <c r="E2733" s="4" t="s">
        <v>197</v>
      </c>
      <c r="F2733" t="s">
        <v>295</v>
      </c>
      <c r="G2733" s="1">
        <v>45198</v>
      </c>
      <c r="H2733" s="1">
        <f>TablaDatos[[#This Row],[FechaIngreso]]+TablaDatos[[#This Row],[DiasNuevo]]</f>
        <v>45234</v>
      </c>
      <c r="I2733">
        <v>36</v>
      </c>
      <c r="J2733" t="s">
        <v>25</v>
      </c>
      <c r="K2733" s="3">
        <v>6514.77</v>
      </c>
      <c r="L2733" t="b">
        <f>TablaDatos[[#This Row],[FechaAlta]] &lt; TablaDatos[[#This Row],[FechaIngreso]]</f>
        <v>0</v>
      </c>
      <c r="M2733">
        <f>_xlfn.XLOOKUP(TablaDatos[[#This Row],[PacienteID]],'Datos_Ejemplo.csv'!A:A,'Datos_Ejemplo.csv'!I:I)</f>
        <v>36</v>
      </c>
      <c r="N2733">
        <f>ABS(TablaDatos[[#This Row],[DiasOriginal]])</f>
        <v>36</v>
      </c>
      <c r="O2733" s="1">
        <f>TablaDatos[[#This Row],[FechaIngreso]]+TablaDatos[[#This Row],[DiasNuevo]]</f>
        <v>45234</v>
      </c>
    </row>
    <row r="2734" spans="1:15">
      <c r="A2734">
        <v>2733</v>
      </c>
      <c r="B2734" t="s">
        <v>278</v>
      </c>
      <c r="C2734" s="1">
        <v>13880</v>
      </c>
      <c r="D2734">
        <v>88</v>
      </c>
      <c r="E2734" s="4" t="s">
        <v>15</v>
      </c>
      <c r="F2734" t="s">
        <v>201</v>
      </c>
      <c r="G2734" s="1">
        <v>44992</v>
      </c>
      <c r="H2734" s="1">
        <f>TablaDatos[[#This Row],[FechaIngreso]]+TablaDatos[[#This Row],[DiasNuevo]]</f>
        <v>45018</v>
      </c>
      <c r="I2734">
        <v>26</v>
      </c>
      <c r="J2734" t="s">
        <v>23</v>
      </c>
      <c r="K2734" s="3">
        <v>16285.67</v>
      </c>
      <c r="L2734" t="b">
        <f>TablaDatos[[#This Row],[FechaAlta]] &lt; TablaDatos[[#This Row],[FechaIngreso]]</f>
        <v>0</v>
      </c>
      <c r="M2734">
        <f>_xlfn.XLOOKUP(TablaDatos[[#This Row],[PacienteID]],'Datos_Ejemplo.csv'!A:A,'Datos_Ejemplo.csv'!I:I)</f>
        <v>26</v>
      </c>
      <c r="N2734">
        <f>ABS(TablaDatos[[#This Row],[DiasOriginal]])</f>
        <v>26</v>
      </c>
      <c r="O2734" s="1">
        <f>TablaDatos[[#This Row],[FechaIngreso]]+TablaDatos[[#This Row],[DiasNuevo]]</f>
        <v>45018</v>
      </c>
    </row>
    <row r="2735" spans="1:15">
      <c r="A2735">
        <v>2734</v>
      </c>
      <c r="B2735" t="s">
        <v>363</v>
      </c>
      <c r="C2735" s="1">
        <v>38352</v>
      </c>
      <c r="D2735">
        <v>21</v>
      </c>
      <c r="E2735" s="4" t="s">
        <v>12</v>
      </c>
      <c r="F2735" t="s">
        <v>13</v>
      </c>
      <c r="G2735" s="1">
        <v>45346</v>
      </c>
      <c r="H2735" s="1">
        <f>TablaDatos[[#This Row],[FechaIngreso]]+TablaDatos[[#This Row],[DiasNuevo]]</f>
        <v>45374</v>
      </c>
      <c r="I2735">
        <v>28</v>
      </c>
      <c r="J2735" t="s">
        <v>25</v>
      </c>
      <c r="K2735" s="3">
        <v>2113.65</v>
      </c>
      <c r="L2735" t="b">
        <f>TablaDatos[[#This Row],[FechaAlta]] &lt; TablaDatos[[#This Row],[FechaIngreso]]</f>
        <v>0</v>
      </c>
      <c r="M2735">
        <f>_xlfn.XLOOKUP(TablaDatos[[#This Row],[PacienteID]],'Datos_Ejemplo.csv'!A:A,'Datos_Ejemplo.csv'!I:I)</f>
        <v>28</v>
      </c>
      <c r="N2735">
        <f>ABS(TablaDatos[[#This Row],[DiasOriginal]])</f>
        <v>28</v>
      </c>
      <c r="O2735" s="1">
        <f>TablaDatos[[#This Row],[FechaIngreso]]+TablaDatos[[#This Row],[DiasNuevo]]</f>
        <v>45374</v>
      </c>
    </row>
    <row r="2736" spans="1:15">
      <c r="A2736">
        <v>2735</v>
      </c>
      <c r="B2736" t="s">
        <v>341</v>
      </c>
      <c r="C2736" s="1">
        <v>35430</v>
      </c>
      <c r="D2736">
        <v>29</v>
      </c>
      <c r="E2736" s="4" t="s">
        <v>15</v>
      </c>
      <c r="F2736" t="s">
        <v>32</v>
      </c>
      <c r="G2736" s="1">
        <v>45265</v>
      </c>
      <c r="H2736" s="1">
        <f>TablaDatos[[#This Row],[FechaIngreso]]+TablaDatos[[#This Row],[DiasNuevo]]</f>
        <v>45266</v>
      </c>
      <c r="I2736">
        <v>1</v>
      </c>
      <c r="J2736" t="s">
        <v>23</v>
      </c>
      <c r="K2736" s="3">
        <v>13624.25</v>
      </c>
      <c r="L2736" t="b">
        <f>TablaDatos[[#This Row],[FechaAlta]] &lt; TablaDatos[[#This Row],[FechaIngreso]]</f>
        <v>0</v>
      </c>
      <c r="M2736">
        <f>_xlfn.XLOOKUP(TablaDatos[[#This Row],[PacienteID]],'Datos_Ejemplo.csv'!A:A,'Datos_Ejemplo.csv'!I:I)</f>
        <v>-1</v>
      </c>
      <c r="N2736">
        <f>ABS(TablaDatos[[#This Row],[DiasOriginal]])</f>
        <v>1</v>
      </c>
      <c r="O2736" s="1">
        <f>TablaDatos[[#This Row],[FechaIngreso]]+TablaDatos[[#This Row],[DiasNuevo]]</f>
        <v>45266</v>
      </c>
    </row>
    <row r="2737" spans="1:15">
      <c r="A2737">
        <v>2736</v>
      </c>
      <c r="B2737" t="s">
        <v>337</v>
      </c>
      <c r="C2737" s="1">
        <v>15707</v>
      </c>
      <c r="D2737">
        <v>83</v>
      </c>
      <c r="E2737" s="4" t="s">
        <v>12</v>
      </c>
      <c r="F2737" t="s">
        <v>261</v>
      </c>
      <c r="G2737" s="1">
        <v>45424</v>
      </c>
      <c r="H2737" s="1">
        <f>TablaDatos[[#This Row],[FechaIngreso]]+TablaDatos[[#This Row],[DiasNuevo]]</f>
        <v>45427</v>
      </c>
      <c r="I2737">
        <v>3</v>
      </c>
      <c r="J2737" t="s">
        <v>23</v>
      </c>
      <c r="K2737" s="3">
        <v>8072.44</v>
      </c>
      <c r="L2737" t="b">
        <f>TablaDatos[[#This Row],[FechaAlta]] &lt; TablaDatos[[#This Row],[FechaIngreso]]</f>
        <v>0</v>
      </c>
      <c r="M2737">
        <f>_xlfn.XLOOKUP(TablaDatos[[#This Row],[PacienteID]],'Datos_Ejemplo.csv'!A:A,'Datos_Ejemplo.csv'!I:I)</f>
        <v>3</v>
      </c>
      <c r="N2737">
        <f>ABS(TablaDatos[[#This Row],[DiasOriginal]])</f>
        <v>3</v>
      </c>
      <c r="O2737" s="1">
        <f>TablaDatos[[#This Row],[FechaIngreso]]+TablaDatos[[#This Row],[DiasNuevo]]</f>
        <v>45427</v>
      </c>
    </row>
    <row r="2738" spans="1:15">
      <c r="A2738">
        <v>2737</v>
      </c>
      <c r="B2738" t="s">
        <v>347</v>
      </c>
      <c r="C2738" s="1">
        <v>15341</v>
      </c>
      <c r="D2738">
        <v>84</v>
      </c>
      <c r="E2738" s="4" t="s">
        <v>15</v>
      </c>
      <c r="F2738" t="s">
        <v>21</v>
      </c>
      <c r="G2738" s="1">
        <v>45395</v>
      </c>
      <c r="H2738" s="1">
        <f>TablaDatos[[#This Row],[FechaIngreso]]+TablaDatos[[#This Row],[DiasNuevo]]</f>
        <v>45401</v>
      </c>
      <c r="I2738">
        <v>6</v>
      </c>
      <c r="J2738" t="s">
        <v>23</v>
      </c>
      <c r="K2738" s="3">
        <v>11713.79</v>
      </c>
      <c r="L2738" t="b">
        <f>TablaDatos[[#This Row],[FechaAlta]] &lt; TablaDatos[[#This Row],[FechaIngreso]]</f>
        <v>0</v>
      </c>
      <c r="M2738">
        <f>_xlfn.XLOOKUP(TablaDatos[[#This Row],[PacienteID]],'Datos_Ejemplo.csv'!A:A,'Datos_Ejemplo.csv'!I:I)</f>
        <v>6</v>
      </c>
      <c r="N2738">
        <f>ABS(TablaDatos[[#This Row],[DiasOriginal]])</f>
        <v>6</v>
      </c>
      <c r="O2738" s="1">
        <f>TablaDatos[[#This Row],[FechaIngreso]]+TablaDatos[[#This Row],[DiasNuevo]]</f>
        <v>45401</v>
      </c>
    </row>
    <row r="2739" spans="1:15">
      <c r="A2739">
        <v>2738</v>
      </c>
      <c r="B2739" t="s">
        <v>254</v>
      </c>
      <c r="C2739" s="1">
        <v>30317</v>
      </c>
      <c r="D2739">
        <v>43</v>
      </c>
      <c r="E2739" s="4" t="s">
        <v>12</v>
      </c>
      <c r="F2739" t="s">
        <v>295</v>
      </c>
      <c r="G2739" s="1">
        <v>45257</v>
      </c>
      <c r="H2739" s="1">
        <f>TablaDatos[[#This Row],[FechaIngreso]]+TablaDatos[[#This Row],[DiasNuevo]]</f>
        <v>45269</v>
      </c>
      <c r="I2739">
        <v>12</v>
      </c>
      <c r="J2739" t="s">
        <v>23</v>
      </c>
      <c r="K2739" s="3">
        <v>4031.19</v>
      </c>
      <c r="L2739" t="b">
        <f>TablaDatos[[#This Row],[FechaAlta]] &lt; TablaDatos[[#This Row],[FechaIngreso]]</f>
        <v>0</v>
      </c>
      <c r="M2739">
        <f>_xlfn.XLOOKUP(TablaDatos[[#This Row],[PacienteID]],'Datos_Ejemplo.csv'!A:A,'Datos_Ejemplo.csv'!I:I)</f>
        <v>12</v>
      </c>
      <c r="N2739">
        <f>ABS(TablaDatos[[#This Row],[DiasOriginal]])</f>
        <v>12</v>
      </c>
      <c r="O2739" s="1">
        <f>TablaDatos[[#This Row],[FechaIngreso]]+TablaDatos[[#This Row],[DiasNuevo]]</f>
        <v>45269</v>
      </c>
    </row>
    <row r="2740" spans="1:15">
      <c r="A2740">
        <v>2739</v>
      </c>
      <c r="B2740" t="s">
        <v>307</v>
      </c>
      <c r="C2740" s="1">
        <v>34700</v>
      </c>
      <c r="D2740">
        <v>31</v>
      </c>
      <c r="E2740" s="4" t="s">
        <v>12</v>
      </c>
      <c r="F2740" t="s">
        <v>295</v>
      </c>
      <c r="G2740" s="1">
        <v>45565</v>
      </c>
      <c r="H2740" s="1">
        <f>TablaDatos[[#This Row],[FechaIngreso]]+TablaDatos[[#This Row],[DiasNuevo]]</f>
        <v>45582</v>
      </c>
      <c r="I2740">
        <v>17</v>
      </c>
      <c r="J2740" t="s">
        <v>23</v>
      </c>
      <c r="K2740" s="3">
        <v>12155.04</v>
      </c>
      <c r="L2740" t="b">
        <f>TablaDatos[[#This Row],[FechaAlta]] &lt; TablaDatos[[#This Row],[FechaIngreso]]</f>
        <v>0</v>
      </c>
      <c r="M2740">
        <f>_xlfn.XLOOKUP(TablaDatos[[#This Row],[PacienteID]],'Datos_Ejemplo.csv'!A:A,'Datos_Ejemplo.csv'!I:I)</f>
        <v>17</v>
      </c>
      <c r="N2740">
        <f>ABS(TablaDatos[[#This Row],[DiasOriginal]])</f>
        <v>17</v>
      </c>
      <c r="O2740" s="1">
        <f>TablaDatos[[#This Row],[FechaIngreso]]+TablaDatos[[#This Row],[DiasNuevo]]</f>
        <v>45582</v>
      </c>
    </row>
    <row r="2741" spans="1:15">
      <c r="A2741">
        <v>2740</v>
      </c>
      <c r="B2741" t="s">
        <v>310</v>
      </c>
      <c r="C2741" s="1">
        <v>27760</v>
      </c>
      <c r="D2741">
        <v>50</v>
      </c>
      <c r="E2741" s="4" t="s">
        <v>15</v>
      </c>
      <c r="F2741" t="s">
        <v>18</v>
      </c>
      <c r="G2741" s="1">
        <v>45057</v>
      </c>
      <c r="H2741" s="1">
        <f>TablaDatos[[#This Row],[FechaIngreso]]+TablaDatos[[#This Row],[DiasNuevo]]</f>
        <v>45058</v>
      </c>
      <c r="I2741">
        <v>1</v>
      </c>
      <c r="J2741" t="s">
        <v>23</v>
      </c>
      <c r="K2741" s="3">
        <v>13446.95</v>
      </c>
      <c r="L2741" t="b">
        <f>TablaDatos[[#This Row],[FechaAlta]] &lt; TablaDatos[[#This Row],[FechaIngreso]]</f>
        <v>0</v>
      </c>
      <c r="M2741">
        <f>_xlfn.XLOOKUP(TablaDatos[[#This Row],[PacienteID]],'Datos_Ejemplo.csv'!A:A,'Datos_Ejemplo.csv'!I:I)</f>
        <v>-1</v>
      </c>
      <c r="N2741">
        <f>ABS(TablaDatos[[#This Row],[DiasOriginal]])</f>
        <v>1</v>
      </c>
      <c r="O2741" s="1">
        <f>TablaDatos[[#This Row],[FechaIngreso]]+TablaDatos[[#This Row],[DiasNuevo]]</f>
        <v>45058</v>
      </c>
    </row>
    <row r="2742" spans="1:15">
      <c r="A2742">
        <v>2741</v>
      </c>
      <c r="B2742" t="s">
        <v>353</v>
      </c>
      <c r="C2742" s="1">
        <v>29586</v>
      </c>
      <c r="D2742">
        <v>45</v>
      </c>
      <c r="E2742" s="4" t="s">
        <v>12</v>
      </c>
      <c r="F2742" t="s">
        <v>295</v>
      </c>
      <c r="G2742" s="1">
        <v>45456</v>
      </c>
      <c r="H2742" s="1">
        <f>TablaDatos[[#This Row],[FechaIngreso]]+TablaDatos[[#This Row],[DiasNuevo]]</f>
        <v>45456</v>
      </c>
      <c r="I2742">
        <v>0</v>
      </c>
      <c r="J2742" t="s">
        <v>23</v>
      </c>
      <c r="K2742" s="3">
        <v>1311.65</v>
      </c>
      <c r="L2742" t="b">
        <f>TablaDatos[[#This Row],[FechaAlta]] &lt; TablaDatos[[#This Row],[FechaIngreso]]</f>
        <v>0</v>
      </c>
      <c r="M2742">
        <f>_xlfn.XLOOKUP(TablaDatos[[#This Row],[PacienteID]],'Datos_Ejemplo.csv'!A:A,'Datos_Ejemplo.csv'!I:I)</f>
        <v>0</v>
      </c>
      <c r="N2742">
        <f>ABS(TablaDatos[[#This Row],[DiasOriginal]])</f>
        <v>0</v>
      </c>
      <c r="O2742" s="1">
        <f>TablaDatos[[#This Row],[FechaIngreso]]+TablaDatos[[#This Row],[DiasNuevo]]</f>
        <v>45456</v>
      </c>
    </row>
    <row r="2743" spans="1:15">
      <c r="A2743">
        <v>2742</v>
      </c>
      <c r="B2743" t="s">
        <v>289</v>
      </c>
      <c r="C2743" s="1">
        <v>38717</v>
      </c>
      <c r="D2743">
        <v>20</v>
      </c>
      <c r="E2743" s="4" t="s">
        <v>15</v>
      </c>
      <c r="F2743" t="s">
        <v>261</v>
      </c>
      <c r="G2743" s="1">
        <v>45645</v>
      </c>
      <c r="H2743" s="1">
        <f>TablaDatos[[#This Row],[FechaIngreso]]+TablaDatos[[#This Row],[DiasNuevo]]</f>
        <v>45672</v>
      </c>
      <c r="I2743">
        <v>27</v>
      </c>
      <c r="J2743" t="s">
        <v>19</v>
      </c>
      <c r="K2743" s="3">
        <v>16469.32</v>
      </c>
      <c r="L2743" t="b">
        <f>TablaDatos[[#This Row],[FechaAlta]] &lt; TablaDatos[[#This Row],[FechaIngreso]]</f>
        <v>0</v>
      </c>
      <c r="M2743">
        <f>_xlfn.XLOOKUP(TablaDatos[[#This Row],[PacienteID]],'Datos_Ejemplo.csv'!A:A,'Datos_Ejemplo.csv'!I:I)</f>
        <v>27</v>
      </c>
      <c r="N2743">
        <f>ABS(TablaDatos[[#This Row],[DiasOriginal]])</f>
        <v>27</v>
      </c>
      <c r="O2743" s="1">
        <f>TablaDatos[[#This Row],[FechaIngreso]]+TablaDatos[[#This Row],[DiasNuevo]]</f>
        <v>45672</v>
      </c>
    </row>
    <row r="2744" spans="1:15">
      <c r="A2744">
        <v>2743</v>
      </c>
      <c r="B2744" t="s">
        <v>362</v>
      </c>
      <c r="C2744" s="1">
        <v>34700</v>
      </c>
      <c r="D2744">
        <v>31</v>
      </c>
      <c r="E2744" s="4" t="s">
        <v>15</v>
      </c>
      <c r="F2744" t="s">
        <v>13</v>
      </c>
      <c r="G2744" s="1">
        <v>45527</v>
      </c>
      <c r="H2744" s="1">
        <f>TablaDatos[[#This Row],[FechaIngreso]]+TablaDatos[[#This Row],[DiasNuevo]]</f>
        <v>45532</v>
      </c>
      <c r="I2744">
        <v>5</v>
      </c>
      <c r="J2744" t="s">
        <v>23</v>
      </c>
      <c r="K2744" s="3">
        <v>17211.21</v>
      </c>
      <c r="L2744" t="b">
        <f>TablaDatos[[#This Row],[FechaAlta]] &lt; TablaDatos[[#This Row],[FechaIngreso]]</f>
        <v>0</v>
      </c>
      <c r="M2744">
        <f>_xlfn.XLOOKUP(TablaDatos[[#This Row],[PacienteID]],'Datos_Ejemplo.csv'!A:A,'Datos_Ejemplo.csv'!I:I)</f>
        <v>5</v>
      </c>
      <c r="N2744">
        <f>ABS(TablaDatos[[#This Row],[DiasOriginal]])</f>
        <v>5</v>
      </c>
      <c r="O2744" s="1">
        <f>TablaDatos[[#This Row],[FechaIngreso]]+TablaDatos[[#This Row],[DiasNuevo]]</f>
        <v>45532</v>
      </c>
    </row>
    <row r="2745" spans="1:15">
      <c r="A2745">
        <v>2744</v>
      </c>
      <c r="B2745" t="s">
        <v>230</v>
      </c>
      <c r="C2745" s="1">
        <f ca="1">DATE(YEAR(TODAY())-TablaDatos[[#This Row],[Edad]],1,1)</f>
        <v>12055</v>
      </c>
      <c r="D2745">
        <v>93</v>
      </c>
      <c r="E2745" s="4" t="s">
        <v>15</v>
      </c>
      <c r="F2745" t="s">
        <v>13</v>
      </c>
      <c r="G2745" s="1">
        <v>45364</v>
      </c>
      <c r="H2745" s="1">
        <f>TablaDatos[[#This Row],[FechaIngreso]]+TablaDatos[[#This Row],[DiasNuevo]]</f>
        <v>45401</v>
      </c>
      <c r="I2745">
        <v>37</v>
      </c>
      <c r="J2745" t="s">
        <v>23</v>
      </c>
      <c r="K2745" s="3">
        <v>1177.44</v>
      </c>
      <c r="L2745" t="b">
        <f>TablaDatos[[#This Row],[FechaAlta]] &lt; TablaDatos[[#This Row],[FechaIngreso]]</f>
        <v>0</v>
      </c>
      <c r="M2745">
        <f>_xlfn.XLOOKUP(TablaDatos[[#This Row],[PacienteID]],'Datos_Ejemplo.csv'!A:A,'Datos_Ejemplo.csv'!I:I)</f>
        <v>37</v>
      </c>
      <c r="N2745">
        <f>ABS(TablaDatos[[#This Row],[DiasOriginal]])</f>
        <v>37</v>
      </c>
      <c r="O2745" s="1">
        <f>TablaDatos[[#This Row],[FechaIngreso]]+TablaDatos[[#This Row],[DiasNuevo]]</f>
        <v>45401</v>
      </c>
    </row>
    <row r="2746" spans="1:15">
      <c r="A2746">
        <v>2745</v>
      </c>
      <c r="B2746" t="s">
        <v>282</v>
      </c>
      <c r="C2746" s="1">
        <v>32143</v>
      </c>
      <c r="D2746">
        <v>38</v>
      </c>
      <c r="E2746" s="4" t="s">
        <v>15</v>
      </c>
      <c r="F2746" t="s">
        <v>13</v>
      </c>
      <c r="G2746" s="1">
        <v>45169</v>
      </c>
      <c r="H2746" s="1">
        <f>TablaDatos[[#This Row],[FechaIngreso]]+TablaDatos[[#This Row],[DiasNuevo]]</f>
        <v>45187</v>
      </c>
      <c r="I2746">
        <v>18</v>
      </c>
      <c r="J2746" t="s">
        <v>19</v>
      </c>
      <c r="K2746" s="3">
        <v>12024.07</v>
      </c>
      <c r="L2746" t="b">
        <f>TablaDatos[[#This Row],[FechaAlta]] &lt; TablaDatos[[#This Row],[FechaIngreso]]</f>
        <v>0</v>
      </c>
      <c r="M2746">
        <f>_xlfn.XLOOKUP(TablaDatos[[#This Row],[PacienteID]],'Datos_Ejemplo.csv'!A:A,'Datos_Ejemplo.csv'!I:I)</f>
        <v>18</v>
      </c>
      <c r="N2746">
        <f>ABS(TablaDatos[[#This Row],[DiasOriginal]])</f>
        <v>18</v>
      </c>
      <c r="O2746" s="1">
        <f>TablaDatos[[#This Row],[FechaIngreso]]+TablaDatos[[#This Row],[DiasNuevo]]</f>
        <v>45187</v>
      </c>
    </row>
    <row r="2747" spans="1:15">
      <c r="A2747">
        <v>2746</v>
      </c>
      <c r="B2747" t="s">
        <v>273</v>
      </c>
      <c r="C2747" s="1">
        <v>42005</v>
      </c>
      <c r="D2747">
        <v>11</v>
      </c>
      <c r="E2747" s="4" t="s">
        <v>15</v>
      </c>
      <c r="F2747" t="s">
        <v>32</v>
      </c>
      <c r="G2747" s="1">
        <v>45389</v>
      </c>
      <c r="H2747" s="1">
        <f>TablaDatos[[#This Row],[FechaIngreso]]+TablaDatos[[#This Row],[DiasNuevo]]</f>
        <v>45425</v>
      </c>
      <c r="I2747">
        <v>36</v>
      </c>
      <c r="J2747" t="s">
        <v>25</v>
      </c>
      <c r="K2747" s="3">
        <v>11839.63</v>
      </c>
      <c r="L2747" t="b">
        <f>TablaDatos[[#This Row],[FechaAlta]] &lt; TablaDatos[[#This Row],[FechaIngreso]]</f>
        <v>0</v>
      </c>
      <c r="M2747">
        <f>_xlfn.XLOOKUP(TablaDatos[[#This Row],[PacienteID]],'Datos_Ejemplo.csv'!A:A,'Datos_Ejemplo.csv'!I:I)</f>
        <v>36</v>
      </c>
      <c r="N2747">
        <f>ABS(TablaDatos[[#This Row],[DiasOriginal]])</f>
        <v>36</v>
      </c>
      <c r="O2747" s="1">
        <f>TablaDatos[[#This Row],[FechaIngreso]]+TablaDatos[[#This Row],[DiasNuevo]]</f>
        <v>45425</v>
      </c>
    </row>
    <row r="2748" spans="1:15">
      <c r="A2748">
        <v>2747</v>
      </c>
      <c r="B2748" t="s">
        <v>312</v>
      </c>
      <c r="C2748" s="1">
        <v>29221</v>
      </c>
      <c r="D2748">
        <v>46</v>
      </c>
      <c r="E2748" s="4" t="s">
        <v>15</v>
      </c>
      <c r="F2748" t="s">
        <v>32</v>
      </c>
      <c r="G2748" s="1">
        <v>45276</v>
      </c>
      <c r="H2748" s="1">
        <f>TablaDatos[[#This Row],[FechaIngreso]]+TablaDatos[[#This Row],[DiasNuevo]]</f>
        <v>45286</v>
      </c>
      <c r="I2748">
        <v>10</v>
      </c>
      <c r="J2748" t="s">
        <v>19</v>
      </c>
      <c r="K2748" s="3">
        <v>150.41</v>
      </c>
      <c r="L2748" t="b">
        <f>TablaDatos[[#This Row],[FechaAlta]] &lt; TablaDatos[[#This Row],[FechaIngreso]]</f>
        <v>0</v>
      </c>
      <c r="M2748">
        <f>_xlfn.XLOOKUP(TablaDatos[[#This Row],[PacienteID]],'Datos_Ejemplo.csv'!A:A,'Datos_Ejemplo.csv'!I:I)</f>
        <v>10</v>
      </c>
      <c r="N2748">
        <f>ABS(TablaDatos[[#This Row],[DiasOriginal]])</f>
        <v>10</v>
      </c>
      <c r="O2748" s="1">
        <f>TablaDatos[[#This Row],[FechaIngreso]]+TablaDatos[[#This Row],[DiasNuevo]]</f>
        <v>45286</v>
      </c>
    </row>
    <row r="2749" spans="1:15">
      <c r="A2749">
        <v>2748</v>
      </c>
      <c r="B2749" t="s">
        <v>151</v>
      </c>
      <c r="C2749" s="1">
        <f ca="1">DATE(YEAR(TODAY())-TablaDatos[[#This Row],[Edad]],1,1)</f>
        <v>39814</v>
      </c>
      <c r="D2749">
        <v>17</v>
      </c>
      <c r="E2749" s="4" t="s">
        <v>15</v>
      </c>
      <c r="F2749" t="s">
        <v>295</v>
      </c>
      <c r="G2749" s="1">
        <v>44943</v>
      </c>
      <c r="H2749" s="1">
        <f>TablaDatos[[#This Row],[FechaIngreso]]+TablaDatos[[#This Row],[DiasNuevo]]</f>
        <v>44980</v>
      </c>
      <c r="I2749">
        <v>37</v>
      </c>
      <c r="J2749" t="s">
        <v>25</v>
      </c>
      <c r="K2749" s="3">
        <v>6781.16</v>
      </c>
      <c r="L2749" t="b">
        <f>TablaDatos[[#This Row],[FechaAlta]] &lt; TablaDatos[[#This Row],[FechaIngreso]]</f>
        <v>0</v>
      </c>
      <c r="M2749">
        <f>_xlfn.XLOOKUP(TablaDatos[[#This Row],[PacienteID]],'Datos_Ejemplo.csv'!A:A,'Datos_Ejemplo.csv'!I:I)</f>
        <v>37</v>
      </c>
      <c r="N2749">
        <f>ABS(TablaDatos[[#This Row],[DiasOriginal]])</f>
        <v>37</v>
      </c>
      <c r="O2749" s="1">
        <f>TablaDatos[[#This Row],[FechaIngreso]]+TablaDatos[[#This Row],[DiasNuevo]]</f>
        <v>44980</v>
      </c>
    </row>
    <row r="2750" spans="1:15">
      <c r="A2750">
        <v>2749</v>
      </c>
      <c r="B2750" t="s">
        <v>296</v>
      </c>
      <c r="C2750" s="1">
        <v>38717</v>
      </c>
      <c r="D2750">
        <v>20</v>
      </c>
      <c r="E2750" s="4" t="s">
        <v>15</v>
      </c>
      <c r="F2750" t="s">
        <v>201</v>
      </c>
      <c r="G2750" s="1">
        <v>45392</v>
      </c>
      <c r="H2750" s="1">
        <f>TablaDatos[[#This Row],[FechaIngreso]]+TablaDatos[[#This Row],[DiasNuevo]]</f>
        <v>45430</v>
      </c>
      <c r="I2750">
        <v>38</v>
      </c>
      <c r="J2750" t="s">
        <v>19</v>
      </c>
      <c r="K2750" s="3">
        <v>19375.41</v>
      </c>
      <c r="L2750" t="b">
        <f>TablaDatos[[#This Row],[FechaAlta]] &lt; TablaDatos[[#This Row],[FechaIngreso]]</f>
        <v>0</v>
      </c>
      <c r="M2750">
        <f>_xlfn.XLOOKUP(TablaDatos[[#This Row],[PacienteID]],'Datos_Ejemplo.csv'!A:A,'Datos_Ejemplo.csv'!I:I)</f>
        <v>38</v>
      </c>
      <c r="N2750">
        <f>ABS(TablaDatos[[#This Row],[DiasOriginal]])</f>
        <v>38</v>
      </c>
      <c r="O2750" s="1">
        <f>TablaDatos[[#This Row],[FechaIngreso]]+TablaDatos[[#This Row],[DiasNuevo]]</f>
        <v>45430</v>
      </c>
    </row>
    <row r="2751" spans="1:15">
      <c r="A2751">
        <v>2750</v>
      </c>
      <c r="B2751" t="s">
        <v>351</v>
      </c>
      <c r="C2751" s="1">
        <v>41639</v>
      </c>
      <c r="D2751">
        <v>12</v>
      </c>
      <c r="E2751" s="4" t="s">
        <v>12</v>
      </c>
      <c r="F2751" t="s">
        <v>32</v>
      </c>
      <c r="G2751" s="1">
        <v>45289</v>
      </c>
      <c r="H2751" s="1">
        <f>TablaDatos[[#This Row],[FechaIngreso]]+TablaDatos[[#This Row],[DiasNuevo]]</f>
        <v>45323</v>
      </c>
      <c r="I2751">
        <v>34</v>
      </c>
      <c r="J2751" t="s">
        <v>23</v>
      </c>
      <c r="K2751" s="3">
        <v>11064.56</v>
      </c>
      <c r="L2751" t="b">
        <f>TablaDatos[[#This Row],[FechaAlta]] &lt; TablaDatos[[#This Row],[FechaIngreso]]</f>
        <v>0</v>
      </c>
      <c r="M2751">
        <f>_xlfn.XLOOKUP(TablaDatos[[#This Row],[PacienteID]],'Datos_Ejemplo.csv'!A:A,'Datos_Ejemplo.csv'!I:I)</f>
        <v>34</v>
      </c>
      <c r="N2751">
        <f>ABS(TablaDatos[[#This Row],[DiasOriginal]])</f>
        <v>34</v>
      </c>
      <c r="O2751" s="1">
        <f>TablaDatos[[#This Row],[FechaIngreso]]+TablaDatos[[#This Row],[DiasNuevo]]</f>
        <v>45323</v>
      </c>
    </row>
    <row r="2752" spans="1:15">
      <c r="A2752">
        <v>2751</v>
      </c>
      <c r="B2752" t="s">
        <v>301</v>
      </c>
      <c r="C2752" s="1">
        <v>38717</v>
      </c>
      <c r="D2752">
        <v>20</v>
      </c>
      <c r="E2752" s="4" t="s">
        <v>12</v>
      </c>
      <c r="F2752" t="s">
        <v>201</v>
      </c>
      <c r="G2752" s="1">
        <v>45136</v>
      </c>
      <c r="H2752" s="1">
        <f>TablaDatos[[#This Row],[FechaIngreso]]+TablaDatos[[#This Row],[DiasNuevo]]</f>
        <v>45165</v>
      </c>
      <c r="I2752">
        <v>29</v>
      </c>
      <c r="J2752" t="s">
        <v>23</v>
      </c>
      <c r="K2752" s="3">
        <v>18657.560000000001</v>
      </c>
      <c r="L2752" t="b">
        <f>TablaDatos[[#This Row],[FechaAlta]] &lt; TablaDatos[[#This Row],[FechaIngreso]]</f>
        <v>0</v>
      </c>
      <c r="M2752">
        <f>_xlfn.XLOOKUP(TablaDatos[[#This Row],[PacienteID]],'Datos_Ejemplo.csv'!A:A,'Datos_Ejemplo.csv'!I:I)</f>
        <v>29</v>
      </c>
      <c r="N2752">
        <f>ABS(TablaDatos[[#This Row],[DiasOriginal]])</f>
        <v>29</v>
      </c>
      <c r="O2752" s="1">
        <f>TablaDatos[[#This Row],[FechaIngreso]]+TablaDatos[[#This Row],[DiasNuevo]]</f>
        <v>45165</v>
      </c>
    </row>
    <row r="2753" spans="1:15">
      <c r="A2753">
        <v>2752</v>
      </c>
      <c r="B2753" t="s">
        <v>357</v>
      </c>
      <c r="C2753" s="1">
        <v>43466</v>
      </c>
      <c r="D2753">
        <v>7</v>
      </c>
      <c r="E2753" s="4" t="s">
        <v>15</v>
      </c>
      <c r="F2753" t="s">
        <v>201</v>
      </c>
      <c r="G2753" s="1">
        <v>45537</v>
      </c>
      <c r="H2753" s="1">
        <f>TablaDatos[[#This Row],[FechaIngreso]]+TablaDatos[[#This Row],[DiasNuevo]]</f>
        <v>45548</v>
      </c>
      <c r="I2753">
        <v>11</v>
      </c>
      <c r="J2753" t="s">
        <v>19</v>
      </c>
      <c r="K2753" s="3">
        <v>13480.46</v>
      </c>
      <c r="L2753" t="b">
        <f>TablaDatos[[#This Row],[FechaAlta]] &lt; TablaDatos[[#This Row],[FechaIngreso]]</f>
        <v>0</v>
      </c>
      <c r="M2753">
        <f>_xlfn.XLOOKUP(TablaDatos[[#This Row],[PacienteID]],'Datos_Ejemplo.csv'!A:A,'Datos_Ejemplo.csv'!I:I)</f>
        <v>11</v>
      </c>
      <c r="N2753">
        <f>ABS(TablaDatos[[#This Row],[DiasOriginal]])</f>
        <v>11</v>
      </c>
      <c r="O2753" s="1">
        <f>TablaDatos[[#This Row],[FechaIngreso]]+TablaDatos[[#This Row],[DiasNuevo]]</f>
        <v>45548</v>
      </c>
    </row>
    <row r="2754" spans="1:15">
      <c r="A2754">
        <v>2753</v>
      </c>
      <c r="B2754" t="s">
        <v>350</v>
      </c>
      <c r="C2754" s="1">
        <v>29586</v>
      </c>
      <c r="D2754">
        <v>45</v>
      </c>
      <c r="E2754" s="4" t="s">
        <v>15</v>
      </c>
      <c r="F2754" t="s">
        <v>32</v>
      </c>
      <c r="G2754" s="1">
        <v>45451</v>
      </c>
      <c r="H2754" s="1">
        <f>TablaDatos[[#This Row],[FechaIngreso]]+TablaDatos[[#This Row],[DiasNuevo]]</f>
        <v>45453</v>
      </c>
      <c r="I2754">
        <v>2</v>
      </c>
      <c r="J2754" t="s">
        <v>23</v>
      </c>
      <c r="K2754" s="3">
        <v>470.65</v>
      </c>
      <c r="L2754" t="b">
        <f>TablaDatos[[#This Row],[FechaAlta]] &lt; TablaDatos[[#This Row],[FechaIngreso]]</f>
        <v>0</v>
      </c>
      <c r="M2754">
        <f>_xlfn.XLOOKUP(TablaDatos[[#This Row],[PacienteID]],'Datos_Ejemplo.csv'!A:A,'Datos_Ejemplo.csv'!I:I)</f>
        <v>-2</v>
      </c>
      <c r="N2754">
        <f>ABS(TablaDatos[[#This Row],[DiasOriginal]])</f>
        <v>2</v>
      </c>
      <c r="O2754" s="1">
        <f>TablaDatos[[#This Row],[FechaIngreso]]+TablaDatos[[#This Row],[DiasNuevo]]</f>
        <v>45453</v>
      </c>
    </row>
    <row r="2755" spans="1:15">
      <c r="A2755">
        <v>2754</v>
      </c>
      <c r="B2755" t="s">
        <v>299</v>
      </c>
      <c r="C2755" s="1">
        <v>43831</v>
      </c>
      <c r="D2755">
        <v>6</v>
      </c>
      <c r="E2755" s="4" t="s">
        <v>15</v>
      </c>
      <c r="F2755" t="s">
        <v>18</v>
      </c>
      <c r="G2755" s="1">
        <v>45625</v>
      </c>
      <c r="H2755" s="1">
        <f>TablaDatos[[#This Row],[FechaIngreso]]+TablaDatos[[#This Row],[DiasNuevo]]</f>
        <v>45649</v>
      </c>
      <c r="I2755">
        <v>24</v>
      </c>
      <c r="J2755" t="s">
        <v>25</v>
      </c>
      <c r="K2755" s="3">
        <v>1462.04</v>
      </c>
      <c r="L2755" t="b">
        <f>TablaDatos[[#This Row],[FechaAlta]] &lt; TablaDatos[[#This Row],[FechaIngreso]]</f>
        <v>0</v>
      </c>
      <c r="M2755">
        <f>_xlfn.XLOOKUP(TablaDatos[[#This Row],[PacienteID]],'Datos_Ejemplo.csv'!A:A,'Datos_Ejemplo.csv'!I:I)</f>
        <v>24</v>
      </c>
      <c r="N2755">
        <f>ABS(TablaDatos[[#This Row],[DiasOriginal]])</f>
        <v>24</v>
      </c>
      <c r="O2755" s="1">
        <f>TablaDatos[[#This Row],[FechaIngreso]]+TablaDatos[[#This Row],[DiasNuevo]]</f>
        <v>45649</v>
      </c>
    </row>
    <row r="2756" spans="1:15">
      <c r="A2756">
        <v>2755</v>
      </c>
      <c r="B2756" t="s">
        <v>151</v>
      </c>
      <c r="C2756" s="1">
        <v>37987</v>
      </c>
      <c r="D2756">
        <f ca="1">DATEDIF(TablaDatos[[#This Row],[FechaNacimiento]],TODAY(),"Y")</f>
        <v>22</v>
      </c>
      <c r="E2756" s="4" t="s">
        <v>12</v>
      </c>
      <c r="F2756" t="s">
        <v>32</v>
      </c>
      <c r="G2756" s="1">
        <v>45346</v>
      </c>
      <c r="H2756" s="1">
        <f>TablaDatos[[#This Row],[FechaIngreso]]+TablaDatos[[#This Row],[DiasNuevo]]</f>
        <v>45367</v>
      </c>
      <c r="I2756">
        <v>21</v>
      </c>
      <c r="J2756" t="s">
        <v>23</v>
      </c>
      <c r="K2756" s="3">
        <v>14415.8</v>
      </c>
      <c r="L2756" t="b">
        <f>TablaDatos[[#This Row],[FechaAlta]] &lt; TablaDatos[[#This Row],[FechaIngreso]]</f>
        <v>0</v>
      </c>
      <c r="M2756">
        <f>_xlfn.XLOOKUP(TablaDatos[[#This Row],[PacienteID]],'Datos_Ejemplo.csv'!A:A,'Datos_Ejemplo.csv'!I:I)</f>
        <v>21</v>
      </c>
      <c r="N2756">
        <f>ABS(TablaDatos[[#This Row],[DiasOriginal]])</f>
        <v>21</v>
      </c>
      <c r="O2756" s="1">
        <f>TablaDatos[[#This Row],[FechaIngreso]]+TablaDatos[[#This Row],[DiasNuevo]]</f>
        <v>45367</v>
      </c>
    </row>
    <row r="2757" spans="1:15">
      <c r="A2757">
        <v>2756</v>
      </c>
      <c r="B2757" t="s">
        <v>298</v>
      </c>
      <c r="C2757" s="1">
        <v>18994</v>
      </c>
      <c r="D2757">
        <v>74</v>
      </c>
      <c r="E2757" s="4" t="s">
        <v>12</v>
      </c>
      <c r="F2757" t="s">
        <v>21</v>
      </c>
      <c r="G2757" s="1">
        <v>45059</v>
      </c>
      <c r="H2757" s="1">
        <f>TablaDatos[[#This Row],[FechaIngreso]]+TablaDatos[[#This Row],[DiasNuevo]]</f>
        <v>45078</v>
      </c>
      <c r="I2757">
        <v>19</v>
      </c>
      <c r="J2757" t="s">
        <v>23</v>
      </c>
      <c r="K2757" s="3">
        <v>11046.81</v>
      </c>
      <c r="L2757" t="b">
        <f>TablaDatos[[#This Row],[FechaAlta]] &lt; TablaDatos[[#This Row],[FechaIngreso]]</f>
        <v>0</v>
      </c>
      <c r="M2757">
        <f>_xlfn.XLOOKUP(TablaDatos[[#This Row],[PacienteID]],'Datos_Ejemplo.csv'!A:A,'Datos_Ejemplo.csv'!I:I)</f>
        <v>19</v>
      </c>
      <c r="N2757">
        <f>ABS(TablaDatos[[#This Row],[DiasOriginal]])</f>
        <v>19</v>
      </c>
      <c r="O2757" s="1">
        <f>TablaDatos[[#This Row],[FechaIngreso]]+TablaDatos[[#This Row],[DiasNuevo]]</f>
        <v>45078</v>
      </c>
    </row>
    <row r="2758" spans="1:15">
      <c r="A2758">
        <v>2757</v>
      </c>
      <c r="B2758" t="s">
        <v>334</v>
      </c>
      <c r="C2758" s="1">
        <v>14976</v>
      </c>
      <c r="D2758">
        <v>85</v>
      </c>
      <c r="E2758" s="4" t="s">
        <v>15</v>
      </c>
      <c r="F2758" t="s">
        <v>21</v>
      </c>
      <c r="G2758" s="1">
        <v>44940</v>
      </c>
      <c r="H2758" s="1">
        <f>TablaDatos[[#This Row],[FechaIngreso]]+TablaDatos[[#This Row],[DiasNuevo]]</f>
        <v>44951</v>
      </c>
      <c r="I2758">
        <v>11</v>
      </c>
      <c r="J2758" t="s">
        <v>19</v>
      </c>
      <c r="K2758" s="3">
        <v>2455.75</v>
      </c>
      <c r="L2758" t="b">
        <f>TablaDatos[[#This Row],[FechaAlta]] &lt; TablaDatos[[#This Row],[FechaIngreso]]</f>
        <v>0</v>
      </c>
      <c r="M2758">
        <f>_xlfn.XLOOKUP(TablaDatos[[#This Row],[PacienteID]],'Datos_Ejemplo.csv'!A:A,'Datos_Ejemplo.csv'!I:I)</f>
        <v>11</v>
      </c>
      <c r="N2758">
        <f>ABS(TablaDatos[[#This Row],[DiasOriginal]])</f>
        <v>11</v>
      </c>
      <c r="O2758" s="1">
        <f>TablaDatos[[#This Row],[FechaIngreso]]+TablaDatos[[#This Row],[DiasNuevo]]</f>
        <v>44951</v>
      </c>
    </row>
    <row r="2759" spans="1:15">
      <c r="A2759">
        <v>2758</v>
      </c>
      <c r="B2759" t="s">
        <v>152</v>
      </c>
      <c r="C2759" s="1">
        <v>38352</v>
      </c>
      <c r="D2759">
        <v>21</v>
      </c>
      <c r="E2759" s="4" t="s">
        <v>15</v>
      </c>
      <c r="F2759" t="s">
        <v>201</v>
      </c>
      <c r="G2759" s="1">
        <v>44970</v>
      </c>
      <c r="H2759" s="1">
        <f>TablaDatos[[#This Row],[FechaIngreso]]+TablaDatos[[#This Row],[DiasNuevo]]</f>
        <v>44975</v>
      </c>
      <c r="I2759">
        <v>5</v>
      </c>
      <c r="J2759" t="s">
        <v>19</v>
      </c>
      <c r="K2759" s="3">
        <v>12242.66</v>
      </c>
      <c r="L2759" t="b">
        <f>TablaDatos[[#This Row],[FechaAlta]] &lt; TablaDatos[[#This Row],[FechaIngreso]]</f>
        <v>0</v>
      </c>
      <c r="M2759">
        <f>_xlfn.XLOOKUP(TablaDatos[[#This Row],[PacienteID]],'Datos_Ejemplo.csv'!A:A,'Datos_Ejemplo.csv'!I:I)</f>
        <v>5</v>
      </c>
      <c r="N2759">
        <f>ABS(TablaDatos[[#This Row],[DiasOriginal]])</f>
        <v>5</v>
      </c>
      <c r="O2759" s="1">
        <f>TablaDatos[[#This Row],[FechaIngreso]]+TablaDatos[[#This Row],[DiasNuevo]]</f>
        <v>44975</v>
      </c>
    </row>
    <row r="2760" spans="1:15">
      <c r="A2760">
        <v>2759</v>
      </c>
      <c r="B2760" t="s">
        <v>243</v>
      </c>
      <c r="C2760" s="1">
        <v>13880</v>
      </c>
      <c r="D2760">
        <v>88</v>
      </c>
      <c r="E2760" s="4" t="s">
        <v>15</v>
      </c>
      <c r="F2760" t="s">
        <v>21</v>
      </c>
      <c r="G2760" s="1">
        <v>45303</v>
      </c>
      <c r="H2760" s="1">
        <f>TablaDatos[[#This Row],[FechaIngreso]]+TablaDatos[[#This Row],[DiasNuevo]]</f>
        <v>45327</v>
      </c>
      <c r="I2760">
        <v>24</v>
      </c>
      <c r="J2760" t="s">
        <v>23</v>
      </c>
      <c r="K2760" s="3">
        <v>16186.78</v>
      </c>
      <c r="L2760" t="b">
        <f>TablaDatos[[#This Row],[FechaAlta]] &lt; TablaDatos[[#This Row],[FechaIngreso]]</f>
        <v>0</v>
      </c>
      <c r="M2760">
        <f>_xlfn.XLOOKUP(TablaDatos[[#This Row],[PacienteID]],'Datos_Ejemplo.csv'!A:A,'Datos_Ejemplo.csv'!I:I)</f>
        <v>24</v>
      </c>
      <c r="N2760">
        <f>ABS(TablaDatos[[#This Row],[DiasOriginal]])</f>
        <v>24</v>
      </c>
      <c r="O2760" s="1">
        <f>TablaDatos[[#This Row],[FechaIngreso]]+TablaDatos[[#This Row],[DiasNuevo]]</f>
        <v>45327</v>
      </c>
    </row>
    <row r="2761" spans="1:15">
      <c r="A2761">
        <v>2760</v>
      </c>
      <c r="B2761" t="s">
        <v>288</v>
      </c>
      <c r="C2761" s="1">
        <f ca="1">DATE(YEAR(TODAY())-TablaDatos[[#This Row],[Edad]],1,1)</f>
        <v>38353</v>
      </c>
      <c r="D2761">
        <v>21</v>
      </c>
      <c r="E2761" s="4" t="s">
        <v>15</v>
      </c>
      <c r="F2761" t="s">
        <v>295</v>
      </c>
      <c r="G2761" s="1">
        <v>45221</v>
      </c>
      <c r="H2761" s="1">
        <f>TablaDatos[[#This Row],[FechaIngreso]]+TablaDatos[[#This Row],[DiasNuevo]]</f>
        <v>45221</v>
      </c>
      <c r="I2761">
        <v>0</v>
      </c>
      <c r="J2761" t="s">
        <v>25</v>
      </c>
      <c r="K2761" s="3">
        <v>15034.95</v>
      </c>
      <c r="L2761" t="b">
        <f>TablaDatos[[#This Row],[FechaAlta]] &lt; TablaDatos[[#This Row],[FechaIngreso]]</f>
        <v>0</v>
      </c>
      <c r="M2761">
        <f>_xlfn.XLOOKUP(TablaDatos[[#This Row],[PacienteID]],'Datos_Ejemplo.csv'!A:A,'Datos_Ejemplo.csv'!I:I)</f>
        <v>0</v>
      </c>
      <c r="N2761">
        <f>ABS(TablaDatos[[#This Row],[DiasOriginal]])</f>
        <v>0</v>
      </c>
      <c r="O2761" s="1">
        <f>TablaDatos[[#This Row],[FechaIngreso]]+TablaDatos[[#This Row],[DiasNuevo]]</f>
        <v>45221</v>
      </c>
    </row>
    <row r="2762" spans="1:15">
      <c r="A2762">
        <v>2761</v>
      </c>
      <c r="B2762" t="s">
        <v>347</v>
      </c>
      <c r="C2762" s="1">
        <v>12785</v>
      </c>
      <c r="D2762">
        <v>91</v>
      </c>
      <c r="E2762" s="4" t="s">
        <v>12</v>
      </c>
      <c r="F2762" t="s">
        <v>13</v>
      </c>
      <c r="G2762" s="1">
        <v>45322</v>
      </c>
      <c r="H2762" s="1">
        <f>TablaDatos[[#This Row],[FechaIngreso]]+TablaDatos[[#This Row],[DiasNuevo]]</f>
        <v>45352</v>
      </c>
      <c r="I2762">
        <v>30</v>
      </c>
      <c r="J2762" t="s">
        <v>23</v>
      </c>
      <c r="K2762" s="3">
        <v>4847.87</v>
      </c>
      <c r="L2762" t="b">
        <f>TablaDatos[[#This Row],[FechaAlta]] &lt; TablaDatos[[#This Row],[FechaIngreso]]</f>
        <v>0</v>
      </c>
      <c r="M2762">
        <f>_xlfn.XLOOKUP(TablaDatos[[#This Row],[PacienteID]],'Datos_Ejemplo.csv'!A:A,'Datos_Ejemplo.csv'!I:I)</f>
        <v>30</v>
      </c>
      <c r="N2762">
        <f>ABS(TablaDatos[[#This Row],[DiasOriginal]])</f>
        <v>30</v>
      </c>
      <c r="O2762" s="1">
        <f>TablaDatos[[#This Row],[FechaIngreso]]+TablaDatos[[#This Row],[DiasNuevo]]</f>
        <v>45352</v>
      </c>
    </row>
    <row r="2763" spans="1:15">
      <c r="A2763">
        <v>2762</v>
      </c>
      <c r="B2763" t="s">
        <v>345</v>
      </c>
      <c r="C2763" s="1">
        <v>35795</v>
      </c>
      <c r="D2763">
        <v>28</v>
      </c>
      <c r="E2763" s="4" t="s">
        <v>12</v>
      </c>
      <c r="F2763" t="s">
        <v>18</v>
      </c>
      <c r="G2763" s="1">
        <v>45030</v>
      </c>
      <c r="H2763" s="1">
        <f>TablaDatos[[#This Row],[FechaIngreso]]+TablaDatos[[#This Row],[DiasNuevo]]</f>
        <v>45048</v>
      </c>
      <c r="I2763">
        <v>18</v>
      </c>
      <c r="J2763" t="s">
        <v>23</v>
      </c>
      <c r="K2763" s="3">
        <v>5089.72</v>
      </c>
      <c r="L2763" t="b">
        <f>TablaDatos[[#This Row],[FechaAlta]] &lt; TablaDatos[[#This Row],[FechaIngreso]]</f>
        <v>0</v>
      </c>
      <c r="M2763">
        <f>_xlfn.XLOOKUP(TablaDatos[[#This Row],[PacienteID]],'Datos_Ejemplo.csv'!A:A,'Datos_Ejemplo.csv'!I:I)</f>
        <v>18</v>
      </c>
      <c r="N2763">
        <f>ABS(TablaDatos[[#This Row],[DiasOriginal]])</f>
        <v>18</v>
      </c>
      <c r="O2763" s="1">
        <f>TablaDatos[[#This Row],[FechaIngreso]]+TablaDatos[[#This Row],[DiasNuevo]]</f>
        <v>45048</v>
      </c>
    </row>
    <row r="2764" spans="1:15">
      <c r="A2764">
        <v>2763</v>
      </c>
      <c r="B2764" t="s">
        <v>340</v>
      </c>
      <c r="C2764" s="1">
        <v>41639</v>
      </c>
      <c r="D2764">
        <v>12</v>
      </c>
      <c r="E2764" s="4" t="s">
        <v>15</v>
      </c>
      <c r="F2764" t="s">
        <v>295</v>
      </c>
      <c r="G2764" s="1">
        <v>45371</v>
      </c>
      <c r="H2764" s="1">
        <f>TablaDatos[[#This Row],[FechaIngreso]]+TablaDatos[[#This Row],[DiasNuevo]]</f>
        <v>45400</v>
      </c>
      <c r="I2764">
        <v>29</v>
      </c>
      <c r="J2764" t="s">
        <v>23</v>
      </c>
      <c r="K2764" s="3">
        <v>19353.54</v>
      </c>
      <c r="L2764" t="b">
        <f>TablaDatos[[#This Row],[FechaAlta]] &lt; TablaDatos[[#This Row],[FechaIngreso]]</f>
        <v>0</v>
      </c>
      <c r="M2764">
        <f>_xlfn.XLOOKUP(TablaDatos[[#This Row],[PacienteID]],'Datos_Ejemplo.csv'!A:A,'Datos_Ejemplo.csv'!I:I)</f>
        <v>29</v>
      </c>
      <c r="N2764">
        <f>ABS(TablaDatos[[#This Row],[DiasOriginal]])</f>
        <v>29</v>
      </c>
      <c r="O2764" s="1">
        <f>TablaDatos[[#This Row],[FechaIngreso]]+TablaDatos[[#This Row],[DiasNuevo]]</f>
        <v>45400</v>
      </c>
    </row>
    <row r="2765" spans="1:15">
      <c r="A2765">
        <v>2764</v>
      </c>
      <c r="B2765" t="s">
        <v>299</v>
      </c>
      <c r="C2765" s="1">
        <v>16437</v>
      </c>
      <c r="D2765">
        <v>81</v>
      </c>
      <c r="E2765" s="4" t="s">
        <v>12</v>
      </c>
      <c r="F2765" t="s">
        <v>13</v>
      </c>
      <c r="G2765" s="1">
        <v>44988</v>
      </c>
      <c r="H2765" s="1">
        <f>TablaDatos[[#This Row],[FechaIngreso]]+TablaDatos[[#This Row],[DiasNuevo]]</f>
        <v>45025</v>
      </c>
      <c r="I2765">
        <v>37</v>
      </c>
      <c r="J2765" t="s">
        <v>25</v>
      </c>
      <c r="K2765" s="3">
        <v>17736.84</v>
      </c>
      <c r="L2765" t="b">
        <f>TablaDatos[[#This Row],[FechaAlta]] &lt; TablaDatos[[#This Row],[FechaIngreso]]</f>
        <v>0</v>
      </c>
      <c r="M2765">
        <f>_xlfn.XLOOKUP(TablaDatos[[#This Row],[PacienteID]],'Datos_Ejemplo.csv'!A:A,'Datos_Ejemplo.csv'!I:I)</f>
        <v>37</v>
      </c>
      <c r="N2765">
        <f>ABS(TablaDatos[[#This Row],[DiasOriginal]])</f>
        <v>37</v>
      </c>
      <c r="O2765" s="1">
        <f>TablaDatos[[#This Row],[FechaIngreso]]+TablaDatos[[#This Row],[DiasNuevo]]</f>
        <v>45025</v>
      </c>
    </row>
    <row r="2766" spans="1:15">
      <c r="A2766">
        <v>2765</v>
      </c>
      <c r="B2766" t="s">
        <v>310</v>
      </c>
      <c r="C2766" s="1">
        <v>45657</v>
      </c>
      <c r="D2766">
        <v>1</v>
      </c>
      <c r="E2766" s="4" t="s">
        <v>15</v>
      </c>
      <c r="F2766" t="s">
        <v>18</v>
      </c>
      <c r="G2766" s="1">
        <v>45491</v>
      </c>
      <c r="H2766" s="1">
        <f>TablaDatos[[#This Row],[FechaIngreso]]+TablaDatos[[#This Row],[DiasNuevo]]</f>
        <v>45529</v>
      </c>
      <c r="I2766">
        <v>38</v>
      </c>
      <c r="J2766" t="s">
        <v>23</v>
      </c>
      <c r="K2766" s="3">
        <v>6298.58</v>
      </c>
      <c r="L2766" t="b">
        <f>TablaDatos[[#This Row],[FechaAlta]] &lt; TablaDatos[[#This Row],[FechaIngreso]]</f>
        <v>0</v>
      </c>
      <c r="M2766">
        <f>_xlfn.XLOOKUP(TablaDatos[[#This Row],[PacienteID]],'Datos_Ejemplo.csv'!A:A,'Datos_Ejemplo.csv'!I:I)</f>
        <v>38</v>
      </c>
      <c r="N2766">
        <f>ABS(TablaDatos[[#This Row],[DiasOriginal]])</f>
        <v>38</v>
      </c>
      <c r="O2766" s="1">
        <f>TablaDatos[[#This Row],[FechaIngreso]]+TablaDatos[[#This Row],[DiasNuevo]]</f>
        <v>45529</v>
      </c>
    </row>
    <row r="2767" spans="1:15">
      <c r="A2767">
        <v>2766</v>
      </c>
      <c r="B2767" t="s">
        <v>250</v>
      </c>
      <c r="C2767" s="1">
        <v>35795</v>
      </c>
      <c r="D2767">
        <v>28</v>
      </c>
      <c r="E2767" s="4" t="s">
        <v>15</v>
      </c>
      <c r="F2767" t="s">
        <v>201</v>
      </c>
      <c r="G2767" s="1">
        <v>45338</v>
      </c>
      <c r="H2767" s="1">
        <f>TablaDatos[[#This Row],[FechaIngreso]]+TablaDatos[[#This Row],[DiasNuevo]]</f>
        <v>45376</v>
      </c>
      <c r="I2767">
        <v>38</v>
      </c>
      <c r="J2767" t="s">
        <v>23</v>
      </c>
      <c r="K2767" s="3">
        <v>16463.5</v>
      </c>
      <c r="L2767" t="b">
        <f>TablaDatos[[#This Row],[FechaAlta]] &lt; TablaDatos[[#This Row],[FechaIngreso]]</f>
        <v>0</v>
      </c>
      <c r="M2767">
        <f>_xlfn.XLOOKUP(TablaDatos[[#This Row],[PacienteID]],'Datos_Ejemplo.csv'!A:A,'Datos_Ejemplo.csv'!I:I)</f>
        <v>38</v>
      </c>
      <c r="N2767">
        <f>ABS(TablaDatos[[#This Row],[DiasOriginal]])</f>
        <v>38</v>
      </c>
      <c r="O2767" s="1">
        <f>TablaDatos[[#This Row],[FechaIngreso]]+TablaDatos[[#This Row],[DiasNuevo]]</f>
        <v>45376</v>
      </c>
    </row>
    <row r="2768" spans="1:15">
      <c r="A2768">
        <v>2767</v>
      </c>
      <c r="B2768" t="s">
        <v>161</v>
      </c>
      <c r="C2768" s="1">
        <v>15341</v>
      </c>
      <c r="D2768">
        <v>84</v>
      </c>
      <c r="E2768" s="4" t="s">
        <v>12</v>
      </c>
      <c r="F2768" t="s">
        <v>18</v>
      </c>
      <c r="G2768" s="1">
        <v>45556</v>
      </c>
      <c r="H2768" s="1">
        <f>TablaDatos[[#This Row],[FechaIngreso]]+TablaDatos[[#This Row],[DiasNuevo]]</f>
        <v>45585</v>
      </c>
      <c r="I2768">
        <v>29</v>
      </c>
      <c r="J2768" t="s">
        <v>23</v>
      </c>
      <c r="K2768" s="3">
        <v>3150.94</v>
      </c>
      <c r="L2768" t="b">
        <f>TablaDatos[[#This Row],[FechaAlta]] &lt; TablaDatos[[#This Row],[FechaIngreso]]</f>
        <v>0</v>
      </c>
      <c r="M2768">
        <f>_xlfn.XLOOKUP(TablaDatos[[#This Row],[PacienteID]],'Datos_Ejemplo.csv'!A:A,'Datos_Ejemplo.csv'!I:I)</f>
        <v>29</v>
      </c>
      <c r="N2768">
        <f>ABS(TablaDatos[[#This Row],[DiasOriginal]])</f>
        <v>29</v>
      </c>
      <c r="O2768" s="1">
        <f>TablaDatos[[#This Row],[FechaIngreso]]+TablaDatos[[#This Row],[DiasNuevo]]</f>
        <v>45585</v>
      </c>
    </row>
    <row r="2769" spans="1:15">
      <c r="A2769">
        <v>2768</v>
      </c>
      <c r="B2769" t="s">
        <v>273</v>
      </c>
      <c r="C2769" s="1">
        <v>17533</v>
      </c>
      <c r="D2769">
        <v>78</v>
      </c>
      <c r="E2769" s="4" t="s">
        <v>12</v>
      </c>
      <c r="F2769" t="s">
        <v>18</v>
      </c>
      <c r="G2769" s="1">
        <v>45247</v>
      </c>
      <c r="H2769" s="1">
        <f>TablaDatos[[#This Row],[FechaIngreso]]+TablaDatos[[#This Row],[DiasNuevo]]</f>
        <v>45268</v>
      </c>
      <c r="I2769">
        <v>21</v>
      </c>
      <c r="J2769" t="s">
        <v>25</v>
      </c>
      <c r="K2769" s="3">
        <v>3856.51</v>
      </c>
      <c r="L2769" t="b">
        <f>TablaDatos[[#This Row],[FechaAlta]] &lt; TablaDatos[[#This Row],[FechaIngreso]]</f>
        <v>0</v>
      </c>
      <c r="M2769">
        <f>_xlfn.XLOOKUP(TablaDatos[[#This Row],[PacienteID]],'Datos_Ejemplo.csv'!A:A,'Datos_Ejemplo.csv'!I:I)</f>
        <v>21</v>
      </c>
      <c r="N2769">
        <f>ABS(TablaDatos[[#This Row],[DiasOriginal]])</f>
        <v>21</v>
      </c>
      <c r="O2769" s="1">
        <f>TablaDatos[[#This Row],[FechaIngreso]]+TablaDatos[[#This Row],[DiasNuevo]]</f>
        <v>45268</v>
      </c>
    </row>
    <row r="2770" spans="1:15">
      <c r="A2770">
        <v>2769</v>
      </c>
      <c r="B2770" t="s">
        <v>239</v>
      </c>
      <c r="C2770" s="1">
        <v>27395</v>
      </c>
      <c r="D2770">
        <v>51</v>
      </c>
      <c r="E2770" s="4" t="s">
        <v>15</v>
      </c>
      <c r="F2770" t="s">
        <v>21</v>
      </c>
      <c r="G2770" s="1">
        <v>45057</v>
      </c>
      <c r="H2770" s="1">
        <f>TablaDatos[[#This Row],[FechaIngreso]]+TablaDatos[[#This Row],[DiasNuevo]]</f>
        <v>45065</v>
      </c>
      <c r="I2770">
        <v>8</v>
      </c>
      <c r="J2770" t="s">
        <v>25</v>
      </c>
      <c r="K2770" s="3">
        <v>3542.04</v>
      </c>
      <c r="L2770" t="b">
        <f>TablaDatos[[#This Row],[FechaAlta]] &lt; TablaDatos[[#This Row],[FechaIngreso]]</f>
        <v>0</v>
      </c>
      <c r="M2770">
        <f>_xlfn.XLOOKUP(TablaDatos[[#This Row],[PacienteID]],'Datos_Ejemplo.csv'!A:A,'Datos_Ejemplo.csv'!I:I)</f>
        <v>8</v>
      </c>
      <c r="N2770">
        <f>ABS(TablaDatos[[#This Row],[DiasOriginal]])</f>
        <v>8</v>
      </c>
      <c r="O2770" s="1">
        <f>TablaDatos[[#This Row],[FechaIngreso]]+TablaDatos[[#This Row],[DiasNuevo]]</f>
        <v>45065</v>
      </c>
    </row>
    <row r="2771" spans="1:15">
      <c r="A2771">
        <v>2770</v>
      </c>
      <c r="B2771" t="s">
        <v>342</v>
      </c>
      <c r="C2771" s="1">
        <v>36526</v>
      </c>
      <c r="D2771">
        <v>26</v>
      </c>
      <c r="E2771" s="4" t="s">
        <v>15</v>
      </c>
      <c r="F2771" t="s">
        <v>21</v>
      </c>
      <c r="G2771" s="1">
        <v>45125</v>
      </c>
      <c r="H2771" s="1">
        <f>TablaDatos[[#This Row],[FechaIngreso]]+TablaDatos[[#This Row],[DiasNuevo]]</f>
        <v>45159</v>
      </c>
      <c r="I2771">
        <v>34</v>
      </c>
      <c r="J2771" t="s">
        <v>23</v>
      </c>
      <c r="K2771" s="3">
        <v>1663.19</v>
      </c>
      <c r="L2771" t="b">
        <f>TablaDatos[[#This Row],[FechaAlta]] &lt; TablaDatos[[#This Row],[FechaIngreso]]</f>
        <v>0</v>
      </c>
      <c r="M2771">
        <f>_xlfn.XLOOKUP(TablaDatos[[#This Row],[PacienteID]],'Datos_Ejemplo.csv'!A:A,'Datos_Ejemplo.csv'!I:I)</f>
        <v>34</v>
      </c>
      <c r="N2771">
        <f>ABS(TablaDatos[[#This Row],[DiasOriginal]])</f>
        <v>34</v>
      </c>
      <c r="O2771" s="1">
        <f>TablaDatos[[#This Row],[FechaIngreso]]+TablaDatos[[#This Row],[DiasNuevo]]</f>
        <v>45159</v>
      </c>
    </row>
    <row r="2772" spans="1:15">
      <c r="A2772">
        <v>2771</v>
      </c>
      <c r="B2772" t="s">
        <v>353</v>
      </c>
      <c r="C2772" s="1">
        <v>28125</v>
      </c>
      <c r="D2772">
        <v>49</v>
      </c>
      <c r="E2772" s="4" t="s">
        <v>12</v>
      </c>
      <c r="F2772" t="s">
        <v>21</v>
      </c>
      <c r="G2772" s="1">
        <v>44962</v>
      </c>
      <c r="H2772" s="1">
        <f>TablaDatos[[#This Row],[FechaIngreso]]+TablaDatos[[#This Row],[DiasNuevo]]</f>
        <v>44980</v>
      </c>
      <c r="I2772">
        <v>18</v>
      </c>
      <c r="J2772" t="s">
        <v>25</v>
      </c>
      <c r="K2772" s="3">
        <v>17079.03</v>
      </c>
      <c r="L2772" t="b">
        <f>TablaDatos[[#This Row],[FechaAlta]] &lt; TablaDatos[[#This Row],[FechaIngreso]]</f>
        <v>0</v>
      </c>
      <c r="M2772">
        <f>_xlfn.XLOOKUP(TablaDatos[[#This Row],[PacienteID]],'Datos_Ejemplo.csv'!A:A,'Datos_Ejemplo.csv'!I:I)</f>
        <v>18</v>
      </c>
      <c r="N2772">
        <f>ABS(TablaDatos[[#This Row],[DiasOriginal]])</f>
        <v>18</v>
      </c>
      <c r="O2772" s="1">
        <f>TablaDatos[[#This Row],[FechaIngreso]]+TablaDatos[[#This Row],[DiasNuevo]]</f>
        <v>44980</v>
      </c>
    </row>
    <row r="2773" spans="1:15">
      <c r="A2773">
        <v>2772</v>
      </c>
      <c r="B2773" t="s">
        <v>366</v>
      </c>
      <c r="C2773" s="1">
        <v>11689</v>
      </c>
      <c r="D2773">
        <v>94</v>
      </c>
      <c r="E2773" s="4" t="s">
        <v>12</v>
      </c>
      <c r="F2773" t="s">
        <v>18</v>
      </c>
      <c r="G2773" s="1">
        <v>45142</v>
      </c>
      <c r="H2773" s="1">
        <f>TablaDatos[[#This Row],[FechaIngreso]]+TablaDatos[[#This Row],[DiasNuevo]]</f>
        <v>45157</v>
      </c>
      <c r="I2773">
        <v>15</v>
      </c>
      <c r="J2773" t="s">
        <v>23</v>
      </c>
      <c r="K2773" s="3">
        <v>11534.02</v>
      </c>
      <c r="L2773" t="b">
        <f>TablaDatos[[#This Row],[FechaAlta]] &lt; TablaDatos[[#This Row],[FechaIngreso]]</f>
        <v>0</v>
      </c>
      <c r="M2773">
        <f>_xlfn.XLOOKUP(TablaDatos[[#This Row],[PacienteID]],'Datos_Ejemplo.csv'!A:A,'Datos_Ejemplo.csv'!I:I)</f>
        <v>15</v>
      </c>
      <c r="N2773">
        <f>ABS(TablaDatos[[#This Row],[DiasOriginal]])</f>
        <v>15</v>
      </c>
      <c r="O2773" s="1">
        <f>TablaDatos[[#This Row],[FechaIngreso]]+TablaDatos[[#This Row],[DiasNuevo]]</f>
        <v>45157</v>
      </c>
    </row>
    <row r="2774" spans="1:15">
      <c r="A2774">
        <v>2773</v>
      </c>
      <c r="B2774" t="s">
        <v>263</v>
      </c>
      <c r="C2774" s="1">
        <v>17533</v>
      </c>
      <c r="D2774">
        <v>78</v>
      </c>
      <c r="E2774" s="4" t="s">
        <v>15</v>
      </c>
      <c r="F2774" t="s">
        <v>261</v>
      </c>
      <c r="G2774" s="1">
        <v>45512</v>
      </c>
      <c r="H2774" s="1">
        <f>TablaDatos[[#This Row],[FechaIngreso]]+TablaDatos[[#This Row],[DiasNuevo]]</f>
        <v>45520</v>
      </c>
      <c r="I2774">
        <v>8</v>
      </c>
      <c r="J2774" t="s">
        <v>25</v>
      </c>
      <c r="K2774" s="3">
        <v>5105.0200000000004</v>
      </c>
      <c r="L2774" t="b">
        <f>TablaDatos[[#This Row],[FechaAlta]] &lt; TablaDatos[[#This Row],[FechaIngreso]]</f>
        <v>0</v>
      </c>
      <c r="M2774">
        <f>_xlfn.XLOOKUP(TablaDatos[[#This Row],[PacienteID]],'Datos_Ejemplo.csv'!A:A,'Datos_Ejemplo.csv'!I:I)</f>
        <v>8</v>
      </c>
      <c r="N2774">
        <f>ABS(TablaDatos[[#This Row],[DiasOriginal]])</f>
        <v>8</v>
      </c>
      <c r="O2774" s="1">
        <f>TablaDatos[[#This Row],[FechaIngreso]]+TablaDatos[[#This Row],[DiasNuevo]]</f>
        <v>45520</v>
      </c>
    </row>
    <row r="2775" spans="1:15">
      <c r="A2775">
        <v>2774</v>
      </c>
      <c r="B2775" t="s">
        <v>345</v>
      </c>
      <c r="C2775" s="1">
        <v>37987</v>
      </c>
      <c r="D2775">
        <v>22</v>
      </c>
      <c r="E2775" s="4" t="s">
        <v>15</v>
      </c>
      <c r="F2775" t="s">
        <v>18</v>
      </c>
      <c r="G2775" s="1">
        <v>45232</v>
      </c>
      <c r="H2775" s="1">
        <f>TablaDatos[[#This Row],[FechaIngreso]]+TablaDatos[[#This Row],[DiasNuevo]]</f>
        <v>45256</v>
      </c>
      <c r="I2775">
        <v>24</v>
      </c>
      <c r="J2775" t="s">
        <v>25</v>
      </c>
      <c r="K2775" s="3">
        <v>16957.97</v>
      </c>
      <c r="L2775" t="b">
        <f>TablaDatos[[#This Row],[FechaAlta]] &lt; TablaDatos[[#This Row],[FechaIngreso]]</f>
        <v>0</v>
      </c>
      <c r="M2775">
        <f>_xlfn.XLOOKUP(TablaDatos[[#This Row],[PacienteID]],'Datos_Ejemplo.csv'!A:A,'Datos_Ejemplo.csv'!I:I)</f>
        <v>24</v>
      </c>
      <c r="N2775">
        <f>ABS(TablaDatos[[#This Row],[DiasOriginal]])</f>
        <v>24</v>
      </c>
      <c r="O2775" s="1">
        <f>TablaDatos[[#This Row],[FechaIngreso]]+TablaDatos[[#This Row],[DiasNuevo]]</f>
        <v>45256</v>
      </c>
    </row>
    <row r="2776" spans="1:15">
      <c r="A2776">
        <v>2775</v>
      </c>
      <c r="B2776" t="s">
        <v>230</v>
      </c>
      <c r="C2776" s="1">
        <v>14246</v>
      </c>
      <c r="D2776">
        <v>87</v>
      </c>
      <c r="E2776" s="4" t="s">
        <v>15</v>
      </c>
      <c r="F2776" t="s">
        <v>21</v>
      </c>
      <c r="G2776" s="1">
        <v>45493</v>
      </c>
      <c r="H2776" s="1">
        <f>TablaDatos[[#This Row],[FechaIngreso]]+TablaDatos[[#This Row],[DiasNuevo]]</f>
        <v>45528</v>
      </c>
      <c r="I2776">
        <v>35</v>
      </c>
      <c r="J2776" t="s">
        <v>25</v>
      </c>
      <c r="K2776" s="3">
        <v>16033.2</v>
      </c>
      <c r="L2776" t="b">
        <f>TablaDatos[[#This Row],[FechaAlta]] &lt; TablaDatos[[#This Row],[FechaIngreso]]</f>
        <v>0</v>
      </c>
      <c r="M2776">
        <f>_xlfn.XLOOKUP(TablaDatos[[#This Row],[PacienteID]],'Datos_Ejemplo.csv'!A:A,'Datos_Ejemplo.csv'!I:I)</f>
        <v>35</v>
      </c>
      <c r="N2776">
        <f>ABS(TablaDatos[[#This Row],[DiasOriginal]])</f>
        <v>35</v>
      </c>
      <c r="O2776" s="1">
        <f>TablaDatos[[#This Row],[FechaIngreso]]+TablaDatos[[#This Row],[DiasNuevo]]</f>
        <v>45528</v>
      </c>
    </row>
    <row r="2777" spans="1:15">
      <c r="A2777">
        <v>2776</v>
      </c>
      <c r="B2777" t="s">
        <v>343</v>
      </c>
      <c r="C2777" s="1">
        <v>30317</v>
      </c>
      <c r="D2777">
        <v>43</v>
      </c>
      <c r="E2777" s="4" t="s">
        <v>12</v>
      </c>
      <c r="F2777" t="s">
        <v>18</v>
      </c>
      <c r="G2777" s="1">
        <v>44938</v>
      </c>
      <c r="H2777" s="1">
        <f>TablaDatos[[#This Row],[FechaIngreso]]+TablaDatos[[#This Row],[DiasNuevo]]</f>
        <v>44940</v>
      </c>
      <c r="I2777">
        <v>2</v>
      </c>
      <c r="J2777" t="s">
        <v>19</v>
      </c>
      <c r="K2777" s="3">
        <v>1929.13</v>
      </c>
      <c r="L2777" t="b">
        <f>TablaDatos[[#This Row],[FechaAlta]] &lt; TablaDatos[[#This Row],[FechaIngreso]]</f>
        <v>0</v>
      </c>
      <c r="M2777">
        <f>_xlfn.XLOOKUP(TablaDatos[[#This Row],[PacienteID]],'Datos_Ejemplo.csv'!A:A,'Datos_Ejemplo.csv'!I:I)</f>
        <v>-2</v>
      </c>
      <c r="N2777">
        <f>ABS(TablaDatos[[#This Row],[DiasOriginal]])</f>
        <v>2</v>
      </c>
      <c r="O2777" s="1">
        <f>TablaDatos[[#This Row],[FechaIngreso]]+TablaDatos[[#This Row],[DiasNuevo]]</f>
        <v>44940</v>
      </c>
    </row>
    <row r="2778" spans="1:15">
      <c r="A2778">
        <v>2777</v>
      </c>
      <c r="B2778" t="s">
        <v>292</v>
      </c>
      <c r="C2778" s="1">
        <v>18263</v>
      </c>
      <c r="D2778">
        <v>76</v>
      </c>
      <c r="E2778" s="4" t="s">
        <v>12</v>
      </c>
      <c r="F2778" t="s">
        <v>21</v>
      </c>
      <c r="G2778" s="1">
        <v>45009</v>
      </c>
      <c r="H2778" s="1">
        <f>TablaDatos[[#This Row],[FechaIngreso]]+TablaDatos[[#This Row],[DiasNuevo]]</f>
        <v>45035</v>
      </c>
      <c r="I2778">
        <v>26</v>
      </c>
      <c r="J2778" t="s">
        <v>25</v>
      </c>
      <c r="K2778" s="3">
        <v>12847.2</v>
      </c>
      <c r="L2778" t="b">
        <f>TablaDatos[[#This Row],[FechaAlta]] &lt; TablaDatos[[#This Row],[FechaIngreso]]</f>
        <v>0</v>
      </c>
      <c r="M2778">
        <f>_xlfn.XLOOKUP(TablaDatos[[#This Row],[PacienteID]],'Datos_Ejemplo.csv'!A:A,'Datos_Ejemplo.csv'!I:I)</f>
        <v>26</v>
      </c>
      <c r="N2778">
        <f>ABS(TablaDatos[[#This Row],[DiasOriginal]])</f>
        <v>26</v>
      </c>
      <c r="O2778" s="1">
        <f>TablaDatos[[#This Row],[FechaIngreso]]+TablaDatos[[#This Row],[DiasNuevo]]</f>
        <v>45035</v>
      </c>
    </row>
    <row r="2779" spans="1:15">
      <c r="A2779">
        <v>2778</v>
      </c>
      <c r="B2779" t="s">
        <v>332</v>
      </c>
      <c r="C2779" s="1">
        <v>38352</v>
      </c>
      <c r="D2779">
        <v>21</v>
      </c>
      <c r="E2779" s="4" t="s">
        <v>15</v>
      </c>
      <c r="F2779" t="s">
        <v>21</v>
      </c>
      <c r="G2779" s="1">
        <v>44958</v>
      </c>
      <c r="H2779" s="1">
        <f>TablaDatos[[#This Row],[FechaIngreso]]+TablaDatos[[#This Row],[DiasNuevo]]</f>
        <v>44976</v>
      </c>
      <c r="I2779">
        <v>18</v>
      </c>
      <c r="J2779" t="s">
        <v>19</v>
      </c>
      <c r="K2779" s="3">
        <v>14408.86</v>
      </c>
      <c r="L2779" t="b">
        <f>TablaDatos[[#This Row],[FechaAlta]] &lt; TablaDatos[[#This Row],[FechaIngreso]]</f>
        <v>0</v>
      </c>
      <c r="M2779">
        <f>_xlfn.XLOOKUP(TablaDatos[[#This Row],[PacienteID]],'Datos_Ejemplo.csv'!A:A,'Datos_Ejemplo.csv'!I:I)</f>
        <v>18</v>
      </c>
      <c r="N2779">
        <f>ABS(TablaDatos[[#This Row],[DiasOriginal]])</f>
        <v>18</v>
      </c>
      <c r="O2779" s="1">
        <f>TablaDatos[[#This Row],[FechaIngreso]]+TablaDatos[[#This Row],[DiasNuevo]]</f>
        <v>44976</v>
      </c>
    </row>
    <row r="2780" spans="1:15">
      <c r="A2780">
        <v>2779</v>
      </c>
      <c r="B2780" t="s">
        <v>254</v>
      </c>
      <c r="C2780" s="1">
        <v>30682</v>
      </c>
      <c r="D2780">
        <v>42</v>
      </c>
      <c r="E2780" s="4" t="s">
        <v>12</v>
      </c>
      <c r="F2780" t="s">
        <v>21</v>
      </c>
      <c r="G2780" s="1">
        <v>45334</v>
      </c>
      <c r="H2780" s="1">
        <f>TablaDatos[[#This Row],[FechaIngreso]]+TablaDatos[[#This Row],[DiasNuevo]]</f>
        <v>45360</v>
      </c>
      <c r="I2780">
        <v>26</v>
      </c>
      <c r="J2780" t="s">
        <v>23</v>
      </c>
      <c r="K2780" s="3">
        <v>14288.13</v>
      </c>
      <c r="L2780" t="b">
        <f>TablaDatos[[#This Row],[FechaAlta]] &lt; TablaDatos[[#This Row],[FechaIngreso]]</f>
        <v>0</v>
      </c>
      <c r="M2780">
        <f>_xlfn.XLOOKUP(TablaDatos[[#This Row],[PacienteID]],'Datos_Ejemplo.csv'!A:A,'Datos_Ejemplo.csv'!I:I)</f>
        <v>26</v>
      </c>
      <c r="N2780">
        <f>ABS(TablaDatos[[#This Row],[DiasOriginal]])</f>
        <v>26</v>
      </c>
      <c r="O2780" s="1">
        <f>TablaDatos[[#This Row],[FechaIngreso]]+TablaDatos[[#This Row],[DiasNuevo]]</f>
        <v>45360</v>
      </c>
    </row>
    <row r="2781" spans="1:15">
      <c r="A2781">
        <v>2780</v>
      </c>
      <c r="B2781" t="s">
        <v>61</v>
      </c>
      <c r="C2781" s="1">
        <v>32873</v>
      </c>
      <c r="D2781">
        <f ca="1">DATEDIF(TablaDatos[[#This Row],[FechaNacimiento]],TODAY(),"Y")</f>
        <v>36</v>
      </c>
      <c r="E2781" s="4" t="s">
        <v>12</v>
      </c>
      <c r="F2781" t="s">
        <v>201</v>
      </c>
      <c r="G2781" s="1">
        <v>45012</v>
      </c>
      <c r="H2781" s="1">
        <f>TablaDatos[[#This Row],[FechaIngreso]]+TablaDatos[[#This Row],[DiasNuevo]]</f>
        <v>45018</v>
      </c>
      <c r="I2781">
        <v>6</v>
      </c>
      <c r="J2781" t="s">
        <v>23</v>
      </c>
      <c r="K2781" s="3">
        <v>14435.17</v>
      </c>
      <c r="L2781" t="b">
        <f>TablaDatos[[#This Row],[FechaAlta]] &lt; TablaDatos[[#This Row],[FechaIngreso]]</f>
        <v>0</v>
      </c>
      <c r="M2781">
        <f>_xlfn.XLOOKUP(TablaDatos[[#This Row],[PacienteID]],'Datos_Ejemplo.csv'!A:A,'Datos_Ejemplo.csv'!I:I)</f>
        <v>6</v>
      </c>
      <c r="N2781">
        <f>ABS(TablaDatos[[#This Row],[DiasOriginal]])</f>
        <v>6</v>
      </c>
      <c r="O2781" s="1">
        <f>TablaDatos[[#This Row],[FechaIngreso]]+TablaDatos[[#This Row],[DiasNuevo]]</f>
        <v>45018</v>
      </c>
    </row>
    <row r="2782" spans="1:15">
      <c r="A2782">
        <v>2781</v>
      </c>
      <c r="B2782" t="s">
        <v>286</v>
      </c>
      <c r="C2782" s="1">
        <v>24107</v>
      </c>
      <c r="D2782">
        <v>60</v>
      </c>
      <c r="E2782" s="4" t="s">
        <v>15</v>
      </c>
      <c r="F2782" t="s">
        <v>201</v>
      </c>
      <c r="G2782" s="1">
        <v>45337</v>
      </c>
      <c r="H2782" s="1">
        <f>TablaDatos[[#This Row],[FechaIngreso]]+TablaDatos[[#This Row],[DiasNuevo]]</f>
        <v>45341</v>
      </c>
      <c r="I2782">
        <v>4</v>
      </c>
      <c r="J2782" t="s">
        <v>23</v>
      </c>
      <c r="K2782" s="3">
        <v>3306.1</v>
      </c>
      <c r="L2782" t="b">
        <f>TablaDatos[[#This Row],[FechaAlta]] &lt; TablaDatos[[#This Row],[FechaIngreso]]</f>
        <v>0</v>
      </c>
      <c r="M2782">
        <f>_xlfn.XLOOKUP(TablaDatos[[#This Row],[PacienteID]],'Datos_Ejemplo.csv'!A:A,'Datos_Ejemplo.csv'!I:I)</f>
        <v>4</v>
      </c>
      <c r="N2782">
        <f>ABS(TablaDatos[[#This Row],[DiasOriginal]])</f>
        <v>4</v>
      </c>
      <c r="O2782" s="1">
        <f>TablaDatos[[#This Row],[FechaIngreso]]+TablaDatos[[#This Row],[DiasNuevo]]</f>
        <v>45341</v>
      </c>
    </row>
    <row r="2783" spans="1:15">
      <c r="A2783">
        <v>2782</v>
      </c>
      <c r="B2783" t="s">
        <v>362</v>
      </c>
      <c r="C2783" s="1">
        <v>25934</v>
      </c>
      <c r="D2783">
        <v>55</v>
      </c>
      <c r="E2783" s="4" t="s">
        <v>15</v>
      </c>
      <c r="F2783" t="s">
        <v>261</v>
      </c>
      <c r="G2783" s="1">
        <v>45639</v>
      </c>
      <c r="H2783" s="1">
        <f>TablaDatos[[#This Row],[FechaIngreso]]+TablaDatos[[#This Row],[DiasNuevo]]</f>
        <v>45674</v>
      </c>
      <c r="I2783">
        <v>35</v>
      </c>
      <c r="J2783" t="s">
        <v>23</v>
      </c>
      <c r="K2783" s="3">
        <v>6233.24</v>
      </c>
      <c r="L2783" t="b">
        <f>TablaDatos[[#This Row],[FechaAlta]] &lt; TablaDatos[[#This Row],[FechaIngreso]]</f>
        <v>0</v>
      </c>
      <c r="M2783">
        <f>_xlfn.XLOOKUP(TablaDatos[[#This Row],[PacienteID]],'Datos_Ejemplo.csv'!A:A,'Datos_Ejemplo.csv'!I:I)</f>
        <v>35</v>
      </c>
      <c r="N2783">
        <f>ABS(TablaDatos[[#This Row],[DiasOriginal]])</f>
        <v>35</v>
      </c>
      <c r="O2783" s="1">
        <f>TablaDatos[[#This Row],[FechaIngreso]]+TablaDatos[[#This Row],[DiasNuevo]]</f>
        <v>45674</v>
      </c>
    </row>
    <row r="2784" spans="1:15">
      <c r="A2784">
        <v>2783</v>
      </c>
      <c r="B2784" t="s">
        <v>365</v>
      </c>
      <c r="C2784" s="1">
        <v>45292</v>
      </c>
      <c r="D2784">
        <v>2</v>
      </c>
      <c r="E2784" s="4" t="s">
        <v>12</v>
      </c>
      <c r="F2784" t="s">
        <v>13</v>
      </c>
      <c r="G2784" s="1">
        <v>45489</v>
      </c>
      <c r="H2784" s="1">
        <f>TablaDatos[[#This Row],[FechaIngreso]]+TablaDatos[[#This Row],[DiasNuevo]]</f>
        <v>45517</v>
      </c>
      <c r="I2784">
        <v>28</v>
      </c>
      <c r="J2784" t="s">
        <v>23</v>
      </c>
      <c r="K2784" s="3">
        <v>16867.990000000002</v>
      </c>
      <c r="L2784" t="b">
        <f>TablaDatos[[#This Row],[FechaAlta]] &lt; TablaDatos[[#This Row],[FechaIngreso]]</f>
        <v>0</v>
      </c>
      <c r="M2784">
        <f>_xlfn.XLOOKUP(TablaDatos[[#This Row],[PacienteID]],'Datos_Ejemplo.csv'!A:A,'Datos_Ejemplo.csv'!I:I)</f>
        <v>28</v>
      </c>
      <c r="N2784">
        <f>ABS(TablaDatos[[#This Row],[DiasOriginal]])</f>
        <v>28</v>
      </c>
      <c r="O2784" s="1">
        <f>TablaDatos[[#This Row],[FechaIngreso]]+TablaDatos[[#This Row],[DiasNuevo]]</f>
        <v>45517</v>
      </c>
    </row>
    <row r="2785" spans="1:15">
      <c r="A2785">
        <v>2784</v>
      </c>
      <c r="B2785" t="s">
        <v>277</v>
      </c>
      <c r="C2785" s="1">
        <v>23377</v>
      </c>
      <c r="D2785">
        <v>62</v>
      </c>
      <c r="E2785" s="4" t="s">
        <v>12</v>
      </c>
      <c r="F2785" t="s">
        <v>18</v>
      </c>
      <c r="G2785" s="1">
        <v>45182</v>
      </c>
      <c r="H2785" s="1">
        <f>TablaDatos[[#This Row],[FechaIngreso]]+TablaDatos[[#This Row],[DiasNuevo]]</f>
        <v>45206</v>
      </c>
      <c r="I2785">
        <v>24</v>
      </c>
      <c r="J2785" t="s">
        <v>25</v>
      </c>
      <c r="K2785" s="3">
        <v>17957.669999999998</v>
      </c>
      <c r="L2785" t="b">
        <f>TablaDatos[[#This Row],[FechaAlta]] &lt; TablaDatos[[#This Row],[FechaIngreso]]</f>
        <v>0</v>
      </c>
      <c r="M2785">
        <f>_xlfn.XLOOKUP(TablaDatos[[#This Row],[PacienteID]],'Datos_Ejemplo.csv'!A:A,'Datos_Ejemplo.csv'!I:I)</f>
        <v>24</v>
      </c>
      <c r="N2785">
        <f>ABS(TablaDatos[[#This Row],[DiasOriginal]])</f>
        <v>24</v>
      </c>
      <c r="O2785" s="1">
        <f>TablaDatos[[#This Row],[FechaIngreso]]+TablaDatos[[#This Row],[DiasNuevo]]</f>
        <v>45206</v>
      </c>
    </row>
    <row r="2786" spans="1:15">
      <c r="A2786">
        <v>2785</v>
      </c>
      <c r="B2786" t="s">
        <v>241</v>
      </c>
      <c r="C2786" s="1">
        <v>39448</v>
      </c>
      <c r="D2786">
        <v>18</v>
      </c>
      <c r="E2786" s="4" t="s">
        <v>12</v>
      </c>
      <c r="F2786" t="s">
        <v>295</v>
      </c>
      <c r="G2786" s="1">
        <v>45167</v>
      </c>
      <c r="H2786" s="1">
        <f>TablaDatos[[#This Row],[FechaIngreso]]+TablaDatos[[#This Row],[DiasNuevo]]</f>
        <v>45206</v>
      </c>
      <c r="I2786">
        <v>39</v>
      </c>
      <c r="J2786" t="s">
        <v>19</v>
      </c>
      <c r="K2786" s="3">
        <v>5511.7</v>
      </c>
      <c r="L2786" t="b">
        <f>TablaDatos[[#This Row],[FechaAlta]] &lt; TablaDatos[[#This Row],[FechaIngreso]]</f>
        <v>0</v>
      </c>
      <c r="M2786">
        <f>_xlfn.XLOOKUP(TablaDatos[[#This Row],[PacienteID]],'Datos_Ejemplo.csv'!A:A,'Datos_Ejemplo.csv'!I:I)</f>
        <v>39</v>
      </c>
      <c r="N2786">
        <f>ABS(TablaDatos[[#This Row],[DiasOriginal]])</f>
        <v>39</v>
      </c>
      <c r="O2786" s="1">
        <f>TablaDatos[[#This Row],[FechaIngreso]]+TablaDatos[[#This Row],[DiasNuevo]]</f>
        <v>45206</v>
      </c>
    </row>
    <row r="2787" spans="1:15">
      <c r="A2787">
        <v>2786</v>
      </c>
      <c r="B2787" t="s">
        <v>233</v>
      </c>
      <c r="C2787" s="1">
        <v>37987</v>
      </c>
      <c r="D2787">
        <v>22</v>
      </c>
      <c r="E2787" s="4" t="s">
        <v>12</v>
      </c>
      <c r="F2787" t="s">
        <v>21</v>
      </c>
      <c r="G2787" s="1">
        <v>45643</v>
      </c>
      <c r="H2787" s="1">
        <f>TablaDatos[[#This Row],[FechaIngreso]]+TablaDatos[[#This Row],[DiasNuevo]]</f>
        <v>45672</v>
      </c>
      <c r="I2787">
        <v>29</v>
      </c>
      <c r="J2787" t="s">
        <v>23</v>
      </c>
      <c r="K2787" s="3">
        <v>362.69</v>
      </c>
      <c r="L2787" t="b">
        <f>TablaDatos[[#This Row],[FechaAlta]] &lt; TablaDatos[[#This Row],[FechaIngreso]]</f>
        <v>0</v>
      </c>
      <c r="M2787">
        <f>_xlfn.XLOOKUP(TablaDatos[[#This Row],[PacienteID]],'Datos_Ejemplo.csv'!A:A,'Datos_Ejemplo.csv'!I:I)</f>
        <v>29</v>
      </c>
      <c r="N2787">
        <f>ABS(TablaDatos[[#This Row],[DiasOriginal]])</f>
        <v>29</v>
      </c>
      <c r="O2787" s="1">
        <f>TablaDatos[[#This Row],[FechaIngreso]]+TablaDatos[[#This Row],[DiasNuevo]]</f>
        <v>45672</v>
      </c>
    </row>
    <row r="2788" spans="1:15">
      <c r="A2788">
        <v>2787</v>
      </c>
      <c r="B2788" t="s">
        <v>49</v>
      </c>
      <c r="C2788" s="1">
        <v>35795</v>
      </c>
      <c r="D2788">
        <v>28</v>
      </c>
      <c r="E2788" s="4" t="s">
        <v>15</v>
      </c>
      <c r="F2788" t="s">
        <v>261</v>
      </c>
      <c r="G2788" s="1">
        <v>45634</v>
      </c>
      <c r="H2788" s="1">
        <f>TablaDatos[[#This Row],[FechaIngreso]]+TablaDatos[[#This Row],[DiasNuevo]]</f>
        <v>45636</v>
      </c>
      <c r="I2788">
        <v>2</v>
      </c>
      <c r="J2788" t="s">
        <v>23</v>
      </c>
      <c r="K2788" s="3">
        <v>17181.32</v>
      </c>
      <c r="L2788" t="b">
        <f>TablaDatos[[#This Row],[FechaAlta]] &lt; TablaDatos[[#This Row],[FechaIngreso]]</f>
        <v>0</v>
      </c>
      <c r="M2788">
        <f>_xlfn.XLOOKUP(TablaDatos[[#This Row],[PacienteID]],'Datos_Ejemplo.csv'!A:A,'Datos_Ejemplo.csv'!I:I)</f>
        <v>2</v>
      </c>
      <c r="N2788">
        <f>ABS(TablaDatos[[#This Row],[DiasOriginal]])</f>
        <v>2</v>
      </c>
      <c r="O2788" s="1">
        <f>TablaDatos[[#This Row],[FechaIngreso]]+TablaDatos[[#This Row],[DiasNuevo]]</f>
        <v>45636</v>
      </c>
    </row>
    <row r="2789" spans="1:15">
      <c r="A2789">
        <v>2788</v>
      </c>
      <c r="B2789" t="s">
        <v>350</v>
      </c>
      <c r="C2789" s="1">
        <v>35430</v>
      </c>
      <c r="D2789">
        <v>29</v>
      </c>
      <c r="E2789" s="4" t="s">
        <v>15</v>
      </c>
      <c r="F2789" t="s">
        <v>295</v>
      </c>
      <c r="G2789" s="1">
        <v>45378</v>
      </c>
      <c r="H2789" s="1">
        <f>TablaDatos[[#This Row],[FechaIngreso]]+TablaDatos[[#This Row],[DiasNuevo]]</f>
        <v>45408</v>
      </c>
      <c r="I2789">
        <v>30</v>
      </c>
      <c r="J2789" t="s">
        <v>23</v>
      </c>
      <c r="K2789" s="3">
        <v>7479.55</v>
      </c>
      <c r="L2789" t="b">
        <f>TablaDatos[[#This Row],[FechaAlta]] &lt; TablaDatos[[#This Row],[FechaIngreso]]</f>
        <v>0</v>
      </c>
      <c r="M2789">
        <f>_xlfn.XLOOKUP(TablaDatos[[#This Row],[PacienteID]],'Datos_Ejemplo.csv'!A:A,'Datos_Ejemplo.csv'!I:I)</f>
        <v>30</v>
      </c>
      <c r="N2789">
        <f>ABS(TablaDatos[[#This Row],[DiasOriginal]])</f>
        <v>30</v>
      </c>
      <c r="O2789" s="1">
        <f>TablaDatos[[#This Row],[FechaIngreso]]+TablaDatos[[#This Row],[DiasNuevo]]</f>
        <v>45408</v>
      </c>
    </row>
    <row r="2790" spans="1:15">
      <c r="A2790">
        <v>2789</v>
      </c>
      <c r="B2790" t="s">
        <v>254</v>
      </c>
      <c r="C2790" s="1">
        <v>32143</v>
      </c>
      <c r="D2790">
        <v>38</v>
      </c>
      <c r="E2790" s="4" t="s">
        <v>12</v>
      </c>
      <c r="F2790" t="s">
        <v>201</v>
      </c>
      <c r="G2790" s="1">
        <v>44927</v>
      </c>
      <c r="H2790" s="1">
        <f>TablaDatos[[#This Row],[FechaIngreso]]+TablaDatos[[#This Row],[DiasNuevo]]</f>
        <v>44939</v>
      </c>
      <c r="I2790">
        <v>12</v>
      </c>
      <c r="J2790" t="s">
        <v>23</v>
      </c>
      <c r="K2790" s="3">
        <v>6522.22</v>
      </c>
      <c r="L2790" t="b">
        <f>TablaDatos[[#This Row],[FechaAlta]] &lt; TablaDatos[[#This Row],[FechaIngreso]]</f>
        <v>0</v>
      </c>
      <c r="M2790">
        <f>_xlfn.XLOOKUP(TablaDatos[[#This Row],[PacienteID]],'Datos_Ejemplo.csv'!A:A,'Datos_Ejemplo.csv'!I:I)</f>
        <v>12</v>
      </c>
      <c r="N2790">
        <f>ABS(TablaDatos[[#This Row],[DiasOriginal]])</f>
        <v>12</v>
      </c>
      <c r="O2790" s="1">
        <f>TablaDatos[[#This Row],[FechaIngreso]]+TablaDatos[[#This Row],[DiasNuevo]]</f>
        <v>44939</v>
      </c>
    </row>
    <row r="2791" spans="1:15">
      <c r="A2791">
        <v>2790</v>
      </c>
      <c r="B2791" t="s">
        <v>61</v>
      </c>
      <c r="C2791" s="1">
        <v>37256</v>
      </c>
      <c r="D2791">
        <v>24</v>
      </c>
      <c r="E2791" s="4" t="s">
        <v>15</v>
      </c>
      <c r="F2791" t="s">
        <v>13</v>
      </c>
      <c r="G2791" s="1">
        <v>45527</v>
      </c>
      <c r="H2791" s="1">
        <f>TablaDatos[[#This Row],[FechaIngreso]]+TablaDatos[[#This Row],[DiasNuevo]]</f>
        <v>45529</v>
      </c>
      <c r="I2791">
        <v>2</v>
      </c>
      <c r="J2791" t="s">
        <v>23</v>
      </c>
      <c r="K2791" s="3">
        <v>6874.69</v>
      </c>
      <c r="L2791" t="b">
        <f>TablaDatos[[#This Row],[FechaAlta]] &lt; TablaDatos[[#This Row],[FechaIngreso]]</f>
        <v>0</v>
      </c>
      <c r="M2791">
        <f>_xlfn.XLOOKUP(TablaDatos[[#This Row],[PacienteID]],'Datos_Ejemplo.csv'!A:A,'Datos_Ejemplo.csv'!I:I)</f>
        <v>2</v>
      </c>
      <c r="N2791">
        <f>ABS(TablaDatos[[#This Row],[DiasOriginal]])</f>
        <v>2</v>
      </c>
      <c r="O2791" s="1">
        <f>TablaDatos[[#This Row],[FechaIngreso]]+TablaDatos[[#This Row],[DiasNuevo]]</f>
        <v>45529</v>
      </c>
    </row>
    <row r="2792" spans="1:15">
      <c r="A2792">
        <v>2791</v>
      </c>
      <c r="B2792" t="s">
        <v>265</v>
      </c>
      <c r="C2792" s="1">
        <v>43466</v>
      </c>
      <c r="D2792">
        <v>7</v>
      </c>
      <c r="E2792" s="4" t="s">
        <v>12</v>
      </c>
      <c r="F2792" t="s">
        <v>18</v>
      </c>
      <c r="G2792" s="1">
        <v>45208</v>
      </c>
      <c r="H2792" s="1">
        <f>TablaDatos[[#This Row],[FechaIngreso]]+TablaDatos[[#This Row],[DiasNuevo]]</f>
        <v>45225</v>
      </c>
      <c r="I2792">
        <v>17</v>
      </c>
      <c r="J2792" t="s">
        <v>19</v>
      </c>
      <c r="K2792" s="3">
        <v>8255.5</v>
      </c>
      <c r="L2792" t="b">
        <f>TablaDatos[[#This Row],[FechaAlta]] &lt; TablaDatos[[#This Row],[FechaIngreso]]</f>
        <v>0</v>
      </c>
      <c r="M2792">
        <f>_xlfn.XLOOKUP(TablaDatos[[#This Row],[PacienteID]],'Datos_Ejemplo.csv'!A:A,'Datos_Ejemplo.csv'!I:I)</f>
        <v>17</v>
      </c>
      <c r="N2792">
        <f>ABS(TablaDatos[[#This Row],[DiasOriginal]])</f>
        <v>17</v>
      </c>
      <c r="O2792" s="1">
        <f>TablaDatos[[#This Row],[FechaIngreso]]+TablaDatos[[#This Row],[DiasNuevo]]</f>
        <v>45225</v>
      </c>
    </row>
    <row r="2793" spans="1:15">
      <c r="A2793">
        <v>2792</v>
      </c>
      <c r="B2793" t="s">
        <v>299</v>
      </c>
      <c r="C2793" s="1">
        <v>25203</v>
      </c>
      <c r="D2793">
        <v>57</v>
      </c>
      <c r="E2793" s="4" t="s">
        <v>12</v>
      </c>
      <c r="F2793" t="s">
        <v>201</v>
      </c>
      <c r="G2793" s="1">
        <v>45577</v>
      </c>
      <c r="H2793" s="1">
        <f>TablaDatos[[#This Row],[FechaIngreso]]+TablaDatos[[#This Row],[DiasNuevo]]</f>
        <v>45612</v>
      </c>
      <c r="I2793">
        <v>35</v>
      </c>
      <c r="J2793" t="s">
        <v>23</v>
      </c>
      <c r="K2793" s="3">
        <v>7503.16</v>
      </c>
      <c r="L2793" t="b">
        <f>TablaDatos[[#This Row],[FechaAlta]] &lt; TablaDatos[[#This Row],[FechaIngreso]]</f>
        <v>0</v>
      </c>
      <c r="M2793">
        <f>_xlfn.XLOOKUP(TablaDatos[[#This Row],[PacienteID]],'Datos_Ejemplo.csv'!A:A,'Datos_Ejemplo.csv'!I:I)</f>
        <v>35</v>
      </c>
      <c r="N2793">
        <f>ABS(TablaDatos[[#This Row],[DiasOriginal]])</f>
        <v>35</v>
      </c>
      <c r="O2793" s="1">
        <f>TablaDatos[[#This Row],[FechaIngreso]]+TablaDatos[[#This Row],[DiasNuevo]]</f>
        <v>45612</v>
      </c>
    </row>
    <row r="2794" spans="1:15">
      <c r="A2794">
        <v>2793</v>
      </c>
      <c r="B2794" t="s">
        <v>238</v>
      </c>
      <c r="C2794" s="1">
        <v>40544</v>
      </c>
      <c r="D2794">
        <v>15</v>
      </c>
      <c r="E2794" s="4" t="s">
        <v>12</v>
      </c>
      <c r="F2794" t="s">
        <v>261</v>
      </c>
      <c r="G2794" s="1">
        <v>45525</v>
      </c>
      <c r="H2794" s="1">
        <f>TablaDatos[[#This Row],[FechaIngreso]]+TablaDatos[[#This Row],[DiasNuevo]]</f>
        <v>45559</v>
      </c>
      <c r="I2794">
        <v>34</v>
      </c>
      <c r="J2794" t="s">
        <v>19</v>
      </c>
      <c r="K2794" s="3">
        <v>11285.26</v>
      </c>
      <c r="L2794" t="b">
        <f>TablaDatos[[#This Row],[FechaAlta]] &lt; TablaDatos[[#This Row],[FechaIngreso]]</f>
        <v>0</v>
      </c>
      <c r="M2794">
        <f>_xlfn.XLOOKUP(TablaDatos[[#This Row],[PacienteID]],'Datos_Ejemplo.csv'!A:A,'Datos_Ejemplo.csv'!I:I)</f>
        <v>34</v>
      </c>
      <c r="N2794">
        <f>ABS(TablaDatos[[#This Row],[DiasOriginal]])</f>
        <v>34</v>
      </c>
      <c r="O2794" s="1">
        <f>TablaDatos[[#This Row],[FechaIngreso]]+TablaDatos[[#This Row],[DiasNuevo]]</f>
        <v>45559</v>
      </c>
    </row>
    <row r="2795" spans="1:15">
      <c r="A2795">
        <v>2794</v>
      </c>
      <c r="B2795" t="s">
        <v>253</v>
      </c>
      <c r="C2795" s="1">
        <v>20090</v>
      </c>
      <c r="D2795">
        <v>71</v>
      </c>
      <c r="E2795" s="4" t="s">
        <v>15</v>
      </c>
      <c r="F2795" t="s">
        <v>21</v>
      </c>
      <c r="G2795" s="1">
        <v>45440</v>
      </c>
      <c r="H2795" s="1">
        <f>TablaDatos[[#This Row],[FechaIngreso]]+TablaDatos[[#This Row],[DiasNuevo]]</f>
        <v>45454</v>
      </c>
      <c r="I2795">
        <v>14</v>
      </c>
      <c r="J2795" t="s">
        <v>23</v>
      </c>
      <c r="K2795" s="3">
        <v>1486.7</v>
      </c>
      <c r="L2795" t="b">
        <f>TablaDatos[[#This Row],[FechaAlta]] &lt; TablaDatos[[#This Row],[FechaIngreso]]</f>
        <v>0</v>
      </c>
      <c r="M2795">
        <f>_xlfn.XLOOKUP(TablaDatos[[#This Row],[PacienteID]],'Datos_Ejemplo.csv'!A:A,'Datos_Ejemplo.csv'!I:I)</f>
        <v>14</v>
      </c>
      <c r="N2795">
        <f>ABS(TablaDatos[[#This Row],[DiasOriginal]])</f>
        <v>14</v>
      </c>
      <c r="O2795" s="1">
        <f>TablaDatos[[#This Row],[FechaIngreso]]+TablaDatos[[#This Row],[DiasNuevo]]</f>
        <v>45454</v>
      </c>
    </row>
    <row r="2796" spans="1:15">
      <c r="A2796">
        <v>2795</v>
      </c>
      <c r="B2796" t="s">
        <v>256</v>
      </c>
      <c r="C2796" s="1">
        <v>46022</v>
      </c>
      <c r="D2796">
        <f ca="1">DATEDIF(TablaDatos[[#This Row],[FechaNacimiento]],TODAY(),"Y")</f>
        <v>0</v>
      </c>
      <c r="E2796" s="4" t="s">
        <v>12</v>
      </c>
      <c r="F2796" t="s">
        <v>21</v>
      </c>
      <c r="G2796" s="1">
        <v>45606</v>
      </c>
      <c r="H2796" s="1">
        <f>TablaDatos[[#This Row],[FechaIngreso]]+TablaDatos[[#This Row],[DiasNuevo]]</f>
        <v>45607</v>
      </c>
      <c r="I2796">
        <v>1</v>
      </c>
      <c r="J2796" t="s">
        <v>23</v>
      </c>
      <c r="K2796" s="3">
        <v>19427.96</v>
      </c>
      <c r="L2796" t="b">
        <f>TablaDatos[[#This Row],[FechaAlta]] &lt; TablaDatos[[#This Row],[FechaIngreso]]</f>
        <v>0</v>
      </c>
      <c r="M2796">
        <f>_xlfn.XLOOKUP(TablaDatos[[#This Row],[PacienteID]],'Datos_Ejemplo.csv'!A:A,'Datos_Ejemplo.csv'!I:I)</f>
        <v>1</v>
      </c>
      <c r="N2796">
        <f>ABS(TablaDatos[[#This Row],[DiasOriginal]])</f>
        <v>1</v>
      </c>
      <c r="O2796" s="1">
        <f>TablaDatos[[#This Row],[FechaIngreso]]+TablaDatos[[#This Row],[DiasNuevo]]</f>
        <v>45607</v>
      </c>
    </row>
    <row r="2797" spans="1:15">
      <c r="A2797">
        <v>2796</v>
      </c>
      <c r="B2797" t="s">
        <v>339</v>
      </c>
      <c r="C2797" s="1">
        <v>44561</v>
      </c>
      <c r="D2797">
        <v>4</v>
      </c>
      <c r="E2797" s="4" t="s">
        <v>12</v>
      </c>
      <c r="F2797" t="s">
        <v>21</v>
      </c>
      <c r="G2797" s="1">
        <v>45045</v>
      </c>
      <c r="H2797" s="1">
        <f>TablaDatos[[#This Row],[FechaIngreso]]+TablaDatos[[#This Row],[DiasNuevo]]</f>
        <v>45063</v>
      </c>
      <c r="I2797">
        <v>18</v>
      </c>
      <c r="J2797" t="s">
        <v>19</v>
      </c>
      <c r="K2797" s="3">
        <v>18722.669999999998</v>
      </c>
      <c r="L2797" t="b">
        <f>TablaDatos[[#This Row],[FechaAlta]] &lt; TablaDatos[[#This Row],[FechaIngreso]]</f>
        <v>0</v>
      </c>
      <c r="M2797">
        <f>_xlfn.XLOOKUP(TablaDatos[[#This Row],[PacienteID]],'Datos_Ejemplo.csv'!A:A,'Datos_Ejemplo.csv'!I:I)</f>
        <v>18</v>
      </c>
      <c r="N2797">
        <f>ABS(TablaDatos[[#This Row],[DiasOriginal]])</f>
        <v>18</v>
      </c>
      <c r="O2797" s="1">
        <f>TablaDatos[[#This Row],[FechaIngreso]]+TablaDatos[[#This Row],[DiasNuevo]]</f>
        <v>45063</v>
      </c>
    </row>
    <row r="2798" spans="1:15">
      <c r="A2798">
        <v>2797</v>
      </c>
      <c r="B2798" t="s">
        <v>291</v>
      </c>
      <c r="C2798" s="1">
        <v>45292</v>
      </c>
      <c r="D2798">
        <v>2</v>
      </c>
      <c r="E2798" s="4" t="s">
        <v>12</v>
      </c>
      <c r="F2798" t="s">
        <v>261</v>
      </c>
      <c r="G2798" s="1">
        <v>45431</v>
      </c>
      <c r="H2798" s="1">
        <f>TablaDatos[[#This Row],[FechaIngreso]]+TablaDatos[[#This Row],[DiasNuevo]]</f>
        <v>45462</v>
      </c>
      <c r="I2798">
        <v>31</v>
      </c>
      <c r="J2798" t="s">
        <v>19</v>
      </c>
      <c r="K2798" s="3">
        <v>18681.57</v>
      </c>
      <c r="L2798" t="b">
        <f>TablaDatos[[#This Row],[FechaAlta]] &lt; TablaDatos[[#This Row],[FechaIngreso]]</f>
        <v>0</v>
      </c>
      <c r="M2798">
        <f>_xlfn.XLOOKUP(TablaDatos[[#This Row],[PacienteID]],'Datos_Ejemplo.csv'!A:A,'Datos_Ejemplo.csv'!I:I)</f>
        <v>31</v>
      </c>
      <c r="N2798">
        <f>ABS(TablaDatos[[#This Row],[DiasOriginal]])</f>
        <v>31</v>
      </c>
      <c r="O2798" s="1">
        <f>TablaDatos[[#This Row],[FechaIngreso]]+TablaDatos[[#This Row],[DiasNuevo]]</f>
        <v>45462</v>
      </c>
    </row>
    <row r="2799" spans="1:15">
      <c r="A2799">
        <v>2798</v>
      </c>
      <c r="B2799" t="s">
        <v>326</v>
      </c>
      <c r="C2799" s="1">
        <v>22646</v>
      </c>
      <c r="D2799">
        <v>64</v>
      </c>
      <c r="E2799" s="4" t="s">
        <v>12</v>
      </c>
      <c r="F2799" t="s">
        <v>201</v>
      </c>
      <c r="G2799" s="1">
        <v>45006</v>
      </c>
      <c r="H2799" s="1">
        <f>TablaDatos[[#This Row],[FechaIngreso]]+TablaDatos[[#This Row],[DiasNuevo]]</f>
        <v>45043</v>
      </c>
      <c r="I2799">
        <v>37</v>
      </c>
      <c r="J2799" t="s">
        <v>23</v>
      </c>
      <c r="K2799" s="3">
        <v>17573.48</v>
      </c>
      <c r="L2799" t="b">
        <f>TablaDatos[[#This Row],[FechaAlta]] &lt; TablaDatos[[#This Row],[FechaIngreso]]</f>
        <v>0</v>
      </c>
      <c r="M2799">
        <f>_xlfn.XLOOKUP(TablaDatos[[#This Row],[PacienteID]],'Datos_Ejemplo.csv'!A:A,'Datos_Ejemplo.csv'!I:I)</f>
        <v>37</v>
      </c>
      <c r="N2799">
        <f>ABS(TablaDatos[[#This Row],[DiasOriginal]])</f>
        <v>37</v>
      </c>
      <c r="O2799" s="1">
        <f>TablaDatos[[#This Row],[FechaIngreso]]+TablaDatos[[#This Row],[DiasNuevo]]</f>
        <v>45043</v>
      </c>
    </row>
    <row r="2800" spans="1:15">
      <c r="A2800">
        <v>2799</v>
      </c>
      <c r="B2800" t="s">
        <v>276</v>
      </c>
      <c r="C2800" s="1">
        <v>44927</v>
      </c>
      <c r="D2800">
        <v>3</v>
      </c>
      <c r="E2800" s="4" t="s">
        <v>15</v>
      </c>
      <c r="F2800" t="s">
        <v>295</v>
      </c>
      <c r="G2800" s="1">
        <v>45549</v>
      </c>
      <c r="H2800" s="1">
        <f>TablaDatos[[#This Row],[FechaIngreso]]+TablaDatos[[#This Row],[DiasNuevo]]</f>
        <v>45551</v>
      </c>
      <c r="I2800">
        <v>2</v>
      </c>
      <c r="J2800" t="s">
        <v>23</v>
      </c>
      <c r="K2800" s="3">
        <v>13172.56</v>
      </c>
      <c r="L2800" t="b">
        <f>TablaDatos[[#This Row],[FechaAlta]] &lt; TablaDatos[[#This Row],[FechaIngreso]]</f>
        <v>0</v>
      </c>
      <c r="M2800">
        <f>_xlfn.XLOOKUP(TablaDatos[[#This Row],[PacienteID]],'Datos_Ejemplo.csv'!A:A,'Datos_Ejemplo.csv'!I:I)</f>
        <v>2</v>
      </c>
      <c r="N2800">
        <f>ABS(TablaDatos[[#This Row],[DiasOriginal]])</f>
        <v>2</v>
      </c>
      <c r="O2800" s="1">
        <f>TablaDatos[[#This Row],[FechaIngreso]]+TablaDatos[[#This Row],[DiasNuevo]]</f>
        <v>45551</v>
      </c>
    </row>
    <row r="2801" spans="1:15">
      <c r="A2801">
        <v>2800</v>
      </c>
      <c r="B2801" t="s">
        <v>55</v>
      </c>
      <c r="C2801" s="1">
        <v>23012</v>
      </c>
      <c r="D2801">
        <v>63</v>
      </c>
      <c r="E2801" s="4" t="s">
        <v>15</v>
      </c>
      <c r="F2801" t="s">
        <v>13</v>
      </c>
      <c r="G2801" s="1">
        <v>45603</v>
      </c>
      <c r="H2801" s="1">
        <f>TablaDatos[[#This Row],[FechaIngreso]]+TablaDatos[[#This Row],[DiasNuevo]]</f>
        <v>45604</v>
      </c>
      <c r="I2801">
        <v>1</v>
      </c>
      <c r="J2801" t="s">
        <v>23</v>
      </c>
      <c r="K2801" s="3">
        <v>4344.28</v>
      </c>
      <c r="L2801" t="b">
        <f>TablaDatos[[#This Row],[FechaAlta]] &lt; TablaDatos[[#This Row],[FechaIngreso]]</f>
        <v>0</v>
      </c>
      <c r="M2801">
        <f>_xlfn.XLOOKUP(TablaDatos[[#This Row],[PacienteID]],'Datos_Ejemplo.csv'!A:A,'Datos_Ejemplo.csv'!I:I)</f>
        <v>1</v>
      </c>
      <c r="N2801">
        <f>ABS(TablaDatos[[#This Row],[DiasOriginal]])</f>
        <v>1</v>
      </c>
      <c r="O2801" s="1">
        <f>TablaDatos[[#This Row],[FechaIngreso]]+TablaDatos[[#This Row],[DiasNuevo]]</f>
        <v>45604</v>
      </c>
    </row>
    <row r="2802" spans="1:15">
      <c r="A2802">
        <v>2801</v>
      </c>
      <c r="B2802" t="s">
        <v>161</v>
      </c>
      <c r="C2802" s="1">
        <v>13880</v>
      </c>
      <c r="D2802">
        <v>88</v>
      </c>
      <c r="E2802" s="4" t="s">
        <v>15</v>
      </c>
      <c r="F2802" t="s">
        <v>18</v>
      </c>
      <c r="G2802" s="1">
        <v>45145</v>
      </c>
      <c r="H2802" s="1">
        <f>TablaDatos[[#This Row],[FechaIngreso]]+TablaDatos[[#This Row],[DiasNuevo]]</f>
        <v>45164</v>
      </c>
      <c r="I2802">
        <v>19</v>
      </c>
      <c r="J2802" t="s">
        <v>25</v>
      </c>
      <c r="K2802" s="3">
        <v>894.62</v>
      </c>
      <c r="L2802" t="b">
        <f>TablaDatos[[#This Row],[FechaAlta]] &lt; TablaDatos[[#This Row],[FechaIngreso]]</f>
        <v>0</v>
      </c>
      <c r="M2802">
        <f>_xlfn.XLOOKUP(TablaDatos[[#This Row],[PacienteID]],'Datos_Ejemplo.csv'!A:A,'Datos_Ejemplo.csv'!I:I)</f>
        <v>19</v>
      </c>
      <c r="N2802">
        <f>ABS(TablaDatos[[#This Row],[DiasOriginal]])</f>
        <v>19</v>
      </c>
      <c r="O2802" s="1">
        <f>TablaDatos[[#This Row],[FechaIngreso]]+TablaDatos[[#This Row],[DiasNuevo]]</f>
        <v>45164</v>
      </c>
    </row>
    <row r="2803" spans="1:15">
      <c r="A2803">
        <v>2802</v>
      </c>
      <c r="B2803" t="s">
        <v>269</v>
      </c>
      <c r="C2803" s="1">
        <v>42735</v>
      </c>
      <c r="D2803">
        <v>9</v>
      </c>
      <c r="E2803" s="4" t="s">
        <v>15</v>
      </c>
      <c r="F2803" t="s">
        <v>13</v>
      </c>
      <c r="G2803" s="1">
        <v>45443</v>
      </c>
      <c r="H2803" s="1">
        <f>TablaDatos[[#This Row],[FechaIngreso]]+TablaDatos[[#This Row],[DiasNuevo]]</f>
        <v>45454</v>
      </c>
      <c r="I2803">
        <v>11</v>
      </c>
      <c r="J2803" t="s">
        <v>25</v>
      </c>
      <c r="K2803" s="3">
        <v>1896.35</v>
      </c>
      <c r="L2803" t="b">
        <f>TablaDatos[[#This Row],[FechaAlta]] &lt; TablaDatos[[#This Row],[FechaIngreso]]</f>
        <v>0</v>
      </c>
      <c r="M2803">
        <f>_xlfn.XLOOKUP(TablaDatos[[#This Row],[PacienteID]],'Datos_Ejemplo.csv'!A:A,'Datos_Ejemplo.csv'!I:I)</f>
        <v>11</v>
      </c>
      <c r="N2803">
        <f>ABS(TablaDatos[[#This Row],[DiasOriginal]])</f>
        <v>11</v>
      </c>
      <c r="O2803" s="1">
        <f>TablaDatos[[#This Row],[FechaIngreso]]+TablaDatos[[#This Row],[DiasNuevo]]</f>
        <v>45454</v>
      </c>
    </row>
    <row r="2804" spans="1:15">
      <c r="A2804">
        <v>2803</v>
      </c>
      <c r="B2804" t="s">
        <v>339</v>
      </c>
      <c r="C2804" s="1">
        <v>38717</v>
      </c>
      <c r="D2804">
        <v>20</v>
      </c>
      <c r="E2804" s="4" t="s">
        <v>12</v>
      </c>
      <c r="F2804" t="s">
        <v>201</v>
      </c>
      <c r="G2804" s="1">
        <v>45653</v>
      </c>
      <c r="H2804" s="1">
        <f>TablaDatos[[#This Row],[FechaIngreso]]+TablaDatos[[#This Row],[DiasNuevo]]</f>
        <v>45654</v>
      </c>
      <c r="I2804">
        <v>1</v>
      </c>
      <c r="J2804" t="s">
        <v>19</v>
      </c>
      <c r="K2804" s="3">
        <v>6412.25</v>
      </c>
      <c r="L2804" t="b">
        <f>TablaDatos[[#This Row],[FechaAlta]] &lt; TablaDatos[[#This Row],[FechaIngreso]]</f>
        <v>0</v>
      </c>
      <c r="M2804">
        <f>_xlfn.XLOOKUP(TablaDatos[[#This Row],[PacienteID]],'Datos_Ejemplo.csv'!A:A,'Datos_Ejemplo.csv'!I:I)</f>
        <v>1</v>
      </c>
      <c r="N2804">
        <f>ABS(TablaDatos[[#This Row],[DiasOriginal]])</f>
        <v>1</v>
      </c>
      <c r="O2804" s="1">
        <f>TablaDatos[[#This Row],[FechaIngreso]]+TablaDatos[[#This Row],[DiasNuevo]]</f>
        <v>45654</v>
      </c>
    </row>
    <row r="2805" spans="1:15">
      <c r="A2805">
        <v>2804</v>
      </c>
      <c r="B2805" t="s">
        <v>271</v>
      </c>
      <c r="C2805" s="1">
        <v>29586</v>
      </c>
      <c r="D2805">
        <v>45</v>
      </c>
      <c r="E2805" s="4" t="s">
        <v>12</v>
      </c>
      <c r="F2805" t="s">
        <v>21</v>
      </c>
      <c r="G2805" s="1">
        <v>45633</v>
      </c>
      <c r="H2805" s="1">
        <f>TablaDatos[[#This Row],[FechaIngreso]]+TablaDatos[[#This Row],[DiasNuevo]]</f>
        <v>45638</v>
      </c>
      <c r="I2805">
        <v>5</v>
      </c>
      <c r="J2805" t="s">
        <v>25</v>
      </c>
      <c r="K2805" s="3">
        <v>10028.049999999999</v>
      </c>
      <c r="L2805" t="b">
        <f>TablaDatos[[#This Row],[FechaAlta]] &lt; TablaDatos[[#This Row],[FechaIngreso]]</f>
        <v>0</v>
      </c>
      <c r="M2805">
        <f>_xlfn.XLOOKUP(TablaDatos[[#This Row],[PacienteID]],'Datos_Ejemplo.csv'!A:A,'Datos_Ejemplo.csv'!I:I)</f>
        <v>5</v>
      </c>
      <c r="N2805">
        <f>ABS(TablaDatos[[#This Row],[DiasOriginal]])</f>
        <v>5</v>
      </c>
      <c r="O2805" s="1">
        <f>TablaDatos[[#This Row],[FechaIngreso]]+TablaDatos[[#This Row],[DiasNuevo]]</f>
        <v>45638</v>
      </c>
    </row>
    <row r="2806" spans="1:15">
      <c r="A2806">
        <v>2805</v>
      </c>
      <c r="B2806" t="s">
        <v>285</v>
      </c>
      <c r="C2806" s="1">
        <v>13150</v>
      </c>
      <c r="D2806">
        <v>90</v>
      </c>
      <c r="E2806" s="4" t="s">
        <v>12</v>
      </c>
      <c r="F2806" t="s">
        <v>13</v>
      </c>
      <c r="G2806" s="1">
        <v>45392</v>
      </c>
      <c r="H2806" s="1">
        <f>TablaDatos[[#This Row],[FechaIngreso]]+TablaDatos[[#This Row],[DiasNuevo]]</f>
        <v>45392</v>
      </c>
      <c r="I2806">
        <v>0</v>
      </c>
      <c r="J2806" t="s">
        <v>23</v>
      </c>
      <c r="K2806" s="3">
        <v>19864.39</v>
      </c>
      <c r="L2806" t="b">
        <f>TablaDatos[[#This Row],[FechaAlta]] &lt; TablaDatos[[#This Row],[FechaIngreso]]</f>
        <v>0</v>
      </c>
      <c r="M2806">
        <f>_xlfn.XLOOKUP(TablaDatos[[#This Row],[PacienteID]],'Datos_Ejemplo.csv'!A:A,'Datos_Ejemplo.csv'!I:I)</f>
        <v>0</v>
      </c>
      <c r="N2806">
        <f>ABS(TablaDatos[[#This Row],[DiasOriginal]])</f>
        <v>0</v>
      </c>
      <c r="O2806" s="1">
        <f>TablaDatos[[#This Row],[FechaIngreso]]+TablaDatos[[#This Row],[DiasNuevo]]</f>
        <v>45392</v>
      </c>
    </row>
    <row r="2807" spans="1:15">
      <c r="A2807">
        <v>2806</v>
      </c>
      <c r="B2807" t="s">
        <v>292</v>
      </c>
      <c r="C2807" s="1">
        <v>36526</v>
      </c>
      <c r="D2807">
        <v>26</v>
      </c>
      <c r="E2807" s="4" t="s">
        <v>12</v>
      </c>
      <c r="F2807" t="s">
        <v>295</v>
      </c>
      <c r="G2807" s="1">
        <v>45444</v>
      </c>
      <c r="H2807" s="1">
        <f>TablaDatos[[#This Row],[FechaIngreso]]+TablaDatos[[#This Row],[DiasNuevo]]</f>
        <v>45470</v>
      </c>
      <c r="I2807">
        <v>26</v>
      </c>
      <c r="J2807" t="s">
        <v>23</v>
      </c>
      <c r="K2807" s="3">
        <v>8652.41</v>
      </c>
      <c r="L2807" t="b">
        <f>TablaDatos[[#This Row],[FechaAlta]] &lt; TablaDatos[[#This Row],[FechaIngreso]]</f>
        <v>0</v>
      </c>
      <c r="M2807">
        <f>_xlfn.XLOOKUP(TablaDatos[[#This Row],[PacienteID]],'Datos_Ejemplo.csv'!A:A,'Datos_Ejemplo.csv'!I:I)</f>
        <v>26</v>
      </c>
      <c r="N2807">
        <f>ABS(TablaDatos[[#This Row],[DiasOriginal]])</f>
        <v>26</v>
      </c>
      <c r="O2807" s="1">
        <f>TablaDatos[[#This Row],[FechaIngreso]]+TablaDatos[[#This Row],[DiasNuevo]]</f>
        <v>45470</v>
      </c>
    </row>
    <row r="2808" spans="1:15">
      <c r="A2808">
        <v>2807</v>
      </c>
      <c r="B2808" t="s">
        <v>297</v>
      </c>
      <c r="C2808" s="1">
        <v>22281</v>
      </c>
      <c r="D2808">
        <v>65</v>
      </c>
      <c r="E2808" s="4" t="s">
        <v>15</v>
      </c>
      <c r="F2808" t="s">
        <v>32</v>
      </c>
      <c r="G2808" s="1">
        <v>45428</v>
      </c>
      <c r="H2808" s="1">
        <f>TablaDatos[[#This Row],[FechaIngreso]]+TablaDatos[[#This Row],[DiasNuevo]]</f>
        <v>45451</v>
      </c>
      <c r="I2808">
        <v>23</v>
      </c>
      <c r="J2808" t="s">
        <v>23</v>
      </c>
      <c r="K2808" s="3">
        <v>10445.39</v>
      </c>
      <c r="L2808" t="b">
        <f>TablaDatos[[#This Row],[FechaAlta]] &lt; TablaDatos[[#This Row],[FechaIngreso]]</f>
        <v>0</v>
      </c>
      <c r="M2808">
        <f>_xlfn.XLOOKUP(TablaDatos[[#This Row],[PacienteID]],'Datos_Ejemplo.csv'!A:A,'Datos_Ejemplo.csv'!I:I)</f>
        <v>23</v>
      </c>
      <c r="N2808">
        <f>ABS(TablaDatos[[#This Row],[DiasOriginal]])</f>
        <v>23</v>
      </c>
      <c r="O2808" s="1">
        <f>TablaDatos[[#This Row],[FechaIngreso]]+TablaDatos[[#This Row],[DiasNuevo]]</f>
        <v>45451</v>
      </c>
    </row>
    <row r="2809" spans="1:15">
      <c r="A2809">
        <v>2808</v>
      </c>
      <c r="B2809" t="s">
        <v>90</v>
      </c>
      <c r="C2809" s="1">
        <v>31412</v>
      </c>
      <c r="D2809">
        <v>40</v>
      </c>
      <c r="E2809" s="4" t="s">
        <v>197</v>
      </c>
      <c r="F2809" t="s">
        <v>201</v>
      </c>
      <c r="G2809" s="1">
        <v>44984</v>
      </c>
      <c r="H2809" s="1">
        <f>TablaDatos[[#This Row],[FechaIngreso]]+TablaDatos[[#This Row],[DiasNuevo]]</f>
        <v>45011</v>
      </c>
      <c r="I2809">
        <v>27</v>
      </c>
      <c r="J2809" t="s">
        <v>19</v>
      </c>
      <c r="K2809" s="3">
        <v>13872.66</v>
      </c>
      <c r="L2809" t="b">
        <f>TablaDatos[[#This Row],[FechaAlta]] &lt; TablaDatos[[#This Row],[FechaIngreso]]</f>
        <v>0</v>
      </c>
      <c r="M2809">
        <f>_xlfn.XLOOKUP(TablaDatos[[#This Row],[PacienteID]],'Datos_Ejemplo.csv'!A:A,'Datos_Ejemplo.csv'!I:I)</f>
        <v>27</v>
      </c>
      <c r="N2809">
        <f>ABS(TablaDatos[[#This Row],[DiasOriginal]])</f>
        <v>27</v>
      </c>
      <c r="O2809" s="1">
        <f>TablaDatos[[#This Row],[FechaIngreso]]+TablaDatos[[#This Row],[DiasNuevo]]</f>
        <v>45011</v>
      </c>
    </row>
    <row r="2810" spans="1:15">
      <c r="A2810">
        <v>2809</v>
      </c>
      <c r="B2810" t="s">
        <v>111</v>
      </c>
      <c r="C2810" s="1">
        <v>41639</v>
      </c>
      <c r="D2810">
        <v>12</v>
      </c>
      <c r="E2810" s="4" t="s">
        <v>15</v>
      </c>
      <c r="F2810" t="s">
        <v>32</v>
      </c>
      <c r="G2810" s="1">
        <v>45263</v>
      </c>
      <c r="H2810" s="1">
        <f>TablaDatos[[#This Row],[FechaIngreso]]+TablaDatos[[#This Row],[DiasNuevo]]</f>
        <v>45272</v>
      </c>
      <c r="I2810">
        <v>9</v>
      </c>
      <c r="J2810" t="s">
        <v>23</v>
      </c>
      <c r="K2810" s="3">
        <v>3532.75</v>
      </c>
      <c r="L2810" t="b">
        <f>TablaDatos[[#This Row],[FechaAlta]] &lt; TablaDatos[[#This Row],[FechaIngreso]]</f>
        <v>0</v>
      </c>
      <c r="M2810">
        <f>_xlfn.XLOOKUP(TablaDatos[[#This Row],[PacienteID]],'Datos_Ejemplo.csv'!A:A,'Datos_Ejemplo.csv'!I:I)</f>
        <v>9</v>
      </c>
      <c r="N2810">
        <f>ABS(TablaDatos[[#This Row],[DiasOriginal]])</f>
        <v>9</v>
      </c>
      <c r="O2810" s="1">
        <f>TablaDatos[[#This Row],[FechaIngreso]]+TablaDatos[[#This Row],[DiasNuevo]]</f>
        <v>45272</v>
      </c>
    </row>
    <row r="2811" spans="1:15">
      <c r="A2811">
        <v>2810</v>
      </c>
      <c r="B2811" t="s">
        <v>269</v>
      </c>
      <c r="C2811" s="1">
        <v>43100</v>
      </c>
      <c r="D2811">
        <v>8</v>
      </c>
      <c r="E2811" s="4" t="s">
        <v>15</v>
      </c>
      <c r="F2811" t="s">
        <v>18</v>
      </c>
      <c r="G2811" s="1">
        <v>45436</v>
      </c>
      <c r="H2811" s="1">
        <f>TablaDatos[[#This Row],[FechaIngreso]]+TablaDatos[[#This Row],[DiasNuevo]]</f>
        <v>45448</v>
      </c>
      <c r="I2811">
        <v>12</v>
      </c>
      <c r="J2811" t="s">
        <v>19</v>
      </c>
      <c r="K2811" s="3">
        <v>18649.82</v>
      </c>
      <c r="L2811" t="b">
        <f>TablaDatos[[#This Row],[FechaAlta]] &lt; TablaDatos[[#This Row],[FechaIngreso]]</f>
        <v>0</v>
      </c>
      <c r="M2811">
        <f>_xlfn.XLOOKUP(TablaDatos[[#This Row],[PacienteID]],'Datos_Ejemplo.csv'!A:A,'Datos_Ejemplo.csv'!I:I)</f>
        <v>12</v>
      </c>
      <c r="N2811">
        <f>ABS(TablaDatos[[#This Row],[DiasOriginal]])</f>
        <v>12</v>
      </c>
      <c r="O2811" s="1">
        <f>TablaDatos[[#This Row],[FechaIngreso]]+TablaDatos[[#This Row],[DiasNuevo]]</f>
        <v>45448</v>
      </c>
    </row>
    <row r="2812" spans="1:15">
      <c r="A2812">
        <v>2811</v>
      </c>
      <c r="B2812" t="s">
        <v>239</v>
      </c>
      <c r="C2812" s="1">
        <v>33239</v>
      </c>
      <c r="D2812">
        <v>35</v>
      </c>
      <c r="E2812" s="4" t="s">
        <v>12</v>
      </c>
      <c r="F2812" t="s">
        <v>18</v>
      </c>
      <c r="G2812" s="1">
        <v>45540</v>
      </c>
      <c r="H2812" s="1">
        <f>TablaDatos[[#This Row],[FechaIngreso]]+TablaDatos[[#This Row],[DiasNuevo]]</f>
        <v>45578</v>
      </c>
      <c r="I2812">
        <v>38</v>
      </c>
      <c r="J2812" t="s">
        <v>19</v>
      </c>
      <c r="K2812" s="3">
        <v>10533.6</v>
      </c>
      <c r="L2812" t="b">
        <f>TablaDatos[[#This Row],[FechaAlta]] &lt; TablaDatos[[#This Row],[FechaIngreso]]</f>
        <v>0</v>
      </c>
      <c r="M2812">
        <f>_xlfn.XLOOKUP(TablaDatos[[#This Row],[PacienteID]],'Datos_Ejemplo.csv'!A:A,'Datos_Ejemplo.csv'!I:I)</f>
        <v>38</v>
      </c>
      <c r="N2812">
        <f>ABS(TablaDatos[[#This Row],[DiasOriginal]])</f>
        <v>38</v>
      </c>
      <c r="O2812" s="1">
        <f>TablaDatos[[#This Row],[FechaIngreso]]+TablaDatos[[#This Row],[DiasNuevo]]</f>
        <v>45578</v>
      </c>
    </row>
    <row r="2813" spans="1:15">
      <c r="A2813">
        <v>2812</v>
      </c>
      <c r="B2813" t="s">
        <v>234</v>
      </c>
      <c r="C2813" s="1">
        <v>14976</v>
      </c>
      <c r="D2813">
        <v>85</v>
      </c>
      <c r="E2813" s="4" t="s">
        <v>12</v>
      </c>
      <c r="F2813" t="s">
        <v>13</v>
      </c>
      <c r="G2813" s="1">
        <v>45352</v>
      </c>
      <c r="H2813" s="1">
        <f>TablaDatos[[#This Row],[FechaIngreso]]+TablaDatos[[#This Row],[DiasNuevo]]</f>
        <v>45353</v>
      </c>
      <c r="I2813">
        <v>1</v>
      </c>
      <c r="J2813" t="s">
        <v>23</v>
      </c>
      <c r="K2813" s="3">
        <v>5452.75</v>
      </c>
      <c r="L2813" t="b">
        <f>TablaDatos[[#This Row],[FechaAlta]] &lt; TablaDatos[[#This Row],[FechaIngreso]]</f>
        <v>0</v>
      </c>
      <c r="M2813">
        <f>_xlfn.XLOOKUP(TablaDatos[[#This Row],[PacienteID]],'Datos_Ejemplo.csv'!A:A,'Datos_Ejemplo.csv'!I:I)</f>
        <v>-1</v>
      </c>
      <c r="N2813">
        <f>ABS(TablaDatos[[#This Row],[DiasOriginal]])</f>
        <v>1</v>
      </c>
      <c r="O2813" s="1">
        <f>TablaDatos[[#This Row],[FechaIngreso]]+TablaDatos[[#This Row],[DiasNuevo]]</f>
        <v>45353</v>
      </c>
    </row>
    <row r="2814" spans="1:15">
      <c r="A2814">
        <v>2813</v>
      </c>
      <c r="B2814" t="s">
        <v>274</v>
      </c>
      <c r="C2814" s="1">
        <v>13515</v>
      </c>
      <c r="D2814">
        <v>89</v>
      </c>
      <c r="E2814" s="4" t="s">
        <v>12</v>
      </c>
      <c r="F2814" t="s">
        <v>18</v>
      </c>
      <c r="G2814" s="1">
        <v>45486</v>
      </c>
      <c r="H2814" s="1">
        <f>TablaDatos[[#This Row],[FechaIngreso]]+TablaDatos[[#This Row],[DiasNuevo]]</f>
        <v>45488</v>
      </c>
      <c r="I2814">
        <v>2</v>
      </c>
      <c r="J2814" t="s">
        <v>23</v>
      </c>
      <c r="K2814" s="3">
        <v>18695.689999999999</v>
      </c>
      <c r="L2814" t="b">
        <f>TablaDatos[[#This Row],[FechaAlta]] &lt; TablaDatos[[#This Row],[FechaIngreso]]</f>
        <v>0</v>
      </c>
      <c r="M2814">
        <f>_xlfn.XLOOKUP(TablaDatos[[#This Row],[PacienteID]],'Datos_Ejemplo.csv'!A:A,'Datos_Ejemplo.csv'!I:I)</f>
        <v>-2</v>
      </c>
      <c r="N2814">
        <f>ABS(TablaDatos[[#This Row],[DiasOriginal]])</f>
        <v>2</v>
      </c>
      <c r="O2814" s="1">
        <f>TablaDatos[[#This Row],[FechaIngreso]]+TablaDatos[[#This Row],[DiasNuevo]]</f>
        <v>45488</v>
      </c>
    </row>
    <row r="2815" spans="1:15">
      <c r="A2815">
        <v>2814</v>
      </c>
      <c r="B2815" t="s">
        <v>161</v>
      </c>
      <c r="C2815" s="1">
        <f ca="1">DATE(YEAR(TODAY())-TablaDatos[[#This Row],[Edad]],1,1)</f>
        <v>25204</v>
      </c>
      <c r="D2815">
        <v>57</v>
      </c>
      <c r="E2815" s="4" t="s">
        <v>15</v>
      </c>
      <c r="F2815" t="s">
        <v>201</v>
      </c>
      <c r="G2815" s="1">
        <v>45296</v>
      </c>
      <c r="H2815" s="1">
        <f>TablaDatos[[#This Row],[FechaIngreso]]+TablaDatos[[#This Row],[DiasNuevo]]</f>
        <v>45321</v>
      </c>
      <c r="I2815">
        <v>25</v>
      </c>
      <c r="J2815" t="s">
        <v>19</v>
      </c>
      <c r="K2815" s="3">
        <v>12471.56</v>
      </c>
      <c r="L2815" t="b">
        <f>TablaDatos[[#This Row],[FechaAlta]] &lt; TablaDatos[[#This Row],[FechaIngreso]]</f>
        <v>0</v>
      </c>
      <c r="M2815">
        <f>_xlfn.XLOOKUP(TablaDatos[[#This Row],[PacienteID]],'Datos_Ejemplo.csv'!A:A,'Datos_Ejemplo.csv'!I:I)</f>
        <v>25</v>
      </c>
      <c r="N2815">
        <f>ABS(TablaDatos[[#This Row],[DiasOriginal]])</f>
        <v>25</v>
      </c>
      <c r="O2815" s="1">
        <f>TablaDatos[[#This Row],[FechaIngreso]]+TablaDatos[[#This Row],[DiasNuevo]]</f>
        <v>45321</v>
      </c>
    </row>
    <row r="2816" spans="1:15">
      <c r="A2816">
        <v>2815</v>
      </c>
      <c r="B2816" t="s">
        <v>250</v>
      </c>
      <c r="C2816" s="1">
        <v>26664</v>
      </c>
      <c r="D2816">
        <v>53</v>
      </c>
      <c r="E2816" s="4" t="s">
        <v>12</v>
      </c>
      <c r="F2816" t="s">
        <v>261</v>
      </c>
      <c r="G2816" s="1">
        <v>45337</v>
      </c>
      <c r="H2816" s="1">
        <f>TablaDatos[[#This Row],[FechaIngreso]]+TablaDatos[[#This Row],[DiasNuevo]]</f>
        <v>45374</v>
      </c>
      <c r="I2816">
        <v>37</v>
      </c>
      <c r="J2816" t="s">
        <v>23</v>
      </c>
      <c r="K2816" s="3">
        <v>9622.16</v>
      </c>
      <c r="L2816" t="b">
        <f>TablaDatos[[#This Row],[FechaAlta]] &lt; TablaDatos[[#This Row],[FechaIngreso]]</f>
        <v>0</v>
      </c>
      <c r="M2816">
        <f>_xlfn.XLOOKUP(TablaDatos[[#This Row],[PacienteID]],'Datos_Ejemplo.csv'!A:A,'Datos_Ejemplo.csv'!I:I)</f>
        <v>37</v>
      </c>
      <c r="N2816">
        <f>ABS(TablaDatos[[#This Row],[DiasOriginal]])</f>
        <v>37</v>
      </c>
      <c r="O2816" s="1">
        <f>TablaDatos[[#This Row],[FechaIngreso]]+TablaDatos[[#This Row],[DiasNuevo]]</f>
        <v>45374</v>
      </c>
    </row>
    <row r="2817" spans="1:15">
      <c r="A2817">
        <v>2816</v>
      </c>
      <c r="B2817" t="s">
        <v>255</v>
      </c>
      <c r="C2817" s="1">
        <v>42005</v>
      </c>
      <c r="D2817">
        <v>11</v>
      </c>
      <c r="E2817" s="4" t="s">
        <v>15</v>
      </c>
      <c r="F2817" t="s">
        <v>295</v>
      </c>
      <c r="G2817" s="1">
        <v>45601</v>
      </c>
      <c r="H2817" s="1">
        <f>TablaDatos[[#This Row],[FechaIngreso]]+TablaDatos[[#This Row],[DiasNuevo]]</f>
        <v>45633</v>
      </c>
      <c r="I2817">
        <v>32</v>
      </c>
      <c r="J2817" t="s">
        <v>25</v>
      </c>
      <c r="K2817" s="3">
        <v>11561.13</v>
      </c>
      <c r="L2817" t="b">
        <f>TablaDatos[[#This Row],[FechaAlta]] &lt; TablaDatos[[#This Row],[FechaIngreso]]</f>
        <v>0</v>
      </c>
      <c r="M2817">
        <f>_xlfn.XLOOKUP(TablaDatos[[#This Row],[PacienteID]],'Datos_Ejemplo.csv'!A:A,'Datos_Ejemplo.csv'!I:I)</f>
        <v>32</v>
      </c>
      <c r="N2817">
        <f>ABS(TablaDatos[[#This Row],[DiasOriginal]])</f>
        <v>32</v>
      </c>
      <c r="O2817" s="1">
        <f>TablaDatos[[#This Row],[FechaIngreso]]+TablaDatos[[#This Row],[DiasNuevo]]</f>
        <v>45633</v>
      </c>
    </row>
    <row r="2818" spans="1:15">
      <c r="A2818">
        <v>2817</v>
      </c>
      <c r="B2818" t="s">
        <v>302</v>
      </c>
      <c r="C2818" s="1">
        <v>16802</v>
      </c>
      <c r="D2818">
        <v>80</v>
      </c>
      <c r="E2818" s="4" t="s">
        <v>15</v>
      </c>
      <c r="F2818" t="s">
        <v>21</v>
      </c>
      <c r="G2818" s="1">
        <v>45358</v>
      </c>
      <c r="H2818" s="1">
        <f>TablaDatos[[#This Row],[FechaIngreso]]+TablaDatos[[#This Row],[DiasNuevo]]</f>
        <v>45389</v>
      </c>
      <c r="I2818">
        <v>31</v>
      </c>
      <c r="J2818" t="s">
        <v>19</v>
      </c>
      <c r="K2818" s="3">
        <v>14940.87</v>
      </c>
      <c r="L2818" t="b">
        <f>TablaDatos[[#This Row],[FechaAlta]] &lt; TablaDatos[[#This Row],[FechaIngreso]]</f>
        <v>0</v>
      </c>
      <c r="M2818">
        <f>_xlfn.XLOOKUP(TablaDatos[[#This Row],[PacienteID]],'Datos_Ejemplo.csv'!A:A,'Datos_Ejemplo.csv'!I:I)</f>
        <v>31</v>
      </c>
      <c r="N2818">
        <f>ABS(TablaDatos[[#This Row],[DiasOriginal]])</f>
        <v>31</v>
      </c>
      <c r="O2818" s="1">
        <f>TablaDatos[[#This Row],[FechaIngreso]]+TablaDatos[[#This Row],[DiasNuevo]]</f>
        <v>45389</v>
      </c>
    </row>
    <row r="2819" spans="1:15">
      <c r="A2819">
        <v>2818</v>
      </c>
      <c r="B2819" t="s">
        <v>313</v>
      </c>
      <c r="C2819" s="1">
        <v>17898</v>
      </c>
      <c r="D2819">
        <v>77</v>
      </c>
      <c r="E2819" s="4" t="s">
        <v>12</v>
      </c>
      <c r="F2819" t="s">
        <v>21</v>
      </c>
      <c r="G2819" s="1">
        <v>45122</v>
      </c>
      <c r="H2819" s="1">
        <f>TablaDatos[[#This Row],[FechaIngreso]]+TablaDatos[[#This Row],[DiasNuevo]]</f>
        <v>45123</v>
      </c>
      <c r="I2819">
        <v>1</v>
      </c>
      <c r="J2819" t="s">
        <v>23</v>
      </c>
      <c r="K2819" s="3">
        <v>3006.21</v>
      </c>
      <c r="L2819" t="b">
        <f>TablaDatos[[#This Row],[FechaAlta]] &lt; TablaDatos[[#This Row],[FechaIngreso]]</f>
        <v>0</v>
      </c>
      <c r="M2819">
        <f>_xlfn.XLOOKUP(TablaDatos[[#This Row],[PacienteID]],'Datos_Ejemplo.csv'!A:A,'Datos_Ejemplo.csv'!I:I)</f>
        <v>1</v>
      </c>
      <c r="N2819">
        <f>ABS(TablaDatos[[#This Row],[DiasOriginal]])</f>
        <v>1</v>
      </c>
      <c r="O2819" s="1">
        <f>TablaDatos[[#This Row],[FechaIngreso]]+TablaDatos[[#This Row],[DiasNuevo]]</f>
        <v>45123</v>
      </c>
    </row>
    <row r="2820" spans="1:15">
      <c r="A2820">
        <v>2819</v>
      </c>
      <c r="B2820" t="s">
        <v>303</v>
      </c>
      <c r="C2820" s="1">
        <v>41274</v>
      </c>
      <c r="D2820">
        <v>13</v>
      </c>
      <c r="E2820" s="4" t="s">
        <v>12</v>
      </c>
      <c r="F2820" t="s">
        <v>13</v>
      </c>
      <c r="G2820" s="1">
        <v>45303</v>
      </c>
      <c r="H2820" s="1">
        <f>TablaDatos[[#This Row],[FechaIngreso]]+TablaDatos[[#This Row],[DiasNuevo]]</f>
        <v>45318</v>
      </c>
      <c r="I2820">
        <v>15</v>
      </c>
      <c r="J2820" t="s">
        <v>19</v>
      </c>
      <c r="K2820" s="3">
        <v>17283.09</v>
      </c>
      <c r="L2820" t="b">
        <f>TablaDatos[[#This Row],[FechaAlta]] &lt; TablaDatos[[#This Row],[FechaIngreso]]</f>
        <v>0</v>
      </c>
      <c r="M2820">
        <f>_xlfn.XLOOKUP(TablaDatos[[#This Row],[PacienteID]],'Datos_Ejemplo.csv'!A:A,'Datos_Ejemplo.csv'!I:I)</f>
        <v>15</v>
      </c>
      <c r="N2820">
        <f>ABS(TablaDatos[[#This Row],[DiasOriginal]])</f>
        <v>15</v>
      </c>
      <c r="O2820" s="1">
        <f>TablaDatos[[#This Row],[FechaIngreso]]+TablaDatos[[#This Row],[DiasNuevo]]</f>
        <v>45318</v>
      </c>
    </row>
    <row r="2821" spans="1:15">
      <c r="A2821">
        <v>2820</v>
      </c>
      <c r="B2821" t="s">
        <v>244</v>
      </c>
      <c r="C2821" s="1">
        <v>33969</v>
      </c>
      <c r="D2821">
        <v>33</v>
      </c>
      <c r="E2821" s="4" t="s">
        <v>12</v>
      </c>
      <c r="F2821" t="s">
        <v>21</v>
      </c>
      <c r="G2821" s="1">
        <v>45291</v>
      </c>
      <c r="H2821" s="1">
        <f>TablaDatos[[#This Row],[FechaIngreso]]+TablaDatos[[#This Row],[DiasNuevo]]</f>
        <v>45300</v>
      </c>
      <c r="I2821">
        <v>9</v>
      </c>
      <c r="J2821" t="s">
        <v>23</v>
      </c>
      <c r="K2821" s="3">
        <v>19186.09</v>
      </c>
      <c r="L2821" t="b">
        <f>TablaDatos[[#This Row],[FechaAlta]] &lt; TablaDatos[[#This Row],[FechaIngreso]]</f>
        <v>0</v>
      </c>
      <c r="M2821">
        <f>_xlfn.XLOOKUP(TablaDatos[[#This Row],[PacienteID]],'Datos_Ejemplo.csv'!A:A,'Datos_Ejemplo.csv'!I:I)</f>
        <v>9</v>
      </c>
      <c r="N2821">
        <f>ABS(TablaDatos[[#This Row],[DiasOriginal]])</f>
        <v>9</v>
      </c>
      <c r="O2821" s="1">
        <f>TablaDatos[[#This Row],[FechaIngreso]]+TablaDatos[[#This Row],[DiasNuevo]]</f>
        <v>45300</v>
      </c>
    </row>
    <row r="2822" spans="1:15">
      <c r="A2822">
        <v>2821</v>
      </c>
      <c r="B2822" t="s">
        <v>262</v>
      </c>
      <c r="C2822" s="1">
        <v>27029</v>
      </c>
      <c r="D2822">
        <v>52</v>
      </c>
      <c r="E2822" s="4" t="s">
        <v>12</v>
      </c>
      <c r="F2822" t="s">
        <v>13</v>
      </c>
      <c r="G2822" s="1">
        <v>45570</v>
      </c>
      <c r="H2822" s="1">
        <f>TablaDatos[[#This Row],[FechaIngreso]]+TablaDatos[[#This Row],[DiasNuevo]]</f>
        <v>45588</v>
      </c>
      <c r="I2822">
        <v>18</v>
      </c>
      <c r="J2822" t="s">
        <v>23</v>
      </c>
      <c r="K2822" s="3">
        <v>11296.69</v>
      </c>
      <c r="L2822" t="b">
        <f>TablaDatos[[#This Row],[FechaAlta]] &lt; TablaDatos[[#This Row],[FechaIngreso]]</f>
        <v>0</v>
      </c>
      <c r="M2822">
        <f>_xlfn.XLOOKUP(TablaDatos[[#This Row],[PacienteID]],'Datos_Ejemplo.csv'!A:A,'Datos_Ejemplo.csv'!I:I)</f>
        <v>18</v>
      </c>
      <c r="N2822">
        <f>ABS(TablaDatos[[#This Row],[DiasOriginal]])</f>
        <v>18</v>
      </c>
      <c r="O2822" s="1">
        <f>TablaDatos[[#This Row],[FechaIngreso]]+TablaDatos[[#This Row],[DiasNuevo]]</f>
        <v>45588</v>
      </c>
    </row>
    <row r="2823" spans="1:15">
      <c r="A2823">
        <v>2822</v>
      </c>
      <c r="B2823" t="s">
        <v>240</v>
      </c>
      <c r="C2823" s="1">
        <v>39083</v>
      </c>
      <c r="D2823">
        <v>19</v>
      </c>
      <c r="E2823" s="4" t="s">
        <v>12</v>
      </c>
      <c r="F2823" t="s">
        <v>18</v>
      </c>
      <c r="G2823" s="1">
        <v>45331</v>
      </c>
      <c r="H2823" s="1">
        <f>TablaDatos[[#This Row],[FechaIngreso]]+TablaDatos[[#This Row],[DiasNuevo]]</f>
        <v>45338</v>
      </c>
      <c r="I2823">
        <v>7</v>
      </c>
      <c r="J2823" t="s">
        <v>19</v>
      </c>
      <c r="K2823" s="3">
        <v>13613.64</v>
      </c>
      <c r="L2823" t="b">
        <f>TablaDatos[[#This Row],[FechaAlta]] &lt; TablaDatos[[#This Row],[FechaIngreso]]</f>
        <v>0</v>
      </c>
      <c r="M2823">
        <f>_xlfn.XLOOKUP(TablaDatos[[#This Row],[PacienteID]],'Datos_Ejemplo.csv'!A:A,'Datos_Ejemplo.csv'!I:I)</f>
        <v>7</v>
      </c>
      <c r="N2823">
        <f>ABS(TablaDatos[[#This Row],[DiasOriginal]])</f>
        <v>7</v>
      </c>
      <c r="O2823" s="1">
        <f>TablaDatos[[#This Row],[FechaIngreso]]+TablaDatos[[#This Row],[DiasNuevo]]</f>
        <v>45338</v>
      </c>
    </row>
    <row r="2824" spans="1:15">
      <c r="A2824">
        <v>2823</v>
      </c>
      <c r="B2824" t="s">
        <v>55</v>
      </c>
      <c r="C2824" s="1">
        <v>18994</v>
      </c>
      <c r="D2824">
        <f ca="1">DATEDIF(TablaDatos[[#This Row],[FechaNacimiento]],TODAY(),"Y")</f>
        <v>74</v>
      </c>
      <c r="E2824" s="4" t="s">
        <v>12</v>
      </c>
      <c r="F2824" t="s">
        <v>18</v>
      </c>
      <c r="G2824" s="1">
        <v>45418</v>
      </c>
      <c r="H2824" s="1">
        <f>TablaDatos[[#This Row],[FechaIngreso]]+TablaDatos[[#This Row],[DiasNuevo]]</f>
        <v>45436</v>
      </c>
      <c r="I2824">
        <v>18</v>
      </c>
      <c r="J2824" t="s">
        <v>19</v>
      </c>
      <c r="K2824" s="3">
        <v>17182.650000000001</v>
      </c>
      <c r="L2824" t="b">
        <f>TablaDatos[[#This Row],[FechaAlta]] &lt; TablaDatos[[#This Row],[FechaIngreso]]</f>
        <v>0</v>
      </c>
      <c r="M2824">
        <f>_xlfn.XLOOKUP(TablaDatos[[#This Row],[PacienteID]],'Datos_Ejemplo.csv'!A:A,'Datos_Ejemplo.csv'!I:I)</f>
        <v>18</v>
      </c>
      <c r="N2824">
        <f>ABS(TablaDatos[[#This Row],[DiasOriginal]])</f>
        <v>18</v>
      </c>
      <c r="O2824" s="1">
        <f>TablaDatos[[#This Row],[FechaIngreso]]+TablaDatos[[#This Row],[DiasNuevo]]</f>
        <v>45436</v>
      </c>
    </row>
    <row r="2825" spans="1:15">
      <c r="A2825">
        <v>2824</v>
      </c>
      <c r="B2825" t="s">
        <v>114</v>
      </c>
      <c r="C2825" s="1">
        <v>40544</v>
      </c>
      <c r="D2825">
        <v>15</v>
      </c>
      <c r="E2825" s="4" t="s">
        <v>12</v>
      </c>
      <c r="F2825" t="s">
        <v>261</v>
      </c>
      <c r="G2825" s="1">
        <v>44992</v>
      </c>
      <c r="H2825" s="1">
        <f>TablaDatos[[#This Row],[FechaIngreso]]+TablaDatos[[#This Row],[DiasNuevo]]</f>
        <v>45029</v>
      </c>
      <c r="I2825">
        <v>37</v>
      </c>
      <c r="J2825" t="s">
        <v>23</v>
      </c>
      <c r="K2825" s="3">
        <v>7433.69</v>
      </c>
      <c r="L2825" t="b">
        <f>TablaDatos[[#This Row],[FechaAlta]] &lt; TablaDatos[[#This Row],[FechaIngreso]]</f>
        <v>0</v>
      </c>
      <c r="M2825">
        <f>_xlfn.XLOOKUP(TablaDatos[[#This Row],[PacienteID]],'Datos_Ejemplo.csv'!A:A,'Datos_Ejemplo.csv'!I:I)</f>
        <v>37</v>
      </c>
      <c r="N2825">
        <f>ABS(TablaDatos[[#This Row],[DiasOriginal]])</f>
        <v>37</v>
      </c>
      <c r="O2825" s="1">
        <f>TablaDatos[[#This Row],[FechaIngreso]]+TablaDatos[[#This Row],[DiasNuevo]]</f>
        <v>45029</v>
      </c>
    </row>
    <row r="2826" spans="1:15">
      <c r="A2826">
        <v>2825</v>
      </c>
      <c r="B2826" t="s">
        <v>342</v>
      </c>
      <c r="C2826" s="1">
        <v>11689</v>
      </c>
      <c r="D2826">
        <v>94</v>
      </c>
      <c r="E2826" s="4" t="s">
        <v>12</v>
      </c>
      <c r="F2826" t="s">
        <v>261</v>
      </c>
      <c r="G2826" s="1">
        <v>45317</v>
      </c>
      <c r="H2826" s="1">
        <f>TablaDatos[[#This Row],[FechaIngreso]]+TablaDatos[[#This Row],[DiasNuevo]]</f>
        <v>45339</v>
      </c>
      <c r="I2826">
        <v>22</v>
      </c>
      <c r="J2826" t="s">
        <v>23</v>
      </c>
      <c r="K2826" s="3">
        <v>19855.919999999998</v>
      </c>
      <c r="L2826" t="b">
        <f>TablaDatos[[#This Row],[FechaAlta]] &lt; TablaDatos[[#This Row],[FechaIngreso]]</f>
        <v>0</v>
      </c>
      <c r="M2826">
        <f>_xlfn.XLOOKUP(TablaDatos[[#This Row],[PacienteID]],'Datos_Ejemplo.csv'!A:A,'Datos_Ejemplo.csv'!I:I)</f>
        <v>22</v>
      </c>
      <c r="N2826">
        <f>ABS(TablaDatos[[#This Row],[DiasOriginal]])</f>
        <v>22</v>
      </c>
      <c r="O2826" s="1">
        <f>TablaDatos[[#This Row],[FechaIngreso]]+TablaDatos[[#This Row],[DiasNuevo]]</f>
        <v>45339</v>
      </c>
    </row>
    <row r="2827" spans="1:15">
      <c r="A2827">
        <v>2826</v>
      </c>
      <c r="B2827" t="s">
        <v>273</v>
      </c>
      <c r="C2827" s="1">
        <v>20820</v>
      </c>
      <c r="D2827">
        <v>69</v>
      </c>
      <c r="E2827" s="4" t="s">
        <v>197</v>
      </c>
      <c r="F2827" t="s">
        <v>295</v>
      </c>
      <c r="G2827" s="1">
        <v>45009</v>
      </c>
      <c r="H2827" s="1">
        <f>TablaDatos[[#This Row],[FechaIngreso]]+TablaDatos[[#This Row],[DiasNuevo]]</f>
        <v>45023</v>
      </c>
      <c r="I2827">
        <v>14</v>
      </c>
      <c r="J2827" t="s">
        <v>19</v>
      </c>
      <c r="K2827" s="3">
        <v>13578.08</v>
      </c>
      <c r="L2827" t="b">
        <f>TablaDatos[[#This Row],[FechaAlta]] &lt; TablaDatos[[#This Row],[FechaIngreso]]</f>
        <v>0</v>
      </c>
      <c r="M2827">
        <f>_xlfn.XLOOKUP(TablaDatos[[#This Row],[PacienteID]],'Datos_Ejemplo.csv'!A:A,'Datos_Ejemplo.csv'!I:I)</f>
        <v>14</v>
      </c>
      <c r="N2827">
        <f>ABS(TablaDatos[[#This Row],[DiasOriginal]])</f>
        <v>14</v>
      </c>
      <c r="O2827" s="1">
        <f>TablaDatos[[#This Row],[FechaIngreso]]+TablaDatos[[#This Row],[DiasNuevo]]</f>
        <v>45023</v>
      </c>
    </row>
    <row r="2828" spans="1:15">
      <c r="A2828">
        <v>2827</v>
      </c>
      <c r="B2828" t="s">
        <v>264</v>
      </c>
      <c r="C2828" s="1">
        <v>25934</v>
      </c>
      <c r="D2828">
        <v>55</v>
      </c>
      <c r="E2828" s="4" t="s">
        <v>197</v>
      </c>
      <c r="F2828" t="s">
        <v>21</v>
      </c>
      <c r="G2828" s="1">
        <v>45407</v>
      </c>
      <c r="H2828" s="1">
        <f>TablaDatos[[#This Row],[FechaIngreso]]+TablaDatos[[#This Row],[DiasNuevo]]</f>
        <v>45410</v>
      </c>
      <c r="I2828">
        <v>3</v>
      </c>
      <c r="J2828" t="s">
        <v>23</v>
      </c>
      <c r="K2828" s="3">
        <v>8422.3700000000008</v>
      </c>
      <c r="L2828" t="b">
        <f>TablaDatos[[#This Row],[FechaAlta]] &lt; TablaDatos[[#This Row],[FechaIngreso]]</f>
        <v>0</v>
      </c>
      <c r="M2828">
        <f>_xlfn.XLOOKUP(TablaDatos[[#This Row],[PacienteID]],'Datos_Ejemplo.csv'!A:A,'Datos_Ejemplo.csv'!I:I)</f>
        <v>3</v>
      </c>
      <c r="N2828">
        <f>ABS(TablaDatos[[#This Row],[DiasOriginal]])</f>
        <v>3</v>
      </c>
      <c r="O2828" s="1">
        <f>TablaDatos[[#This Row],[FechaIngreso]]+TablaDatos[[#This Row],[DiasNuevo]]</f>
        <v>45410</v>
      </c>
    </row>
    <row r="2829" spans="1:15">
      <c r="A2829">
        <v>2828</v>
      </c>
      <c r="B2829" t="s">
        <v>290</v>
      </c>
      <c r="C2829" s="1">
        <v>16072</v>
      </c>
      <c r="D2829">
        <v>82</v>
      </c>
      <c r="E2829" s="4" t="s">
        <v>15</v>
      </c>
      <c r="F2829" t="s">
        <v>201</v>
      </c>
      <c r="G2829" s="1">
        <v>45155</v>
      </c>
      <c r="H2829" s="1">
        <f>TablaDatos[[#This Row],[FechaIngreso]]+TablaDatos[[#This Row],[DiasNuevo]]</f>
        <v>45166</v>
      </c>
      <c r="I2829">
        <v>11</v>
      </c>
      <c r="J2829" t="s">
        <v>19</v>
      </c>
      <c r="K2829" s="3">
        <v>13514.49</v>
      </c>
      <c r="L2829" t="b">
        <f>TablaDatos[[#This Row],[FechaAlta]] &lt; TablaDatos[[#This Row],[FechaIngreso]]</f>
        <v>0</v>
      </c>
      <c r="M2829">
        <f>_xlfn.XLOOKUP(TablaDatos[[#This Row],[PacienteID]],'Datos_Ejemplo.csv'!A:A,'Datos_Ejemplo.csv'!I:I)</f>
        <v>11</v>
      </c>
      <c r="N2829">
        <f>ABS(TablaDatos[[#This Row],[DiasOriginal]])</f>
        <v>11</v>
      </c>
      <c r="O2829" s="1">
        <f>TablaDatos[[#This Row],[FechaIngreso]]+TablaDatos[[#This Row],[DiasNuevo]]</f>
        <v>45166</v>
      </c>
    </row>
    <row r="2830" spans="1:15">
      <c r="A2830">
        <v>2829</v>
      </c>
      <c r="B2830" t="s">
        <v>301</v>
      </c>
      <c r="C2830" s="1">
        <v>25203</v>
      </c>
      <c r="D2830">
        <v>57</v>
      </c>
      <c r="E2830" s="4" t="s">
        <v>12</v>
      </c>
      <c r="F2830" t="s">
        <v>261</v>
      </c>
      <c r="G2830" s="1">
        <v>45151</v>
      </c>
      <c r="H2830" s="1">
        <f>TablaDatos[[#This Row],[FechaIngreso]]+TablaDatos[[#This Row],[DiasNuevo]]</f>
        <v>45185</v>
      </c>
      <c r="I2830">
        <v>34</v>
      </c>
      <c r="J2830" t="s">
        <v>25</v>
      </c>
      <c r="K2830" s="3">
        <v>10385.77</v>
      </c>
      <c r="L2830" t="b">
        <f>TablaDatos[[#This Row],[FechaAlta]] &lt; TablaDatos[[#This Row],[FechaIngreso]]</f>
        <v>0</v>
      </c>
      <c r="M2830">
        <f>_xlfn.XLOOKUP(TablaDatos[[#This Row],[PacienteID]],'Datos_Ejemplo.csv'!A:A,'Datos_Ejemplo.csv'!I:I)</f>
        <v>34</v>
      </c>
      <c r="N2830">
        <f>ABS(TablaDatos[[#This Row],[DiasOriginal]])</f>
        <v>34</v>
      </c>
      <c r="O2830" s="1">
        <f>TablaDatos[[#This Row],[FechaIngreso]]+TablaDatos[[#This Row],[DiasNuevo]]</f>
        <v>45185</v>
      </c>
    </row>
    <row r="2831" spans="1:15">
      <c r="A2831">
        <v>2830</v>
      </c>
      <c r="B2831" t="s">
        <v>346</v>
      </c>
      <c r="C2831" s="1">
        <v>44927</v>
      </c>
      <c r="D2831">
        <v>3</v>
      </c>
      <c r="E2831" s="4" t="s">
        <v>12</v>
      </c>
      <c r="F2831" t="s">
        <v>295</v>
      </c>
      <c r="G2831" s="1">
        <v>45039</v>
      </c>
      <c r="H2831" s="1">
        <f>TablaDatos[[#This Row],[FechaIngreso]]+TablaDatos[[#This Row],[DiasNuevo]]</f>
        <v>45076</v>
      </c>
      <c r="I2831">
        <v>37</v>
      </c>
      <c r="J2831" t="s">
        <v>25</v>
      </c>
      <c r="K2831" s="3">
        <v>2144</v>
      </c>
      <c r="L2831" t="b">
        <f>TablaDatos[[#This Row],[FechaAlta]] &lt; TablaDatos[[#This Row],[FechaIngreso]]</f>
        <v>0</v>
      </c>
      <c r="M2831">
        <f>_xlfn.XLOOKUP(TablaDatos[[#This Row],[PacienteID]],'Datos_Ejemplo.csv'!A:A,'Datos_Ejemplo.csv'!I:I)</f>
        <v>37</v>
      </c>
      <c r="N2831">
        <f>ABS(TablaDatos[[#This Row],[DiasOriginal]])</f>
        <v>37</v>
      </c>
      <c r="O2831" s="1">
        <f>TablaDatos[[#This Row],[FechaIngreso]]+TablaDatos[[#This Row],[DiasNuevo]]</f>
        <v>45076</v>
      </c>
    </row>
    <row r="2832" spans="1:15">
      <c r="A2832">
        <v>2831</v>
      </c>
      <c r="B2832" t="s">
        <v>232</v>
      </c>
      <c r="C2832" s="1">
        <v>44927</v>
      </c>
      <c r="D2832">
        <v>3</v>
      </c>
      <c r="E2832" s="4" t="s">
        <v>15</v>
      </c>
      <c r="F2832" t="s">
        <v>32</v>
      </c>
      <c r="G2832" s="1">
        <v>45578</v>
      </c>
      <c r="H2832" s="1">
        <f>TablaDatos[[#This Row],[FechaIngreso]]+TablaDatos[[#This Row],[DiasNuevo]]</f>
        <v>45615</v>
      </c>
      <c r="I2832">
        <v>37</v>
      </c>
      <c r="J2832" t="s">
        <v>23</v>
      </c>
      <c r="K2832" s="3">
        <v>15896.89</v>
      </c>
      <c r="L2832" t="b">
        <f>TablaDatos[[#This Row],[FechaAlta]] &lt; TablaDatos[[#This Row],[FechaIngreso]]</f>
        <v>0</v>
      </c>
      <c r="M2832">
        <f>_xlfn.XLOOKUP(TablaDatos[[#This Row],[PacienteID]],'Datos_Ejemplo.csv'!A:A,'Datos_Ejemplo.csv'!I:I)</f>
        <v>37</v>
      </c>
      <c r="N2832">
        <f>ABS(TablaDatos[[#This Row],[DiasOriginal]])</f>
        <v>37</v>
      </c>
      <c r="O2832" s="1">
        <f>TablaDatos[[#This Row],[FechaIngreso]]+TablaDatos[[#This Row],[DiasNuevo]]</f>
        <v>45615</v>
      </c>
    </row>
    <row r="2833" spans="1:15">
      <c r="A2833">
        <v>2832</v>
      </c>
      <c r="B2833" t="s">
        <v>335</v>
      </c>
      <c r="C2833" s="1">
        <v>39083</v>
      </c>
      <c r="D2833">
        <v>19</v>
      </c>
      <c r="E2833" s="4" t="s">
        <v>12</v>
      </c>
      <c r="F2833" t="s">
        <v>261</v>
      </c>
      <c r="G2833" s="1">
        <v>45111</v>
      </c>
      <c r="H2833" s="1">
        <f>TablaDatos[[#This Row],[FechaIngreso]]+TablaDatos[[#This Row],[DiasNuevo]]</f>
        <v>45126</v>
      </c>
      <c r="I2833">
        <v>15</v>
      </c>
      <c r="J2833" t="s">
        <v>19</v>
      </c>
      <c r="K2833" s="3">
        <v>11243.95</v>
      </c>
      <c r="L2833" t="b">
        <f>TablaDatos[[#This Row],[FechaAlta]] &lt; TablaDatos[[#This Row],[FechaIngreso]]</f>
        <v>0</v>
      </c>
      <c r="M2833">
        <f>_xlfn.XLOOKUP(TablaDatos[[#This Row],[PacienteID]],'Datos_Ejemplo.csv'!A:A,'Datos_Ejemplo.csv'!I:I)</f>
        <v>15</v>
      </c>
      <c r="N2833">
        <f>ABS(TablaDatos[[#This Row],[DiasOriginal]])</f>
        <v>15</v>
      </c>
      <c r="O2833" s="1">
        <f>TablaDatos[[#This Row],[FechaIngreso]]+TablaDatos[[#This Row],[DiasNuevo]]</f>
        <v>45126</v>
      </c>
    </row>
    <row r="2834" spans="1:15">
      <c r="A2834">
        <v>2833</v>
      </c>
      <c r="B2834" t="s">
        <v>309</v>
      </c>
      <c r="C2834" s="1">
        <v>42735</v>
      </c>
      <c r="D2834">
        <v>9</v>
      </c>
      <c r="E2834" s="4" t="s">
        <v>15</v>
      </c>
      <c r="F2834" t="s">
        <v>295</v>
      </c>
      <c r="G2834" s="1">
        <v>45438</v>
      </c>
      <c r="H2834" s="1">
        <f>TablaDatos[[#This Row],[FechaIngreso]]+TablaDatos[[#This Row],[DiasNuevo]]</f>
        <v>45465</v>
      </c>
      <c r="I2834">
        <v>27</v>
      </c>
      <c r="J2834" t="s">
        <v>19</v>
      </c>
      <c r="K2834" s="3">
        <v>15896.5</v>
      </c>
      <c r="L2834" t="b">
        <f>TablaDatos[[#This Row],[FechaAlta]] &lt; TablaDatos[[#This Row],[FechaIngreso]]</f>
        <v>0</v>
      </c>
      <c r="M2834">
        <f>_xlfn.XLOOKUP(TablaDatos[[#This Row],[PacienteID]],'Datos_Ejemplo.csv'!A:A,'Datos_Ejemplo.csv'!I:I)</f>
        <v>27</v>
      </c>
      <c r="N2834">
        <f>ABS(TablaDatos[[#This Row],[DiasOriginal]])</f>
        <v>27</v>
      </c>
      <c r="O2834" s="1">
        <f>TablaDatos[[#This Row],[FechaIngreso]]+TablaDatos[[#This Row],[DiasNuevo]]</f>
        <v>45465</v>
      </c>
    </row>
    <row r="2835" spans="1:15">
      <c r="A2835">
        <v>2834</v>
      </c>
      <c r="B2835" t="s">
        <v>260</v>
      </c>
      <c r="C2835" s="1">
        <v>37622</v>
      </c>
      <c r="D2835">
        <v>23</v>
      </c>
      <c r="E2835" s="4" t="s">
        <v>12</v>
      </c>
      <c r="F2835" t="s">
        <v>13</v>
      </c>
      <c r="G2835" s="1">
        <v>45099</v>
      </c>
      <c r="H2835" s="1">
        <f>TablaDatos[[#This Row],[FechaIngreso]]+TablaDatos[[#This Row],[DiasNuevo]]</f>
        <v>45105</v>
      </c>
      <c r="I2835">
        <v>6</v>
      </c>
      <c r="J2835" t="s">
        <v>25</v>
      </c>
      <c r="K2835" s="3">
        <v>3013.73</v>
      </c>
      <c r="L2835" t="b">
        <f>TablaDatos[[#This Row],[FechaAlta]] &lt; TablaDatos[[#This Row],[FechaIngreso]]</f>
        <v>0</v>
      </c>
      <c r="M2835">
        <f>_xlfn.XLOOKUP(TablaDatos[[#This Row],[PacienteID]],'Datos_Ejemplo.csv'!A:A,'Datos_Ejemplo.csv'!I:I)</f>
        <v>6</v>
      </c>
      <c r="N2835">
        <f>ABS(TablaDatos[[#This Row],[DiasOriginal]])</f>
        <v>6</v>
      </c>
      <c r="O2835" s="1">
        <f>TablaDatos[[#This Row],[FechaIngreso]]+TablaDatos[[#This Row],[DiasNuevo]]</f>
        <v>45105</v>
      </c>
    </row>
    <row r="2836" spans="1:15">
      <c r="A2836">
        <v>2835</v>
      </c>
      <c r="B2836" t="s">
        <v>339</v>
      </c>
      <c r="C2836" s="1">
        <v>36891</v>
      </c>
      <c r="D2836">
        <v>25</v>
      </c>
      <c r="E2836" s="4" t="s">
        <v>12</v>
      </c>
      <c r="F2836" t="s">
        <v>13</v>
      </c>
      <c r="G2836" s="1">
        <v>45449</v>
      </c>
      <c r="H2836" s="1">
        <f>TablaDatos[[#This Row],[FechaIngreso]]+TablaDatos[[#This Row],[DiasNuevo]]</f>
        <v>45460</v>
      </c>
      <c r="I2836">
        <v>11</v>
      </c>
      <c r="J2836" t="s">
        <v>19</v>
      </c>
      <c r="K2836" s="3">
        <v>10720.98</v>
      </c>
      <c r="L2836" t="b">
        <f>TablaDatos[[#This Row],[FechaAlta]] &lt; TablaDatos[[#This Row],[FechaIngreso]]</f>
        <v>0</v>
      </c>
      <c r="M2836">
        <f>_xlfn.XLOOKUP(TablaDatos[[#This Row],[PacienteID]],'Datos_Ejemplo.csv'!A:A,'Datos_Ejemplo.csv'!I:I)</f>
        <v>11</v>
      </c>
      <c r="N2836">
        <f>ABS(TablaDatos[[#This Row],[DiasOriginal]])</f>
        <v>11</v>
      </c>
      <c r="O2836" s="1">
        <f>TablaDatos[[#This Row],[FechaIngreso]]+TablaDatos[[#This Row],[DiasNuevo]]</f>
        <v>45460</v>
      </c>
    </row>
    <row r="2837" spans="1:15">
      <c r="A2837">
        <v>2836</v>
      </c>
      <c r="B2837" t="s">
        <v>361</v>
      </c>
      <c r="C2837" s="1">
        <v>32873</v>
      </c>
      <c r="D2837">
        <v>36</v>
      </c>
      <c r="E2837" s="4" t="s">
        <v>15</v>
      </c>
      <c r="F2837" t="s">
        <v>295</v>
      </c>
      <c r="G2837" s="1">
        <v>45597</v>
      </c>
      <c r="H2837" s="1">
        <f>TablaDatos[[#This Row],[FechaIngreso]]+TablaDatos[[#This Row],[DiasNuevo]]</f>
        <v>45611</v>
      </c>
      <c r="I2837">
        <v>14</v>
      </c>
      <c r="J2837" t="s">
        <v>23</v>
      </c>
      <c r="K2837" s="3">
        <v>15309.15</v>
      </c>
      <c r="L2837" t="b">
        <f>TablaDatos[[#This Row],[FechaAlta]] &lt; TablaDatos[[#This Row],[FechaIngreso]]</f>
        <v>0</v>
      </c>
      <c r="M2837">
        <f>_xlfn.XLOOKUP(TablaDatos[[#This Row],[PacienteID]],'Datos_Ejemplo.csv'!A:A,'Datos_Ejemplo.csv'!I:I)</f>
        <v>14</v>
      </c>
      <c r="N2837">
        <f>ABS(TablaDatos[[#This Row],[DiasOriginal]])</f>
        <v>14</v>
      </c>
      <c r="O2837" s="1">
        <f>TablaDatos[[#This Row],[FechaIngreso]]+TablaDatos[[#This Row],[DiasNuevo]]</f>
        <v>45611</v>
      </c>
    </row>
    <row r="2838" spans="1:15">
      <c r="A2838">
        <v>2837</v>
      </c>
      <c r="B2838" t="s">
        <v>353</v>
      </c>
      <c r="C2838" s="1">
        <v>15341</v>
      </c>
      <c r="D2838">
        <v>84</v>
      </c>
      <c r="E2838" s="4" t="s">
        <v>15</v>
      </c>
      <c r="F2838" t="s">
        <v>18</v>
      </c>
      <c r="G2838" s="1">
        <v>45131</v>
      </c>
      <c r="H2838" s="1">
        <f>TablaDatos[[#This Row],[FechaIngreso]]+TablaDatos[[#This Row],[DiasNuevo]]</f>
        <v>45162</v>
      </c>
      <c r="I2838">
        <v>31</v>
      </c>
      <c r="J2838" t="s">
        <v>23</v>
      </c>
      <c r="K2838" s="3">
        <v>19764.919999999998</v>
      </c>
      <c r="L2838" t="b">
        <f>TablaDatos[[#This Row],[FechaAlta]] &lt; TablaDatos[[#This Row],[FechaIngreso]]</f>
        <v>0</v>
      </c>
      <c r="M2838">
        <f>_xlfn.XLOOKUP(TablaDatos[[#This Row],[PacienteID]],'Datos_Ejemplo.csv'!A:A,'Datos_Ejemplo.csv'!I:I)</f>
        <v>31</v>
      </c>
      <c r="N2838">
        <f>ABS(TablaDatos[[#This Row],[DiasOriginal]])</f>
        <v>31</v>
      </c>
      <c r="O2838" s="1">
        <f>TablaDatos[[#This Row],[FechaIngreso]]+TablaDatos[[#This Row],[DiasNuevo]]</f>
        <v>45162</v>
      </c>
    </row>
    <row r="2839" spans="1:15">
      <c r="A2839">
        <v>2838</v>
      </c>
      <c r="B2839" t="s">
        <v>233</v>
      </c>
      <c r="C2839" s="1">
        <v>26664</v>
      </c>
      <c r="D2839">
        <f ca="1">DATEDIF(TablaDatos[[#This Row],[FechaNacimiento]],TODAY(),"Y")</f>
        <v>53</v>
      </c>
      <c r="E2839" s="4" t="s">
        <v>12</v>
      </c>
      <c r="F2839" t="s">
        <v>32</v>
      </c>
      <c r="G2839" s="1">
        <v>45464</v>
      </c>
      <c r="H2839" s="1">
        <f>TablaDatos[[#This Row],[FechaIngreso]]+TablaDatos[[#This Row],[DiasNuevo]]</f>
        <v>45483</v>
      </c>
      <c r="I2839">
        <v>19</v>
      </c>
      <c r="J2839" t="s">
        <v>23</v>
      </c>
      <c r="K2839" s="3">
        <v>17676.39</v>
      </c>
      <c r="L2839" t="b">
        <f>TablaDatos[[#This Row],[FechaAlta]] &lt; TablaDatos[[#This Row],[FechaIngreso]]</f>
        <v>0</v>
      </c>
      <c r="M2839">
        <f>_xlfn.XLOOKUP(TablaDatos[[#This Row],[PacienteID]],'Datos_Ejemplo.csv'!A:A,'Datos_Ejemplo.csv'!I:I)</f>
        <v>19</v>
      </c>
      <c r="N2839">
        <f>ABS(TablaDatos[[#This Row],[DiasOriginal]])</f>
        <v>19</v>
      </c>
      <c r="O2839" s="1">
        <f>TablaDatos[[#This Row],[FechaIngreso]]+TablaDatos[[#This Row],[DiasNuevo]]</f>
        <v>45483</v>
      </c>
    </row>
    <row r="2840" spans="1:15">
      <c r="A2840">
        <v>2839</v>
      </c>
      <c r="B2840" t="s">
        <v>136</v>
      </c>
      <c r="C2840" s="1">
        <v>38717</v>
      </c>
      <c r="D2840">
        <v>20</v>
      </c>
      <c r="E2840" s="4" t="s">
        <v>15</v>
      </c>
      <c r="F2840" t="s">
        <v>295</v>
      </c>
      <c r="G2840" s="1">
        <v>45245</v>
      </c>
      <c r="H2840" s="1">
        <f>TablaDatos[[#This Row],[FechaIngreso]]+TablaDatos[[#This Row],[DiasNuevo]]</f>
        <v>45274</v>
      </c>
      <c r="I2840">
        <v>29</v>
      </c>
      <c r="J2840" t="s">
        <v>23</v>
      </c>
      <c r="K2840" s="3">
        <v>17273.43</v>
      </c>
      <c r="L2840" t="b">
        <f>TablaDatos[[#This Row],[FechaAlta]] &lt; TablaDatos[[#This Row],[FechaIngreso]]</f>
        <v>0</v>
      </c>
      <c r="M2840">
        <f>_xlfn.XLOOKUP(TablaDatos[[#This Row],[PacienteID]],'Datos_Ejemplo.csv'!A:A,'Datos_Ejemplo.csv'!I:I)</f>
        <v>29</v>
      </c>
      <c r="N2840">
        <f>ABS(TablaDatos[[#This Row],[DiasOriginal]])</f>
        <v>29</v>
      </c>
      <c r="O2840" s="1">
        <f>TablaDatos[[#This Row],[FechaIngreso]]+TablaDatos[[#This Row],[DiasNuevo]]</f>
        <v>45274</v>
      </c>
    </row>
    <row r="2841" spans="1:15">
      <c r="A2841">
        <v>2840</v>
      </c>
      <c r="B2841" t="s">
        <v>368</v>
      </c>
      <c r="C2841" s="1">
        <v>19359</v>
      </c>
      <c r="D2841">
        <v>73</v>
      </c>
      <c r="E2841" s="4" t="s">
        <v>15</v>
      </c>
      <c r="F2841" t="s">
        <v>261</v>
      </c>
      <c r="G2841" s="1">
        <v>45085</v>
      </c>
      <c r="H2841" s="1">
        <f>TablaDatos[[#This Row],[FechaIngreso]]+TablaDatos[[#This Row],[DiasNuevo]]</f>
        <v>45094</v>
      </c>
      <c r="I2841">
        <v>9</v>
      </c>
      <c r="J2841" t="s">
        <v>19</v>
      </c>
      <c r="K2841" s="3">
        <v>4873.95</v>
      </c>
      <c r="L2841" t="b">
        <f>TablaDatos[[#This Row],[FechaAlta]] &lt; TablaDatos[[#This Row],[FechaIngreso]]</f>
        <v>0</v>
      </c>
      <c r="M2841">
        <f>_xlfn.XLOOKUP(TablaDatos[[#This Row],[PacienteID]],'Datos_Ejemplo.csv'!A:A,'Datos_Ejemplo.csv'!I:I)</f>
        <v>9</v>
      </c>
      <c r="N2841">
        <f>ABS(TablaDatos[[#This Row],[DiasOriginal]])</f>
        <v>9</v>
      </c>
      <c r="O2841" s="1">
        <f>TablaDatos[[#This Row],[FechaIngreso]]+TablaDatos[[#This Row],[DiasNuevo]]</f>
        <v>45094</v>
      </c>
    </row>
    <row r="2842" spans="1:15">
      <c r="A2842">
        <v>2841</v>
      </c>
      <c r="B2842" t="s">
        <v>281</v>
      </c>
      <c r="C2842" s="1">
        <v>32508</v>
      </c>
      <c r="D2842">
        <v>37</v>
      </c>
      <c r="E2842" s="4" t="s">
        <v>15</v>
      </c>
      <c r="F2842" t="s">
        <v>18</v>
      </c>
      <c r="G2842" s="1">
        <v>45204</v>
      </c>
      <c r="H2842" s="1">
        <f>TablaDatos[[#This Row],[FechaIngreso]]+TablaDatos[[#This Row],[DiasNuevo]]</f>
        <v>45217</v>
      </c>
      <c r="I2842">
        <v>13</v>
      </c>
      <c r="J2842" t="s">
        <v>19</v>
      </c>
      <c r="K2842" s="3">
        <v>16743.490000000002</v>
      </c>
      <c r="L2842" t="b">
        <f>TablaDatos[[#This Row],[FechaAlta]] &lt; TablaDatos[[#This Row],[FechaIngreso]]</f>
        <v>0</v>
      </c>
      <c r="M2842">
        <f>_xlfn.XLOOKUP(TablaDatos[[#This Row],[PacienteID]],'Datos_Ejemplo.csv'!A:A,'Datos_Ejemplo.csv'!I:I)</f>
        <v>13</v>
      </c>
      <c r="N2842">
        <f>ABS(TablaDatos[[#This Row],[DiasOriginal]])</f>
        <v>13</v>
      </c>
      <c r="O2842" s="1">
        <f>TablaDatos[[#This Row],[FechaIngreso]]+TablaDatos[[#This Row],[DiasNuevo]]</f>
        <v>45217</v>
      </c>
    </row>
    <row r="2843" spans="1:15">
      <c r="A2843">
        <v>2842</v>
      </c>
      <c r="B2843" t="s">
        <v>363</v>
      </c>
      <c r="C2843" s="1">
        <v>29586</v>
      </c>
      <c r="D2843">
        <v>45</v>
      </c>
      <c r="E2843" s="4" t="s">
        <v>12</v>
      </c>
      <c r="F2843" t="s">
        <v>295</v>
      </c>
      <c r="G2843" s="1">
        <v>45074</v>
      </c>
      <c r="H2843" s="1">
        <f>TablaDatos[[#This Row],[FechaIngreso]]+TablaDatos[[#This Row],[DiasNuevo]]</f>
        <v>45093</v>
      </c>
      <c r="I2843">
        <v>19</v>
      </c>
      <c r="J2843" t="s">
        <v>25</v>
      </c>
      <c r="K2843" s="3">
        <v>3302.55</v>
      </c>
      <c r="L2843" t="b">
        <f>TablaDatos[[#This Row],[FechaAlta]] &lt; TablaDatos[[#This Row],[FechaIngreso]]</f>
        <v>0</v>
      </c>
      <c r="M2843">
        <f>_xlfn.XLOOKUP(TablaDatos[[#This Row],[PacienteID]],'Datos_Ejemplo.csv'!A:A,'Datos_Ejemplo.csv'!I:I)</f>
        <v>19</v>
      </c>
      <c r="N2843">
        <f>ABS(TablaDatos[[#This Row],[DiasOriginal]])</f>
        <v>19</v>
      </c>
      <c r="O2843" s="1">
        <f>TablaDatos[[#This Row],[FechaIngreso]]+TablaDatos[[#This Row],[DiasNuevo]]</f>
        <v>45093</v>
      </c>
    </row>
    <row r="2844" spans="1:15">
      <c r="A2844">
        <v>2843</v>
      </c>
      <c r="B2844" t="s">
        <v>343</v>
      </c>
      <c r="C2844" s="1">
        <v>44927</v>
      </c>
      <c r="D2844">
        <v>3</v>
      </c>
      <c r="E2844" s="4" t="s">
        <v>12</v>
      </c>
      <c r="F2844" t="s">
        <v>21</v>
      </c>
      <c r="G2844" s="1">
        <v>45009</v>
      </c>
      <c r="H2844" s="1">
        <f>TablaDatos[[#This Row],[FechaIngreso]]+TablaDatos[[#This Row],[DiasNuevo]]</f>
        <v>45044</v>
      </c>
      <c r="I2844">
        <v>35</v>
      </c>
      <c r="J2844" t="s">
        <v>25</v>
      </c>
      <c r="K2844" s="3">
        <v>3881.96</v>
      </c>
      <c r="L2844" t="b">
        <f>TablaDatos[[#This Row],[FechaAlta]] &lt; TablaDatos[[#This Row],[FechaIngreso]]</f>
        <v>0</v>
      </c>
      <c r="M2844">
        <f>_xlfn.XLOOKUP(TablaDatos[[#This Row],[PacienteID]],'Datos_Ejemplo.csv'!A:A,'Datos_Ejemplo.csv'!I:I)</f>
        <v>35</v>
      </c>
      <c r="N2844">
        <f>ABS(TablaDatos[[#This Row],[DiasOriginal]])</f>
        <v>35</v>
      </c>
      <c r="O2844" s="1">
        <f>TablaDatos[[#This Row],[FechaIngreso]]+TablaDatos[[#This Row],[DiasNuevo]]</f>
        <v>45044</v>
      </c>
    </row>
    <row r="2845" spans="1:15">
      <c r="A2845">
        <v>2844</v>
      </c>
      <c r="B2845" t="s">
        <v>52</v>
      </c>
      <c r="C2845" s="1">
        <v>24473</v>
      </c>
      <c r="D2845">
        <v>59</v>
      </c>
      <c r="E2845" s="4" t="s">
        <v>12</v>
      </c>
      <c r="F2845" t="s">
        <v>261</v>
      </c>
      <c r="G2845" s="1">
        <v>45345</v>
      </c>
      <c r="H2845" s="1">
        <f>TablaDatos[[#This Row],[FechaIngreso]]+TablaDatos[[#This Row],[DiasNuevo]]</f>
        <v>45381</v>
      </c>
      <c r="I2845">
        <v>36</v>
      </c>
      <c r="J2845" t="s">
        <v>23</v>
      </c>
      <c r="K2845" s="3">
        <v>2113.35</v>
      </c>
      <c r="L2845" t="b">
        <f>TablaDatos[[#This Row],[FechaAlta]] &lt; TablaDatos[[#This Row],[FechaIngreso]]</f>
        <v>0</v>
      </c>
      <c r="M2845">
        <f>_xlfn.XLOOKUP(TablaDatos[[#This Row],[PacienteID]],'Datos_Ejemplo.csv'!A:A,'Datos_Ejemplo.csv'!I:I)</f>
        <v>36</v>
      </c>
      <c r="N2845">
        <f>ABS(TablaDatos[[#This Row],[DiasOriginal]])</f>
        <v>36</v>
      </c>
      <c r="O2845" s="1">
        <f>TablaDatos[[#This Row],[FechaIngreso]]+TablaDatos[[#This Row],[DiasNuevo]]</f>
        <v>45381</v>
      </c>
    </row>
    <row r="2846" spans="1:15">
      <c r="A2846">
        <v>2845</v>
      </c>
      <c r="B2846" t="s">
        <v>337</v>
      </c>
      <c r="C2846" s="1">
        <v>25568</v>
      </c>
      <c r="D2846">
        <v>56</v>
      </c>
      <c r="E2846" s="4" t="s">
        <v>15</v>
      </c>
      <c r="F2846" t="s">
        <v>261</v>
      </c>
      <c r="G2846" s="1">
        <v>45464</v>
      </c>
      <c r="H2846" s="1">
        <f>TablaDatos[[#This Row],[FechaIngreso]]+TablaDatos[[#This Row],[DiasNuevo]]</f>
        <v>45465</v>
      </c>
      <c r="I2846">
        <v>1</v>
      </c>
      <c r="J2846" t="s">
        <v>23</v>
      </c>
      <c r="K2846" s="3">
        <v>17137.689999999999</v>
      </c>
      <c r="L2846" t="b">
        <f>TablaDatos[[#This Row],[FechaAlta]] &lt; TablaDatos[[#This Row],[FechaIngreso]]</f>
        <v>0</v>
      </c>
      <c r="M2846">
        <f>_xlfn.XLOOKUP(TablaDatos[[#This Row],[PacienteID]],'Datos_Ejemplo.csv'!A:A,'Datos_Ejemplo.csv'!I:I)</f>
        <v>-1</v>
      </c>
      <c r="N2846">
        <f>ABS(TablaDatos[[#This Row],[DiasOriginal]])</f>
        <v>1</v>
      </c>
      <c r="O2846" s="1">
        <f>TablaDatos[[#This Row],[FechaIngreso]]+TablaDatos[[#This Row],[DiasNuevo]]</f>
        <v>45465</v>
      </c>
    </row>
    <row r="2847" spans="1:15">
      <c r="A2847">
        <v>2846</v>
      </c>
      <c r="B2847" t="s">
        <v>325</v>
      </c>
      <c r="C2847" s="1">
        <v>29951</v>
      </c>
      <c r="D2847">
        <v>44</v>
      </c>
      <c r="E2847" s="4" t="s">
        <v>12</v>
      </c>
      <c r="F2847" t="s">
        <v>13</v>
      </c>
      <c r="G2847" s="1">
        <v>45509</v>
      </c>
      <c r="H2847" s="1">
        <f>TablaDatos[[#This Row],[FechaIngreso]]+TablaDatos[[#This Row],[DiasNuevo]]</f>
        <v>45514</v>
      </c>
      <c r="I2847">
        <v>5</v>
      </c>
      <c r="J2847" t="s">
        <v>19</v>
      </c>
      <c r="K2847" s="3">
        <v>2075.92</v>
      </c>
      <c r="L2847" t="b">
        <f>TablaDatos[[#This Row],[FechaAlta]] &lt; TablaDatos[[#This Row],[FechaIngreso]]</f>
        <v>0</v>
      </c>
      <c r="M2847">
        <f>_xlfn.XLOOKUP(TablaDatos[[#This Row],[PacienteID]],'Datos_Ejemplo.csv'!A:A,'Datos_Ejemplo.csv'!I:I)</f>
        <v>5</v>
      </c>
      <c r="N2847">
        <f>ABS(TablaDatos[[#This Row],[DiasOriginal]])</f>
        <v>5</v>
      </c>
      <c r="O2847" s="1">
        <f>TablaDatos[[#This Row],[FechaIngreso]]+TablaDatos[[#This Row],[DiasNuevo]]</f>
        <v>45514</v>
      </c>
    </row>
    <row r="2848" spans="1:15">
      <c r="A2848">
        <v>2847</v>
      </c>
      <c r="B2848" t="s">
        <v>164</v>
      </c>
      <c r="C2848" s="1">
        <v>39083</v>
      </c>
      <c r="D2848">
        <f ca="1">DATEDIF(TablaDatos[[#This Row],[FechaNacimiento]],TODAY(),"Y")</f>
        <v>19</v>
      </c>
      <c r="E2848" s="4" t="s">
        <v>12</v>
      </c>
      <c r="F2848" t="s">
        <v>21</v>
      </c>
      <c r="G2848" s="1">
        <v>45475</v>
      </c>
      <c r="H2848" s="1">
        <f>TablaDatos[[#This Row],[FechaIngreso]]+TablaDatos[[#This Row],[DiasNuevo]]</f>
        <v>45477</v>
      </c>
      <c r="I2848">
        <v>2</v>
      </c>
      <c r="J2848" t="s">
        <v>23</v>
      </c>
      <c r="K2848" s="3">
        <v>2676.04</v>
      </c>
      <c r="L2848" t="b">
        <f>TablaDatos[[#This Row],[FechaAlta]] &lt; TablaDatos[[#This Row],[FechaIngreso]]</f>
        <v>0</v>
      </c>
      <c r="M2848">
        <f>_xlfn.XLOOKUP(TablaDatos[[#This Row],[PacienteID]],'Datos_Ejemplo.csv'!A:A,'Datos_Ejemplo.csv'!I:I)</f>
        <v>-2</v>
      </c>
      <c r="N2848">
        <f>ABS(TablaDatos[[#This Row],[DiasOriginal]])</f>
        <v>2</v>
      </c>
      <c r="O2848" s="1">
        <f>TablaDatos[[#This Row],[FechaIngreso]]+TablaDatos[[#This Row],[DiasNuevo]]</f>
        <v>45477</v>
      </c>
    </row>
    <row r="2849" spans="1:15">
      <c r="A2849">
        <v>2848</v>
      </c>
      <c r="B2849" t="s">
        <v>274</v>
      </c>
      <c r="C2849" s="1">
        <v>40178</v>
      </c>
      <c r="D2849">
        <v>16</v>
      </c>
      <c r="E2849" s="4" t="s">
        <v>15</v>
      </c>
      <c r="F2849" t="s">
        <v>21</v>
      </c>
      <c r="G2849" s="1">
        <v>45318</v>
      </c>
      <c r="H2849" s="1">
        <f>TablaDatos[[#This Row],[FechaIngreso]]+TablaDatos[[#This Row],[DiasNuevo]]</f>
        <v>45356</v>
      </c>
      <c r="I2849">
        <v>38</v>
      </c>
      <c r="J2849" t="s">
        <v>19</v>
      </c>
      <c r="K2849" s="3">
        <v>4842.33</v>
      </c>
      <c r="L2849" t="b">
        <f>TablaDatos[[#This Row],[FechaAlta]] &lt; TablaDatos[[#This Row],[FechaIngreso]]</f>
        <v>0</v>
      </c>
      <c r="M2849">
        <f>_xlfn.XLOOKUP(TablaDatos[[#This Row],[PacienteID]],'Datos_Ejemplo.csv'!A:A,'Datos_Ejemplo.csv'!I:I)</f>
        <v>38</v>
      </c>
      <c r="N2849">
        <f>ABS(TablaDatos[[#This Row],[DiasOriginal]])</f>
        <v>38</v>
      </c>
      <c r="O2849" s="1">
        <f>TablaDatos[[#This Row],[FechaIngreso]]+TablaDatos[[#This Row],[DiasNuevo]]</f>
        <v>45356</v>
      </c>
    </row>
    <row r="2850" spans="1:15">
      <c r="A2850">
        <v>2849</v>
      </c>
      <c r="B2850" t="s">
        <v>267</v>
      </c>
      <c r="C2850" s="1">
        <v>20455</v>
      </c>
      <c r="D2850">
        <v>70</v>
      </c>
      <c r="E2850" s="4" t="s">
        <v>12</v>
      </c>
      <c r="F2850" t="s">
        <v>261</v>
      </c>
      <c r="G2850" s="1">
        <v>45059</v>
      </c>
      <c r="H2850" s="1">
        <f>TablaDatos[[#This Row],[FechaIngreso]]+TablaDatos[[#This Row],[DiasNuevo]]</f>
        <v>45096</v>
      </c>
      <c r="I2850">
        <v>37</v>
      </c>
      <c r="J2850" t="s">
        <v>23</v>
      </c>
      <c r="K2850" s="3">
        <v>11410.51</v>
      </c>
      <c r="L2850" t="b">
        <f>TablaDatos[[#This Row],[FechaAlta]] &lt; TablaDatos[[#This Row],[FechaIngreso]]</f>
        <v>0</v>
      </c>
      <c r="M2850">
        <f>_xlfn.XLOOKUP(TablaDatos[[#This Row],[PacienteID]],'Datos_Ejemplo.csv'!A:A,'Datos_Ejemplo.csv'!I:I)</f>
        <v>37</v>
      </c>
      <c r="N2850">
        <f>ABS(TablaDatos[[#This Row],[DiasOriginal]])</f>
        <v>37</v>
      </c>
      <c r="O2850" s="1">
        <f>TablaDatos[[#This Row],[FechaIngreso]]+TablaDatos[[#This Row],[DiasNuevo]]</f>
        <v>45096</v>
      </c>
    </row>
    <row r="2851" spans="1:15">
      <c r="A2851">
        <v>2850</v>
      </c>
      <c r="B2851" t="s">
        <v>162</v>
      </c>
      <c r="C2851" s="1">
        <v>44927</v>
      </c>
      <c r="D2851">
        <v>3</v>
      </c>
      <c r="E2851" s="4" t="s">
        <v>12</v>
      </c>
      <c r="F2851" t="s">
        <v>32</v>
      </c>
      <c r="G2851" s="1">
        <v>45564</v>
      </c>
      <c r="H2851" s="1">
        <f>TablaDatos[[#This Row],[FechaIngreso]]+TablaDatos[[#This Row],[DiasNuevo]]</f>
        <v>45602</v>
      </c>
      <c r="I2851">
        <v>38</v>
      </c>
      <c r="J2851" t="s">
        <v>23</v>
      </c>
      <c r="K2851" s="3">
        <v>17591.62</v>
      </c>
      <c r="L2851" t="b">
        <f>TablaDatos[[#This Row],[FechaAlta]] &lt; TablaDatos[[#This Row],[FechaIngreso]]</f>
        <v>0</v>
      </c>
      <c r="M2851">
        <f>_xlfn.XLOOKUP(TablaDatos[[#This Row],[PacienteID]],'Datos_Ejemplo.csv'!A:A,'Datos_Ejemplo.csv'!I:I)</f>
        <v>38</v>
      </c>
      <c r="N2851">
        <f>ABS(TablaDatos[[#This Row],[DiasOriginal]])</f>
        <v>38</v>
      </c>
      <c r="O2851" s="1">
        <f>TablaDatos[[#This Row],[FechaIngreso]]+TablaDatos[[#This Row],[DiasNuevo]]</f>
        <v>45602</v>
      </c>
    </row>
    <row r="2852" spans="1:15">
      <c r="A2852">
        <v>2851</v>
      </c>
      <c r="B2852" t="s">
        <v>232</v>
      </c>
      <c r="C2852" s="1">
        <v>12419</v>
      </c>
      <c r="D2852">
        <v>92</v>
      </c>
      <c r="E2852" s="4" t="s">
        <v>12</v>
      </c>
      <c r="F2852" t="s">
        <v>201</v>
      </c>
      <c r="G2852" s="1">
        <v>45553</v>
      </c>
      <c r="H2852" s="1">
        <f>TablaDatos[[#This Row],[FechaIngreso]]+TablaDatos[[#This Row],[DiasNuevo]]</f>
        <v>45555</v>
      </c>
      <c r="I2852">
        <v>2</v>
      </c>
      <c r="J2852" t="s">
        <v>25</v>
      </c>
      <c r="K2852" s="3">
        <v>8306.39</v>
      </c>
      <c r="L2852" t="b">
        <f>TablaDatos[[#This Row],[FechaAlta]] &lt; TablaDatos[[#This Row],[FechaIngreso]]</f>
        <v>0</v>
      </c>
      <c r="M2852">
        <f>_xlfn.XLOOKUP(TablaDatos[[#This Row],[PacienteID]],'Datos_Ejemplo.csv'!A:A,'Datos_Ejemplo.csv'!I:I)</f>
        <v>2</v>
      </c>
      <c r="N2852">
        <f>ABS(TablaDatos[[#This Row],[DiasOriginal]])</f>
        <v>2</v>
      </c>
      <c r="O2852" s="1">
        <f>TablaDatos[[#This Row],[FechaIngreso]]+TablaDatos[[#This Row],[DiasNuevo]]</f>
        <v>45555</v>
      </c>
    </row>
    <row r="2853" spans="1:15">
      <c r="A2853">
        <v>2852</v>
      </c>
      <c r="B2853" t="s">
        <v>244</v>
      </c>
      <c r="C2853" s="1">
        <v>41274</v>
      </c>
      <c r="D2853">
        <v>13</v>
      </c>
      <c r="E2853" s="4" t="s">
        <v>15</v>
      </c>
      <c r="F2853" t="s">
        <v>18</v>
      </c>
      <c r="G2853" s="1">
        <v>45530</v>
      </c>
      <c r="H2853" s="1">
        <f>TablaDatos[[#This Row],[FechaIngreso]]+TablaDatos[[#This Row],[DiasNuevo]]</f>
        <v>45563</v>
      </c>
      <c r="I2853">
        <v>33</v>
      </c>
      <c r="J2853" t="s">
        <v>23</v>
      </c>
      <c r="K2853" s="3">
        <v>10880.35</v>
      </c>
      <c r="L2853" t="b">
        <f>TablaDatos[[#This Row],[FechaAlta]] &lt; TablaDatos[[#This Row],[FechaIngreso]]</f>
        <v>0</v>
      </c>
      <c r="M2853">
        <f>_xlfn.XLOOKUP(TablaDatos[[#This Row],[PacienteID]],'Datos_Ejemplo.csv'!A:A,'Datos_Ejemplo.csv'!I:I)</f>
        <v>33</v>
      </c>
      <c r="N2853">
        <f>ABS(TablaDatos[[#This Row],[DiasOriginal]])</f>
        <v>33</v>
      </c>
      <c r="O2853" s="1">
        <f>TablaDatos[[#This Row],[FechaIngreso]]+TablaDatos[[#This Row],[DiasNuevo]]</f>
        <v>45563</v>
      </c>
    </row>
    <row r="2854" spans="1:15">
      <c r="A2854">
        <v>2853</v>
      </c>
      <c r="B2854" t="s">
        <v>364</v>
      </c>
      <c r="C2854" s="1">
        <v>45292</v>
      </c>
      <c r="D2854">
        <v>2</v>
      </c>
      <c r="E2854" s="4" t="s">
        <v>15</v>
      </c>
      <c r="F2854" t="s">
        <v>13</v>
      </c>
      <c r="G2854" s="1">
        <v>45168</v>
      </c>
      <c r="H2854" s="1">
        <f>TablaDatos[[#This Row],[FechaIngreso]]+TablaDatos[[#This Row],[DiasNuevo]]</f>
        <v>45182</v>
      </c>
      <c r="I2854">
        <v>14</v>
      </c>
      <c r="J2854" t="s">
        <v>25</v>
      </c>
      <c r="K2854" s="3">
        <v>3246.44</v>
      </c>
      <c r="L2854" t="b">
        <f>TablaDatos[[#This Row],[FechaAlta]] &lt; TablaDatos[[#This Row],[FechaIngreso]]</f>
        <v>0</v>
      </c>
      <c r="M2854">
        <f>_xlfn.XLOOKUP(TablaDatos[[#This Row],[PacienteID]],'Datos_Ejemplo.csv'!A:A,'Datos_Ejemplo.csv'!I:I)</f>
        <v>14</v>
      </c>
      <c r="N2854">
        <f>ABS(TablaDatos[[#This Row],[DiasOriginal]])</f>
        <v>14</v>
      </c>
      <c r="O2854" s="1">
        <f>TablaDatos[[#This Row],[FechaIngreso]]+TablaDatos[[#This Row],[DiasNuevo]]</f>
        <v>45182</v>
      </c>
    </row>
    <row r="2855" spans="1:15">
      <c r="A2855">
        <v>2854</v>
      </c>
      <c r="B2855" t="s">
        <v>332</v>
      </c>
      <c r="C2855" s="1">
        <v>14246</v>
      </c>
      <c r="D2855">
        <v>87</v>
      </c>
      <c r="E2855" s="4" t="s">
        <v>15</v>
      </c>
      <c r="F2855" t="s">
        <v>21</v>
      </c>
      <c r="G2855" s="1">
        <v>45377</v>
      </c>
      <c r="H2855" s="1">
        <f>TablaDatos[[#This Row],[FechaIngreso]]+TablaDatos[[#This Row],[DiasNuevo]]</f>
        <v>45415</v>
      </c>
      <c r="I2855">
        <v>38</v>
      </c>
      <c r="J2855" t="s">
        <v>23</v>
      </c>
      <c r="K2855" s="3">
        <v>5245.51</v>
      </c>
      <c r="L2855" t="b">
        <f>TablaDatos[[#This Row],[FechaAlta]] &lt; TablaDatos[[#This Row],[FechaIngreso]]</f>
        <v>0</v>
      </c>
      <c r="M2855">
        <f>_xlfn.XLOOKUP(TablaDatos[[#This Row],[PacienteID]],'Datos_Ejemplo.csv'!A:A,'Datos_Ejemplo.csv'!I:I)</f>
        <v>38</v>
      </c>
      <c r="N2855">
        <f>ABS(TablaDatos[[#This Row],[DiasOriginal]])</f>
        <v>38</v>
      </c>
      <c r="O2855" s="1">
        <f>TablaDatos[[#This Row],[FechaIngreso]]+TablaDatos[[#This Row],[DiasNuevo]]</f>
        <v>45415</v>
      </c>
    </row>
    <row r="2856" spans="1:15">
      <c r="A2856">
        <v>2855</v>
      </c>
      <c r="B2856" t="s">
        <v>312</v>
      </c>
      <c r="C2856" s="1">
        <v>17168</v>
      </c>
      <c r="D2856">
        <v>79</v>
      </c>
      <c r="E2856" s="4" t="s">
        <v>15</v>
      </c>
      <c r="F2856" t="s">
        <v>13</v>
      </c>
      <c r="G2856" s="1">
        <v>45126</v>
      </c>
      <c r="H2856" s="1">
        <f>TablaDatos[[#This Row],[FechaIngreso]]+TablaDatos[[#This Row],[DiasNuevo]]</f>
        <v>45153</v>
      </c>
      <c r="I2856">
        <v>27</v>
      </c>
      <c r="J2856" t="s">
        <v>23</v>
      </c>
      <c r="K2856" s="3">
        <v>2591.91</v>
      </c>
      <c r="L2856" t="b">
        <f>TablaDatos[[#This Row],[FechaAlta]] &lt; TablaDatos[[#This Row],[FechaIngreso]]</f>
        <v>0</v>
      </c>
      <c r="M2856">
        <f>_xlfn.XLOOKUP(TablaDatos[[#This Row],[PacienteID]],'Datos_Ejemplo.csv'!A:A,'Datos_Ejemplo.csv'!I:I)</f>
        <v>27</v>
      </c>
      <c r="N2856">
        <f>ABS(TablaDatos[[#This Row],[DiasOriginal]])</f>
        <v>27</v>
      </c>
      <c r="O2856" s="1">
        <f>TablaDatos[[#This Row],[FechaIngreso]]+TablaDatos[[#This Row],[DiasNuevo]]</f>
        <v>45153</v>
      </c>
    </row>
    <row r="2857" spans="1:15">
      <c r="A2857">
        <v>2856</v>
      </c>
      <c r="B2857" t="s">
        <v>55</v>
      </c>
      <c r="C2857" s="1">
        <v>25203</v>
      </c>
      <c r="D2857">
        <v>57</v>
      </c>
      <c r="E2857" s="4" t="s">
        <v>12</v>
      </c>
      <c r="F2857" t="s">
        <v>261</v>
      </c>
      <c r="G2857" s="1">
        <v>45645</v>
      </c>
      <c r="H2857" s="1">
        <f>TablaDatos[[#This Row],[FechaIngreso]]+TablaDatos[[#This Row],[DiasNuevo]]</f>
        <v>45657</v>
      </c>
      <c r="I2857">
        <v>12</v>
      </c>
      <c r="J2857" t="s">
        <v>19</v>
      </c>
      <c r="K2857" s="3">
        <v>8139.37</v>
      </c>
      <c r="L2857" t="b">
        <f>TablaDatos[[#This Row],[FechaAlta]] &lt; TablaDatos[[#This Row],[FechaIngreso]]</f>
        <v>0</v>
      </c>
      <c r="M2857">
        <f>_xlfn.XLOOKUP(TablaDatos[[#This Row],[PacienteID]],'Datos_Ejemplo.csv'!A:A,'Datos_Ejemplo.csv'!I:I)</f>
        <v>12</v>
      </c>
      <c r="N2857">
        <f>ABS(TablaDatos[[#This Row],[DiasOriginal]])</f>
        <v>12</v>
      </c>
      <c r="O2857" s="1">
        <f>TablaDatos[[#This Row],[FechaIngreso]]+TablaDatos[[#This Row],[DiasNuevo]]</f>
        <v>45657</v>
      </c>
    </row>
    <row r="2858" spans="1:15">
      <c r="A2858">
        <v>2857</v>
      </c>
      <c r="B2858" t="s">
        <v>353</v>
      </c>
      <c r="C2858" s="1">
        <v>26299</v>
      </c>
      <c r="D2858">
        <v>54</v>
      </c>
      <c r="E2858" s="4" t="s">
        <v>15</v>
      </c>
      <c r="F2858" t="s">
        <v>18</v>
      </c>
      <c r="G2858" s="1">
        <v>45043</v>
      </c>
      <c r="H2858" s="1">
        <f>TablaDatos[[#This Row],[FechaIngreso]]+TablaDatos[[#This Row],[DiasNuevo]]</f>
        <v>45060</v>
      </c>
      <c r="I2858">
        <v>17</v>
      </c>
      <c r="J2858" t="s">
        <v>25</v>
      </c>
      <c r="K2858" s="3">
        <v>11765.75</v>
      </c>
      <c r="L2858" t="b">
        <f>TablaDatos[[#This Row],[FechaAlta]] &lt; TablaDatos[[#This Row],[FechaIngreso]]</f>
        <v>0</v>
      </c>
      <c r="M2858">
        <f>_xlfn.XLOOKUP(TablaDatos[[#This Row],[PacienteID]],'Datos_Ejemplo.csv'!A:A,'Datos_Ejemplo.csv'!I:I)</f>
        <v>17</v>
      </c>
      <c r="N2858">
        <f>ABS(TablaDatos[[#This Row],[DiasOriginal]])</f>
        <v>17</v>
      </c>
      <c r="O2858" s="1">
        <f>TablaDatos[[#This Row],[FechaIngreso]]+TablaDatos[[#This Row],[DiasNuevo]]</f>
        <v>45060</v>
      </c>
    </row>
    <row r="2859" spans="1:15">
      <c r="A2859">
        <v>2858</v>
      </c>
      <c r="B2859" t="s">
        <v>365</v>
      </c>
      <c r="C2859" s="1">
        <v>44927</v>
      </c>
      <c r="D2859">
        <v>3</v>
      </c>
      <c r="E2859" s="4" t="s">
        <v>12</v>
      </c>
      <c r="F2859" t="s">
        <v>295</v>
      </c>
      <c r="G2859" s="1">
        <v>45145</v>
      </c>
      <c r="H2859" s="1">
        <f>TablaDatos[[#This Row],[FechaIngreso]]+TablaDatos[[#This Row],[DiasNuevo]]</f>
        <v>45178</v>
      </c>
      <c r="I2859">
        <v>33</v>
      </c>
      <c r="J2859" t="s">
        <v>23</v>
      </c>
      <c r="K2859" s="3">
        <v>5608.79</v>
      </c>
      <c r="L2859" t="b">
        <f>TablaDatos[[#This Row],[FechaAlta]] &lt; TablaDatos[[#This Row],[FechaIngreso]]</f>
        <v>0</v>
      </c>
      <c r="M2859">
        <f>_xlfn.XLOOKUP(TablaDatos[[#This Row],[PacienteID]],'Datos_Ejemplo.csv'!A:A,'Datos_Ejemplo.csv'!I:I)</f>
        <v>33</v>
      </c>
      <c r="N2859">
        <f>ABS(TablaDatos[[#This Row],[DiasOriginal]])</f>
        <v>33</v>
      </c>
      <c r="O2859" s="1">
        <f>TablaDatos[[#This Row],[FechaIngreso]]+TablaDatos[[#This Row],[DiasNuevo]]</f>
        <v>45178</v>
      </c>
    </row>
    <row r="2860" spans="1:15">
      <c r="A2860">
        <v>2859</v>
      </c>
      <c r="B2860" t="s">
        <v>350</v>
      </c>
      <c r="C2860" s="1">
        <v>37622</v>
      </c>
      <c r="D2860">
        <v>23</v>
      </c>
      <c r="E2860" s="4" t="s">
        <v>15</v>
      </c>
      <c r="F2860" t="s">
        <v>21</v>
      </c>
      <c r="G2860" s="1">
        <v>45231</v>
      </c>
      <c r="H2860" s="1">
        <f>TablaDatos[[#This Row],[FechaIngreso]]+TablaDatos[[#This Row],[DiasNuevo]]</f>
        <v>45232</v>
      </c>
      <c r="I2860">
        <v>1</v>
      </c>
      <c r="J2860" t="s">
        <v>19</v>
      </c>
      <c r="K2860" s="3">
        <v>16904.52</v>
      </c>
      <c r="L2860" t="b">
        <f>TablaDatos[[#This Row],[FechaAlta]] &lt; TablaDatos[[#This Row],[FechaIngreso]]</f>
        <v>0</v>
      </c>
      <c r="M2860">
        <f>_xlfn.XLOOKUP(TablaDatos[[#This Row],[PacienteID]],'Datos_Ejemplo.csv'!A:A,'Datos_Ejemplo.csv'!I:I)</f>
        <v>-1</v>
      </c>
      <c r="N2860">
        <f>ABS(TablaDatos[[#This Row],[DiasOriginal]])</f>
        <v>1</v>
      </c>
      <c r="O2860" s="1">
        <f>TablaDatos[[#This Row],[FechaIngreso]]+TablaDatos[[#This Row],[DiasNuevo]]</f>
        <v>45232</v>
      </c>
    </row>
    <row r="2861" spans="1:15">
      <c r="A2861">
        <v>2860</v>
      </c>
      <c r="B2861" t="s">
        <v>329</v>
      </c>
      <c r="C2861" s="1">
        <v>33969</v>
      </c>
      <c r="D2861">
        <v>33</v>
      </c>
      <c r="E2861" s="4" t="s">
        <v>15</v>
      </c>
      <c r="F2861" t="s">
        <v>18</v>
      </c>
      <c r="G2861" s="1">
        <v>45169</v>
      </c>
      <c r="H2861" s="1">
        <f>TablaDatos[[#This Row],[FechaIngreso]]+TablaDatos[[#This Row],[DiasNuevo]]</f>
        <v>45170</v>
      </c>
      <c r="I2861">
        <v>1</v>
      </c>
      <c r="J2861" t="s">
        <v>23</v>
      </c>
      <c r="K2861" s="3">
        <v>19622.89</v>
      </c>
      <c r="L2861" t="b">
        <f>TablaDatos[[#This Row],[FechaAlta]] &lt; TablaDatos[[#This Row],[FechaIngreso]]</f>
        <v>0</v>
      </c>
      <c r="M2861">
        <f>_xlfn.XLOOKUP(TablaDatos[[#This Row],[PacienteID]],'Datos_Ejemplo.csv'!A:A,'Datos_Ejemplo.csv'!I:I)</f>
        <v>1</v>
      </c>
      <c r="N2861">
        <f>ABS(TablaDatos[[#This Row],[DiasOriginal]])</f>
        <v>1</v>
      </c>
      <c r="O2861" s="1">
        <f>TablaDatos[[#This Row],[FechaIngreso]]+TablaDatos[[#This Row],[DiasNuevo]]</f>
        <v>45170</v>
      </c>
    </row>
    <row r="2862" spans="1:15">
      <c r="A2862">
        <v>2861</v>
      </c>
      <c r="B2862" t="s">
        <v>244</v>
      </c>
      <c r="C2862" s="1">
        <v>35430</v>
      </c>
      <c r="D2862">
        <v>29</v>
      </c>
      <c r="E2862" s="4" t="s">
        <v>12</v>
      </c>
      <c r="F2862" t="s">
        <v>201</v>
      </c>
      <c r="G2862" s="1">
        <v>45218</v>
      </c>
      <c r="H2862" s="1">
        <f>TablaDatos[[#This Row],[FechaIngreso]]+TablaDatos[[#This Row],[DiasNuevo]]</f>
        <v>45239</v>
      </c>
      <c r="I2862">
        <v>21</v>
      </c>
      <c r="J2862" t="s">
        <v>19</v>
      </c>
      <c r="K2862" s="3">
        <v>2315.11</v>
      </c>
      <c r="L2862" t="b">
        <f>TablaDatos[[#This Row],[FechaAlta]] &lt; TablaDatos[[#This Row],[FechaIngreso]]</f>
        <v>0</v>
      </c>
      <c r="M2862">
        <f>_xlfn.XLOOKUP(TablaDatos[[#This Row],[PacienteID]],'Datos_Ejemplo.csv'!A:A,'Datos_Ejemplo.csv'!I:I)</f>
        <v>21</v>
      </c>
      <c r="N2862">
        <f>ABS(TablaDatos[[#This Row],[DiasOriginal]])</f>
        <v>21</v>
      </c>
      <c r="O2862" s="1">
        <f>TablaDatos[[#This Row],[FechaIngreso]]+TablaDatos[[#This Row],[DiasNuevo]]</f>
        <v>45239</v>
      </c>
    </row>
    <row r="2863" spans="1:15">
      <c r="A2863">
        <v>2862</v>
      </c>
      <c r="B2863" t="s">
        <v>52</v>
      </c>
      <c r="C2863" s="1">
        <v>16437</v>
      </c>
      <c r="D2863">
        <v>81</v>
      </c>
      <c r="E2863" s="4" t="s">
        <v>15</v>
      </c>
      <c r="F2863" t="s">
        <v>13</v>
      </c>
      <c r="G2863" s="1">
        <v>45227</v>
      </c>
      <c r="H2863" s="1">
        <f>TablaDatos[[#This Row],[FechaIngreso]]+TablaDatos[[#This Row],[DiasNuevo]]</f>
        <v>45266</v>
      </c>
      <c r="I2863">
        <v>39</v>
      </c>
      <c r="J2863" t="s">
        <v>25</v>
      </c>
      <c r="K2863" s="3">
        <v>258.99</v>
      </c>
      <c r="L2863" t="b">
        <f>TablaDatos[[#This Row],[FechaAlta]] &lt; TablaDatos[[#This Row],[FechaIngreso]]</f>
        <v>0</v>
      </c>
      <c r="M2863">
        <f>_xlfn.XLOOKUP(TablaDatos[[#This Row],[PacienteID]],'Datos_Ejemplo.csv'!A:A,'Datos_Ejemplo.csv'!I:I)</f>
        <v>39</v>
      </c>
      <c r="N2863">
        <f>ABS(TablaDatos[[#This Row],[DiasOriginal]])</f>
        <v>39</v>
      </c>
      <c r="O2863" s="1">
        <f>TablaDatos[[#This Row],[FechaIngreso]]+TablaDatos[[#This Row],[DiasNuevo]]</f>
        <v>45266</v>
      </c>
    </row>
    <row r="2864" spans="1:15">
      <c r="A2864">
        <v>2863</v>
      </c>
      <c r="B2864" t="s">
        <v>281</v>
      </c>
      <c r="C2864" s="1">
        <v>39448</v>
      </c>
      <c r="D2864">
        <v>18</v>
      </c>
      <c r="E2864" s="4" t="s">
        <v>12</v>
      </c>
      <c r="F2864" t="s">
        <v>261</v>
      </c>
      <c r="G2864" s="1">
        <v>45610</v>
      </c>
      <c r="H2864" s="1">
        <f>TablaDatos[[#This Row],[FechaIngreso]]+TablaDatos[[#This Row],[DiasNuevo]]</f>
        <v>45611</v>
      </c>
      <c r="I2864">
        <v>1</v>
      </c>
      <c r="J2864" t="s">
        <v>19</v>
      </c>
      <c r="K2864" s="3">
        <v>15774.52</v>
      </c>
      <c r="L2864" t="b">
        <f>TablaDatos[[#This Row],[FechaAlta]] &lt; TablaDatos[[#This Row],[FechaIngreso]]</f>
        <v>0</v>
      </c>
      <c r="M2864">
        <f>_xlfn.XLOOKUP(TablaDatos[[#This Row],[PacienteID]],'Datos_Ejemplo.csv'!A:A,'Datos_Ejemplo.csv'!I:I)</f>
        <v>-1</v>
      </c>
      <c r="N2864">
        <f>ABS(TablaDatos[[#This Row],[DiasOriginal]])</f>
        <v>1</v>
      </c>
      <c r="O2864" s="1">
        <f>TablaDatos[[#This Row],[FechaIngreso]]+TablaDatos[[#This Row],[DiasNuevo]]</f>
        <v>45611</v>
      </c>
    </row>
    <row r="2865" spans="1:15">
      <c r="A2865">
        <v>2864</v>
      </c>
      <c r="B2865" t="s">
        <v>286</v>
      </c>
      <c r="C2865" s="1">
        <v>35065</v>
      </c>
      <c r="D2865">
        <v>30</v>
      </c>
      <c r="E2865" s="4" t="s">
        <v>15</v>
      </c>
      <c r="F2865" t="s">
        <v>18</v>
      </c>
      <c r="G2865" s="1">
        <v>45314</v>
      </c>
      <c r="H2865" s="1">
        <f>TablaDatos[[#This Row],[FechaIngreso]]+TablaDatos[[#This Row],[DiasNuevo]]</f>
        <v>45315</v>
      </c>
      <c r="I2865">
        <v>1</v>
      </c>
      <c r="J2865" t="s">
        <v>23</v>
      </c>
      <c r="K2865" s="3">
        <v>3731.92</v>
      </c>
      <c r="L2865" t="b">
        <f>TablaDatos[[#This Row],[FechaAlta]] &lt; TablaDatos[[#This Row],[FechaIngreso]]</f>
        <v>0</v>
      </c>
      <c r="M2865">
        <f>_xlfn.XLOOKUP(TablaDatos[[#This Row],[PacienteID]],'Datos_Ejemplo.csv'!A:A,'Datos_Ejemplo.csv'!I:I)</f>
        <v>-1</v>
      </c>
      <c r="N2865">
        <f>ABS(TablaDatos[[#This Row],[DiasOriginal]])</f>
        <v>1</v>
      </c>
      <c r="O2865" s="1">
        <f>TablaDatos[[#This Row],[FechaIngreso]]+TablaDatos[[#This Row],[DiasNuevo]]</f>
        <v>45315</v>
      </c>
    </row>
    <row r="2866" spans="1:15">
      <c r="A2866">
        <v>2865</v>
      </c>
      <c r="B2866" t="s">
        <v>345</v>
      </c>
      <c r="C2866" s="1">
        <v>24473</v>
      </c>
      <c r="D2866">
        <v>59</v>
      </c>
      <c r="E2866" s="4" t="s">
        <v>15</v>
      </c>
      <c r="F2866" t="s">
        <v>295</v>
      </c>
      <c r="G2866" s="1">
        <v>45514</v>
      </c>
      <c r="H2866" s="1">
        <f>TablaDatos[[#This Row],[FechaIngreso]]+TablaDatos[[#This Row],[DiasNuevo]]</f>
        <v>45516</v>
      </c>
      <c r="I2866">
        <v>2</v>
      </c>
      <c r="J2866" t="s">
        <v>19</v>
      </c>
      <c r="K2866" s="3">
        <v>6998.25</v>
      </c>
      <c r="L2866" t="b">
        <f>TablaDatos[[#This Row],[FechaAlta]] &lt; TablaDatos[[#This Row],[FechaIngreso]]</f>
        <v>0</v>
      </c>
      <c r="M2866">
        <f>_xlfn.XLOOKUP(TablaDatos[[#This Row],[PacienteID]],'Datos_Ejemplo.csv'!A:A,'Datos_Ejemplo.csv'!I:I)</f>
        <v>-2</v>
      </c>
      <c r="N2866">
        <f>ABS(TablaDatos[[#This Row],[DiasOriginal]])</f>
        <v>2</v>
      </c>
      <c r="O2866" s="1">
        <f>TablaDatos[[#This Row],[FechaIngreso]]+TablaDatos[[#This Row],[DiasNuevo]]</f>
        <v>45516</v>
      </c>
    </row>
    <row r="2867" spans="1:15">
      <c r="A2867">
        <v>2866</v>
      </c>
      <c r="B2867" t="s">
        <v>136</v>
      </c>
      <c r="C2867" s="1">
        <v>24473</v>
      </c>
      <c r="D2867">
        <v>59</v>
      </c>
      <c r="E2867" s="4" t="s">
        <v>12</v>
      </c>
      <c r="F2867" t="s">
        <v>18</v>
      </c>
      <c r="G2867" s="1">
        <v>45135</v>
      </c>
      <c r="H2867" s="1">
        <f>TablaDatos[[#This Row],[FechaIngreso]]+TablaDatos[[#This Row],[DiasNuevo]]</f>
        <v>45145</v>
      </c>
      <c r="I2867">
        <v>10</v>
      </c>
      <c r="J2867" t="s">
        <v>23</v>
      </c>
      <c r="K2867" s="3">
        <v>7824.05</v>
      </c>
      <c r="L2867" t="b">
        <f>TablaDatos[[#This Row],[FechaAlta]] &lt; TablaDatos[[#This Row],[FechaIngreso]]</f>
        <v>0</v>
      </c>
      <c r="M2867">
        <f>_xlfn.XLOOKUP(TablaDatos[[#This Row],[PacienteID]],'Datos_Ejemplo.csv'!A:A,'Datos_Ejemplo.csv'!I:I)</f>
        <v>10</v>
      </c>
      <c r="N2867">
        <f>ABS(TablaDatos[[#This Row],[DiasOriginal]])</f>
        <v>10</v>
      </c>
      <c r="O2867" s="1">
        <f>TablaDatos[[#This Row],[FechaIngreso]]+TablaDatos[[#This Row],[DiasNuevo]]</f>
        <v>45145</v>
      </c>
    </row>
    <row r="2868" spans="1:15">
      <c r="A2868">
        <v>2867</v>
      </c>
      <c r="B2868" t="s">
        <v>352</v>
      </c>
      <c r="C2868" s="1">
        <v>39448</v>
      </c>
      <c r="D2868">
        <v>18</v>
      </c>
      <c r="E2868" s="4" t="s">
        <v>12</v>
      </c>
      <c r="F2868" t="s">
        <v>261</v>
      </c>
      <c r="G2868" s="1">
        <v>45240</v>
      </c>
      <c r="H2868" s="1">
        <f>TablaDatos[[#This Row],[FechaIngreso]]+TablaDatos[[#This Row],[DiasNuevo]]</f>
        <v>45243</v>
      </c>
      <c r="I2868">
        <v>3</v>
      </c>
      <c r="J2868" t="s">
        <v>19</v>
      </c>
      <c r="K2868" s="3">
        <v>18323.650000000001</v>
      </c>
      <c r="L2868" t="b">
        <f>TablaDatos[[#This Row],[FechaAlta]] &lt; TablaDatos[[#This Row],[FechaIngreso]]</f>
        <v>0</v>
      </c>
      <c r="M2868">
        <f>_xlfn.XLOOKUP(TablaDatos[[#This Row],[PacienteID]],'Datos_Ejemplo.csv'!A:A,'Datos_Ejemplo.csv'!I:I)</f>
        <v>3</v>
      </c>
      <c r="N2868">
        <f>ABS(TablaDatos[[#This Row],[DiasOriginal]])</f>
        <v>3</v>
      </c>
      <c r="O2868" s="1">
        <f>TablaDatos[[#This Row],[FechaIngreso]]+TablaDatos[[#This Row],[DiasNuevo]]</f>
        <v>45243</v>
      </c>
    </row>
    <row r="2869" spans="1:15">
      <c r="A2869">
        <v>2868</v>
      </c>
      <c r="B2869" t="s">
        <v>239</v>
      </c>
      <c r="C2869" s="1">
        <v>28490</v>
      </c>
      <c r="D2869">
        <v>48</v>
      </c>
      <c r="E2869" s="4" t="s">
        <v>15</v>
      </c>
      <c r="F2869" t="s">
        <v>13</v>
      </c>
      <c r="G2869" s="1">
        <v>45543</v>
      </c>
      <c r="H2869" s="1">
        <f>TablaDatos[[#This Row],[FechaIngreso]]+TablaDatos[[#This Row],[DiasNuevo]]</f>
        <v>45562</v>
      </c>
      <c r="I2869">
        <v>19</v>
      </c>
      <c r="J2869" t="s">
        <v>25</v>
      </c>
      <c r="K2869" s="3">
        <v>13142.65</v>
      </c>
      <c r="L2869" t="b">
        <f>TablaDatos[[#This Row],[FechaAlta]] &lt; TablaDatos[[#This Row],[FechaIngreso]]</f>
        <v>0</v>
      </c>
      <c r="M2869">
        <f>_xlfn.XLOOKUP(TablaDatos[[#This Row],[PacienteID]],'Datos_Ejemplo.csv'!A:A,'Datos_Ejemplo.csv'!I:I)</f>
        <v>19</v>
      </c>
      <c r="N2869">
        <f>ABS(TablaDatos[[#This Row],[DiasOriginal]])</f>
        <v>19</v>
      </c>
      <c r="O2869" s="1">
        <f>TablaDatos[[#This Row],[FechaIngreso]]+TablaDatos[[#This Row],[DiasNuevo]]</f>
        <v>45562</v>
      </c>
    </row>
    <row r="2870" spans="1:15">
      <c r="A2870">
        <v>2869</v>
      </c>
      <c r="B2870" t="s">
        <v>361</v>
      </c>
      <c r="C2870" s="1">
        <v>23377</v>
      </c>
      <c r="D2870">
        <v>62</v>
      </c>
      <c r="E2870" s="4" t="s">
        <v>15</v>
      </c>
      <c r="F2870" t="s">
        <v>21</v>
      </c>
      <c r="G2870" s="1">
        <v>44952</v>
      </c>
      <c r="H2870" s="1">
        <f>TablaDatos[[#This Row],[FechaIngreso]]+TablaDatos[[#This Row],[DiasNuevo]]</f>
        <v>44966</v>
      </c>
      <c r="I2870">
        <v>14</v>
      </c>
      <c r="J2870" t="s">
        <v>23</v>
      </c>
      <c r="K2870" s="3">
        <v>716.25</v>
      </c>
      <c r="L2870" t="b">
        <f>TablaDatos[[#This Row],[FechaAlta]] &lt; TablaDatos[[#This Row],[FechaIngreso]]</f>
        <v>0</v>
      </c>
      <c r="M2870">
        <f>_xlfn.XLOOKUP(TablaDatos[[#This Row],[PacienteID]],'Datos_Ejemplo.csv'!A:A,'Datos_Ejemplo.csv'!I:I)</f>
        <v>14</v>
      </c>
      <c r="N2870">
        <f>ABS(TablaDatos[[#This Row],[DiasOriginal]])</f>
        <v>14</v>
      </c>
      <c r="O2870" s="1">
        <f>TablaDatos[[#This Row],[FechaIngreso]]+TablaDatos[[#This Row],[DiasNuevo]]</f>
        <v>44966</v>
      </c>
    </row>
    <row r="2871" spans="1:15">
      <c r="A2871">
        <v>2870</v>
      </c>
      <c r="B2871" t="s">
        <v>232</v>
      </c>
      <c r="C2871" s="1">
        <v>16072</v>
      </c>
      <c r="D2871">
        <v>82</v>
      </c>
      <c r="E2871" s="4" t="s">
        <v>12</v>
      </c>
      <c r="F2871" t="s">
        <v>201</v>
      </c>
      <c r="G2871" s="1">
        <v>45005</v>
      </c>
      <c r="H2871" s="1">
        <f>TablaDatos[[#This Row],[FechaIngreso]]+TablaDatos[[#This Row],[DiasNuevo]]</f>
        <v>45024</v>
      </c>
      <c r="I2871">
        <v>19</v>
      </c>
      <c r="J2871" t="s">
        <v>23</v>
      </c>
      <c r="K2871" s="3">
        <v>197.69</v>
      </c>
      <c r="L2871" t="b">
        <f>TablaDatos[[#This Row],[FechaAlta]] &lt; TablaDatos[[#This Row],[FechaIngreso]]</f>
        <v>0</v>
      </c>
      <c r="M2871">
        <f>_xlfn.XLOOKUP(TablaDatos[[#This Row],[PacienteID]],'Datos_Ejemplo.csv'!A:A,'Datos_Ejemplo.csv'!I:I)</f>
        <v>19</v>
      </c>
      <c r="N2871">
        <f>ABS(TablaDatos[[#This Row],[DiasOriginal]])</f>
        <v>19</v>
      </c>
      <c r="O2871" s="1">
        <f>TablaDatos[[#This Row],[FechaIngreso]]+TablaDatos[[#This Row],[DiasNuevo]]</f>
        <v>45024</v>
      </c>
    </row>
    <row r="2872" spans="1:15">
      <c r="A2872">
        <v>2871</v>
      </c>
      <c r="B2872" t="s">
        <v>49</v>
      </c>
      <c r="C2872" s="1">
        <v>38352</v>
      </c>
      <c r="D2872">
        <f ca="1">DATEDIF(TablaDatos[[#This Row],[FechaNacimiento]],TODAY(),"Y")</f>
        <v>21</v>
      </c>
      <c r="E2872" s="4" t="s">
        <v>197</v>
      </c>
      <c r="F2872" t="s">
        <v>201</v>
      </c>
      <c r="G2872" s="1">
        <v>45054</v>
      </c>
      <c r="H2872" s="1">
        <f>TablaDatos[[#This Row],[FechaIngreso]]+TablaDatos[[#This Row],[DiasNuevo]]</f>
        <v>45057</v>
      </c>
      <c r="I2872">
        <v>3</v>
      </c>
      <c r="J2872" t="s">
        <v>23</v>
      </c>
      <c r="K2872" s="3">
        <v>3911.32</v>
      </c>
      <c r="L2872" t="b">
        <f>TablaDatos[[#This Row],[FechaAlta]] &lt; TablaDatos[[#This Row],[FechaIngreso]]</f>
        <v>0</v>
      </c>
      <c r="M2872">
        <f>_xlfn.XLOOKUP(TablaDatos[[#This Row],[PacienteID]],'Datos_Ejemplo.csv'!A:A,'Datos_Ejemplo.csv'!I:I)</f>
        <v>3</v>
      </c>
      <c r="N2872">
        <f>ABS(TablaDatos[[#This Row],[DiasOriginal]])</f>
        <v>3</v>
      </c>
      <c r="O2872" s="1">
        <f>TablaDatos[[#This Row],[FechaIngreso]]+TablaDatos[[#This Row],[DiasNuevo]]</f>
        <v>45057</v>
      </c>
    </row>
    <row r="2873" spans="1:15">
      <c r="A2873">
        <v>2872</v>
      </c>
      <c r="B2873" t="s">
        <v>111</v>
      </c>
      <c r="C2873" s="1">
        <v>37622</v>
      </c>
      <c r="D2873">
        <v>23</v>
      </c>
      <c r="E2873" s="4" t="s">
        <v>12</v>
      </c>
      <c r="F2873" t="s">
        <v>21</v>
      </c>
      <c r="G2873" s="1">
        <v>45339</v>
      </c>
      <c r="H2873" s="1">
        <f>TablaDatos[[#This Row],[FechaIngreso]]+TablaDatos[[#This Row],[DiasNuevo]]</f>
        <v>45339</v>
      </c>
      <c r="I2873">
        <v>0</v>
      </c>
      <c r="J2873" t="s">
        <v>23</v>
      </c>
      <c r="K2873" s="3">
        <v>6295.26</v>
      </c>
      <c r="L2873" t="b">
        <f>TablaDatos[[#This Row],[FechaAlta]] &lt; TablaDatos[[#This Row],[FechaIngreso]]</f>
        <v>0</v>
      </c>
      <c r="M2873">
        <f>_xlfn.XLOOKUP(TablaDatos[[#This Row],[PacienteID]],'Datos_Ejemplo.csv'!A:A,'Datos_Ejemplo.csv'!I:I)</f>
        <v>0</v>
      </c>
      <c r="N2873">
        <f>ABS(TablaDatos[[#This Row],[DiasOriginal]])</f>
        <v>0</v>
      </c>
      <c r="O2873" s="1">
        <f>TablaDatos[[#This Row],[FechaIngreso]]+TablaDatos[[#This Row],[DiasNuevo]]</f>
        <v>45339</v>
      </c>
    </row>
    <row r="2874" spans="1:15">
      <c r="A2874">
        <v>2873</v>
      </c>
      <c r="B2874" t="s">
        <v>255</v>
      </c>
      <c r="C2874" s="1">
        <v>18629</v>
      </c>
      <c r="D2874">
        <v>75</v>
      </c>
      <c r="E2874" s="4" t="s">
        <v>15</v>
      </c>
      <c r="F2874" t="s">
        <v>32</v>
      </c>
      <c r="G2874" s="1">
        <v>45063</v>
      </c>
      <c r="H2874" s="1">
        <f>TablaDatos[[#This Row],[FechaIngreso]]+TablaDatos[[#This Row],[DiasNuevo]]</f>
        <v>45066</v>
      </c>
      <c r="I2874">
        <v>3</v>
      </c>
      <c r="J2874" t="s">
        <v>23</v>
      </c>
      <c r="K2874" s="3">
        <v>9638.93</v>
      </c>
      <c r="L2874" t="b">
        <f>TablaDatos[[#This Row],[FechaAlta]] &lt; TablaDatos[[#This Row],[FechaIngreso]]</f>
        <v>0</v>
      </c>
      <c r="M2874">
        <f>_xlfn.XLOOKUP(TablaDatos[[#This Row],[PacienteID]],'Datos_Ejemplo.csv'!A:A,'Datos_Ejemplo.csv'!I:I)</f>
        <v>3</v>
      </c>
      <c r="N2874">
        <f>ABS(TablaDatos[[#This Row],[DiasOriginal]])</f>
        <v>3</v>
      </c>
      <c r="O2874" s="1">
        <f>TablaDatos[[#This Row],[FechaIngreso]]+TablaDatos[[#This Row],[DiasNuevo]]</f>
        <v>45066</v>
      </c>
    </row>
    <row r="2875" spans="1:15">
      <c r="A2875">
        <v>2874</v>
      </c>
      <c r="B2875" t="s">
        <v>347</v>
      </c>
      <c r="C2875" s="1">
        <v>35430</v>
      </c>
      <c r="D2875">
        <v>29</v>
      </c>
      <c r="E2875" s="4" t="s">
        <v>197</v>
      </c>
      <c r="F2875" t="s">
        <v>13</v>
      </c>
      <c r="G2875" s="1">
        <v>45260</v>
      </c>
      <c r="H2875" s="1">
        <f>TablaDatos[[#This Row],[FechaIngreso]]+TablaDatos[[#This Row],[DiasNuevo]]</f>
        <v>45274</v>
      </c>
      <c r="I2875">
        <v>14</v>
      </c>
      <c r="J2875" t="s">
        <v>23</v>
      </c>
      <c r="K2875" s="3">
        <v>16740.57</v>
      </c>
      <c r="L2875" t="b">
        <f>TablaDatos[[#This Row],[FechaAlta]] &lt; TablaDatos[[#This Row],[FechaIngreso]]</f>
        <v>0</v>
      </c>
      <c r="M2875">
        <f>_xlfn.XLOOKUP(TablaDatos[[#This Row],[PacienteID]],'Datos_Ejemplo.csv'!A:A,'Datos_Ejemplo.csv'!I:I)</f>
        <v>14</v>
      </c>
      <c r="N2875">
        <f>ABS(TablaDatos[[#This Row],[DiasOriginal]])</f>
        <v>14</v>
      </c>
      <c r="O2875" s="1">
        <f>TablaDatos[[#This Row],[FechaIngreso]]+TablaDatos[[#This Row],[DiasNuevo]]</f>
        <v>45274</v>
      </c>
    </row>
    <row r="2876" spans="1:15">
      <c r="A2876">
        <v>2875</v>
      </c>
      <c r="B2876" t="s">
        <v>351</v>
      </c>
      <c r="C2876" s="1">
        <v>25203</v>
      </c>
      <c r="D2876">
        <v>57</v>
      </c>
      <c r="E2876" s="4" t="s">
        <v>15</v>
      </c>
      <c r="F2876" t="s">
        <v>201</v>
      </c>
      <c r="G2876" s="1">
        <v>45474</v>
      </c>
      <c r="H2876" s="1">
        <f>TablaDatos[[#This Row],[FechaIngreso]]+TablaDatos[[#This Row],[DiasNuevo]]</f>
        <v>45506</v>
      </c>
      <c r="I2876">
        <v>32</v>
      </c>
      <c r="J2876" t="s">
        <v>23</v>
      </c>
      <c r="K2876" s="3">
        <v>6227.84</v>
      </c>
      <c r="L2876" t="b">
        <f>TablaDatos[[#This Row],[FechaAlta]] &lt; TablaDatos[[#This Row],[FechaIngreso]]</f>
        <v>0</v>
      </c>
      <c r="M2876">
        <f>_xlfn.XLOOKUP(TablaDatos[[#This Row],[PacienteID]],'Datos_Ejemplo.csv'!A:A,'Datos_Ejemplo.csv'!I:I)</f>
        <v>32</v>
      </c>
      <c r="N2876">
        <f>ABS(TablaDatos[[#This Row],[DiasOriginal]])</f>
        <v>32</v>
      </c>
      <c r="O2876" s="1">
        <f>TablaDatos[[#This Row],[FechaIngreso]]+TablaDatos[[#This Row],[DiasNuevo]]</f>
        <v>45506</v>
      </c>
    </row>
    <row r="2877" spans="1:15">
      <c r="A2877">
        <v>2876</v>
      </c>
      <c r="B2877" t="s">
        <v>341</v>
      </c>
      <c r="C2877" s="1">
        <v>35065</v>
      </c>
      <c r="D2877">
        <v>30</v>
      </c>
      <c r="E2877" s="4" t="s">
        <v>15</v>
      </c>
      <c r="F2877" t="s">
        <v>32</v>
      </c>
      <c r="G2877" s="1">
        <v>45314</v>
      </c>
      <c r="H2877" s="1">
        <f>TablaDatos[[#This Row],[FechaIngreso]]+TablaDatos[[#This Row],[DiasNuevo]]</f>
        <v>45348</v>
      </c>
      <c r="I2877">
        <v>34</v>
      </c>
      <c r="J2877" t="s">
        <v>23</v>
      </c>
      <c r="K2877" s="3">
        <v>7468.4</v>
      </c>
      <c r="L2877" t="b">
        <f>TablaDatos[[#This Row],[FechaAlta]] &lt; TablaDatos[[#This Row],[FechaIngreso]]</f>
        <v>0</v>
      </c>
      <c r="M2877">
        <f>_xlfn.XLOOKUP(TablaDatos[[#This Row],[PacienteID]],'Datos_Ejemplo.csv'!A:A,'Datos_Ejemplo.csv'!I:I)</f>
        <v>34</v>
      </c>
      <c r="N2877">
        <f>ABS(TablaDatos[[#This Row],[DiasOriginal]])</f>
        <v>34</v>
      </c>
      <c r="O2877" s="1">
        <f>TablaDatos[[#This Row],[FechaIngreso]]+TablaDatos[[#This Row],[DiasNuevo]]</f>
        <v>45348</v>
      </c>
    </row>
    <row r="2878" spans="1:15">
      <c r="A2878">
        <v>2877</v>
      </c>
      <c r="B2878" t="s">
        <v>298</v>
      </c>
      <c r="C2878" s="1">
        <v>23012</v>
      </c>
      <c r="D2878">
        <v>63</v>
      </c>
      <c r="E2878" s="4" t="s">
        <v>12</v>
      </c>
      <c r="F2878" t="s">
        <v>32</v>
      </c>
      <c r="G2878" s="1">
        <v>45497</v>
      </c>
      <c r="H2878" s="1">
        <f>TablaDatos[[#This Row],[FechaIngreso]]+TablaDatos[[#This Row],[DiasNuevo]]</f>
        <v>45529</v>
      </c>
      <c r="I2878">
        <v>32</v>
      </c>
      <c r="J2878" t="s">
        <v>25</v>
      </c>
      <c r="K2878" s="3">
        <v>6519.69</v>
      </c>
      <c r="L2878" t="b">
        <f>TablaDatos[[#This Row],[FechaAlta]] &lt; TablaDatos[[#This Row],[FechaIngreso]]</f>
        <v>0</v>
      </c>
      <c r="M2878">
        <f>_xlfn.XLOOKUP(TablaDatos[[#This Row],[PacienteID]],'Datos_Ejemplo.csv'!A:A,'Datos_Ejemplo.csv'!I:I)</f>
        <v>32</v>
      </c>
      <c r="N2878">
        <f>ABS(TablaDatos[[#This Row],[DiasOriginal]])</f>
        <v>32</v>
      </c>
      <c r="O2878" s="1">
        <f>TablaDatos[[#This Row],[FechaIngreso]]+TablaDatos[[#This Row],[DiasNuevo]]</f>
        <v>45529</v>
      </c>
    </row>
    <row r="2879" spans="1:15">
      <c r="A2879">
        <v>2878</v>
      </c>
      <c r="B2879" t="s">
        <v>283</v>
      </c>
      <c r="C2879" s="1">
        <v>39448</v>
      </c>
      <c r="D2879">
        <v>18</v>
      </c>
      <c r="E2879" s="4" t="s">
        <v>15</v>
      </c>
      <c r="F2879" t="s">
        <v>261</v>
      </c>
      <c r="G2879" s="1">
        <v>45156</v>
      </c>
      <c r="H2879" s="1">
        <f>TablaDatos[[#This Row],[FechaIngreso]]+TablaDatos[[#This Row],[DiasNuevo]]</f>
        <v>45176</v>
      </c>
      <c r="I2879">
        <v>20</v>
      </c>
      <c r="J2879" t="s">
        <v>25</v>
      </c>
      <c r="K2879" s="3">
        <v>80.2</v>
      </c>
      <c r="L2879" t="b">
        <f>TablaDatos[[#This Row],[FechaAlta]] &lt; TablaDatos[[#This Row],[FechaIngreso]]</f>
        <v>0</v>
      </c>
      <c r="M2879">
        <f>_xlfn.XLOOKUP(TablaDatos[[#This Row],[PacienteID]],'Datos_Ejemplo.csv'!A:A,'Datos_Ejemplo.csv'!I:I)</f>
        <v>20</v>
      </c>
      <c r="N2879">
        <f>ABS(TablaDatos[[#This Row],[DiasOriginal]])</f>
        <v>20</v>
      </c>
      <c r="O2879" s="1">
        <f>TablaDatos[[#This Row],[FechaIngreso]]+TablaDatos[[#This Row],[DiasNuevo]]</f>
        <v>45176</v>
      </c>
    </row>
    <row r="2880" spans="1:15">
      <c r="A2880">
        <v>2879</v>
      </c>
      <c r="B2880" t="s">
        <v>366</v>
      </c>
      <c r="C2880" s="1">
        <v>28856</v>
      </c>
      <c r="D2880">
        <v>47</v>
      </c>
      <c r="E2880" s="4" t="s">
        <v>15</v>
      </c>
      <c r="F2880" t="s">
        <v>261</v>
      </c>
      <c r="G2880" s="1">
        <v>45347</v>
      </c>
      <c r="H2880" s="1">
        <f>TablaDatos[[#This Row],[FechaIngreso]]+TablaDatos[[#This Row],[DiasNuevo]]</f>
        <v>45352</v>
      </c>
      <c r="I2880">
        <v>5</v>
      </c>
      <c r="J2880" t="s">
        <v>23</v>
      </c>
      <c r="K2880" s="3">
        <v>19099.55</v>
      </c>
      <c r="L2880" t="b">
        <f>TablaDatos[[#This Row],[FechaAlta]] &lt; TablaDatos[[#This Row],[FechaIngreso]]</f>
        <v>0</v>
      </c>
      <c r="M2880">
        <f>_xlfn.XLOOKUP(TablaDatos[[#This Row],[PacienteID]],'Datos_Ejemplo.csv'!A:A,'Datos_Ejemplo.csv'!I:I)</f>
        <v>5</v>
      </c>
      <c r="N2880">
        <f>ABS(TablaDatos[[#This Row],[DiasOriginal]])</f>
        <v>5</v>
      </c>
      <c r="O2880" s="1">
        <f>TablaDatos[[#This Row],[FechaIngreso]]+TablaDatos[[#This Row],[DiasNuevo]]</f>
        <v>45352</v>
      </c>
    </row>
    <row r="2881" spans="1:15">
      <c r="A2881">
        <v>2880</v>
      </c>
      <c r="B2881" t="s">
        <v>278</v>
      </c>
      <c r="C2881" s="1">
        <v>29951</v>
      </c>
      <c r="D2881">
        <v>44</v>
      </c>
      <c r="E2881" s="4" t="s">
        <v>15</v>
      </c>
      <c r="F2881" t="s">
        <v>261</v>
      </c>
      <c r="G2881" s="1">
        <v>45050</v>
      </c>
      <c r="H2881" s="1">
        <f>TablaDatos[[#This Row],[FechaIngreso]]+TablaDatos[[#This Row],[DiasNuevo]]</f>
        <v>45054</v>
      </c>
      <c r="I2881">
        <v>4</v>
      </c>
      <c r="J2881" t="s">
        <v>23</v>
      </c>
      <c r="K2881" s="3">
        <v>2693.82</v>
      </c>
      <c r="L2881" t="b">
        <f>TablaDatos[[#This Row],[FechaAlta]] &lt; TablaDatos[[#This Row],[FechaIngreso]]</f>
        <v>0</v>
      </c>
      <c r="M2881">
        <f>_xlfn.XLOOKUP(TablaDatos[[#This Row],[PacienteID]],'Datos_Ejemplo.csv'!A:A,'Datos_Ejemplo.csv'!I:I)</f>
        <v>4</v>
      </c>
      <c r="N2881">
        <f>ABS(TablaDatos[[#This Row],[DiasOriginal]])</f>
        <v>4</v>
      </c>
      <c r="O2881" s="1">
        <f>TablaDatos[[#This Row],[FechaIngreso]]+TablaDatos[[#This Row],[DiasNuevo]]</f>
        <v>45054</v>
      </c>
    </row>
    <row r="2882" spans="1:15">
      <c r="A2882">
        <v>2881</v>
      </c>
      <c r="B2882" t="s">
        <v>245</v>
      </c>
      <c r="C2882" s="1">
        <v>12054</v>
      </c>
      <c r="D2882">
        <v>93</v>
      </c>
      <c r="E2882" s="4" t="s">
        <v>15</v>
      </c>
      <c r="F2882" t="s">
        <v>295</v>
      </c>
      <c r="G2882" s="1">
        <v>45014</v>
      </c>
      <c r="H2882" s="1">
        <f>TablaDatos[[#This Row],[FechaIngreso]]+TablaDatos[[#This Row],[DiasNuevo]]</f>
        <v>45021</v>
      </c>
      <c r="I2882">
        <v>7</v>
      </c>
      <c r="J2882" t="s">
        <v>19</v>
      </c>
      <c r="K2882" s="3">
        <v>5682.12</v>
      </c>
      <c r="L2882" t="b">
        <f>TablaDatos[[#This Row],[FechaAlta]] &lt; TablaDatos[[#This Row],[FechaIngreso]]</f>
        <v>0</v>
      </c>
      <c r="M2882">
        <f>_xlfn.XLOOKUP(TablaDatos[[#This Row],[PacienteID]],'Datos_Ejemplo.csv'!A:A,'Datos_Ejemplo.csv'!I:I)</f>
        <v>7</v>
      </c>
      <c r="N2882">
        <f>ABS(TablaDatos[[#This Row],[DiasOriginal]])</f>
        <v>7</v>
      </c>
      <c r="O2882" s="1">
        <f>TablaDatos[[#This Row],[FechaIngreso]]+TablaDatos[[#This Row],[DiasNuevo]]</f>
        <v>45021</v>
      </c>
    </row>
    <row r="2883" spans="1:15">
      <c r="A2883">
        <v>2882</v>
      </c>
      <c r="B2883" t="s">
        <v>331</v>
      </c>
      <c r="C2883" s="1">
        <v>26299</v>
      </c>
      <c r="D2883">
        <v>54</v>
      </c>
      <c r="E2883" s="4" t="s">
        <v>12</v>
      </c>
      <c r="F2883" t="s">
        <v>13</v>
      </c>
      <c r="G2883" s="1">
        <v>45067</v>
      </c>
      <c r="H2883" s="1">
        <f>TablaDatos[[#This Row],[FechaIngreso]]+TablaDatos[[#This Row],[DiasNuevo]]</f>
        <v>45090</v>
      </c>
      <c r="I2883">
        <v>23</v>
      </c>
      <c r="J2883" t="s">
        <v>23</v>
      </c>
      <c r="K2883" s="3">
        <v>2499</v>
      </c>
      <c r="L2883" t="b">
        <f>TablaDatos[[#This Row],[FechaAlta]] &lt; TablaDatos[[#This Row],[FechaIngreso]]</f>
        <v>0</v>
      </c>
      <c r="M2883">
        <f>_xlfn.XLOOKUP(TablaDatos[[#This Row],[PacienteID]],'Datos_Ejemplo.csv'!A:A,'Datos_Ejemplo.csv'!I:I)</f>
        <v>23</v>
      </c>
      <c r="N2883">
        <f>ABS(TablaDatos[[#This Row],[DiasOriginal]])</f>
        <v>23</v>
      </c>
      <c r="O2883" s="1">
        <f>TablaDatos[[#This Row],[FechaIngreso]]+TablaDatos[[#This Row],[DiasNuevo]]</f>
        <v>45090</v>
      </c>
    </row>
    <row r="2884" spans="1:15">
      <c r="A2884">
        <v>2883</v>
      </c>
      <c r="B2884" t="s">
        <v>308</v>
      </c>
      <c r="C2884" s="1">
        <v>26299</v>
      </c>
      <c r="D2884">
        <v>54</v>
      </c>
      <c r="E2884" s="4" t="s">
        <v>12</v>
      </c>
      <c r="F2884" t="s">
        <v>21</v>
      </c>
      <c r="G2884" s="1">
        <v>44977</v>
      </c>
      <c r="H2884" s="1">
        <f>TablaDatos[[#This Row],[FechaIngreso]]+TablaDatos[[#This Row],[DiasNuevo]]</f>
        <v>44984</v>
      </c>
      <c r="I2884">
        <v>7</v>
      </c>
      <c r="J2884" t="s">
        <v>23</v>
      </c>
      <c r="K2884" s="3">
        <v>9759.92</v>
      </c>
      <c r="L2884" t="b">
        <f>TablaDatos[[#This Row],[FechaAlta]] &lt; TablaDatos[[#This Row],[FechaIngreso]]</f>
        <v>0</v>
      </c>
      <c r="M2884">
        <f>_xlfn.XLOOKUP(TablaDatos[[#This Row],[PacienteID]],'Datos_Ejemplo.csv'!A:A,'Datos_Ejemplo.csv'!I:I)</f>
        <v>7</v>
      </c>
      <c r="N2884">
        <f>ABS(TablaDatos[[#This Row],[DiasOriginal]])</f>
        <v>7</v>
      </c>
      <c r="O2884" s="1">
        <f>TablaDatos[[#This Row],[FechaIngreso]]+TablaDatos[[#This Row],[DiasNuevo]]</f>
        <v>44984</v>
      </c>
    </row>
    <row r="2885" spans="1:15">
      <c r="A2885">
        <v>2884</v>
      </c>
      <c r="B2885" t="s">
        <v>337</v>
      </c>
      <c r="C2885" s="1">
        <v>39813</v>
      </c>
      <c r="D2885">
        <f ca="1">DATEDIF(TablaDatos[[#This Row],[FechaNacimiento]],TODAY(),"Y")</f>
        <v>17</v>
      </c>
      <c r="E2885" s="4" t="s">
        <v>15</v>
      </c>
      <c r="F2885" t="s">
        <v>13</v>
      </c>
      <c r="G2885" s="1">
        <v>45493</v>
      </c>
      <c r="H2885" s="1">
        <f>TablaDatos[[#This Row],[FechaIngreso]]+TablaDatos[[#This Row],[DiasNuevo]]</f>
        <v>45509</v>
      </c>
      <c r="I2885">
        <v>16</v>
      </c>
      <c r="J2885" t="s">
        <v>23</v>
      </c>
      <c r="K2885" s="3">
        <v>18636.54</v>
      </c>
      <c r="L2885" t="b">
        <f>TablaDatos[[#This Row],[FechaAlta]] &lt; TablaDatos[[#This Row],[FechaIngreso]]</f>
        <v>0</v>
      </c>
      <c r="M2885">
        <f>_xlfn.XLOOKUP(TablaDatos[[#This Row],[PacienteID]],'Datos_Ejemplo.csv'!A:A,'Datos_Ejemplo.csv'!I:I)</f>
        <v>16</v>
      </c>
      <c r="N2885">
        <f>ABS(TablaDatos[[#This Row],[DiasOriginal]])</f>
        <v>16</v>
      </c>
      <c r="O2885" s="1">
        <f>TablaDatos[[#This Row],[FechaIngreso]]+TablaDatos[[#This Row],[DiasNuevo]]</f>
        <v>45509</v>
      </c>
    </row>
    <row r="2886" spans="1:15">
      <c r="A2886">
        <v>2885</v>
      </c>
      <c r="B2886" t="s">
        <v>266</v>
      </c>
      <c r="C2886" s="1">
        <v>23377</v>
      </c>
      <c r="D2886">
        <v>62</v>
      </c>
      <c r="E2886" s="4" t="s">
        <v>12</v>
      </c>
      <c r="F2886" t="s">
        <v>261</v>
      </c>
      <c r="G2886" s="1">
        <v>45331</v>
      </c>
      <c r="H2886" s="1">
        <f>TablaDatos[[#This Row],[FechaIngreso]]+TablaDatos[[#This Row],[DiasNuevo]]</f>
        <v>45351</v>
      </c>
      <c r="I2886">
        <v>20</v>
      </c>
      <c r="J2886" t="s">
        <v>23</v>
      </c>
      <c r="K2886" s="3">
        <v>1924.08</v>
      </c>
      <c r="L2886" t="b">
        <f>TablaDatos[[#This Row],[FechaAlta]] &lt; TablaDatos[[#This Row],[FechaIngreso]]</f>
        <v>0</v>
      </c>
      <c r="M2886">
        <f>_xlfn.XLOOKUP(TablaDatos[[#This Row],[PacienteID]],'Datos_Ejemplo.csv'!A:A,'Datos_Ejemplo.csv'!I:I)</f>
        <v>20</v>
      </c>
      <c r="N2886">
        <f>ABS(TablaDatos[[#This Row],[DiasOriginal]])</f>
        <v>20</v>
      </c>
      <c r="O2886" s="1">
        <f>TablaDatos[[#This Row],[FechaIngreso]]+TablaDatos[[#This Row],[DiasNuevo]]</f>
        <v>45351</v>
      </c>
    </row>
    <row r="2887" spans="1:15">
      <c r="A2887">
        <v>2886</v>
      </c>
      <c r="B2887" t="s">
        <v>276</v>
      </c>
      <c r="C2887" s="1">
        <v>12785</v>
      </c>
      <c r="D2887">
        <v>91</v>
      </c>
      <c r="E2887" s="4" t="s">
        <v>12</v>
      </c>
      <c r="F2887" t="s">
        <v>295</v>
      </c>
      <c r="G2887" s="1">
        <v>45263</v>
      </c>
      <c r="H2887" s="1">
        <f>TablaDatos[[#This Row],[FechaIngreso]]+TablaDatos[[#This Row],[DiasNuevo]]</f>
        <v>45291</v>
      </c>
      <c r="I2887">
        <v>28</v>
      </c>
      <c r="J2887" t="s">
        <v>23</v>
      </c>
      <c r="K2887" s="3">
        <v>8762.0300000000007</v>
      </c>
      <c r="L2887" t="b">
        <f>TablaDatos[[#This Row],[FechaAlta]] &lt; TablaDatos[[#This Row],[FechaIngreso]]</f>
        <v>0</v>
      </c>
      <c r="M2887">
        <f>_xlfn.XLOOKUP(TablaDatos[[#This Row],[PacienteID]],'Datos_Ejemplo.csv'!A:A,'Datos_Ejemplo.csv'!I:I)</f>
        <v>28</v>
      </c>
      <c r="N2887">
        <f>ABS(TablaDatos[[#This Row],[DiasOriginal]])</f>
        <v>28</v>
      </c>
      <c r="O2887" s="1">
        <f>TablaDatos[[#This Row],[FechaIngreso]]+TablaDatos[[#This Row],[DiasNuevo]]</f>
        <v>45291</v>
      </c>
    </row>
    <row r="2888" spans="1:15">
      <c r="A2888">
        <v>2887</v>
      </c>
      <c r="B2888" t="s">
        <v>67</v>
      </c>
      <c r="C2888" s="1">
        <v>29221</v>
      </c>
      <c r="D2888">
        <v>46</v>
      </c>
      <c r="E2888" s="4" t="s">
        <v>12</v>
      </c>
      <c r="F2888" t="s">
        <v>13</v>
      </c>
      <c r="G2888" s="1">
        <v>45588</v>
      </c>
      <c r="H2888" s="1">
        <f>TablaDatos[[#This Row],[FechaIngreso]]+TablaDatos[[#This Row],[DiasNuevo]]</f>
        <v>45618</v>
      </c>
      <c r="I2888">
        <v>30</v>
      </c>
      <c r="J2888" t="s">
        <v>19</v>
      </c>
      <c r="K2888" s="3">
        <v>349.73</v>
      </c>
      <c r="L2888" t="b">
        <f>TablaDatos[[#This Row],[FechaAlta]] &lt; TablaDatos[[#This Row],[FechaIngreso]]</f>
        <v>0</v>
      </c>
      <c r="M2888">
        <f>_xlfn.XLOOKUP(TablaDatos[[#This Row],[PacienteID]],'Datos_Ejemplo.csv'!A:A,'Datos_Ejemplo.csv'!I:I)</f>
        <v>30</v>
      </c>
      <c r="N2888">
        <f>ABS(TablaDatos[[#This Row],[DiasOriginal]])</f>
        <v>30</v>
      </c>
      <c r="O2888" s="1">
        <f>TablaDatos[[#This Row],[FechaIngreso]]+TablaDatos[[#This Row],[DiasNuevo]]</f>
        <v>45618</v>
      </c>
    </row>
    <row r="2889" spans="1:15">
      <c r="A2889">
        <v>2888</v>
      </c>
      <c r="B2889" t="s">
        <v>49</v>
      </c>
      <c r="C2889" s="1">
        <v>18994</v>
      </c>
      <c r="D2889">
        <v>74</v>
      </c>
      <c r="E2889" s="4" t="s">
        <v>15</v>
      </c>
      <c r="F2889" t="s">
        <v>13</v>
      </c>
      <c r="G2889" s="1">
        <v>45591</v>
      </c>
      <c r="H2889" s="1">
        <f>TablaDatos[[#This Row],[FechaIngreso]]+TablaDatos[[#This Row],[DiasNuevo]]</f>
        <v>45592</v>
      </c>
      <c r="I2889">
        <v>1</v>
      </c>
      <c r="J2889" t="s">
        <v>25</v>
      </c>
      <c r="K2889" s="3">
        <v>15395.05</v>
      </c>
      <c r="L2889" t="b">
        <f>TablaDatos[[#This Row],[FechaAlta]] &lt; TablaDatos[[#This Row],[FechaIngreso]]</f>
        <v>0</v>
      </c>
      <c r="M2889">
        <f>_xlfn.XLOOKUP(TablaDatos[[#This Row],[PacienteID]],'Datos_Ejemplo.csv'!A:A,'Datos_Ejemplo.csv'!I:I)</f>
        <v>-1</v>
      </c>
      <c r="N2889">
        <f>ABS(TablaDatos[[#This Row],[DiasOriginal]])</f>
        <v>1</v>
      </c>
      <c r="O2889" s="1">
        <f>TablaDatos[[#This Row],[FechaIngreso]]+TablaDatos[[#This Row],[DiasNuevo]]</f>
        <v>45592</v>
      </c>
    </row>
    <row r="2890" spans="1:15">
      <c r="A2890">
        <v>2889</v>
      </c>
      <c r="B2890" t="s">
        <v>256</v>
      </c>
      <c r="C2890" s="1">
        <v>25568</v>
      </c>
      <c r="D2890">
        <v>56</v>
      </c>
      <c r="E2890" s="4" t="s">
        <v>197</v>
      </c>
      <c r="F2890" t="s">
        <v>32</v>
      </c>
      <c r="G2890" s="1">
        <v>45292</v>
      </c>
      <c r="H2890" s="1">
        <f>TablaDatos[[#This Row],[FechaIngreso]]+TablaDatos[[#This Row],[DiasNuevo]]</f>
        <v>45317</v>
      </c>
      <c r="I2890">
        <v>25</v>
      </c>
      <c r="J2890" t="s">
        <v>19</v>
      </c>
      <c r="K2890" s="3">
        <v>12788.65</v>
      </c>
      <c r="L2890" t="b">
        <f>TablaDatos[[#This Row],[FechaAlta]] &lt; TablaDatos[[#This Row],[FechaIngreso]]</f>
        <v>0</v>
      </c>
      <c r="M2890">
        <f>_xlfn.XLOOKUP(TablaDatos[[#This Row],[PacienteID]],'Datos_Ejemplo.csv'!A:A,'Datos_Ejemplo.csv'!I:I)</f>
        <v>25</v>
      </c>
      <c r="N2890">
        <f>ABS(TablaDatos[[#This Row],[DiasOriginal]])</f>
        <v>25</v>
      </c>
      <c r="O2890" s="1">
        <f>TablaDatos[[#This Row],[FechaIngreso]]+TablaDatos[[#This Row],[DiasNuevo]]</f>
        <v>45317</v>
      </c>
    </row>
    <row r="2891" spans="1:15">
      <c r="A2891">
        <v>2890</v>
      </c>
      <c r="B2891" t="s">
        <v>114</v>
      </c>
      <c r="C2891" s="1">
        <v>29951</v>
      </c>
      <c r="D2891">
        <v>44</v>
      </c>
      <c r="E2891" s="4" t="s">
        <v>12</v>
      </c>
      <c r="F2891" t="s">
        <v>13</v>
      </c>
      <c r="G2891" s="1">
        <v>45184</v>
      </c>
      <c r="H2891" s="1">
        <f>TablaDatos[[#This Row],[FechaIngreso]]+TablaDatos[[#This Row],[DiasNuevo]]</f>
        <v>45213</v>
      </c>
      <c r="I2891">
        <v>29</v>
      </c>
      <c r="J2891" t="s">
        <v>19</v>
      </c>
      <c r="K2891" s="3">
        <v>13963.94</v>
      </c>
      <c r="L2891" t="b">
        <f>TablaDatos[[#This Row],[FechaAlta]] &lt; TablaDatos[[#This Row],[FechaIngreso]]</f>
        <v>0</v>
      </c>
      <c r="M2891">
        <f>_xlfn.XLOOKUP(TablaDatos[[#This Row],[PacienteID]],'Datos_Ejemplo.csv'!A:A,'Datos_Ejemplo.csv'!I:I)</f>
        <v>29</v>
      </c>
      <c r="N2891">
        <f>ABS(TablaDatos[[#This Row],[DiasOriginal]])</f>
        <v>29</v>
      </c>
      <c r="O2891" s="1">
        <f>TablaDatos[[#This Row],[FechaIngreso]]+TablaDatos[[#This Row],[DiasNuevo]]</f>
        <v>45213</v>
      </c>
    </row>
    <row r="2892" spans="1:15">
      <c r="A2892">
        <v>2891</v>
      </c>
      <c r="B2892" t="s">
        <v>305</v>
      </c>
      <c r="C2892" s="1">
        <v>34334</v>
      </c>
      <c r="D2892">
        <v>32</v>
      </c>
      <c r="E2892" s="4" t="s">
        <v>15</v>
      </c>
      <c r="F2892" t="s">
        <v>32</v>
      </c>
      <c r="G2892" s="1">
        <v>45314</v>
      </c>
      <c r="H2892" s="1">
        <f>TablaDatos[[#This Row],[FechaIngreso]]+TablaDatos[[#This Row],[DiasNuevo]]</f>
        <v>45344</v>
      </c>
      <c r="I2892">
        <v>30</v>
      </c>
      <c r="J2892" t="s">
        <v>19</v>
      </c>
      <c r="K2892" s="3">
        <v>9393.9599999999991</v>
      </c>
      <c r="L2892" t="b">
        <f>TablaDatos[[#This Row],[FechaAlta]] &lt; TablaDatos[[#This Row],[FechaIngreso]]</f>
        <v>0</v>
      </c>
      <c r="M2892">
        <f>_xlfn.XLOOKUP(TablaDatos[[#This Row],[PacienteID]],'Datos_Ejemplo.csv'!A:A,'Datos_Ejemplo.csv'!I:I)</f>
        <v>30</v>
      </c>
      <c r="N2892">
        <f>ABS(TablaDatos[[#This Row],[DiasOriginal]])</f>
        <v>30</v>
      </c>
      <c r="O2892" s="1">
        <f>TablaDatos[[#This Row],[FechaIngreso]]+TablaDatos[[#This Row],[DiasNuevo]]</f>
        <v>45344</v>
      </c>
    </row>
    <row r="2893" spans="1:15">
      <c r="A2893">
        <v>2892</v>
      </c>
      <c r="B2893" t="s">
        <v>230</v>
      </c>
      <c r="C2893" s="1">
        <v>40178</v>
      </c>
      <c r="D2893">
        <v>16</v>
      </c>
      <c r="E2893" s="4" t="s">
        <v>15</v>
      </c>
      <c r="F2893" t="s">
        <v>32</v>
      </c>
      <c r="G2893" s="1">
        <v>44971</v>
      </c>
      <c r="H2893" s="1">
        <f>TablaDatos[[#This Row],[FechaIngreso]]+TablaDatos[[#This Row],[DiasNuevo]]</f>
        <v>44977</v>
      </c>
      <c r="I2893">
        <v>6</v>
      </c>
      <c r="J2893" t="s">
        <v>23</v>
      </c>
      <c r="K2893" s="3">
        <v>18143.419999999998</v>
      </c>
      <c r="L2893" t="b">
        <f>TablaDatos[[#This Row],[FechaAlta]] &lt; TablaDatos[[#This Row],[FechaIngreso]]</f>
        <v>0</v>
      </c>
      <c r="M2893">
        <f>_xlfn.XLOOKUP(TablaDatos[[#This Row],[PacienteID]],'Datos_Ejemplo.csv'!A:A,'Datos_Ejemplo.csv'!I:I)</f>
        <v>6</v>
      </c>
      <c r="N2893">
        <f>ABS(TablaDatos[[#This Row],[DiasOriginal]])</f>
        <v>6</v>
      </c>
      <c r="O2893" s="1">
        <f>TablaDatos[[#This Row],[FechaIngreso]]+TablaDatos[[#This Row],[DiasNuevo]]</f>
        <v>44977</v>
      </c>
    </row>
    <row r="2894" spans="1:15">
      <c r="A2894">
        <v>2893</v>
      </c>
      <c r="B2894" t="s">
        <v>284</v>
      </c>
      <c r="C2894" s="1">
        <v>20820</v>
      </c>
      <c r="D2894">
        <v>69</v>
      </c>
      <c r="E2894" s="4" t="s">
        <v>15</v>
      </c>
      <c r="F2894" t="s">
        <v>18</v>
      </c>
      <c r="G2894" s="1">
        <v>45195</v>
      </c>
      <c r="H2894" s="1">
        <f>TablaDatos[[#This Row],[FechaIngreso]]+TablaDatos[[#This Row],[DiasNuevo]]</f>
        <v>45221</v>
      </c>
      <c r="I2894">
        <v>26</v>
      </c>
      <c r="J2894" t="s">
        <v>23</v>
      </c>
      <c r="K2894" s="3">
        <v>8132.1</v>
      </c>
      <c r="L2894" t="b">
        <f>TablaDatos[[#This Row],[FechaAlta]] &lt; TablaDatos[[#This Row],[FechaIngreso]]</f>
        <v>0</v>
      </c>
      <c r="M2894">
        <f>_xlfn.XLOOKUP(TablaDatos[[#This Row],[PacienteID]],'Datos_Ejemplo.csv'!A:A,'Datos_Ejemplo.csv'!I:I)</f>
        <v>26</v>
      </c>
      <c r="N2894">
        <f>ABS(TablaDatos[[#This Row],[DiasOriginal]])</f>
        <v>26</v>
      </c>
      <c r="O2894" s="1">
        <f>TablaDatos[[#This Row],[FechaIngreso]]+TablaDatos[[#This Row],[DiasNuevo]]</f>
        <v>45221</v>
      </c>
    </row>
    <row r="2895" spans="1:15">
      <c r="A2895">
        <v>2894</v>
      </c>
      <c r="B2895" t="s">
        <v>269</v>
      </c>
      <c r="C2895" s="1">
        <v>44927</v>
      </c>
      <c r="D2895">
        <v>3</v>
      </c>
      <c r="E2895" s="4" t="s">
        <v>12</v>
      </c>
      <c r="F2895" t="s">
        <v>261</v>
      </c>
      <c r="G2895" s="1">
        <v>45237</v>
      </c>
      <c r="H2895" s="1">
        <f>TablaDatos[[#This Row],[FechaIngreso]]+TablaDatos[[#This Row],[DiasNuevo]]</f>
        <v>45249</v>
      </c>
      <c r="I2895">
        <v>12</v>
      </c>
      <c r="J2895" t="s">
        <v>19</v>
      </c>
      <c r="K2895" s="3">
        <v>10233.11</v>
      </c>
      <c r="L2895" t="b">
        <f>TablaDatos[[#This Row],[FechaAlta]] &lt; TablaDatos[[#This Row],[FechaIngreso]]</f>
        <v>0</v>
      </c>
      <c r="M2895">
        <f>_xlfn.XLOOKUP(TablaDatos[[#This Row],[PacienteID]],'Datos_Ejemplo.csv'!A:A,'Datos_Ejemplo.csv'!I:I)</f>
        <v>12</v>
      </c>
      <c r="N2895">
        <f>ABS(TablaDatos[[#This Row],[DiasOriginal]])</f>
        <v>12</v>
      </c>
      <c r="O2895" s="1">
        <f>TablaDatos[[#This Row],[FechaIngreso]]+TablaDatos[[#This Row],[DiasNuevo]]</f>
        <v>45249</v>
      </c>
    </row>
    <row r="2896" spans="1:15">
      <c r="A2896">
        <v>2895</v>
      </c>
      <c r="B2896" t="s">
        <v>39</v>
      </c>
      <c r="C2896" s="1">
        <v>39083</v>
      </c>
      <c r="D2896">
        <v>19</v>
      </c>
      <c r="E2896" s="4" t="s">
        <v>15</v>
      </c>
      <c r="F2896" t="s">
        <v>201</v>
      </c>
      <c r="G2896" s="1">
        <v>45598</v>
      </c>
      <c r="H2896" s="1">
        <f>TablaDatos[[#This Row],[FechaIngreso]]+TablaDatos[[#This Row],[DiasNuevo]]</f>
        <v>45613</v>
      </c>
      <c r="I2896">
        <v>15</v>
      </c>
      <c r="J2896" t="s">
        <v>23</v>
      </c>
      <c r="K2896" s="3">
        <v>13875.31</v>
      </c>
      <c r="L2896" t="b">
        <f>TablaDatos[[#This Row],[FechaAlta]] &lt; TablaDatos[[#This Row],[FechaIngreso]]</f>
        <v>0</v>
      </c>
      <c r="M2896">
        <f>_xlfn.XLOOKUP(TablaDatos[[#This Row],[PacienteID]],'Datos_Ejemplo.csv'!A:A,'Datos_Ejemplo.csv'!I:I)</f>
        <v>15</v>
      </c>
      <c r="N2896">
        <f>ABS(TablaDatos[[#This Row],[DiasOriginal]])</f>
        <v>15</v>
      </c>
      <c r="O2896" s="1">
        <f>TablaDatos[[#This Row],[FechaIngreso]]+TablaDatos[[#This Row],[DiasNuevo]]</f>
        <v>45613</v>
      </c>
    </row>
    <row r="2897" spans="1:15">
      <c r="A2897">
        <v>2896</v>
      </c>
      <c r="B2897" t="s">
        <v>350</v>
      </c>
      <c r="C2897" s="1">
        <v>29221</v>
      </c>
      <c r="D2897">
        <f ca="1">DATEDIF(TablaDatos[[#This Row],[FechaNacimiento]],TODAY(),"Y")</f>
        <v>46</v>
      </c>
      <c r="E2897" s="4" t="s">
        <v>12</v>
      </c>
      <c r="F2897" t="s">
        <v>295</v>
      </c>
      <c r="G2897" s="1">
        <v>45204</v>
      </c>
      <c r="H2897" s="1">
        <f>TablaDatos[[#This Row],[FechaIngreso]]+TablaDatos[[#This Row],[DiasNuevo]]</f>
        <v>45219</v>
      </c>
      <c r="I2897">
        <v>15</v>
      </c>
      <c r="J2897" t="s">
        <v>23</v>
      </c>
      <c r="K2897" s="3">
        <v>10363.27</v>
      </c>
      <c r="L2897" t="b">
        <f>TablaDatos[[#This Row],[FechaAlta]] &lt; TablaDatos[[#This Row],[FechaIngreso]]</f>
        <v>0</v>
      </c>
      <c r="M2897">
        <f>_xlfn.XLOOKUP(TablaDatos[[#This Row],[PacienteID]],'Datos_Ejemplo.csv'!A:A,'Datos_Ejemplo.csv'!I:I)</f>
        <v>15</v>
      </c>
      <c r="N2897">
        <f>ABS(TablaDatos[[#This Row],[DiasOriginal]])</f>
        <v>15</v>
      </c>
      <c r="O2897" s="1">
        <f>TablaDatos[[#This Row],[FechaIngreso]]+TablaDatos[[#This Row],[DiasNuevo]]</f>
        <v>45219</v>
      </c>
    </row>
    <row r="2898" spans="1:15">
      <c r="A2898">
        <v>2897</v>
      </c>
      <c r="B2898" t="s">
        <v>246</v>
      </c>
      <c r="C2898" s="1">
        <v>13150</v>
      </c>
      <c r="D2898">
        <v>90</v>
      </c>
      <c r="E2898" s="4" t="s">
        <v>15</v>
      </c>
      <c r="F2898" t="s">
        <v>32</v>
      </c>
      <c r="G2898" s="1">
        <v>45401</v>
      </c>
      <c r="H2898" s="1">
        <f>TablaDatos[[#This Row],[FechaIngreso]]+TablaDatos[[#This Row],[DiasNuevo]]</f>
        <v>45405</v>
      </c>
      <c r="I2898">
        <v>4</v>
      </c>
      <c r="J2898" t="s">
        <v>25</v>
      </c>
      <c r="K2898" s="3">
        <v>3705.65</v>
      </c>
      <c r="L2898" t="b">
        <f>TablaDatos[[#This Row],[FechaAlta]] &lt; TablaDatos[[#This Row],[FechaIngreso]]</f>
        <v>0</v>
      </c>
      <c r="M2898">
        <f>_xlfn.XLOOKUP(TablaDatos[[#This Row],[PacienteID]],'Datos_Ejemplo.csv'!A:A,'Datos_Ejemplo.csv'!I:I)</f>
        <v>4</v>
      </c>
      <c r="N2898">
        <f>ABS(TablaDatos[[#This Row],[DiasOriginal]])</f>
        <v>4</v>
      </c>
      <c r="O2898" s="1">
        <f>TablaDatos[[#This Row],[FechaIngreso]]+TablaDatos[[#This Row],[DiasNuevo]]</f>
        <v>45405</v>
      </c>
    </row>
    <row r="2899" spans="1:15">
      <c r="A2899">
        <v>2898</v>
      </c>
      <c r="B2899" t="s">
        <v>111</v>
      </c>
      <c r="C2899" s="1">
        <f ca="1">DATE(YEAR(TODAY())-TablaDatos[[#This Row],[Edad]],1,1)</f>
        <v>40909</v>
      </c>
      <c r="D2899">
        <v>14</v>
      </c>
      <c r="E2899" s="4" t="s">
        <v>12</v>
      </c>
      <c r="F2899" t="s">
        <v>13</v>
      </c>
      <c r="G2899" s="1">
        <v>45493</v>
      </c>
      <c r="H2899" s="1">
        <f>TablaDatos[[#This Row],[FechaIngreso]]+TablaDatos[[#This Row],[DiasNuevo]]</f>
        <v>45504</v>
      </c>
      <c r="I2899">
        <v>11</v>
      </c>
      <c r="J2899" t="s">
        <v>23</v>
      </c>
      <c r="K2899" s="3">
        <v>6273.12</v>
      </c>
      <c r="L2899" t="b">
        <f>TablaDatos[[#This Row],[FechaAlta]] &lt; TablaDatos[[#This Row],[FechaIngreso]]</f>
        <v>0</v>
      </c>
      <c r="M2899">
        <f>_xlfn.XLOOKUP(TablaDatos[[#This Row],[PacienteID]],'Datos_Ejemplo.csv'!A:A,'Datos_Ejemplo.csv'!I:I)</f>
        <v>11</v>
      </c>
      <c r="N2899">
        <f>ABS(TablaDatos[[#This Row],[DiasOriginal]])</f>
        <v>11</v>
      </c>
      <c r="O2899" s="1">
        <f>TablaDatos[[#This Row],[FechaIngreso]]+TablaDatos[[#This Row],[DiasNuevo]]</f>
        <v>45504</v>
      </c>
    </row>
    <row r="2900" spans="1:15">
      <c r="A2900">
        <v>2899</v>
      </c>
      <c r="B2900" t="s">
        <v>302</v>
      </c>
      <c r="C2900" s="1">
        <f ca="1">DATE(YEAR(TODAY())-TablaDatos[[#This Row],[Edad]],1,1)</f>
        <v>20821</v>
      </c>
      <c r="D2900">
        <v>69</v>
      </c>
      <c r="E2900" s="4" t="s">
        <v>15</v>
      </c>
      <c r="F2900" t="s">
        <v>32</v>
      </c>
      <c r="G2900" s="1">
        <v>45071</v>
      </c>
      <c r="H2900" s="1">
        <f>TablaDatos[[#This Row],[FechaIngreso]]+TablaDatos[[#This Row],[DiasNuevo]]</f>
        <v>45097</v>
      </c>
      <c r="I2900">
        <v>26</v>
      </c>
      <c r="J2900" t="s">
        <v>23</v>
      </c>
      <c r="K2900" s="3">
        <v>1755.12</v>
      </c>
      <c r="L2900" t="b">
        <f>TablaDatos[[#This Row],[FechaAlta]] &lt; TablaDatos[[#This Row],[FechaIngreso]]</f>
        <v>0</v>
      </c>
      <c r="M2900">
        <f>_xlfn.XLOOKUP(TablaDatos[[#This Row],[PacienteID]],'Datos_Ejemplo.csv'!A:A,'Datos_Ejemplo.csv'!I:I)</f>
        <v>26</v>
      </c>
      <c r="N2900">
        <f>ABS(TablaDatos[[#This Row],[DiasOriginal]])</f>
        <v>26</v>
      </c>
      <c r="O2900" s="1">
        <f>TablaDatos[[#This Row],[FechaIngreso]]+TablaDatos[[#This Row],[DiasNuevo]]</f>
        <v>45097</v>
      </c>
    </row>
    <row r="2901" spans="1:15">
      <c r="A2901">
        <v>2900</v>
      </c>
      <c r="B2901" t="s">
        <v>336</v>
      </c>
      <c r="C2901" s="1">
        <v>29221</v>
      </c>
      <c r="D2901">
        <v>46</v>
      </c>
      <c r="E2901" s="4" t="s">
        <v>12</v>
      </c>
      <c r="F2901" t="s">
        <v>32</v>
      </c>
      <c r="G2901" s="1">
        <v>45161</v>
      </c>
      <c r="H2901" s="1">
        <f>TablaDatos[[#This Row],[FechaIngreso]]+TablaDatos[[#This Row],[DiasNuevo]]</f>
        <v>45177</v>
      </c>
      <c r="I2901">
        <v>16</v>
      </c>
      <c r="J2901" t="s">
        <v>19</v>
      </c>
      <c r="K2901" s="3">
        <v>8595.5300000000007</v>
      </c>
      <c r="L2901" t="b">
        <f>TablaDatos[[#This Row],[FechaAlta]] &lt; TablaDatos[[#This Row],[FechaIngreso]]</f>
        <v>0</v>
      </c>
      <c r="M2901">
        <f>_xlfn.XLOOKUP(TablaDatos[[#This Row],[PacienteID]],'Datos_Ejemplo.csv'!A:A,'Datos_Ejemplo.csv'!I:I)</f>
        <v>16</v>
      </c>
      <c r="N2901">
        <f>ABS(TablaDatos[[#This Row],[DiasOriginal]])</f>
        <v>16</v>
      </c>
      <c r="O2901" s="1">
        <f>TablaDatos[[#This Row],[FechaIngreso]]+TablaDatos[[#This Row],[DiasNuevo]]</f>
        <v>45177</v>
      </c>
    </row>
    <row r="2902" spans="1:15">
      <c r="A2902">
        <v>2901</v>
      </c>
      <c r="B2902" t="s">
        <v>304</v>
      </c>
      <c r="C2902" s="1">
        <v>17898</v>
      </c>
      <c r="D2902">
        <v>77</v>
      </c>
      <c r="E2902" s="4" t="s">
        <v>12</v>
      </c>
      <c r="F2902" t="s">
        <v>32</v>
      </c>
      <c r="G2902" s="1">
        <v>45617</v>
      </c>
      <c r="H2902" s="1">
        <f>TablaDatos[[#This Row],[FechaIngreso]]+TablaDatos[[#This Row],[DiasNuevo]]</f>
        <v>45619</v>
      </c>
      <c r="I2902">
        <v>2</v>
      </c>
      <c r="J2902" t="s">
        <v>25</v>
      </c>
      <c r="K2902" s="3">
        <v>12148.78</v>
      </c>
      <c r="L2902" t="b">
        <f>TablaDatos[[#This Row],[FechaAlta]] &lt; TablaDatos[[#This Row],[FechaIngreso]]</f>
        <v>0</v>
      </c>
      <c r="M2902">
        <f>_xlfn.XLOOKUP(TablaDatos[[#This Row],[PacienteID]],'Datos_Ejemplo.csv'!A:A,'Datos_Ejemplo.csv'!I:I)</f>
        <v>2</v>
      </c>
      <c r="N2902">
        <f>ABS(TablaDatos[[#This Row],[DiasOriginal]])</f>
        <v>2</v>
      </c>
      <c r="O2902" s="1">
        <f>TablaDatos[[#This Row],[FechaIngreso]]+TablaDatos[[#This Row],[DiasNuevo]]</f>
        <v>45619</v>
      </c>
    </row>
    <row r="2903" spans="1:15">
      <c r="A2903">
        <v>2902</v>
      </c>
      <c r="B2903" t="s">
        <v>348</v>
      </c>
      <c r="C2903" s="1">
        <v>18994</v>
      </c>
      <c r="D2903">
        <v>74</v>
      </c>
      <c r="E2903" s="4" t="s">
        <v>15</v>
      </c>
      <c r="F2903" t="s">
        <v>21</v>
      </c>
      <c r="G2903" s="1">
        <v>45646</v>
      </c>
      <c r="H2903" s="1">
        <f>TablaDatos[[#This Row],[FechaIngreso]]+TablaDatos[[#This Row],[DiasNuevo]]</f>
        <v>45684</v>
      </c>
      <c r="I2903">
        <v>38</v>
      </c>
      <c r="J2903" t="s">
        <v>23</v>
      </c>
      <c r="K2903" s="3">
        <v>2282.4499999999998</v>
      </c>
      <c r="L2903" t="b">
        <f>TablaDatos[[#This Row],[FechaAlta]] &lt; TablaDatos[[#This Row],[FechaIngreso]]</f>
        <v>0</v>
      </c>
      <c r="M2903">
        <f>_xlfn.XLOOKUP(TablaDatos[[#This Row],[PacienteID]],'Datos_Ejemplo.csv'!A:A,'Datos_Ejemplo.csv'!I:I)</f>
        <v>38</v>
      </c>
      <c r="N2903">
        <f>ABS(TablaDatos[[#This Row],[DiasOriginal]])</f>
        <v>38</v>
      </c>
      <c r="O2903" s="1">
        <f>TablaDatos[[#This Row],[FechaIngreso]]+TablaDatos[[#This Row],[DiasNuevo]]</f>
        <v>45684</v>
      </c>
    </row>
    <row r="2904" spans="1:15">
      <c r="A2904">
        <v>2903</v>
      </c>
      <c r="B2904" t="s">
        <v>262</v>
      </c>
      <c r="C2904" s="1">
        <v>43100</v>
      </c>
      <c r="D2904">
        <v>8</v>
      </c>
      <c r="E2904" s="4" t="s">
        <v>15</v>
      </c>
      <c r="F2904" t="s">
        <v>201</v>
      </c>
      <c r="G2904" s="1">
        <v>45062</v>
      </c>
      <c r="H2904" s="1">
        <f>TablaDatos[[#This Row],[FechaIngreso]]+TablaDatos[[#This Row],[DiasNuevo]]</f>
        <v>45064</v>
      </c>
      <c r="I2904">
        <v>2</v>
      </c>
      <c r="J2904" t="s">
        <v>23</v>
      </c>
      <c r="K2904" s="3">
        <v>12574.8</v>
      </c>
      <c r="L2904" t="b">
        <f>TablaDatos[[#This Row],[FechaAlta]] &lt; TablaDatos[[#This Row],[FechaIngreso]]</f>
        <v>0</v>
      </c>
      <c r="M2904">
        <f>_xlfn.XLOOKUP(TablaDatos[[#This Row],[PacienteID]],'Datos_Ejemplo.csv'!A:A,'Datos_Ejemplo.csv'!I:I)</f>
        <v>2</v>
      </c>
      <c r="N2904">
        <f>ABS(TablaDatos[[#This Row],[DiasOriginal]])</f>
        <v>2</v>
      </c>
      <c r="O2904" s="1">
        <f>TablaDatos[[#This Row],[FechaIngreso]]+TablaDatos[[#This Row],[DiasNuevo]]</f>
        <v>45064</v>
      </c>
    </row>
    <row r="2905" spans="1:15">
      <c r="A2905">
        <v>2904</v>
      </c>
      <c r="B2905" t="s">
        <v>49</v>
      </c>
      <c r="C2905" s="1">
        <v>13515</v>
      </c>
      <c r="D2905">
        <v>89</v>
      </c>
      <c r="E2905" s="4" t="s">
        <v>15</v>
      </c>
      <c r="F2905" t="s">
        <v>201</v>
      </c>
      <c r="G2905" s="1">
        <v>45371</v>
      </c>
      <c r="H2905" s="1">
        <f>TablaDatos[[#This Row],[FechaIngreso]]+TablaDatos[[#This Row],[DiasNuevo]]</f>
        <v>45383</v>
      </c>
      <c r="I2905">
        <v>12</v>
      </c>
      <c r="J2905" t="s">
        <v>25</v>
      </c>
      <c r="K2905" s="3">
        <v>17846.73</v>
      </c>
      <c r="L2905" t="b">
        <f>TablaDatos[[#This Row],[FechaAlta]] &lt; TablaDatos[[#This Row],[FechaIngreso]]</f>
        <v>0</v>
      </c>
      <c r="M2905">
        <f>_xlfn.XLOOKUP(TablaDatos[[#This Row],[PacienteID]],'Datos_Ejemplo.csv'!A:A,'Datos_Ejemplo.csv'!I:I)</f>
        <v>12</v>
      </c>
      <c r="N2905">
        <f>ABS(TablaDatos[[#This Row],[DiasOriginal]])</f>
        <v>12</v>
      </c>
      <c r="O2905" s="1">
        <f>TablaDatos[[#This Row],[FechaIngreso]]+TablaDatos[[#This Row],[DiasNuevo]]</f>
        <v>45383</v>
      </c>
    </row>
    <row r="2906" spans="1:15">
      <c r="A2906">
        <v>2905</v>
      </c>
      <c r="B2906" t="s">
        <v>230</v>
      </c>
      <c r="C2906" s="1">
        <v>40544</v>
      </c>
      <c r="D2906">
        <v>15</v>
      </c>
      <c r="E2906" s="4" t="s">
        <v>12</v>
      </c>
      <c r="F2906" t="s">
        <v>21</v>
      </c>
      <c r="G2906" s="1">
        <v>45279</v>
      </c>
      <c r="H2906" s="1">
        <f>TablaDatos[[#This Row],[FechaIngreso]]+TablaDatos[[#This Row],[DiasNuevo]]</f>
        <v>45302</v>
      </c>
      <c r="I2906">
        <v>23</v>
      </c>
      <c r="J2906" t="s">
        <v>23</v>
      </c>
      <c r="K2906" s="3">
        <v>6688.25</v>
      </c>
      <c r="L2906" t="b">
        <f>TablaDatos[[#This Row],[FechaAlta]] &lt; TablaDatos[[#This Row],[FechaIngreso]]</f>
        <v>0</v>
      </c>
      <c r="M2906">
        <f>_xlfn.XLOOKUP(TablaDatos[[#This Row],[PacienteID]],'Datos_Ejemplo.csv'!A:A,'Datos_Ejemplo.csv'!I:I)</f>
        <v>23</v>
      </c>
      <c r="N2906">
        <f>ABS(TablaDatos[[#This Row],[DiasOriginal]])</f>
        <v>23</v>
      </c>
      <c r="O2906" s="1">
        <f>TablaDatos[[#This Row],[FechaIngreso]]+TablaDatos[[#This Row],[DiasNuevo]]</f>
        <v>45302</v>
      </c>
    </row>
    <row r="2907" spans="1:15">
      <c r="A2907">
        <v>2906</v>
      </c>
      <c r="B2907" t="s">
        <v>136</v>
      </c>
      <c r="C2907" s="1">
        <v>21185</v>
      </c>
      <c r="D2907">
        <v>68</v>
      </c>
      <c r="E2907" s="4" t="s">
        <v>12</v>
      </c>
      <c r="F2907" t="s">
        <v>21</v>
      </c>
      <c r="G2907" s="1">
        <v>45320</v>
      </c>
      <c r="H2907" s="1">
        <f>TablaDatos[[#This Row],[FechaIngreso]]+TablaDatos[[#This Row],[DiasNuevo]]</f>
        <v>45341</v>
      </c>
      <c r="I2907">
        <v>21</v>
      </c>
      <c r="J2907" t="s">
        <v>25</v>
      </c>
      <c r="K2907" s="3">
        <v>4362.87</v>
      </c>
      <c r="L2907" t="b">
        <f>TablaDatos[[#This Row],[FechaAlta]] &lt; TablaDatos[[#This Row],[FechaIngreso]]</f>
        <v>0</v>
      </c>
      <c r="M2907">
        <f>_xlfn.XLOOKUP(TablaDatos[[#This Row],[PacienteID]],'Datos_Ejemplo.csv'!A:A,'Datos_Ejemplo.csv'!I:I)</f>
        <v>21</v>
      </c>
      <c r="N2907">
        <f>ABS(TablaDatos[[#This Row],[DiasOriginal]])</f>
        <v>21</v>
      </c>
      <c r="O2907" s="1">
        <f>TablaDatos[[#This Row],[FechaIngreso]]+TablaDatos[[#This Row],[DiasNuevo]]</f>
        <v>45341</v>
      </c>
    </row>
    <row r="2908" spans="1:15">
      <c r="A2908">
        <v>2907</v>
      </c>
      <c r="B2908" t="s">
        <v>310</v>
      </c>
      <c r="C2908" s="1">
        <v>24107</v>
      </c>
      <c r="D2908">
        <v>60</v>
      </c>
      <c r="E2908" s="4" t="s">
        <v>15</v>
      </c>
      <c r="F2908" t="s">
        <v>21</v>
      </c>
      <c r="G2908" s="1">
        <v>45201</v>
      </c>
      <c r="H2908" s="1">
        <f>TablaDatos[[#This Row],[FechaIngreso]]+TablaDatos[[#This Row],[DiasNuevo]]</f>
        <v>45217</v>
      </c>
      <c r="I2908">
        <v>16</v>
      </c>
      <c r="J2908" t="s">
        <v>19</v>
      </c>
      <c r="K2908" s="3">
        <v>17849.419999999998</v>
      </c>
      <c r="L2908" t="b">
        <f>TablaDatos[[#This Row],[FechaAlta]] &lt; TablaDatos[[#This Row],[FechaIngreso]]</f>
        <v>0</v>
      </c>
      <c r="M2908">
        <f>_xlfn.XLOOKUP(TablaDatos[[#This Row],[PacienteID]],'Datos_Ejemplo.csv'!A:A,'Datos_Ejemplo.csv'!I:I)</f>
        <v>16</v>
      </c>
      <c r="N2908">
        <f>ABS(TablaDatos[[#This Row],[DiasOriginal]])</f>
        <v>16</v>
      </c>
      <c r="O2908" s="1">
        <f>TablaDatos[[#This Row],[FechaIngreso]]+TablaDatos[[#This Row],[DiasNuevo]]</f>
        <v>45217</v>
      </c>
    </row>
    <row r="2909" spans="1:15">
      <c r="A2909">
        <v>2908</v>
      </c>
      <c r="B2909" t="s">
        <v>235</v>
      </c>
      <c r="C2909" s="1">
        <v>42735</v>
      </c>
      <c r="D2909">
        <v>9</v>
      </c>
      <c r="E2909" s="4" t="s">
        <v>15</v>
      </c>
      <c r="F2909" t="s">
        <v>201</v>
      </c>
      <c r="G2909" s="1">
        <v>45310</v>
      </c>
      <c r="H2909" s="1">
        <f>TablaDatos[[#This Row],[FechaIngreso]]+TablaDatos[[#This Row],[DiasNuevo]]</f>
        <v>45327</v>
      </c>
      <c r="I2909">
        <v>17</v>
      </c>
      <c r="J2909" t="s">
        <v>23</v>
      </c>
      <c r="K2909" s="3">
        <v>13808.1</v>
      </c>
      <c r="L2909" t="b">
        <f>TablaDatos[[#This Row],[FechaAlta]] &lt; TablaDatos[[#This Row],[FechaIngreso]]</f>
        <v>0</v>
      </c>
      <c r="M2909">
        <f>_xlfn.XLOOKUP(TablaDatos[[#This Row],[PacienteID]],'Datos_Ejemplo.csv'!A:A,'Datos_Ejemplo.csv'!I:I)</f>
        <v>17</v>
      </c>
      <c r="N2909">
        <f>ABS(TablaDatos[[#This Row],[DiasOriginal]])</f>
        <v>17</v>
      </c>
      <c r="O2909" s="1">
        <f>TablaDatos[[#This Row],[FechaIngreso]]+TablaDatos[[#This Row],[DiasNuevo]]</f>
        <v>45327</v>
      </c>
    </row>
    <row r="2910" spans="1:15">
      <c r="A2910">
        <v>2909</v>
      </c>
      <c r="B2910" t="s">
        <v>162</v>
      </c>
      <c r="C2910" s="1">
        <v>28125</v>
      </c>
      <c r="D2910">
        <v>49</v>
      </c>
      <c r="E2910" s="4" t="s">
        <v>15</v>
      </c>
      <c r="F2910" t="s">
        <v>18</v>
      </c>
      <c r="G2910" s="1">
        <v>45249</v>
      </c>
      <c r="H2910" s="1">
        <f>TablaDatos[[#This Row],[FechaIngreso]]+TablaDatos[[#This Row],[DiasNuevo]]</f>
        <v>45255</v>
      </c>
      <c r="I2910">
        <v>6</v>
      </c>
      <c r="J2910" t="s">
        <v>23</v>
      </c>
      <c r="K2910" s="3">
        <v>2018.44</v>
      </c>
      <c r="L2910" t="b">
        <f>TablaDatos[[#This Row],[FechaAlta]] &lt; TablaDatos[[#This Row],[FechaIngreso]]</f>
        <v>0</v>
      </c>
      <c r="M2910">
        <f>_xlfn.XLOOKUP(TablaDatos[[#This Row],[PacienteID]],'Datos_Ejemplo.csv'!A:A,'Datos_Ejemplo.csv'!I:I)</f>
        <v>6</v>
      </c>
      <c r="N2910">
        <f>ABS(TablaDatos[[#This Row],[DiasOriginal]])</f>
        <v>6</v>
      </c>
      <c r="O2910" s="1">
        <f>TablaDatos[[#This Row],[FechaIngreso]]+TablaDatos[[#This Row],[DiasNuevo]]</f>
        <v>45255</v>
      </c>
    </row>
    <row r="2911" spans="1:15">
      <c r="A2911">
        <v>2910</v>
      </c>
      <c r="B2911" t="s">
        <v>251</v>
      </c>
      <c r="C2911" s="1">
        <v>45292</v>
      </c>
      <c r="D2911">
        <f ca="1">DATEDIF(TablaDatos[[#This Row],[FechaNacimiento]],TODAY(),"Y")</f>
        <v>2</v>
      </c>
      <c r="E2911" s="4" t="s">
        <v>12</v>
      </c>
      <c r="F2911" t="s">
        <v>32</v>
      </c>
      <c r="G2911" s="1">
        <v>45109</v>
      </c>
      <c r="H2911" s="1">
        <f>TablaDatos[[#This Row],[FechaIngreso]]+TablaDatos[[#This Row],[DiasNuevo]]</f>
        <v>45134</v>
      </c>
      <c r="I2911">
        <v>25</v>
      </c>
      <c r="J2911" t="s">
        <v>25</v>
      </c>
      <c r="K2911" s="3">
        <v>8103.05</v>
      </c>
      <c r="L2911" t="b">
        <f>TablaDatos[[#This Row],[FechaAlta]] &lt; TablaDatos[[#This Row],[FechaIngreso]]</f>
        <v>0</v>
      </c>
      <c r="M2911">
        <f>_xlfn.XLOOKUP(TablaDatos[[#This Row],[PacienteID]],'Datos_Ejemplo.csv'!A:A,'Datos_Ejemplo.csv'!I:I)</f>
        <v>25</v>
      </c>
      <c r="N2911">
        <f>ABS(TablaDatos[[#This Row],[DiasOriginal]])</f>
        <v>25</v>
      </c>
      <c r="O2911" s="1">
        <f>TablaDatos[[#This Row],[FechaIngreso]]+TablaDatos[[#This Row],[DiasNuevo]]</f>
        <v>45134</v>
      </c>
    </row>
    <row r="2912" spans="1:15">
      <c r="A2912">
        <v>2911</v>
      </c>
      <c r="B2912" t="s">
        <v>242</v>
      </c>
      <c r="C2912" s="1">
        <v>18263</v>
      </c>
      <c r="D2912">
        <v>76</v>
      </c>
      <c r="E2912" s="4" t="s">
        <v>12</v>
      </c>
      <c r="F2912" t="s">
        <v>18</v>
      </c>
      <c r="G2912" s="1">
        <v>45499</v>
      </c>
      <c r="H2912" s="1">
        <f>TablaDatos[[#This Row],[FechaIngreso]]+TablaDatos[[#This Row],[DiasNuevo]]</f>
        <v>45512</v>
      </c>
      <c r="I2912">
        <v>13</v>
      </c>
      <c r="J2912" t="s">
        <v>23</v>
      </c>
      <c r="K2912" s="3">
        <v>13449.2</v>
      </c>
      <c r="L2912" t="b">
        <f>TablaDatos[[#This Row],[FechaAlta]] &lt; TablaDatos[[#This Row],[FechaIngreso]]</f>
        <v>0</v>
      </c>
      <c r="M2912">
        <f>_xlfn.XLOOKUP(TablaDatos[[#This Row],[PacienteID]],'Datos_Ejemplo.csv'!A:A,'Datos_Ejemplo.csv'!I:I)</f>
        <v>13</v>
      </c>
      <c r="N2912">
        <f>ABS(TablaDatos[[#This Row],[DiasOriginal]])</f>
        <v>13</v>
      </c>
      <c r="O2912" s="1">
        <f>TablaDatos[[#This Row],[FechaIngreso]]+TablaDatos[[#This Row],[DiasNuevo]]</f>
        <v>45512</v>
      </c>
    </row>
    <row r="2913" spans="1:15">
      <c r="A2913">
        <v>2912</v>
      </c>
      <c r="B2913" t="s">
        <v>49</v>
      </c>
      <c r="C2913" s="1">
        <v>12054</v>
      </c>
      <c r="D2913">
        <v>93</v>
      </c>
      <c r="E2913" s="4" t="s">
        <v>12</v>
      </c>
      <c r="F2913" t="s">
        <v>13</v>
      </c>
      <c r="G2913" s="1">
        <v>45366</v>
      </c>
      <c r="H2913" s="1">
        <f>TablaDatos[[#This Row],[FechaIngreso]]+TablaDatos[[#This Row],[DiasNuevo]]</f>
        <v>45374</v>
      </c>
      <c r="I2913">
        <v>8</v>
      </c>
      <c r="J2913" t="s">
        <v>23</v>
      </c>
      <c r="K2913" s="3">
        <v>11445.12</v>
      </c>
      <c r="L2913" t="b">
        <f>TablaDatos[[#This Row],[FechaAlta]] &lt; TablaDatos[[#This Row],[FechaIngreso]]</f>
        <v>0</v>
      </c>
      <c r="M2913">
        <f>_xlfn.XLOOKUP(TablaDatos[[#This Row],[PacienteID]],'Datos_Ejemplo.csv'!A:A,'Datos_Ejemplo.csv'!I:I)</f>
        <v>8</v>
      </c>
      <c r="N2913">
        <f>ABS(TablaDatos[[#This Row],[DiasOriginal]])</f>
        <v>8</v>
      </c>
      <c r="O2913" s="1">
        <f>TablaDatos[[#This Row],[FechaIngreso]]+TablaDatos[[#This Row],[DiasNuevo]]</f>
        <v>45374</v>
      </c>
    </row>
    <row r="2914" spans="1:15">
      <c r="A2914">
        <v>2913</v>
      </c>
      <c r="B2914" t="s">
        <v>103</v>
      </c>
      <c r="C2914" s="1">
        <v>20820</v>
      </c>
      <c r="D2914">
        <v>69</v>
      </c>
      <c r="E2914" s="4" t="s">
        <v>15</v>
      </c>
      <c r="F2914" t="s">
        <v>201</v>
      </c>
      <c r="G2914" s="1">
        <v>44989</v>
      </c>
      <c r="H2914" s="1">
        <f>TablaDatos[[#This Row],[FechaIngreso]]+TablaDatos[[#This Row],[DiasNuevo]]</f>
        <v>45020</v>
      </c>
      <c r="I2914">
        <v>31</v>
      </c>
      <c r="J2914" t="s">
        <v>19</v>
      </c>
      <c r="K2914" s="3">
        <v>12332.8</v>
      </c>
      <c r="L2914" t="b">
        <f>TablaDatos[[#This Row],[FechaAlta]] &lt; TablaDatos[[#This Row],[FechaIngreso]]</f>
        <v>0</v>
      </c>
      <c r="M2914">
        <f>_xlfn.XLOOKUP(TablaDatos[[#This Row],[PacienteID]],'Datos_Ejemplo.csv'!A:A,'Datos_Ejemplo.csv'!I:I)</f>
        <v>31</v>
      </c>
      <c r="N2914">
        <f>ABS(TablaDatos[[#This Row],[DiasOriginal]])</f>
        <v>31</v>
      </c>
      <c r="O2914" s="1">
        <f>TablaDatos[[#This Row],[FechaIngreso]]+TablaDatos[[#This Row],[DiasNuevo]]</f>
        <v>45020</v>
      </c>
    </row>
    <row r="2915" spans="1:15">
      <c r="A2915">
        <v>2914</v>
      </c>
      <c r="B2915" t="s">
        <v>233</v>
      </c>
      <c r="C2915" s="1">
        <v>16802</v>
      </c>
      <c r="D2915">
        <f ca="1">DATEDIF(TablaDatos[[#This Row],[FechaNacimiento]],TODAY(),"Y")</f>
        <v>80</v>
      </c>
      <c r="E2915" s="4" t="s">
        <v>15</v>
      </c>
      <c r="F2915" t="s">
        <v>261</v>
      </c>
      <c r="G2915" s="1">
        <v>45653</v>
      </c>
      <c r="H2915" s="1">
        <f>TablaDatos[[#This Row],[FechaIngreso]]+TablaDatos[[#This Row],[DiasNuevo]]</f>
        <v>45675</v>
      </c>
      <c r="I2915">
        <v>22</v>
      </c>
      <c r="J2915" t="s">
        <v>23</v>
      </c>
      <c r="K2915" s="3">
        <v>11299.42</v>
      </c>
      <c r="L2915" t="b">
        <f>TablaDatos[[#This Row],[FechaAlta]] &lt; TablaDatos[[#This Row],[FechaIngreso]]</f>
        <v>0</v>
      </c>
      <c r="M2915">
        <f>_xlfn.XLOOKUP(TablaDatos[[#This Row],[PacienteID]],'Datos_Ejemplo.csv'!A:A,'Datos_Ejemplo.csv'!I:I)</f>
        <v>22</v>
      </c>
      <c r="N2915">
        <f>ABS(TablaDatos[[#This Row],[DiasOriginal]])</f>
        <v>22</v>
      </c>
      <c r="O2915" s="1">
        <f>TablaDatos[[#This Row],[FechaIngreso]]+TablaDatos[[#This Row],[DiasNuevo]]</f>
        <v>45675</v>
      </c>
    </row>
    <row r="2916" spans="1:15">
      <c r="A2916">
        <v>2915</v>
      </c>
      <c r="B2916" t="s">
        <v>329</v>
      </c>
      <c r="C2916" s="1">
        <v>27760</v>
      </c>
      <c r="D2916">
        <v>50</v>
      </c>
      <c r="E2916" s="4" t="s">
        <v>197</v>
      </c>
      <c r="F2916" t="s">
        <v>201</v>
      </c>
      <c r="G2916" s="1">
        <v>45577</v>
      </c>
      <c r="H2916" s="1">
        <f>TablaDatos[[#This Row],[FechaIngreso]]+TablaDatos[[#This Row],[DiasNuevo]]</f>
        <v>45614</v>
      </c>
      <c r="I2916">
        <v>37</v>
      </c>
      <c r="J2916" t="s">
        <v>23</v>
      </c>
      <c r="K2916" s="3">
        <v>15941.03</v>
      </c>
      <c r="L2916" t="b">
        <f>TablaDatos[[#This Row],[FechaAlta]] &lt; TablaDatos[[#This Row],[FechaIngreso]]</f>
        <v>0</v>
      </c>
      <c r="M2916">
        <f>_xlfn.XLOOKUP(TablaDatos[[#This Row],[PacienteID]],'Datos_Ejemplo.csv'!A:A,'Datos_Ejemplo.csv'!I:I)</f>
        <v>37</v>
      </c>
      <c r="N2916">
        <f>ABS(TablaDatos[[#This Row],[DiasOriginal]])</f>
        <v>37</v>
      </c>
      <c r="O2916" s="1">
        <f>TablaDatos[[#This Row],[FechaIngreso]]+TablaDatos[[#This Row],[DiasNuevo]]</f>
        <v>45614</v>
      </c>
    </row>
    <row r="2917" spans="1:15">
      <c r="A2917">
        <v>2916</v>
      </c>
      <c r="B2917" t="s">
        <v>331</v>
      </c>
      <c r="C2917" s="1">
        <v>39448</v>
      </c>
      <c r="D2917">
        <v>18</v>
      </c>
      <c r="E2917" s="4" t="s">
        <v>15</v>
      </c>
      <c r="F2917" t="s">
        <v>295</v>
      </c>
      <c r="G2917" s="1">
        <v>45572</v>
      </c>
      <c r="H2917" s="1">
        <f>TablaDatos[[#This Row],[FechaIngreso]]+TablaDatos[[#This Row],[DiasNuevo]]</f>
        <v>45590</v>
      </c>
      <c r="I2917">
        <v>18</v>
      </c>
      <c r="J2917" t="s">
        <v>23</v>
      </c>
      <c r="K2917" s="3">
        <v>6340.58</v>
      </c>
      <c r="L2917" t="b">
        <f>TablaDatos[[#This Row],[FechaAlta]] &lt; TablaDatos[[#This Row],[FechaIngreso]]</f>
        <v>0</v>
      </c>
      <c r="M2917">
        <f>_xlfn.XLOOKUP(TablaDatos[[#This Row],[PacienteID]],'Datos_Ejemplo.csv'!A:A,'Datos_Ejemplo.csv'!I:I)</f>
        <v>18</v>
      </c>
      <c r="N2917">
        <f>ABS(TablaDatos[[#This Row],[DiasOriginal]])</f>
        <v>18</v>
      </c>
      <c r="O2917" s="1">
        <f>TablaDatos[[#This Row],[FechaIngreso]]+TablaDatos[[#This Row],[DiasNuevo]]</f>
        <v>45590</v>
      </c>
    </row>
    <row r="2918" spans="1:15">
      <c r="A2918">
        <v>2917</v>
      </c>
      <c r="B2918" t="s">
        <v>325</v>
      </c>
      <c r="C2918" s="1">
        <v>31047</v>
      </c>
      <c r="D2918">
        <v>41</v>
      </c>
      <c r="E2918" s="4" t="s">
        <v>12</v>
      </c>
      <c r="F2918" t="s">
        <v>18</v>
      </c>
      <c r="G2918" s="1">
        <v>44960</v>
      </c>
      <c r="H2918" s="1">
        <f>TablaDatos[[#This Row],[FechaIngreso]]+TablaDatos[[#This Row],[DiasNuevo]]</f>
        <v>44962</v>
      </c>
      <c r="I2918">
        <v>2</v>
      </c>
      <c r="J2918" t="s">
        <v>25</v>
      </c>
      <c r="K2918" s="3">
        <v>14140.09</v>
      </c>
      <c r="L2918" t="b">
        <f>TablaDatos[[#This Row],[FechaAlta]] &lt; TablaDatos[[#This Row],[FechaIngreso]]</f>
        <v>0</v>
      </c>
      <c r="M2918">
        <f>_xlfn.XLOOKUP(TablaDatos[[#This Row],[PacienteID]],'Datos_Ejemplo.csv'!A:A,'Datos_Ejemplo.csv'!I:I)</f>
        <v>2</v>
      </c>
      <c r="N2918">
        <f>ABS(TablaDatos[[#This Row],[DiasOriginal]])</f>
        <v>2</v>
      </c>
      <c r="O2918" s="1">
        <f>TablaDatos[[#This Row],[FechaIngreso]]+TablaDatos[[#This Row],[DiasNuevo]]</f>
        <v>44962</v>
      </c>
    </row>
    <row r="2919" spans="1:15">
      <c r="A2919">
        <v>2918</v>
      </c>
      <c r="B2919" t="s">
        <v>306</v>
      </c>
      <c r="C2919" s="1">
        <v>33604</v>
      </c>
      <c r="D2919">
        <v>34</v>
      </c>
      <c r="E2919" s="4" t="s">
        <v>15</v>
      </c>
      <c r="F2919" t="s">
        <v>21</v>
      </c>
      <c r="G2919" s="1">
        <v>45631</v>
      </c>
      <c r="H2919" s="1">
        <f>TablaDatos[[#This Row],[FechaIngreso]]+TablaDatos[[#This Row],[DiasNuevo]]</f>
        <v>45639</v>
      </c>
      <c r="I2919">
        <v>8</v>
      </c>
      <c r="J2919" t="s">
        <v>19</v>
      </c>
      <c r="K2919" s="3">
        <v>19820.7</v>
      </c>
      <c r="L2919" t="b">
        <f>TablaDatos[[#This Row],[FechaAlta]] &lt; TablaDatos[[#This Row],[FechaIngreso]]</f>
        <v>0</v>
      </c>
      <c r="M2919">
        <f>_xlfn.XLOOKUP(TablaDatos[[#This Row],[PacienteID]],'Datos_Ejemplo.csv'!A:A,'Datos_Ejemplo.csv'!I:I)</f>
        <v>8</v>
      </c>
      <c r="N2919">
        <f>ABS(TablaDatos[[#This Row],[DiasOriginal]])</f>
        <v>8</v>
      </c>
      <c r="O2919" s="1">
        <f>TablaDatos[[#This Row],[FechaIngreso]]+TablaDatos[[#This Row],[DiasNuevo]]</f>
        <v>45639</v>
      </c>
    </row>
    <row r="2920" spans="1:15">
      <c r="A2920">
        <v>2919</v>
      </c>
      <c r="B2920" t="s">
        <v>116</v>
      </c>
      <c r="C2920" s="1">
        <v>29586</v>
      </c>
      <c r="D2920">
        <v>45</v>
      </c>
      <c r="E2920" s="4" t="s">
        <v>15</v>
      </c>
      <c r="F2920" t="s">
        <v>21</v>
      </c>
      <c r="G2920" s="1">
        <v>45403</v>
      </c>
      <c r="H2920" s="1">
        <f>TablaDatos[[#This Row],[FechaIngreso]]+TablaDatos[[#This Row],[DiasNuevo]]</f>
        <v>45409</v>
      </c>
      <c r="I2920">
        <v>6</v>
      </c>
      <c r="J2920" t="s">
        <v>19</v>
      </c>
      <c r="K2920" s="3">
        <v>7738.17</v>
      </c>
      <c r="L2920" t="b">
        <f>TablaDatos[[#This Row],[FechaAlta]] &lt; TablaDatos[[#This Row],[FechaIngreso]]</f>
        <v>0</v>
      </c>
      <c r="M2920">
        <f>_xlfn.XLOOKUP(TablaDatos[[#This Row],[PacienteID]],'Datos_Ejemplo.csv'!A:A,'Datos_Ejemplo.csv'!I:I)</f>
        <v>6</v>
      </c>
      <c r="N2920">
        <f>ABS(TablaDatos[[#This Row],[DiasOriginal]])</f>
        <v>6</v>
      </c>
      <c r="O2920" s="1">
        <f>TablaDatos[[#This Row],[FechaIngreso]]+TablaDatos[[#This Row],[DiasNuevo]]</f>
        <v>45409</v>
      </c>
    </row>
    <row r="2921" spans="1:15">
      <c r="A2921">
        <v>2920</v>
      </c>
      <c r="B2921" t="s">
        <v>105</v>
      </c>
      <c r="C2921" s="1">
        <v>36891</v>
      </c>
      <c r="D2921">
        <v>25</v>
      </c>
      <c r="E2921" s="4" t="s">
        <v>12</v>
      </c>
      <c r="F2921" t="s">
        <v>13</v>
      </c>
      <c r="G2921" s="1">
        <v>45013</v>
      </c>
      <c r="H2921" s="1">
        <f>TablaDatos[[#This Row],[FechaIngreso]]+TablaDatos[[#This Row],[DiasNuevo]]</f>
        <v>45021</v>
      </c>
      <c r="I2921">
        <v>8</v>
      </c>
      <c r="J2921" t="s">
        <v>23</v>
      </c>
      <c r="K2921" s="3">
        <v>15800.07</v>
      </c>
      <c r="L2921" t="b">
        <f>TablaDatos[[#This Row],[FechaAlta]] &lt; TablaDatos[[#This Row],[FechaIngreso]]</f>
        <v>0</v>
      </c>
      <c r="M2921">
        <f>_xlfn.XLOOKUP(TablaDatos[[#This Row],[PacienteID]],'Datos_Ejemplo.csv'!A:A,'Datos_Ejemplo.csv'!I:I)</f>
        <v>8</v>
      </c>
      <c r="N2921">
        <f>ABS(TablaDatos[[#This Row],[DiasOriginal]])</f>
        <v>8</v>
      </c>
      <c r="O2921" s="1">
        <f>TablaDatos[[#This Row],[FechaIngreso]]+TablaDatos[[#This Row],[DiasNuevo]]</f>
        <v>45021</v>
      </c>
    </row>
    <row r="2922" spans="1:15">
      <c r="A2922">
        <v>2921</v>
      </c>
      <c r="B2922" t="s">
        <v>304</v>
      </c>
      <c r="C2922" s="1">
        <f ca="1">DATE(YEAR(TODAY())-TablaDatos[[#This Row],[Edad]],1,1)</f>
        <v>21186</v>
      </c>
      <c r="D2922">
        <v>68</v>
      </c>
      <c r="E2922" s="4" t="s">
        <v>197</v>
      </c>
      <c r="F2922" t="s">
        <v>32</v>
      </c>
      <c r="G2922" s="1">
        <v>45136</v>
      </c>
      <c r="H2922" s="1">
        <f>TablaDatos[[#This Row],[FechaIngreso]]+TablaDatos[[#This Row],[DiasNuevo]]</f>
        <v>45170</v>
      </c>
      <c r="I2922">
        <v>34</v>
      </c>
      <c r="J2922" t="s">
        <v>23</v>
      </c>
      <c r="K2922" s="3">
        <v>4846.8</v>
      </c>
      <c r="L2922" t="b">
        <f>TablaDatos[[#This Row],[FechaAlta]] &lt; TablaDatos[[#This Row],[FechaIngreso]]</f>
        <v>0</v>
      </c>
      <c r="M2922">
        <f>_xlfn.XLOOKUP(TablaDatos[[#This Row],[PacienteID]],'Datos_Ejemplo.csv'!A:A,'Datos_Ejemplo.csv'!I:I)</f>
        <v>34</v>
      </c>
      <c r="N2922">
        <f>ABS(TablaDatos[[#This Row],[DiasOriginal]])</f>
        <v>34</v>
      </c>
      <c r="O2922" s="1">
        <f>TablaDatos[[#This Row],[FechaIngreso]]+TablaDatos[[#This Row],[DiasNuevo]]</f>
        <v>45170</v>
      </c>
    </row>
    <row r="2923" spans="1:15">
      <c r="A2923">
        <v>2922</v>
      </c>
      <c r="B2923" t="s">
        <v>111</v>
      </c>
      <c r="C2923" s="1">
        <v>12419</v>
      </c>
      <c r="D2923">
        <v>92</v>
      </c>
      <c r="E2923" s="4" t="s">
        <v>197</v>
      </c>
      <c r="F2923" t="s">
        <v>295</v>
      </c>
      <c r="G2923" s="1">
        <v>45388</v>
      </c>
      <c r="H2923" s="1">
        <f>TablaDatos[[#This Row],[FechaIngreso]]+TablaDatos[[#This Row],[DiasNuevo]]</f>
        <v>45426</v>
      </c>
      <c r="I2923">
        <v>38</v>
      </c>
      <c r="J2923" t="s">
        <v>25</v>
      </c>
      <c r="K2923" s="3">
        <v>5566.12</v>
      </c>
      <c r="L2923" t="b">
        <f>TablaDatos[[#This Row],[FechaAlta]] &lt; TablaDatos[[#This Row],[FechaIngreso]]</f>
        <v>0</v>
      </c>
      <c r="M2923">
        <f>_xlfn.XLOOKUP(TablaDatos[[#This Row],[PacienteID]],'Datos_Ejemplo.csv'!A:A,'Datos_Ejemplo.csv'!I:I)</f>
        <v>38</v>
      </c>
      <c r="N2923">
        <f>ABS(TablaDatos[[#This Row],[DiasOriginal]])</f>
        <v>38</v>
      </c>
      <c r="O2923" s="1">
        <f>TablaDatos[[#This Row],[FechaIngreso]]+TablaDatos[[#This Row],[DiasNuevo]]</f>
        <v>45426</v>
      </c>
    </row>
    <row r="2924" spans="1:15">
      <c r="A2924">
        <v>2923</v>
      </c>
      <c r="B2924" t="s">
        <v>363</v>
      </c>
      <c r="C2924" s="1">
        <v>23012</v>
      </c>
      <c r="D2924">
        <v>63</v>
      </c>
      <c r="E2924" s="4" t="s">
        <v>15</v>
      </c>
      <c r="F2924" t="s">
        <v>18</v>
      </c>
      <c r="G2924" s="1">
        <v>45007</v>
      </c>
      <c r="H2924" s="1">
        <f>TablaDatos[[#This Row],[FechaIngreso]]+TablaDatos[[#This Row],[DiasNuevo]]</f>
        <v>45009</v>
      </c>
      <c r="I2924">
        <v>2</v>
      </c>
      <c r="J2924" t="s">
        <v>19</v>
      </c>
      <c r="K2924" s="3">
        <v>18690.759999999998</v>
      </c>
      <c r="L2924" t="b">
        <f>TablaDatos[[#This Row],[FechaAlta]] &lt; TablaDatos[[#This Row],[FechaIngreso]]</f>
        <v>0</v>
      </c>
      <c r="M2924">
        <f>_xlfn.XLOOKUP(TablaDatos[[#This Row],[PacienteID]],'Datos_Ejemplo.csv'!A:A,'Datos_Ejemplo.csv'!I:I)</f>
        <v>-2</v>
      </c>
      <c r="N2924">
        <f>ABS(TablaDatos[[#This Row],[DiasOriginal]])</f>
        <v>2</v>
      </c>
      <c r="O2924" s="1">
        <f>TablaDatos[[#This Row],[FechaIngreso]]+TablaDatos[[#This Row],[DiasNuevo]]</f>
        <v>45009</v>
      </c>
    </row>
    <row r="2925" spans="1:15">
      <c r="A2925">
        <v>2924</v>
      </c>
      <c r="B2925" t="s">
        <v>290</v>
      </c>
      <c r="C2925" s="1">
        <v>32873</v>
      </c>
      <c r="D2925">
        <f ca="1">DATEDIF(TablaDatos[[#This Row],[FechaNacimiento]],TODAY(),"Y")</f>
        <v>36</v>
      </c>
      <c r="E2925" s="4" t="s">
        <v>15</v>
      </c>
      <c r="F2925" t="s">
        <v>32</v>
      </c>
      <c r="G2925" s="1">
        <v>45248</v>
      </c>
      <c r="H2925" s="1">
        <f>TablaDatos[[#This Row],[FechaIngreso]]+TablaDatos[[#This Row],[DiasNuevo]]</f>
        <v>45271</v>
      </c>
      <c r="I2925">
        <v>23</v>
      </c>
      <c r="J2925" t="s">
        <v>23</v>
      </c>
      <c r="K2925" s="3">
        <v>421.36</v>
      </c>
      <c r="L2925" t="b">
        <f>TablaDatos[[#This Row],[FechaAlta]] &lt; TablaDatos[[#This Row],[FechaIngreso]]</f>
        <v>0</v>
      </c>
      <c r="M2925">
        <f>_xlfn.XLOOKUP(TablaDatos[[#This Row],[PacienteID]],'Datos_Ejemplo.csv'!A:A,'Datos_Ejemplo.csv'!I:I)</f>
        <v>23</v>
      </c>
      <c r="N2925">
        <f>ABS(TablaDatos[[#This Row],[DiasOriginal]])</f>
        <v>23</v>
      </c>
      <c r="O2925" s="1">
        <f>TablaDatos[[#This Row],[FechaIngreso]]+TablaDatos[[#This Row],[DiasNuevo]]</f>
        <v>45271</v>
      </c>
    </row>
    <row r="2926" spans="1:15">
      <c r="A2926">
        <v>2925</v>
      </c>
      <c r="B2926" t="s">
        <v>333</v>
      </c>
      <c r="C2926" s="1">
        <v>15707</v>
      </c>
      <c r="D2926">
        <v>83</v>
      </c>
      <c r="E2926" s="4" t="s">
        <v>12</v>
      </c>
      <c r="F2926" t="s">
        <v>32</v>
      </c>
      <c r="G2926" s="1">
        <v>45341</v>
      </c>
      <c r="H2926" s="1">
        <f>TablaDatos[[#This Row],[FechaIngreso]]+TablaDatos[[#This Row],[DiasNuevo]]</f>
        <v>45348</v>
      </c>
      <c r="I2926">
        <v>7</v>
      </c>
      <c r="J2926" t="s">
        <v>23</v>
      </c>
      <c r="K2926" s="3">
        <v>4270.29</v>
      </c>
      <c r="L2926" t="b">
        <f>TablaDatos[[#This Row],[FechaAlta]] &lt; TablaDatos[[#This Row],[FechaIngreso]]</f>
        <v>0</v>
      </c>
      <c r="M2926">
        <f>_xlfn.XLOOKUP(TablaDatos[[#This Row],[PacienteID]],'Datos_Ejemplo.csv'!A:A,'Datos_Ejemplo.csv'!I:I)</f>
        <v>7</v>
      </c>
      <c r="N2926">
        <f>ABS(TablaDatos[[#This Row],[DiasOriginal]])</f>
        <v>7</v>
      </c>
      <c r="O2926" s="1">
        <f>TablaDatos[[#This Row],[FechaIngreso]]+TablaDatos[[#This Row],[DiasNuevo]]</f>
        <v>45348</v>
      </c>
    </row>
    <row r="2927" spans="1:15">
      <c r="A2927">
        <v>2926</v>
      </c>
      <c r="B2927" t="s">
        <v>334</v>
      </c>
      <c r="C2927" s="1">
        <v>28490</v>
      </c>
      <c r="D2927">
        <v>48</v>
      </c>
      <c r="E2927" s="4" t="s">
        <v>12</v>
      </c>
      <c r="F2927" t="s">
        <v>261</v>
      </c>
      <c r="G2927" s="1">
        <v>45116</v>
      </c>
      <c r="H2927" s="1">
        <f>TablaDatos[[#This Row],[FechaIngreso]]+TablaDatos[[#This Row],[DiasNuevo]]</f>
        <v>45153</v>
      </c>
      <c r="I2927">
        <v>37</v>
      </c>
      <c r="J2927" t="s">
        <v>23</v>
      </c>
      <c r="K2927" s="3">
        <v>9606.7099999999991</v>
      </c>
      <c r="L2927" t="b">
        <f>TablaDatos[[#This Row],[FechaAlta]] &lt; TablaDatos[[#This Row],[FechaIngreso]]</f>
        <v>0</v>
      </c>
      <c r="M2927">
        <f>_xlfn.XLOOKUP(TablaDatos[[#This Row],[PacienteID]],'Datos_Ejemplo.csv'!A:A,'Datos_Ejemplo.csv'!I:I)</f>
        <v>37</v>
      </c>
      <c r="N2927">
        <f>ABS(TablaDatos[[#This Row],[DiasOriginal]])</f>
        <v>37</v>
      </c>
      <c r="O2927" s="1">
        <f>TablaDatos[[#This Row],[FechaIngreso]]+TablaDatos[[#This Row],[DiasNuevo]]</f>
        <v>45153</v>
      </c>
    </row>
    <row r="2928" spans="1:15">
      <c r="A2928">
        <v>2927</v>
      </c>
      <c r="B2928" t="s">
        <v>258</v>
      </c>
      <c r="C2928" s="1">
        <v>38717</v>
      </c>
      <c r="D2928">
        <v>20</v>
      </c>
      <c r="E2928" s="4" t="s">
        <v>12</v>
      </c>
      <c r="F2928" t="s">
        <v>261</v>
      </c>
      <c r="G2928" s="1">
        <v>45159</v>
      </c>
      <c r="H2928" s="1">
        <f>TablaDatos[[#This Row],[FechaIngreso]]+TablaDatos[[#This Row],[DiasNuevo]]</f>
        <v>45175</v>
      </c>
      <c r="I2928">
        <v>16</v>
      </c>
      <c r="J2928" t="s">
        <v>23</v>
      </c>
      <c r="K2928" s="3">
        <v>7977.14</v>
      </c>
      <c r="L2928" t="b">
        <f>TablaDatos[[#This Row],[FechaAlta]] &lt; TablaDatos[[#This Row],[FechaIngreso]]</f>
        <v>0</v>
      </c>
      <c r="M2928">
        <f>_xlfn.XLOOKUP(TablaDatos[[#This Row],[PacienteID]],'Datos_Ejemplo.csv'!A:A,'Datos_Ejemplo.csv'!I:I)</f>
        <v>16</v>
      </c>
      <c r="N2928">
        <f>ABS(TablaDatos[[#This Row],[DiasOriginal]])</f>
        <v>16</v>
      </c>
      <c r="O2928" s="1">
        <f>TablaDatos[[#This Row],[FechaIngreso]]+TablaDatos[[#This Row],[DiasNuevo]]</f>
        <v>45175</v>
      </c>
    </row>
    <row r="2929" spans="1:15">
      <c r="A2929">
        <v>2928</v>
      </c>
      <c r="B2929" t="s">
        <v>332</v>
      </c>
      <c r="C2929" s="1">
        <v>19359</v>
      </c>
      <c r="D2929">
        <v>73</v>
      </c>
      <c r="E2929" s="4" t="s">
        <v>15</v>
      </c>
      <c r="F2929" t="s">
        <v>18</v>
      </c>
      <c r="G2929" s="1">
        <v>45318</v>
      </c>
      <c r="H2929" s="1">
        <f>TablaDatos[[#This Row],[FechaIngreso]]+TablaDatos[[#This Row],[DiasNuevo]]</f>
        <v>45331</v>
      </c>
      <c r="I2929">
        <v>13</v>
      </c>
      <c r="J2929" t="s">
        <v>19</v>
      </c>
      <c r="K2929" s="3">
        <v>12546.31</v>
      </c>
      <c r="L2929" t="b">
        <f>TablaDatos[[#This Row],[FechaAlta]] &lt; TablaDatos[[#This Row],[FechaIngreso]]</f>
        <v>0</v>
      </c>
      <c r="M2929">
        <f>_xlfn.XLOOKUP(TablaDatos[[#This Row],[PacienteID]],'Datos_Ejemplo.csv'!A:A,'Datos_Ejemplo.csv'!I:I)</f>
        <v>13</v>
      </c>
      <c r="N2929">
        <f>ABS(TablaDatos[[#This Row],[DiasOriginal]])</f>
        <v>13</v>
      </c>
      <c r="O2929" s="1">
        <f>TablaDatos[[#This Row],[FechaIngreso]]+TablaDatos[[#This Row],[DiasNuevo]]</f>
        <v>45331</v>
      </c>
    </row>
    <row r="2930" spans="1:15">
      <c r="A2930">
        <v>2929</v>
      </c>
      <c r="B2930" t="s">
        <v>103</v>
      </c>
      <c r="C2930" s="1">
        <v>23012</v>
      </c>
      <c r="D2930">
        <v>63</v>
      </c>
      <c r="E2930" s="4" t="s">
        <v>12</v>
      </c>
      <c r="F2930" t="s">
        <v>18</v>
      </c>
      <c r="G2930" s="1">
        <v>45095</v>
      </c>
      <c r="H2930" s="1">
        <f>TablaDatos[[#This Row],[FechaIngreso]]+TablaDatos[[#This Row],[DiasNuevo]]</f>
        <v>45129</v>
      </c>
      <c r="I2930">
        <v>34</v>
      </c>
      <c r="J2930" t="s">
        <v>23</v>
      </c>
      <c r="K2930" s="3">
        <v>3773.71</v>
      </c>
      <c r="L2930" t="b">
        <f>TablaDatos[[#This Row],[FechaAlta]] &lt; TablaDatos[[#This Row],[FechaIngreso]]</f>
        <v>0</v>
      </c>
      <c r="M2930">
        <f>_xlfn.XLOOKUP(TablaDatos[[#This Row],[PacienteID]],'Datos_Ejemplo.csv'!A:A,'Datos_Ejemplo.csv'!I:I)</f>
        <v>34</v>
      </c>
      <c r="N2930">
        <f>ABS(TablaDatos[[#This Row],[DiasOriginal]])</f>
        <v>34</v>
      </c>
      <c r="O2930" s="1">
        <f>TablaDatos[[#This Row],[FechaIngreso]]+TablaDatos[[#This Row],[DiasNuevo]]</f>
        <v>45129</v>
      </c>
    </row>
    <row r="2931" spans="1:15">
      <c r="A2931">
        <v>2930</v>
      </c>
      <c r="B2931" t="s">
        <v>151</v>
      </c>
      <c r="C2931" s="1">
        <v>44561</v>
      </c>
      <c r="D2931">
        <v>4</v>
      </c>
      <c r="E2931" s="4" t="s">
        <v>12</v>
      </c>
      <c r="F2931" t="s">
        <v>18</v>
      </c>
      <c r="G2931" s="1">
        <v>45369</v>
      </c>
      <c r="H2931" s="1">
        <f>TablaDatos[[#This Row],[FechaIngreso]]+TablaDatos[[#This Row],[DiasNuevo]]</f>
        <v>45407</v>
      </c>
      <c r="I2931">
        <v>38</v>
      </c>
      <c r="J2931" t="s">
        <v>23</v>
      </c>
      <c r="K2931" s="3">
        <v>1317.99</v>
      </c>
      <c r="L2931" t="b">
        <f>TablaDatos[[#This Row],[FechaAlta]] &lt; TablaDatos[[#This Row],[FechaIngreso]]</f>
        <v>0</v>
      </c>
      <c r="M2931">
        <f>_xlfn.XLOOKUP(TablaDatos[[#This Row],[PacienteID]],'Datos_Ejemplo.csv'!A:A,'Datos_Ejemplo.csv'!I:I)</f>
        <v>38</v>
      </c>
      <c r="N2931">
        <f>ABS(TablaDatos[[#This Row],[DiasOriginal]])</f>
        <v>38</v>
      </c>
      <c r="O2931" s="1">
        <f>TablaDatos[[#This Row],[FechaIngreso]]+TablaDatos[[#This Row],[DiasNuevo]]</f>
        <v>45407</v>
      </c>
    </row>
    <row r="2932" spans="1:15">
      <c r="A2932">
        <v>2931</v>
      </c>
      <c r="B2932" t="s">
        <v>230</v>
      </c>
      <c r="C2932" s="1">
        <v>20820</v>
      </c>
      <c r="D2932">
        <v>69</v>
      </c>
      <c r="E2932" s="4" t="s">
        <v>12</v>
      </c>
      <c r="F2932" t="s">
        <v>18</v>
      </c>
      <c r="G2932" s="1">
        <v>45094</v>
      </c>
      <c r="H2932" s="1">
        <f>TablaDatos[[#This Row],[FechaIngreso]]+TablaDatos[[#This Row],[DiasNuevo]]</f>
        <v>45095</v>
      </c>
      <c r="I2932">
        <v>1</v>
      </c>
      <c r="J2932" t="s">
        <v>23</v>
      </c>
      <c r="K2932" s="3">
        <v>7323.6</v>
      </c>
      <c r="L2932" t="b">
        <f>TablaDatos[[#This Row],[FechaAlta]] &lt; TablaDatos[[#This Row],[FechaIngreso]]</f>
        <v>0</v>
      </c>
      <c r="M2932">
        <f>_xlfn.XLOOKUP(TablaDatos[[#This Row],[PacienteID]],'Datos_Ejemplo.csv'!A:A,'Datos_Ejemplo.csv'!I:I)</f>
        <v>1</v>
      </c>
      <c r="N2932">
        <f>ABS(TablaDatos[[#This Row],[DiasOriginal]])</f>
        <v>1</v>
      </c>
      <c r="O2932" s="1">
        <f>TablaDatos[[#This Row],[FechaIngreso]]+TablaDatos[[#This Row],[DiasNuevo]]</f>
        <v>45095</v>
      </c>
    </row>
    <row r="2933" spans="1:15">
      <c r="A2933">
        <v>2932</v>
      </c>
      <c r="B2933" t="s">
        <v>230</v>
      </c>
      <c r="C2933" s="1">
        <v>13515</v>
      </c>
      <c r="D2933">
        <v>89</v>
      </c>
      <c r="E2933" s="4" t="s">
        <v>12</v>
      </c>
      <c r="F2933" t="s">
        <v>21</v>
      </c>
      <c r="G2933" s="1">
        <v>45157</v>
      </c>
      <c r="H2933" s="1">
        <f>TablaDatos[[#This Row],[FechaIngreso]]+TablaDatos[[#This Row],[DiasNuevo]]</f>
        <v>45168</v>
      </c>
      <c r="I2933">
        <v>11</v>
      </c>
      <c r="J2933" t="s">
        <v>25</v>
      </c>
      <c r="K2933" s="3">
        <v>10439.540000000001</v>
      </c>
      <c r="L2933" t="b">
        <f>TablaDatos[[#This Row],[FechaAlta]] &lt; TablaDatos[[#This Row],[FechaIngreso]]</f>
        <v>0</v>
      </c>
      <c r="M2933">
        <f>_xlfn.XLOOKUP(TablaDatos[[#This Row],[PacienteID]],'Datos_Ejemplo.csv'!A:A,'Datos_Ejemplo.csv'!I:I)</f>
        <v>11</v>
      </c>
      <c r="N2933">
        <f>ABS(TablaDatos[[#This Row],[DiasOriginal]])</f>
        <v>11</v>
      </c>
      <c r="O2933" s="1">
        <f>TablaDatos[[#This Row],[FechaIngreso]]+TablaDatos[[#This Row],[DiasNuevo]]</f>
        <v>45168</v>
      </c>
    </row>
    <row r="2934" spans="1:15">
      <c r="A2934">
        <v>2933</v>
      </c>
      <c r="B2934" t="s">
        <v>290</v>
      </c>
      <c r="C2934" s="1">
        <v>44927</v>
      </c>
      <c r="D2934">
        <v>3</v>
      </c>
      <c r="E2934" s="4" t="s">
        <v>15</v>
      </c>
      <c r="F2934" t="s">
        <v>201</v>
      </c>
      <c r="G2934" s="1">
        <v>45076</v>
      </c>
      <c r="H2934" s="1">
        <f>TablaDatos[[#This Row],[FechaIngreso]]+TablaDatos[[#This Row],[DiasNuevo]]</f>
        <v>45103</v>
      </c>
      <c r="I2934">
        <v>27</v>
      </c>
      <c r="J2934" t="s">
        <v>19</v>
      </c>
      <c r="K2934" s="3">
        <v>11196.24</v>
      </c>
      <c r="L2934" t="b">
        <f>TablaDatos[[#This Row],[FechaAlta]] &lt; TablaDatos[[#This Row],[FechaIngreso]]</f>
        <v>0</v>
      </c>
      <c r="M2934">
        <f>_xlfn.XLOOKUP(TablaDatos[[#This Row],[PacienteID]],'Datos_Ejemplo.csv'!A:A,'Datos_Ejemplo.csv'!I:I)</f>
        <v>27</v>
      </c>
      <c r="N2934">
        <f>ABS(TablaDatos[[#This Row],[DiasOriginal]])</f>
        <v>27</v>
      </c>
      <c r="O2934" s="1">
        <f>TablaDatos[[#This Row],[FechaIngreso]]+TablaDatos[[#This Row],[DiasNuevo]]</f>
        <v>45103</v>
      </c>
    </row>
    <row r="2935" spans="1:15">
      <c r="A2935">
        <v>2934</v>
      </c>
      <c r="B2935" t="s">
        <v>325</v>
      </c>
      <c r="C2935" s="1">
        <v>32143</v>
      </c>
      <c r="D2935">
        <v>38</v>
      </c>
      <c r="E2935" s="4" t="s">
        <v>197</v>
      </c>
      <c r="F2935" t="s">
        <v>201</v>
      </c>
      <c r="G2935" s="1">
        <v>45590</v>
      </c>
      <c r="H2935" s="1">
        <f>TablaDatos[[#This Row],[FechaIngreso]]+TablaDatos[[#This Row],[DiasNuevo]]</f>
        <v>45594</v>
      </c>
      <c r="I2935">
        <v>4</v>
      </c>
      <c r="J2935" t="s">
        <v>19</v>
      </c>
      <c r="K2935" s="3">
        <v>11990.02</v>
      </c>
      <c r="L2935" t="b">
        <f>TablaDatos[[#This Row],[FechaAlta]] &lt; TablaDatos[[#This Row],[FechaIngreso]]</f>
        <v>0</v>
      </c>
      <c r="M2935">
        <f>_xlfn.XLOOKUP(TablaDatos[[#This Row],[PacienteID]],'Datos_Ejemplo.csv'!A:A,'Datos_Ejemplo.csv'!I:I)</f>
        <v>4</v>
      </c>
      <c r="N2935">
        <f>ABS(TablaDatos[[#This Row],[DiasOriginal]])</f>
        <v>4</v>
      </c>
      <c r="O2935" s="1">
        <f>TablaDatos[[#This Row],[FechaIngreso]]+TablaDatos[[#This Row],[DiasNuevo]]</f>
        <v>45594</v>
      </c>
    </row>
    <row r="2936" spans="1:15">
      <c r="A2936">
        <v>2935</v>
      </c>
      <c r="B2936" t="s">
        <v>266</v>
      </c>
      <c r="C2936" s="1">
        <v>33604</v>
      </c>
      <c r="D2936">
        <v>34</v>
      </c>
      <c r="E2936" s="4" t="s">
        <v>12</v>
      </c>
      <c r="F2936" t="s">
        <v>32</v>
      </c>
      <c r="G2936" s="1">
        <v>45476</v>
      </c>
      <c r="H2936" s="1">
        <f>TablaDatos[[#This Row],[FechaIngreso]]+TablaDatos[[#This Row],[DiasNuevo]]</f>
        <v>45485</v>
      </c>
      <c r="I2936">
        <v>9</v>
      </c>
      <c r="J2936" t="s">
        <v>23</v>
      </c>
      <c r="K2936" s="3">
        <v>10928.11</v>
      </c>
      <c r="L2936" t="b">
        <f>TablaDatos[[#This Row],[FechaAlta]] &lt; TablaDatos[[#This Row],[FechaIngreso]]</f>
        <v>0</v>
      </c>
      <c r="M2936">
        <f>_xlfn.XLOOKUP(TablaDatos[[#This Row],[PacienteID]],'Datos_Ejemplo.csv'!A:A,'Datos_Ejemplo.csv'!I:I)</f>
        <v>9</v>
      </c>
      <c r="N2936">
        <f>ABS(TablaDatos[[#This Row],[DiasOriginal]])</f>
        <v>9</v>
      </c>
      <c r="O2936" s="1">
        <f>TablaDatos[[#This Row],[FechaIngreso]]+TablaDatos[[#This Row],[DiasNuevo]]</f>
        <v>45485</v>
      </c>
    </row>
    <row r="2937" spans="1:15">
      <c r="A2937">
        <v>2936</v>
      </c>
      <c r="B2937" t="s">
        <v>266</v>
      </c>
      <c r="C2937" s="1">
        <v>46022</v>
      </c>
      <c r="D2937">
        <v>0</v>
      </c>
      <c r="E2937" s="4" t="s">
        <v>12</v>
      </c>
      <c r="F2937" t="s">
        <v>201</v>
      </c>
      <c r="G2937" s="1">
        <v>45312</v>
      </c>
      <c r="H2937" s="1">
        <f>TablaDatos[[#This Row],[FechaIngreso]]+TablaDatos[[#This Row],[DiasNuevo]]</f>
        <v>45333</v>
      </c>
      <c r="I2937">
        <v>21</v>
      </c>
      <c r="J2937" t="s">
        <v>23</v>
      </c>
      <c r="K2937" s="3">
        <v>4839.6099999999997</v>
      </c>
      <c r="L2937" t="b">
        <f>TablaDatos[[#This Row],[FechaAlta]] &lt; TablaDatos[[#This Row],[FechaIngreso]]</f>
        <v>0</v>
      </c>
      <c r="M2937">
        <f>_xlfn.XLOOKUP(TablaDatos[[#This Row],[PacienteID]],'Datos_Ejemplo.csv'!A:A,'Datos_Ejemplo.csv'!I:I)</f>
        <v>21</v>
      </c>
      <c r="N2937">
        <f>ABS(TablaDatos[[#This Row],[DiasOriginal]])</f>
        <v>21</v>
      </c>
      <c r="O2937" s="1">
        <f>TablaDatos[[#This Row],[FechaIngreso]]+TablaDatos[[#This Row],[DiasNuevo]]</f>
        <v>45333</v>
      </c>
    </row>
    <row r="2938" spans="1:15">
      <c r="A2938">
        <v>2937</v>
      </c>
      <c r="B2938" t="s">
        <v>161</v>
      </c>
      <c r="C2938" s="1">
        <v>37622</v>
      </c>
      <c r="D2938">
        <v>23</v>
      </c>
      <c r="E2938" s="4" t="s">
        <v>12</v>
      </c>
      <c r="F2938" t="s">
        <v>32</v>
      </c>
      <c r="G2938" s="1">
        <v>45307</v>
      </c>
      <c r="H2938" s="1">
        <f>TablaDatos[[#This Row],[FechaIngreso]]+TablaDatos[[#This Row],[DiasNuevo]]</f>
        <v>45343</v>
      </c>
      <c r="I2938">
        <v>36</v>
      </c>
      <c r="J2938" t="s">
        <v>23</v>
      </c>
      <c r="K2938" s="3">
        <v>15267.45</v>
      </c>
      <c r="L2938" t="b">
        <f>TablaDatos[[#This Row],[FechaAlta]] &lt; TablaDatos[[#This Row],[FechaIngreso]]</f>
        <v>0</v>
      </c>
      <c r="M2938">
        <f>_xlfn.XLOOKUP(TablaDatos[[#This Row],[PacienteID]],'Datos_Ejemplo.csv'!A:A,'Datos_Ejemplo.csv'!I:I)</f>
        <v>36</v>
      </c>
      <c r="N2938">
        <f>ABS(TablaDatos[[#This Row],[DiasOriginal]])</f>
        <v>36</v>
      </c>
      <c r="O2938" s="1">
        <f>TablaDatos[[#This Row],[FechaIngreso]]+TablaDatos[[#This Row],[DiasNuevo]]</f>
        <v>45343</v>
      </c>
    </row>
    <row r="2939" spans="1:15">
      <c r="A2939">
        <v>2938</v>
      </c>
      <c r="B2939" t="s">
        <v>260</v>
      </c>
      <c r="C2939" s="1">
        <v>25568</v>
      </c>
      <c r="D2939">
        <v>56</v>
      </c>
      <c r="E2939" s="4" t="s">
        <v>12</v>
      </c>
      <c r="F2939" t="s">
        <v>21</v>
      </c>
      <c r="G2939" s="1">
        <v>45201</v>
      </c>
      <c r="H2939" s="1">
        <f>TablaDatos[[#This Row],[FechaIngreso]]+TablaDatos[[#This Row],[DiasNuevo]]</f>
        <v>45220</v>
      </c>
      <c r="I2939">
        <v>19</v>
      </c>
      <c r="J2939" t="s">
        <v>25</v>
      </c>
      <c r="K2939" s="3">
        <v>1664.38</v>
      </c>
      <c r="L2939" t="b">
        <f>TablaDatos[[#This Row],[FechaAlta]] &lt; TablaDatos[[#This Row],[FechaIngreso]]</f>
        <v>0</v>
      </c>
      <c r="M2939">
        <f>_xlfn.XLOOKUP(TablaDatos[[#This Row],[PacienteID]],'Datos_Ejemplo.csv'!A:A,'Datos_Ejemplo.csv'!I:I)</f>
        <v>19</v>
      </c>
      <c r="N2939">
        <f>ABS(TablaDatos[[#This Row],[DiasOriginal]])</f>
        <v>19</v>
      </c>
      <c r="O2939" s="1">
        <f>TablaDatos[[#This Row],[FechaIngreso]]+TablaDatos[[#This Row],[DiasNuevo]]</f>
        <v>45220</v>
      </c>
    </row>
    <row r="2940" spans="1:15">
      <c r="A2940">
        <v>2939</v>
      </c>
      <c r="B2940" t="s">
        <v>311</v>
      </c>
      <c r="C2940" s="1">
        <v>20820</v>
      </c>
      <c r="D2940">
        <v>69</v>
      </c>
      <c r="E2940" s="4" t="s">
        <v>12</v>
      </c>
      <c r="F2940" t="s">
        <v>201</v>
      </c>
      <c r="G2940" s="1">
        <v>45543</v>
      </c>
      <c r="H2940" s="1">
        <f>TablaDatos[[#This Row],[FechaIngreso]]+TablaDatos[[#This Row],[DiasNuevo]]</f>
        <v>45570</v>
      </c>
      <c r="I2940">
        <v>27</v>
      </c>
      <c r="J2940" t="s">
        <v>23</v>
      </c>
      <c r="K2940" s="3">
        <v>3886.91</v>
      </c>
      <c r="L2940" t="b">
        <f>TablaDatos[[#This Row],[FechaAlta]] &lt; TablaDatos[[#This Row],[FechaIngreso]]</f>
        <v>0</v>
      </c>
      <c r="M2940">
        <f>_xlfn.XLOOKUP(TablaDatos[[#This Row],[PacienteID]],'Datos_Ejemplo.csv'!A:A,'Datos_Ejemplo.csv'!I:I)</f>
        <v>27</v>
      </c>
      <c r="N2940">
        <f>ABS(TablaDatos[[#This Row],[DiasOriginal]])</f>
        <v>27</v>
      </c>
      <c r="O2940" s="1">
        <f>TablaDatos[[#This Row],[FechaIngreso]]+TablaDatos[[#This Row],[DiasNuevo]]</f>
        <v>45570</v>
      </c>
    </row>
    <row r="2941" spans="1:15">
      <c r="A2941">
        <v>2940</v>
      </c>
      <c r="B2941" t="s">
        <v>346</v>
      </c>
      <c r="C2941" s="1">
        <v>31412</v>
      </c>
      <c r="D2941">
        <v>40</v>
      </c>
      <c r="E2941" s="4" t="s">
        <v>15</v>
      </c>
      <c r="F2941" t="s">
        <v>32</v>
      </c>
      <c r="G2941" s="1">
        <v>44988</v>
      </c>
      <c r="H2941" s="1">
        <f>TablaDatos[[#This Row],[FechaIngreso]]+TablaDatos[[#This Row],[DiasNuevo]]</f>
        <v>45024</v>
      </c>
      <c r="I2941">
        <v>36</v>
      </c>
      <c r="J2941" t="s">
        <v>23</v>
      </c>
      <c r="K2941" s="3">
        <v>14761.5</v>
      </c>
      <c r="L2941" t="b">
        <f>TablaDatos[[#This Row],[FechaAlta]] &lt; TablaDatos[[#This Row],[FechaIngreso]]</f>
        <v>0</v>
      </c>
      <c r="M2941">
        <f>_xlfn.XLOOKUP(TablaDatos[[#This Row],[PacienteID]],'Datos_Ejemplo.csv'!A:A,'Datos_Ejemplo.csv'!I:I)</f>
        <v>36</v>
      </c>
      <c r="N2941">
        <f>ABS(TablaDatos[[#This Row],[DiasOriginal]])</f>
        <v>36</v>
      </c>
      <c r="O2941" s="1">
        <f>TablaDatos[[#This Row],[FechaIngreso]]+TablaDatos[[#This Row],[DiasNuevo]]</f>
        <v>45024</v>
      </c>
    </row>
    <row r="2942" spans="1:15">
      <c r="A2942">
        <v>2941</v>
      </c>
      <c r="B2942" t="s">
        <v>330</v>
      </c>
      <c r="C2942" s="1">
        <v>26664</v>
      </c>
      <c r="D2942">
        <v>53</v>
      </c>
      <c r="E2942" s="4" t="s">
        <v>15</v>
      </c>
      <c r="F2942" t="s">
        <v>18</v>
      </c>
      <c r="G2942" s="1">
        <v>45393</v>
      </c>
      <c r="H2942" s="1">
        <f>TablaDatos[[#This Row],[FechaIngreso]]+TablaDatos[[#This Row],[DiasNuevo]]</f>
        <v>45410</v>
      </c>
      <c r="I2942">
        <v>17</v>
      </c>
      <c r="J2942" t="s">
        <v>19</v>
      </c>
      <c r="K2942" s="3">
        <v>5522.5</v>
      </c>
      <c r="L2942" t="b">
        <f>TablaDatos[[#This Row],[FechaAlta]] &lt; TablaDatos[[#This Row],[FechaIngreso]]</f>
        <v>0</v>
      </c>
      <c r="M2942">
        <f>_xlfn.XLOOKUP(TablaDatos[[#This Row],[PacienteID]],'Datos_Ejemplo.csv'!A:A,'Datos_Ejemplo.csv'!I:I)</f>
        <v>17</v>
      </c>
      <c r="N2942">
        <f>ABS(TablaDatos[[#This Row],[DiasOriginal]])</f>
        <v>17</v>
      </c>
      <c r="O2942" s="1">
        <f>TablaDatos[[#This Row],[FechaIngreso]]+TablaDatos[[#This Row],[DiasNuevo]]</f>
        <v>45410</v>
      </c>
    </row>
    <row r="2943" spans="1:15">
      <c r="A2943">
        <v>2942</v>
      </c>
      <c r="B2943" t="s">
        <v>293</v>
      </c>
      <c r="C2943" s="1">
        <v>29586</v>
      </c>
      <c r="D2943">
        <v>45</v>
      </c>
      <c r="E2943" s="4" t="s">
        <v>15</v>
      </c>
      <c r="F2943" t="s">
        <v>295</v>
      </c>
      <c r="G2943" s="1">
        <v>45454</v>
      </c>
      <c r="H2943" s="1">
        <f>TablaDatos[[#This Row],[FechaIngreso]]+TablaDatos[[#This Row],[DiasNuevo]]</f>
        <v>45477</v>
      </c>
      <c r="I2943">
        <v>23</v>
      </c>
      <c r="J2943" t="s">
        <v>25</v>
      </c>
      <c r="K2943" s="3">
        <v>9818.82</v>
      </c>
      <c r="L2943" t="b">
        <f>TablaDatos[[#This Row],[FechaAlta]] &lt; TablaDatos[[#This Row],[FechaIngreso]]</f>
        <v>0</v>
      </c>
      <c r="M2943">
        <f>_xlfn.XLOOKUP(TablaDatos[[#This Row],[PacienteID]],'Datos_Ejemplo.csv'!A:A,'Datos_Ejemplo.csv'!I:I)</f>
        <v>23</v>
      </c>
      <c r="N2943">
        <f>ABS(TablaDatos[[#This Row],[DiasOriginal]])</f>
        <v>23</v>
      </c>
      <c r="O2943" s="1">
        <f>TablaDatos[[#This Row],[FechaIngreso]]+TablaDatos[[#This Row],[DiasNuevo]]</f>
        <v>45477</v>
      </c>
    </row>
    <row r="2944" spans="1:15">
      <c r="A2944">
        <v>2943</v>
      </c>
      <c r="B2944" t="s">
        <v>257</v>
      </c>
      <c r="C2944" s="1">
        <v>24473</v>
      </c>
      <c r="D2944">
        <v>59</v>
      </c>
      <c r="E2944" s="4" t="s">
        <v>15</v>
      </c>
      <c r="F2944" t="s">
        <v>201</v>
      </c>
      <c r="G2944" s="1">
        <v>45076</v>
      </c>
      <c r="H2944" s="1">
        <f>TablaDatos[[#This Row],[FechaIngreso]]+TablaDatos[[#This Row],[DiasNuevo]]</f>
        <v>45078</v>
      </c>
      <c r="I2944">
        <v>2</v>
      </c>
      <c r="J2944" t="s">
        <v>19</v>
      </c>
      <c r="K2944" s="3">
        <v>6476.67</v>
      </c>
      <c r="L2944" t="b">
        <f>TablaDatos[[#This Row],[FechaAlta]] &lt; TablaDatos[[#This Row],[FechaIngreso]]</f>
        <v>0</v>
      </c>
      <c r="M2944">
        <f>_xlfn.XLOOKUP(TablaDatos[[#This Row],[PacienteID]],'Datos_Ejemplo.csv'!A:A,'Datos_Ejemplo.csv'!I:I)</f>
        <v>2</v>
      </c>
      <c r="N2944">
        <f>ABS(TablaDatos[[#This Row],[DiasOriginal]])</f>
        <v>2</v>
      </c>
      <c r="O2944" s="1">
        <f>TablaDatos[[#This Row],[FechaIngreso]]+TablaDatos[[#This Row],[DiasNuevo]]</f>
        <v>45078</v>
      </c>
    </row>
    <row r="2945" spans="1:15">
      <c r="A2945">
        <v>2944</v>
      </c>
      <c r="B2945" t="s">
        <v>309</v>
      </c>
      <c r="C2945" s="1">
        <v>24473</v>
      </c>
      <c r="D2945">
        <f ca="1">DATEDIF(TablaDatos[[#This Row],[FechaNacimiento]],TODAY(),"Y")</f>
        <v>59</v>
      </c>
      <c r="E2945" s="4" t="s">
        <v>15</v>
      </c>
      <c r="F2945" t="s">
        <v>261</v>
      </c>
      <c r="G2945" s="1">
        <v>45068</v>
      </c>
      <c r="H2945" s="1">
        <f>TablaDatos[[#This Row],[FechaIngreso]]+TablaDatos[[#This Row],[DiasNuevo]]</f>
        <v>45105</v>
      </c>
      <c r="I2945">
        <v>37</v>
      </c>
      <c r="J2945" t="s">
        <v>25</v>
      </c>
      <c r="K2945" s="3">
        <v>10090.32</v>
      </c>
      <c r="L2945" t="b">
        <f>TablaDatos[[#This Row],[FechaAlta]] &lt; TablaDatos[[#This Row],[FechaIngreso]]</f>
        <v>0</v>
      </c>
      <c r="M2945">
        <f>_xlfn.XLOOKUP(TablaDatos[[#This Row],[PacienteID]],'Datos_Ejemplo.csv'!A:A,'Datos_Ejemplo.csv'!I:I)</f>
        <v>37</v>
      </c>
      <c r="N2945">
        <f>ABS(TablaDatos[[#This Row],[DiasOriginal]])</f>
        <v>37</v>
      </c>
      <c r="O2945" s="1">
        <f>TablaDatos[[#This Row],[FechaIngreso]]+TablaDatos[[#This Row],[DiasNuevo]]</f>
        <v>45105</v>
      </c>
    </row>
    <row r="2946" spans="1:15">
      <c r="A2946">
        <v>2945</v>
      </c>
      <c r="B2946" t="s">
        <v>268</v>
      </c>
      <c r="C2946" s="1">
        <v>25568</v>
      </c>
      <c r="D2946">
        <v>56</v>
      </c>
      <c r="E2946" s="4" t="s">
        <v>15</v>
      </c>
      <c r="F2946" t="s">
        <v>261</v>
      </c>
      <c r="G2946" s="1">
        <v>45042</v>
      </c>
      <c r="H2946" s="1">
        <f>TablaDatos[[#This Row],[FechaIngreso]]+TablaDatos[[#This Row],[DiasNuevo]]</f>
        <v>45081</v>
      </c>
      <c r="I2946">
        <v>39</v>
      </c>
      <c r="J2946" t="s">
        <v>19</v>
      </c>
      <c r="K2946" s="3">
        <v>6867.78</v>
      </c>
      <c r="L2946" t="b">
        <f>TablaDatos[[#This Row],[FechaAlta]] &lt; TablaDatos[[#This Row],[FechaIngreso]]</f>
        <v>0</v>
      </c>
      <c r="M2946">
        <f>_xlfn.XLOOKUP(TablaDatos[[#This Row],[PacienteID]],'Datos_Ejemplo.csv'!A:A,'Datos_Ejemplo.csv'!I:I)</f>
        <v>39</v>
      </c>
      <c r="N2946">
        <f>ABS(TablaDatos[[#This Row],[DiasOriginal]])</f>
        <v>39</v>
      </c>
      <c r="O2946" s="1">
        <f>TablaDatos[[#This Row],[FechaIngreso]]+TablaDatos[[#This Row],[DiasNuevo]]</f>
        <v>45081</v>
      </c>
    </row>
    <row r="2947" spans="1:15">
      <c r="A2947">
        <v>2946</v>
      </c>
      <c r="B2947" t="s">
        <v>67</v>
      </c>
      <c r="C2947" s="1">
        <v>35065</v>
      </c>
      <c r="D2947">
        <v>30</v>
      </c>
      <c r="E2947" s="4" t="s">
        <v>15</v>
      </c>
      <c r="F2947" t="s">
        <v>32</v>
      </c>
      <c r="G2947" s="1">
        <v>44991</v>
      </c>
      <c r="H2947" s="1">
        <f>TablaDatos[[#This Row],[FechaIngreso]]+TablaDatos[[#This Row],[DiasNuevo]]</f>
        <v>44994</v>
      </c>
      <c r="I2947">
        <v>3</v>
      </c>
      <c r="J2947" t="s">
        <v>23</v>
      </c>
      <c r="K2947" s="3">
        <v>19883.580000000002</v>
      </c>
      <c r="L2947" t="b">
        <f>TablaDatos[[#This Row],[FechaAlta]] &lt; TablaDatos[[#This Row],[FechaIngreso]]</f>
        <v>0</v>
      </c>
      <c r="M2947">
        <f>_xlfn.XLOOKUP(TablaDatos[[#This Row],[PacienteID]],'Datos_Ejemplo.csv'!A:A,'Datos_Ejemplo.csv'!I:I)</f>
        <v>3</v>
      </c>
      <c r="N2947">
        <f>ABS(TablaDatos[[#This Row],[DiasOriginal]])</f>
        <v>3</v>
      </c>
      <c r="O2947" s="1">
        <f>TablaDatos[[#This Row],[FechaIngreso]]+TablaDatos[[#This Row],[DiasNuevo]]</f>
        <v>44994</v>
      </c>
    </row>
    <row r="2948" spans="1:15">
      <c r="A2948">
        <v>2947</v>
      </c>
      <c r="B2948" t="s">
        <v>364</v>
      </c>
      <c r="C2948" s="1">
        <v>15707</v>
      </c>
      <c r="D2948">
        <v>83</v>
      </c>
      <c r="E2948" s="4" t="s">
        <v>15</v>
      </c>
      <c r="F2948" t="s">
        <v>295</v>
      </c>
      <c r="G2948" s="1">
        <v>45355</v>
      </c>
      <c r="H2948" s="1">
        <f>TablaDatos[[#This Row],[FechaIngreso]]+TablaDatos[[#This Row],[DiasNuevo]]</f>
        <v>45386</v>
      </c>
      <c r="I2948">
        <v>31</v>
      </c>
      <c r="J2948" t="s">
        <v>23</v>
      </c>
      <c r="K2948" s="3">
        <v>7085.3</v>
      </c>
      <c r="L2948" t="b">
        <f>TablaDatos[[#This Row],[FechaAlta]] &lt; TablaDatos[[#This Row],[FechaIngreso]]</f>
        <v>0</v>
      </c>
      <c r="M2948">
        <f>_xlfn.XLOOKUP(TablaDatos[[#This Row],[PacienteID]],'Datos_Ejemplo.csv'!A:A,'Datos_Ejemplo.csv'!I:I)</f>
        <v>31</v>
      </c>
      <c r="N2948">
        <f>ABS(TablaDatos[[#This Row],[DiasOriginal]])</f>
        <v>31</v>
      </c>
      <c r="O2948" s="1">
        <f>TablaDatos[[#This Row],[FechaIngreso]]+TablaDatos[[#This Row],[DiasNuevo]]</f>
        <v>45386</v>
      </c>
    </row>
    <row r="2949" spans="1:15">
      <c r="A2949">
        <v>2948</v>
      </c>
      <c r="B2949" t="s">
        <v>310</v>
      </c>
      <c r="C2949" s="1">
        <v>37622</v>
      </c>
      <c r="D2949">
        <v>23</v>
      </c>
      <c r="E2949" s="4" t="s">
        <v>15</v>
      </c>
      <c r="F2949" t="s">
        <v>261</v>
      </c>
      <c r="G2949" s="1">
        <v>45236</v>
      </c>
      <c r="H2949" s="1">
        <f>TablaDatos[[#This Row],[FechaIngreso]]+TablaDatos[[#This Row],[DiasNuevo]]</f>
        <v>45238</v>
      </c>
      <c r="I2949">
        <v>2</v>
      </c>
      <c r="J2949" t="s">
        <v>19</v>
      </c>
      <c r="K2949" s="3">
        <v>12503.69</v>
      </c>
      <c r="L2949" t="b">
        <f>TablaDatos[[#This Row],[FechaAlta]] &lt; TablaDatos[[#This Row],[FechaIngreso]]</f>
        <v>0</v>
      </c>
      <c r="M2949">
        <f>_xlfn.XLOOKUP(TablaDatos[[#This Row],[PacienteID]],'Datos_Ejemplo.csv'!A:A,'Datos_Ejemplo.csv'!I:I)</f>
        <v>2</v>
      </c>
      <c r="N2949">
        <f>ABS(TablaDatos[[#This Row],[DiasOriginal]])</f>
        <v>2</v>
      </c>
      <c r="O2949" s="1">
        <f>TablaDatos[[#This Row],[FechaIngreso]]+TablaDatos[[#This Row],[DiasNuevo]]</f>
        <v>45238</v>
      </c>
    </row>
    <row r="2950" spans="1:15">
      <c r="A2950">
        <v>2949</v>
      </c>
      <c r="B2950" t="s">
        <v>105</v>
      </c>
      <c r="C2950" s="1">
        <v>13880</v>
      </c>
      <c r="D2950">
        <v>88</v>
      </c>
      <c r="E2950" s="4" t="s">
        <v>15</v>
      </c>
      <c r="F2950" t="s">
        <v>201</v>
      </c>
      <c r="G2950" s="1">
        <v>45632</v>
      </c>
      <c r="H2950" s="1">
        <f>TablaDatos[[#This Row],[FechaIngreso]]+TablaDatos[[#This Row],[DiasNuevo]]</f>
        <v>45639</v>
      </c>
      <c r="I2950">
        <v>7</v>
      </c>
      <c r="J2950" t="s">
        <v>23</v>
      </c>
      <c r="K2950" s="3">
        <v>17755.7</v>
      </c>
      <c r="L2950" t="b">
        <f>TablaDatos[[#This Row],[FechaAlta]] &lt; TablaDatos[[#This Row],[FechaIngreso]]</f>
        <v>0</v>
      </c>
      <c r="M2950">
        <f>_xlfn.XLOOKUP(TablaDatos[[#This Row],[PacienteID]],'Datos_Ejemplo.csv'!A:A,'Datos_Ejemplo.csv'!I:I)</f>
        <v>7</v>
      </c>
      <c r="N2950">
        <f>ABS(TablaDatos[[#This Row],[DiasOriginal]])</f>
        <v>7</v>
      </c>
      <c r="O2950" s="1">
        <f>TablaDatos[[#This Row],[FechaIngreso]]+TablaDatos[[#This Row],[DiasNuevo]]</f>
        <v>45639</v>
      </c>
    </row>
    <row r="2951" spans="1:15">
      <c r="A2951">
        <v>2950</v>
      </c>
      <c r="B2951" t="s">
        <v>259</v>
      </c>
      <c r="C2951" s="1">
        <v>33239</v>
      </c>
      <c r="D2951">
        <v>35</v>
      </c>
      <c r="E2951" s="4" t="s">
        <v>12</v>
      </c>
      <c r="F2951" t="s">
        <v>295</v>
      </c>
      <c r="G2951" s="1">
        <v>45356</v>
      </c>
      <c r="H2951" s="1">
        <f>TablaDatos[[#This Row],[FechaIngreso]]+TablaDatos[[#This Row],[DiasNuevo]]</f>
        <v>45381</v>
      </c>
      <c r="I2951">
        <v>25</v>
      </c>
      <c r="J2951" t="s">
        <v>19</v>
      </c>
      <c r="K2951" s="3">
        <v>12722.49</v>
      </c>
      <c r="L2951" t="b">
        <f>TablaDatos[[#This Row],[FechaAlta]] &lt; TablaDatos[[#This Row],[FechaIngreso]]</f>
        <v>0</v>
      </c>
      <c r="M2951">
        <f>_xlfn.XLOOKUP(TablaDatos[[#This Row],[PacienteID]],'Datos_Ejemplo.csv'!A:A,'Datos_Ejemplo.csv'!I:I)</f>
        <v>25</v>
      </c>
      <c r="N2951">
        <f>ABS(TablaDatos[[#This Row],[DiasOriginal]])</f>
        <v>25</v>
      </c>
      <c r="O2951" s="1">
        <f>TablaDatos[[#This Row],[FechaIngreso]]+TablaDatos[[#This Row],[DiasNuevo]]</f>
        <v>45381</v>
      </c>
    </row>
    <row r="2952" spans="1:15">
      <c r="A2952">
        <v>2951</v>
      </c>
      <c r="B2952" t="s">
        <v>275</v>
      </c>
      <c r="C2952" s="1">
        <v>15341</v>
      </c>
      <c r="D2952">
        <v>84</v>
      </c>
      <c r="E2952" s="4" t="s">
        <v>12</v>
      </c>
      <c r="F2952" t="s">
        <v>21</v>
      </c>
      <c r="G2952" s="1">
        <v>45087</v>
      </c>
      <c r="H2952" s="1">
        <f>TablaDatos[[#This Row],[FechaIngreso]]+TablaDatos[[#This Row],[DiasNuevo]]</f>
        <v>45087</v>
      </c>
      <c r="I2952">
        <v>0</v>
      </c>
      <c r="J2952" t="s">
        <v>23</v>
      </c>
      <c r="K2952" s="3">
        <v>11273.73</v>
      </c>
      <c r="L2952" t="b">
        <f>TablaDatos[[#This Row],[FechaAlta]] &lt; TablaDatos[[#This Row],[FechaIngreso]]</f>
        <v>0</v>
      </c>
      <c r="M2952">
        <f>_xlfn.XLOOKUP(TablaDatos[[#This Row],[PacienteID]],'Datos_Ejemplo.csv'!A:A,'Datos_Ejemplo.csv'!I:I)</f>
        <v>0</v>
      </c>
      <c r="N2952">
        <f>ABS(TablaDatos[[#This Row],[DiasOriginal]])</f>
        <v>0</v>
      </c>
      <c r="O2952" s="1">
        <f>TablaDatos[[#This Row],[FechaIngreso]]+TablaDatos[[#This Row],[DiasNuevo]]</f>
        <v>45087</v>
      </c>
    </row>
    <row r="2953" spans="1:15">
      <c r="A2953">
        <v>2952</v>
      </c>
      <c r="B2953" t="s">
        <v>231</v>
      </c>
      <c r="C2953" s="1">
        <v>35430</v>
      </c>
      <c r="D2953">
        <v>29</v>
      </c>
      <c r="E2953" s="4" t="s">
        <v>15</v>
      </c>
      <c r="F2953" t="s">
        <v>13</v>
      </c>
      <c r="G2953" s="1">
        <v>45232</v>
      </c>
      <c r="H2953" s="1">
        <f>TablaDatos[[#This Row],[FechaIngreso]]+TablaDatos[[#This Row],[DiasNuevo]]</f>
        <v>45242</v>
      </c>
      <c r="I2953">
        <v>10</v>
      </c>
      <c r="J2953" t="s">
        <v>25</v>
      </c>
      <c r="K2953" s="3">
        <v>11341.51</v>
      </c>
      <c r="L2953" t="b">
        <f>TablaDatos[[#This Row],[FechaAlta]] &lt; TablaDatos[[#This Row],[FechaIngreso]]</f>
        <v>0</v>
      </c>
      <c r="M2953">
        <f>_xlfn.XLOOKUP(TablaDatos[[#This Row],[PacienteID]],'Datos_Ejemplo.csv'!A:A,'Datos_Ejemplo.csv'!I:I)</f>
        <v>10</v>
      </c>
      <c r="N2953">
        <f>ABS(TablaDatos[[#This Row],[DiasOriginal]])</f>
        <v>10</v>
      </c>
      <c r="O2953" s="1">
        <f>TablaDatos[[#This Row],[FechaIngreso]]+TablaDatos[[#This Row],[DiasNuevo]]</f>
        <v>45242</v>
      </c>
    </row>
    <row r="2954" spans="1:15">
      <c r="A2954">
        <v>2953</v>
      </c>
      <c r="B2954" t="s">
        <v>325</v>
      </c>
      <c r="C2954" s="1">
        <v>37622</v>
      </c>
      <c r="D2954">
        <v>23</v>
      </c>
      <c r="E2954" s="4" t="s">
        <v>12</v>
      </c>
      <c r="F2954" t="s">
        <v>32</v>
      </c>
      <c r="G2954" s="1">
        <v>45287</v>
      </c>
      <c r="H2954" s="1">
        <f>TablaDatos[[#This Row],[FechaIngreso]]+TablaDatos[[#This Row],[DiasNuevo]]</f>
        <v>45288</v>
      </c>
      <c r="I2954">
        <v>1</v>
      </c>
      <c r="J2954" t="s">
        <v>23</v>
      </c>
      <c r="K2954" s="3">
        <v>9878.86</v>
      </c>
      <c r="L2954" t="b">
        <f>TablaDatos[[#This Row],[FechaAlta]] &lt; TablaDatos[[#This Row],[FechaIngreso]]</f>
        <v>0</v>
      </c>
      <c r="M2954">
        <f>_xlfn.XLOOKUP(TablaDatos[[#This Row],[PacienteID]],'Datos_Ejemplo.csv'!A:A,'Datos_Ejemplo.csv'!I:I)</f>
        <v>-1</v>
      </c>
      <c r="N2954">
        <f>ABS(TablaDatos[[#This Row],[DiasOriginal]])</f>
        <v>1</v>
      </c>
      <c r="O2954" s="1">
        <f>TablaDatos[[#This Row],[FechaIngreso]]+TablaDatos[[#This Row],[DiasNuevo]]</f>
        <v>45288</v>
      </c>
    </row>
    <row r="2955" spans="1:15">
      <c r="A2955">
        <v>2954</v>
      </c>
      <c r="B2955" t="s">
        <v>299</v>
      </c>
      <c r="C2955" s="1">
        <v>35430</v>
      </c>
      <c r="D2955">
        <v>29</v>
      </c>
      <c r="E2955" s="4" t="s">
        <v>12</v>
      </c>
      <c r="F2955" t="s">
        <v>21</v>
      </c>
      <c r="G2955" s="1">
        <v>45204</v>
      </c>
      <c r="H2955" s="1">
        <f>TablaDatos[[#This Row],[FechaIngreso]]+TablaDatos[[#This Row],[DiasNuevo]]</f>
        <v>45236</v>
      </c>
      <c r="I2955">
        <v>32</v>
      </c>
      <c r="J2955" t="s">
        <v>19</v>
      </c>
      <c r="K2955" s="3">
        <v>16132.37</v>
      </c>
      <c r="L2955" t="b">
        <f>TablaDatos[[#This Row],[FechaAlta]] &lt; TablaDatos[[#This Row],[FechaIngreso]]</f>
        <v>0</v>
      </c>
      <c r="M2955">
        <f>_xlfn.XLOOKUP(TablaDatos[[#This Row],[PacienteID]],'Datos_Ejemplo.csv'!A:A,'Datos_Ejemplo.csv'!I:I)</f>
        <v>32</v>
      </c>
      <c r="N2955">
        <f>ABS(TablaDatos[[#This Row],[DiasOriginal]])</f>
        <v>32</v>
      </c>
      <c r="O2955" s="1">
        <f>TablaDatos[[#This Row],[FechaIngreso]]+TablaDatos[[#This Row],[DiasNuevo]]</f>
        <v>45236</v>
      </c>
    </row>
    <row r="2956" spans="1:15">
      <c r="A2956">
        <v>2955</v>
      </c>
      <c r="B2956" t="s">
        <v>230</v>
      </c>
      <c r="C2956" s="1">
        <v>14976</v>
      </c>
      <c r="D2956">
        <v>85</v>
      </c>
      <c r="E2956" s="4" t="s">
        <v>15</v>
      </c>
      <c r="F2956" t="s">
        <v>21</v>
      </c>
      <c r="G2956" s="1">
        <v>45222</v>
      </c>
      <c r="H2956" s="1">
        <f>TablaDatos[[#This Row],[FechaIngreso]]+TablaDatos[[#This Row],[DiasNuevo]]</f>
        <v>45247</v>
      </c>
      <c r="I2956">
        <v>25</v>
      </c>
      <c r="J2956" t="s">
        <v>23</v>
      </c>
      <c r="K2956" s="3">
        <v>913.52</v>
      </c>
      <c r="L2956" t="b">
        <f>TablaDatos[[#This Row],[FechaAlta]] &lt; TablaDatos[[#This Row],[FechaIngreso]]</f>
        <v>0</v>
      </c>
      <c r="M2956">
        <f>_xlfn.XLOOKUP(TablaDatos[[#This Row],[PacienteID]],'Datos_Ejemplo.csv'!A:A,'Datos_Ejemplo.csv'!I:I)</f>
        <v>25</v>
      </c>
      <c r="N2956">
        <f>ABS(TablaDatos[[#This Row],[DiasOriginal]])</f>
        <v>25</v>
      </c>
      <c r="O2956" s="1">
        <f>TablaDatos[[#This Row],[FechaIngreso]]+TablaDatos[[#This Row],[DiasNuevo]]</f>
        <v>45247</v>
      </c>
    </row>
    <row r="2957" spans="1:15">
      <c r="A2957">
        <v>2956</v>
      </c>
      <c r="B2957" t="s">
        <v>122</v>
      </c>
      <c r="C2957" s="1">
        <v>12785</v>
      </c>
      <c r="D2957">
        <v>91</v>
      </c>
      <c r="E2957" s="4" t="s">
        <v>12</v>
      </c>
      <c r="F2957" t="s">
        <v>295</v>
      </c>
      <c r="G2957" s="1">
        <v>45477</v>
      </c>
      <c r="H2957" s="1">
        <f>TablaDatos[[#This Row],[FechaIngreso]]+TablaDatos[[#This Row],[DiasNuevo]]</f>
        <v>45511</v>
      </c>
      <c r="I2957">
        <v>34</v>
      </c>
      <c r="J2957" t="s">
        <v>25</v>
      </c>
      <c r="K2957" s="3">
        <v>17691.11</v>
      </c>
      <c r="L2957" t="b">
        <f>TablaDatos[[#This Row],[FechaAlta]] &lt; TablaDatos[[#This Row],[FechaIngreso]]</f>
        <v>0</v>
      </c>
      <c r="M2957">
        <f>_xlfn.XLOOKUP(TablaDatos[[#This Row],[PacienteID]],'Datos_Ejemplo.csv'!A:A,'Datos_Ejemplo.csv'!I:I)</f>
        <v>34</v>
      </c>
      <c r="N2957">
        <f>ABS(TablaDatos[[#This Row],[DiasOriginal]])</f>
        <v>34</v>
      </c>
      <c r="O2957" s="1">
        <f>TablaDatos[[#This Row],[FechaIngreso]]+TablaDatos[[#This Row],[DiasNuevo]]</f>
        <v>45511</v>
      </c>
    </row>
    <row r="2958" spans="1:15">
      <c r="A2958">
        <v>2957</v>
      </c>
      <c r="B2958" t="s">
        <v>255</v>
      </c>
      <c r="C2958" s="1">
        <v>43831</v>
      </c>
      <c r="D2958">
        <v>6</v>
      </c>
      <c r="E2958" s="4" t="s">
        <v>12</v>
      </c>
      <c r="F2958" t="s">
        <v>32</v>
      </c>
      <c r="G2958" s="1">
        <v>45095</v>
      </c>
      <c r="H2958" s="1">
        <f>TablaDatos[[#This Row],[FechaIngreso]]+TablaDatos[[#This Row],[DiasNuevo]]</f>
        <v>45115</v>
      </c>
      <c r="I2958">
        <v>20</v>
      </c>
      <c r="J2958" t="s">
        <v>25</v>
      </c>
      <c r="K2958" s="3">
        <v>11684.47</v>
      </c>
      <c r="L2958" t="b">
        <f>TablaDatos[[#This Row],[FechaAlta]] &lt; TablaDatos[[#This Row],[FechaIngreso]]</f>
        <v>0</v>
      </c>
      <c r="M2958">
        <f>_xlfn.XLOOKUP(TablaDatos[[#This Row],[PacienteID]],'Datos_Ejemplo.csv'!A:A,'Datos_Ejemplo.csv'!I:I)</f>
        <v>20</v>
      </c>
      <c r="N2958">
        <f>ABS(TablaDatos[[#This Row],[DiasOriginal]])</f>
        <v>20</v>
      </c>
      <c r="O2958" s="1">
        <f>TablaDatos[[#This Row],[FechaIngreso]]+TablaDatos[[#This Row],[DiasNuevo]]</f>
        <v>45115</v>
      </c>
    </row>
    <row r="2959" spans="1:15">
      <c r="A2959">
        <v>2958</v>
      </c>
      <c r="B2959" t="s">
        <v>151</v>
      </c>
      <c r="C2959" s="1">
        <v>33604</v>
      </c>
      <c r="D2959">
        <v>34</v>
      </c>
      <c r="E2959" s="4" t="s">
        <v>12</v>
      </c>
      <c r="F2959" t="s">
        <v>21</v>
      </c>
      <c r="G2959" s="1">
        <v>45385</v>
      </c>
      <c r="H2959" s="1">
        <f>TablaDatos[[#This Row],[FechaIngreso]]+TablaDatos[[#This Row],[DiasNuevo]]</f>
        <v>45405</v>
      </c>
      <c r="I2959">
        <v>20</v>
      </c>
      <c r="J2959" t="s">
        <v>23</v>
      </c>
      <c r="K2959" s="3">
        <v>16962.349999999999</v>
      </c>
      <c r="L2959" t="b">
        <f>TablaDatos[[#This Row],[FechaAlta]] &lt; TablaDatos[[#This Row],[FechaIngreso]]</f>
        <v>0</v>
      </c>
      <c r="M2959">
        <f>_xlfn.XLOOKUP(TablaDatos[[#This Row],[PacienteID]],'Datos_Ejemplo.csv'!A:A,'Datos_Ejemplo.csv'!I:I)</f>
        <v>20</v>
      </c>
      <c r="N2959">
        <f>ABS(TablaDatos[[#This Row],[DiasOriginal]])</f>
        <v>20</v>
      </c>
      <c r="O2959" s="1">
        <f>TablaDatos[[#This Row],[FechaIngreso]]+TablaDatos[[#This Row],[DiasNuevo]]</f>
        <v>45405</v>
      </c>
    </row>
    <row r="2960" spans="1:15">
      <c r="A2960">
        <v>2959</v>
      </c>
      <c r="B2960" t="s">
        <v>277</v>
      </c>
      <c r="C2960" s="1">
        <f ca="1">DATE(YEAR(TODAY())-TablaDatos[[#This Row],[Edad]],1,1)</f>
        <v>26299</v>
      </c>
      <c r="D2960">
        <v>54</v>
      </c>
      <c r="E2960" s="4" t="s">
        <v>15</v>
      </c>
      <c r="F2960" t="s">
        <v>18</v>
      </c>
      <c r="G2960" s="1">
        <v>45506</v>
      </c>
      <c r="H2960" s="1">
        <f>TablaDatos[[#This Row],[FechaIngreso]]+TablaDatos[[#This Row],[DiasNuevo]]</f>
        <v>45538</v>
      </c>
      <c r="I2960">
        <v>32</v>
      </c>
      <c r="J2960" t="s">
        <v>19</v>
      </c>
      <c r="K2960" s="3">
        <v>108.89</v>
      </c>
      <c r="L2960" t="b">
        <f>TablaDatos[[#This Row],[FechaAlta]] &lt; TablaDatos[[#This Row],[FechaIngreso]]</f>
        <v>0</v>
      </c>
      <c r="M2960">
        <f>_xlfn.XLOOKUP(TablaDatos[[#This Row],[PacienteID]],'Datos_Ejemplo.csv'!A:A,'Datos_Ejemplo.csv'!I:I)</f>
        <v>32</v>
      </c>
      <c r="N2960">
        <f>ABS(TablaDatos[[#This Row],[DiasOriginal]])</f>
        <v>32</v>
      </c>
      <c r="O2960" s="1">
        <f>TablaDatos[[#This Row],[FechaIngreso]]+TablaDatos[[#This Row],[DiasNuevo]]</f>
        <v>45538</v>
      </c>
    </row>
    <row r="2961" spans="1:15">
      <c r="A2961">
        <v>2960</v>
      </c>
      <c r="B2961" t="s">
        <v>233</v>
      </c>
      <c r="C2961" s="1">
        <v>12785</v>
      </c>
      <c r="D2961">
        <v>91</v>
      </c>
      <c r="E2961" s="4" t="s">
        <v>12</v>
      </c>
      <c r="F2961" t="s">
        <v>21</v>
      </c>
      <c r="G2961" s="1">
        <v>44933</v>
      </c>
      <c r="H2961" s="1">
        <f>TablaDatos[[#This Row],[FechaIngreso]]+TablaDatos[[#This Row],[DiasNuevo]]</f>
        <v>44971</v>
      </c>
      <c r="I2961">
        <v>38</v>
      </c>
      <c r="J2961" t="s">
        <v>23</v>
      </c>
      <c r="K2961" s="3">
        <v>17372.46</v>
      </c>
      <c r="L2961" t="b">
        <f>TablaDatos[[#This Row],[FechaAlta]] &lt; TablaDatos[[#This Row],[FechaIngreso]]</f>
        <v>0</v>
      </c>
      <c r="M2961">
        <f>_xlfn.XLOOKUP(TablaDatos[[#This Row],[PacienteID]],'Datos_Ejemplo.csv'!A:A,'Datos_Ejemplo.csv'!I:I)</f>
        <v>38</v>
      </c>
      <c r="N2961">
        <f>ABS(TablaDatos[[#This Row],[DiasOriginal]])</f>
        <v>38</v>
      </c>
      <c r="O2961" s="1">
        <f>TablaDatos[[#This Row],[FechaIngreso]]+TablaDatos[[#This Row],[DiasNuevo]]</f>
        <v>44971</v>
      </c>
    </row>
    <row r="2962" spans="1:15">
      <c r="A2962">
        <v>2961</v>
      </c>
      <c r="B2962" t="s">
        <v>161</v>
      </c>
      <c r="C2962" s="1">
        <v>41274</v>
      </c>
      <c r="D2962">
        <v>13</v>
      </c>
      <c r="E2962" s="4" t="s">
        <v>15</v>
      </c>
      <c r="F2962" t="s">
        <v>18</v>
      </c>
      <c r="G2962" s="1">
        <v>45523</v>
      </c>
      <c r="H2962" s="1">
        <f>TablaDatos[[#This Row],[FechaIngreso]]+TablaDatos[[#This Row],[DiasNuevo]]</f>
        <v>45559</v>
      </c>
      <c r="I2962">
        <v>36</v>
      </c>
      <c r="J2962" t="s">
        <v>25</v>
      </c>
      <c r="K2962" s="3">
        <v>2314.7600000000002</v>
      </c>
      <c r="L2962" t="b">
        <f>TablaDatos[[#This Row],[FechaAlta]] &lt; TablaDatos[[#This Row],[FechaIngreso]]</f>
        <v>0</v>
      </c>
      <c r="M2962">
        <f>_xlfn.XLOOKUP(TablaDatos[[#This Row],[PacienteID]],'Datos_Ejemplo.csv'!A:A,'Datos_Ejemplo.csv'!I:I)</f>
        <v>36</v>
      </c>
      <c r="N2962">
        <f>ABS(TablaDatos[[#This Row],[DiasOriginal]])</f>
        <v>36</v>
      </c>
      <c r="O2962" s="1">
        <f>TablaDatos[[#This Row],[FechaIngreso]]+TablaDatos[[#This Row],[DiasNuevo]]</f>
        <v>45559</v>
      </c>
    </row>
    <row r="2963" spans="1:15">
      <c r="A2963">
        <v>2962</v>
      </c>
      <c r="B2963" t="s">
        <v>90</v>
      </c>
      <c r="C2963" s="1">
        <v>42735</v>
      </c>
      <c r="D2963">
        <v>9</v>
      </c>
      <c r="E2963" s="4" t="s">
        <v>12</v>
      </c>
      <c r="F2963" t="s">
        <v>13</v>
      </c>
      <c r="G2963" s="1">
        <v>45637</v>
      </c>
      <c r="H2963" s="1">
        <f>TablaDatos[[#This Row],[FechaIngreso]]+TablaDatos[[#This Row],[DiasNuevo]]</f>
        <v>45666</v>
      </c>
      <c r="I2963">
        <v>29</v>
      </c>
      <c r="J2963" t="s">
        <v>23</v>
      </c>
      <c r="K2963" s="3">
        <v>14396.48</v>
      </c>
      <c r="L2963" t="b">
        <f>TablaDatos[[#This Row],[FechaAlta]] &lt; TablaDatos[[#This Row],[FechaIngreso]]</f>
        <v>0</v>
      </c>
      <c r="M2963">
        <f>_xlfn.XLOOKUP(TablaDatos[[#This Row],[PacienteID]],'Datos_Ejemplo.csv'!A:A,'Datos_Ejemplo.csv'!I:I)</f>
        <v>29</v>
      </c>
      <c r="N2963">
        <f>ABS(TablaDatos[[#This Row],[DiasOriginal]])</f>
        <v>29</v>
      </c>
      <c r="O2963" s="1">
        <f>TablaDatos[[#This Row],[FechaIngreso]]+TablaDatos[[#This Row],[DiasNuevo]]</f>
        <v>45666</v>
      </c>
    </row>
    <row r="2964" spans="1:15">
      <c r="A2964">
        <v>2963</v>
      </c>
      <c r="B2964" t="s">
        <v>358</v>
      </c>
      <c r="C2964" s="1">
        <v>17168</v>
      </c>
      <c r="D2964">
        <v>79</v>
      </c>
      <c r="E2964" s="4" t="s">
        <v>197</v>
      </c>
      <c r="F2964" t="s">
        <v>18</v>
      </c>
      <c r="G2964" s="1">
        <v>45058</v>
      </c>
      <c r="H2964" s="1">
        <f>TablaDatos[[#This Row],[FechaIngreso]]+TablaDatos[[#This Row],[DiasNuevo]]</f>
        <v>45059</v>
      </c>
      <c r="I2964">
        <v>1</v>
      </c>
      <c r="J2964" t="s">
        <v>23</v>
      </c>
      <c r="K2964" s="3">
        <v>8272.08</v>
      </c>
      <c r="L2964" t="b">
        <f>TablaDatos[[#This Row],[FechaAlta]] &lt; TablaDatos[[#This Row],[FechaIngreso]]</f>
        <v>0</v>
      </c>
      <c r="M2964">
        <f>_xlfn.XLOOKUP(TablaDatos[[#This Row],[PacienteID]],'Datos_Ejemplo.csv'!A:A,'Datos_Ejemplo.csv'!I:I)</f>
        <v>-1</v>
      </c>
      <c r="N2964">
        <f>ABS(TablaDatos[[#This Row],[DiasOriginal]])</f>
        <v>1</v>
      </c>
      <c r="O2964" s="1">
        <f>TablaDatos[[#This Row],[FechaIngreso]]+TablaDatos[[#This Row],[DiasNuevo]]</f>
        <v>45059</v>
      </c>
    </row>
    <row r="2965" spans="1:15">
      <c r="A2965">
        <v>2964</v>
      </c>
      <c r="B2965" t="s">
        <v>288</v>
      </c>
      <c r="C2965" s="1">
        <v>40544</v>
      </c>
      <c r="D2965">
        <v>15</v>
      </c>
      <c r="E2965" s="4" t="s">
        <v>12</v>
      </c>
      <c r="F2965" t="s">
        <v>18</v>
      </c>
      <c r="G2965" s="1">
        <v>45514</v>
      </c>
      <c r="H2965" s="1">
        <f>TablaDatos[[#This Row],[FechaIngreso]]+TablaDatos[[#This Row],[DiasNuevo]]</f>
        <v>45527</v>
      </c>
      <c r="I2965">
        <v>13</v>
      </c>
      <c r="J2965" t="s">
        <v>19</v>
      </c>
      <c r="K2965" s="3">
        <v>13589.56</v>
      </c>
      <c r="L2965" t="b">
        <f>TablaDatos[[#This Row],[FechaAlta]] &lt; TablaDatos[[#This Row],[FechaIngreso]]</f>
        <v>0</v>
      </c>
      <c r="M2965">
        <f>_xlfn.XLOOKUP(TablaDatos[[#This Row],[PacienteID]],'Datos_Ejemplo.csv'!A:A,'Datos_Ejemplo.csv'!I:I)</f>
        <v>13</v>
      </c>
      <c r="N2965">
        <f>ABS(TablaDatos[[#This Row],[DiasOriginal]])</f>
        <v>13</v>
      </c>
      <c r="O2965" s="1">
        <f>TablaDatos[[#This Row],[FechaIngreso]]+TablaDatos[[#This Row],[DiasNuevo]]</f>
        <v>45527</v>
      </c>
    </row>
    <row r="2966" spans="1:15">
      <c r="A2966">
        <v>2965</v>
      </c>
      <c r="B2966" t="s">
        <v>283</v>
      </c>
      <c r="C2966" s="1">
        <v>26664</v>
      </c>
      <c r="D2966">
        <v>53</v>
      </c>
      <c r="E2966" s="4" t="s">
        <v>12</v>
      </c>
      <c r="F2966" t="s">
        <v>295</v>
      </c>
      <c r="G2966" s="1">
        <v>45273</v>
      </c>
      <c r="H2966" s="1">
        <f>TablaDatos[[#This Row],[FechaIngreso]]+TablaDatos[[#This Row],[DiasNuevo]]</f>
        <v>45286</v>
      </c>
      <c r="I2966">
        <v>13</v>
      </c>
      <c r="J2966" t="s">
        <v>23</v>
      </c>
      <c r="K2966" s="3">
        <v>12526.61</v>
      </c>
      <c r="L2966" t="b">
        <f>TablaDatos[[#This Row],[FechaAlta]] &lt; TablaDatos[[#This Row],[FechaIngreso]]</f>
        <v>0</v>
      </c>
      <c r="M2966">
        <f>_xlfn.XLOOKUP(TablaDatos[[#This Row],[PacienteID]],'Datos_Ejemplo.csv'!A:A,'Datos_Ejemplo.csv'!I:I)</f>
        <v>13</v>
      </c>
      <c r="N2966">
        <f>ABS(TablaDatos[[#This Row],[DiasOriginal]])</f>
        <v>13</v>
      </c>
      <c r="O2966" s="1">
        <f>TablaDatos[[#This Row],[FechaIngreso]]+TablaDatos[[#This Row],[DiasNuevo]]</f>
        <v>45286</v>
      </c>
    </row>
    <row r="2967" spans="1:15">
      <c r="A2967">
        <v>2966</v>
      </c>
      <c r="B2967" t="s">
        <v>312</v>
      </c>
      <c r="C2967" s="1">
        <v>11689</v>
      </c>
      <c r="D2967">
        <v>94</v>
      </c>
      <c r="E2967" s="4" t="s">
        <v>15</v>
      </c>
      <c r="F2967" t="s">
        <v>21</v>
      </c>
      <c r="G2967" s="1">
        <v>45647</v>
      </c>
      <c r="H2967" s="1">
        <f>TablaDatos[[#This Row],[FechaIngreso]]+TablaDatos[[#This Row],[DiasNuevo]]</f>
        <v>45647</v>
      </c>
      <c r="I2967">
        <v>0</v>
      </c>
      <c r="J2967" t="s">
        <v>23</v>
      </c>
      <c r="K2967" s="3">
        <v>3184.27</v>
      </c>
      <c r="L2967" t="b">
        <f>TablaDatos[[#This Row],[FechaAlta]] &lt; TablaDatos[[#This Row],[FechaIngreso]]</f>
        <v>0</v>
      </c>
      <c r="M2967">
        <f>_xlfn.XLOOKUP(TablaDatos[[#This Row],[PacienteID]],'Datos_Ejemplo.csv'!A:A,'Datos_Ejemplo.csv'!I:I)</f>
        <v>0</v>
      </c>
      <c r="N2967">
        <f>ABS(TablaDatos[[#This Row],[DiasOriginal]])</f>
        <v>0</v>
      </c>
      <c r="O2967" s="1">
        <f>TablaDatos[[#This Row],[FechaIngreso]]+TablaDatos[[#This Row],[DiasNuevo]]</f>
        <v>45647</v>
      </c>
    </row>
    <row r="2968" spans="1:15">
      <c r="A2968">
        <v>2967</v>
      </c>
      <c r="B2968" t="s">
        <v>66</v>
      </c>
      <c r="C2968" s="1">
        <v>13880</v>
      </c>
      <c r="D2968">
        <v>88</v>
      </c>
      <c r="E2968" s="4" t="s">
        <v>197</v>
      </c>
      <c r="F2968" t="s">
        <v>13</v>
      </c>
      <c r="G2968" s="1">
        <v>45522</v>
      </c>
      <c r="H2968" s="1">
        <f>TablaDatos[[#This Row],[FechaIngreso]]+TablaDatos[[#This Row],[DiasNuevo]]</f>
        <v>45547</v>
      </c>
      <c r="I2968">
        <v>25</v>
      </c>
      <c r="J2968" t="s">
        <v>23</v>
      </c>
      <c r="K2968" s="3">
        <v>10243.74</v>
      </c>
      <c r="L2968" t="b">
        <f>TablaDatos[[#This Row],[FechaAlta]] &lt; TablaDatos[[#This Row],[FechaIngreso]]</f>
        <v>0</v>
      </c>
      <c r="M2968">
        <f>_xlfn.XLOOKUP(TablaDatos[[#This Row],[PacienteID]],'Datos_Ejemplo.csv'!A:A,'Datos_Ejemplo.csv'!I:I)</f>
        <v>25</v>
      </c>
      <c r="N2968">
        <f>ABS(TablaDatos[[#This Row],[DiasOriginal]])</f>
        <v>25</v>
      </c>
      <c r="O2968" s="1">
        <f>TablaDatos[[#This Row],[FechaIngreso]]+TablaDatos[[#This Row],[DiasNuevo]]</f>
        <v>45547</v>
      </c>
    </row>
    <row r="2969" spans="1:15">
      <c r="A2969">
        <v>2968</v>
      </c>
      <c r="B2969" t="s">
        <v>301</v>
      </c>
      <c r="C2969" s="1">
        <v>18263</v>
      </c>
      <c r="D2969">
        <v>76</v>
      </c>
      <c r="E2969" s="4" t="s">
        <v>12</v>
      </c>
      <c r="F2969" t="s">
        <v>21</v>
      </c>
      <c r="G2969" s="1">
        <v>45179</v>
      </c>
      <c r="H2969" s="1">
        <f>TablaDatos[[#This Row],[FechaIngreso]]+TablaDatos[[#This Row],[DiasNuevo]]</f>
        <v>45205</v>
      </c>
      <c r="I2969">
        <v>26</v>
      </c>
      <c r="J2969" t="s">
        <v>23</v>
      </c>
      <c r="K2969" s="3">
        <v>5472.33</v>
      </c>
      <c r="L2969" t="b">
        <f>TablaDatos[[#This Row],[FechaAlta]] &lt; TablaDatos[[#This Row],[FechaIngreso]]</f>
        <v>0</v>
      </c>
      <c r="M2969">
        <f>_xlfn.XLOOKUP(TablaDatos[[#This Row],[PacienteID]],'Datos_Ejemplo.csv'!A:A,'Datos_Ejemplo.csv'!I:I)</f>
        <v>26</v>
      </c>
      <c r="N2969">
        <f>ABS(TablaDatos[[#This Row],[DiasOriginal]])</f>
        <v>26</v>
      </c>
      <c r="O2969" s="1">
        <f>TablaDatos[[#This Row],[FechaIngreso]]+TablaDatos[[#This Row],[DiasNuevo]]</f>
        <v>45205</v>
      </c>
    </row>
    <row r="2970" spans="1:15">
      <c r="A2970">
        <v>2969</v>
      </c>
      <c r="B2970" t="s">
        <v>231</v>
      </c>
      <c r="C2970" s="1">
        <v>20820</v>
      </c>
      <c r="D2970">
        <v>69</v>
      </c>
      <c r="E2970" s="4" t="s">
        <v>15</v>
      </c>
      <c r="F2970" t="s">
        <v>201</v>
      </c>
      <c r="G2970" s="1">
        <v>45336</v>
      </c>
      <c r="H2970" s="1">
        <f>TablaDatos[[#This Row],[FechaIngreso]]+TablaDatos[[#This Row],[DiasNuevo]]</f>
        <v>45353</v>
      </c>
      <c r="I2970">
        <v>17</v>
      </c>
      <c r="J2970" t="s">
        <v>19</v>
      </c>
      <c r="K2970" s="3">
        <v>11164.78</v>
      </c>
      <c r="L2970" t="b">
        <f>TablaDatos[[#This Row],[FechaAlta]] &lt; TablaDatos[[#This Row],[FechaIngreso]]</f>
        <v>0</v>
      </c>
      <c r="M2970">
        <f>_xlfn.XLOOKUP(TablaDatos[[#This Row],[PacienteID]],'Datos_Ejemplo.csv'!A:A,'Datos_Ejemplo.csv'!I:I)</f>
        <v>17</v>
      </c>
      <c r="N2970">
        <f>ABS(TablaDatos[[#This Row],[DiasOriginal]])</f>
        <v>17</v>
      </c>
      <c r="O2970" s="1">
        <f>TablaDatos[[#This Row],[FechaIngreso]]+TablaDatos[[#This Row],[DiasNuevo]]</f>
        <v>45353</v>
      </c>
    </row>
    <row r="2971" spans="1:15">
      <c r="A2971">
        <v>2970</v>
      </c>
      <c r="B2971" t="s">
        <v>262</v>
      </c>
      <c r="C2971" s="1">
        <v>30317</v>
      </c>
      <c r="D2971">
        <v>43</v>
      </c>
      <c r="E2971" s="4" t="s">
        <v>12</v>
      </c>
      <c r="F2971" t="s">
        <v>201</v>
      </c>
      <c r="G2971" s="1">
        <v>45469</v>
      </c>
      <c r="H2971" s="1">
        <f>TablaDatos[[#This Row],[FechaIngreso]]+TablaDatos[[#This Row],[DiasNuevo]]</f>
        <v>45502</v>
      </c>
      <c r="I2971">
        <v>33</v>
      </c>
      <c r="J2971" t="s">
        <v>19</v>
      </c>
      <c r="K2971" s="3">
        <v>14733.87</v>
      </c>
      <c r="L2971" t="b">
        <f>TablaDatos[[#This Row],[FechaAlta]] &lt; TablaDatos[[#This Row],[FechaIngreso]]</f>
        <v>0</v>
      </c>
      <c r="M2971">
        <f>_xlfn.XLOOKUP(TablaDatos[[#This Row],[PacienteID]],'Datos_Ejemplo.csv'!A:A,'Datos_Ejemplo.csv'!I:I)</f>
        <v>33</v>
      </c>
      <c r="N2971">
        <f>ABS(TablaDatos[[#This Row],[DiasOriginal]])</f>
        <v>33</v>
      </c>
      <c r="O2971" s="1">
        <f>TablaDatos[[#This Row],[FechaIngreso]]+TablaDatos[[#This Row],[DiasNuevo]]</f>
        <v>45502</v>
      </c>
    </row>
    <row r="2972" spans="1:15">
      <c r="A2972">
        <v>2971</v>
      </c>
      <c r="B2972" t="s">
        <v>259</v>
      </c>
      <c r="C2972" s="1">
        <v>19724</v>
      </c>
      <c r="D2972">
        <v>72</v>
      </c>
      <c r="E2972" s="4" t="s">
        <v>15</v>
      </c>
      <c r="F2972" t="s">
        <v>18</v>
      </c>
      <c r="G2972" s="1">
        <v>45281</v>
      </c>
      <c r="H2972" s="1">
        <f>TablaDatos[[#This Row],[FechaIngreso]]+TablaDatos[[#This Row],[DiasNuevo]]</f>
        <v>45311</v>
      </c>
      <c r="I2972">
        <v>30</v>
      </c>
      <c r="J2972" t="s">
        <v>25</v>
      </c>
      <c r="K2972" s="3">
        <v>1533.29</v>
      </c>
      <c r="L2972" t="b">
        <f>TablaDatos[[#This Row],[FechaAlta]] &lt; TablaDatos[[#This Row],[FechaIngreso]]</f>
        <v>0</v>
      </c>
      <c r="M2972">
        <f>_xlfn.XLOOKUP(TablaDatos[[#This Row],[PacienteID]],'Datos_Ejemplo.csv'!A:A,'Datos_Ejemplo.csv'!I:I)</f>
        <v>30</v>
      </c>
      <c r="N2972">
        <f>ABS(TablaDatos[[#This Row],[DiasOriginal]])</f>
        <v>30</v>
      </c>
      <c r="O2972" s="1">
        <f>TablaDatos[[#This Row],[FechaIngreso]]+TablaDatos[[#This Row],[DiasNuevo]]</f>
        <v>45311</v>
      </c>
    </row>
    <row r="2973" spans="1:15">
      <c r="A2973">
        <v>2972</v>
      </c>
      <c r="B2973" t="s">
        <v>356</v>
      </c>
      <c r="C2973" s="1">
        <v>29951</v>
      </c>
      <c r="D2973">
        <v>44</v>
      </c>
      <c r="E2973" s="4" t="s">
        <v>15</v>
      </c>
      <c r="F2973" t="s">
        <v>261</v>
      </c>
      <c r="G2973" s="1">
        <v>45639</v>
      </c>
      <c r="H2973" s="1">
        <f>TablaDatos[[#This Row],[FechaIngreso]]+TablaDatos[[#This Row],[DiasNuevo]]</f>
        <v>45658</v>
      </c>
      <c r="I2973">
        <v>19</v>
      </c>
      <c r="J2973" t="s">
        <v>25</v>
      </c>
      <c r="K2973" s="3">
        <v>10266.82</v>
      </c>
      <c r="L2973" t="b">
        <f>TablaDatos[[#This Row],[FechaAlta]] &lt; TablaDatos[[#This Row],[FechaIngreso]]</f>
        <v>0</v>
      </c>
      <c r="M2973">
        <f>_xlfn.XLOOKUP(TablaDatos[[#This Row],[PacienteID]],'Datos_Ejemplo.csv'!A:A,'Datos_Ejemplo.csv'!I:I)</f>
        <v>19</v>
      </c>
      <c r="N2973">
        <f>ABS(TablaDatos[[#This Row],[DiasOriginal]])</f>
        <v>19</v>
      </c>
      <c r="O2973" s="1">
        <f>TablaDatos[[#This Row],[FechaIngreso]]+TablaDatos[[#This Row],[DiasNuevo]]</f>
        <v>45658</v>
      </c>
    </row>
    <row r="2974" spans="1:15">
      <c r="A2974">
        <v>2973</v>
      </c>
      <c r="B2974" t="s">
        <v>340</v>
      </c>
      <c r="C2974" s="1">
        <v>25934</v>
      </c>
      <c r="D2974">
        <v>55</v>
      </c>
      <c r="E2974" s="4" t="s">
        <v>12</v>
      </c>
      <c r="F2974" t="s">
        <v>18</v>
      </c>
      <c r="G2974" s="1">
        <v>45490</v>
      </c>
      <c r="H2974" s="1">
        <f>TablaDatos[[#This Row],[FechaIngreso]]+TablaDatos[[#This Row],[DiasNuevo]]</f>
        <v>45495</v>
      </c>
      <c r="I2974">
        <v>5</v>
      </c>
      <c r="J2974" t="s">
        <v>23</v>
      </c>
      <c r="K2974" s="3">
        <v>12314.36</v>
      </c>
      <c r="L2974" t="b">
        <f>TablaDatos[[#This Row],[FechaAlta]] &lt; TablaDatos[[#This Row],[FechaIngreso]]</f>
        <v>0</v>
      </c>
      <c r="M2974">
        <f>_xlfn.XLOOKUP(TablaDatos[[#This Row],[PacienteID]],'Datos_Ejemplo.csv'!A:A,'Datos_Ejemplo.csv'!I:I)</f>
        <v>5</v>
      </c>
      <c r="N2974">
        <f>ABS(TablaDatos[[#This Row],[DiasOriginal]])</f>
        <v>5</v>
      </c>
      <c r="O2974" s="1">
        <f>TablaDatos[[#This Row],[FechaIngreso]]+TablaDatos[[#This Row],[DiasNuevo]]</f>
        <v>45495</v>
      </c>
    </row>
    <row r="2975" spans="1:15">
      <c r="A2975">
        <v>2974</v>
      </c>
      <c r="B2975" t="s">
        <v>335</v>
      </c>
      <c r="C2975" s="1">
        <v>15707</v>
      </c>
      <c r="D2975">
        <v>83</v>
      </c>
      <c r="E2975" s="4" t="s">
        <v>15</v>
      </c>
      <c r="F2975" t="s">
        <v>21</v>
      </c>
      <c r="G2975" s="1">
        <v>45294</v>
      </c>
      <c r="H2975" s="1">
        <f>TablaDatos[[#This Row],[FechaIngreso]]+TablaDatos[[#This Row],[DiasNuevo]]</f>
        <v>45315</v>
      </c>
      <c r="I2975">
        <v>21</v>
      </c>
      <c r="J2975" t="s">
        <v>25</v>
      </c>
      <c r="K2975" s="3">
        <v>5836.89</v>
      </c>
      <c r="L2975" t="b">
        <f>TablaDatos[[#This Row],[FechaAlta]] &lt; TablaDatos[[#This Row],[FechaIngreso]]</f>
        <v>0</v>
      </c>
      <c r="M2975">
        <f>_xlfn.XLOOKUP(TablaDatos[[#This Row],[PacienteID]],'Datos_Ejemplo.csv'!A:A,'Datos_Ejemplo.csv'!I:I)</f>
        <v>21</v>
      </c>
      <c r="N2975">
        <f>ABS(TablaDatos[[#This Row],[DiasOriginal]])</f>
        <v>21</v>
      </c>
      <c r="O2975" s="1">
        <f>TablaDatos[[#This Row],[FechaIngreso]]+TablaDatos[[#This Row],[DiasNuevo]]</f>
        <v>45315</v>
      </c>
    </row>
    <row r="2976" spans="1:15">
      <c r="A2976">
        <v>2975</v>
      </c>
      <c r="B2976" t="s">
        <v>358</v>
      </c>
      <c r="C2976" s="1">
        <v>16437</v>
      </c>
      <c r="D2976">
        <v>81</v>
      </c>
      <c r="E2976" s="4" t="s">
        <v>12</v>
      </c>
      <c r="F2976" t="s">
        <v>13</v>
      </c>
      <c r="G2976" s="1">
        <v>45510</v>
      </c>
      <c r="H2976" s="1">
        <f>TablaDatos[[#This Row],[FechaIngreso]]+TablaDatos[[#This Row],[DiasNuevo]]</f>
        <v>45544</v>
      </c>
      <c r="I2976">
        <v>34</v>
      </c>
      <c r="J2976" t="s">
        <v>19</v>
      </c>
      <c r="K2976" s="3">
        <v>19055.37</v>
      </c>
      <c r="L2976" t="b">
        <f>TablaDatos[[#This Row],[FechaAlta]] &lt; TablaDatos[[#This Row],[FechaIngreso]]</f>
        <v>0</v>
      </c>
      <c r="M2976">
        <f>_xlfn.XLOOKUP(TablaDatos[[#This Row],[PacienteID]],'Datos_Ejemplo.csv'!A:A,'Datos_Ejemplo.csv'!I:I)</f>
        <v>34</v>
      </c>
      <c r="N2976">
        <f>ABS(TablaDatos[[#This Row],[DiasOriginal]])</f>
        <v>34</v>
      </c>
      <c r="O2976" s="1">
        <f>TablaDatos[[#This Row],[FechaIngreso]]+TablaDatos[[#This Row],[DiasNuevo]]</f>
        <v>45544</v>
      </c>
    </row>
    <row r="2977" spans="1:15">
      <c r="A2977">
        <v>2976</v>
      </c>
      <c r="B2977" t="s">
        <v>337</v>
      </c>
      <c r="C2977" s="1">
        <v>25568</v>
      </c>
      <c r="D2977">
        <v>56</v>
      </c>
      <c r="E2977" s="4" t="s">
        <v>15</v>
      </c>
      <c r="F2977" t="s">
        <v>261</v>
      </c>
      <c r="G2977" s="1">
        <v>45437</v>
      </c>
      <c r="H2977" s="1">
        <f>TablaDatos[[#This Row],[FechaIngreso]]+TablaDatos[[#This Row],[DiasNuevo]]</f>
        <v>45454</v>
      </c>
      <c r="I2977">
        <v>17</v>
      </c>
      <c r="J2977" t="s">
        <v>23</v>
      </c>
      <c r="K2977" s="3">
        <v>10358.09</v>
      </c>
      <c r="L2977" t="b">
        <f>TablaDatos[[#This Row],[FechaAlta]] &lt; TablaDatos[[#This Row],[FechaIngreso]]</f>
        <v>0</v>
      </c>
      <c r="M2977">
        <f>_xlfn.XLOOKUP(TablaDatos[[#This Row],[PacienteID]],'Datos_Ejemplo.csv'!A:A,'Datos_Ejemplo.csv'!I:I)</f>
        <v>17</v>
      </c>
      <c r="N2977">
        <f>ABS(TablaDatos[[#This Row],[DiasOriginal]])</f>
        <v>17</v>
      </c>
      <c r="O2977" s="1">
        <f>TablaDatos[[#This Row],[FechaIngreso]]+TablaDatos[[#This Row],[DiasNuevo]]</f>
        <v>45454</v>
      </c>
    </row>
    <row r="2978" spans="1:15">
      <c r="A2978">
        <v>2977</v>
      </c>
      <c r="B2978" t="s">
        <v>250</v>
      </c>
      <c r="C2978" s="1">
        <v>38717</v>
      </c>
      <c r="D2978">
        <v>20</v>
      </c>
      <c r="E2978" s="4" t="s">
        <v>15</v>
      </c>
      <c r="F2978" t="s">
        <v>13</v>
      </c>
      <c r="G2978" s="1">
        <v>45459</v>
      </c>
      <c r="H2978" s="1">
        <f>TablaDatos[[#This Row],[FechaIngreso]]+TablaDatos[[#This Row],[DiasNuevo]]</f>
        <v>45468</v>
      </c>
      <c r="I2978">
        <v>9</v>
      </c>
      <c r="J2978" t="s">
        <v>25</v>
      </c>
      <c r="K2978" s="3">
        <v>3568.59</v>
      </c>
      <c r="L2978" t="b">
        <f>TablaDatos[[#This Row],[FechaAlta]] &lt; TablaDatos[[#This Row],[FechaIngreso]]</f>
        <v>0</v>
      </c>
      <c r="M2978">
        <f>_xlfn.XLOOKUP(TablaDatos[[#This Row],[PacienteID]],'Datos_Ejemplo.csv'!A:A,'Datos_Ejemplo.csv'!I:I)</f>
        <v>9</v>
      </c>
      <c r="N2978">
        <f>ABS(TablaDatos[[#This Row],[DiasOriginal]])</f>
        <v>9</v>
      </c>
      <c r="O2978" s="1">
        <f>TablaDatos[[#This Row],[FechaIngreso]]+TablaDatos[[#This Row],[DiasNuevo]]</f>
        <v>45468</v>
      </c>
    </row>
    <row r="2979" spans="1:15">
      <c r="A2979">
        <v>2978</v>
      </c>
      <c r="B2979" t="s">
        <v>298</v>
      </c>
      <c r="C2979" s="1">
        <v>21551</v>
      </c>
      <c r="D2979">
        <v>67</v>
      </c>
      <c r="E2979" s="4" t="s">
        <v>197</v>
      </c>
      <c r="F2979" t="s">
        <v>295</v>
      </c>
      <c r="G2979" s="1">
        <v>45454</v>
      </c>
      <c r="H2979" s="1">
        <f>TablaDatos[[#This Row],[FechaIngreso]]+TablaDatos[[#This Row],[DiasNuevo]]</f>
        <v>45471</v>
      </c>
      <c r="I2979">
        <v>17</v>
      </c>
      <c r="J2979" t="s">
        <v>23</v>
      </c>
      <c r="K2979" s="3">
        <v>2066.54</v>
      </c>
      <c r="L2979" t="b">
        <f>TablaDatos[[#This Row],[FechaAlta]] &lt; TablaDatos[[#This Row],[FechaIngreso]]</f>
        <v>0</v>
      </c>
      <c r="M2979">
        <f>_xlfn.XLOOKUP(TablaDatos[[#This Row],[PacienteID]],'Datos_Ejemplo.csv'!A:A,'Datos_Ejemplo.csv'!I:I)</f>
        <v>17</v>
      </c>
      <c r="N2979">
        <f>ABS(TablaDatos[[#This Row],[DiasOriginal]])</f>
        <v>17</v>
      </c>
      <c r="O2979" s="1">
        <f>TablaDatos[[#This Row],[FechaIngreso]]+TablaDatos[[#This Row],[DiasNuevo]]</f>
        <v>45471</v>
      </c>
    </row>
    <row r="2980" spans="1:15">
      <c r="A2980">
        <v>2979</v>
      </c>
      <c r="B2980" t="s">
        <v>105</v>
      </c>
      <c r="C2980" s="1">
        <v>28125</v>
      </c>
      <c r="D2980">
        <f ca="1">DATEDIF(TablaDatos[[#This Row],[FechaNacimiento]],TODAY(),"Y")</f>
        <v>49</v>
      </c>
      <c r="E2980" s="4" t="s">
        <v>15</v>
      </c>
      <c r="F2980" t="s">
        <v>18</v>
      </c>
      <c r="G2980" s="1">
        <v>45454</v>
      </c>
      <c r="H2980" s="1">
        <f>TablaDatos[[#This Row],[FechaIngreso]]+TablaDatos[[#This Row],[DiasNuevo]]</f>
        <v>45471</v>
      </c>
      <c r="I2980">
        <v>17</v>
      </c>
      <c r="J2980" t="s">
        <v>25</v>
      </c>
      <c r="K2980" s="3">
        <v>10787.36</v>
      </c>
      <c r="L2980" t="b">
        <f>TablaDatos[[#This Row],[FechaAlta]] &lt; TablaDatos[[#This Row],[FechaIngreso]]</f>
        <v>0</v>
      </c>
      <c r="M2980">
        <f>_xlfn.XLOOKUP(TablaDatos[[#This Row],[PacienteID]],'Datos_Ejemplo.csv'!A:A,'Datos_Ejemplo.csv'!I:I)</f>
        <v>17</v>
      </c>
      <c r="N2980">
        <f>ABS(TablaDatos[[#This Row],[DiasOriginal]])</f>
        <v>17</v>
      </c>
      <c r="O2980" s="1">
        <f>TablaDatos[[#This Row],[FechaIngreso]]+TablaDatos[[#This Row],[DiasNuevo]]</f>
        <v>45471</v>
      </c>
    </row>
    <row r="2981" spans="1:15">
      <c r="A2981">
        <v>2980</v>
      </c>
      <c r="B2981" t="s">
        <v>308</v>
      </c>
      <c r="C2981" s="1">
        <v>34334</v>
      </c>
      <c r="D2981">
        <v>32</v>
      </c>
      <c r="E2981" s="4" t="s">
        <v>12</v>
      </c>
      <c r="F2981" t="s">
        <v>18</v>
      </c>
      <c r="G2981" s="1">
        <v>45328</v>
      </c>
      <c r="H2981" s="1">
        <f>TablaDatos[[#This Row],[FechaIngreso]]+TablaDatos[[#This Row],[DiasNuevo]]</f>
        <v>45329</v>
      </c>
      <c r="I2981">
        <v>1</v>
      </c>
      <c r="J2981" t="s">
        <v>23</v>
      </c>
      <c r="K2981" s="3">
        <v>7442.29</v>
      </c>
      <c r="L2981" t="b">
        <f>TablaDatos[[#This Row],[FechaAlta]] &lt; TablaDatos[[#This Row],[FechaIngreso]]</f>
        <v>0</v>
      </c>
      <c r="M2981">
        <f>_xlfn.XLOOKUP(TablaDatos[[#This Row],[PacienteID]],'Datos_Ejemplo.csv'!A:A,'Datos_Ejemplo.csv'!I:I)</f>
        <v>1</v>
      </c>
      <c r="N2981">
        <f>ABS(TablaDatos[[#This Row],[DiasOriginal]])</f>
        <v>1</v>
      </c>
      <c r="O2981" s="1">
        <f>TablaDatos[[#This Row],[FechaIngreso]]+TablaDatos[[#This Row],[DiasNuevo]]</f>
        <v>45329</v>
      </c>
    </row>
    <row r="2982" spans="1:15">
      <c r="A2982">
        <v>2981</v>
      </c>
      <c r="B2982" t="s">
        <v>146</v>
      </c>
      <c r="C2982" s="1">
        <v>13150</v>
      </c>
      <c r="D2982">
        <v>90</v>
      </c>
      <c r="E2982" s="4" t="s">
        <v>12</v>
      </c>
      <c r="F2982" t="s">
        <v>201</v>
      </c>
      <c r="G2982" s="1">
        <v>45101</v>
      </c>
      <c r="H2982" s="1">
        <f>TablaDatos[[#This Row],[FechaIngreso]]+TablaDatos[[#This Row],[DiasNuevo]]</f>
        <v>45128</v>
      </c>
      <c r="I2982">
        <v>27</v>
      </c>
      <c r="J2982" t="s">
        <v>25</v>
      </c>
      <c r="K2982" s="3">
        <v>3770.2</v>
      </c>
      <c r="L2982" t="b">
        <f>TablaDatos[[#This Row],[FechaAlta]] &lt; TablaDatos[[#This Row],[FechaIngreso]]</f>
        <v>0</v>
      </c>
      <c r="M2982">
        <f>_xlfn.XLOOKUP(TablaDatos[[#This Row],[PacienteID]],'Datos_Ejemplo.csv'!A:A,'Datos_Ejemplo.csv'!I:I)</f>
        <v>27</v>
      </c>
      <c r="N2982">
        <f>ABS(TablaDatos[[#This Row],[DiasOriginal]])</f>
        <v>27</v>
      </c>
      <c r="O2982" s="1">
        <f>TablaDatos[[#This Row],[FechaIngreso]]+TablaDatos[[#This Row],[DiasNuevo]]</f>
        <v>45128</v>
      </c>
    </row>
    <row r="2983" spans="1:15">
      <c r="A2983">
        <v>2982</v>
      </c>
      <c r="B2983" t="s">
        <v>61</v>
      </c>
      <c r="C2983" s="1">
        <v>43831</v>
      </c>
      <c r="D2983">
        <v>6</v>
      </c>
      <c r="E2983" s="4" t="s">
        <v>12</v>
      </c>
      <c r="F2983" t="s">
        <v>295</v>
      </c>
      <c r="G2983" s="1">
        <v>45004</v>
      </c>
      <c r="H2983" s="1">
        <f>TablaDatos[[#This Row],[FechaIngreso]]+TablaDatos[[#This Row],[DiasNuevo]]</f>
        <v>45032</v>
      </c>
      <c r="I2983">
        <v>28</v>
      </c>
      <c r="J2983" t="s">
        <v>19</v>
      </c>
      <c r="K2983" s="3">
        <v>517.04</v>
      </c>
      <c r="L2983" t="b">
        <f>TablaDatos[[#This Row],[FechaAlta]] &lt; TablaDatos[[#This Row],[FechaIngreso]]</f>
        <v>0</v>
      </c>
      <c r="M2983">
        <f>_xlfn.XLOOKUP(TablaDatos[[#This Row],[PacienteID]],'Datos_Ejemplo.csv'!A:A,'Datos_Ejemplo.csv'!I:I)</f>
        <v>28</v>
      </c>
      <c r="N2983">
        <f>ABS(TablaDatos[[#This Row],[DiasOriginal]])</f>
        <v>28</v>
      </c>
      <c r="O2983" s="1">
        <f>TablaDatos[[#This Row],[FechaIngreso]]+TablaDatos[[#This Row],[DiasNuevo]]</f>
        <v>45032</v>
      </c>
    </row>
    <row r="2984" spans="1:15">
      <c r="A2984">
        <v>2983</v>
      </c>
      <c r="B2984" t="s">
        <v>262</v>
      </c>
      <c r="C2984" s="1">
        <f ca="1">DATE(YEAR(TODAY())-TablaDatos[[#This Row],[Edad]],1,1)</f>
        <v>20821</v>
      </c>
      <c r="D2984">
        <v>69</v>
      </c>
      <c r="E2984" s="4" t="s">
        <v>12</v>
      </c>
      <c r="F2984" t="s">
        <v>201</v>
      </c>
      <c r="G2984" s="1">
        <v>45366</v>
      </c>
      <c r="H2984" s="1">
        <f>TablaDatos[[#This Row],[FechaIngreso]]+TablaDatos[[#This Row],[DiasNuevo]]</f>
        <v>45385</v>
      </c>
      <c r="I2984">
        <v>19</v>
      </c>
      <c r="J2984" t="s">
        <v>25</v>
      </c>
      <c r="K2984" s="3">
        <v>11288.66</v>
      </c>
      <c r="L2984" t="b">
        <f>TablaDatos[[#This Row],[FechaAlta]] &lt; TablaDatos[[#This Row],[FechaIngreso]]</f>
        <v>0</v>
      </c>
      <c r="M2984">
        <f>_xlfn.XLOOKUP(TablaDatos[[#This Row],[PacienteID]],'Datos_Ejemplo.csv'!A:A,'Datos_Ejemplo.csv'!I:I)</f>
        <v>19</v>
      </c>
      <c r="N2984">
        <f>ABS(TablaDatos[[#This Row],[DiasOriginal]])</f>
        <v>19</v>
      </c>
      <c r="O2984" s="1">
        <f>TablaDatos[[#This Row],[FechaIngreso]]+TablaDatos[[#This Row],[DiasNuevo]]</f>
        <v>45385</v>
      </c>
    </row>
    <row r="2985" spans="1:15">
      <c r="A2985">
        <v>2984</v>
      </c>
      <c r="B2985" t="s">
        <v>244</v>
      </c>
      <c r="C2985" s="1">
        <v>40909</v>
      </c>
      <c r="D2985">
        <f ca="1">DATEDIF(TablaDatos[[#This Row],[FechaNacimiento]],TODAY(),"Y")</f>
        <v>14</v>
      </c>
      <c r="E2985" s="4" t="s">
        <v>12</v>
      </c>
      <c r="F2985" t="s">
        <v>21</v>
      </c>
      <c r="G2985" s="1">
        <v>45475</v>
      </c>
      <c r="H2985" s="1">
        <f>TablaDatos[[#This Row],[FechaIngreso]]+TablaDatos[[#This Row],[DiasNuevo]]</f>
        <v>45487</v>
      </c>
      <c r="I2985">
        <v>12</v>
      </c>
      <c r="J2985" t="s">
        <v>23</v>
      </c>
      <c r="K2985" s="3">
        <v>11931.86</v>
      </c>
      <c r="L2985" t="b">
        <f>TablaDatos[[#This Row],[FechaAlta]] &lt; TablaDatos[[#This Row],[FechaIngreso]]</f>
        <v>0</v>
      </c>
      <c r="M2985">
        <f>_xlfn.XLOOKUP(TablaDatos[[#This Row],[PacienteID]],'Datos_Ejemplo.csv'!A:A,'Datos_Ejemplo.csv'!I:I)</f>
        <v>12</v>
      </c>
      <c r="N2985">
        <f>ABS(TablaDatos[[#This Row],[DiasOriginal]])</f>
        <v>12</v>
      </c>
      <c r="O2985" s="1">
        <f>TablaDatos[[#This Row],[FechaIngreso]]+TablaDatos[[#This Row],[DiasNuevo]]</f>
        <v>45487</v>
      </c>
    </row>
    <row r="2986" spans="1:15">
      <c r="A2986">
        <v>2985</v>
      </c>
      <c r="B2986" t="s">
        <v>333</v>
      </c>
      <c r="C2986" s="1">
        <v>16437</v>
      </c>
      <c r="D2986">
        <v>81</v>
      </c>
      <c r="E2986" s="4" t="s">
        <v>15</v>
      </c>
      <c r="F2986" t="s">
        <v>18</v>
      </c>
      <c r="G2986" s="1">
        <v>45158</v>
      </c>
      <c r="H2986" s="1">
        <f>TablaDatos[[#This Row],[FechaIngreso]]+TablaDatos[[#This Row],[DiasNuevo]]</f>
        <v>45193</v>
      </c>
      <c r="I2986">
        <v>35</v>
      </c>
      <c r="J2986" t="s">
        <v>23</v>
      </c>
      <c r="K2986" s="3">
        <v>2750.23</v>
      </c>
      <c r="L2986" t="b">
        <f>TablaDatos[[#This Row],[FechaAlta]] &lt; TablaDatos[[#This Row],[FechaIngreso]]</f>
        <v>0</v>
      </c>
      <c r="M2986">
        <f>_xlfn.XLOOKUP(TablaDatos[[#This Row],[PacienteID]],'Datos_Ejemplo.csv'!A:A,'Datos_Ejemplo.csv'!I:I)</f>
        <v>35</v>
      </c>
      <c r="N2986">
        <f>ABS(TablaDatos[[#This Row],[DiasOriginal]])</f>
        <v>35</v>
      </c>
      <c r="O2986" s="1">
        <f>TablaDatos[[#This Row],[FechaIngreso]]+TablaDatos[[#This Row],[DiasNuevo]]</f>
        <v>45193</v>
      </c>
    </row>
    <row r="2987" spans="1:15">
      <c r="A2987">
        <v>2986</v>
      </c>
      <c r="B2987" t="s">
        <v>293</v>
      </c>
      <c r="C2987" s="1">
        <v>34700</v>
      </c>
      <c r="D2987">
        <v>31</v>
      </c>
      <c r="E2987" s="4" t="s">
        <v>12</v>
      </c>
      <c r="F2987" t="s">
        <v>21</v>
      </c>
      <c r="G2987" s="1">
        <v>45326</v>
      </c>
      <c r="H2987" s="1">
        <f>TablaDatos[[#This Row],[FechaIngreso]]+TablaDatos[[#This Row],[DiasNuevo]]</f>
        <v>45360</v>
      </c>
      <c r="I2987">
        <v>34</v>
      </c>
      <c r="J2987" t="s">
        <v>25</v>
      </c>
      <c r="K2987" s="3">
        <v>11994.93</v>
      </c>
      <c r="L2987" t="b">
        <f>TablaDatos[[#This Row],[FechaAlta]] &lt; TablaDatos[[#This Row],[FechaIngreso]]</f>
        <v>0</v>
      </c>
      <c r="M2987">
        <f>_xlfn.XLOOKUP(TablaDatos[[#This Row],[PacienteID]],'Datos_Ejemplo.csv'!A:A,'Datos_Ejemplo.csv'!I:I)</f>
        <v>34</v>
      </c>
      <c r="N2987">
        <f>ABS(TablaDatos[[#This Row],[DiasOriginal]])</f>
        <v>34</v>
      </c>
      <c r="O2987" s="1">
        <f>TablaDatos[[#This Row],[FechaIngreso]]+TablaDatos[[#This Row],[DiasNuevo]]</f>
        <v>45360</v>
      </c>
    </row>
    <row r="2988" spans="1:15">
      <c r="A2988">
        <v>2987</v>
      </c>
      <c r="B2988" t="s">
        <v>337</v>
      </c>
      <c r="C2988" s="1">
        <v>18994</v>
      </c>
      <c r="D2988">
        <v>74</v>
      </c>
      <c r="E2988" s="4" t="s">
        <v>15</v>
      </c>
      <c r="F2988" t="s">
        <v>13</v>
      </c>
      <c r="G2988" s="1">
        <v>45139</v>
      </c>
      <c r="H2988" s="1">
        <f>TablaDatos[[#This Row],[FechaIngreso]]+TablaDatos[[#This Row],[DiasNuevo]]</f>
        <v>45164</v>
      </c>
      <c r="I2988">
        <v>25</v>
      </c>
      <c r="J2988" t="s">
        <v>23</v>
      </c>
      <c r="K2988" s="3">
        <v>19034.650000000001</v>
      </c>
      <c r="L2988" t="b">
        <f>TablaDatos[[#This Row],[FechaAlta]] &lt; TablaDatos[[#This Row],[FechaIngreso]]</f>
        <v>0</v>
      </c>
      <c r="M2988">
        <f>_xlfn.XLOOKUP(TablaDatos[[#This Row],[PacienteID]],'Datos_Ejemplo.csv'!A:A,'Datos_Ejemplo.csv'!I:I)</f>
        <v>25</v>
      </c>
      <c r="N2988">
        <f>ABS(TablaDatos[[#This Row],[DiasOriginal]])</f>
        <v>25</v>
      </c>
      <c r="O2988" s="1">
        <f>TablaDatos[[#This Row],[FechaIngreso]]+TablaDatos[[#This Row],[DiasNuevo]]</f>
        <v>45164</v>
      </c>
    </row>
    <row r="2989" spans="1:15">
      <c r="A2989">
        <v>2988</v>
      </c>
      <c r="B2989" t="s">
        <v>284</v>
      </c>
      <c r="C2989" s="1">
        <v>39083</v>
      </c>
      <c r="D2989">
        <v>19</v>
      </c>
      <c r="E2989" s="4" t="s">
        <v>12</v>
      </c>
      <c r="F2989" t="s">
        <v>261</v>
      </c>
      <c r="G2989" s="1">
        <v>45119</v>
      </c>
      <c r="H2989" s="1">
        <f>TablaDatos[[#This Row],[FechaIngreso]]+TablaDatos[[#This Row],[DiasNuevo]]</f>
        <v>45127</v>
      </c>
      <c r="I2989">
        <v>8</v>
      </c>
      <c r="J2989" t="s">
        <v>23</v>
      </c>
      <c r="K2989" s="3">
        <v>19563.740000000002</v>
      </c>
      <c r="L2989" t="b">
        <f>TablaDatos[[#This Row],[FechaAlta]] &lt; TablaDatos[[#This Row],[FechaIngreso]]</f>
        <v>0</v>
      </c>
      <c r="M2989">
        <f>_xlfn.XLOOKUP(TablaDatos[[#This Row],[PacienteID]],'Datos_Ejemplo.csv'!A:A,'Datos_Ejemplo.csv'!I:I)</f>
        <v>8</v>
      </c>
      <c r="N2989">
        <f>ABS(TablaDatos[[#This Row],[DiasOriginal]])</f>
        <v>8</v>
      </c>
      <c r="O2989" s="1">
        <f>TablaDatos[[#This Row],[FechaIngreso]]+TablaDatos[[#This Row],[DiasNuevo]]</f>
        <v>45127</v>
      </c>
    </row>
    <row r="2990" spans="1:15">
      <c r="A2990">
        <v>2989</v>
      </c>
      <c r="B2990" t="s">
        <v>325</v>
      </c>
      <c r="C2990" s="1">
        <v>14246</v>
      </c>
      <c r="D2990">
        <v>87</v>
      </c>
      <c r="E2990" s="4" t="s">
        <v>12</v>
      </c>
      <c r="F2990" t="s">
        <v>261</v>
      </c>
      <c r="G2990" s="1">
        <v>45498</v>
      </c>
      <c r="H2990" s="1">
        <f>TablaDatos[[#This Row],[FechaIngreso]]+TablaDatos[[#This Row],[DiasNuevo]]</f>
        <v>45509</v>
      </c>
      <c r="I2990">
        <v>11</v>
      </c>
      <c r="J2990" t="s">
        <v>19</v>
      </c>
      <c r="K2990" s="3">
        <v>17758.71</v>
      </c>
      <c r="L2990" t="b">
        <f>TablaDatos[[#This Row],[FechaAlta]] &lt; TablaDatos[[#This Row],[FechaIngreso]]</f>
        <v>0</v>
      </c>
      <c r="M2990">
        <f>_xlfn.XLOOKUP(TablaDatos[[#This Row],[PacienteID]],'Datos_Ejemplo.csv'!A:A,'Datos_Ejemplo.csv'!I:I)</f>
        <v>11</v>
      </c>
      <c r="N2990">
        <f>ABS(TablaDatos[[#This Row],[DiasOriginal]])</f>
        <v>11</v>
      </c>
      <c r="O2990" s="1">
        <f>TablaDatos[[#This Row],[FechaIngreso]]+TablaDatos[[#This Row],[DiasNuevo]]</f>
        <v>45509</v>
      </c>
    </row>
    <row r="2991" spans="1:15">
      <c r="A2991">
        <v>2990</v>
      </c>
      <c r="B2991" t="s">
        <v>103</v>
      </c>
      <c r="C2991" s="1">
        <v>40909</v>
      </c>
      <c r="D2991">
        <v>14</v>
      </c>
      <c r="E2991" s="4" t="s">
        <v>12</v>
      </c>
      <c r="F2991" t="s">
        <v>261</v>
      </c>
      <c r="G2991" s="1">
        <v>45627</v>
      </c>
      <c r="H2991" s="1">
        <f>TablaDatos[[#This Row],[FechaIngreso]]+TablaDatos[[#This Row],[DiasNuevo]]</f>
        <v>45635</v>
      </c>
      <c r="I2991">
        <v>8</v>
      </c>
      <c r="J2991" t="s">
        <v>25</v>
      </c>
      <c r="K2991" s="3">
        <v>16122.28</v>
      </c>
      <c r="L2991" t="b">
        <f>TablaDatos[[#This Row],[FechaAlta]] &lt; TablaDatos[[#This Row],[FechaIngreso]]</f>
        <v>0</v>
      </c>
      <c r="M2991">
        <f>_xlfn.XLOOKUP(TablaDatos[[#This Row],[PacienteID]],'Datos_Ejemplo.csv'!A:A,'Datos_Ejemplo.csv'!I:I)</f>
        <v>8</v>
      </c>
      <c r="N2991">
        <f>ABS(TablaDatos[[#This Row],[DiasOriginal]])</f>
        <v>8</v>
      </c>
      <c r="O2991" s="1">
        <f>TablaDatos[[#This Row],[FechaIngreso]]+TablaDatos[[#This Row],[DiasNuevo]]</f>
        <v>45635</v>
      </c>
    </row>
    <row r="2992" spans="1:15">
      <c r="A2992">
        <v>2991</v>
      </c>
      <c r="B2992" t="s">
        <v>296</v>
      </c>
      <c r="C2992" s="1">
        <v>28856</v>
      </c>
      <c r="D2992">
        <f ca="1">DATEDIF(TablaDatos[[#This Row],[FechaNacimiento]],TODAY(),"Y")</f>
        <v>47</v>
      </c>
      <c r="E2992" s="4" t="s">
        <v>12</v>
      </c>
      <c r="F2992" t="s">
        <v>201</v>
      </c>
      <c r="G2992" s="1">
        <v>45193</v>
      </c>
      <c r="H2992" s="1">
        <f>TablaDatos[[#This Row],[FechaIngreso]]+TablaDatos[[#This Row],[DiasNuevo]]</f>
        <v>45199</v>
      </c>
      <c r="I2992">
        <v>6</v>
      </c>
      <c r="J2992" t="s">
        <v>23</v>
      </c>
      <c r="K2992" s="3">
        <v>4108.29</v>
      </c>
      <c r="L2992" t="b">
        <f>TablaDatos[[#This Row],[FechaAlta]] &lt; TablaDatos[[#This Row],[FechaIngreso]]</f>
        <v>0</v>
      </c>
      <c r="M2992">
        <f>_xlfn.XLOOKUP(TablaDatos[[#This Row],[PacienteID]],'Datos_Ejemplo.csv'!A:A,'Datos_Ejemplo.csv'!I:I)</f>
        <v>6</v>
      </c>
      <c r="N2992">
        <f>ABS(TablaDatos[[#This Row],[DiasOriginal]])</f>
        <v>6</v>
      </c>
      <c r="O2992" s="1">
        <f>TablaDatos[[#This Row],[FechaIngreso]]+TablaDatos[[#This Row],[DiasNuevo]]</f>
        <v>45199</v>
      </c>
    </row>
    <row r="2993" spans="1:15">
      <c r="A2993">
        <v>2992</v>
      </c>
      <c r="B2993" t="s">
        <v>244</v>
      </c>
      <c r="C2993" s="1">
        <v>20455</v>
      </c>
      <c r="D2993">
        <f ca="1">DATEDIF(TablaDatos[[#This Row],[FechaNacimiento]],TODAY(),"Y")</f>
        <v>70</v>
      </c>
      <c r="E2993" s="4" t="s">
        <v>12</v>
      </c>
      <c r="F2993" t="s">
        <v>32</v>
      </c>
      <c r="G2993" s="1">
        <v>45052</v>
      </c>
      <c r="H2993" s="1">
        <f>TablaDatos[[#This Row],[FechaIngreso]]+TablaDatos[[#This Row],[DiasNuevo]]</f>
        <v>45073</v>
      </c>
      <c r="I2993">
        <v>21</v>
      </c>
      <c r="J2993" t="s">
        <v>25</v>
      </c>
      <c r="K2993" s="3">
        <v>3044.35</v>
      </c>
      <c r="L2993" t="b">
        <f>TablaDatos[[#This Row],[FechaAlta]] &lt; TablaDatos[[#This Row],[FechaIngreso]]</f>
        <v>0</v>
      </c>
      <c r="M2993">
        <f>_xlfn.XLOOKUP(TablaDatos[[#This Row],[PacienteID]],'Datos_Ejemplo.csv'!A:A,'Datos_Ejemplo.csv'!I:I)</f>
        <v>21</v>
      </c>
      <c r="N2993">
        <f>ABS(TablaDatos[[#This Row],[DiasOriginal]])</f>
        <v>21</v>
      </c>
      <c r="O2993" s="1">
        <f>TablaDatos[[#This Row],[FechaIngreso]]+TablaDatos[[#This Row],[DiasNuevo]]</f>
        <v>45073</v>
      </c>
    </row>
    <row r="2994" spans="1:15">
      <c r="A2994">
        <v>2993</v>
      </c>
      <c r="B2994" t="s">
        <v>162</v>
      </c>
      <c r="C2994" s="1">
        <v>38717</v>
      </c>
      <c r="D2994">
        <v>20</v>
      </c>
      <c r="E2994" s="4" t="s">
        <v>12</v>
      </c>
      <c r="F2994" t="s">
        <v>295</v>
      </c>
      <c r="G2994" s="1">
        <v>45641</v>
      </c>
      <c r="H2994" s="1">
        <f>TablaDatos[[#This Row],[FechaIngreso]]+TablaDatos[[#This Row],[DiasNuevo]]</f>
        <v>45648</v>
      </c>
      <c r="I2994">
        <v>7</v>
      </c>
      <c r="J2994" t="s">
        <v>25</v>
      </c>
      <c r="K2994" s="3">
        <v>8843.4500000000007</v>
      </c>
      <c r="L2994" t="b">
        <f>TablaDatos[[#This Row],[FechaAlta]] &lt; TablaDatos[[#This Row],[FechaIngreso]]</f>
        <v>0</v>
      </c>
      <c r="M2994">
        <f>_xlfn.XLOOKUP(TablaDatos[[#This Row],[PacienteID]],'Datos_Ejemplo.csv'!A:A,'Datos_Ejemplo.csv'!I:I)</f>
        <v>7</v>
      </c>
      <c r="N2994">
        <f>ABS(TablaDatos[[#This Row],[DiasOriginal]])</f>
        <v>7</v>
      </c>
      <c r="O2994" s="1">
        <f>TablaDatos[[#This Row],[FechaIngreso]]+TablaDatos[[#This Row],[DiasNuevo]]</f>
        <v>45648</v>
      </c>
    </row>
    <row r="2995" spans="1:15">
      <c r="A2995">
        <v>2994</v>
      </c>
      <c r="B2995" t="s">
        <v>114</v>
      </c>
      <c r="C2995" s="1">
        <v>31047</v>
      </c>
      <c r="D2995">
        <v>41</v>
      </c>
      <c r="E2995" s="4" t="s">
        <v>12</v>
      </c>
      <c r="F2995" t="s">
        <v>261</v>
      </c>
      <c r="G2995" s="1">
        <v>45308</v>
      </c>
      <c r="H2995" s="1">
        <f>TablaDatos[[#This Row],[FechaIngreso]]+TablaDatos[[#This Row],[DiasNuevo]]</f>
        <v>45343</v>
      </c>
      <c r="I2995">
        <v>35</v>
      </c>
      <c r="J2995" t="s">
        <v>23</v>
      </c>
      <c r="K2995" s="3">
        <v>12354.6</v>
      </c>
      <c r="L2995" t="b">
        <f>TablaDatos[[#This Row],[FechaAlta]] &lt; TablaDatos[[#This Row],[FechaIngreso]]</f>
        <v>0</v>
      </c>
      <c r="M2995">
        <f>_xlfn.XLOOKUP(TablaDatos[[#This Row],[PacienteID]],'Datos_Ejemplo.csv'!A:A,'Datos_Ejemplo.csv'!I:I)</f>
        <v>35</v>
      </c>
      <c r="N2995">
        <f>ABS(TablaDatos[[#This Row],[DiasOriginal]])</f>
        <v>35</v>
      </c>
      <c r="O2995" s="1">
        <f>TablaDatos[[#This Row],[FechaIngreso]]+TablaDatos[[#This Row],[DiasNuevo]]</f>
        <v>45343</v>
      </c>
    </row>
    <row r="2996" spans="1:15">
      <c r="A2996">
        <v>2995</v>
      </c>
      <c r="B2996" t="s">
        <v>286</v>
      </c>
      <c r="C2996" s="1">
        <v>36891</v>
      </c>
      <c r="D2996">
        <v>25</v>
      </c>
      <c r="E2996" s="4" t="s">
        <v>15</v>
      </c>
      <c r="F2996" t="s">
        <v>18</v>
      </c>
      <c r="G2996" s="1">
        <v>45470</v>
      </c>
      <c r="H2996" s="1">
        <f>TablaDatos[[#This Row],[FechaIngreso]]+TablaDatos[[#This Row],[DiasNuevo]]</f>
        <v>45508</v>
      </c>
      <c r="I2996">
        <v>38</v>
      </c>
      <c r="J2996" t="s">
        <v>25</v>
      </c>
      <c r="K2996" s="3">
        <v>16998.64</v>
      </c>
      <c r="L2996" t="b">
        <f>TablaDatos[[#This Row],[FechaAlta]] &lt; TablaDatos[[#This Row],[FechaIngreso]]</f>
        <v>0</v>
      </c>
      <c r="M2996">
        <f>_xlfn.XLOOKUP(TablaDatos[[#This Row],[PacienteID]],'Datos_Ejemplo.csv'!A:A,'Datos_Ejemplo.csv'!I:I)</f>
        <v>38</v>
      </c>
      <c r="N2996">
        <f>ABS(TablaDatos[[#This Row],[DiasOriginal]])</f>
        <v>38</v>
      </c>
      <c r="O2996" s="1">
        <f>TablaDatos[[#This Row],[FechaIngreso]]+TablaDatos[[#This Row],[DiasNuevo]]</f>
        <v>45508</v>
      </c>
    </row>
    <row r="2997" spans="1:15">
      <c r="A2997">
        <v>2996</v>
      </c>
      <c r="B2997" t="s">
        <v>274</v>
      </c>
      <c r="C2997" s="1">
        <v>41274</v>
      </c>
      <c r="D2997">
        <v>13</v>
      </c>
      <c r="E2997" s="4" t="s">
        <v>15</v>
      </c>
      <c r="F2997" t="s">
        <v>295</v>
      </c>
      <c r="G2997" s="1">
        <v>45428</v>
      </c>
      <c r="H2997" s="1">
        <f>TablaDatos[[#This Row],[FechaIngreso]]+TablaDatos[[#This Row],[DiasNuevo]]</f>
        <v>45462</v>
      </c>
      <c r="I2997">
        <v>34</v>
      </c>
      <c r="J2997" t="s">
        <v>25</v>
      </c>
      <c r="K2997" s="3">
        <v>4562.46</v>
      </c>
      <c r="L2997" t="b">
        <f>TablaDatos[[#This Row],[FechaAlta]] &lt; TablaDatos[[#This Row],[FechaIngreso]]</f>
        <v>0</v>
      </c>
      <c r="M2997">
        <f>_xlfn.XLOOKUP(TablaDatos[[#This Row],[PacienteID]],'Datos_Ejemplo.csv'!A:A,'Datos_Ejemplo.csv'!I:I)</f>
        <v>34</v>
      </c>
      <c r="N2997">
        <f>ABS(TablaDatos[[#This Row],[DiasOriginal]])</f>
        <v>34</v>
      </c>
      <c r="O2997" s="1">
        <f>TablaDatos[[#This Row],[FechaIngreso]]+TablaDatos[[#This Row],[DiasNuevo]]</f>
        <v>45462</v>
      </c>
    </row>
    <row r="2998" spans="1:15">
      <c r="A2998">
        <v>2997</v>
      </c>
      <c r="B2998" t="s">
        <v>294</v>
      </c>
      <c r="C2998" s="1">
        <v>25568</v>
      </c>
      <c r="D2998">
        <v>56</v>
      </c>
      <c r="E2998" s="4" t="s">
        <v>12</v>
      </c>
      <c r="F2998" t="s">
        <v>13</v>
      </c>
      <c r="G2998" s="1">
        <v>45329</v>
      </c>
      <c r="H2998" s="1">
        <f>TablaDatos[[#This Row],[FechaIngreso]]+TablaDatos[[#This Row],[DiasNuevo]]</f>
        <v>45368</v>
      </c>
      <c r="I2998">
        <v>39</v>
      </c>
      <c r="J2998" t="s">
        <v>25</v>
      </c>
      <c r="K2998" s="3">
        <v>9540.92</v>
      </c>
      <c r="L2998" t="b">
        <f>TablaDatos[[#This Row],[FechaAlta]] &lt; TablaDatos[[#This Row],[FechaIngreso]]</f>
        <v>0</v>
      </c>
      <c r="M2998">
        <f>_xlfn.XLOOKUP(TablaDatos[[#This Row],[PacienteID]],'Datos_Ejemplo.csv'!A:A,'Datos_Ejemplo.csv'!I:I)</f>
        <v>39</v>
      </c>
      <c r="N2998">
        <f>ABS(TablaDatos[[#This Row],[DiasOriginal]])</f>
        <v>39</v>
      </c>
      <c r="O2998" s="1">
        <f>TablaDatos[[#This Row],[FechaIngreso]]+TablaDatos[[#This Row],[DiasNuevo]]</f>
        <v>45368</v>
      </c>
    </row>
    <row r="2999" spans="1:15">
      <c r="A2999">
        <v>2998</v>
      </c>
      <c r="B2999" t="s">
        <v>356</v>
      </c>
      <c r="C2999" s="1">
        <v>32873</v>
      </c>
      <c r="D2999">
        <v>36</v>
      </c>
      <c r="E2999" s="4" t="s">
        <v>12</v>
      </c>
      <c r="F2999" t="s">
        <v>13</v>
      </c>
      <c r="G2999" s="1">
        <v>45187</v>
      </c>
      <c r="H2999" s="1">
        <f>TablaDatos[[#This Row],[FechaIngreso]]+TablaDatos[[#This Row],[DiasNuevo]]</f>
        <v>45216</v>
      </c>
      <c r="I2999">
        <v>29</v>
      </c>
      <c r="J2999" t="s">
        <v>19</v>
      </c>
      <c r="K2999" s="3">
        <v>12913.55</v>
      </c>
      <c r="L2999" t="b">
        <f>TablaDatos[[#This Row],[FechaAlta]] &lt; TablaDatos[[#This Row],[FechaIngreso]]</f>
        <v>0</v>
      </c>
      <c r="M2999">
        <f>_xlfn.XLOOKUP(TablaDatos[[#This Row],[PacienteID]],'Datos_Ejemplo.csv'!A:A,'Datos_Ejemplo.csv'!I:I)</f>
        <v>29</v>
      </c>
      <c r="N2999">
        <f>ABS(TablaDatos[[#This Row],[DiasOriginal]])</f>
        <v>29</v>
      </c>
      <c r="O2999" s="1">
        <f>TablaDatos[[#This Row],[FechaIngreso]]+TablaDatos[[#This Row],[DiasNuevo]]</f>
        <v>45216</v>
      </c>
    </row>
    <row r="3000" spans="1:15">
      <c r="A3000">
        <v>2999</v>
      </c>
      <c r="B3000" t="s">
        <v>66</v>
      </c>
      <c r="C3000" s="1">
        <v>25203</v>
      </c>
      <c r="D3000">
        <v>57</v>
      </c>
      <c r="E3000" s="4" t="s">
        <v>15</v>
      </c>
      <c r="F3000" t="s">
        <v>201</v>
      </c>
      <c r="G3000" s="1">
        <v>45313</v>
      </c>
      <c r="H3000" s="1">
        <f>TablaDatos[[#This Row],[FechaIngreso]]+TablaDatos[[#This Row],[DiasNuevo]]</f>
        <v>45330</v>
      </c>
      <c r="I3000">
        <v>17</v>
      </c>
      <c r="J3000" t="s">
        <v>25</v>
      </c>
      <c r="K3000" s="3">
        <v>8856.44</v>
      </c>
      <c r="L3000" t="b">
        <f>TablaDatos[[#This Row],[FechaAlta]] &lt; TablaDatos[[#This Row],[FechaIngreso]]</f>
        <v>0</v>
      </c>
      <c r="M3000">
        <f>_xlfn.XLOOKUP(TablaDatos[[#This Row],[PacienteID]],'Datos_Ejemplo.csv'!A:A,'Datos_Ejemplo.csv'!I:I)</f>
        <v>17</v>
      </c>
      <c r="N3000">
        <f>ABS(TablaDatos[[#This Row],[DiasOriginal]])</f>
        <v>17</v>
      </c>
      <c r="O3000" s="1">
        <f>TablaDatos[[#This Row],[FechaIngreso]]+TablaDatos[[#This Row],[DiasNuevo]]</f>
        <v>45330</v>
      </c>
    </row>
    <row r="3001" spans="1:15">
      <c r="A3001">
        <v>3000</v>
      </c>
      <c r="B3001" t="s">
        <v>246</v>
      </c>
      <c r="C3001" s="1">
        <v>38717</v>
      </c>
      <c r="D3001">
        <v>20</v>
      </c>
      <c r="E3001" s="4" t="s">
        <v>15</v>
      </c>
      <c r="F3001" t="s">
        <v>13</v>
      </c>
      <c r="G3001" s="1">
        <v>45338</v>
      </c>
      <c r="H3001" s="1">
        <f>TablaDatos[[#This Row],[FechaIngreso]]+TablaDatos[[#This Row],[DiasNuevo]]</f>
        <v>45349</v>
      </c>
      <c r="I3001">
        <v>11</v>
      </c>
      <c r="J3001" t="s">
        <v>19</v>
      </c>
      <c r="K3001" s="3">
        <v>9029.2900000000009</v>
      </c>
      <c r="L3001" t="b">
        <f>TablaDatos[[#This Row],[FechaAlta]] &lt; TablaDatos[[#This Row],[FechaIngreso]]</f>
        <v>0</v>
      </c>
      <c r="M3001">
        <f>_xlfn.XLOOKUP(TablaDatos[[#This Row],[PacienteID]],'Datos_Ejemplo.csv'!A:A,'Datos_Ejemplo.csv'!I:I)</f>
        <v>11</v>
      </c>
      <c r="N3001">
        <f>ABS(TablaDatos[[#This Row],[DiasOriginal]])</f>
        <v>11</v>
      </c>
      <c r="O3001" s="1">
        <f>TablaDatos[[#This Row],[FechaIngreso]]+TablaDatos[[#This Row],[DiasNuevo]]</f>
        <v>45349</v>
      </c>
    </row>
    <row r="3002" spans="1:15">
      <c r="A3002">
        <v>3001</v>
      </c>
      <c r="B3002" t="s">
        <v>325</v>
      </c>
      <c r="C3002" s="1">
        <v>16437</v>
      </c>
      <c r="D3002">
        <v>81</v>
      </c>
      <c r="E3002" s="4" t="s">
        <v>15</v>
      </c>
      <c r="F3002" t="s">
        <v>13</v>
      </c>
      <c r="G3002" s="1">
        <v>45272</v>
      </c>
      <c r="H3002" s="1">
        <f>TablaDatos[[#This Row],[FechaIngreso]]+TablaDatos[[#This Row],[DiasNuevo]]</f>
        <v>45307</v>
      </c>
      <c r="I3002">
        <v>35</v>
      </c>
      <c r="J3002" t="s">
        <v>25</v>
      </c>
      <c r="K3002" s="3">
        <v>4424.8500000000004</v>
      </c>
      <c r="L3002" t="b">
        <f>TablaDatos[[#This Row],[FechaAlta]] &lt; TablaDatos[[#This Row],[FechaIngreso]]</f>
        <v>0</v>
      </c>
      <c r="M3002">
        <f>_xlfn.XLOOKUP(TablaDatos[[#This Row],[PacienteID]],'Datos_Ejemplo.csv'!A:A,'Datos_Ejemplo.csv'!I:I)</f>
        <v>35</v>
      </c>
      <c r="N3002">
        <f>ABS(TablaDatos[[#This Row],[DiasOriginal]])</f>
        <v>35</v>
      </c>
      <c r="O3002" s="1">
        <f>TablaDatos[[#This Row],[FechaIngreso]]+TablaDatos[[#This Row],[DiasNuevo]]</f>
        <v>45307</v>
      </c>
    </row>
    <row r="3003" spans="1:15">
      <c r="A3003">
        <v>3002</v>
      </c>
      <c r="B3003" t="s">
        <v>344</v>
      </c>
      <c r="C3003" s="1">
        <v>21185</v>
      </c>
      <c r="D3003">
        <v>68</v>
      </c>
      <c r="E3003" s="4" t="s">
        <v>197</v>
      </c>
      <c r="F3003" t="s">
        <v>32</v>
      </c>
      <c r="G3003" s="1">
        <v>45020</v>
      </c>
      <c r="H3003" s="1">
        <f>TablaDatos[[#This Row],[FechaIngreso]]+TablaDatos[[#This Row],[DiasNuevo]]</f>
        <v>45021</v>
      </c>
      <c r="I3003">
        <v>1</v>
      </c>
      <c r="J3003" t="s">
        <v>23</v>
      </c>
      <c r="K3003" s="3">
        <v>19731.88</v>
      </c>
      <c r="L3003" t="b">
        <f>TablaDatos[[#This Row],[FechaAlta]] &lt; TablaDatos[[#This Row],[FechaIngreso]]</f>
        <v>0</v>
      </c>
      <c r="M3003">
        <f>_xlfn.XLOOKUP(TablaDatos[[#This Row],[PacienteID]],'Datos_Ejemplo.csv'!A:A,'Datos_Ejemplo.csv'!I:I)</f>
        <v>1</v>
      </c>
      <c r="N3003">
        <f>ABS(TablaDatos[[#This Row],[DiasOriginal]])</f>
        <v>1</v>
      </c>
      <c r="O3003" s="1">
        <f>TablaDatos[[#This Row],[FechaIngreso]]+TablaDatos[[#This Row],[DiasNuevo]]</f>
        <v>45021</v>
      </c>
    </row>
    <row r="3004" spans="1:15">
      <c r="A3004">
        <v>3003</v>
      </c>
      <c r="B3004" t="s">
        <v>300</v>
      </c>
      <c r="C3004" s="1">
        <v>45292</v>
      </c>
      <c r="D3004">
        <v>2</v>
      </c>
      <c r="E3004" s="4" t="s">
        <v>12</v>
      </c>
      <c r="F3004" t="s">
        <v>21</v>
      </c>
      <c r="G3004" s="1">
        <v>45254</v>
      </c>
      <c r="H3004" s="1">
        <f>TablaDatos[[#This Row],[FechaIngreso]]+TablaDatos[[#This Row],[DiasNuevo]]</f>
        <v>45275</v>
      </c>
      <c r="I3004">
        <v>21</v>
      </c>
      <c r="J3004" t="s">
        <v>23</v>
      </c>
      <c r="K3004" s="3">
        <v>9451.3799999999992</v>
      </c>
      <c r="L3004" t="b">
        <f>TablaDatos[[#This Row],[FechaAlta]] &lt; TablaDatos[[#This Row],[FechaIngreso]]</f>
        <v>0</v>
      </c>
      <c r="M3004">
        <f>_xlfn.XLOOKUP(TablaDatos[[#This Row],[PacienteID]],'Datos_Ejemplo.csv'!A:A,'Datos_Ejemplo.csv'!I:I)</f>
        <v>21</v>
      </c>
      <c r="N3004">
        <f>ABS(TablaDatos[[#This Row],[DiasOriginal]])</f>
        <v>21</v>
      </c>
      <c r="O3004" s="1">
        <f>TablaDatos[[#This Row],[FechaIngreso]]+TablaDatos[[#This Row],[DiasNuevo]]</f>
        <v>45275</v>
      </c>
    </row>
    <row r="3005" spans="1:15">
      <c r="A3005">
        <v>3004</v>
      </c>
      <c r="B3005" t="s">
        <v>284</v>
      </c>
      <c r="C3005" s="1">
        <v>14611</v>
      </c>
      <c r="D3005">
        <v>86</v>
      </c>
      <c r="E3005" s="4" t="s">
        <v>15</v>
      </c>
      <c r="F3005" t="s">
        <v>21</v>
      </c>
      <c r="G3005" s="1">
        <v>45026</v>
      </c>
      <c r="H3005" s="1">
        <f>TablaDatos[[#This Row],[FechaIngreso]]+TablaDatos[[#This Row],[DiasNuevo]]</f>
        <v>45055</v>
      </c>
      <c r="I3005">
        <v>29</v>
      </c>
      <c r="J3005" t="s">
        <v>23</v>
      </c>
      <c r="K3005" s="3">
        <v>10608.11</v>
      </c>
      <c r="L3005" t="b">
        <f>TablaDatos[[#This Row],[FechaAlta]] &lt; TablaDatos[[#This Row],[FechaIngreso]]</f>
        <v>0</v>
      </c>
      <c r="M3005">
        <f>_xlfn.XLOOKUP(TablaDatos[[#This Row],[PacienteID]],'Datos_Ejemplo.csv'!A:A,'Datos_Ejemplo.csv'!I:I)</f>
        <v>29</v>
      </c>
      <c r="N3005">
        <f>ABS(TablaDatos[[#This Row],[DiasOriginal]])</f>
        <v>29</v>
      </c>
      <c r="O3005" s="1">
        <f>TablaDatos[[#This Row],[FechaIngreso]]+TablaDatos[[#This Row],[DiasNuevo]]</f>
        <v>45055</v>
      </c>
    </row>
    <row r="3006" spans="1:15">
      <c r="A3006">
        <v>3005</v>
      </c>
      <c r="B3006" t="s">
        <v>250</v>
      </c>
      <c r="C3006" s="1">
        <v>13515</v>
      </c>
      <c r="D3006">
        <v>89</v>
      </c>
      <c r="E3006" s="4" t="s">
        <v>15</v>
      </c>
      <c r="F3006" t="s">
        <v>261</v>
      </c>
      <c r="G3006" s="1">
        <v>45387</v>
      </c>
      <c r="H3006" s="1">
        <f>TablaDatos[[#This Row],[FechaIngreso]]+TablaDatos[[#This Row],[DiasNuevo]]</f>
        <v>45394</v>
      </c>
      <c r="I3006">
        <v>7</v>
      </c>
      <c r="J3006" t="s">
        <v>25</v>
      </c>
      <c r="K3006" s="3">
        <v>4293.04</v>
      </c>
      <c r="L3006" t="b">
        <f>TablaDatos[[#This Row],[FechaAlta]] &lt; TablaDatos[[#This Row],[FechaIngreso]]</f>
        <v>0</v>
      </c>
      <c r="M3006">
        <f>_xlfn.XLOOKUP(TablaDatos[[#This Row],[PacienteID]],'Datos_Ejemplo.csv'!A:A,'Datos_Ejemplo.csv'!I:I)</f>
        <v>7</v>
      </c>
      <c r="N3006">
        <f>ABS(TablaDatos[[#This Row],[DiasOriginal]])</f>
        <v>7</v>
      </c>
      <c r="O3006" s="1">
        <f>TablaDatos[[#This Row],[FechaIngreso]]+TablaDatos[[#This Row],[DiasNuevo]]</f>
        <v>45394</v>
      </c>
    </row>
    <row r="3007" spans="1:15">
      <c r="A3007">
        <v>3006</v>
      </c>
      <c r="B3007" t="s">
        <v>291</v>
      </c>
      <c r="C3007" s="1">
        <v>32873</v>
      </c>
      <c r="D3007">
        <v>36</v>
      </c>
      <c r="E3007" s="4" t="s">
        <v>15</v>
      </c>
      <c r="F3007" t="s">
        <v>32</v>
      </c>
      <c r="G3007" s="1">
        <v>45241</v>
      </c>
      <c r="H3007" s="1">
        <f>TablaDatos[[#This Row],[FechaIngreso]]+TablaDatos[[#This Row],[DiasNuevo]]</f>
        <v>45254</v>
      </c>
      <c r="I3007">
        <v>13</v>
      </c>
      <c r="J3007" t="s">
        <v>23</v>
      </c>
      <c r="K3007" s="3">
        <v>10234.15</v>
      </c>
      <c r="L3007" t="b">
        <f>TablaDatos[[#This Row],[FechaAlta]] &lt; TablaDatos[[#This Row],[FechaIngreso]]</f>
        <v>0</v>
      </c>
      <c r="M3007">
        <f>_xlfn.XLOOKUP(TablaDatos[[#This Row],[PacienteID]],'Datos_Ejemplo.csv'!A:A,'Datos_Ejemplo.csv'!I:I)</f>
        <v>13</v>
      </c>
      <c r="N3007">
        <f>ABS(TablaDatos[[#This Row],[DiasOriginal]])</f>
        <v>13</v>
      </c>
      <c r="O3007" s="1">
        <f>TablaDatos[[#This Row],[FechaIngreso]]+TablaDatos[[#This Row],[DiasNuevo]]</f>
        <v>45254</v>
      </c>
    </row>
    <row r="3008" spans="1:15">
      <c r="A3008">
        <v>3007</v>
      </c>
      <c r="B3008" t="s">
        <v>265</v>
      </c>
      <c r="C3008" s="1">
        <v>14246</v>
      </c>
      <c r="D3008">
        <v>87</v>
      </c>
      <c r="E3008" s="4" t="s">
        <v>15</v>
      </c>
      <c r="F3008" t="s">
        <v>201</v>
      </c>
      <c r="G3008" s="1">
        <v>44951</v>
      </c>
      <c r="H3008" s="1">
        <f>TablaDatos[[#This Row],[FechaIngreso]]+TablaDatos[[#This Row],[DiasNuevo]]</f>
        <v>44987</v>
      </c>
      <c r="I3008">
        <v>36</v>
      </c>
      <c r="J3008" t="s">
        <v>23</v>
      </c>
      <c r="K3008" s="3">
        <v>5032.53</v>
      </c>
      <c r="L3008" t="b">
        <f>TablaDatos[[#This Row],[FechaAlta]] &lt; TablaDatos[[#This Row],[FechaIngreso]]</f>
        <v>0</v>
      </c>
      <c r="M3008">
        <f>_xlfn.XLOOKUP(TablaDatos[[#This Row],[PacienteID]],'Datos_Ejemplo.csv'!A:A,'Datos_Ejemplo.csv'!I:I)</f>
        <v>36</v>
      </c>
      <c r="N3008">
        <f>ABS(TablaDatos[[#This Row],[DiasOriginal]])</f>
        <v>36</v>
      </c>
      <c r="O3008" s="1">
        <f>TablaDatos[[#This Row],[FechaIngreso]]+TablaDatos[[#This Row],[DiasNuevo]]</f>
        <v>44987</v>
      </c>
    </row>
    <row r="3009" spans="1:15">
      <c r="A3009">
        <v>3008</v>
      </c>
      <c r="B3009" t="s">
        <v>358</v>
      </c>
      <c r="C3009" s="1">
        <v>28490</v>
      </c>
      <c r="D3009">
        <v>48</v>
      </c>
      <c r="E3009" s="4" t="s">
        <v>15</v>
      </c>
      <c r="F3009" t="s">
        <v>21</v>
      </c>
      <c r="G3009" s="1">
        <v>45420</v>
      </c>
      <c r="H3009" s="1">
        <f>TablaDatos[[#This Row],[FechaIngreso]]+TablaDatos[[#This Row],[DiasNuevo]]</f>
        <v>45449</v>
      </c>
      <c r="I3009">
        <v>29</v>
      </c>
      <c r="J3009" t="s">
        <v>25</v>
      </c>
      <c r="K3009" s="3">
        <v>3966.96</v>
      </c>
      <c r="L3009" t="b">
        <f>TablaDatos[[#This Row],[FechaAlta]] &lt; TablaDatos[[#This Row],[FechaIngreso]]</f>
        <v>0</v>
      </c>
      <c r="M3009">
        <f>_xlfn.XLOOKUP(TablaDatos[[#This Row],[PacienteID]],'Datos_Ejemplo.csv'!A:A,'Datos_Ejemplo.csv'!I:I)</f>
        <v>29</v>
      </c>
      <c r="N3009">
        <f>ABS(TablaDatos[[#This Row],[DiasOriginal]])</f>
        <v>29</v>
      </c>
      <c r="O3009" s="1">
        <f>TablaDatos[[#This Row],[FechaIngreso]]+TablaDatos[[#This Row],[DiasNuevo]]</f>
        <v>45449</v>
      </c>
    </row>
    <row r="3010" spans="1:15">
      <c r="A3010">
        <v>3009</v>
      </c>
      <c r="B3010" t="s">
        <v>61</v>
      </c>
      <c r="C3010" s="1">
        <v>39448</v>
      </c>
      <c r="D3010">
        <v>18</v>
      </c>
      <c r="E3010" s="4" t="s">
        <v>12</v>
      </c>
      <c r="F3010" t="s">
        <v>201</v>
      </c>
      <c r="G3010" s="1">
        <v>45279</v>
      </c>
      <c r="H3010" s="1">
        <f>TablaDatos[[#This Row],[FechaIngreso]]+TablaDatos[[#This Row],[DiasNuevo]]</f>
        <v>45294</v>
      </c>
      <c r="I3010">
        <v>15</v>
      </c>
      <c r="J3010" t="s">
        <v>23</v>
      </c>
      <c r="K3010" s="3">
        <v>5442.02</v>
      </c>
      <c r="L3010" t="b">
        <f>TablaDatos[[#This Row],[FechaAlta]] &lt; TablaDatos[[#This Row],[FechaIngreso]]</f>
        <v>0</v>
      </c>
      <c r="M3010">
        <f>_xlfn.XLOOKUP(TablaDatos[[#This Row],[PacienteID]],'Datos_Ejemplo.csv'!A:A,'Datos_Ejemplo.csv'!I:I)</f>
        <v>15</v>
      </c>
      <c r="N3010">
        <f>ABS(TablaDatos[[#This Row],[DiasOriginal]])</f>
        <v>15</v>
      </c>
      <c r="O3010" s="1">
        <f>TablaDatos[[#This Row],[FechaIngreso]]+TablaDatos[[#This Row],[DiasNuevo]]</f>
        <v>45294</v>
      </c>
    </row>
    <row r="3011" spans="1:15">
      <c r="A3011">
        <v>3010</v>
      </c>
      <c r="B3011" t="s">
        <v>255</v>
      </c>
      <c r="C3011" s="1">
        <v>13880</v>
      </c>
      <c r="D3011">
        <v>88</v>
      </c>
      <c r="E3011" s="4" t="s">
        <v>197</v>
      </c>
      <c r="F3011" t="s">
        <v>201</v>
      </c>
      <c r="G3011" s="1">
        <v>45043</v>
      </c>
      <c r="H3011" s="1">
        <f>TablaDatos[[#This Row],[FechaIngreso]]+TablaDatos[[#This Row],[DiasNuevo]]</f>
        <v>45065</v>
      </c>
      <c r="I3011">
        <v>22</v>
      </c>
      <c r="J3011" t="s">
        <v>19</v>
      </c>
      <c r="K3011" s="3">
        <v>-44.53</v>
      </c>
      <c r="L3011" t="b">
        <f>TablaDatos[[#This Row],[FechaAlta]] &lt; TablaDatos[[#This Row],[FechaIngreso]]</f>
        <v>0</v>
      </c>
      <c r="M3011">
        <f>_xlfn.XLOOKUP(TablaDatos[[#This Row],[PacienteID]],'Datos_Ejemplo.csv'!A:A,'Datos_Ejemplo.csv'!I:I)</f>
        <v>22</v>
      </c>
      <c r="N3011">
        <f>ABS(TablaDatos[[#This Row],[DiasOriginal]])</f>
        <v>22</v>
      </c>
      <c r="O3011" s="1">
        <f>TablaDatos[[#This Row],[FechaIngreso]]+TablaDatos[[#This Row],[DiasNuevo]]</f>
        <v>45065</v>
      </c>
    </row>
    <row r="3012" spans="1:15">
      <c r="A3012">
        <v>3011</v>
      </c>
      <c r="B3012" t="s">
        <v>302</v>
      </c>
      <c r="C3012" s="1">
        <v>15341</v>
      </c>
      <c r="D3012">
        <v>84</v>
      </c>
      <c r="E3012" s="4" t="s">
        <v>15</v>
      </c>
      <c r="F3012" t="s">
        <v>13</v>
      </c>
      <c r="G3012" s="1">
        <v>45125</v>
      </c>
      <c r="H3012" s="1">
        <f>TablaDatos[[#This Row],[FechaIngreso]]+TablaDatos[[#This Row],[DiasNuevo]]</f>
        <v>45129</v>
      </c>
      <c r="I3012">
        <v>4</v>
      </c>
      <c r="J3012" t="s">
        <v>23</v>
      </c>
      <c r="K3012" s="3">
        <v>11360.04</v>
      </c>
      <c r="L3012" t="b">
        <f>TablaDatos[[#This Row],[FechaAlta]] &lt; TablaDatos[[#This Row],[FechaIngreso]]</f>
        <v>0</v>
      </c>
      <c r="M3012">
        <f>_xlfn.XLOOKUP(TablaDatos[[#This Row],[PacienteID]],'Datos_Ejemplo.csv'!A:A,'Datos_Ejemplo.csv'!I:I)</f>
        <v>4</v>
      </c>
      <c r="N3012">
        <f>ABS(TablaDatos[[#This Row],[DiasOriginal]])</f>
        <v>4</v>
      </c>
      <c r="O3012" s="1">
        <f>TablaDatos[[#This Row],[FechaIngreso]]+TablaDatos[[#This Row],[DiasNuevo]]</f>
        <v>45129</v>
      </c>
    </row>
    <row r="3013" spans="1:15">
      <c r="A3013">
        <v>3012</v>
      </c>
      <c r="B3013" t="s">
        <v>286</v>
      </c>
      <c r="C3013" s="1">
        <v>42005</v>
      </c>
      <c r="D3013">
        <v>11</v>
      </c>
      <c r="E3013" s="4" t="s">
        <v>15</v>
      </c>
      <c r="F3013" t="s">
        <v>21</v>
      </c>
      <c r="G3013" s="1">
        <v>45205</v>
      </c>
      <c r="H3013" s="1">
        <f>TablaDatos[[#This Row],[FechaIngreso]]+TablaDatos[[#This Row],[DiasNuevo]]</f>
        <v>45220</v>
      </c>
      <c r="I3013">
        <v>15</v>
      </c>
      <c r="J3013" t="s">
        <v>23</v>
      </c>
      <c r="K3013" s="3">
        <v>7688.35</v>
      </c>
      <c r="L3013" t="b">
        <f>TablaDatos[[#This Row],[FechaAlta]] &lt; TablaDatos[[#This Row],[FechaIngreso]]</f>
        <v>0</v>
      </c>
      <c r="M3013">
        <f>_xlfn.XLOOKUP(TablaDatos[[#This Row],[PacienteID]],'Datos_Ejemplo.csv'!A:A,'Datos_Ejemplo.csv'!I:I)</f>
        <v>15</v>
      </c>
      <c r="N3013">
        <f>ABS(TablaDatos[[#This Row],[DiasOriginal]])</f>
        <v>15</v>
      </c>
      <c r="O3013" s="1">
        <f>TablaDatos[[#This Row],[FechaIngreso]]+TablaDatos[[#This Row],[DiasNuevo]]</f>
        <v>45220</v>
      </c>
    </row>
    <row r="3014" spans="1:15">
      <c r="A3014">
        <v>3013</v>
      </c>
      <c r="B3014" t="s">
        <v>331</v>
      </c>
      <c r="C3014" s="1">
        <v>24107</v>
      </c>
      <c r="D3014">
        <v>60</v>
      </c>
      <c r="E3014" s="4" t="s">
        <v>15</v>
      </c>
      <c r="F3014" t="s">
        <v>295</v>
      </c>
      <c r="G3014" s="1">
        <v>45508</v>
      </c>
      <c r="H3014" s="1">
        <f>TablaDatos[[#This Row],[FechaIngreso]]+TablaDatos[[#This Row],[DiasNuevo]]</f>
        <v>45523</v>
      </c>
      <c r="I3014">
        <v>15</v>
      </c>
      <c r="J3014" t="s">
        <v>19</v>
      </c>
      <c r="K3014" s="3">
        <v>17963.650000000001</v>
      </c>
      <c r="L3014" t="b">
        <f>TablaDatos[[#This Row],[FechaAlta]] &lt; TablaDatos[[#This Row],[FechaIngreso]]</f>
        <v>0</v>
      </c>
      <c r="M3014">
        <f>_xlfn.XLOOKUP(TablaDatos[[#This Row],[PacienteID]],'Datos_Ejemplo.csv'!A:A,'Datos_Ejemplo.csv'!I:I)</f>
        <v>15</v>
      </c>
      <c r="N3014">
        <f>ABS(TablaDatos[[#This Row],[DiasOriginal]])</f>
        <v>15</v>
      </c>
      <c r="O3014" s="1">
        <f>TablaDatos[[#This Row],[FechaIngreso]]+TablaDatos[[#This Row],[DiasNuevo]]</f>
        <v>45523</v>
      </c>
    </row>
    <row r="3015" spans="1:15">
      <c r="A3015">
        <v>3014</v>
      </c>
      <c r="B3015" t="s">
        <v>351</v>
      </c>
      <c r="C3015" s="1">
        <v>31412</v>
      </c>
      <c r="D3015">
        <v>40</v>
      </c>
      <c r="E3015" s="4" t="s">
        <v>15</v>
      </c>
      <c r="F3015" t="s">
        <v>261</v>
      </c>
      <c r="G3015" s="1">
        <v>45005</v>
      </c>
      <c r="H3015" s="1">
        <f>TablaDatos[[#This Row],[FechaIngreso]]+TablaDatos[[#This Row],[DiasNuevo]]</f>
        <v>45005</v>
      </c>
      <c r="I3015">
        <v>0</v>
      </c>
      <c r="J3015" t="s">
        <v>23</v>
      </c>
      <c r="K3015" s="3">
        <v>718.21</v>
      </c>
      <c r="L3015" t="b">
        <f>TablaDatos[[#This Row],[FechaAlta]] &lt; TablaDatos[[#This Row],[FechaIngreso]]</f>
        <v>0</v>
      </c>
      <c r="M3015">
        <f>_xlfn.XLOOKUP(TablaDatos[[#This Row],[PacienteID]],'Datos_Ejemplo.csv'!A:A,'Datos_Ejemplo.csv'!I:I)</f>
        <v>0</v>
      </c>
      <c r="N3015">
        <f>ABS(TablaDatos[[#This Row],[DiasOriginal]])</f>
        <v>0</v>
      </c>
      <c r="O3015" s="1">
        <f>TablaDatos[[#This Row],[FechaIngreso]]+TablaDatos[[#This Row],[DiasNuevo]]</f>
        <v>45005</v>
      </c>
    </row>
    <row r="3016" spans="1:15">
      <c r="A3016">
        <v>3015</v>
      </c>
      <c r="B3016" t="s">
        <v>359</v>
      </c>
      <c r="C3016" s="1">
        <v>34334</v>
      </c>
      <c r="D3016">
        <v>32</v>
      </c>
      <c r="E3016" s="4" t="s">
        <v>15</v>
      </c>
      <c r="F3016" t="s">
        <v>21</v>
      </c>
      <c r="G3016" s="1">
        <v>45350</v>
      </c>
      <c r="H3016" s="1">
        <f>TablaDatos[[#This Row],[FechaIngreso]]+TablaDatos[[#This Row],[DiasNuevo]]</f>
        <v>45352</v>
      </c>
      <c r="I3016">
        <v>2</v>
      </c>
      <c r="J3016" t="s">
        <v>19</v>
      </c>
      <c r="K3016" s="3">
        <v>768.33</v>
      </c>
      <c r="L3016" t="b">
        <f>TablaDatos[[#This Row],[FechaAlta]] &lt; TablaDatos[[#This Row],[FechaIngreso]]</f>
        <v>0</v>
      </c>
      <c r="M3016">
        <f>_xlfn.XLOOKUP(TablaDatos[[#This Row],[PacienteID]],'Datos_Ejemplo.csv'!A:A,'Datos_Ejemplo.csv'!I:I)</f>
        <v>-2</v>
      </c>
      <c r="N3016">
        <f>ABS(TablaDatos[[#This Row],[DiasOriginal]])</f>
        <v>2</v>
      </c>
      <c r="O3016" s="1">
        <f>TablaDatos[[#This Row],[FechaIngreso]]+TablaDatos[[#This Row],[DiasNuevo]]</f>
        <v>45352</v>
      </c>
    </row>
    <row r="3017" spans="1:15">
      <c r="A3017">
        <v>3016</v>
      </c>
      <c r="B3017" t="s">
        <v>359</v>
      </c>
      <c r="C3017" s="1">
        <v>28125</v>
      </c>
      <c r="D3017">
        <v>49</v>
      </c>
      <c r="E3017" s="4" t="s">
        <v>15</v>
      </c>
      <c r="F3017" t="s">
        <v>295</v>
      </c>
      <c r="G3017" s="1">
        <v>45280</v>
      </c>
      <c r="H3017" s="1">
        <f>TablaDatos[[#This Row],[FechaIngreso]]+TablaDatos[[#This Row],[DiasNuevo]]</f>
        <v>45310</v>
      </c>
      <c r="I3017">
        <v>30</v>
      </c>
      <c r="J3017" t="s">
        <v>19</v>
      </c>
      <c r="K3017" s="3">
        <v>17706.060000000001</v>
      </c>
      <c r="L3017" t="b">
        <f>TablaDatos[[#This Row],[FechaAlta]] &lt; TablaDatos[[#This Row],[FechaIngreso]]</f>
        <v>0</v>
      </c>
      <c r="M3017">
        <f>_xlfn.XLOOKUP(TablaDatos[[#This Row],[PacienteID]],'Datos_Ejemplo.csv'!A:A,'Datos_Ejemplo.csv'!I:I)</f>
        <v>30</v>
      </c>
      <c r="N3017">
        <f>ABS(TablaDatos[[#This Row],[DiasOriginal]])</f>
        <v>30</v>
      </c>
      <c r="O3017" s="1">
        <f>TablaDatos[[#This Row],[FechaIngreso]]+TablaDatos[[#This Row],[DiasNuevo]]</f>
        <v>45310</v>
      </c>
    </row>
    <row r="3018" spans="1:15">
      <c r="A3018">
        <v>3017</v>
      </c>
      <c r="B3018" t="s">
        <v>146</v>
      </c>
      <c r="C3018" s="1">
        <v>21551</v>
      </c>
      <c r="D3018">
        <v>67</v>
      </c>
      <c r="E3018" s="4" t="s">
        <v>15</v>
      </c>
      <c r="F3018" t="s">
        <v>18</v>
      </c>
      <c r="G3018" s="1">
        <v>45452</v>
      </c>
      <c r="H3018" s="1">
        <f>TablaDatos[[#This Row],[FechaIngreso]]+TablaDatos[[#This Row],[DiasNuevo]]</f>
        <v>45456</v>
      </c>
      <c r="I3018">
        <v>4</v>
      </c>
      <c r="J3018" t="s">
        <v>23</v>
      </c>
      <c r="K3018" s="3">
        <v>2445.56</v>
      </c>
      <c r="L3018" t="b">
        <f>TablaDatos[[#This Row],[FechaAlta]] &lt; TablaDatos[[#This Row],[FechaIngreso]]</f>
        <v>0</v>
      </c>
      <c r="M3018">
        <f>_xlfn.XLOOKUP(TablaDatos[[#This Row],[PacienteID]],'Datos_Ejemplo.csv'!A:A,'Datos_Ejemplo.csv'!I:I)</f>
        <v>4</v>
      </c>
      <c r="N3018">
        <f>ABS(TablaDatos[[#This Row],[DiasOriginal]])</f>
        <v>4</v>
      </c>
      <c r="O3018" s="1">
        <f>TablaDatos[[#This Row],[FechaIngreso]]+TablaDatos[[#This Row],[DiasNuevo]]</f>
        <v>45456</v>
      </c>
    </row>
    <row r="3019" spans="1:15">
      <c r="A3019">
        <v>3018</v>
      </c>
      <c r="B3019" t="s">
        <v>336</v>
      </c>
      <c r="C3019" s="1">
        <v>20455</v>
      </c>
      <c r="D3019">
        <v>70</v>
      </c>
      <c r="E3019" s="4" t="s">
        <v>12</v>
      </c>
      <c r="F3019" t="s">
        <v>295</v>
      </c>
      <c r="G3019" s="1">
        <v>45467</v>
      </c>
      <c r="H3019" s="1">
        <f>TablaDatos[[#This Row],[FechaIngreso]]+TablaDatos[[#This Row],[DiasNuevo]]</f>
        <v>45474</v>
      </c>
      <c r="I3019">
        <v>7</v>
      </c>
      <c r="J3019" t="s">
        <v>19</v>
      </c>
      <c r="K3019" s="3">
        <v>-56.58</v>
      </c>
      <c r="L3019" t="b">
        <f>TablaDatos[[#This Row],[FechaAlta]] &lt; TablaDatos[[#This Row],[FechaIngreso]]</f>
        <v>0</v>
      </c>
      <c r="M3019">
        <f>_xlfn.XLOOKUP(TablaDatos[[#This Row],[PacienteID]],'Datos_Ejemplo.csv'!A:A,'Datos_Ejemplo.csv'!I:I)</f>
        <v>7</v>
      </c>
      <c r="N3019">
        <f>ABS(TablaDatos[[#This Row],[DiasOriginal]])</f>
        <v>7</v>
      </c>
      <c r="O3019" s="1">
        <f>TablaDatos[[#This Row],[FechaIngreso]]+TablaDatos[[#This Row],[DiasNuevo]]</f>
        <v>45474</v>
      </c>
    </row>
    <row r="3020" spans="1:15">
      <c r="A3020">
        <v>3019</v>
      </c>
      <c r="B3020" t="s">
        <v>266</v>
      </c>
      <c r="C3020" s="1">
        <v>14976</v>
      </c>
      <c r="D3020">
        <f ca="1">DATEDIF(TablaDatos[[#This Row],[FechaNacimiento]],TODAY(),"Y")</f>
        <v>85</v>
      </c>
      <c r="E3020" s="4" t="s">
        <v>12</v>
      </c>
      <c r="F3020" t="s">
        <v>295</v>
      </c>
      <c r="G3020" s="1">
        <v>45582</v>
      </c>
      <c r="H3020" s="1">
        <f>TablaDatos[[#This Row],[FechaIngreso]]+TablaDatos[[#This Row],[DiasNuevo]]</f>
        <v>45587</v>
      </c>
      <c r="I3020">
        <v>5</v>
      </c>
      <c r="J3020" t="s">
        <v>19</v>
      </c>
      <c r="K3020" s="3">
        <v>3496.17</v>
      </c>
      <c r="L3020" t="b">
        <f>TablaDatos[[#This Row],[FechaAlta]] &lt; TablaDatos[[#This Row],[FechaIngreso]]</f>
        <v>0</v>
      </c>
      <c r="M3020">
        <f>_xlfn.XLOOKUP(TablaDatos[[#This Row],[PacienteID]],'Datos_Ejemplo.csv'!A:A,'Datos_Ejemplo.csv'!I:I)</f>
        <v>5</v>
      </c>
      <c r="N3020">
        <f>ABS(TablaDatos[[#This Row],[DiasOriginal]])</f>
        <v>5</v>
      </c>
      <c r="O3020" s="1">
        <f>TablaDatos[[#This Row],[FechaIngreso]]+TablaDatos[[#This Row],[DiasNuevo]]</f>
        <v>45587</v>
      </c>
    </row>
    <row r="3021" spans="1:15">
      <c r="A3021">
        <v>3020</v>
      </c>
      <c r="B3021" t="s">
        <v>111</v>
      </c>
      <c r="C3021" s="1">
        <v>34334</v>
      </c>
      <c r="D3021">
        <v>32</v>
      </c>
      <c r="E3021" s="4" t="s">
        <v>12</v>
      </c>
      <c r="F3021" t="s">
        <v>13</v>
      </c>
      <c r="G3021" s="1">
        <v>45403</v>
      </c>
      <c r="H3021" s="1">
        <f>TablaDatos[[#This Row],[FechaIngreso]]+TablaDatos[[#This Row],[DiasNuevo]]</f>
        <v>45432</v>
      </c>
      <c r="I3021">
        <v>29</v>
      </c>
      <c r="J3021" t="s">
        <v>19</v>
      </c>
      <c r="K3021" s="3">
        <v>16459.91</v>
      </c>
      <c r="L3021" t="b">
        <f>TablaDatos[[#This Row],[FechaAlta]] &lt; TablaDatos[[#This Row],[FechaIngreso]]</f>
        <v>0</v>
      </c>
      <c r="M3021">
        <f>_xlfn.XLOOKUP(TablaDatos[[#This Row],[PacienteID]],'Datos_Ejemplo.csv'!A:A,'Datos_Ejemplo.csv'!I:I)</f>
        <v>29</v>
      </c>
      <c r="N3021">
        <f>ABS(TablaDatos[[#This Row],[DiasOriginal]])</f>
        <v>29</v>
      </c>
      <c r="O3021" s="1">
        <f>TablaDatos[[#This Row],[FechaIngreso]]+TablaDatos[[#This Row],[DiasNuevo]]</f>
        <v>45432</v>
      </c>
    </row>
    <row r="3022" spans="1:15">
      <c r="A3022">
        <v>3021</v>
      </c>
      <c r="B3022" t="s">
        <v>276</v>
      </c>
      <c r="C3022" s="1">
        <v>16802</v>
      </c>
      <c r="D3022">
        <v>80</v>
      </c>
      <c r="E3022" s="4" t="s">
        <v>15</v>
      </c>
      <c r="F3022" t="s">
        <v>13</v>
      </c>
      <c r="G3022" s="1">
        <v>44936</v>
      </c>
      <c r="H3022" s="1">
        <f>TablaDatos[[#This Row],[FechaIngreso]]+TablaDatos[[#This Row],[DiasNuevo]]</f>
        <v>44956</v>
      </c>
      <c r="I3022">
        <v>20</v>
      </c>
      <c r="J3022" t="s">
        <v>19</v>
      </c>
      <c r="K3022" s="3">
        <v>16034.55</v>
      </c>
      <c r="L3022" t="b">
        <f>TablaDatos[[#This Row],[FechaAlta]] &lt; TablaDatos[[#This Row],[FechaIngreso]]</f>
        <v>0</v>
      </c>
      <c r="M3022">
        <f>_xlfn.XLOOKUP(TablaDatos[[#This Row],[PacienteID]],'Datos_Ejemplo.csv'!A:A,'Datos_Ejemplo.csv'!I:I)</f>
        <v>20</v>
      </c>
      <c r="N3022">
        <f>ABS(TablaDatos[[#This Row],[DiasOriginal]])</f>
        <v>20</v>
      </c>
      <c r="O3022" s="1">
        <f>TablaDatos[[#This Row],[FechaIngreso]]+TablaDatos[[#This Row],[DiasNuevo]]</f>
        <v>44956</v>
      </c>
    </row>
    <row r="3023" spans="1:15">
      <c r="A3023">
        <v>3022</v>
      </c>
      <c r="B3023" t="s">
        <v>257</v>
      </c>
      <c r="C3023" s="1">
        <v>37622</v>
      </c>
      <c r="D3023">
        <v>23</v>
      </c>
      <c r="E3023" s="4" t="s">
        <v>12</v>
      </c>
      <c r="F3023" t="s">
        <v>261</v>
      </c>
      <c r="G3023" s="1">
        <v>45485</v>
      </c>
      <c r="H3023" s="1">
        <f>TablaDatos[[#This Row],[FechaIngreso]]+TablaDatos[[#This Row],[DiasNuevo]]</f>
        <v>45499</v>
      </c>
      <c r="I3023">
        <v>14</v>
      </c>
      <c r="J3023" t="s">
        <v>23</v>
      </c>
      <c r="K3023" s="3">
        <v>6736.66</v>
      </c>
      <c r="L3023" t="b">
        <f>TablaDatos[[#This Row],[FechaAlta]] &lt; TablaDatos[[#This Row],[FechaIngreso]]</f>
        <v>0</v>
      </c>
      <c r="M3023">
        <f>_xlfn.XLOOKUP(TablaDatos[[#This Row],[PacienteID]],'Datos_Ejemplo.csv'!A:A,'Datos_Ejemplo.csv'!I:I)</f>
        <v>14</v>
      </c>
      <c r="N3023">
        <f>ABS(TablaDatos[[#This Row],[DiasOriginal]])</f>
        <v>14</v>
      </c>
      <c r="O3023" s="1">
        <f>TablaDatos[[#This Row],[FechaIngreso]]+TablaDatos[[#This Row],[DiasNuevo]]</f>
        <v>45499</v>
      </c>
    </row>
    <row r="3024" spans="1:15">
      <c r="A3024">
        <v>3023</v>
      </c>
      <c r="B3024" t="s">
        <v>352</v>
      </c>
      <c r="C3024" s="1">
        <v>24107</v>
      </c>
      <c r="D3024">
        <v>60</v>
      </c>
      <c r="E3024" s="4" t="s">
        <v>197</v>
      </c>
      <c r="F3024" t="s">
        <v>13</v>
      </c>
      <c r="G3024" s="1">
        <v>45429</v>
      </c>
      <c r="H3024" s="1">
        <f>TablaDatos[[#This Row],[FechaIngreso]]+TablaDatos[[#This Row],[DiasNuevo]]</f>
        <v>45440</v>
      </c>
      <c r="I3024">
        <v>11</v>
      </c>
      <c r="J3024" t="s">
        <v>19</v>
      </c>
      <c r="K3024" s="3">
        <v>13327.42</v>
      </c>
      <c r="L3024" t="b">
        <f>TablaDatos[[#This Row],[FechaAlta]] &lt; TablaDatos[[#This Row],[FechaIngreso]]</f>
        <v>0</v>
      </c>
      <c r="M3024">
        <f>_xlfn.XLOOKUP(TablaDatos[[#This Row],[PacienteID]],'Datos_Ejemplo.csv'!A:A,'Datos_Ejemplo.csv'!I:I)</f>
        <v>11</v>
      </c>
      <c r="N3024">
        <f>ABS(TablaDatos[[#This Row],[DiasOriginal]])</f>
        <v>11</v>
      </c>
      <c r="O3024" s="1">
        <f>TablaDatos[[#This Row],[FechaIngreso]]+TablaDatos[[#This Row],[DiasNuevo]]</f>
        <v>45440</v>
      </c>
    </row>
    <row r="3025" spans="1:15">
      <c r="A3025">
        <v>3024</v>
      </c>
      <c r="B3025" t="s">
        <v>368</v>
      </c>
      <c r="C3025" s="1">
        <v>24107</v>
      </c>
      <c r="D3025">
        <v>60</v>
      </c>
      <c r="E3025" s="4" t="s">
        <v>15</v>
      </c>
      <c r="F3025" t="s">
        <v>295</v>
      </c>
      <c r="G3025" s="1">
        <v>45186</v>
      </c>
      <c r="H3025" s="1">
        <f>TablaDatos[[#This Row],[FechaIngreso]]+TablaDatos[[#This Row],[DiasNuevo]]</f>
        <v>45200</v>
      </c>
      <c r="I3025">
        <v>14</v>
      </c>
      <c r="J3025" t="s">
        <v>23</v>
      </c>
      <c r="K3025" s="3">
        <v>10095.719999999999</v>
      </c>
      <c r="L3025" t="b">
        <f>TablaDatos[[#This Row],[FechaAlta]] &lt; TablaDatos[[#This Row],[FechaIngreso]]</f>
        <v>0</v>
      </c>
      <c r="M3025">
        <f>_xlfn.XLOOKUP(TablaDatos[[#This Row],[PacienteID]],'Datos_Ejemplo.csv'!A:A,'Datos_Ejemplo.csv'!I:I)</f>
        <v>14</v>
      </c>
      <c r="N3025">
        <f>ABS(TablaDatos[[#This Row],[DiasOriginal]])</f>
        <v>14</v>
      </c>
      <c r="O3025" s="1">
        <f>TablaDatos[[#This Row],[FechaIngreso]]+TablaDatos[[#This Row],[DiasNuevo]]</f>
        <v>45200</v>
      </c>
    </row>
    <row r="3026" spans="1:15">
      <c r="A3026">
        <v>3025</v>
      </c>
      <c r="B3026" t="s">
        <v>364</v>
      </c>
      <c r="C3026" s="1">
        <v>36161</v>
      </c>
      <c r="D3026">
        <v>27</v>
      </c>
      <c r="E3026" s="4" t="s">
        <v>15</v>
      </c>
      <c r="F3026" t="s">
        <v>32</v>
      </c>
      <c r="G3026" s="1">
        <v>45450</v>
      </c>
      <c r="H3026" s="1">
        <f>TablaDatos[[#This Row],[FechaIngreso]]+TablaDatos[[#This Row],[DiasNuevo]]</f>
        <v>45472</v>
      </c>
      <c r="I3026">
        <v>22</v>
      </c>
      <c r="J3026" t="s">
        <v>25</v>
      </c>
      <c r="K3026" s="3">
        <v>18085.169999999998</v>
      </c>
      <c r="L3026" t="b">
        <f>TablaDatos[[#This Row],[FechaAlta]] &lt; TablaDatos[[#This Row],[FechaIngreso]]</f>
        <v>0</v>
      </c>
      <c r="M3026">
        <f>_xlfn.XLOOKUP(TablaDatos[[#This Row],[PacienteID]],'Datos_Ejemplo.csv'!A:A,'Datos_Ejemplo.csv'!I:I)</f>
        <v>22</v>
      </c>
      <c r="N3026">
        <f>ABS(TablaDatos[[#This Row],[DiasOriginal]])</f>
        <v>22</v>
      </c>
      <c r="O3026" s="1">
        <f>TablaDatos[[#This Row],[FechaIngreso]]+TablaDatos[[#This Row],[DiasNuevo]]</f>
        <v>45472</v>
      </c>
    </row>
    <row r="3027" spans="1:15">
      <c r="A3027">
        <v>3026</v>
      </c>
      <c r="B3027" t="s">
        <v>260</v>
      </c>
      <c r="C3027" s="1">
        <v>25203</v>
      </c>
      <c r="D3027">
        <v>57</v>
      </c>
      <c r="E3027" s="4" t="s">
        <v>12</v>
      </c>
      <c r="F3027" t="s">
        <v>13</v>
      </c>
      <c r="G3027" s="1">
        <v>45522</v>
      </c>
      <c r="H3027" s="1">
        <f>TablaDatos[[#This Row],[FechaIngreso]]+TablaDatos[[#This Row],[DiasNuevo]]</f>
        <v>45540</v>
      </c>
      <c r="I3027">
        <v>18</v>
      </c>
      <c r="J3027" t="s">
        <v>25</v>
      </c>
      <c r="K3027" s="3">
        <v>1034.1099999999999</v>
      </c>
      <c r="L3027" t="b">
        <f>TablaDatos[[#This Row],[FechaAlta]] &lt; TablaDatos[[#This Row],[FechaIngreso]]</f>
        <v>0</v>
      </c>
      <c r="M3027">
        <f>_xlfn.XLOOKUP(TablaDatos[[#This Row],[PacienteID]],'Datos_Ejemplo.csv'!A:A,'Datos_Ejemplo.csv'!I:I)</f>
        <v>18</v>
      </c>
      <c r="N3027">
        <f>ABS(TablaDatos[[#This Row],[DiasOriginal]])</f>
        <v>18</v>
      </c>
      <c r="O3027" s="1">
        <f>TablaDatos[[#This Row],[FechaIngreso]]+TablaDatos[[#This Row],[DiasNuevo]]</f>
        <v>45540</v>
      </c>
    </row>
    <row r="3028" spans="1:15">
      <c r="A3028">
        <v>3027</v>
      </c>
      <c r="B3028" t="s">
        <v>39</v>
      </c>
      <c r="C3028" s="1">
        <v>30682</v>
      </c>
      <c r="D3028">
        <v>42</v>
      </c>
      <c r="E3028" s="4" t="s">
        <v>15</v>
      </c>
      <c r="F3028" t="s">
        <v>13</v>
      </c>
      <c r="G3028" s="1">
        <v>44932</v>
      </c>
      <c r="H3028" s="1">
        <f>TablaDatos[[#This Row],[FechaIngreso]]+TablaDatos[[#This Row],[DiasNuevo]]</f>
        <v>44935</v>
      </c>
      <c r="I3028">
        <v>3</v>
      </c>
      <c r="J3028" t="s">
        <v>19</v>
      </c>
      <c r="K3028" s="3">
        <v>16244.9</v>
      </c>
      <c r="L3028" t="b">
        <f>TablaDatos[[#This Row],[FechaAlta]] &lt; TablaDatos[[#This Row],[FechaIngreso]]</f>
        <v>0</v>
      </c>
      <c r="M3028">
        <f>_xlfn.XLOOKUP(TablaDatos[[#This Row],[PacienteID]],'Datos_Ejemplo.csv'!A:A,'Datos_Ejemplo.csv'!I:I)</f>
        <v>3</v>
      </c>
      <c r="N3028">
        <f>ABS(TablaDatos[[#This Row],[DiasOriginal]])</f>
        <v>3</v>
      </c>
      <c r="O3028" s="1">
        <f>TablaDatos[[#This Row],[FechaIngreso]]+TablaDatos[[#This Row],[DiasNuevo]]</f>
        <v>44935</v>
      </c>
    </row>
    <row r="3029" spans="1:15">
      <c r="A3029">
        <v>3028</v>
      </c>
      <c r="B3029" t="s">
        <v>348</v>
      </c>
      <c r="C3029" s="1">
        <v>31412</v>
      </c>
      <c r="D3029">
        <v>40</v>
      </c>
      <c r="E3029" s="4" t="s">
        <v>15</v>
      </c>
      <c r="F3029" t="s">
        <v>295</v>
      </c>
      <c r="G3029" s="1">
        <v>44961</v>
      </c>
      <c r="H3029" s="1">
        <f>TablaDatos[[#This Row],[FechaIngreso]]+TablaDatos[[#This Row],[DiasNuevo]]</f>
        <v>44978</v>
      </c>
      <c r="I3029">
        <v>17</v>
      </c>
      <c r="J3029" t="s">
        <v>23</v>
      </c>
      <c r="K3029" s="3">
        <v>3329.03</v>
      </c>
      <c r="L3029" t="b">
        <f>TablaDatos[[#This Row],[FechaAlta]] &lt; TablaDatos[[#This Row],[FechaIngreso]]</f>
        <v>0</v>
      </c>
      <c r="M3029">
        <f>_xlfn.XLOOKUP(TablaDatos[[#This Row],[PacienteID]],'Datos_Ejemplo.csv'!A:A,'Datos_Ejemplo.csv'!I:I)</f>
        <v>17</v>
      </c>
      <c r="N3029">
        <f>ABS(TablaDatos[[#This Row],[DiasOriginal]])</f>
        <v>17</v>
      </c>
      <c r="O3029" s="1">
        <f>TablaDatos[[#This Row],[FechaIngreso]]+TablaDatos[[#This Row],[DiasNuevo]]</f>
        <v>44978</v>
      </c>
    </row>
    <row r="3030" spans="1:15">
      <c r="A3030">
        <v>3029</v>
      </c>
      <c r="B3030" t="s">
        <v>116</v>
      </c>
      <c r="C3030" s="1">
        <v>32143</v>
      </c>
      <c r="D3030">
        <v>38</v>
      </c>
      <c r="E3030" s="4" t="s">
        <v>12</v>
      </c>
      <c r="F3030" t="s">
        <v>18</v>
      </c>
      <c r="G3030" s="1">
        <v>45101</v>
      </c>
      <c r="H3030" s="1">
        <f>TablaDatos[[#This Row],[FechaIngreso]]+TablaDatos[[#This Row],[DiasNuevo]]</f>
        <v>45118</v>
      </c>
      <c r="I3030">
        <v>17</v>
      </c>
      <c r="J3030" t="s">
        <v>23</v>
      </c>
      <c r="K3030" s="3">
        <v>7771.58</v>
      </c>
      <c r="L3030" t="b">
        <f>TablaDatos[[#This Row],[FechaAlta]] &lt; TablaDatos[[#This Row],[FechaIngreso]]</f>
        <v>0</v>
      </c>
      <c r="M3030">
        <f>_xlfn.XLOOKUP(TablaDatos[[#This Row],[PacienteID]],'Datos_Ejemplo.csv'!A:A,'Datos_Ejemplo.csv'!I:I)</f>
        <v>17</v>
      </c>
      <c r="N3030">
        <f>ABS(TablaDatos[[#This Row],[DiasOriginal]])</f>
        <v>17</v>
      </c>
      <c r="O3030" s="1">
        <f>TablaDatos[[#This Row],[FechaIngreso]]+TablaDatos[[#This Row],[DiasNuevo]]</f>
        <v>45118</v>
      </c>
    </row>
    <row r="3031" spans="1:15">
      <c r="A3031">
        <v>3030</v>
      </c>
      <c r="B3031" t="s">
        <v>339</v>
      </c>
      <c r="C3031" s="1">
        <v>14976</v>
      </c>
      <c r="D3031">
        <v>85</v>
      </c>
      <c r="E3031" s="4" t="s">
        <v>12</v>
      </c>
      <c r="F3031" t="s">
        <v>18</v>
      </c>
      <c r="G3031" s="1">
        <v>45368</v>
      </c>
      <c r="H3031" s="1">
        <f>TablaDatos[[#This Row],[FechaIngreso]]+TablaDatos[[#This Row],[DiasNuevo]]</f>
        <v>45391</v>
      </c>
      <c r="I3031">
        <v>23</v>
      </c>
      <c r="J3031" t="s">
        <v>23</v>
      </c>
      <c r="K3031" s="3">
        <v>3758.34</v>
      </c>
      <c r="L3031" t="b">
        <f>TablaDatos[[#This Row],[FechaAlta]] &lt; TablaDatos[[#This Row],[FechaIngreso]]</f>
        <v>0</v>
      </c>
      <c r="M3031">
        <f>_xlfn.XLOOKUP(TablaDatos[[#This Row],[PacienteID]],'Datos_Ejemplo.csv'!A:A,'Datos_Ejemplo.csv'!I:I)</f>
        <v>23</v>
      </c>
      <c r="N3031">
        <f>ABS(TablaDatos[[#This Row],[DiasOriginal]])</f>
        <v>23</v>
      </c>
      <c r="O3031" s="1">
        <f>TablaDatos[[#This Row],[FechaIngreso]]+TablaDatos[[#This Row],[DiasNuevo]]</f>
        <v>45391</v>
      </c>
    </row>
    <row r="3032" spans="1:15">
      <c r="A3032">
        <v>3031</v>
      </c>
      <c r="B3032" t="s">
        <v>282</v>
      </c>
      <c r="C3032" s="1">
        <f ca="1">DATE(YEAR(TODAY())-TablaDatos[[#This Row],[Edad]],1,1)</f>
        <v>28491</v>
      </c>
      <c r="D3032">
        <v>48</v>
      </c>
      <c r="E3032" s="4" t="s">
        <v>15</v>
      </c>
      <c r="F3032" t="s">
        <v>21</v>
      </c>
      <c r="G3032" s="1">
        <v>45503</v>
      </c>
      <c r="H3032" s="1">
        <f>TablaDatos[[#This Row],[FechaIngreso]]+TablaDatos[[#This Row],[DiasNuevo]]</f>
        <v>45532</v>
      </c>
      <c r="I3032">
        <v>29</v>
      </c>
      <c r="J3032" t="s">
        <v>23</v>
      </c>
      <c r="K3032" s="3">
        <v>14022.55</v>
      </c>
      <c r="L3032" t="b">
        <f>TablaDatos[[#This Row],[FechaAlta]] &lt; TablaDatos[[#This Row],[FechaIngreso]]</f>
        <v>0</v>
      </c>
      <c r="M3032">
        <f>_xlfn.XLOOKUP(TablaDatos[[#This Row],[PacienteID]],'Datos_Ejemplo.csv'!A:A,'Datos_Ejemplo.csv'!I:I)</f>
        <v>29</v>
      </c>
      <c r="N3032">
        <f>ABS(TablaDatos[[#This Row],[DiasOriginal]])</f>
        <v>29</v>
      </c>
      <c r="O3032" s="1">
        <f>TablaDatos[[#This Row],[FechaIngreso]]+TablaDatos[[#This Row],[DiasNuevo]]</f>
        <v>45532</v>
      </c>
    </row>
    <row r="3033" spans="1:15">
      <c r="A3033">
        <v>3032</v>
      </c>
      <c r="B3033" t="s">
        <v>368</v>
      </c>
      <c r="C3033" s="1">
        <v>40178</v>
      </c>
      <c r="D3033">
        <v>16</v>
      </c>
      <c r="E3033" s="4" t="s">
        <v>12</v>
      </c>
      <c r="F3033" t="s">
        <v>261</v>
      </c>
      <c r="G3033" s="1">
        <v>45073</v>
      </c>
      <c r="H3033" s="1">
        <f>TablaDatos[[#This Row],[FechaIngreso]]+TablaDatos[[#This Row],[DiasNuevo]]</f>
        <v>45078</v>
      </c>
      <c r="I3033">
        <v>5</v>
      </c>
      <c r="J3033" t="s">
        <v>25</v>
      </c>
      <c r="K3033" s="3">
        <v>13534.36</v>
      </c>
      <c r="L3033" t="b">
        <f>TablaDatos[[#This Row],[FechaAlta]] &lt; TablaDatos[[#This Row],[FechaIngreso]]</f>
        <v>0</v>
      </c>
      <c r="M3033">
        <f>_xlfn.XLOOKUP(TablaDatos[[#This Row],[PacienteID]],'Datos_Ejemplo.csv'!A:A,'Datos_Ejemplo.csv'!I:I)</f>
        <v>5</v>
      </c>
      <c r="N3033">
        <f>ABS(TablaDatos[[#This Row],[DiasOriginal]])</f>
        <v>5</v>
      </c>
      <c r="O3033" s="1">
        <f>TablaDatos[[#This Row],[FechaIngreso]]+TablaDatos[[#This Row],[DiasNuevo]]</f>
        <v>45078</v>
      </c>
    </row>
    <row r="3034" spans="1:15">
      <c r="A3034">
        <v>3033</v>
      </c>
      <c r="B3034" t="s">
        <v>259</v>
      </c>
      <c r="C3034" s="1">
        <v>20820</v>
      </c>
      <c r="D3034">
        <v>69</v>
      </c>
      <c r="E3034" s="4" t="s">
        <v>12</v>
      </c>
      <c r="F3034" t="s">
        <v>18</v>
      </c>
      <c r="G3034" s="1">
        <v>45495</v>
      </c>
      <c r="H3034" s="1">
        <f>TablaDatos[[#This Row],[FechaIngreso]]+TablaDatos[[#This Row],[DiasNuevo]]</f>
        <v>45521</v>
      </c>
      <c r="I3034">
        <v>26</v>
      </c>
      <c r="J3034" t="s">
        <v>23</v>
      </c>
      <c r="K3034" s="3">
        <v>10912.74</v>
      </c>
      <c r="L3034" t="b">
        <f>TablaDatos[[#This Row],[FechaAlta]] &lt; TablaDatos[[#This Row],[FechaIngreso]]</f>
        <v>0</v>
      </c>
      <c r="M3034">
        <f>_xlfn.XLOOKUP(TablaDatos[[#This Row],[PacienteID]],'Datos_Ejemplo.csv'!A:A,'Datos_Ejemplo.csv'!I:I)</f>
        <v>26</v>
      </c>
      <c r="N3034">
        <f>ABS(TablaDatos[[#This Row],[DiasOriginal]])</f>
        <v>26</v>
      </c>
      <c r="O3034" s="1">
        <f>TablaDatos[[#This Row],[FechaIngreso]]+TablaDatos[[#This Row],[DiasNuevo]]</f>
        <v>45521</v>
      </c>
    </row>
    <row r="3035" spans="1:15">
      <c r="A3035">
        <v>3034</v>
      </c>
      <c r="B3035" t="s">
        <v>277</v>
      </c>
      <c r="C3035" s="1">
        <f ca="1">DATE(YEAR(TODAY())-TablaDatos[[#This Row],[Edad]],1,1)</f>
        <v>20821</v>
      </c>
      <c r="D3035">
        <v>69</v>
      </c>
      <c r="E3035" s="4" t="s">
        <v>15</v>
      </c>
      <c r="F3035" t="s">
        <v>13</v>
      </c>
      <c r="G3035" s="1">
        <v>45119</v>
      </c>
      <c r="H3035" s="1">
        <f>TablaDatos[[#This Row],[FechaIngreso]]+TablaDatos[[#This Row],[DiasNuevo]]</f>
        <v>45133</v>
      </c>
      <c r="I3035">
        <v>14</v>
      </c>
      <c r="J3035" t="s">
        <v>23</v>
      </c>
      <c r="K3035" s="3">
        <v>13933.08</v>
      </c>
      <c r="L3035" t="b">
        <f>TablaDatos[[#This Row],[FechaAlta]] &lt; TablaDatos[[#This Row],[FechaIngreso]]</f>
        <v>0</v>
      </c>
      <c r="M3035">
        <f>_xlfn.XLOOKUP(TablaDatos[[#This Row],[PacienteID]],'Datos_Ejemplo.csv'!A:A,'Datos_Ejemplo.csv'!I:I)</f>
        <v>14</v>
      </c>
      <c r="N3035">
        <f>ABS(TablaDatos[[#This Row],[DiasOriginal]])</f>
        <v>14</v>
      </c>
      <c r="O3035" s="1">
        <f>TablaDatos[[#This Row],[FechaIngreso]]+TablaDatos[[#This Row],[DiasNuevo]]</f>
        <v>45133</v>
      </c>
    </row>
    <row r="3036" spans="1:15">
      <c r="A3036">
        <v>3035</v>
      </c>
      <c r="B3036" t="s">
        <v>161</v>
      </c>
      <c r="C3036" s="1">
        <f ca="1">DATE(YEAR(TODAY())-TablaDatos[[#This Row],[Edad]],1,1)</f>
        <v>22647</v>
      </c>
      <c r="D3036">
        <v>64</v>
      </c>
      <c r="E3036" s="4" t="s">
        <v>12</v>
      </c>
      <c r="F3036" t="s">
        <v>32</v>
      </c>
      <c r="G3036" s="1">
        <v>44939</v>
      </c>
      <c r="H3036" s="1">
        <f>TablaDatos[[#This Row],[FechaIngreso]]+TablaDatos[[#This Row],[DiasNuevo]]</f>
        <v>44954</v>
      </c>
      <c r="I3036">
        <v>15</v>
      </c>
      <c r="J3036" t="s">
        <v>25</v>
      </c>
      <c r="K3036" s="3">
        <v>12755.25</v>
      </c>
      <c r="L3036" t="b">
        <f>TablaDatos[[#This Row],[FechaAlta]] &lt; TablaDatos[[#This Row],[FechaIngreso]]</f>
        <v>0</v>
      </c>
      <c r="M3036">
        <f>_xlfn.XLOOKUP(TablaDatos[[#This Row],[PacienteID]],'Datos_Ejemplo.csv'!A:A,'Datos_Ejemplo.csv'!I:I)</f>
        <v>15</v>
      </c>
      <c r="N3036">
        <f>ABS(TablaDatos[[#This Row],[DiasOriginal]])</f>
        <v>15</v>
      </c>
      <c r="O3036" s="1">
        <f>TablaDatos[[#This Row],[FechaIngreso]]+TablaDatos[[#This Row],[DiasNuevo]]</f>
        <v>44954</v>
      </c>
    </row>
    <row r="3037" spans="1:15">
      <c r="A3037">
        <v>3036</v>
      </c>
      <c r="B3037" t="s">
        <v>336</v>
      </c>
      <c r="C3037" s="1">
        <v>19359</v>
      </c>
      <c r="D3037">
        <v>73</v>
      </c>
      <c r="E3037" s="4" t="s">
        <v>15</v>
      </c>
      <c r="F3037" t="s">
        <v>21</v>
      </c>
      <c r="G3037" s="1">
        <v>45456</v>
      </c>
      <c r="H3037" s="1">
        <f>TablaDatos[[#This Row],[FechaIngreso]]+TablaDatos[[#This Row],[DiasNuevo]]</f>
        <v>45493</v>
      </c>
      <c r="I3037">
        <v>37</v>
      </c>
      <c r="J3037" t="s">
        <v>19</v>
      </c>
      <c r="K3037" s="3">
        <v>15506.49</v>
      </c>
      <c r="L3037" t="b">
        <f>TablaDatos[[#This Row],[FechaAlta]] &lt; TablaDatos[[#This Row],[FechaIngreso]]</f>
        <v>0</v>
      </c>
      <c r="M3037">
        <f>_xlfn.XLOOKUP(TablaDatos[[#This Row],[PacienteID]],'Datos_Ejemplo.csv'!A:A,'Datos_Ejemplo.csv'!I:I)</f>
        <v>37</v>
      </c>
      <c r="N3037">
        <f>ABS(TablaDatos[[#This Row],[DiasOriginal]])</f>
        <v>37</v>
      </c>
      <c r="O3037" s="1">
        <f>TablaDatos[[#This Row],[FechaIngreso]]+TablaDatos[[#This Row],[DiasNuevo]]</f>
        <v>45493</v>
      </c>
    </row>
    <row r="3038" spans="1:15">
      <c r="A3038">
        <v>3037</v>
      </c>
      <c r="B3038" t="s">
        <v>284</v>
      </c>
      <c r="C3038" s="1">
        <v>15341</v>
      </c>
      <c r="D3038">
        <v>84</v>
      </c>
      <c r="E3038" s="4" t="s">
        <v>15</v>
      </c>
      <c r="F3038" t="s">
        <v>261</v>
      </c>
      <c r="G3038" s="1">
        <v>45172</v>
      </c>
      <c r="H3038" s="1">
        <f>TablaDatos[[#This Row],[FechaIngreso]]+TablaDatos[[#This Row],[DiasNuevo]]</f>
        <v>45187</v>
      </c>
      <c r="I3038">
        <v>15</v>
      </c>
      <c r="J3038" t="s">
        <v>23</v>
      </c>
      <c r="K3038" s="3">
        <v>4712.07</v>
      </c>
      <c r="L3038" t="b">
        <f>TablaDatos[[#This Row],[FechaAlta]] &lt; TablaDatos[[#This Row],[FechaIngreso]]</f>
        <v>0</v>
      </c>
      <c r="M3038">
        <f>_xlfn.XLOOKUP(TablaDatos[[#This Row],[PacienteID]],'Datos_Ejemplo.csv'!A:A,'Datos_Ejemplo.csv'!I:I)</f>
        <v>15</v>
      </c>
      <c r="N3038">
        <f>ABS(TablaDatos[[#This Row],[DiasOriginal]])</f>
        <v>15</v>
      </c>
      <c r="O3038" s="1">
        <f>TablaDatos[[#This Row],[FechaIngreso]]+TablaDatos[[#This Row],[DiasNuevo]]</f>
        <v>45187</v>
      </c>
    </row>
    <row r="3039" spans="1:15">
      <c r="A3039">
        <v>3038</v>
      </c>
      <c r="B3039" t="s">
        <v>267</v>
      </c>
      <c r="C3039" s="1">
        <v>44561</v>
      </c>
      <c r="D3039">
        <v>4</v>
      </c>
      <c r="E3039" s="4" t="s">
        <v>12</v>
      </c>
      <c r="F3039" t="s">
        <v>32</v>
      </c>
      <c r="G3039" s="1">
        <v>45601</v>
      </c>
      <c r="H3039" s="1">
        <f>TablaDatos[[#This Row],[FechaIngreso]]+TablaDatos[[#This Row],[DiasNuevo]]</f>
        <v>45609</v>
      </c>
      <c r="I3039">
        <v>8</v>
      </c>
      <c r="J3039" t="s">
        <v>19</v>
      </c>
      <c r="K3039" s="3">
        <v>8521.14</v>
      </c>
      <c r="L3039" t="b">
        <f>TablaDatos[[#This Row],[FechaAlta]] &lt; TablaDatos[[#This Row],[FechaIngreso]]</f>
        <v>0</v>
      </c>
      <c r="M3039">
        <f>_xlfn.XLOOKUP(TablaDatos[[#This Row],[PacienteID]],'Datos_Ejemplo.csv'!A:A,'Datos_Ejemplo.csv'!I:I)</f>
        <v>8</v>
      </c>
      <c r="N3039">
        <f>ABS(TablaDatos[[#This Row],[DiasOriginal]])</f>
        <v>8</v>
      </c>
      <c r="O3039" s="1">
        <f>TablaDatos[[#This Row],[FechaIngreso]]+TablaDatos[[#This Row],[DiasNuevo]]</f>
        <v>45609</v>
      </c>
    </row>
    <row r="3040" spans="1:15">
      <c r="A3040">
        <v>3039</v>
      </c>
      <c r="B3040" t="s">
        <v>332</v>
      </c>
      <c r="C3040" s="1">
        <v>45657</v>
      </c>
      <c r="D3040">
        <v>1</v>
      </c>
      <c r="E3040" s="4" t="s">
        <v>15</v>
      </c>
      <c r="F3040" t="s">
        <v>32</v>
      </c>
      <c r="G3040" s="1">
        <v>45040</v>
      </c>
      <c r="H3040" s="1">
        <f>TablaDatos[[#This Row],[FechaIngreso]]+TablaDatos[[#This Row],[DiasNuevo]]</f>
        <v>45049</v>
      </c>
      <c r="I3040">
        <v>9</v>
      </c>
      <c r="J3040" t="s">
        <v>23</v>
      </c>
      <c r="K3040" s="3">
        <v>2947.69</v>
      </c>
      <c r="L3040" t="b">
        <f>TablaDatos[[#This Row],[FechaAlta]] &lt; TablaDatos[[#This Row],[FechaIngreso]]</f>
        <v>0</v>
      </c>
      <c r="M3040">
        <f>_xlfn.XLOOKUP(TablaDatos[[#This Row],[PacienteID]],'Datos_Ejemplo.csv'!A:A,'Datos_Ejemplo.csv'!I:I)</f>
        <v>9</v>
      </c>
      <c r="N3040">
        <f>ABS(TablaDatos[[#This Row],[DiasOriginal]])</f>
        <v>9</v>
      </c>
      <c r="O3040" s="1">
        <f>TablaDatos[[#This Row],[FechaIngreso]]+TablaDatos[[#This Row],[DiasNuevo]]</f>
        <v>45049</v>
      </c>
    </row>
    <row r="3041" spans="1:15">
      <c r="A3041">
        <v>3040</v>
      </c>
      <c r="B3041" t="s">
        <v>264</v>
      </c>
      <c r="C3041" s="1">
        <v>38352</v>
      </c>
      <c r="D3041">
        <v>21</v>
      </c>
      <c r="E3041" s="4" t="s">
        <v>15</v>
      </c>
      <c r="F3041" t="s">
        <v>13</v>
      </c>
      <c r="G3041" s="1">
        <v>45159</v>
      </c>
      <c r="H3041" s="1">
        <f>TablaDatos[[#This Row],[FechaIngreso]]+TablaDatos[[#This Row],[DiasNuevo]]</f>
        <v>45171</v>
      </c>
      <c r="I3041">
        <v>12</v>
      </c>
      <c r="J3041" t="s">
        <v>23</v>
      </c>
      <c r="K3041" s="3">
        <v>8534.83</v>
      </c>
      <c r="L3041" t="b">
        <f>TablaDatos[[#This Row],[FechaAlta]] &lt; TablaDatos[[#This Row],[FechaIngreso]]</f>
        <v>0</v>
      </c>
      <c r="M3041">
        <f>_xlfn.XLOOKUP(TablaDatos[[#This Row],[PacienteID]],'Datos_Ejemplo.csv'!A:A,'Datos_Ejemplo.csv'!I:I)</f>
        <v>12</v>
      </c>
      <c r="N3041">
        <f>ABS(TablaDatos[[#This Row],[DiasOriginal]])</f>
        <v>12</v>
      </c>
      <c r="O3041" s="1">
        <f>TablaDatos[[#This Row],[FechaIngreso]]+TablaDatos[[#This Row],[DiasNuevo]]</f>
        <v>45171</v>
      </c>
    </row>
    <row r="3042" spans="1:15">
      <c r="A3042">
        <v>3041</v>
      </c>
      <c r="B3042" t="s">
        <v>352</v>
      </c>
      <c r="C3042" s="1">
        <v>25568</v>
      </c>
      <c r="D3042">
        <v>56</v>
      </c>
      <c r="E3042" s="4" t="s">
        <v>15</v>
      </c>
      <c r="F3042" t="s">
        <v>295</v>
      </c>
      <c r="G3042" s="1">
        <v>45604</v>
      </c>
      <c r="H3042" s="1">
        <f>TablaDatos[[#This Row],[FechaIngreso]]+TablaDatos[[#This Row],[DiasNuevo]]</f>
        <v>45627</v>
      </c>
      <c r="I3042">
        <v>23</v>
      </c>
      <c r="J3042" t="s">
        <v>23</v>
      </c>
      <c r="K3042" s="3">
        <v>14004</v>
      </c>
      <c r="L3042" t="b">
        <f>TablaDatos[[#This Row],[FechaAlta]] &lt; TablaDatos[[#This Row],[FechaIngreso]]</f>
        <v>0</v>
      </c>
      <c r="M3042">
        <f>_xlfn.XLOOKUP(TablaDatos[[#This Row],[PacienteID]],'Datos_Ejemplo.csv'!A:A,'Datos_Ejemplo.csv'!I:I)</f>
        <v>23</v>
      </c>
      <c r="N3042">
        <f>ABS(TablaDatos[[#This Row],[DiasOriginal]])</f>
        <v>23</v>
      </c>
      <c r="O3042" s="1">
        <f>TablaDatos[[#This Row],[FechaIngreso]]+TablaDatos[[#This Row],[DiasNuevo]]</f>
        <v>45627</v>
      </c>
    </row>
    <row r="3043" spans="1:15">
      <c r="A3043">
        <v>3042</v>
      </c>
      <c r="B3043" t="s">
        <v>114</v>
      </c>
      <c r="C3043" s="1">
        <v>22281</v>
      </c>
      <c r="D3043">
        <v>65</v>
      </c>
      <c r="E3043" s="4" t="s">
        <v>12</v>
      </c>
      <c r="F3043" t="s">
        <v>295</v>
      </c>
      <c r="G3043" s="1">
        <v>45248</v>
      </c>
      <c r="H3043" s="1">
        <f>TablaDatos[[#This Row],[FechaIngreso]]+TablaDatos[[#This Row],[DiasNuevo]]</f>
        <v>45248</v>
      </c>
      <c r="I3043">
        <v>0</v>
      </c>
      <c r="J3043" t="s">
        <v>23</v>
      </c>
      <c r="K3043" s="3">
        <v>13796.96</v>
      </c>
      <c r="L3043" t="b">
        <f>TablaDatos[[#This Row],[FechaAlta]] &lt; TablaDatos[[#This Row],[FechaIngreso]]</f>
        <v>0</v>
      </c>
      <c r="M3043">
        <f>_xlfn.XLOOKUP(TablaDatos[[#This Row],[PacienteID]],'Datos_Ejemplo.csv'!A:A,'Datos_Ejemplo.csv'!I:I)</f>
        <v>0</v>
      </c>
      <c r="N3043">
        <f>ABS(TablaDatos[[#This Row],[DiasOriginal]])</f>
        <v>0</v>
      </c>
      <c r="O3043" s="1">
        <f>TablaDatos[[#This Row],[FechaIngreso]]+TablaDatos[[#This Row],[DiasNuevo]]</f>
        <v>45248</v>
      </c>
    </row>
    <row r="3044" spans="1:15">
      <c r="A3044">
        <v>3043</v>
      </c>
      <c r="B3044" t="s">
        <v>309</v>
      </c>
      <c r="C3044" s="1">
        <v>19359</v>
      </c>
      <c r="D3044">
        <v>73</v>
      </c>
      <c r="E3044" s="4" t="s">
        <v>12</v>
      </c>
      <c r="F3044" t="s">
        <v>295</v>
      </c>
      <c r="G3044" s="1">
        <v>45464</v>
      </c>
      <c r="H3044" s="1">
        <f>TablaDatos[[#This Row],[FechaIngreso]]+TablaDatos[[#This Row],[DiasNuevo]]</f>
        <v>45464</v>
      </c>
      <c r="I3044">
        <v>0</v>
      </c>
      <c r="J3044" t="s">
        <v>23</v>
      </c>
      <c r="K3044" s="3">
        <v>14159.48</v>
      </c>
      <c r="L3044" t="b">
        <f>TablaDatos[[#This Row],[FechaAlta]] &lt; TablaDatos[[#This Row],[FechaIngreso]]</f>
        <v>0</v>
      </c>
      <c r="M3044">
        <f>_xlfn.XLOOKUP(TablaDatos[[#This Row],[PacienteID]],'Datos_Ejemplo.csv'!A:A,'Datos_Ejemplo.csv'!I:I)</f>
        <v>0</v>
      </c>
      <c r="N3044">
        <f>ABS(TablaDatos[[#This Row],[DiasOriginal]])</f>
        <v>0</v>
      </c>
      <c r="O3044" s="1">
        <f>TablaDatos[[#This Row],[FechaIngreso]]+TablaDatos[[#This Row],[DiasNuevo]]</f>
        <v>45464</v>
      </c>
    </row>
    <row r="3045" spans="1:15">
      <c r="A3045">
        <v>3044</v>
      </c>
      <c r="B3045" t="s">
        <v>51</v>
      </c>
      <c r="C3045" s="1">
        <v>40544</v>
      </c>
      <c r="D3045">
        <v>15</v>
      </c>
      <c r="E3045" s="4" t="s">
        <v>15</v>
      </c>
      <c r="F3045" t="s">
        <v>18</v>
      </c>
      <c r="G3045" s="1">
        <v>45052</v>
      </c>
      <c r="H3045" s="1">
        <f>TablaDatos[[#This Row],[FechaIngreso]]+TablaDatos[[#This Row],[DiasNuevo]]</f>
        <v>45087</v>
      </c>
      <c r="I3045">
        <v>35</v>
      </c>
      <c r="J3045" t="s">
        <v>19</v>
      </c>
      <c r="K3045" s="3">
        <v>6106.23</v>
      </c>
      <c r="L3045" t="b">
        <f>TablaDatos[[#This Row],[FechaAlta]] &lt; TablaDatos[[#This Row],[FechaIngreso]]</f>
        <v>0</v>
      </c>
      <c r="M3045">
        <f>_xlfn.XLOOKUP(TablaDatos[[#This Row],[PacienteID]],'Datos_Ejemplo.csv'!A:A,'Datos_Ejemplo.csv'!I:I)</f>
        <v>35</v>
      </c>
      <c r="N3045">
        <f>ABS(TablaDatos[[#This Row],[DiasOriginal]])</f>
        <v>35</v>
      </c>
      <c r="O3045" s="1">
        <f>TablaDatos[[#This Row],[FechaIngreso]]+TablaDatos[[#This Row],[DiasNuevo]]</f>
        <v>45087</v>
      </c>
    </row>
    <row r="3046" spans="1:15">
      <c r="A3046">
        <v>3045</v>
      </c>
      <c r="B3046" t="s">
        <v>305</v>
      </c>
      <c r="C3046" s="1">
        <v>27760</v>
      </c>
      <c r="D3046">
        <v>50</v>
      </c>
      <c r="E3046" s="4" t="s">
        <v>12</v>
      </c>
      <c r="F3046" t="s">
        <v>295</v>
      </c>
      <c r="G3046" s="1">
        <v>45239</v>
      </c>
      <c r="H3046" s="1">
        <f>TablaDatos[[#This Row],[FechaIngreso]]+TablaDatos[[#This Row],[DiasNuevo]]</f>
        <v>45271</v>
      </c>
      <c r="I3046">
        <v>32</v>
      </c>
      <c r="J3046" t="s">
        <v>23</v>
      </c>
      <c r="K3046" s="3">
        <v>13210.5</v>
      </c>
      <c r="L3046" t="b">
        <f>TablaDatos[[#This Row],[FechaAlta]] &lt; TablaDatos[[#This Row],[FechaIngreso]]</f>
        <v>0</v>
      </c>
      <c r="M3046">
        <f>_xlfn.XLOOKUP(TablaDatos[[#This Row],[PacienteID]],'Datos_Ejemplo.csv'!A:A,'Datos_Ejemplo.csv'!I:I)</f>
        <v>32</v>
      </c>
      <c r="N3046">
        <f>ABS(TablaDatos[[#This Row],[DiasOriginal]])</f>
        <v>32</v>
      </c>
      <c r="O3046" s="1">
        <f>TablaDatos[[#This Row],[FechaIngreso]]+TablaDatos[[#This Row],[DiasNuevo]]</f>
        <v>45271</v>
      </c>
    </row>
    <row r="3047" spans="1:15">
      <c r="A3047">
        <v>3046</v>
      </c>
      <c r="B3047" t="s">
        <v>310</v>
      </c>
      <c r="C3047" s="1">
        <v>32143</v>
      </c>
      <c r="D3047">
        <v>38</v>
      </c>
      <c r="E3047" s="4" t="s">
        <v>15</v>
      </c>
      <c r="F3047" t="s">
        <v>261</v>
      </c>
      <c r="G3047" s="1">
        <v>45437</v>
      </c>
      <c r="H3047" s="1">
        <f>TablaDatos[[#This Row],[FechaIngreso]]+TablaDatos[[#This Row],[DiasNuevo]]</f>
        <v>45443</v>
      </c>
      <c r="I3047">
        <v>6</v>
      </c>
      <c r="J3047" t="s">
        <v>19</v>
      </c>
      <c r="K3047" s="3">
        <v>7286.07</v>
      </c>
      <c r="L3047" t="b">
        <f>TablaDatos[[#This Row],[FechaAlta]] &lt; TablaDatos[[#This Row],[FechaIngreso]]</f>
        <v>0</v>
      </c>
      <c r="M3047">
        <f>_xlfn.XLOOKUP(TablaDatos[[#This Row],[PacienteID]],'Datos_Ejemplo.csv'!A:A,'Datos_Ejemplo.csv'!I:I)</f>
        <v>6</v>
      </c>
      <c r="N3047">
        <f>ABS(TablaDatos[[#This Row],[DiasOriginal]])</f>
        <v>6</v>
      </c>
      <c r="O3047" s="1">
        <f>TablaDatos[[#This Row],[FechaIngreso]]+TablaDatos[[#This Row],[DiasNuevo]]</f>
        <v>45443</v>
      </c>
    </row>
    <row r="3048" spans="1:15">
      <c r="A3048">
        <v>3047</v>
      </c>
      <c r="B3048" t="s">
        <v>251</v>
      </c>
      <c r="C3048" s="1">
        <v>14976</v>
      </c>
      <c r="D3048">
        <v>85</v>
      </c>
      <c r="E3048" s="4" t="s">
        <v>12</v>
      </c>
      <c r="F3048" t="s">
        <v>13</v>
      </c>
      <c r="G3048" s="1">
        <v>45410</v>
      </c>
      <c r="H3048" s="1">
        <f>TablaDatos[[#This Row],[FechaIngreso]]+TablaDatos[[#This Row],[DiasNuevo]]</f>
        <v>45447</v>
      </c>
      <c r="I3048">
        <v>37</v>
      </c>
      <c r="J3048" t="s">
        <v>23</v>
      </c>
      <c r="K3048" s="3">
        <v>18884.29</v>
      </c>
      <c r="L3048" t="b">
        <f>TablaDatos[[#This Row],[FechaAlta]] &lt; TablaDatos[[#This Row],[FechaIngreso]]</f>
        <v>0</v>
      </c>
      <c r="M3048">
        <f>_xlfn.XLOOKUP(TablaDatos[[#This Row],[PacienteID]],'Datos_Ejemplo.csv'!A:A,'Datos_Ejemplo.csv'!I:I)</f>
        <v>37</v>
      </c>
      <c r="N3048">
        <f>ABS(TablaDatos[[#This Row],[DiasOriginal]])</f>
        <v>37</v>
      </c>
      <c r="O3048" s="1">
        <f>TablaDatos[[#This Row],[FechaIngreso]]+TablaDatos[[#This Row],[DiasNuevo]]</f>
        <v>45447</v>
      </c>
    </row>
    <row r="3049" spans="1:15">
      <c r="A3049">
        <v>3048</v>
      </c>
      <c r="B3049" t="s">
        <v>272</v>
      </c>
      <c r="C3049" s="1">
        <v>18629</v>
      </c>
      <c r="D3049">
        <v>75</v>
      </c>
      <c r="E3049" s="4" t="s">
        <v>15</v>
      </c>
      <c r="F3049" t="s">
        <v>18</v>
      </c>
      <c r="G3049" s="1">
        <v>45207</v>
      </c>
      <c r="H3049" s="1">
        <f>TablaDatos[[#This Row],[FechaIngreso]]+TablaDatos[[#This Row],[DiasNuevo]]</f>
        <v>45208</v>
      </c>
      <c r="I3049">
        <v>1</v>
      </c>
      <c r="J3049" t="s">
        <v>23</v>
      </c>
      <c r="K3049" s="3">
        <v>6801.66</v>
      </c>
      <c r="L3049" t="b">
        <f>TablaDatos[[#This Row],[FechaAlta]] &lt; TablaDatos[[#This Row],[FechaIngreso]]</f>
        <v>0</v>
      </c>
      <c r="M3049">
        <f>_xlfn.XLOOKUP(TablaDatos[[#This Row],[PacienteID]],'Datos_Ejemplo.csv'!A:A,'Datos_Ejemplo.csv'!I:I)</f>
        <v>1</v>
      </c>
      <c r="N3049">
        <f>ABS(TablaDatos[[#This Row],[DiasOriginal]])</f>
        <v>1</v>
      </c>
      <c r="O3049" s="1">
        <f>TablaDatos[[#This Row],[FechaIngreso]]+TablaDatos[[#This Row],[DiasNuevo]]</f>
        <v>45208</v>
      </c>
    </row>
    <row r="3050" spans="1:15">
      <c r="A3050">
        <v>3049</v>
      </c>
      <c r="B3050" t="s">
        <v>338</v>
      </c>
      <c r="C3050" s="1">
        <v>14246</v>
      </c>
      <c r="D3050">
        <v>87</v>
      </c>
      <c r="E3050" s="4" t="s">
        <v>12</v>
      </c>
      <c r="F3050" t="s">
        <v>261</v>
      </c>
      <c r="G3050" s="1">
        <v>45209</v>
      </c>
      <c r="H3050" s="1">
        <f>TablaDatos[[#This Row],[FechaIngreso]]+TablaDatos[[#This Row],[DiasNuevo]]</f>
        <v>45226</v>
      </c>
      <c r="I3050">
        <v>17</v>
      </c>
      <c r="J3050" t="s">
        <v>23</v>
      </c>
      <c r="K3050" s="3">
        <v>12020.67</v>
      </c>
      <c r="L3050" t="b">
        <f>TablaDatos[[#This Row],[FechaAlta]] &lt; TablaDatos[[#This Row],[FechaIngreso]]</f>
        <v>0</v>
      </c>
      <c r="M3050">
        <f>_xlfn.XLOOKUP(TablaDatos[[#This Row],[PacienteID]],'Datos_Ejemplo.csv'!A:A,'Datos_Ejemplo.csv'!I:I)</f>
        <v>17</v>
      </c>
      <c r="N3050">
        <f>ABS(TablaDatos[[#This Row],[DiasOriginal]])</f>
        <v>17</v>
      </c>
      <c r="O3050" s="1">
        <f>TablaDatos[[#This Row],[FechaIngreso]]+TablaDatos[[#This Row],[DiasNuevo]]</f>
        <v>45226</v>
      </c>
    </row>
    <row r="3051" spans="1:15">
      <c r="A3051">
        <v>3050</v>
      </c>
      <c r="B3051" t="s">
        <v>278</v>
      </c>
      <c r="C3051" s="1">
        <v>31778</v>
      </c>
      <c r="D3051">
        <v>39</v>
      </c>
      <c r="E3051" s="4" t="s">
        <v>197</v>
      </c>
      <c r="F3051" t="s">
        <v>295</v>
      </c>
      <c r="G3051" s="1">
        <v>45577</v>
      </c>
      <c r="H3051" s="1">
        <f>TablaDatos[[#This Row],[FechaIngreso]]+TablaDatos[[#This Row],[DiasNuevo]]</f>
        <v>45589</v>
      </c>
      <c r="I3051">
        <v>12</v>
      </c>
      <c r="J3051" t="s">
        <v>23</v>
      </c>
      <c r="K3051" s="3">
        <v>14977.93</v>
      </c>
      <c r="L3051" t="b">
        <f>TablaDatos[[#This Row],[FechaAlta]] &lt; TablaDatos[[#This Row],[FechaIngreso]]</f>
        <v>0</v>
      </c>
      <c r="M3051">
        <f>_xlfn.XLOOKUP(TablaDatos[[#This Row],[PacienteID]],'Datos_Ejemplo.csv'!A:A,'Datos_Ejemplo.csv'!I:I)</f>
        <v>12</v>
      </c>
      <c r="N3051">
        <f>ABS(TablaDatos[[#This Row],[DiasOriginal]])</f>
        <v>12</v>
      </c>
      <c r="O3051" s="1">
        <f>TablaDatos[[#This Row],[FechaIngreso]]+TablaDatos[[#This Row],[DiasNuevo]]</f>
        <v>45589</v>
      </c>
    </row>
    <row r="3052" spans="1:15">
      <c r="A3052">
        <v>3051</v>
      </c>
      <c r="B3052" t="s">
        <v>292</v>
      </c>
      <c r="C3052" s="1">
        <v>32508</v>
      </c>
      <c r="D3052">
        <v>37</v>
      </c>
      <c r="E3052" s="4" t="s">
        <v>12</v>
      </c>
      <c r="F3052" t="s">
        <v>261</v>
      </c>
      <c r="G3052" s="1">
        <v>45539</v>
      </c>
      <c r="H3052" s="1">
        <f>TablaDatos[[#This Row],[FechaIngreso]]+TablaDatos[[#This Row],[DiasNuevo]]</f>
        <v>45565</v>
      </c>
      <c r="I3052">
        <v>26</v>
      </c>
      <c r="J3052" t="s">
        <v>25</v>
      </c>
      <c r="K3052" s="3">
        <v>18118.79</v>
      </c>
      <c r="L3052" t="b">
        <f>TablaDatos[[#This Row],[FechaAlta]] &lt; TablaDatos[[#This Row],[FechaIngreso]]</f>
        <v>0</v>
      </c>
      <c r="M3052">
        <f>_xlfn.XLOOKUP(TablaDatos[[#This Row],[PacienteID]],'Datos_Ejemplo.csv'!A:A,'Datos_Ejemplo.csv'!I:I)</f>
        <v>26</v>
      </c>
      <c r="N3052">
        <f>ABS(TablaDatos[[#This Row],[DiasOriginal]])</f>
        <v>26</v>
      </c>
      <c r="O3052" s="1">
        <f>TablaDatos[[#This Row],[FechaIngreso]]+TablaDatos[[#This Row],[DiasNuevo]]</f>
        <v>45565</v>
      </c>
    </row>
    <row r="3053" spans="1:15">
      <c r="A3053">
        <v>3052</v>
      </c>
      <c r="B3053" t="s">
        <v>288</v>
      </c>
      <c r="C3053" s="1">
        <v>24473</v>
      </c>
      <c r="D3053">
        <v>59</v>
      </c>
      <c r="E3053" s="4" t="s">
        <v>15</v>
      </c>
      <c r="F3053" t="s">
        <v>32</v>
      </c>
      <c r="G3053" s="1">
        <v>45318</v>
      </c>
      <c r="H3053" s="1">
        <f>TablaDatos[[#This Row],[FechaIngreso]]+TablaDatos[[#This Row],[DiasNuevo]]</f>
        <v>45320</v>
      </c>
      <c r="I3053">
        <v>2</v>
      </c>
      <c r="J3053" t="s">
        <v>23</v>
      </c>
      <c r="K3053" s="3">
        <v>8702.36</v>
      </c>
      <c r="L3053" t="b">
        <f>TablaDatos[[#This Row],[FechaAlta]] &lt; TablaDatos[[#This Row],[FechaIngreso]]</f>
        <v>0</v>
      </c>
      <c r="M3053">
        <f>_xlfn.XLOOKUP(TablaDatos[[#This Row],[PacienteID]],'Datos_Ejemplo.csv'!A:A,'Datos_Ejemplo.csv'!I:I)</f>
        <v>2</v>
      </c>
      <c r="N3053">
        <f>ABS(TablaDatos[[#This Row],[DiasOriginal]])</f>
        <v>2</v>
      </c>
      <c r="O3053" s="1">
        <f>TablaDatos[[#This Row],[FechaIngreso]]+TablaDatos[[#This Row],[DiasNuevo]]</f>
        <v>45320</v>
      </c>
    </row>
    <row r="3054" spans="1:15">
      <c r="A3054">
        <v>3053</v>
      </c>
      <c r="B3054" t="s">
        <v>55</v>
      </c>
      <c r="C3054" s="1">
        <v>24838</v>
      </c>
      <c r="D3054">
        <v>58</v>
      </c>
      <c r="E3054" s="4" t="s">
        <v>12</v>
      </c>
      <c r="F3054" t="s">
        <v>13</v>
      </c>
      <c r="G3054" s="1">
        <v>45449</v>
      </c>
      <c r="H3054" s="1">
        <f>TablaDatos[[#This Row],[FechaIngreso]]+TablaDatos[[#This Row],[DiasNuevo]]</f>
        <v>45485</v>
      </c>
      <c r="I3054">
        <v>36</v>
      </c>
      <c r="J3054" t="s">
        <v>23</v>
      </c>
      <c r="K3054" s="3">
        <v>7145.75</v>
      </c>
      <c r="L3054" t="b">
        <f>TablaDatos[[#This Row],[FechaAlta]] &lt; TablaDatos[[#This Row],[FechaIngreso]]</f>
        <v>0</v>
      </c>
      <c r="M3054">
        <f>_xlfn.XLOOKUP(TablaDatos[[#This Row],[PacienteID]],'Datos_Ejemplo.csv'!A:A,'Datos_Ejemplo.csv'!I:I)</f>
        <v>36</v>
      </c>
      <c r="N3054">
        <f>ABS(TablaDatos[[#This Row],[DiasOriginal]])</f>
        <v>36</v>
      </c>
      <c r="O3054" s="1">
        <f>TablaDatos[[#This Row],[FechaIngreso]]+TablaDatos[[#This Row],[DiasNuevo]]</f>
        <v>45485</v>
      </c>
    </row>
    <row r="3055" spans="1:15">
      <c r="A3055">
        <v>3054</v>
      </c>
      <c r="B3055" t="s">
        <v>349</v>
      </c>
      <c r="C3055" s="1">
        <v>42735</v>
      </c>
      <c r="D3055">
        <v>9</v>
      </c>
      <c r="E3055" s="4" t="s">
        <v>15</v>
      </c>
      <c r="F3055" t="s">
        <v>13</v>
      </c>
      <c r="G3055" s="1">
        <v>45308</v>
      </c>
      <c r="H3055" s="1">
        <f>TablaDatos[[#This Row],[FechaIngreso]]+TablaDatos[[#This Row],[DiasNuevo]]</f>
        <v>45345</v>
      </c>
      <c r="I3055">
        <v>37</v>
      </c>
      <c r="J3055" t="s">
        <v>23</v>
      </c>
      <c r="K3055" s="3">
        <v>8543.57</v>
      </c>
      <c r="L3055" t="b">
        <f>TablaDatos[[#This Row],[FechaAlta]] &lt; TablaDatos[[#This Row],[FechaIngreso]]</f>
        <v>0</v>
      </c>
      <c r="M3055">
        <f>_xlfn.XLOOKUP(TablaDatos[[#This Row],[PacienteID]],'Datos_Ejemplo.csv'!A:A,'Datos_Ejemplo.csv'!I:I)</f>
        <v>37</v>
      </c>
      <c r="N3055">
        <f>ABS(TablaDatos[[#This Row],[DiasOriginal]])</f>
        <v>37</v>
      </c>
      <c r="O3055" s="1">
        <f>TablaDatos[[#This Row],[FechaIngreso]]+TablaDatos[[#This Row],[DiasNuevo]]</f>
        <v>45345</v>
      </c>
    </row>
    <row r="3056" spans="1:15">
      <c r="A3056">
        <v>3055</v>
      </c>
      <c r="B3056" t="s">
        <v>256</v>
      </c>
      <c r="C3056" s="1">
        <v>23012</v>
      </c>
      <c r="D3056">
        <v>63</v>
      </c>
      <c r="E3056" s="4" t="s">
        <v>12</v>
      </c>
      <c r="F3056" t="s">
        <v>261</v>
      </c>
      <c r="G3056" s="1">
        <v>45142</v>
      </c>
      <c r="H3056" s="1">
        <f>TablaDatos[[#This Row],[FechaIngreso]]+TablaDatos[[#This Row],[DiasNuevo]]</f>
        <v>45146</v>
      </c>
      <c r="I3056">
        <v>4</v>
      </c>
      <c r="J3056" t="s">
        <v>25</v>
      </c>
      <c r="K3056" s="3">
        <v>6406.3</v>
      </c>
      <c r="L3056" t="b">
        <f>TablaDatos[[#This Row],[FechaAlta]] &lt; TablaDatos[[#This Row],[FechaIngreso]]</f>
        <v>0</v>
      </c>
      <c r="M3056">
        <f>_xlfn.XLOOKUP(TablaDatos[[#This Row],[PacienteID]],'Datos_Ejemplo.csv'!A:A,'Datos_Ejemplo.csv'!I:I)</f>
        <v>4</v>
      </c>
      <c r="N3056">
        <f>ABS(TablaDatos[[#This Row],[DiasOriginal]])</f>
        <v>4</v>
      </c>
      <c r="O3056" s="1">
        <f>TablaDatos[[#This Row],[FechaIngreso]]+TablaDatos[[#This Row],[DiasNuevo]]</f>
        <v>45146</v>
      </c>
    </row>
    <row r="3057" spans="1:15">
      <c r="A3057">
        <v>3056</v>
      </c>
      <c r="B3057" t="s">
        <v>67</v>
      </c>
      <c r="C3057" s="1">
        <v>23377</v>
      </c>
      <c r="D3057">
        <v>62</v>
      </c>
      <c r="E3057" s="4" t="s">
        <v>15</v>
      </c>
      <c r="F3057" t="s">
        <v>21</v>
      </c>
      <c r="G3057" s="1">
        <v>45468</v>
      </c>
      <c r="H3057" s="1">
        <f>TablaDatos[[#This Row],[FechaIngreso]]+TablaDatos[[#This Row],[DiasNuevo]]</f>
        <v>45473</v>
      </c>
      <c r="I3057">
        <v>5</v>
      </c>
      <c r="J3057" t="s">
        <v>23</v>
      </c>
      <c r="K3057" s="3">
        <v>13043.88</v>
      </c>
      <c r="L3057" t="b">
        <f>TablaDatos[[#This Row],[FechaAlta]] &lt; TablaDatos[[#This Row],[FechaIngreso]]</f>
        <v>0</v>
      </c>
      <c r="M3057">
        <f>_xlfn.XLOOKUP(TablaDatos[[#This Row],[PacienteID]],'Datos_Ejemplo.csv'!A:A,'Datos_Ejemplo.csv'!I:I)</f>
        <v>5</v>
      </c>
      <c r="N3057">
        <f>ABS(TablaDatos[[#This Row],[DiasOriginal]])</f>
        <v>5</v>
      </c>
      <c r="O3057" s="1">
        <f>TablaDatos[[#This Row],[FechaIngreso]]+TablaDatos[[#This Row],[DiasNuevo]]</f>
        <v>45473</v>
      </c>
    </row>
    <row r="3058" spans="1:15">
      <c r="A3058">
        <v>3057</v>
      </c>
      <c r="B3058" t="s">
        <v>269</v>
      </c>
      <c r="C3058" s="1">
        <v>28490</v>
      </c>
      <c r="D3058">
        <v>48</v>
      </c>
      <c r="E3058" s="4" t="s">
        <v>15</v>
      </c>
      <c r="F3058" t="s">
        <v>13</v>
      </c>
      <c r="G3058" s="1">
        <v>45532</v>
      </c>
      <c r="H3058" s="1">
        <f>TablaDatos[[#This Row],[FechaIngreso]]+TablaDatos[[#This Row],[DiasNuevo]]</f>
        <v>45561</v>
      </c>
      <c r="I3058">
        <v>29</v>
      </c>
      <c r="J3058" t="s">
        <v>25</v>
      </c>
      <c r="K3058" s="3">
        <v>18647.61</v>
      </c>
      <c r="L3058" t="b">
        <f>TablaDatos[[#This Row],[FechaAlta]] &lt; TablaDatos[[#This Row],[FechaIngreso]]</f>
        <v>0</v>
      </c>
      <c r="M3058">
        <f>_xlfn.XLOOKUP(TablaDatos[[#This Row],[PacienteID]],'Datos_Ejemplo.csv'!A:A,'Datos_Ejemplo.csv'!I:I)</f>
        <v>29</v>
      </c>
      <c r="N3058">
        <f>ABS(TablaDatos[[#This Row],[DiasOriginal]])</f>
        <v>29</v>
      </c>
      <c r="O3058" s="1">
        <f>TablaDatos[[#This Row],[FechaIngreso]]+TablaDatos[[#This Row],[DiasNuevo]]</f>
        <v>45561</v>
      </c>
    </row>
    <row r="3059" spans="1:15">
      <c r="A3059">
        <v>3058</v>
      </c>
      <c r="B3059" t="s">
        <v>277</v>
      </c>
      <c r="C3059" s="1">
        <v>23012</v>
      </c>
      <c r="D3059">
        <v>63</v>
      </c>
      <c r="E3059" s="4" t="s">
        <v>15</v>
      </c>
      <c r="F3059" t="s">
        <v>32</v>
      </c>
      <c r="G3059" s="1">
        <v>45042</v>
      </c>
      <c r="H3059" s="1">
        <f>TablaDatos[[#This Row],[FechaIngreso]]+TablaDatos[[#This Row],[DiasNuevo]]</f>
        <v>45075</v>
      </c>
      <c r="I3059">
        <v>33</v>
      </c>
      <c r="J3059" t="s">
        <v>25</v>
      </c>
      <c r="K3059" s="3">
        <v>2434.0300000000002</v>
      </c>
      <c r="L3059" t="b">
        <f>TablaDatos[[#This Row],[FechaAlta]] &lt; TablaDatos[[#This Row],[FechaIngreso]]</f>
        <v>0</v>
      </c>
      <c r="M3059">
        <f>_xlfn.XLOOKUP(TablaDatos[[#This Row],[PacienteID]],'Datos_Ejemplo.csv'!A:A,'Datos_Ejemplo.csv'!I:I)</f>
        <v>33</v>
      </c>
      <c r="N3059">
        <f>ABS(TablaDatos[[#This Row],[DiasOriginal]])</f>
        <v>33</v>
      </c>
      <c r="O3059" s="1">
        <f>TablaDatos[[#This Row],[FechaIngreso]]+TablaDatos[[#This Row],[DiasNuevo]]</f>
        <v>45075</v>
      </c>
    </row>
    <row r="3060" spans="1:15">
      <c r="A3060">
        <v>3059</v>
      </c>
      <c r="B3060" t="s">
        <v>309</v>
      </c>
      <c r="C3060" s="1">
        <v>34700</v>
      </c>
      <c r="D3060">
        <v>31</v>
      </c>
      <c r="E3060" s="4" t="s">
        <v>15</v>
      </c>
      <c r="F3060" t="s">
        <v>13</v>
      </c>
      <c r="G3060" s="1">
        <v>45435</v>
      </c>
      <c r="H3060" s="1">
        <f>TablaDatos[[#This Row],[FechaIngreso]]+TablaDatos[[#This Row],[DiasNuevo]]</f>
        <v>45465</v>
      </c>
      <c r="I3060">
        <v>30</v>
      </c>
      <c r="J3060" t="s">
        <v>23</v>
      </c>
      <c r="K3060" s="3">
        <v>11174.53</v>
      </c>
      <c r="L3060" t="b">
        <f>TablaDatos[[#This Row],[FechaAlta]] &lt; TablaDatos[[#This Row],[FechaIngreso]]</f>
        <v>0</v>
      </c>
      <c r="M3060">
        <f>_xlfn.XLOOKUP(TablaDatos[[#This Row],[PacienteID]],'Datos_Ejemplo.csv'!A:A,'Datos_Ejemplo.csv'!I:I)</f>
        <v>30</v>
      </c>
      <c r="N3060">
        <f>ABS(TablaDatos[[#This Row],[DiasOriginal]])</f>
        <v>30</v>
      </c>
      <c r="O3060" s="1">
        <f>TablaDatos[[#This Row],[FechaIngreso]]+TablaDatos[[#This Row],[DiasNuevo]]</f>
        <v>45465</v>
      </c>
    </row>
    <row r="3061" spans="1:15">
      <c r="A3061">
        <v>3060</v>
      </c>
      <c r="B3061" t="s">
        <v>327</v>
      </c>
      <c r="C3061" s="1">
        <v>43831</v>
      </c>
      <c r="D3061">
        <v>6</v>
      </c>
      <c r="E3061" s="4" t="s">
        <v>12</v>
      </c>
      <c r="F3061" t="s">
        <v>21</v>
      </c>
      <c r="G3061" s="1">
        <v>45426</v>
      </c>
      <c r="H3061" s="1">
        <f>TablaDatos[[#This Row],[FechaIngreso]]+TablaDatos[[#This Row],[DiasNuevo]]</f>
        <v>45460</v>
      </c>
      <c r="I3061">
        <v>34</v>
      </c>
      <c r="J3061" t="s">
        <v>25</v>
      </c>
      <c r="K3061" s="3">
        <v>17942.740000000002</v>
      </c>
      <c r="L3061" t="b">
        <f>TablaDatos[[#This Row],[FechaAlta]] &lt; TablaDatos[[#This Row],[FechaIngreso]]</f>
        <v>0</v>
      </c>
      <c r="M3061">
        <f>_xlfn.XLOOKUP(TablaDatos[[#This Row],[PacienteID]],'Datos_Ejemplo.csv'!A:A,'Datos_Ejemplo.csv'!I:I)</f>
        <v>34</v>
      </c>
      <c r="N3061">
        <f>ABS(TablaDatos[[#This Row],[DiasOriginal]])</f>
        <v>34</v>
      </c>
      <c r="O3061" s="1">
        <f>TablaDatos[[#This Row],[FechaIngreso]]+TablaDatos[[#This Row],[DiasNuevo]]</f>
        <v>45460</v>
      </c>
    </row>
    <row r="3062" spans="1:15">
      <c r="A3062">
        <v>3061</v>
      </c>
      <c r="B3062" t="s">
        <v>260</v>
      </c>
      <c r="C3062" s="1">
        <v>38717</v>
      </c>
      <c r="D3062">
        <v>20</v>
      </c>
      <c r="E3062" s="4" t="s">
        <v>12</v>
      </c>
      <c r="F3062" t="s">
        <v>13</v>
      </c>
      <c r="G3062" s="1">
        <v>45197</v>
      </c>
      <c r="H3062" s="1">
        <f>TablaDatos[[#This Row],[FechaIngreso]]+TablaDatos[[#This Row],[DiasNuevo]]</f>
        <v>45226</v>
      </c>
      <c r="I3062">
        <v>29</v>
      </c>
      <c r="J3062" t="s">
        <v>23</v>
      </c>
      <c r="K3062" s="3">
        <v>1912.3</v>
      </c>
      <c r="L3062" t="b">
        <f>TablaDatos[[#This Row],[FechaAlta]] &lt; TablaDatos[[#This Row],[FechaIngreso]]</f>
        <v>0</v>
      </c>
      <c r="M3062">
        <f>_xlfn.XLOOKUP(TablaDatos[[#This Row],[PacienteID]],'Datos_Ejemplo.csv'!A:A,'Datos_Ejemplo.csv'!I:I)</f>
        <v>29</v>
      </c>
      <c r="N3062">
        <f>ABS(TablaDatos[[#This Row],[DiasOriginal]])</f>
        <v>29</v>
      </c>
      <c r="O3062" s="1">
        <f>TablaDatos[[#This Row],[FechaIngreso]]+TablaDatos[[#This Row],[DiasNuevo]]</f>
        <v>45226</v>
      </c>
    </row>
    <row r="3063" spans="1:15">
      <c r="A3063">
        <v>3062</v>
      </c>
      <c r="B3063" t="s">
        <v>255</v>
      </c>
      <c r="C3063" s="1">
        <v>39083</v>
      </c>
      <c r="D3063">
        <v>19</v>
      </c>
      <c r="E3063" s="4" t="s">
        <v>12</v>
      </c>
      <c r="F3063" t="s">
        <v>201</v>
      </c>
      <c r="G3063" s="1">
        <v>45366</v>
      </c>
      <c r="H3063" s="1">
        <f>TablaDatos[[#This Row],[FechaIngreso]]+TablaDatos[[#This Row],[DiasNuevo]]</f>
        <v>45399</v>
      </c>
      <c r="I3063">
        <v>33</v>
      </c>
      <c r="J3063" t="s">
        <v>19</v>
      </c>
      <c r="K3063" s="3">
        <v>9826.69</v>
      </c>
      <c r="L3063" t="b">
        <f>TablaDatos[[#This Row],[FechaAlta]] &lt; TablaDatos[[#This Row],[FechaIngreso]]</f>
        <v>0</v>
      </c>
      <c r="M3063">
        <f>_xlfn.XLOOKUP(TablaDatos[[#This Row],[PacienteID]],'Datos_Ejemplo.csv'!A:A,'Datos_Ejemplo.csv'!I:I)</f>
        <v>33</v>
      </c>
      <c r="N3063">
        <f>ABS(TablaDatos[[#This Row],[DiasOriginal]])</f>
        <v>33</v>
      </c>
      <c r="O3063" s="1">
        <f>TablaDatos[[#This Row],[FechaIngreso]]+TablaDatos[[#This Row],[DiasNuevo]]</f>
        <v>45399</v>
      </c>
    </row>
    <row r="3064" spans="1:15">
      <c r="A3064">
        <v>3063</v>
      </c>
      <c r="B3064" t="s">
        <v>266</v>
      </c>
      <c r="C3064" s="1">
        <v>36891</v>
      </c>
      <c r="D3064">
        <v>25</v>
      </c>
      <c r="E3064" s="4" t="s">
        <v>12</v>
      </c>
      <c r="F3064" t="s">
        <v>13</v>
      </c>
      <c r="G3064" s="1">
        <v>45217</v>
      </c>
      <c r="H3064" s="1">
        <f>TablaDatos[[#This Row],[FechaIngreso]]+TablaDatos[[#This Row],[DiasNuevo]]</f>
        <v>45248</v>
      </c>
      <c r="I3064">
        <v>31</v>
      </c>
      <c r="J3064" t="s">
        <v>19</v>
      </c>
      <c r="K3064" s="3">
        <v>17291.11</v>
      </c>
      <c r="L3064" t="b">
        <f>TablaDatos[[#This Row],[FechaAlta]] &lt; TablaDatos[[#This Row],[FechaIngreso]]</f>
        <v>0</v>
      </c>
      <c r="M3064">
        <f>_xlfn.XLOOKUP(TablaDatos[[#This Row],[PacienteID]],'Datos_Ejemplo.csv'!A:A,'Datos_Ejemplo.csv'!I:I)</f>
        <v>31</v>
      </c>
      <c r="N3064">
        <f>ABS(TablaDatos[[#This Row],[DiasOriginal]])</f>
        <v>31</v>
      </c>
      <c r="O3064" s="1">
        <f>TablaDatos[[#This Row],[FechaIngreso]]+TablaDatos[[#This Row],[DiasNuevo]]</f>
        <v>45248</v>
      </c>
    </row>
    <row r="3065" spans="1:15">
      <c r="A3065">
        <v>3064</v>
      </c>
      <c r="B3065" t="s">
        <v>327</v>
      </c>
      <c r="C3065" s="1">
        <v>21551</v>
      </c>
      <c r="D3065">
        <v>67</v>
      </c>
      <c r="E3065" s="4" t="s">
        <v>12</v>
      </c>
      <c r="F3065" t="s">
        <v>21</v>
      </c>
      <c r="G3065" s="1">
        <v>44965</v>
      </c>
      <c r="H3065" s="1">
        <f>TablaDatos[[#This Row],[FechaIngreso]]+TablaDatos[[#This Row],[DiasNuevo]]</f>
        <v>44987</v>
      </c>
      <c r="I3065">
        <v>22</v>
      </c>
      <c r="J3065" t="s">
        <v>19</v>
      </c>
      <c r="K3065" s="3">
        <v>17999.09</v>
      </c>
      <c r="L3065" t="b">
        <f>TablaDatos[[#This Row],[FechaAlta]] &lt; TablaDatos[[#This Row],[FechaIngreso]]</f>
        <v>0</v>
      </c>
      <c r="M3065">
        <f>_xlfn.XLOOKUP(TablaDatos[[#This Row],[PacienteID]],'Datos_Ejemplo.csv'!A:A,'Datos_Ejemplo.csv'!I:I)</f>
        <v>22</v>
      </c>
      <c r="N3065">
        <f>ABS(TablaDatos[[#This Row],[DiasOriginal]])</f>
        <v>22</v>
      </c>
      <c r="O3065" s="1">
        <f>TablaDatos[[#This Row],[FechaIngreso]]+TablaDatos[[#This Row],[DiasNuevo]]</f>
        <v>44987</v>
      </c>
    </row>
    <row r="3066" spans="1:15">
      <c r="A3066">
        <v>3065</v>
      </c>
      <c r="B3066" t="s">
        <v>286</v>
      </c>
      <c r="C3066" s="1">
        <v>14976</v>
      </c>
      <c r="D3066">
        <v>85</v>
      </c>
      <c r="E3066" s="4" t="s">
        <v>15</v>
      </c>
      <c r="F3066" t="s">
        <v>201</v>
      </c>
      <c r="G3066" s="1">
        <v>44950</v>
      </c>
      <c r="H3066" s="1">
        <f>TablaDatos[[#This Row],[FechaIngreso]]+TablaDatos[[#This Row],[DiasNuevo]]</f>
        <v>44979</v>
      </c>
      <c r="I3066">
        <v>29</v>
      </c>
      <c r="J3066" t="s">
        <v>23</v>
      </c>
      <c r="K3066" s="3">
        <v>10238.48</v>
      </c>
      <c r="L3066" t="b">
        <f>TablaDatos[[#This Row],[FechaAlta]] &lt; TablaDatos[[#This Row],[FechaIngreso]]</f>
        <v>0</v>
      </c>
      <c r="M3066">
        <f>_xlfn.XLOOKUP(TablaDatos[[#This Row],[PacienteID]],'Datos_Ejemplo.csv'!A:A,'Datos_Ejemplo.csv'!I:I)</f>
        <v>29</v>
      </c>
      <c r="N3066">
        <f>ABS(TablaDatos[[#This Row],[DiasOriginal]])</f>
        <v>29</v>
      </c>
      <c r="O3066" s="1">
        <f>TablaDatos[[#This Row],[FechaIngreso]]+TablaDatos[[#This Row],[DiasNuevo]]</f>
        <v>44979</v>
      </c>
    </row>
    <row r="3067" spans="1:15">
      <c r="A3067">
        <v>3066</v>
      </c>
      <c r="B3067" t="s">
        <v>246</v>
      </c>
      <c r="C3067" s="1">
        <v>40909</v>
      </c>
      <c r="D3067">
        <v>14</v>
      </c>
      <c r="E3067" s="4" t="s">
        <v>15</v>
      </c>
      <c r="F3067" t="s">
        <v>201</v>
      </c>
      <c r="G3067" s="1">
        <v>44969</v>
      </c>
      <c r="H3067" s="1">
        <f>TablaDatos[[#This Row],[FechaIngreso]]+TablaDatos[[#This Row],[DiasNuevo]]</f>
        <v>44970</v>
      </c>
      <c r="I3067">
        <v>1</v>
      </c>
      <c r="J3067" t="s">
        <v>23</v>
      </c>
      <c r="K3067" s="3">
        <v>401.53</v>
      </c>
      <c r="L3067" t="b">
        <f>TablaDatos[[#This Row],[FechaAlta]] &lt; TablaDatos[[#This Row],[FechaIngreso]]</f>
        <v>0</v>
      </c>
      <c r="M3067">
        <f>_xlfn.XLOOKUP(TablaDatos[[#This Row],[PacienteID]],'Datos_Ejemplo.csv'!A:A,'Datos_Ejemplo.csv'!I:I)</f>
        <v>-1</v>
      </c>
      <c r="N3067">
        <f>ABS(TablaDatos[[#This Row],[DiasOriginal]])</f>
        <v>1</v>
      </c>
      <c r="O3067" s="1">
        <f>TablaDatos[[#This Row],[FechaIngreso]]+TablaDatos[[#This Row],[DiasNuevo]]</f>
        <v>44970</v>
      </c>
    </row>
    <row r="3068" spans="1:15">
      <c r="A3068">
        <v>3067</v>
      </c>
      <c r="B3068" t="s">
        <v>253</v>
      </c>
      <c r="C3068" s="1">
        <v>15341</v>
      </c>
      <c r="D3068">
        <v>84</v>
      </c>
      <c r="E3068" s="4" t="s">
        <v>15</v>
      </c>
      <c r="F3068" t="s">
        <v>13</v>
      </c>
      <c r="G3068" s="1">
        <v>45096</v>
      </c>
      <c r="H3068" s="1">
        <f>TablaDatos[[#This Row],[FechaIngreso]]+TablaDatos[[#This Row],[DiasNuevo]]</f>
        <v>45102</v>
      </c>
      <c r="I3068">
        <v>6</v>
      </c>
      <c r="J3068" t="s">
        <v>23</v>
      </c>
      <c r="K3068" s="3">
        <v>2023.35</v>
      </c>
      <c r="L3068" t="b">
        <f>TablaDatos[[#This Row],[FechaAlta]] &lt; TablaDatos[[#This Row],[FechaIngreso]]</f>
        <v>0</v>
      </c>
      <c r="M3068">
        <f>_xlfn.XLOOKUP(TablaDatos[[#This Row],[PacienteID]],'Datos_Ejemplo.csv'!A:A,'Datos_Ejemplo.csv'!I:I)</f>
        <v>6</v>
      </c>
      <c r="N3068">
        <f>ABS(TablaDatos[[#This Row],[DiasOriginal]])</f>
        <v>6</v>
      </c>
      <c r="O3068" s="1">
        <f>TablaDatos[[#This Row],[FechaIngreso]]+TablaDatos[[#This Row],[DiasNuevo]]</f>
        <v>45102</v>
      </c>
    </row>
    <row r="3069" spans="1:15">
      <c r="A3069">
        <v>3068</v>
      </c>
      <c r="B3069" t="s">
        <v>290</v>
      </c>
      <c r="C3069" s="1">
        <v>17533</v>
      </c>
      <c r="D3069">
        <v>78</v>
      </c>
      <c r="E3069" s="4" t="s">
        <v>15</v>
      </c>
      <c r="F3069" t="s">
        <v>261</v>
      </c>
      <c r="G3069" s="1">
        <v>45266</v>
      </c>
      <c r="H3069" s="1">
        <f>TablaDatos[[#This Row],[FechaIngreso]]+TablaDatos[[#This Row],[DiasNuevo]]</f>
        <v>45301</v>
      </c>
      <c r="I3069">
        <v>35</v>
      </c>
      <c r="J3069" t="s">
        <v>19</v>
      </c>
      <c r="K3069" s="3">
        <v>11693.01</v>
      </c>
      <c r="L3069" t="b">
        <f>TablaDatos[[#This Row],[FechaAlta]] &lt; TablaDatos[[#This Row],[FechaIngreso]]</f>
        <v>0</v>
      </c>
      <c r="M3069">
        <f>_xlfn.XLOOKUP(TablaDatos[[#This Row],[PacienteID]],'Datos_Ejemplo.csv'!A:A,'Datos_Ejemplo.csv'!I:I)</f>
        <v>35</v>
      </c>
      <c r="N3069">
        <f>ABS(TablaDatos[[#This Row],[DiasOriginal]])</f>
        <v>35</v>
      </c>
      <c r="O3069" s="1">
        <f>TablaDatos[[#This Row],[FechaIngreso]]+TablaDatos[[#This Row],[DiasNuevo]]</f>
        <v>45301</v>
      </c>
    </row>
    <row r="3070" spans="1:15">
      <c r="A3070">
        <v>3069</v>
      </c>
      <c r="B3070" t="s">
        <v>258</v>
      </c>
      <c r="C3070" s="1">
        <v>14976</v>
      </c>
      <c r="D3070">
        <v>85</v>
      </c>
      <c r="E3070" s="4" t="s">
        <v>15</v>
      </c>
      <c r="F3070" t="s">
        <v>18</v>
      </c>
      <c r="G3070" s="1">
        <v>45095</v>
      </c>
      <c r="H3070" s="1">
        <f>TablaDatos[[#This Row],[FechaIngreso]]+TablaDatos[[#This Row],[DiasNuevo]]</f>
        <v>45121</v>
      </c>
      <c r="I3070">
        <v>26</v>
      </c>
      <c r="J3070" t="s">
        <v>19</v>
      </c>
      <c r="K3070" s="3">
        <v>2389.56</v>
      </c>
      <c r="L3070" t="b">
        <f>TablaDatos[[#This Row],[FechaAlta]] &lt; TablaDatos[[#This Row],[FechaIngreso]]</f>
        <v>0</v>
      </c>
      <c r="M3070">
        <f>_xlfn.XLOOKUP(TablaDatos[[#This Row],[PacienteID]],'Datos_Ejemplo.csv'!A:A,'Datos_Ejemplo.csv'!I:I)</f>
        <v>26</v>
      </c>
      <c r="N3070">
        <f>ABS(TablaDatos[[#This Row],[DiasOriginal]])</f>
        <v>26</v>
      </c>
      <c r="O3070" s="1">
        <f>TablaDatos[[#This Row],[FechaIngreso]]+TablaDatos[[#This Row],[DiasNuevo]]</f>
        <v>45121</v>
      </c>
    </row>
    <row r="3071" spans="1:15">
      <c r="A3071">
        <v>3070</v>
      </c>
      <c r="B3071" t="s">
        <v>250</v>
      </c>
      <c r="C3071" s="1">
        <v>12785</v>
      </c>
      <c r="D3071">
        <v>91</v>
      </c>
      <c r="E3071" s="4" t="s">
        <v>15</v>
      </c>
      <c r="F3071" t="s">
        <v>201</v>
      </c>
      <c r="G3071" s="1">
        <v>45464</v>
      </c>
      <c r="H3071" s="1">
        <f>TablaDatos[[#This Row],[FechaIngreso]]+TablaDatos[[#This Row],[DiasNuevo]]</f>
        <v>45499</v>
      </c>
      <c r="I3071">
        <v>35</v>
      </c>
      <c r="J3071" t="s">
        <v>23</v>
      </c>
      <c r="K3071" s="3">
        <v>2903.3</v>
      </c>
      <c r="L3071" t="b">
        <f>TablaDatos[[#This Row],[FechaAlta]] &lt; TablaDatos[[#This Row],[FechaIngreso]]</f>
        <v>0</v>
      </c>
      <c r="M3071">
        <f>_xlfn.XLOOKUP(TablaDatos[[#This Row],[PacienteID]],'Datos_Ejemplo.csv'!A:A,'Datos_Ejemplo.csv'!I:I)</f>
        <v>35</v>
      </c>
      <c r="N3071">
        <f>ABS(TablaDatos[[#This Row],[DiasOriginal]])</f>
        <v>35</v>
      </c>
      <c r="O3071" s="1">
        <f>TablaDatos[[#This Row],[FechaIngreso]]+TablaDatos[[#This Row],[DiasNuevo]]</f>
        <v>45499</v>
      </c>
    </row>
    <row r="3072" spans="1:15">
      <c r="A3072">
        <v>3071</v>
      </c>
      <c r="B3072" t="s">
        <v>367</v>
      </c>
      <c r="C3072" s="1">
        <v>41274</v>
      </c>
      <c r="D3072">
        <v>13</v>
      </c>
      <c r="E3072" s="4" t="s">
        <v>15</v>
      </c>
      <c r="F3072" t="s">
        <v>261</v>
      </c>
      <c r="G3072" s="1">
        <v>45618</v>
      </c>
      <c r="H3072" s="1">
        <f>TablaDatos[[#This Row],[FechaIngreso]]+TablaDatos[[#This Row],[DiasNuevo]]</f>
        <v>45633</v>
      </c>
      <c r="I3072">
        <v>15</v>
      </c>
      <c r="J3072" t="s">
        <v>19</v>
      </c>
      <c r="K3072" s="3">
        <v>15419.55</v>
      </c>
      <c r="L3072" t="b">
        <f>TablaDatos[[#This Row],[FechaAlta]] &lt; TablaDatos[[#This Row],[FechaIngreso]]</f>
        <v>0</v>
      </c>
      <c r="M3072">
        <f>_xlfn.XLOOKUP(TablaDatos[[#This Row],[PacienteID]],'Datos_Ejemplo.csv'!A:A,'Datos_Ejemplo.csv'!I:I)</f>
        <v>15</v>
      </c>
      <c r="N3072">
        <f>ABS(TablaDatos[[#This Row],[DiasOriginal]])</f>
        <v>15</v>
      </c>
      <c r="O3072" s="1">
        <f>TablaDatos[[#This Row],[FechaIngreso]]+TablaDatos[[#This Row],[DiasNuevo]]</f>
        <v>45633</v>
      </c>
    </row>
    <row r="3073" spans="1:15">
      <c r="A3073">
        <v>3072</v>
      </c>
      <c r="B3073" t="s">
        <v>244</v>
      </c>
      <c r="C3073" s="1">
        <f ca="1">DATE(YEAR(TODAY())-TablaDatos[[#This Row],[Edad]],1,1)</f>
        <v>0</v>
      </c>
      <c r="D3073">
        <f ca="1">DATEDIF(TablaDatos[[#This Row],[FechaNacimiento]],TODAY(),"Y")</f>
        <v>126</v>
      </c>
      <c r="E3073" s="4" t="s">
        <v>15</v>
      </c>
      <c r="F3073" t="s">
        <v>13</v>
      </c>
      <c r="G3073" s="1">
        <v>45398</v>
      </c>
      <c r="H3073" s="1">
        <f>TablaDatos[[#This Row],[FechaIngreso]]+TablaDatos[[#This Row],[DiasNuevo]]</f>
        <v>45417</v>
      </c>
      <c r="I3073">
        <v>19</v>
      </c>
      <c r="J3073" t="s">
        <v>25</v>
      </c>
      <c r="K3073" s="3">
        <v>14988.91</v>
      </c>
      <c r="L3073" t="b">
        <f>TablaDatos[[#This Row],[FechaAlta]] &lt; TablaDatos[[#This Row],[FechaIngreso]]</f>
        <v>0</v>
      </c>
      <c r="M3073">
        <f>_xlfn.XLOOKUP(TablaDatos[[#This Row],[PacienteID]],'Datos_Ejemplo.csv'!A:A,'Datos_Ejemplo.csv'!I:I)</f>
        <v>19</v>
      </c>
      <c r="N3073">
        <f>ABS(TablaDatos[[#This Row],[DiasOriginal]])</f>
        <v>19</v>
      </c>
      <c r="O3073" s="1">
        <f>TablaDatos[[#This Row],[FechaIngreso]]+TablaDatos[[#This Row],[DiasNuevo]]</f>
        <v>45417</v>
      </c>
    </row>
    <row r="3074" spans="1:15">
      <c r="A3074">
        <v>3073</v>
      </c>
      <c r="B3074" t="s">
        <v>55</v>
      </c>
      <c r="C3074" s="1">
        <v>31778</v>
      </c>
      <c r="D3074">
        <v>39</v>
      </c>
      <c r="E3074" s="4" t="s">
        <v>12</v>
      </c>
      <c r="F3074" t="s">
        <v>295</v>
      </c>
      <c r="G3074" s="1">
        <v>45588</v>
      </c>
      <c r="H3074" s="1">
        <f>TablaDatos[[#This Row],[FechaIngreso]]+TablaDatos[[#This Row],[DiasNuevo]]</f>
        <v>45620</v>
      </c>
      <c r="I3074">
        <v>32</v>
      </c>
      <c r="J3074" t="s">
        <v>25</v>
      </c>
      <c r="K3074" s="3">
        <v>16839.73</v>
      </c>
      <c r="L3074" t="b">
        <f>TablaDatos[[#This Row],[FechaAlta]] &lt; TablaDatos[[#This Row],[FechaIngreso]]</f>
        <v>0</v>
      </c>
      <c r="M3074">
        <f>_xlfn.XLOOKUP(TablaDatos[[#This Row],[PacienteID]],'Datos_Ejemplo.csv'!A:A,'Datos_Ejemplo.csv'!I:I)</f>
        <v>32</v>
      </c>
      <c r="N3074">
        <f>ABS(TablaDatos[[#This Row],[DiasOriginal]])</f>
        <v>32</v>
      </c>
      <c r="O3074" s="1">
        <f>TablaDatos[[#This Row],[FechaIngreso]]+TablaDatos[[#This Row],[DiasNuevo]]</f>
        <v>45620</v>
      </c>
    </row>
    <row r="3075" spans="1:15">
      <c r="A3075">
        <v>3074</v>
      </c>
      <c r="B3075" t="s">
        <v>353</v>
      </c>
      <c r="C3075" s="1">
        <v>25203</v>
      </c>
      <c r="D3075">
        <v>57</v>
      </c>
      <c r="E3075" s="4" t="s">
        <v>15</v>
      </c>
      <c r="F3075" t="s">
        <v>295</v>
      </c>
      <c r="G3075" s="1">
        <v>45571</v>
      </c>
      <c r="H3075" s="1">
        <f>TablaDatos[[#This Row],[FechaIngreso]]+TablaDatos[[#This Row],[DiasNuevo]]</f>
        <v>45583</v>
      </c>
      <c r="I3075">
        <v>12</v>
      </c>
      <c r="J3075" t="s">
        <v>19</v>
      </c>
      <c r="K3075" s="3">
        <v>2025.28</v>
      </c>
      <c r="L3075" t="b">
        <f>TablaDatos[[#This Row],[FechaAlta]] &lt; TablaDatos[[#This Row],[FechaIngreso]]</f>
        <v>0</v>
      </c>
      <c r="M3075">
        <f>_xlfn.XLOOKUP(TablaDatos[[#This Row],[PacienteID]],'Datos_Ejemplo.csv'!A:A,'Datos_Ejemplo.csv'!I:I)</f>
        <v>12</v>
      </c>
      <c r="N3075">
        <f>ABS(TablaDatos[[#This Row],[DiasOriginal]])</f>
        <v>12</v>
      </c>
      <c r="O3075" s="1">
        <f>TablaDatos[[#This Row],[FechaIngreso]]+TablaDatos[[#This Row],[DiasNuevo]]</f>
        <v>45583</v>
      </c>
    </row>
    <row r="3076" spans="1:15">
      <c r="A3076">
        <v>3075</v>
      </c>
      <c r="B3076" t="s">
        <v>313</v>
      </c>
      <c r="C3076" s="1">
        <v>36161</v>
      </c>
      <c r="D3076">
        <v>27</v>
      </c>
      <c r="E3076" s="4" t="s">
        <v>12</v>
      </c>
      <c r="F3076" t="s">
        <v>18</v>
      </c>
      <c r="G3076" s="1">
        <v>45069</v>
      </c>
      <c r="H3076" s="1">
        <f>TablaDatos[[#This Row],[FechaIngreso]]+TablaDatos[[#This Row],[DiasNuevo]]</f>
        <v>45073</v>
      </c>
      <c r="I3076">
        <v>4</v>
      </c>
      <c r="J3076" t="s">
        <v>23</v>
      </c>
      <c r="K3076" s="3">
        <v>3882.71</v>
      </c>
      <c r="L3076" t="b">
        <f>TablaDatos[[#This Row],[FechaAlta]] &lt; TablaDatos[[#This Row],[FechaIngreso]]</f>
        <v>0</v>
      </c>
      <c r="M3076">
        <f>_xlfn.XLOOKUP(TablaDatos[[#This Row],[PacienteID]],'Datos_Ejemplo.csv'!A:A,'Datos_Ejemplo.csv'!I:I)</f>
        <v>4</v>
      </c>
      <c r="N3076">
        <f>ABS(TablaDatos[[#This Row],[DiasOriginal]])</f>
        <v>4</v>
      </c>
      <c r="O3076" s="1">
        <f>TablaDatos[[#This Row],[FechaIngreso]]+TablaDatos[[#This Row],[DiasNuevo]]</f>
        <v>45073</v>
      </c>
    </row>
    <row r="3077" spans="1:15">
      <c r="A3077">
        <v>3076</v>
      </c>
      <c r="B3077" t="s">
        <v>304</v>
      </c>
      <c r="C3077" s="1">
        <v>36891</v>
      </c>
      <c r="D3077">
        <v>25</v>
      </c>
      <c r="E3077" s="4" t="s">
        <v>12</v>
      </c>
      <c r="F3077" t="s">
        <v>201</v>
      </c>
      <c r="G3077" s="1">
        <v>45602</v>
      </c>
      <c r="H3077" s="1">
        <f>TablaDatos[[#This Row],[FechaIngreso]]+TablaDatos[[#This Row],[DiasNuevo]]</f>
        <v>45612</v>
      </c>
      <c r="I3077">
        <v>10</v>
      </c>
      <c r="J3077" t="s">
        <v>23</v>
      </c>
      <c r="K3077" s="3">
        <v>16642.52</v>
      </c>
      <c r="L3077" t="b">
        <f>TablaDatos[[#This Row],[FechaAlta]] &lt; TablaDatos[[#This Row],[FechaIngreso]]</f>
        <v>0</v>
      </c>
      <c r="M3077">
        <f>_xlfn.XLOOKUP(TablaDatos[[#This Row],[PacienteID]],'Datos_Ejemplo.csv'!A:A,'Datos_Ejemplo.csv'!I:I)</f>
        <v>10</v>
      </c>
      <c r="N3077">
        <f>ABS(TablaDatos[[#This Row],[DiasOriginal]])</f>
        <v>10</v>
      </c>
      <c r="O3077" s="1">
        <f>TablaDatos[[#This Row],[FechaIngreso]]+TablaDatos[[#This Row],[DiasNuevo]]</f>
        <v>45612</v>
      </c>
    </row>
    <row r="3078" spans="1:15">
      <c r="A3078">
        <v>3077</v>
      </c>
      <c r="B3078" t="s">
        <v>354</v>
      </c>
      <c r="C3078" s="1">
        <v>23377</v>
      </c>
      <c r="D3078">
        <v>62</v>
      </c>
      <c r="E3078" s="4" t="s">
        <v>12</v>
      </c>
      <c r="F3078" t="s">
        <v>13</v>
      </c>
      <c r="G3078" s="1">
        <v>45027</v>
      </c>
      <c r="H3078" s="1">
        <f>TablaDatos[[#This Row],[FechaIngreso]]+TablaDatos[[#This Row],[DiasNuevo]]</f>
        <v>45066</v>
      </c>
      <c r="I3078">
        <v>39</v>
      </c>
      <c r="J3078" t="s">
        <v>23</v>
      </c>
      <c r="K3078" s="3">
        <v>14393.86</v>
      </c>
      <c r="L3078" t="b">
        <f>TablaDatos[[#This Row],[FechaAlta]] &lt; TablaDatos[[#This Row],[FechaIngreso]]</f>
        <v>0</v>
      </c>
      <c r="M3078">
        <f>_xlfn.XLOOKUP(TablaDatos[[#This Row],[PacienteID]],'Datos_Ejemplo.csv'!A:A,'Datos_Ejemplo.csv'!I:I)</f>
        <v>39</v>
      </c>
      <c r="N3078">
        <f>ABS(TablaDatos[[#This Row],[DiasOriginal]])</f>
        <v>39</v>
      </c>
      <c r="O3078" s="1">
        <f>TablaDatos[[#This Row],[FechaIngreso]]+TablaDatos[[#This Row],[DiasNuevo]]</f>
        <v>45066</v>
      </c>
    </row>
    <row r="3079" spans="1:15">
      <c r="A3079">
        <v>3078</v>
      </c>
      <c r="B3079" t="s">
        <v>253</v>
      </c>
      <c r="C3079" s="1">
        <v>22281</v>
      </c>
      <c r="D3079">
        <v>65</v>
      </c>
      <c r="E3079" s="4" t="s">
        <v>15</v>
      </c>
      <c r="F3079" t="s">
        <v>32</v>
      </c>
      <c r="G3079" s="1">
        <v>45501</v>
      </c>
      <c r="H3079" s="1">
        <f>TablaDatos[[#This Row],[FechaIngreso]]+TablaDatos[[#This Row],[DiasNuevo]]</f>
        <v>45534</v>
      </c>
      <c r="I3079">
        <v>33</v>
      </c>
      <c r="J3079" t="s">
        <v>19</v>
      </c>
      <c r="K3079" s="3">
        <v>16099.72</v>
      </c>
      <c r="L3079" t="b">
        <f>TablaDatos[[#This Row],[FechaAlta]] &lt; TablaDatos[[#This Row],[FechaIngreso]]</f>
        <v>0</v>
      </c>
      <c r="M3079">
        <f>_xlfn.XLOOKUP(TablaDatos[[#This Row],[PacienteID]],'Datos_Ejemplo.csv'!A:A,'Datos_Ejemplo.csv'!I:I)</f>
        <v>33</v>
      </c>
      <c r="N3079">
        <f>ABS(TablaDatos[[#This Row],[DiasOriginal]])</f>
        <v>33</v>
      </c>
      <c r="O3079" s="1">
        <f>TablaDatos[[#This Row],[FechaIngreso]]+TablaDatos[[#This Row],[DiasNuevo]]</f>
        <v>45534</v>
      </c>
    </row>
    <row r="3080" spans="1:15">
      <c r="A3080">
        <v>3079</v>
      </c>
      <c r="B3080" t="s">
        <v>284</v>
      </c>
      <c r="C3080" s="1">
        <v>37256</v>
      </c>
      <c r="D3080">
        <v>24</v>
      </c>
      <c r="E3080" s="4" t="s">
        <v>15</v>
      </c>
      <c r="F3080" t="s">
        <v>201</v>
      </c>
      <c r="G3080" s="1">
        <v>45531</v>
      </c>
      <c r="H3080" s="1">
        <f>TablaDatos[[#This Row],[FechaIngreso]]+TablaDatos[[#This Row],[DiasNuevo]]</f>
        <v>45544</v>
      </c>
      <c r="I3080">
        <v>13</v>
      </c>
      <c r="J3080" t="s">
        <v>23</v>
      </c>
      <c r="K3080" s="3">
        <v>19793.89</v>
      </c>
      <c r="L3080" t="b">
        <f>TablaDatos[[#This Row],[FechaAlta]] &lt; TablaDatos[[#This Row],[FechaIngreso]]</f>
        <v>0</v>
      </c>
      <c r="M3080">
        <f>_xlfn.XLOOKUP(TablaDatos[[#This Row],[PacienteID]],'Datos_Ejemplo.csv'!A:A,'Datos_Ejemplo.csv'!I:I)</f>
        <v>13</v>
      </c>
      <c r="N3080">
        <f>ABS(TablaDatos[[#This Row],[DiasOriginal]])</f>
        <v>13</v>
      </c>
      <c r="O3080" s="1">
        <f>TablaDatos[[#This Row],[FechaIngreso]]+TablaDatos[[#This Row],[DiasNuevo]]</f>
        <v>45544</v>
      </c>
    </row>
    <row r="3081" spans="1:15">
      <c r="A3081">
        <v>3080</v>
      </c>
      <c r="B3081" t="s">
        <v>348</v>
      </c>
      <c r="C3081" s="1">
        <v>45292</v>
      </c>
      <c r="D3081">
        <v>2</v>
      </c>
      <c r="E3081" s="4" t="s">
        <v>15</v>
      </c>
      <c r="F3081" t="s">
        <v>13</v>
      </c>
      <c r="G3081" s="1">
        <v>45645</v>
      </c>
      <c r="H3081" s="1">
        <f>TablaDatos[[#This Row],[FechaIngreso]]+TablaDatos[[#This Row],[DiasNuevo]]</f>
        <v>45683</v>
      </c>
      <c r="I3081">
        <v>38</v>
      </c>
      <c r="J3081" t="s">
        <v>23</v>
      </c>
      <c r="K3081" s="3">
        <v>17275.080000000002</v>
      </c>
      <c r="L3081" t="b">
        <f>TablaDatos[[#This Row],[FechaAlta]] &lt; TablaDatos[[#This Row],[FechaIngreso]]</f>
        <v>0</v>
      </c>
      <c r="M3081">
        <f>_xlfn.XLOOKUP(TablaDatos[[#This Row],[PacienteID]],'Datos_Ejemplo.csv'!A:A,'Datos_Ejemplo.csv'!I:I)</f>
        <v>38</v>
      </c>
      <c r="N3081">
        <f>ABS(TablaDatos[[#This Row],[DiasOriginal]])</f>
        <v>38</v>
      </c>
      <c r="O3081" s="1">
        <f>TablaDatos[[#This Row],[FechaIngreso]]+TablaDatos[[#This Row],[DiasNuevo]]</f>
        <v>45683</v>
      </c>
    </row>
    <row r="3082" spans="1:15">
      <c r="A3082">
        <v>3081</v>
      </c>
      <c r="B3082" t="s">
        <v>274</v>
      </c>
      <c r="C3082" s="1">
        <v>20090</v>
      </c>
      <c r="D3082">
        <v>71</v>
      </c>
      <c r="E3082" s="4" t="s">
        <v>15</v>
      </c>
      <c r="F3082" t="s">
        <v>295</v>
      </c>
      <c r="G3082" s="1">
        <v>45401</v>
      </c>
      <c r="H3082" s="1">
        <f>TablaDatos[[#This Row],[FechaIngreso]]+TablaDatos[[#This Row],[DiasNuevo]]</f>
        <v>45419</v>
      </c>
      <c r="I3082">
        <v>18</v>
      </c>
      <c r="J3082" t="s">
        <v>25</v>
      </c>
      <c r="K3082" s="3">
        <v>10361.31</v>
      </c>
      <c r="L3082" t="b">
        <f>TablaDatos[[#This Row],[FechaAlta]] &lt; TablaDatos[[#This Row],[FechaIngreso]]</f>
        <v>0</v>
      </c>
      <c r="M3082">
        <f>_xlfn.XLOOKUP(TablaDatos[[#This Row],[PacienteID]],'Datos_Ejemplo.csv'!A:A,'Datos_Ejemplo.csv'!I:I)</f>
        <v>18</v>
      </c>
      <c r="N3082">
        <f>ABS(TablaDatos[[#This Row],[DiasOriginal]])</f>
        <v>18</v>
      </c>
      <c r="O3082" s="1">
        <f>TablaDatos[[#This Row],[FechaIngreso]]+TablaDatos[[#This Row],[DiasNuevo]]</f>
        <v>45419</v>
      </c>
    </row>
    <row r="3083" spans="1:15">
      <c r="A3083">
        <v>3082</v>
      </c>
      <c r="B3083" t="s">
        <v>269</v>
      </c>
      <c r="C3083" s="1">
        <v>30317</v>
      </c>
      <c r="D3083">
        <v>43</v>
      </c>
      <c r="E3083" s="4" t="s">
        <v>15</v>
      </c>
      <c r="F3083" t="s">
        <v>21</v>
      </c>
      <c r="G3083" s="1">
        <v>45237</v>
      </c>
      <c r="H3083" s="1">
        <f>TablaDatos[[#This Row],[FechaIngreso]]+TablaDatos[[#This Row],[DiasNuevo]]</f>
        <v>45262</v>
      </c>
      <c r="I3083">
        <v>25</v>
      </c>
      <c r="J3083" t="s">
        <v>25</v>
      </c>
      <c r="K3083" s="3">
        <v>6146.44</v>
      </c>
      <c r="L3083" t="b">
        <f>TablaDatos[[#This Row],[FechaAlta]] &lt; TablaDatos[[#This Row],[FechaIngreso]]</f>
        <v>0</v>
      </c>
      <c r="M3083">
        <f>_xlfn.XLOOKUP(TablaDatos[[#This Row],[PacienteID]],'Datos_Ejemplo.csv'!A:A,'Datos_Ejemplo.csv'!I:I)</f>
        <v>25</v>
      </c>
      <c r="N3083">
        <f>ABS(TablaDatos[[#This Row],[DiasOriginal]])</f>
        <v>25</v>
      </c>
      <c r="O3083" s="1">
        <f>TablaDatos[[#This Row],[FechaIngreso]]+TablaDatos[[#This Row],[DiasNuevo]]</f>
        <v>45262</v>
      </c>
    </row>
    <row r="3084" spans="1:15">
      <c r="A3084">
        <v>3083</v>
      </c>
      <c r="B3084" t="s">
        <v>325</v>
      </c>
      <c r="C3084" s="1">
        <v>31047</v>
      </c>
      <c r="D3084">
        <v>41</v>
      </c>
      <c r="E3084" s="4" t="s">
        <v>12</v>
      </c>
      <c r="F3084" t="s">
        <v>18</v>
      </c>
      <c r="G3084" s="1">
        <v>45510</v>
      </c>
      <c r="H3084" s="1">
        <f>TablaDatos[[#This Row],[FechaIngreso]]+TablaDatos[[#This Row],[DiasNuevo]]</f>
        <v>45517</v>
      </c>
      <c r="I3084">
        <v>7</v>
      </c>
      <c r="J3084" t="s">
        <v>23</v>
      </c>
      <c r="K3084" s="3">
        <v>11350.5</v>
      </c>
      <c r="L3084" t="b">
        <f>TablaDatos[[#This Row],[FechaAlta]] &lt; TablaDatos[[#This Row],[FechaIngreso]]</f>
        <v>0</v>
      </c>
      <c r="M3084">
        <f>_xlfn.XLOOKUP(TablaDatos[[#This Row],[PacienteID]],'Datos_Ejemplo.csv'!A:A,'Datos_Ejemplo.csv'!I:I)</f>
        <v>7</v>
      </c>
      <c r="N3084">
        <f>ABS(TablaDatos[[#This Row],[DiasOriginal]])</f>
        <v>7</v>
      </c>
      <c r="O3084" s="1">
        <f>TablaDatos[[#This Row],[FechaIngreso]]+TablaDatos[[#This Row],[DiasNuevo]]</f>
        <v>45517</v>
      </c>
    </row>
    <row r="3085" spans="1:15">
      <c r="A3085">
        <v>3084</v>
      </c>
      <c r="B3085" t="s">
        <v>269</v>
      </c>
      <c r="C3085" s="1">
        <v>44196</v>
      </c>
      <c r="D3085">
        <v>5</v>
      </c>
      <c r="E3085" s="4" t="s">
        <v>12</v>
      </c>
      <c r="F3085" t="s">
        <v>21</v>
      </c>
      <c r="G3085" s="1">
        <v>44986</v>
      </c>
      <c r="H3085" s="1">
        <f>TablaDatos[[#This Row],[FechaIngreso]]+TablaDatos[[#This Row],[DiasNuevo]]</f>
        <v>45002</v>
      </c>
      <c r="I3085">
        <v>16</v>
      </c>
      <c r="J3085" t="s">
        <v>23</v>
      </c>
      <c r="K3085" s="3">
        <v>12735.59</v>
      </c>
      <c r="L3085" t="b">
        <f>TablaDatos[[#This Row],[FechaAlta]] &lt; TablaDatos[[#This Row],[FechaIngreso]]</f>
        <v>0</v>
      </c>
      <c r="M3085">
        <f>_xlfn.XLOOKUP(TablaDatos[[#This Row],[PacienteID]],'Datos_Ejemplo.csv'!A:A,'Datos_Ejemplo.csv'!I:I)</f>
        <v>16</v>
      </c>
      <c r="N3085">
        <f>ABS(TablaDatos[[#This Row],[DiasOriginal]])</f>
        <v>16</v>
      </c>
      <c r="O3085" s="1">
        <f>TablaDatos[[#This Row],[FechaIngreso]]+TablaDatos[[#This Row],[DiasNuevo]]</f>
        <v>45002</v>
      </c>
    </row>
    <row r="3086" spans="1:15">
      <c r="A3086">
        <v>3085</v>
      </c>
      <c r="B3086" t="s">
        <v>299</v>
      </c>
      <c r="C3086" s="1">
        <v>32143</v>
      </c>
      <c r="D3086">
        <v>38</v>
      </c>
      <c r="E3086" s="4" t="s">
        <v>12</v>
      </c>
      <c r="F3086" t="s">
        <v>32</v>
      </c>
      <c r="G3086" s="1">
        <v>44955</v>
      </c>
      <c r="H3086" s="1">
        <f>TablaDatos[[#This Row],[FechaIngreso]]+TablaDatos[[#This Row],[DiasNuevo]]</f>
        <v>44969</v>
      </c>
      <c r="I3086">
        <v>14</v>
      </c>
      <c r="J3086" t="s">
        <v>19</v>
      </c>
      <c r="K3086" s="3">
        <v>6639.77</v>
      </c>
      <c r="L3086" t="b">
        <f>TablaDatos[[#This Row],[FechaAlta]] &lt; TablaDatos[[#This Row],[FechaIngreso]]</f>
        <v>0</v>
      </c>
      <c r="M3086">
        <f>_xlfn.XLOOKUP(TablaDatos[[#This Row],[PacienteID]],'Datos_Ejemplo.csv'!A:A,'Datos_Ejemplo.csv'!I:I)</f>
        <v>14</v>
      </c>
      <c r="N3086">
        <f>ABS(TablaDatos[[#This Row],[DiasOriginal]])</f>
        <v>14</v>
      </c>
      <c r="O3086" s="1">
        <f>TablaDatos[[#This Row],[FechaIngreso]]+TablaDatos[[#This Row],[DiasNuevo]]</f>
        <v>44969</v>
      </c>
    </row>
    <row r="3087" spans="1:15">
      <c r="A3087">
        <v>3086</v>
      </c>
      <c r="B3087" t="s">
        <v>348</v>
      </c>
      <c r="C3087" s="1">
        <v>27395</v>
      </c>
      <c r="D3087">
        <v>51</v>
      </c>
      <c r="E3087" s="4" t="s">
        <v>15</v>
      </c>
      <c r="F3087" t="s">
        <v>13</v>
      </c>
      <c r="G3087" s="1">
        <v>45457</v>
      </c>
      <c r="H3087" s="1">
        <f>TablaDatos[[#This Row],[FechaIngreso]]+TablaDatos[[#This Row],[DiasNuevo]]</f>
        <v>45459</v>
      </c>
      <c r="I3087">
        <v>2</v>
      </c>
      <c r="J3087" t="s">
        <v>25</v>
      </c>
      <c r="K3087" s="3">
        <v>15395.83</v>
      </c>
      <c r="L3087" t="b">
        <f>TablaDatos[[#This Row],[FechaAlta]] &lt; TablaDatos[[#This Row],[FechaIngreso]]</f>
        <v>0</v>
      </c>
      <c r="M3087">
        <f>_xlfn.XLOOKUP(TablaDatos[[#This Row],[PacienteID]],'Datos_Ejemplo.csv'!A:A,'Datos_Ejemplo.csv'!I:I)</f>
        <v>-2</v>
      </c>
      <c r="N3087">
        <f>ABS(TablaDatos[[#This Row],[DiasOriginal]])</f>
        <v>2</v>
      </c>
      <c r="O3087" s="1">
        <f>TablaDatos[[#This Row],[FechaIngreso]]+TablaDatos[[#This Row],[DiasNuevo]]</f>
        <v>45459</v>
      </c>
    </row>
    <row r="3088" spans="1:15">
      <c r="A3088">
        <v>3087</v>
      </c>
      <c r="B3088" t="s">
        <v>253</v>
      </c>
      <c r="C3088" s="1">
        <v>37987</v>
      </c>
      <c r="D3088">
        <v>22</v>
      </c>
      <c r="E3088" s="4" t="s">
        <v>15</v>
      </c>
      <c r="F3088" t="s">
        <v>32</v>
      </c>
      <c r="G3088" s="1">
        <v>44999</v>
      </c>
      <c r="H3088" s="1">
        <f>TablaDatos[[#This Row],[FechaIngreso]]+TablaDatos[[#This Row],[DiasNuevo]]</f>
        <v>45009</v>
      </c>
      <c r="I3088">
        <v>10</v>
      </c>
      <c r="J3088" t="s">
        <v>23</v>
      </c>
      <c r="K3088" s="3">
        <v>1764.35</v>
      </c>
      <c r="L3088" t="b">
        <f>TablaDatos[[#This Row],[FechaAlta]] &lt; TablaDatos[[#This Row],[FechaIngreso]]</f>
        <v>0</v>
      </c>
      <c r="M3088">
        <f>_xlfn.XLOOKUP(TablaDatos[[#This Row],[PacienteID]],'Datos_Ejemplo.csv'!A:A,'Datos_Ejemplo.csv'!I:I)</f>
        <v>10</v>
      </c>
      <c r="N3088">
        <f>ABS(TablaDatos[[#This Row],[DiasOriginal]])</f>
        <v>10</v>
      </c>
      <c r="O3088" s="1">
        <f>TablaDatos[[#This Row],[FechaIngreso]]+TablaDatos[[#This Row],[DiasNuevo]]</f>
        <v>45009</v>
      </c>
    </row>
    <row r="3089" spans="1:15">
      <c r="A3089">
        <v>3088</v>
      </c>
      <c r="B3089" t="s">
        <v>252</v>
      </c>
      <c r="C3089" s="1">
        <v>13880</v>
      </c>
      <c r="D3089">
        <v>88</v>
      </c>
      <c r="E3089" s="4" t="s">
        <v>12</v>
      </c>
      <c r="F3089" t="s">
        <v>21</v>
      </c>
      <c r="G3089" s="1">
        <v>45320</v>
      </c>
      <c r="H3089" s="1">
        <f>TablaDatos[[#This Row],[FechaIngreso]]+TablaDatos[[#This Row],[DiasNuevo]]</f>
        <v>45353</v>
      </c>
      <c r="I3089">
        <v>33</v>
      </c>
      <c r="J3089" t="s">
        <v>23</v>
      </c>
      <c r="K3089" s="3">
        <v>15565.8</v>
      </c>
      <c r="L3089" t="b">
        <f>TablaDatos[[#This Row],[FechaAlta]] &lt; TablaDatos[[#This Row],[FechaIngreso]]</f>
        <v>0</v>
      </c>
      <c r="M3089">
        <f>_xlfn.XLOOKUP(TablaDatos[[#This Row],[PacienteID]],'Datos_Ejemplo.csv'!A:A,'Datos_Ejemplo.csv'!I:I)</f>
        <v>33</v>
      </c>
      <c r="N3089">
        <f>ABS(TablaDatos[[#This Row],[DiasOriginal]])</f>
        <v>33</v>
      </c>
      <c r="O3089" s="1">
        <f>TablaDatos[[#This Row],[FechaIngreso]]+TablaDatos[[#This Row],[DiasNuevo]]</f>
        <v>45353</v>
      </c>
    </row>
    <row r="3090" spans="1:15">
      <c r="A3090">
        <v>3089</v>
      </c>
      <c r="B3090" t="s">
        <v>236</v>
      </c>
      <c r="C3090" s="1">
        <v>28125</v>
      </c>
      <c r="D3090">
        <v>49</v>
      </c>
      <c r="E3090" s="4" t="s">
        <v>15</v>
      </c>
      <c r="F3090" t="s">
        <v>13</v>
      </c>
      <c r="G3090" s="1">
        <v>45320</v>
      </c>
      <c r="H3090" s="1">
        <f>TablaDatos[[#This Row],[FechaIngreso]]+TablaDatos[[#This Row],[DiasNuevo]]</f>
        <v>45359</v>
      </c>
      <c r="I3090">
        <v>39</v>
      </c>
      <c r="J3090" t="s">
        <v>25</v>
      </c>
      <c r="K3090" s="3">
        <v>543.16999999999996</v>
      </c>
      <c r="L3090" t="b">
        <f>TablaDatos[[#This Row],[FechaAlta]] &lt; TablaDatos[[#This Row],[FechaIngreso]]</f>
        <v>0</v>
      </c>
      <c r="M3090">
        <f>_xlfn.XLOOKUP(TablaDatos[[#This Row],[PacienteID]],'Datos_Ejemplo.csv'!A:A,'Datos_Ejemplo.csv'!I:I)</f>
        <v>39</v>
      </c>
      <c r="N3090">
        <f>ABS(TablaDatos[[#This Row],[DiasOriginal]])</f>
        <v>39</v>
      </c>
      <c r="O3090" s="1">
        <f>TablaDatos[[#This Row],[FechaIngreso]]+TablaDatos[[#This Row],[DiasNuevo]]</f>
        <v>45359</v>
      </c>
    </row>
    <row r="3091" spans="1:15">
      <c r="A3091">
        <v>3090</v>
      </c>
      <c r="B3091" t="s">
        <v>301</v>
      </c>
      <c r="C3091" s="1">
        <v>30682</v>
      </c>
      <c r="D3091">
        <v>42</v>
      </c>
      <c r="E3091" s="4" t="s">
        <v>12</v>
      </c>
      <c r="F3091" t="s">
        <v>201</v>
      </c>
      <c r="G3091" s="1">
        <v>45407</v>
      </c>
      <c r="H3091" s="1">
        <f>TablaDatos[[#This Row],[FechaIngreso]]+TablaDatos[[#This Row],[DiasNuevo]]</f>
        <v>45424</v>
      </c>
      <c r="I3091">
        <v>17</v>
      </c>
      <c r="J3091" t="s">
        <v>25</v>
      </c>
      <c r="K3091" s="3">
        <v>9909.1200000000008</v>
      </c>
      <c r="L3091" t="b">
        <f>TablaDatos[[#This Row],[FechaAlta]] &lt; TablaDatos[[#This Row],[FechaIngreso]]</f>
        <v>0</v>
      </c>
      <c r="M3091">
        <f>_xlfn.XLOOKUP(TablaDatos[[#This Row],[PacienteID]],'Datos_Ejemplo.csv'!A:A,'Datos_Ejemplo.csv'!I:I)</f>
        <v>17</v>
      </c>
      <c r="N3091">
        <f>ABS(TablaDatos[[#This Row],[DiasOriginal]])</f>
        <v>17</v>
      </c>
      <c r="O3091" s="1">
        <f>TablaDatos[[#This Row],[FechaIngreso]]+TablaDatos[[#This Row],[DiasNuevo]]</f>
        <v>45424</v>
      </c>
    </row>
    <row r="3092" spans="1:15">
      <c r="A3092">
        <v>3091</v>
      </c>
      <c r="B3092" t="s">
        <v>304</v>
      </c>
      <c r="C3092" s="1">
        <v>39448</v>
      </c>
      <c r="D3092">
        <v>18</v>
      </c>
      <c r="E3092" s="4" t="s">
        <v>12</v>
      </c>
      <c r="F3092" t="s">
        <v>261</v>
      </c>
      <c r="G3092" s="1">
        <v>45399</v>
      </c>
      <c r="H3092" s="1">
        <f>TablaDatos[[#This Row],[FechaIngreso]]+TablaDatos[[#This Row],[DiasNuevo]]</f>
        <v>45437</v>
      </c>
      <c r="I3092">
        <v>38</v>
      </c>
      <c r="J3092" t="s">
        <v>19</v>
      </c>
      <c r="K3092" s="3">
        <v>17214.87</v>
      </c>
      <c r="L3092" t="b">
        <f>TablaDatos[[#This Row],[FechaAlta]] &lt; TablaDatos[[#This Row],[FechaIngreso]]</f>
        <v>0</v>
      </c>
      <c r="M3092">
        <f>_xlfn.XLOOKUP(TablaDatos[[#This Row],[PacienteID]],'Datos_Ejemplo.csv'!A:A,'Datos_Ejemplo.csv'!I:I)</f>
        <v>38</v>
      </c>
      <c r="N3092">
        <f>ABS(TablaDatos[[#This Row],[DiasOriginal]])</f>
        <v>38</v>
      </c>
      <c r="O3092" s="1">
        <f>TablaDatos[[#This Row],[FechaIngreso]]+TablaDatos[[#This Row],[DiasNuevo]]</f>
        <v>45437</v>
      </c>
    </row>
    <row r="3093" spans="1:15">
      <c r="A3093">
        <v>3092</v>
      </c>
      <c r="B3093" t="s">
        <v>252</v>
      </c>
      <c r="C3093" s="1">
        <v>21185</v>
      </c>
      <c r="D3093">
        <v>68</v>
      </c>
      <c r="E3093" s="4" t="s">
        <v>15</v>
      </c>
      <c r="F3093" t="s">
        <v>261</v>
      </c>
      <c r="G3093" s="1">
        <v>45239</v>
      </c>
      <c r="H3093" s="1">
        <f>TablaDatos[[#This Row],[FechaIngreso]]+TablaDatos[[#This Row],[DiasNuevo]]</f>
        <v>45276</v>
      </c>
      <c r="I3093">
        <v>37</v>
      </c>
      <c r="J3093" t="s">
        <v>23</v>
      </c>
      <c r="K3093" s="3">
        <v>1638.56</v>
      </c>
      <c r="L3093" t="b">
        <f>TablaDatos[[#This Row],[FechaAlta]] &lt; TablaDatos[[#This Row],[FechaIngreso]]</f>
        <v>0</v>
      </c>
      <c r="M3093">
        <f>_xlfn.XLOOKUP(TablaDatos[[#This Row],[PacienteID]],'Datos_Ejemplo.csv'!A:A,'Datos_Ejemplo.csv'!I:I)</f>
        <v>37</v>
      </c>
      <c r="N3093">
        <f>ABS(TablaDatos[[#This Row],[DiasOriginal]])</f>
        <v>37</v>
      </c>
      <c r="O3093" s="1">
        <f>TablaDatos[[#This Row],[FechaIngreso]]+TablaDatos[[#This Row],[DiasNuevo]]</f>
        <v>45276</v>
      </c>
    </row>
    <row r="3094" spans="1:15">
      <c r="A3094">
        <v>3093</v>
      </c>
      <c r="B3094" t="s">
        <v>357</v>
      </c>
      <c r="C3094" s="1">
        <v>27760</v>
      </c>
      <c r="D3094">
        <v>50</v>
      </c>
      <c r="E3094" s="4" t="s">
        <v>15</v>
      </c>
      <c r="F3094" t="s">
        <v>201</v>
      </c>
      <c r="G3094" s="1">
        <v>45364</v>
      </c>
      <c r="H3094" s="1">
        <f>TablaDatos[[#This Row],[FechaIngreso]]+TablaDatos[[#This Row],[DiasNuevo]]</f>
        <v>45367</v>
      </c>
      <c r="I3094">
        <v>3</v>
      </c>
      <c r="J3094" t="s">
        <v>23</v>
      </c>
      <c r="K3094" s="3">
        <v>10306.549999999999</v>
      </c>
      <c r="L3094" t="b">
        <f>TablaDatos[[#This Row],[FechaAlta]] &lt; TablaDatos[[#This Row],[FechaIngreso]]</f>
        <v>0</v>
      </c>
      <c r="M3094">
        <f>_xlfn.XLOOKUP(TablaDatos[[#This Row],[PacienteID]],'Datos_Ejemplo.csv'!A:A,'Datos_Ejemplo.csv'!I:I)</f>
        <v>3</v>
      </c>
      <c r="N3094">
        <f>ABS(TablaDatos[[#This Row],[DiasOriginal]])</f>
        <v>3</v>
      </c>
      <c r="O3094" s="1">
        <f>TablaDatos[[#This Row],[FechaIngreso]]+TablaDatos[[#This Row],[DiasNuevo]]</f>
        <v>45367</v>
      </c>
    </row>
    <row r="3095" spans="1:15">
      <c r="A3095">
        <v>3094</v>
      </c>
      <c r="B3095" t="s">
        <v>361</v>
      </c>
      <c r="C3095" s="1">
        <v>42370</v>
      </c>
      <c r="D3095">
        <v>10</v>
      </c>
      <c r="E3095" s="4" t="s">
        <v>15</v>
      </c>
      <c r="F3095" t="s">
        <v>32</v>
      </c>
      <c r="G3095" s="1">
        <v>45250</v>
      </c>
      <c r="H3095" s="1">
        <f>TablaDatos[[#This Row],[FechaIngreso]]+TablaDatos[[#This Row],[DiasNuevo]]</f>
        <v>45270</v>
      </c>
      <c r="I3095">
        <v>20</v>
      </c>
      <c r="J3095" t="s">
        <v>19</v>
      </c>
      <c r="K3095" s="3">
        <v>3103.77</v>
      </c>
      <c r="L3095" t="b">
        <f>TablaDatos[[#This Row],[FechaAlta]] &lt; TablaDatos[[#This Row],[FechaIngreso]]</f>
        <v>0</v>
      </c>
      <c r="M3095">
        <f>_xlfn.XLOOKUP(TablaDatos[[#This Row],[PacienteID]],'Datos_Ejemplo.csv'!A:A,'Datos_Ejemplo.csv'!I:I)</f>
        <v>20</v>
      </c>
      <c r="N3095">
        <f>ABS(TablaDatos[[#This Row],[DiasOriginal]])</f>
        <v>20</v>
      </c>
      <c r="O3095" s="1">
        <f>TablaDatos[[#This Row],[FechaIngreso]]+TablaDatos[[#This Row],[DiasNuevo]]</f>
        <v>45270</v>
      </c>
    </row>
    <row r="3096" spans="1:15">
      <c r="A3096">
        <v>3095</v>
      </c>
      <c r="B3096" t="s">
        <v>161</v>
      </c>
      <c r="C3096" s="1">
        <v>42005</v>
      </c>
      <c r="D3096">
        <v>11</v>
      </c>
      <c r="E3096" s="4" t="s">
        <v>15</v>
      </c>
      <c r="F3096" t="s">
        <v>261</v>
      </c>
      <c r="G3096" s="1">
        <v>45013</v>
      </c>
      <c r="H3096" s="1">
        <f>TablaDatos[[#This Row],[FechaIngreso]]+TablaDatos[[#This Row],[DiasNuevo]]</f>
        <v>45052</v>
      </c>
      <c r="I3096">
        <v>39</v>
      </c>
      <c r="J3096" t="s">
        <v>25</v>
      </c>
      <c r="K3096" s="3">
        <v>17885.8</v>
      </c>
      <c r="L3096" t="b">
        <f>TablaDatos[[#This Row],[FechaAlta]] &lt; TablaDatos[[#This Row],[FechaIngreso]]</f>
        <v>0</v>
      </c>
      <c r="M3096">
        <f>_xlfn.XLOOKUP(TablaDatos[[#This Row],[PacienteID]],'Datos_Ejemplo.csv'!A:A,'Datos_Ejemplo.csv'!I:I)</f>
        <v>39</v>
      </c>
      <c r="N3096">
        <f>ABS(TablaDatos[[#This Row],[DiasOriginal]])</f>
        <v>39</v>
      </c>
      <c r="O3096" s="1">
        <f>TablaDatos[[#This Row],[FechaIngreso]]+TablaDatos[[#This Row],[DiasNuevo]]</f>
        <v>45052</v>
      </c>
    </row>
    <row r="3097" spans="1:15">
      <c r="A3097">
        <v>3096</v>
      </c>
      <c r="B3097" t="s">
        <v>309</v>
      </c>
      <c r="C3097" s="1">
        <v>19359</v>
      </c>
      <c r="D3097">
        <v>73</v>
      </c>
      <c r="E3097" s="4" t="s">
        <v>15</v>
      </c>
      <c r="F3097" t="s">
        <v>261</v>
      </c>
      <c r="G3097" s="1">
        <v>45285</v>
      </c>
      <c r="H3097" s="1">
        <f>TablaDatos[[#This Row],[FechaIngreso]]+TablaDatos[[#This Row],[DiasNuevo]]</f>
        <v>45306</v>
      </c>
      <c r="I3097">
        <v>21</v>
      </c>
      <c r="J3097" t="s">
        <v>23</v>
      </c>
      <c r="K3097" s="3">
        <v>16630.150000000001</v>
      </c>
      <c r="L3097" t="b">
        <f>TablaDatos[[#This Row],[FechaAlta]] &lt; TablaDatos[[#This Row],[FechaIngreso]]</f>
        <v>0</v>
      </c>
      <c r="M3097">
        <f>_xlfn.XLOOKUP(TablaDatos[[#This Row],[PacienteID]],'Datos_Ejemplo.csv'!A:A,'Datos_Ejemplo.csv'!I:I)</f>
        <v>21</v>
      </c>
      <c r="N3097">
        <f>ABS(TablaDatos[[#This Row],[DiasOriginal]])</f>
        <v>21</v>
      </c>
      <c r="O3097" s="1">
        <f>TablaDatos[[#This Row],[FechaIngreso]]+TablaDatos[[#This Row],[DiasNuevo]]</f>
        <v>45306</v>
      </c>
    </row>
    <row r="3098" spans="1:15">
      <c r="A3098">
        <v>3097</v>
      </c>
      <c r="B3098" t="s">
        <v>240</v>
      </c>
      <c r="C3098" s="1">
        <v>43466</v>
      </c>
      <c r="D3098">
        <v>7</v>
      </c>
      <c r="E3098" s="4" t="s">
        <v>15</v>
      </c>
      <c r="F3098" t="s">
        <v>295</v>
      </c>
      <c r="G3098" s="1">
        <v>45621</v>
      </c>
      <c r="H3098" s="1">
        <f>TablaDatos[[#This Row],[FechaIngreso]]+TablaDatos[[#This Row],[DiasNuevo]]</f>
        <v>45623</v>
      </c>
      <c r="I3098">
        <v>2</v>
      </c>
      <c r="J3098" t="s">
        <v>23</v>
      </c>
      <c r="K3098" s="3">
        <v>18671.740000000002</v>
      </c>
      <c r="L3098" t="b">
        <f>TablaDatos[[#This Row],[FechaAlta]] &lt; TablaDatos[[#This Row],[FechaIngreso]]</f>
        <v>0</v>
      </c>
      <c r="M3098">
        <f>_xlfn.XLOOKUP(TablaDatos[[#This Row],[PacienteID]],'Datos_Ejemplo.csv'!A:A,'Datos_Ejemplo.csv'!I:I)</f>
        <v>2</v>
      </c>
      <c r="N3098">
        <f>ABS(TablaDatos[[#This Row],[DiasOriginal]])</f>
        <v>2</v>
      </c>
      <c r="O3098" s="1">
        <f>TablaDatos[[#This Row],[FechaIngreso]]+TablaDatos[[#This Row],[DiasNuevo]]</f>
        <v>45623</v>
      </c>
    </row>
    <row r="3099" spans="1:15">
      <c r="A3099">
        <v>3098</v>
      </c>
      <c r="B3099" t="s">
        <v>332</v>
      </c>
      <c r="C3099" s="1">
        <v>37622</v>
      </c>
      <c r="D3099">
        <v>23</v>
      </c>
      <c r="E3099" s="4" t="s">
        <v>15</v>
      </c>
      <c r="F3099" t="s">
        <v>261</v>
      </c>
      <c r="G3099" s="1">
        <v>45123</v>
      </c>
      <c r="H3099" s="1">
        <f>TablaDatos[[#This Row],[FechaIngreso]]+TablaDatos[[#This Row],[DiasNuevo]]</f>
        <v>45152</v>
      </c>
      <c r="I3099">
        <v>29</v>
      </c>
      <c r="J3099" t="s">
        <v>23</v>
      </c>
      <c r="K3099" s="3">
        <v>17487.150000000001</v>
      </c>
      <c r="L3099" t="b">
        <f>TablaDatos[[#This Row],[FechaAlta]] &lt; TablaDatos[[#This Row],[FechaIngreso]]</f>
        <v>0</v>
      </c>
      <c r="M3099">
        <f>_xlfn.XLOOKUP(TablaDatos[[#This Row],[PacienteID]],'Datos_Ejemplo.csv'!A:A,'Datos_Ejemplo.csv'!I:I)</f>
        <v>29</v>
      </c>
      <c r="N3099">
        <f>ABS(TablaDatos[[#This Row],[DiasOriginal]])</f>
        <v>29</v>
      </c>
      <c r="O3099" s="1">
        <f>TablaDatos[[#This Row],[FechaIngreso]]+TablaDatos[[#This Row],[DiasNuevo]]</f>
        <v>45152</v>
      </c>
    </row>
    <row r="3100" spans="1:15">
      <c r="A3100">
        <v>3099</v>
      </c>
      <c r="B3100" t="s">
        <v>230</v>
      </c>
      <c r="C3100" s="1">
        <v>12785</v>
      </c>
      <c r="D3100">
        <v>91</v>
      </c>
      <c r="E3100" s="4" t="s">
        <v>12</v>
      </c>
      <c r="F3100" t="s">
        <v>295</v>
      </c>
      <c r="G3100" s="1">
        <v>45311</v>
      </c>
      <c r="H3100" s="1">
        <f>TablaDatos[[#This Row],[FechaIngreso]]+TablaDatos[[#This Row],[DiasNuevo]]</f>
        <v>45325</v>
      </c>
      <c r="I3100">
        <v>14</v>
      </c>
      <c r="J3100" t="s">
        <v>23</v>
      </c>
      <c r="K3100" s="3">
        <v>14704.72</v>
      </c>
      <c r="L3100" t="b">
        <f>TablaDatos[[#This Row],[FechaAlta]] &lt; TablaDatos[[#This Row],[FechaIngreso]]</f>
        <v>0</v>
      </c>
      <c r="M3100">
        <f>_xlfn.XLOOKUP(TablaDatos[[#This Row],[PacienteID]],'Datos_Ejemplo.csv'!A:A,'Datos_Ejemplo.csv'!I:I)</f>
        <v>14</v>
      </c>
      <c r="N3100">
        <f>ABS(TablaDatos[[#This Row],[DiasOriginal]])</f>
        <v>14</v>
      </c>
      <c r="O3100" s="1">
        <f>TablaDatos[[#This Row],[FechaIngreso]]+TablaDatos[[#This Row],[DiasNuevo]]</f>
        <v>45325</v>
      </c>
    </row>
    <row r="3101" spans="1:15">
      <c r="A3101">
        <v>3100</v>
      </c>
      <c r="B3101" t="s">
        <v>292</v>
      </c>
      <c r="C3101" s="1">
        <v>31412</v>
      </c>
      <c r="D3101">
        <v>40</v>
      </c>
      <c r="E3101" s="4" t="s">
        <v>12</v>
      </c>
      <c r="F3101" t="s">
        <v>18</v>
      </c>
      <c r="G3101" s="1">
        <v>45044</v>
      </c>
      <c r="H3101" s="1">
        <f>TablaDatos[[#This Row],[FechaIngreso]]+TablaDatos[[#This Row],[DiasNuevo]]</f>
        <v>45052</v>
      </c>
      <c r="I3101">
        <v>8</v>
      </c>
      <c r="J3101" t="s">
        <v>25</v>
      </c>
      <c r="K3101" s="3">
        <v>3616.27</v>
      </c>
      <c r="L3101" t="b">
        <f>TablaDatos[[#This Row],[FechaAlta]] &lt; TablaDatos[[#This Row],[FechaIngreso]]</f>
        <v>0</v>
      </c>
      <c r="M3101">
        <f>_xlfn.XLOOKUP(TablaDatos[[#This Row],[PacienteID]],'Datos_Ejemplo.csv'!A:A,'Datos_Ejemplo.csv'!I:I)</f>
        <v>8</v>
      </c>
      <c r="N3101">
        <f>ABS(TablaDatos[[#This Row],[DiasOriginal]])</f>
        <v>8</v>
      </c>
      <c r="O3101" s="1">
        <f>TablaDatos[[#This Row],[FechaIngreso]]+TablaDatos[[#This Row],[DiasNuevo]]</f>
        <v>45052</v>
      </c>
    </row>
    <row r="3102" spans="1:15">
      <c r="A3102">
        <v>3101</v>
      </c>
      <c r="B3102" t="s">
        <v>269</v>
      </c>
      <c r="C3102" s="1">
        <v>33239</v>
      </c>
      <c r="D3102">
        <v>35</v>
      </c>
      <c r="E3102" s="4" t="s">
        <v>15</v>
      </c>
      <c r="F3102" t="s">
        <v>295</v>
      </c>
      <c r="G3102" s="1">
        <v>45424</v>
      </c>
      <c r="H3102" s="1">
        <f>TablaDatos[[#This Row],[FechaIngreso]]+TablaDatos[[#This Row],[DiasNuevo]]</f>
        <v>45448</v>
      </c>
      <c r="I3102">
        <v>24</v>
      </c>
      <c r="J3102" t="s">
        <v>25</v>
      </c>
      <c r="K3102" s="3">
        <v>5980.3</v>
      </c>
      <c r="L3102" t="b">
        <f>TablaDatos[[#This Row],[FechaAlta]] &lt; TablaDatos[[#This Row],[FechaIngreso]]</f>
        <v>0</v>
      </c>
      <c r="M3102">
        <f>_xlfn.XLOOKUP(TablaDatos[[#This Row],[PacienteID]],'Datos_Ejemplo.csv'!A:A,'Datos_Ejemplo.csv'!I:I)</f>
        <v>24</v>
      </c>
      <c r="N3102">
        <f>ABS(TablaDatos[[#This Row],[DiasOriginal]])</f>
        <v>24</v>
      </c>
      <c r="O3102" s="1">
        <f>TablaDatos[[#This Row],[FechaIngreso]]+TablaDatos[[#This Row],[DiasNuevo]]</f>
        <v>45448</v>
      </c>
    </row>
    <row r="3103" spans="1:15">
      <c r="A3103">
        <v>3102</v>
      </c>
      <c r="B3103" t="s">
        <v>102</v>
      </c>
      <c r="C3103" s="1">
        <v>15341</v>
      </c>
      <c r="D3103">
        <v>84</v>
      </c>
      <c r="E3103" s="4" t="s">
        <v>12</v>
      </c>
      <c r="F3103" t="s">
        <v>295</v>
      </c>
      <c r="G3103" s="1">
        <v>45388</v>
      </c>
      <c r="H3103" s="1">
        <f>TablaDatos[[#This Row],[FechaIngreso]]+TablaDatos[[#This Row],[DiasNuevo]]</f>
        <v>45389</v>
      </c>
      <c r="I3103">
        <v>1</v>
      </c>
      <c r="J3103" t="s">
        <v>25</v>
      </c>
      <c r="K3103" s="3">
        <v>9886.7900000000009</v>
      </c>
      <c r="L3103" t="b">
        <f>TablaDatos[[#This Row],[FechaAlta]] &lt; TablaDatos[[#This Row],[FechaIngreso]]</f>
        <v>0</v>
      </c>
      <c r="M3103">
        <f>_xlfn.XLOOKUP(TablaDatos[[#This Row],[PacienteID]],'Datos_Ejemplo.csv'!A:A,'Datos_Ejemplo.csv'!I:I)</f>
        <v>1</v>
      </c>
      <c r="N3103">
        <f>ABS(TablaDatos[[#This Row],[DiasOriginal]])</f>
        <v>1</v>
      </c>
      <c r="O3103" s="1">
        <f>TablaDatos[[#This Row],[FechaIngreso]]+TablaDatos[[#This Row],[DiasNuevo]]</f>
        <v>45389</v>
      </c>
    </row>
    <row r="3104" spans="1:15">
      <c r="A3104">
        <v>3103</v>
      </c>
      <c r="B3104" t="s">
        <v>303</v>
      </c>
      <c r="C3104" s="1">
        <v>20090</v>
      </c>
      <c r="D3104">
        <v>71</v>
      </c>
      <c r="E3104" s="4" t="s">
        <v>12</v>
      </c>
      <c r="F3104" t="s">
        <v>21</v>
      </c>
      <c r="G3104" s="1">
        <v>45422</v>
      </c>
      <c r="H3104" s="1">
        <f>TablaDatos[[#This Row],[FechaIngreso]]+TablaDatos[[#This Row],[DiasNuevo]]</f>
        <v>45442</v>
      </c>
      <c r="I3104">
        <v>20</v>
      </c>
      <c r="J3104" t="s">
        <v>19</v>
      </c>
      <c r="K3104" s="3">
        <v>11736.83</v>
      </c>
      <c r="L3104" t="b">
        <f>TablaDatos[[#This Row],[FechaAlta]] &lt; TablaDatos[[#This Row],[FechaIngreso]]</f>
        <v>0</v>
      </c>
      <c r="M3104">
        <f>_xlfn.XLOOKUP(TablaDatos[[#This Row],[PacienteID]],'Datos_Ejemplo.csv'!A:A,'Datos_Ejemplo.csv'!I:I)</f>
        <v>20</v>
      </c>
      <c r="N3104">
        <f>ABS(TablaDatos[[#This Row],[DiasOriginal]])</f>
        <v>20</v>
      </c>
      <c r="O3104" s="1">
        <f>TablaDatos[[#This Row],[FechaIngreso]]+TablaDatos[[#This Row],[DiasNuevo]]</f>
        <v>45442</v>
      </c>
    </row>
    <row r="3105" spans="1:15">
      <c r="A3105">
        <v>3104</v>
      </c>
      <c r="B3105" t="s">
        <v>294</v>
      </c>
      <c r="C3105" s="1">
        <v>26299</v>
      </c>
      <c r="D3105">
        <v>54</v>
      </c>
      <c r="E3105" s="4" t="s">
        <v>12</v>
      </c>
      <c r="F3105" t="s">
        <v>295</v>
      </c>
      <c r="G3105" s="1">
        <v>45520</v>
      </c>
      <c r="H3105" s="1">
        <f>TablaDatos[[#This Row],[FechaIngreso]]+TablaDatos[[#This Row],[DiasNuevo]]</f>
        <v>45540</v>
      </c>
      <c r="I3105">
        <v>20</v>
      </c>
      <c r="J3105" t="s">
        <v>25</v>
      </c>
      <c r="K3105" s="3">
        <v>15621.89</v>
      </c>
      <c r="L3105" t="b">
        <f>TablaDatos[[#This Row],[FechaAlta]] &lt; TablaDatos[[#This Row],[FechaIngreso]]</f>
        <v>0</v>
      </c>
      <c r="M3105">
        <f>_xlfn.XLOOKUP(TablaDatos[[#This Row],[PacienteID]],'Datos_Ejemplo.csv'!A:A,'Datos_Ejemplo.csv'!I:I)</f>
        <v>20</v>
      </c>
      <c r="N3105">
        <f>ABS(TablaDatos[[#This Row],[DiasOriginal]])</f>
        <v>20</v>
      </c>
      <c r="O3105" s="1">
        <f>TablaDatos[[#This Row],[FechaIngreso]]+TablaDatos[[#This Row],[DiasNuevo]]</f>
        <v>45540</v>
      </c>
    </row>
    <row r="3106" spans="1:15">
      <c r="A3106">
        <v>3105</v>
      </c>
      <c r="B3106" t="s">
        <v>332</v>
      </c>
      <c r="C3106" s="1">
        <v>43100</v>
      </c>
      <c r="D3106">
        <v>8</v>
      </c>
      <c r="E3106" s="4" t="s">
        <v>12</v>
      </c>
      <c r="F3106" t="s">
        <v>295</v>
      </c>
      <c r="G3106" s="1">
        <v>45173</v>
      </c>
      <c r="H3106" s="1">
        <f>TablaDatos[[#This Row],[FechaIngreso]]+TablaDatos[[#This Row],[DiasNuevo]]</f>
        <v>45204</v>
      </c>
      <c r="I3106">
        <v>31</v>
      </c>
      <c r="J3106" t="s">
        <v>19</v>
      </c>
      <c r="K3106" s="3">
        <v>4461.8900000000003</v>
      </c>
      <c r="L3106" t="b">
        <f>TablaDatos[[#This Row],[FechaAlta]] &lt; TablaDatos[[#This Row],[FechaIngreso]]</f>
        <v>0</v>
      </c>
      <c r="M3106">
        <f>_xlfn.XLOOKUP(TablaDatos[[#This Row],[PacienteID]],'Datos_Ejemplo.csv'!A:A,'Datos_Ejemplo.csv'!I:I)</f>
        <v>31</v>
      </c>
      <c r="N3106">
        <f>ABS(TablaDatos[[#This Row],[DiasOriginal]])</f>
        <v>31</v>
      </c>
      <c r="O3106" s="1">
        <f>TablaDatos[[#This Row],[FechaIngreso]]+TablaDatos[[#This Row],[DiasNuevo]]</f>
        <v>45204</v>
      </c>
    </row>
    <row r="3107" spans="1:15">
      <c r="A3107">
        <v>3106</v>
      </c>
      <c r="B3107" t="s">
        <v>55</v>
      </c>
      <c r="C3107" s="1">
        <v>29221</v>
      </c>
      <c r="D3107">
        <v>46</v>
      </c>
      <c r="E3107" s="4" t="s">
        <v>15</v>
      </c>
      <c r="F3107" t="s">
        <v>21</v>
      </c>
      <c r="G3107" s="1">
        <v>45160</v>
      </c>
      <c r="H3107" s="1">
        <f>TablaDatos[[#This Row],[FechaIngreso]]+TablaDatos[[#This Row],[DiasNuevo]]</f>
        <v>45178</v>
      </c>
      <c r="I3107">
        <v>18</v>
      </c>
      <c r="J3107" t="s">
        <v>25</v>
      </c>
      <c r="K3107" s="3">
        <v>2478.38</v>
      </c>
      <c r="L3107" t="b">
        <f>TablaDatos[[#This Row],[FechaAlta]] &lt; TablaDatos[[#This Row],[FechaIngreso]]</f>
        <v>0</v>
      </c>
      <c r="M3107">
        <f>_xlfn.XLOOKUP(TablaDatos[[#This Row],[PacienteID]],'Datos_Ejemplo.csv'!A:A,'Datos_Ejemplo.csv'!I:I)</f>
        <v>18</v>
      </c>
      <c r="N3107">
        <f>ABS(TablaDatos[[#This Row],[DiasOriginal]])</f>
        <v>18</v>
      </c>
      <c r="O3107" s="1">
        <f>TablaDatos[[#This Row],[FechaIngreso]]+TablaDatos[[#This Row],[DiasNuevo]]</f>
        <v>45178</v>
      </c>
    </row>
    <row r="3108" spans="1:15">
      <c r="A3108">
        <v>3107</v>
      </c>
      <c r="B3108" t="s">
        <v>264</v>
      </c>
      <c r="C3108" s="1">
        <v>40909</v>
      </c>
      <c r="D3108">
        <v>14</v>
      </c>
      <c r="E3108" s="4" t="s">
        <v>15</v>
      </c>
      <c r="F3108" t="s">
        <v>295</v>
      </c>
      <c r="G3108" s="1">
        <v>45343</v>
      </c>
      <c r="H3108" s="1">
        <f>TablaDatos[[#This Row],[FechaIngreso]]+TablaDatos[[#This Row],[DiasNuevo]]</f>
        <v>45362</v>
      </c>
      <c r="I3108">
        <v>19</v>
      </c>
      <c r="J3108" t="s">
        <v>25</v>
      </c>
      <c r="K3108" s="3">
        <v>9600.4599999999991</v>
      </c>
      <c r="L3108" t="b">
        <f>TablaDatos[[#This Row],[FechaAlta]] &lt; TablaDatos[[#This Row],[FechaIngreso]]</f>
        <v>0</v>
      </c>
      <c r="M3108">
        <f>_xlfn.XLOOKUP(TablaDatos[[#This Row],[PacienteID]],'Datos_Ejemplo.csv'!A:A,'Datos_Ejemplo.csv'!I:I)</f>
        <v>19</v>
      </c>
      <c r="N3108">
        <f>ABS(TablaDatos[[#This Row],[DiasOriginal]])</f>
        <v>19</v>
      </c>
      <c r="O3108" s="1">
        <f>TablaDatos[[#This Row],[FechaIngreso]]+TablaDatos[[#This Row],[DiasNuevo]]</f>
        <v>45362</v>
      </c>
    </row>
    <row r="3109" spans="1:15">
      <c r="A3109">
        <v>3108</v>
      </c>
      <c r="B3109" t="s">
        <v>55</v>
      </c>
      <c r="C3109" s="1">
        <v>28856</v>
      </c>
      <c r="D3109">
        <v>47</v>
      </c>
      <c r="E3109" s="4" t="s">
        <v>12</v>
      </c>
      <c r="F3109" t="s">
        <v>261</v>
      </c>
      <c r="G3109" s="1">
        <v>45393</v>
      </c>
      <c r="H3109" s="1">
        <f>TablaDatos[[#This Row],[FechaIngreso]]+TablaDatos[[#This Row],[DiasNuevo]]</f>
        <v>45395</v>
      </c>
      <c r="I3109">
        <v>2</v>
      </c>
      <c r="J3109" t="s">
        <v>23</v>
      </c>
      <c r="K3109" s="3">
        <v>3072.61</v>
      </c>
      <c r="L3109" t="b">
        <f>TablaDatos[[#This Row],[FechaAlta]] &lt; TablaDatos[[#This Row],[FechaIngreso]]</f>
        <v>0</v>
      </c>
      <c r="M3109">
        <f>_xlfn.XLOOKUP(TablaDatos[[#This Row],[PacienteID]],'Datos_Ejemplo.csv'!A:A,'Datos_Ejemplo.csv'!I:I)</f>
        <v>-2</v>
      </c>
      <c r="N3109">
        <f>ABS(TablaDatos[[#This Row],[DiasOriginal]])</f>
        <v>2</v>
      </c>
      <c r="O3109" s="1">
        <f>TablaDatos[[#This Row],[FechaIngreso]]+TablaDatos[[#This Row],[DiasNuevo]]</f>
        <v>45395</v>
      </c>
    </row>
    <row r="3110" spans="1:15">
      <c r="A3110">
        <v>3109</v>
      </c>
      <c r="B3110" t="s">
        <v>349</v>
      </c>
      <c r="C3110" s="1">
        <v>16437</v>
      </c>
      <c r="D3110">
        <v>81</v>
      </c>
      <c r="E3110" s="4" t="s">
        <v>12</v>
      </c>
      <c r="F3110" t="s">
        <v>201</v>
      </c>
      <c r="G3110" s="1">
        <v>45408</v>
      </c>
      <c r="H3110" s="1">
        <f>TablaDatos[[#This Row],[FechaIngreso]]+TablaDatos[[#This Row],[DiasNuevo]]</f>
        <v>45437</v>
      </c>
      <c r="I3110">
        <v>29</v>
      </c>
      <c r="J3110" t="s">
        <v>23</v>
      </c>
      <c r="K3110" s="3">
        <v>13844.11</v>
      </c>
      <c r="L3110" t="b">
        <f>TablaDatos[[#This Row],[FechaAlta]] &lt; TablaDatos[[#This Row],[FechaIngreso]]</f>
        <v>0</v>
      </c>
      <c r="M3110">
        <f>_xlfn.XLOOKUP(TablaDatos[[#This Row],[PacienteID]],'Datos_Ejemplo.csv'!A:A,'Datos_Ejemplo.csv'!I:I)</f>
        <v>29</v>
      </c>
      <c r="N3110">
        <f>ABS(TablaDatos[[#This Row],[DiasOriginal]])</f>
        <v>29</v>
      </c>
      <c r="O3110" s="1">
        <f>TablaDatos[[#This Row],[FechaIngreso]]+TablaDatos[[#This Row],[DiasNuevo]]</f>
        <v>45437</v>
      </c>
    </row>
    <row r="3111" spans="1:15">
      <c r="A3111">
        <v>3110</v>
      </c>
      <c r="B3111" t="s">
        <v>366</v>
      </c>
      <c r="C3111" s="1">
        <v>31047</v>
      </c>
      <c r="D3111">
        <v>41</v>
      </c>
      <c r="E3111" s="4" t="s">
        <v>12</v>
      </c>
      <c r="F3111" t="s">
        <v>295</v>
      </c>
      <c r="G3111" s="1">
        <v>45291</v>
      </c>
      <c r="H3111" s="1">
        <f>TablaDatos[[#This Row],[FechaIngreso]]+TablaDatos[[#This Row],[DiasNuevo]]</f>
        <v>45316</v>
      </c>
      <c r="I3111">
        <v>25</v>
      </c>
      <c r="J3111" t="s">
        <v>25</v>
      </c>
      <c r="K3111" s="3">
        <v>11470.18</v>
      </c>
      <c r="L3111" t="b">
        <f>TablaDatos[[#This Row],[FechaAlta]] &lt; TablaDatos[[#This Row],[FechaIngreso]]</f>
        <v>0</v>
      </c>
      <c r="M3111">
        <f>_xlfn.XLOOKUP(TablaDatos[[#This Row],[PacienteID]],'Datos_Ejemplo.csv'!A:A,'Datos_Ejemplo.csv'!I:I)</f>
        <v>25</v>
      </c>
      <c r="N3111">
        <f>ABS(TablaDatos[[#This Row],[DiasOriginal]])</f>
        <v>25</v>
      </c>
      <c r="O3111" s="1">
        <f>TablaDatos[[#This Row],[FechaIngreso]]+TablaDatos[[#This Row],[DiasNuevo]]</f>
        <v>45316</v>
      </c>
    </row>
    <row r="3112" spans="1:15">
      <c r="A3112">
        <v>3111</v>
      </c>
      <c r="B3112" t="s">
        <v>270</v>
      </c>
      <c r="C3112" s="1">
        <v>24473</v>
      </c>
      <c r="D3112">
        <v>59</v>
      </c>
      <c r="E3112" s="4" t="s">
        <v>197</v>
      </c>
      <c r="F3112" t="s">
        <v>18</v>
      </c>
      <c r="G3112" s="1">
        <v>45079</v>
      </c>
      <c r="H3112" s="1">
        <f>TablaDatos[[#This Row],[FechaIngreso]]+TablaDatos[[#This Row],[DiasNuevo]]</f>
        <v>45094</v>
      </c>
      <c r="I3112">
        <v>15</v>
      </c>
      <c r="J3112" t="s">
        <v>23</v>
      </c>
      <c r="K3112" s="3">
        <v>14796.27</v>
      </c>
      <c r="L3112" t="b">
        <f>TablaDatos[[#This Row],[FechaAlta]] &lt; TablaDatos[[#This Row],[FechaIngreso]]</f>
        <v>0</v>
      </c>
      <c r="M3112">
        <f>_xlfn.XLOOKUP(TablaDatos[[#This Row],[PacienteID]],'Datos_Ejemplo.csv'!A:A,'Datos_Ejemplo.csv'!I:I)</f>
        <v>15</v>
      </c>
      <c r="N3112">
        <f>ABS(TablaDatos[[#This Row],[DiasOriginal]])</f>
        <v>15</v>
      </c>
      <c r="O3112" s="1">
        <f>TablaDatos[[#This Row],[FechaIngreso]]+TablaDatos[[#This Row],[DiasNuevo]]</f>
        <v>45094</v>
      </c>
    </row>
    <row r="3113" spans="1:15">
      <c r="A3113">
        <v>3112</v>
      </c>
      <c r="B3113" t="s">
        <v>284</v>
      </c>
      <c r="C3113" s="1">
        <v>15707</v>
      </c>
      <c r="D3113">
        <v>83</v>
      </c>
      <c r="E3113" s="4" t="s">
        <v>12</v>
      </c>
      <c r="F3113" t="s">
        <v>295</v>
      </c>
      <c r="G3113" s="1">
        <v>45198</v>
      </c>
      <c r="H3113" s="1">
        <f>TablaDatos[[#This Row],[FechaIngreso]]+TablaDatos[[#This Row],[DiasNuevo]]</f>
        <v>45202</v>
      </c>
      <c r="I3113">
        <v>4</v>
      </c>
      <c r="J3113" t="s">
        <v>23</v>
      </c>
      <c r="K3113" s="3">
        <v>1175.07</v>
      </c>
      <c r="L3113" t="b">
        <f>TablaDatos[[#This Row],[FechaAlta]] &lt; TablaDatos[[#This Row],[FechaIngreso]]</f>
        <v>0</v>
      </c>
      <c r="M3113">
        <f>_xlfn.XLOOKUP(TablaDatos[[#This Row],[PacienteID]],'Datos_Ejemplo.csv'!A:A,'Datos_Ejemplo.csv'!I:I)</f>
        <v>4</v>
      </c>
      <c r="N3113">
        <f>ABS(TablaDatos[[#This Row],[DiasOriginal]])</f>
        <v>4</v>
      </c>
      <c r="O3113" s="1">
        <f>TablaDatos[[#This Row],[FechaIngreso]]+TablaDatos[[#This Row],[DiasNuevo]]</f>
        <v>45202</v>
      </c>
    </row>
    <row r="3114" spans="1:15">
      <c r="A3114">
        <v>3113</v>
      </c>
      <c r="B3114" t="s">
        <v>355</v>
      </c>
      <c r="C3114" s="1">
        <v>20820</v>
      </c>
      <c r="D3114">
        <v>69</v>
      </c>
      <c r="E3114" s="4" t="s">
        <v>15</v>
      </c>
      <c r="F3114" t="s">
        <v>295</v>
      </c>
      <c r="G3114" s="1">
        <v>45318</v>
      </c>
      <c r="H3114" s="1">
        <f>TablaDatos[[#This Row],[FechaIngreso]]+TablaDatos[[#This Row],[DiasNuevo]]</f>
        <v>45353</v>
      </c>
      <c r="I3114">
        <v>35</v>
      </c>
      <c r="J3114" t="s">
        <v>23</v>
      </c>
      <c r="K3114" s="3">
        <v>19290.419999999998</v>
      </c>
      <c r="L3114" t="b">
        <f>TablaDatos[[#This Row],[FechaAlta]] &lt; TablaDatos[[#This Row],[FechaIngreso]]</f>
        <v>0</v>
      </c>
      <c r="M3114">
        <f>_xlfn.XLOOKUP(TablaDatos[[#This Row],[PacienteID]],'Datos_Ejemplo.csv'!A:A,'Datos_Ejemplo.csv'!I:I)</f>
        <v>35</v>
      </c>
      <c r="N3114">
        <f>ABS(TablaDatos[[#This Row],[DiasOriginal]])</f>
        <v>35</v>
      </c>
      <c r="O3114" s="1">
        <f>TablaDatos[[#This Row],[FechaIngreso]]+TablaDatos[[#This Row],[DiasNuevo]]</f>
        <v>45353</v>
      </c>
    </row>
    <row r="3115" spans="1:15">
      <c r="A3115">
        <v>3114</v>
      </c>
      <c r="B3115" t="s">
        <v>302</v>
      </c>
      <c r="C3115" s="1">
        <v>42005</v>
      </c>
      <c r="D3115">
        <v>11</v>
      </c>
      <c r="E3115" s="4" t="s">
        <v>15</v>
      </c>
      <c r="F3115" t="s">
        <v>18</v>
      </c>
      <c r="G3115" s="1">
        <v>45473</v>
      </c>
      <c r="H3115" s="1">
        <f>TablaDatos[[#This Row],[FechaIngreso]]+TablaDatos[[#This Row],[DiasNuevo]]</f>
        <v>45476</v>
      </c>
      <c r="I3115">
        <v>3</v>
      </c>
      <c r="J3115" t="s">
        <v>23</v>
      </c>
      <c r="K3115" s="3">
        <v>-99.89</v>
      </c>
      <c r="L3115" t="b">
        <f>TablaDatos[[#This Row],[FechaAlta]] &lt; TablaDatos[[#This Row],[FechaIngreso]]</f>
        <v>0</v>
      </c>
      <c r="M3115">
        <f>_xlfn.XLOOKUP(TablaDatos[[#This Row],[PacienteID]],'Datos_Ejemplo.csv'!A:A,'Datos_Ejemplo.csv'!I:I)</f>
        <v>3</v>
      </c>
      <c r="N3115">
        <f>ABS(TablaDatos[[#This Row],[DiasOriginal]])</f>
        <v>3</v>
      </c>
      <c r="O3115" s="1">
        <f>TablaDatos[[#This Row],[FechaIngreso]]+TablaDatos[[#This Row],[DiasNuevo]]</f>
        <v>45476</v>
      </c>
    </row>
    <row r="3116" spans="1:15">
      <c r="A3116">
        <v>3115</v>
      </c>
      <c r="B3116" t="s">
        <v>338</v>
      </c>
      <c r="C3116" s="1">
        <v>45657</v>
      </c>
      <c r="D3116">
        <f ca="1">DATEDIF(TablaDatos[[#This Row],[FechaNacimiento]],TODAY(),"Y")</f>
        <v>1</v>
      </c>
      <c r="E3116" s="4" t="s">
        <v>15</v>
      </c>
      <c r="F3116" t="s">
        <v>201</v>
      </c>
      <c r="G3116" s="1">
        <v>45651</v>
      </c>
      <c r="H3116" s="1">
        <f>TablaDatos[[#This Row],[FechaIngreso]]+TablaDatos[[#This Row],[DiasNuevo]]</f>
        <v>45662</v>
      </c>
      <c r="I3116">
        <v>11</v>
      </c>
      <c r="J3116" t="s">
        <v>23</v>
      </c>
      <c r="K3116" s="3">
        <v>6441.39</v>
      </c>
      <c r="L3116" t="b">
        <f>TablaDatos[[#This Row],[FechaAlta]] &lt; TablaDatos[[#This Row],[FechaIngreso]]</f>
        <v>0</v>
      </c>
      <c r="M3116">
        <f>_xlfn.XLOOKUP(TablaDatos[[#This Row],[PacienteID]],'Datos_Ejemplo.csv'!A:A,'Datos_Ejemplo.csv'!I:I)</f>
        <v>11</v>
      </c>
      <c r="N3116">
        <f>ABS(TablaDatos[[#This Row],[DiasOriginal]])</f>
        <v>11</v>
      </c>
      <c r="O3116" s="1">
        <f>TablaDatos[[#This Row],[FechaIngreso]]+TablaDatos[[#This Row],[DiasNuevo]]</f>
        <v>45662</v>
      </c>
    </row>
    <row r="3117" spans="1:15">
      <c r="A3117">
        <v>3116</v>
      </c>
      <c r="B3117" t="s">
        <v>52</v>
      </c>
      <c r="C3117" s="1">
        <v>43831</v>
      </c>
      <c r="D3117">
        <v>6</v>
      </c>
      <c r="E3117" s="4" t="s">
        <v>12</v>
      </c>
      <c r="F3117" t="s">
        <v>21</v>
      </c>
      <c r="G3117" s="1">
        <v>45649</v>
      </c>
      <c r="H3117" s="1">
        <f>TablaDatos[[#This Row],[FechaIngreso]]+TablaDatos[[#This Row],[DiasNuevo]]</f>
        <v>45676</v>
      </c>
      <c r="I3117">
        <v>27</v>
      </c>
      <c r="J3117" t="s">
        <v>23</v>
      </c>
      <c r="K3117" s="3">
        <v>13560.66</v>
      </c>
      <c r="L3117" t="b">
        <f>TablaDatos[[#This Row],[FechaAlta]] &lt; TablaDatos[[#This Row],[FechaIngreso]]</f>
        <v>0</v>
      </c>
      <c r="M3117">
        <f>_xlfn.XLOOKUP(TablaDatos[[#This Row],[PacienteID]],'Datos_Ejemplo.csv'!A:A,'Datos_Ejemplo.csv'!I:I)</f>
        <v>27</v>
      </c>
      <c r="N3117">
        <f>ABS(TablaDatos[[#This Row],[DiasOriginal]])</f>
        <v>27</v>
      </c>
      <c r="O3117" s="1">
        <f>TablaDatos[[#This Row],[FechaIngreso]]+TablaDatos[[#This Row],[DiasNuevo]]</f>
        <v>45676</v>
      </c>
    </row>
    <row r="3118" spans="1:15">
      <c r="A3118">
        <v>3117</v>
      </c>
      <c r="B3118" t="s">
        <v>238</v>
      </c>
      <c r="C3118" s="1">
        <v>17168</v>
      </c>
      <c r="D3118">
        <v>79</v>
      </c>
      <c r="E3118" s="4" t="s">
        <v>12</v>
      </c>
      <c r="F3118" t="s">
        <v>261</v>
      </c>
      <c r="G3118" s="1">
        <v>45356</v>
      </c>
      <c r="H3118" s="1">
        <f>TablaDatos[[#This Row],[FechaIngreso]]+TablaDatos[[#This Row],[DiasNuevo]]</f>
        <v>45367</v>
      </c>
      <c r="I3118">
        <v>11</v>
      </c>
      <c r="J3118" t="s">
        <v>19</v>
      </c>
      <c r="K3118" s="3">
        <v>807.36</v>
      </c>
      <c r="L3118" t="b">
        <f>TablaDatos[[#This Row],[FechaAlta]] &lt; TablaDatos[[#This Row],[FechaIngreso]]</f>
        <v>0</v>
      </c>
      <c r="M3118">
        <f>_xlfn.XLOOKUP(TablaDatos[[#This Row],[PacienteID]],'Datos_Ejemplo.csv'!A:A,'Datos_Ejemplo.csv'!I:I)</f>
        <v>11</v>
      </c>
      <c r="N3118">
        <f>ABS(TablaDatos[[#This Row],[DiasOriginal]])</f>
        <v>11</v>
      </c>
      <c r="O3118" s="1">
        <f>TablaDatos[[#This Row],[FechaIngreso]]+TablaDatos[[#This Row],[DiasNuevo]]</f>
        <v>45367</v>
      </c>
    </row>
    <row r="3119" spans="1:15">
      <c r="A3119">
        <v>3118</v>
      </c>
      <c r="B3119" t="s">
        <v>251</v>
      </c>
      <c r="C3119" s="1">
        <v>45292</v>
      </c>
      <c r="D3119">
        <v>2</v>
      </c>
      <c r="E3119" s="4" t="s">
        <v>12</v>
      </c>
      <c r="F3119" t="s">
        <v>201</v>
      </c>
      <c r="G3119" s="1">
        <v>45577</v>
      </c>
      <c r="H3119" s="1">
        <f>TablaDatos[[#This Row],[FechaIngreso]]+TablaDatos[[#This Row],[DiasNuevo]]</f>
        <v>45615</v>
      </c>
      <c r="I3119">
        <v>38</v>
      </c>
      <c r="J3119" t="s">
        <v>23</v>
      </c>
      <c r="K3119" s="3">
        <v>1575.33</v>
      </c>
      <c r="L3119" t="b">
        <f>TablaDatos[[#This Row],[FechaAlta]] &lt; TablaDatos[[#This Row],[FechaIngreso]]</f>
        <v>0</v>
      </c>
      <c r="M3119">
        <f>_xlfn.XLOOKUP(TablaDatos[[#This Row],[PacienteID]],'Datos_Ejemplo.csv'!A:A,'Datos_Ejemplo.csv'!I:I)</f>
        <v>38</v>
      </c>
      <c r="N3119">
        <f>ABS(TablaDatos[[#This Row],[DiasOriginal]])</f>
        <v>38</v>
      </c>
      <c r="O3119" s="1">
        <f>TablaDatos[[#This Row],[FechaIngreso]]+TablaDatos[[#This Row],[DiasNuevo]]</f>
        <v>45615</v>
      </c>
    </row>
    <row r="3120" spans="1:15">
      <c r="A3120">
        <v>3119</v>
      </c>
      <c r="B3120" t="s">
        <v>279</v>
      </c>
      <c r="C3120" s="1">
        <v>45292</v>
      </c>
      <c r="D3120">
        <v>2</v>
      </c>
      <c r="E3120" s="4" t="s">
        <v>12</v>
      </c>
      <c r="F3120" t="s">
        <v>295</v>
      </c>
      <c r="G3120" s="1">
        <v>45115</v>
      </c>
      <c r="H3120" s="1">
        <f>TablaDatos[[#This Row],[FechaIngreso]]+TablaDatos[[#This Row],[DiasNuevo]]</f>
        <v>45121</v>
      </c>
      <c r="I3120">
        <v>6</v>
      </c>
      <c r="J3120" t="s">
        <v>23</v>
      </c>
      <c r="K3120" s="3">
        <v>1441.3</v>
      </c>
      <c r="L3120" t="b">
        <f>TablaDatos[[#This Row],[FechaAlta]] &lt; TablaDatos[[#This Row],[FechaIngreso]]</f>
        <v>0</v>
      </c>
      <c r="M3120">
        <f>_xlfn.XLOOKUP(TablaDatos[[#This Row],[PacienteID]],'Datos_Ejemplo.csv'!A:A,'Datos_Ejemplo.csv'!I:I)</f>
        <v>6</v>
      </c>
      <c r="N3120">
        <f>ABS(TablaDatos[[#This Row],[DiasOriginal]])</f>
        <v>6</v>
      </c>
      <c r="O3120" s="1">
        <f>TablaDatos[[#This Row],[FechaIngreso]]+TablaDatos[[#This Row],[DiasNuevo]]</f>
        <v>45121</v>
      </c>
    </row>
    <row r="3121" spans="1:15">
      <c r="A3121">
        <v>3120</v>
      </c>
      <c r="B3121" t="s">
        <v>242</v>
      </c>
      <c r="C3121" s="1">
        <v>36526</v>
      </c>
      <c r="D3121">
        <v>26</v>
      </c>
      <c r="E3121" s="4" t="s">
        <v>12</v>
      </c>
      <c r="F3121" t="s">
        <v>261</v>
      </c>
      <c r="G3121" s="1">
        <v>45178</v>
      </c>
      <c r="H3121" s="1">
        <f>TablaDatos[[#This Row],[FechaIngreso]]+TablaDatos[[#This Row],[DiasNuevo]]</f>
        <v>45206</v>
      </c>
      <c r="I3121">
        <v>28</v>
      </c>
      <c r="J3121" t="s">
        <v>25</v>
      </c>
      <c r="K3121" s="3">
        <v>11588.35</v>
      </c>
      <c r="L3121" t="b">
        <f>TablaDatos[[#This Row],[FechaAlta]] &lt; TablaDatos[[#This Row],[FechaIngreso]]</f>
        <v>0</v>
      </c>
      <c r="M3121">
        <f>_xlfn.XLOOKUP(TablaDatos[[#This Row],[PacienteID]],'Datos_Ejemplo.csv'!A:A,'Datos_Ejemplo.csv'!I:I)</f>
        <v>28</v>
      </c>
      <c r="N3121">
        <f>ABS(TablaDatos[[#This Row],[DiasOriginal]])</f>
        <v>28</v>
      </c>
      <c r="O3121" s="1">
        <f>TablaDatos[[#This Row],[FechaIngreso]]+TablaDatos[[#This Row],[DiasNuevo]]</f>
        <v>45206</v>
      </c>
    </row>
    <row r="3122" spans="1:15">
      <c r="A3122">
        <v>3121</v>
      </c>
      <c r="B3122" t="s">
        <v>287</v>
      </c>
      <c r="C3122" s="1">
        <v>31778</v>
      </c>
      <c r="D3122">
        <v>39</v>
      </c>
      <c r="E3122" s="4" t="s">
        <v>12</v>
      </c>
      <c r="F3122" t="s">
        <v>32</v>
      </c>
      <c r="G3122" s="1">
        <v>45321</v>
      </c>
      <c r="H3122" s="1">
        <f>TablaDatos[[#This Row],[FechaIngreso]]+TablaDatos[[#This Row],[DiasNuevo]]</f>
        <v>45322</v>
      </c>
      <c r="I3122">
        <v>1</v>
      </c>
      <c r="J3122" t="s">
        <v>25</v>
      </c>
      <c r="K3122" s="3">
        <v>17908.099999999999</v>
      </c>
      <c r="L3122" t="b">
        <f>TablaDatos[[#This Row],[FechaAlta]] &lt; TablaDatos[[#This Row],[FechaIngreso]]</f>
        <v>0</v>
      </c>
      <c r="M3122">
        <f>_xlfn.XLOOKUP(TablaDatos[[#This Row],[PacienteID]],'Datos_Ejemplo.csv'!A:A,'Datos_Ejemplo.csv'!I:I)</f>
        <v>-1</v>
      </c>
      <c r="N3122">
        <f>ABS(TablaDatos[[#This Row],[DiasOriginal]])</f>
        <v>1</v>
      </c>
      <c r="O3122" s="1">
        <f>TablaDatos[[#This Row],[FechaIngreso]]+TablaDatos[[#This Row],[DiasNuevo]]</f>
        <v>45322</v>
      </c>
    </row>
    <row r="3123" spans="1:15">
      <c r="A3123">
        <v>3122</v>
      </c>
      <c r="B3123" t="s">
        <v>350</v>
      </c>
      <c r="C3123" s="1">
        <v>34334</v>
      </c>
      <c r="D3123">
        <v>32</v>
      </c>
      <c r="E3123" s="4" t="s">
        <v>12</v>
      </c>
      <c r="F3123" t="s">
        <v>261</v>
      </c>
      <c r="G3123" s="1">
        <v>45588</v>
      </c>
      <c r="H3123" s="1">
        <f>TablaDatos[[#This Row],[FechaIngreso]]+TablaDatos[[#This Row],[DiasNuevo]]</f>
        <v>45603</v>
      </c>
      <c r="I3123">
        <v>15</v>
      </c>
      <c r="J3123" t="s">
        <v>19</v>
      </c>
      <c r="K3123" s="3">
        <v>11064.28</v>
      </c>
      <c r="L3123" t="b">
        <f>TablaDatos[[#This Row],[FechaAlta]] &lt; TablaDatos[[#This Row],[FechaIngreso]]</f>
        <v>0</v>
      </c>
      <c r="M3123">
        <f>_xlfn.XLOOKUP(TablaDatos[[#This Row],[PacienteID]],'Datos_Ejemplo.csv'!A:A,'Datos_Ejemplo.csv'!I:I)</f>
        <v>15</v>
      </c>
      <c r="N3123">
        <f>ABS(TablaDatos[[#This Row],[DiasOriginal]])</f>
        <v>15</v>
      </c>
      <c r="O3123" s="1">
        <f>TablaDatos[[#This Row],[FechaIngreso]]+TablaDatos[[#This Row],[DiasNuevo]]</f>
        <v>45603</v>
      </c>
    </row>
    <row r="3124" spans="1:15">
      <c r="A3124">
        <v>3123</v>
      </c>
      <c r="B3124" t="s">
        <v>266</v>
      </c>
      <c r="C3124" s="1">
        <v>12785</v>
      </c>
      <c r="D3124">
        <v>91</v>
      </c>
      <c r="E3124" s="4" t="s">
        <v>15</v>
      </c>
      <c r="F3124" t="s">
        <v>21</v>
      </c>
      <c r="G3124" s="1">
        <v>45145</v>
      </c>
      <c r="H3124" s="1">
        <f>TablaDatos[[#This Row],[FechaIngreso]]+TablaDatos[[#This Row],[DiasNuevo]]</f>
        <v>45147</v>
      </c>
      <c r="I3124">
        <v>2</v>
      </c>
      <c r="J3124" t="s">
        <v>23</v>
      </c>
      <c r="K3124" s="3">
        <v>12031.78</v>
      </c>
      <c r="L3124" t="b">
        <f>TablaDatos[[#This Row],[FechaAlta]] &lt; TablaDatos[[#This Row],[FechaIngreso]]</f>
        <v>0</v>
      </c>
      <c r="M3124">
        <f>_xlfn.XLOOKUP(TablaDatos[[#This Row],[PacienteID]],'Datos_Ejemplo.csv'!A:A,'Datos_Ejemplo.csv'!I:I)</f>
        <v>2</v>
      </c>
      <c r="N3124">
        <f>ABS(TablaDatos[[#This Row],[DiasOriginal]])</f>
        <v>2</v>
      </c>
      <c r="O3124" s="1">
        <f>TablaDatos[[#This Row],[FechaIngreso]]+TablaDatos[[#This Row],[DiasNuevo]]</f>
        <v>45147</v>
      </c>
    </row>
    <row r="3125" spans="1:15">
      <c r="A3125">
        <v>3124</v>
      </c>
      <c r="B3125" t="s">
        <v>268</v>
      </c>
      <c r="C3125" s="1">
        <v>46022</v>
      </c>
      <c r="D3125">
        <v>0</v>
      </c>
      <c r="E3125" s="4" t="s">
        <v>12</v>
      </c>
      <c r="F3125" t="s">
        <v>21</v>
      </c>
      <c r="G3125" s="1">
        <v>45520</v>
      </c>
      <c r="H3125" s="1">
        <f>TablaDatos[[#This Row],[FechaIngreso]]+TablaDatos[[#This Row],[DiasNuevo]]</f>
        <v>45543</v>
      </c>
      <c r="I3125">
        <v>23</v>
      </c>
      <c r="J3125" t="s">
        <v>23</v>
      </c>
      <c r="K3125" s="3">
        <v>6854.63</v>
      </c>
      <c r="L3125" t="b">
        <f>TablaDatos[[#This Row],[FechaAlta]] &lt; TablaDatos[[#This Row],[FechaIngreso]]</f>
        <v>0</v>
      </c>
      <c r="M3125">
        <f>_xlfn.XLOOKUP(TablaDatos[[#This Row],[PacienteID]],'Datos_Ejemplo.csv'!A:A,'Datos_Ejemplo.csv'!I:I)</f>
        <v>23</v>
      </c>
      <c r="N3125">
        <f>ABS(TablaDatos[[#This Row],[DiasOriginal]])</f>
        <v>23</v>
      </c>
      <c r="O3125" s="1">
        <f>TablaDatos[[#This Row],[FechaIngreso]]+TablaDatos[[#This Row],[DiasNuevo]]</f>
        <v>45543</v>
      </c>
    </row>
    <row r="3126" spans="1:15">
      <c r="A3126">
        <v>3125</v>
      </c>
      <c r="B3126" t="s">
        <v>294</v>
      </c>
      <c r="C3126" s="1">
        <v>43466</v>
      </c>
      <c r="D3126">
        <v>7</v>
      </c>
      <c r="E3126" s="4" t="s">
        <v>12</v>
      </c>
      <c r="F3126" t="s">
        <v>201</v>
      </c>
      <c r="G3126" s="1">
        <v>45116</v>
      </c>
      <c r="H3126" s="1">
        <f>TablaDatos[[#This Row],[FechaIngreso]]+TablaDatos[[#This Row],[DiasNuevo]]</f>
        <v>45136</v>
      </c>
      <c r="I3126">
        <v>20</v>
      </c>
      <c r="J3126" t="s">
        <v>19</v>
      </c>
      <c r="K3126" s="3">
        <v>276.7</v>
      </c>
      <c r="L3126" t="b">
        <f>TablaDatos[[#This Row],[FechaAlta]] &lt; TablaDatos[[#This Row],[FechaIngreso]]</f>
        <v>0</v>
      </c>
      <c r="M3126">
        <f>_xlfn.XLOOKUP(TablaDatos[[#This Row],[PacienteID]],'Datos_Ejemplo.csv'!A:A,'Datos_Ejemplo.csv'!I:I)</f>
        <v>20</v>
      </c>
      <c r="N3126">
        <f>ABS(TablaDatos[[#This Row],[DiasOriginal]])</f>
        <v>20</v>
      </c>
      <c r="O3126" s="1">
        <f>TablaDatos[[#This Row],[FechaIngreso]]+TablaDatos[[#This Row],[DiasNuevo]]</f>
        <v>45136</v>
      </c>
    </row>
    <row r="3127" spans="1:15">
      <c r="A3127">
        <v>3126</v>
      </c>
      <c r="B3127" t="s">
        <v>55</v>
      </c>
      <c r="C3127" s="1">
        <v>34700</v>
      </c>
      <c r="D3127">
        <v>31</v>
      </c>
      <c r="E3127" s="4" t="s">
        <v>15</v>
      </c>
      <c r="F3127" t="s">
        <v>295</v>
      </c>
      <c r="G3127" s="1">
        <v>45160</v>
      </c>
      <c r="H3127" s="1">
        <f>TablaDatos[[#This Row],[FechaIngreso]]+TablaDatos[[#This Row],[DiasNuevo]]</f>
        <v>45169</v>
      </c>
      <c r="I3127">
        <v>9</v>
      </c>
      <c r="J3127" t="s">
        <v>25</v>
      </c>
      <c r="K3127" s="3">
        <v>334.46</v>
      </c>
      <c r="L3127" t="b">
        <f>TablaDatos[[#This Row],[FechaAlta]] &lt; TablaDatos[[#This Row],[FechaIngreso]]</f>
        <v>0</v>
      </c>
      <c r="M3127">
        <f>_xlfn.XLOOKUP(TablaDatos[[#This Row],[PacienteID]],'Datos_Ejemplo.csv'!A:A,'Datos_Ejemplo.csv'!I:I)</f>
        <v>9</v>
      </c>
      <c r="N3127">
        <f>ABS(TablaDatos[[#This Row],[DiasOriginal]])</f>
        <v>9</v>
      </c>
      <c r="O3127" s="1">
        <f>TablaDatos[[#This Row],[FechaIngreso]]+TablaDatos[[#This Row],[DiasNuevo]]</f>
        <v>45169</v>
      </c>
    </row>
    <row r="3128" spans="1:15">
      <c r="A3128">
        <v>3127</v>
      </c>
      <c r="B3128" t="s">
        <v>326</v>
      </c>
      <c r="C3128" s="1">
        <v>28856</v>
      </c>
      <c r="D3128">
        <v>47</v>
      </c>
      <c r="E3128" s="4" t="s">
        <v>15</v>
      </c>
      <c r="F3128" t="s">
        <v>18</v>
      </c>
      <c r="G3128" s="1">
        <v>45614</v>
      </c>
      <c r="H3128" s="1">
        <f>TablaDatos[[#This Row],[FechaIngreso]]+TablaDatos[[#This Row],[DiasNuevo]]</f>
        <v>45625</v>
      </c>
      <c r="I3128">
        <v>11</v>
      </c>
      <c r="J3128" t="s">
        <v>23</v>
      </c>
      <c r="K3128" s="3">
        <v>17755.03</v>
      </c>
      <c r="L3128" t="b">
        <f>TablaDatos[[#This Row],[FechaAlta]] &lt; TablaDatos[[#This Row],[FechaIngreso]]</f>
        <v>0</v>
      </c>
      <c r="M3128">
        <f>_xlfn.XLOOKUP(TablaDatos[[#This Row],[PacienteID]],'Datos_Ejemplo.csv'!A:A,'Datos_Ejemplo.csv'!I:I)</f>
        <v>11</v>
      </c>
      <c r="N3128">
        <f>ABS(TablaDatos[[#This Row],[DiasOriginal]])</f>
        <v>11</v>
      </c>
      <c r="O3128" s="1">
        <f>TablaDatos[[#This Row],[FechaIngreso]]+TablaDatos[[#This Row],[DiasNuevo]]</f>
        <v>45625</v>
      </c>
    </row>
    <row r="3129" spans="1:15">
      <c r="A3129">
        <v>3128</v>
      </c>
      <c r="B3129" t="s">
        <v>152</v>
      </c>
      <c r="C3129" s="1">
        <v>44927</v>
      </c>
      <c r="D3129">
        <v>3</v>
      </c>
      <c r="E3129" s="4" t="s">
        <v>12</v>
      </c>
      <c r="F3129" t="s">
        <v>21</v>
      </c>
      <c r="G3129" s="1">
        <v>45158</v>
      </c>
      <c r="H3129" s="1">
        <f>TablaDatos[[#This Row],[FechaIngreso]]+TablaDatos[[#This Row],[DiasNuevo]]</f>
        <v>45168</v>
      </c>
      <c r="I3129">
        <v>10</v>
      </c>
      <c r="J3129" t="s">
        <v>19</v>
      </c>
      <c r="K3129" s="3">
        <v>1961.71</v>
      </c>
      <c r="L3129" t="b">
        <f>TablaDatos[[#This Row],[FechaAlta]] &lt; TablaDatos[[#This Row],[FechaIngreso]]</f>
        <v>0</v>
      </c>
      <c r="M3129">
        <f>_xlfn.XLOOKUP(TablaDatos[[#This Row],[PacienteID]],'Datos_Ejemplo.csv'!A:A,'Datos_Ejemplo.csv'!I:I)</f>
        <v>10</v>
      </c>
      <c r="N3129">
        <f>ABS(TablaDatos[[#This Row],[DiasOriginal]])</f>
        <v>10</v>
      </c>
      <c r="O3129" s="1">
        <f>TablaDatos[[#This Row],[FechaIngreso]]+TablaDatos[[#This Row],[DiasNuevo]]</f>
        <v>45168</v>
      </c>
    </row>
    <row r="3130" spans="1:15">
      <c r="A3130">
        <v>3129</v>
      </c>
      <c r="B3130" t="s">
        <v>307</v>
      </c>
      <c r="C3130" s="1">
        <v>12054</v>
      </c>
      <c r="D3130">
        <v>93</v>
      </c>
      <c r="E3130" s="4" t="s">
        <v>15</v>
      </c>
      <c r="F3130" t="s">
        <v>18</v>
      </c>
      <c r="G3130" s="1">
        <v>45284</v>
      </c>
      <c r="H3130" s="1">
        <f>TablaDatos[[#This Row],[FechaIngreso]]+TablaDatos[[#This Row],[DiasNuevo]]</f>
        <v>45316</v>
      </c>
      <c r="I3130">
        <v>32</v>
      </c>
      <c r="J3130" t="s">
        <v>25</v>
      </c>
      <c r="K3130" s="3">
        <v>19995.77</v>
      </c>
      <c r="L3130" t="b">
        <f>TablaDatos[[#This Row],[FechaAlta]] &lt; TablaDatos[[#This Row],[FechaIngreso]]</f>
        <v>0</v>
      </c>
      <c r="M3130">
        <f>_xlfn.XLOOKUP(TablaDatos[[#This Row],[PacienteID]],'Datos_Ejemplo.csv'!A:A,'Datos_Ejemplo.csv'!I:I)</f>
        <v>32</v>
      </c>
      <c r="N3130">
        <f>ABS(TablaDatos[[#This Row],[DiasOriginal]])</f>
        <v>32</v>
      </c>
      <c r="O3130" s="1">
        <f>TablaDatos[[#This Row],[FechaIngreso]]+TablaDatos[[#This Row],[DiasNuevo]]</f>
        <v>45316</v>
      </c>
    </row>
    <row r="3131" spans="1:15">
      <c r="A3131">
        <v>3130</v>
      </c>
      <c r="B3131" t="s">
        <v>294</v>
      </c>
      <c r="C3131" s="1">
        <v>20820</v>
      </c>
      <c r="D3131">
        <v>69</v>
      </c>
      <c r="E3131" s="4" t="s">
        <v>15</v>
      </c>
      <c r="F3131" t="s">
        <v>201</v>
      </c>
      <c r="G3131" s="1">
        <v>45404</v>
      </c>
      <c r="H3131" s="1">
        <f>TablaDatos[[#This Row],[FechaIngreso]]+TablaDatos[[#This Row],[DiasNuevo]]</f>
        <v>45416</v>
      </c>
      <c r="I3131">
        <v>12</v>
      </c>
      <c r="J3131" t="s">
        <v>23</v>
      </c>
      <c r="K3131" s="3">
        <v>3204.89</v>
      </c>
      <c r="L3131" t="b">
        <f>TablaDatos[[#This Row],[FechaAlta]] &lt; TablaDatos[[#This Row],[FechaIngreso]]</f>
        <v>0</v>
      </c>
      <c r="M3131">
        <f>_xlfn.XLOOKUP(TablaDatos[[#This Row],[PacienteID]],'Datos_Ejemplo.csv'!A:A,'Datos_Ejemplo.csv'!I:I)</f>
        <v>12</v>
      </c>
      <c r="N3131">
        <f>ABS(TablaDatos[[#This Row],[DiasOriginal]])</f>
        <v>12</v>
      </c>
      <c r="O3131" s="1">
        <f>TablaDatos[[#This Row],[FechaIngreso]]+TablaDatos[[#This Row],[DiasNuevo]]</f>
        <v>45416</v>
      </c>
    </row>
    <row r="3132" spans="1:15">
      <c r="A3132">
        <v>3131</v>
      </c>
      <c r="B3132" t="s">
        <v>345</v>
      </c>
      <c r="C3132" s="1">
        <v>39448</v>
      </c>
      <c r="D3132">
        <v>18</v>
      </c>
      <c r="E3132" s="4" t="s">
        <v>15</v>
      </c>
      <c r="F3132" t="s">
        <v>201</v>
      </c>
      <c r="G3132" s="1">
        <v>45501</v>
      </c>
      <c r="H3132" s="1">
        <f>TablaDatos[[#This Row],[FechaIngreso]]+TablaDatos[[#This Row],[DiasNuevo]]</f>
        <v>45533</v>
      </c>
      <c r="I3132">
        <v>32</v>
      </c>
      <c r="J3132" t="s">
        <v>19</v>
      </c>
      <c r="K3132" s="3">
        <v>13460.15</v>
      </c>
      <c r="L3132" t="b">
        <f>TablaDatos[[#This Row],[FechaAlta]] &lt; TablaDatos[[#This Row],[FechaIngreso]]</f>
        <v>0</v>
      </c>
      <c r="M3132">
        <f>_xlfn.XLOOKUP(TablaDatos[[#This Row],[PacienteID]],'Datos_Ejemplo.csv'!A:A,'Datos_Ejemplo.csv'!I:I)</f>
        <v>32</v>
      </c>
      <c r="N3132">
        <f>ABS(TablaDatos[[#This Row],[DiasOriginal]])</f>
        <v>32</v>
      </c>
      <c r="O3132" s="1">
        <f>TablaDatos[[#This Row],[FechaIngreso]]+TablaDatos[[#This Row],[DiasNuevo]]</f>
        <v>45533</v>
      </c>
    </row>
    <row r="3133" spans="1:15">
      <c r="A3133">
        <v>3132</v>
      </c>
      <c r="B3133" t="s">
        <v>311</v>
      </c>
      <c r="C3133" s="1">
        <v>34700</v>
      </c>
      <c r="D3133">
        <v>31</v>
      </c>
      <c r="E3133" s="4" t="s">
        <v>12</v>
      </c>
      <c r="F3133" t="s">
        <v>32</v>
      </c>
      <c r="G3133" s="1">
        <v>45355</v>
      </c>
      <c r="H3133" s="1">
        <f>TablaDatos[[#This Row],[FechaIngreso]]+TablaDatos[[#This Row],[DiasNuevo]]</f>
        <v>45371</v>
      </c>
      <c r="I3133">
        <v>16</v>
      </c>
      <c r="J3133" t="s">
        <v>19</v>
      </c>
      <c r="K3133" s="3">
        <v>18974</v>
      </c>
      <c r="L3133" t="b">
        <f>TablaDatos[[#This Row],[FechaAlta]] &lt; TablaDatos[[#This Row],[FechaIngreso]]</f>
        <v>0</v>
      </c>
      <c r="M3133">
        <f>_xlfn.XLOOKUP(TablaDatos[[#This Row],[PacienteID]],'Datos_Ejemplo.csv'!A:A,'Datos_Ejemplo.csv'!I:I)</f>
        <v>16</v>
      </c>
      <c r="N3133">
        <f>ABS(TablaDatos[[#This Row],[DiasOriginal]])</f>
        <v>16</v>
      </c>
      <c r="O3133" s="1">
        <f>TablaDatos[[#This Row],[FechaIngreso]]+TablaDatos[[#This Row],[DiasNuevo]]</f>
        <v>45371</v>
      </c>
    </row>
    <row r="3134" spans="1:15">
      <c r="A3134">
        <v>3133</v>
      </c>
      <c r="B3134" t="s">
        <v>244</v>
      </c>
      <c r="C3134" s="1">
        <v>43100</v>
      </c>
      <c r="D3134">
        <v>8</v>
      </c>
      <c r="E3134" s="4" t="s">
        <v>12</v>
      </c>
      <c r="F3134" t="s">
        <v>18</v>
      </c>
      <c r="G3134" s="1">
        <v>45163</v>
      </c>
      <c r="H3134" s="1">
        <f>TablaDatos[[#This Row],[FechaIngreso]]+TablaDatos[[#This Row],[DiasNuevo]]</f>
        <v>45175</v>
      </c>
      <c r="I3134">
        <v>12</v>
      </c>
      <c r="J3134" t="s">
        <v>23</v>
      </c>
      <c r="K3134" s="3">
        <v>7182.01</v>
      </c>
      <c r="L3134" t="b">
        <f>TablaDatos[[#This Row],[FechaAlta]] &lt; TablaDatos[[#This Row],[FechaIngreso]]</f>
        <v>0</v>
      </c>
      <c r="M3134">
        <f>_xlfn.XLOOKUP(TablaDatos[[#This Row],[PacienteID]],'Datos_Ejemplo.csv'!A:A,'Datos_Ejemplo.csv'!I:I)</f>
        <v>12</v>
      </c>
      <c r="N3134">
        <f>ABS(TablaDatos[[#This Row],[DiasOriginal]])</f>
        <v>12</v>
      </c>
      <c r="O3134" s="1">
        <f>TablaDatos[[#This Row],[FechaIngreso]]+TablaDatos[[#This Row],[DiasNuevo]]</f>
        <v>45175</v>
      </c>
    </row>
    <row r="3135" spans="1:15">
      <c r="A3135">
        <v>3134</v>
      </c>
      <c r="B3135" t="s">
        <v>242</v>
      </c>
      <c r="C3135" s="1">
        <f ca="1">DATE(YEAR(TODAY())-TablaDatos[[#This Row],[Edad]],1,1)</f>
        <v>42005</v>
      </c>
      <c r="D3135">
        <v>11</v>
      </c>
      <c r="E3135" s="4" t="s">
        <v>15</v>
      </c>
      <c r="F3135" t="s">
        <v>201</v>
      </c>
      <c r="G3135" s="1">
        <v>44959</v>
      </c>
      <c r="H3135" s="1">
        <f>TablaDatos[[#This Row],[FechaIngreso]]+TablaDatos[[#This Row],[DiasNuevo]]</f>
        <v>44964</v>
      </c>
      <c r="I3135">
        <v>5</v>
      </c>
      <c r="J3135" t="s">
        <v>23</v>
      </c>
      <c r="K3135" s="3">
        <v>14662.11</v>
      </c>
      <c r="L3135" t="b">
        <f>TablaDatos[[#This Row],[FechaAlta]] &lt; TablaDatos[[#This Row],[FechaIngreso]]</f>
        <v>0</v>
      </c>
      <c r="M3135">
        <f>_xlfn.XLOOKUP(TablaDatos[[#This Row],[PacienteID]],'Datos_Ejemplo.csv'!A:A,'Datos_Ejemplo.csv'!I:I)</f>
        <v>5</v>
      </c>
      <c r="N3135">
        <f>ABS(TablaDatos[[#This Row],[DiasOriginal]])</f>
        <v>5</v>
      </c>
      <c r="O3135" s="1">
        <f>TablaDatos[[#This Row],[FechaIngreso]]+TablaDatos[[#This Row],[DiasNuevo]]</f>
        <v>44964</v>
      </c>
    </row>
    <row r="3136" spans="1:15">
      <c r="A3136">
        <v>3135</v>
      </c>
      <c r="B3136" t="s">
        <v>290</v>
      </c>
      <c r="C3136" s="1">
        <v>42370</v>
      </c>
      <c r="D3136">
        <v>10</v>
      </c>
      <c r="E3136" s="4" t="s">
        <v>15</v>
      </c>
      <c r="F3136" t="s">
        <v>201</v>
      </c>
      <c r="G3136" s="1">
        <v>45139</v>
      </c>
      <c r="H3136" s="1">
        <f>TablaDatos[[#This Row],[FechaIngreso]]+TablaDatos[[#This Row],[DiasNuevo]]</f>
        <v>45159</v>
      </c>
      <c r="I3136">
        <v>20</v>
      </c>
      <c r="J3136" t="s">
        <v>25</v>
      </c>
      <c r="K3136" s="3">
        <v>6952.22</v>
      </c>
      <c r="L3136" t="b">
        <f>TablaDatos[[#This Row],[FechaAlta]] &lt; TablaDatos[[#This Row],[FechaIngreso]]</f>
        <v>0</v>
      </c>
      <c r="M3136">
        <f>_xlfn.XLOOKUP(TablaDatos[[#This Row],[PacienteID]],'Datos_Ejemplo.csv'!A:A,'Datos_Ejemplo.csv'!I:I)</f>
        <v>20</v>
      </c>
      <c r="N3136">
        <f>ABS(TablaDatos[[#This Row],[DiasOriginal]])</f>
        <v>20</v>
      </c>
      <c r="O3136" s="1">
        <f>TablaDatos[[#This Row],[FechaIngreso]]+TablaDatos[[#This Row],[DiasNuevo]]</f>
        <v>45159</v>
      </c>
    </row>
    <row r="3137" spans="1:15">
      <c r="A3137">
        <v>3136</v>
      </c>
      <c r="B3137" t="s">
        <v>114</v>
      </c>
      <c r="C3137" s="1">
        <v>29586</v>
      </c>
      <c r="D3137">
        <v>45</v>
      </c>
      <c r="E3137" s="4" t="s">
        <v>197</v>
      </c>
      <c r="F3137" t="s">
        <v>201</v>
      </c>
      <c r="G3137" s="1">
        <v>45498</v>
      </c>
      <c r="H3137" s="1">
        <f>TablaDatos[[#This Row],[FechaIngreso]]+TablaDatos[[#This Row],[DiasNuevo]]</f>
        <v>45508</v>
      </c>
      <c r="I3137">
        <v>10</v>
      </c>
      <c r="J3137" t="s">
        <v>23</v>
      </c>
      <c r="K3137" s="3">
        <v>6029.32</v>
      </c>
      <c r="L3137" t="b">
        <f>TablaDatos[[#This Row],[FechaAlta]] &lt; TablaDatos[[#This Row],[FechaIngreso]]</f>
        <v>0</v>
      </c>
      <c r="M3137">
        <f>_xlfn.XLOOKUP(TablaDatos[[#This Row],[PacienteID]],'Datos_Ejemplo.csv'!A:A,'Datos_Ejemplo.csv'!I:I)</f>
        <v>10</v>
      </c>
      <c r="N3137">
        <f>ABS(TablaDatos[[#This Row],[DiasOriginal]])</f>
        <v>10</v>
      </c>
      <c r="O3137" s="1">
        <f>TablaDatos[[#This Row],[FechaIngreso]]+TablaDatos[[#This Row],[DiasNuevo]]</f>
        <v>45508</v>
      </c>
    </row>
    <row r="3138" spans="1:15">
      <c r="A3138">
        <v>3137</v>
      </c>
      <c r="B3138" t="s">
        <v>309</v>
      </c>
      <c r="C3138" s="1">
        <v>40544</v>
      </c>
      <c r="D3138">
        <v>15</v>
      </c>
      <c r="E3138" s="4" t="s">
        <v>12</v>
      </c>
      <c r="F3138" t="s">
        <v>13</v>
      </c>
      <c r="G3138" s="1">
        <v>45305</v>
      </c>
      <c r="H3138" s="1">
        <f>TablaDatos[[#This Row],[FechaIngreso]]+TablaDatos[[#This Row],[DiasNuevo]]</f>
        <v>45325</v>
      </c>
      <c r="I3138">
        <v>20</v>
      </c>
      <c r="J3138" t="s">
        <v>23</v>
      </c>
      <c r="K3138" s="3">
        <v>3956.26</v>
      </c>
      <c r="L3138" t="b">
        <f>TablaDatos[[#This Row],[FechaAlta]] &lt; TablaDatos[[#This Row],[FechaIngreso]]</f>
        <v>0</v>
      </c>
      <c r="M3138">
        <f>_xlfn.XLOOKUP(TablaDatos[[#This Row],[PacienteID]],'Datos_Ejemplo.csv'!A:A,'Datos_Ejemplo.csv'!I:I)</f>
        <v>20</v>
      </c>
      <c r="N3138">
        <f>ABS(TablaDatos[[#This Row],[DiasOriginal]])</f>
        <v>20</v>
      </c>
      <c r="O3138" s="1">
        <f>TablaDatos[[#This Row],[FechaIngreso]]+TablaDatos[[#This Row],[DiasNuevo]]</f>
        <v>45325</v>
      </c>
    </row>
    <row r="3139" spans="1:15">
      <c r="A3139">
        <v>3138</v>
      </c>
      <c r="B3139" t="s">
        <v>249</v>
      </c>
      <c r="C3139" s="1">
        <v>46022</v>
      </c>
      <c r="D3139">
        <v>0</v>
      </c>
      <c r="E3139" s="4" t="s">
        <v>12</v>
      </c>
      <c r="F3139" t="s">
        <v>201</v>
      </c>
      <c r="G3139" s="1">
        <v>44928</v>
      </c>
      <c r="H3139" s="1">
        <f>TablaDatos[[#This Row],[FechaIngreso]]+TablaDatos[[#This Row],[DiasNuevo]]</f>
        <v>44956</v>
      </c>
      <c r="I3139">
        <v>28</v>
      </c>
      <c r="J3139" t="s">
        <v>23</v>
      </c>
      <c r="K3139" s="3">
        <v>16400.79</v>
      </c>
      <c r="L3139" t="b">
        <f>TablaDatos[[#This Row],[FechaAlta]] &lt; TablaDatos[[#This Row],[FechaIngreso]]</f>
        <v>0</v>
      </c>
      <c r="M3139">
        <f>_xlfn.XLOOKUP(TablaDatos[[#This Row],[PacienteID]],'Datos_Ejemplo.csv'!A:A,'Datos_Ejemplo.csv'!I:I)</f>
        <v>28</v>
      </c>
      <c r="N3139">
        <f>ABS(TablaDatos[[#This Row],[DiasOriginal]])</f>
        <v>28</v>
      </c>
      <c r="O3139" s="1">
        <f>TablaDatos[[#This Row],[FechaIngreso]]+TablaDatos[[#This Row],[DiasNuevo]]</f>
        <v>44956</v>
      </c>
    </row>
    <row r="3140" spans="1:15">
      <c r="A3140">
        <v>3139</v>
      </c>
      <c r="B3140" t="s">
        <v>274</v>
      </c>
      <c r="C3140" s="1">
        <v>23377</v>
      </c>
      <c r="D3140">
        <v>62</v>
      </c>
      <c r="E3140" s="4" t="s">
        <v>15</v>
      </c>
      <c r="F3140" t="s">
        <v>201</v>
      </c>
      <c r="G3140" s="1">
        <v>45376</v>
      </c>
      <c r="H3140" s="1">
        <f>TablaDatos[[#This Row],[FechaIngreso]]+TablaDatos[[#This Row],[DiasNuevo]]</f>
        <v>45403</v>
      </c>
      <c r="I3140">
        <v>27</v>
      </c>
      <c r="J3140" t="s">
        <v>25</v>
      </c>
      <c r="K3140" s="3">
        <v>5073.4799999999996</v>
      </c>
      <c r="L3140" t="b">
        <f>TablaDatos[[#This Row],[FechaAlta]] &lt; TablaDatos[[#This Row],[FechaIngreso]]</f>
        <v>0</v>
      </c>
      <c r="M3140">
        <f>_xlfn.XLOOKUP(TablaDatos[[#This Row],[PacienteID]],'Datos_Ejemplo.csv'!A:A,'Datos_Ejemplo.csv'!I:I)</f>
        <v>27</v>
      </c>
      <c r="N3140">
        <f>ABS(TablaDatos[[#This Row],[DiasOriginal]])</f>
        <v>27</v>
      </c>
      <c r="O3140" s="1">
        <f>TablaDatos[[#This Row],[FechaIngreso]]+TablaDatos[[#This Row],[DiasNuevo]]</f>
        <v>45403</v>
      </c>
    </row>
    <row r="3141" spans="1:15">
      <c r="A3141">
        <v>3140</v>
      </c>
      <c r="B3141" t="s">
        <v>279</v>
      </c>
      <c r="C3141" s="1">
        <v>38717</v>
      </c>
      <c r="D3141">
        <v>20</v>
      </c>
      <c r="E3141" s="4" t="s">
        <v>15</v>
      </c>
      <c r="F3141" t="s">
        <v>18</v>
      </c>
      <c r="G3141" s="1">
        <v>45495</v>
      </c>
      <c r="H3141" s="1">
        <f>TablaDatos[[#This Row],[FechaIngreso]]+TablaDatos[[#This Row],[DiasNuevo]]</f>
        <v>45534</v>
      </c>
      <c r="I3141">
        <v>39</v>
      </c>
      <c r="J3141" t="s">
        <v>25</v>
      </c>
      <c r="K3141" s="3">
        <v>5591.48</v>
      </c>
      <c r="L3141" t="b">
        <f>TablaDatos[[#This Row],[FechaAlta]] &lt; TablaDatos[[#This Row],[FechaIngreso]]</f>
        <v>0</v>
      </c>
      <c r="M3141">
        <f>_xlfn.XLOOKUP(TablaDatos[[#This Row],[PacienteID]],'Datos_Ejemplo.csv'!A:A,'Datos_Ejemplo.csv'!I:I)</f>
        <v>39</v>
      </c>
      <c r="N3141">
        <f>ABS(TablaDatos[[#This Row],[DiasOriginal]])</f>
        <v>39</v>
      </c>
      <c r="O3141" s="1">
        <f>TablaDatos[[#This Row],[FechaIngreso]]+TablaDatos[[#This Row],[DiasNuevo]]</f>
        <v>45534</v>
      </c>
    </row>
    <row r="3142" spans="1:15">
      <c r="A3142">
        <v>3141</v>
      </c>
      <c r="B3142" t="s">
        <v>286</v>
      </c>
      <c r="C3142" s="1">
        <v>35430</v>
      </c>
      <c r="D3142">
        <v>29</v>
      </c>
      <c r="E3142" s="4" t="s">
        <v>15</v>
      </c>
      <c r="F3142" t="s">
        <v>21</v>
      </c>
      <c r="G3142" s="1">
        <v>45353</v>
      </c>
      <c r="H3142" s="1">
        <f>TablaDatos[[#This Row],[FechaIngreso]]+TablaDatos[[#This Row],[DiasNuevo]]</f>
        <v>45354</v>
      </c>
      <c r="I3142">
        <v>1</v>
      </c>
      <c r="J3142" t="s">
        <v>25</v>
      </c>
      <c r="K3142" s="3">
        <v>19979.29</v>
      </c>
      <c r="L3142" t="b">
        <f>TablaDatos[[#This Row],[FechaAlta]] &lt; TablaDatos[[#This Row],[FechaIngreso]]</f>
        <v>0</v>
      </c>
      <c r="M3142">
        <f>_xlfn.XLOOKUP(TablaDatos[[#This Row],[PacienteID]],'Datos_Ejemplo.csv'!A:A,'Datos_Ejemplo.csv'!I:I)</f>
        <v>-1</v>
      </c>
      <c r="N3142">
        <f>ABS(TablaDatos[[#This Row],[DiasOriginal]])</f>
        <v>1</v>
      </c>
      <c r="O3142" s="1">
        <f>TablaDatos[[#This Row],[FechaIngreso]]+TablaDatos[[#This Row],[DiasNuevo]]</f>
        <v>45354</v>
      </c>
    </row>
    <row r="3143" spans="1:15">
      <c r="A3143">
        <v>3142</v>
      </c>
      <c r="B3143" t="s">
        <v>245</v>
      </c>
      <c r="C3143" s="1">
        <v>41639</v>
      </c>
      <c r="D3143">
        <v>12</v>
      </c>
      <c r="E3143" s="4" t="s">
        <v>12</v>
      </c>
      <c r="F3143" t="s">
        <v>18</v>
      </c>
      <c r="G3143" s="1">
        <v>45576</v>
      </c>
      <c r="H3143" s="1">
        <f>TablaDatos[[#This Row],[FechaIngreso]]+TablaDatos[[#This Row],[DiasNuevo]]</f>
        <v>45584</v>
      </c>
      <c r="I3143">
        <v>8</v>
      </c>
      <c r="J3143" t="s">
        <v>23</v>
      </c>
      <c r="K3143" s="3">
        <v>6478.94</v>
      </c>
      <c r="L3143" t="b">
        <f>TablaDatos[[#This Row],[FechaAlta]] &lt; TablaDatos[[#This Row],[FechaIngreso]]</f>
        <v>0</v>
      </c>
      <c r="M3143">
        <f>_xlfn.XLOOKUP(TablaDatos[[#This Row],[PacienteID]],'Datos_Ejemplo.csv'!A:A,'Datos_Ejemplo.csv'!I:I)</f>
        <v>8</v>
      </c>
      <c r="N3143">
        <f>ABS(TablaDatos[[#This Row],[DiasOriginal]])</f>
        <v>8</v>
      </c>
      <c r="O3143" s="1">
        <f>TablaDatos[[#This Row],[FechaIngreso]]+TablaDatos[[#This Row],[DiasNuevo]]</f>
        <v>45584</v>
      </c>
    </row>
    <row r="3144" spans="1:15">
      <c r="A3144">
        <v>3143</v>
      </c>
      <c r="B3144" t="s">
        <v>122</v>
      </c>
      <c r="C3144" s="1">
        <v>33969</v>
      </c>
      <c r="D3144">
        <v>33</v>
      </c>
      <c r="E3144" s="4" t="s">
        <v>15</v>
      </c>
      <c r="F3144" t="s">
        <v>18</v>
      </c>
      <c r="G3144" s="1">
        <v>45205</v>
      </c>
      <c r="H3144" s="1">
        <f>TablaDatos[[#This Row],[FechaIngreso]]+TablaDatos[[#This Row],[DiasNuevo]]</f>
        <v>45227</v>
      </c>
      <c r="I3144">
        <v>22</v>
      </c>
      <c r="J3144" t="s">
        <v>25</v>
      </c>
      <c r="K3144" s="3">
        <v>8397.77</v>
      </c>
      <c r="L3144" t="b">
        <f>TablaDatos[[#This Row],[FechaAlta]] &lt; TablaDatos[[#This Row],[FechaIngreso]]</f>
        <v>0</v>
      </c>
      <c r="M3144">
        <f>_xlfn.XLOOKUP(TablaDatos[[#This Row],[PacienteID]],'Datos_Ejemplo.csv'!A:A,'Datos_Ejemplo.csv'!I:I)</f>
        <v>22</v>
      </c>
      <c r="N3144">
        <f>ABS(TablaDatos[[#This Row],[DiasOriginal]])</f>
        <v>22</v>
      </c>
      <c r="O3144" s="1">
        <f>TablaDatos[[#This Row],[FechaIngreso]]+TablaDatos[[#This Row],[DiasNuevo]]</f>
        <v>45227</v>
      </c>
    </row>
    <row r="3145" spans="1:15">
      <c r="A3145">
        <v>3144</v>
      </c>
      <c r="B3145" t="s">
        <v>331</v>
      </c>
      <c r="C3145" s="1">
        <v>44927</v>
      </c>
      <c r="D3145">
        <v>3</v>
      </c>
      <c r="E3145" s="4" t="s">
        <v>15</v>
      </c>
      <c r="F3145" t="s">
        <v>13</v>
      </c>
      <c r="G3145" s="1">
        <v>45140</v>
      </c>
      <c r="H3145" s="1">
        <f>TablaDatos[[#This Row],[FechaIngreso]]+TablaDatos[[#This Row],[DiasNuevo]]</f>
        <v>45166</v>
      </c>
      <c r="I3145">
        <v>26</v>
      </c>
      <c r="J3145" t="s">
        <v>25</v>
      </c>
      <c r="K3145" s="3">
        <v>19800.11</v>
      </c>
      <c r="L3145" t="b">
        <f>TablaDatos[[#This Row],[FechaAlta]] &lt; TablaDatos[[#This Row],[FechaIngreso]]</f>
        <v>0</v>
      </c>
      <c r="M3145">
        <f>_xlfn.XLOOKUP(TablaDatos[[#This Row],[PacienteID]],'Datos_Ejemplo.csv'!A:A,'Datos_Ejemplo.csv'!I:I)</f>
        <v>26</v>
      </c>
      <c r="N3145">
        <f>ABS(TablaDatos[[#This Row],[DiasOriginal]])</f>
        <v>26</v>
      </c>
      <c r="O3145" s="1">
        <f>TablaDatos[[#This Row],[FechaIngreso]]+TablaDatos[[#This Row],[DiasNuevo]]</f>
        <v>45166</v>
      </c>
    </row>
    <row r="3146" spans="1:15">
      <c r="A3146">
        <v>3145</v>
      </c>
      <c r="B3146" t="s">
        <v>268</v>
      </c>
      <c r="C3146" s="1">
        <v>36161</v>
      </c>
      <c r="D3146">
        <v>27</v>
      </c>
      <c r="E3146" s="4" t="s">
        <v>15</v>
      </c>
      <c r="F3146" t="s">
        <v>13</v>
      </c>
      <c r="G3146" s="1">
        <v>45211</v>
      </c>
      <c r="H3146" s="1">
        <f>TablaDatos[[#This Row],[FechaIngreso]]+TablaDatos[[#This Row],[DiasNuevo]]</f>
        <v>45230</v>
      </c>
      <c r="I3146">
        <v>19</v>
      </c>
      <c r="J3146" t="s">
        <v>25</v>
      </c>
      <c r="K3146" s="3">
        <v>7322.94</v>
      </c>
      <c r="L3146" t="b">
        <f>TablaDatos[[#This Row],[FechaAlta]] &lt; TablaDatos[[#This Row],[FechaIngreso]]</f>
        <v>0</v>
      </c>
      <c r="M3146">
        <f>_xlfn.XLOOKUP(TablaDatos[[#This Row],[PacienteID]],'Datos_Ejemplo.csv'!A:A,'Datos_Ejemplo.csv'!I:I)</f>
        <v>19</v>
      </c>
      <c r="N3146">
        <f>ABS(TablaDatos[[#This Row],[DiasOriginal]])</f>
        <v>19</v>
      </c>
      <c r="O3146" s="1">
        <f>TablaDatos[[#This Row],[FechaIngreso]]+TablaDatos[[#This Row],[DiasNuevo]]</f>
        <v>45230</v>
      </c>
    </row>
    <row r="3147" spans="1:15">
      <c r="A3147">
        <v>3146</v>
      </c>
      <c r="B3147" t="s">
        <v>312</v>
      </c>
      <c r="C3147" s="1">
        <v>11689</v>
      </c>
      <c r="D3147">
        <v>94</v>
      </c>
      <c r="E3147" s="4" t="s">
        <v>15</v>
      </c>
      <c r="F3147" t="s">
        <v>295</v>
      </c>
      <c r="G3147" s="1">
        <v>45469</v>
      </c>
      <c r="H3147" s="1">
        <f>TablaDatos[[#This Row],[FechaIngreso]]+TablaDatos[[#This Row],[DiasNuevo]]</f>
        <v>45485</v>
      </c>
      <c r="I3147">
        <v>16</v>
      </c>
      <c r="J3147" t="s">
        <v>19</v>
      </c>
      <c r="K3147" s="3">
        <v>7259.66</v>
      </c>
      <c r="L3147" t="b">
        <f>TablaDatos[[#This Row],[FechaAlta]] &lt; TablaDatos[[#This Row],[FechaIngreso]]</f>
        <v>0</v>
      </c>
      <c r="M3147">
        <f>_xlfn.XLOOKUP(TablaDatos[[#This Row],[PacienteID]],'Datos_Ejemplo.csv'!A:A,'Datos_Ejemplo.csv'!I:I)</f>
        <v>16</v>
      </c>
      <c r="N3147">
        <f>ABS(TablaDatos[[#This Row],[DiasOriginal]])</f>
        <v>16</v>
      </c>
      <c r="O3147" s="1">
        <f>TablaDatos[[#This Row],[FechaIngreso]]+TablaDatos[[#This Row],[DiasNuevo]]</f>
        <v>45485</v>
      </c>
    </row>
    <row r="3148" spans="1:15">
      <c r="A3148">
        <v>3147</v>
      </c>
      <c r="B3148" t="s">
        <v>330</v>
      </c>
      <c r="C3148" s="1">
        <v>24838</v>
      </c>
      <c r="D3148">
        <v>58</v>
      </c>
      <c r="E3148" s="4" t="s">
        <v>12</v>
      </c>
      <c r="F3148" t="s">
        <v>21</v>
      </c>
      <c r="G3148" s="1">
        <v>45644</v>
      </c>
      <c r="H3148" s="1">
        <f>TablaDatos[[#This Row],[FechaIngreso]]+TablaDatos[[#This Row],[DiasNuevo]]</f>
        <v>45650</v>
      </c>
      <c r="I3148">
        <v>6</v>
      </c>
      <c r="J3148" t="s">
        <v>25</v>
      </c>
      <c r="K3148" s="3">
        <v>16537.060000000001</v>
      </c>
      <c r="L3148" t="b">
        <f>TablaDatos[[#This Row],[FechaAlta]] &lt; TablaDatos[[#This Row],[FechaIngreso]]</f>
        <v>0</v>
      </c>
      <c r="M3148">
        <f>_xlfn.XLOOKUP(TablaDatos[[#This Row],[PacienteID]],'Datos_Ejemplo.csv'!A:A,'Datos_Ejemplo.csv'!I:I)</f>
        <v>6</v>
      </c>
      <c r="N3148">
        <f>ABS(TablaDatos[[#This Row],[DiasOriginal]])</f>
        <v>6</v>
      </c>
      <c r="O3148" s="1">
        <f>TablaDatos[[#This Row],[FechaIngreso]]+TablaDatos[[#This Row],[DiasNuevo]]</f>
        <v>45650</v>
      </c>
    </row>
    <row r="3149" spans="1:15">
      <c r="A3149">
        <v>3148</v>
      </c>
      <c r="B3149" t="s">
        <v>305</v>
      </c>
      <c r="C3149" s="1">
        <v>36526</v>
      </c>
      <c r="D3149">
        <v>26</v>
      </c>
      <c r="E3149" s="4" t="s">
        <v>15</v>
      </c>
      <c r="F3149" t="s">
        <v>201</v>
      </c>
      <c r="G3149" s="1">
        <v>45200</v>
      </c>
      <c r="H3149" s="1">
        <f>TablaDatos[[#This Row],[FechaIngreso]]+TablaDatos[[#This Row],[DiasNuevo]]</f>
        <v>45238</v>
      </c>
      <c r="I3149">
        <v>38</v>
      </c>
      <c r="J3149" t="s">
        <v>23</v>
      </c>
      <c r="K3149" s="3">
        <v>6169.8</v>
      </c>
      <c r="L3149" t="b">
        <f>TablaDatos[[#This Row],[FechaAlta]] &lt; TablaDatos[[#This Row],[FechaIngreso]]</f>
        <v>0</v>
      </c>
      <c r="M3149">
        <f>_xlfn.XLOOKUP(TablaDatos[[#This Row],[PacienteID]],'Datos_Ejemplo.csv'!A:A,'Datos_Ejemplo.csv'!I:I)</f>
        <v>38</v>
      </c>
      <c r="N3149">
        <f>ABS(TablaDatos[[#This Row],[DiasOriginal]])</f>
        <v>38</v>
      </c>
      <c r="O3149" s="1">
        <f>TablaDatos[[#This Row],[FechaIngreso]]+TablaDatos[[#This Row],[DiasNuevo]]</f>
        <v>45238</v>
      </c>
    </row>
    <row r="3150" spans="1:15">
      <c r="A3150">
        <v>3149</v>
      </c>
      <c r="B3150" t="s">
        <v>359</v>
      </c>
      <c r="C3150" s="1">
        <v>21185</v>
      </c>
      <c r="D3150">
        <v>68</v>
      </c>
      <c r="E3150" s="4" t="s">
        <v>12</v>
      </c>
      <c r="F3150" t="s">
        <v>295</v>
      </c>
      <c r="G3150" s="1">
        <v>44937</v>
      </c>
      <c r="H3150" s="1">
        <f>TablaDatos[[#This Row],[FechaIngreso]]+TablaDatos[[#This Row],[DiasNuevo]]</f>
        <v>44972</v>
      </c>
      <c r="I3150">
        <v>35</v>
      </c>
      <c r="J3150" t="s">
        <v>19</v>
      </c>
      <c r="K3150" s="3">
        <v>4599.1000000000004</v>
      </c>
      <c r="L3150" t="b">
        <f>TablaDatos[[#This Row],[FechaAlta]] &lt; TablaDatos[[#This Row],[FechaIngreso]]</f>
        <v>0</v>
      </c>
      <c r="M3150">
        <f>_xlfn.XLOOKUP(TablaDatos[[#This Row],[PacienteID]],'Datos_Ejemplo.csv'!A:A,'Datos_Ejemplo.csv'!I:I)</f>
        <v>35</v>
      </c>
      <c r="N3150">
        <f>ABS(TablaDatos[[#This Row],[DiasOriginal]])</f>
        <v>35</v>
      </c>
      <c r="O3150" s="1">
        <f>TablaDatos[[#This Row],[FechaIngreso]]+TablaDatos[[#This Row],[DiasNuevo]]</f>
        <v>44972</v>
      </c>
    </row>
    <row r="3151" spans="1:15">
      <c r="A3151">
        <v>3150</v>
      </c>
      <c r="B3151" t="s">
        <v>354</v>
      </c>
      <c r="C3151" s="1">
        <v>37256</v>
      </c>
      <c r="D3151">
        <v>24</v>
      </c>
      <c r="E3151" s="4" t="s">
        <v>12</v>
      </c>
      <c r="F3151" t="s">
        <v>201</v>
      </c>
      <c r="G3151" s="1">
        <v>44973</v>
      </c>
      <c r="H3151" s="1">
        <f>TablaDatos[[#This Row],[FechaIngreso]]+TablaDatos[[#This Row],[DiasNuevo]]</f>
        <v>44999</v>
      </c>
      <c r="I3151">
        <v>26</v>
      </c>
      <c r="J3151" t="s">
        <v>23</v>
      </c>
      <c r="K3151" s="3">
        <v>8406.5300000000007</v>
      </c>
      <c r="L3151" t="b">
        <f>TablaDatos[[#This Row],[FechaAlta]] &lt; TablaDatos[[#This Row],[FechaIngreso]]</f>
        <v>0</v>
      </c>
      <c r="M3151">
        <f>_xlfn.XLOOKUP(TablaDatos[[#This Row],[PacienteID]],'Datos_Ejemplo.csv'!A:A,'Datos_Ejemplo.csv'!I:I)</f>
        <v>26</v>
      </c>
      <c r="N3151">
        <f>ABS(TablaDatos[[#This Row],[DiasOriginal]])</f>
        <v>26</v>
      </c>
      <c r="O3151" s="1">
        <f>TablaDatos[[#This Row],[FechaIngreso]]+TablaDatos[[#This Row],[DiasNuevo]]</f>
        <v>44999</v>
      </c>
    </row>
    <row r="3152" spans="1:15">
      <c r="A3152">
        <v>3151</v>
      </c>
      <c r="B3152" t="s">
        <v>237</v>
      </c>
      <c r="C3152" s="1">
        <v>45292</v>
      </c>
      <c r="D3152">
        <v>2</v>
      </c>
      <c r="E3152" s="4" t="s">
        <v>15</v>
      </c>
      <c r="F3152" t="s">
        <v>201</v>
      </c>
      <c r="G3152" s="1">
        <v>45441</v>
      </c>
      <c r="H3152" s="1">
        <f>TablaDatos[[#This Row],[FechaIngreso]]+TablaDatos[[#This Row],[DiasNuevo]]</f>
        <v>45448</v>
      </c>
      <c r="I3152">
        <v>7</v>
      </c>
      <c r="J3152" t="s">
        <v>23</v>
      </c>
      <c r="K3152" s="3">
        <v>13982.88</v>
      </c>
      <c r="L3152" t="b">
        <f>TablaDatos[[#This Row],[FechaAlta]] &lt; TablaDatos[[#This Row],[FechaIngreso]]</f>
        <v>0</v>
      </c>
      <c r="M3152">
        <f>_xlfn.XLOOKUP(TablaDatos[[#This Row],[PacienteID]],'Datos_Ejemplo.csv'!A:A,'Datos_Ejemplo.csv'!I:I)</f>
        <v>7</v>
      </c>
      <c r="N3152">
        <f>ABS(TablaDatos[[#This Row],[DiasOriginal]])</f>
        <v>7</v>
      </c>
      <c r="O3152" s="1">
        <f>TablaDatos[[#This Row],[FechaIngreso]]+TablaDatos[[#This Row],[DiasNuevo]]</f>
        <v>45448</v>
      </c>
    </row>
    <row r="3153" spans="1:15">
      <c r="A3153">
        <v>3152</v>
      </c>
      <c r="B3153" t="s">
        <v>350</v>
      </c>
      <c r="C3153" s="1">
        <v>21551</v>
      </c>
      <c r="D3153">
        <v>67</v>
      </c>
      <c r="E3153" s="4" t="s">
        <v>12</v>
      </c>
      <c r="F3153" t="s">
        <v>13</v>
      </c>
      <c r="G3153" s="1">
        <v>45568</v>
      </c>
      <c r="H3153" s="1">
        <f>TablaDatos[[#This Row],[FechaIngreso]]+TablaDatos[[#This Row],[DiasNuevo]]</f>
        <v>45587</v>
      </c>
      <c r="I3153">
        <v>19</v>
      </c>
      <c r="J3153" t="s">
        <v>19</v>
      </c>
      <c r="K3153" s="3">
        <v>769.18</v>
      </c>
      <c r="L3153" t="b">
        <f>TablaDatos[[#This Row],[FechaAlta]] &lt; TablaDatos[[#This Row],[FechaIngreso]]</f>
        <v>0</v>
      </c>
      <c r="M3153">
        <f>_xlfn.XLOOKUP(TablaDatos[[#This Row],[PacienteID]],'Datos_Ejemplo.csv'!A:A,'Datos_Ejemplo.csv'!I:I)</f>
        <v>19</v>
      </c>
      <c r="N3153">
        <f>ABS(TablaDatos[[#This Row],[DiasOriginal]])</f>
        <v>19</v>
      </c>
      <c r="O3153" s="1">
        <f>TablaDatos[[#This Row],[FechaIngreso]]+TablaDatos[[#This Row],[DiasNuevo]]</f>
        <v>45587</v>
      </c>
    </row>
    <row r="3154" spans="1:15">
      <c r="A3154">
        <v>3153</v>
      </c>
      <c r="B3154" t="s">
        <v>266</v>
      </c>
      <c r="C3154" s="1">
        <f ca="1">DATE(YEAR(TODAY())-TablaDatos[[#This Row],[Edad]],1,1)</f>
        <v>37257</v>
      </c>
      <c r="D3154">
        <v>24</v>
      </c>
      <c r="E3154" s="4" t="s">
        <v>197</v>
      </c>
      <c r="F3154" t="s">
        <v>201</v>
      </c>
      <c r="G3154" s="1">
        <v>45364</v>
      </c>
      <c r="H3154" s="1">
        <f>TablaDatos[[#This Row],[FechaIngreso]]+TablaDatos[[#This Row],[DiasNuevo]]</f>
        <v>45385</v>
      </c>
      <c r="I3154">
        <v>21</v>
      </c>
      <c r="J3154" t="s">
        <v>25</v>
      </c>
      <c r="K3154" s="3">
        <v>7415.71</v>
      </c>
      <c r="L3154" t="b">
        <f>TablaDatos[[#This Row],[FechaAlta]] &lt; TablaDatos[[#This Row],[FechaIngreso]]</f>
        <v>0</v>
      </c>
      <c r="M3154">
        <f>_xlfn.XLOOKUP(TablaDatos[[#This Row],[PacienteID]],'Datos_Ejemplo.csv'!A:A,'Datos_Ejemplo.csv'!I:I)</f>
        <v>21</v>
      </c>
      <c r="N3154">
        <f>ABS(TablaDatos[[#This Row],[DiasOriginal]])</f>
        <v>21</v>
      </c>
      <c r="O3154" s="1">
        <f>TablaDatos[[#This Row],[FechaIngreso]]+TablaDatos[[#This Row],[DiasNuevo]]</f>
        <v>45385</v>
      </c>
    </row>
    <row r="3155" spans="1:15">
      <c r="A3155">
        <v>3154</v>
      </c>
      <c r="B3155" t="s">
        <v>130</v>
      </c>
      <c r="C3155" s="1">
        <v>39083</v>
      </c>
      <c r="D3155">
        <v>19</v>
      </c>
      <c r="E3155" s="4" t="s">
        <v>197</v>
      </c>
      <c r="F3155" t="s">
        <v>201</v>
      </c>
      <c r="G3155" s="1">
        <v>45510</v>
      </c>
      <c r="H3155" s="1">
        <f>TablaDatos[[#This Row],[FechaIngreso]]+TablaDatos[[#This Row],[DiasNuevo]]</f>
        <v>45515</v>
      </c>
      <c r="I3155">
        <v>5</v>
      </c>
      <c r="J3155" t="s">
        <v>19</v>
      </c>
      <c r="K3155" s="3">
        <v>6859.52</v>
      </c>
      <c r="L3155" t="b">
        <f>TablaDatos[[#This Row],[FechaAlta]] &lt; TablaDatos[[#This Row],[FechaIngreso]]</f>
        <v>0</v>
      </c>
      <c r="M3155">
        <f>_xlfn.XLOOKUP(TablaDatos[[#This Row],[PacienteID]],'Datos_Ejemplo.csv'!A:A,'Datos_Ejemplo.csv'!I:I)</f>
        <v>5</v>
      </c>
      <c r="N3155">
        <f>ABS(TablaDatos[[#This Row],[DiasOriginal]])</f>
        <v>5</v>
      </c>
      <c r="O3155" s="1">
        <f>TablaDatos[[#This Row],[FechaIngreso]]+TablaDatos[[#This Row],[DiasNuevo]]</f>
        <v>45515</v>
      </c>
    </row>
    <row r="3156" spans="1:15">
      <c r="A3156">
        <v>3155</v>
      </c>
      <c r="B3156" t="s">
        <v>245</v>
      </c>
      <c r="C3156" s="1">
        <v>33969</v>
      </c>
      <c r="D3156">
        <v>33</v>
      </c>
      <c r="E3156" s="4" t="s">
        <v>15</v>
      </c>
      <c r="F3156" t="s">
        <v>18</v>
      </c>
      <c r="G3156" s="1">
        <v>45597</v>
      </c>
      <c r="H3156" s="1">
        <f>TablaDatos[[#This Row],[FechaIngreso]]+TablaDatos[[#This Row],[DiasNuevo]]</f>
        <v>45600</v>
      </c>
      <c r="I3156">
        <v>3</v>
      </c>
      <c r="J3156" t="s">
        <v>23</v>
      </c>
      <c r="K3156" s="3">
        <v>4820.8500000000004</v>
      </c>
      <c r="L3156" t="b">
        <f>TablaDatos[[#This Row],[FechaAlta]] &lt; TablaDatos[[#This Row],[FechaIngreso]]</f>
        <v>0</v>
      </c>
      <c r="M3156">
        <f>_xlfn.XLOOKUP(TablaDatos[[#This Row],[PacienteID]],'Datos_Ejemplo.csv'!A:A,'Datos_Ejemplo.csv'!I:I)</f>
        <v>3</v>
      </c>
      <c r="N3156">
        <f>ABS(TablaDatos[[#This Row],[DiasOriginal]])</f>
        <v>3</v>
      </c>
      <c r="O3156" s="1">
        <f>TablaDatos[[#This Row],[FechaIngreso]]+TablaDatos[[#This Row],[DiasNuevo]]</f>
        <v>45600</v>
      </c>
    </row>
    <row r="3157" spans="1:15">
      <c r="A3157">
        <v>3156</v>
      </c>
      <c r="B3157" t="s">
        <v>284</v>
      </c>
      <c r="C3157" s="1">
        <v>36891</v>
      </c>
      <c r="D3157">
        <v>25</v>
      </c>
      <c r="E3157" s="4" t="s">
        <v>15</v>
      </c>
      <c r="F3157" t="s">
        <v>13</v>
      </c>
      <c r="G3157" s="1">
        <v>45353</v>
      </c>
      <c r="H3157" s="1">
        <f>TablaDatos[[#This Row],[FechaIngreso]]+TablaDatos[[#This Row],[DiasNuevo]]</f>
        <v>45357</v>
      </c>
      <c r="I3157">
        <v>4</v>
      </c>
      <c r="J3157" t="s">
        <v>19</v>
      </c>
      <c r="K3157" s="3">
        <v>13051.18</v>
      </c>
      <c r="L3157" t="b">
        <f>TablaDatos[[#This Row],[FechaAlta]] &lt; TablaDatos[[#This Row],[FechaIngreso]]</f>
        <v>0</v>
      </c>
      <c r="M3157">
        <f>_xlfn.XLOOKUP(TablaDatos[[#This Row],[PacienteID]],'Datos_Ejemplo.csv'!A:A,'Datos_Ejemplo.csv'!I:I)</f>
        <v>4</v>
      </c>
      <c r="N3157">
        <f>ABS(TablaDatos[[#This Row],[DiasOriginal]])</f>
        <v>4</v>
      </c>
      <c r="O3157" s="1">
        <f>TablaDatos[[#This Row],[FechaIngreso]]+TablaDatos[[#This Row],[DiasNuevo]]</f>
        <v>45357</v>
      </c>
    </row>
    <row r="3158" spans="1:15">
      <c r="A3158">
        <v>3157</v>
      </c>
      <c r="B3158" t="s">
        <v>329</v>
      </c>
      <c r="C3158" s="1">
        <v>44561</v>
      </c>
      <c r="D3158">
        <v>4</v>
      </c>
      <c r="E3158" s="4" t="s">
        <v>15</v>
      </c>
      <c r="F3158" t="s">
        <v>32</v>
      </c>
      <c r="G3158" s="1">
        <v>45358</v>
      </c>
      <c r="H3158" s="1">
        <f>TablaDatos[[#This Row],[FechaIngreso]]+TablaDatos[[#This Row],[DiasNuevo]]</f>
        <v>45375</v>
      </c>
      <c r="I3158">
        <v>17</v>
      </c>
      <c r="J3158" t="s">
        <v>23</v>
      </c>
      <c r="K3158" s="3">
        <v>5728.8</v>
      </c>
      <c r="L3158" t="b">
        <f>TablaDatos[[#This Row],[FechaAlta]] &lt; TablaDatos[[#This Row],[FechaIngreso]]</f>
        <v>0</v>
      </c>
      <c r="M3158">
        <f>_xlfn.XLOOKUP(TablaDatos[[#This Row],[PacienteID]],'Datos_Ejemplo.csv'!A:A,'Datos_Ejemplo.csv'!I:I)</f>
        <v>17</v>
      </c>
      <c r="N3158">
        <f>ABS(TablaDatos[[#This Row],[DiasOriginal]])</f>
        <v>17</v>
      </c>
      <c r="O3158" s="1">
        <f>TablaDatos[[#This Row],[FechaIngreso]]+TablaDatos[[#This Row],[DiasNuevo]]</f>
        <v>45375</v>
      </c>
    </row>
    <row r="3159" spans="1:15">
      <c r="A3159">
        <v>3158</v>
      </c>
      <c r="B3159" t="s">
        <v>278</v>
      </c>
      <c r="C3159" s="1">
        <v>24107</v>
      </c>
      <c r="D3159">
        <v>60</v>
      </c>
      <c r="E3159" s="4" t="s">
        <v>12</v>
      </c>
      <c r="F3159" t="s">
        <v>18</v>
      </c>
      <c r="G3159" s="1">
        <v>45056</v>
      </c>
      <c r="H3159" s="1">
        <f>TablaDatos[[#This Row],[FechaIngreso]]+TablaDatos[[#This Row],[DiasNuevo]]</f>
        <v>45070</v>
      </c>
      <c r="I3159">
        <v>14</v>
      </c>
      <c r="J3159" t="s">
        <v>25</v>
      </c>
      <c r="K3159" s="3">
        <v>12095.3</v>
      </c>
      <c r="L3159" t="b">
        <f>TablaDatos[[#This Row],[FechaAlta]] &lt; TablaDatos[[#This Row],[FechaIngreso]]</f>
        <v>0</v>
      </c>
      <c r="M3159">
        <f>_xlfn.XLOOKUP(TablaDatos[[#This Row],[PacienteID]],'Datos_Ejemplo.csv'!A:A,'Datos_Ejemplo.csv'!I:I)</f>
        <v>14</v>
      </c>
      <c r="N3159">
        <f>ABS(TablaDatos[[#This Row],[DiasOriginal]])</f>
        <v>14</v>
      </c>
      <c r="O3159" s="1">
        <f>TablaDatos[[#This Row],[FechaIngreso]]+TablaDatos[[#This Row],[DiasNuevo]]</f>
        <v>45070</v>
      </c>
    </row>
    <row r="3160" spans="1:15">
      <c r="A3160">
        <v>3159</v>
      </c>
      <c r="B3160" t="s">
        <v>306</v>
      </c>
      <c r="C3160" s="1">
        <v>12785</v>
      </c>
      <c r="D3160">
        <v>91</v>
      </c>
      <c r="E3160" s="4" t="s">
        <v>12</v>
      </c>
      <c r="F3160" t="s">
        <v>295</v>
      </c>
      <c r="G3160" s="1">
        <v>44948</v>
      </c>
      <c r="H3160" s="1">
        <f>TablaDatos[[#This Row],[FechaIngreso]]+TablaDatos[[#This Row],[DiasNuevo]]</f>
        <v>44981</v>
      </c>
      <c r="I3160">
        <v>33</v>
      </c>
      <c r="J3160" t="s">
        <v>25</v>
      </c>
      <c r="K3160" s="3">
        <v>10037.17</v>
      </c>
      <c r="L3160" t="b">
        <f>TablaDatos[[#This Row],[FechaAlta]] &lt; TablaDatos[[#This Row],[FechaIngreso]]</f>
        <v>0</v>
      </c>
      <c r="M3160">
        <f>_xlfn.XLOOKUP(TablaDatos[[#This Row],[PacienteID]],'Datos_Ejemplo.csv'!A:A,'Datos_Ejemplo.csv'!I:I)</f>
        <v>33</v>
      </c>
      <c r="N3160">
        <f>ABS(TablaDatos[[#This Row],[DiasOriginal]])</f>
        <v>33</v>
      </c>
      <c r="O3160" s="1">
        <f>TablaDatos[[#This Row],[FechaIngreso]]+TablaDatos[[#This Row],[DiasNuevo]]</f>
        <v>44981</v>
      </c>
    </row>
    <row r="3161" spans="1:15">
      <c r="A3161">
        <v>3160</v>
      </c>
      <c r="B3161" t="s">
        <v>310</v>
      </c>
      <c r="C3161" s="1">
        <v>12419</v>
      </c>
      <c r="D3161">
        <v>92</v>
      </c>
      <c r="E3161" s="4" t="s">
        <v>12</v>
      </c>
      <c r="F3161" t="s">
        <v>18</v>
      </c>
      <c r="G3161" s="1">
        <v>45315</v>
      </c>
      <c r="H3161" s="1">
        <f>TablaDatos[[#This Row],[FechaIngreso]]+TablaDatos[[#This Row],[DiasNuevo]]</f>
        <v>45320</v>
      </c>
      <c r="I3161">
        <v>5</v>
      </c>
      <c r="J3161" t="s">
        <v>23</v>
      </c>
      <c r="K3161" s="3">
        <v>4265.5200000000004</v>
      </c>
      <c r="L3161" t="b">
        <f>TablaDatos[[#This Row],[FechaAlta]] &lt; TablaDatos[[#This Row],[FechaIngreso]]</f>
        <v>0</v>
      </c>
      <c r="M3161">
        <f>_xlfn.XLOOKUP(TablaDatos[[#This Row],[PacienteID]],'Datos_Ejemplo.csv'!A:A,'Datos_Ejemplo.csv'!I:I)</f>
        <v>5</v>
      </c>
      <c r="N3161">
        <f>ABS(TablaDatos[[#This Row],[DiasOriginal]])</f>
        <v>5</v>
      </c>
      <c r="O3161" s="1">
        <f>TablaDatos[[#This Row],[FechaIngreso]]+TablaDatos[[#This Row],[DiasNuevo]]</f>
        <v>45320</v>
      </c>
    </row>
    <row r="3162" spans="1:15">
      <c r="A3162">
        <v>3161</v>
      </c>
      <c r="B3162" t="s">
        <v>354</v>
      </c>
      <c r="C3162" s="1">
        <v>43100</v>
      </c>
      <c r="D3162">
        <v>8</v>
      </c>
      <c r="E3162" s="4" t="s">
        <v>15</v>
      </c>
      <c r="F3162" t="s">
        <v>32</v>
      </c>
      <c r="G3162" s="1">
        <v>45061</v>
      </c>
      <c r="H3162" s="1">
        <f>TablaDatos[[#This Row],[FechaIngreso]]+TablaDatos[[#This Row],[DiasNuevo]]</f>
        <v>45071</v>
      </c>
      <c r="I3162">
        <v>10</v>
      </c>
      <c r="J3162" t="s">
        <v>23</v>
      </c>
      <c r="K3162" s="3">
        <v>5257.98</v>
      </c>
      <c r="L3162" t="b">
        <f>TablaDatos[[#This Row],[FechaAlta]] &lt; TablaDatos[[#This Row],[FechaIngreso]]</f>
        <v>0</v>
      </c>
      <c r="M3162">
        <f>_xlfn.XLOOKUP(TablaDatos[[#This Row],[PacienteID]],'Datos_Ejemplo.csv'!A:A,'Datos_Ejemplo.csv'!I:I)</f>
        <v>10</v>
      </c>
      <c r="N3162">
        <f>ABS(TablaDatos[[#This Row],[DiasOriginal]])</f>
        <v>10</v>
      </c>
      <c r="O3162" s="1">
        <f>TablaDatos[[#This Row],[FechaIngreso]]+TablaDatos[[#This Row],[DiasNuevo]]</f>
        <v>45071</v>
      </c>
    </row>
    <row r="3163" spans="1:15">
      <c r="A3163">
        <v>3162</v>
      </c>
      <c r="B3163" t="s">
        <v>256</v>
      </c>
      <c r="C3163" s="1">
        <v>28125</v>
      </c>
      <c r="D3163">
        <v>49</v>
      </c>
      <c r="E3163" s="4" t="s">
        <v>15</v>
      </c>
      <c r="F3163" t="s">
        <v>13</v>
      </c>
      <c r="G3163" s="1">
        <v>45458</v>
      </c>
      <c r="H3163" s="1">
        <f>TablaDatos[[#This Row],[FechaIngreso]]+TablaDatos[[#This Row],[DiasNuevo]]</f>
        <v>45479</v>
      </c>
      <c r="I3163">
        <v>21</v>
      </c>
      <c r="J3163" t="s">
        <v>19</v>
      </c>
      <c r="K3163" s="3">
        <v>3329.06</v>
      </c>
      <c r="L3163" t="b">
        <f>TablaDatos[[#This Row],[FechaAlta]] &lt; TablaDatos[[#This Row],[FechaIngreso]]</f>
        <v>0</v>
      </c>
      <c r="M3163">
        <f>_xlfn.XLOOKUP(TablaDatos[[#This Row],[PacienteID]],'Datos_Ejemplo.csv'!A:A,'Datos_Ejemplo.csv'!I:I)</f>
        <v>21</v>
      </c>
      <c r="N3163">
        <f>ABS(TablaDatos[[#This Row],[DiasOriginal]])</f>
        <v>21</v>
      </c>
      <c r="O3163" s="1">
        <f>TablaDatos[[#This Row],[FechaIngreso]]+TablaDatos[[#This Row],[DiasNuevo]]</f>
        <v>45479</v>
      </c>
    </row>
    <row r="3164" spans="1:15">
      <c r="A3164">
        <v>3163</v>
      </c>
      <c r="B3164" t="s">
        <v>146</v>
      </c>
      <c r="C3164" s="1">
        <v>44196</v>
      </c>
      <c r="D3164">
        <v>5</v>
      </c>
      <c r="E3164" s="4" t="s">
        <v>12</v>
      </c>
      <c r="F3164" t="s">
        <v>21</v>
      </c>
      <c r="G3164" s="1">
        <v>45146</v>
      </c>
      <c r="H3164" s="1">
        <f>TablaDatos[[#This Row],[FechaIngreso]]+TablaDatos[[#This Row],[DiasNuevo]]</f>
        <v>45174</v>
      </c>
      <c r="I3164">
        <v>28</v>
      </c>
      <c r="J3164" t="s">
        <v>23</v>
      </c>
      <c r="K3164" s="3">
        <v>1038.25</v>
      </c>
      <c r="L3164" t="b">
        <f>TablaDatos[[#This Row],[FechaAlta]] &lt; TablaDatos[[#This Row],[FechaIngreso]]</f>
        <v>0</v>
      </c>
      <c r="M3164">
        <f>_xlfn.XLOOKUP(TablaDatos[[#This Row],[PacienteID]],'Datos_Ejemplo.csv'!A:A,'Datos_Ejemplo.csv'!I:I)</f>
        <v>28</v>
      </c>
      <c r="N3164">
        <f>ABS(TablaDatos[[#This Row],[DiasOriginal]])</f>
        <v>28</v>
      </c>
      <c r="O3164" s="1">
        <f>TablaDatos[[#This Row],[FechaIngreso]]+TablaDatos[[#This Row],[DiasNuevo]]</f>
        <v>45174</v>
      </c>
    </row>
    <row r="3165" spans="1:15">
      <c r="A3165">
        <v>3164</v>
      </c>
      <c r="B3165" t="s">
        <v>273</v>
      </c>
      <c r="C3165" s="1">
        <v>16072</v>
      </c>
      <c r="D3165">
        <v>82</v>
      </c>
      <c r="E3165" s="4" t="s">
        <v>12</v>
      </c>
      <c r="F3165" t="s">
        <v>201</v>
      </c>
      <c r="G3165" s="1">
        <v>45259</v>
      </c>
      <c r="H3165" s="1">
        <f>TablaDatos[[#This Row],[FechaIngreso]]+TablaDatos[[#This Row],[DiasNuevo]]</f>
        <v>45279</v>
      </c>
      <c r="I3165">
        <v>20</v>
      </c>
      <c r="J3165" t="s">
        <v>23</v>
      </c>
      <c r="K3165" s="3">
        <v>12345.69</v>
      </c>
      <c r="L3165" t="b">
        <f>TablaDatos[[#This Row],[FechaAlta]] &lt; TablaDatos[[#This Row],[FechaIngreso]]</f>
        <v>0</v>
      </c>
      <c r="M3165">
        <f>_xlfn.XLOOKUP(TablaDatos[[#This Row],[PacienteID]],'Datos_Ejemplo.csv'!A:A,'Datos_Ejemplo.csv'!I:I)</f>
        <v>20</v>
      </c>
      <c r="N3165">
        <f>ABS(TablaDatos[[#This Row],[DiasOriginal]])</f>
        <v>20</v>
      </c>
      <c r="O3165" s="1">
        <f>TablaDatos[[#This Row],[FechaIngreso]]+TablaDatos[[#This Row],[DiasNuevo]]</f>
        <v>45279</v>
      </c>
    </row>
    <row r="3166" spans="1:15">
      <c r="A3166">
        <v>3165</v>
      </c>
      <c r="B3166" t="s">
        <v>279</v>
      </c>
      <c r="C3166" s="1">
        <v>24473</v>
      </c>
      <c r="D3166">
        <f ca="1">DATEDIF(TablaDatos[[#This Row],[FechaNacimiento]],TODAY(),"Y")</f>
        <v>59</v>
      </c>
      <c r="E3166" s="4" t="s">
        <v>12</v>
      </c>
      <c r="F3166" t="s">
        <v>261</v>
      </c>
      <c r="G3166" s="1">
        <v>45056</v>
      </c>
      <c r="H3166" s="1">
        <f>TablaDatos[[#This Row],[FechaIngreso]]+TablaDatos[[#This Row],[DiasNuevo]]</f>
        <v>45070</v>
      </c>
      <c r="I3166">
        <v>14</v>
      </c>
      <c r="J3166" t="s">
        <v>23</v>
      </c>
      <c r="K3166" s="3">
        <v>13423.05</v>
      </c>
      <c r="L3166" t="b">
        <f>TablaDatos[[#This Row],[FechaAlta]] &lt; TablaDatos[[#This Row],[FechaIngreso]]</f>
        <v>0</v>
      </c>
      <c r="M3166">
        <f>_xlfn.XLOOKUP(TablaDatos[[#This Row],[PacienteID]],'Datos_Ejemplo.csv'!A:A,'Datos_Ejemplo.csv'!I:I)</f>
        <v>14</v>
      </c>
      <c r="N3166">
        <f>ABS(TablaDatos[[#This Row],[DiasOriginal]])</f>
        <v>14</v>
      </c>
      <c r="O3166" s="1">
        <f>TablaDatos[[#This Row],[FechaIngreso]]+TablaDatos[[#This Row],[DiasNuevo]]</f>
        <v>45070</v>
      </c>
    </row>
    <row r="3167" spans="1:15">
      <c r="A3167">
        <v>3166</v>
      </c>
      <c r="B3167" t="s">
        <v>274</v>
      </c>
      <c r="C3167" s="1">
        <v>30317</v>
      </c>
      <c r="D3167">
        <v>43</v>
      </c>
      <c r="E3167" s="4" t="s">
        <v>15</v>
      </c>
      <c r="F3167" t="s">
        <v>21</v>
      </c>
      <c r="G3167" s="1">
        <v>44958</v>
      </c>
      <c r="H3167" s="1">
        <f>TablaDatos[[#This Row],[FechaIngreso]]+TablaDatos[[#This Row],[DiasNuevo]]</f>
        <v>44979</v>
      </c>
      <c r="I3167">
        <v>21</v>
      </c>
      <c r="J3167" t="s">
        <v>25</v>
      </c>
      <c r="K3167" s="3">
        <v>3236.6</v>
      </c>
      <c r="L3167" t="b">
        <f>TablaDatos[[#This Row],[FechaAlta]] &lt; TablaDatos[[#This Row],[FechaIngreso]]</f>
        <v>0</v>
      </c>
      <c r="M3167">
        <f>_xlfn.XLOOKUP(TablaDatos[[#This Row],[PacienteID]],'Datos_Ejemplo.csv'!A:A,'Datos_Ejemplo.csv'!I:I)</f>
        <v>21</v>
      </c>
      <c r="N3167">
        <f>ABS(TablaDatos[[#This Row],[DiasOriginal]])</f>
        <v>21</v>
      </c>
      <c r="O3167" s="1">
        <f>TablaDatos[[#This Row],[FechaIngreso]]+TablaDatos[[#This Row],[DiasNuevo]]</f>
        <v>44979</v>
      </c>
    </row>
    <row r="3168" spans="1:15">
      <c r="A3168">
        <v>3167</v>
      </c>
      <c r="B3168" t="s">
        <v>300</v>
      </c>
      <c r="C3168" s="1">
        <v>42370</v>
      </c>
      <c r="D3168">
        <v>10</v>
      </c>
      <c r="E3168" s="4" t="s">
        <v>15</v>
      </c>
      <c r="F3168" t="s">
        <v>21</v>
      </c>
      <c r="G3168" s="1">
        <v>45528</v>
      </c>
      <c r="H3168" s="1">
        <f>TablaDatos[[#This Row],[FechaIngreso]]+TablaDatos[[#This Row],[DiasNuevo]]</f>
        <v>45535</v>
      </c>
      <c r="I3168">
        <v>7</v>
      </c>
      <c r="J3168" t="s">
        <v>19</v>
      </c>
      <c r="K3168" s="3">
        <v>12269.39</v>
      </c>
      <c r="L3168" t="b">
        <f>TablaDatos[[#This Row],[FechaAlta]] &lt; TablaDatos[[#This Row],[FechaIngreso]]</f>
        <v>0</v>
      </c>
      <c r="M3168">
        <f>_xlfn.XLOOKUP(TablaDatos[[#This Row],[PacienteID]],'Datos_Ejemplo.csv'!A:A,'Datos_Ejemplo.csv'!I:I)</f>
        <v>7</v>
      </c>
      <c r="N3168">
        <f>ABS(TablaDatos[[#This Row],[DiasOriginal]])</f>
        <v>7</v>
      </c>
      <c r="O3168" s="1">
        <f>TablaDatos[[#This Row],[FechaIngreso]]+TablaDatos[[#This Row],[DiasNuevo]]</f>
        <v>45535</v>
      </c>
    </row>
    <row r="3169" spans="1:15">
      <c r="A3169">
        <v>3168</v>
      </c>
      <c r="B3169" t="s">
        <v>252</v>
      </c>
      <c r="C3169" s="1">
        <v>22281</v>
      </c>
      <c r="D3169">
        <v>65</v>
      </c>
      <c r="E3169" s="4" t="s">
        <v>15</v>
      </c>
      <c r="F3169" t="s">
        <v>201</v>
      </c>
      <c r="G3169" s="1">
        <v>45351</v>
      </c>
      <c r="H3169" s="1">
        <f>TablaDatos[[#This Row],[FechaIngreso]]+TablaDatos[[#This Row],[DiasNuevo]]</f>
        <v>45379</v>
      </c>
      <c r="I3169">
        <v>28</v>
      </c>
      <c r="J3169" t="s">
        <v>25</v>
      </c>
      <c r="K3169" s="3">
        <v>19639.900000000001</v>
      </c>
      <c r="L3169" t="b">
        <f>TablaDatos[[#This Row],[FechaAlta]] &lt; TablaDatos[[#This Row],[FechaIngreso]]</f>
        <v>0</v>
      </c>
      <c r="M3169">
        <f>_xlfn.XLOOKUP(TablaDatos[[#This Row],[PacienteID]],'Datos_Ejemplo.csv'!A:A,'Datos_Ejemplo.csv'!I:I)</f>
        <v>28</v>
      </c>
      <c r="N3169">
        <f>ABS(TablaDatos[[#This Row],[DiasOriginal]])</f>
        <v>28</v>
      </c>
      <c r="O3169" s="1">
        <f>TablaDatos[[#This Row],[FechaIngreso]]+TablaDatos[[#This Row],[DiasNuevo]]</f>
        <v>45379</v>
      </c>
    </row>
    <row r="3170" spans="1:15">
      <c r="A3170">
        <v>3169</v>
      </c>
      <c r="B3170" t="s">
        <v>365</v>
      </c>
      <c r="C3170" s="1">
        <v>29221</v>
      </c>
      <c r="D3170">
        <v>46</v>
      </c>
      <c r="E3170" s="4" t="s">
        <v>15</v>
      </c>
      <c r="F3170" t="s">
        <v>13</v>
      </c>
      <c r="G3170" s="1">
        <v>45224</v>
      </c>
      <c r="H3170" s="1">
        <f>TablaDatos[[#This Row],[FechaIngreso]]+TablaDatos[[#This Row],[DiasNuevo]]</f>
        <v>45241</v>
      </c>
      <c r="I3170">
        <v>17</v>
      </c>
      <c r="J3170" t="s">
        <v>25</v>
      </c>
      <c r="K3170" s="3">
        <v>1395.48</v>
      </c>
      <c r="L3170" t="b">
        <f>TablaDatos[[#This Row],[FechaAlta]] &lt; TablaDatos[[#This Row],[FechaIngreso]]</f>
        <v>0</v>
      </c>
      <c r="M3170">
        <f>_xlfn.XLOOKUP(TablaDatos[[#This Row],[PacienteID]],'Datos_Ejemplo.csv'!A:A,'Datos_Ejemplo.csv'!I:I)</f>
        <v>17</v>
      </c>
      <c r="N3170">
        <f>ABS(TablaDatos[[#This Row],[DiasOriginal]])</f>
        <v>17</v>
      </c>
      <c r="O3170" s="1">
        <f>TablaDatos[[#This Row],[FechaIngreso]]+TablaDatos[[#This Row],[DiasNuevo]]</f>
        <v>45241</v>
      </c>
    </row>
    <row r="3171" spans="1:15">
      <c r="A3171">
        <v>3170</v>
      </c>
      <c r="B3171" t="s">
        <v>114</v>
      </c>
      <c r="C3171" s="1">
        <v>19724</v>
      </c>
      <c r="D3171">
        <v>72</v>
      </c>
      <c r="E3171" s="4" t="s">
        <v>15</v>
      </c>
      <c r="F3171" t="s">
        <v>21</v>
      </c>
      <c r="G3171" s="1">
        <v>45430</v>
      </c>
      <c r="H3171" s="1">
        <f>TablaDatos[[#This Row],[FechaIngreso]]+TablaDatos[[#This Row],[DiasNuevo]]</f>
        <v>45443</v>
      </c>
      <c r="I3171">
        <v>13</v>
      </c>
      <c r="J3171" t="s">
        <v>25</v>
      </c>
      <c r="K3171" s="3">
        <v>9756.4500000000007</v>
      </c>
      <c r="L3171" t="b">
        <f>TablaDatos[[#This Row],[FechaAlta]] &lt; TablaDatos[[#This Row],[FechaIngreso]]</f>
        <v>0</v>
      </c>
      <c r="M3171">
        <f>_xlfn.XLOOKUP(TablaDatos[[#This Row],[PacienteID]],'Datos_Ejemplo.csv'!A:A,'Datos_Ejemplo.csv'!I:I)</f>
        <v>13</v>
      </c>
      <c r="N3171">
        <f>ABS(TablaDatos[[#This Row],[DiasOriginal]])</f>
        <v>13</v>
      </c>
      <c r="O3171" s="1">
        <f>TablaDatos[[#This Row],[FechaIngreso]]+TablaDatos[[#This Row],[DiasNuevo]]</f>
        <v>45443</v>
      </c>
    </row>
    <row r="3172" spans="1:15">
      <c r="A3172">
        <v>3171</v>
      </c>
      <c r="B3172" t="s">
        <v>240</v>
      </c>
      <c r="C3172" s="1">
        <v>15341</v>
      </c>
      <c r="D3172">
        <v>84</v>
      </c>
      <c r="E3172" s="4" t="s">
        <v>15</v>
      </c>
      <c r="F3172" t="s">
        <v>32</v>
      </c>
      <c r="G3172" s="1">
        <v>45611</v>
      </c>
      <c r="H3172" s="1">
        <f>TablaDatos[[#This Row],[FechaIngreso]]+TablaDatos[[#This Row],[DiasNuevo]]</f>
        <v>45622</v>
      </c>
      <c r="I3172">
        <v>11</v>
      </c>
      <c r="J3172" t="s">
        <v>19</v>
      </c>
      <c r="K3172" s="3">
        <v>14634.07</v>
      </c>
      <c r="L3172" t="b">
        <f>TablaDatos[[#This Row],[FechaAlta]] &lt; TablaDatos[[#This Row],[FechaIngreso]]</f>
        <v>0</v>
      </c>
      <c r="M3172">
        <f>_xlfn.XLOOKUP(TablaDatos[[#This Row],[PacienteID]],'Datos_Ejemplo.csv'!A:A,'Datos_Ejemplo.csv'!I:I)</f>
        <v>11</v>
      </c>
      <c r="N3172">
        <f>ABS(TablaDatos[[#This Row],[DiasOriginal]])</f>
        <v>11</v>
      </c>
      <c r="O3172" s="1">
        <f>TablaDatos[[#This Row],[FechaIngreso]]+TablaDatos[[#This Row],[DiasNuevo]]</f>
        <v>45622</v>
      </c>
    </row>
    <row r="3173" spans="1:15">
      <c r="A3173">
        <v>3172</v>
      </c>
      <c r="B3173" t="s">
        <v>278</v>
      </c>
      <c r="C3173" s="1">
        <v>14246</v>
      </c>
      <c r="D3173">
        <v>87</v>
      </c>
      <c r="E3173" s="4" t="s">
        <v>15</v>
      </c>
      <c r="F3173" t="s">
        <v>201</v>
      </c>
      <c r="G3173" s="1">
        <v>45283</v>
      </c>
      <c r="H3173" s="1">
        <f>TablaDatos[[#This Row],[FechaIngreso]]+TablaDatos[[#This Row],[DiasNuevo]]</f>
        <v>45283</v>
      </c>
      <c r="I3173">
        <v>0</v>
      </c>
      <c r="J3173" t="s">
        <v>23</v>
      </c>
      <c r="K3173" s="3">
        <v>824.78</v>
      </c>
      <c r="L3173" t="b">
        <f>TablaDatos[[#This Row],[FechaAlta]] &lt; TablaDatos[[#This Row],[FechaIngreso]]</f>
        <v>0</v>
      </c>
      <c r="M3173">
        <f>_xlfn.XLOOKUP(TablaDatos[[#This Row],[PacienteID]],'Datos_Ejemplo.csv'!A:A,'Datos_Ejemplo.csv'!I:I)</f>
        <v>0</v>
      </c>
      <c r="N3173">
        <f>ABS(TablaDatos[[#This Row],[DiasOriginal]])</f>
        <v>0</v>
      </c>
      <c r="O3173" s="1">
        <f>TablaDatos[[#This Row],[FechaIngreso]]+TablaDatos[[#This Row],[DiasNuevo]]</f>
        <v>45283</v>
      </c>
    </row>
    <row r="3174" spans="1:15">
      <c r="A3174">
        <v>3173</v>
      </c>
      <c r="B3174" t="s">
        <v>351</v>
      </c>
      <c r="C3174" s="1">
        <v>14976</v>
      </c>
      <c r="D3174">
        <v>85</v>
      </c>
      <c r="E3174" s="4" t="s">
        <v>15</v>
      </c>
      <c r="F3174" t="s">
        <v>13</v>
      </c>
      <c r="G3174" s="1">
        <v>45381</v>
      </c>
      <c r="H3174" s="1">
        <f>TablaDatos[[#This Row],[FechaIngreso]]+TablaDatos[[#This Row],[DiasNuevo]]</f>
        <v>45408</v>
      </c>
      <c r="I3174">
        <v>27</v>
      </c>
      <c r="J3174" t="s">
        <v>25</v>
      </c>
      <c r="K3174" s="3">
        <v>15543.3</v>
      </c>
      <c r="L3174" t="b">
        <f>TablaDatos[[#This Row],[FechaAlta]] &lt; TablaDatos[[#This Row],[FechaIngreso]]</f>
        <v>0</v>
      </c>
      <c r="M3174">
        <f>_xlfn.XLOOKUP(TablaDatos[[#This Row],[PacienteID]],'Datos_Ejemplo.csv'!A:A,'Datos_Ejemplo.csv'!I:I)</f>
        <v>27</v>
      </c>
      <c r="N3174">
        <f>ABS(TablaDatos[[#This Row],[DiasOriginal]])</f>
        <v>27</v>
      </c>
      <c r="O3174" s="1">
        <f>TablaDatos[[#This Row],[FechaIngreso]]+TablaDatos[[#This Row],[DiasNuevo]]</f>
        <v>45408</v>
      </c>
    </row>
    <row r="3175" spans="1:15">
      <c r="A3175">
        <v>3174</v>
      </c>
      <c r="B3175" t="s">
        <v>90</v>
      </c>
      <c r="C3175" s="1">
        <v>45292</v>
      </c>
      <c r="D3175">
        <v>2</v>
      </c>
      <c r="E3175" s="4" t="s">
        <v>15</v>
      </c>
      <c r="F3175" t="s">
        <v>21</v>
      </c>
      <c r="G3175" s="1">
        <v>45327</v>
      </c>
      <c r="H3175" s="1">
        <f>TablaDatos[[#This Row],[FechaIngreso]]+TablaDatos[[#This Row],[DiasNuevo]]</f>
        <v>45342</v>
      </c>
      <c r="I3175">
        <v>15</v>
      </c>
      <c r="J3175" t="s">
        <v>25</v>
      </c>
      <c r="K3175" s="3">
        <v>19588.18</v>
      </c>
      <c r="L3175" t="b">
        <f>TablaDatos[[#This Row],[FechaAlta]] &lt; TablaDatos[[#This Row],[FechaIngreso]]</f>
        <v>0</v>
      </c>
      <c r="M3175">
        <f>_xlfn.XLOOKUP(TablaDatos[[#This Row],[PacienteID]],'Datos_Ejemplo.csv'!A:A,'Datos_Ejemplo.csv'!I:I)</f>
        <v>15</v>
      </c>
      <c r="N3175">
        <f>ABS(TablaDatos[[#This Row],[DiasOriginal]])</f>
        <v>15</v>
      </c>
      <c r="O3175" s="1">
        <f>TablaDatos[[#This Row],[FechaIngreso]]+TablaDatos[[#This Row],[DiasNuevo]]</f>
        <v>45342</v>
      </c>
    </row>
    <row r="3176" spans="1:15">
      <c r="A3176">
        <v>3175</v>
      </c>
      <c r="B3176" t="s">
        <v>331</v>
      </c>
      <c r="C3176" s="1">
        <v>18629</v>
      </c>
      <c r="D3176">
        <v>75</v>
      </c>
      <c r="E3176" s="4" t="s">
        <v>12</v>
      </c>
      <c r="F3176" t="s">
        <v>201</v>
      </c>
      <c r="G3176" s="1">
        <v>45485</v>
      </c>
      <c r="H3176" s="1">
        <f>TablaDatos[[#This Row],[FechaIngreso]]+TablaDatos[[#This Row],[DiasNuevo]]</f>
        <v>45488</v>
      </c>
      <c r="I3176">
        <v>3</v>
      </c>
      <c r="J3176" t="s">
        <v>25</v>
      </c>
      <c r="K3176" s="3">
        <v>1678.61</v>
      </c>
      <c r="L3176" t="b">
        <f>TablaDatos[[#This Row],[FechaAlta]] &lt; TablaDatos[[#This Row],[FechaIngreso]]</f>
        <v>0</v>
      </c>
      <c r="M3176">
        <f>_xlfn.XLOOKUP(TablaDatos[[#This Row],[PacienteID]],'Datos_Ejemplo.csv'!A:A,'Datos_Ejemplo.csv'!I:I)</f>
        <v>3</v>
      </c>
      <c r="N3176">
        <f>ABS(TablaDatos[[#This Row],[DiasOriginal]])</f>
        <v>3</v>
      </c>
      <c r="O3176" s="1">
        <f>TablaDatos[[#This Row],[FechaIngreso]]+TablaDatos[[#This Row],[DiasNuevo]]</f>
        <v>45488</v>
      </c>
    </row>
    <row r="3177" spans="1:15">
      <c r="A3177">
        <v>3176</v>
      </c>
      <c r="B3177" t="s">
        <v>359</v>
      </c>
      <c r="C3177" s="1">
        <v>12785</v>
      </c>
      <c r="D3177">
        <v>91</v>
      </c>
      <c r="E3177" s="4" t="s">
        <v>15</v>
      </c>
      <c r="F3177" t="s">
        <v>261</v>
      </c>
      <c r="G3177" s="1">
        <v>45635</v>
      </c>
      <c r="H3177" s="1">
        <f>TablaDatos[[#This Row],[FechaIngreso]]+TablaDatos[[#This Row],[DiasNuevo]]</f>
        <v>45652</v>
      </c>
      <c r="I3177">
        <v>17</v>
      </c>
      <c r="J3177" t="s">
        <v>19</v>
      </c>
      <c r="K3177" s="3">
        <v>16426.82</v>
      </c>
      <c r="L3177" t="b">
        <f>TablaDatos[[#This Row],[FechaAlta]] &lt; TablaDatos[[#This Row],[FechaIngreso]]</f>
        <v>0</v>
      </c>
      <c r="M3177">
        <f>_xlfn.XLOOKUP(TablaDatos[[#This Row],[PacienteID]],'Datos_Ejemplo.csv'!A:A,'Datos_Ejemplo.csv'!I:I)</f>
        <v>17</v>
      </c>
      <c r="N3177">
        <f>ABS(TablaDatos[[#This Row],[DiasOriginal]])</f>
        <v>17</v>
      </c>
      <c r="O3177" s="1">
        <f>TablaDatos[[#This Row],[FechaIngreso]]+TablaDatos[[#This Row],[DiasNuevo]]</f>
        <v>45652</v>
      </c>
    </row>
    <row r="3178" spans="1:15">
      <c r="A3178">
        <v>3177</v>
      </c>
      <c r="B3178" t="s">
        <v>257</v>
      </c>
      <c r="C3178" s="1">
        <v>35430</v>
      </c>
      <c r="D3178">
        <v>29</v>
      </c>
      <c r="E3178" s="4" t="s">
        <v>12</v>
      </c>
      <c r="F3178" t="s">
        <v>295</v>
      </c>
      <c r="G3178" s="1">
        <v>45381</v>
      </c>
      <c r="H3178" s="1">
        <f>TablaDatos[[#This Row],[FechaIngreso]]+TablaDatos[[#This Row],[DiasNuevo]]</f>
        <v>45413</v>
      </c>
      <c r="I3178">
        <v>32</v>
      </c>
      <c r="J3178" t="s">
        <v>19</v>
      </c>
      <c r="K3178" s="3">
        <v>7509.49</v>
      </c>
      <c r="L3178" t="b">
        <f>TablaDatos[[#This Row],[FechaAlta]] &lt; TablaDatos[[#This Row],[FechaIngreso]]</f>
        <v>0</v>
      </c>
      <c r="M3178">
        <f>_xlfn.XLOOKUP(TablaDatos[[#This Row],[PacienteID]],'Datos_Ejemplo.csv'!A:A,'Datos_Ejemplo.csv'!I:I)</f>
        <v>32</v>
      </c>
      <c r="N3178">
        <f>ABS(TablaDatos[[#This Row],[DiasOriginal]])</f>
        <v>32</v>
      </c>
      <c r="O3178" s="1">
        <f>TablaDatos[[#This Row],[FechaIngreso]]+TablaDatos[[#This Row],[DiasNuevo]]</f>
        <v>45413</v>
      </c>
    </row>
    <row r="3179" spans="1:15">
      <c r="A3179">
        <v>3178</v>
      </c>
      <c r="B3179" t="s">
        <v>103</v>
      </c>
      <c r="C3179" s="1">
        <v>13515</v>
      </c>
      <c r="D3179">
        <v>89</v>
      </c>
      <c r="E3179" s="4" t="s">
        <v>12</v>
      </c>
      <c r="F3179" t="s">
        <v>13</v>
      </c>
      <c r="G3179" s="1">
        <v>44960</v>
      </c>
      <c r="H3179" s="1">
        <f>TablaDatos[[#This Row],[FechaIngreso]]+TablaDatos[[#This Row],[DiasNuevo]]</f>
        <v>44976</v>
      </c>
      <c r="I3179">
        <v>16</v>
      </c>
      <c r="J3179" t="s">
        <v>23</v>
      </c>
      <c r="K3179" s="3">
        <v>2796.74</v>
      </c>
      <c r="L3179" t="b">
        <f>TablaDatos[[#This Row],[FechaAlta]] &lt; TablaDatos[[#This Row],[FechaIngreso]]</f>
        <v>0</v>
      </c>
      <c r="M3179">
        <f>_xlfn.XLOOKUP(TablaDatos[[#This Row],[PacienteID]],'Datos_Ejemplo.csv'!A:A,'Datos_Ejemplo.csv'!I:I)</f>
        <v>16</v>
      </c>
      <c r="N3179">
        <f>ABS(TablaDatos[[#This Row],[DiasOriginal]])</f>
        <v>16</v>
      </c>
      <c r="O3179" s="1">
        <f>TablaDatos[[#This Row],[FechaIngreso]]+TablaDatos[[#This Row],[DiasNuevo]]</f>
        <v>44976</v>
      </c>
    </row>
    <row r="3180" spans="1:15">
      <c r="A3180">
        <v>3179</v>
      </c>
      <c r="B3180" t="s">
        <v>245</v>
      </c>
      <c r="C3180" s="1">
        <v>38717</v>
      </c>
      <c r="D3180">
        <v>20</v>
      </c>
      <c r="E3180" s="4" t="s">
        <v>12</v>
      </c>
      <c r="F3180" t="s">
        <v>13</v>
      </c>
      <c r="G3180" s="1">
        <v>45174</v>
      </c>
      <c r="H3180" s="1">
        <f>TablaDatos[[#This Row],[FechaIngreso]]+TablaDatos[[#This Row],[DiasNuevo]]</f>
        <v>45197</v>
      </c>
      <c r="I3180">
        <v>23</v>
      </c>
      <c r="J3180" t="s">
        <v>25</v>
      </c>
      <c r="K3180" s="3">
        <v>9813.18</v>
      </c>
      <c r="L3180" t="b">
        <f>TablaDatos[[#This Row],[FechaAlta]] &lt; TablaDatos[[#This Row],[FechaIngreso]]</f>
        <v>0</v>
      </c>
      <c r="M3180">
        <f>_xlfn.XLOOKUP(TablaDatos[[#This Row],[PacienteID]],'Datos_Ejemplo.csv'!A:A,'Datos_Ejemplo.csv'!I:I)</f>
        <v>23</v>
      </c>
      <c r="N3180">
        <f>ABS(TablaDatos[[#This Row],[DiasOriginal]])</f>
        <v>23</v>
      </c>
      <c r="O3180" s="1">
        <f>TablaDatos[[#This Row],[FechaIngreso]]+TablaDatos[[#This Row],[DiasNuevo]]</f>
        <v>45197</v>
      </c>
    </row>
    <row r="3181" spans="1:15">
      <c r="A3181">
        <v>3180</v>
      </c>
      <c r="B3181" t="s">
        <v>348</v>
      </c>
      <c r="C3181" s="1">
        <v>36161</v>
      </c>
      <c r="D3181">
        <v>27</v>
      </c>
      <c r="E3181" s="4" t="s">
        <v>12</v>
      </c>
      <c r="F3181" t="s">
        <v>18</v>
      </c>
      <c r="G3181" s="1">
        <v>44968</v>
      </c>
      <c r="H3181" s="1">
        <f>TablaDatos[[#This Row],[FechaIngreso]]+TablaDatos[[#This Row],[DiasNuevo]]</f>
        <v>45000</v>
      </c>
      <c r="I3181">
        <v>32</v>
      </c>
      <c r="J3181" t="s">
        <v>25</v>
      </c>
      <c r="K3181" s="3">
        <v>1337.53</v>
      </c>
      <c r="L3181" t="b">
        <f>TablaDatos[[#This Row],[FechaAlta]] &lt; TablaDatos[[#This Row],[FechaIngreso]]</f>
        <v>0</v>
      </c>
      <c r="M3181">
        <f>_xlfn.XLOOKUP(TablaDatos[[#This Row],[PacienteID]],'Datos_Ejemplo.csv'!A:A,'Datos_Ejemplo.csv'!I:I)</f>
        <v>32</v>
      </c>
      <c r="N3181">
        <f>ABS(TablaDatos[[#This Row],[DiasOriginal]])</f>
        <v>32</v>
      </c>
      <c r="O3181" s="1">
        <f>TablaDatos[[#This Row],[FechaIngreso]]+TablaDatos[[#This Row],[DiasNuevo]]</f>
        <v>45000</v>
      </c>
    </row>
    <row r="3182" spans="1:15">
      <c r="A3182">
        <v>3181</v>
      </c>
      <c r="B3182" t="s">
        <v>130</v>
      </c>
      <c r="C3182" s="1">
        <v>13515</v>
      </c>
      <c r="D3182">
        <v>89</v>
      </c>
      <c r="E3182" s="4" t="s">
        <v>15</v>
      </c>
      <c r="F3182" t="s">
        <v>201</v>
      </c>
      <c r="G3182" s="1">
        <v>45049</v>
      </c>
      <c r="H3182" s="1">
        <f>TablaDatos[[#This Row],[FechaIngreso]]+TablaDatos[[#This Row],[DiasNuevo]]</f>
        <v>45058</v>
      </c>
      <c r="I3182">
        <v>9</v>
      </c>
      <c r="J3182" t="s">
        <v>19</v>
      </c>
      <c r="K3182" s="3">
        <v>10394.24</v>
      </c>
      <c r="L3182" t="b">
        <f>TablaDatos[[#This Row],[FechaAlta]] &lt; TablaDatos[[#This Row],[FechaIngreso]]</f>
        <v>0</v>
      </c>
      <c r="M3182">
        <f>_xlfn.XLOOKUP(TablaDatos[[#This Row],[PacienteID]],'Datos_Ejemplo.csv'!A:A,'Datos_Ejemplo.csv'!I:I)</f>
        <v>9</v>
      </c>
      <c r="N3182">
        <f>ABS(TablaDatos[[#This Row],[DiasOriginal]])</f>
        <v>9</v>
      </c>
      <c r="O3182" s="1">
        <f>TablaDatos[[#This Row],[FechaIngreso]]+TablaDatos[[#This Row],[DiasNuevo]]</f>
        <v>45058</v>
      </c>
    </row>
    <row r="3183" spans="1:15">
      <c r="A3183">
        <v>3182</v>
      </c>
      <c r="B3183" t="s">
        <v>264</v>
      </c>
      <c r="C3183" s="1">
        <v>23742</v>
      </c>
      <c r="D3183">
        <v>61</v>
      </c>
      <c r="E3183" s="4" t="s">
        <v>12</v>
      </c>
      <c r="F3183" t="s">
        <v>21</v>
      </c>
      <c r="G3183" s="1">
        <v>44953</v>
      </c>
      <c r="H3183" s="1">
        <f>TablaDatos[[#This Row],[FechaIngreso]]+TablaDatos[[#This Row],[DiasNuevo]]</f>
        <v>44958</v>
      </c>
      <c r="I3183">
        <v>5</v>
      </c>
      <c r="J3183" t="s">
        <v>19</v>
      </c>
      <c r="K3183" s="3">
        <v>289.07</v>
      </c>
      <c r="L3183" t="b">
        <f>TablaDatos[[#This Row],[FechaAlta]] &lt; TablaDatos[[#This Row],[FechaIngreso]]</f>
        <v>0</v>
      </c>
      <c r="M3183">
        <f>_xlfn.XLOOKUP(TablaDatos[[#This Row],[PacienteID]],'Datos_Ejemplo.csv'!A:A,'Datos_Ejemplo.csv'!I:I)</f>
        <v>5</v>
      </c>
      <c r="N3183">
        <f>ABS(TablaDatos[[#This Row],[DiasOriginal]])</f>
        <v>5</v>
      </c>
      <c r="O3183" s="1">
        <f>TablaDatos[[#This Row],[FechaIngreso]]+TablaDatos[[#This Row],[DiasNuevo]]</f>
        <v>44958</v>
      </c>
    </row>
    <row r="3184" spans="1:15">
      <c r="A3184">
        <v>3183</v>
      </c>
      <c r="B3184" t="s">
        <v>152</v>
      </c>
      <c r="C3184" s="1">
        <v>34334</v>
      </c>
      <c r="D3184">
        <v>32</v>
      </c>
      <c r="E3184" s="4" t="s">
        <v>12</v>
      </c>
      <c r="F3184" t="s">
        <v>295</v>
      </c>
      <c r="G3184" s="1">
        <v>45388</v>
      </c>
      <c r="H3184" s="1">
        <f>TablaDatos[[#This Row],[FechaIngreso]]+TablaDatos[[#This Row],[DiasNuevo]]</f>
        <v>45422</v>
      </c>
      <c r="I3184">
        <v>34</v>
      </c>
      <c r="J3184" t="s">
        <v>25</v>
      </c>
      <c r="K3184" s="3">
        <v>14545.09</v>
      </c>
      <c r="L3184" t="b">
        <f>TablaDatos[[#This Row],[FechaAlta]] &lt; TablaDatos[[#This Row],[FechaIngreso]]</f>
        <v>0</v>
      </c>
      <c r="M3184">
        <f>_xlfn.XLOOKUP(TablaDatos[[#This Row],[PacienteID]],'Datos_Ejemplo.csv'!A:A,'Datos_Ejemplo.csv'!I:I)</f>
        <v>34</v>
      </c>
      <c r="N3184">
        <f>ABS(TablaDatos[[#This Row],[DiasOriginal]])</f>
        <v>34</v>
      </c>
      <c r="O3184" s="1">
        <f>TablaDatos[[#This Row],[FechaIngreso]]+TablaDatos[[#This Row],[DiasNuevo]]</f>
        <v>45422</v>
      </c>
    </row>
    <row r="3185" spans="1:15">
      <c r="A3185">
        <v>3184</v>
      </c>
      <c r="B3185" t="s">
        <v>361</v>
      </c>
      <c r="C3185" s="1">
        <v>15341</v>
      </c>
      <c r="D3185">
        <v>84</v>
      </c>
      <c r="E3185" s="4" t="s">
        <v>12</v>
      </c>
      <c r="F3185" t="s">
        <v>201</v>
      </c>
      <c r="G3185" s="1">
        <v>45497</v>
      </c>
      <c r="H3185" s="1">
        <f>TablaDatos[[#This Row],[FechaIngreso]]+TablaDatos[[#This Row],[DiasNuevo]]</f>
        <v>45504</v>
      </c>
      <c r="I3185">
        <v>7</v>
      </c>
      <c r="J3185" t="s">
        <v>23</v>
      </c>
      <c r="K3185" s="3">
        <v>9708.19</v>
      </c>
      <c r="L3185" t="b">
        <f>TablaDatos[[#This Row],[FechaAlta]] &lt; TablaDatos[[#This Row],[FechaIngreso]]</f>
        <v>0</v>
      </c>
      <c r="M3185">
        <f>_xlfn.XLOOKUP(TablaDatos[[#This Row],[PacienteID]],'Datos_Ejemplo.csv'!A:A,'Datos_Ejemplo.csv'!I:I)</f>
        <v>7</v>
      </c>
      <c r="N3185">
        <f>ABS(TablaDatos[[#This Row],[DiasOriginal]])</f>
        <v>7</v>
      </c>
      <c r="O3185" s="1">
        <f>TablaDatos[[#This Row],[FechaIngreso]]+TablaDatos[[#This Row],[DiasNuevo]]</f>
        <v>45504</v>
      </c>
    </row>
    <row r="3186" spans="1:15">
      <c r="A3186">
        <v>3185</v>
      </c>
      <c r="B3186" t="s">
        <v>122</v>
      </c>
      <c r="C3186" s="1">
        <v>33604</v>
      </c>
      <c r="D3186">
        <v>34</v>
      </c>
      <c r="E3186" s="4" t="s">
        <v>15</v>
      </c>
      <c r="F3186" t="s">
        <v>261</v>
      </c>
      <c r="G3186" s="1">
        <v>45073</v>
      </c>
      <c r="H3186" s="1">
        <f>TablaDatos[[#This Row],[FechaIngreso]]+TablaDatos[[#This Row],[DiasNuevo]]</f>
        <v>45091</v>
      </c>
      <c r="I3186">
        <v>18</v>
      </c>
      <c r="J3186" t="s">
        <v>23</v>
      </c>
      <c r="K3186" s="3">
        <v>9124.69</v>
      </c>
      <c r="L3186" t="b">
        <f>TablaDatos[[#This Row],[FechaAlta]] &lt; TablaDatos[[#This Row],[FechaIngreso]]</f>
        <v>0</v>
      </c>
      <c r="M3186">
        <f>_xlfn.XLOOKUP(TablaDatos[[#This Row],[PacienteID]],'Datos_Ejemplo.csv'!A:A,'Datos_Ejemplo.csv'!I:I)</f>
        <v>18</v>
      </c>
      <c r="N3186">
        <f>ABS(TablaDatos[[#This Row],[DiasOriginal]])</f>
        <v>18</v>
      </c>
      <c r="O3186" s="1">
        <f>TablaDatos[[#This Row],[FechaIngreso]]+TablaDatos[[#This Row],[DiasNuevo]]</f>
        <v>45091</v>
      </c>
    </row>
    <row r="3187" spans="1:15">
      <c r="A3187">
        <v>3186</v>
      </c>
      <c r="B3187" t="s">
        <v>302</v>
      </c>
      <c r="C3187" s="1">
        <v>27395</v>
      </c>
      <c r="D3187">
        <v>51</v>
      </c>
      <c r="E3187" s="4" t="s">
        <v>15</v>
      </c>
      <c r="F3187" t="s">
        <v>32</v>
      </c>
      <c r="G3187" s="1">
        <v>45422</v>
      </c>
      <c r="H3187" s="1">
        <f>TablaDatos[[#This Row],[FechaIngreso]]+TablaDatos[[#This Row],[DiasNuevo]]</f>
        <v>45460</v>
      </c>
      <c r="I3187">
        <v>38</v>
      </c>
      <c r="J3187" t="s">
        <v>23</v>
      </c>
      <c r="K3187" s="3">
        <v>3843.45</v>
      </c>
      <c r="L3187" t="b">
        <f>TablaDatos[[#This Row],[FechaAlta]] &lt; TablaDatos[[#This Row],[FechaIngreso]]</f>
        <v>0</v>
      </c>
      <c r="M3187">
        <f>_xlfn.XLOOKUP(TablaDatos[[#This Row],[PacienteID]],'Datos_Ejemplo.csv'!A:A,'Datos_Ejemplo.csv'!I:I)</f>
        <v>38</v>
      </c>
      <c r="N3187">
        <f>ABS(TablaDatos[[#This Row],[DiasOriginal]])</f>
        <v>38</v>
      </c>
      <c r="O3187" s="1">
        <f>TablaDatos[[#This Row],[FechaIngreso]]+TablaDatos[[#This Row],[DiasNuevo]]</f>
        <v>45460</v>
      </c>
    </row>
    <row r="3188" spans="1:15">
      <c r="A3188">
        <v>3187</v>
      </c>
      <c r="B3188" t="s">
        <v>344</v>
      </c>
      <c r="C3188" s="1">
        <v>33969</v>
      </c>
      <c r="D3188">
        <v>33</v>
      </c>
      <c r="E3188" s="4" t="s">
        <v>15</v>
      </c>
      <c r="F3188" t="s">
        <v>13</v>
      </c>
      <c r="G3188" s="1">
        <v>45553</v>
      </c>
      <c r="H3188" s="1">
        <f>TablaDatos[[#This Row],[FechaIngreso]]+TablaDatos[[#This Row],[DiasNuevo]]</f>
        <v>45592</v>
      </c>
      <c r="I3188">
        <v>39</v>
      </c>
      <c r="J3188" t="s">
        <v>25</v>
      </c>
      <c r="K3188" s="3">
        <v>7161.39</v>
      </c>
      <c r="L3188" t="b">
        <f>TablaDatos[[#This Row],[FechaAlta]] &lt; TablaDatos[[#This Row],[FechaIngreso]]</f>
        <v>0</v>
      </c>
      <c r="M3188">
        <f>_xlfn.XLOOKUP(TablaDatos[[#This Row],[PacienteID]],'Datos_Ejemplo.csv'!A:A,'Datos_Ejemplo.csv'!I:I)</f>
        <v>39</v>
      </c>
      <c r="N3188">
        <f>ABS(TablaDatos[[#This Row],[DiasOriginal]])</f>
        <v>39</v>
      </c>
      <c r="O3188" s="1">
        <f>TablaDatos[[#This Row],[FechaIngreso]]+TablaDatos[[#This Row],[DiasNuevo]]</f>
        <v>45592</v>
      </c>
    </row>
    <row r="3189" spans="1:15">
      <c r="A3189">
        <v>3188</v>
      </c>
      <c r="B3189" t="s">
        <v>359</v>
      </c>
      <c r="C3189" s="1">
        <v>31412</v>
      </c>
      <c r="D3189">
        <v>40</v>
      </c>
      <c r="E3189" s="4" t="s">
        <v>12</v>
      </c>
      <c r="F3189" t="s">
        <v>32</v>
      </c>
      <c r="G3189" s="1">
        <v>45412</v>
      </c>
      <c r="H3189" s="1">
        <f>TablaDatos[[#This Row],[FechaIngreso]]+TablaDatos[[#This Row],[DiasNuevo]]</f>
        <v>45438</v>
      </c>
      <c r="I3189">
        <v>26</v>
      </c>
      <c r="J3189" t="s">
        <v>23</v>
      </c>
      <c r="K3189" s="3">
        <v>3555.58</v>
      </c>
      <c r="L3189" t="b">
        <f>TablaDatos[[#This Row],[FechaAlta]] &lt; TablaDatos[[#This Row],[FechaIngreso]]</f>
        <v>0</v>
      </c>
      <c r="M3189">
        <f>_xlfn.XLOOKUP(TablaDatos[[#This Row],[PacienteID]],'Datos_Ejemplo.csv'!A:A,'Datos_Ejemplo.csv'!I:I)</f>
        <v>26</v>
      </c>
      <c r="N3189">
        <f>ABS(TablaDatos[[#This Row],[DiasOriginal]])</f>
        <v>26</v>
      </c>
      <c r="O3189" s="1">
        <f>TablaDatos[[#This Row],[FechaIngreso]]+TablaDatos[[#This Row],[DiasNuevo]]</f>
        <v>45438</v>
      </c>
    </row>
    <row r="3190" spans="1:15">
      <c r="A3190">
        <v>3189</v>
      </c>
      <c r="B3190" t="s">
        <v>257</v>
      </c>
      <c r="C3190" s="1">
        <v>27760</v>
      </c>
      <c r="D3190">
        <v>50</v>
      </c>
      <c r="E3190" s="4" t="s">
        <v>12</v>
      </c>
      <c r="F3190" t="s">
        <v>32</v>
      </c>
      <c r="G3190" s="1">
        <v>45386</v>
      </c>
      <c r="H3190" s="1">
        <f>TablaDatos[[#This Row],[FechaIngreso]]+TablaDatos[[#This Row],[DiasNuevo]]</f>
        <v>45414</v>
      </c>
      <c r="I3190">
        <v>28</v>
      </c>
      <c r="J3190" t="s">
        <v>23</v>
      </c>
      <c r="K3190" s="3">
        <v>14681.34</v>
      </c>
      <c r="L3190" t="b">
        <f>TablaDatos[[#This Row],[FechaAlta]] &lt; TablaDatos[[#This Row],[FechaIngreso]]</f>
        <v>0</v>
      </c>
      <c r="M3190">
        <f>_xlfn.XLOOKUP(TablaDatos[[#This Row],[PacienteID]],'Datos_Ejemplo.csv'!A:A,'Datos_Ejemplo.csv'!I:I)</f>
        <v>28</v>
      </c>
      <c r="N3190">
        <f>ABS(TablaDatos[[#This Row],[DiasOriginal]])</f>
        <v>28</v>
      </c>
      <c r="O3190" s="1">
        <f>TablaDatos[[#This Row],[FechaIngreso]]+TablaDatos[[#This Row],[DiasNuevo]]</f>
        <v>45414</v>
      </c>
    </row>
    <row r="3191" spans="1:15">
      <c r="A3191">
        <v>3190</v>
      </c>
      <c r="B3191" t="s">
        <v>366</v>
      </c>
      <c r="C3191" s="1">
        <v>29221</v>
      </c>
      <c r="D3191">
        <v>46</v>
      </c>
      <c r="E3191" s="4" t="s">
        <v>15</v>
      </c>
      <c r="F3191" t="s">
        <v>32</v>
      </c>
      <c r="G3191" s="1">
        <v>45637</v>
      </c>
      <c r="H3191" s="1">
        <f>TablaDatos[[#This Row],[FechaIngreso]]+TablaDatos[[#This Row],[DiasNuevo]]</f>
        <v>45674</v>
      </c>
      <c r="I3191">
        <v>37</v>
      </c>
      <c r="J3191" t="s">
        <v>25</v>
      </c>
      <c r="K3191" s="3">
        <v>3900.41</v>
      </c>
      <c r="L3191" t="b">
        <f>TablaDatos[[#This Row],[FechaAlta]] &lt; TablaDatos[[#This Row],[FechaIngreso]]</f>
        <v>0</v>
      </c>
      <c r="M3191">
        <f>_xlfn.XLOOKUP(TablaDatos[[#This Row],[PacienteID]],'Datos_Ejemplo.csv'!A:A,'Datos_Ejemplo.csv'!I:I)</f>
        <v>37</v>
      </c>
      <c r="N3191">
        <f>ABS(TablaDatos[[#This Row],[DiasOriginal]])</f>
        <v>37</v>
      </c>
      <c r="O3191" s="1">
        <f>TablaDatos[[#This Row],[FechaIngreso]]+TablaDatos[[#This Row],[DiasNuevo]]</f>
        <v>45674</v>
      </c>
    </row>
    <row r="3192" spans="1:15">
      <c r="A3192">
        <v>3191</v>
      </c>
      <c r="B3192" t="s">
        <v>270</v>
      </c>
      <c r="C3192" s="1">
        <v>16437</v>
      </c>
      <c r="D3192">
        <v>81</v>
      </c>
      <c r="E3192" s="4" t="s">
        <v>12</v>
      </c>
      <c r="F3192" t="s">
        <v>18</v>
      </c>
      <c r="G3192" s="1">
        <v>45054</v>
      </c>
      <c r="H3192" s="1">
        <f>TablaDatos[[#This Row],[FechaIngreso]]+TablaDatos[[#This Row],[DiasNuevo]]</f>
        <v>45058</v>
      </c>
      <c r="I3192">
        <v>4</v>
      </c>
      <c r="J3192" t="s">
        <v>23</v>
      </c>
      <c r="K3192" s="3">
        <v>12296.74</v>
      </c>
      <c r="L3192" t="b">
        <f>TablaDatos[[#This Row],[FechaAlta]] &lt; TablaDatos[[#This Row],[FechaIngreso]]</f>
        <v>0</v>
      </c>
      <c r="M3192">
        <f>_xlfn.XLOOKUP(TablaDatos[[#This Row],[PacienteID]],'Datos_Ejemplo.csv'!A:A,'Datos_Ejemplo.csv'!I:I)</f>
        <v>4</v>
      </c>
      <c r="N3192">
        <f>ABS(TablaDatos[[#This Row],[DiasOriginal]])</f>
        <v>4</v>
      </c>
      <c r="O3192" s="1">
        <f>TablaDatos[[#This Row],[FechaIngreso]]+TablaDatos[[#This Row],[DiasNuevo]]</f>
        <v>45058</v>
      </c>
    </row>
    <row r="3193" spans="1:15">
      <c r="A3193">
        <v>3192</v>
      </c>
      <c r="B3193" t="s">
        <v>352</v>
      </c>
      <c r="C3193" s="1">
        <v>25203</v>
      </c>
      <c r="D3193">
        <v>57</v>
      </c>
      <c r="E3193" s="4" t="s">
        <v>12</v>
      </c>
      <c r="F3193" t="s">
        <v>201</v>
      </c>
      <c r="G3193" s="1">
        <v>45302</v>
      </c>
      <c r="H3193" s="1">
        <f>TablaDatos[[#This Row],[FechaIngreso]]+TablaDatos[[#This Row],[DiasNuevo]]</f>
        <v>45333</v>
      </c>
      <c r="I3193">
        <v>31</v>
      </c>
      <c r="J3193" t="s">
        <v>19</v>
      </c>
      <c r="K3193" s="3">
        <v>5520.11</v>
      </c>
      <c r="L3193" t="b">
        <f>TablaDatos[[#This Row],[FechaAlta]] &lt; TablaDatos[[#This Row],[FechaIngreso]]</f>
        <v>0</v>
      </c>
      <c r="M3193">
        <f>_xlfn.XLOOKUP(TablaDatos[[#This Row],[PacienteID]],'Datos_Ejemplo.csv'!A:A,'Datos_Ejemplo.csv'!I:I)</f>
        <v>31</v>
      </c>
      <c r="N3193">
        <f>ABS(TablaDatos[[#This Row],[DiasOriginal]])</f>
        <v>31</v>
      </c>
      <c r="O3193" s="1">
        <f>TablaDatos[[#This Row],[FechaIngreso]]+TablaDatos[[#This Row],[DiasNuevo]]</f>
        <v>45333</v>
      </c>
    </row>
    <row r="3194" spans="1:15">
      <c r="A3194">
        <v>3193</v>
      </c>
      <c r="B3194" t="s">
        <v>341</v>
      </c>
      <c r="C3194" s="1">
        <v>18994</v>
      </c>
      <c r="D3194">
        <v>74</v>
      </c>
      <c r="E3194" s="4" t="s">
        <v>15</v>
      </c>
      <c r="F3194" t="s">
        <v>32</v>
      </c>
      <c r="G3194" s="1">
        <v>45591</v>
      </c>
      <c r="H3194" s="1">
        <f>TablaDatos[[#This Row],[FechaIngreso]]+TablaDatos[[#This Row],[DiasNuevo]]</f>
        <v>45622</v>
      </c>
      <c r="I3194">
        <v>31</v>
      </c>
      <c r="J3194" t="s">
        <v>25</v>
      </c>
      <c r="K3194" s="3">
        <v>13105.34</v>
      </c>
      <c r="L3194" t="b">
        <f>TablaDatos[[#This Row],[FechaAlta]] &lt; TablaDatos[[#This Row],[FechaIngreso]]</f>
        <v>0</v>
      </c>
      <c r="M3194">
        <f>_xlfn.XLOOKUP(TablaDatos[[#This Row],[PacienteID]],'Datos_Ejemplo.csv'!A:A,'Datos_Ejemplo.csv'!I:I)</f>
        <v>31</v>
      </c>
      <c r="N3194">
        <f>ABS(TablaDatos[[#This Row],[DiasOriginal]])</f>
        <v>31</v>
      </c>
      <c r="O3194" s="1">
        <f>TablaDatos[[#This Row],[FechaIngreso]]+TablaDatos[[#This Row],[DiasNuevo]]</f>
        <v>45622</v>
      </c>
    </row>
    <row r="3195" spans="1:15">
      <c r="A3195">
        <v>3194</v>
      </c>
      <c r="B3195" t="s">
        <v>299</v>
      </c>
      <c r="C3195" s="1">
        <v>25568</v>
      </c>
      <c r="D3195">
        <v>56</v>
      </c>
      <c r="E3195" s="4" t="s">
        <v>12</v>
      </c>
      <c r="F3195" t="s">
        <v>21</v>
      </c>
      <c r="G3195" s="1">
        <v>45009</v>
      </c>
      <c r="H3195" s="1">
        <f>TablaDatos[[#This Row],[FechaIngreso]]+TablaDatos[[#This Row],[DiasNuevo]]</f>
        <v>45036</v>
      </c>
      <c r="I3195">
        <v>27</v>
      </c>
      <c r="J3195" t="s">
        <v>19</v>
      </c>
      <c r="K3195" s="3">
        <v>10763.14</v>
      </c>
      <c r="L3195" t="b">
        <f>TablaDatos[[#This Row],[FechaAlta]] &lt; TablaDatos[[#This Row],[FechaIngreso]]</f>
        <v>0</v>
      </c>
      <c r="M3195">
        <f>_xlfn.XLOOKUP(TablaDatos[[#This Row],[PacienteID]],'Datos_Ejemplo.csv'!A:A,'Datos_Ejemplo.csv'!I:I)</f>
        <v>27</v>
      </c>
      <c r="N3195">
        <f>ABS(TablaDatos[[#This Row],[DiasOriginal]])</f>
        <v>27</v>
      </c>
      <c r="O3195" s="1">
        <f>TablaDatos[[#This Row],[FechaIngreso]]+TablaDatos[[#This Row],[DiasNuevo]]</f>
        <v>45036</v>
      </c>
    </row>
    <row r="3196" spans="1:15">
      <c r="A3196">
        <v>3195</v>
      </c>
      <c r="B3196" t="s">
        <v>269</v>
      </c>
      <c r="C3196" s="1">
        <v>37987</v>
      </c>
      <c r="D3196">
        <v>22</v>
      </c>
      <c r="E3196" s="4" t="s">
        <v>12</v>
      </c>
      <c r="F3196" t="s">
        <v>21</v>
      </c>
      <c r="G3196" s="1">
        <v>45461</v>
      </c>
      <c r="H3196" s="1">
        <f>TablaDatos[[#This Row],[FechaIngreso]]+TablaDatos[[#This Row],[DiasNuevo]]</f>
        <v>45462</v>
      </c>
      <c r="I3196">
        <v>1</v>
      </c>
      <c r="J3196" t="s">
        <v>25</v>
      </c>
      <c r="K3196" s="3">
        <v>8411.1200000000008</v>
      </c>
      <c r="L3196" t="b">
        <f>TablaDatos[[#This Row],[FechaAlta]] &lt; TablaDatos[[#This Row],[FechaIngreso]]</f>
        <v>0</v>
      </c>
      <c r="M3196">
        <f>_xlfn.XLOOKUP(TablaDatos[[#This Row],[PacienteID]],'Datos_Ejemplo.csv'!A:A,'Datos_Ejemplo.csv'!I:I)</f>
        <v>1</v>
      </c>
      <c r="N3196">
        <f>ABS(TablaDatos[[#This Row],[DiasOriginal]])</f>
        <v>1</v>
      </c>
      <c r="O3196" s="1">
        <f>TablaDatos[[#This Row],[FechaIngreso]]+TablaDatos[[#This Row],[DiasNuevo]]</f>
        <v>45462</v>
      </c>
    </row>
    <row r="3197" spans="1:15">
      <c r="A3197">
        <v>3196</v>
      </c>
      <c r="B3197" t="s">
        <v>233</v>
      </c>
      <c r="C3197" s="1">
        <v>28856</v>
      </c>
      <c r="D3197">
        <v>47</v>
      </c>
      <c r="E3197" s="4" t="s">
        <v>15</v>
      </c>
      <c r="F3197" t="s">
        <v>295</v>
      </c>
      <c r="G3197" s="1">
        <v>45449</v>
      </c>
      <c r="H3197" s="1">
        <f>TablaDatos[[#This Row],[FechaIngreso]]+TablaDatos[[#This Row],[DiasNuevo]]</f>
        <v>45487</v>
      </c>
      <c r="I3197">
        <v>38</v>
      </c>
      <c r="J3197" t="s">
        <v>19</v>
      </c>
      <c r="K3197" s="3">
        <v>13427.32</v>
      </c>
      <c r="L3197" t="b">
        <f>TablaDatos[[#This Row],[FechaAlta]] &lt; TablaDatos[[#This Row],[FechaIngreso]]</f>
        <v>0</v>
      </c>
      <c r="M3197">
        <f>_xlfn.XLOOKUP(TablaDatos[[#This Row],[PacienteID]],'Datos_Ejemplo.csv'!A:A,'Datos_Ejemplo.csv'!I:I)</f>
        <v>38</v>
      </c>
      <c r="N3197">
        <f>ABS(TablaDatos[[#This Row],[DiasOriginal]])</f>
        <v>38</v>
      </c>
      <c r="O3197" s="1">
        <f>TablaDatos[[#This Row],[FechaIngreso]]+TablaDatos[[#This Row],[DiasNuevo]]</f>
        <v>45487</v>
      </c>
    </row>
    <row r="3198" spans="1:15">
      <c r="A3198">
        <v>3197</v>
      </c>
      <c r="B3198" t="s">
        <v>55</v>
      </c>
      <c r="C3198" s="1">
        <v>38352</v>
      </c>
      <c r="D3198">
        <v>21</v>
      </c>
      <c r="E3198" s="4" t="s">
        <v>12</v>
      </c>
      <c r="F3198" t="s">
        <v>295</v>
      </c>
      <c r="G3198" s="1">
        <v>45625</v>
      </c>
      <c r="H3198" s="1">
        <f>TablaDatos[[#This Row],[FechaIngreso]]+TablaDatos[[#This Row],[DiasNuevo]]</f>
        <v>45652</v>
      </c>
      <c r="I3198">
        <v>27</v>
      </c>
      <c r="J3198" t="s">
        <v>23</v>
      </c>
      <c r="K3198" s="3">
        <v>8256.01</v>
      </c>
      <c r="L3198" t="b">
        <f>TablaDatos[[#This Row],[FechaAlta]] &lt; TablaDatos[[#This Row],[FechaIngreso]]</f>
        <v>0</v>
      </c>
      <c r="M3198">
        <f>_xlfn.XLOOKUP(TablaDatos[[#This Row],[PacienteID]],'Datos_Ejemplo.csv'!A:A,'Datos_Ejemplo.csv'!I:I)</f>
        <v>27</v>
      </c>
      <c r="N3198">
        <f>ABS(TablaDatos[[#This Row],[DiasOriginal]])</f>
        <v>27</v>
      </c>
      <c r="O3198" s="1">
        <f>TablaDatos[[#This Row],[FechaIngreso]]+TablaDatos[[#This Row],[DiasNuevo]]</f>
        <v>45652</v>
      </c>
    </row>
    <row r="3199" spans="1:15">
      <c r="A3199">
        <v>3198</v>
      </c>
      <c r="B3199" t="s">
        <v>114</v>
      </c>
      <c r="C3199" s="1">
        <v>40178</v>
      </c>
      <c r="D3199">
        <v>16</v>
      </c>
      <c r="E3199" s="4" t="s">
        <v>15</v>
      </c>
      <c r="F3199" t="s">
        <v>261</v>
      </c>
      <c r="G3199" s="1">
        <v>45554</v>
      </c>
      <c r="H3199" s="1">
        <f>TablaDatos[[#This Row],[FechaIngreso]]+TablaDatos[[#This Row],[DiasNuevo]]</f>
        <v>45576</v>
      </c>
      <c r="I3199">
        <v>22</v>
      </c>
      <c r="J3199" t="s">
        <v>23</v>
      </c>
      <c r="K3199" s="3">
        <v>16409.55</v>
      </c>
      <c r="L3199" t="b">
        <f>TablaDatos[[#This Row],[FechaAlta]] &lt; TablaDatos[[#This Row],[FechaIngreso]]</f>
        <v>0</v>
      </c>
      <c r="M3199">
        <f>_xlfn.XLOOKUP(TablaDatos[[#This Row],[PacienteID]],'Datos_Ejemplo.csv'!A:A,'Datos_Ejemplo.csv'!I:I)</f>
        <v>22</v>
      </c>
      <c r="N3199">
        <f>ABS(TablaDatos[[#This Row],[DiasOriginal]])</f>
        <v>22</v>
      </c>
      <c r="O3199" s="1">
        <f>TablaDatos[[#This Row],[FechaIngreso]]+TablaDatos[[#This Row],[DiasNuevo]]</f>
        <v>45576</v>
      </c>
    </row>
    <row r="3200" spans="1:15">
      <c r="A3200">
        <v>3199</v>
      </c>
      <c r="B3200" t="s">
        <v>344</v>
      </c>
      <c r="C3200" s="1">
        <v>21185</v>
      </c>
      <c r="D3200">
        <v>68</v>
      </c>
      <c r="E3200" s="4" t="s">
        <v>12</v>
      </c>
      <c r="F3200" t="s">
        <v>32</v>
      </c>
      <c r="G3200" s="1">
        <v>45600</v>
      </c>
      <c r="H3200" s="1">
        <f>TablaDatos[[#This Row],[FechaIngreso]]+TablaDatos[[#This Row],[DiasNuevo]]</f>
        <v>45611</v>
      </c>
      <c r="I3200">
        <v>11</v>
      </c>
      <c r="J3200" t="s">
        <v>19</v>
      </c>
      <c r="K3200" s="3">
        <v>14564.93</v>
      </c>
      <c r="L3200" t="b">
        <f>TablaDatos[[#This Row],[FechaAlta]] &lt; TablaDatos[[#This Row],[FechaIngreso]]</f>
        <v>0</v>
      </c>
      <c r="M3200">
        <f>_xlfn.XLOOKUP(TablaDatos[[#This Row],[PacienteID]],'Datos_Ejemplo.csv'!A:A,'Datos_Ejemplo.csv'!I:I)</f>
        <v>11</v>
      </c>
      <c r="N3200">
        <f>ABS(TablaDatos[[#This Row],[DiasOriginal]])</f>
        <v>11</v>
      </c>
      <c r="O3200" s="1">
        <f>TablaDatos[[#This Row],[FechaIngreso]]+TablaDatos[[#This Row],[DiasNuevo]]</f>
        <v>45611</v>
      </c>
    </row>
    <row r="3201" spans="1:15">
      <c r="A3201">
        <v>3200</v>
      </c>
      <c r="B3201" t="s">
        <v>237</v>
      </c>
      <c r="C3201" s="1">
        <v>42370</v>
      </c>
      <c r="D3201">
        <f ca="1">DATEDIF(TablaDatos[[#This Row],[FechaNacimiento]],TODAY(),"Y")</f>
        <v>10</v>
      </c>
      <c r="E3201" s="4" t="s">
        <v>12</v>
      </c>
      <c r="F3201" t="s">
        <v>32</v>
      </c>
      <c r="G3201" s="1">
        <v>45029</v>
      </c>
      <c r="H3201" s="1">
        <f>TablaDatos[[#This Row],[FechaIngreso]]+TablaDatos[[#This Row],[DiasNuevo]]</f>
        <v>45050</v>
      </c>
      <c r="I3201">
        <v>21</v>
      </c>
      <c r="J3201" t="s">
        <v>19</v>
      </c>
      <c r="K3201" s="3">
        <v>10766.84</v>
      </c>
      <c r="L3201" t="b">
        <f>TablaDatos[[#This Row],[FechaAlta]] &lt; TablaDatos[[#This Row],[FechaIngreso]]</f>
        <v>0</v>
      </c>
      <c r="M3201">
        <f>_xlfn.XLOOKUP(TablaDatos[[#This Row],[PacienteID]],'Datos_Ejemplo.csv'!A:A,'Datos_Ejemplo.csv'!I:I)</f>
        <v>21</v>
      </c>
      <c r="N3201">
        <f>ABS(TablaDatos[[#This Row],[DiasOriginal]])</f>
        <v>21</v>
      </c>
      <c r="O3201" s="1">
        <f>TablaDatos[[#This Row],[FechaIngreso]]+TablaDatos[[#This Row],[DiasNuevo]]</f>
        <v>45050</v>
      </c>
    </row>
    <row r="3202" spans="1:15">
      <c r="A3202">
        <v>3201</v>
      </c>
      <c r="B3202" t="s">
        <v>286</v>
      </c>
      <c r="C3202" s="1">
        <v>12054</v>
      </c>
      <c r="D3202">
        <v>93</v>
      </c>
      <c r="E3202" s="4" t="s">
        <v>12</v>
      </c>
      <c r="F3202" t="s">
        <v>18</v>
      </c>
      <c r="G3202" s="1">
        <v>45445</v>
      </c>
      <c r="H3202" s="1">
        <f>TablaDatos[[#This Row],[FechaIngreso]]+TablaDatos[[#This Row],[DiasNuevo]]</f>
        <v>45473</v>
      </c>
      <c r="I3202">
        <v>28</v>
      </c>
      <c r="J3202" t="s">
        <v>23</v>
      </c>
      <c r="K3202" s="3">
        <v>17528.919999999998</v>
      </c>
      <c r="L3202" t="b">
        <f>TablaDatos[[#This Row],[FechaAlta]] &lt; TablaDatos[[#This Row],[FechaIngreso]]</f>
        <v>0</v>
      </c>
      <c r="M3202">
        <f>_xlfn.XLOOKUP(TablaDatos[[#This Row],[PacienteID]],'Datos_Ejemplo.csv'!A:A,'Datos_Ejemplo.csv'!I:I)</f>
        <v>28</v>
      </c>
      <c r="N3202">
        <f>ABS(TablaDatos[[#This Row],[DiasOriginal]])</f>
        <v>28</v>
      </c>
      <c r="O3202" s="1">
        <f>TablaDatos[[#This Row],[FechaIngreso]]+TablaDatos[[#This Row],[DiasNuevo]]</f>
        <v>45473</v>
      </c>
    </row>
    <row r="3203" spans="1:15">
      <c r="A3203">
        <v>3202</v>
      </c>
      <c r="B3203" t="s">
        <v>307</v>
      </c>
      <c r="C3203" s="1">
        <v>40909</v>
      </c>
      <c r="D3203">
        <v>14</v>
      </c>
      <c r="E3203" s="4" t="s">
        <v>15</v>
      </c>
      <c r="F3203" t="s">
        <v>201</v>
      </c>
      <c r="G3203" s="1">
        <v>45288</v>
      </c>
      <c r="H3203" s="1">
        <f>TablaDatos[[#This Row],[FechaIngreso]]+TablaDatos[[#This Row],[DiasNuevo]]</f>
        <v>45324</v>
      </c>
      <c r="I3203">
        <v>36</v>
      </c>
      <c r="J3203" t="s">
        <v>23</v>
      </c>
      <c r="K3203" s="3">
        <v>16560.12</v>
      </c>
      <c r="L3203" t="b">
        <f>TablaDatos[[#This Row],[FechaAlta]] &lt; TablaDatos[[#This Row],[FechaIngreso]]</f>
        <v>0</v>
      </c>
      <c r="M3203">
        <f>_xlfn.XLOOKUP(TablaDatos[[#This Row],[PacienteID]],'Datos_Ejemplo.csv'!A:A,'Datos_Ejemplo.csv'!I:I)</f>
        <v>36</v>
      </c>
      <c r="N3203">
        <f>ABS(TablaDatos[[#This Row],[DiasOriginal]])</f>
        <v>36</v>
      </c>
      <c r="O3203" s="1">
        <f>TablaDatos[[#This Row],[FechaIngreso]]+TablaDatos[[#This Row],[DiasNuevo]]</f>
        <v>45324</v>
      </c>
    </row>
    <row r="3204" spans="1:15">
      <c r="A3204">
        <v>3203</v>
      </c>
      <c r="B3204" t="s">
        <v>152</v>
      </c>
      <c r="C3204" s="1">
        <v>13150</v>
      </c>
      <c r="D3204">
        <v>90</v>
      </c>
      <c r="E3204" s="4" t="s">
        <v>15</v>
      </c>
      <c r="F3204" t="s">
        <v>32</v>
      </c>
      <c r="G3204" s="1">
        <v>45610</v>
      </c>
      <c r="H3204" s="1">
        <f>TablaDatos[[#This Row],[FechaIngreso]]+TablaDatos[[#This Row],[DiasNuevo]]</f>
        <v>45635</v>
      </c>
      <c r="I3204">
        <v>25</v>
      </c>
      <c r="J3204" t="s">
        <v>19</v>
      </c>
      <c r="K3204" s="3">
        <v>10589.97</v>
      </c>
      <c r="L3204" t="b">
        <f>TablaDatos[[#This Row],[FechaAlta]] &lt; TablaDatos[[#This Row],[FechaIngreso]]</f>
        <v>0</v>
      </c>
      <c r="M3204">
        <f>_xlfn.XLOOKUP(TablaDatos[[#This Row],[PacienteID]],'Datos_Ejemplo.csv'!A:A,'Datos_Ejemplo.csv'!I:I)</f>
        <v>25</v>
      </c>
      <c r="N3204">
        <f>ABS(TablaDatos[[#This Row],[DiasOriginal]])</f>
        <v>25</v>
      </c>
      <c r="O3204" s="1">
        <f>TablaDatos[[#This Row],[FechaIngreso]]+TablaDatos[[#This Row],[DiasNuevo]]</f>
        <v>45635</v>
      </c>
    </row>
    <row r="3205" spans="1:15">
      <c r="A3205">
        <v>3204</v>
      </c>
      <c r="B3205" t="s">
        <v>304</v>
      </c>
      <c r="C3205" s="1">
        <v>33604</v>
      </c>
      <c r="D3205">
        <v>34</v>
      </c>
      <c r="E3205" s="4" t="s">
        <v>15</v>
      </c>
      <c r="F3205" t="s">
        <v>32</v>
      </c>
      <c r="G3205" s="1">
        <v>45182</v>
      </c>
      <c r="H3205" s="1">
        <f>TablaDatos[[#This Row],[FechaIngreso]]+TablaDatos[[#This Row],[DiasNuevo]]</f>
        <v>45204</v>
      </c>
      <c r="I3205">
        <v>22</v>
      </c>
      <c r="J3205" t="s">
        <v>19</v>
      </c>
      <c r="K3205" s="3">
        <v>1275.8</v>
      </c>
      <c r="L3205" t="b">
        <f>TablaDatos[[#This Row],[FechaAlta]] &lt; TablaDatos[[#This Row],[FechaIngreso]]</f>
        <v>0</v>
      </c>
      <c r="M3205">
        <f>_xlfn.XLOOKUP(TablaDatos[[#This Row],[PacienteID]],'Datos_Ejemplo.csv'!A:A,'Datos_Ejemplo.csv'!I:I)</f>
        <v>22</v>
      </c>
      <c r="N3205">
        <f>ABS(TablaDatos[[#This Row],[DiasOriginal]])</f>
        <v>22</v>
      </c>
      <c r="O3205" s="1">
        <f>TablaDatos[[#This Row],[FechaIngreso]]+TablaDatos[[#This Row],[DiasNuevo]]</f>
        <v>45204</v>
      </c>
    </row>
    <row r="3206" spans="1:15">
      <c r="A3206">
        <v>3205</v>
      </c>
      <c r="B3206" t="s">
        <v>366</v>
      </c>
      <c r="C3206" s="1">
        <v>34334</v>
      </c>
      <c r="D3206">
        <v>32</v>
      </c>
      <c r="E3206" s="4" t="s">
        <v>12</v>
      </c>
      <c r="F3206" t="s">
        <v>201</v>
      </c>
      <c r="G3206" s="1">
        <v>45173</v>
      </c>
      <c r="H3206" s="1">
        <f>TablaDatos[[#This Row],[FechaIngreso]]+TablaDatos[[#This Row],[DiasNuevo]]</f>
        <v>45189</v>
      </c>
      <c r="I3206">
        <v>16</v>
      </c>
      <c r="J3206" t="s">
        <v>19</v>
      </c>
      <c r="K3206" s="3">
        <v>11276.53</v>
      </c>
      <c r="L3206" t="b">
        <f>TablaDatos[[#This Row],[FechaAlta]] &lt; TablaDatos[[#This Row],[FechaIngreso]]</f>
        <v>0</v>
      </c>
      <c r="M3206">
        <f>_xlfn.XLOOKUP(TablaDatos[[#This Row],[PacienteID]],'Datos_Ejemplo.csv'!A:A,'Datos_Ejemplo.csv'!I:I)</f>
        <v>16</v>
      </c>
      <c r="N3206">
        <f>ABS(TablaDatos[[#This Row],[DiasOriginal]])</f>
        <v>16</v>
      </c>
      <c r="O3206" s="1">
        <f>TablaDatos[[#This Row],[FechaIngreso]]+TablaDatos[[#This Row],[DiasNuevo]]</f>
        <v>45189</v>
      </c>
    </row>
    <row r="3207" spans="1:15">
      <c r="A3207">
        <v>3206</v>
      </c>
      <c r="B3207" t="s">
        <v>237</v>
      </c>
      <c r="C3207" s="1">
        <v>15707</v>
      </c>
      <c r="D3207">
        <v>83</v>
      </c>
      <c r="E3207" s="4" t="s">
        <v>15</v>
      </c>
      <c r="F3207" t="s">
        <v>32</v>
      </c>
      <c r="G3207" s="1">
        <v>45118</v>
      </c>
      <c r="H3207" s="1">
        <f>TablaDatos[[#This Row],[FechaIngreso]]+TablaDatos[[#This Row],[DiasNuevo]]</f>
        <v>45119</v>
      </c>
      <c r="I3207">
        <v>1</v>
      </c>
      <c r="J3207" t="s">
        <v>25</v>
      </c>
      <c r="K3207" s="3">
        <v>7040.67</v>
      </c>
      <c r="L3207" t="b">
        <f>TablaDatos[[#This Row],[FechaAlta]] &lt; TablaDatos[[#This Row],[FechaIngreso]]</f>
        <v>0</v>
      </c>
      <c r="M3207">
        <f>_xlfn.XLOOKUP(TablaDatos[[#This Row],[PacienteID]],'Datos_Ejemplo.csv'!A:A,'Datos_Ejemplo.csv'!I:I)</f>
        <v>1</v>
      </c>
      <c r="N3207">
        <f>ABS(TablaDatos[[#This Row],[DiasOriginal]])</f>
        <v>1</v>
      </c>
      <c r="O3207" s="1">
        <f>TablaDatos[[#This Row],[FechaIngreso]]+TablaDatos[[#This Row],[DiasNuevo]]</f>
        <v>45119</v>
      </c>
    </row>
    <row r="3208" spans="1:15">
      <c r="A3208">
        <v>3207</v>
      </c>
      <c r="B3208" t="s">
        <v>243</v>
      </c>
      <c r="C3208" s="1">
        <v>40544</v>
      </c>
      <c r="D3208">
        <v>15</v>
      </c>
      <c r="E3208" s="4" t="s">
        <v>12</v>
      </c>
      <c r="F3208" t="s">
        <v>13</v>
      </c>
      <c r="G3208" s="1">
        <v>45552</v>
      </c>
      <c r="H3208" s="1">
        <f>TablaDatos[[#This Row],[FechaIngreso]]+TablaDatos[[#This Row],[DiasNuevo]]</f>
        <v>45583</v>
      </c>
      <c r="I3208">
        <v>31</v>
      </c>
      <c r="J3208" t="s">
        <v>19</v>
      </c>
      <c r="K3208" s="3">
        <v>10756.27</v>
      </c>
      <c r="L3208" t="b">
        <f>TablaDatos[[#This Row],[FechaAlta]] &lt; TablaDatos[[#This Row],[FechaIngreso]]</f>
        <v>0</v>
      </c>
      <c r="M3208">
        <f>_xlfn.XLOOKUP(TablaDatos[[#This Row],[PacienteID]],'Datos_Ejemplo.csv'!A:A,'Datos_Ejemplo.csv'!I:I)</f>
        <v>31</v>
      </c>
      <c r="N3208">
        <f>ABS(TablaDatos[[#This Row],[DiasOriginal]])</f>
        <v>31</v>
      </c>
      <c r="O3208" s="1">
        <f>TablaDatos[[#This Row],[FechaIngreso]]+TablaDatos[[#This Row],[DiasNuevo]]</f>
        <v>45583</v>
      </c>
    </row>
    <row r="3209" spans="1:15">
      <c r="A3209">
        <v>3208</v>
      </c>
      <c r="B3209" t="s">
        <v>251</v>
      </c>
      <c r="C3209" s="1">
        <v>33969</v>
      </c>
      <c r="D3209">
        <v>33</v>
      </c>
      <c r="E3209" s="4" t="s">
        <v>15</v>
      </c>
      <c r="F3209" t="s">
        <v>13</v>
      </c>
      <c r="G3209" s="1">
        <v>45461</v>
      </c>
      <c r="H3209" s="1">
        <f>TablaDatos[[#This Row],[FechaIngreso]]+TablaDatos[[#This Row],[DiasNuevo]]</f>
        <v>45490</v>
      </c>
      <c r="I3209">
        <v>29</v>
      </c>
      <c r="J3209" t="s">
        <v>19</v>
      </c>
      <c r="K3209" s="3">
        <v>12907.32</v>
      </c>
      <c r="L3209" t="b">
        <f>TablaDatos[[#This Row],[FechaAlta]] &lt; TablaDatos[[#This Row],[FechaIngreso]]</f>
        <v>0</v>
      </c>
      <c r="M3209">
        <f>_xlfn.XLOOKUP(TablaDatos[[#This Row],[PacienteID]],'Datos_Ejemplo.csv'!A:A,'Datos_Ejemplo.csv'!I:I)</f>
        <v>29</v>
      </c>
      <c r="N3209">
        <f>ABS(TablaDatos[[#This Row],[DiasOriginal]])</f>
        <v>29</v>
      </c>
      <c r="O3209" s="1">
        <f>TablaDatos[[#This Row],[FechaIngreso]]+TablaDatos[[#This Row],[DiasNuevo]]</f>
        <v>45490</v>
      </c>
    </row>
    <row r="3210" spans="1:15">
      <c r="A3210">
        <v>3209</v>
      </c>
      <c r="B3210" t="s">
        <v>309</v>
      </c>
      <c r="C3210" s="1">
        <f ca="1">DATE(YEAR(TODAY())-TablaDatos[[#This Row],[Edad]],1,1)</f>
        <v>22282</v>
      </c>
      <c r="D3210">
        <v>65</v>
      </c>
      <c r="E3210" s="4" t="s">
        <v>15</v>
      </c>
      <c r="F3210" t="s">
        <v>18</v>
      </c>
      <c r="G3210" s="1">
        <v>45240</v>
      </c>
      <c r="H3210" s="1">
        <f>TablaDatos[[#This Row],[FechaIngreso]]+TablaDatos[[#This Row],[DiasNuevo]]</f>
        <v>45262</v>
      </c>
      <c r="I3210">
        <v>22</v>
      </c>
      <c r="J3210" t="s">
        <v>23</v>
      </c>
      <c r="K3210" s="3">
        <v>12861.26</v>
      </c>
      <c r="L3210" t="b">
        <f>TablaDatos[[#This Row],[FechaAlta]] &lt; TablaDatos[[#This Row],[FechaIngreso]]</f>
        <v>0</v>
      </c>
      <c r="M3210">
        <f>_xlfn.XLOOKUP(TablaDatos[[#This Row],[PacienteID]],'Datos_Ejemplo.csv'!A:A,'Datos_Ejemplo.csv'!I:I)</f>
        <v>22</v>
      </c>
      <c r="N3210">
        <f>ABS(TablaDatos[[#This Row],[DiasOriginal]])</f>
        <v>22</v>
      </c>
      <c r="O3210" s="1">
        <f>TablaDatos[[#This Row],[FechaIngreso]]+TablaDatos[[#This Row],[DiasNuevo]]</f>
        <v>45262</v>
      </c>
    </row>
    <row r="3211" spans="1:15">
      <c r="A3211">
        <v>3210</v>
      </c>
      <c r="B3211" t="s">
        <v>103</v>
      </c>
      <c r="C3211" s="1">
        <v>31778</v>
      </c>
      <c r="D3211">
        <v>39</v>
      </c>
      <c r="E3211" s="4" t="s">
        <v>15</v>
      </c>
      <c r="F3211" t="s">
        <v>18</v>
      </c>
      <c r="G3211" s="1">
        <v>45202</v>
      </c>
      <c r="H3211" s="1">
        <f>TablaDatos[[#This Row],[FechaIngreso]]+TablaDatos[[#This Row],[DiasNuevo]]</f>
        <v>45221</v>
      </c>
      <c r="I3211">
        <v>19</v>
      </c>
      <c r="J3211" t="s">
        <v>23</v>
      </c>
      <c r="K3211" s="3">
        <v>13437.83</v>
      </c>
      <c r="L3211" t="b">
        <f>TablaDatos[[#This Row],[FechaAlta]] &lt; TablaDatos[[#This Row],[FechaIngreso]]</f>
        <v>0</v>
      </c>
      <c r="M3211">
        <f>_xlfn.XLOOKUP(TablaDatos[[#This Row],[PacienteID]],'Datos_Ejemplo.csv'!A:A,'Datos_Ejemplo.csv'!I:I)</f>
        <v>19</v>
      </c>
      <c r="N3211">
        <f>ABS(TablaDatos[[#This Row],[DiasOriginal]])</f>
        <v>19</v>
      </c>
      <c r="O3211" s="1">
        <f>TablaDatos[[#This Row],[FechaIngreso]]+TablaDatos[[#This Row],[DiasNuevo]]</f>
        <v>45221</v>
      </c>
    </row>
    <row r="3212" spans="1:15">
      <c r="A3212">
        <v>3211</v>
      </c>
      <c r="B3212" t="s">
        <v>275</v>
      </c>
      <c r="C3212" s="1">
        <v>36161</v>
      </c>
      <c r="D3212">
        <f ca="1">DATEDIF(TablaDatos[[#This Row],[FechaNacimiento]],TODAY(),"Y")</f>
        <v>27</v>
      </c>
      <c r="E3212" s="4" t="s">
        <v>197</v>
      </c>
      <c r="F3212" t="s">
        <v>21</v>
      </c>
      <c r="G3212" s="1">
        <v>45299</v>
      </c>
      <c r="H3212" s="1">
        <f>TablaDatos[[#This Row],[FechaIngreso]]+TablaDatos[[#This Row],[DiasNuevo]]</f>
        <v>45324</v>
      </c>
      <c r="I3212">
        <v>25</v>
      </c>
      <c r="J3212" t="s">
        <v>25</v>
      </c>
      <c r="K3212" s="3">
        <v>13553.3</v>
      </c>
      <c r="L3212" t="b">
        <f>TablaDatos[[#This Row],[FechaAlta]] &lt; TablaDatos[[#This Row],[FechaIngreso]]</f>
        <v>0</v>
      </c>
      <c r="M3212">
        <f>_xlfn.XLOOKUP(TablaDatos[[#This Row],[PacienteID]],'Datos_Ejemplo.csv'!A:A,'Datos_Ejemplo.csv'!I:I)</f>
        <v>25</v>
      </c>
      <c r="N3212">
        <f>ABS(TablaDatos[[#This Row],[DiasOriginal]])</f>
        <v>25</v>
      </c>
      <c r="O3212" s="1">
        <f>TablaDatos[[#This Row],[FechaIngreso]]+TablaDatos[[#This Row],[DiasNuevo]]</f>
        <v>45324</v>
      </c>
    </row>
    <row r="3213" spans="1:15">
      <c r="A3213">
        <v>3212</v>
      </c>
      <c r="B3213" t="s">
        <v>247</v>
      </c>
      <c r="C3213" s="1">
        <v>29221</v>
      </c>
      <c r="D3213">
        <f ca="1">DATEDIF(TablaDatos[[#This Row],[FechaNacimiento]],TODAY(),"Y")</f>
        <v>46</v>
      </c>
      <c r="E3213" s="4" t="s">
        <v>12</v>
      </c>
      <c r="F3213" t="s">
        <v>18</v>
      </c>
      <c r="G3213" s="1">
        <v>45370</v>
      </c>
      <c r="H3213" s="1">
        <f>TablaDatos[[#This Row],[FechaIngreso]]+TablaDatos[[#This Row],[DiasNuevo]]</f>
        <v>45385</v>
      </c>
      <c r="I3213">
        <v>15</v>
      </c>
      <c r="J3213" t="s">
        <v>25</v>
      </c>
      <c r="K3213" s="3">
        <v>2096.56</v>
      </c>
      <c r="L3213" t="b">
        <f>TablaDatos[[#This Row],[FechaAlta]] &lt; TablaDatos[[#This Row],[FechaIngreso]]</f>
        <v>0</v>
      </c>
      <c r="M3213">
        <f>_xlfn.XLOOKUP(TablaDatos[[#This Row],[PacienteID]],'Datos_Ejemplo.csv'!A:A,'Datos_Ejemplo.csv'!I:I)</f>
        <v>15</v>
      </c>
      <c r="N3213">
        <f>ABS(TablaDatos[[#This Row],[DiasOriginal]])</f>
        <v>15</v>
      </c>
      <c r="O3213" s="1">
        <f>TablaDatos[[#This Row],[FechaIngreso]]+TablaDatos[[#This Row],[DiasNuevo]]</f>
        <v>45385</v>
      </c>
    </row>
    <row r="3214" spans="1:15">
      <c r="A3214">
        <v>3213</v>
      </c>
      <c r="B3214" t="s">
        <v>265</v>
      </c>
      <c r="C3214" s="1">
        <v>32143</v>
      </c>
      <c r="D3214">
        <v>38</v>
      </c>
      <c r="E3214" s="4" t="s">
        <v>15</v>
      </c>
      <c r="F3214" t="s">
        <v>261</v>
      </c>
      <c r="G3214" s="1">
        <v>45574</v>
      </c>
      <c r="H3214" s="1">
        <f>TablaDatos[[#This Row],[FechaIngreso]]+TablaDatos[[#This Row],[DiasNuevo]]</f>
        <v>45578</v>
      </c>
      <c r="I3214">
        <v>4</v>
      </c>
      <c r="J3214" t="s">
        <v>23</v>
      </c>
      <c r="K3214" s="3">
        <v>3753.42</v>
      </c>
      <c r="L3214" t="b">
        <f>TablaDatos[[#This Row],[FechaAlta]] &lt; TablaDatos[[#This Row],[FechaIngreso]]</f>
        <v>0</v>
      </c>
      <c r="M3214">
        <f>_xlfn.XLOOKUP(TablaDatos[[#This Row],[PacienteID]],'Datos_Ejemplo.csv'!A:A,'Datos_Ejemplo.csv'!I:I)</f>
        <v>4</v>
      </c>
      <c r="N3214">
        <f>ABS(TablaDatos[[#This Row],[DiasOriginal]])</f>
        <v>4</v>
      </c>
      <c r="O3214" s="1">
        <f>TablaDatos[[#This Row],[FechaIngreso]]+TablaDatos[[#This Row],[DiasNuevo]]</f>
        <v>45578</v>
      </c>
    </row>
    <row r="3215" spans="1:15">
      <c r="A3215">
        <v>3214</v>
      </c>
      <c r="B3215" t="s">
        <v>252</v>
      </c>
      <c r="C3215" s="1">
        <v>20820</v>
      </c>
      <c r="D3215">
        <v>69</v>
      </c>
      <c r="E3215" s="4" t="s">
        <v>15</v>
      </c>
      <c r="F3215" t="s">
        <v>21</v>
      </c>
      <c r="G3215" s="1">
        <v>45121</v>
      </c>
      <c r="H3215" s="1">
        <f>TablaDatos[[#This Row],[FechaIngreso]]+TablaDatos[[#This Row],[DiasNuevo]]</f>
        <v>45129</v>
      </c>
      <c r="I3215">
        <v>8</v>
      </c>
      <c r="J3215" t="s">
        <v>19</v>
      </c>
      <c r="K3215" s="3">
        <v>12573.87</v>
      </c>
      <c r="L3215" t="b">
        <f>TablaDatos[[#This Row],[FechaAlta]] &lt; TablaDatos[[#This Row],[FechaIngreso]]</f>
        <v>0</v>
      </c>
      <c r="M3215">
        <f>_xlfn.XLOOKUP(TablaDatos[[#This Row],[PacienteID]],'Datos_Ejemplo.csv'!A:A,'Datos_Ejemplo.csv'!I:I)</f>
        <v>8</v>
      </c>
      <c r="N3215">
        <f>ABS(TablaDatos[[#This Row],[DiasOriginal]])</f>
        <v>8</v>
      </c>
      <c r="O3215" s="1">
        <f>TablaDatos[[#This Row],[FechaIngreso]]+TablaDatos[[#This Row],[DiasNuevo]]</f>
        <v>45129</v>
      </c>
    </row>
    <row r="3216" spans="1:15">
      <c r="A3216">
        <v>3215</v>
      </c>
      <c r="B3216" t="s">
        <v>151</v>
      </c>
      <c r="C3216" s="1">
        <v>19724</v>
      </c>
      <c r="D3216">
        <v>72</v>
      </c>
      <c r="E3216" s="4" t="s">
        <v>12</v>
      </c>
      <c r="F3216" t="s">
        <v>201</v>
      </c>
      <c r="G3216" s="1">
        <v>45184</v>
      </c>
      <c r="H3216" s="1">
        <f>TablaDatos[[#This Row],[FechaIngreso]]+TablaDatos[[#This Row],[DiasNuevo]]</f>
        <v>45223</v>
      </c>
      <c r="I3216">
        <v>39</v>
      </c>
      <c r="J3216" t="s">
        <v>19</v>
      </c>
      <c r="K3216" s="3">
        <v>8104.27</v>
      </c>
      <c r="L3216" t="b">
        <f>TablaDatos[[#This Row],[FechaAlta]] &lt; TablaDatos[[#This Row],[FechaIngreso]]</f>
        <v>0</v>
      </c>
      <c r="M3216">
        <f>_xlfn.XLOOKUP(TablaDatos[[#This Row],[PacienteID]],'Datos_Ejemplo.csv'!A:A,'Datos_Ejemplo.csv'!I:I)</f>
        <v>39</v>
      </c>
      <c r="N3216">
        <f>ABS(TablaDatos[[#This Row],[DiasOriginal]])</f>
        <v>39</v>
      </c>
      <c r="O3216" s="1">
        <f>TablaDatos[[#This Row],[FechaIngreso]]+TablaDatos[[#This Row],[DiasNuevo]]</f>
        <v>45223</v>
      </c>
    </row>
    <row r="3217" spans="1:15">
      <c r="A3217">
        <v>3216</v>
      </c>
      <c r="B3217" t="s">
        <v>258</v>
      </c>
      <c r="C3217" s="1">
        <v>39083</v>
      </c>
      <c r="D3217">
        <v>19</v>
      </c>
      <c r="E3217" s="4" t="s">
        <v>15</v>
      </c>
      <c r="F3217" t="s">
        <v>32</v>
      </c>
      <c r="G3217" s="1">
        <v>45508</v>
      </c>
      <c r="H3217" s="1">
        <f>TablaDatos[[#This Row],[FechaIngreso]]+TablaDatos[[#This Row],[DiasNuevo]]</f>
        <v>45516</v>
      </c>
      <c r="I3217">
        <v>8</v>
      </c>
      <c r="J3217" t="s">
        <v>23</v>
      </c>
      <c r="K3217" s="3">
        <v>15233.32</v>
      </c>
      <c r="L3217" t="b">
        <f>TablaDatos[[#This Row],[FechaAlta]] &lt; TablaDatos[[#This Row],[FechaIngreso]]</f>
        <v>0</v>
      </c>
      <c r="M3217">
        <f>_xlfn.XLOOKUP(TablaDatos[[#This Row],[PacienteID]],'Datos_Ejemplo.csv'!A:A,'Datos_Ejemplo.csv'!I:I)</f>
        <v>8</v>
      </c>
      <c r="N3217">
        <f>ABS(TablaDatos[[#This Row],[DiasOriginal]])</f>
        <v>8</v>
      </c>
      <c r="O3217" s="1">
        <f>TablaDatos[[#This Row],[FechaIngreso]]+TablaDatos[[#This Row],[DiasNuevo]]</f>
        <v>45516</v>
      </c>
    </row>
    <row r="3218" spans="1:15">
      <c r="A3218">
        <v>3217</v>
      </c>
      <c r="B3218" t="s">
        <v>267</v>
      </c>
      <c r="C3218" s="1">
        <v>46022</v>
      </c>
      <c r="D3218">
        <v>0</v>
      </c>
      <c r="E3218" s="4" t="s">
        <v>12</v>
      </c>
      <c r="F3218" t="s">
        <v>18</v>
      </c>
      <c r="G3218" s="1">
        <v>45286</v>
      </c>
      <c r="H3218" s="1">
        <f>TablaDatos[[#This Row],[FechaIngreso]]+TablaDatos[[#This Row],[DiasNuevo]]</f>
        <v>45292</v>
      </c>
      <c r="I3218">
        <v>6</v>
      </c>
      <c r="J3218" t="s">
        <v>23</v>
      </c>
      <c r="K3218" s="3">
        <v>2410.6799999999998</v>
      </c>
      <c r="L3218" t="b">
        <f>TablaDatos[[#This Row],[FechaAlta]] &lt; TablaDatos[[#This Row],[FechaIngreso]]</f>
        <v>0</v>
      </c>
      <c r="M3218">
        <f>_xlfn.XLOOKUP(TablaDatos[[#This Row],[PacienteID]],'Datos_Ejemplo.csv'!A:A,'Datos_Ejemplo.csv'!I:I)</f>
        <v>6</v>
      </c>
      <c r="N3218">
        <f>ABS(TablaDatos[[#This Row],[DiasOriginal]])</f>
        <v>6</v>
      </c>
      <c r="O3218" s="1">
        <f>TablaDatos[[#This Row],[FechaIngreso]]+TablaDatos[[#This Row],[DiasNuevo]]</f>
        <v>45292</v>
      </c>
    </row>
    <row r="3219" spans="1:15">
      <c r="A3219">
        <v>3218</v>
      </c>
      <c r="B3219" t="s">
        <v>263</v>
      </c>
      <c r="C3219" s="1">
        <v>20090</v>
      </c>
      <c r="D3219">
        <v>71</v>
      </c>
      <c r="E3219" s="4" t="s">
        <v>12</v>
      </c>
      <c r="F3219" t="s">
        <v>261</v>
      </c>
      <c r="G3219" s="1">
        <v>45474</v>
      </c>
      <c r="H3219" s="1">
        <f>TablaDatos[[#This Row],[FechaIngreso]]+TablaDatos[[#This Row],[DiasNuevo]]</f>
        <v>45506</v>
      </c>
      <c r="I3219">
        <v>32</v>
      </c>
      <c r="J3219" t="s">
        <v>19</v>
      </c>
      <c r="K3219" s="3">
        <v>3749.61</v>
      </c>
      <c r="L3219" t="b">
        <f>TablaDatos[[#This Row],[FechaAlta]] &lt; TablaDatos[[#This Row],[FechaIngreso]]</f>
        <v>0</v>
      </c>
      <c r="M3219">
        <f>_xlfn.XLOOKUP(TablaDatos[[#This Row],[PacienteID]],'Datos_Ejemplo.csv'!A:A,'Datos_Ejemplo.csv'!I:I)</f>
        <v>32</v>
      </c>
      <c r="N3219">
        <f>ABS(TablaDatos[[#This Row],[DiasOriginal]])</f>
        <v>32</v>
      </c>
      <c r="O3219" s="1">
        <f>TablaDatos[[#This Row],[FechaIngreso]]+TablaDatos[[#This Row],[DiasNuevo]]</f>
        <v>45506</v>
      </c>
    </row>
    <row r="3220" spans="1:15">
      <c r="A3220">
        <v>3219</v>
      </c>
      <c r="B3220" t="s">
        <v>328</v>
      </c>
      <c r="C3220" s="1">
        <v>14611</v>
      </c>
      <c r="D3220">
        <v>86</v>
      </c>
      <c r="E3220" s="4" t="s">
        <v>12</v>
      </c>
      <c r="F3220" t="s">
        <v>18</v>
      </c>
      <c r="G3220" s="1">
        <v>45034</v>
      </c>
      <c r="H3220" s="1">
        <f>TablaDatos[[#This Row],[FechaIngreso]]+TablaDatos[[#This Row],[DiasNuevo]]</f>
        <v>45068</v>
      </c>
      <c r="I3220">
        <v>34</v>
      </c>
      <c r="J3220" t="s">
        <v>23</v>
      </c>
      <c r="K3220" s="3">
        <v>11125.14</v>
      </c>
      <c r="L3220" t="b">
        <f>TablaDatos[[#This Row],[FechaAlta]] &lt; TablaDatos[[#This Row],[FechaIngreso]]</f>
        <v>0</v>
      </c>
      <c r="M3220">
        <f>_xlfn.XLOOKUP(TablaDatos[[#This Row],[PacienteID]],'Datos_Ejemplo.csv'!A:A,'Datos_Ejemplo.csv'!I:I)</f>
        <v>34</v>
      </c>
      <c r="N3220">
        <f>ABS(TablaDatos[[#This Row],[DiasOriginal]])</f>
        <v>34</v>
      </c>
      <c r="O3220" s="1">
        <f>TablaDatos[[#This Row],[FechaIngreso]]+TablaDatos[[#This Row],[DiasNuevo]]</f>
        <v>45068</v>
      </c>
    </row>
    <row r="3221" spans="1:15">
      <c r="A3221">
        <v>3220</v>
      </c>
      <c r="B3221" t="s">
        <v>313</v>
      </c>
      <c r="C3221" s="1">
        <v>23377</v>
      </c>
      <c r="D3221">
        <v>62</v>
      </c>
      <c r="E3221" s="4" t="s">
        <v>12</v>
      </c>
      <c r="F3221" t="s">
        <v>18</v>
      </c>
      <c r="G3221" s="1">
        <v>44950</v>
      </c>
      <c r="H3221" s="1">
        <f>TablaDatos[[#This Row],[FechaIngreso]]+TablaDatos[[#This Row],[DiasNuevo]]</f>
        <v>44970</v>
      </c>
      <c r="I3221">
        <v>20</v>
      </c>
      <c r="J3221" t="s">
        <v>25</v>
      </c>
      <c r="K3221" s="3">
        <v>9965.0400000000009</v>
      </c>
      <c r="L3221" t="b">
        <f>TablaDatos[[#This Row],[FechaAlta]] &lt; TablaDatos[[#This Row],[FechaIngreso]]</f>
        <v>0</v>
      </c>
      <c r="M3221">
        <f>_xlfn.XLOOKUP(TablaDatos[[#This Row],[PacienteID]],'Datos_Ejemplo.csv'!A:A,'Datos_Ejemplo.csv'!I:I)</f>
        <v>20</v>
      </c>
      <c r="N3221">
        <f>ABS(TablaDatos[[#This Row],[DiasOriginal]])</f>
        <v>20</v>
      </c>
      <c r="O3221" s="1">
        <f>TablaDatos[[#This Row],[FechaIngreso]]+TablaDatos[[#This Row],[DiasNuevo]]</f>
        <v>44970</v>
      </c>
    </row>
    <row r="3222" spans="1:15">
      <c r="A3222">
        <v>3221</v>
      </c>
      <c r="B3222" t="s">
        <v>297</v>
      </c>
      <c r="C3222" s="1">
        <v>21916</v>
      </c>
      <c r="D3222">
        <v>66</v>
      </c>
      <c r="E3222" s="4" t="s">
        <v>12</v>
      </c>
      <c r="F3222" t="s">
        <v>21</v>
      </c>
      <c r="G3222" s="1">
        <v>45578</v>
      </c>
      <c r="H3222" s="1">
        <f>TablaDatos[[#This Row],[FechaIngreso]]+TablaDatos[[#This Row],[DiasNuevo]]</f>
        <v>45608</v>
      </c>
      <c r="I3222">
        <v>30</v>
      </c>
      <c r="J3222" t="s">
        <v>19</v>
      </c>
      <c r="K3222" s="3">
        <v>5254.58</v>
      </c>
      <c r="L3222" t="b">
        <f>TablaDatos[[#This Row],[FechaAlta]] &lt; TablaDatos[[#This Row],[FechaIngreso]]</f>
        <v>0</v>
      </c>
      <c r="M3222">
        <f>_xlfn.XLOOKUP(TablaDatos[[#This Row],[PacienteID]],'Datos_Ejemplo.csv'!A:A,'Datos_Ejemplo.csv'!I:I)</f>
        <v>30</v>
      </c>
      <c r="N3222">
        <f>ABS(TablaDatos[[#This Row],[DiasOriginal]])</f>
        <v>30</v>
      </c>
      <c r="O3222" s="1">
        <f>TablaDatos[[#This Row],[FechaIngreso]]+TablaDatos[[#This Row],[DiasNuevo]]</f>
        <v>45608</v>
      </c>
    </row>
    <row r="3223" spans="1:15">
      <c r="A3223">
        <v>3222</v>
      </c>
      <c r="B3223" t="s">
        <v>161</v>
      </c>
      <c r="C3223" s="1">
        <v>44927</v>
      </c>
      <c r="D3223">
        <v>3</v>
      </c>
      <c r="E3223" s="4" t="s">
        <v>12</v>
      </c>
      <c r="F3223" t="s">
        <v>201</v>
      </c>
      <c r="G3223" s="1">
        <v>45391</v>
      </c>
      <c r="H3223" s="1">
        <f>TablaDatos[[#This Row],[FechaIngreso]]+TablaDatos[[#This Row],[DiasNuevo]]</f>
        <v>45393</v>
      </c>
      <c r="I3223">
        <v>2</v>
      </c>
      <c r="J3223" t="s">
        <v>19</v>
      </c>
      <c r="K3223" s="3">
        <v>8107.7</v>
      </c>
      <c r="L3223" t="b">
        <f>TablaDatos[[#This Row],[FechaAlta]] &lt; TablaDatos[[#This Row],[FechaIngreso]]</f>
        <v>0</v>
      </c>
      <c r="M3223">
        <f>_xlfn.XLOOKUP(TablaDatos[[#This Row],[PacienteID]],'Datos_Ejemplo.csv'!A:A,'Datos_Ejemplo.csv'!I:I)</f>
        <v>-2</v>
      </c>
      <c r="N3223">
        <f>ABS(TablaDatos[[#This Row],[DiasOriginal]])</f>
        <v>2</v>
      </c>
      <c r="O3223" s="1">
        <f>TablaDatos[[#This Row],[FechaIngreso]]+TablaDatos[[#This Row],[DiasNuevo]]</f>
        <v>45393</v>
      </c>
    </row>
    <row r="3224" spans="1:15">
      <c r="A3224">
        <v>3223</v>
      </c>
      <c r="B3224" t="s">
        <v>259</v>
      </c>
      <c r="C3224" s="1">
        <v>25203</v>
      </c>
      <c r="D3224">
        <v>57</v>
      </c>
      <c r="E3224" s="4" t="s">
        <v>12</v>
      </c>
      <c r="F3224" t="s">
        <v>201</v>
      </c>
      <c r="G3224" s="1">
        <v>44948</v>
      </c>
      <c r="H3224" s="1">
        <f>TablaDatos[[#This Row],[FechaIngreso]]+TablaDatos[[#This Row],[DiasNuevo]]</f>
        <v>44965</v>
      </c>
      <c r="I3224">
        <v>17</v>
      </c>
      <c r="J3224" t="s">
        <v>25</v>
      </c>
      <c r="K3224" s="3">
        <v>603.12</v>
      </c>
      <c r="L3224" t="b">
        <f>TablaDatos[[#This Row],[FechaAlta]] &lt; TablaDatos[[#This Row],[FechaIngreso]]</f>
        <v>0</v>
      </c>
      <c r="M3224">
        <f>_xlfn.XLOOKUP(TablaDatos[[#This Row],[PacienteID]],'Datos_Ejemplo.csv'!A:A,'Datos_Ejemplo.csv'!I:I)</f>
        <v>17</v>
      </c>
      <c r="N3224">
        <f>ABS(TablaDatos[[#This Row],[DiasOriginal]])</f>
        <v>17</v>
      </c>
      <c r="O3224" s="1">
        <f>TablaDatos[[#This Row],[FechaIngreso]]+TablaDatos[[#This Row],[DiasNuevo]]</f>
        <v>44965</v>
      </c>
    </row>
    <row r="3225" spans="1:15">
      <c r="A3225">
        <v>3224</v>
      </c>
      <c r="B3225" t="s">
        <v>280</v>
      </c>
      <c r="C3225" s="1">
        <v>37256</v>
      </c>
      <c r="D3225">
        <v>24</v>
      </c>
      <c r="E3225" s="4" t="s">
        <v>12</v>
      </c>
      <c r="F3225" t="s">
        <v>21</v>
      </c>
      <c r="G3225" s="1">
        <v>45428</v>
      </c>
      <c r="H3225" s="1">
        <f>TablaDatos[[#This Row],[FechaIngreso]]+TablaDatos[[#This Row],[DiasNuevo]]</f>
        <v>45430</v>
      </c>
      <c r="I3225">
        <v>2</v>
      </c>
      <c r="J3225" t="s">
        <v>19</v>
      </c>
      <c r="K3225" s="3">
        <v>644.47</v>
      </c>
      <c r="L3225" t="b">
        <f>TablaDatos[[#This Row],[FechaAlta]] &lt; TablaDatos[[#This Row],[FechaIngreso]]</f>
        <v>0</v>
      </c>
      <c r="M3225">
        <f>_xlfn.XLOOKUP(TablaDatos[[#This Row],[PacienteID]],'Datos_Ejemplo.csv'!A:A,'Datos_Ejemplo.csv'!I:I)</f>
        <v>2</v>
      </c>
      <c r="N3225">
        <f>ABS(TablaDatos[[#This Row],[DiasOriginal]])</f>
        <v>2</v>
      </c>
      <c r="O3225" s="1">
        <f>TablaDatos[[#This Row],[FechaIngreso]]+TablaDatos[[#This Row],[DiasNuevo]]</f>
        <v>45430</v>
      </c>
    </row>
    <row r="3226" spans="1:15">
      <c r="A3226">
        <v>3225</v>
      </c>
      <c r="B3226" t="s">
        <v>257</v>
      </c>
      <c r="C3226" s="1">
        <v>29221</v>
      </c>
      <c r="D3226">
        <v>46</v>
      </c>
      <c r="E3226" s="4" t="s">
        <v>15</v>
      </c>
      <c r="F3226" t="s">
        <v>295</v>
      </c>
      <c r="G3226" s="1">
        <v>45642</v>
      </c>
      <c r="H3226" s="1">
        <f>TablaDatos[[#This Row],[FechaIngreso]]+TablaDatos[[#This Row],[DiasNuevo]]</f>
        <v>45668</v>
      </c>
      <c r="I3226">
        <v>26</v>
      </c>
      <c r="J3226" t="s">
        <v>25</v>
      </c>
      <c r="K3226" s="3">
        <v>1808.03</v>
      </c>
      <c r="L3226" t="b">
        <f>TablaDatos[[#This Row],[FechaAlta]] &lt; TablaDatos[[#This Row],[FechaIngreso]]</f>
        <v>0</v>
      </c>
      <c r="M3226">
        <f>_xlfn.XLOOKUP(TablaDatos[[#This Row],[PacienteID]],'Datos_Ejemplo.csv'!A:A,'Datos_Ejemplo.csv'!I:I)</f>
        <v>26</v>
      </c>
      <c r="N3226">
        <f>ABS(TablaDatos[[#This Row],[DiasOriginal]])</f>
        <v>26</v>
      </c>
      <c r="O3226" s="1">
        <f>TablaDatos[[#This Row],[FechaIngreso]]+TablaDatos[[#This Row],[DiasNuevo]]</f>
        <v>45668</v>
      </c>
    </row>
    <row r="3227" spans="1:15">
      <c r="A3227">
        <v>3226</v>
      </c>
      <c r="B3227" t="s">
        <v>247</v>
      </c>
      <c r="C3227" s="1">
        <v>32508</v>
      </c>
      <c r="D3227">
        <v>37</v>
      </c>
      <c r="E3227" s="4" t="s">
        <v>15</v>
      </c>
      <c r="F3227" t="s">
        <v>21</v>
      </c>
      <c r="G3227" s="1">
        <v>45427</v>
      </c>
      <c r="H3227" s="1">
        <f>TablaDatos[[#This Row],[FechaIngreso]]+TablaDatos[[#This Row],[DiasNuevo]]</f>
        <v>45450</v>
      </c>
      <c r="I3227">
        <v>23</v>
      </c>
      <c r="J3227" t="s">
        <v>25</v>
      </c>
      <c r="K3227" s="3">
        <v>11493.53</v>
      </c>
      <c r="L3227" t="b">
        <f>TablaDatos[[#This Row],[FechaAlta]] &lt; TablaDatos[[#This Row],[FechaIngreso]]</f>
        <v>0</v>
      </c>
      <c r="M3227">
        <f>_xlfn.XLOOKUP(TablaDatos[[#This Row],[PacienteID]],'Datos_Ejemplo.csv'!A:A,'Datos_Ejemplo.csv'!I:I)</f>
        <v>23</v>
      </c>
      <c r="N3227">
        <f>ABS(TablaDatos[[#This Row],[DiasOriginal]])</f>
        <v>23</v>
      </c>
      <c r="O3227" s="1">
        <f>TablaDatos[[#This Row],[FechaIngreso]]+TablaDatos[[#This Row],[DiasNuevo]]</f>
        <v>45450</v>
      </c>
    </row>
    <row r="3228" spans="1:15">
      <c r="A3228">
        <v>3227</v>
      </c>
      <c r="B3228" t="s">
        <v>264</v>
      </c>
      <c r="C3228" s="1">
        <v>40909</v>
      </c>
      <c r="D3228">
        <v>14</v>
      </c>
      <c r="E3228" s="4" t="s">
        <v>15</v>
      </c>
      <c r="F3228" t="s">
        <v>21</v>
      </c>
      <c r="G3228" s="1">
        <v>45519</v>
      </c>
      <c r="H3228" s="1">
        <f>TablaDatos[[#This Row],[FechaIngreso]]+TablaDatos[[#This Row],[DiasNuevo]]</f>
        <v>45554</v>
      </c>
      <c r="I3228">
        <v>35</v>
      </c>
      <c r="J3228" t="s">
        <v>23</v>
      </c>
      <c r="K3228" s="3">
        <v>17260.7</v>
      </c>
      <c r="L3228" t="b">
        <f>TablaDatos[[#This Row],[FechaAlta]] &lt; TablaDatos[[#This Row],[FechaIngreso]]</f>
        <v>0</v>
      </c>
      <c r="M3228">
        <f>_xlfn.XLOOKUP(TablaDatos[[#This Row],[PacienteID]],'Datos_Ejemplo.csv'!A:A,'Datos_Ejemplo.csv'!I:I)</f>
        <v>35</v>
      </c>
      <c r="N3228">
        <f>ABS(TablaDatos[[#This Row],[DiasOriginal]])</f>
        <v>35</v>
      </c>
      <c r="O3228" s="1">
        <f>TablaDatos[[#This Row],[FechaIngreso]]+TablaDatos[[#This Row],[DiasNuevo]]</f>
        <v>45554</v>
      </c>
    </row>
    <row r="3229" spans="1:15">
      <c r="A3229">
        <v>3228</v>
      </c>
      <c r="B3229" t="s">
        <v>362</v>
      </c>
      <c r="C3229" s="1">
        <v>23377</v>
      </c>
      <c r="D3229">
        <v>62</v>
      </c>
      <c r="E3229" s="4" t="s">
        <v>12</v>
      </c>
      <c r="F3229" t="s">
        <v>13</v>
      </c>
      <c r="G3229" s="1">
        <v>45333</v>
      </c>
      <c r="H3229" s="1">
        <f>TablaDatos[[#This Row],[FechaIngreso]]+TablaDatos[[#This Row],[DiasNuevo]]</f>
        <v>45333</v>
      </c>
      <c r="I3229">
        <v>0</v>
      </c>
      <c r="J3229" t="s">
        <v>23</v>
      </c>
      <c r="K3229" s="3">
        <v>5130.49</v>
      </c>
      <c r="L3229" t="b">
        <f>TablaDatos[[#This Row],[FechaAlta]] &lt; TablaDatos[[#This Row],[FechaIngreso]]</f>
        <v>0</v>
      </c>
      <c r="M3229">
        <f>_xlfn.XLOOKUP(TablaDatos[[#This Row],[PacienteID]],'Datos_Ejemplo.csv'!A:A,'Datos_Ejemplo.csv'!I:I)</f>
        <v>0</v>
      </c>
      <c r="N3229">
        <f>ABS(TablaDatos[[#This Row],[DiasOriginal]])</f>
        <v>0</v>
      </c>
      <c r="O3229" s="1">
        <f>TablaDatos[[#This Row],[FechaIngreso]]+TablaDatos[[#This Row],[DiasNuevo]]</f>
        <v>45333</v>
      </c>
    </row>
    <row r="3230" spans="1:15">
      <c r="A3230">
        <v>3229</v>
      </c>
      <c r="B3230" t="s">
        <v>232</v>
      </c>
      <c r="C3230" s="1">
        <v>38717</v>
      </c>
      <c r="D3230">
        <v>20</v>
      </c>
      <c r="E3230" s="4" t="s">
        <v>12</v>
      </c>
      <c r="F3230" t="s">
        <v>18</v>
      </c>
      <c r="G3230" s="1">
        <v>45256</v>
      </c>
      <c r="H3230" s="1">
        <f>TablaDatos[[#This Row],[FechaIngreso]]+TablaDatos[[#This Row],[DiasNuevo]]</f>
        <v>45274</v>
      </c>
      <c r="I3230">
        <v>18</v>
      </c>
      <c r="J3230" t="s">
        <v>23</v>
      </c>
      <c r="K3230" s="3">
        <v>582.19000000000005</v>
      </c>
      <c r="L3230" t="b">
        <f>TablaDatos[[#This Row],[FechaAlta]] &lt; TablaDatos[[#This Row],[FechaIngreso]]</f>
        <v>0</v>
      </c>
      <c r="M3230">
        <f>_xlfn.XLOOKUP(TablaDatos[[#This Row],[PacienteID]],'Datos_Ejemplo.csv'!A:A,'Datos_Ejemplo.csv'!I:I)</f>
        <v>18</v>
      </c>
      <c r="N3230">
        <f>ABS(TablaDatos[[#This Row],[DiasOriginal]])</f>
        <v>18</v>
      </c>
      <c r="O3230" s="1">
        <f>TablaDatos[[#This Row],[FechaIngreso]]+TablaDatos[[#This Row],[DiasNuevo]]</f>
        <v>45274</v>
      </c>
    </row>
    <row r="3231" spans="1:15">
      <c r="A3231">
        <v>3230</v>
      </c>
      <c r="B3231" t="s">
        <v>345</v>
      </c>
      <c r="C3231" s="1">
        <v>25568</v>
      </c>
      <c r="D3231">
        <v>56</v>
      </c>
      <c r="E3231" s="4" t="s">
        <v>15</v>
      </c>
      <c r="F3231" t="s">
        <v>21</v>
      </c>
      <c r="G3231" s="1">
        <v>45629</v>
      </c>
      <c r="H3231" s="1">
        <f>TablaDatos[[#This Row],[FechaIngreso]]+TablaDatos[[#This Row],[DiasNuevo]]</f>
        <v>45639</v>
      </c>
      <c r="I3231">
        <v>10</v>
      </c>
      <c r="J3231" t="s">
        <v>25</v>
      </c>
      <c r="K3231" s="3">
        <v>14143.4</v>
      </c>
      <c r="L3231" t="b">
        <f>TablaDatos[[#This Row],[FechaAlta]] &lt; TablaDatos[[#This Row],[FechaIngreso]]</f>
        <v>0</v>
      </c>
      <c r="M3231">
        <f>_xlfn.XLOOKUP(TablaDatos[[#This Row],[PacienteID]],'Datos_Ejemplo.csv'!A:A,'Datos_Ejemplo.csv'!I:I)</f>
        <v>10</v>
      </c>
      <c r="N3231">
        <f>ABS(TablaDatos[[#This Row],[DiasOriginal]])</f>
        <v>10</v>
      </c>
      <c r="O3231" s="1">
        <f>TablaDatos[[#This Row],[FechaIngreso]]+TablaDatos[[#This Row],[DiasNuevo]]</f>
        <v>45639</v>
      </c>
    </row>
    <row r="3232" spans="1:15">
      <c r="A3232">
        <v>3231</v>
      </c>
      <c r="B3232" t="s">
        <v>284</v>
      </c>
      <c r="C3232" s="1">
        <v>27029</v>
      </c>
      <c r="D3232">
        <v>52</v>
      </c>
      <c r="E3232" s="4" t="s">
        <v>15</v>
      </c>
      <c r="F3232" t="s">
        <v>18</v>
      </c>
      <c r="G3232" s="1">
        <v>45212</v>
      </c>
      <c r="H3232" s="1">
        <f>TablaDatos[[#This Row],[FechaIngreso]]+TablaDatos[[#This Row],[DiasNuevo]]</f>
        <v>45240</v>
      </c>
      <c r="I3232">
        <v>28</v>
      </c>
      <c r="J3232" t="s">
        <v>23</v>
      </c>
      <c r="K3232" s="3">
        <v>17092.580000000002</v>
      </c>
      <c r="L3232" t="b">
        <f>TablaDatos[[#This Row],[FechaAlta]] &lt; TablaDatos[[#This Row],[FechaIngreso]]</f>
        <v>0</v>
      </c>
      <c r="M3232">
        <f>_xlfn.XLOOKUP(TablaDatos[[#This Row],[PacienteID]],'Datos_Ejemplo.csv'!A:A,'Datos_Ejemplo.csv'!I:I)</f>
        <v>28</v>
      </c>
      <c r="N3232">
        <f>ABS(TablaDatos[[#This Row],[DiasOriginal]])</f>
        <v>28</v>
      </c>
      <c r="O3232" s="1">
        <f>TablaDatos[[#This Row],[FechaIngreso]]+TablaDatos[[#This Row],[DiasNuevo]]</f>
        <v>45240</v>
      </c>
    </row>
    <row r="3233" spans="1:15">
      <c r="A3233">
        <v>3232</v>
      </c>
      <c r="B3233" t="s">
        <v>234</v>
      </c>
      <c r="C3233" s="1">
        <f ca="1">DATE(YEAR(TODAY())-TablaDatos[[#This Row],[Edad]],1,1)</f>
        <v>0</v>
      </c>
      <c r="D3233">
        <f ca="1">DATEDIF(TablaDatos[[#This Row],[FechaNacimiento]],TODAY(),"Y")</f>
        <v>126</v>
      </c>
      <c r="E3233" s="4" t="s">
        <v>15</v>
      </c>
      <c r="F3233" t="s">
        <v>18</v>
      </c>
      <c r="G3233" s="1">
        <v>45073</v>
      </c>
      <c r="H3233" s="1">
        <f>TablaDatos[[#This Row],[FechaIngreso]]+TablaDatos[[#This Row],[DiasNuevo]]</f>
        <v>45087</v>
      </c>
      <c r="I3233">
        <v>14</v>
      </c>
      <c r="J3233" t="s">
        <v>25</v>
      </c>
      <c r="K3233" s="3">
        <v>2677.27</v>
      </c>
      <c r="L3233" t="b">
        <f>TablaDatos[[#This Row],[FechaAlta]] &lt; TablaDatos[[#This Row],[FechaIngreso]]</f>
        <v>0</v>
      </c>
      <c r="M3233">
        <f>_xlfn.XLOOKUP(TablaDatos[[#This Row],[PacienteID]],'Datos_Ejemplo.csv'!A:A,'Datos_Ejemplo.csv'!I:I)</f>
        <v>14</v>
      </c>
      <c r="N3233">
        <f>ABS(TablaDatos[[#This Row],[DiasOriginal]])</f>
        <v>14</v>
      </c>
      <c r="O3233" s="1">
        <f>TablaDatos[[#This Row],[FechaIngreso]]+TablaDatos[[#This Row],[DiasNuevo]]</f>
        <v>45087</v>
      </c>
    </row>
    <row r="3234" spans="1:15">
      <c r="A3234">
        <v>3233</v>
      </c>
      <c r="B3234" t="s">
        <v>330</v>
      </c>
      <c r="C3234" s="1">
        <v>41274</v>
      </c>
      <c r="D3234">
        <v>13</v>
      </c>
      <c r="E3234" s="4" t="s">
        <v>12</v>
      </c>
      <c r="F3234" t="s">
        <v>13</v>
      </c>
      <c r="G3234" s="1">
        <v>45310</v>
      </c>
      <c r="H3234" s="1">
        <f>TablaDatos[[#This Row],[FechaIngreso]]+TablaDatos[[#This Row],[DiasNuevo]]</f>
        <v>45342</v>
      </c>
      <c r="I3234">
        <v>32</v>
      </c>
      <c r="J3234" t="s">
        <v>23</v>
      </c>
      <c r="K3234" s="3">
        <v>7653.53</v>
      </c>
      <c r="L3234" t="b">
        <f>TablaDatos[[#This Row],[FechaAlta]] &lt; TablaDatos[[#This Row],[FechaIngreso]]</f>
        <v>0</v>
      </c>
      <c r="M3234">
        <f>_xlfn.XLOOKUP(TablaDatos[[#This Row],[PacienteID]],'Datos_Ejemplo.csv'!A:A,'Datos_Ejemplo.csv'!I:I)</f>
        <v>32</v>
      </c>
      <c r="N3234">
        <f>ABS(TablaDatos[[#This Row],[DiasOriginal]])</f>
        <v>32</v>
      </c>
      <c r="O3234" s="1">
        <f>TablaDatos[[#This Row],[FechaIngreso]]+TablaDatos[[#This Row],[DiasNuevo]]</f>
        <v>45342</v>
      </c>
    </row>
    <row r="3235" spans="1:15">
      <c r="A3235">
        <v>3234</v>
      </c>
      <c r="B3235" t="s">
        <v>51</v>
      </c>
      <c r="C3235" s="1">
        <v>18629</v>
      </c>
      <c r="D3235">
        <v>75</v>
      </c>
      <c r="E3235" s="4" t="s">
        <v>12</v>
      </c>
      <c r="F3235" t="s">
        <v>18</v>
      </c>
      <c r="G3235" s="1">
        <v>44937</v>
      </c>
      <c r="H3235" s="1">
        <f>TablaDatos[[#This Row],[FechaIngreso]]+TablaDatos[[#This Row],[DiasNuevo]]</f>
        <v>44957</v>
      </c>
      <c r="I3235">
        <v>20</v>
      </c>
      <c r="J3235" t="s">
        <v>23</v>
      </c>
      <c r="K3235" s="3">
        <v>3090.61</v>
      </c>
      <c r="L3235" t="b">
        <f>TablaDatos[[#This Row],[FechaAlta]] &lt; TablaDatos[[#This Row],[FechaIngreso]]</f>
        <v>0</v>
      </c>
      <c r="M3235">
        <f>_xlfn.XLOOKUP(TablaDatos[[#This Row],[PacienteID]],'Datos_Ejemplo.csv'!A:A,'Datos_Ejemplo.csv'!I:I)</f>
        <v>20</v>
      </c>
      <c r="N3235">
        <f>ABS(TablaDatos[[#This Row],[DiasOriginal]])</f>
        <v>20</v>
      </c>
      <c r="O3235" s="1">
        <f>TablaDatos[[#This Row],[FechaIngreso]]+TablaDatos[[#This Row],[DiasNuevo]]</f>
        <v>44957</v>
      </c>
    </row>
    <row r="3236" spans="1:15">
      <c r="A3236">
        <v>3235</v>
      </c>
      <c r="B3236" t="s">
        <v>130</v>
      </c>
      <c r="C3236" s="1">
        <v>40178</v>
      </c>
      <c r="D3236">
        <v>16</v>
      </c>
      <c r="E3236" s="4" t="s">
        <v>12</v>
      </c>
      <c r="F3236" t="s">
        <v>261</v>
      </c>
      <c r="G3236" s="1">
        <v>45202</v>
      </c>
      <c r="H3236" s="1">
        <f>TablaDatos[[#This Row],[FechaIngreso]]+TablaDatos[[#This Row],[DiasNuevo]]</f>
        <v>45202</v>
      </c>
      <c r="I3236">
        <v>0</v>
      </c>
      <c r="J3236" t="s">
        <v>23</v>
      </c>
      <c r="K3236" s="3">
        <v>2037.78</v>
      </c>
      <c r="L3236" t="b">
        <f>TablaDatos[[#This Row],[FechaAlta]] &lt; TablaDatos[[#This Row],[FechaIngreso]]</f>
        <v>0</v>
      </c>
      <c r="M3236">
        <f>_xlfn.XLOOKUP(TablaDatos[[#This Row],[PacienteID]],'Datos_Ejemplo.csv'!A:A,'Datos_Ejemplo.csv'!I:I)</f>
        <v>0</v>
      </c>
      <c r="N3236">
        <f>ABS(TablaDatos[[#This Row],[DiasOriginal]])</f>
        <v>0</v>
      </c>
      <c r="O3236" s="1">
        <f>TablaDatos[[#This Row],[FechaIngreso]]+TablaDatos[[#This Row],[DiasNuevo]]</f>
        <v>45202</v>
      </c>
    </row>
    <row r="3237" spans="1:15">
      <c r="A3237">
        <v>3236</v>
      </c>
      <c r="B3237" t="s">
        <v>353</v>
      </c>
      <c r="C3237" s="1">
        <v>32143</v>
      </c>
      <c r="D3237">
        <v>38</v>
      </c>
      <c r="E3237" s="4" t="s">
        <v>15</v>
      </c>
      <c r="F3237" t="s">
        <v>21</v>
      </c>
      <c r="G3237" s="1">
        <v>45494</v>
      </c>
      <c r="H3237" s="1">
        <f>TablaDatos[[#This Row],[FechaIngreso]]+TablaDatos[[#This Row],[DiasNuevo]]</f>
        <v>45495</v>
      </c>
      <c r="I3237">
        <v>1</v>
      </c>
      <c r="J3237" t="s">
        <v>23</v>
      </c>
      <c r="K3237" s="3">
        <v>12928.19</v>
      </c>
      <c r="L3237" t="b">
        <f>TablaDatos[[#This Row],[FechaAlta]] &lt; TablaDatos[[#This Row],[FechaIngreso]]</f>
        <v>0</v>
      </c>
      <c r="M3237">
        <f>_xlfn.XLOOKUP(TablaDatos[[#This Row],[PacienteID]],'Datos_Ejemplo.csv'!A:A,'Datos_Ejemplo.csv'!I:I)</f>
        <v>-1</v>
      </c>
      <c r="N3237">
        <f>ABS(TablaDatos[[#This Row],[DiasOriginal]])</f>
        <v>1</v>
      </c>
      <c r="O3237" s="1">
        <f>TablaDatos[[#This Row],[FechaIngreso]]+TablaDatos[[#This Row],[DiasNuevo]]</f>
        <v>45495</v>
      </c>
    </row>
    <row r="3238" spans="1:15">
      <c r="A3238">
        <v>3237</v>
      </c>
      <c r="B3238" t="s">
        <v>298</v>
      </c>
      <c r="C3238" s="1">
        <v>43100</v>
      </c>
      <c r="D3238">
        <v>8</v>
      </c>
      <c r="E3238" s="4" t="s">
        <v>12</v>
      </c>
      <c r="F3238" t="s">
        <v>18</v>
      </c>
      <c r="G3238" s="1">
        <v>45611</v>
      </c>
      <c r="H3238" s="1">
        <f>TablaDatos[[#This Row],[FechaIngreso]]+TablaDatos[[#This Row],[DiasNuevo]]</f>
        <v>45611</v>
      </c>
      <c r="I3238">
        <v>0</v>
      </c>
      <c r="J3238" t="s">
        <v>23</v>
      </c>
      <c r="K3238" s="3">
        <v>19347.48</v>
      </c>
      <c r="L3238" t="b">
        <f>TablaDatos[[#This Row],[FechaAlta]] &lt; TablaDatos[[#This Row],[FechaIngreso]]</f>
        <v>0</v>
      </c>
      <c r="M3238">
        <f>_xlfn.XLOOKUP(TablaDatos[[#This Row],[PacienteID]],'Datos_Ejemplo.csv'!A:A,'Datos_Ejemplo.csv'!I:I)</f>
        <v>0</v>
      </c>
      <c r="N3238">
        <f>ABS(TablaDatos[[#This Row],[DiasOriginal]])</f>
        <v>0</v>
      </c>
      <c r="O3238" s="1">
        <f>TablaDatos[[#This Row],[FechaIngreso]]+TablaDatos[[#This Row],[DiasNuevo]]</f>
        <v>45611</v>
      </c>
    </row>
    <row r="3239" spans="1:15">
      <c r="A3239">
        <v>3238</v>
      </c>
      <c r="B3239" t="s">
        <v>251</v>
      </c>
      <c r="C3239" s="1">
        <v>18263</v>
      </c>
      <c r="D3239">
        <v>76</v>
      </c>
      <c r="E3239" s="4" t="s">
        <v>15</v>
      </c>
      <c r="F3239" t="s">
        <v>295</v>
      </c>
      <c r="G3239" s="1">
        <v>45229</v>
      </c>
      <c r="H3239" s="1">
        <f>TablaDatos[[#This Row],[FechaIngreso]]+TablaDatos[[#This Row],[DiasNuevo]]</f>
        <v>45246</v>
      </c>
      <c r="I3239">
        <v>17</v>
      </c>
      <c r="J3239" t="s">
        <v>23</v>
      </c>
      <c r="K3239" s="3">
        <v>13531.13</v>
      </c>
      <c r="L3239" t="b">
        <f>TablaDatos[[#This Row],[FechaAlta]] &lt; TablaDatos[[#This Row],[FechaIngreso]]</f>
        <v>0</v>
      </c>
      <c r="M3239">
        <f>_xlfn.XLOOKUP(TablaDatos[[#This Row],[PacienteID]],'Datos_Ejemplo.csv'!A:A,'Datos_Ejemplo.csv'!I:I)</f>
        <v>17</v>
      </c>
      <c r="N3239">
        <f>ABS(TablaDatos[[#This Row],[DiasOriginal]])</f>
        <v>17</v>
      </c>
      <c r="O3239" s="1">
        <f>TablaDatos[[#This Row],[FechaIngreso]]+TablaDatos[[#This Row],[DiasNuevo]]</f>
        <v>45246</v>
      </c>
    </row>
    <row r="3240" spans="1:15">
      <c r="A3240">
        <v>3239</v>
      </c>
      <c r="B3240" t="s">
        <v>347</v>
      </c>
      <c r="C3240" s="1">
        <v>17533</v>
      </c>
      <c r="D3240">
        <v>78</v>
      </c>
      <c r="E3240" s="4" t="s">
        <v>12</v>
      </c>
      <c r="F3240" t="s">
        <v>295</v>
      </c>
      <c r="G3240" s="1">
        <v>45130</v>
      </c>
      <c r="H3240" s="1">
        <f>TablaDatos[[#This Row],[FechaIngreso]]+TablaDatos[[#This Row],[DiasNuevo]]</f>
        <v>45136</v>
      </c>
      <c r="I3240">
        <v>6</v>
      </c>
      <c r="J3240" t="s">
        <v>23</v>
      </c>
      <c r="K3240" s="3">
        <v>19694.77</v>
      </c>
      <c r="L3240" t="b">
        <f>TablaDatos[[#This Row],[FechaAlta]] &lt; TablaDatos[[#This Row],[FechaIngreso]]</f>
        <v>0</v>
      </c>
      <c r="M3240">
        <f>_xlfn.XLOOKUP(TablaDatos[[#This Row],[PacienteID]],'Datos_Ejemplo.csv'!A:A,'Datos_Ejemplo.csv'!I:I)</f>
        <v>6</v>
      </c>
      <c r="N3240">
        <f>ABS(TablaDatos[[#This Row],[DiasOriginal]])</f>
        <v>6</v>
      </c>
      <c r="O3240" s="1">
        <f>TablaDatos[[#This Row],[FechaIngreso]]+TablaDatos[[#This Row],[DiasNuevo]]</f>
        <v>45136</v>
      </c>
    </row>
    <row r="3241" spans="1:15">
      <c r="A3241">
        <v>3240</v>
      </c>
      <c r="B3241" t="s">
        <v>51</v>
      </c>
      <c r="C3241" s="1">
        <v>16437</v>
      </c>
      <c r="D3241">
        <v>81</v>
      </c>
      <c r="E3241" s="4" t="s">
        <v>15</v>
      </c>
      <c r="F3241" t="s">
        <v>13</v>
      </c>
      <c r="G3241" s="1">
        <v>45271</v>
      </c>
      <c r="H3241" s="1">
        <f>TablaDatos[[#This Row],[FechaIngreso]]+TablaDatos[[#This Row],[DiasNuevo]]</f>
        <v>45272</v>
      </c>
      <c r="I3241">
        <v>1</v>
      </c>
      <c r="J3241" t="s">
        <v>19</v>
      </c>
      <c r="K3241" s="3">
        <v>8631.35</v>
      </c>
      <c r="L3241" t="b">
        <f>TablaDatos[[#This Row],[FechaAlta]] &lt; TablaDatos[[#This Row],[FechaIngreso]]</f>
        <v>0</v>
      </c>
      <c r="M3241">
        <f>_xlfn.XLOOKUP(TablaDatos[[#This Row],[PacienteID]],'Datos_Ejemplo.csv'!A:A,'Datos_Ejemplo.csv'!I:I)</f>
        <v>1</v>
      </c>
      <c r="N3241">
        <f>ABS(TablaDatos[[#This Row],[DiasOriginal]])</f>
        <v>1</v>
      </c>
      <c r="O3241" s="1">
        <f>TablaDatos[[#This Row],[FechaIngreso]]+TablaDatos[[#This Row],[DiasNuevo]]</f>
        <v>45272</v>
      </c>
    </row>
    <row r="3242" spans="1:15">
      <c r="A3242">
        <v>3241</v>
      </c>
      <c r="B3242" t="s">
        <v>254</v>
      </c>
      <c r="C3242" s="1">
        <v>44196</v>
      </c>
      <c r="D3242">
        <v>5</v>
      </c>
      <c r="E3242" s="4" t="s">
        <v>12</v>
      </c>
      <c r="F3242" t="s">
        <v>261</v>
      </c>
      <c r="G3242" s="1">
        <v>45192</v>
      </c>
      <c r="H3242" s="1">
        <f>TablaDatos[[#This Row],[FechaIngreso]]+TablaDatos[[#This Row],[DiasNuevo]]</f>
        <v>45214</v>
      </c>
      <c r="I3242">
        <v>22</v>
      </c>
      <c r="J3242" t="s">
        <v>25</v>
      </c>
      <c r="K3242" s="3">
        <v>17947.18</v>
      </c>
      <c r="L3242" t="b">
        <f>TablaDatos[[#This Row],[FechaAlta]] &lt; TablaDatos[[#This Row],[FechaIngreso]]</f>
        <v>0</v>
      </c>
      <c r="M3242">
        <f>_xlfn.XLOOKUP(TablaDatos[[#This Row],[PacienteID]],'Datos_Ejemplo.csv'!A:A,'Datos_Ejemplo.csv'!I:I)</f>
        <v>22</v>
      </c>
      <c r="N3242">
        <f>ABS(TablaDatos[[#This Row],[DiasOriginal]])</f>
        <v>22</v>
      </c>
      <c r="O3242" s="1">
        <f>TablaDatos[[#This Row],[FechaIngreso]]+TablaDatos[[#This Row],[DiasNuevo]]</f>
        <v>45214</v>
      </c>
    </row>
    <row r="3243" spans="1:15">
      <c r="A3243">
        <v>3242</v>
      </c>
      <c r="B3243" t="s">
        <v>254</v>
      </c>
      <c r="C3243" s="1">
        <v>13150</v>
      </c>
      <c r="D3243">
        <v>90</v>
      </c>
      <c r="E3243" s="4" t="s">
        <v>15</v>
      </c>
      <c r="F3243" t="s">
        <v>201</v>
      </c>
      <c r="G3243" s="1">
        <v>44948</v>
      </c>
      <c r="H3243" s="1">
        <f>TablaDatos[[#This Row],[FechaIngreso]]+TablaDatos[[#This Row],[DiasNuevo]]</f>
        <v>44950</v>
      </c>
      <c r="I3243">
        <v>2</v>
      </c>
      <c r="J3243" t="s">
        <v>23</v>
      </c>
      <c r="K3243" s="3">
        <v>4022.19</v>
      </c>
      <c r="L3243" t="b">
        <f>TablaDatos[[#This Row],[FechaAlta]] &lt; TablaDatos[[#This Row],[FechaIngreso]]</f>
        <v>0</v>
      </c>
      <c r="M3243">
        <f>_xlfn.XLOOKUP(TablaDatos[[#This Row],[PacienteID]],'Datos_Ejemplo.csv'!A:A,'Datos_Ejemplo.csv'!I:I)</f>
        <v>-2</v>
      </c>
      <c r="N3243">
        <f>ABS(TablaDatos[[#This Row],[DiasOriginal]])</f>
        <v>2</v>
      </c>
      <c r="O3243" s="1">
        <f>TablaDatos[[#This Row],[FechaIngreso]]+TablaDatos[[#This Row],[DiasNuevo]]</f>
        <v>44950</v>
      </c>
    </row>
    <row r="3244" spans="1:15">
      <c r="A3244">
        <v>3243</v>
      </c>
      <c r="B3244" t="s">
        <v>288</v>
      </c>
      <c r="C3244" s="1">
        <v>37987</v>
      </c>
      <c r="D3244">
        <v>22</v>
      </c>
      <c r="E3244" s="4" t="s">
        <v>15</v>
      </c>
      <c r="F3244" t="s">
        <v>201</v>
      </c>
      <c r="G3244" s="1">
        <v>45462</v>
      </c>
      <c r="H3244" s="1">
        <f>TablaDatos[[#This Row],[FechaIngreso]]+TablaDatos[[#This Row],[DiasNuevo]]</f>
        <v>45498</v>
      </c>
      <c r="I3244">
        <v>36</v>
      </c>
      <c r="J3244" t="s">
        <v>25</v>
      </c>
      <c r="K3244" s="3">
        <v>2269.88</v>
      </c>
      <c r="L3244" t="b">
        <f>TablaDatos[[#This Row],[FechaAlta]] &lt; TablaDatos[[#This Row],[FechaIngreso]]</f>
        <v>0</v>
      </c>
      <c r="M3244">
        <f>_xlfn.XLOOKUP(TablaDatos[[#This Row],[PacienteID]],'Datos_Ejemplo.csv'!A:A,'Datos_Ejemplo.csv'!I:I)</f>
        <v>36</v>
      </c>
      <c r="N3244">
        <f>ABS(TablaDatos[[#This Row],[DiasOriginal]])</f>
        <v>36</v>
      </c>
      <c r="O3244" s="1">
        <f>TablaDatos[[#This Row],[FechaIngreso]]+TablaDatos[[#This Row],[DiasNuevo]]</f>
        <v>45498</v>
      </c>
    </row>
    <row r="3245" spans="1:15">
      <c r="A3245">
        <v>3244</v>
      </c>
      <c r="B3245" t="s">
        <v>291</v>
      </c>
      <c r="C3245" s="1">
        <v>24838</v>
      </c>
      <c r="D3245">
        <v>58</v>
      </c>
      <c r="E3245" s="4" t="s">
        <v>197</v>
      </c>
      <c r="F3245" t="s">
        <v>21</v>
      </c>
      <c r="G3245" s="1">
        <v>45632</v>
      </c>
      <c r="H3245" s="1">
        <f>TablaDatos[[#This Row],[FechaIngreso]]+TablaDatos[[#This Row],[DiasNuevo]]</f>
        <v>45641</v>
      </c>
      <c r="I3245">
        <v>9</v>
      </c>
      <c r="J3245" t="s">
        <v>23</v>
      </c>
      <c r="K3245" s="3">
        <v>14020.65</v>
      </c>
      <c r="L3245" t="b">
        <f>TablaDatos[[#This Row],[FechaAlta]] &lt; TablaDatos[[#This Row],[FechaIngreso]]</f>
        <v>0</v>
      </c>
      <c r="M3245">
        <f>_xlfn.XLOOKUP(TablaDatos[[#This Row],[PacienteID]],'Datos_Ejemplo.csv'!A:A,'Datos_Ejemplo.csv'!I:I)</f>
        <v>9</v>
      </c>
      <c r="N3245">
        <f>ABS(TablaDatos[[#This Row],[DiasOriginal]])</f>
        <v>9</v>
      </c>
      <c r="O3245" s="1">
        <f>TablaDatos[[#This Row],[FechaIngreso]]+TablaDatos[[#This Row],[DiasNuevo]]</f>
        <v>45641</v>
      </c>
    </row>
    <row r="3246" spans="1:15">
      <c r="A3246">
        <v>3245</v>
      </c>
      <c r="B3246" t="s">
        <v>248</v>
      </c>
      <c r="C3246" s="1">
        <v>13150</v>
      </c>
      <c r="D3246">
        <v>90</v>
      </c>
      <c r="E3246" s="4" t="s">
        <v>15</v>
      </c>
      <c r="F3246" t="s">
        <v>13</v>
      </c>
      <c r="G3246" s="1">
        <v>45022</v>
      </c>
      <c r="H3246" s="1">
        <f>TablaDatos[[#This Row],[FechaIngreso]]+TablaDatos[[#This Row],[DiasNuevo]]</f>
        <v>45059</v>
      </c>
      <c r="I3246">
        <v>37</v>
      </c>
      <c r="J3246" t="s">
        <v>25</v>
      </c>
      <c r="K3246" s="3">
        <v>7365.31</v>
      </c>
      <c r="L3246" t="b">
        <f>TablaDatos[[#This Row],[FechaAlta]] &lt; TablaDatos[[#This Row],[FechaIngreso]]</f>
        <v>0</v>
      </c>
      <c r="M3246">
        <f>_xlfn.XLOOKUP(TablaDatos[[#This Row],[PacienteID]],'Datos_Ejemplo.csv'!A:A,'Datos_Ejemplo.csv'!I:I)</f>
        <v>37</v>
      </c>
      <c r="N3246">
        <f>ABS(TablaDatos[[#This Row],[DiasOriginal]])</f>
        <v>37</v>
      </c>
      <c r="O3246" s="1">
        <f>TablaDatos[[#This Row],[FechaIngreso]]+TablaDatos[[#This Row],[DiasNuevo]]</f>
        <v>45059</v>
      </c>
    </row>
    <row r="3247" spans="1:15">
      <c r="A3247">
        <v>3246</v>
      </c>
      <c r="B3247" t="s">
        <v>276</v>
      </c>
      <c r="C3247" s="1">
        <v>29586</v>
      </c>
      <c r="D3247">
        <v>45</v>
      </c>
      <c r="E3247" s="4" t="s">
        <v>15</v>
      </c>
      <c r="F3247" t="s">
        <v>295</v>
      </c>
      <c r="G3247" s="1">
        <v>45371</v>
      </c>
      <c r="H3247" s="1">
        <f>TablaDatos[[#This Row],[FechaIngreso]]+TablaDatos[[#This Row],[DiasNuevo]]</f>
        <v>45408</v>
      </c>
      <c r="I3247">
        <v>37</v>
      </c>
      <c r="J3247" t="s">
        <v>25</v>
      </c>
      <c r="K3247" s="3">
        <v>6285.52</v>
      </c>
      <c r="L3247" t="b">
        <f>TablaDatos[[#This Row],[FechaAlta]] &lt; TablaDatos[[#This Row],[FechaIngreso]]</f>
        <v>0</v>
      </c>
      <c r="M3247">
        <f>_xlfn.XLOOKUP(TablaDatos[[#This Row],[PacienteID]],'Datos_Ejemplo.csv'!A:A,'Datos_Ejemplo.csv'!I:I)</f>
        <v>37</v>
      </c>
      <c r="N3247">
        <f>ABS(TablaDatos[[#This Row],[DiasOriginal]])</f>
        <v>37</v>
      </c>
      <c r="O3247" s="1">
        <f>TablaDatos[[#This Row],[FechaIngreso]]+TablaDatos[[#This Row],[DiasNuevo]]</f>
        <v>45408</v>
      </c>
    </row>
    <row r="3248" spans="1:15">
      <c r="A3248">
        <v>3247</v>
      </c>
      <c r="B3248" t="s">
        <v>282</v>
      </c>
      <c r="C3248" s="1">
        <v>32508</v>
      </c>
      <c r="D3248">
        <v>37</v>
      </c>
      <c r="E3248" s="4" t="s">
        <v>12</v>
      </c>
      <c r="F3248" t="s">
        <v>261</v>
      </c>
      <c r="G3248" s="1">
        <v>45189</v>
      </c>
      <c r="H3248" s="1">
        <f>TablaDatos[[#This Row],[FechaIngreso]]+TablaDatos[[#This Row],[DiasNuevo]]</f>
        <v>45210</v>
      </c>
      <c r="I3248">
        <v>21</v>
      </c>
      <c r="J3248" t="s">
        <v>23</v>
      </c>
      <c r="K3248" s="3">
        <v>13392.74</v>
      </c>
      <c r="L3248" t="b">
        <f>TablaDatos[[#This Row],[FechaAlta]] &lt; TablaDatos[[#This Row],[FechaIngreso]]</f>
        <v>0</v>
      </c>
      <c r="M3248">
        <f>_xlfn.XLOOKUP(TablaDatos[[#This Row],[PacienteID]],'Datos_Ejemplo.csv'!A:A,'Datos_Ejemplo.csv'!I:I)</f>
        <v>21</v>
      </c>
      <c r="N3248">
        <f>ABS(TablaDatos[[#This Row],[DiasOriginal]])</f>
        <v>21</v>
      </c>
      <c r="O3248" s="1">
        <f>TablaDatos[[#This Row],[FechaIngreso]]+TablaDatos[[#This Row],[DiasNuevo]]</f>
        <v>45210</v>
      </c>
    </row>
    <row r="3249" spans="1:15">
      <c r="A3249">
        <v>3248</v>
      </c>
      <c r="B3249" t="s">
        <v>238</v>
      </c>
      <c r="C3249" s="1">
        <v>41274</v>
      </c>
      <c r="D3249">
        <v>13</v>
      </c>
      <c r="E3249" s="4" t="s">
        <v>12</v>
      </c>
      <c r="F3249" t="s">
        <v>21</v>
      </c>
      <c r="G3249" s="1">
        <v>45510</v>
      </c>
      <c r="H3249" s="1">
        <f>TablaDatos[[#This Row],[FechaIngreso]]+TablaDatos[[#This Row],[DiasNuevo]]</f>
        <v>45516</v>
      </c>
      <c r="I3249">
        <v>6</v>
      </c>
      <c r="J3249" t="s">
        <v>23</v>
      </c>
      <c r="K3249" s="3">
        <v>6603.03</v>
      </c>
      <c r="L3249" t="b">
        <f>TablaDatos[[#This Row],[FechaAlta]] &lt; TablaDatos[[#This Row],[FechaIngreso]]</f>
        <v>0</v>
      </c>
      <c r="M3249">
        <f>_xlfn.XLOOKUP(TablaDatos[[#This Row],[PacienteID]],'Datos_Ejemplo.csv'!A:A,'Datos_Ejemplo.csv'!I:I)</f>
        <v>6</v>
      </c>
      <c r="N3249">
        <f>ABS(TablaDatos[[#This Row],[DiasOriginal]])</f>
        <v>6</v>
      </c>
      <c r="O3249" s="1">
        <f>TablaDatos[[#This Row],[FechaIngreso]]+TablaDatos[[#This Row],[DiasNuevo]]</f>
        <v>45516</v>
      </c>
    </row>
    <row r="3250" spans="1:15">
      <c r="A3250">
        <v>3249</v>
      </c>
      <c r="B3250" t="s">
        <v>282</v>
      </c>
      <c r="C3250" s="1">
        <v>20090</v>
      </c>
      <c r="D3250">
        <v>71</v>
      </c>
      <c r="E3250" s="4" t="s">
        <v>15</v>
      </c>
      <c r="F3250" t="s">
        <v>18</v>
      </c>
      <c r="G3250" s="1">
        <v>45309</v>
      </c>
      <c r="H3250" s="1">
        <f>TablaDatos[[#This Row],[FechaIngreso]]+TablaDatos[[#This Row],[DiasNuevo]]</f>
        <v>45326</v>
      </c>
      <c r="I3250">
        <v>17</v>
      </c>
      <c r="J3250" t="s">
        <v>23</v>
      </c>
      <c r="K3250" s="3">
        <v>11408.42</v>
      </c>
      <c r="L3250" t="b">
        <f>TablaDatos[[#This Row],[FechaAlta]] &lt; TablaDatos[[#This Row],[FechaIngreso]]</f>
        <v>0</v>
      </c>
      <c r="M3250">
        <f>_xlfn.XLOOKUP(TablaDatos[[#This Row],[PacienteID]],'Datos_Ejemplo.csv'!A:A,'Datos_Ejemplo.csv'!I:I)</f>
        <v>17</v>
      </c>
      <c r="N3250">
        <f>ABS(TablaDatos[[#This Row],[DiasOriginal]])</f>
        <v>17</v>
      </c>
      <c r="O3250" s="1">
        <f>TablaDatos[[#This Row],[FechaIngreso]]+TablaDatos[[#This Row],[DiasNuevo]]</f>
        <v>45326</v>
      </c>
    </row>
    <row r="3251" spans="1:15">
      <c r="A3251">
        <v>3250</v>
      </c>
      <c r="B3251" t="s">
        <v>90</v>
      </c>
      <c r="C3251" s="1">
        <v>23742</v>
      </c>
      <c r="D3251">
        <v>61</v>
      </c>
      <c r="E3251" s="4" t="s">
        <v>12</v>
      </c>
      <c r="F3251" t="s">
        <v>21</v>
      </c>
      <c r="G3251" s="1">
        <v>45476</v>
      </c>
      <c r="H3251" s="1">
        <f>TablaDatos[[#This Row],[FechaIngreso]]+TablaDatos[[#This Row],[DiasNuevo]]</f>
        <v>45478</v>
      </c>
      <c r="I3251">
        <v>2</v>
      </c>
      <c r="J3251" t="s">
        <v>23</v>
      </c>
      <c r="K3251" s="3">
        <v>5919.05</v>
      </c>
      <c r="L3251" t="b">
        <f>TablaDatos[[#This Row],[FechaAlta]] &lt; TablaDatos[[#This Row],[FechaIngreso]]</f>
        <v>0</v>
      </c>
      <c r="M3251">
        <f>_xlfn.XLOOKUP(TablaDatos[[#This Row],[PacienteID]],'Datos_Ejemplo.csv'!A:A,'Datos_Ejemplo.csv'!I:I)</f>
        <v>2</v>
      </c>
      <c r="N3251">
        <f>ABS(TablaDatos[[#This Row],[DiasOriginal]])</f>
        <v>2</v>
      </c>
      <c r="O3251" s="1">
        <f>TablaDatos[[#This Row],[FechaIngreso]]+TablaDatos[[#This Row],[DiasNuevo]]</f>
        <v>45478</v>
      </c>
    </row>
    <row r="3252" spans="1:15">
      <c r="A3252">
        <v>3251</v>
      </c>
      <c r="B3252" t="s">
        <v>279</v>
      </c>
      <c r="C3252" s="1">
        <v>33604</v>
      </c>
      <c r="D3252">
        <v>34</v>
      </c>
      <c r="E3252" s="4" t="s">
        <v>12</v>
      </c>
      <c r="F3252" t="s">
        <v>32</v>
      </c>
      <c r="G3252" s="1">
        <v>45318</v>
      </c>
      <c r="H3252" s="1">
        <f>TablaDatos[[#This Row],[FechaIngreso]]+TablaDatos[[#This Row],[DiasNuevo]]</f>
        <v>45335</v>
      </c>
      <c r="I3252">
        <v>17</v>
      </c>
      <c r="J3252" t="s">
        <v>23</v>
      </c>
      <c r="K3252" s="3">
        <v>15653.53</v>
      </c>
      <c r="L3252" t="b">
        <f>TablaDatos[[#This Row],[FechaAlta]] &lt; TablaDatos[[#This Row],[FechaIngreso]]</f>
        <v>0</v>
      </c>
      <c r="M3252">
        <f>_xlfn.XLOOKUP(TablaDatos[[#This Row],[PacienteID]],'Datos_Ejemplo.csv'!A:A,'Datos_Ejemplo.csv'!I:I)</f>
        <v>17</v>
      </c>
      <c r="N3252">
        <f>ABS(TablaDatos[[#This Row],[DiasOriginal]])</f>
        <v>17</v>
      </c>
      <c r="O3252" s="1">
        <f>TablaDatos[[#This Row],[FechaIngreso]]+TablaDatos[[#This Row],[DiasNuevo]]</f>
        <v>45335</v>
      </c>
    </row>
    <row r="3253" spans="1:15">
      <c r="A3253">
        <v>3252</v>
      </c>
      <c r="B3253" t="s">
        <v>234</v>
      </c>
      <c r="C3253" s="1">
        <v>39448</v>
      </c>
      <c r="D3253">
        <v>18</v>
      </c>
      <c r="E3253" s="4" t="s">
        <v>15</v>
      </c>
      <c r="F3253" t="s">
        <v>21</v>
      </c>
      <c r="G3253" s="1">
        <v>45527</v>
      </c>
      <c r="H3253" s="1">
        <f>TablaDatos[[#This Row],[FechaIngreso]]+TablaDatos[[#This Row],[DiasNuevo]]</f>
        <v>45545</v>
      </c>
      <c r="I3253">
        <v>18</v>
      </c>
      <c r="J3253" t="s">
        <v>23</v>
      </c>
      <c r="K3253" s="3">
        <v>6179.01</v>
      </c>
      <c r="L3253" t="b">
        <f>TablaDatos[[#This Row],[FechaAlta]] &lt; TablaDatos[[#This Row],[FechaIngreso]]</f>
        <v>0</v>
      </c>
      <c r="M3253">
        <f>_xlfn.XLOOKUP(TablaDatos[[#This Row],[PacienteID]],'Datos_Ejemplo.csv'!A:A,'Datos_Ejemplo.csv'!I:I)</f>
        <v>18</v>
      </c>
      <c r="N3253">
        <f>ABS(TablaDatos[[#This Row],[DiasOriginal]])</f>
        <v>18</v>
      </c>
      <c r="O3253" s="1">
        <f>TablaDatos[[#This Row],[FechaIngreso]]+TablaDatos[[#This Row],[DiasNuevo]]</f>
        <v>45545</v>
      </c>
    </row>
    <row r="3254" spans="1:15">
      <c r="A3254">
        <v>3253</v>
      </c>
      <c r="B3254" t="s">
        <v>287</v>
      </c>
      <c r="C3254" s="1">
        <v>35430</v>
      </c>
      <c r="D3254">
        <v>29</v>
      </c>
      <c r="E3254" s="4" t="s">
        <v>15</v>
      </c>
      <c r="F3254" t="s">
        <v>18</v>
      </c>
      <c r="G3254" s="1">
        <v>45466</v>
      </c>
      <c r="H3254" s="1">
        <f>TablaDatos[[#This Row],[FechaIngreso]]+TablaDatos[[#This Row],[DiasNuevo]]</f>
        <v>45467</v>
      </c>
      <c r="I3254">
        <v>1</v>
      </c>
      <c r="J3254" t="s">
        <v>23</v>
      </c>
      <c r="K3254" s="3">
        <v>10653.38</v>
      </c>
      <c r="L3254" t="b">
        <f>TablaDatos[[#This Row],[FechaAlta]] &lt; TablaDatos[[#This Row],[FechaIngreso]]</f>
        <v>0</v>
      </c>
      <c r="M3254">
        <f>_xlfn.XLOOKUP(TablaDatos[[#This Row],[PacienteID]],'Datos_Ejemplo.csv'!A:A,'Datos_Ejemplo.csv'!I:I)</f>
        <v>-1</v>
      </c>
      <c r="N3254">
        <f>ABS(TablaDatos[[#This Row],[DiasOriginal]])</f>
        <v>1</v>
      </c>
      <c r="O3254" s="1">
        <f>TablaDatos[[#This Row],[FechaIngreso]]+TablaDatos[[#This Row],[DiasNuevo]]</f>
        <v>45467</v>
      </c>
    </row>
    <row r="3255" spans="1:15">
      <c r="A3255">
        <v>3254</v>
      </c>
      <c r="B3255" t="s">
        <v>240</v>
      </c>
      <c r="C3255" s="1">
        <v>17898</v>
      </c>
      <c r="D3255">
        <v>77</v>
      </c>
      <c r="E3255" s="4" t="s">
        <v>15</v>
      </c>
      <c r="F3255" t="s">
        <v>32</v>
      </c>
      <c r="G3255" s="1">
        <v>45018</v>
      </c>
      <c r="H3255" s="1">
        <f>TablaDatos[[#This Row],[FechaIngreso]]+TablaDatos[[#This Row],[DiasNuevo]]</f>
        <v>45036</v>
      </c>
      <c r="I3255">
        <v>18</v>
      </c>
      <c r="J3255" t="s">
        <v>23</v>
      </c>
      <c r="K3255" s="3">
        <v>365.84</v>
      </c>
      <c r="L3255" t="b">
        <f>TablaDatos[[#This Row],[FechaAlta]] &lt; TablaDatos[[#This Row],[FechaIngreso]]</f>
        <v>0</v>
      </c>
      <c r="M3255">
        <f>_xlfn.XLOOKUP(TablaDatos[[#This Row],[PacienteID]],'Datos_Ejemplo.csv'!A:A,'Datos_Ejemplo.csv'!I:I)</f>
        <v>18</v>
      </c>
      <c r="N3255">
        <f>ABS(TablaDatos[[#This Row],[DiasOriginal]])</f>
        <v>18</v>
      </c>
      <c r="O3255" s="1">
        <f>TablaDatos[[#This Row],[FechaIngreso]]+TablaDatos[[#This Row],[DiasNuevo]]</f>
        <v>45036</v>
      </c>
    </row>
    <row r="3256" spans="1:15">
      <c r="A3256">
        <v>3255</v>
      </c>
      <c r="B3256" t="s">
        <v>363</v>
      </c>
      <c r="C3256" s="1">
        <v>15707</v>
      </c>
      <c r="D3256">
        <v>83</v>
      </c>
      <c r="E3256" s="4" t="s">
        <v>12</v>
      </c>
      <c r="F3256" t="s">
        <v>201</v>
      </c>
      <c r="G3256" s="1">
        <v>45492</v>
      </c>
      <c r="H3256" s="1">
        <f>TablaDatos[[#This Row],[FechaIngreso]]+TablaDatos[[#This Row],[DiasNuevo]]</f>
        <v>45531</v>
      </c>
      <c r="I3256">
        <v>39</v>
      </c>
      <c r="J3256" t="s">
        <v>19</v>
      </c>
      <c r="K3256" s="3">
        <v>15813.79</v>
      </c>
      <c r="L3256" t="b">
        <f>TablaDatos[[#This Row],[FechaAlta]] &lt; TablaDatos[[#This Row],[FechaIngreso]]</f>
        <v>0</v>
      </c>
      <c r="M3256">
        <f>_xlfn.XLOOKUP(TablaDatos[[#This Row],[PacienteID]],'Datos_Ejemplo.csv'!A:A,'Datos_Ejemplo.csv'!I:I)</f>
        <v>39</v>
      </c>
      <c r="N3256">
        <f>ABS(TablaDatos[[#This Row],[DiasOriginal]])</f>
        <v>39</v>
      </c>
      <c r="O3256" s="1">
        <f>TablaDatos[[#This Row],[FechaIngreso]]+TablaDatos[[#This Row],[DiasNuevo]]</f>
        <v>45531</v>
      </c>
    </row>
    <row r="3257" spans="1:15">
      <c r="A3257">
        <v>3256</v>
      </c>
      <c r="B3257" t="s">
        <v>356</v>
      </c>
      <c r="C3257" s="1">
        <v>37256</v>
      </c>
      <c r="D3257">
        <v>24</v>
      </c>
      <c r="E3257" s="4" t="s">
        <v>15</v>
      </c>
      <c r="F3257" t="s">
        <v>261</v>
      </c>
      <c r="G3257" s="1">
        <v>45085</v>
      </c>
      <c r="H3257" s="1">
        <f>TablaDatos[[#This Row],[FechaIngreso]]+TablaDatos[[#This Row],[DiasNuevo]]</f>
        <v>45106</v>
      </c>
      <c r="I3257">
        <v>21</v>
      </c>
      <c r="J3257" t="s">
        <v>25</v>
      </c>
      <c r="K3257" s="3">
        <v>12368.79</v>
      </c>
      <c r="L3257" t="b">
        <f>TablaDatos[[#This Row],[FechaAlta]] &lt; TablaDatos[[#This Row],[FechaIngreso]]</f>
        <v>0</v>
      </c>
      <c r="M3257">
        <f>_xlfn.XLOOKUP(TablaDatos[[#This Row],[PacienteID]],'Datos_Ejemplo.csv'!A:A,'Datos_Ejemplo.csv'!I:I)</f>
        <v>21</v>
      </c>
      <c r="N3257">
        <f>ABS(TablaDatos[[#This Row],[DiasOriginal]])</f>
        <v>21</v>
      </c>
      <c r="O3257" s="1">
        <f>TablaDatos[[#This Row],[FechaIngreso]]+TablaDatos[[#This Row],[DiasNuevo]]</f>
        <v>45106</v>
      </c>
    </row>
    <row r="3258" spans="1:15">
      <c r="A3258">
        <v>3257</v>
      </c>
      <c r="B3258" t="s">
        <v>268</v>
      </c>
      <c r="C3258" s="1">
        <v>31778</v>
      </c>
      <c r="D3258">
        <v>39</v>
      </c>
      <c r="E3258" s="4" t="s">
        <v>15</v>
      </c>
      <c r="F3258" t="s">
        <v>13</v>
      </c>
      <c r="G3258" s="1">
        <v>45154</v>
      </c>
      <c r="H3258" s="1">
        <f>TablaDatos[[#This Row],[FechaIngreso]]+TablaDatos[[#This Row],[DiasNuevo]]</f>
        <v>45160</v>
      </c>
      <c r="I3258">
        <v>6</v>
      </c>
      <c r="J3258" t="s">
        <v>23</v>
      </c>
      <c r="K3258" s="3">
        <v>3763.97</v>
      </c>
      <c r="L3258" t="b">
        <f>TablaDatos[[#This Row],[FechaAlta]] &lt; TablaDatos[[#This Row],[FechaIngreso]]</f>
        <v>0</v>
      </c>
      <c r="M3258">
        <f>_xlfn.XLOOKUP(TablaDatos[[#This Row],[PacienteID]],'Datos_Ejemplo.csv'!A:A,'Datos_Ejemplo.csv'!I:I)</f>
        <v>6</v>
      </c>
      <c r="N3258">
        <f>ABS(TablaDatos[[#This Row],[DiasOriginal]])</f>
        <v>6</v>
      </c>
      <c r="O3258" s="1">
        <f>TablaDatos[[#This Row],[FechaIngreso]]+TablaDatos[[#This Row],[DiasNuevo]]</f>
        <v>45160</v>
      </c>
    </row>
    <row r="3259" spans="1:15">
      <c r="A3259">
        <v>3258</v>
      </c>
      <c r="B3259" t="s">
        <v>230</v>
      </c>
      <c r="C3259" s="1">
        <v>14246</v>
      </c>
      <c r="D3259">
        <v>87</v>
      </c>
      <c r="E3259" s="4" t="s">
        <v>12</v>
      </c>
      <c r="F3259" t="s">
        <v>261</v>
      </c>
      <c r="G3259" s="1">
        <v>45399</v>
      </c>
      <c r="H3259" s="1">
        <f>TablaDatos[[#This Row],[FechaIngreso]]+TablaDatos[[#This Row],[DiasNuevo]]</f>
        <v>45435</v>
      </c>
      <c r="I3259">
        <v>36</v>
      </c>
      <c r="J3259" t="s">
        <v>23</v>
      </c>
      <c r="K3259" s="3">
        <v>4229</v>
      </c>
      <c r="L3259" t="b">
        <f>TablaDatos[[#This Row],[FechaAlta]] &lt; TablaDatos[[#This Row],[FechaIngreso]]</f>
        <v>0</v>
      </c>
      <c r="M3259">
        <f>_xlfn.XLOOKUP(TablaDatos[[#This Row],[PacienteID]],'Datos_Ejemplo.csv'!A:A,'Datos_Ejemplo.csv'!I:I)</f>
        <v>36</v>
      </c>
      <c r="N3259">
        <f>ABS(TablaDatos[[#This Row],[DiasOriginal]])</f>
        <v>36</v>
      </c>
      <c r="O3259" s="1">
        <f>TablaDatos[[#This Row],[FechaIngreso]]+TablaDatos[[#This Row],[DiasNuevo]]</f>
        <v>45435</v>
      </c>
    </row>
    <row r="3260" spans="1:15">
      <c r="A3260">
        <v>3259</v>
      </c>
      <c r="B3260" t="s">
        <v>361</v>
      </c>
      <c r="C3260" s="1">
        <v>41274</v>
      </c>
      <c r="D3260">
        <f ca="1">DATEDIF(TablaDatos[[#This Row],[FechaNacimiento]],TODAY(),"Y")</f>
        <v>13</v>
      </c>
      <c r="E3260" s="4" t="s">
        <v>12</v>
      </c>
      <c r="F3260" t="s">
        <v>21</v>
      </c>
      <c r="G3260" s="1">
        <v>45298</v>
      </c>
      <c r="H3260" s="1">
        <f>TablaDatos[[#This Row],[FechaIngreso]]+TablaDatos[[#This Row],[DiasNuevo]]</f>
        <v>45325</v>
      </c>
      <c r="I3260">
        <v>27</v>
      </c>
      <c r="J3260" t="s">
        <v>25</v>
      </c>
      <c r="K3260" s="3">
        <v>5176.1099999999997</v>
      </c>
      <c r="L3260" t="b">
        <f>TablaDatos[[#This Row],[FechaAlta]] &lt; TablaDatos[[#This Row],[FechaIngreso]]</f>
        <v>0</v>
      </c>
      <c r="M3260">
        <f>_xlfn.XLOOKUP(TablaDatos[[#This Row],[PacienteID]],'Datos_Ejemplo.csv'!A:A,'Datos_Ejemplo.csv'!I:I)</f>
        <v>27</v>
      </c>
      <c r="N3260">
        <f>ABS(TablaDatos[[#This Row],[DiasOriginal]])</f>
        <v>27</v>
      </c>
      <c r="O3260" s="1">
        <f>TablaDatos[[#This Row],[FechaIngreso]]+TablaDatos[[#This Row],[DiasNuevo]]</f>
        <v>45325</v>
      </c>
    </row>
    <row r="3261" spans="1:15">
      <c r="A3261">
        <v>3260</v>
      </c>
      <c r="B3261" t="s">
        <v>325</v>
      </c>
      <c r="C3261" s="1">
        <v>36891</v>
      </c>
      <c r="D3261">
        <v>25</v>
      </c>
      <c r="E3261" s="4" t="s">
        <v>15</v>
      </c>
      <c r="F3261" t="s">
        <v>201</v>
      </c>
      <c r="G3261" s="1">
        <v>45302</v>
      </c>
      <c r="H3261" s="1">
        <f>TablaDatos[[#This Row],[FechaIngreso]]+TablaDatos[[#This Row],[DiasNuevo]]</f>
        <v>45317</v>
      </c>
      <c r="I3261">
        <v>15</v>
      </c>
      <c r="J3261" t="s">
        <v>25</v>
      </c>
      <c r="K3261" s="3">
        <v>11488.26</v>
      </c>
      <c r="L3261" t="b">
        <f>TablaDatos[[#This Row],[FechaAlta]] &lt; TablaDatos[[#This Row],[FechaIngreso]]</f>
        <v>0</v>
      </c>
      <c r="M3261">
        <f>_xlfn.XLOOKUP(TablaDatos[[#This Row],[PacienteID]],'Datos_Ejemplo.csv'!A:A,'Datos_Ejemplo.csv'!I:I)</f>
        <v>15</v>
      </c>
      <c r="N3261">
        <f>ABS(TablaDatos[[#This Row],[DiasOriginal]])</f>
        <v>15</v>
      </c>
      <c r="O3261" s="1">
        <f>TablaDatos[[#This Row],[FechaIngreso]]+TablaDatos[[#This Row],[DiasNuevo]]</f>
        <v>45317</v>
      </c>
    </row>
    <row r="3262" spans="1:15">
      <c r="A3262">
        <v>3261</v>
      </c>
      <c r="B3262" t="s">
        <v>253</v>
      </c>
      <c r="C3262" s="1">
        <v>14611</v>
      </c>
      <c r="D3262">
        <v>86</v>
      </c>
      <c r="E3262" s="4" t="s">
        <v>12</v>
      </c>
      <c r="F3262" t="s">
        <v>13</v>
      </c>
      <c r="G3262" s="1">
        <v>45479</v>
      </c>
      <c r="H3262" s="1">
        <f>TablaDatos[[#This Row],[FechaIngreso]]+TablaDatos[[#This Row],[DiasNuevo]]</f>
        <v>45486</v>
      </c>
      <c r="I3262">
        <v>7</v>
      </c>
      <c r="J3262" t="s">
        <v>23</v>
      </c>
      <c r="K3262" s="3">
        <v>10921.16</v>
      </c>
      <c r="L3262" t="b">
        <f>TablaDatos[[#This Row],[FechaAlta]] &lt; TablaDatos[[#This Row],[FechaIngreso]]</f>
        <v>0</v>
      </c>
      <c r="M3262">
        <f>_xlfn.XLOOKUP(TablaDatos[[#This Row],[PacienteID]],'Datos_Ejemplo.csv'!A:A,'Datos_Ejemplo.csv'!I:I)</f>
        <v>7</v>
      </c>
      <c r="N3262">
        <f>ABS(TablaDatos[[#This Row],[DiasOriginal]])</f>
        <v>7</v>
      </c>
      <c r="O3262" s="1">
        <f>TablaDatos[[#This Row],[FechaIngreso]]+TablaDatos[[#This Row],[DiasNuevo]]</f>
        <v>45486</v>
      </c>
    </row>
    <row r="3263" spans="1:15">
      <c r="A3263">
        <v>3262</v>
      </c>
      <c r="B3263" t="s">
        <v>271</v>
      </c>
      <c r="C3263" s="1">
        <v>38352</v>
      </c>
      <c r="D3263">
        <v>21</v>
      </c>
      <c r="E3263" s="4" t="s">
        <v>15</v>
      </c>
      <c r="F3263" t="s">
        <v>21</v>
      </c>
      <c r="G3263" s="1">
        <v>44963</v>
      </c>
      <c r="H3263" s="1">
        <f>TablaDatos[[#This Row],[FechaIngreso]]+TablaDatos[[#This Row],[DiasNuevo]]</f>
        <v>45001</v>
      </c>
      <c r="I3263">
        <v>38</v>
      </c>
      <c r="J3263" t="s">
        <v>25</v>
      </c>
      <c r="K3263" s="3">
        <v>5404.66</v>
      </c>
      <c r="L3263" t="b">
        <f>TablaDatos[[#This Row],[FechaAlta]] &lt; TablaDatos[[#This Row],[FechaIngreso]]</f>
        <v>0</v>
      </c>
      <c r="M3263">
        <f>_xlfn.XLOOKUP(TablaDatos[[#This Row],[PacienteID]],'Datos_Ejemplo.csv'!A:A,'Datos_Ejemplo.csv'!I:I)</f>
        <v>38</v>
      </c>
      <c r="N3263">
        <f>ABS(TablaDatos[[#This Row],[DiasOriginal]])</f>
        <v>38</v>
      </c>
      <c r="O3263" s="1">
        <f>TablaDatos[[#This Row],[FechaIngreso]]+TablaDatos[[#This Row],[DiasNuevo]]</f>
        <v>45001</v>
      </c>
    </row>
    <row r="3264" spans="1:15">
      <c r="A3264">
        <v>3263</v>
      </c>
      <c r="B3264" t="s">
        <v>243</v>
      </c>
      <c r="C3264" s="1">
        <v>28856</v>
      </c>
      <c r="D3264">
        <v>47</v>
      </c>
      <c r="E3264" s="4" t="s">
        <v>15</v>
      </c>
      <c r="F3264" t="s">
        <v>295</v>
      </c>
      <c r="G3264" s="1">
        <v>45563</v>
      </c>
      <c r="H3264" s="1">
        <f>TablaDatos[[#This Row],[FechaIngreso]]+TablaDatos[[#This Row],[DiasNuevo]]</f>
        <v>45581</v>
      </c>
      <c r="I3264">
        <v>18</v>
      </c>
      <c r="J3264" t="s">
        <v>25</v>
      </c>
      <c r="K3264" s="3">
        <v>13850.65</v>
      </c>
      <c r="L3264" t="b">
        <f>TablaDatos[[#This Row],[FechaAlta]] &lt; TablaDatos[[#This Row],[FechaIngreso]]</f>
        <v>0</v>
      </c>
      <c r="M3264">
        <f>_xlfn.XLOOKUP(TablaDatos[[#This Row],[PacienteID]],'Datos_Ejemplo.csv'!A:A,'Datos_Ejemplo.csv'!I:I)</f>
        <v>18</v>
      </c>
      <c r="N3264">
        <f>ABS(TablaDatos[[#This Row],[DiasOriginal]])</f>
        <v>18</v>
      </c>
      <c r="O3264" s="1">
        <f>TablaDatos[[#This Row],[FechaIngreso]]+TablaDatos[[#This Row],[DiasNuevo]]</f>
        <v>45581</v>
      </c>
    </row>
    <row r="3265" spans="1:15">
      <c r="A3265">
        <v>3264</v>
      </c>
      <c r="B3265" t="s">
        <v>307</v>
      </c>
      <c r="C3265" s="1">
        <v>16072</v>
      </c>
      <c r="D3265">
        <v>82</v>
      </c>
      <c r="E3265" s="4" t="s">
        <v>12</v>
      </c>
      <c r="F3265" t="s">
        <v>295</v>
      </c>
      <c r="G3265" s="1">
        <v>45617</v>
      </c>
      <c r="H3265" s="1">
        <f>TablaDatos[[#This Row],[FechaIngreso]]+TablaDatos[[#This Row],[DiasNuevo]]</f>
        <v>45636</v>
      </c>
      <c r="I3265">
        <v>19</v>
      </c>
      <c r="J3265" t="s">
        <v>19</v>
      </c>
      <c r="K3265" s="3">
        <v>17769.73</v>
      </c>
      <c r="L3265" t="b">
        <f>TablaDatos[[#This Row],[FechaAlta]] &lt; TablaDatos[[#This Row],[FechaIngreso]]</f>
        <v>0</v>
      </c>
      <c r="M3265">
        <f>_xlfn.XLOOKUP(TablaDatos[[#This Row],[PacienteID]],'Datos_Ejemplo.csv'!A:A,'Datos_Ejemplo.csv'!I:I)</f>
        <v>19</v>
      </c>
      <c r="N3265">
        <f>ABS(TablaDatos[[#This Row],[DiasOriginal]])</f>
        <v>19</v>
      </c>
      <c r="O3265" s="1">
        <f>TablaDatos[[#This Row],[FechaIngreso]]+TablaDatos[[#This Row],[DiasNuevo]]</f>
        <v>45636</v>
      </c>
    </row>
    <row r="3266" spans="1:15">
      <c r="A3266">
        <v>3265</v>
      </c>
      <c r="B3266" t="s">
        <v>243</v>
      </c>
      <c r="C3266" s="1">
        <v>27760</v>
      </c>
      <c r="D3266">
        <v>50</v>
      </c>
      <c r="E3266" s="4" t="s">
        <v>12</v>
      </c>
      <c r="F3266" t="s">
        <v>18</v>
      </c>
      <c r="G3266" s="1">
        <v>44963</v>
      </c>
      <c r="H3266" s="1">
        <f>TablaDatos[[#This Row],[FechaIngreso]]+TablaDatos[[#This Row],[DiasNuevo]]</f>
        <v>44977</v>
      </c>
      <c r="I3266">
        <v>14</v>
      </c>
      <c r="J3266" t="s">
        <v>23</v>
      </c>
      <c r="K3266" s="3">
        <v>774.66</v>
      </c>
      <c r="L3266" t="b">
        <f>TablaDatos[[#This Row],[FechaAlta]] &lt; TablaDatos[[#This Row],[FechaIngreso]]</f>
        <v>0</v>
      </c>
      <c r="M3266">
        <f>_xlfn.XLOOKUP(TablaDatos[[#This Row],[PacienteID]],'Datos_Ejemplo.csv'!A:A,'Datos_Ejemplo.csv'!I:I)</f>
        <v>14</v>
      </c>
      <c r="N3266">
        <f>ABS(TablaDatos[[#This Row],[DiasOriginal]])</f>
        <v>14</v>
      </c>
      <c r="O3266" s="1">
        <f>TablaDatos[[#This Row],[FechaIngreso]]+TablaDatos[[#This Row],[DiasNuevo]]</f>
        <v>44977</v>
      </c>
    </row>
    <row r="3267" spans="1:15">
      <c r="A3267">
        <v>3266</v>
      </c>
      <c r="B3267" t="s">
        <v>273</v>
      </c>
      <c r="C3267" s="1">
        <v>45292</v>
      </c>
      <c r="D3267">
        <v>2</v>
      </c>
      <c r="E3267" s="4" t="s">
        <v>15</v>
      </c>
      <c r="F3267" t="s">
        <v>201</v>
      </c>
      <c r="G3267" s="1">
        <v>45027</v>
      </c>
      <c r="H3267" s="1">
        <f>TablaDatos[[#This Row],[FechaIngreso]]+TablaDatos[[#This Row],[DiasNuevo]]</f>
        <v>45029</v>
      </c>
      <c r="I3267">
        <v>2</v>
      </c>
      <c r="J3267" t="s">
        <v>19</v>
      </c>
      <c r="K3267" s="3">
        <v>8285.65</v>
      </c>
      <c r="L3267" t="b">
        <f>TablaDatos[[#This Row],[FechaAlta]] &lt; TablaDatos[[#This Row],[FechaIngreso]]</f>
        <v>0</v>
      </c>
      <c r="M3267">
        <f>_xlfn.XLOOKUP(TablaDatos[[#This Row],[PacienteID]],'Datos_Ejemplo.csv'!A:A,'Datos_Ejemplo.csv'!I:I)</f>
        <v>2</v>
      </c>
      <c r="N3267">
        <f>ABS(TablaDatos[[#This Row],[DiasOriginal]])</f>
        <v>2</v>
      </c>
      <c r="O3267" s="1">
        <f>TablaDatos[[#This Row],[FechaIngreso]]+TablaDatos[[#This Row],[DiasNuevo]]</f>
        <v>45029</v>
      </c>
    </row>
    <row r="3268" spans="1:15">
      <c r="A3268">
        <v>3267</v>
      </c>
      <c r="B3268" t="s">
        <v>281</v>
      </c>
      <c r="C3268" s="1">
        <v>31047</v>
      </c>
      <c r="D3268">
        <v>41</v>
      </c>
      <c r="E3268" s="4" t="s">
        <v>12</v>
      </c>
      <c r="F3268" t="s">
        <v>201</v>
      </c>
      <c r="G3268" s="1">
        <v>45469</v>
      </c>
      <c r="H3268" s="1">
        <f>TablaDatos[[#This Row],[FechaIngreso]]+TablaDatos[[#This Row],[DiasNuevo]]</f>
        <v>45472</v>
      </c>
      <c r="I3268">
        <v>3</v>
      </c>
      <c r="J3268" t="s">
        <v>25</v>
      </c>
      <c r="K3268" s="3">
        <v>11829.75</v>
      </c>
      <c r="L3268" t="b">
        <f>TablaDatos[[#This Row],[FechaAlta]] &lt; TablaDatos[[#This Row],[FechaIngreso]]</f>
        <v>0</v>
      </c>
      <c r="M3268">
        <f>_xlfn.XLOOKUP(TablaDatos[[#This Row],[PacienteID]],'Datos_Ejemplo.csv'!A:A,'Datos_Ejemplo.csv'!I:I)</f>
        <v>3</v>
      </c>
      <c r="N3268">
        <f>ABS(TablaDatos[[#This Row],[DiasOriginal]])</f>
        <v>3</v>
      </c>
      <c r="O3268" s="1">
        <f>TablaDatos[[#This Row],[FechaIngreso]]+TablaDatos[[#This Row],[DiasNuevo]]</f>
        <v>45472</v>
      </c>
    </row>
    <row r="3269" spans="1:15">
      <c r="A3269">
        <v>3268</v>
      </c>
      <c r="B3269" t="s">
        <v>288</v>
      </c>
      <c r="C3269" s="1">
        <v>39448</v>
      </c>
      <c r="D3269">
        <v>18</v>
      </c>
      <c r="E3269" s="4" t="s">
        <v>12</v>
      </c>
      <c r="F3269" t="s">
        <v>261</v>
      </c>
      <c r="G3269" s="1">
        <v>45116</v>
      </c>
      <c r="H3269" s="1">
        <f>TablaDatos[[#This Row],[FechaIngreso]]+TablaDatos[[#This Row],[DiasNuevo]]</f>
        <v>45123</v>
      </c>
      <c r="I3269">
        <v>7</v>
      </c>
      <c r="J3269" t="s">
        <v>23</v>
      </c>
      <c r="K3269" s="3">
        <v>11687.35</v>
      </c>
      <c r="L3269" t="b">
        <f>TablaDatos[[#This Row],[FechaAlta]] &lt; TablaDatos[[#This Row],[FechaIngreso]]</f>
        <v>0</v>
      </c>
      <c r="M3269">
        <f>_xlfn.XLOOKUP(TablaDatos[[#This Row],[PacienteID]],'Datos_Ejemplo.csv'!A:A,'Datos_Ejemplo.csv'!I:I)</f>
        <v>7</v>
      </c>
      <c r="N3269">
        <f>ABS(TablaDatos[[#This Row],[DiasOriginal]])</f>
        <v>7</v>
      </c>
      <c r="O3269" s="1">
        <f>TablaDatos[[#This Row],[FechaIngreso]]+TablaDatos[[#This Row],[DiasNuevo]]</f>
        <v>45123</v>
      </c>
    </row>
    <row r="3270" spans="1:15">
      <c r="A3270">
        <v>3269</v>
      </c>
      <c r="B3270" t="s">
        <v>349</v>
      </c>
      <c r="C3270" s="1">
        <v>19724</v>
      </c>
      <c r="D3270">
        <v>72</v>
      </c>
      <c r="E3270" s="4" t="s">
        <v>15</v>
      </c>
      <c r="F3270" t="s">
        <v>295</v>
      </c>
      <c r="G3270" s="1">
        <v>45438</v>
      </c>
      <c r="H3270" s="1">
        <f>TablaDatos[[#This Row],[FechaIngreso]]+TablaDatos[[#This Row],[DiasNuevo]]</f>
        <v>45439</v>
      </c>
      <c r="I3270">
        <v>1</v>
      </c>
      <c r="J3270" t="s">
        <v>23</v>
      </c>
      <c r="K3270" s="3">
        <v>292.66000000000003</v>
      </c>
      <c r="L3270" t="b">
        <f>TablaDatos[[#This Row],[FechaAlta]] &lt; TablaDatos[[#This Row],[FechaIngreso]]</f>
        <v>0</v>
      </c>
      <c r="M3270">
        <f>_xlfn.XLOOKUP(TablaDatos[[#This Row],[PacienteID]],'Datos_Ejemplo.csv'!A:A,'Datos_Ejemplo.csv'!I:I)</f>
        <v>-1</v>
      </c>
      <c r="N3270">
        <f>ABS(TablaDatos[[#This Row],[DiasOriginal]])</f>
        <v>1</v>
      </c>
      <c r="O3270" s="1">
        <f>TablaDatos[[#This Row],[FechaIngreso]]+TablaDatos[[#This Row],[DiasNuevo]]</f>
        <v>45439</v>
      </c>
    </row>
    <row r="3271" spans="1:15">
      <c r="A3271">
        <v>3270</v>
      </c>
      <c r="B3271" t="s">
        <v>236</v>
      </c>
      <c r="C3271" s="1">
        <v>36161</v>
      </c>
      <c r="D3271">
        <v>27</v>
      </c>
      <c r="E3271" s="4" t="s">
        <v>12</v>
      </c>
      <c r="F3271" t="s">
        <v>32</v>
      </c>
      <c r="G3271" s="1">
        <v>45584</v>
      </c>
      <c r="H3271" s="1">
        <f>TablaDatos[[#This Row],[FechaIngreso]]+TablaDatos[[#This Row],[DiasNuevo]]</f>
        <v>45588</v>
      </c>
      <c r="I3271">
        <v>4</v>
      </c>
      <c r="J3271" t="s">
        <v>25</v>
      </c>
      <c r="K3271" s="3">
        <v>4132.38</v>
      </c>
      <c r="L3271" t="b">
        <f>TablaDatos[[#This Row],[FechaAlta]] &lt; TablaDatos[[#This Row],[FechaIngreso]]</f>
        <v>0</v>
      </c>
      <c r="M3271">
        <f>_xlfn.XLOOKUP(TablaDatos[[#This Row],[PacienteID]],'Datos_Ejemplo.csv'!A:A,'Datos_Ejemplo.csv'!I:I)</f>
        <v>4</v>
      </c>
      <c r="N3271">
        <f>ABS(TablaDatos[[#This Row],[DiasOriginal]])</f>
        <v>4</v>
      </c>
      <c r="O3271" s="1">
        <f>TablaDatos[[#This Row],[FechaIngreso]]+TablaDatos[[#This Row],[DiasNuevo]]</f>
        <v>45588</v>
      </c>
    </row>
    <row r="3272" spans="1:15">
      <c r="A3272">
        <v>3271</v>
      </c>
      <c r="B3272" t="s">
        <v>248</v>
      </c>
      <c r="C3272" s="1">
        <v>15707</v>
      </c>
      <c r="D3272">
        <v>83</v>
      </c>
      <c r="E3272" s="4" t="s">
        <v>15</v>
      </c>
      <c r="F3272" t="s">
        <v>32</v>
      </c>
      <c r="G3272" s="1">
        <v>45016</v>
      </c>
      <c r="H3272" s="1">
        <f>TablaDatos[[#This Row],[FechaIngreso]]+TablaDatos[[#This Row],[DiasNuevo]]</f>
        <v>45017</v>
      </c>
      <c r="I3272">
        <v>1</v>
      </c>
      <c r="J3272" t="s">
        <v>25</v>
      </c>
      <c r="K3272" s="3">
        <v>1142.8</v>
      </c>
      <c r="L3272" t="b">
        <f>TablaDatos[[#This Row],[FechaAlta]] &lt; TablaDatos[[#This Row],[FechaIngreso]]</f>
        <v>0</v>
      </c>
      <c r="M3272">
        <f>_xlfn.XLOOKUP(TablaDatos[[#This Row],[PacienteID]],'Datos_Ejemplo.csv'!A:A,'Datos_Ejemplo.csv'!I:I)</f>
        <v>1</v>
      </c>
      <c r="N3272">
        <f>ABS(TablaDatos[[#This Row],[DiasOriginal]])</f>
        <v>1</v>
      </c>
      <c r="O3272" s="1">
        <f>TablaDatos[[#This Row],[FechaIngreso]]+TablaDatos[[#This Row],[DiasNuevo]]</f>
        <v>45017</v>
      </c>
    </row>
    <row r="3273" spans="1:15">
      <c r="A3273">
        <v>3272</v>
      </c>
      <c r="B3273" t="s">
        <v>339</v>
      </c>
      <c r="C3273" s="1">
        <v>29951</v>
      </c>
      <c r="D3273">
        <v>44</v>
      </c>
      <c r="E3273" s="4" t="s">
        <v>197</v>
      </c>
      <c r="F3273" t="s">
        <v>201</v>
      </c>
      <c r="G3273" s="1">
        <v>44932</v>
      </c>
      <c r="H3273" s="1">
        <f>TablaDatos[[#This Row],[FechaIngreso]]+TablaDatos[[#This Row],[DiasNuevo]]</f>
        <v>44966</v>
      </c>
      <c r="I3273">
        <v>34</v>
      </c>
      <c r="J3273" t="s">
        <v>23</v>
      </c>
      <c r="K3273" s="3">
        <v>11336.2</v>
      </c>
      <c r="L3273" t="b">
        <f>TablaDatos[[#This Row],[FechaAlta]] &lt; TablaDatos[[#This Row],[FechaIngreso]]</f>
        <v>0</v>
      </c>
      <c r="M3273">
        <f>_xlfn.XLOOKUP(TablaDatos[[#This Row],[PacienteID]],'Datos_Ejemplo.csv'!A:A,'Datos_Ejemplo.csv'!I:I)</f>
        <v>34</v>
      </c>
      <c r="N3273">
        <f>ABS(TablaDatos[[#This Row],[DiasOriginal]])</f>
        <v>34</v>
      </c>
      <c r="O3273" s="1">
        <f>TablaDatos[[#This Row],[FechaIngreso]]+TablaDatos[[#This Row],[DiasNuevo]]</f>
        <v>44966</v>
      </c>
    </row>
    <row r="3274" spans="1:15">
      <c r="A3274">
        <v>3273</v>
      </c>
      <c r="B3274" t="s">
        <v>102</v>
      </c>
      <c r="C3274" s="1">
        <v>20455</v>
      </c>
      <c r="D3274">
        <v>70</v>
      </c>
      <c r="E3274" s="4" t="s">
        <v>12</v>
      </c>
      <c r="F3274" t="s">
        <v>201</v>
      </c>
      <c r="G3274" s="1">
        <v>45065</v>
      </c>
      <c r="H3274" s="1">
        <f>TablaDatos[[#This Row],[FechaIngreso]]+TablaDatos[[#This Row],[DiasNuevo]]</f>
        <v>45081</v>
      </c>
      <c r="I3274">
        <v>16</v>
      </c>
      <c r="J3274" t="s">
        <v>23</v>
      </c>
      <c r="K3274" s="3">
        <v>12872.34</v>
      </c>
      <c r="L3274" t="b">
        <f>TablaDatos[[#This Row],[FechaAlta]] &lt; TablaDatos[[#This Row],[FechaIngreso]]</f>
        <v>0</v>
      </c>
      <c r="M3274">
        <f>_xlfn.XLOOKUP(TablaDatos[[#This Row],[PacienteID]],'Datos_Ejemplo.csv'!A:A,'Datos_Ejemplo.csv'!I:I)</f>
        <v>16</v>
      </c>
      <c r="N3274">
        <f>ABS(TablaDatos[[#This Row],[DiasOriginal]])</f>
        <v>16</v>
      </c>
      <c r="O3274" s="1">
        <f>TablaDatos[[#This Row],[FechaIngreso]]+TablaDatos[[#This Row],[DiasNuevo]]</f>
        <v>45081</v>
      </c>
    </row>
    <row r="3275" spans="1:15">
      <c r="A3275">
        <v>3274</v>
      </c>
      <c r="B3275" t="s">
        <v>239</v>
      </c>
      <c r="C3275" s="1">
        <v>17898</v>
      </c>
      <c r="D3275">
        <v>77</v>
      </c>
      <c r="E3275" s="4" t="s">
        <v>15</v>
      </c>
      <c r="F3275" t="s">
        <v>21</v>
      </c>
      <c r="G3275" s="1">
        <v>45021</v>
      </c>
      <c r="H3275" s="1">
        <f>TablaDatos[[#This Row],[FechaIngreso]]+TablaDatos[[#This Row],[DiasNuevo]]</f>
        <v>45046</v>
      </c>
      <c r="I3275">
        <v>25</v>
      </c>
      <c r="J3275" t="s">
        <v>23</v>
      </c>
      <c r="K3275" s="3">
        <v>3110.82</v>
      </c>
      <c r="L3275" t="b">
        <f>TablaDatos[[#This Row],[FechaAlta]] &lt; TablaDatos[[#This Row],[FechaIngreso]]</f>
        <v>0</v>
      </c>
      <c r="M3275">
        <f>_xlfn.XLOOKUP(TablaDatos[[#This Row],[PacienteID]],'Datos_Ejemplo.csv'!A:A,'Datos_Ejemplo.csv'!I:I)</f>
        <v>25</v>
      </c>
      <c r="N3275">
        <f>ABS(TablaDatos[[#This Row],[DiasOriginal]])</f>
        <v>25</v>
      </c>
      <c r="O3275" s="1">
        <f>TablaDatos[[#This Row],[FechaIngreso]]+TablaDatos[[#This Row],[DiasNuevo]]</f>
        <v>45046</v>
      </c>
    </row>
    <row r="3276" spans="1:15">
      <c r="A3276">
        <v>3275</v>
      </c>
      <c r="B3276" t="s">
        <v>311</v>
      </c>
      <c r="C3276" s="1">
        <v>23377</v>
      </c>
      <c r="D3276">
        <v>62</v>
      </c>
      <c r="E3276" s="4" t="s">
        <v>15</v>
      </c>
      <c r="F3276" t="s">
        <v>201</v>
      </c>
      <c r="G3276" s="1">
        <v>45557</v>
      </c>
      <c r="H3276" s="1">
        <f>TablaDatos[[#This Row],[FechaIngreso]]+TablaDatos[[#This Row],[DiasNuevo]]</f>
        <v>45574</v>
      </c>
      <c r="I3276">
        <v>17</v>
      </c>
      <c r="J3276" t="s">
        <v>23</v>
      </c>
      <c r="K3276" s="3">
        <v>6593.52</v>
      </c>
      <c r="L3276" t="b">
        <f>TablaDatos[[#This Row],[FechaAlta]] &lt; TablaDatos[[#This Row],[FechaIngreso]]</f>
        <v>0</v>
      </c>
      <c r="M3276">
        <f>_xlfn.XLOOKUP(TablaDatos[[#This Row],[PacienteID]],'Datos_Ejemplo.csv'!A:A,'Datos_Ejemplo.csv'!I:I)</f>
        <v>17</v>
      </c>
      <c r="N3276">
        <f>ABS(TablaDatos[[#This Row],[DiasOriginal]])</f>
        <v>17</v>
      </c>
      <c r="O3276" s="1">
        <f>TablaDatos[[#This Row],[FechaIngreso]]+TablaDatos[[#This Row],[DiasNuevo]]</f>
        <v>45574</v>
      </c>
    </row>
    <row r="3277" spans="1:15">
      <c r="A3277">
        <v>3276</v>
      </c>
      <c r="B3277" t="s">
        <v>302</v>
      </c>
      <c r="C3277" s="1">
        <v>19724</v>
      </c>
      <c r="D3277">
        <v>72</v>
      </c>
      <c r="E3277" s="4" t="s">
        <v>15</v>
      </c>
      <c r="F3277" t="s">
        <v>13</v>
      </c>
      <c r="G3277" s="1">
        <v>45558</v>
      </c>
      <c r="H3277" s="1">
        <f>TablaDatos[[#This Row],[FechaIngreso]]+TablaDatos[[#This Row],[DiasNuevo]]</f>
        <v>45585</v>
      </c>
      <c r="I3277">
        <v>27</v>
      </c>
      <c r="J3277" t="s">
        <v>19</v>
      </c>
      <c r="K3277" s="3">
        <v>6529.06</v>
      </c>
      <c r="L3277" t="b">
        <f>TablaDatos[[#This Row],[FechaAlta]] &lt; TablaDatos[[#This Row],[FechaIngreso]]</f>
        <v>0</v>
      </c>
      <c r="M3277">
        <f>_xlfn.XLOOKUP(TablaDatos[[#This Row],[PacienteID]],'Datos_Ejemplo.csv'!A:A,'Datos_Ejemplo.csv'!I:I)</f>
        <v>27</v>
      </c>
      <c r="N3277">
        <f>ABS(TablaDatos[[#This Row],[DiasOriginal]])</f>
        <v>27</v>
      </c>
      <c r="O3277" s="1">
        <f>TablaDatos[[#This Row],[FechaIngreso]]+TablaDatos[[#This Row],[DiasNuevo]]</f>
        <v>45585</v>
      </c>
    </row>
    <row r="3278" spans="1:15">
      <c r="A3278">
        <v>3277</v>
      </c>
      <c r="B3278" t="s">
        <v>308</v>
      </c>
      <c r="C3278" s="1">
        <v>39448</v>
      </c>
      <c r="D3278">
        <v>18</v>
      </c>
      <c r="E3278" s="4" t="s">
        <v>15</v>
      </c>
      <c r="F3278" t="s">
        <v>32</v>
      </c>
      <c r="G3278" s="1">
        <v>45312</v>
      </c>
      <c r="H3278" s="1">
        <f>TablaDatos[[#This Row],[FechaIngreso]]+TablaDatos[[#This Row],[DiasNuevo]]</f>
        <v>45351</v>
      </c>
      <c r="I3278">
        <v>39</v>
      </c>
      <c r="J3278" t="s">
        <v>23</v>
      </c>
      <c r="K3278" s="3">
        <v>16378.03</v>
      </c>
      <c r="L3278" t="b">
        <f>TablaDatos[[#This Row],[FechaAlta]] &lt; TablaDatos[[#This Row],[FechaIngreso]]</f>
        <v>0</v>
      </c>
      <c r="M3278">
        <f>_xlfn.XLOOKUP(TablaDatos[[#This Row],[PacienteID]],'Datos_Ejemplo.csv'!A:A,'Datos_Ejemplo.csv'!I:I)</f>
        <v>39</v>
      </c>
      <c r="N3278">
        <f>ABS(TablaDatos[[#This Row],[DiasOriginal]])</f>
        <v>39</v>
      </c>
      <c r="O3278" s="1">
        <f>TablaDatos[[#This Row],[FechaIngreso]]+TablaDatos[[#This Row],[DiasNuevo]]</f>
        <v>45351</v>
      </c>
    </row>
    <row r="3279" spans="1:15">
      <c r="A3279">
        <v>3278</v>
      </c>
      <c r="B3279" t="s">
        <v>360</v>
      </c>
      <c r="C3279" s="1">
        <v>29221</v>
      </c>
      <c r="D3279">
        <v>46</v>
      </c>
      <c r="E3279" s="4" t="s">
        <v>15</v>
      </c>
      <c r="F3279" t="s">
        <v>21</v>
      </c>
      <c r="G3279" s="1">
        <v>45049</v>
      </c>
      <c r="H3279" s="1">
        <f>TablaDatos[[#This Row],[FechaIngreso]]+TablaDatos[[#This Row],[DiasNuevo]]</f>
        <v>45084</v>
      </c>
      <c r="I3279">
        <v>35</v>
      </c>
      <c r="J3279" t="s">
        <v>23</v>
      </c>
      <c r="K3279" s="3">
        <v>3812.65</v>
      </c>
      <c r="L3279" t="b">
        <f>TablaDatos[[#This Row],[FechaAlta]] &lt; TablaDatos[[#This Row],[FechaIngreso]]</f>
        <v>0</v>
      </c>
      <c r="M3279">
        <f>_xlfn.XLOOKUP(TablaDatos[[#This Row],[PacienteID]],'Datos_Ejemplo.csv'!A:A,'Datos_Ejemplo.csv'!I:I)</f>
        <v>35</v>
      </c>
      <c r="N3279">
        <f>ABS(TablaDatos[[#This Row],[DiasOriginal]])</f>
        <v>35</v>
      </c>
      <c r="O3279" s="1">
        <f>TablaDatos[[#This Row],[FechaIngreso]]+TablaDatos[[#This Row],[DiasNuevo]]</f>
        <v>45084</v>
      </c>
    </row>
    <row r="3280" spans="1:15">
      <c r="A3280">
        <v>3279</v>
      </c>
      <c r="B3280" t="s">
        <v>332</v>
      </c>
      <c r="C3280" s="1">
        <v>41274</v>
      </c>
      <c r="D3280">
        <v>13</v>
      </c>
      <c r="E3280" s="4" t="s">
        <v>15</v>
      </c>
      <c r="F3280" t="s">
        <v>13</v>
      </c>
      <c r="G3280" s="1">
        <v>45211</v>
      </c>
      <c r="H3280" s="1">
        <f>TablaDatos[[#This Row],[FechaIngreso]]+TablaDatos[[#This Row],[DiasNuevo]]</f>
        <v>45212</v>
      </c>
      <c r="I3280">
        <v>1</v>
      </c>
      <c r="J3280" t="s">
        <v>23</v>
      </c>
      <c r="K3280" s="3">
        <v>10921.11</v>
      </c>
      <c r="L3280" t="b">
        <f>TablaDatos[[#This Row],[FechaAlta]] &lt; TablaDatos[[#This Row],[FechaIngreso]]</f>
        <v>0</v>
      </c>
      <c r="M3280">
        <f>_xlfn.XLOOKUP(TablaDatos[[#This Row],[PacienteID]],'Datos_Ejemplo.csv'!A:A,'Datos_Ejemplo.csv'!I:I)</f>
        <v>-1</v>
      </c>
      <c r="N3280">
        <f>ABS(TablaDatos[[#This Row],[DiasOriginal]])</f>
        <v>1</v>
      </c>
      <c r="O3280" s="1">
        <f>TablaDatos[[#This Row],[FechaIngreso]]+TablaDatos[[#This Row],[DiasNuevo]]</f>
        <v>45212</v>
      </c>
    </row>
    <row r="3281" spans="1:15">
      <c r="A3281">
        <v>3280</v>
      </c>
      <c r="B3281" t="s">
        <v>136</v>
      </c>
      <c r="C3281" s="1">
        <v>32508</v>
      </c>
      <c r="D3281">
        <v>37</v>
      </c>
      <c r="E3281" s="4" t="s">
        <v>12</v>
      </c>
      <c r="F3281" t="s">
        <v>201</v>
      </c>
      <c r="G3281" s="1">
        <v>45292</v>
      </c>
      <c r="H3281" s="1">
        <f>TablaDatos[[#This Row],[FechaIngreso]]+TablaDatos[[#This Row],[DiasNuevo]]</f>
        <v>45292</v>
      </c>
      <c r="I3281">
        <v>0</v>
      </c>
      <c r="J3281" t="s">
        <v>23</v>
      </c>
      <c r="K3281" s="3">
        <v>15637</v>
      </c>
      <c r="L3281" t="b">
        <f>TablaDatos[[#This Row],[FechaAlta]] &lt; TablaDatos[[#This Row],[FechaIngreso]]</f>
        <v>0</v>
      </c>
      <c r="M3281">
        <f>_xlfn.XLOOKUP(TablaDatos[[#This Row],[PacienteID]],'Datos_Ejemplo.csv'!A:A,'Datos_Ejemplo.csv'!I:I)</f>
        <v>0</v>
      </c>
      <c r="N3281">
        <f>ABS(TablaDatos[[#This Row],[DiasOriginal]])</f>
        <v>0</v>
      </c>
      <c r="O3281" s="1">
        <f>TablaDatos[[#This Row],[FechaIngreso]]+TablaDatos[[#This Row],[DiasNuevo]]</f>
        <v>45292</v>
      </c>
    </row>
    <row r="3282" spans="1:15">
      <c r="A3282">
        <v>3281</v>
      </c>
      <c r="B3282" t="s">
        <v>130</v>
      </c>
      <c r="C3282" s="1">
        <v>27029</v>
      </c>
      <c r="D3282">
        <v>52</v>
      </c>
      <c r="E3282" s="4" t="s">
        <v>15</v>
      </c>
      <c r="F3282" t="s">
        <v>201</v>
      </c>
      <c r="G3282" s="1">
        <v>45617</v>
      </c>
      <c r="H3282" s="1">
        <f>TablaDatos[[#This Row],[FechaIngreso]]+TablaDatos[[#This Row],[DiasNuevo]]</f>
        <v>45656</v>
      </c>
      <c r="I3282">
        <v>39</v>
      </c>
      <c r="J3282" t="s">
        <v>19</v>
      </c>
      <c r="K3282" s="3">
        <v>16574.52</v>
      </c>
      <c r="L3282" t="b">
        <f>TablaDatos[[#This Row],[FechaAlta]] &lt; TablaDatos[[#This Row],[FechaIngreso]]</f>
        <v>0</v>
      </c>
      <c r="M3282">
        <f>_xlfn.XLOOKUP(TablaDatos[[#This Row],[PacienteID]],'Datos_Ejemplo.csv'!A:A,'Datos_Ejemplo.csv'!I:I)</f>
        <v>39</v>
      </c>
      <c r="N3282">
        <f>ABS(TablaDatos[[#This Row],[DiasOriginal]])</f>
        <v>39</v>
      </c>
      <c r="O3282" s="1">
        <f>TablaDatos[[#This Row],[FechaIngreso]]+TablaDatos[[#This Row],[DiasNuevo]]</f>
        <v>45656</v>
      </c>
    </row>
    <row r="3283" spans="1:15">
      <c r="A3283">
        <v>3282</v>
      </c>
      <c r="B3283" t="s">
        <v>136</v>
      </c>
      <c r="C3283" s="1">
        <v>24107</v>
      </c>
      <c r="D3283">
        <v>60</v>
      </c>
      <c r="E3283" s="4" t="s">
        <v>12</v>
      </c>
      <c r="F3283" t="s">
        <v>295</v>
      </c>
      <c r="G3283" s="1">
        <v>45416</v>
      </c>
      <c r="H3283" s="1">
        <f>TablaDatos[[#This Row],[FechaIngreso]]+TablaDatos[[#This Row],[DiasNuevo]]</f>
        <v>45452</v>
      </c>
      <c r="I3283">
        <v>36</v>
      </c>
      <c r="J3283" t="s">
        <v>23</v>
      </c>
      <c r="K3283" s="3">
        <v>13297.98</v>
      </c>
      <c r="L3283" t="b">
        <f>TablaDatos[[#This Row],[FechaAlta]] &lt; TablaDatos[[#This Row],[FechaIngreso]]</f>
        <v>0</v>
      </c>
      <c r="M3283">
        <f>_xlfn.XLOOKUP(TablaDatos[[#This Row],[PacienteID]],'Datos_Ejemplo.csv'!A:A,'Datos_Ejemplo.csv'!I:I)</f>
        <v>36</v>
      </c>
      <c r="N3283">
        <f>ABS(TablaDatos[[#This Row],[DiasOriginal]])</f>
        <v>36</v>
      </c>
      <c r="O3283" s="1">
        <f>TablaDatos[[#This Row],[FechaIngreso]]+TablaDatos[[#This Row],[DiasNuevo]]</f>
        <v>45452</v>
      </c>
    </row>
    <row r="3284" spans="1:15">
      <c r="A3284">
        <v>3283</v>
      </c>
      <c r="B3284" t="s">
        <v>238</v>
      </c>
      <c r="C3284" s="1">
        <v>33239</v>
      </c>
      <c r="D3284">
        <v>35</v>
      </c>
      <c r="E3284" s="4" t="s">
        <v>12</v>
      </c>
      <c r="F3284" t="s">
        <v>21</v>
      </c>
      <c r="G3284" s="1">
        <v>45251</v>
      </c>
      <c r="H3284" s="1">
        <f>TablaDatos[[#This Row],[FechaIngreso]]+TablaDatos[[#This Row],[DiasNuevo]]</f>
        <v>45273</v>
      </c>
      <c r="I3284">
        <v>22</v>
      </c>
      <c r="J3284" t="s">
        <v>19</v>
      </c>
      <c r="K3284" s="3">
        <v>5920.51</v>
      </c>
      <c r="L3284" t="b">
        <f>TablaDatos[[#This Row],[FechaAlta]] &lt; TablaDatos[[#This Row],[FechaIngreso]]</f>
        <v>0</v>
      </c>
      <c r="M3284">
        <f>_xlfn.XLOOKUP(TablaDatos[[#This Row],[PacienteID]],'Datos_Ejemplo.csv'!A:A,'Datos_Ejemplo.csv'!I:I)</f>
        <v>22</v>
      </c>
      <c r="N3284">
        <f>ABS(TablaDatos[[#This Row],[DiasOriginal]])</f>
        <v>22</v>
      </c>
      <c r="O3284" s="1">
        <f>TablaDatos[[#This Row],[FechaIngreso]]+TablaDatos[[#This Row],[DiasNuevo]]</f>
        <v>45273</v>
      </c>
    </row>
    <row r="3285" spans="1:15">
      <c r="A3285">
        <v>3284</v>
      </c>
      <c r="B3285" t="s">
        <v>61</v>
      </c>
      <c r="C3285" s="1">
        <v>31778</v>
      </c>
      <c r="D3285">
        <v>39</v>
      </c>
      <c r="E3285" s="4" t="s">
        <v>15</v>
      </c>
      <c r="F3285" t="s">
        <v>13</v>
      </c>
      <c r="G3285" s="1">
        <v>45333</v>
      </c>
      <c r="H3285" s="1">
        <f>TablaDatos[[#This Row],[FechaIngreso]]+TablaDatos[[#This Row],[DiasNuevo]]</f>
        <v>45334</v>
      </c>
      <c r="I3285">
        <v>1</v>
      </c>
      <c r="J3285" t="s">
        <v>19</v>
      </c>
      <c r="K3285" s="3">
        <v>16443.240000000002</v>
      </c>
      <c r="L3285" t="b">
        <f>TablaDatos[[#This Row],[FechaAlta]] &lt; TablaDatos[[#This Row],[FechaIngreso]]</f>
        <v>0</v>
      </c>
      <c r="M3285">
        <f>_xlfn.XLOOKUP(TablaDatos[[#This Row],[PacienteID]],'Datos_Ejemplo.csv'!A:A,'Datos_Ejemplo.csv'!I:I)</f>
        <v>-1</v>
      </c>
      <c r="N3285">
        <f>ABS(TablaDatos[[#This Row],[DiasOriginal]])</f>
        <v>1</v>
      </c>
      <c r="O3285" s="1">
        <f>TablaDatos[[#This Row],[FechaIngreso]]+TablaDatos[[#This Row],[DiasNuevo]]</f>
        <v>45334</v>
      </c>
    </row>
    <row r="3286" spans="1:15">
      <c r="A3286">
        <v>3285</v>
      </c>
      <c r="B3286" t="s">
        <v>327</v>
      </c>
      <c r="C3286" s="1">
        <v>16802</v>
      </c>
      <c r="D3286">
        <v>80</v>
      </c>
      <c r="E3286" s="4" t="s">
        <v>12</v>
      </c>
      <c r="F3286" t="s">
        <v>18</v>
      </c>
      <c r="G3286" s="1">
        <v>45445</v>
      </c>
      <c r="H3286" s="1">
        <f>TablaDatos[[#This Row],[FechaIngreso]]+TablaDatos[[#This Row],[DiasNuevo]]</f>
        <v>45481</v>
      </c>
      <c r="I3286">
        <v>36</v>
      </c>
      <c r="J3286" t="s">
        <v>23</v>
      </c>
      <c r="K3286" s="3">
        <v>14817.54</v>
      </c>
      <c r="L3286" t="b">
        <f>TablaDatos[[#This Row],[FechaAlta]] &lt; TablaDatos[[#This Row],[FechaIngreso]]</f>
        <v>0</v>
      </c>
      <c r="M3286">
        <f>_xlfn.XLOOKUP(TablaDatos[[#This Row],[PacienteID]],'Datos_Ejemplo.csv'!A:A,'Datos_Ejemplo.csv'!I:I)</f>
        <v>36</v>
      </c>
      <c r="N3286">
        <f>ABS(TablaDatos[[#This Row],[DiasOriginal]])</f>
        <v>36</v>
      </c>
      <c r="O3286" s="1">
        <f>TablaDatos[[#This Row],[FechaIngreso]]+TablaDatos[[#This Row],[DiasNuevo]]</f>
        <v>45481</v>
      </c>
    </row>
    <row r="3287" spans="1:15">
      <c r="A3287">
        <v>3286</v>
      </c>
      <c r="B3287" t="s">
        <v>302</v>
      </c>
      <c r="C3287" s="1">
        <v>35430</v>
      </c>
      <c r="D3287">
        <v>29</v>
      </c>
      <c r="E3287" s="4" t="s">
        <v>15</v>
      </c>
      <c r="F3287" t="s">
        <v>201</v>
      </c>
      <c r="G3287" s="1">
        <v>45565</v>
      </c>
      <c r="H3287" s="1">
        <f>TablaDatos[[#This Row],[FechaIngreso]]+TablaDatos[[#This Row],[DiasNuevo]]</f>
        <v>45577</v>
      </c>
      <c r="I3287">
        <v>12</v>
      </c>
      <c r="J3287" t="s">
        <v>23</v>
      </c>
      <c r="K3287" s="3">
        <v>14059.83</v>
      </c>
      <c r="L3287" t="b">
        <f>TablaDatos[[#This Row],[FechaAlta]] &lt; TablaDatos[[#This Row],[FechaIngreso]]</f>
        <v>0</v>
      </c>
      <c r="M3287">
        <f>_xlfn.XLOOKUP(TablaDatos[[#This Row],[PacienteID]],'Datos_Ejemplo.csv'!A:A,'Datos_Ejemplo.csv'!I:I)</f>
        <v>12</v>
      </c>
      <c r="N3287">
        <f>ABS(TablaDatos[[#This Row],[DiasOriginal]])</f>
        <v>12</v>
      </c>
      <c r="O3287" s="1">
        <f>TablaDatos[[#This Row],[FechaIngreso]]+TablaDatos[[#This Row],[DiasNuevo]]</f>
        <v>45577</v>
      </c>
    </row>
    <row r="3288" spans="1:15">
      <c r="A3288">
        <v>3287</v>
      </c>
      <c r="B3288" t="s">
        <v>361</v>
      </c>
      <c r="C3288" s="1">
        <v>43100</v>
      </c>
      <c r="D3288">
        <v>8</v>
      </c>
      <c r="E3288" s="4" t="s">
        <v>15</v>
      </c>
      <c r="F3288" t="s">
        <v>261</v>
      </c>
      <c r="G3288" s="1">
        <v>45003</v>
      </c>
      <c r="H3288" s="1">
        <f>TablaDatos[[#This Row],[FechaIngreso]]+TablaDatos[[#This Row],[DiasNuevo]]</f>
        <v>45003</v>
      </c>
      <c r="I3288">
        <v>0</v>
      </c>
      <c r="J3288" t="s">
        <v>23</v>
      </c>
      <c r="K3288" s="3">
        <v>1253.44</v>
      </c>
      <c r="L3288" t="b">
        <f>TablaDatos[[#This Row],[FechaAlta]] &lt; TablaDatos[[#This Row],[FechaIngreso]]</f>
        <v>0</v>
      </c>
      <c r="M3288">
        <f>_xlfn.XLOOKUP(TablaDatos[[#This Row],[PacienteID]],'Datos_Ejemplo.csv'!A:A,'Datos_Ejemplo.csv'!I:I)</f>
        <v>0</v>
      </c>
      <c r="N3288">
        <f>ABS(TablaDatos[[#This Row],[DiasOriginal]])</f>
        <v>0</v>
      </c>
      <c r="O3288" s="1">
        <f>TablaDatos[[#This Row],[FechaIngreso]]+TablaDatos[[#This Row],[DiasNuevo]]</f>
        <v>45003</v>
      </c>
    </row>
    <row r="3289" spans="1:15">
      <c r="A3289">
        <v>3288</v>
      </c>
      <c r="B3289" t="s">
        <v>242</v>
      </c>
      <c r="C3289" s="1">
        <v>23012</v>
      </c>
      <c r="D3289">
        <v>63</v>
      </c>
      <c r="E3289" s="4" t="s">
        <v>12</v>
      </c>
      <c r="F3289" t="s">
        <v>261</v>
      </c>
      <c r="G3289" s="1">
        <v>45160</v>
      </c>
      <c r="H3289" s="1">
        <f>TablaDatos[[#This Row],[FechaIngreso]]+TablaDatos[[#This Row],[DiasNuevo]]</f>
        <v>45162</v>
      </c>
      <c r="I3289">
        <v>2</v>
      </c>
      <c r="J3289" t="s">
        <v>19</v>
      </c>
      <c r="K3289" s="3">
        <v>769.62</v>
      </c>
      <c r="L3289" t="b">
        <f>TablaDatos[[#This Row],[FechaAlta]] &lt; TablaDatos[[#This Row],[FechaIngreso]]</f>
        <v>0</v>
      </c>
      <c r="M3289">
        <f>_xlfn.XLOOKUP(TablaDatos[[#This Row],[PacienteID]],'Datos_Ejemplo.csv'!A:A,'Datos_Ejemplo.csv'!I:I)</f>
        <v>2</v>
      </c>
      <c r="N3289">
        <f>ABS(TablaDatos[[#This Row],[DiasOriginal]])</f>
        <v>2</v>
      </c>
      <c r="O3289" s="1">
        <f>TablaDatos[[#This Row],[FechaIngreso]]+TablaDatos[[#This Row],[DiasNuevo]]</f>
        <v>45162</v>
      </c>
    </row>
    <row r="3290" spans="1:15">
      <c r="A3290">
        <v>3289</v>
      </c>
      <c r="B3290" t="s">
        <v>269</v>
      </c>
      <c r="C3290" s="1">
        <v>34334</v>
      </c>
      <c r="D3290">
        <v>32</v>
      </c>
      <c r="E3290" s="4" t="s">
        <v>15</v>
      </c>
      <c r="F3290" t="s">
        <v>201</v>
      </c>
      <c r="G3290" s="1">
        <v>45512</v>
      </c>
      <c r="H3290" s="1">
        <f>TablaDatos[[#This Row],[FechaIngreso]]+TablaDatos[[#This Row],[DiasNuevo]]</f>
        <v>45549</v>
      </c>
      <c r="I3290">
        <v>37</v>
      </c>
      <c r="J3290" t="s">
        <v>23</v>
      </c>
      <c r="K3290" s="3">
        <v>13876.84</v>
      </c>
      <c r="L3290" t="b">
        <f>TablaDatos[[#This Row],[FechaAlta]] &lt; TablaDatos[[#This Row],[FechaIngreso]]</f>
        <v>0</v>
      </c>
      <c r="M3290">
        <f>_xlfn.XLOOKUP(TablaDatos[[#This Row],[PacienteID]],'Datos_Ejemplo.csv'!A:A,'Datos_Ejemplo.csv'!I:I)</f>
        <v>37</v>
      </c>
      <c r="N3290">
        <f>ABS(TablaDatos[[#This Row],[DiasOriginal]])</f>
        <v>37</v>
      </c>
      <c r="O3290" s="1">
        <f>TablaDatos[[#This Row],[FechaIngreso]]+TablaDatos[[#This Row],[DiasNuevo]]</f>
        <v>45549</v>
      </c>
    </row>
    <row r="3291" spans="1:15">
      <c r="A3291">
        <v>3290</v>
      </c>
      <c r="B3291" t="s">
        <v>67</v>
      </c>
      <c r="C3291" s="1">
        <v>27395</v>
      </c>
      <c r="D3291">
        <v>51</v>
      </c>
      <c r="E3291" s="4" t="s">
        <v>12</v>
      </c>
      <c r="F3291" t="s">
        <v>18</v>
      </c>
      <c r="G3291" s="1">
        <v>45410</v>
      </c>
      <c r="H3291" s="1">
        <f>TablaDatos[[#This Row],[FechaIngreso]]+TablaDatos[[#This Row],[DiasNuevo]]</f>
        <v>45443</v>
      </c>
      <c r="I3291">
        <v>33</v>
      </c>
      <c r="J3291" t="s">
        <v>19</v>
      </c>
      <c r="K3291" s="3">
        <v>18890.38</v>
      </c>
      <c r="L3291" t="b">
        <f>TablaDatos[[#This Row],[FechaAlta]] &lt; TablaDatos[[#This Row],[FechaIngreso]]</f>
        <v>0</v>
      </c>
      <c r="M3291">
        <f>_xlfn.XLOOKUP(TablaDatos[[#This Row],[PacienteID]],'Datos_Ejemplo.csv'!A:A,'Datos_Ejemplo.csv'!I:I)</f>
        <v>33</v>
      </c>
      <c r="N3291">
        <f>ABS(TablaDatos[[#This Row],[DiasOriginal]])</f>
        <v>33</v>
      </c>
      <c r="O3291" s="1">
        <f>TablaDatos[[#This Row],[FechaIngreso]]+TablaDatos[[#This Row],[DiasNuevo]]</f>
        <v>45443</v>
      </c>
    </row>
    <row r="3292" spans="1:15">
      <c r="A3292">
        <v>3291</v>
      </c>
      <c r="B3292" t="s">
        <v>253</v>
      </c>
      <c r="C3292" s="1">
        <v>13880</v>
      </c>
      <c r="D3292">
        <v>88</v>
      </c>
      <c r="E3292" s="4" t="s">
        <v>12</v>
      </c>
      <c r="F3292" t="s">
        <v>32</v>
      </c>
      <c r="G3292" s="1">
        <v>45390</v>
      </c>
      <c r="H3292" s="1">
        <f>TablaDatos[[#This Row],[FechaIngreso]]+TablaDatos[[#This Row],[DiasNuevo]]</f>
        <v>45427</v>
      </c>
      <c r="I3292">
        <v>37</v>
      </c>
      <c r="J3292" t="s">
        <v>19</v>
      </c>
      <c r="K3292" s="3">
        <v>15451.85</v>
      </c>
      <c r="L3292" t="b">
        <f>TablaDatos[[#This Row],[FechaAlta]] &lt; TablaDatos[[#This Row],[FechaIngreso]]</f>
        <v>0</v>
      </c>
      <c r="M3292">
        <f>_xlfn.XLOOKUP(TablaDatos[[#This Row],[PacienteID]],'Datos_Ejemplo.csv'!A:A,'Datos_Ejemplo.csv'!I:I)</f>
        <v>37</v>
      </c>
      <c r="N3292">
        <f>ABS(TablaDatos[[#This Row],[DiasOriginal]])</f>
        <v>37</v>
      </c>
      <c r="O3292" s="1">
        <f>TablaDatos[[#This Row],[FechaIngreso]]+TablaDatos[[#This Row],[DiasNuevo]]</f>
        <v>45427</v>
      </c>
    </row>
    <row r="3293" spans="1:15">
      <c r="A3293">
        <v>3292</v>
      </c>
      <c r="B3293" t="s">
        <v>281</v>
      </c>
      <c r="C3293" s="1">
        <v>41274</v>
      </c>
      <c r="D3293">
        <v>13</v>
      </c>
      <c r="E3293" s="4" t="s">
        <v>197</v>
      </c>
      <c r="F3293" t="s">
        <v>261</v>
      </c>
      <c r="G3293" s="1">
        <v>45197</v>
      </c>
      <c r="H3293" s="1">
        <f>TablaDatos[[#This Row],[FechaIngreso]]+TablaDatos[[#This Row],[DiasNuevo]]</f>
        <v>45232</v>
      </c>
      <c r="I3293">
        <v>35</v>
      </c>
      <c r="J3293" t="s">
        <v>19</v>
      </c>
      <c r="K3293" s="3">
        <v>16612.66</v>
      </c>
      <c r="L3293" t="b">
        <f>TablaDatos[[#This Row],[FechaAlta]] &lt; TablaDatos[[#This Row],[FechaIngreso]]</f>
        <v>0</v>
      </c>
      <c r="M3293">
        <f>_xlfn.XLOOKUP(TablaDatos[[#This Row],[PacienteID]],'Datos_Ejemplo.csv'!A:A,'Datos_Ejemplo.csv'!I:I)</f>
        <v>35</v>
      </c>
      <c r="N3293">
        <f>ABS(TablaDatos[[#This Row],[DiasOriginal]])</f>
        <v>35</v>
      </c>
      <c r="O3293" s="1">
        <f>TablaDatos[[#This Row],[FechaIngreso]]+TablaDatos[[#This Row],[DiasNuevo]]</f>
        <v>45232</v>
      </c>
    </row>
    <row r="3294" spans="1:15">
      <c r="A3294">
        <v>3293</v>
      </c>
      <c r="B3294" t="s">
        <v>271</v>
      </c>
      <c r="C3294" s="1">
        <v>18994</v>
      </c>
      <c r="D3294">
        <v>74</v>
      </c>
      <c r="E3294" s="4" t="s">
        <v>12</v>
      </c>
      <c r="F3294" t="s">
        <v>13</v>
      </c>
      <c r="G3294" s="1">
        <v>45393</v>
      </c>
      <c r="H3294" s="1">
        <f>TablaDatos[[#This Row],[FechaIngreso]]+TablaDatos[[#This Row],[DiasNuevo]]</f>
        <v>45427</v>
      </c>
      <c r="I3294">
        <v>34</v>
      </c>
      <c r="J3294" t="s">
        <v>19</v>
      </c>
      <c r="K3294" s="3">
        <v>10854.14</v>
      </c>
      <c r="L3294" t="b">
        <f>TablaDatos[[#This Row],[FechaAlta]] &lt; TablaDatos[[#This Row],[FechaIngreso]]</f>
        <v>0</v>
      </c>
      <c r="M3294">
        <f>_xlfn.XLOOKUP(TablaDatos[[#This Row],[PacienteID]],'Datos_Ejemplo.csv'!A:A,'Datos_Ejemplo.csv'!I:I)</f>
        <v>34</v>
      </c>
      <c r="N3294">
        <f>ABS(TablaDatos[[#This Row],[DiasOriginal]])</f>
        <v>34</v>
      </c>
      <c r="O3294" s="1">
        <f>TablaDatos[[#This Row],[FechaIngreso]]+TablaDatos[[#This Row],[DiasNuevo]]</f>
        <v>45427</v>
      </c>
    </row>
    <row r="3295" spans="1:15">
      <c r="A3295">
        <v>3294</v>
      </c>
      <c r="B3295" t="s">
        <v>278</v>
      </c>
      <c r="C3295" s="1">
        <v>27029</v>
      </c>
      <c r="D3295">
        <v>52</v>
      </c>
      <c r="E3295" s="4" t="s">
        <v>12</v>
      </c>
      <c r="F3295" t="s">
        <v>201</v>
      </c>
      <c r="G3295" s="1">
        <v>45395</v>
      </c>
      <c r="H3295" s="1">
        <f>TablaDatos[[#This Row],[FechaIngreso]]+TablaDatos[[#This Row],[DiasNuevo]]</f>
        <v>45419</v>
      </c>
      <c r="I3295">
        <v>24</v>
      </c>
      <c r="J3295" t="s">
        <v>23</v>
      </c>
      <c r="K3295" s="3">
        <v>6022.18</v>
      </c>
      <c r="L3295" t="b">
        <f>TablaDatos[[#This Row],[FechaAlta]] &lt; TablaDatos[[#This Row],[FechaIngreso]]</f>
        <v>0</v>
      </c>
      <c r="M3295">
        <f>_xlfn.XLOOKUP(TablaDatos[[#This Row],[PacienteID]],'Datos_Ejemplo.csv'!A:A,'Datos_Ejemplo.csv'!I:I)</f>
        <v>24</v>
      </c>
      <c r="N3295">
        <f>ABS(TablaDatos[[#This Row],[DiasOriginal]])</f>
        <v>24</v>
      </c>
      <c r="O3295" s="1">
        <f>TablaDatos[[#This Row],[FechaIngreso]]+TablaDatos[[#This Row],[DiasNuevo]]</f>
        <v>45419</v>
      </c>
    </row>
    <row r="3296" spans="1:15">
      <c r="A3296">
        <v>3295</v>
      </c>
      <c r="B3296" t="s">
        <v>235</v>
      </c>
      <c r="C3296" s="1">
        <v>24838</v>
      </c>
      <c r="D3296">
        <v>58</v>
      </c>
      <c r="E3296" s="4" t="s">
        <v>15</v>
      </c>
      <c r="F3296" t="s">
        <v>201</v>
      </c>
      <c r="G3296" s="1">
        <v>45558</v>
      </c>
      <c r="H3296" s="1">
        <f>TablaDatos[[#This Row],[FechaIngreso]]+TablaDatos[[#This Row],[DiasNuevo]]</f>
        <v>45560</v>
      </c>
      <c r="I3296">
        <v>2</v>
      </c>
      <c r="J3296" t="s">
        <v>25</v>
      </c>
      <c r="K3296" s="3">
        <v>13522.51</v>
      </c>
      <c r="L3296" t="b">
        <f>TablaDatos[[#This Row],[FechaAlta]] &lt; TablaDatos[[#This Row],[FechaIngreso]]</f>
        <v>0</v>
      </c>
      <c r="M3296">
        <f>_xlfn.XLOOKUP(TablaDatos[[#This Row],[PacienteID]],'Datos_Ejemplo.csv'!A:A,'Datos_Ejemplo.csv'!I:I)</f>
        <v>2</v>
      </c>
      <c r="N3296">
        <f>ABS(TablaDatos[[#This Row],[DiasOriginal]])</f>
        <v>2</v>
      </c>
      <c r="O3296" s="1">
        <f>TablaDatos[[#This Row],[FechaIngreso]]+TablaDatos[[#This Row],[DiasNuevo]]</f>
        <v>45560</v>
      </c>
    </row>
    <row r="3297" spans="1:15">
      <c r="A3297">
        <v>3296</v>
      </c>
      <c r="B3297" t="s">
        <v>327</v>
      </c>
      <c r="C3297" s="1">
        <v>17898</v>
      </c>
      <c r="D3297">
        <v>77</v>
      </c>
      <c r="E3297" s="4" t="s">
        <v>15</v>
      </c>
      <c r="F3297" t="s">
        <v>201</v>
      </c>
      <c r="G3297" s="1">
        <v>45473</v>
      </c>
      <c r="H3297" s="1">
        <f>TablaDatos[[#This Row],[FechaIngreso]]+TablaDatos[[#This Row],[DiasNuevo]]</f>
        <v>45487</v>
      </c>
      <c r="I3297">
        <v>14</v>
      </c>
      <c r="J3297" t="s">
        <v>23</v>
      </c>
      <c r="K3297" s="3">
        <v>14210.61</v>
      </c>
      <c r="L3297" t="b">
        <f>TablaDatos[[#This Row],[FechaAlta]] &lt; TablaDatos[[#This Row],[FechaIngreso]]</f>
        <v>0</v>
      </c>
      <c r="M3297">
        <f>_xlfn.XLOOKUP(TablaDatos[[#This Row],[PacienteID]],'Datos_Ejemplo.csv'!A:A,'Datos_Ejemplo.csv'!I:I)</f>
        <v>14</v>
      </c>
      <c r="N3297">
        <f>ABS(TablaDatos[[#This Row],[DiasOriginal]])</f>
        <v>14</v>
      </c>
      <c r="O3297" s="1">
        <f>TablaDatos[[#This Row],[FechaIngreso]]+TablaDatos[[#This Row],[DiasNuevo]]</f>
        <v>45487</v>
      </c>
    </row>
    <row r="3298" spans="1:15">
      <c r="A3298">
        <v>3297</v>
      </c>
      <c r="B3298" t="s">
        <v>290</v>
      </c>
      <c r="C3298" s="1">
        <v>12054</v>
      </c>
      <c r="D3298">
        <v>93</v>
      </c>
      <c r="E3298" s="4" t="s">
        <v>12</v>
      </c>
      <c r="F3298" t="s">
        <v>18</v>
      </c>
      <c r="G3298" s="1">
        <v>45645</v>
      </c>
      <c r="H3298" s="1">
        <f>TablaDatos[[#This Row],[FechaIngreso]]+TablaDatos[[#This Row],[DiasNuevo]]</f>
        <v>45680</v>
      </c>
      <c r="I3298">
        <v>35</v>
      </c>
      <c r="J3298" t="s">
        <v>23</v>
      </c>
      <c r="K3298" s="3">
        <v>13474.7</v>
      </c>
      <c r="L3298" t="b">
        <f>TablaDatos[[#This Row],[FechaAlta]] &lt; TablaDatos[[#This Row],[FechaIngreso]]</f>
        <v>0</v>
      </c>
      <c r="M3298">
        <f>_xlfn.XLOOKUP(TablaDatos[[#This Row],[PacienteID]],'Datos_Ejemplo.csv'!A:A,'Datos_Ejemplo.csv'!I:I)</f>
        <v>35</v>
      </c>
      <c r="N3298">
        <f>ABS(TablaDatos[[#This Row],[DiasOriginal]])</f>
        <v>35</v>
      </c>
      <c r="O3298" s="1">
        <f>TablaDatos[[#This Row],[FechaIngreso]]+TablaDatos[[#This Row],[DiasNuevo]]</f>
        <v>45680</v>
      </c>
    </row>
    <row r="3299" spans="1:15">
      <c r="A3299">
        <v>3298</v>
      </c>
      <c r="B3299" t="s">
        <v>349</v>
      </c>
      <c r="C3299" s="1">
        <v>31412</v>
      </c>
      <c r="D3299">
        <v>40</v>
      </c>
      <c r="E3299" s="4" t="s">
        <v>15</v>
      </c>
      <c r="F3299" t="s">
        <v>32</v>
      </c>
      <c r="G3299" s="1">
        <v>45196</v>
      </c>
      <c r="H3299" s="1">
        <f>TablaDatos[[#This Row],[FechaIngreso]]+TablaDatos[[#This Row],[DiasNuevo]]</f>
        <v>45234</v>
      </c>
      <c r="I3299">
        <v>38</v>
      </c>
      <c r="J3299" t="s">
        <v>25</v>
      </c>
      <c r="K3299" s="3">
        <v>18928.849999999999</v>
      </c>
      <c r="L3299" t="b">
        <f>TablaDatos[[#This Row],[FechaAlta]] &lt; TablaDatos[[#This Row],[FechaIngreso]]</f>
        <v>0</v>
      </c>
      <c r="M3299">
        <f>_xlfn.XLOOKUP(TablaDatos[[#This Row],[PacienteID]],'Datos_Ejemplo.csv'!A:A,'Datos_Ejemplo.csv'!I:I)</f>
        <v>38</v>
      </c>
      <c r="N3299">
        <f>ABS(TablaDatos[[#This Row],[DiasOriginal]])</f>
        <v>38</v>
      </c>
      <c r="O3299" s="1">
        <f>TablaDatos[[#This Row],[FechaIngreso]]+TablaDatos[[#This Row],[DiasNuevo]]</f>
        <v>45234</v>
      </c>
    </row>
    <row r="3300" spans="1:15">
      <c r="A3300">
        <v>3299</v>
      </c>
      <c r="B3300" t="s">
        <v>111</v>
      </c>
      <c r="C3300" s="1">
        <v>21551</v>
      </c>
      <c r="D3300">
        <v>67</v>
      </c>
      <c r="E3300" s="4" t="s">
        <v>15</v>
      </c>
      <c r="F3300" t="s">
        <v>21</v>
      </c>
      <c r="G3300" s="1">
        <v>45531</v>
      </c>
      <c r="H3300" s="1">
        <f>TablaDatos[[#This Row],[FechaIngreso]]+TablaDatos[[#This Row],[DiasNuevo]]</f>
        <v>45540</v>
      </c>
      <c r="I3300">
        <v>9</v>
      </c>
      <c r="J3300" t="s">
        <v>19</v>
      </c>
      <c r="K3300" s="3">
        <v>7280.3</v>
      </c>
      <c r="L3300" t="b">
        <f>TablaDatos[[#This Row],[FechaAlta]] &lt; TablaDatos[[#This Row],[FechaIngreso]]</f>
        <v>0</v>
      </c>
      <c r="M3300">
        <f>_xlfn.XLOOKUP(TablaDatos[[#This Row],[PacienteID]],'Datos_Ejemplo.csv'!A:A,'Datos_Ejemplo.csv'!I:I)</f>
        <v>9</v>
      </c>
      <c r="N3300">
        <f>ABS(TablaDatos[[#This Row],[DiasOriginal]])</f>
        <v>9</v>
      </c>
      <c r="O3300" s="1">
        <f>TablaDatos[[#This Row],[FechaIngreso]]+TablaDatos[[#This Row],[DiasNuevo]]</f>
        <v>45540</v>
      </c>
    </row>
    <row r="3301" spans="1:15">
      <c r="A3301">
        <v>3300</v>
      </c>
      <c r="B3301" t="s">
        <v>267</v>
      </c>
      <c r="C3301" s="1">
        <v>21551</v>
      </c>
      <c r="D3301">
        <v>67</v>
      </c>
      <c r="E3301" s="4" t="s">
        <v>15</v>
      </c>
      <c r="F3301" t="s">
        <v>201</v>
      </c>
      <c r="G3301" s="1">
        <v>45304</v>
      </c>
      <c r="H3301" s="1">
        <f>TablaDatos[[#This Row],[FechaIngreso]]+TablaDatos[[#This Row],[DiasNuevo]]</f>
        <v>45343</v>
      </c>
      <c r="I3301">
        <v>39</v>
      </c>
      <c r="J3301" t="s">
        <v>23</v>
      </c>
      <c r="K3301" s="3">
        <v>697.12</v>
      </c>
      <c r="L3301" t="b">
        <f>TablaDatos[[#This Row],[FechaAlta]] &lt; TablaDatos[[#This Row],[FechaIngreso]]</f>
        <v>0</v>
      </c>
      <c r="M3301">
        <f>_xlfn.XLOOKUP(TablaDatos[[#This Row],[PacienteID]],'Datos_Ejemplo.csv'!A:A,'Datos_Ejemplo.csv'!I:I)</f>
        <v>39</v>
      </c>
      <c r="N3301">
        <f>ABS(TablaDatos[[#This Row],[DiasOriginal]])</f>
        <v>39</v>
      </c>
      <c r="O3301" s="1">
        <f>TablaDatos[[#This Row],[FechaIngreso]]+TablaDatos[[#This Row],[DiasNuevo]]</f>
        <v>45343</v>
      </c>
    </row>
    <row r="3302" spans="1:15">
      <c r="A3302">
        <v>3301</v>
      </c>
      <c r="B3302" t="s">
        <v>271</v>
      </c>
      <c r="C3302" s="1">
        <f ca="1">DATE(YEAR(TODAY())-TablaDatos[[#This Row],[Edad]],1,1)</f>
        <v>12785</v>
      </c>
      <c r="D3302">
        <v>91</v>
      </c>
      <c r="E3302" s="4" t="s">
        <v>12</v>
      </c>
      <c r="F3302" t="s">
        <v>21</v>
      </c>
      <c r="G3302" s="1">
        <v>45103</v>
      </c>
      <c r="H3302" s="1">
        <f>TablaDatos[[#This Row],[FechaIngreso]]+TablaDatos[[#This Row],[DiasNuevo]]</f>
        <v>45131</v>
      </c>
      <c r="I3302">
        <v>28</v>
      </c>
      <c r="J3302" t="s">
        <v>25</v>
      </c>
      <c r="K3302" s="3">
        <v>18159.73</v>
      </c>
      <c r="L3302" t="b">
        <f>TablaDatos[[#This Row],[FechaAlta]] &lt; TablaDatos[[#This Row],[FechaIngreso]]</f>
        <v>0</v>
      </c>
      <c r="M3302">
        <f>_xlfn.XLOOKUP(TablaDatos[[#This Row],[PacienteID]],'Datos_Ejemplo.csv'!A:A,'Datos_Ejemplo.csv'!I:I)</f>
        <v>28</v>
      </c>
      <c r="N3302">
        <f>ABS(TablaDatos[[#This Row],[DiasOriginal]])</f>
        <v>28</v>
      </c>
      <c r="O3302" s="1">
        <f>TablaDatos[[#This Row],[FechaIngreso]]+TablaDatos[[#This Row],[DiasNuevo]]</f>
        <v>45131</v>
      </c>
    </row>
    <row r="3303" spans="1:15">
      <c r="A3303">
        <v>3302</v>
      </c>
      <c r="B3303" t="s">
        <v>51</v>
      </c>
      <c r="C3303" s="1">
        <v>43466</v>
      </c>
      <c r="D3303">
        <v>7</v>
      </c>
      <c r="E3303" s="4" t="s">
        <v>15</v>
      </c>
      <c r="F3303" t="s">
        <v>13</v>
      </c>
      <c r="G3303" s="1">
        <v>45200</v>
      </c>
      <c r="H3303" s="1">
        <f>TablaDatos[[#This Row],[FechaIngreso]]+TablaDatos[[#This Row],[DiasNuevo]]</f>
        <v>45230</v>
      </c>
      <c r="I3303">
        <v>30</v>
      </c>
      <c r="J3303" t="s">
        <v>19</v>
      </c>
      <c r="K3303" s="3">
        <v>3126.03</v>
      </c>
      <c r="L3303" t="b">
        <f>TablaDatos[[#This Row],[FechaAlta]] &lt; TablaDatos[[#This Row],[FechaIngreso]]</f>
        <v>0</v>
      </c>
      <c r="M3303">
        <f>_xlfn.XLOOKUP(TablaDatos[[#This Row],[PacienteID]],'Datos_Ejemplo.csv'!A:A,'Datos_Ejemplo.csv'!I:I)</f>
        <v>30</v>
      </c>
      <c r="N3303">
        <f>ABS(TablaDatos[[#This Row],[DiasOriginal]])</f>
        <v>30</v>
      </c>
      <c r="O3303" s="1">
        <f>TablaDatos[[#This Row],[FechaIngreso]]+TablaDatos[[#This Row],[DiasNuevo]]</f>
        <v>45230</v>
      </c>
    </row>
    <row r="3304" spans="1:15">
      <c r="A3304">
        <v>3303</v>
      </c>
      <c r="B3304" t="s">
        <v>281</v>
      </c>
      <c r="C3304" s="1">
        <v>45657</v>
      </c>
      <c r="D3304">
        <v>1</v>
      </c>
      <c r="E3304" s="4" t="s">
        <v>12</v>
      </c>
      <c r="F3304" t="s">
        <v>13</v>
      </c>
      <c r="G3304" s="1">
        <v>45617</v>
      </c>
      <c r="H3304" s="1">
        <f>TablaDatos[[#This Row],[FechaIngreso]]+TablaDatos[[#This Row],[DiasNuevo]]</f>
        <v>45643</v>
      </c>
      <c r="I3304">
        <v>26</v>
      </c>
      <c r="J3304" t="s">
        <v>23</v>
      </c>
      <c r="K3304" s="3">
        <v>13916.1</v>
      </c>
      <c r="L3304" t="b">
        <f>TablaDatos[[#This Row],[FechaAlta]] &lt; TablaDatos[[#This Row],[FechaIngreso]]</f>
        <v>0</v>
      </c>
      <c r="M3304">
        <f>_xlfn.XLOOKUP(TablaDatos[[#This Row],[PacienteID]],'Datos_Ejemplo.csv'!A:A,'Datos_Ejemplo.csv'!I:I)</f>
        <v>26</v>
      </c>
      <c r="N3304">
        <f>ABS(TablaDatos[[#This Row],[DiasOriginal]])</f>
        <v>26</v>
      </c>
      <c r="O3304" s="1">
        <f>TablaDatos[[#This Row],[FechaIngreso]]+TablaDatos[[#This Row],[DiasNuevo]]</f>
        <v>45643</v>
      </c>
    </row>
    <row r="3305" spans="1:15">
      <c r="A3305">
        <v>3304</v>
      </c>
      <c r="B3305" t="s">
        <v>297</v>
      </c>
      <c r="C3305" s="1">
        <v>14976</v>
      </c>
      <c r="D3305">
        <f ca="1">DATEDIF(TablaDatos[[#This Row],[FechaNacimiento]],TODAY(),"Y")</f>
        <v>85</v>
      </c>
      <c r="E3305" s="4" t="s">
        <v>15</v>
      </c>
      <c r="F3305" t="s">
        <v>13</v>
      </c>
      <c r="G3305" s="1">
        <v>45567</v>
      </c>
      <c r="H3305" s="1">
        <f>TablaDatos[[#This Row],[FechaIngreso]]+TablaDatos[[#This Row],[DiasNuevo]]</f>
        <v>45602</v>
      </c>
      <c r="I3305">
        <v>35</v>
      </c>
      <c r="J3305" t="s">
        <v>25</v>
      </c>
      <c r="K3305" s="3">
        <v>17451.41</v>
      </c>
      <c r="L3305" t="b">
        <f>TablaDatos[[#This Row],[FechaAlta]] &lt; TablaDatos[[#This Row],[FechaIngreso]]</f>
        <v>0</v>
      </c>
      <c r="M3305">
        <f>_xlfn.XLOOKUP(TablaDatos[[#This Row],[PacienteID]],'Datos_Ejemplo.csv'!A:A,'Datos_Ejemplo.csv'!I:I)</f>
        <v>35</v>
      </c>
      <c r="N3305">
        <f>ABS(TablaDatos[[#This Row],[DiasOriginal]])</f>
        <v>35</v>
      </c>
      <c r="O3305" s="1">
        <f>TablaDatos[[#This Row],[FechaIngreso]]+TablaDatos[[#This Row],[DiasNuevo]]</f>
        <v>45602</v>
      </c>
    </row>
    <row r="3306" spans="1:15">
      <c r="A3306">
        <v>3305</v>
      </c>
      <c r="B3306" t="s">
        <v>289</v>
      </c>
      <c r="C3306" s="1">
        <v>31412</v>
      </c>
      <c r="D3306">
        <v>40</v>
      </c>
      <c r="E3306" s="4" t="s">
        <v>15</v>
      </c>
      <c r="F3306" t="s">
        <v>261</v>
      </c>
      <c r="G3306" s="1">
        <v>45563</v>
      </c>
      <c r="H3306" s="1">
        <f>TablaDatos[[#This Row],[FechaIngreso]]+TablaDatos[[#This Row],[DiasNuevo]]</f>
        <v>45563</v>
      </c>
      <c r="I3306">
        <v>0</v>
      </c>
      <c r="J3306" t="s">
        <v>23</v>
      </c>
      <c r="K3306" s="3">
        <v>6133.84</v>
      </c>
      <c r="L3306" t="b">
        <f>TablaDatos[[#This Row],[FechaAlta]] &lt; TablaDatos[[#This Row],[FechaIngreso]]</f>
        <v>0</v>
      </c>
      <c r="M3306">
        <f>_xlfn.XLOOKUP(TablaDatos[[#This Row],[PacienteID]],'Datos_Ejemplo.csv'!A:A,'Datos_Ejemplo.csv'!I:I)</f>
        <v>0</v>
      </c>
      <c r="N3306">
        <f>ABS(TablaDatos[[#This Row],[DiasOriginal]])</f>
        <v>0</v>
      </c>
      <c r="O3306" s="1">
        <f>TablaDatos[[#This Row],[FechaIngreso]]+TablaDatos[[#This Row],[DiasNuevo]]</f>
        <v>45563</v>
      </c>
    </row>
    <row r="3307" spans="1:15">
      <c r="A3307">
        <v>3306</v>
      </c>
      <c r="B3307" t="s">
        <v>341</v>
      </c>
      <c r="C3307" s="1">
        <v>26299</v>
      </c>
      <c r="D3307">
        <v>54</v>
      </c>
      <c r="E3307" s="4" t="s">
        <v>15</v>
      </c>
      <c r="F3307" t="s">
        <v>13</v>
      </c>
      <c r="G3307" s="1">
        <v>44953</v>
      </c>
      <c r="H3307" s="1">
        <f>TablaDatos[[#This Row],[FechaIngreso]]+TablaDatos[[#This Row],[DiasNuevo]]</f>
        <v>44988</v>
      </c>
      <c r="I3307">
        <v>35</v>
      </c>
      <c r="J3307" t="s">
        <v>25</v>
      </c>
      <c r="K3307" s="3">
        <v>16591.349999999999</v>
      </c>
      <c r="L3307" t="b">
        <f>TablaDatos[[#This Row],[FechaAlta]] &lt; TablaDatos[[#This Row],[FechaIngreso]]</f>
        <v>0</v>
      </c>
      <c r="M3307">
        <f>_xlfn.XLOOKUP(TablaDatos[[#This Row],[PacienteID]],'Datos_Ejemplo.csv'!A:A,'Datos_Ejemplo.csv'!I:I)</f>
        <v>35</v>
      </c>
      <c r="N3307">
        <f>ABS(TablaDatos[[#This Row],[DiasOriginal]])</f>
        <v>35</v>
      </c>
      <c r="O3307" s="1">
        <f>TablaDatos[[#This Row],[FechaIngreso]]+TablaDatos[[#This Row],[DiasNuevo]]</f>
        <v>44988</v>
      </c>
    </row>
    <row r="3308" spans="1:15">
      <c r="A3308">
        <v>3307</v>
      </c>
      <c r="B3308" t="s">
        <v>246</v>
      </c>
      <c r="C3308" s="1">
        <v>40544</v>
      </c>
      <c r="D3308">
        <v>15</v>
      </c>
      <c r="E3308" s="4" t="s">
        <v>15</v>
      </c>
      <c r="F3308" t="s">
        <v>201</v>
      </c>
      <c r="G3308" s="1">
        <v>45502</v>
      </c>
      <c r="H3308" s="1">
        <f>TablaDatos[[#This Row],[FechaIngreso]]+TablaDatos[[#This Row],[DiasNuevo]]</f>
        <v>45540</v>
      </c>
      <c r="I3308">
        <v>38</v>
      </c>
      <c r="J3308" t="s">
        <v>23</v>
      </c>
      <c r="K3308" s="3">
        <v>6574.37</v>
      </c>
      <c r="L3308" t="b">
        <f>TablaDatos[[#This Row],[FechaAlta]] &lt; TablaDatos[[#This Row],[FechaIngreso]]</f>
        <v>0</v>
      </c>
      <c r="M3308">
        <f>_xlfn.XLOOKUP(TablaDatos[[#This Row],[PacienteID]],'Datos_Ejemplo.csv'!A:A,'Datos_Ejemplo.csv'!I:I)</f>
        <v>38</v>
      </c>
      <c r="N3308">
        <f>ABS(TablaDatos[[#This Row],[DiasOriginal]])</f>
        <v>38</v>
      </c>
      <c r="O3308" s="1">
        <f>TablaDatos[[#This Row],[FechaIngreso]]+TablaDatos[[#This Row],[DiasNuevo]]</f>
        <v>45540</v>
      </c>
    </row>
    <row r="3309" spans="1:15">
      <c r="A3309">
        <v>3308</v>
      </c>
      <c r="B3309" t="s">
        <v>280</v>
      </c>
      <c r="C3309" s="1">
        <v>12419</v>
      </c>
      <c r="D3309">
        <v>92</v>
      </c>
      <c r="E3309" s="4" t="s">
        <v>12</v>
      </c>
      <c r="F3309" t="s">
        <v>18</v>
      </c>
      <c r="G3309" s="1">
        <v>44986</v>
      </c>
      <c r="H3309" s="1">
        <f>TablaDatos[[#This Row],[FechaIngreso]]+TablaDatos[[#This Row],[DiasNuevo]]</f>
        <v>45023</v>
      </c>
      <c r="I3309">
        <v>37</v>
      </c>
      <c r="J3309" t="s">
        <v>23</v>
      </c>
      <c r="K3309" s="3">
        <v>15864.58</v>
      </c>
      <c r="L3309" t="b">
        <f>TablaDatos[[#This Row],[FechaAlta]] &lt; TablaDatos[[#This Row],[FechaIngreso]]</f>
        <v>0</v>
      </c>
      <c r="M3309">
        <f>_xlfn.XLOOKUP(TablaDatos[[#This Row],[PacienteID]],'Datos_Ejemplo.csv'!A:A,'Datos_Ejemplo.csv'!I:I)</f>
        <v>37</v>
      </c>
      <c r="N3309">
        <f>ABS(TablaDatos[[#This Row],[DiasOriginal]])</f>
        <v>37</v>
      </c>
      <c r="O3309" s="1">
        <f>TablaDatos[[#This Row],[FechaIngreso]]+TablaDatos[[#This Row],[DiasNuevo]]</f>
        <v>45023</v>
      </c>
    </row>
    <row r="3310" spans="1:15">
      <c r="A3310">
        <v>3309</v>
      </c>
      <c r="B3310" t="s">
        <v>354</v>
      </c>
      <c r="C3310" s="1">
        <v>23742</v>
      </c>
      <c r="D3310">
        <v>61</v>
      </c>
      <c r="E3310" s="4" t="s">
        <v>15</v>
      </c>
      <c r="F3310" t="s">
        <v>18</v>
      </c>
      <c r="G3310" s="1">
        <v>45143</v>
      </c>
      <c r="H3310" s="1">
        <f>TablaDatos[[#This Row],[FechaIngreso]]+TablaDatos[[#This Row],[DiasNuevo]]</f>
        <v>45170</v>
      </c>
      <c r="I3310">
        <v>27</v>
      </c>
      <c r="J3310" t="s">
        <v>23</v>
      </c>
      <c r="K3310" s="3">
        <v>1303.58</v>
      </c>
      <c r="L3310" t="b">
        <f>TablaDatos[[#This Row],[FechaAlta]] &lt; TablaDatos[[#This Row],[FechaIngreso]]</f>
        <v>0</v>
      </c>
      <c r="M3310">
        <f>_xlfn.XLOOKUP(TablaDatos[[#This Row],[PacienteID]],'Datos_Ejemplo.csv'!A:A,'Datos_Ejemplo.csv'!I:I)</f>
        <v>27</v>
      </c>
      <c r="N3310">
        <f>ABS(TablaDatos[[#This Row],[DiasOriginal]])</f>
        <v>27</v>
      </c>
      <c r="O3310" s="1">
        <f>TablaDatos[[#This Row],[FechaIngreso]]+TablaDatos[[#This Row],[DiasNuevo]]</f>
        <v>45170</v>
      </c>
    </row>
    <row r="3311" spans="1:15">
      <c r="A3311">
        <v>3310</v>
      </c>
      <c r="B3311" t="s">
        <v>257</v>
      </c>
      <c r="C3311" s="1">
        <v>28856</v>
      </c>
      <c r="D3311">
        <v>47</v>
      </c>
      <c r="E3311" s="4" t="s">
        <v>15</v>
      </c>
      <c r="F3311" t="s">
        <v>32</v>
      </c>
      <c r="G3311" s="1">
        <v>45607</v>
      </c>
      <c r="H3311" s="1">
        <f>TablaDatos[[#This Row],[FechaIngreso]]+TablaDatos[[#This Row],[DiasNuevo]]</f>
        <v>45626</v>
      </c>
      <c r="I3311">
        <v>19</v>
      </c>
      <c r="J3311" t="s">
        <v>25</v>
      </c>
      <c r="K3311" s="3">
        <v>13070.38</v>
      </c>
      <c r="L3311" t="b">
        <f>TablaDatos[[#This Row],[FechaAlta]] &lt; TablaDatos[[#This Row],[FechaIngreso]]</f>
        <v>0</v>
      </c>
      <c r="M3311">
        <f>_xlfn.XLOOKUP(TablaDatos[[#This Row],[PacienteID]],'Datos_Ejemplo.csv'!A:A,'Datos_Ejemplo.csv'!I:I)</f>
        <v>19</v>
      </c>
      <c r="N3311">
        <f>ABS(TablaDatos[[#This Row],[DiasOriginal]])</f>
        <v>19</v>
      </c>
      <c r="O3311" s="1">
        <f>TablaDatos[[#This Row],[FechaIngreso]]+TablaDatos[[#This Row],[DiasNuevo]]</f>
        <v>45626</v>
      </c>
    </row>
    <row r="3312" spans="1:15">
      <c r="A3312">
        <v>3311</v>
      </c>
      <c r="B3312" t="s">
        <v>116</v>
      </c>
      <c r="C3312" s="1">
        <v>35430</v>
      </c>
      <c r="D3312">
        <v>29</v>
      </c>
      <c r="E3312" s="4" t="s">
        <v>12</v>
      </c>
      <c r="F3312" t="s">
        <v>18</v>
      </c>
      <c r="G3312" s="1">
        <v>45587</v>
      </c>
      <c r="H3312" s="1">
        <f>TablaDatos[[#This Row],[FechaIngreso]]+TablaDatos[[#This Row],[DiasNuevo]]</f>
        <v>45622</v>
      </c>
      <c r="I3312">
        <v>35</v>
      </c>
      <c r="J3312" t="s">
        <v>23</v>
      </c>
      <c r="K3312" s="3">
        <v>13510.48</v>
      </c>
      <c r="L3312" t="b">
        <f>TablaDatos[[#This Row],[FechaAlta]] &lt; TablaDatos[[#This Row],[FechaIngreso]]</f>
        <v>0</v>
      </c>
      <c r="M3312">
        <f>_xlfn.XLOOKUP(TablaDatos[[#This Row],[PacienteID]],'Datos_Ejemplo.csv'!A:A,'Datos_Ejemplo.csv'!I:I)</f>
        <v>35</v>
      </c>
      <c r="N3312">
        <f>ABS(TablaDatos[[#This Row],[DiasOriginal]])</f>
        <v>35</v>
      </c>
      <c r="O3312" s="1">
        <f>TablaDatos[[#This Row],[FechaIngreso]]+TablaDatos[[#This Row],[DiasNuevo]]</f>
        <v>45622</v>
      </c>
    </row>
    <row r="3313" spans="1:15">
      <c r="A3313">
        <v>3312</v>
      </c>
      <c r="B3313" t="s">
        <v>298</v>
      </c>
      <c r="C3313" s="1">
        <f ca="1">DATE(YEAR(TODAY())-TablaDatos[[#This Row],[Edad]],1,1)</f>
        <v>42005</v>
      </c>
      <c r="D3313">
        <v>11</v>
      </c>
      <c r="E3313" s="4" t="s">
        <v>12</v>
      </c>
      <c r="F3313" t="s">
        <v>261</v>
      </c>
      <c r="G3313" s="1">
        <v>45196</v>
      </c>
      <c r="H3313" s="1">
        <f>TablaDatos[[#This Row],[FechaIngreso]]+TablaDatos[[#This Row],[DiasNuevo]]</f>
        <v>45225</v>
      </c>
      <c r="I3313">
        <v>29</v>
      </c>
      <c r="J3313" t="s">
        <v>23</v>
      </c>
      <c r="K3313" s="3">
        <v>9777.66</v>
      </c>
      <c r="L3313" t="b">
        <f>TablaDatos[[#This Row],[FechaAlta]] &lt; TablaDatos[[#This Row],[FechaIngreso]]</f>
        <v>0</v>
      </c>
      <c r="M3313">
        <f>_xlfn.XLOOKUP(TablaDatos[[#This Row],[PacienteID]],'Datos_Ejemplo.csv'!A:A,'Datos_Ejemplo.csv'!I:I)</f>
        <v>29</v>
      </c>
      <c r="N3313">
        <f>ABS(TablaDatos[[#This Row],[DiasOriginal]])</f>
        <v>29</v>
      </c>
      <c r="O3313" s="1">
        <f>TablaDatos[[#This Row],[FechaIngreso]]+TablaDatos[[#This Row],[DiasNuevo]]</f>
        <v>45225</v>
      </c>
    </row>
    <row r="3314" spans="1:15">
      <c r="A3314">
        <v>3313</v>
      </c>
      <c r="B3314" t="s">
        <v>347</v>
      </c>
      <c r="C3314" s="1">
        <v>33604</v>
      </c>
      <c r="D3314">
        <v>34</v>
      </c>
      <c r="E3314" s="4" t="s">
        <v>15</v>
      </c>
      <c r="F3314" t="s">
        <v>21</v>
      </c>
      <c r="G3314" s="1">
        <v>45042</v>
      </c>
      <c r="H3314" s="1">
        <f>TablaDatos[[#This Row],[FechaIngreso]]+TablaDatos[[#This Row],[DiasNuevo]]</f>
        <v>45049</v>
      </c>
      <c r="I3314">
        <v>7</v>
      </c>
      <c r="J3314" t="s">
        <v>23</v>
      </c>
      <c r="K3314" s="3">
        <v>13710.53</v>
      </c>
      <c r="L3314" t="b">
        <f>TablaDatos[[#This Row],[FechaAlta]] &lt; TablaDatos[[#This Row],[FechaIngreso]]</f>
        <v>0</v>
      </c>
      <c r="M3314">
        <f>_xlfn.XLOOKUP(TablaDatos[[#This Row],[PacienteID]],'Datos_Ejemplo.csv'!A:A,'Datos_Ejemplo.csv'!I:I)</f>
        <v>7</v>
      </c>
      <c r="N3314">
        <f>ABS(TablaDatos[[#This Row],[DiasOriginal]])</f>
        <v>7</v>
      </c>
      <c r="O3314" s="1">
        <f>TablaDatos[[#This Row],[FechaIngreso]]+TablaDatos[[#This Row],[DiasNuevo]]</f>
        <v>45049</v>
      </c>
    </row>
    <row r="3315" spans="1:15">
      <c r="A3315">
        <v>3314</v>
      </c>
      <c r="B3315" t="s">
        <v>234</v>
      </c>
      <c r="C3315" s="1">
        <v>42370</v>
      </c>
      <c r="D3315">
        <v>10</v>
      </c>
      <c r="E3315" s="4" t="s">
        <v>15</v>
      </c>
      <c r="F3315" t="s">
        <v>32</v>
      </c>
      <c r="G3315" s="1">
        <v>45171</v>
      </c>
      <c r="H3315" s="1">
        <f>TablaDatos[[#This Row],[FechaIngreso]]+TablaDatos[[#This Row],[DiasNuevo]]</f>
        <v>45200</v>
      </c>
      <c r="I3315">
        <v>29</v>
      </c>
      <c r="J3315" t="s">
        <v>23</v>
      </c>
      <c r="K3315" s="3">
        <v>18455.990000000002</v>
      </c>
      <c r="L3315" t="b">
        <f>TablaDatos[[#This Row],[FechaAlta]] &lt; TablaDatos[[#This Row],[FechaIngreso]]</f>
        <v>0</v>
      </c>
      <c r="M3315">
        <f>_xlfn.XLOOKUP(TablaDatos[[#This Row],[PacienteID]],'Datos_Ejemplo.csv'!A:A,'Datos_Ejemplo.csv'!I:I)</f>
        <v>29</v>
      </c>
      <c r="N3315">
        <f>ABS(TablaDatos[[#This Row],[DiasOriginal]])</f>
        <v>29</v>
      </c>
      <c r="O3315" s="1">
        <f>TablaDatos[[#This Row],[FechaIngreso]]+TablaDatos[[#This Row],[DiasNuevo]]</f>
        <v>45200</v>
      </c>
    </row>
    <row r="3316" spans="1:15">
      <c r="A3316">
        <v>3315</v>
      </c>
      <c r="B3316" t="s">
        <v>262</v>
      </c>
      <c r="C3316" s="1">
        <v>23012</v>
      </c>
      <c r="D3316">
        <v>63</v>
      </c>
      <c r="E3316" s="4" t="s">
        <v>197</v>
      </c>
      <c r="F3316" t="s">
        <v>18</v>
      </c>
      <c r="G3316" s="1">
        <v>45586</v>
      </c>
      <c r="H3316" s="1">
        <f>TablaDatos[[#This Row],[FechaIngreso]]+TablaDatos[[#This Row],[DiasNuevo]]</f>
        <v>45587</v>
      </c>
      <c r="I3316">
        <v>1</v>
      </c>
      <c r="J3316" t="s">
        <v>23</v>
      </c>
      <c r="K3316" s="3">
        <v>14650.48</v>
      </c>
      <c r="L3316" t="b">
        <f>TablaDatos[[#This Row],[FechaAlta]] &lt; TablaDatos[[#This Row],[FechaIngreso]]</f>
        <v>0</v>
      </c>
      <c r="M3316">
        <f>_xlfn.XLOOKUP(TablaDatos[[#This Row],[PacienteID]],'Datos_Ejemplo.csv'!A:A,'Datos_Ejemplo.csv'!I:I)</f>
        <v>1</v>
      </c>
      <c r="N3316">
        <f>ABS(TablaDatos[[#This Row],[DiasOriginal]])</f>
        <v>1</v>
      </c>
      <c r="O3316" s="1">
        <f>TablaDatos[[#This Row],[FechaIngreso]]+TablaDatos[[#This Row],[DiasNuevo]]</f>
        <v>45587</v>
      </c>
    </row>
    <row r="3317" spans="1:15">
      <c r="A3317">
        <v>3316</v>
      </c>
      <c r="B3317" t="s">
        <v>278</v>
      </c>
      <c r="C3317" s="1">
        <v>28125</v>
      </c>
      <c r="D3317">
        <v>49</v>
      </c>
      <c r="E3317" s="4" t="s">
        <v>12</v>
      </c>
      <c r="F3317" t="s">
        <v>13</v>
      </c>
      <c r="G3317" s="1">
        <v>45530</v>
      </c>
      <c r="H3317" s="1">
        <f>TablaDatos[[#This Row],[FechaIngreso]]+TablaDatos[[#This Row],[DiasNuevo]]</f>
        <v>45556</v>
      </c>
      <c r="I3317">
        <v>26</v>
      </c>
      <c r="J3317" t="s">
        <v>19</v>
      </c>
      <c r="K3317" s="3">
        <v>19222.05</v>
      </c>
      <c r="L3317" t="b">
        <f>TablaDatos[[#This Row],[FechaAlta]] &lt; TablaDatos[[#This Row],[FechaIngreso]]</f>
        <v>0</v>
      </c>
      <c r="M3317">
        <f>_xlfn.XLOOKUP(TablaDatos[[#This Row],[PacienteID]],'Datos_Ejemplo.csv'!A:A,'Datos_Ejemplo.csv'!I:I)</f>
        <v>26</v>
      </c>
      <c r="N3317">
        <f>ABS(TablaDatos[[#This Row],[DiasOriginal]])</f>
        <v>26</v>
      </c>
      <c r="O3317" s="1">
        <f>TablaDatos[[#This Row],[FechaIngreso]]+TablaDatos[[#This Row],[DiasNuevo]]</f>
        <v>45556</v>
      </c>
    </row>
    <row r="3318" spans="1:15">
      <c r="A3318">
        <v>3317</v>
      </c>
      <c r="B3318" t="s">
        <v>250</v>
      </c>
      <c r="C3318" s="1">
        <v>15341</v>
      </c>
      <c r="D3318">
        <v>84</v>
      </c>
      <c r="E3318" s="4" t="s">
        <v>15</v>
      </c>
      <c r="F3318" t="s">
        <v>18</v>
      </c>
      <c r="G3318" s="1">
        <v>45011</v>
      </c>
      <c r="H3318" s="1">
        <f>TablaDatos[[#This Row],[FechaIngreso]]+TablaDatos[[#This Row],[DiasNuevo]]</f>
        <v>45016</v>
      </c>
      <c r="I3318">
        <v>5</v>
      </c>
      <c r="J3318" t="s">
        <v>25</v>
      </c>
      <c r="K3318" s="3">
        <v>8917.11</v>
      </c>
      <c r="L3318" t="b">
        <f>TablaDatos[[#This Row],[FechaAlta]] &lt; TablaDatos[[#This Row],[FechaIngreso]]</f>
        <v>0</v>
      </c>
      <c r="M3318">
        <f>_xlfn.XLOOKUP(TablaDatos[[#This Row],[PacienteID]],'Datos_Ejemplo.csv'!A:A,'Datos_Ejemplo.csv'!I:I)</f>
        <v>5</v>
      </c>
      <c r="N3318">
        <f>ABS(TablaDatos[[#This Row],[DiasOriginal]])</f>
        <v>5</v>
      </c>
      <c r="O3318" s="1">
        <f>TablaDatos[[#This Row],[FechaIngreso]]+TablaDatos[[#This Row],[DiasNuevo]]</f>
        <v>45016</v>
      </c>
    </row>
    <row r="3319" spans="1:15">
      <c r="A3319">
        <v>3318</v>
      </c>
      <c r="B3319" t="s">
        <v>239</v>
      </c>
      <c r="C3319" s="1">
        <v>38717</v>
      </c>
      <c r="D3319">
        <v>20</v>
      </c>
      <c r="E3319" s="4" t="s">
        <v>15</v>
      </c>
      <c r="F3319" t="s">
        <v>295</v>
      </c>
      <c r="G3319" s="1">
        <v>45525</v>
      </c>
      <c r="H3319" s="1">
        <f>TablaDatos[[#This Row],[FechaIngreso]]+TablaDatos[[#This Row],[DiasNuevo]]</f>
        <v>45542</v>
      </c>
      <c r="I3319">
        <v>17</v>
      </c>
      <c r="J3319" t="s">
        <v>23</v>
      </c>
      <c r="K3319" s="3">
        <v>10518.64</v>
      </c>
      <c r="L3319" t="b">
        <f>TablaDatos[[#This Row],[FechaAlta]] &lt; TablaDatos[[#This Row],[FechaIngreso]]</f>
        <v>0</v>
      </c>
      <c r="M3319">
        <f>_xlfn.XLOOKUP(TablaDatos[[#This Row],[PacienteID]],'Datos_Ejemplo.csv'!A:A,'Datos_Ejemplo.csv'!I:I)</f>
        <v>17</v>
      </c>
      <c r="N3319">
        <f>ABS(TablaDatos[[#This Row],[DiasOriginal]])</f>
        <v>17</v>
      </c>
      <c r="O3319" s="1">
        <f>TablaDatos[[#This Row],[FechaIngreso]]+TablaDatos[[#This Row],[DiasNuevo]]</f>
        <v>45542</v>
      </c>
    </row>
    <row r="3320" spans="1:15">
      <c r="A3320">
        <v>3319</v>
      </c>
      <c r="B3320" t="s">
        <v>103</v>
      </c>
      <c r="C3320" s="1">
        <v>21185</v>
      </c>
      <c r="D3320">
        <v>68</v>
      </c>
      <c r="E3320" s="4" t="s">
        <v>15</v>
      </c>
      <c r="F3320" t="s">
        <v>32</v>
      </c>
      <c r="G3320" s="1">
        <v>45558</v>
      </c>
      <c r="H3320" s="1">
        <f>TablaDatos[[#This Row],[FechaIngreso]]+TablaDatos[[#This Row],[DiasNuevo]]</f>
        <v>45562</v>
      </c>
      <c r="I3320">
        <v>4</v>
      </c>
      <c r="J3320" t="s">
        <v>23</v>
      </c>
      <c r="K3320" s="3">
        <v>5201.1499999999996</v>
      </c>
      <c r="L3320" t="b">
        <f>TablaDatos[[#This Row],[FechaAlta]] &lt; TablaDatos[[#This Row],[FechaIngreso]]</f>
        <v>0</v>
      </c>
      <c r="M3320">
        <f>_xlfn.XLOOKUP(TablaDatos[[#This Row],[PacienteID]],'Datos_Ejemplo.csv'!A:A,'Datos_Ejemplo.csv'!I:I)</f>
        <v>4</v>
      </c>
      <c r="N3320">
        <f>ABS(TablaDatos[[#This Row],[DiasOriginal]])</f>
        <v>4</v>
      </c>
      <c r="O3320" s="1">
        <f>TablaDatos[[#This Row],[FechaIngreso]]+TablaDatos[[#This Row],[DiasNuevo]]</f>
        <v>45562</v>
      </c>
    </row>
    <row r="3321" spans="1:15">
      <c r="A3321">
        <v>3320</v>
      </c>
      <c r="B3321" t="s">
        <v>287</v>
      </c>
      <c r="C3321" s="1">
        <v>28856</v>
      </c>
      <c r="D3321">
        <v>47</v>
      </c>
      <c r="E3321" s="4" t="s">
        <v>15</v>
      </c>
      <c r="F3321" t="s">
        <v>201</v>
      </c>
      <c r="G3321" s="1">
        <v>45376</v>
      </c>
      <c r="H3321" s="1">
        <f>TablaDatos[[#This Row],[FechaIngreso]]+TablaDatos[[#This Row],[DiasNuevo]]</f>
        <v>45378</v>
      </c>
      <c r="I3321">
        <v>2</v>
      </c>
      <c r="J3321" t="s">
        <v>25</v>
      </c>
      <c r="K3321" s="3">
        <v>19710.59</v>
      </c>
      <c r="L3321" t="b">
        <f>TablaDatos[[#This Row],[FechaAlta]] &lt; TablaDatos[[#This Row],[FechaIngreso]]</f>
        <v>0</v>
      </c>
      <c r="M3321">
        <f>_xlfn.XLOOKUP(TablaDatos[[#This Row],[PacienteID]],'Datos_Ejemplo.csv'!A:A,'Datos_Ejemplo.csv'!I:I)</f>
        <v>-2</v>
      </c>
      <c r="N3321">
        <f>ABS(TablaDatos[[#This Row],[DiasOriginal]])</f>
        <v>2</v>
      </c>
      <c r="O3321" s="1">
        <f>TablaDatos[[#This Row],[FechaIngreso]]+TablaDatos[[#This Row],[DiasNuevo]]</f>
        <v>45378</v>
      </c>
    </row>
    <row r="3322" spans="1:15">
      <c r="A3322">
        <v>3321</v>
      </c>
      <c r="B3322" t="s">
        <v>306</v>
      </c>
      <c r="C3322" s="1">
        <v>39083</v>
      </c>
      <c r="D3322">
        <v>19</v>
      </c>
      <c r="E3322" s="4" t="s">
        <v>12</v>
      </c>
      <c r="F3322" t="s">
        <v>201</v>
      </c>
      <c r="G3322" s="1">
        <v>45462</v>
      </c>
      <c r="H3322" s="1">
        <f>TablaDatos[[#This Row],[FechaIngreso]]+TablaDatos[[#This Row],[DiasNuevo]]</f>
        <v>45484</v>
      </c>
      <c r="I3322">
        <v>22</v>
      </c>
      <c r="J3322" t="s">
        <v>23</v>
      </c>
      <c r="K3322" s="3">
        <v>1008.25</v>
      </c>
      <c r="L3322" t="b">
        <f>TablaDatos[[#This Row],[FechaAlta]] &lt; TablaDatos[[#This Row],[FechaIngreso]]</f>
        <v>0</v>
      </c>
      <c r="M3322">
        <f>_xlfn.XLOOKUP(TablaDatos[[#This Row],[PacienteID]],'Datos_Ejemplo.csv'!A:A,'Datos_Ejemplo.csv'!I:I)</f>
        <v>22</v>
      </c>
      <c r="N3322">
        <f>ABS(TablaDatos[[#This Row],[DiasOriginal]])</f>
        <v>22</v>
      </c>
      <c r="O3322" s="1">
        <f>TablaDatos[[#This Row],[FechaIngreso]]+TablaDatos[[#This Row],[DiasNuevo]]</f>
        <v>45484</v>
      </c>
    </row>
    <row r="3323" spans="1:15">
      <c r="A3323">
        <v>3322</v>
      </c>
      <c r="B3323" t="s">
        <v>277</v>
      </c>
      <c r="C3323" s="1">
        <v>21916</v>
      </c>
      <c r="D3323">
        <v>66</v>
      </c>
      <c r="E3323" s="4" t="s">
        <v>12</v>
      </c>
      <c r="F3323" t="s">
        <v>261</v>
      </c>
      <c r="G3323" s="1">
        <v>45015</v>
      </c>
      <c r="H3323" s="1">
        <f>TablaDatos[[#This Row],[FechaIngreso]]+TablaDatos[[#This Row],[DiasNuevo]]</f>
        <v>45038</v>
      </c>
      <c r="I3323">
        <v>23</v>
      </c>
      <c r="J3323" t="s">
        <v>25</v>
      </c>
      <c r="K3323" s="3">
        <v>7108.27</v>
      </c>
      <c r="L3323" t="b">
        <f>TablaDatos[[#This Row],[FechaAlta]] &lt; TablaDatos[[#This Row],[FechaIngreso]]</f>
        <v>0</v>
      </c>
      <c r="M3323">
        <f>_xlfn.XLOOKUP(TablaDatos[[#This Row],[PacienteID]],'Datos_Ejemplo.csv'!A:A,'Datos_Ejemplo.csv'!I:I)</f>
        <v>23</v>
      </c>
      <c r="N3323">
        <f>ABS(TablaDatos[[#This Row],[DiasOriginal]])</f>
        <v>23</v>
      </c>
      <c r="O3323" s="1">
        <f>TablaDatos[[#This Row],[FechaIngreso]]+TablaDatos[[#This Row],[DiasNuevo]]</f>
        <v>45038</v>
      </c>
    </row>
    <row r="3324" spans="1:15">
      <c r="A3324">
        <v>3323</v>
      </c>
      <c r="B3324" t="s">
        <v>55</v>
      </c>
      <c r="C3324" s="1">
        <v>30317</v>
      </c>
      <c r="D3324">
        <v>43</v>
      </c>
      <c r="E3324" s="4" t="s">
        <v>15</v>
      </c>
      <c r="F3324" t="s">
        <v>18</v>
      </c>
      <c r="G3324" s="1">
        <v>45475</v>
      </c>
      <c r="H3324" s="1">
        <f>TablaDatos[[#This Row],[FechaIngreso]]+TablaDatos[[#This Row],[DiasNuevo]]</f>
        <v>45481</v>
      </c>
      <c r="I3324">
        <v>6</v>
      </c>
      <c r="J3324" t="s">
        <v>25</v>
      </c>
      <c r="K3324" s="3">
        <v>5883.71</v>
      </c>
      <c r="L3324" t="b">
        <f>TablaDatos[[#This Row],[FechaAlta]] &lt; TablaDatos[[#This Row],[FechaIngreso]]</f>
        <v>0</v>
      </c>
      <c r="M3324">
        <f>_xlfn.XLOOKUP(TablaDatos[[#This Row],[PacienteID]],'Datos_Ejemplo.csv'!A:A,'Datos_Ejemplo.csv'!I:I)</f>
        <v>6</v>
      </c>
      <c r="N3324">
        <f>ABS(TablaDatos[[#This Row],[DiasOriginal]])</f>
        <v>6</v>
      </c>
      <c r="O3324" s="1">
        <f>TablaDatos[[#This Row],[FechaIngreso]]+TablaDatos[[#This Row],[DiasNuevo]]</f>
        <v>45481</v>
      </c>
    </row>
    <row r="3325" spans="1:15">
      <c r="A3325">
        <v>3324</v>
      </c>
      <c r="B3325" t="s">
        <v>253</v>
      </c>
      <c r="C3325" s="1">
        <v>34334</v>
      </c>
      <c r="D3325">
        <v>32</v>
      </c>
      <c r="E3325" s="4" t="s">
        <v>12</v>
      </c>
      <c r="F3325" t="s">
        <v>18</v>
      </c>
      <c r="G3325" s="1">
        <v>45433</v>
      </c>
      <c r="H3325" s="1">
        <f>TablaDatos[[#This Row],[FechaIngreso]]+TablaDatos[[#This Row],[DiasNuevo]]</f>
        <v>45453</v>
      </c>
      <c r="I3325">
        <v>20</v>
      </c>
      <c r="J3325" t="s">
        <v>23</v>
      </c>
      <c r="K3325" s="3">
        <v>7668.89</v>
      </c>
      <c r="L3325" t="b">
        <f>TablaDatos[[#This Row],[FechaAlta]] &lt; TablaDatos[[#This Row],[FechaIngreso]]</f>
        <v>0</v>
      </c>
      <c r="M3325">
        <f>_xlfn.XLOOKUP(TablaDatos[[#This Row],[PacienteID]],'Datos_Ejemplo.csv'!A:A,'Datos_Ejemplo.csv'!I:I)</f>
        <v>20</v>
      </c>
      <c r="N3325">
        <f>ABS(TablaDatos[[#This Row],[DiasOriginal]])</f>
        <v>20</v>
      </c>
      <c r="O3325" s="1">
        <f>TablaDatos[[#This Row],[FechaIngreso]]+TablaDatos[[#This Row],[DiasNuevo]]</f>
        <v>45453</v>
      </c>
    </row>
    <row r="3326" spans="1:15">
      <c r="A3326">
        <v>3325</v>
      </c>
      <c r="B3326" t="s">
        <v>311</v>
      </c>
      <c r="C3326" s="1">
        <v>19724</v>
      </c>
      <c r="D3326">
        <v>72</v>
      </c>
      <c r="E3326" s="4" t="s">
        <v>15</v>
      </c>
      <c r="F3326" t="s">
        <v>261</v>
      </c>
      <c r="G3326" s="1">
        <v>45334</v>
      </c>
      <c r="H3326" s="1">
        <f>TablaDatos[[#This Row],[FechaIngreso]]+TablaDatos[[#This Row],[DiasNuevo]]</f>
        <v>45371</v>
      </c>
      <c r="I3326">
        <v>37</v>
      </c>
      <c r="J3326" t="s">
        <v>19</v>
      </c>
      <c r="K3326" s="3">
        <v>18346.13</v>
      </c>
      <c r="L3326" t="b">
        <f>TablaDatos[[#This Row],[FechaAlta]] &lt; TablaDatos[[#This Row],[FechaIngreso]]</f>
        <v>0</v>
      </c>
      <c r="M3326">
        <f>_xlfn.XLOOKUP(TablaDatos[[#This Row],[PacienteID]],'Datos_Ejemplo.csv'!A:A,'Datos_Ejemplo.csv'!I:I)</f>
        <v>37</v>
      </c>
      <c r="N3326">
        <f>ABS(TablaDatos[[#This Row],[DiasOriginal]])</f>
        <v>37</v>
      </c>
      <c r="O3326" s="1">
        <f>TablaDatos[[#This Row],[FechaIngreso]]+TablaDatos[[#This Row],[DiasNuevo]]</f>
        <v>45371</v>
      </c>
    </row>
    <row r="3327" spans="1:15">
      <c r="A3327">
        <v>3326</v>
      </c>
      <c r="B3327" t="s">
        <v>152</v>
      </c>
      <c r="C3327" s="1">
        <v>24107</v>
      </c>
      <c r="D3327">
        <v>60</v>
      </c>
      <c r="E3327" s="4" t="s">
        <v>15</v>
      </c>
      <c r="F3327" t="s">
        <v>21</v>
      </c>
      <c r="G3327" s="1">
        <v>45197</v>
      </c>
      <c r="H3327" s="1">
        <f>TablaDatos[[#This Row],[FechaIngreso]]+TablaDatos[[#This Row],[DiasNuevo]]</f>
        <v>45198</v>
      </c>
      <c r="I3327">
        <v>1</v>
      </c>
      <c r="J3327" t="s">
        <v>19</v>
      </c>
      <c r="K3327" s="3">
        <v>7297.56</v>
      </c>
      <c r="L3327" t="b">
        <f>TablaDatos[[#This Row],[FechaAlta]] &lt; TablaDatos[[#This Row],[FechaIngreso]]</f>
        <v>0</v>
      </c>
      <c r="M3327">
        <f>_xlfn.XLOOKUP(TablaDatos[[#This Row],[PacienteID]],'Datos_Ejemplo.csv'!A:A,'Datos_Ejemplo.csv'!I:I)</f>
        <v>-1</v>
      </c>
      <c r="N3327">
        <f>ABS(TablaDatos[[#This Row],[DiasOriginal]])</f>
        <v>1</v>
      </c>
      <c r="O3327" s="1">
        <f>TablaDatos[[#This Row],[FechaIngreso]]+TablaDatos[[#This Row],[DiasNuevo]]</f>
        <v>45198</v>
      </c>
    </row>
    <row r="3328" spans="1:15">
      <c r="A3328">
        <v>3327</v>
      </c>
      <c r="B3328" t="s">
        <v>348</v>
      </c>
      <c r="C3328" s="1">
        <v>43100</v>
      </c>
      <c r="D3328">
        <v>8</v>
      </c>
      <c r="E3328" s="4" t="s">
        <v>15</v>
      </c>
      <c r="F3328" t="s">
        <v>13</v>
      </c>
      <c r="G3328" s="1">
        <v>45450</v>
      </c>
      <c r="H3328" s="1">
        <f>TablaDatos[[#This Row],[FechaIngreso]]+TablaDatos[[#This Row],[DiasNuevo]]</f>
        <v>45473</v>
      </c>
      <c r="I3328">
        <v>23</v>
      </c>
      <c r="J3328" t="s">
        <v>25</v>
      </c>
      <c r="K3328" s="3">
        <v>18331.23</v>
      </c>
      <c r="L3328" t="b">
        <f>TablaDatos[[#This Row],[FechaAlta]] &lt; TablaDatos[[#This Row],[FechaIngreso]]</f>
        <v>0</v>
      </c>
      <c r="M3328">
        <f>_xlfn.XLOOKUP(TablaDatos[[#This Row],[PacienteID]],'Datos_Ejemplo.csv'!A:A,'Datos_Ejemplo.csv'!I:I)</f>
        <v>23</v>
      </c>
      <c r="N3328">
        <f>ABS(TablaDatos[[#This Row],[DiasOriginal]])</f>
        <v>23</v>
      </c>
      <c r="O3328" s="1">
        <f>TablaDatos[[#This Row],[FechaIngreso]]+TablaDatos[[#This Row],[DiasNuevo]]</f>
        <v>45473</v>
      </c>
    </row>
    <row r="3329" spans="1:15">
      <c r="A3329">
        <v>3328</v>
      </c>
      <c r="B3329" t="s">
        <v>313</v>
      </c>
      <c r="C3329" s="1">
        <v>21551</v>
      </c>
      <c r="D3329">
        <v>67</v>
      </c>
      <c r="E3329" s="4" t="s">
        <v>15</v>
      </c>
      <c r="F3329" t="s">
        <v>13</v>
      </c>
      <c r="G3329" s="1">
        <v>45420</v>
      </c>
      <c r="H3329" s="1">
        <f>TablaDatos[[#This Row],[FechaIngreso]]+TablaDatos[[#This Row],[DiasNuevo]]</f>
        <v>45431</v>
      </c>
      <c r="I3329">
        <v>11</v>
      </c>
      <c r="J3329" t="s">
        <v>23</v>
      </c>
      <c r="K3329" s="3">
        <v>8409.11</v>
      </c>
      <c r="L3329" t="b">
        <f>TablaDatos[[#This Row],[FechaAlta]] &lt; TablaDatos[[#This Row],[FechaIngreso]]</f>
        <v>0</v>
      </c>
      <c r="M3329">
        <f>_xlfn.XLOOKUP(TablaDatos[[#This Row],[PacienteID]],'Datos_Ejemplo.csv'!A:A,'Datos_Ejemplo.csv'!I:I)</f>
        <v>11</v>
      </c>
      <c r="N3329">
        <f>ABS(TablaDatos[[#This Row],[DiasOriginal]])</f>
        <v>11</v>
      </c>
      <c r="O3329" s="1">
        <f>TablaDatos[[#This Row],[FechaIngreso]]+TablaDatos[[#This Row],[DiasNuevo]]</f>
        <v>45431</v>
      </c>
    </row>
    <row r="3330" spans="1:15">
      <c r="A3330">
        <v>3329</v>
      </c>
      <c r="B3330" t="s">
        <v>286</v>
      </c>
      <c r="C3330" s="1">
        <v>33604</v>
      </c>
      <c r="D3330">
        <v>34</v>
      </c>
      <c r="E3330" s="4" t="s">
        <v>12</v>
      </c>
      <c r="F3330" t="s">
        <v>21</v>
      </c>
      <c r="G3330" s="1">
        <v>45533</v>
      </c>
      <c r="H3330" s="1">
        <f>TablaDatos[[#This Row],[FechaIngreso]]+TablaDatos[[#This Row],[DiasNuevo]]</f>
        <v>45561</v>
      </c>
      <c r="I3330">
        <v>28</v>
      </c>
      <c r="J3330" t="s">
        <v>23</v>
      </c>
      <c r="K3330" s="3">
        <v>17080.849999999999</v>
      </c>
      <c r="L3330" t="b">
        <f>TablaDatos[[#This Row],[FechaAlta]] &lt; TablaDatos[[#This Row],[FechaIngreso]]</f>
        <v>0</v>
      </c>
      <c r="M3330">
        <f>_xlfn.XLOOKUP(TablaDatos[[#This Row],[PacienteID]],'Datos_Ejemplo.csv'!A:A,'Datos_Ejemplo.csv'!I:I)</f>
        <v>28</v>
      </c>
      <c r="N3330">
        <f>ABS(TablaDatos[[#This Row],[DiasOriginal]])</f>
        <v>28</v>
      </c>
      <c r="O3330" s="1">
        <f>TablaDatos[[#This Row],[FechaIngreso]]+TablaDatos[[#This Row],[DiasNuevo]]</f>
        <v>45561</v>
      </c>
    </row>
    <row r="3331" spans="1:15">
      <c r="A3331">
        <v>3330</v>
      </c>
      <c r="B3331" t="s">
        <v>296</v>
      </c>
      <c r="C3331" s="1">
        <v>16802</v>
      </c>
      <c r="D3331">
        <v>80</v>
      </c>
      <c r="E3331" s="4" t="s">
        <v>15</v>
      </c>
      <c r="F3331" t="s">
        <v>21</v>
      </c>
      <c r="G3331" s="1">
        <v>45374</v>
      </c>
      <c r="H3331" s="1">
        <f>TablaDatos[[#This Row],[FechaIngreso]]+TablaDatos[[#This Row],[DiasNuevo]]</f>
        <v>45397</v>
      </c>
      <c r="I3331">
        <v>23</v>
      </c>
      <c r="J3331" t="s">
        <v>23</v>
      </c>
      <c r="K3331" s="3">
        <v>10387.18</v>
      </c>
      <c r="L3331" t="b">
        <f>TablaDatos[[#This Row],[FechaAlta]] &lt; TablaDatos[[#This Row],[FechaIngreso]]</f>
        <v>0</v>
      </c>
      <c r="M3331">
        <f>_xlfn.XLOOKUP(TablaDatos[[#This Row],[PacienteID]],'Datos_Ejemplo.csv'!A:A,'Datos_Ejemplo.csv'!I:I)</f>
        <v>23</v>
      </c>
      <c r="N3331">
        <f>ABS(TablaDatos[[#This Row],[DiasOriginal]])</f>
        <v>23</v>
      </c>
      <c r="O3331" s="1">
        <f>TablaDatos[[#This Row],[FechaIngreso]]+TablaDatos[[#This Row],[DiasNuevo]]</f>
        <v>45397</v>
      </c>
    </row>
    <row r="3332" spans="1:15">
      <c r="A3332">
        <v>3331</v>
      </c>
      <c r="B3332" t="s">
        <v>310</v>
      </c>
      <c r="C3332" s="1">
        <v>14246</v>
      </c>
      <c r="D3332">
        <v>87</v>
      </c>
      <c r="E3332" s="4" t="s">
        <v>15</v>
      </c>
      <c r="F3332" t="s">
        <v>295</v>
      </c>
      <c r="G3332" s="1">
        <v>45469</v>
      </c>
      <c r="H3332" s="1">
        <f>TablaDatos[[#This Row],[FechaIngreso]]+TablaDatos[[#This Row],[DiasNuevo]]</f>
        <v>45485</v>
      </c>
      <c r="I3332">
        <v>16</v>
      </c>
      <c r="J3332" t="s">
        <v>25</v>
      </c>
      <c r="K3332" s="3">
        <v>6158.19</v>
      </c>
      <c r="L3332" t="b">
        <f>TablaDatos[[#This Row],[FechaAlta]] &lt; TablaDatos[[#This Row],[FechaIngreso]]</f>
        <v>0</v>
      </c>
      <c r="M3332">
        <f>_xlfn.XLOOKUP(TablaDatos[[#This Row],[PacienteID]],'Datos_Ejemplo.csv'!A:A,'Datos_Ejemplo.csv'!I:I)</f>
        <v>16</v>
      </c>
      <c r="N3332">
        <f>ABS(TablaDatos[[#This Row],[DiasOriginal]])</f>
        <v>16</v>
      </c>
      <c r="O3332" s="1">
        <f>TablaDatos[[#This Row],[FechaIngreso]]+TablaDatos[[#This Row],[DiasNuevo]]</f>
        <v>45485</v>
      </c>
    </row>
    <row r="3333" spans="1:15">
      <c r="A3333">
        <v>3332</v>
      </c>
      <c r="B3333" t="s">
        <v>341</v>
      </c>
      <c r="C3333" s="1">
        <v>22646</v>
      </c>
      <c r="D3333">
        <v>64</v>
      </c>
      <c r="E3333" s="4" t="s">
        <v>12</v>
      </c>
      <c r="F3333" t="s">
        <v>261</v>
      </c>
      <c r="G3333" s="1">
        <v>45276</v>
      </c>
      <c r="H3333" s="1">
        <f>TablaDatos[[#This Row],[FechaIngreso]]+TablaDatos[[#This Row],[DiasNuevo]]</f>
        <v>45311</v>
      </c>
      <c r="I3333">
        <v>35</v>
      </c>
      <c r="J3333" t="s">
        <v>23</v>
      </c>
      <c r="K3333" s="3">
        <v>8931.93</v>
      </c>
      <c r="L3333" t="b">
        <f>TablaDatos[[#This Row],[FechaAlta]] &lt; TablaDatos[[#This Row],[FechaIngreso]]</f>
        <v>0</v>
      </c>
      <c r="M3333">
        <f>_xlfn.XLOOKUP(TablaDatos[[#This Row],[PacienteID]],'Datos_Ejemplo.csv'!A:A,'Datos_Ejemplo.csv'!I:I)</f>
        <v>35</v>
      </c>
      <c r="N3333">
        <f>ABS(TablaDatos[[#This Row],[DiasOriginal]])</f>
        <v>35</v>
      </c>
      <c r="O3333" s="1">
        <f>TablaDatos[[#This Row],[FechaIngreso]]+TablaDatos[[#This Row],[DiasNuevo]]</f>
        <v>45311</v>
      </c>
    </row>
    <row r="3334" spans="1:15">
      <c r="A3334">
        <v>3333</v>
      </c>
      <c r="B3334" t="s">
        <v>326</v>
      </c>
      <c r="C3334" s="1">
        <v>43466</v>
      </c>
      <c r="D3334">
        <v>7</v>
      </c>
      <c r="E3334" s="4" t="s">
        <v>12</v>
      </c>
      <c r="F3334" t="s">
        <v>32</v>
      </c>
      <c r="G3334" s="1">
        <v>45254</v>
      </c>
      <c r="H3334" s="1">
        <f>TablaDatos[[#This Row],[FechaIngreso]]+TablaDatos[[#This Row],[DiasNuevo]]</f>
        <v>45256</v>
      </c>
      <c r="I3334">
        <v>2</v>
      </c>
      <c r="J3334" t="s">
        <v>23</v>
      </c>
      <c r="K3334" s="3">
        <v>8430.06</v>
      </c>
      <c r="L3334" t="b">
        <f>TablaDatos[[#This Row],[FechaAlta]] &lt; TablaDatos[[#This Row],[FechaIngreso]]</f>
        <v>0</v>
      </c>
      <c r="M3334">
        <f>_xlfn.XLOOKUP(TablaDatos[[#This Row],[PacienteID]],'Datos_Ejemplo.csv'!A:A,'Datos_Ejemplo.csv'!I:I)</f>
        <v>2</v>
      </c>
      <c r="N3334">
        <f>ABS(TablaDatos[[#This Row],[DiasOriginal]])</f>
        <v>2</v>
      </c>
      <c r="O3334" s="1">
        <f>TablaDatos[[#This Row],[FechaIngreso]]+TablaDatos[[#This Row],[DiasNuevo]]</f>
        <v>45256</v>
      </c>
    </row>
    <row r="3335" spans="1:15">
      <c r="A3335">
        <v>3334</v>
      </c>
      <c r="B3335" t="s">
        <v>352</v>
      </c>
      <c r="C3335" s="1">
        <v>29951</v>
      </c>
      <c r="D3335">
        <v>44</v>
      </c>
      <c r="E3335" s="4" t="s">
        <v>12</v>
      </c>
      <c r="F3335" t="s">
        <v>13</v>
      </c>
      <c r="G3335" s="1">
        <v>45212</v>
      </c>
      <c r="H3335" s="1">
        <f>TablaDatos[[#This Row],[FechaIngreso]]+TablaDatos[[#This Row],[DiasNuevo]]</f>
        <v>45215</v>
      </c>
      <c r="I3335">
        <v>3</v>
      </c>
      <c r="J3335" t="s">
        <v>25</v>
      </c>
      <c r="K3335" s="3">
        <v>5124.2700000000004</v>
      </c>
      <c r="L3335" t="b">
        <f>TablaDatos[[#This Row],[FechaAlta]] &lt; TablaDatos[[#This Row],[FechaIngreso]]</f>
        <v>0</v>
      </c>
      <c r="M3335">
        <f>_xlfn.XLOOKUP(TablaDatos[[#This Row],[PacienteID]],'Datos_Ejemplo.csv'!A:A,'Datos_Ejemplo.csv'!I:I)</f>
        <v>3</v>
      </c>
      <c r="N3335">
        <f>ABS(TablaDatos[[#This Row],[DiasOriginal]])</f>
        <v>3</v>
      </c>
      <c r="O3335" s="1">
        <f>TablaDatos[[#This Row],[FechaIngreso]]+TablaDatos[[#This Row],[DiasNuevo]]</f>
        <v>45215</v>
      </c>
    </row>
    <row r="3336" spans="1:15">
      <c r="A3336">
        <v>3335</v>
      </c>
      <c r="B3336" t="s">
        <v>270</v>
      </c>
      <c r="C3336" s="1">
        <v>14611</v>
      </c>
      <c r="D3336">
        <v>86</v>
      </c>
      <c r="E3336" s="4" t="s">
        <v>12</v>
      </c>
      <c r="F3336" t="s">
        <v>21</v>
      </c>
      <c r="G3336" s="1">
        <v>44961</v>
      </c>
      <c r="H3336" s="1">
        <f>TablaDatos[[#This Row],[FechaIngreso]]+TablaDatos[[#This Row],[DiasNuevo]]</f>
        <v>44993</v>
      </c>
      <c r="I3336">
        <v>32</v>
      </c>
      <c r="J3336" t="s">
        <v>19</v>
      </c>
      <c r="K3336" s="3">
        <v>5721.74</v>
      </c>
      <c r="L3336" t="b">
        <f>TablaDatos[[#This Row],[FechaAlta]] &lt; TablaDatos[[#This Row],[FechaIngreso]]</f>
        <v>0</v>
      </c>
      <c r="M3336">
        <f>_xlfn.XLOOKUP(TablaDatos[[#This Row],[PacienteID]],'Datos_Ejemplo.csv'!A:A,'Datos_Ejemplo.csv'!I:I)</f>
        <v>32</v>
      </c>
      <c r="N3336">
        <f>ABS(TablaDatos[[#This Row],[DiasOriginal]])</f>
        <v>32</v>
      </c>
      <c r="O3336" s="1">
        <f>TablaDatos[[#This Row],[FechaIngreso]]+TablaDatos[[#This Row],[DiasNuevo]]</f>
        <v>44993</v>
      </c>
    </row>
    <row r="3337" spans="1:15">
      <c r="A3337">
        <v>3336</v>
      </c>
      <c r="B3337" t="s">
        <v>67</v>
      </c>
      <c r="C3337" s="1">
        <v>29221</v>
      </c>
      <c r="D3337">
        <v>46</v>
      </c>
      <c r="E3337" s="4" t="s">
        <v>15</v>
      </c>
      <c r="F3337" t="s">
        <v>21</v>
      </c>
      <c r="G3337" s="1">
        <v>45459</v>
      </c>
      <c r="H3337" s="1">
        <f>TablaDatos[[#This Row],[FechaIngreso]]+TablaDatos[[#This Row],[DiasNuevo]]</f>
        <v>45472</v>
      </c>
      <c r="I3337">
        <v>13</v>
      </c>
      <c r="J3337" t="s">
        <v>19</v>
      </c>
      <c r="K3337" s="3">
        <v>3647.72</v>
      </c>
      <c r="L3337" t="b">
        <f>TablaDatos[[#This Row],[FechaAlta]] &lt; TablaDatos[[#This Row],[FechaIngreso]]</f>
        <v>0</v>
      </c>
      <c r="M3337">
        <f>_xlfn.XLOOKUP(TablaDatos[[#This Row],[PacienteID]],'Datos_Ejemplo.csv'!A:A,'Datos_Ejemplo.csv'!I:I)</f>
        <v>13</v>
      </c>
      <c r="N3337">
        <f>ABS(TablaDatos[[#This Row],[DiasOriginal]])</f>
        <v>13</v>
      </c>
      <c r="O3337" s="1">
        <f>TablaDatos[[#This Row],[FechaIngreso]]+TablaDatos[[#This Row],[DiasNuevo]]</f>
        <v>45472</v>
      </c>
    </row>
    <row r="3338" spans="1:15">
      <c r="A3338">
        <v>3337</v>
      </c>
      <c r="B3338" t="s">
        <v>136</v>
      </c>
      <c r="C3338" s="1">
        <v>31778</v>
      </c>
      <c r="D3338">
        <v>39</v>
      </c>
      <c r="E3338" s="4" t="s">
        <v>12</v>
      </c>
      <c r="F3338" t="s">
        <v>261</v>
      </c>
      <c r="G3338" s="1">
        <v>45549</v>
      </c>
      <c r="H3338" s="1">
        <f>TablaDatos[[#This Row],[FechaIngreso]]+TablaDatos[[#This Row],[DiasNuevo]]</f>
        <v>45577</v>
      </c>
      <c r="I3338">
        <v>28</v>
      </c>
      <c r="J3338" t="s">
        <v>23</v>
      </c>
      <c r="K3338" s="3">
        <v>6653.61</v>
      </c>
      <c r="L3338" t="b">
        <f>TablaDatos[[#This Row],[FechaAlta]] &lt; TablaDatos[[#This Row],[FechaIngreso]]</f>
        <v>0</v>
      </c>
      <c r="M3338">
        <f>_xlfn.XLOOKUP(TablaDatos[[#This Row],[PacienteID]],'Datos_Ejemplo.csv'!A:A,'Datos_Ejemplo.csv'!I:I)</f>
        <v>28</v>
      </c>
      <c r="N3338">
        <f>ABS(TablaDatos[[#This Row],[DiasOriginal]])</f>
        <v>28</v>
      </c>
      <c r="O3338" s="1">
        <f>TablaDatos[[#This Row],[FechaIngreso]]+TablaDatos[[#This Row],[DiasNuevo]]</f>
        <v>45577</v>
      </c>
    </row>
    <row r="3339" spans="1:15">
      <c r="A3339">
        <v>3338</v>
      </c>
      <c r="B3339" t="s">
        <v>304</v>
      </c>
      <c r="C3339" s="1">
        <v>18629</v>
      </c>
      <c r="D3339">
        <v>75</v>
      </c>
      <c r="E3339" s="4" t="s">
        <v>12</v>
      </c>
      <c r="F3339" t="s">
        <v>201</v>
      </c>
      <c r="G3339" s="1">
        <v>45414</v>
      </c>
      <c r="H3339" s="1">
        <f>TablaDatos[[#This Row],[FechaIngreso]]+TablaDatos[[#This Row],[DiasNuevo]]</f>
        <v>45429</v>
      </c>
      <c r="I3339">
        <v>15</v>
      </c>
      <c r="J3339" t="s">
        <v>25</v>
      </c>
      <c r="K3339" s="3">
        <v>12450.56</v>
      </c>
      <c r="L3339" t="b">
        <f>TablaDatos[[#This Row],[FechaAlta]] &lt; TablaDatos[[#This Row],[FechaIngreso]]</f>
        <v>0</v>
      </c>
      <c r="M3339">
        <f>_xlfn.XLOOKUP(TablaDatos[[#This Row],[PacienteID]],'Datos_Ejemplo.csv'!A:A,'Datos_Ejemplo.csv'!I:I)</f>
        <v>15</v>
      </c>
      <c r="N3339">
        <f>ABS(TablaDatos[[#This Row],[DiasOriginal]])</f>
        <v>15</v>
      </c>
      <c r="O3339" s="1">
        <f>TablaDatos[[#This Row],[FechaIngreso]]+TablaDatos[[#This Row],[DiasNuevo]]</f>
        <v>45429</v>
      </c>
    </row>
    <row r="3340" spans="1:15">
      <c r="A3340">
        <v>3339</v>
      </c>
      <c r="B3340" t="s">
        <v>301</v>
      </c>
      <c r="C3340" s="1">
        <v>26664</v>
      </c>
      <c r="D3340">
        <v>53</v>
      </c>
      <c r="E3340" s="4" t="s">
        <v>12</v>
      </c>
      <c r="F3340" t="s">
        <v>32</v>
      </c>
      <c r="G3340" s="1">
        <v>45413</v>
      </c>
      <c r="H3340" s="1">
        <f>TablaDatos[[#This Row],[FechaIngreso]]+TablaDatos[[#This Row],[DiasNuevo]]</f>
        <v>45424</v>
      </c>
      <c r="I3340">
        <v>11</v>
      </c>
      <c r="J3340" t="s">
        <v>23</v>
      </c>
      <c r="K3340" s="3">
        <v>7669.82</v>
      </c>
      <c r="L3340" t="b">
        <f>TablaDatos[[#This Row],[FechaAlta]] &lt; TablaDatos[[#This Row],[FechaIngreso]]</f>
        <v>0</v>
      </c>
      <c r="M3340">
        <f>_xlfn.XLOOKUP(TablaDatos[[#This Row],[PacienteID]],'Datos_Ejemplo.csv'!A:A,'Datos_Ejemplo.csv'!I:I)</f>
        <v>11</v>
      </c>
      <c r="N3340">
        <f>ABS(TablaDatos[[#This Row],[DiasOriginal]])</f>
        <v>11</v>
      </c>
      <c r="O3340" s="1">
        <f>TablaDatos[[#This Row],[FechaIngreso]]+TablaDatos[[#This Row],[DiasNuevo]]</f>
        <v>45424</v>
      </c>
    </row>
    <row r="3341" spans="1:15">
      <c r="A3341">
        <v>3340</v>
      </c>
      <c r="B3341" t="s">
        <v>331</v>
      </c>
      <c r="C3341" s="1">
        <v>18629</v>
      </c>
      <c r="D3341">
        <v>75</v>
      </c>
      <c r="E3341" s="4" t="s">
        <v>12</v>
      </c>
      <c r="F3341" t="s">
        <v>21</v>
      </c>
      <c r="G3341" s="1">
        <v>45071</v>
      </c>
      <c r="H3341" s="1">
        <f>TablaDatos[[#This Row],[FechaIngreso]]+TablaDatos[[#This Row],[DiasNuevo]]</f>
        <v>45093</v>
      </c>
      <c r="I3341">
        <v>22</v>
      </c>
      <c r="J3341" t="s">
        <v>23</v>
      </c>
      <c r="K3341" s="3">
        <v>14217.7</v>
      </c>
      <c r="L3341" t="b">
        <f>TablaDatos[[#This Row],[FechaAlta]] &lt; TablaDatos[[#This Row],[FechaIngreso]]</f>
        <v>0</v>
      </c>
      <c r="M3341">
        <f>_xlfn.XLOOKUP(TablaDatos[[#This Row],[PacienteID]],'Datos_Ejemplo.csv'!A:A,'Datos_Ejemplo.csv'!I:I)</f>
        <v>22</v>
      </c>
      <c r="N3341">
        <f>ABS(TablaDatos[[#This Row],[DiasOriginal]])</f>
        <v>22</v>
      </c>
      <c r="O3341" s="1">
        <f>TablaDatos[[#This Row],[FechaIngreso]]+TablaDatos[[#This Row],[DiasNuevo]]</f>
        <v>45093</v>
      </c>
    </row>
    <row r="3342" spans="1:15">
      <c r="A3342">
        <v>3341</v>
      </c>
      <c r="B3342" t="s">
        <v>252</v>
      </c>
      <c r="C3342" s="1">
        <v>29586</v>
      </c>
      <c r="D3342">
        <v>45</v>
      </c>
      <c r="E3342" s="4" t="s">
        <v>15</v>
      </c>
      <c r="F3342" t="s">
        <v>201</v>
      </c>
      <c r="G3342" s="1">
        <v>45450</v>
      </c>
      <c r="H3342" s="1">
        <f>TablaDatos[[#This Row],[FechaIngreso]]+TablaDatos[[#This Row],[DiasNuevo]]</f>
        <v>45462</v>
      </c>
      <c r="I3342">
        <v>12</v>
      </c>
      <c r="J3342" t="s">
        <v>19</v>
      </c>
      <c r="K3342" s="3">
        <v>19738.259999999998</v>
      </c>
      <c r="L3342" t="b">
        <f>TablaDatos[[#This Row],[FechaAlta]] &lt; TablaDatos[[#This Row],[FechaIngreso]]</f>
        <v>0</v>
      </c>
      <c r="M3342">
        <f>_xlfn.XLOOKUP(TablaDatos[[#This Row],[PacienteID]],'Datos_Ejemplo.csv'!A:A,'Datos_Ejemplo.csv'!I:I)</f>
        <v>12</v>
      </c>
      <c r="N3342">
        <f>ABS(TablaDatos[[#This Row],[DiasOriginal]])</f>
        <v>12</v>
      </c>
      <c r="O3342" s="1">
        <f>TablaDatos[[#This Row],[FechaIngreso]]+TablaDatos[[#This Row],[DiasNuevo]]</f>
        <v>45462</v>
      </c>
    </row>
    <row r="3343" spans="1:15">
      <c r="A3343">
        <v>3342</v>
      </c>
      <c r="B3343" t="s">
        <v>267</v>
      </c>
      <c r="C3343" s="1">
        <v>29221</v>
      </c>
      <c r="D3343">
        <v>46</v>
      </c>
      <c r="E3343" s="4" t="s">
        <v>12</v>
      </c>
      <c r="F3343" t="s">
        <v>295</v>
      </c>
      <c r="G3343" s="1">
        <v>45072</v>
      </c>
      <c r="H3343" s="1">
        <f>TablaDatos[[#This Row],[FechaIngreso]]+TablaDatos[[#This Row],[DiasNuevo]]</f>
        <v>45095</v>
      </c>
      <c r="I3343">
        <v>23</v>
      </c>
      <c r="J3343" t="s">
        <v>23</v>
      </c>
      <c r="K3343" s="3">
        <v>7479.73</v>
      </c>
      <c r="L3343" t="b">
        <f>TablaDatos[[#This Row],[FechaAlta]] &lt; TablaDatos[[#This Row],[FechaIngreso]]</f>
        <v>0</v>
      </c>
      <c r="M3343">
        <f>_xlfn.XLOOKUP(TablaDatos[[#This Row],[PacienteID]],'Datos_Ejemplo.csv'!A:A,'Datos_Ejemplo.csv'!I:I)</f>
        <v>23</v>
      </c>
      <c r="N3343">
        <f>ABS(TablaDatos[[#This Row],[DiasOriginal]])</f>
        <v>23</v>
      </c>
      <c r="O3343" s="1">
        <f>TablaDatos[[#This Row],[FechaIngreso]]+TablaDatos[[#This Row],[DiasNuevo]]</f>
        <v>45095</v>
      </c>
    </row>
    <row r="3344" spans="1:15">
      <c r="A3344">
        <v>3343</v>
      </c>
      <c r="B3344" t="s">
        <v>255</v>
      </c>
      <c r="C3344" s="1">
        <v>40909</v>
      </c>
      <c r="D3344">
        <v>14</v>
      </c>
      <c r="E3344" s="4" t="s">
        <v>15</v>
      </c>
      <c r="F3344" t="s">
        <v>32</v>
      </c>
      <c r="G3344" s="1">
        <v>45429</v>
      </c>
      <c r="H3344" s="1">
        <f>TablaDatos[[#This Row],[FechaIngreso]]+TablaDatos[[#This Row],[DiasNuevo]]</f>
        <v>45462</v>
      </c>
      <c r="I3344">
        <v>33</v>
      </c>
      <c r="J3344" t="s">
        <v>25</v>
      </c>
      <c r="K3344" s="3">
        <v>9199.0499999999993</v>
      </c>
      <c r="L3344" t="b">
        <f>TablaDatos[[#This Row],[FechaAlta]] &lt; TablaDatos[[#This Row],[FechaIngreso]]</f>
        <v>0</v>
      </c>
      <c r="M3344">
        <f>_xlfn.XLOOKUP(TablaDatos[[#This Row],[PacienteID]],'Datos_Ejemplo.csv'!A:A,'Datos_Ejemplo.csv'!I:I)</f>
        <v>33</v>
      </c>
      <c r="N3344">
        <f>ABS(TablaDatos[[#This Row],[DiasOriginal]])</f>
        <v>33</v>
      </c>
      <c r="O3344" s="1">
        <f>TablaDatos[[#This Row],[FechaIngreso]]+TablaDatos[[#This Row],[DiasNuevo]]</f>
        <v>45462</v>
      </c>
    </row>
    <row r="3345" spans="1:15">
      <c r="A3345">
        <v>3344</v>
      </c>
      <c r="B3345" t="s">
        <v>151</v>
      </c>
      <c r="C3345" s="1">
        <v>39448</v>
      </c>
      <c r="D3345">
        <v>18</v>
      </c>
      <c r="E3345" s="4" t="s">
        <v>15</v>
      </c>
      <c r="F3345" t="s">
        <v>201</v>
      </c>
      <c r="G3345" s="1">
        <v>45530</v>
      </c>
      <c r="H3345" s="1">
        <f>TablaDatos[[#This Row],[FechaIngreso]]+TablaDatos[[#This Row],[DiasNuevo]]</f>
        <v>45538</v>
      </c>
      <c r="I3345">
        <v>8</v>
      </c>
      <c r="J3345" t="s">
        <v>19</v>
      </c>
      <c r="K3345" s="3">
        <v>3198.61</v>
      </c>
      <c r="L3345" t="b">
        <f>TablaDatos[[#This Row],[FechaAlta]] &lt; TablaDatos[[#This Row],[FechaIngreso]]</f>
        <v>0</v>
      </c>
      <c r="M3345">
        <f>_xlfn.XLOOKUP(TablaDatos[[#This Row],[PacienteID]],'Datos_Ejemplo.csv'!A:A,'Datos_Ejemplo.csv'!I:I)</f>
        <v>8</v>
      </c>
      <c r="N3345">
        <f>ABS(TablaDatos[[#This Row],[DiasOriginal]])</f>
        <v>8</v>
      </c>
      <c r="O3345" s="1">
        <f>TablaDatos[[#This Row],[FechaIngreso]]+TablaDatos[[#This Row],[DiasNuevo]]</f>
        <v>45538</v>
      </c>
    </row>
    <row r="3346" spans="1:15">
      <c r="A3346">
        <v>3345</v>
      </c>
      <c r="B3346" t="s">
        <v>270</v>
      </c>
      <c r="C3346" s="1">
        <v>36891</v>
      </c>
      <c r="D3346">
        <v>25</v>
      </c>
      <c r="E3346" s="4" t="s">
        <v>15</v>
      </c>
      <c r="F3346" t="s">
        <v>295</v>
      </c>
      <c r="G3346" s="1">
        <v>45553</v>
      </c>
      <c r="H3346" s="1">
        <f>TablaDatos[[#This Row],[FechaIngreso]]+TablaDatos[[#This Row],[DiasNuevo]]</f>
        <v>45587</v>
      </c>
      <c r="I3346">
        <v>34</v>
      </c>
      <c r="J3346" t="s">
        <v>23</v>
      </c>
      <c r="K3346" s="3">
        <v>7783.53</v>
      </c>
      <c r="L3346" t="b">
        <f>TablaDatos[[#This Row],[FechaAlta]] &lt; TablaDatos[[#This Row],[FechaIngreso]]</f>
        <v>0</v>
      </c>
      <c r="M3346">
        <f>_xlfn.XLOOKUP(TablaDatos[[#This Row],[PacienteID]],'Datos_Ejemplo.csv'!A:A,'Datos_Ejemplo.csv'!I:I)</f>
        <v>34</v>
      </c>
      <c r="N3346">
        <f>ABS(TablaDatos[[#This Row],[DiasOriginal]])</f>
        <v>34</v>
      </c>
      <c r="O3346" s="1">
        <f>TablaDatos[[#This Row],[FechaIngreso]]+TablaDatos[[#This Row],[DiasNuevo]]</f>
        <v>45587</v>
      </c>
    </row>
    <row r="3347" spans="1:15">
      <c r="A3347">
        <v>3346</v>
      </c>
      <c r="B3347" t="s">
        <v>349</v>
      </c>
      <c r="C3347" s="1">
        <v>27395</v>
      </c>
      <c r="D3347">
        <v>51</v>
      </c>
      <c r="E3347" s="4" t="s">
        <v>12</v>
      </c>
      <c r="F3347" t="s">
        <v>18</v>
      </c>
      <c r="G3347" s="1">
        <v>45453</v>
      </c>
      <c r="H3347" s="1">
        <f>TablaDatos[[#This Row],[FechaIngreso]]+TablaDatos[[#This Row],[DiasNuevo]]</f>
        <v>45491</v>
      </c>
      <c r="I3347">
        <v>38</v>
      </c>
      <c r="J3347" t="s">
        <v>19</v>
      </c>
      <c r="K3347" s="3">
        <v>14509.33</v>
      </c>
      <c r="L3347" t="b">
        <f>TablaDatos[[#This Row],[FechaAlta]] &lt; TablaDatos[[#This Row],[FechaIngreso]]</f>
        <v>0</v>
      </c>
      <c r="M3347">
        <f>_xlfn.XLOOKUP(TablaDatos[[#This Row],[PacienteID]],'Datos_Ejemplo.csv'!A:A,'Datos_Ejemplo.csv'!I:I)</f>
        <v>38</v>
      </c>
      <c r="N3347">
        <f>ABS(TablaDatos[[#This Row],[DiasOriginal]])</f>
        <v>38</v>
      </c>
      <c r="O3347" s="1">
        <f>TablaDatos[[#This Row],[FechaIngreso]]+TablaDatos[[#This Row],[DiasNuevo]]</f>
        <v>45491</v>
      </c>
    </row>
    <row r="3348" spans="1:15">
      <c r="A3348">
        <v>3347</v>
      </c>
      <c r="B3348" t="s">
        <v>313</v>
      </c>
      <c r="C3348" s="1">
        <v>12419</v>
      </c>
      <c r="D3348">
        <v>92</v>
      </c>
      <c r="E3348" s="4" t="s">
        <v>15</v>
      </c>
      <c r="F3348" t="s">
        <v>13</v>
      </c>
      <c r="G3348" s="1">
        <v>45198</v>
      </c>
      <c r="H3348" s="1">
        <f>TablaDatos[[#This Row],[FechaIngreso]]+TablaDatos[[#This Row],[DiasNuevo]]</f>
        <v>45232</v>
      </c>
      <c r="I3348">
        <v>34</v>
      </c>
      <c r="J3348" t="s">
        <v>25</v>
      </c>
      <c r="K3348" s="3">
        <v>4269.84</v>
      </c>
      <c r="L3348" t="b">
        <f>TablaDatos[[#This Row],[FechaAlta]] &lt; TablaDatos[[#This Row],[FechaIngreso]]</f>
        <v>0</v>
      </c>
      <c r="M3348">
        <f>_xlfn.XLOOKUP(TablaDatos[[#This Row],[PacienteID]],'Datos_Ejemplo.csv'!A:A,'Datos_Ejemplo.csv'!I:I)</f>
        <v>34</v>
      </c>
      <c r="N3348">
        <f>ABS(TablaDatos[[#This Row],[DiasOriginal]])</f>
        <v>34</v>
      </c>
      <c r="O3348" s="1">
        <f>TablaDatos[[#This Row],[FechaIngreso]]+TablaDatos[[#This Row],[DiasNuevo]]</f>
        <v>45232</v>
      </c>
    </row>
    <row r="3349" spans="1:15">
      <c r="A3349">
        <v>3348</v>
      </c>
      <c r="B3349" t="s">
        <v>274</v>
      </c>
      <c r="C3349" s="1">
        <v>38352</v>
      </c>
      <c r="D3349">
        <v>21</v>
      </c>
      <c r="E3349" s="4" t="s">
        <v>12</v>
      </c>
      <c r="F3349" t="s">
        <v>21</v>
      </c>
      <c r="G3349" s="1">
        <v>45460</v>
      </c>
      <c r="H3349" s="1">
        <f>TablaDatos[[#This Row],[FechaIngreso]]+TablaDatos[[#This Row],[DiasNuevo]]</f>
        <v>45464</v>
      </c>
      <c r="I3349">
        <v>4</v>
      </c>
      <c r="J3349" t="s">
        <v>23</v>
      </c>
      <c r="K3349" s="3">
        <v>3559.29</v>
      </c>
      <c r="L3349" t="b">
        <f>TablaDatos[[#This Row],[FechaAlta]] &lt; TablaDatos[[#This Row],[FechaIngreso]]</f>
        <v>0</v>
      </c>
      <c r="M3349">
        <f>_xlfn.XLOOKUP(TablaDatos[[#This Row],[PacienteID]],'Datos_Ejemplo.csv'!A:A,'Datos_Ejemplo.csv'!I:I)</f>
        <v>4</v>
      </c>
      <c r="N3349">
        <f>ABS(TablaDatos[[#This Row],[DiasOriginal]])</f>
        <v>4</v>
      </c>
      <c r="O3349" s="1">
        <f>TablaDatos[[#This Row],[FechaIngreso]]+TablaDatos[[#This Row],[DiasNuevo]]</f>
        <v>45464</v>
      </c>
    </row>
    <row r="3350" spans="1:15">
      <c r="A3350">
        <v>3349</v>
      </c>
      <c r="B3350" t="s">
        <v>361</v>
      </c>
      <c r="C3350" s="1">
        <v>38717</v>
      </c>
      <c r="D3350">
        <v>20</v>
      </c>
      <c r="E3350" s="4" t="s">
        <v>15</v>
      </c>
      <c r="F3350" t="s">
        <v>201</v>
      </c>
      <c r="G3350" s="1">
        <v>45556</v>
      </c>
      <c r="H3350" s="1">
        <f>TablaDatos[[#This Row],[FechaIngreso]]+TablaDatos[[#This Row],[DiasNuevo]]</f>
        <v>45571</v>
      </c>
      <c r="I3350">
        <v>15</v>
      </c>
      <c r="J3350" t="s">
        <v>23</v>
      </c>
      <c r="K3350" s="3">
        <v>7465.13</v>
      </c>
      <c r="L3350" t="b">
        <f>TablaDatos[[#This Row],[FechaAlta]] &lt; TablaDatos[[#This Row],[FechaIngreso]]</f>
        <v>0</v>
      </c>
      <c r="M3350">
        <f>_xlfn.XLOOKUP(TablaDatos[[#This Row],[PacienteID]],'Datos_Ejemplo.csv'!A:A,'Datos_Ejemplo.csv'!I:I)</f>
        <v>15</v>
      </c>
      <c r="N3350">
        <f>ABS(TablaDatos[[#This Row],[DiasOriginal]])</f>
        <v>15</v>
      </c>
      <c r="O3350" s="1">
        <f>TablaDatos[[#This Row],[FechaIngreso]]+TablaDatos[[#This Row],[DiasNuevo]]</f>
        <v>45571</v>
      </c>
    </row>
    <row r="3351" spans="1:15">
      <c r="A3351">
        <v>3350</v>
      </c>
      <c r="B3351" t="s">
        <v>362</v>
      </c>
      <c r="C3351" s="1">
        <v>27760</v>
      </c>
      <c r="D3351">
        <v>50</v>
      </c>
      <c r="E3351" s="4" t="s">
        <v>12</v>
      </c>
      <c r="F3351" t="s">
        <v>32</v>
      </c>
      <c r="G3351" s="1">
        <v>45021</v>
      </c>
      <c r="H3351" s="1">
        <f>TablaDatos[[#This Row],[FechaIngreso]]+TablaDatos[[#This Row],[DiasNuevo]]</f>
        <v>45038</v>
      </c>
      <c r="I3351">
        <v>17</v>
      </c>
      <c r="J3351" t="s">
        <v>23</v>
      </c>
      <c r="K3351" s="3">
        <v>16354.85</v>
      </c>
      <c r="L3351" t="b">
        <f>TablaDatos[[#This Row],[FechaAlta]] &lt; TablaDatos[[#This Row],[FechaIngreso]]</f>
        <v>0</v>
      </c>
      <c r="M3351">
        <f>_xlfn.XLOOKUP(TablaDatos[[#This Row],[PacienteID]],'Datos_Ejemplo.csv'!A:A,'Datos_Ejemplo.csv'!I:I)</f>
        <v>17</v>
      </c>
      <c r="N3351">
        <f>ABS(TablaDatos[[#This Row],[DiasOriginal]])</f>
        <v>17</v>
      </c>
      <c r="O3351" s="1">
        <f>TablaDatos[[#This Row],[FechaIngreso]]+TablaDatos[[#This Row],[DiasNuevo]]</f>
        <v>45038</v>
      </c>
    </row>
    <row r="3352" spans="1:15">
      <c r="A3352">
        <v>3351</v>
      </c>
      <c r="B3352" t="s">
        <v>273</v>
      </c>
      <c r="C3352" s="1">
        <v>32508</v>
      </c>
      <c r="D3352">
        <v>37</v>
      </c>
      <c r="E3352" s="4" t="s">
        <v>15</v>
      </c>
      <c r="F3352" t="s">
        <v>295</v>
      </c>
      <c r="G3352" s="1">
        <v>45373</v>
      </c>
      <c r="H3352" s="1">
        <f>TablaDatos[[#This Row],[FechaIngreso]]+TablaDatos[[#This Row],[DiasNuevo]]</f>
        <v>45374</v>
      </c>
      <c r="I3352">
        <v>1</v>
      </c>
      <c r="J3352" t="s">
        <v>25</v>
      </c>
      <c r="K3352" s="3">
        <v>12435.51</v>
      </c>
      <c r="L3352" t="b">
        <f>TablaDatos[[#This Row],[FechaAlta]] &lt; TablaDatos[[#This Row],[FechaIngreso]]</f>
        <v>0</v>
      </c>
      <c r="M3352">
        <f>_xlfn.XLOOKUP(TablaDatos[[#This Row],[PacienteID]],'Datos_Ejemplo.csv'!A:A,'Datos_Ejemplo.csv'!I:I)</f>
        <v>-1</v>
      </c>
      <c r="N3352">
        <f>ABS(TablaDatos[[#This Row],[DiasOriginal]])</f>
        <v>1</v>
      </c>
      <c r="O3352" s="1">
        <f>TablaDatos[[#This Row],[FechaIngreso]]+TablaDatos[[#This Row],[DiasNuevo]]</f>
        <v>45374</v>
      </c>
    </row>
    <row r="3353" spans="1:15">
      <c r="A3353">
        <v>3352</v>
      </c>
      <c r="B3353" t="s">
        <v>278</v>
      </c>
      <c r="C3353" s="1">
        <v>39083</v>
      </c>
      <c r="D3353">
        <v>19</v>
      </c>
      <c r="E3353" s="4" t="s">
        <v>12</v>
      </c>
      <c r="F3353" t="s">
        <v>13</v>
      </c>
      <c r="G3353" s="1">
        <v>45341</v>
      </c>
      <c r="H3353" s="1">
        <f>TablaDatos[[#This Row],[FechaIngreso]]+TablaDatos[[#This Row],[DiasNuevo]]</f>
        <v>45364</v>
      </c>
      <c r="I3353">
        <v>23</v>
      </c>
      <c r="J3353" t="s">
        <v>19</v>
      </c>
      <c r="K3353" s="3">
        <v>19147.349999999999</v>
      </c>
      <c r="L3353" t="b">
        <f>TablaDatos[[#This Row],[FechaAlta]] &lt; TablaDatos[[#This Row],[FechaIngreso]]</f>
        <v>0</v>
      </c>
      <c r="M3353">
        <f>_xlfn.XLOOKUP(TablaDatos[[#This Row],[PacienteID]],'Datos_Ejemplo.csv'!A:A,'Datos_Ejemplo.csv'!I:I)</f>
        <v>23</v>
      </c>
      <c r="N3353">
        <f>ABS(TablaDatos[[#This Row],[DiasOriginal]])</f>
        <v>23</v>
      </c>
      <c r="O3353" s="1">
        <f>TablaDatos[[#This Row],[FechaIngreso]]+TablaDatos[[#This Row],[DiasNuevo]]</f>
        <v>45364</v>
      </c>
    </row>
    <row r="3354" spans="1:15">
      <c r="A3354">
        <v>3353</v>
      </c>
      <c r="B3354" t="s">
        <v>239</v>
      </c>
      <c r="C3354" s="1">
        <v>35795</v>
      </c>
      <c r="D3354">
        <v>28</v>
      </c>
      <c r="E3354" s="4" t="s">
        <v>12</v>
      </c>
      <c r="F3354" t="s">
        <v>13</v>
      </c>
      <c r="G3354" s="1">
        <v>45183</v>
      </c>
      <c r="H3354" s="1">
        <f>TablaDatos[[#This Row],[FechaIngreso]]+TablaDatos[[#This Row],[DiasNuevo]]</f>
        <v>45203</v>
      </c>
      <c r="I3354">
        <v>20</v>
      </c>
      <c r="J3354" t="s">
        <v>19</v>
      </c>
      <c r="K3354" s="3">
        <v>18081.259999999998</v>
      </c>
      <c r="L3354" t="b">
        <f>TablaDatos[[#This Row],[FechaAlta]] &lt; TablaDatos[[#This Row],[FechaIngreso]]</f>
        <v>0</v>
      </c>
      <c r="M3354">
        <f>_xlfn.XLOOKUP(TablaDatos[[#This Row],[PacienteID]],'Datos_Ejemplo.csv'!A:A,'Datos_Ejemplo.csv'!I:I)</f>
        <v>20</v>
      </c>
      <c r="N3354">
        <f>ABS(TablaDatos[[#This Row],[DiasOriginal]])</f>
        <v>20</v>
      </c>
      <c r="O3354" s="1">
        <f>TablaDatos[[#This Row],[FechaIngreso]]+TablaDatos[[#This Row],[DiasNuevo]]</f>
        <v>45203</v>
      </c>
    </row>
    <row r="3355" spans="1:15">
      <c r="A3355">
        <v>3354</v>
      </c>
      <c r="B3355" t="s">
        <v>267</v>
      </c>
      <c r="C3355" s="1">
        <v>27760</v>
      </c>
      <c r="D3355">
        <v>50</v>
      </c>
      <c r="E3355" s="4" t="s">
        <v>15</v>
      </c>
      <c r="F3355" t="s">
        <v>21</v>
      </c>
      <c r="G3355" s="1">
        <v>45188</v>
      </c>
      <c r="H3355" s="1">
        <f>TablaDatos[[#This Row],[FechaIngreso]]+TablaDatos[[#This Row],[DiasNuevo]]</f>
        <v>45217</v>
      </c>
      <c r="I3355">
        <v>29</v>
      </c>
      <c r="J3355" t="s">
        <v>19</v>
      </c>
      <c r="K3355" s="3">
        <v>2937.86</v>
      </c>
      <c r="L3355" t="b">
        <f>TablaDatos[[#This Row],[FechaAlta]] &lt; TablaDatos[[#This Row],[FechaIngreso]]</f>
        <v>0</v>
      </c>
      <c r="M3355">
        <f>_xlfn.XLOOKUP(TablaDatos[[#This Row],[PacienteID]],'Datos_Ejemplo.csv'!A:A,'Datos_Ejemplo.csv'!I:I)</f>
        <v>29</v>
      </c>
      <c r="N3355">
        <f>ABS(TablaDatos[[#This Row],[DiasOriginal]])</f>
        <v>29</v>
      </c>
      <c r="O3355" s="1">
        <f>TablaDatos[[#This Row],[FechaIngreso]]+TablaDatos[[#This Row],[DiasNuevo]]</f>
        <v>45217</v>
      </c>
    </row>
    <row r="3356" spans="1:15">
      <c r="A3356">
        <v>3355</v>
      </c>
      <c r="B3356" t="s">
        <v>263</v>
      </c>
      <c r="C3356" s="1">
        <v>44927</v>
      </c>
      <c r="D3356">
        <v>3</v>
      </c>
      <c r="E3356" s="4" t="s">
        <v>15</v>
      </c>
      <c r="F3356" t="s">
        <v>201</v>
      </c>
      <c r="G3356" s="1">
        <v>45013</v>
      </c>
      <c r="H3356" s="1">
        <f>TablaDatos[[#This Row],[FechaIngreso]]+TablaDatos[[#This Row],[DiasNuevo]]</f>
        <v>45023</v>
      </c>
      <c r="I3356">
        <v>10</v>
      </c>
      <c r="J3356" t="s">
        <v>23</v>
      </c>
      <c r="K3356" s="3">
        <v>755.31</v>
      </c>
      <c r="L3356" t="b">
        <f>TablaDatos[[#This Row],[FechaAlta]] &lt; TablaDatos[[#This Row],[FechaIngreso]]</f>
        <v>0</v>
      </c>
      <c r="M3356">
        <f>_xlfn.XLOOKUP(TablaDatos[[#This Row],[PacienteID]],'Datos_Ejemplo.csv'!A:A,'Datos_Ejemplo.csv'!I:I)</f>
        <v>10</v>
      </c>
      <c r="N3356">
        <f>ABS(TablaDatos[[#This Row],[DiasOriginal]])</f>
        <v>10</v>
      </c>
      <c r="O3356" s="1">
        <f>TablaDatos[[#This Row],[FechaIngreso]]+TablaDatos[[#This Row],[DiasNuevo]]</f>
        <v>45023</v>
      </c>
    </row>
    <row r="3357" spans="1:15">
      <c r="A3357">
        <v>3356</v>
      </c>
      <c r="B3357" t="s">
        <v>247</v>
      </c>
      <c r="C3357" s="1">
        <v>26299</v>
      </c>
      <c r="D3357">
        <v>54</v>
      </c>
      <c r="E3357" s="4" t="s">
        <v>12</v>
      </c>
      <c r="F3357" t="s">
        <v>13</v>
      </c>
      <c r="G3357" s="1">
        <v>45362</v>
      </c>
      <c r="H3357" s="1">
        <f>TablaDatos[[#This Row],[FechaIngreso]]+TablaDatos[[#This Row],[DiasNuevo]]</f>
        <v>45372</v>
      </c>
      <c r="I3357">
        <v>10</v>
      </c>
      <c r="J3357" t="s">
        <v>23</v>
      </c>
      <c r="K3357" s="3">
        <v>7921.8</v>
      </c>
      <c r="L3357" t="b">
        <f>TablaDatos[[#This Row],[FechaAlta]] &lt; TablaDatos[[#This Row],[FechaIngreso]]</f>
        <v>0</v>
      </c>
      <c r="M3357">
        <f>_xlfn.XLOOKUP(TablaDatos[[#This Row],[PacienteID]],'Datos_Ejemplo.csv'!A:A,'Datos_Ejemplo.csv'!I:I)</f>
        <v>10</v>
      </c>
      <c r="N3357">
        <f>ABS(TablaDatos[[#This Row],[DiasOriginal]])</f>
        <v>10</v>
      </c>
      <c r="O3357" s="1">
        <f>TablaDatos[[#This Row],[FechaIngreso]]+TablaDatos[[#This Row],[DiasNuevo]]</f>
        <v>45372</v>
      </c>
    </row>
    <row r="3358" spans="1:15">
      <c r="A3358">
        <v>3357</v>
      </c>
      <c r="B3358" t="s">
        <v>278</v>
      </c>
      <c r="C3358" s="1">
        <v>20455</v>
      </c>
      <c r="D3358">
        <v>70</v>
      </c>
      <c r="E3358" s="4" t="s">
        <v>12</v>
      </c>
      <c r="F3358" t="s">
        <v>21</v>
      </c>
      <c r="G3358" s="1">
        <v>45496</v>
      </c>
      <c r="H3358" s="1">
        <f>TablaDatos[[#This Row],[FechaIngreso]]+TablaDatos[[#This Row],[DiasNuevo]]</f>
        <v>45510</v>
      </c>
      <c r="I3358">
        <v>14</v>
      </c>
      <c r="J3358" t="s">
        <v>19</v>
      </c>
      <c r="K3358" s="3">
        <v>10393.799999999999</v>
      </c>
      <c r="L3358" t="b">
        <f>TablaDatos[[#This Row],[FechaAlta]] &lt; TablaDatos[[#This Row],[FechaIngreso]]</f>
        <v>0</v>
      </c>
      <c r="M3358">
        <f>_xlfn.XLOOKUP(TablaDatos[[#This Row],[PacienteID]],'Datos_Ejemplo.csv'!A:A,'Datos_Ejemplo.csv'!I:I)</f>
        <v>14</v>
      </c>
      <c r="N3358">
        <f>ABS(TablaDatos[[#This Row],[DiasOriginal]])</f>
        <v>14</v>
      </c>
      <c r="O3358" s="1">
        <f>TablaDatos[[#This Row],[FechaIngreso]]+TablaDatos[[#This Row],[DiasNuevo]]</f>
        <v>45510</v>
      </c>
    </row>
    <row r="3359" spans="1:15">
      <c r="A3359">
        <v>3358</v>
      </c>
      <c r="B3359" t="s">
        <v>161</v>
      </c>
      <c r="C3359" s="1">
        <v>12785</v>
      </c>
      <c r="D3359">
        <v>91</v>
      </c>
      <c r="E3359" s="4" t="s">
        <v>12</v>
      </c>
      <c r="F3359" t="s">
        <v>201</v>
      </c>
      <c r="G3359" s="1">
        <v>45034</v>
      </c>
      <c r="H3359" s="1">
        <f>TablaDatos[[#This Row],[FechaIngreso]]+TablaDatos[[#This Row],[DiasNuevo]]</f>
        <v>45056</v>
      </c>
      <c r="I3359">
        <v>22</v>
      </c>
      <c r="J3359" t="s">
        <v>23</v>
      </c>
      <c r="K3359" s="3">
        <v>10262.969999999999</v>
      </c>
      <c r="L3359" t="b">
        <f>TablaDatos[[#This Row],[FechaAlta]] &lt; TablaDatos[[#This Row],[FechaIngreso]]</f>
        <v>0</v>
      </c>
      <c r="M3359">
        <f>_xlfn.XLOOKUP(TablaDatos[[#This Row],[PacienteID]],'Datos_Ejemplo.csv'!A:A,'Datos_Ejemplo.csv'!I:I)</f>
        <v>22</v>
      </c>
      <c r="N3359">
        <f>ABS(TablaDatos[[#This Row],[DiasOriginal]])</f>
        <v>22</v>
      </c>
      <c r="O3359" s="1">
        <f>TablaDatos[[#This Row],[FechaIngreso]]+TablaDatos[[#This Row],[DiasNuevo]]</f>
        <v>45056</v>
      </c>
    </row>
    <row r="3360" spans="1:15">
      <c r="A3360">
        <v>3359</v>
      </c>
      <c r="B3360" t="s">
        <v>245</v>
      </c>
      <c r="C3360" s="1">
        <v>36161</v>
      </c>
      <c r="D3360">
        <v>27</v>
      </c>
      <c r="E3360" s="4" t="s">
        <v>15</v>
      </c>
      <c r="F3360" t="s">
        <v>201</v>
      </c>
      <c r="G3360" s="1">
        <v>44945</v>
      </c>
      <c r="H3360" s="1">
        <f>TablaDatos[[#This Row],[FechaIngreso]]+TablaDatos[[#This Row],[DiasNuevo]]</f>
        <v>44964</v>
      </c>
      <c r="I3360">
        <v>19</v>
      </c>
      <c r="J3360" t="s">
        <v>23</v>
      </c>
      <c r="K3360" s="3">
        <v>2595.56</v>
      </c>
      <c r="L3360" t="b">
        <f>TablaDatos[[#This Row],[FechaAlta]] &lt; TablaDatos[[#This Row],[FechaIngreso]]</f>
        <v>0</v>
      </c>
      <c r="M3360">
        <f>_xlfn.XLOOKUP(TablaDatos[[#This Row],[PacienteID]],'Datos_Ejemplo.csv'!A:A,'Datos_Ejemplo.csv'!I:I)</f>
        <v>19</v>
      </c>
      <c r="N3360">
        <f>ABS(TablaDatos[[#This Row],[DiasOriginal]])</f>
        <v>19</v>
      </c>
      <c r="O3360" s="1">
        <f>TablaDatos[[#This Row],[FechaIngreso]]+TablaDatos[[#This Row],[DiasNuevo]]</f>
        <v>44964</v>
      </c>
    </row>
    <row r="3361" spans="1:15">
      <c r="A3361">
        <v>3360</v>
      </c>
      <c r="B3361" t="s">
        <v>130</v>
      </c>
      <c r="C3361" s="1">
        <v>44927</v>
      </c>
      <c r="D3361">
        <v>3</v>
      </c>
      <c r="E3361" s="4" t="s">
        <v>12</v>
      </c>
      <c r="F3361" t="s">
        <v>18</v>
      </c>
      <c r="G3361" s="1">
        <v>45291</v>
      </c>
      <c r="H3361" s="1">
        <f>TablaDatos[[#This Row],[FechaIngreso]]+TablaDatos[[#This Row],[DiasNuevo]]</f>
        <v>45315</v>
      </c>
      <c r="I3361">
        <v>24</v>
      </c>
      <c r="J3361" t="s">
        <v>25</v>
      </c>
      <c r="K3361" s="3">
        <v>2408.83</v>
      </c>
      <c r="L3361" t="b">
        <f>TablaDatos[[#This Row],[FechaAlta]] &lt; TablaDatos[[#This Row],[FechaIngreso]]</f>
        <v>0</v>
      </c>
      <c r="M3361">
        <f>_xlfn.XLOOKUP(TablaDatos[[#This Row],[PacienteID]],'Datos_Ejemplo.csv'!A:A,'Datos_Ejemplo.csv'!I:I)</f>
        <v>24</v>
      </c>
      <c r="N3361">
        <f>ABS(TablaDatos[[#This Row],[DiasOriginal]])</f>
        <v>24</v>
      </c>
      <c r="O3361" s="1">
        <f>TablaDatos[[#This Row],[FechaIngreso]]+TablaDatos[[#This Row],[DiasNuevo]]</f>
        <v>45315</v>
      </c>
    </row>
    <row r="3362" spans="1:15">
      <c r="A3362">
        <v>3361</v>
      </c>
      <c r="B3362" t="s">
        <v>249</v>
      </c>
      <c r="C3362" s="1">
        <v>38352</v>
      </c>
      <c r="D3362">
        <v>21</v>
      </c>
      <c r="E3362" s="4" t="s">
        <v>15</v>
      </c>
      <c r="F3362" t="s">
        <v>21</v>
      </c>
      <c r="G3362" s="1">
        <v>45579</v>
      </c>
      <c r="H3362" s="1">
        <f>TablaDatos[[#This Row],[FechaIngreso]]+TablaDatos[[#This Row],[DiasNuevo]]</f>
        <v>45593</v>
      </c>
      <c r="I3362">
        <v>14</v>
      </c>
      <c r="J3362" t="s">
        <v>25</v>
      </c>
      <c r="K3362" s="3">
        <v>841.9</v>
      </c>
      <c r="L3362" t="b">
        <f>TablaDatos[[#This Row],[FechaAlta]] &lt; TablaDatos[[#This Row],[FechaIngreso]]</f>
        <v>0</v>
      </c>
      <c r="M3362">
        <f>_xlfn.XLOOKUP(TablaDatos[[#This Row],[PacienteID]],'Datos_Ejemplo.csv'!A:A,'Datos_Ejemplo.csv'!I:I)</f>
        <v>14</v>
      </c>
      <c r="N3362">
        <f>ABS(TablaDatos[[#This Row],[DiasOriginal]])</f>
        <v>14</v>
      </c>
      <c r="O3362" s="1">
        <f>TablaDatos[[#This Row],[FechaIngreso]]+TablaDatos[[#This Row],[DiasNuevo]]</f>
        <v>45593</v>
      </c>
    </row>
    <row r="3363" spans="1:15">
      <c r="A3363">
        <v>3362</v>
      </c>
      <c r="B3363" t="s">
        <v>300</v>
      </c>
      <c r="C3363" s="1">
        <v>18629</v>
      </c>
      <c r="D3363">
        <v>75</v>
      </c>
      <c r="E3363" s="4" t="s">
        <v>12</v>
      </c>
      <c r="F3363" t="s">
        <v>261</v>
      </c>
      <c r="G3363" s="1">
        <v>45305</v>
      </c>
      <c r="H3363" s="1">
        <f>TablaDatos[[#This Row],[FechaIngreso]]+TablaDatos[[#This Row],[DiasNuevo]]</f>
        <v>45328</v>
      </c>
      <c r="I3363">
        <v>23</v>
      </c>
      <c r="J3363" t="s">
        <v>23</v>
      </c>
      <c r="K3363" s="3">
        <v>17002.28</v>
      </c>
      <c r="L3363" t="b">
        <f>TablaDatos[[#This Row],[FechaAlta]] &lt; TablaDatos[[#This Row],[FechaIngreso]]</f>
        <v>0</v>
      </c>
      <c r="M3363">
        <f>_xlfn.XLOOKUP(TablaDatos[[#This Row],[PacienteID]],'Datos_Ejemplo.csv'!A:A,'Datos_Ejemplo.csv'!I:I)</f>
        <v>23</v>
      </c>
      <c r="N3363">
        <f>ABS(TablaDatos[[#This Row],[DiasOriginal]])</f>
        <v>23</v>
      </c>
      <c r="O3363" s="1">
        <f>TablaDatos[[#This Row],[FechaIngreso]]+TablaDatos[[#This Row],[DiasNuevo]]</f>
        <v>45328</v>
      </c>
    </row>
    <row r="3364" spans="1:15">
      <c r="A3364">
        <v>3363</v>
      </c>
      <c r="B3364" t="s">
        <v>136</v>
      </c>
      <c r="C3364" s="1">
        <v>29951</v>
      </c>
      <c r="D3364">
        <v>44</v>
      </c>
      <c r="E3364" s="4" t="s">
        <v>12</v>
      </c>
      <c r="F3364" t="s">
        <v>295</v>
      </c>
      <c r="G3364" s="1">
        <v>45086</v>
      </c>
      <c r="H3364" s="1">
        <f>TablaDatos[[#This Row],[FechaIngreso]]+TablaDatos[[#This Row],[DiasNuevo]]</f>
        <v>45121</v>
      </c>
      <c r="I3364">
        <v>35</v>
      </c>
      <c r="J3364" t="s">
        <v>23</v>
      </c>
      <c r="K3364" s="3">
        <v>18949.66</v>
      </c>
      <c r="L3364" t="b">
        <f>TablaDatos[[#This Row],[FechaAlta]] &lt; TablaDatos[[#This Row],[FechaIngreso]]</f>
        <v>0</v>
      </c>
      <c r="M3364">
        <f>_xlfn.XLOOKUP(TablaDatos[[#This Row],[PacienteID]],'Datos_Ejemplo.csv'!A:A,'Datos_Ejemplo.csv'!I:I)</f>
        <v>35</v>
      </c>
      <c r="N3364">
        <f>ABS(TablaDatos[[#This Row],[DiasOriginal]])</f>
        <v>35</v>
      </c>
      <c r="O3364" s="1">
        <f>TablaDatos[[#This Row],[FechaIngreso]]+TablaDatos[[#This Row],[DiasNuevo]]</f>
        <v>45121</v>
      </c>
    </row>
    <row r="3365" spans="1:15">
      <c r="A3365">
        <v>3364</v>
      </c>
      <c r="B3365" t="s">
        <v>303</v>
      </c>
      <c r="C3365" s="1">
        <v>21916</v>
      </c>
      <c r="D3365">
        <v>66</v>
      </c>
      <c r="E3365" s="4" t="s">
        <v>15</v>
      </c>
      <c r="F3365" t="s">
        <v>261</v>
      </c>
      <c r="G3365" s="1">
        <v>45026</v>
      </c>
      <c r="H3365" s="1">
        <f>TablaDatos[[#This Row],[FechaIngreso]]+TablaDatos[[#This Row],[DiasNuevo]]</f>
        <v>45037</v>
      </c>
      <c r="I3365">
        <v>11</v>
      </c>
      <c r="J3365" t="s">
        <v>23</v>
      </c>
      <c r="K3365" s="3">
        <v>2225.27</v>
      </c>
      <c r="L3365" t="b">
        <f>TablaDatos[[#This Row],[FechaAlta]] &lt; TablaDatos[[#This Row],[FechaIngreso]]</f>
        <v>0</v>
      </c>
      <c r="M3365">
        <f>_xlfn.XLOOKUP(TablaDatos[[#This Row],[PacienteID]],'Datos_Ejemplo.csv'!A:A,'Datos_Ejemplo.csv'!I:I)</f>
        <v>11</v>
      </c>
      <c r="N3365">
        <f>ABS(TablaDatos[[#This Row],[DiasOriginal]])</f>
        <v>11</v>
      </c>
      <c r="O3365" s="1">
        <f>TablaDatos[[#This Row],[FechaIngreso]]+TablaDatos[[#This Row],[DiasNuevo]]</f>
        <v>45037</v>
      </c>
    </row>
    <row r="3366" spans="1:15">
      <c r="A3366">
        <v>3365</v>
      </c>
      <c r="B3366" t="s">
        <v>336</v>
      </c>
      <c r="C3366" s="1">
        <v>14976</v>
      </c>
      <c r="D3366">
        <v>85</v>
      </c>
      <c r="E3366" s="4" t="s">
        <v>12</v>
      </c>
      <c r="F3366" t="s">
        <v>201</v>
      </c>
      <c r="G3366" s="1">
        <v>45191</v>
      </c>
      <c r="H3366" s="1">
        <f>TablaDatos[[#This Row],[FechaIngreso]]+TablaDatos[[#This Row],[DiasNuevo]]</f>
        <v>45202</v>
      </c>
      <c r="I3366">
        <v>11</v>
      </c>
      <c r="J3366" t="s">
        <v>19</v>
      </c>
      <c r="K3366" s="3">
        <v>4183.76</v>
      </c>
      <c r="L3366" t="b">
        <f>TablaDatos[[#This Row],[FechaAlta]] &lt; TablaDatos[[#This Row],[FechaIngreso]]</f>
        <v>0</v>
      </c>
      <c r="M3366">
        <f>_xlfn.XLOOKUP(TablaDatos[[#This Row],[PacienteID]],'Datos_Ejemplo.csv'!A:A,'Datos_Ejemplo.csv'!I:I)</f>
        <v>11</v>
      </c>
      <c r="N3366">
        <f>ABS(TablaDatos[[#This Row],[DiasOriginal]])</f>
        <v>11</v>
      </c>
      <c r="O3366" s="1">
        <f>TablaDatos[[#This Row],[FechaIngreso]]+TablaDatos[[#This Row],[DiasNuevo]]</f>
        <v>45202</v>
      </c>
    </row>
    <row r="3367" spans="1:15">
      <c r="A3367">
        <v>3366</v>
      </c>
      <c r="B3367" t="s">
        <v>289</v>
      </c>
      <c r="C3367" s="1">
        <v>22281</v>
      </c>
      <c r="D3367">
        <v>65</v>
      </c>
      <c r="E3367" s="4" t="s">
        <v>12</v>
      </c>
      <c r="F3367" t="s">
        <v>201</v>
      </c>
      <c r="G3367" s="1">
        <v>44975</v>
      </c>
      <c r="H3367" s="1">
        <f>TablaDatos[[#This Row],[FechaIngreso]]+TablaDatos[[#This Row],[DiasNuevo]]</f>
        <v>44984</v>
      </c>
      <c r="I3367">
        <v>9</v>
      </c>
      <c r="J3367" t="s">
        <v>25</v>
      </c>
      <c r="K3367" s="3">
        <v>1706.24</v>
      </c>
      <c r="L3367" t="b">
        <f>TablaDatos[[#This Row],[FechaAlta]] &lt; TablaDatos[[#This Row],[FechaIngreso]]</f>
        <v>0</v>
      </c>
      <c r="M3367">
        <f>_xlfn.XLOOKUP(TablaDatos[[#This Row],[PacienteID]],'Datos_Ejemplo.csv'!A:A,'Datos_Ejemplo.csv'!I:I)</f>
        <v>9</v>
      </c>
      <c r="N3367">
        <f>ABS(TablaDatos[[#This Row],[DiasOriginal]])</f>
        <v>9</v>
      </c>
      <c r="O3367" s="1">
        <f>TablaDatos[[#This Row],[FechaIngreso]]+TablaDatos[[#This Row],[DiasNuevo]]</f>
        <v>44984</v>
      </c>
    </row>
    <row r="3368" spans="1:15">
      <c r="A3368">
        <v>3367</v>
      </c>
      <c r="B3368" t="s">
        <v>260</v>
      </c>
      <c r="C3368" s="1">
        <v>14246</v>
      </c>
      <c r="D3368">
        <v>87</v>
      </c>
      <c r="E3368" s="4" t="s">
        <v>12</v>
      </c>
      <c r="F3368" t="s">
        <v>13</v>
      </c>
      <c r="G3368" s="1">
        <v>45603</v>
      </c>
      <c r="H3368" s="1">
        <f>TablaDatos[[#This Row],[FechaIngreso]]+TablaDatos[[#This Row],[DiasNuevo]]</f>
        <v>45605</v>
      </c>
      <c r="I3368">
        <v>2</v>
      </c>
      <c r="J3368" t="s">
        <v>25</v>
      </c>
      <c r="K3368" s="3">
        <v>17537.79</v>
      </c>
      <c r="L3368" t="b">
        <f>TablaDatos[[#This Row],[FechaAlta]] &lt; TablaDatos[[#This Row],[FechaIngreso]]</f>
        <v>0</v>
      </c>
      <c r="M3368">
        <f>_xlfn.XLOOKUP(TablaDatos[[#This Row],[PacienteID]],'Datos_Ejemplo.csv'!A:A,'Datos_Ejemplo.csv'!I:I)</f>
        <v>2</v>
      </c>
      <c r="N3368">
        <f>ABS(TablaDatos[[#This Row],[DiasOriginal]])</f>
        <v>2</v>
      </c>
      <c r="O3368" s="1">
        <f>TablaDatos[[#This Row],[FechaIngreso]]+TablaDatos[[#This Row],[DiasNuevo]]</f>
        <v>45605</v>
      </c>
    </row>
    <row r="3369" spans="1:15">
      <c r="A3369">
        <v>3368</v>
      </c>
      <c r="B3369" t="s">
        <v>300</v>
      </c>
      <c r="C3369" s="1">
        <v>33969</v>
      </c>
      <c r="D3369">
        <v>33</v>
      </c>
      <c r="E3369" s="4" t="s">
        <v>15</v>
      </c>
      <c r="F3369" t="s">
        <v>13</v>
      </c>
      <c r="G3369" s="1">
        <v>45341</v>
      </c>
      <c r="H3369" s="1">
        <f>TablaDatos[[#This Row],[FechaIngreso]]+TablaDatos[[#This Row],[DiasNuevo]]</f>
        <v>45375</v>
      </c>
      <c r="I3369">
        <v>34</v>
      </c>
      <c r="J3369" t="s">
        <v>25</v>
      </c>
      <c r="K3369" s="3">
        <v>19170.05</v>
      </c>
      <c r="L3369" t="b">
        <f>TablaDatos[[#This Row],[FechaAlta]] &lt; TablaDatos[[#This Row],[FechaIngreso]]</f>
        <v>0</v>
      </c>
      <c r="M3369">
        <f>_xlfn.XLOOKUP(TablaDatos[[#This Row],[PacienteID]],'Datos_Ejemplo.csv'!A:A,'Datos_Ejemplo.csv'!I:I)</f>
        <v>34</v>
      </c>
      <c r="N3369">
        <f>ABS(TablaDatos[[#This Row],[DiasOriginal]])</f>
        <v>34</v>
      </c>
      <c r="O3369" s="1">
        <f>TablaDatos[[#This Row],[FechaIngreso]]+TablaDatos[[#This Row],[DiasNuevo]]</f>
        <v>45375</v>
      </c>
    </row>
    <row r="3370" spans="1:15">
      <c r="A3370">
        <v>3369</v>
      </c>
      <c r="B3370" t="s">
        <v>231</v>
      </c>
      <c r="C3370" s="1">
        <v>13150</v>
      </c>
      <c r="D3370">
        <v>90</v>
      </c>
      <c r="E3370" s="4" t="s">
        <v>15</v>
      </c>
      <c r="F3370" t="s">
        <v>13</v>
      </c>
      <c r="G3370" s="1">
        <v>44985</v>
      </c>
      <c r="H3370" s="1">
        <f>TablaDatos[[#This Row],[FechaIngreso]]+TablaDatos[[#This Row],[DiasNuevo]]</f>
        <v>44986</v>
      </c>
      <c r="I3370">
        <v>1</v>
      </c>
      <c r="J3370" t="s">
        <v>23</v>
      </c>
      <c r="K3370" s="3">
        <v>5162.1099999999997</v>
      </c>
      <c r="L3370" t="b">
        <f>TablaDatos[[#This Row],[FechaAlta]] &lt; TablaDatos[[#This Row],[FechaIngreso]]</f>
        <v>0</v>
      </c>
      <c r="M3370">
        <f>_xlfn.XLOOKUP(TablaDatos[[#This Row],[PacienteID]],'Datos_Ejemplo.csv'!A:A,'Datos_Ejemplo.csv'!I:I)</f>
        <v>1</v>
      </c>
      <c r="N3370">
        <f>ABS(TablaDatos[[#This Row],[DiasOriginal]])</f>
        <v>1</v>
      </c>
      <c r="O3370" s="1">
        <f>TablaDatos[[#This Row],[FechaIngreso]]+TablaDatos[[#This Row],[DiasNuevo]]</f>
        <v>44986</v>
      </c>
    </row>
    <row r="3371" spans="1:15">
      <c r="A3371">
        <v>3370</v>
      </c>
      <c r="B3371" t="s">
        <v>136</v>
      </c>
      <c r="C3371" s="1">
        <v>26299</v>
      </c>
      <c r="D3371">
        <v>54</v>
      </c>
      <c r="E3371" s="4" t="s">
        <v>12</v>
      </c>
      <c r="F3371" t="s">
        <v>201</v>
      </c>
      <c r="G3371" s="1">
        <v>45109</v>
      </c>
      <c r="H3371" s="1">
        <f>TablaDatos[[#This Row],[FechaIngreso]]+TablaDatos[[#This Row],[DiasNuevo]]</f>
        <v>45135</v>
      </c>
      <c r="I3371">
        <v>26</v>
      </c>
      <c r="J3371" t="s">
        <v>23</v>
      </c>
      <c r="K3371" s="3">
        <v>6002.03</v>
      </c>
      <c r="L3371" t="b">
        <f>TablaDatos[[#This Row],[FechaAlta]] &lt; TablaDatos[[#This Row],[FechaIngreso]]</f>
        <v>0</v>
      </c>
      <c r="M3371">
        <f>_xlfn.XLOOKUP(TablaDatos[[#This Row],[PacienteID]],'Datos_Ejemplo.csv'!A:A,'Datos_Ejemplo.csv'!I:I)</f>
        <v>26</v>
      </c>
      <c r="N3371">
        <f>ABS(TablaDatos[[#This Row],[DiasOriginal]])</f>
        <v>26</v>
      </c>
      <c r="O3371" s="1">
        <f>TablaDatos[[#This Row],[FechaIngreso]]+TablaDatos[[#This Row],[DiasNuevo]]</f>
        <v>45135</v>
      </c>
    </row>
    <row r="3372" spans="1:15">
      <c r="A3372">
        <v>3371</v>
      </c>
      <c r="B3372" t="s">
        <v>231</v>
      </c>
      <c r="C3372" s="1">
        <v>46022</v>
      </c>
      <c r="D3372">
        <v>0</v>
      </c>
      <c r="E3372" s="4" t="s">
        <v>15</v>
      </c>
      <c r="F3372" t="s">
        <v>21</v>
      </c>
      <c r="G3372" s="1">
        <v>45585</v>
      </c>
      <c r="H3372" s="1">
        <f>TablaDatos[[#This Row],[FechaIngreso]]+TablaDatos[[#This Row],[DiasNuevo]]</f>
        <v>45607</v>
      </c>
      <c r="I3372">
        <v>22</v>
      </c>
      <c r="J3372" t="s">
        <v>19</v>
      </c>
      <c r="K3372" s="3">
        <v>7189.66</v>
      </c>
      <c r="L3372" t="b">
        <f>TablaDatos[[#This Row],[FechaAlta]] &lt; TablaDatos[[#This Row],[FechaIngreso]]</f>
        <v>0</v>
      </c>
      <c r="M3372">
        <f>_xlfn.XLOOKUP(TablaDatos[[#This Row],[PacienteID]],'Datos_Ejemplo.csv'!A:A,'Datos_Ejemplo.csv'!I:I)</f>
        <v>22</v>
      </c>
      <c r="N3372">
        <f>ABS(TablaDatos[[#This Row],[DiasOriginal]])</f>
        <v>22</v>
      </c>
      <c r="O3372" s="1">
        <f>TablaDatos[[#This Row],[FechaIngreso]]+TablaDatos[[#This Row],[DiasNuevo]]</f>
        <v>45607</v>
      </c>
    </row>
    <row r="3373" spans="1:15">
      <c r="A3373">
        <v>3372</v>
      </c>
      <c r="B3373" t="s">
        <v>249</v>
      </c>
      <c r="C3373" s="1">
        <v>20090</v>
      </c>
      <c r="D3373">
        <v>71</v>
      </c>
      <c r="E3373" s="4" t="s">
        <v>15</v>
      </c>
      <c r="F3373" t="s">
        <v>32</v>
      </c>
      <c r="G3373" s="1">
        <v>45373</v>
      </c>
      <c r="H3373" s="1">
        <f>TablaDatos[[#This Row],[FechaIngreso]]+TablaDatos[[#This Row],[DiasNuevo]]</f>
        <v>45374</v>
      </c>
      <c r="I3373">
        <v>1</v>
      </c>
      <c r="J3373" t="s">
        <v>23</v>
      </c>
      <c r="K3373" s="3">
        <v>9999.52</v>
      </c>
      <c r="L3373" t="b">
        <f>TablaDatos[[#This Row],[FechaAlta]] &lt; TablaDatos[[#This Row],[FechaIngreso]]</f>
        <v>0</v>
      </c>
      <c r="M3373">
        <f>_xlfn.XLOOKUP(TablaDatos[[#This Row],[PacienteID]],'Datos_Ejemplo.csv'!A:A,'Datos_Ejemplo.csv'!I:I)</f>
        <v>1</v>
      </c>
      <c r="N3373">
        <f>ABS(TablaDatos[[#This Row],[DiasOriginal]])</f>
        <v>1</v>
      </c>
      <c r="O3373" s="1">
        <f>TablaDatos[[#This Row],[FechaIngreso]]+TablaDatos[[#This Row],[DiasNuevo]]</f>
        <v>45374</v>
      </c>
    </row>
    <row r="3374" spans="1:15">
      <c r="A3374">
        <v>3373</v>
      </c>
      <c r="B3374" t="s">
        <v>162</v>
      </c>
      <c r="C3374" s="1">
        <v>14611</v>
      </c>
      <c r="D3374">
        <v>86</v>
      </c>
      <c r="E3374" s="4" t="s">
        <v>197</v>
      </c>
      <c r="F3374" t="s">
        <v>21</v>
      </c>
      <c r="G3374" s="1">
        <v>45227</v>
      </c>
      <c r="H3374" s="1">
        <f>TablaDatos[[#This Row],[FechaIngreso]]+TablaDatos[[#This Row],[DiasNuevo]]</f>
        <v>45240</v>
      </c>
      <c r="I3374">
        <v>13</v>
      </c>
      <c r="J3374" t="s">
        <v>19</v>
      </c>
      <c r="K3374" s="3">
        <v>13617.47</v>
      </c>
      <c r="L3374" t="b">
        <f>TablaDatos[[#This Row],[FechaAlta]] &lt; TablaDatos[[#This Row],[FechaIngreso]]</f>
        <v>0</v>
      </c>
      <c r="M3374">
        <f>_xlfn.XLOOKUP(TablaDatos[[#This Row],[PacienteID]],'Datos_Ejemplo.csv'!A:A,'Datos_Ejemplo.csv'!I:I)</f>
        <v>13</v>
      </c>
      <c r="N3374">
        <f>ABS(TablaDatos[[#This Row],[DiasOriginal]])</f>
        <v>13</v>
      </c>
      <c r="O3374" s="1">
        <f>TablaDatos[[#This Row],[FechaIngreso]]+TablaDatos[[#This Row],[DiasNuevo]]</f>
        <v>45240</v>
      </c>
    </row>
    <row r="3375" spans="1:15">
      <c r="A3375">
        <v>3374</v>
      </c>
      <c r="B3375" t="s">
        <v>230</v>
      </c>
      <c r="C3375" s="1">
        <v>32508</v>
      </c>
      <c r="D3375">
        <v>37</v>
      </c>
      <c r="E3375" s="4" t="s">
        <v>15</v>
      </c>
      <c r="F3375" t="s">
        <v>295</v>
      </c>
      <c r="G3375" s="1">
        <v>45534</v>
      </c>
      <c r="H3375" s="1">
        <f>TablaDatos[[#This Row],[FechaIngreso]]+TablaDatos[[#This Row],[DiasNuevo]]</f>
        <v>45535</v>
      </c>
      <c r="I3375">
        <v>1</v>
      </c>
      <c r="J3375" t="s">
        <v>23</v>
      </c>
      <c r="K3375" s="3">
        <v>10038.25</v>
      </c>
      <c r="L3375" t="b">
        <f>TablaDatos[[#This Row],[FechaAlta]] &lt; TablaDatos[[#This Row],[FechaIngreso]]</f>
        <v>0</v>
      </c>
      <c r="M3375">
        <f>_xlfn.XLOOKUP(TablaDatos[[#This Row],[PacienteID]],'Datos_Ejemplo.csv'!A:A,'Datos_Ejemplo.csv'!I:I)</f>
        <v>-1</v>
      </c>
      <c r="N3375">
        <f>ABS(TablaDatos[[#This Row],[DiasOriginal]])</f>
        <v>1</v>
      </c>
      <c r="O3375" s="1">
        <f>TablaDatos[[#This Row],[FechaIngreso]]+TablaDatos[[#This Row],[DiasNuevo]]</f>
        <v>45535</v>
      </c>
    </row>
    <row r="3376" spans="1:15">
      <c r="A3376">
        <v>3375</v>
      </c>
      <c r="B3376" t="s">
        <v>277</v>
      </c>
      <c r="C3376" s="1">
        <v>44196</v>
      </c>
      <c r="D3376">
        <v>5</v>
      </c>
      <c r="E3376" s="4" t="s">
        <v>197</v>
      </c>
      <c r="F3376" t="s">
        <v>21</v>
      </c>
      <c r="G3376" s="1">
        <v>45481</v>
      </c>
      <c r="H3376" s="1">
        <f>TablaDatos[[#This Row],[FechaIngreso]]+TablaDatos[[#This Row],[DiasNuevo]]</f>
        <v>45501</v>
      </c>
      <c r="I3376">
        <v>20</v>
      </c>
      <c r="J3376" t="s">
        <v>25</v>
      </c>
      <c r="K3376" s="3">
        <v>19015.13</v>
      </c>
      <c r="L3376" t="b">
        <f>TablaDatos[[#This Row],[FechaAlta]] &lt; TablaDatos[[#This Row],[FechaIngreso]]</f>
        <v>0</v>
      </c>
      <c r="M3376">
        <f>_xlfn.XLOOKUP(TablaDatos[[#This Row],[PacienteID]],'Datos_Ejemplo.csv'!A:A,'Datos_Ejemplo.csv'!I:I)</f>
        <v>20</v>
      </c>
      <c r="N3376">
        <f>ABS(TablaDatos[[#This Row],[DiasOriginal]])</f>
        <v>20</v>
      </c>
      <c r="O3376" s="1">
        <f>TablaDatos[[#This Row],[FechaIngreso]]+TablaDatos[[#This Row],[DiasNuevo]]</f>
        <v>45501</v>
      </c>
    </row>
    <row r="3377" spans="1:15">
      <c r="A3377">
        <v>3376</v>
      </c>
      <c r="B3377" t="s">
        <v>238</v>
      </c>
      <c r="C3377" s="1">
        <v>14976</v>
      </c>
      <c r="D3377">
        <v>85</v>
      </c>
      <c r="E3377" s="4" t="s">
        <v>15</v>
      </c>
      <c r="F3377" t="s">
        <v>13</v>
      </c>
      <c r="G3377" s="1">
        <v>45280</v>
      </c>
      <c r="H3377" s="1">
        <f>TablaDatos[[#This Row],[FechaIngreso]]+TablaDatos[[#This Row],[DiasNuevo]]</f>
        <v>45281</v>
      </c>
      <c r="I3377">
        <v>1</v>
      </c>
      <c r="J3377" t="s">
        <v>19</v>
      </c>
      <c r="K3377" s="3">
        <v>1907.86</v>
      </c>
      <c r="L3377" t="b">
        <f>TablaDatos[[#This Row],[FechaAlta]] &lt; TablaDatos[[#This Row],[FechaIngreso]]</f>
        <v>0</v>
      </c>
      <c r="M3377">
        <f>_xlfn.XLOOKUP(TablaDatos[[#This Row],[PacienteID]],'Datos_Ejemplo.csv'!A:A,'Datos_Ejemplo.csv'!I:I)</f>
        <v>1</v>
      </c>
      <c r="N3377">
        <f>ABS(TablaDatos[[#This Row],[DiasOriginal]])</f>
        <v>1</v>
      </c>
      <c r="O3377" s="1">
        <f>TablaDatos[[#This Row],[FechaIngreso]]+TablaDatos[[#This Row],[DiasNuevo]]</f>
        <v>45281</v>
      </c>
    </row>
    <row r="3378" spans="1:15">
      <c r="A3378">
        <v>3377</v>
      </c>
      <c r="B3378" t="s">
        <v>311</v>
      </c>
      <c r="C3378" s="1">
        <v>37256</v>
      </c>
      <c r="D3378">
        <v>24</v>
      </c>
      <c r="E3378" s="4" t="s">
        <v>15</v>
      </c>
      <c r="F3378" t="s">
        <v>18</v>
      </c>
      <c r="G3378" s="1">
        <v>45139</v>
      </c>
      <c r="H3378" s="1">
        <f>TablaDatos[[#This Row],[FechaIngreso]]+TablaDatos[[#This Row],[DiasNuevo]]</f>
        <v>45156</v>
      </c>
      <c r="I3378">
        <v>17</v>
      </c>
      <c r="J3378" t="s">
        <v>23</v>
      </c>
      <c r="K3378" s="3">
        <v>15951.97</v>
      </c>
      <c r="L3378" t="b">
        <f>TablaDatos[[#This Row],[FechaAlta]] &lt; TablaDatos[[#This Row],[FechaIngreso]]</f>
        <v>0</v>
      </c>
      <c r="M3378">
        <f>_xlfn.XLOOKUP(TablaDatos[[#This Row],[PacienteID]],'Datos_Ejemplo.csv'!A:A,'Datos_Ejemplo.csv'!I:I)</f>
        <v>17</v>
      </c>
      <c r="N3378">
        <f>ABS(TablaDatos[[#This Row],[DiasOriginal]])</f>
        <v>17</v>
      </c>
      <c r="O3378" s="1">
        <f>TablaDatos[[#This Row],[FechaIngreso]]+TablaDatos[[#This Row],[DiasNuevo]]</f>
        <v>45156</v>
      </c>
    </row>
    <row r="3379" spans="1:15">
      <c r="A3379">
        <v>3378</v>
      </c>
      <c r="B3379" t="s">
        <v>265</v>
      </c>
      <c r="C3379" s="1">
        <v>16437</v>
      </c>
      <c r="D3379">
        <v>81</v>
      </c>
      <c r="E3379" s="4" t="s">
        <v>12</v>
      </c>
      <c r="F3379" t="s">
        <v>295</v>
      </c>
      <c r="G3379" s="1">
        <v>45115</v>
      </c>
      <c r="H3379" s="1">
        <f>TablaDatos[[#This Row],[FechaIngreso]]+TablaDatos[[#This Row],[DiasNuevo]]</f>
        <v>45129</v>
      </c>
      <c r="I3379">
        <v>14</v>
      </c>
      <c r="J3379" t="s">
        <v>23</v>
      </c>
      <c r="K3379" s="3">
        <v>6623.11</v>
      </c>
      <c r="L3379" t="b">
        <f>TablaDatos[[#This Row],[FechaAlta]] &lt; TablaDatos[[#This Row],[FechaIngreso]]</f>
        <v>0</v>
      </c>
      <c r="M3379">
        <f>_xlfn.XLOOKUP(TablaDatos[[#This Row],[PacienteID]],'Datos_Ejemplo.csv'!A:A,'Datos_Ejemplo.csv'!I:I)</f>
        <v>14</v>
      </c>
      <c r="N3379">
        <f>ABS(TablaDatos[[#This Row],[DiasOriginal]])</f>
        <v>14</v>
      </c>
      <c r="O3379" s="1">
        <f>TablaDatos[[#This Row],[FechaIngreso]]+TablaDatos[[#This Row],[DiasNuevo]]</f>
        <v>45129</v>
      </c>
    </row>
    <row r="3380" spans="1:15">
      <c r="A3380">
        <v>3379</v>
      </c>
      <c r="B3380" t="s">
        <v>250</v>
      </c>
      <c r="C3380" s="1">
        <v>40178</v>
      </c>
      <c r="D3380">
        <v>16</v>
      </c>
      <c r="E3380" s="4" t="s">
        <v>12</v>
      </c>
      <c r="F3380" t="s">
        <v>261</v>
      </c>
      <c r="G3380" s="1">
        <v>45569</v>
      </c>
      <c r="H3380" s="1">
        <f>TablaDatos[[#This Row],[FechaIngreso]]+TablaDatos[[#This Row],[DiasNuevo]]</f>
        <v>45572</v>
      </c>
      <c r="I3380">
        <v>3</v>
      </c>
      <c r="J3380" t="s">
        <v>23</v>
      </c>
      <c r="K3380" s="3">
        <v>7488.71</v>
      </c>
      <c r="L3380" t="b">
        <f>TablaDatos[[#This Row],[FechaAlta]] &lt; TablaDatos[[#This Row],[FechaIngreso]]</f>
        <v>0</v>
      </c>
      <c r="M3380">
        <f>_xlfn.XLOOKUP(TablaDatos[[#This Row],[PacienteID]],'Datos_Ejemplo.csv'!A:A,'Datos_Ejemplo.csv'!I:I)</f>
        <v>3</v>
      </c>
      <c r="N3380">
        <f>ABS(TablaDatos[[#This Row],[DiasOriginal]])</f>
        <v>3</v>
      </c>
      <c r="O3380" s="1">
        <f>TablaDatos[[#This Row],[FechaIngreso]]+TablaDatos[[#This Row],[DiasNuevo]]</f>
        <v>45572</v>
      </c>
    </row>
    <row r="3381" spans="1:15">
      <c r="A3381">
        <v>3380</v>
      </c>
      <c r="B3381" t="s">
        <v>278</v>
      </c>
      <c r="C3381" s="1">
        <v>24107</v>
      </c>
      <c r="D3381">
        <v>60</v>
      </c>
      <c r="E3381" s="4" t="s">
        <v>12</v>
      </c>
      <c r="F3381" t="s">
        <v>18</v>
      </c>
      <c r="G3381" s="1">
        <v>45273</v>
      </c>
      <c r="H3381" s="1">
        <f>TablaDatos[[#This Row],[FechaIngreso]]+TablaDatos[[#This Row],[DiasNuevo]]</f>
        <v>45288</v>
      </c>
      <c r="I3381">
        <v>15</v>
      </c>
      <c r="J3381" t="s">
        <v>25</v>
      </c>
      <c r="K3381" s="3">
        <v>14147.47</v>
      </c>
      <c r="L3381" t="b">
        <f>TablaDatos[[#This Row],[FechaAlta]] &lt; TablaDatos[[#This Row],[FechaIngreso]]</f>
        <v>0</v>
      </c>
      <c r="M3381">
        <f>_xlfn.XLOOKUP(TablaDatos[[#This Row],[PacienteID]],'Datos_Ejemplo.csv'!A:A,'Datos_Ejemplo.csv'!I:I)</f>
        <v>15</v>
      </c>
      <c r="N3381">
        <f>ABS(TablaDatos[[#This Row],[DiasOriginal]])</f>
        <v>15</v>
      </c>
      <c r="O3381" s="1">
        <f>TablaDatos[[#This Row],[FechaIngreso]]+TablaDatos[[#This Row],[DiasNuevo]]</f>
        <v>45288</v>
      </c>
    </row>
    <row r="3382" spans="1:15">
      <c r="A3382">
        <v>3381</v>
      </c>
      <c r="B3382" t="s">
        <v>298</v>
      </c>
      <c r="C3382" s="1">
        <v>42005</v>
      </c>
      <c r="D3382">
        <v>11</v>
      </c>
      <c r="E3382" s="4" t="s">
        <v>12</v>
      </c>
      <c r="F3382" t="s">
        <v>295</v>
      </c>
      <c r="G3382" s="1">
        <v>45063</v>
      </c>
      <c r="H3382" s="1">
        <f>TablaDatos[[#This Row],[FechaIngreso]]+TablaDatos[[#This Row],[DiasNuevo]]</f>
        <v>45080</v>
      </c>
      <c r="I3382">
        <v>17</v>
      </c>
      <c r="J3382" t="s">
        <v>23</v>
      </c>
      <c r="K3382" s="3">
        <v>18580.48</v>
      </c>
      <c r="L3382" t="b">
        <f>TablaDatos[[#This Row],[FechaAlta]] &lt; TablaDatos[[#This Row],[FechaIngreso]]</f>
        <v>0</v>
      </c>
      <c r="M3382">
        <f>_xlfn.XLOOKUP(TablaDatos[[#This Row],[PacienteID]],'Datos_Ejemplo.csv'!A:A,'Datos_Ejemplo.csv'!I:I)</f>
        <v>17</v>
      </c>
      <c r="N3382">
        <f>ABS(TablaDatos[[#This Row],[DiasOriginal]])</f>
        <v>17</v>
      </c>
      <c r="O3382" s="1">
        <f>TablaDatos[[#This Row],[FechaIngreso]]+TablaDatos[[#This Row],[DiasNuevo]]</f>
        <v>45080</v>
      </c>
    </row>
    <row r="3383" spans="1:15">
      <c r="A3383">
        <v>3382</v>
      </c>
      <c r="B3383" t="s">
        <v>327</v>
      </c>
      <c r="C3383" s="1">
        <v>44196</v>
      </c>
      <c r="D3383">
        <v>5</v>
      </c>
      <c r="E3383" s="4" t="s">
        <v>12</v>
      </c>
      <c r="F3383" t="s">
        <v>295</v>
      </c>
      <c r="G3383" s="1">
        <v>44956</v>
      </c>
      <c r="H3383" s="1">
        <f>TablaDatos[[#This Row],[FechaIngreso]]+TablaDatos[[#This Row],[DiasNuevo]]</f>
        <v>44992</v>
      </c>
      <c r="I3383">
        <v>36</v>
      </c>
      <c r="J3383" t="s">
        <v>19</v>
      </c>
      <c r="K3383" s="3">
        <v>14295.64</v>
      </c>
      <c r="L3383" t="b">
        <f>TablaDatos[[#This Row],[FechaAlta]] &lt; TablaDatos[[#This Row],[FechaIngreso]]</f>
        <v>0</v>
      </c>
      <c r="M3383">
        <f>_xlfn.XLOOKUP(TablaDatos[[#This Row],[PacienteID]],'Datos_Ejemplo.csv'!A:A,'Datos_Ejemplo.csv'!I:I)</f>
        <v>36</v>
      </c>
      <c r="N3383">
        <f>ABS(TablaDatos[[#This Row],[DiasOriginal]])</f>
        <v>36</v>
      </c>
      <c r="O3383" s="1">
        <f>TablaDatos[[#This Row],[FechaIngreso]]+TablaDatos[[#This Row],[DiasNuevo]]</f>
        <v>44992</v>
      </c>
    </row>
    <row r="3384" spans="1:15">
      <c r="A3384">
        <v>3383</v>
      </c>
      <c r="B3384" t="s">
        <v>345</v>
      </c>
      <c r="C3384" s="1">
        <v>13515</v>
      </c>
      <c r="D3384">
        <v>89</v>
      </c>
      <c r="E3384" s="4" t="s">
        <v>15</v>
      </c>
      <c r="F3384" t="s">
        <v>201</v>
      </c>
      <c r="G3384" s="1">
        <v>45072</v>
      </c>
      <c r="H3384" s="1">
        <f>TablaDatos[[#This Row],[FechaIngreso]]+TablaDatos[[#This Row],[DiasNuevo]]</f>
        <v>45110</v>
      </c>
      <c r="I3384">
        <v>38</v>
      </c>
      <c r="J3384" t="s">
        <v>23</v>
      </c>
      <c r="K3384" s="3">
        <v>15494.8</v>
      </c>
      <c r="L3384" t="b">
        <f>TablaDatos[[#This Row],[FechaAlta]] &lt; TablaDatos[[#This Row],[FechaIngreso]]</f>
        <v>0</v>
      </c>
      <c r="M3384">
        <f>_xlfn.XLOOKUP(TablaDatos[[#This Row],[PacienteID]],'Datos_Ejemplo.csv'!A:A,'Datos_Ejemplo.csv'!I:I)</f>
        <v>38</v>
      </c>
      <c r="N3384">
        <f>ABS(TablaDatos[[#This Row],[DiasOriginal]])</f>
        <v>38</v>
      </c>
      <c r="O3384" s="1">
        <f>TablaDatos[[#This Row],[FechaIngreso]]+TablaDatos[[#This Row],[DiasNuevo]]</f>
        <v>45110</v>
      </c>
    </row>
    <row r="3385" spans="1:15">
      <c r="A3385">
        <v>3384</v>
      </c>
      <c r="B3385" t="s">
        <v>327</v>
      </c>
      <c r="C3385" s="1">
        <v>36526</v>
      </c>
      <c r="D3385">
        <v>26</v>
      </c>
      <c r="E3385" s="4" t="s">
        <v>15</v>
      </c>
      <c r="F3385" t="s">
        <v>13</v>
      </c>
      <c r="G3385" s="1">
        <v>45394</v>
      </c>
      <c r="H3385" s="1">
        <f>TablaDatos[[#This Row],[FechaIngreso]]+TablaDatos[[#This Row],[DiasNuevo]]</f>
        <v>45425</v>
      </c>
      <c r="I3385">
        <v>31</v>
      </c>
      <c r="J3385" t="s">
        <v>23</v>
      </c>
      <c r="K3385" s="3">
        <v>14990.66</v>
      </c>
      <c r="L3385" t="b">
        <f>TablaDatos[[#This Row],[FechaAlta]] &lt; TablaDatos[[#This Row],[FechaIngreso]]</f>
        <v>0</v>
      </c>
      <c r="M3385">
        <f>_xlfn.XLOOKUP(TablaDatos[[#This Row],[PacienteID]],'Datos_Ejemplo.csv'!A:A,'Datos_Ejemplo.csv'!I:I)</f>
        <v>31</v>
      </c>
      <c r="N3385">
        <f>ABS(TablaDatos[[#This Row],[DiasOriginal]])</f>
        <v>31</v>
      </c>
      <c r="O3385" s="1">
        <f>TablaDatos[[#This Row],[FechaIngreso]]+TablaDatos[[#This Row],[DiasNuevo]]</f>
        <v>45425</v>
      </c>
    </row>
    <row r="3386" spans="1:15">
      <c r="A3386">
        <v>3385</v>
      </c>
      <c r="B3386" t="s">
        <v>357</v>
      </c>
      <c r="C3386" s="1">
        <v>43466</v>
      </c>
      <c r="D3386">
        <v>7</v>
      </c>
      <c r="E3386" s="4" t="s">
        <v>15</v>
      </c>
      <c r="F3386" t="s">
        <v>201</v>
      </c>
      <c r="G3386" s="1">
        <v>45543</v>
      </c>
      <c r="H3386" s="1">
        <f>TablaDatos[[#This Row],[FechaIngreso]]+TablaDatos[[#This Row],[DiasNuevo]]</f>
        <v>45580</v>
      </c>
      <c r="I3386">
        <v>37</v>
      </c>
      <c r="J3386" t="s">
        <v>23</v>
      </c>
      <c r="K3386" s="3">
        <v>6351.67</v>
      </c>
      <c r="L3386" t="b">
        <f>TablaDatos[[#This Row],[FechaAlta]] &lt; TablaDatos[[#This Row],[FechaIngreso]]</f>
        <v>0</v>
      </c>
      <c r="M3386">
        <f>_xlfn.XLOOKUP(TablaDatos[[#This Row],[PacienteID]],'Datos_Ejemplo.csv'!A:A,'Datos_Ejemplo.csv'!I:I)</f>
        <v>37</v>
      </c>
      <c r="N3386">
        <f>ABS(TablaDatos[[#This Row],[DiasOriginal]])</f>
        <v>37</v>
      </c>
      <c r="O3386" s="1">
        <f>TablaDatos[[#This Row],[FechaIngreso]]+TablaDatos[[#This Row],[DiasNuevo]]</f>
        <v>45580</v>
      </c>
    </row>
    <row r="3387" spans="1:15">
      <c r="A3387">
        <v>3386</v>
      </c>
      <c r="B3387" t="s">
        <v>282</v>
      </c>
      <c r="C3387" s="1">
        <v>16072</v>
      </c>
      <c r="D3387">
        <v>82</v>
      </c>
      <c r="E3387" s="4" t="s">
        <v>12</v>
      </c>
      <c r="F3387" t="s">
        <v>261</v>
      </c>
      <c r="G3387" s="1">
        <v>45429</v>
      </c>
      <c r="H3387" s="1">
        <f>TablaDatos[[#This Row],[FechaIngreso]]+TablaDatos[[#This Row],[DiasNuevo]]</f>
        <v>45450</v>
      </c>
      <c r="I3387">
        <v>21</v>
      </c>
      <c r="J3387" t="s">
        <v>23</v>
      </c>
      <c r="K3387" s="3">
        <v>15114.3</v>
      </c>
      <c r="L3387" t="b">
        <f>TablaDatos[[#This Row],[FechaAlta]] &lt; TablaDatos[[#This Row],[FechaIngreso]]</f>
        <v>0</v>
      </c>
      <c r="M3387">
        <f>_xlfn.XLOOKUP(TablaDatos[[#This Row],[PacienteID]],'Datos_Ejemplo.csv'!A:A,'Datos_Ejemplo.csv'!I:I)</f>
        <v>21</v>
      </c>
      <c r="N3387">
        <f>ABS(TablaDatos[[#This Row],[DiasOriginal]])</f>
        <v>21</v>
      </c>
      <c r="O3387" s="1">
        <f>TablaDatos[[#This Row],[FechaIngreso]]+TablaDatos[[#This Row],[DiasNuevo]]</f>
        <v>45450</v>
      </c>
    </row>
    <row r="3388" spans="1:15">
      <c r="A3388">
        <v>3387</v>
      </c>
      <c r="B3388" t="s">
        <v>332</v>
      </c>
      <c r="C3388" s="1">
        <v>22646</v>
      </c>
      <c r="D3388">
        <v>64</v>
      </c>
      <c r="E3388" s="4" t="s">
        <v>15</v>
      </c>
      <c r="F3388" t="s">
        <v>21</v>
      </c>
      <c r="G3388" s="1">
        <v>45117</v>
      </c>
      <c r="H3388" s="1">
        <f>TablaDatos[[#This Row],[FechaIngreso]]+TablaDatos[[#This Row],[DiasNuevo]]</f>
        <v>45132</v>
      </c>
      <c r="I3388">
        <v>15</v>
      </c>
      <c r="J3388" t="s">
        <v>19</v>
      </c>
      <c r="K3388" s="3">
        <v>15668.87</v>
      </c>
      <c r="L3388" t="b">
        <f>TablaDatos[[#This Row],[FechaAlta]] &lt; TablaDatos[[#This Row],[FechaIngreso]]</f>
        <v>0</v>
      </c>
      <c r="M3388">
        <f>_xlfn.XLOOKUP(TablaDatos[[#This Row],[PacienteID]],'Datos_Ejemplo.csv'!A:A,'Datos_Ejemplo.csv'!I:I)</f>
        <v>15</v>
      </c>
      <c r="N3388">
        <f>ABS(TablaDatos[[#This Row],[DiasOriginal]])</f>
        <v>15</v>
      </c>
      <c r="O3388" s="1">
        <f>TablaDatos[[#This Row],[FechaIngreso]]+TablaDatos[[#This Row],[DiasNuevo]]</f>
        <v>45132</v>
      </c>
    </row>
    <row r="3389" spans="1:15">
      <c r="A3389">
        <v>3388</v>
      </c>
      <c r="B3389" t="s">
        <v>264</v>
      </c>
      <c r="C3389" s="1">
        <v>25568</v>
      </c>
      <c r="D3389">
        <v>56</v>
      </c>
      <c r="E3389" s="4" t="s">
        <v>15</v>
      </c>
      <c r="F3389" t="s">
        <v>201</v>
      </c>
      <c r="G3389" s="1">
        <v>45397</v>
      </c>
      <c r="H3389" s="1">
        <f>TablaDatos[[#This Row],[FechaIngreso]]+TablaDatos[[#This Row],[DiasNuevo]]</f>
        <v>45424</v>
      </c>
      <c r="I3389">
        <v>27</v>
      </c>
      <c r="J3389" t="s">
        <v>23</v>
      </c>
      <c r="K3389" s="3">
        <v>10621.35</v>
      </c>
      <c r="L3389" t="b">
        <f>TablaDatos[[#This Row],[FechaAlta]] &lt; TablaDatos[[#This Row],[FechaIngreso]]</f>
        <v>0</v>
      </c>
      <c r="M3389">
        <f>_xlfn.XLOOKUP(TablaDatos[[#This Row],[PacienteID]],'Datos_Ejemplo.csv'!A:A,'Datos_Ejemplo.csv'!I:I)</f>
        <v>27</v>
      </c>
      <c r="N3389">
        <f>ABS(TablaDatos[[#This Row],[DiasOriginal]])</f>
        <v>27</v>
      </c>
      <c r="O3389" s="1">
        <f>TablaDatos[[#This Row],[FechaIngreso]]+TablaDatos[[#This Row],[DiasNuevo]]</f>
        <v>45424</v>
      </c>
    </row>
    <row r="3390" spans="1:15">
      <c r="A3390">
        <v>3389</v>
      </c>
      <c r="B3390" t="s">
        <v>341</v>
      </c>
      <c r="C3390" s="1">
        <v>12419</v>
      </c>
      <c r="D3390">
        <v>92</v>
      </c>
      <c r="E3390" s="4" t="s">
        <v>15</v>
      </c>
      <c r="F3390" t="s">
        <v>261</v>
      </c>
      <c r="G3390" s="1">
        <v>45616</v>
      </c>
      <c r="H3390" s="1">
        <f>TablaDatos[[#This Row],[FechaIngreso]]+TablaDatos[[#This Row],[DiasNuevo]]</f>
        <v>45618</v>
      </c>
      <c r="I3390">
        <v>2</v>
      </c>
      <c r="J3390" t="s">
        <v>23</v>
      </c>
      <c r="K3390" s="3">
        <v>10688.8</v>
      </c>
      <c r="L3390" t="b">
        <f>TablaDatos[[#This Row],[FechaAlta]] &lt; TablaDatos[[#This Row],[FechaIngreso]]</f>
        <v>0</v>
      </c>
      <c r="M3390">
        <f>_xlfn.XLOOKUP(TablaDatos[[#This Row],[PacienteID]],'Datos_Ejemplo.csv'!A:A,'Datos_Ejemplo.csv'!I:I)</f>
        <v>-2</v>
      </c>
      <c r="N3390">
        <f>ABS(TablaDatos[[#This Row],[DiasOriginal]])</f>
        <v>2</v>
      </c>
      <c r="O3390" s="1">
        <f>TablaDatos[[#This Row],[FechaIngreso]]+TablaDatos[[#This Row],[DiasNuevo]]</f>
        <v>45618</v>
      </c>
    </row>
    <row r="3391" spans="1:15">
      <c r="A3391">
        <v>3390</v>
      </c>
      <c r="B3391" t="s">
        <v>257</v>
      </c>
      <c r="C3391" s="1">
        <v>31778</v>
      </c>
      <c r="D3391">
        <v>39</v>
      </c>
      <c r="E3391" s="4" t="s">
        <v>15</v>
      </c>
      <c r="F3391" t="s">
        <v>13</v>
      </c>
      <c r="G3391" s="1">
        <v>45271</v>
      </c>
      <c r="H3391" s="1">
        <f>TablaDatos[[#This Row],[FechaIngreso]]+TablaDatos[[#This Row],[DiasNuevo]]</f>
        <v>45291</v>
      </c>
      <c r="I3391">
        <v>20</v>
      </c>
      <c r="J3391" t="s">
        <v>23</v>
      </c>
      <c r="K3391" s="3">
        <v>15170.39</v>
      </c>
      <c r="L3391" t="b">
        <f>TablaDatos[[#This Row],[FechaAlta]] &lt; TablaDatos[[#This Row],[FechaIngreso]]</f>
        <v>0</v>
      </c>
      <c r="M3391">
        <f>_xlfn.XLOOKUP(TablaDatos[[#This Row],[PacienteID]],'Datos_Ejemplo.csv'!A:A,'Datos_Ejemplo.csv'!I:I)</f>
        <v>20</v>
      </c>
      <c r="N3391">
        <f>ABS(TablaDatos[[#This Row],[DiasOriginal]])</f>
        <v>20</v>
      </c>
      <c r="O3391" s="1">
        <f>TablaDatos[[#This Row],[FechaIngreso]]+TablaDatos[[#This Row],[DiasNuevo]]</f>
        <v>45291</v>
      </c>
    </row>
    <row r="3392" spans="1:15">
      <c r="A3392">
        <v>3391</v>
      </c>
      <c r="B3392" t="s">
        <v>232</v>
      </c>
      <c r="C3392" s="1">
        <v>41274</v>
      </c>
      <c r="D3392">
        <v>13</v>
      </c>
      <c r="E3392" s="4" t="s">
        <v>15</v>
      </c>
      <c r="F3392" t="s">
        <v>13</v>
      </c>
      <c r="G3392" s="1">
        <v>44927</v>
      </c>
      <c r="H3392" s="1">
        <f>TablaDatos[[#This Row],[FechaIngreso]]+TablaDatos[[#This Row],[DiasNuevo]]</f>
        <v>44953</v>
      </c>
      <c r="I3392">
        <v>26</v>
      </c>
      <c r="J3392" t="s">
        <v>19</v>
      </c>
      <c r="K3392" s="3">
        <v>16322.32</v>
      </c>
      <c r="L3392" t="b">
        <f>TablaDatos[[#This Row],[FechaAlta]] &lt; TablaDatos[[#This Row],[FechaIngreso]]</f>
        <v>0</v>
      </c>
      <c r="M3392">
        <f>_xlfn.XLOOKUP(TablaDatos[[#This Row],[PacienteID]],'Datos_Ejemplo.csv'!A:A,'Datos_Ejemplo.csv'!I:I)</f>
        <v>26</v>
      </c>
      <c r="N3392">
        <f>ABS(TablaDatos[[#This Row],[DiasOriginal]])</f>
        <v>26</v>
      </c>
      <c r="O3392" s="1">
        <f>TablaDatos[[#This Row],[FechaIngreso]]+TablaDatos[[#This Row],[DiasNuevo]]</f>
        <v>44953</v>
      </c>
    </row>
    <row r="3393" spans="1:15">
      <c r="A3393">
        <v>3392</v>
      </c>
      <c r="B3393" t="s">
        <v>278</v>
      </c>
      <c r="C3393" s="1">
        <v>33604</v>
      </c>
      <c r="D3393">
        <v>34</v>
      </c>
      <c r="E3393" s="4" t="s">
        <v>12</v>
      </c>
      <c r="F3393" t="s">
        <v>201</v>
      </c>
      <c r="G3393" s="1">
        <v>45036</v>
      </c>
      <c r="H3393" s="1">
        <f>TablaDatos[[#This Row],[FechaIngreso]]+TablaDatos[[#This Row],[DiasNuevo]]</f>
        <v>45074</v>
      </c>
      <c r="I3393">
        <v>38</v>
      </c>
      <c r="J3393" t="s">
        <v>25</v>
      </c>
      <c r="K3393" s="3">
        <v>6677.63</v>
      </c>
      <c r="L3393" t="b">
        <f>TablaDatos[[#This Row],[FechaAlta]] &lt; TablaDatos[[#This Row],[FechaIngreso]]</f>
        <v>0</v>
      </c>
      <c r="M3393">
        <f>_xlfn.XLOOKUP(TablaDatos[[#This Row],[PacienteID]],'Datos_Ejemplo.csv'!A:A,'Datos_Ejemplo.csv'!I:I)</f>
        <v>38</v>
      </c>
      <c r="N3393">
        <f>ABS(TablaDatos[[#This Row],[DiasOriginal]])</f>
        <v>38</v>
      </c>
      <c r="O3393" s="1">
        <f>TablaDatos[[#This Row],[FechaIngreso]]+TablaDatos[[#This Row],[DiasNuevo]]</f>
        <v>45074</v>
      </c>
    </row>
    <row r="3394" spans="1:15">
      <c r="A3394">
        <v>3393</v>
      </c>
      <c r="B3394" t="s">
        <v>247</v>
      </c>
      <c r="C3394" s="1">
        <v>28856</v>
      </c>
      <c r="D3394">
        <v>47</v>
      </c>
      <c r="E3394" s="4" t="s">
        <v>15</v>
      </c>
      <c r="F3394" t="s">
        <v>13</v>
      </c>
      <c r="G3394" s="1">
        <v>44990</v>
      </c>
      <c r="H3394" s="1">
        <f>TablaDatos[[#This Row],[FechaIngreso]]+TablaDatos[[#This Row],[DiasNuevo]]</f>
        <v>45028</v>
      </c>
      <c r="I3394">
        <v>38</v>
      </c>
      <c r="J3394" t="s">
        <v>25</v>
      </c>
      <c r="K3394" s="3">
        <v>16011.4</v>
      </c>
      <c r="L3394" t="b">
        <f>TablaDatos[[#This Row],[FechaAlta]] &lt; TablaDatos[[#This Row],[FechaIngreso]]</f>
        <v>0</v>
      </c>
      <c r="M3394">
        <f>_xlfn.XLOOKUP(TablaDatos[[#This Row],[PacienteID]],'Datos_Ejemplo.csv'!A:A,'Datos_Ejemplo.csv'!I:I)</f>
        <v>38</v>
      </c>
      <c r="N3394">
        <f>ABS(TablaDatos[[#This Row],[DiasOriginal]])</f>
        <v>38</v>
      </c>
      <c r="O3394" s="1">
        <f>TablaDatos[[#This Row],[FechaIngreso]]+TablaDatos[[#This Row],[DiasNuevo]]</f>
        <v>45028</v>
      </c>
    </row>
    <row r="3395" spans="1:15">
      <c r="A3395">
        <v>3394</v>
      </c>
      <c r="B3395" t="s">
        <v>272</v>
      </c>
      <c r="C3395" s="1">
        <v>15707</v>
      </c>
      <c r="D3395">
        <v>83</v>
      </c>
      <c r="E3395" s="4" t="s">
        <v>12</v>
      </c>
      <c r="F3395" t="s">
        <v>18</v>
      </c>
      <c r="G3395" s="1">
        <v>44979</v>
      </c>
      <c r="H3395" s="1">
        <f>TablaDatos[[#This Row],[FechaIngreso]]+TablaDatos[[#This Row],[DiasNuevo]]</f>
        <v>45008</v>
      </c>
      <c r="I3395">
        <v>29</v>
      </c>
      <c r="J3395" t="s">
        <v>23</v>
      </c>
      <c r="K3395" s="3">
        <v>16265.6</v>
      </c>
      <c r="L3395" t="b">
        <f>TablaDatos[[#This Row],[FechaAlta]] &lt; TablaDatos[[#This Row],[FechaIngreso]]</f>
        <v>0</v>
      </c>
      <c r="M3395">
        <f>_xlfn.XLOOKUP(TablaDatos[[#This Row],[PacienteID]],'Datos_Ejemplo.csv'!A:A,'Datos_Ejemplo.csv'!I:I)</f>
        <v>29</v>
      </c>
      <c r="N3395">
        <f>ABS(TablaDatos[[#This Row],[DiasOriginal]])</f>
        <v>29</v>
      </c>
      <c r="O3395" s="1">
        <f>TablaDatos[[#This Row],[FechaIngreso]]+TablaDatos[[#This Row],[DiasNuevo]]</f>
        <v>45008</v>
      </c>
    </row>
    <row r="3396" spans="1:15">
      <c r="A3396">
        <v>3395</v>
      </c>
      <c r="B3396" t="s">
        <v>259</v>
      </c>
      <c r="C3396" s="1">
        <v>25934</v>
      </c>
      <c r="D3396">
        <v>55</v>
      </c>
      <c r="E3396" s="4" t="s">
        <v>12</v>
      </c>
      <c r="F3396" t="s">
        <v>261</v>
      </c>
      <c r="G3396" s="1">
        <v>45188</v>
      </c>
      <c r="H3396" s="1">
        <f>TablaDatos[[#This Row],[FechaIngreso]]+TablaDatos[[#This Row],[DiasNuevo]]</f>
        <v>45189</v>
      </c>
      <c r="I3396">
        <v>1</v>
      </c>
      <c r="J3396" t="s">
        <v>25</v>
      </c>
      <c r="K3396" s="3">
        <v>4605.93</v>
      </c>
      <c r="L3396" t="b">
        <f>TablaDatos[[#This Row],[FechaAlta]] &lt; TablaDatos[[#This Row],[FechaIngreso]]</f>
        <v>0</v>
      </c>
      <c r="M3396">
        <f>_xlfn.XLOOKUP(TablaDatos[[#This Row],[PacienteID]],'Datos_Ejemplo.csv'!A:A,'Datos_Ejemplo.csv'!I:I)</f>
        <v>-1</v>
      </c>
      <c r="N3396">
        <f>ABS(TablaDatos[[#This Row],[DiasOriginal]])</f>
        <v>1</v>
      </c>
      <c r="O3396" s="1">
        <f>TablaDatos[[#This Row],[FechaIngreso]]+TablaDatos[[#This Row],[DiasNuevo]]</f>
        <v>45189</v>
      </c>
    </row>
    <row r="3397" spans="1:15">
      <c r="A3397">
        <v>3396</v>
      </c>
      <c r="B3397" t="s">
        <v>253</v>
      </c>
      <c r="C3397" s="1">
        <v>28490</v>
      </c>
      <c r="D3397">
        <v>48</v>
      </c>
      <c r="E3397" s="4" t="s">
        <v>15</v>
      </c>
      <c r="F3397" t="s">
        <v>261</v>
      </c>
      <c r="G3397" s="1">
        <v>45455</v>
      </c>
      <c r="H3397" s="1">
        <f>TablaDatos[[#This Row],[FechaIngreso]]+TablaDatos[[#This Row],[DiasNuevo]]</f>
        <v>45488</v>
      </c>
      <c r="I3397">
        <v>33</v>
      </c>
      <c r="J3397" t="s">
        <v>19</v>
      </c>
      <c r="K3397" s="3">
        <v>14310.71</v>
      </c>
      <c r="L3397" t="b">
        <f>TablaDatos[[#This Row],[FechaAlta]] &lt; TablaDatos[[#This Row],[FechaIngreso]]</f>
        <v>0</v>
      </c>
      <c r="M3397">
        <f>_xlfn.XLOOKUP(TablaDatos[[#This Row],[PacienteID]],'Datos_Ejemplo.csv'!A:A,'Datos_Ejemplo.csv'!I:I)</f>
        <v>33</v>
      </c>
      <c r="N3397">
        <f>ABS(TablaDatos[[#This Row],[DiasOriginal]])</f>
        <v>33</v>
      </c>
      <c r="O3397" s="1">
        <f>TablaDatos[[#This Row],[FechaIngreso]]+TablaDatos[[#This Row],[DiasNuevo]]</f>
        <v>45488</v>
      </c>
    </row>
    <row r="3398" spans="1:15">
      <c r="A3398">
        <v>3397</v>
      </c>
      <c r="B3398" t="s">
        <v>152</v>
      </c>
      <c r="C3398" s="1">
        <v>41639</v>
      </c>
      <c r="D3398">
        <v>12</v>
      </c>
      <c r="E3398" s="4" t="s">
        <v>12</v>
      </c>
      <c r="F3398" t="s">
        <v>295</v>
      </c>
      <c r="G3398" s="1">
        <v>45228</v>
      </c>
      <c r="H3398" s="1">
        <f>TablaDatos[[#This Row],[FechaIngreso]]+TablaDatos[[#This Row],[DiasNuevo]]</f>
        <v>45242</v>
      </c>
      <c r="I3398">
        <v>14</v>
      </c>
      <c r="J3398" t="s">
        <v>23</v>
      </c>
      <c r="K3398" s="3">
        <v>3649.33</v>
      </c>
      <c r="L3398" t="b">
        <f>TablaDatos[[#This Row],[FechaAlta]] &lt; TablaDatos[[#This Row],[FechaIngreso]]</f>
        <v>0</v>
      </c>
      <c r="M3398">
        <f>_xlfn.XLOOKUP(TablaDatos[[#This Row],[PacienteID]],'Datos_Ejemplo.csv'!A:A,'Datos_Ejemplo.csv'!I:I)</f>
        <v>14</v>
      </c>
      <c r="N3398">
        <f>ABS(TablaDatos[[#This Row],[DiasOriginal]])</f>
        <v>14</v>
      </c>
      <c r="O3398" s="1">
        <f>TablaDatos[[#This Row],[FechaIngreso]]+TablaDatos[[#This Row],[DiasNuevo]]</f>
        <v>45242</v>
      </c>
    </row>
    <row r="3399" spans="1:15">
      <c r="A3399">
        <v>3398</v>
      </c>
      <c r="B3399" t="s">
        <v>51</v>
      </c>
      <c r="C3399" s="1">
        <v>24107</v>
      </c>
      <c r="D3399">
        <v>60</v>
      </c>
      <c r="E3399" s="4" t="s">
        <v>15</v>
      </c>
      <c r="F3399" t="s">
        <v>32</v>
      </c>
      <c r="G3399" s="1">
        <v>45160</v>
      </c>
      <c r="H3399" s="1">
        <f>TablaDatos[[#This Row],[FechaIngreso]]+TablaDatos[[#This Row],[DiasNuevo]]</f>
        <v>45161</v>
      </c>
      <c r="I3399">
        <v>1</v>
      </c>
      <c r="J3399" t="s">
        <v>19</v>
      </c>
      <c r="K3399" s="3">
        <v>1770.29</v>
      </c>
      <c r="L3399" t="b">
        <f>TablaDatos[[#This Row],[FechaAlta]] &lt; TablaDatos[[#This Row],[FechaIngreso]]</f>
        <v>0</v>
      </c>
      <c r="M3399">
        <f>_xlfn.XLOOKUP(TablaDatos[[#This Row],[PacienteID]],'Datos_Ejemplo.csv'!A:A,'Datos_Ejemplo.csv'!I:I)</f>
        <v>-1</v>
      </c>
      <c r="N3399">
        <f>ABS(TablaDatos[[#This Row],[DiasOriginal]])</f>
        <v>1</v>
      </c>
      <c r="O3399" s="1">
        <f>TablaDatos[[#This Row],[FechaIngreso]]+TablaDatos[[#This Row],[DiasNuevo]]</f>
        <v>45161</v>
      </c>
    </row>
    <row r="3400" spans="1:15">
      <c r="A3400">
        <v>3399</v>
      </c>
      <c r="B3400" t="s">
        <v>362</v>
      </c>
      <c r="C3400" s="1">
        <v>28490</v>
      </c>
      <c r="D3400">
        <v>48</v>
      </c>
      <c r="E3400" s="4" t="s">
        <v>12</v>
      </c>
      <c r="F3400" t="s">
        <v>21</v>
      </c>
      <c r="G3400" s="1">
        <v>44999</v>
      </c>
      <c r="H3400" s="1">
        <f>TablaDatos[[#This Row],[FechaIngreso]]+TablaDatos[[#This Row],[DiasNuevo]]</f>
        <v>45000</v>
      </c>
      <c r="I3400">
        <v>1</v>
      </c>
      <c r="J3400" t="s">
        <v>25</v>
      </c>
      <c r="K3400" s="3">
        <v>11448.31</v>
      </c>
      <c r="L3400" t="b">
        <f>TablaDatos[[#This Row],[FechaAlta]] &lt; TablaDatos[[#This Row],[FechaIngreso]]</f>
        <v>0</v>
      </c>
      <c r="M3400">
        <f>_xlfn.XLOOKUP(TablaDatos[[#This Row],[PacienteID]],'Datos_Ejemplo.csv'!A:A,'Datos_Ejemplo.csv'!I:I)</f>
        <v>1</v>
      </c>
      <c r="N3400">
        <f>ABS(TablaDatos[[#This Row],[DiasOriginal]])</f>
        <v>1</v>
      </c>
      <c r="O3400" s="1">
        <f>TablaDatos[[#This Row],[FechaIngreso]]+TablaDatos[[#This Row],[DiasNuevo]]</f>
        <v>45000</v>
      </c>
    </row>
    <row r="3401" spans="1:15">
      <c r="A3401">
        <v>3400</v>
      </c>
      <c r="B3401" t="s">
        <v>255</v>
      </c>
      <c r="C3401" s="1">
        <v>29586</v>
      </c>
      <c r="D3401">
        <v>45</v>
      </c>
      <c r="E3401" s="4" t="s">
        <v>197</v>
      </c>
      <c r="F3401" t="s">
        <v>13</v>
      </c>
      <c r="G3401" s="1">
        <v>45283</v>
      </c>
      <c r="H3401" s="1">
        <f>TablaDatos[[#This Row],[FechaIngreso]]+TablaDatos[[#This Row],[DiasNuevo]]</f>
        <v>45314</v>
      </c>
      <c r="I3401">
        <v>31</v>
      </c>
      <c r="J3401" t="s">
        <v>25</v>
      </c>
      <c r="K3401" s="3">
        <v>18163.91</v>
      </c>
      <c r="L3401" t="b">
        <f>TablaDatos[[#This Row],[FechaAlta]] &lt; TablaDatos[[#This Row],[FechaIngreso]]</f>
        <v>0</v>
      </c>
      <c r="M3401">
        <f>_xlfn.XLOOKUP(TablaDatos[[#This Row],[PacienteID]],'Datos_Ejemplo.csv'!A:A,'Datos_Ejemplo.csv'!I:I)</f>
        <v>31</v>
      </c>
      <c r="N3401">
        <f>ABS(TablaDatos[[#This Row],[DiasOriginal]])</f>
        <v>31</v>
      </c>
      <c r="O3401" s="1">
        <f>TablaDatos[[#This Row],[FechaIngreso]]+TablaDatos[[#This Row],[DiasNuevo]]</f>
        <v>45314</v>
      </c>
    </row>
    <row r="3402" spans="1:15">
      <c r="A3402">
        <v>3401</v>
      </c>
      <c r="B3402" t="s">
        <v>240</v>
      </c>
      <c r="C3402" s="1">
        <v>23742</v>
      </c>
      <c r="D3402">
        <v>61</v>
      </c>
      <c r="E3402" s="4" t="s">
        <v>12</v>
      </c>
      <c r="F3402" t="s">
        <v>261</v>
      </c>
      <c r="G3402" s="1">
        <v>45529</v>
      </c>
      <c r="H3402" s="1">
        <f>TablaDatos[[#This Row],[FechaIngreso]]+TablaDatos[[#This Row],[DiasNuevo]]</f>
        <v>45531</v>
      </c>
      <c r="I3402">
        <v>2</v>
      </c>
      <c r="J3402" t="s">
        <v>23</v>
      </c>
      <c r="K3402" s="3">
        <v>612.73</v>
      </c>
      <c r="L3402" t="b">
        <f>TablaDatos[[#This Row],[FechaAlta]] &lt; TablaDatos[[#This Row],[FechaIngreso]]</f>
        <v>0</v>
      </c>
      <c r="M3402">
        <f>_xlfn.XLOOKUP(TablaDatos[[#This Row],[PacienteID]],'Datos_Ejemplo.csv'!A:A,'Datos_Ejemplo.csv'!I:I)</f>
        <v>-2</v>
      </c>
      <c r="N3402">
        <f>ABS(TablaDatos[[#This Row],[DiasOriginal]])</f>
        <v>2</v>
      </c>
      <c r="O3402" s="1">
        <f>TablaDatos[[#This Row],[FechaIngreso]]+TablaDatos[[#This Row],[DiasNuevo]]</f>
        <v>45531</v>
      </c>
    </row>
    <row r="3403" spans="1:15">
      <c r="A3403">
        <v>3402</v>
      </c>
      <c r="B3403" t="s">
        <v>276</v>
      </c>
      <c r="C3403" s="1">
        <v>43466</v>
      </c>
      <c r="D3403">
        <v>7</v>
      </c>
      <c r="E3403" s="4" t="s">
        <v>12</v>
      </c>
      <c r="F3403" t="s">
        <v>261</v>
      </c>
      <c r="G3403" s="1">
        <v>45410</v>
      </c>
      <c r="H3403" s="1">
        <f>TablaDatos[[#This Row],[FechaIngreso]]+TablaDatos[[#This Row],[DiasNuevo]]</f>
        <v>45430</v>
      </c>
      <c r="I3403">
        <v>20</v>
      </c>
      <c r="J3403" t="s">
        <v>25</v>
      </c>
      <c r="K3403" s="3">
        <v>16512.68</v>
      </c>
      <c r="L3403" t="b">
        <f>TablaDatos[[#This Row],[FechaAlta]] &lt; TablaDatos[[#This Row],[FechaIngreso]]</f>
        <v>0</v>
      </c>
      <c r="M3403">
        <f>_xlfn.XLOOKUP(TablaDatos[[#This Row],[PacienteID]],'Datos_Ejemplo.csv'!A:A,'Datos_Ejemplo.csv'!I:I)</f>
        <v>20</v>
      </c>
      <c r="N3403">
        <f>ABS(TablaDatos[[#This Row],[DiasOriginal]])</f>
        <v>20</v>
      </c>
      <c r="O3403" s="1">
        <f>TablaDatos[[#This Row],[FechaIngreso]]+TablaDatos[[#This Row],[DiasNuevo]]</f>
        <v>45430</v>
      </c>
    </row>
    <row r="3404" spans="1:15">
      <c r="A3404">
        <v>3403</v>
      </c>
      <c r="B3404" t="s">
        <v>260</v>
      </c>
      <c r="C3404" s="1">
        <v>30682</v>
      </c>
      <c r="D3404">
        <v>42</v>
      </c>
      <c r="E3404" s="4" t="s">
        <v>15</v>
      </c>
      <c r="F3404" t="s">
        <v>295</v>
      </c>
      <c r="G3404" s="1">
        <v>44932</v>
      </c>
      <c r="H3404" s="1">
        <f>TablaDatos[[#This Row],[FechaIngreso]]+TablaDatos[[#This Row],[DiasNuevo]]</f>
        <v>44935</v>
      </c>
      <c r="I3404">
        <v>3</v>
      </c>
      <c r="J3404" t="s">
        <v>23</v>
      </c>
      <c r="K3404" s="3">
        <v>10080.07</v>
      </c>
      <c r="L3404" t="b">
        <f>TablaDatos[[#This Row],[FechaAlta]] &lt; TablaDatos[[#This Row],[FechaIngreso]]</f>
        <v>0</v>
      </c>
      <c r="M3404">
        <f>_xlfn.XLOOKUP(TablaDatos[[#This Row],[PacienteID]],'Datos_Ejemplo.csv'!A:A,'Datos_Ejemplo.csv'!I:I)</f>
        <v>3</v>
      </c>
      <c r="N3404">
        <f>ABS(TablaDatos[[#This Row],[DiasOriginal]])</f>
        <v>3</v>
      </c>
      <c r="O3404" s="1">
        <f>TablaDatos[[#This Row],[FechaIngreso]]+TablaDatos[[#This Row],[DiasNuevo]]</f>
        <v>44935</v>
      </c>
    </row>
    <row r="3405" spans="1:15">
      <c r="A3405">
        <v>3404</v>
      </c>
      <c r="B3405" t="s">
        <v>282</v>
      </c>
      <c r="C3405" s="1">
        <v>39083</v>
      </c>
      <c r="D3405">
        <v>19</v>
      </c>
      <c r="E3405" s="4" t="s">
        <v>15</v>
      </c>
      <c r="F3405" t="s">
        <v>21</v>
      </c>
      <c r="G3405" s="1">
        <v>45636</v>
      </c>
      <c r="H3405" s="1">
        <f>TablaDatos[[#This Row],[FechaIngreso]]+TablaDatos[[#This Row],[DiasNuevo]]</f>
        <v>45649</v>
      </c>
      <c r="I3405">
        <v>13</v>
      </c>
      <c r="J3405" t="s">
        <v>23</v>
      </c>
      <c r="K3405" s="3">
        <v>17204</v>
      </c>
      <c r="L3405" t="b">
        <f>TablaDatos[[#This Row],[FechaAlta]] &lt; TablaDatos[[#This Row],[FechaIngreso]]</f>
        <v>0</v>
      </c>
      <c r="M3405">
        <f>_xlfn.XLOOKUP(TablaDatos[[#This Row],[PacienteID]],'Datos_Ejemplo.csv'!A:A,'Datos_Ejemplo.csv'!I:I)</f>
        <v>13</v>
      </c>
      <c r="N3405">
        <f>ABS(TablaDatos[[#This Row],[DiasOriginal]])</f>
        <v>13</v>
      </c>
      <c r="O3405" s="1">
        <f>TablaDatos[[#This Row],[FechaIngreso]]+TablaDatos[[#This Row],[DiasNuevo]]</f>
        <v>45649</v>
      </c>
    </row>
    <row r="3406" spans="1:15">
      <c r="A3406">
        <v>3405</v>
      </c>
      <c r="B3406" t="s">
        <v>310</v>
      </c>
      <c r="C3406" s="1">
        <v>13515</v>
      </c>
      <c r="D3406">
        <v>89</v>
      </c>
      <c r="E3406" s="4" t="s">
        <v>12</v>
      </c>
      <c r="F3406" t="s">
        <v>32</v>
      </c>
      <c r="G3406" s="1">
        <v>45634</v>
      </c>
      <c r="H3406" s="1">
        <f>TablaDatos[[#This Row],[FechaIngreso]]+TablaDatos[[#This Row],[DiasNuevo]]</f>
        <v>45635</v>
      </c>
      <c r="I3406">
        <v>1</v>
      </c>
      <c r="J3406" t="s">
        <v>23</v>
      </c>
      <c r="K3406" s="3">
        <v>16853.89</v>
      </c>
      <c r="L3406" t="b">
        <f>TablaDatos[[#This Row],[FechaAlta]] &lt; TablaDatos[[#This Row],[FechaIngreso]]</f>
        <v>0</v>
      </c>
      <c r="M3406">
        <f>_xlfn.XLOOKUP(TablaDatos[[#This Row],[PacienteID]],'Datos_Ejemplo.csv'!A:A,'Datos_Ejemplo.csv'!I:I)</f>
        <v>-1</v>
      </c>
      <c r="N3406">
        <f>ABS(TablaDatos[[#This Row],[DiasOriginal]])</f>
        <v>1</v>
      </c>
      <c r="O3406" s="1">
        <f>TablaDatos[[#This Row],[FechaIngreso]]+TablaDatos[[#This Row],[DiasNuevo]]</f>
        <v>45635</v>
      </c>
    </row>
    <row r="3407" spans="1:15">
      <c r="A3407">
        <v>3406</v>
      </c>
      <c r="B3407" t="s">
        <v>337</v>
      </c>
      <c r="C3407" s="1">
        <v>32143</v>
      </c>
      <c r="D3407">
        <v>38</v>
      </c>
      <c r="E3407" s="4" t="s">
        <v>15</v>
      </c>
      <c r="F3407" t="s">
        <v>32</v>
      </c>
      <c r="G3407" s="1">
        <v>45063</v>
      </c>
      <c r="H3407" s="1">
        <f>TablaDatos[[#This Row],[FechaIngreso]]+TablaDatos[[#This Row],[DiasNuevo]]</f>
        <v>45072</v>
      </c>
      <c r="I3407">
        <v>9</v>
      </c>
      <c r="J3407" t="s">
        <v>23</v>
      </c>
      <c r="K3407" s="3">
        <v>17493.259999999998</v>
      </c>
      <c r="L3407" t="b">
        <f>TablaDatos[[#This Row],[FechaAlta]] &lt; TablaDatos[[#This Row],[FechaIngreso]]</f>
        <v>0</v>
      </c>
      <c r="M3407">
        <f>_xlfn.XLOOKUP(TablaDatos[[#This Row],[PacienteID]],'Datos_Ejemplo.csv'!A:A,'Datos_Ejemplo.csv'!I:I)</f>
        <v>9</v>
      </c>
      <c r="N3407">
        <f>ABS(TablaDatos[[#This Row],[DiasOriginal]])</f>
        <v>9</v>
      </c>
      <c r="O3407" s="1">
        <f>TablaDatos[[#This Row],[FechaIngreso]]+TablaDatos[[#This Row],[DiasNuevo]]</f>
        <v>45072</v>
      </c>
    </row>
    <row r="3408" spans="1:15">
      <c r="A3408">
        <v>3407</v>
      </c>
      <c r="B3408" t="s">
        <v>239</v>
      </c>
      <c r="C3408" s="1">
        <v>15341</v>
      </c>
      <c r="D3408">
        <v>84</v>
      </c>
      <c r="E3408" s="4" t="s">
        <v>15</v>
      </c>
      <c r="F3408" t="s">
        <v>13</v>
      </c>
      <c r="G3408" s="1">
        <v>45330</v>
      </c>
      <c r="H3408" s="1">
        <f>TablaDatos[[#This Row],[FechaIngreso]]+TablaDatos[[#This Row],[DiasNuevo]]</f>
        <v>45354</v>
      </c>
      <c r="I3408">
        <v>24</v>
      </c>
      <c r="J3408" t="s">
        <v>23</v>
      </c>
      <c r="K3408" s="3">
        <v>15354.37</v>
      </c>
      <c r="L3408" t="b">
        <f>TablaDatos[[#This Row],[FechaAlta]] &lt; TablaDatos[[#This Row],[FechaIngreso]]</f>
        <v>0</v>
      </c>
      <c r="M3408">
        <f>_xlfn.XLOOKUP(TablaDatos[[#This Row],[PacienteID]],'Datos_Ejemplo.csv'!A:A,'Datos_Ejemplo.csv'!I:I)</f>
        <v>24</v>
      </c>
      <c r="N3408">
        <f>ABS(TablaDatos[[#This Row],[DiasOriginal]])</f>
        <v>24</v>
      </c>
      <c r="O3408" s="1">
        <f>TablaDatos[[#This Row],[FechaIngreso]]+TablaDatos[[#This Row],[DiasNuevo]]</f>
        <v>45354</v>
      </c>
    </row>
    <row r="3409" spans="1:15">
      <c r="A3409">
        <v>3408</v>
      </c>
      <c r="B3409" t="s">
        <v>309</v>
      </c>
      <c r="C3409" s="1">
        <v>28490</v>
      </c>
      <c r="D3409">
        <v>48</v>
      </c>
      <c r="E3409" s="4" t="s">
        <v>15</v>
      </c>
      <c r="F3409" t="s">
        <v>32</v>
      </c>
      <c r="G3409" s="1">
        <v>45554</v>
      </c>
      <c r="H3409" s="1">
        <f>TablaDatos[[#This Row],[FechaIngreso]]+TablaDatos[[#This Row],[DiasNuevo]]</f>
        <v>45570</v>
      </c>
      <c r="I3409">
        <v>16</v>
      </c>
      <c r="J3409" t="s">
        <v>19</v>
      </c>
      <c r="K3409" s="3">
        <v>16844.150000000001</v>
      </c>
      <c r="L3409" t="b">
        <f>TablaDatos[[#This Row],[FechaAlta]] &lt; TablaDatos[[#This Row],[FechaIngreso]]</f>
        <v>0</v>
      </c>
      <c r="M3409">
        <f>_xlfn.XLOOKUP(TablaDatos[[#This Row],[PacienteID]],'Datos_Ejemplo.csv'!A:A,'Datos_Ejemplo.csv'!I:I)</f>
        <v>16</v>
      </c>
      <c r="N3409">
        <f>ABS(TablaDatos[[#This Row],[DiasOriginal]])</f>
        <v>16</v>
      </c>
      <c r="O3409" s="1">
        <f>TablaDatos[[#This Row],[FechaIngreso]]+TablaDatos[[#This Row],[DiasNuevo]]</f>
        <v>45570</v>
      </c>
    </row>
    <row r="3410" spans="1:15">
      <c r="A3410">
        <v>3409</v>
      </c>
      <c r="B3410" t="s">
        <v>294</v>
      </c>
      <c r="C3410" s="1">
        <v>23012</v>
      </c>
      <c r="D3410">
        <v>63</v>
      </c>
      <c r="E3410" s="4" t="s">
        <v>12</v>
      </c>
      <c r="F3410" t="s">
        <v>32</v>
      </c>
      <c r="G3410" s="1">
        <v>45481</v>
      </c>
      <c r="H3410" s="1">
        <f>TablaDatos[[#This Row],[FechaIngreso]]+TablaDatos[[#This Row],[DiasNuevo]]</f>
        <v>45506</v>
      </c>
      <c r="I3410">
        <v>25</v>
      </c>
      <c r="J3410" t="s">
        <v>25</v>
      </c>
      <c r="K3410" s="3">
        <v>3438.11</v>
      </c>
      <c r="L3410" t="b">
        <f>TablaDatos[[#This Row],[FechaAlta]] &lt; TablaDatos[[#This Row],[FechaIngreso]]</f>
        <v>0</v>
      </c>
      <c r="M3410">
        <f>_xlfn.XLOOKUP(TablaDatos[[#This Row],[PacienteID]],'Datos_Ejemplo.csv'!A:A,'Datos_Ejemplo.csv'!I:I)</f>
        <v>25</v>
      </c>
      <c r="N3410">
        <f>ABS(TablaDatos[[#This Row],[DiasOriginal]])</f>
        <v>25</v>
      </c>
      <c r="O3410" s="1">
        <f>TablaDatos[[#This Row],[FechaIngreso]]+TablaDatos[[#This Row],[DiasNuevo]]</f>
        <v>45506</v>
      </c>
    </row>
    <row r="3411" spans="1:15">
      <c r="A3411">
        <v>3410</v>
      </c>
      <c r="B3411" t="s">
        <v>279</v>
      </c>
      <c r="C3411" s="1">
        <v>23742</v>
      </c>
      <c r="D3411">
        <v>61</v>
      </c>
      <c r="E3411" s="4" t="s">
        <v>15</v>
      </c>
      <c r="F3411" t="s">
        <v>201</v>
      </c>
      <c r="G3411" s="1">
        <v>45496</v>
      </c>
      <c r="H3411" s="1">
        <f>TablaDatos[[#This Row],[FechaIngreso]]+TablaDatos[[#This Row],[DiasNuevo]]</f>
        <v>45528</v>
      </c>
      <c r="I3411">
        <v>32</v>
      </c>
      <c r="J3411" t="s">
        <v>25</v>
      </c>
      <c r="K3411" s="3">
        <v>6007.45</v>
      </c>
      <c r="L3411" t="b">
        <f>TablaDatos[[#This Row],[FechaAlta]] &lt; TablaDatos[[#This Row],[FechaIngreso]]</f>
        <v>0</v>
      </c>
      <c r="M3411">
        <f>_xlfn.XLOOKUP(TablaDatos[[#This Row],[PacienteID]],'Datos_Ejemplo.csv'!A:A,'Datos_Ejemplo.csv'!I:I)</f>
        <v>32</v>
      </c>
      <c r="N3411">
        <f>ABS(TablaDatos[[#This Row],[DiasOriginal]])</f>
        <v>32</v>
      </c>
      <c r="O3411" s="1">
        <f>TablaDatos[[#This Row],[FechaIngreso]]+TablaDatos[[#This Row],[DiasNuevo]]</f>
        <v>45528</v>
      </c>
    </row>
    <row r="3412" spans="1:15">
      <c r="A3412">
        <v>3411</v>
      </c>
      <c r="B3412" t="s">
        <v>245</v>
      </c>
      <c r="C3412" s="1">
        <v>26664</v>
      </c>
      <c r="D3412">
        <v>53</v>
      </c>
      <c r="E3412" s="4" t="s">
        <v>12</v>
      </c>
      <c r="F3412" t="s">
        <v>21</v>
      </c>
      <c r="G3412" s="1">
        <v>45132</v>
      </c>
      <c r="H3412" s="1">
        <f>TablaDatos[[#This Row],[FechaIngreso]]+TablaDatos[[#This Row],[DiasNuevo]]</f>
        <v>45133</v>
      </c>
      <c r="I3412">
        <v>1</v>
      </c>
      <c r="J3412" t="s">
        <v>23</v>
      </c>
      <c r="K3412" s="3">
        <v>4773.97</v>
      </c>
      <c r="L3412" t="b">
        <f>TablaDatos[[#This Row],[FechaAlta]] &lt; TablaDatos[[#This Row],[FechaIngreso]]</f>
        <v>0</v>
      </c>
      <c r="M3412">
        <f>_xlfn.XLOOKUP(TablaDatos[[#This Row],[PacienteID]],'Datos_Ejemplo.csv'!A:A,'Datos_Ejemplo.csv'!I:I)</f>
        <v>1</v>
      </c>
      <c r="N3412">
        <f>ABS(TablaDatos[[#This Row],[DiasOriginal]])</f>
        <v>1</v>
      </c>
      <c r="O3412" s="1">
        <f>TablaDatos[[#This Row],[FechaIngreso]]+TablaDatos[[#This Row],[DiasNuevo]]</f>
        <v>45133</v>
      </c>
    </row>
    <row r="3413" spans="1:15">
      <c r="A3413">
        <v>3412</v>
      </c>
      <c r="B3413" t="s">
        <v>238</v>
      </c>
      <c r="C3413" s="1">
        <v>43100</v>
      </c>
      <c r="D3413">
        <v>8</v>
      </c>
      <c r="E3413" s="4" t="s">
        <v>15</v>
      </c>
      <c r="F3413" t="s">
        <v>21</v>
      </c>
      <c r="G3413" s="1">
        <v>45336</v>
      </c>
      <c r="H3413" s="1">
        <f>TablaDatos[[#This Row],[FechaIngreso]]+TablaDatos[[#This Row],[DiasNuevo]]</f>
        <v>45340</v>
      </c>
      <c r="I3413">
        <v>4</v>
      </c>
      <c r="J3413" t="s">
        <v>23</v>
      </c>
      <c r="K3413" s="3">
        <v>14822.81</v>
      </c>
      <c r="L3413" t="b">
        <f>TablaDatos[[#This Row],[FechaAlta]] &lt; TablaDatos[[#This Row],[FechaIngreso]]</f>
        <v>0</v>
      </c>
      <c r="M3413">
        <f>_xlfn.XLOOKUP(TablaDatos[[#This Row],[PacienteID]],'Datos_Ejemplo.csv'!A:A,'Datos_Ejemplo.csv'!I:I)</f>
        <v>4</v>
      </c>
      <c r="N3413">
        <f>ABS(TablaDatos[[#This Row],[DiasOriginal]])</f>
        <v>4</v>
      </c>
      <c r="O3413" s="1">
        <f>TablaDatos[[#This Row],[FechaIngreso]]+TablaDatos[[#This Row],[DiasNuevo]]</f>
        <v>45340</v>
      </c>
    </row>
    <row r="3414" spans="1:15">
      <c r="A3414">
        <v>3413</v>
      </c>
      <c r="B3414" t="s">
        <v>286</v>
      </c>
      <c r="C3414" s="1">
        <v>14246</v>
      </c>
      <c r="D3414">
        <v>87</v>
      </c>
      <c r="E3414" s="4" t="s">
        <v>15</v>
      </c>
      <c r="F3414" t="s">
        <v>201</v>
      </c>
      <c r="G3414" s="1">
        <v>45532</v>
      </c>
      <c r="H3414" s="1">
        <f>TablaDatos[[#This Row],[FechaIngreso]]+TablaDatos[[#This Row],[DiasNuevo]]</f>
        <v>45566</v>
      </c>
      <c r="I3414">
        <v>34</v>
      </c>
      <c r="J3414" t="s">
        <v>23</v>
      </c>
      <c r="K3414" s="3">
        <v>2988.23</v>
      </c>
      <c r="L3414" t="b">
        <f>TablaDatos[[#This Row],[FechaAlta]] &lt; TablaDatos[[#This Row],[FechaIngreso]]</f>
        <v>0</v>
      </c>
      <c r="M3414">
        <f>_xlfn.XLOOKUP(TablaDatos[[#This Row],[PacienteID]],'Datos_Ejemplo.csv'!A:A,'Datos_Ejemplo.csv'!I:I)</f>
        <v>34</v>
      </c>
      <c r="N3414">
        <f>ABS(TablaDatos[[#This Row],[DiasOriginal]])</f>
        <v>34</v>
      </c>
      <c r="O3414" s="1">
        <f>TablaDatos[[#This Row],[FechaIngreso]]+TablaDatos[[#This Row],[DiasNuevo]]</f>
        <v>45566</v>
      </c>
    </row>
    <row r="3415" spans="1:15">
      <c r="A3415">
        <v>3414</v>
      </c>
      <c r="B3415" t="s">
        <v>246</v>
      </c>
      <c r="C3415" s="1">
        <v>32873</v>
      </c>
      <c r="D3415">
        <v>36</v>
      </c>
      <c r="E3415" s="4" t="s">
        <v>12</v>
      </c>
      <c r="F3415" t="s">
        <v>13</v>
      </c>
      <c r="G3415" s="1">
        <v>44962</v>
      </c>
      <c r="H3415" s="1">
        <f>TablaDatos[[#This Row],[FechaIngreso]]+TablaDatos[[#This Row],[DiasNuevo]]</f>
        <v>44984</v>
      </c>
      <c r="I3415">
        <v>22</v>
      </c>
      <c r="J3415" t="s">
        <v>23</v>
      </c>
      <c r="K3415" s="3">
        <v>3562.78</v>
      </c>
      <c r="L3415" t="b">
        <f>TablaDatos[[#This Row],[FechaAlta]] &lt; TablaDatos[[#This Row],[FechaIngreso]]</f>
        <v>0</v>
      </c>
      <c r="M3415">
        <f>_xlfn.XLOOKUP(TablaDatos[[#This Row],[PacienteID]],'Datos_Ejemplo.csv'!A:A,'Datos_Ejemplo.csv'!I:I)</f>
        <v>22</v>
      </c>
      <c r="N3415">
        <f>ABS(TablaDatos[[#This Row],[DiasOriginal]])</f>
        <v>22</v>
      </c>
      <c r="O3415" s="1">
        <f>TablaDatos[[#This Row],[FechaIngreso]]+TablaDatos[[#This Row],[DiasNuevo]]</f>
        <v>44984</v>
      </c>
    </row>
    <row r="3416" spans="1:15">
      <c r="A3416">
        <v>3415</v>
      </c>
      <c r="B3416" t="s">
        <v>239</v>
      </c>
      <c r="C3416" s="1">
        <v>28490</v>
      </c>
      <c r="D3416">
        <v>48</v>
      </c>
      <c r="E3416" s="4" t="s">
        <v>15</v>
      </c>
      <c r="F3416" t="s">
        <v>261</v>
      </c>
      <c r="G3416" s="1">
        <v>45156</v>
      </c>
      <c r="H3416" s="1">
        <f>TablaDatos[[#This Row],[FechaIngreso]]+TablaDatos[[#This Row],[DiasNuevo]]</f>
        <v>45194</v>
      </c>
      <c r="I3416">
        <v>38</v>
      </c>
      <c r="J3416" t="s">
        <v>23</v>
      </c>
      <c r="K3416" s="3">
        <v>17567.189999999999</v>
      </c>
      <c r="L3416" t="b">
        <f>TablaDatos[[#This Row],[FechaAlta]] &lt; TablaDatos[[#This Row],[FechaIngreso]]</f>
        <v>0</v>
      </c>
      <c r="M3416">
        <f>_xlfn.XLOOKUP(TablaDatos[[#This Row],[PacienteID]],'Datos_Ejemplo.csv'!A:A,'Datos_Ejemplo.csv'!I:I)</f>
        <v>38</v>
      </c>
      <c r="N3416">
        <f>ABS(TablaDatos[[#This Row],[DiasOriginal]])</f>
        <v>38</v>
      </c>
      <c r="O3416" s="1">
        <f>TablaDatos[[#This Row],[FechaIngreso]]+TablaDatos[[#This Row],[DiasNuevo]]</f>
        <v>45194</v>
      </c>
    </row>
    <row r="3417" spans="1:15">
      <c r="A3417">
        <v>3416</v>
      </c>
      <c r="B3417" t="s">
        <v>111</v>
      </c>
      <c r="C3417" s="1">
        <v>31412</v>
      </c>
      <c r="D3417">
        <f ca="1">DATEDIF(TablaDatos[[#This Row],[FechaNacimiento]],TODAY(),"Y")</f>
        <v>40</v>
      </c>
      <c r="E3417" s="4" t="s">
        <v>12</v>
      </c>
      <c r="F3417" t="s">
        <v>295</v>
      </c>
      <c r="G3417" s="1">
        <v>45153</v>
      </c>
      <c r="H3417" s="1">
        <f>TablaDatos[[#This Row],[FechaIngreso]]+TablaDatos[[#This Row],[DiasNuevo]]</f>
        <v>45167</v>
      </c>
      <c r="I3417">
        <v>14</v>
      </c>
      <c r="J3417" t="s">
        <v>19</v>
      </c>
      <c r="K3417" s="3">
        <v>14088.23</v>
      </c>
      <c r="L3417" t="b">
        <f>TablaDatos[[#This Row],[FechaAlta]] &lt; TablaDatos[[#This Row],[FechaIngreso]]</f>
        <v>0</v>
      </c>
      <c r="M3417">
        <f>_xlfn.XLOOKUP(TablaDatos[[#This Row],[PacienteID]],'Datos_Ejemplo.csv'!A:A,'Datos_Ejemplo.csv'!I:I)</f>
        <v>14</v>
      </c>
      <c r="N3417">
        <f>ABS(TablaDatos[[#This Row],[DiasOriginal]])</f>
        <v>14</v>
      </c>
      <c r="O3417" s="1">
        <f>TablaDatos[[#This Row],[FechaIngreso]]+TablaDatos[[#This Row],[DiasNuevo]]</f>
        <v>45167</v>
      </c>
    </row>
    <row r="3418" spans="1:15">
      <c r="A3418">
        <v>3417</v>
      </c>
      <c r="B3418" t="s">
        <v>258</v>
      </c>
      <c r="C3418" s="1">
        <v>40178</v>
      </c>
      <c r="D3418">
        <v>16</v>
      </c>
      <c r="E3418" s="4" t="s">
        <v>15</v>
      </c>
      <c r="F3418" t="s">
        <v>13</v>
      </c>
      <c r="G3418" s="1">
        <v>45621</v>
      </c>
      <c r="H3418" s="1">
        <f>TablaDatos[[#This Row],[FechaIngreso]]+TablaDatos[[#This Row],[DiasNuevo]]</f>
        <v>45659</v>
      </c>
      <c r="I3418">
        <v>38</v>
      </c>
      <c r="J3418" t="s">
        <v>25</v>
      </c>
      <c r="K3418" s="3">
        <v>17495.14</v>
      </c>
      <c r="L3418" t="b">
        <f>TablaDatos[[#This Row],[FechaAlta]] &lt; TablaDatos[[#This Row],[FechaIngreso]]</f>
        <v>0</v>
      </c>
      <c r="M3418">
        <f>_xlfn.XLOOKUP(TablaDatos[[#This Row],[PacienteID]],'Datos_Ejemplo.csv'!A:A,'Datos_Ejemplo.csv'!I:I)</f>
        <v>38</v>
      </c>
      <c r="N3418">
        <f>ABS(TablaDatos[[#This Row],[DiasOriginal]])</f>
        <v>38</v>
      </c>
      <c r="O3418" s="1">
        <f>TablaDatos[[#This Row],[FechaIngreso]]+TablaDatos[[#This Row],[DiasNuevo]]</f>
        <v>45659</v>
      </c>
    </row>
    <row r="3419" spans="1:15">
      <c r="A3419">
        <v>3418</v>
      </c>
      <c r="B3419" t="s">
        <v>266</v>
      </c>
      <c r="C3419" s="1">
        <v>14246</v>
      </c>
      <c r="D3419">
        <v>87</v>
      </c>
      <c r="E3419" s="4" t="s">
        <v>15</v>
      </c>
      <c r="F3419" t="s">
        <v>18</v>
      </c>
      <c r="G3419" s="1">
        <v>45188</v>
      </c>
      <c r="H3419" s="1">
        <f>TablaDatos[[#This Row],[FechaIngreso]]+TablaDatos[[#This Row],[DiasNuevo]]</f>
        <v>45199</v>
      </c>
      <c r="I3419">
        <v>11</v>
      </c>
      <c r="J3419" t="s">
        <v>23</v>
      </c>
      <c r="K3419" s="3">
        <v>2701.04</v>
      </c>
      <c r="L3419" t="b">
        <f>TablaDatos[[#This Row],[FechaAlta]] &lt; TablaDatos[[#This Row],[FechaIngreso]]</f>
        <v>0</v>
      </c>
      <c r="M3419">
        <f>_xlfn.XLOOKUP(TablaDatos[[#This Row],[PacienteID]],'Datos_Ejemplo.csv'!A:A,'Datos_Ejemplo.csv'!I:I)</f>
        <v>11</v>
      </c>
      <c r="N3419">
        <f>ABS(TablaDatos[[#This Row],[DiasOriginal]])</f>
        <v>11</v>
      </c>
      <c r="O3419" s="1">
        <f>TablaDatos[[#This Row],[FechaIngreso]]+TablaDatos[[#This Row],[DiasNuevo]]</f>
        <v>45199</v>
      </c>
    </row>
    <row r="3420" spans="1:15">
      <c r="A3420">
        <v>3419</v>
      </c>
      <c r="B3420" t="s">
        <v>334</v>
      </c>
      <c r="C3420" s="1">
        <v>38717</v>
      </c>
      <c r="D3420">
        <v>20</v>
      </c>
      <c r="E3420" s="4" t="s">
        <v>15</v>
      </c>
      <c r="F3420" t="s">
        <v>32</v>
      </c>
      <c r="G3420" s="1">
        <v>45057</v>
      </c>
      <c r="H3420" s="1">
        <f>TablaDatos[[#This Row],[FechaIngreso]]+TablaDatos[[#This Row],[DiasNuevo]]</f>
        <v>45091</v>
      </c>
      <c r="I3420">
        <v>34</v>
      </c>
      <c r="J3420" t="s">
        <v>19</v>
      </c>
      <c r="K3420" s="3">
        <v>7919.51</v>
      </c>
      <c r="L3420" t="b">
        <f>TablaDatos[[#This Row],[FechaAlta]] &lt; TablaDatos[[#This Row],[FechaIngreso]]</f>
        <v>0</v>
      </c>
      <c r="M3420">
        <f>_xlfn.XLOOKUP(TablaDatos[[#This Row],[PacienteID]],'Datos_Ejemplo.csv'!A:A,'Datos_Ejemplo.csv'!I:I)</f>
        <v>34</v>
      </c>
      <c r="N3420">
        <f>ABS(TablaDatos[[#This Row],[DiasOriginal]])</f>
        <v>34</v>
      </c>
      <c r="O3420" s="1">
        <f>TablaDatos[[#This Row],[FechaIngreso]]+TablaDatos[[#This Row],[DiasNuevo]]</f>
        <v>45091</v>
      </c>
    </row>
    <row r="3421" spans="1:15">
      <c r="A3421">
        <v>3420</v>
      </c>
      <c r="B3421" t="s">
        <v>102</v>
      </c>
      <c r="C3421" s="1">
        <v>27760</v>
      </c>
      <c r="D3421">
        <f ca="1">DATEDIF(TablaDatos[[#This Row],[FechaNacimiento]],TODAY(),"Y")</f>
        <v>50</v>
      </c>
      <c r="E3421" s="4" t="s">
        <v>12</v>
      </c>
      <c r="F3421" t="s">
        <v>201</v>
      </c>
      <c r="G3421" s="1">
        <v>45503</v>
      </c>
      <c r="H3421" s="1">
        <f>TablaDatos[[#This Row],[FechaIngreso]]+TablaDatos[[#This Row],[DiasNuevo]]</f>
        <v>45504</v>
      </c>
      <c r="I3421">
        <v>1</v>
      </c>
      <c r="J3421" t="s">
        <v>25</v>
      </c>
      <c r="K3421" s="3">
        <v>5591.34</v>
      </c>
      <c r="L3421" t="b">
        <f>TablaDatos[[#This Row],[FechaAlta]] &lt; TablaDatos[[#This Row],[FechaIngreso]]</f>
        <v>0</v>
      </c>
      <c r="M3421">
        <f>_xlfn.XLOOKUP(TablaDatos[[#This Row],[PacienteID]],'Datos_Ejemplo.csv'!A:A,'Datos_Ejemplo.csv'!I:I)</f>
        <v>-1</v>
      </c>
      <c r="N3421">
        <f>ABS(TablaDatos[[#This Row],[DiasOriginal]])</f>
        <v>1</v>
      </c>
      <c r="O3421" s="1">
        <f>TablaDatos[[#This Row],[FechaIngreso]]+TablaDatos[[#This Row],[DiasNuevo]]</f>
        <v>45504</v>
      </c>
    </row>
    <row r="3422" spans="1:15">
      <c r="A3422">
        <v>3421</v>
      </c>
      <c r="B3422" t="s">
        <v>271</v>
      </c>
      <c r="C3422" s="1">
        <v>24838</v>
      </c>
      <c r="D3422">
        <v>58</v>
      </c>
      <c r="E3422" s="4" t="s">
        <v>12</v>
      </c>
      <c r="F3422" t="s">
        <v>295</v>
      </c>
      <c r="G3422" s="1">
        <v>45374</v>
      </c>
      <c r="H3422" s="1">
        <f>TablaDatos[[#This Row],[FechaIngreso]]+TablaDatos[[#This Row],[DiasNuevo]]</f>
        <v>45395</v>
      </c>
      <c r="I3422">
        <v>21</v>
      </c>
      <c r="J3422" t="s">
        <v>19</v>
      </c>
      <c r="K3422" s="3">
        <v>94.59</v>
      </c>
      <c r="L3422" t="b">
        <f>TablaDatos[[#This Row],[FechaAlta]] &lt; TablaDatos[[#This Row],[FechaIngreso]]</f>
        <v>0</v>
      </c>
      <c r="M3422">
        <f>_xlfn.XLOOKUP(TablaDatos[[#This Row],[PacienteID]],'Datos_Ejemplo.csv'!A:A,'Datos_Ejemplo.csv'!I:I)</f>
        <v>21</v>
      </c>
      <c r="N3422">
        <f>ABS(TablaDatos[[#This Row],[DiasOriginal]])</f>
        <v>21</v>
      </c>
      <c r="O3422" s="1">
        <f>TablaDatos[[#This Row],[FechaIngreso]]+TablaDatos[[#This Row],[DiasNuevo]]</f>
        <v>45395</v>
      </c>
    </row>
    <row r="3423" spans="1:15">
      <c r="A3423">
        <v>3422</v>
      </c>
      <c r="B3423" t="s">
        <v>296</v>
      </c>
      <c r="C3423" s="1">
        <v>32143</v>
      </c>
      <c r="D3423">
        <v>38</v>
      </c>
      <c r="E3423" s="4" t="s">
        <v>12</v>
      </c>
      <c r="F3423" t="s">
        <v>261</v>
      </c>
      <c r="G3423" s="1">
        <v>45112</v>
      </c>
      <c r="H3423" s="1">
        <f>TablaDatos[[#This Row],[FechaIngreso]]+TablaDatos[[#This Row],[DiasNuevo]]</f>
        <v>45124</v>
      </c>
      <c r="I3423">
        <v>12</v>
      </c>
      <c r="J3423" t="s">
        <v>23</v>
      </c>
      <c r="K3423" s="3">
        <v>5618.91</v>
      </c>
      <c r="L3423" t="b">
        <f>TablaDatos[[#This Row],[FechaAlta]] &lt; TablaDatos[[#This Row],[FechaIngreso]]</f>
        <v>0</v>
      </c>
      <c r="M3423">
        <f>_xlfn.XLOOKUP(TablaDatos[[#This Row],[PacienteID]],'Datos_Ejemplo.csv'!A:A,'Datos_Ejemplo.csv'!I:I)</f>
        <v>12</v>
      </c>
      <c r="N3423">
        <f>ABS(TablaDatos[[#This Row],[DiasOriginal]])</f>
        <v>12</v>
      </c>
      <c r="O3423" s="1">
        <f>TablaDatos[[#This Row],[FechaIngreso]]+TablaDatos[[#This Row],[DiasNuevo]]</f>
        <v>45124</v>
      </c>
    </row>
    <row r="3424" spans="1:15">
      <c r="A3424">
        <v>3423</v>
      </c>
      <c r="B3424" t="s">
        <v>282</v>
      </c>
      <c r="C3424" s="1">
        <v>26299</v>
      </c>
      <c r="D3424">
        <v>54</v>
      </c>
      <c r="E3424" s="4" t="s">
        <v>15</v>
      </c>
      <c r="F3424" t="s">
        <v>261</v>
      </c>
      <c r="G3424" s="1">
        <v>45555</v>
      </c>
      <c r="H3424" s="1">
        <f>TablaDatos[[#This Row],[FechaIngreso]]+TablaDatos[[#This Row],[DiasNuevo]]</f>
        <v>45585</v>
      </c>
      <c r="I3424">
        <v>30</v>
      </c>
      <c r="J3424" t="s">
        <v>19</v>
      </c>
      <c r="K3424" s="3">
        <v>7529.62</v>
      </c>
      <c r="L3424" t="b">
        <f>TablaDatos[[#This Row],[FechaAlta]] &lt; TablaDatos[[#This Row],[FechaIngreso]]</f>
        <v>0</v>
      </c>
      <c r="M3424">
        <f>_xlfn.XLOOKUP(TablaDatos[[#This Row],[PacienteID]],'Datos_Ejemplo.csv'!A:A,'Datos_Ejemplo.csv'!I:I)</f>
        <v>30</v>
      </c>
      <c r="N3424">
        <f>ABS(TablaDatos[[#This Row],[DiasOriginal]])</f>
        <v>30</v>
      </c>
      <c r="O3424" s="1">
        <f>TablaDatos[[#This Row],[FechaIngreso]]+TablaDatos[[#This Row],[DiasNuevo]]</f>
        <v>45585</v>
      </c>
    </row>
    <row r="3425" spans="1:15">
      <c r="A3425">
        <v>3424</v>
      </c>
      <c r="B3425" t="s">
        <v>111</v>
      </c>
      <c r="C3425" s="1">
        <v>31412</v>
      </c>
      <c r="D3425">
        <v>40</v>
      </c>
      <c r="E3425" s="4" t="s">
        <v>12</v>
      </c>
      <c r="F3425" t="s">
        <v>21</v>
      </c>
      <c r="G3425" s="1">
        <v>45112</v>
      </c>
      <c r="H3425" s="1">
        <f>TablaDatos[[#This Row],[FechaIngreso]]+TablaDatos[[#This Row],[DiasNuevo]]</f>
        <v>45121</v>
      </c>
      <c r="I3425">
        <v>9</v>
      </c>
      <c r="J3425" t="s">
        <v>19</v>
      </c>
      <c r="K3425" s="3">
        <v>1753.61</v>
      </c>
      <c r="L3425" t="b">
        <f>TablaDatos[[#This Row],[FechaAlta]] &lt; TablaDatos[[#This Row],[FechaIngreso]]</f>
        <v>0</v>
      </c>
      <c r="M3425">
        <f>_xlfn.XLOOKUP(TablaDatos[[#This Row],[PacienteID]],'Datos_Ejemplo.csv'!A:A,'Datos_Ejemplo.csv'!I:I)</f>
        <v>9</v>
      </c>
      <c r="N3425">
        <f>ABS(TablaDatos[[#This Row],[DiasOriginal]])</f>
        <v>9</v>
      </c>
      <c r="O3425" s="1">
        <f>TablaDatos[[#This Row],[FechaIngreso]]+TablaDatos[[#This Row],[DiasNuevo]]</f>
        <v>45121</v>
      </c>
    </row>
    <row r="3426" spans="1:15">
      <c r="A3426">
        <v>3425</v>
      </c>
      <c r="B3426" t="s">
        <v>239</v>
      </c>
      <c r="C3426" s="1">
        <v>32143</v>
      </c>
      <c r="D3426">
        <v>38</v>
      </c>
      <c r="E3426" s="4" t="s">
        <v>12</v>
      </c>
      <c r="F3426" t="s">
        <v>18</v>
      </c>
      <c r="G3426" s="1">
        <v>45200</v>
      </c>
      <c r="H3426" s="1">
        <f>TablaDatos[[#This Row],[FechaIngreso]]+TablaDatos[[#This Row],[DiasNuevo]]</f>
        <v>45216</v>
      </c>
      <c r="I3426">
        <v>16</v>
      </c>
      <c r="J3426" t="s">
        <v>23</v>
      </c>
      <c r="K3426" s="3">
        <v>11286.4</v>
      </c>
      <c r="L3426" t="b">
        <f>TablaDatos[[#This Row],[FechaAlta]] &lt; TablaDatos[[#This Row],[FechaIngreso]]</f>
        <v>0</v>
      </c>
      <c r="M3426">
        <f>_xlfn.XLOOKUP(TablaDatos[[#This Row],[PacienteID]],'Datos_Ejemplo.csv'!A:A,'Datos_Ejemplo.csv'!I:I)</f>
        <v>16</v>
      </c>
      <c r="N3426">
        <f>ABS(TablaDatos[[#This Row],[DiasOriginal]])</f>
        <v>16</v>
      </c>
      <c r="O3426" s="1">
        <f>TablaDatos[[#This Row],[FechaIngreso]]+TablaDatos[[#This Row],[DiasNuevo]]</f>
        <v>45216</v>
      </c>
    </row>
    <row r="3427" spans="1:15">
      <c r="A3427">
        <v>3426</v>
      </c>
      <c r="B3427" t="s">
        <v>272</v>
      </c>
      <c r="C3427" s="1">
        <v>41639</v>
      </c>
      <c r="D3427">
        <v>12</v>
      </c>
      <c r="E3427" s="4" t="s">
        <v>12</v>
      </c>
      <c r="F3427" t="s">
        <v>261</v>
      </c>
      <c r="G3427" s="1">
        <v>45589</v>
      </c>
      <c r="H3427" s="1">
        <f>TablaDatos[[#This Row],[FechaIngreso]]+TablaDatos[[#This Row],[DiasNuevo]]</f>
        <v>45591</v>
      </c>
      <c r="I3427">
        <v>2</v>
      </c>
      <c r="J3427" t="s">
        <v>23</v>
      </c>
      <c r="K3427" s="3">
        <v>7601.77</v>
      </c>
      <c r="L3427" t="b">
        <f>TablaDatos[[#This Row],[FechaAlta]] &lt; TablaDatos[[#This Row],[FechaIngreso]]</f>
        <v>0</v>
      </c>
      <c r="M3427">
        <f>_xlfn.XLOOKUP(TablaDatos[[#This Row],[PacienteID]],'Datos_Ejemplo.csv'!A:A,'Datos_Ejemplo.csv'!I:I)</f>
        <v>2</v>
      </c>
      <c r="N3427">
        <f>ABS(TablaDatos[[#This Row],[DiasOriginal]])</f>
        <v>2</v>
      </c>
      <c r="O3427" s="1">
        <f>TablaDatos[[#This Row],[FechaIngreso]]+TablaDatos[[#This Row],[DiasNuevo]]</f>
        <v>45591</v>
      </c>
    </row>
    <row r="3428" spans="1:15">
      <c r="A3428">
        <v>3427</v>
      </c>
      <c r="B3428" t="s">
        <v>361</v>
      </c>
      <c r="C3428" s="1">
        <v>23012</v>
      </c>
      <c r="D3428">
        <v>63</v>
      </c>
      <c r="E3428" s="4" t="s">
        <v>12</v>
      </c>
      <c r="F3428" t="s">
        <v>18</v>
      </c>
      <c r="G3428" s="1">
        <v>45278</v>
      </c>
      <c r="H3428" s="1">
        <f>TablaDatos[[#This Row],[FechaIngreso]]+TablaDatos[[#This Row],[DiasNuevo]]</f>
        <v>45280</v>
      </c>
      <c r="I3428">
        <v>2</v>
      </c>
      <c r="J3428" t="s">
        <v>23</v>
      </c>
      <c r="K3428" s="3">
        <v>833.88</v>
      </c>
      <c r="L3428" t="b">
        <f>TablaDatos[[#This Row],[FechaAlta]] &lt; TablaDatos[[#This Row],[FechaIngreso]]</f>
        <v>0</v>
      </c>
      <c r="M3428">
        <f>_xlfn.XLOOKUP(TablaDatos[[#This Row],[PacienteID]],'Datos_Ejemplo.csv'!A:A,'Datos_Ejemplo.csv'!I:I)</f>
        <v>-2</v>
      </c>
      <c r="N3428">
        <f>ABS(TablaDatos[[#This Row],[DiasOriginal]])</f>
        <v>2</v>
      </c>
      <c r="O3428" s="1">
        <f>TablaDatos[[#This Row],[FechaIngreso]]+TablaDatos[[#This Row],[DiasNuevo]]</f>
        <v>45280</v>
      </c>
    </row>
    <row r="3429" spans="1:15">
      <c r="A3429">
        <v>3428</v>
      </c>
      <c r="B3429" t="s">
        <v>342</v>
      </c>
      <c r="C3429" s="1">
        <v>42370</v>
      </c>
      <c r="D3429">
        <v>10</v>
      </c>
      <c r="E3429" s="4" t="s">
        <v>12</v>
      </c>
      <c r="F3429" t="s">
        <v>32</v>
      </c>
      <c r="G3429" s="1">
        <v>45339</v>
      </c>
      <c r="H3429" s="1">
        <f>TablaDatos[[#This Row],[FechaIngreso]]+TablaDatos[[#This Row],[DiasNuevo]]</f>
        <v>45345</v>
      </c>
      <c r="I3429">
        <v>6</v>
      </c>
      <c r="J3429" t="s">
        <v>23</v>
      </c>
      <c r="K3429" s="3">
        <v>14049.98</v>
      </c>
      <c r="L3429" t="b">
        <f>TablaDatos[[#This Row],[FechaAlta]] &lt; TablaDatos[[#This Row],[FechaIngreso]]</f>
        <v>0</v>
      </c>
      <c r="M3429">
        <f>_xlfn.XLOOKUP(TablaDatos[[#This Row],[PacienteID]],'Datos_Ejemplo.csv'!A:A,'Datos_Ejemplo.csv'!I:I)</f>
        <v>6</v>
      </c>
      <c r="N3429">
        <f>ABS(TablaDatos[[#This Row],[DiasOriginal]])</f>
        <v>6</v>
      </c>
      <c r="O3429" s="1">
        <f>TablaDatos[[#This Row],[FechaIngreso]]+TablaDatos[[#This Row],[DiasNuevo]]</f>
        <v>45345</v>
      </c>
    </row>
    <row r="3430" spans="1:15">
      <c r="A3430">
        <v>3429</v>
      </c>
      <c r="B3430" t="s">
        <v>164</v>
      </c>
      <c r="C3430" s="1">
        <v>39448</v>
      </c>
      <c r="D3430">
        <v>18</v>
      </c>
      <c r="E3430" s="4" t="s">
        <v>15</v>
      </c>
      <c r="F3430" t="s">
        <v>21</v>
      </c>
      <c r="G3430" s="1">
        <v>45077</v>
      </c>
      <c r="H3430" s="1">
        <f>TablaDatos[[#This Row],[FechaIngreso]]+TablaDatos[[#This Row],[DiasNuevo]]</f>
        <v>45113</v>
      </c>
      <c r="I3430">
        <v>36</v>
      </c>
      <c r="J3430" t="s">
        <v>25</v>
      </c>
      <c r="K3430" s="3">
        <v>14558.52</v>
      </c>
      <c r="L3430" t="b">
        <f>TablaDatos[[#This Row],[FechaAlta]] &lt; TablaDatos[[#This Row],[FechaIngreso]]</f>
        <v>0</v>
      </c>
      <c r="M3430">
        <f>_xlfn.XLOOKUP(TablaDatos[[#This Row],[PacienteID]],'Datos_Ejemplo.csv'!A:A,'Datos_Ejemplo.csv'!I:I)</f>
        <v>36</v>
      </c>
      <c r="N3430">
        <f>ABS(TablaDatos[[#This Row],[DiasOriginal]])</f>
        <v>36</v>
      </c>
      <c r="O3430" s="1">
        <f>TablaDatos[[#This Row],[FechaIngreso]]+TablaDatos[[#This Row],[DiasNuevo]]</f>
        <v>45113</v>
      </c>
    </row>
    <row r="3431" spans="1:15">
      <c r="A3431">
        <v>3430</v>
      </c>
      <c r="B3431" t="s">
        <v>291</v>
      </c>
      <c r="C3431" s="1">
        <v>42370</v>
      </c>
      <c r="D3431">
        <v>10</v>
      </c>
      <c r="E3431" s="4" t="s">
        <v>12</v>
      </c>
      <c r="F3431" t="s">
        <v>295</v>
      </c>
      <c r="G3431" s="1">
        <v>45310</v>
      </c>
      <c r="H3431" s="1">
        <f>TablaDatos[[#This Row],[FechaIngreso]]+TablaDatos[[#This Row],[DiasNuevo]]</f>
        <v>45341</v>
      </c>
      <c r="I3431">
        <v>31</v>
      </c>
      <c r="J3431" t="s">
        <v>23</v>
      </c>
      <c r="K3431" s="3">
        <v>16672.88</v>
      </c>
      <c r="L3431" t="b">
        <f>TablaDatos[[#This Row],[FechaAlta]] &lt; TablaDatos[[#This Row],[FechaIngreso]]</f>
        <v>0</v>
      </c>
      <c r="M3431">
        <f>_xlfn.XLOOKUP(TablaDatos[[#This Row],[PacienteID]],'Datos_Ejemplo.csv'!A:A,'Datos_Ejemplo.csv'!I:I)</f>
        <v>31</v>
      </c>
      <c r="N3431">
        <f>ABS(TablaDatos[[#This Row],[DiasOriginal]])</f>
        <v>31</v>
      </c>
      <c r="O3431" s="1">
        <f>TablaDatos[[#This Row],[FechaIngreso]]+TablaDatos[[#This Row],[DiasNuevo]]</f>
        <v>45341</v>
      </c>
    </row>
    <row r="3432" spans="1:15">
      <c r="A3432">
        <v>3431</v>
      </c>
      <c r="B3432" t="s">
        <v>242</v>
      </c>
      <c r="C3432" s="1">
        <v>18263</v>
      </c>
      <c r="D3432">
        <v>76</v>
      </c>
      <c r="E3432" s="4" t="s">
        <v>15</v>
      </c>
      <c r="F3432" t="s">
        <v>21</v>
      </c>
      <c r="G3432" s="1">
        <v>44962</v>
      </c>
      <c r="H3432" s="1">
        <f>TablaDatos[[#This Row],[FechaIngreso]]+TablaDatos[[#This Row],[DiasNuevo]]</f>
        <v>44988</v>
      </c>
      <c r="I3432">
        <v>26</v>
      </c>
      <c r="J3432" t="s">
        <v>23</v>
      </c>
      <c r="K3432" s="3">
        <v>9659.3700000000008</v>
      </c>
      <c r="L3432" t="b">
        <f>TablaDatos[[#This Row],[FechaAlta]] &lt; TablaDatos[[#This Row],[FechaIngreso]]</f>
        <v>0</v>
      </c>
      <c r="M3432">
        <f>_xlfn.XLOOKUP(TablaDatos[[#This Row],[PacienteID]],'Datos_Ejemplo.csv'!A:A,'Datos_Ejemplo.csv'!I:I)</f>
        <v>26</v>
      </c>
      <c r="N3432">
        <f>ABS(TablaDatos[[#This Row],[DiasOriginal]])</f>
        <v>26</v>
      </c>
      <c r="O3432" s="1">
        <f>TablaDatos[[#This Row],[FechaIngreso]]+TablaDatos[[#This Row],[DiasNuevo]]</f>
        <v>44988</v>
      </c>
    </row>
    <row r="3433" spans="1:15">
      <c r="A3433">
        <v>3432</v>
      </c>
      <c r="B3433" t="s">
        <v>276</v>
      </c>
      <c r="C3433" s="1">
        <v>29586</v>
      </c>
      <c r="D3433">
        <v>45</v>
      </c>
      <c r="E3433" s="4" t="s">
        <v>12</v>
      </c>
      <c r="F3433" t="s">
        <v>32</v>
      </c>
      <c r="G3433" s="1">
        <v>45252</v>
      </c>
      <c r="H3433" s="1">
        <f>TablaDatos[[#This Row],[FechaIngreso]]+TablaDatos[[#This Row],[DiasNuevo]]</f>
        <v>45253</v>
      </c>
      <c r="I3433">
        <v>1</v>
      </c>
      <c r="J3433" t="s">
        <v>25</v>
      </c>
      <c r="K3433" s="3">
        <v>19370.04</v>
      </c>
      <c r="L3433" t="b">
        <f>TablaDatos[[#This Row],[FechaAlta]] &lt; TablaDatos[[#This Row],[FechaIngreso]]</f>
        <v>0</v>
      </c>
      <c r="M3433">
        <f>_xlfn.XLOOKUP(TablaDatos[[#This Row],[PacienteID]],'Datos_Ejemplo.csv'!A:A,'Datos_Ejemplo.csv'!I:I)</f>
        <v>-1</v>
      </c>
      <c r="N3433">
        <f>ABS(TablaDatos[[#This Row],[DiasOriginal]])</f>
        <v>1</v>
      </c>
      <c r="O3433" s="1">
        <f>TablaDatos[[#This Row],[FechaIngreso]]+TablaDatos[[#This Row],[DiasNuevo]]</f>
        <v>45253</v>
      </c>
    </row>
    <row r="3434" spans="1:15">
      <c r="A3434">
        <v>3433</v>
      </c>
      <c r="B3434" t="s">
        <v>292</v>
      </c>
      <c r="C3434" s="1">
        <v>29951</v>
      </c>
      <c r="D3434">
        <v>44</v>
      </c>
      <c r="E3434" s="4" t="s">
        <v>15</v>
      </c>
      <c r="F3434" t="s">
        <v>201</v>
      </c>
      <c r="G3434" s="1">
        <v>45391</v>
      </c>
      <c r="H3434" s="1">
        <f>TablaDatos[[#This Row],[FechaIngreso]]+TablaDatos[[#This Row],[DiasNuevo]]</f>
        <v>45407</v>
      </c>
      <c r="I3434">
        <v>16</v>
      </c>
      <c r="J3434" t="s">
        <v>19</v>
      </c>
      <c r="K3434" s="3">
        <v>18272.689999999999</v>
      </c>
      <c r="L3434" t="b">
        <f>TablaDatos[[#This Row],[FechaAlta]] &lt; TablaDatos[[#This Row],[FechaIngreso]]</f>
        <v>0</v>
      </c>
      <c r="M3434">
        <f>_xlfn.XLOOKUP(TablaDatos[[#This Row],[PacienteID]],'Datos_Ejemplo.csv'!A:A,'Datos_Ejemplo.csv'!I:I)</f>
        <v>16</v>
      </c>
      <c r="N3434">
        <f>ABS(TablaDatos[[#This Row],[DiasOriginal]])</f>
        <v>16</v>
      </c>
      <c r="O3434" s="1">
        <f>TablaDatos[[#This Row],[FechaIngreso]]+TablaDatos[[#This Row],[DiasNuevo]]</f>
        <v>45407</v>
      </c>
    </row>
    <row r="3435" spans="1:15">
      <c r="A3435">
        <v>3434</v>
      </c>
      <c r="B3435" t="s">
        <v>111</v>
      </c>
      <c r="C3435" s="1">
        <v>46022</v>
      </c>
      <c r="D3435">
        <v>0</v>
      </c>
      <c r="E3435" s="4" t="s">
        <v>15</v>
      </c>
      <c r="F3435" t="s">
        <v>261</v>
      </c>
      <c r="G3435" s="1">
        <v>45392</v>
      </c>
      <c r="H3435" s="1">
        <f>TablaDatos[[#This Row],[FechaIngreso]]+TablaDatos[[#This Row],[DiasNuevo]]</f>
        <v>45417</v>
      </c>
      <c r="I3435">
        <v>25</v>
      </c>
      <c r="J3435" t="s">
        <v>19</v>
      </c>
      <c r="K3435" s="3">
        <v>10982.17</v>
      </c>
      <c r="L3435" t="b">
        <f>TablaDatos[[#This Row],[FechaAlta]] &lt; TablaDatos[[#This Row],[FechaIngreso]]</f>
        <v>0</v>
      </c>
      <c r="M3435">
        <f>_xlfn.XLOOKUP(TablaDatos[[#This Row],[PacienteID]],'Datos_Ejemplo.csv'!A:A,'Datos_Ejemplo.csv'!I:I)</f>
        <v>25</v>
      </c>
      <c r="N3435">
        <f>ABS(TablaDatos[[#This Row],[DiasOriginal]])</f>
        <v>25</v>
      </c>
      <c r="O3435" s="1">
        <f>TablaDatos[[#This Row],[FechaIngreso]]+TablaDatos[[#This Row],[DiasNuevo]]</f>
        <v>45417</v>
      </c>
    </row>
    <row r="3436" spans="1:15">
      <c r="A3436">
        <v>3435</v>
      </c>
      <c r="B3436" t="s">
        <v>146</v>
      </c>
      <c r="C3436" s="1">
        <v>31778</v>
      </c>
      <c r="D3436">
        <v>39</v>
      </c>
      <c r="E3436" s="4" t="s">
        <v>15</v>
      </c>
      <c r="F3436" t="s">
        <v>18</v>
      </c>
      <c r="G3436" s="1">
        <v>45021</v>
      </c>
      <c r="H3436" s="1">
        <f>TablaDatos[[#This Row],[FechaIngreso]]+TablaDatos[[#This Row],[DiasNuevo]]</f>
        <v>45053</v>
      </c>
      <c r="I3436">
        <v>32</v>
      </c>
      <c r="J3436" t="s">
        <v>19</v>
      </c>
      <c r="K3436" s="3">
        <v>8843.5300000000007</v>
      </c>
      <c r="L3436" t="b">
        <f>TablaDatos[[#This Row],[FechaAlta]] &lt; TablaDatos[[#This Row],[FechaIngreso]]</f>
        <v>0</v>
      </c>
      <c r="M3436">
        <f>_xlfn.XLOOKUP(TablaDatos[[#This Row],[PacienteID]],'Datos_Ejemplo.csv'!A:A,'Datos_Ejemplo.csv'!I:I)</f>
        <v>32</v>
      </c>
      <c r="N3436">
        <f>ABS(TablaDatos[[#This Row],[DiasOriginal]])</f>
        <v>32</v>
      </c>
      <c r="O3436" s="1">
        <f>TablaDatos[[#This Row],[FechaIngreso]]+TablaDatos[[#This Row],[DiasNuevo]]</f>
        <v>45053</v>
      </c>
    </row>
    <row r="3437" spans="1:15">
      <c r="A3437">
        <v>3436</v>
      </c>
      <c r="B3437" t="s">
        <v>352</v>
      </c>
      <c r="C3437" s="1">
        <v>39448</v>
      </c>
      <c r="D3437">
        <v>18</v>
      </c>
      <c r="E3437" s="4" t="s">
        <v>15</v>
      </c>
      <c r="F3437" t="s">
        <v>201</v>
      </c>
      <c r="G3437" s="1">
        <v>45060</v>
      </c>
      <c r="H3437" s="1">
        <f>TablaDatos[[#This Row],[FechaIngreso]]+TablaDatos[[#This Row],[DiasNuevo]]</f>
        <v>45097</v>
      </c>
      <c r="I3437">
        <v>37</v>
      </c>
      <c r="J3437" t="s">
        <v>23</v>
      </c>
      <c r="K3437" s="3">
        <v>-39.01</v>
      </c>
      <c r="L3437" t="b">
        <f>TablaDatos[[#This Row],[FechaAlta]] &lt; TablaDatos[[#This Row],[FechaIngreso]]</f>
        <v>0</v>
      </c>
      <c r="M3437">
        <f>_xlfn.XLOOKUP(TablaDatos[[#This Row],[PacienteID]],'Datos_Ejemplo.csv'!A:A,'Datos_Ejemplo.csv'!I:I)</f>
        <v>37</v>
      </c>
      <c r="N3437">
        <f>ABS(TablaDatos[[#This Row],[DiasOriginal]])</f>
        <v>37</v>
      </c>
      <c r="O3437" s="1">
        <f>TablaDatos[[#This Row],[FechaIngreso]]+TablaDatos[[#This Row],[DiasNuevo]]</f>
        <v>45097</v>
      </c>
    </row>
    <row r="3438" spans="1:15">
      <c r="A3438">
        <v>3437</v>
      </c>
      <c r="B3438" t="s">
        <v>352</v>
      </c>
      <c r="C3438" s="1">
        <v>18629</v>
      </c>
      <c r="D3438">
        <v>75</v>
      </c>
      <c r="E3438" s="4" t="s">
        <v>15</v>
      </c>
      <c r="F3438" t="s">
        <v>32</v>
      </c>
      <c r="G3438" s="1">
        <v>45088</v>
      </c>
      <c r="H3438" s="1">
        <f>TablaDatos[[#This Row],[FechaIngreso]]+TablaDatos[[#This Row],[DiasNuevo]]</f>
        <v>45107</v>
      </c>
      <c r="I3438">
        <v>19</v>
      </c>
      <c r="J3438" t="s">
        <v>25</v>
      </c>
      <c r="K3438" s="3">
        <v>14190.99</v>
      </c>
      <c r="L3438" t="b">
        <f>TablaDatos[[#This Row],[FechaAlta]] &lt; TablaDatos[[#This Row],[FechaIngreso]]</f>
        <v>0</v>
      </c>
      <c r="M3438">
        <f>_xlfn.XLOOKUP(TablaDatos[[#This Row],[PacienteID]],'Datos_Ejemplo.csv'!A:A,'Datos_Ejemplo.csv'!I:I)</f>
        <v>19</v>
      </c>
      <c r="N3438">
        <f>ABS(TablaDatos[[#This Row],[DiasOriginal]])</f>
        <v>19</v>
      </c>
      <c r="O3438" s="1">
        <f>TablaDatos[[#This Row],[FechaIngreso]]+TablaDatos[[#This Row],[DiasNuevo]]</f>
        <v>45107</v>
      </c>
    </row>
    <row r="3439" spans="1:15">
      <c r="A3439">
        <v>3438</v>
      </c>
      <c r="B3439" t="s">
        <v>162</v>
      </c>
      <c r="C3439" s="1">
        <v>20090</v>
      </c>
      <c r="D3439">
        <v>71</v>
      </c>
      <c r="E3439" s="4" t="s">
        <v>12</v>
      </c>
      <c r="F3439" t="s">
        <v>261</v>
      </c>
      <c r="G3439" s="1">
        <v>45482</v>
      </c>
      <c r="H3439" s="1">
        <f>TablaDatos[[#This Row],[FechaIngreso]]+TablaDatos[[#This Row],[DiasNuevo]]</f>
        <v>45483</v>
      </c>
      <c r="I3439">
        <v>1</v>
      </c>
      <c r="J3439" t="s">
        <v>19</v>
      </c>
      <c r="K3439" s="3">
        <v>11255.59</v>
      </c>
      <c r="L3439" t="b">
        <f>TablaDatos[[#This Row],[FechaAlta]] &lt; TablaDatos[[#This Row],[FechaIngreso]]</f>
        <v>0</v>
      </c>
      <c r="M3439">
        <f>_xlfn.XLOOKUP(TablaDatos[[#This Row],[PacienteID]],'Datos_Ejemplo.csv'!A:A,'Datos_Ejemplo.csv'!I:I)</f>
        <v>1</v>
      </c>
      <c r="N3439">
        <f>ABS(TablaDatos[[#This Row],[DiasOriginal]])</f>
        <v>1</v>
      </c>
      <c r="O3439" s="1">
        <f>TablaDatos[[#This Row],[FechaIngreso]]+TablaDatos[[#This Row],[DiasNuevo]]</f>
        <v>45483</v>
      </c>
    </row>
    <row r="3440" spans="1:15">
      <c r="A3440">
        <v>3439</v>
      </c>
      <c r="B3440" t="s">
        <v>275</v>
      </c>
      <c r="C3440" s="1">
        <v>20090</v>
      </c>
      <c r="D3440">
        <v>71</v>
      </c>
      <c r="E3440" s="4" t="s">
        <v>12</v>
      </c>
      <c r="F3440" t="s">
        <v>13</v>
      </c>
      <c r="G3440" s="1">
        <v>45226</v>
      </c>
      <c r="H3440" s="1">
        <f>TablaDatos[[#This Row],[FechaIngreso]]+TablaDatos[[#This Row],[DiasNuevo]]</f>
        <v>45231</v>
      </c>
      <c r="I3440">
        <v>5</v>
      </c>
      <c r="J3440" t="s">
        <v>23</v>
      </c>
      <c r="K3440" s="3">
        <v>18744.64</v>
      </c>
      <c r="L3440" t="b">
        <f>TablaDatos[[#This Row],[FechaAlta]] &lt; TablaDatos[[#This Row],[FechaIngreso]]</f>
        <v>0</v>
      </c>
      <c r="M3440">
        <f>_xlfn.XLOOKUP(TablaDatos[[#This Row],[PacienteID]],'Datos_Ejemplo.csv'!A:A,'Datos_Ejemplo.csv'!I:I)</f>
        <v>5</v>
      </c>
      <c r="N3440">
        <f>ABS(TablaDatos[[#This Row],[DiasOriginal]])</f>
        <v>5</v>
      </c>
      <c r="O3440" s="1">
        <f>TablaDatos[[#This Row],[FechaIngreso]]+TablaDatos[[#This Row],[DiasNuevo]]</f>
        <v>45231</v>
      </c>
    </row>
    <row r="3441" spans="1:15">
      <c r="A3441">
        <v>3440</v>
      </c>
      <c r="B3441" t="s">
        <v>257</v>
      </c>
      <c r="C3441" s="1">
        <v>24107</v>
      </c>
      <c r="D3441">
        <v>60</v>
      </c>
      <c r="E3441" s="4" t="s">
        <v>12</v>
      </c>
      <c r="F3441" t="s">
        <v>18</v>
      </c>
      <c r="G3441" s="1">
        <v>45282</v>
      </c>
      <c r="H3441" s="1">
        <f>TablaDatos[[#This Row],[FechaIngreso]]+TablaDatos[[#This Row],[DiasNuevo]]</f>
        <v>45284</v>
      </c>
      <c r="I3441">
        <v>2</v>
      </c>
      <c r="J3441" t="s">
        <v>23</v>
      </c>
      <c r="K3441" s="3">
        <v>11844.07</v>
      </c>
      <c r="L3441" t="b">
        <f>TablaDatos[[#This Row],[FechaAlta]] &lt; TablaDatos[[#This Row],[FechaIngreso]]</f>
        <v>0</v>
      </c>
      <c r="M3441">
        <f>_xlfn.XLOOKUP(TablaDatos[[#This Row],[PacienteID]],'Datos_Ejemplo.csv'!A:A,'Datos_Ejemplo.csv'!I:I)</f>
        <v>-2</v>
      </c>
      <c r="N3441">
        <f>ABS(TablaDatos[[#This Row],[DiasOriginal]])</f>
        <v>2</v>
      </c>
      <c r="O3441" s="1">
        <f>TablaDatos[[#This Row],[FechaIngreso]]+TablaDatos[[#This Row],[DiasNuevo]]</f>
        <v>45284</v>
      </c>
    </row>
    <row r="3442" spans="1:15">
      <c r="A3442">
        <v>3441</v>
      </c>
      <c r="B3442" t="s">
        <v>350</v>
      </c>
      <c r="C3442" s="1">
        <v>42005</v>
      </c>
      <c r="D3442">
        <v>11</v>
      </c>
      <c r="E3442" s="4" t="s">
        <v>12</v>
      </c>
      <c r="F3442" t="s">
        <v>32</v>
      </c>
      <c r="G3442" s="1">
        <v>45166</v>
      </c>
      <c r="H3442" s="1">
        <f>TablaDatos[[#This Row],[FechaIngreso]]+TablaDatos[[#This Row],[DiasNuevo]]</f>
        <v>45199</v>
      </c>
      <c r="I3442">
        <v>33</v>
      </c>
      <c r="J3442" t="s">
        <v>23</v>
      </c>
      <c r="K3442" s="3">
        <v>19856.41</v>
      </c>
      <c r="L3442" t="b">
        <f>TablaDatos[[#This Row],[FechaAlta]] &lt; TablaDatos[[#This Row],[FechaIngreso]]</f>
        <v>0</v>
      </c>
      <c r="M3442">
        <f>_xlfn.XLOOKUP(TablaDatos[[#This Row],[PacienteID]],'Datos_Ejemplo.csv'!A:A,'Datos_Ejemplo.csv'!I:I)</f>
        <v>33</v>
      </c>
      <c r="N3442">
        <f>ABS(TablaDatos[[#This Row],[DiasOriginal]])</f>
        <v>33</v>
      </c>
      <c r="O3442" s="1">
        <f>TablaDatos[[#This Row],[FechaIngreso]]+TablaDatos[[#This Row],[DiasNuevo]]</f>
        <v>45199</v>
      </c>
    </row>
    <row r="3443" spans="1:15">
      <c r="A3443">
        <v>3442</v>
      </c>
      <c r="B3443" t="s">
        <v>103</v>
      </c>
      <c r="C3443" s="1">
        <v>24107</v>
      </c>
      <c r="D3443">
        <v>60</v>
      </c>
      <c r="E3443" s="4" t="s">
        <v>15</v>
      </c>
      <c r="F3443" t="s">
        <v>295</v>
      </c>
      <c r="G3443" s="1">
        <v>45490</v>
      </c>
      <c r="H3443" s="1">
        <f>TablaDatos[[#This Row],[FechaIngreso]]+TablaDatos[[#This Row],[DiasNuevo]]</f>
        <v>45494</v>
      </c>
      <c r="I3443">
        <v>4</v>
      </c>
      <c r="J3443" t="s">
        <v>25</v>
      </c>
      <c r="K3443" s="3">
        <v>17061.77</v>
      </c>
      <c r="L3443" t="b">
        <f>TablaDatos[[#This Row],[FechaAlta]] &lt; TablaDatos[[#This Row],[FechaIngreso]]</f>
        <v>0</v>
      </c>
      <c r="M3443">
        <f>_xlfn.XLOOKUP(TablaDatos[[#This Row],[PacienteID]],'Datos_Ejemplo.csv'!A:A,'Datos_Ejemplo.csv'!I:I)</f>
        <v>4</v>
      </c>
      <c r="N3443">
        <f>ABS(TablaDatos[[#This Row],[DiasOriginal]])</f>
        <v>4</v>
      </c>
      <c r="O3443" s="1">
        <f>TablaDatos[[#This Row],[FechaIngreso]]+TablaDatos[[#This Row],[DiasNuevo]]</f>
        <v>45494</v>
      </c>
    </row>
    <row r="3444" spans="1:15">
      <c r="A3444">
        <v>3443</v>
      </c>
      <c r="B3444" t="s">
        <v>326</v>
      </c>
      <c r="C3444" s="1">
        <v>34334</v>
      </c>
      <c r="D3444">
        <v>32</v>
      </c>
      <c r="E3444" s="4" t="s">
        <v>12</v>
      </c>
      <c r="F3444" t="s">
        <v>295</v>
      </c>
      <c r="G3444" s="1">
        <v>45512</v>
      </c>
      <c r="H3444" s="1">
        <f>TablaDatos[[#This Row],[FechaIngreso]]+TablaDatos[[#This Row],[DiasNuevo]]</f>
        <v>45534</v>
      </c>
      <c r="I3444">
        <v>22</v>
      </c>
      <c r="J3444" t="s">
        <v>25</v>
      </c>
      <c r="K3444" s="3">
        <v>19067.32</v>
      </c>
      <c r="L3444" t="b">
        <f>TablaDatos[[#This Row],[FechaAlta]] &lt; TablaDatos[[#This Row],[FechaIngreso]]</f>
        <v>0</v>
      </c>
      <c r="M3444">
        <f>_xlfn.XLOOKUP(TablaDatos[[#This Row],[PacienteID]],'Datos_Ejemplo.csv'!A:A,'Datos_Ejemplo.csv'!I:I)</f>
        <v>22</v>
      </c>
      <c r="N3444">
        <f>ABS(TablaDatos[[#This Row],[DiasOriginal]])</f>
        <v>22</v>
      </c>
      <c r="O3444" s="1">
        <f>TablaDatos[[#This Row],[FechaIngreso]]+TablaDatos[[#This Row],[DiasNuevo]]</f>
        <v>45534</v>
      </c>
    </row>
    <row r="3445" spans="1:15">
      <c r="A3445">
        <v>3444</v>
      </c>
      <c r="B3445" t="s">
        <v>265</v>
      </c>
      <c r="C3445" s="1">
        <v>29951</v>
      </c>
      <c r="D3445">
        <v>44</v>
      </c>
      <c r="E3445" s="4" t="s">
        <v>15</v>
      </c>
      <c r="F3445" t="s">
        <v>261</v>
      </c>
      <c r="G3445" s="1">
        <v>45093</v>
      </c>
      <c r="H3445" s="1">
        <f>TablaDatos[[#This Row],[FechaIngreso]]+TablaDatos[[#This Row],[DiasNuevo]]</f>
        <v>45119</v>
      </c>
      <c r="I3445">
        <v>26</v>
      </c>
      <c r="J3445" t="s">
        <v>23</v>
      </c>
      <c r="K3445" s="3">
        <v>6486.02</v>
      </c>
      <c r="L3445" t="b">
        <f>TablaDatos[[#This Row],[FechaAlta]] &lt; TablaDatos[[#This Row],[FechaIngreso]]</f>
        <v>0</v>
      </c>
      <c r="M3445">
        <f>_xlfn.XLOOKUP(TablaDatos[[#This Row],[PacienteID]],'Datos_Ejemplo.csv'!A:A,'Datos_Ejemplo.csv'!I:I)</f>
        <v>26</v>
      </c>
      <c r="N3445">
        <f>ABS(TablaDatos[[#This Row],[DiasOriginal]])</f>
        <v>26</v>
      </c>
      <c r="O3445" s="1">
        <f>TablaDatos[[#This Row],[FechaIngreso]]+TablaDatos[[#This Row],[DiasNuevo]]</f>
        <v>45119</v>
      </c>
    </row>
    <row r="3446" spans="1:15">
      <c r="A3446">
        <v>3445</v>
      </c>
      <c r="B3446" t="s">
        <v>356</v>
      </c>
      <c r="C3446" s="1">
        <v>13515</v>
      </c>
      <c r="D3446">
        <v>89</v>
      </c>
      <c r="E3446" s="4" t="s">
        <v>12</v>
      </c>
      <c r="F3446" t="s">
        <v>261</v>
      </c>
      <c r="G3446" s="1">
        <v>45066</v>
      </c>
      <c r="H3446" s="1">
        <f>TablaDatos[[#This Row],[FechaIngreso]]+TablaDatos[[#This Row],[DiasNuevo]]</f>
        <v>45068</v>
      </c>
      <c r="I3446">
        <v>2</v>
      </c>
      <c r="J3446" t="s">
        <v>23</v>
      </c>
      <c r="K3446" s="3">
        <v>2901.65</v>
      </c>
      <c r="L3446" t="b">
        <f>TablaDatos[[#This Row],[FechaAlta]] &lt; TablaDatos[[#This Row],[FechaIngreso]]</f>
        <v>0</v>
      </c>
      <c r="M3446">
        <f>_xlfn.XLOOKUP(TablaDatos[[#This Row],[PacienteID]],'Datos_Ejemplo.csv'!A:A,'Datos_Ejemplo.csv'!I:I)</f>
        <v>-2</v>
      </c>
      <c r="N3446">
        <f>ABS(TablaDatos[[#This Row],[DiasOriginal]])</f>
        <v>2</v>
      </c>
      <c r="O3446" s="1">
        <f>TablaDatos[[#This Row],[FechaIngreso]]+TablaDatos[[#This Row],[DiasNuevo]]</f>
        <v>45068</v>
      </c>
    </row>
    <row r="3447" spans="1:15">
      <c r="A3447">
        <v>3446</v>
      </c>
      <c r="B3447" t="s">
        <v>243</v>
      </c>
      <c r="C3447" s="1">
        <v>12785</v>
      </c>
      <c r="D3447">
        <v>91</v>
      </c>
      <c r="E3447" s="4" t="s">
        <v>15</v>
      </c>
      <c r="F3447" t="s">
        <v>295</v>
      </c>
      <c r="G3447" s="1">
        <v>45065</v>
      </c>
      <c r="H3447" s="1">
        <f>TablaDatos[[#This Row],[FechaIngreso]]+TablaDatos[[#This Row],[DiasNuevo]]</f>
        <v>45080</v>
      </c>
      <c r="I3447">
        <v>15</v>
      </c>
      <c r="J3447" t="s">
        <v>23</v>
      </c>
      <c r="K3447" s="3">
        <v>15917.13</v>
      </c>
      <c r="L3447" t="b">
        <f>TablaDatos[[#This Row],[FechaAlta]] &lt; TablaDatos[[#This Row],[FechaIngreso]]</f>
        <v>0</v>
      </c>
      <c r="M3447">
        <f>_xlfn.XLOOKUP(TablaDatos[[#This Row],[PacienteID]],'Datos_Ejemplo.csv'!A:A,'Datos_Ejemplo.csv'!I:I)</f>
        <v>15</v>
      </c>
      <c r="N3447">
        <f>ABS(TablaDatos[[#This Row],[DiasOriginal]])</f>
        <v>15</v>
      </c>
      <c r="O3447" s="1">
        <f>TablaDatos[[#This Row],[FechaIngreso]]+TablaDatos[[#This Row],[DiasNuevo]]</f>
        <v>45080</v>
      </c>
    </row>
    <row r="3448" spans="1:15">
      <c r="A3448">
        <v>3447</v>
      </c>
      <c r="B3448" t="s">
        <v>116</v>
      </c>
      <c r="C3448" s="1">
        <v>21185</v>
      </c>
      <c r="D3448">
        <v>68</v>
      </c>
      <c r="E3448" s="4" t="s">
        <v>15</v>
      </c>
      <c r="F3448" t="s">
        <v>13</v>
      </c>
      <c r="G3448" s="1">
        <v>45161</v>
      </c>
      <c r="H3448" s="1">
        <f>TablaDatos[[#This Row],[FechaIngreso]]+TablaDatos[[#This Row],[DiasNuevo]]</f>
        <v>45162</v>
      </c>
      <c r="I3448">
        <v>1</v>
      </c>
      <c r="J3448" t="s">
        <v>19</v>
      </c>
      <c r="K3448" s="3">
        <v>15702.56</v>
      </c>
      <c r="L3448" t="b">
        <f>TablaDatos[[#This Row],[FechaAlta]] &lt; TablaDatos[[#This Row],[FechaIngreso]]</f>
        <v>0</v>
      </c>
      <c r="M3448">
        <f>_xlfn.XLOOKUP(TablaDatos[[#This Row],[PacienteID]],'Datos_Ejemplo.csv'!A:A,'Datos_Ejemplo.csv'!I:I)</f>
        <v>1</v>
      </c>
      <c r="N3448">
        <f>ABS(TablaDatos[[#This Row],[DiasOriginal]])</f>
        <v>1</v>
      </c>
      <c r="O3448" s="1">
        <f>TablaDatos[[#This Row],[FechaIngreso]]+TablaDatos[[#This Row],[DiasNuevo]]</f>
        <v>45162</v>
      </c>
    </row>
    <row r="3449" spans="1:15">
      <c r="A3449">
        <v>3448</v>
      </c>
      <c r="B3449" t="s">
        <v>356</v>
      </c>
      <c r="C3449" s="1">
        <v>43466</v>
      </c>
      <c r="D3449">
        <v>7</v>
      </c>
      <c r="E3449" s="4" t="s">
        <v>15</v>
      </c>
      <c r="F3449" t="s">
        <v>21</v>
      </c>
      <c r="G3449" s="1">
        <v>44929</v>
      </c>
      <c r="H3449" s="1">
        <f>TablaDatos[[#This Row],[FechaIngreso]]+TablaDatos[[#This Row],[DiasNuevo]]</f>
        <v>44946</v>
      </c>
      <c r="I3449">
        <v>17</v>
      </c>
      <c r="J3449" t="s">
        <v>19</v>
      </c>
      <c r="K3449" s="3">
        <v>4150.12</v>
      </c>
      <c r="L3449" t="b">
        <f>TablaDatos[[#This Row],[FechaAlta]] &lt; TablaDatos[[#This Row],[FechaIngreso]]</f>
        <v>0</v>
      </c>
      <c r="M3449">
        <f>_xlfn.XLOOKUP(TablaDatos[[#This Row],[PacienteID]],'Datos_Ejemplo.csv'!A:A,'Datos_Ejemplo.csv'!I:I)</f>
        <v>17</v>
      </c>
      <c r="N3449">
        <f>ABS(TablaDatos[[#This Row],[DiasOriginal]])</f>
        <v>17</v>
      </c>
      <c r="O3449" s="1">
        <f>TablaDatos[[#This Row],[FechaIngreso]]+TablaDatos[[#This Row],[DiasNuevo]]</f>
        <v>44946</v>
      </c>
    </row>
    <row r="3450" spans="1:15">
      <c r="A3450">
        <v>3449</v>
      </c>
      <c r="B3450" t="s">
        <v>327</v>
      </c>
      <c r="C3450" s="1">
        <v>37256</v>
      </c>
      <c r="D3450">
        <v>24</v>
      </c>
      <c r="E3450" s="4" t="s">
        <v>15</v>
      </c>
      <c r="F3450" t="s">
        <v>295</v>
      </c>
      <c r="G3450" s="1">
        <v>45182</v>
      </c>
      <c r="H3450" s="1">
        <f>TablaDatos[[#This Row],[FechaIngreso]]+TablaDatos[[#This Row],[DiasNuevo]]</f>
        <v>45187</v>
      </c>
      <c r="I3450">
        <v>5</v>
      </c>
      <c r="J3450" t="s">
        <v>19</v>
      </c>
      <c r="K3450" s="3">
        <v>15271.37</v>
      </c>
      <c r="L3450" t="b">
        <f>TablaDatos[[#This Row],[FechaAlta]] &lt; TablaDatos[[#This Row],[FechaIngreso]]</f>
        <v>0</v>
      </c>
      <c r="M3450">
        <f>_xlfn.XLOOKUP(TablaDatos[[#This Row],[PacienteID]],'Datos_Ejemplo.csv'!A:A,'Datos_Ejemplo.csv'!I:I)</f>
        <v>5</v>
      </c>
      <c r="N3450">
        <f>ABS(TablaDatos[[#This Row],[DiasOriginal]])</f>
        <v>5</v>
      </c>
      <c r="O3450" s="1">
        <f>TablaDatos[[#This Row],[FechaIngreso]]+TablaDatos[[#This Row],[DiasNuevo]]</f>
        <v>45187</v>
      </c>
    </row>
    <row r="3451" spans="1:15">
      <c r="A3451">
        <v>3450</v>
      </c>
      <c r="B3451" t="s">
        <v>122</v>
      </c>
      <c r="C3451" s="1">
        <v>13150</v>
      </c>
      <c r="D3451">
        <v>90</v>
      </c>
      <c r="E3451" s="4" t="s">
        <v>15</v>
      </c>
      <c r="F3451" t="s">
        <v>261</v>
      </c>
      <c r="G3451" s="1">
        <v>45297</v>
      </c>
      <c r="H3451" s="1">
        <f>TablaDatos[[#This Row],[FechaIngreso]]+TablaDatos[[#This Row],[DiasNuevo]]</f>
        <v>45321</v>
      </c>
      <c r="I3451">
        <v>24</v>
      </c>
      <c r="J3451" t="s">
        <v>19</v>
      </c>
      <c r="K3451" s="3">
        <v>11597.66</v>
      </c>
      <c r="L3451" t="b">
        <f>TablaDatos[[#This Row],[FechaAlta]] &lt; TablaDatos[[#This Row],[FechaIngreso]]</f>
        <v>0</v>
      </c>
      <c r="M3451">
        <f>_xlfn.XLOOKUP(TablaDatos[[#This Row],[PacienteID]],'Datos_Ejemplo.csv'!A:A,'Datos_Ejemplo.csv'!I:I)</f>
        <v>24</v>
      </c>
      <c r="N3451">
        <f>ABS(TablaDatos[[#This Row],[DiasOriginal]])</f>
        <v>24</v>
      </c>
      <c r="O3451" s="1">
        <f>TablaDatos[[#This Row],[FechaIngreso]]+TablaDatos[[#This Row],[DiasNuevo]]</f>
        <v>45321</v>
      </c>
    </row>
    <row r="3452" spans="1:15">
      <c r="A3452">
        <v>3451</v>
      </c>
      <c r="B3452" t="s">
        <v>235</v>
      </c>
      <c r="C3452" s="1">
        <v>29586</v>
      </c>
      <c r="D3452">
        <v>45</v>
      </c>
      <c r="E3452" s="4" t="s">
        <v>15</v>
      </c>
      <c r="F3452" t="s">
        <v>261</v>
      </c>
      <c r="G3452" s="1">
        <v>45204</v>
      </c>
      <c r="H3452" s="1">
        <f>TablaDatos[[#This Row],[FechaIngreso]]+TablaDatos[[#This Row],[DiasNuevo]]</f>
        <v>45240</v>
      </c>
      <c r="I3452">
        <v>36</v>
      </c>
      <c r="J3452" t="s">
        <v>19</v>
      </c>
      <c r="K3452" s="3">
        <v>2101.46</v>
      </c>
      <c r="L3452" t="b">
        <f>TablaDatos[[#This Row],[FechaAlta]] &lt; TablaDatos[[#This Row],[FechaIngreso]]</f>
        <v>0</v>
      </c>
      <c r="M3452">
        <f>_xlfn.XLOOKUP(TablaDatos[[#This Row],[PacienteID]],'Datos_Ejemplo.csv'!A:A,'Datos_Ejemplo.csv'!I:I)</f>
        <v>36</v>
      </c>
      <c r="N3452">
        <f>ABS(TablaDatos[[#This Row],[DiasOriginal]])</f>
        <v>36</v>
      </c>
      <c r="O3452" s="1">
        <f>TablaDatos[[#This Row],[FechaIngreso]]+TablaDatos[[#This Row],[DiasNuevo]]</f>
        <v>45240</v>
      </c>
    </row>
    <row r="3453" spans="1:15">
      <c r="A3453">
        <v>3452</v>
      </c>
      <c r="B3453" t="s">
        <v>306</v>
      </c>
      <c r="C3453" s="1">
        <v>14611</v>
      </c>
      <c r="D3453">
        <v>86</v>
      </c>
      <c r="E3453" s="4" t="s">
        <v>12</v>
      </c>
      <c r="F3453" t="s">
        <v>13</v>
      </c>
      <c r="G3453" s="1">
        <v>45442</v>
      </c>
      <c r="H3453" s="1">
        <f>TablaDatos[[#This Row],[FechaIngreso]]+TablaDatos[[#This Row],[DiasNuevo]]</f>
        <v>45474</v>
      </c>
      <c r="I3453">
        <v>32</v>
      </c>
      <c r="J3453" t="s">
        <v>25</v>
      </c>
      <c r="K3453" s="3">
        <v>9985.85</v>
      </c>
      <c r="L3453" t="b">
        <f>TablaDatos[[#This Row],[FechaAlta]] &lt; TablaDatos[[#This Row],[FechaIngreso]]</f>
        <v>0</v>
      </c>
      <c r="M3453">
        <f>_xlfn.XLOOKUP(TablaDatos[[#This Row],[PacienteID]],'Datos_Ejemplo.csv'!A:A,'Datos_Ejemplo.csv'!I:I)</f>
        <v>32</v>
      </c>
      <c r="N3453">
        <f>ABS(TablaDatos[[#This Row],[DiasOriginal]])</f>
        <v>32</v>
      </c>
      <c r="O3453" s="1">
        <f>TablaDatos[[#This Row],[FechaIngreso]]+TablaDatos[[#This Row],[DiasNuevo]]</f>
        <v>45474</v>
      </c>
    </row>
    <row r="3454" spans="1:15">
      <c r="A3454">
        <v>3453</v>
      </c>
      <c r="B3454" t="s">
        <v>346</v>
      </c>
      <c r="C3454" s="1">
        <v>35430</v>
      </c>
      <c r="D3454">
        <v>29</v>
      </c>
      <c r="E3454" s="4" t="s">
        <v>12</v>
      </c>
      <c r="F3454" t="s">
        <v>295</v>
      </c>
      <c r="G3454" s="1">
        <v>45138</v>
      </c>
      <c r="H3454" s="1">
        <f>TablaDatos[[#This Row],[FechaIngreso]]+TablaDatos[[#This Row],[DiasNuevo]]</f>
        <v>45160</v>
      </c>
      <c r="I3454">
        <v>22</v>
      </c>
      <c r="J3454" t="s">
        <v>25</v>
      </c>
      <c r="K3454" s="3">
        <v>18615.87</v>
      </c>
      <c r="L3454" t="b">
        <f>TablaDatos[[#This Row],[FechaAlta]] &lt; TablaDatos[[#This Row],[FechaIngreso]]</f>
        <v>0</v>
      </c>
      <c r="M3454">
        <f>_xlfn.XLOOKUP(TablaDatos[[#This Row],[PacienteID]],'Datos_Ejemplo.csv'!A:A,'Datos_Ejemplo.csv'!I:I)</f>
        <v>22</v>
      </c>
      <c r="N3454">
        <f>ABS(TablaDatos[[#This Row],[DiasOriginal]])</f>
        <v>22</v>
      </c>
      <c r="O3454" s="1">
        <f>TablaDatos[[#This Row],[FechaIngreso]]+TablaDatos[[#This Row],[DiasNuevo]]</f>
        <v>45160</v>
      </c>
    </row>
    <row r="3455" spans="1:15">
      <c r="A3455">
        <v>3454</v>
      </c>
      <c r="B3455" t="s">
        <v>300</v>
      </c>
      <c r="C3455" s="1">
        <v>29221</v>
      </c>
      <c r="D3455">
        <v>46</v>
      </c>
      <c r="E3455" s="4" t="s">
        <v>15</v>
      </c>
      <c r="F3455" t="s">
        <v>13</v>
      </c>
      <c r="G3455" s="1">
        <v>45142</v>
      </c>
      <c r="H3455" s="1">
        <f>TablaDatos[[#This Row],[FechaIngreso]]+TablaDatos[[#This Row],[DiasNuevo]]</f>
        <v>45153</v>
      </c>
      <c r="I3455">
        <v>11</v>
      </c>
      <c r="J3455" t="s">
        <v>23</v>
      </c>
      <c r="K3455" s="3">
        <v>10079.799999999999</v>
      </c>
      <c r="L3455" t="b">
        <f>TablaDatos[[#This Row],[FechaAlta]] &lt; TablaDatos[[#This Row],[FechaIngreso]]</f>
        <v>0</v>
      </c>
      <c r="M3455">
        <f>_xlfn.XLOOKUP(TablaDatos[[#This Row],[PacienteID]],'Datos_Ejemplo.csv'!A:A,'Datos_Ejemplo.csv'!I:I)</f>
        <v>11</v>
      </c>
      <c r="N3455">
        <f>ABS(TablaDatos[[#This Row],[DiasOriginal]])</f>
        <v>11</v>
      </c>
      <c r="O3455" s="1">
        <f>TablaDatos[[#This Row],[FechaIngreso]]+TablaDatos[[#This Row],[DiasNuevo]]</f>
        <v>45153</v>
      </c>
    </row>
    <row r="3456" spans="1:15">
      <c r="A3456">
        <v>3455</v>
      </c>
      <c r="B3456" t="s">
        <v>264</v>
      </c>
      <c r="C3456" s="1">
        <v>14611</v>
      </c>
      <c r="D3456">
        <v>86</v>
      </c>
      <c r="E3456" s="4" t="s">
        <v>15</v>
      </c>
      <c r="F3456" t="s">
        <v>295</v>
      </c>
      <c r="G3456" s="1">
        <v>45196</v>
      </c>
      <c r="H3456" s="1">
        <f>TablaDatos[[#This Row],[FechaIngreso]]+TablaDatos[[#This Row],[DiasNuevo]]</f>
        <v>45233</v>
      </c>
      <c r="I3456">
        <v>37</v>
      </c>
      <c r="J3456" t="s">
        <v>23</v>
      </c>
      <c r="K3456" s="3">
        <v>15752.85</v>
      </c>
      <c r="L3456" t="b">
        <f>TablaDatos[[#This Row],[FechaAlta]] &lt; TablaDatos[[#This Row],[FechaIngreso]]</f>
        <v>0</v>
      </c>
      <c r="M3456">
        <f>_xlfn.XLOOKUP(TablaDatos[[#This Row],[PacienteID]],'Datos_Ejemplo.csv'!A:A,'Datos_Ejemplo.csv'!I:I)</f>
        <v>37</v>
      </c>
      <c r="N3456">
        <f>ABS(TablaDatos[[#This Row],[DiasOriginal]])</f>
        <v>37</v>
      </c>
      <c r="O3456" s="1">
        <f>TablaDatos[[#This Row],[FechaIngreso]]+TablaDatos[[#This Row],[DiasNuevo]]</f>
        <v>45233</v>
      </c>
    </row>
    <row r="3457" spans="1:15">
      <c r="A3457">
        <v>3456</v>
      </c>
      <c r="B3457" t="s">
        <v>276</v>
      </c>
      <c r="C3457" s="1">
        <v>28490</v>
      </c>
      <c r="D3457">
        <v>48</v>
      </c>
      <c r="E3457" s="4" t="s">
        <v>12</v>
      </c>
      <c r="F3457" t="s">
        <v>21</v>
      </c>
      <c r="G3457" s="1">
        <v>45402</v>
      </c>
      <c r="H3457" s="1">
        <f>TablaDatos[[#This Row],[FechaIngreso]]+TablaDatos[[#This Row],[DiasNuevo]]</f>
        <v>45430</v>
      </c>
      <c r="I3457">
        <v>28</v>
      </c>
      <c r="J3457" t="s">
        <v>25</v>
      </c>
      <c r="K3457" s="3">
        <v>481.09</v>
      </c>
      <c r="L3457" t="b">
        <f>TablaDatos[[#This Row],[FechaAlta]] &lt; TablaDatos[[#This Row],[FechaIngreso]]</f>
        <v>0</v>
      </c>
      <c r="M3457">
        <f>_xlfn.XLOOKUP(TablaDatos[[#This Row],[PacienteID]],'Datos_Ejemplo.csv'!A:A,'Datos_Ejemplo.csv'!I:I)</f>
        <v>28</v>
      </c>
      <c r="N3457">
        <f>ABS(TablaDatos[[#This Row],[DiasOriginal]])</f>
        <v>28</v>
      </c>
      <c r="O3457" s="1">
        <f>TablaDatos[[#This Row],[FechaIngreso]]+TablaDatos[[#This Row],[DiasNuevo]]</f>
        <v>45430</v>
      </c>
    </row>
    <row r="3458" spans="1:15">
      <c r="A3458">
        <v>3457</v>
      </c>
      <c r="B3458" t="s">
        <v>302</v>
      </c>
      <c r="C3458" s="1">
        <v>29221</v>
      </c>
      <c r="D3458">
        <v>46</v>
      </c>
      <c r="E3458" s="4" t="s">
        <v>15</v>
      </c>
      <c r="F3458" t="s">
        <v>32</v>
      </c>
      <c r="G3458" s="1">
        <v>45454</v>
      </c>
      <c r="H3458" s="1">
        <f>TablaDatos[[#This Row],[FechaIngreso]]+TablaDatos[[#This Row],[DiasNuevo]]</f>
        <v>45456</v>
      </c>
      <c r="I3458">
        <v>2</v>
      </c>
      <c r="J3458" t="s">
        <v>23</v>
      </c>
      <c r="K3458" s="3">
        <v>14534.44</v>
      </c>
      <c r="L3458" t="b">
        <f>TablaDatos[[#This Row],[FechaAlta]] &lt; TablaDatos[[#This Row],[FechaIngreso]]</f>
        <v>0</v>
      </c>
      <c r="M3458">
        <f>_xlfn.XLOOKUP(TablaDatos[[#This Row],[PacienteID]],'Datos_Ejemplo.csv'!A:A,'Datos_Ejemplo.csv'!I:I)</f>
        <v>2</v>
      </c>
      <c r="N3458">
        <f>ABS(TablaDatos[[#This Row],[DiasOriginal]])</f>
        <v>2</v>
      </c>
      <c r="O3458" s="1">
        <f>TablaDatos[[#This Row],[FechaIngreso]]+TablaDatos[[#This Row],[DiasNuevo]]</f>
        <v>45456</v>
      </c>
    </row>
    <row r="3459" spans="1:15">
      <c r="A3459">
        <v>3458</v>
      </c>
      <c r="B3459" t="s">
        <v>136</v>
      </c>
      <c r="C3459" s="1">
        <v>15707</v>
      </c>
      <c r="D3459">
        <v>83</v>
      </c>
      <c r="E3459" s="4" t="s">
        <v>12</v>
      </c>
      <c r="F3459" t="s">
        <v>295</v>
      </c>
      <c r="G3459" s="1">
        <v>44990</v>
      </c>
      <c r="H3459" s="1">
        <f>TablaDatos[[#This Row],[FechaIngreso]]+TablaDatos[[#This Row],[DiasNuevo]]</f>
        <v>45004</v>
      </c>
      <c r="I3459">
        <v>14</v>
      </c>
      <c r="J3459" t="s">
        <v>23</v>
      </c>
      <c r="K3459" s="3">
        <v>18931.43</v>
      </c>
      <c r="L3459" t="b">
        <f>TablaDatos[[#This Row],[FechaAlta]] &lt; TablaDatos[[#This Row],[FechaIngreso]]</f>
        <v>0</v>
      </c>
      <c r="M3459">
        <f>_xlfn.XLOOKUP(TablaDatos[[#This Row],[PacienteID]],'Datos_Ejemplo.csv'!A:A,'Datos_Ejemplo.csv'!I:I)</f>
        <v>14</v>
      </c>
      <c r="N3459">
        <f>ABS(TablaDatos[[#This Row],[DiasOriginal]])</f>
        <v>14</v>
      </c>
      <c r="O3459" s="1">
        <f>TablaDatos[[#This Row],[FechaIngreso]]+TablaDatos[[#This Row],[DiasNuevo]]</f>
        <v>45004</v>
      </c>
    </row>
    <row r="3460" spans="1:15">
      <c r="A3460">
        <v>3459</v>
      </c>
      <c r="B3460" t="s">
        <v>299</v>
      </c>
      <c r="C3460" s="1">
        <v>16437</v>
      </c>
      <c r="D3460">
        <v>81</v>
      </c>
      <c r="E3460" s="4" t="s">
        <v>15</v>
      </c>
      <c r="F3460" t="s">
        <v>32</v>
      </c>
      <c r="G3460" s="1">
        <v>45386</v>
      </c>
      <c r="H3460" s="1">
        <f>TablaDatos[[#This Row],[FechaIngreso]]+TablaDatos[[#This Row],[DiasNuevo]]</f>
        <v>45393</v>
      </c>
      <c r="I3460">
        <v>7</v>
      </c>
      <c r="J3460" t="s">
        <v>23</v>
      </c>
      <c r="K3460" s="3">
        <v>9940.51</v>
      </c>
      <c r="L3460" t="b">
        <f>TablaDatos[[#This Row],[FechaAlta]] &lt; TablaDatos[[#This Row],[FechaIngreso]]</f>
        <v>0</v>
      </c>
      <c r="M3460">
        <f>_xlfn.XLOOKUP(TablaDatos[[#This Row],[PacienteID]],'Datos_Ejemplo.csv'!A:A,'Datos_Ejemplo.csv'!I:I)</f>
        <v>7</v>
      </c>
      <c r="N3460">
        <f>ABS(TablaDatos[[#This Row],[DiasOriginal]])</f>
        <v>7</v>
      </c>
      <c r="O3460" s="1">
        <f>TablaDatos[[#This Row],[FechaIngreso]]+TablaDatos[[#This Row],[DiasNuevo]]</f>
        <v>45393</v>
      </c>
    </row>
    <row r="3461" spans="1:15">
      <c r="A3461">
        <v>3460</v>
      </c>
      <c r="B3461" t="s">
        <v>332</v>
      </c>
      <c r="C3461" s="1">
        <v>39813</v>
      </c>
      <c r="D3461">
        <v>17</v>
      </c>
      <c r="E3461" s="4" t="s">
        <v>12</v>
      </c>
      <c r="F3461" t="s">
        <v>295</v>
      </c>
      <c r="G3461" s="1">
        <v>44942</v>
      </c>
      <c r="H3461" s="1">
        <f>TablaDatos[[#This Row],[FechaIngreso]]+TablaDatos[[#This Row],[DiasNuevo]]</f>
        <v>44955</v>
      </c>
      <c r="I3461">
        <v>13</v>
      </c>
      <c r="J3461" t="s">
        <v>23</v>
      </c>
      <c r="K3461" s="3">
        <v>6687.97</v>
      </c>
      <c r="L3461" t="b">
        <f>TablaDatos[[#This Row],[FechaAlta]] &lt; TablaDatos[[#This Row],[FechaIngreso]]</f>
        <v>0</v>
      </c>
      <c r="M3461">
        <f>_xlfn.XLOOKUP(TablaDatos[[#This Row],[PacienteID]],'Datos_Ejemplo.csv'!A:A,'Datos_Ejemplo.csv'!I:I)</f>
        <v>13</v>
      </c>
      <c r="N3461">
        <f>ABS(TablaDatos[[#This Row],[DiasOriginal]])</f>
        <v>13</v>
      </c>
      <c r="O3461" s="1">
        <f>TablaDatos[[#This Row],[FechaIngreso]]+TablaDatos[[#This Row],[DiasNuevo]]</f>
        <v>44955</v>
      </c>
    </row>
    <row r="3462" spans="1:15">
      <c r="A3462">
        <v>3461</v>
      </c>
      <c r="B3462" t="s">
        <v>244</v>
      </c>
      <c r="C3462" s="1">
        <v>22281</v>
      </c>
      <c r="D3462">
        <f ca="1">DATEDIF(TablaDatos[[#This Row],[FechaNacimiento]],TODAY(),"Y")</f>
        <v>65</v>
      </c>
      <c r="E3462" s="4" t="s">
        <v>12</v>
      </c>
      <c r="F3462" t="s">
        <v>21</v>
      </c>
      <c r="G3462" s="1">
        <v>45490</v>
      </c>
      <c r="H3462" s="1">
        <f>TablaDatos[[#This Row],[FechaIngreso]]+TablaDatos[[#This Row],[DiasNuevo]]</f>
        <v>45491</v>
      </c>
      <c r="I3462">
        <v>1</v>
      </c>
      <c r="J3462" t="s">
        <v>23</v>
      </c>
      <c r="K3462" s="3">
        <v>12897.68</v>
      </c>
      <c r="L3462" t="b">
        <f>TablaDatos[[#This Row],[FechaAlta]] &lt; TablaDatos[[#This Row],[FechaIngreso]]</f>
        <v>0</v>
      </c>
      <c r="M3462">
        <f>_xlfn.XLOOKUP(TablaDatos[[#This Row],[PacienteID]],'Datos_Ejemplo.csv'!A:A,'Datos_Ejemplo.csv'!I:I)</f>
        <v>1</v>
      </c>
      <c r="N3462">
        <f>ABS(TablaDatos[[#This Row],[DiasOriginal]])</f>
        <v>1</v>
      </c>
      <c r="O3462" s="1">
        <f>TablaDatos[[#This Row],[FechaIngreso]]+TablaDatos[[#This Row],[DiasNuevo]]</f>
        <v>45491</v>
      </c>
    </row>
    <row r="3463" spans="1:15">
      <c r="A3463">
        <v>3462</v>
      </c>
      <c r="B3463" t="s">
        <v>278</v>
      </c>
      <c r="C3463" s="1">
        <v>21551</v>
      </c>
      <c r="D3463">
        <v>67</v>
      </c>
      <c r="E3463" s="4" t="s">
        <v>12</v>
      </c>
      <c r="F3463" t="s">
        <v>201</v>
      </c>
      <c r="G3463" s="1">
        <v>44945</v>
      </c>
      <c r="H3463" s="1">
        <f>TablaDatos[[#This Row],[FechaIngreso]]+TablaDatos[[#This Row],[DiasNuevo]]</f>
        <v>44947</v>
      </c>
      <c r="I3463">
        <v>2</v>
      </c>
      <c r="J3463" t="s">
        <v>19</v>
      </c>
      <c r="K3463" s="3">
        <v>18316.849999999999</v>
      </c>
      <c r="L3463" t="b">
        <f>TablaDatos[[#This Row],[FechaAlta]] &lt; TablaDatos[[#This Row],[FechaIngreso]]</f>
        <v>0</v>
      </c>
      <c r="M3463">
        <f>_xlfn.XLOOKUP(TablaDatos[[#This Row],[PacienteID]],'Datos_Ejemplo.csv'!A:A,'Datos_Ejemplo.csv'!I:I)</f>
        <v>2</v>
      </c>
      <c r="N3463">
        <f>ABS(TablaDatos[[#This Row],[DiasOriginal]])</f>
        <v>2</v>
      </c>
      <c r="O3463" s="1">
        <f>TablaDatos[[#This Row],[FechaIngreso]]+TablaDatos[[#This Row],[DiasNuevo]]</f>
        <v>44947</v>
      </c>
    </row>
    <row r="3464" spans="1:15">
      <c r="A3464">
        <v>3463</v>
      </c>
      <c r="B3464" t="s">
        <v>297</v>
      </c>
      <c r="C3464" s="1">
        <v>12054</v>
      </c>
      <c r="D3464">
        <v>93</v>
      </c>
      <c r="E3464" s="4" t="s">
        <v>12</v>
      </c>
      <c r="F3464" t="s">
        <v>261</v>
      </c>
      <c r="G3464" s="1">
        <v>45251</v>
      </c>
      <c r="H3464" s="1">
        <f>TablaDatos[[#This Row],[FechaIngreso]]+TablaDatos[[#This Row],[DiasNuevo]]</f>
        <v>45290</v>
      </c>
      <c r="I3464">
        <v>39</v>
      </c>
      <c r="J3464" t="s">
        <v>23</v>
      </c>
      <c r="K3464" s="3">
        <v>3453.07</v>
      </c>
      <c r="L3464" t="b">
        <f>TablaDatos[[#This Row],[FechaAlta]] &lt; TablaDatos[[#This Row],[FechaIngreso]]</f>
        <v>0</v>
      </c>
      <c r="M3464">
        <f>_xlfn.XLOOKUP(TablaDatos[[#This Row],[PacienteID]],'Datos_Ejemplo.csv'!A:A,'Datos_Ejemplo.csv'!I:I)</f>
        <v>39</v>
      </c>
      <c r="N3464">
        <f>ABS(TablaDatos[[#This Row],[DiasOriginal]])</f>
        <v>39</v>
      </c>
      <c r="O3464" s="1">
        <f>TablaDatos[[#This Row],[FechaIngreso]]+TablaDatos[[#This Row],[DiasNuevo]]</f>
        <v>45290</v>
      </c>
    </row>
    <row r="3465" spans="1:15">
      <c r="A3465">
        <v>3464</v>
      </c>
      <c r="B3465" t="s">
        <v>304</v>
      </c>
      <c r="C3465" s="1">
        <v>34334</v>
      </c>
      <c r="D3465">
        <v>32</v>
      </c>
      <c r="E3465" s="4" t="s">
        <v>15</v>
      </c>
      <c r="F3465" t="s">
        <v>32</v>
      </c>
      <c r="G3465" s="1">
        <v>45019</v>
      </c>
      <c r="H3465" s="1">
        <f>TablaDatos[[#This Row],[FechaIngreso]]+TablaDatos[[#This Row],[DiasNuevo]]</f>
        <v>45057</v>
      </c>
      <c r="I3465">
        <v>38</v>
      </c>
      <c r="J3465" t="s">
        <v>23</v>
      </c>
      <c r="K3465" s="3">
        <v>8014.25</v>
      </c>
      <c r="L3465" t="b">
        <f>TablaDatos[[#This Row],[FechaAlta]] &lt; TablaDatos[[#This Row],[FechaIngreso]]</f>
        <v>0</v>
      </c>
      <c r="M3465">
        <f>_xlfn.XLOOKUP(TablaDatos[[#This Row],[PacienteID]],'Datos_Ejemplo.csv'!A:A,'Datos_Ejemplo.csv'!I:I)</f>
        <v>38</v>
      </c>
      <c r="N3465">
        <f>ABS(TablaDatos[[#This Row],[DiasOriginal]])</f>
        <v>38</v>
      </c>
      <c r="O3465" s="1">
        <f>TablaDatos[[#This Row],[FechaIngreso]]+TablaDatos[[#This Row],[DiasNuevo]]</f>
        <v>45057</v>
      </c>
    </row>
    <row r="3466" spans="1:15">
      <c r="A3466">
        <v>3465</v>
      </c>
      <c r="B3466" t="s">
        <v>366</v>
      </c>
      <c r="C3466" s="1">
        <v>33239</v>
      </c>
      <c r="D3466">
        <v>35</v>
      </c>
      <c r="E3466" s="4" t="s">
        <v>15</v>
      </c>
      <c r="F3466" t="s">
        <v>13</v>
      </c>
      <c r="G3466" s="1">
        <v>44943</v>
      </c>
      <c r="H3466" s="1">
        <f>TablaDatos[[#This Row],[FechaIngreso]]+TablaDatos[[#This Row],[DiasNuevo]]</f>
        <v>44960</v>
      </c>
      <c r="I3466">
        <v>17</v>
      </c>
      <c r="J3466" t="s">
        <v>23</v>
      </c>
      <c r="K3466" s="3">
        <v>3041.43</v>
      </c>
      <c r="L3466" t="b">
        <f>TablaDatos[[#This Row],[FechaAlta]] &lt; TablaDatos[[#This Row],[FechaIngreso]]</f>
        <v>0</v>
      </c>
      <c r="M3466">
        <f>_xlfn.XLOOKUP(TablaDatos[[#This Row],[PacienteID]],'Datos_Ejemplo.csv'!A:A,'Datos_Ejemplo.csv'!I:I)</f>
        <v>17</v>
      </c>
      <c r="N3466">
        <f>ABS(TablaDatos[[#This Row],[DiasOriginal]])</f>
        <v>17</v>
      </c>
      <c r="O3466" s="1">
        <f>TablaDatos[[#This Row],[FechaIngreso]]+TablaDatos[[#This Row],[DiasNuevo]]</f>
        <v>44960</v>
      </c>
    </row>
    <row r="3467" spans="1:15">
      <c r="A3467">
        <v>3466</v>
      </c>
      <c r="B3467" t="s">
        <v>308</v>
      </c>
      <c r="C3467" s="1">
        <v>16437</v>
      </c>
      <c r="D3467">
        <v>81</v>
      </c>
      <c r="E3467" s="4" t="s">
        <v>12</v>
      </c>
      <c r="F3467" t="s">
        <v>295</v>
      </c>
      <c r="G3467" s="1">
        <v>45549</v>
      </c>
      <c r="H3467" s="1">
        <f>TablaDatos[[#This Row],[FechaIngreso]]+TablaDatos[[#This Row],[DiasNuevo]]</f>
        <v>45552</v>
      </c>
      <c r="I3467">
        <v>3</v>
      </c>
      <c r="J3467" t="s">
        <v>23</v>
      </c>
      <c r="K3467" s="3">
        <v>9882.75</v>
      </c>
      <c r="L3467" t="b">
        <f>TablaDatos[[#This Row],[FechaAlta]] &lt; TablaDatos[[#This Row],[FechaIngreso]]</f>
        <v>0</v>
      </c>
      <c r="M3467">
        <f>_xlfn.XLOOKUP(TablaDatos[[#This Row],[PacienteID]],'Datos_Ejemplo.csv'!A:A,'Datos_Ejemplo.csv'!I:I)</f>
        <v>3</v>
      </c>
      <c r="N3467">
        <f>ABS(TablaDatos[[#This Row],[DiasOriginal]])</f>
        <v>3</v>
      </c>
      <c r="O3467" s="1">
        <f>TablaDatos[[#This Row],[FechaIngreso]]+TablaDatos[[#This Row],[DiasNuevo]]</f>
        <v>45552</v>
      </c>
    </row>
    <row r="3468" spans="1:15">
      <c r="A3468">
        <v>3467</v>
      </c>
      <c r="B3468" t="s">
        <v>309</v>
      </c>
      <c r="C3468" s="1">
        <v>39448</v>
      </c>
      <c r="D3468">
        <v>18</v>
      </c>
      <c r="E3468" s="4" t="s">
        <v>12</v>
      </c>
      <c r="F3468" t="s">
        <v>261</v>
      </c>
      <c r="G3468" s="1">
        <v>45414</v>
      </c>
      <c r="H3468" s="1">
        <f>TablaDatos[[#This Row],[FechaIngreso]]+TablaDatos[[#This Row],[DiasNuevo]]</f>
        <v>45422</v>
      </c>
      <c r="I3468">
        <v>8</v>
      </c>
      <c r="J3468" t="s">
        <v>25</v>
      </c>
      <c r="K3468" s="3">
        <v>10762.48</v>
      </c>
      <c r="L3468" t="b">
        <f>TablaDatos[[#This Row],[FechaAlta]] &lt; TablaDatos[[#This Row],[FechaIngreso]]</f>
        <v>0</v>
      </c>
      <c r="M3468">
        <f>_xlfn.XLOOKUP(TablaDatos[[#This Row],[PacienteID]],'Datos_Ejemplo.csv'!A:A,'Datos_Ejemplo.csv'!I:I)</f>
        <v>8</v>
      </c>
      <c r="N3468">
        <f>ABS(TablaDatos[[#This Row],[DiasOriginal]])</f>
        <v>8</v>
      </c>
      <c r="O3468" s="1">
        <f>TablaDatos[[#This Row],[FechaIngreso]]+TablaDatos[[#This Row],[DiasNuevo]]</f>
        <v>45422</v>
      </c>
    </row>
    <row r="3469" spans="1:15">
      <c r="A3469">
        <v>3468</v>
      </c>
      <c r="B3469" t="s">
        <v>246</v>
      </c>
      <c r="C3469" s="1">
        <v>36161</v>
      </c>
      <c r="D3469">
        <v>27</v>
      </c>
      <c r="E3469" s="4" t="s">
        <v>15</v>
      </c>
      <c r="F3469" t="s">
        <v>295</v>
      </c>
      <c r="G3469" s="1">
        <v>45020</v>
      </c>
      <c r="H3469" s="1">
        <f>TablaDatos[[#This Row],[FechaIngreso]]+TablaDatos[[#This Row],[DiasNuevo]]</f>
        <v>45034</v>
      </c>
      <c r="I3469">
        <v>14</v>
      </c>
      <c r="J3469" t="s">
        <v>25</v>
      </c>
      <c r="K3469" s="3">
        <v>18878.490000000002</v>
      </c>
      <c r="L3469" t="b">
        <f>TablaDatos[[#This Row],[FechaAlta]] &lt; TablaDatos[[#This Row],[FechaIngreso]]</f>
        <v>0</v>
      </c>
      <c r="M3469">
        <f>_xlfn.XLOOKUP(TablaDatos[[#This Row],[PacienteID]],'Datos_Ejemplo.csv'!A:A,'Datos_Ejemplo.csv'!I:I)</f>
        <v>14</v>
      </c>
      <c r="N3469">
        <f>ABS(TablaDatos[[#This Row],[DiasOriginal]])</f>
        <v>14</v>
      </c>
      <c r="O3469" s="1">
        <f>TablaDatos[[#This Row],[FechaIngreso]]+TablaDatos[[#This Row],[DiasNuevo]]</f>
        <v>45034</v>
      </c>
    </row>
    <row r="3470" spans="1:15">
      <c r="A3470">
        <v>3469</v>
      </c>
      <c r="B3470" t="s">
        <v>247</v>
      </c>
      <c r="C3470" s="1">
        <v>31778</v>
      </c>
      <c r="D3470">
        <v>39</v>
      </c>
      <c r="E3470" s="4" t="s">
        <v>12</v>
      </c>
      <c r="F3470" t="s">
        <v>13</v>
      </c>
      <c r="G3470" s="1">
        <v>44936</v>
      </c>
      <c r="H3470" s="1">
        <f>TablaDatos[[#This Row],[FechaIngreso]]+TablaDatos[[#This Row],[DiasNuevo]]</f>
        <v>44974</v>
      </c>
      <c r="I3470">
        <v>38</v>
      </c>
      <c r="J3470" t="s">
        <v>19</v>
      </c>
      <c r="K3470" s="3">
        <v>8191.55</v>
      </c>
      <c r="L3470" t="b">
        <f>TablaDatos[[#This Row],[FechaAlta]] &lt; TablaDatos[[#This Row],[FechaIngreso]]</f>
        <v>0</v>
      </c>
      <c r="M3470">
        <f>_xlfn.XLOOKUP(TablaDatos[[#This Row],[PacienteID]],'Datos_Ejemplo.csv'!A:A,'Datos_Ejemplo.csv'!I:I)</f>
        <v>38</v>
      </c>
      <c r="N3470">
        <f>ABS(TablaDatos[[#This Row],[DiasOriginal]])</f>
        <v>38</v>
      </c>
      <c r="O3470" s="1">
        <f>TablaDatos[[#This Row],[FechaIngreso]]+TablaDatos[[#This Row],[DiasNuevo]]</f>
        <v>44974</v>
      </c>
    </row>
    <row r="3471" spans="1:15">
      <c r="A3471">
        <v>3470</v>
      </c>
      <c r="B3471" t="s">
        <v>281</v>
      </c>
      <c r="C3471" s="1">
        <v>15707</v>
      </c>
      <c r="D3471">
        <f ca="1">DATEDIF(TablaDatos[[#This Row],[FechaNacimiento]],TODAY(),"Y")</f>
        <v>83</v>
      </c>
      <c r="E3471" s="4" t="s">
        <v>15</v>
      </c>
      <c r="F3471" t="s">
        <v>21</v>
      </c>
      <c r="G3471" s="1">
        <v>45650</v>
      </c>
      <c r="H3471" s="1">
        <f>TablaDatos[[#This Row],[FechaIngreso]]+TablaDatos[[#This Row],[DiasNuevo]]</f>
        <v>45650</v>
      </c>
      <c r="I3471">
        <v>0</v>
      </c>
      <c r="J3471" t="s">
        <v>23</v>
      </c>
      <c r="K3471" s="3">
        <v>11295.83</v>
      </c>
      <c r="L3471" t="b">
        <f>TablaDatos[[#This Row],[FechaAlta]] &lt; TablaDatos[[#This Row],[FechaIngreso]]</f>
        <v>0</v>
      </c>
      <c r="M3471">
        <f>_xlfn.XLOOKUP(TablaDatos[[#This Row],[PacienteID]],'Datos_Ejemplo.csv'!A:A,'Datos_Ejemplo.csv'!I:I)</f>
        <v>0</v>
      </c>
      <c r="N3471">
        <f>ABS(TablaDatos[[#This Row],[DiasOriginal]])</f>
        <v>0</v>
      </c>
      <c r="O3471" s="1">
        <f>TablaDatos[[#This Row],[FechaIngreso]]+TablaDatos[[#This Row],[DiasNuevo]]</f>
        <v>45650</v>
      </c>
    </row>
    <row r="3472" spans="1:15">
      <c r="A3472">
        <v>3471</v>
      </c>
      <c r="B3472" t="s">
        <v>238</v>
      </c>
      <c r="C3472" s="1">
        <v>18629</v>
      </c>
      <c r="D3472">
        <v>75</v>
      </c>
      <c r="E3472" s="4" t="s">
        <v>15</v>
      </c>
      <c r="F3472" t="s">
        <v>18</v>
      </c>
      <c r="G3472" s="1">
        <v>45454</v>
      </c>
      <c r="H3472" s="1">
        <f>TablaDatos[[#This Row],[FechaIngreso]]+TablaDatos[[#This Row],[DiasNuevo]]</f>
        <v>45467</v>
      </c>
      <c r="I3472">
        <v>13</v>
      </c>
      <c r="J3472" t="s">
        <v>25</v>
      </c>
      <c r="K3472" s="3">
        <v>17693.78</v>
      </c>
      <c r="L3472" t="b">
        <f>TablaDatos[[#This Row],[FechaAlta]] &lt; TablaDatos[[#This Row],[FechaIngreso]]</f>
        <v>0</v>
      </c>
      <c r="M3472">
        <f>_xlfn.XLOOKUP(TablaDatos[[#This Row],[PacienteID]],'Datos_Ejemplo.csv'!A:A,'Datos_Ejemplo.csv'!I:I)</f>
        <v>13</v>
      </c>
      <c r="N3472">
        <f>ABS(TablaDatos[[#This Row],[DiasOriginal]])</f>
        <v>13</v>
      </c>
      <c r="O3472" s="1">
        <f>TablaDatos[[#This Row],[FechaIngreso]]+TablaDatos[[#This Row],[DiasNuevo]]</f>
        <v>45467</v>
      </c>
    </row>
    <row r="3473" spans="1:15">
      <c r="A3473">
        <v>3472</v>
      </c>
      <c r="B3473" t="s">
        <v>287</v>
      </c>
      <c r="C3473" s="1">
        <v>40909</v>
      </c>
      <c r="D3473">
        <v>14</v>
      </c>
      <c r="E3473" s="4" t="s">
        <v>12</v>
      </c>
      <c r="F3473" t="s">
        <v>295</v>
      </c>
      <c r="G3473" s="1">
        <v>45415</v>
      </c>
      <c r="H3473" s="1">
        <f>TablaDatos[[#This Row],[FechaIngreso]]+TablaDatos[[#This Row],[DiasNuevo]]</f>
        <v>45448</v>
      </c>
      <c r="I3473">
        <v>33</v>
      </c>
      <c r="J3473" t="s">
        <v>23</v>
      </c>
      <c r="K3473" s="3">
        <v>6360.24</v>
      </c>
      <c r="L3473" t="b">
        <f>TablaDatos[[#This Row],[FechaAlta]] &lt; TablaDatos[[#This Row],[FechaIngreso]]</f>
        <v>0</v>
      </c>
      <c r="M3473">
        <f>_xlfn.XLOOKUP(TablaDatos[[#This Row],[PacienteID]],'Datos_Ejemplo.csv'!A:A,'Datos_Ejemplo.csv'!I:I)</f>
        <v>33</v>
      </c>
      <c r="N3473">
        <f>ABS(TablaDatos[[#This Row],[DiasOriginal]])</f>
        <v>33</v>
      </c>
      <c r="O3473" s="1">
        <f>TablaDatos[[#This Row],[FechaIngreso]]+TablaDatos[[#This Row],[DiasNuevo]]</f>
        <v>45448</v>
      </c>
    </row>
    <row r="3474" spans="1:15">
      <c r="A3474">
        <v>3473</v>
      </c>
      <c r="B3474" t="s">
        <v>161</v>
      </c>
      <c r="C3474" s="1">
        <v>31412</v>
      </c>
      <c r="D3474">
        <v>40</v>
      </c>
      <c r="E3474" s="4" t="s">
        <v>15</v>
      </c>
      <c r="F3474" t="s">
        <v>201</v>
      </c>
      <c r="G3474" s="1">
        <v>45070</v>
      </c>
      <c r="H3474" s="1">
        <f>TablaDatos[[#This Row],[FechaIngreso]]+TablaDatos[[#This Row],[DiasNuevo]]</f>
        <v>45093</v>
      </c>
      <c r="I3474">
        <v>23</v>
      </c>
      <c r="J3474" t="s">
        <v>23</v>
      </c>
      <c r="K3474" s="3">
        <v>13450.69</v>
      </c>
      <c r="L3474" t="b">
        <f>TablaDatos[[#This Row],[FechaAlta]] &lt; TablaDatos[[#This Row],[FechaIngreso]]</f>
        <v>0</v>
      </c>
      <c r="M3474">
        <f>_xlfn.XLOOKUP(TablaDatos[[#This Row],[PacienteID]],'Datos_Ejemplo.csv'!A:A,'Datos_Ejemplo.csv'!I:I)</f>
        <v>23</v>
      </c>
      <c r="N3474">
        <f>ABS(TablaDatos[[#This Row],[DiasOriginal]])</f>
        <v>23</v>
      </c>
      <c r="O3474" s="1">
        <f>TablaDatos[[#This Row],[FechaIngreso]]+TablaDatos[[#This Row],[DiasNuevo]]</f>
        <v>45093</v>
      </c>
    </row>
    <row r="3475" spans="1:15">
      <c r="A3475">
        <v>3474</v>
      </c>
      <c r="B3475" t="s">
        <v>271</v>
      </c>
      <c r="C3475" s="1">
        <v>32143</v>
      </c>
      <c r="D3475">
        <v>38</v>
      </c>
      <c r="E3475" s="4" t="s">
        <v>12</v>
      </c>
      <c r="F3475" t="s">
        <v>13</v>
      </c>
      <c r="G3475" s="1">
        <v>45480</v>
      </c>
      <c r="H3475" s="1">
        <f>TablaDatos[[#This Row],[FechaIngreso]]+TablaDatos[[#This Row],[DiasNuevo]]</f>
        <v>45501</v>
      </c>
      <c r="I3475">
        <v>21</v>
      </c>
      <c r="J3475" t="s">
        <v>19</v>
      </c>
      <c r="K3475" s="3">
        <v>15118.95</v>
      </c>
      <c r="L3475" t="b">
        <f>TablaDatos[[#This Row],[FechaAlta]] &lt; TablaDatos[[#This Row],[FechaIngreso]]</f>
        <v>0</v>
      </c>
      <c r="M3475">
        <f>_xlfn.XLOOKUP(TablaDatos[[#This Row],[PacienteID]],'Datos_Ejemplo.csv'!A:A,'Datos_Ejemplo.csv'!I:I)</f>
        <v>21</v>
      </c>
      <c r="N3475">
        <f>ABS(TablaDatos[[#This Row],[DiasOriginal]])</f>
        <v>21</v>
      </c>
      <c r="O3475" s="1">
        <f>TablaDatos[[#This Row],[FechaIngreso]]+TablaDatos[[#This Row],[DiasNuevo]]</f>
        <v>45501</v>
      </c>
    </row>
    <row r="3476" spans="1:15">
      <c r="A3476">
        <v>3475</v>
      </c>
      <c r="B3476" t="s">
        <v>116</v>
      </c>
      <c r="C3476" s="1">
        <v>45657</v>
      </c>
      <c r="D3476">
        <v>1</v>
      </c>
      <c r="E3476" s="4" t="s">
        <v>15</v>
      </c>
      <c r="F3476" t="s">
        <v>18</v>
      </c>
      <c r="G3476" s="1">
        <v>45441</v>
      </c>
      <c r="H3476" s="1">
        <f>TablaDatos[[#This Row],[FechaIngreso]]+TablaDatos[[#This Row],[DiasNuevo]]</f>
        <v>45472</v>
      </c>
      <c r="I3476">
        <v>31</v>
      </c>
      <c r="J3476" t="s">
        <v>23</v>
      </c>
      <c r="K3476" s="3">
        <v>6543.62</v>
      </c>
      <c r="L3476" t="b">
        <f>TablaDatos[[#This Row],[FechaAlta]] &lt; TablaDatos[[#This Row],[FechaIngreso]]</f>
        <v>0</v>
      </c>
      <c r="M3476">
        <f>_xlfn.XLOOKUP(TablaDatos[[#This Row],[PacienteID]],'Datos_Ejemplo.csv'!A:A,'Datos_Ejemplo.csv'!I:I)</f>
        <v>31</v>
      </c>
      <c r="N3476">
        <f>ABS(TablaDatos[[#This Row],[DiasOriginal]])</f>
        <v>31</v>
      </c>
      <c r="O3476" s="1">
        <f>TablaDatos[[#This Row],[FechaIngreso]]+TablaDatos[[#This Row],[DiasNuevo]]</f>
        <v>45472</v>
      </c>
    </row>
    <row r="3477" spans="1:15">
      <c r="A3477">
        <v>3476</v>
      </c>
      <c r="B3477" t="s">
        <v>114</v>
      </c>
      <c r="C3477" s="1">
        <v>23377</v>
      </c>
      <c r="D3477">
        <v>62</v>
      </c>
      <c r="E3477" s="4" t="s">
        <v>15</v>
      </c>
      <c r="F3477" t="s">
        <v>295</v>
      </c>
      <c r="G3477" s="1">
        <v>45396</v>
      </c>
      <c r="H3477" s="1">
        <f>TablaDatos[[#This Row],[FechaIngreso]]+TablaDatos[[#This Row],[DiasNuevo]]</f>
        <v>45413</v>
      </c>
      <c r="I3477">
        <v>17</v>
      </c>
      <c r="J3477" t="s">
        <v>23</v>
      </c>
      <c r="K3477" s="3">
        <v>3203.26</v>
      </c>
      <c r="L3477" t="b">
        <f>TablaDatos[[#This Row],[FechaAlta]] &lt; TablaDatos[[#This Row],[FechaIngreso]]</f>
        <v>0</v>
      </c>
      <c r="M3477">
        <f>_xlfn.XLOOKUP(TablaDatos[[#This Row],[PacienteID]],'Datos_Ejemplo.csv'!A:A,'Datos_Ejemplo.csv'!I:I)</f>
        <v>17</v>
      </c>
      <c r="N3477">
        <f>ABS(TablaDatos[[#This Row],[DiasOriginal]])</f>
        <v>17</v>
      </c>
      <c r="O3477" s="1">
        <f>TablaDatos[[#This Row],[FechaIngreso]]+TablaDatos[[#This Row],[DiasNuevo]]</f>
        <v>45413</v>
      </c>
    </row>
    <row r="3478" spans="1:15">
      <c r="A3478">
        <v>3477</v>
      </c>
      <c r="B3478" t="s">
        <v>282</v>
      </c>
      <c r="C3478" s="1">
        <v>35795</v>
      </c>
      <c r="D3478">
        <v>28</v>
      </c>
      <c r="E3478" s="4" t="s">
        <v>12</v>
      </c>
      <c r="F3478" t="s">
        <v>32</v>
      </c>
      <c r="G3478" s="1">
        <v>45303</v>
      </c>
      <c r="H3478" s="1">
        <f>TablaDatos[[#This Row],[FechaIngreso]]+TablaDatos[[#This Row],[DiasNuevo]]</f>
        <v>45317</v>
      </c>
      <c r="I3478">
        <v>14</v>
      </c>
      <c r="J3478" t="s">
        <v>23</v>
      </c>
      <c r="K3478" s="3">
        <v>10008.48</v>
      </c>
      <c r="L3478" t="b">
        <f>TablaDatos[[#This Row],[FechaAlta]] &lt; TablaDatos[[#This Row],[FechaIngreso]]</f>
        <v>0</v>
      </c>
      <c r="M3478">
        <f>_xlfn.XLOOKUP(TablaDatos[[#This Row],[PacienteID]],'Datos_Ejemplo.csv'!A:A,'Datos_Ejemplo.csv'!I:I)</f>
        <v>14</v>
      </c>
      <c r="N3478">
        <f>ABS(TablaDatos[[#This Row],[DiasOriginal]])</f>
        <v>14</v>
      </c>
      <c r="O3478" s="1">
        <f>TablaDatos[[#This Row],[FechaIngreso]]+TablaDatos[[#This Row],[DiasNuevo]]</f>
        <v>45317</v>
      </c>
    </row>
    <row r="3479" spans="1:15">
      <c r="A3479">
        <v>3478</v>
      </c>
      <c r="B3479" t="s">
        <v>299</v>
      </c>
      <c r="C3479" s="1">
        <v>19359</v>
      </c>
      <c r="D3479">
        <v>73</v>
      </c>
      <c r="E3479" s="4" t="s">
        <v>12</v>
      </c>
      <c r="F3479" t="s">
        <v>261</v>
      </c>
      <c r="G3479" s="1">
        <v>45594</v>
      </c>
      <c r="H3479" s="1">
        <f>TablaDatos[[#This Row],[FechaIngreso]]+TablaDatos[[#This Row],[DiasNuevo]]</f>
        <v>45611</v>
      </c>
      <c r="I3479">
        <v>17</v>
      </c>
      <c r="J3479" t="s">
        <v>19</v>
      </c>
      <c r="K3479" s="3">
        <v>7071.71</v>
      </c>
      <c r="L3479" t="b">
        <f>TablaDatos[[#This Row],[FechaAlta]] &lt; TablaDatos[[#This Row],[FechaIngreso]]</f>
        <v>0</v>
      </c>
      <c r="M3479">
        <f>_xlfn.XLOOKUP(TablaDatos[[#This Row],[PacienteID]],'Datos_Ejemplo.csv'!A:A,'Datos_Ejemplo.csv'!I:I)</f>
        <v>17</v>
      </c>
      <c r="N3479">
        <f>ABS(TablaDatos[[#This Row],[DiasOriginal]])</f>
        <v>17</v>
      </c>
      <c r="O3479" s="1">
        <f>TablaDatos[[#This Row],[FechaIngreso]]+TablaDatos[[#This Row],[DiasNuevo]]</f>
        <v>45611</v>
      </c>
    </row>
    <row r="3480" spans="1:15">
      <c r="A3480">
        <v>3479</v>
      </c>
      <c r="B3480" t="s">
        <v>368</v>
      </c>
      <c r="C3480" s="1">
        <v>22281</v>
      </c>
      <c r="D3480">
        <v>65</v>
      </c>
      <c r="E3480" s="4" t="s">
        <v>15</v>
      </c>
      <c r="F3480" t="s">
        <v>261</v>
      </c>
      <c r="G3480" s="1">
        <v>45420</v>
      </c>
      <c r="H3480" s="1">
        <f>TablaDatos[[#This Row],[FechaIngreso]]+TablaDatos[[#This Row],[DiasNuevo]]</f>
        <v>45433</v>
      </c>
      <c r="I3480">
        <v>13</v>
      </c>
      <c r="J3480" t="s">
        <v>19</v>
      </c>
      <c r="K3480" s="3">
        <v>5255.89</v>
      </c>
      <c r="L3480" t="b">
        <f>TablaDatos[[#This Row],[FechaAlta]] &lt; TablaDatos[[#This Row],[FechaIngreso]]</f>
        <v>0</v>
      </c>
      <c r="M3480">
        <f>_xlfn.XLOOKUP(TablaDatos[[#This Row],[PacienteID]],'Datos_Ejemplo.csv'!A:A,'Datos_Ejemplo.csv'!I:I)</f>
        <v>13</v>
      </c>
      <c r="N3480">
        <f>ABS(TablaDatos[[#This Row],[DiasOriginal]])</f>
        <v>13</v>
      </c>
      <c r="O3480" s="1">
        <f>TablaDatos[[#This Row],[FechaIngreso]]+TablaDatos[[#This Row],[DiasNuevo]]</f>
        <v>45433</v>
      </c>
    </row>
    <row r="3481" spans="1:15">
      <c r="A3481">
        <v>3480</v>
      </c>
      <c r="B3481" t="s">
        <v>245</v>
      </c>
      <c r="C3481" s="1">
        <v>27760</v>
      </c>
      <c r="D3481">
        <v>50</v>
      </c>
      <c r="E3481" s="4" t="s">
        <v>15</v>
      </c>
      <c r="F3481" t="s">
        <v>13</v>
      </c>
      <c r="G3481" s="1">
        <v>45611</v>
      </c>
      <c r="H3481" s="1">
        <f>TablaDatos[[#This Row],[FechaIngreso]]+TablaDatos[[#This Row],[DiasNuevo]]</f>
        <v>45612</v>
      </c>
      <c r="I3481">
        <v>1</v>
      </c>
      <c r="J3481" t="s">
        <v>23</v>
      </c>
      <c r="K3481" s="3">
        <v>19465.77</v>
      </c>
      <c r="L3481" t="b">
        <f>TablaDatos[[#This Row],[FechaAlta]] &lt; TablaDatos[[#This Row],[FechaIngreso]]</f>
        <v>0</v>
      </c>
      <c r="M3481">
        <f>_xlfn.XLOOKUP(TablaDatos[[#This Row],[PacienteID]],'Datos_Ejemplo.csv'!A:A,'Datos_Ejemplo.csv'!I:I)</f>
        <v>1</v>
      </c>
      <c r="N3481">
        <f>ABS(TablaDatos[[#This Row],[DiasOriginal]])</f>
        <v>1</v>
      </c>
      <c r="O3481" s="1">
        <f>TablaDatos[[#This Row],[FechaIngreso]]+TablaDatos[[#This Row],[DiasNuevo]]</f>
        <v>45612</v>
      </c>
    </row>
    <row r="3482" spans="1:15">
      <c r="A3482">
        <v>3481</v>
      </c>
      <c r="B3482" t="s">
        <v>240</v>
      </c>
      <c r="C3482" s="1">
        <v>18994</v>
      </c>
      <c r="D3482">
        <v>74</v>
      </c>
      <c r="E3482" s="4" t="s">
        <v>15</v>
      </c>
      <c r="F3482" t="s">
        <v>32</v>
      </c>
      <c r="G3482" s="1">
        <v>45410</v>
      </c>
      <c r="H3482" s="1">
        <f>TablaDatos[[#This Row],[FechaIngreso]]+TablaDatos[[#This Row],[DiasNuevo]]</f>
        <v>45425</v>
      </c>
      <c r="I3482">
        <v>15</v>
      </c>
      <c r="J3482" t="s">
        <v>23</v>
      </c>
      <c r="K3482" s="3">
        <v>9993.2800000000007</v>
      </c>
      <c r="L3482" t="b">
        <f>TablaDatos[[#This Row],[FechaAlta]] &lt; TablaDatos[[#This Row],[FechaIngreso]]</f>
        <v>0</v>
      </c>
      <c r="M3482">
        <f>_xlfn.XLOOKUP(TablaDatos[[#This Row],[PacienteID]],'Datos_Ejemplo.csv'!A:A,'Datos_Ejemplo.csv'!I:I)</f>
        <v>15</v>
      </c>
      <c r="N3482">
        <f>ABS(TablaDatos[[#This Row],[DiasOriginal]])</f>
        <v>15</v>
      </c>
      <c r="O3482" s="1">
        <f>TablaDatos[[#This Row],[FechaIngreso]]+TablaDatos[[#This Row],[DiasNuevo]]</f>
        <v>45425</v>
      </c>
    </row>
    <row r="3483" spans="1:15">
      <c r="A3483">
        <v>3482</v>
      </c>
      <c r="B3483" t="s">
        <v>313</v>
      </c>
      <c r="C3483" s="1">
        <v>18263</v>
      </c>
      <c r="D3483">
        <v>76</v>
      </c>
      <c r="E3483" s="4" t="s">
        <v>15</v>
      </c>
      <c r="F3483" t="s">
        <v>21</v>
      </c>
      <c r="G3483" s="1">
        <v>45378</v>
      </c>
      <c r="H3483" s="1">
        <f>TablaDatos[[#This Row],[FechaIngreso]]+TablaDatos[[#This Row],[DiasNuevo]]</f>
        <v>45411</v>
      </c>
      <c r="I3483">
        <v>33</v>
      </c>
      <c r="J3483" t="s">
        <v>25</v>
      </c>
      <c r="K3483" s="3">
        <v>17115.2</v>
      </c>
      <c r="L3483" t="b">
        <f>TablaDatos[[#This Row],[FechaAlta]] &lt; TablaDatos[[#This Row],[FechaIngreso]]</f>
        <v>0</v>
      </c>
      <c r="M3483">
        <f>_xlfn.XLOOKUP(TablaDatos[[#This Row],[PacienteID]],'Datos_Ejemplo.csv'!A:A,'Datos_Ejemplo.csv'!I:I)</f>
        <v>33</v>
      </c>
      <c r="N3483">
        <f>ABS(TablaDatos[[#This Row],[DiasOriginal]])</f>
        <v>33</v>
      </c>
      <c r="O3483" s="1">
        <f>TablaDatos[[#This Row],[FechaIngreso]]+TablaDatos[[#This Row],[DiasNuevo]]</f>
        <v>45411</v>
      </c>
    </row>
    <row r="3484" spans="1:15">
      <c r="A3484">
        <v>3483</v>
      </c>
      <c r="B3484" t="s">
        <v>146</v>
      </c>
      <c r="C3484" s="1">
        <v>42735</v>
      </c>
      <c r="D3484">
        <v>9</v>
      </c>
      <c r="E3484" s="4" t="s">
        <v>12</v>
      </c>
      <c r="F3484" t="s">
        <v>18</v>
      </c>
      <c r="G3484" s="1">
        <v>45462</v>
      </c>
      <c r="H3484" s="1">
        <f>TablaDatos[[#This Row],[FechaIngreso]]+TablaDatos[[#This Row],[DiasNuevo]]</f>
        <v>45494</v>
      </c>
      <c r="I3484">
        <v>32</v>
      </c>
      <c r="J3484" t="s">
        <v>23</v>
      </c>
      <c r="K3484" s="3">
        <v>3825.88</v>
      </c>
      <c r="L3484" t="b">
        <f>TablaDatos[[#This Row],[FechaAlta]] &lt; TablaDatos[[#This Row],[FechaIngreso]]</f>
        <v>0</v>
      </c>
      <c r="M3484">
        <f>_xlfn.XLOOKUP(TablaDatos[[#This Row],[PacienteID]],'Datos_Ejemplo.csv'!A:A,'Datos_Ejemplo.csv'!I:I)</f>
        <v>32</v>
      </c>
      <c r="N3484">
        <f>ABS(TablaDatos[[#This Row],[DiasOriginal]])</f>
        <v>32</v>
      </c>
      <c r="O3484" s="1">
        <f>TablaDatos[[#This Row],[FechaIngreso]]+TablaDatos[[#This Row],[DiasNuevo]]</f>
        <v>45494</v>
      </c>
    </row>
    <row r="3485" spans="1:15">
      <c r="A3485">
        <v>3484</v>
      </c>
      <c r="B3485" t="s">
        <v>350</v>
      </c>
      <c r="C3485" s="1">
        <v>41274</v>
      </c>
      <c r="D3485">
        <v>13</v>
      </c>
      <c r="E3485" s="4" t="s">
        <v>12</v>
      </c>
      <c r="F3485" t="s">
        <v>13</v>
      </c>
      <c r="G3485" s="1">
        <v>45001</v>
      </c>
      <c r="H3485" s="1">
        <f>TablaDatos[[#This Row],[FechaIngreso]]+TablaDatos[[#This Row],[DiasNuevo]]</f>
        <v>45028</v>
      </c>
      <c r="I3485">
        <v>27</v>
      </c>
      <c r="J3485" t="s">
        <v>23</v>
      </c>
      <c r="K3485" s="3">
        <v>18782.8</v>
      </c>
      <c r="L3485" t="b">
        <f>TablaDatos[[#This Row],[FechaAlta]] &lt; TablaDatos[[#This Row],[FechaIngreso]]</f>
        <v>0</v>
      </c>
      <c r="M3485">
        <f>_xlfn.XLOOKUP(TablaDatos[[#This Row],[PacienteID]],'Datos_Ejemplo.csv'!A:A,'Datos_Ejemplo.csv'!I:I)</f>
        <v>27</v>
      </c>
      <c r="N3485">
        <f>ABS(TablaDatos[[#This Row],[DiasOriginal]])</f>
        <v>27</v>
      </c>
      <c r="O3485" s="1">
        <f>TablaDatos[[#This Row],[FechaIngreso]]+TablaDatos[[#This Row],[DiasNuevo]]</f>
        <v>45028</v>
      </c>
    </row>
    <row r="3486" spans="1:15">
      <c r="A3486">
        <v>3485</v>
      </c>
      <c r="B3486" t="s">
        <v>265</v>
      </c>
      <c r="C3486" s="1">
        <v>16437</v>
      </c>
      <c r="D3486">
        <v>81</v>
      </c>
      <c r="E3486" s="4" t="s">
        <v>15</v>
      </c>
      <c r="F3486" t="s">
        <v>201</v>
      </c>
      <c r="G3486" s="1">
        <v>44966</v>
      </c>
      <c r="H3486" s="1">
        <f>TablaDatos[[#This Row],[FechaIngreso]]+TablaDatos[[#This Row],[DiasNuevo]]</f>
        <v>44981</v>
      </c>
      <c r="I3486">
        <v>15</v>
      </c>
      <c r="J3486" t="s">
        <v>23</v>
      </c>
      <c r="K3486" s="3">
        <v>15868.07</v>
      </c>
      <c r="L3486" t="b">
        <f>TablaDatos[[#This Row],[FechaAlta]] &lt; TablaDatos[[#This Row],[FechaIngreso]]</f>
        <v>0</v>
      </c>
      <c r="M3486">
        <f>_xlfn.XLOOKUP(TablaDatos[[#This Row],[PacienteID]],'Datos_Ejemplo.csv'!A:A,'Datos_Ejemplo.csv'!I:I)</f>
        <v>15</v>
      </c>
      <c r="N3486">
        <f>ABS(TablaDatos[[#This Row],[DiasOriginal]])</f>
        <v>15</v>
      </c>
      <c r="O3486" s="1">
        <f>TablaDatos[[#This Row],[FechaIngreso]]+TablaDatos[[#This Row],[DiasNuevo]]</f>
        <v>44981</v>
      </c>
    </row>
    <row r="3487" spans="1:15">
      <c r="A3487">
        <v>3486</v>
      </c>
      <c r="B3487" t="s">
        <v>270</v>
      </c>
      <c r="C3487" s="1">
        <v>27760</v>
      </c>
      <c r="D3487">
        <f ca="1">DATEDIF(TablaDatos[[#This Row],[FechaNacimiento]],TODAY(),"Y")</f>
        <v>50</v>
      </c>
      <c r="E3487" s="4" t="s">
        <v>15</v>
      </c>
      <c r="F3487" t="s">
        <v>295</v>
      </c>
      <c r="G3487" s="1">
        <v>45228</v>
      </c>
      <c r="H3487" s="1">
        <f>TablaDatos[[#This Row],[FechaIngreso]]+TablaDatos[[#This Row],[DiasNuevo]]</f>
        <v>45246</v>
      </c>
      <c r="I3487">
        <v>18</v>
      </c>
      <c r="J3487" t="s">
        <v>23</v>
      </c>
      <c r="K3487" s="3">
        <v>16154.71</v>
      </c>
      <c r="L3487" t="b">
        <f>TablaDatos[[#This Row],[FechaAlta]] &lt; TablaDatos[[#This Row],[FechaIngreso]]</f>
        <v>0</v>
      </c>
      <c r="M3487">
        <f>_xlfn.XLOOKUP(TablaDatos[[#This Row],[PacienteID]],'Datos_Ejemplo.csv'!A:A,'Datos_Ejemplo.csv'!I:I)</f>
        <v>18</v>
      </c>
      <c r="N3487">
        <f>ABS(TablaDatos[[#This Row],[DiasOriginal]])</f>
        <v>18</v>
      </c>
      <c r="O3487" s="1">
        <f>TablaDatos[[#This Row],[FechaIngreso]]+TablaDatos[[#This Row],[DiasNuevo]]</f>
        <v>45246</v>
      </c>
    </row>
    <row r="3488" spans="1:15">
      <c r="A3488">
        <v>3487</v>
      </c>
      <c r="B3488" t="s">
        <v>355</v>
      </c>
      <c r="C3488" s="1">
        <v>19724</v>
      </c>
      <c r="D3488">
        <v>72</v>
      </c>
      <c r="E3488" s="4" t="s">
        <v>12</v>
      </c>
      <c r="F3488" t="s">
        <v>261</v>
      </c>
      <c r="G3488" s="1">
        <v>45478</v>
      </c>
      <c r="H3488" s="1">
        <f>TablaDatos[[#This Row],[FechaIngreso]]+TablaDatos[[#This Row],[DiasNuevo]]</f>
        <v>45507</v>
      </c>
      <c r="I3488">
        <v>29</v>
      </c>
      <c r="J3488" t="s">
        <v>25</v>
      </c>
      <c r="K3488" s="3">
        <v>7734.27</v>
      </c>
      <c r="L3488" t="b">
        <f>TablaDatos[[#This Row],[FechaAlta]] &lt; TablaDatos[[#This Row],[FechaIngreso]]</f>
        <v>0</v>
      </c>
      <c r="M3488">
        <f>_xlfn.XLOOKUP(TablaDatos[[#This Row],[PacienteID]],'Datos_Ejemplo.csv'!A:A,'Datos_Ejemplo.csv'!I:I)</f>
        <v>29</v>
      </c>
      <c r="N3488">
        <f>ABS(TablaDatos[[#This Row],[DiasOriginal]])</f>
        <v>29</v>
      </c>
      <c r="O3488" s="1">
        <f>TablaDatos[[#This Row],[FechaIngreso]]+TablaDatos[[#This Row],[DiasNuevo]]</f>
        <v>45507</v>
      </c>
    </row>
    <row r="3489" spans="1:15">
      <c r="A3489">
        <v>3488</v>
      </c>
      <c r="B3489" t="s">
        <v>238</v>
      </c>
      <c r="C3489" s="1">
        <v>32143</v>
      </c>
      <c r="D3489">
        <v>38</v>
      </c>
      <c r="E3489" s="4" t="s">
        <v>12</v>
      </c>
      <c r="F3489" t="s">
        <v>295</v>
      </c>
      <c r="G3489" s="1">
        <v>44988</v>
      </c>
      <c r="H3489" s="1">
        <f>TablaDatos[[#This Row],[FechaIngreso]]+TablaDatos[[#This Row],[DiasNuevo]]</f>
        <v>44990</v>
      </c>
      <c r="I3489">
        <v>2</v>
      </c>
      <c r="J3489" t="s">
        <v>23</v>
      </c>
      <c r="K3489" s="3">
        <v>9661.2999999999993</v>
      </c>
      <c r="L3489" t="b">
        <f>TablaDatos[[#This Row],[FechaAlta]] &lt; TablaDatos[[#This Row],[FechaIngreso]]</f>
        <v>0</v>
      </c>
      <c r="M3489">
        <f>_xlfn.XLOOKUP(TablaDatos[[#This Row],[PacienteID]],'Datos_Ejemplo.csv'!A:A,'Datos_Ejemplo.csv'!I:I)</f>
        <v>2</v>
      </c>
      <c r="N3489">
        <f>ABS(TablaDatos[[#This Row],[DiasOriginal]])</f>
        <v>2</v>
      </c>
      <c r="O3489" s="1">
        <f>TablaDatos[[#This Row],[FechaIngreso]]+TablaDatos[[#This Row],[DiasNuevo]]</f>
        <v>44990</v>
      </c>
    </row>
    <row r="3490" spans="1:15">
      <c r="A3490">
        <v>3489</v>
      </c>
      <c r="B3490" t="s">
        <v>283</v>
      </c>
      <c r="C3490" s="1">
        <v>36161</v>
      </c>
      <c r="D3490">
        <v>27</v>
      </c>
      <c r="E3490" s="4" t="s">
        <v>12</v>
      </c>
      <c r="F3490" t="s">
        <v>18</v>
      </c>
      <c r="G3490" s="1">
        <v>45429</v>
      </c>
      <c r="H3490" s="1">
        <f>TablaDatos[[#This Row],[FechaIngreso]]+TablaDatos[[#This Row],[DiasNuevo]]</f>
        <v>45467</v>
      </c>
      <c r="I3490">
        <v>38</v>
      </c>
      <c r="J3490" t="s">
        <v>25</v>
      </c>
      <c r="K3490" s="3">
        <v>11826.42</v>
      </c>
      <c r="L3490" t="b">
        <f>TablaDatos[[#This Row],[FechaAlta]] &lt; TablaDatos[[#This Row],[FechaIngreso]]</f>
        <v>0</v>
      </c>
      <c r="M3490">
        <f>_xlfn.XLOOKUP(TablaDatos[[#This Row],[PacienteID]],'Datos_Ejemplo.csv'!A:A,'Datos_Ejemplo.csv'!I:I)</f>
        <v>38</v>
      </c>
      <c r="N3490">
        <f>ABS(TablaDatos[[#This Row],[DiasOriginal]])</f>
        <v>38</v>
      </c>
      <c r="O3490" s="1">
        <f>TablaDatos[[#This Row],[FechaIngreso]]+TablaDatos[[#This Row],[DiasNuevo]]</f>
        <v>45467</v>
      </c>
    </row>
    <row r="3491" spans="1:15">
      <c r="A3491">
        <v>3490</v>
      </c>
      <c r="B3491" t="s">
        <v>334</v>
      </c>
      <c r="C3491" s="1">
        <v>45292</v>
      </c>
      <c r="D3491">
        <v>2</v>
      </c>
      <c r="E3491" s="4" t="s">
        <v>12</v>
      </c>
      <c r="F3491" t="s">
        <v>32</v>
      </c>
      <c r="G3491" s="1">
        <v>45171</v>
      </c>
      <c r="H3491" s="1">
        <f>TablaDatos[[#This Row],[FechaIngreso]]+TablaDatos[[#This Row],[DiasNuevo]]</f>
        <v>45191</v>
      </c>
      <c r="I3491">
        <v>20</v>
      </c>
      <c r="J3491" t="s">
        <v>19</v>
      </c>
      <c r="K3491" s="3">
        <v>15774.29</v>
      </c>
      <c r="L3491" t="b">
        <f>TablaDatos[[#This Row],[FechaAlta]] &lt; TablaDatos[[#This Row],[FechaIngreso]]</f>
        <v>0</v>
      </c>
      <c r="M3491">
        <f>_xlfn.XLOOKUP(TablaDatos[[#This Row],[PacienteID]],'Datos_Ejemplo.csv'!A:A,'Datos_Ejemplo.csv'!I:I)</f>
        <v>20</v>
      </c>
      <c r="N3491">
        <f>ABS(TablaDatos[[#This Row],[DiasOriginal]])</f>
        <v>20</v>
      </c>
      <c r="O3491" s="1">
        <f>TablaDatos[[#This Row],[FechaIngreso]]+TablaDatos[[#This Row],[DiasNuevo]]</f>
        <v>45191</v>
      </c>
    </row>
    <row r="3492" spans="1:15">
      <c r="A3492">
        <v>3491</v>
      </c>
      <c r="B3492" t="s">
        <v>363</v>
      </c>
      <c r="C3492" s="1">
        <v>15707</v>
      </c>
      <c r="D3492">
        <v>83</v>
      </c>
      <c r="E3492" s="4" t="s">
        <v>15</v>
      </c>
      <c r="F3492" t="s">
        <v>32</v>
      </c>
      <c r="G3492" s="1">
        <v>44944</v>
      </c>
      <c r="H3492" s="1">
        <f>TablaDatos[[#This Row],[FechaIngreso]]+TablaDatos[[#This Row],[DiasNuevo]]</f>
        <v>44971</v>
      </c>
      <c r="I3492">
        <v>27</v>
      </c>
      <c r="J3492" t="s">
        <v>25</v>
      </c>
      <c r="K3492" s="3">
        <v>16966.04</v>
      </c>
      <c r="L3492" t="b">
        <f>TablaDatos[[#This Row],[FechaAlta]] &lt; TablaDatos[[#This Row],[FechaIngreso]]</f>
        <v>0</v>
      </c>
      <c r="M3492">
        <f>_xlfn.XLOOKUP(TablaDatos[[#This Row],[PacienteID]],'Datos_Ejemplo.csv'!A:A,'Datos_Ejemplo.csv'!I:I)</f>
        <v>27</v>
      </c>
      <c r="N3492">
        <f>ABS(TablaDatos[[#This Row],[DiasOriginal]])</f>
        <v>27</v>
      </c>
      <c r="O3492" s="1">
        <f>TablaDatos[[#This Row],[FechaIngreso]]+TablaDatos[[#This Row],[DiasNuevo]]</f>
        <v>44971</v>
      </c>
    </row>
    <row r="3493" spans="1:15">
      <c r="A3493">
        <v>3492</v>
      </c>
      <c r="B3493" t="s">
        <v>349</v>
      </c>
      <c r="C3493" s="1">
        <v>20820</v>
      </c>
      <c r="D3493">
        <v>69</v>
      </c>
      <c r="E3493" s="4" t="s">
        <v>12</v>
      </c>
      <c r="F3493" t="s">
        <v>13</v>
      </c>
      <c r="G3493" s="1">
        <v>45578</v>
      </c>
      <c r="H3493" s="1">
        <f>TablaDatos[[#This Row],[FechaIngreso]]+TablaDatos[[#This Row],[DiasNuevo]]</f>
        <v>45602</v>
      </c>
      <c r="I3493">
        <v>24</v>
      </c>
      <c r="J3493" t="s">
        <v>23</v>
      </c>
      <c r="K3493" s="3">
        <v>1468.71</v>
      </c>
      <c r="L3493" t="b">
        <f>TablaDatos[[#This Row],[FechaAlta]] &lt; TablaDatos[[#This Row],[FechaIngreso]]</f>
        <v>0</v>
      </c>
      <c r="M3493">
        <f>_xlfn.XLOOKUP(TablaDatos[[#This Row],[PacienteID]],'Datos_Ejemplo.csv'!A:A,'Datos_Ejemplo.csv'!I:I)</f>
        <v>24</v>
      </c>
      <c r="N3493">
        <f>ABS(TablaDatos[[#This Row],[DiasOriginal]])</f>
        <v>24</v>
      </c>
      <c r="O3493" s="1">
        <f>TablaDatos[[#This Row],[FechaIngreso]]+TablaDatos[[#This Row],[DiasNuevo]]</f>
        <v>45602</v>
      </c>
    </row>
    <row r="3494" spans="1:15">
      <c r="A3494">
        <v>3493</v>
      </c>
      <c r="B3494" t="s">
        <v>333</v>
      </c>
      <c r="C3494" s="1">
        <v>36526</v>
      </c>
      <c r="D3494">
        <v>26</v>
      </c>
      <c r="E3494" s="4" t="s">
        <v>197</v>
      </c>
      <c r="F3494" t="s">
        <v>13</v>
      </c>
      <c r="G3494" s="1">
        <v>45324</v>
      </c>
      <c r="H3494" s="1">
        <f>TablaDatos[[#This Row],[FechaIngreso]]+TablaDatos[[#This Row],[DiasNuevo]]</f>
        <v>45336</v>
      </c>
      <c r="I3494">
        <v>12</v>
      </c>
      <c r="J3494" t="s">
        <v>19</v>
      </c>
      <c r="K3494" s="3">
        <v>18071.650000000001</v>
      </c>
      <c r="L3494" t="b">
        <f>TablaDatos[[#This Row],[FechaAlta]] &lt; TablaDatos[[#This Row],[FechaIngreso]]</f>
        <v>0</v>
      </c>
      <c r="M3494">
        <f>_xlfn.XLOOKUP(TablaDatos[[#This Row],[PacienteID]],'Datos_Ejemplo.csv'!A:A,'Datos_Ejemplo.csv'!I:I)</f>
        <v>12</v>
      </c>
      <c r="N3494">
        <f>ABS(TablaDatos[[#This Row],[DiasOriginal]])</f>
        <v>12</v>
      </c>
      <c r="O3494" s="1">
        <f>TablaDatos[[#This Row],[FechaIngreso]]+TablaDatos[[#This Row],[DiasNuevo]]</f>
        <v>45336</v>
      </c>
    </row>
    <row r="3495" spans="1:15">
      <c r="A3495">
        <v>3494</v>
      </c>
      <c r="B3495" t="s">
        <v>351</v>
      </c>
      <c r="C3495" s="1">
        <v>45657</v>
      </c>
      <c r="D3495">
        <v>1</v>
      </c>
      <c r="E3495" s="4" t="s">
        <v>12</v>
      </c>
      <c r="F3495" t="s">
        <v>32</v>
      </c>
      <c r="G3495" s="1">
        <v>45520</v>
      </c>
      <c r="H3495" s="1">
        <f>TablaDatos[[#This Row],[FechaIngreso]]+TablaDatos[[#This Row],[DiasNuevo]]</f>
        <v>45558</v>
      </c>
      <c r="I3495">
        <v>38</v>
      </c>
      <c r="J3495" t="s">
        <v>19</v>
      </c>
      <c r="K3495" s="3">
        <v>18743.68</v>
      </c>
      <c r="L3495" t="b">
        <f>TablaDatos[[#This Row],[FechaAlta]] &lt; TablaDatos[[#This Row],[FechaIngreso]]</f>
        <v>0</v>
      </c>
      <c r="M3495">
        <f>_xlfn.XLOOKUP(TablaDatos[[#This Row],[PacienteID]],'Datos_Ejemplo.csv'!A:A,'Datos_Ejemplo.csv'!I:I)</f>
        <v>38</v>
      </c>
      <c r="N3495">
        <f>ABS(TablaDatos[[#This Row],[DiasOriginal]])</f>
        <v>38</v>
      </c>
      <c r="O3495" s="1">
        <f>TablaDatos[[#This Row],[FechaIngreso]]+TablaDatos[[#This Row],[DiasNuevo]]</f>
        <v>45558</v>
      </c>
    </row>
    <row r="3496" spans="1:15">
      <c r="A3496">
        <v>3495</v>
      </c>
      <c r="B3496" t="s">
        <v>353</v>
      </c>
      <c r="C3496" s="1">
        <v>12419</v>
      </c>
      <c r="D3496">
        <f ca="1">DATEDIF(TablaDatos[[#This Row],[FechaNacimiento]],TODAY(),"Y")</f>
        <v>92</v>
      </c>
      <c r="E3496" s="4" t="s">
        <v>15</v>
      </c>
      <c r="F3496" t="s">
        <v>13</v>
      </c>
      <c r="G3496" s="1">
        <v>45115</v>
      </c>
      <c r="H3496" s="1">
        <f>TablaDatos[[#This Row],[FechaIngreso]]+TablaDatos[[#This Row],[DiasNuevo]]</f>
        <v>45126</v>
      </c>
      <c r="I3496">
        <v>11</v>
      </c>
      <c r="J3496" t="s">
        <v>23</v>
      </c>
      <c r="K3496" s="3">
        <v>11817.04</v>
      </c>
      <c r="L3496" t="b">
        <f>TablaDatos[[#This Row],[FechaAlta]] &lt; TablaDatos[[#This Row],[FechaIngreso]]</f>
        <v>0</v>
      </c>
      <c r="M3496">
        <f>_xlfn.XLOOKUP(TablaDatos[[#This Row],[PacienteID]],'Datos_Ejemplo.csv'!A:A,'Datos_Ejemplo.csv'!I:I)</f>
        <v>11</v>
      </c>
      <c r="N3496">
        <f>ABS(TablaDatos[[#This Row],[DiasOriginal]])</f>
        <v>11</v>
      </c>
      <c r="O3496" s="1">
        <f>TablaDatos[[#This Row],[FechaIngreso]]+TablaDatos[[#This Row],[DiasNuevo]]</f>
        <v>45126</v>
      </c>
    </row>
    <row r="3497" spans="1:15">
      <c r="A3497">
        <v>3496</v>
      </c>
      <c r="B3497" t="s">
        <v>230</v>
      </c>
      <c r="C3497" s="1">
        <v>32508</v>
      </c>
      <c r="D3497">
        <v>37</v>
      </c>
      <c r="E3497" s="4" t="s">
        <v>15</v>
      </c>
      <c r="F3497" t="s">
        <v>32</v>
      </c>
      <c r="G3497" s="1">
        <v>45546</v>
      </c>
      <c r="H3497" s="1">
        <f>TablaDatos[[#This Row],[FechaIngreso]]+TablaDatos[[#This Row],[DiasNuevo]]</f>
        <v>45564</v>
      </c>
      <c r="I3497">
        <v>18</v>
      </c>
      <c r="J3497" t="s">
        <v>25</v>
      </c>
      <c r="K3497" s="3">
        <v>3653.69</v>
      </c>
      <c r="L3497" t="b">
        <f>TablaDatos[[#This Row],[FechaAlta]] &lt; TablaDatos[[#This Row],[FechaIngreso]]</f>
        <v>0</v>
      </c>
      <c r="M3497">
        <f>_xlfn.XLOOKUP(TablaDatos[[#This Row],[PacienteID]],'Datos_Ejemplo.csv'!A:A,'Datos_Ejemplo.csv'!I:I)</f>
        <v>18</v>
      </c>
      <c r="N3497">
        <f>ABS(TablaDatos[[#This Row],[DiasOriginal]])</f>
        <v>18</v>
      </c>
      <c r="O3497" s="1">
        <f>TablaDatos[[#This Row],[FechaIngreso]]+TablaDatos[[#This Row],[DiasNuevo]]</f>
        <v>45564</v>
      </c>
    </row>
    <row r="3498" spans="1:15">
      <c r="A3498">
        <v>3497</v>
      </c>
      <c r="B3498" t="s">
        <v>234</v>
      </c>
      <c r="C3498" s="1">
        <v>45292</v>
      </c>
      <c r="D3498">
        <v>2</v>
      </c>
      <c r="E3498" s="4" t="s">
        <v>15</v>
      </c>
      <c r="F3498" t="s">
        <v>18</v>
      </c>
      <c r="G3498" s="1">
        <v>45030</v>
      </c>
      <c r="H3498" s="1">
        <f>TablaDatos[[#This Row],[FechaIngreso]]+TablaDatos[[#This Row],[DiasNuevo]]</f>
        <v>45061</v>
      </c>
      <c r="I3498">
        <v>31</v>
      </c>
      <c r="J3498" t="s">
        <v>19</v>
      </c>
      <c r="K3498" s="3">
        <v>16350.14</v>
      </c>
      <c r="L3498" t="b">
        <f>TablaDatos[[#This Row],[FechaAlta]] &lt; TablaDatos[[#This Row],[FechaIngreso]]</f>
        <v>0</v>
      </c>
      <c r="M3498">
        <f>_xlfn.XLOOKUP(TablaDatos[[#This Row],[PacienteID]],'Datos_Ejemplo.csv'!A:A,'Datos_Ejemplo.csv'!I:I)</f>
        <v>31</v>
      </c>
      <c r="N3498">
        <f>ABS(TablaDatos[[#This Row],[DiasOriginal]])</f>
        <v>31</v>
      </c>
      <c r="O3498" s="1">
        <f>TablaDatos[[#This Row],[FechaIngreso]]+TablaDatos[[#This Row],[DiasNuevo]]</f>
        <v>45061</v>
      </c>
    </row>
    <row r="3499" spans="1:15">
      <c r="A3499">
        <v>3498</v>
      </c>
      <c r="B3499" t="s">
        <v>347</v>
      </c>
      <c r="C3499" s="1">
        <v>40544</v>
      </c>
      <c r="D3499">
        <v>15</v>
      </c>
      <c r="E3499" s="4" t="s">
        <v>12</v>
      </c>
      <c r="F3499" t="s">
        <v>13</v>
      </c>
      <c r="G3499" s="1">
        <v>45572</v>
      </c>
      <c r="H3499" s="1">
        <f>TablaDatos[[#This Row],[FechaIngreso]]+TablaDatos[[#This Row],[DiasNuevo]]</f>
        <v>45595</v>
      </c>
      <c r="I3499">
        <v>23</v>
      </c>
      <c r="J3499" t="s">
        <v>19</v>
      </c>
      <c r="K3499" s="3">
        <v>10926.61</v>
      </c>
      <c r="L3499" t="b">
        <f>TablaDatos[[#This Row],[FechaAlta]] &lt; TablaDatos[[#This Row],[FechaIngreso]]</f>
        <v>0</v>
      </c>
      <c r="M3499">
        <f>_xlfn.XLOOKUP(TablaDatos[[#This Row],[PacienteID]],'Datos_Ejemplo.csv'!A:A,'Datos_Ejemplo.csv'!I:I)</f>
        <v>23</v>
      </c>
      <c r="N3499">
        <f>ABS(TablaDatos[[#This Row],[DiasOriginal]])</f>
        <v>23</v>
      </c>
      <c r="O3499" s="1">
        <f>TablaDatos[[#This Row],[FechaIngreso]]+TablaDatos[[#This Row],[DiasNuevo]]</f>
        <v>45595</v>
      </c>
    </row>
    <row r="3500" spans="1:15">
      <c r="A3500">
        <v>3499</v>
      </c>
      <c r="B3500" t="s">
        <v>350</v>
      </c>
      <c r="C3500" s="1">
        <v>12054</v>
      </c>
      <c r="D3500">
        <f ca="1">DATEDIF(TablaDatos[[#This Row],[FechaNacimiento]],TODAY(),"Y")</f>
        <v>93</v>
      </c>
      <c r="E3500" s="4" t="s">
        <v>15</v>
      </c>
      <c r="F3500" t="s">
        <v>32</v>
      </c>
      <c r="G3500" s="1">
        <v>45270</v>
      </c>
      <c r="H3500" s="1">
        <f>TablaDatos[[#This Row],[FechaIngreso]]+TablaDatos[[#This Row],[DiasNuevo]]</f>
        <v>45292</v>
      </c>
      <c r="I3500">
        <v>22</v>
      </c>
      <c r="J3500" t="s">
        <v>25</v>
      </c>
      <c r="K3500" s="3">
        <v>16325.65</v>
      </c>
      <c r="L3500" t="b">
        <f>TablaDatos[[#This Row],[FechaAlta]] &lt; TablaDatos[[#This Row],[FechaIngreso]]</f>
        <v>0</v>
      </c>
      <c r="M3500">
        <f>_xlfn.XLOOKUP(TablaDatos[[#This Row],[PacienteID]],'Datos_Ejemplo.csv'!A:A,'Datos_Ejemplo.csv'!I:I)</f>
        <v>22</v>
      </c>
      <c r="N3500">
        <f>ABS(TablaDatos[[#This Row],[DiasOriginal]])</f>
        <v>22</v>
      </c>
      <c r="O3500" s="1">
        <f>TablaDatos[[#This Row],[FechaIngreso]]+TablaDatos[[#This Row],[DiasNuevo]]</f>
        <v>45292</v>
      </c>
    </row>
    <row r="3501" spans="1:15">
      <c r="A3501">
        <v>3500</v>
      </c>
      <c r="B3501" t="s">
        <v>259</v>
      </c>
      <c r="C3501" s="1">
        <v>31778</v>
      </c>
      <c r="D3501">
        <v>39</v>
      </c>
      <c r="E3501" s="4" t="s">
        <v>15</v>
      </c>
      <c r="F3501" t="s">
        <v>13</v>
      </c>
      <c r="G3501" s="1">
        <v>45297</v>
      </c>
      <c r="H3501" s="1">
        <f>TablaDatos[[#This Row],[FechaIngreso]]+TablaDatos[[#This Row],[DiasNuevo]]</f>
        <v>45325</v>
      </c>
      <c r="I3501">
        <v>28</v>
      </c>
      <c r="J3501" t="s">
        <v>25</v>
      </c>
      <c r="K3501" s="3">
        <v>16277.64</v>
      </c>
      <c r="L3501" t="b">
        <f>TablaDatos[[#This Row],[FechaAlta]] &lt; TablaDatos[[#This Row],[FechaIngreso]]</f>
        <v>0</v>
      </c>
      <c r="M3501">
        <f>_xlfn.XLOOKUP(TablaDatos[[#This Row],[PacienteID]],'Datos_Ejemplo.csv'!A:A,'Datos_Ejemplo.csv'!I:I)</f>
        <v>28</v>
      </c>
      <c r="N3501">
        <f>ABS(TablaDatos[[#This Row],[DiasOriginal]])</f>
        <v>28</v>
      </c>
      <c r="O3501" s="1">
        <f>TablaDatos[[#This Row],[FechaIngreso]]+TablaDatos[[#This Row],[DiasNuevo]]</f>
        <v>45325</v>
      </c>
    </row>
    <row r="3502" spans="1:15">
      <c r="A3502">
        <v>3501</v>
      </c>
      <c r="B3502" t="s">
        <v>246</v>
      </c>
      <c r="C3502" s="1">
        <v>45657</v>
      </c>
      <c r="D3502">
        <v>1</v>
      </c>
      <c r="E3502" s="4" t="s">
        <v>12</v>
      </c>
      <c r="F3502" t="s">
        <v>295</v>
      </c>
      <c r="G3502" s="1">
        <v>44959</v>
      </c>
      <c r="H3502" s="1">
        <f>TablaDatos[[#This Row],[FechaIngreso]]+TablaDatos[[#This Row],[DiasNuevo]]</f>
        <v>44962</v>
      </c>
      <c r="I3502">
        <v>3</v>
      </c>
      <c r="J3502" t="s">
        <v>19</v>
      </c>
      <c r="K3502" s="3">
        <v>1643.26</v>
      </c>
      <c r="L3502" t="b">
        <f>TablaDatos[[#This Row],[FechaAlta]] &lt; TablaDatos[[#This Row],[FechaIngreso]]</f>
        <v>0</v>
      </c>
      <c r="M3502">
        <f>_xlfn.XLOOKUP(TablaDatos[[#This Row],[PacienteID]],'Datos_Ejemplo.csv'!A:A,'Datos_Ejemplo.csv'!I:I)</f>
        <v>3</v>
      </c>
      <c r="N3502">
        <f>ABS(TablaDatos[[#This Row],[DiasOriginal]])</f>
        <v>3</v>
      </c>
      <c r="O3502" s="1">
        <f>TablaDatos[[#This Row],[FechaIngreso]]+TablaDatos[[#This Row],[DiasNuevo]]</f>
        <v>44962</v>
      </c>
    </row>
    <row r="3503" spans="1:15">
      <c r="A3503">
        <v>3502</v>
      </c>
      <c r="B3503" t="s">
        <v>297</v>
      </c>
      <c r="C3503" s="1">
        <v>16802</v>
      </c>
      <c r="D3503">
        <v>80</v>
      </c>
      <c r="E3503" s="4" t="s">
        <v>15</v>
      </c>
      <c r="F3503" t="s">
        <v>261</v>
      </c>
      <c r="G3503" s="1">
        <v>45300</v>
      </c>
      <c r="H3503" s="1">
        <f>TablaDatos[[#This Row],[FechaIngreso]]+TablaDatos[[#This Row],[DiasNuevo]]</f>
        <v>45301</v>
      </c>
      <c r="I3503">
        <v>1</v>
      </c>
      <c r="J3503" t="s">
        <v>19</v>
      </c>
      <c r="K3503" s="3">
        <v>12101.13</v>
      </c>
      <c r="L3503" t="b">
        <f>TablaDatos[[#This Row],[FechaAlta]] &lt; TablaDatos[[#This Row],[FechaIngreso]]</f>
        <v>0</v>
      </c>
      <c r="M3503">
        <f>_xlfn.XLOOKUP(TablaDatos[[#This Row],[PacienteID]],'Datos_Ejemplo.csv'!A:A,'Datos_Ejemplo.csv'!I:I)</f>
        <v>1</v>
      </c>
      <c r="N3503">
        <f>ABS(TablaDatos[[#This Row],[DiasOriginal]])</f>
        <v>1</v>
      </c>
      <c r="O3503" s="1">
        <f>TablaDatos[[#This Row],[FechaIngreso]]+TablaDatos[[#This Row],[DiasNuevo]]</f>
        <v>45301</v>
      </c>
    </row>
    <row r="3504" spans="1:15">
      <c r="A3504">
        <v>3503</v>
      </c>
      <c r="B3504" t="s">
        <v>103</v>
      </c>
      <c r="C3504" s="1">
        <v>31412</v>
      </c>
      <c r="D3504">
        <v>40</v>
      </c>
      <c r="E3504" s="4" t="s">
        <v>15</v>
      </c>
      <c r="F3504" t="s">
        <v>295</v>
      </c>
      <c r="G3504" s="1">
        <v>45104</v>
      </c>
      <c r="H3504" s="1">
        <f>TablaDatos[[#This Row],[FechaIngreso]]+TablaDatos[[#This Row],[DiasNuevo]]</f>
        <v>45125</v>
      </c>
      <c r="I3504">
        <v>21</v>
      </c>
      <c r="J3504" t="s">
        <v>25</v>
      </c>
      <c r="K3504" s="3">
        <v>9611.2000000000007</v>
      </c>
      <c r="L3504" t="b">
        <f>TablaDatos[[#This Row],[FechaAlta]] &lt; TablaDatos[[#This Row],[FechaIngreso]]</f>
        <v>0</v>
      </c>
      <c r="M3504">
        <f>_xlfn.XLOOKUP(TablaDatos[[#This Row],[PacienteID]],'Datos_Ejemplo.csv'!A:A,'Datos_Ejemplo.csv'!I:I)</f>
        <v>21</v>
      </c>
      <c r="N3504">
        <f>ABS(TablaDatos[[#This Row],[DiasOriginal]])</f>
        <v>21</v>
      </c>
      <c r="O3504" s="1">
        <f>TablaDatos[[#This Row],[FechaIngreso]]+TablaDatos[[#This Row],[DiasNuevo]]</f>
        <v>45125</v>
      </c>
    </row>
    <row r="3505" spans="1:15">
      <c r="A3505">
        <v>3504</v>
      </c>
      <c r="B3505" t="s">
        <v>262</v>
      </c>
      <c r="C3505" s="1">
        <v>42005</v>
      </c>
      <c r="D3505">
        <v>11</v>
      </c>
      <c r="E3505" s="4" t="s">
        <v>15</v>
      </c>
      <c r="F3505" t="s">
        <v>21</v>
      </c>
      <c r="G3505" s="1">
        <v>44938</v>
      </c>
      <c r="H3505" s="1">
        <f>TablaDatos[[#This Row],[FechaIngreso]]+TablaDatos[[#This Row],[DiasNuevo]]</f>
        <v>44977</v>
      </c>
      <c r="I3505">
        <v>39</v>
      </c>
      <c r="J3505" t="s">
        <v>23</v>
      </c>
      <c r="K3505" s="3">
        <v>18917</v>
      </c>
      <c r="L3505" t="b">
        <f>TablaDatos[[#This Row],[FechaAlta]] &lt; TablaDatos[[#This Row],[FechaIngreso]]</f>
        <v>0</v>
      </c>
      <c r="M3505">
        <f>_xlfn.XLOOKUP(TablaDatos[[#This Row],[PacienteID]],'Datos_Ejemplo.csv'!A:A,'Datos_Ejemplo.csv'!I:I)</f>
        <v>39</v>
      </c>
      <c r="N3505">
        <f>ABS(TablaDatos[[#This Row],[DiasOriginal]])</f>
        <v>39</v>
      </c>
      <c r="O3505" s="1">
        <f>TablaDatos[[#This Row],[FechaIngreso]]+TablaDatos[[#This Row],[DiasNuevo]]</f>
        <v>44977</v>
      </c>
    </row>
    <row r="3506" spans="1:15">
      <c r="A3506">
        <v>3505</v>
      </c>
      <c r="B3506" t="s">
        <v>362</v>
      </c>
      <c r="C3506" s="1">
        <v>33604</v>
      </c>
      <c r="D3506">
        <v>34</v>
      </c>
      <c r="E3506" s="4" t="s">
        <v>15</v>
      </c>
      <c r="F3506" t="s">
        <v>32</v>
      </c>
      <c r="G3506" s="1">
        <v>45382</v>
      </c>
      <c r="H3506" s="1">
        <f>TablaDatos[[#This Row],[FechaIngreso]]+TablaDatos[[#This Row],[DiasNuevo]]</f>
        <v>45410</v>
      </c>
      <c r="I3506">
        <v>28</v>
      </c>
      <c r="J3506" t="s">
        <v>25</v>
      </c>
      <c r="K3506" s="3">
        <v>5862.49</v>
      </c>
      <c r="L3506" t="b">
        <f>TablaDatos[[#This Row],[FechaAlta]] &lt; TablaDatos[[#This Row],[FechaIngreso]]</f>
        <v>0</v>
      </c>
      <c r="M3506">
        <f>_xlfn.XLOOKUP(TablaDatos[[#This Row],[PacienteID]],'Datos_Ejemplo.csv'!A:A,'Datos_Ejemplo.csv'!I:I)</f>
        <v>28</v>
      </c>
      <c r="N3506">
        <f>ABS(TablaDatos[[#This Row],[DiasOriginal]])</f>
        <v>28</v>
      </c>
      <c r="O3506" s="1">
        <f>TablaDatos[[#This Row],[FechaIngreso]]+TablaDatos[[#This Row],[DiasNuevo]]</f>
        <v>45410</v>
      </c>
    </row>
    <row r="3507" spans="1:15">
      <c r="A3507">
        <v>3506</v>
      </c>
      <c r="B3507" t="s">
        <v>312</v>
      </c>
      <c r="C3507" s="1">
        <v>22646</v>
      </c>
      <c r="D3507">
        <v>64</v>
      </c>
      <c r="E3507" s="4" t="s">
        <v>15</v>
      </c>
      <c r="F3507" t="s">
        <v>21</v>
      </c>
      <c r="G3507" s="1">
        <v>45569</v>
      </c>
      <c r="H3507" s="1">
        <f>TablaDatos[[#This Row],[FechaIngreso]]+TablaDatos[[#This Row],[DiasNuevo]]</f>
        <v>45585</v>
      </c>
      <c r="I3507">
        <v>16</v>
      </c>
      <c r="J3507" t="s">
        <v>23</v>
      </c>
      <c r="K3507" s="3">
        <v>4040.6</v>
      </c>
      <c r="L3507" t="b">
        <f>TablaDatos[[#This Row],[FechaAlta]] &lt; TablaDatos[[#This Row],[FechaIngreso]]</f>
        <v>0</v>
      </c>
      <c r="M3507">
        <f>_xlfn.XLOOKUP(TablaDatos[[#This Row],[PacienteID]],'Datos_Ejemplo.csv'!A:A,'Datos_Ejemplo.csv'!I:I)</f>
        <v>16</v>
      </c>
      <c r="N3507">
        <f>ABS(TablaDatos[[#This Row],[DiasOriginal]])</f>
        <v>16</v>
      </c>
      <c r="O3507" s="1">
        <f>TablaDatos[[#This Row],[FechaIngreso]]+TablaDatos[[#This Row],[DiasNuevo]]</f>
        <v>45585</v>
      </c>
    </row>
    <row r="3508" spans="1:15">
      <c r="A3508">
        <v>3507</v>
      </c>
      <c r="B3508" t="s">
        <v>351</v>
      </c>
      <c r="C3508" s="1">
        <v>26299</v>
      </c>
      <c r="D3508">
        <v>54</v>
      </c>
      <c r="E3508" s="4" t="s">
        <v>12</v>
      </c>
      <c r="F3508" t="s">
        <v>32</v>
      </c>
      <c r="G3508" s="1">
        <v>45175</v>
      </c>
      <c r="H3508" s="1">
        <f>TablaDatos[[#This Row],[FechaIngreso]]+TablaDatos[[#This Row],[DiasNuevo]]</f>
        <v>45183</v>
      </c>
      <c r="I3508">
        <v>8</v>
      </c>
      <c r="J3508" t="s">
        <v>19</v>
      </c>
      <c r="K3508" s="3">
        <v>17931.45</v>
      </c>
      <c r="L3508" t="b">
        <f>TablaDatos[[#This Row],[FechaAlta]] &lt; TablaDatos[[#This Row],[FechaIngreso]]</f>
        <v>0</v>
      </c>
      <c r="M3508">
        <f>_xlfn.XLOOKUP(TablaDatos[[#This Row],[PacienteID]],'Datos_Ejemplo.csv'!A:A,'Datos_Ejemplo.csv'!I:I)</f>
        <v>8</v>
      </c>
      <c r="N3508">
        <f>ABS(TablaDatos[[#This Row],[DiasOriginal]])</f>
        <v>8</v>
      </c>
      <c r="O3508" s="1">
        <f>TablaDatos[[#This Row],[FechaIngreso]]+TablaDatos[[#This Row],[DiasNuevo]]</f>
        <v>45183</v>
      </c>
    </row>
    <row r="3509" spans="1:15">
      <c r="A3509">
        <v>3508</v>
      </c>
      <c r="B3509" t="s">
        <v>328</v>
      </c>
      <c r="C3509" s="1">
        <v>29951</v>
      </c>
      <c r="D3509">
        <v>44</v>
      </c>
      <c r="E3509" s="4" t="s">
        <v>12</v>
      </c>
      <c r="F3509" t="s">
        <v>261</v>
      </c>
      <c r="G3509" s="1">
        <v>45374</v>
      </c>
      <c r="H3509" s="1">
        <f>TablaDatos[[#This Row],[FechaIngreso]]+TablaDatos[[#This Row],[DiasNuevo]]</f>
        <v>45400</v>
      </c>
      <c r="I3509">
        <v>26</v>
      </c>
      <c r="J3509" t="s">
        <v>23</v>
      </c>
      <c r="K3509" s="3">
        <v>2889.18</v>
      </c>
      <c r="L3509" t="b">
        <f>TablaDatos[[#This Row],[FechaAlta]] &lt; TablaDatos[[#This Row],[FechaIngreso]]</f>
        <v>0</v>
      </c>
      <c r="M3509">
        <f>_xlfn.XLOOKUP(TablaDatos[[#This Row],[PacienteID]],'Datos_Ejemplo.csv'!A:A,'Datos_Ejemplo.csv'!I:I)</f>
        <v>26</v>
      </c>
      <c r="N3509">
        <f>ABS(TablaDatos[[#This Row],[DiasOriginal]])</f>
        <v>26</v>
      </c>
      <c r="O3509" s="1">
        <f>TablaDatos[[#This Row],[FechaIngreso]]+TablaDatos[[#This Row],[DiasNuevo]]</f>
        <v>45400</v>
      </c>
    </row>
    <row r="3510" spans="1:15">
      <c r="A3510">
        <v>3509</v>
      </c>
      <c r="B3510" t="s">
        <v>302</v>
      </c>
      <c r="C3510" s="1">
        <v>17533</v>
      </c>
      <c r="D3510">
        <v>78</v>
      </c>
      <c r="E3510" s="4" t="s">
        <v>15</v>
      </c>
      <c r="F3510" t="s">
        <v>13</v>
      </c>
      <c r="G3510" s="1">
        <v>45496</v>
      </c>
      <c r="H3510" s="1">
        <f>TablaDatos[[#This Row],[FechaIngreso]]+TablaDatos[[#This Row],[DiasNuevo]]</f>
        <v>45498</v>
      </c>
      <c r="I3510">
        <v>2</v>
      </c>
      <c r="J3510" t="s">
        <v>25</v>
      </c>
      <c r="K3510" s="3">
        <v>13699.04</v>
      </c>
      <c r="L3510" t="b">
        <f>TablaDatos[[#This Row],[FechaAlta]] &lt; TablaDatos[[#This Row],[FechaIngreso]]</f>
        <v>0</v>
      </c>
      <c r="M3510">
        <f>_xlfn.XLOOKUP(TablaDatos[[#This Row],[PacienteID]],'Datos_Ejemplo.csv'!A:A,'Datos_Ejemplo.csv'!I:I)</f>
        <v>2</v>
      </c>
      <c r="N3510">
        <f>ABS(TablaDatos[[#This Row],[DiasOriginal]])</f>
        <v>2</v>
      </c>
      <c r="O3510" s="1">
        <f>TablaDatos[[#This Row],[FechaIngreso]]+TablaDatos[[#This Row],[DiasNuevo]]</f>
        <v>45498</v>
      </c>
    </row>
    <row r="3511" spans="1:15">
      <c r="A3511">
        <v>3510</v>
      </c>
      <c r="B3511" t="s">
        <v>275</v>
      </c>
      <c r="C3511" s="1">
        <v>13515</v>
      </c>
      <c r="D3511">
        <v>89</v>
      </c>
      <c r="E3511" s="4" t="s">
        <v>15</v>
      </c>
      <c r="F3511" t="s">
        <v>32</v>
      </c>
      <c r="G3511" s="1">
        <v>44930</v>
      </c>
      <c r="H3511" s="1">
        <f>TablaDatos[[#This Row],[FechaIngreso]]+TablaDatos[[#This Row],[DiasNuevo]]</f>
        <v>44945</v>
      </c>
      <c r="I3511">
        <v>15</v>
      </c>
      <c r="J3511" t="s">
        <v>19</v>
      </c>
      <c r="K3511" s="3">
        <v>5930.4</v>
      </c>
      <c r="L3511" t="b">
        <f>TablaDatos[[#This Row],[FechaAlta]] &lt; TablaDatos[[#This Row],[FechaIngreso]]</f>
        <v>0</v>
      </c>
      <c r="M3511">
        <f>_xlfn.XLOOKUP(TablaDatos[[#This Row],[PacienteID]],'Datos_Ejemplo.csv'!A:A,'Datos_Ejemplo.csv'!I:I)</f>
        <v>15</v>
      </c>
      <c r="N3511">
        <f>ABS(TablaDatos[[#This Row],[DiasOriginal]])</f>
        <v>15</v>
      </c>
      <c r="O3511" s="1">
        <f>TablaDatos[[#This Row],[FechaIngreso]]+TablaDatos[[#This Row],[DiasNuevo]]</f>
        <v>44945</v>
      </c>
    </row>
    <row r="3512" spans="1:15">
      <c r="A3512">
        <v>3511</v>
      </c>
      <c r="B3512" t="s">
        <v>334</v>
      </c>
      <c r="C3512" s="1">
        <v>15341</v>
      </c>
      <c r="D3512">
        <v>84</v>
      </c>
      <c r="E3512" s="4" t="s">
        <v>12</v>
      </c>
      <c r="F3512" t="s">
        <v>295</v>
      </c>
      <c r="G3512" s="1">
        <v>45162</v>
      </c>
      <c r="H3512" s="1">
        <f>TablaDatos[[#This Row],[FechaIngreso]]+TablaDatos[[#This Row],[DiasNuevo]]</f>
        <v>45162</v>
      </c>
      <c r="I3512">
        <v>0</v>
      </c>
      <c r="J3512" t="s">
        <v>19</v>
      </c>
      <c r="K3512" s="3">
        <v>11313.7</v>
      </c>
      <c r="L3512" t="b">
        <f>TablaDatos[[#This Row],[FechaAlta]] &lt; TablaDatos[[#This Row],[FechaIngreso]]</f>
        <v>0</v>
      </c>
      <c r="M3512">
        <f>_xlfn.XLOOKUP(TablaDatos[[#This Row],[PacienteID]],'Datos_Ejemplo.csv'!A:A,'Datos_Ejemplo.csv'!I:I)</f>
        <v>0</v>
      </c>
      <c r="N3512">
        <f>ABS(TablaDatos[[#This Row],[DiasOriginal]])</f>
        <v>0</v>
      </c>
      <c r="O3512" s="1">
        <f>TablaDatos[[#This Row],[FechaIngreso]]+TablaDatos[[#This Row],[DiasNuevo]]</f>
        <v>45162</v>
      </c>
    </row>
    <row r="3513" spans="1:15">
      <c r="A3513">
        <v>3512</v>
      </c>
      <c r="B3513" t="s">
        <v>116</v>
      </c>
      <c r="C3513" s="1">
        <v>23742</v>
      </c>
      <c r="D3513">
        <v>61</v>
      </c>
      <c r="E3513" s="4" t="s">
        <v>15</v>
      </c>
      <c r="F3513" t="s">
        <v>13</v>
      </c>
      <c r="G3513" s="1">
        <v>45099</v>
      </c>
      <c r="H3513" s="1">
        <f>TablaDatos[[#This Row],[FechaIngreso]]+TablaDatos[[#This Row],[DiasNuevo]]</f>
        <v>45136</v>
      </c>
      <c r="I3513">
        <v>37</v>
      </c>
      <c r="J3513" t="s">
        <v>23</v>
      </c>
      <c r="K3513" s="3">
        <v>12286.01</v>
      </c>
      <c r="L3513" t="b">
        <f>TablaDatos[[#This Row],[FechaAlta]] &lt; TablaDatos[[#This Row],[FechaIngreso]]</f>
        <v>0</v>
      </c>
      <c r="M3513">
        <f>_xlfn.XLOOKUP(TablaDatos[[#This Row],[PacienteID]],'Datos_Ejemplo.csv'!A:A,'Datos_Ejemplo.csv'!I:I)</f>
        <v>37</v>
      </c>
      <c r="N3513">
        <f>ABS(TablaDatos[[#This Row],[DiasOriginal]])</f>
        <v>37</v>
      </c>
      <c r="O3513" s="1">
        <f>TablaDatos[[#This Row],[FechaIngreso]]+TablaDatos[[#This Row],[DiasNuevo]]</f>
        <v>45136</v>
      </c>
    </row>
    <row r="3514" spans="1:15">
      <c r="A3514">
        <v>3513</v>
      </c>
      <c r="B3514" t="s">
        <v>303</v>
      </c>
      <c r="C3514" s="1">
        <v>28490</v>
      </c>
      <c r="D3514">
        <v>48</v>
      </c>
      <c r="E3514" s="4" t="s">
        <v>15</v>
      </c>
      <c r="F3514" t="s">
        <v>261</v>
      </c>
      <c r="G3514" s="1">
        <v>45248</v>
      </c>
      <c r="H3514" s="1">
        <f>TablaDatos[[#This Row],[FechaIngreso]]+TablaDatos[[#This Row],[DiasNuevo]]</f>
        <v>45256</v>
      </c>
      <c r="I3514">
        <v>8</v>
      </c>
      <c r="J3514" t="s">
        <v>25</v>
      </c>
      <c r="K3514" s="3">
        <v>8289.1200000000008</v>
      </c>
      <c r="L3514" t="b">
        <f>TablaDatos[[#This Row],[FechaAlta]] &lt; TablaDatos[[#This Row],[FechaIngreso]]</f>
        <v>0</v>
      </c>
      <c r="M3514">
        <f>_xlfn.XLOOKUP(TablaDatos[[#This Row],[PacienteID]],'Datos_Ejemplo.csv'!A:A,'Datos_Ejemplo.csv'!I:I)</f>
        <v>8</v>
      </c>
      <c r="N3514">
        <f>ABS(TablaDatos[[#This Row],[DiasOriginal]])</f>
        <v>8</v>
      </c>
      <c r="O3514" s="1">
        <f>TablaDatos[[#This Row],[FechaIngreso]]+TablaDatos[[#This Row],[DiasNuevo]]</f>
        <v>45256</v>
      </c>
    </row>
    <row r="3515" spans="1:15">
      <c r="A3515">
        <v>3514</v>
      </c>
      <c r="B3515" t="s">
        <v>313</v>
      </c>
      <c r="C3515" s="1">
        <v>11689</v>
      </c>
      <c r="D3515">
        <v>94</v>
      </c>
      <c r="E3515" s="4" t="s">
        <v>12</v>
      </c>
      <c r="F3515" t="s">
        <v>295</v>
      </c>
      <c r="G3515" s="1">
        <v>45297</v>
      </c>
      <c r="H3515" s="1">
        <f>TablaDatos[[#This Row],[FechaIngreso]]+TablaDatos[[#This Row],[DiasNuevo]]</f>
        <v>45315</v>
      </c>
      <c r="I3515">
        <v>18</v>
      </c>
      <c r="J3515" t="s">
        <v>19</v>
      </c>
      <c r="K3515" s="3">
        <v>19496.8</v>
      </c>
      <c r="L3515" t="b">
        <f>TablaDatos[[#This Row],[FechaAlta]] &lt; TablaDatos[[#This Row],[FechaIngreso]]</f>
        <v>0</v>
      </c>
      <c r="M3515">
        <f>_xlfn.XLOOKUP(TablaDatos[[#This Row],[PacienteID]],'Datos_Ejemplo.csv'!A:A,'Datos_Ejemplo.csv'!I:I)</f>
        <v>18</v>
      </c>
      <c r="N3515">
        <f>ABS(TablaDatos[[#This Row],[DiasOriginal]])</f>
        <v>18</v>
      </c>
      <c r="O3515" s="1">
        <f>TablaDatos[[#This Row],[FechaIngreso]]+TablaDatos[[#This Row],[DiasNuevo]]</f>
        <v>45315</v>
      </c>
    </row>
    <row r="3516" spans="1:15">
      <c r="A3516">
        <v>3515</v>
      </c>
      <c r="B3516" t="s">
        <v>61</v>
      </c>
      <c r="C3516" s="1">
        <v>37256</v>
      </c>
      <c r="D3516">
        <v>24</v>
      </c>
      <c r="E3516" s="4" t="s">
        <v>15</v>
      </c>
      <c r="F3516" t="s">
        <v>13</v>
      </c>
      <c r="G3516" s="1">
        <v>45474</v>
      </c>
      <c r="H3516" s="1">
        <f>TablaDatos[[#This Row],[FechaIngreso]]+TablaDatos[[#This Row],[DiasNuevo]]</f>
        <v>45501</v>
      </c>
      <c r="I3516">
        <v>27</v>
      </c>
      <c r="J3516" t="s">
        <v>23</v>
      </c>
      <c r="K3516" s="3">
        <v>2549.85</v>
      </c>
      <c r="L3516" t="b">
        <f>TablaDatos[[#This Row],[FechaAlta]] &lt; TablaDatos[[#This Row],[FechaIngreso]]</f>
        <v>0</v>
      </c>
      <c r="M3516">
        <f>_xlfn.XLOOKUP(TablaDatos[[#This Row],[PacienteID]],'Datos_Ejemplo.csv'!A:A,'Datos_Ejemplo.csv'!I:I)</f>
        <v>27</v>
      </c>
      <c r="N3516">
        <f>ABS(TablaDatos[[#This Row],[DiasOriginal]])</f>
        <v>27</v>
      </c>
      <c r="O3516" s="1">
        <f>TablaDatos[[#This Row],[FechaIngreso]]+TablaDatos[[#This Row],[DiasNuevo]]</f>
        <v>45501</v>
      </c>
    </row>
    <row r="3517" spans="1:15">
      <c r="A3517">
        <v>3516</v>
      </c>
      <c r="B3517" t="s">
        <v>344</v>
      </c>
      <c r="C3517" s="1">
        <v>37987</v>
      </c>
      <c r="D3517">
        <v>22</v>
      </c>
      <c r="E3517" s="4" t="s">
        <v>15</v>
      </c>
      <c r="F3517" t="s">
        <v>32</v>
      </c>
      <c r="G3517" s="1">
        <v>45222</v>
      </c>
      <c r="H3517" s="1">
        <f>TablaDatos[[#This Row],[FechaIngreso]]+TablaDatos[[#This Row],[DiasNuevo]]</f>
        <v>45238</v>
      </c>
      <c r="I3517">
        <v>16</v>
      </c>
      <c r="J3517" t="s">
        <v>23</v>
      </c>
      <c r="K3517" s="3">
        <v>7767.12</v>
      </c>
      <c r="L3517" t="b">
        <f>TablaDatos[[#This Row],[FechaAlta]] &lt; TablaDatos[[#This Row],[FechaIngreso]]</f>
        <v>0</v>
      </c>
      <c r="M3517">
        <f>_xlfn.XLOOKUP(TablaDatos[[#This Row],[PacienteID]],'Datos_Ejemplo.csv'!A:A,'Datos_Ejemplo.csv'!I:I)</f>
        <v>16</v>
      </c>
      <c r="N3517">
        <f>ABS(TablaDatos[[#This Row],[DiasOriginal]])</f>
        <v>16</v>
      </c>
      <c r="O3517" s="1">
        <f>TablaDatos[[#This Row],[FechaIngreso]]+TablaDatos[[#This Row],[DiasNuevo]]</f>
        <v>45238</v>
      </c>
    </row>
    <row r="3518" spans="1:15">
      <c r="A3518">
        <v>3517</v>
      </c>
      <c r="B3518" t="s">
        <v>340</v>
      </c>
      <c r="C3518" s="1">
        <v>37622</v>
      </c>
      <c r="D3518">
        <v>23</v>
      </c>
      <c r="E3518" s="4" t="s">
        <v>15</v>
      </c>
      <c r="F3518" t="s">
        <v>32</v>
      </c>
      <c r="G3518" s="1">
        <v>45326</v>
      </c>
      <c r="H3518" s="1">
        <f>TablaDatos[[#This Row],[FechaIngreso]]+TablaDatos[[#This Row],[DiasNuevo]]</f>
        <v>45348</v>
      </c>
      <c r="I3518">
        <v>22</v>
      </c>
      <c r="J3518" t="s">
        <v>23</v>
      </c>
      <c r="K3518" s="3">
        <v>8550.9500000000007</v>
      </c>
      <c r="L3518" t="b">
        <f>TablaDatos[[#This Row],[FechaAlta]] &lt; TablaDatos[[#This Row],[FechaIngreso]]</f>
        <v>0</v>
      </c>
      <c r="M3518">
        <f>_xlfn.XLOOKUP(TablaDatos[[#This Row],[PacienteID]],'Datos_Ejemplo.csv'!A:A,'Datos_Ejemplo.csv'!I:I)</f>
        <v>22</v>
      </c>
      <c r="N3518">
        <f>ABS(TablaDatos[[#This Row],[DiasOriginal]])</f>
        <v>22</v>
      </c>
      <c r="O3518" s="1">
        <f>TablaDatos[[#This Row],[FechaIngreso]]+TablaDatos[[#This Row],[DiasNuevo]]</f>
        <v>45348</v>
      </c>
    </row>
    <row r="3519" spans="1:15">
      <c r="A3519">
        <v>3518</v>
      </c>
      <c r="B3519" t="s">
        <v>363</v>
      </c>
      <c r="C3519" s="1">
        <v>32508</v>
      </c>
      <c r="D3519">
        <v>37</v>
      </c>
      <c r="E3519" s="4" t="s">
        <v>12</v>
      </c>
      <c r="F3519" t="s">
        <v>295</v>
      </c>
      <c r="G3519" s="1">
        <v>44984</v>
      </c>
      <c r="H3519" s="1">
        <f>TablaDatos[[#This Row],[FechaIngreso]]+TablaDatos[[#This Row],[DiasNuevo]]</f>
        <v>45016</v>
      </c>
      <c r="I3519">
        <v>32</v>
      </c>
      <c r="J3519" t="s">
        <v>25</v>
      </c>
      <c r="K3519" s="3">
        <v>12584.04</v>
      </c>
      <c r="L3519" t="b">
        <f>TablaDatos[[#This Row],[FechaAlta]] &lt; TablaDatos[[#This Row],[FechaIngreso]]</f>
        <v>0</v>
      </c>
      <c r="M3519">
        <f>_xlfn.XLOOKUP(TablaDatos[[#This Row],[PacienteID]],'Datos_Ejemplo.csv'!A:A,'Datos_Ejemplo.csv'!I:I)</f>
        <v>32</v>
      </c>
      <c r="N3519">
        <f>ABS(TablaDatos[[#This Row],[DiasOriginal]])</f>
        <v>32</v>
      </c>
      <c r="O3519" s="1">
        <f>TablaDatos[[#This Row],[FechaIngreso]]+TablaDatos[[#This Row],[DiasNuevo]]</f>
        <v>45016</v>
      </c>
    </row>
    <row r="3520" spans="1:15">
      <c r="A3520">
        <v>3519</v>
      </c>
      <c r="B3520" t="s">
        <v>39</v>
      </c>
      <c r="C3520" s="1">
        <v>36161</v>
      </c>
      <c r="D3520">
        <v>27</v>
      </c>
      <c r="E3520" s="4" t="s">
        <v>15</v>
      </c>
      <c r="F3520" t="s">
        <v>18</v>
      </c>
      <c r="G3520" s="1">
        <v>45456</v>
      </c>
      <c r="H3520" s="1">
        <f>TablaDatos[[#This Row],[FechaIngreso]]+TablaDatos[[#This Row],[DiasNuevo]]</f>
        <v>45465</v>
      </c>
      <c r="I3520">
        <v>9</v>
      </c>
      <c r="J3520" t="s">
        <v>23</v>
      </c>
      <c r="K3520" s="3">
        <v>8085.92</v>
      </c>
      <c r="L3520" t="b">
        <f>TablaDatos[[#This Row],[FechaAlta]] &lt; TablaDatos[[#This Row],[FechaIngreso]]</f>
        <v>0</v>
      </c>
      <c r="M3520">
        <f>_xlfn.XLOOKUP(TablaDatos[[#This Row],[PacienteID]],'Datos_Ejemplo.csv'!A:A,'Datos_Ejemplo.csv'!I:I)</f>
        <v>9</v>
      </c>
      <c r="N3520">
        <f>ABS(TablaDatos[[#This Row],[DiasOriginal]])</f>
        <v>9</v>
      </c>
      <c r="O3520" s="1">
        <f>TablaDatos[[#This Row],[FechaIngreso]]+TablaDatos[[#This Row],[DiasNuevo]]</f>
        <v>45465</v>
      </c>
    </row>
    <row r="3521" spans="1:15">
      <c r="A3521">
        <v>3520</v>
      </c>
      <c r="B3521" t="s">
        <v>49</v>
      </c>
      <c r="C3521" s="1">
        <v>38717</v>
      </c>
      <c r="D3521">
        <v>20</v>
      </c>
      <c r="E3521" s="4" t="s">
        <v>15</v>
      </c>
      <c r="F3521" t="s">
        <v>32</v>
      </c>
      <c r="G3521" s="1">
        <v>45474</v>
      </c>
      <c r="H3521" s="1">
        <f>TablaDatos[[#This Row],[FechaIngreso]]+TablaDatos[[#This Row],[DiasNuevo]]</f>
        <v>45497</v>
      </c>
      <c r="I3521">
        <v>23</v>
      </c>
      <c r="J3521" t="s">
        <v>23</v>
      </c>
      <c r="K3521" s="3">
        <v>1850.42</v>
      </c>
      <c r="L3521" t="b">
        <f>TablaDatos[[#This Row],[FechaAlta]] &lt; TablaDatos[[#This Row],[FechaIngreso]]</f>
        <v>0</v>
      </c>
      <c r="M3521">
        <f>_xlfn.XLOOKUP(TablaDatos[[#This Row],[PacienteID]],'Datos_Ejemplo.csv'!A:A,'Datos_Ejemplo.csv'!I:I)</f>
        <v>23</v>
      </c>
      <c r="N3521">
        <f>ABS(TablaDatos[[#This Row],[DiasOriginal]])</f>
        <v>23</v>
      </c>
      <c r="O3521" s="1">
        <f>TablaDatos[[#This Row],[FechaIngreso]]+TablaDatos[[#This Row],[DiasNuevo]]</f>
        <v>45497</v>
      </c>
    </row>
    <row r="3522" spans="1:15">
      <c r="A3522">
        <v>3521</v>
      </c>
      <c r="B3522" t="s">
        <v>114</v>
      </c>
      <c r="C3522" s="1">
        <v>26664</v>
      </c>
      <c r="D3522">
        <v>53</v>
      </c>
      <c r="E3522" s="4" t="s">
        <v>15</v>
      </c>
      <c r="F3522" t="s">
        <v>18</v>
      </c>
      <c r="G3522" s="1">
        <v>45334</v>
      </c>
      <c r="H3522" s="1">
        <f>TablaDatos[[#This Row],[FechaIngreso]]+TablaDatos[[#This Row],[DiasNuevo]]</f>
        <v>45336</v>
      </c>
      <c r="I3522">
        <v>2</v>
      </c>
      <c r="J3522" t="s">
        <v>19</v>
      </c>
      <c r="K3522" s="3">
        <v>18943.34</v>
      </c>
      <c r="L3522" t="b">
        <f>TablaDatos[[#This Row],[FechaAlta]] &lt; TablaDatos[[#This Row],[FechaIngreso]]</f>
        <v>0</v>
      </c>
      <c r="M3522">
        <f>_xlfn.XLOOKUP(TablaDatos[[#This Row],[PacienteID]],'Datos_Ejemplo.csv'!A:A,'Datos_Ejemplo.csv'!I:I)</f>
        <v>2</v>
      </c>
      <c r="N3522">
        <f>ABS(TablaDatos[[#This Row],[DiasOriginal]])</f>
        <v>2</v>
      </c>
      <c r="O3522" s="1">
        <f>TablaDatos[[#This Row],[FechaIngreso]]+TablaDatos[[#This Row],[DiasNuevo]]</f>
        <v>45336</v>
      </c>
    </row>
    <row r="3523" spans="1:15">
      <c r="A3523">
        <v>3522</v>
      </c>
      <c r="B3523" t="s">
        <v>253</v>
      </c>
      <c r="C3523" s="1">
        <v>39813</v>
      </c>
      <c r="D3523">
        <v>17</v>
      </c>
      <c r="E3523" s="4" t="s">
        <v>12</v>
      </c>
      <c r="F3523" t="s">
        <v>13</v>
      </c>
      <c r="G3523" s="1">
        <v>45567</v>
      </c>
      <c r="H3523" s="1">
        <f>TablaDatos[[#This Row],[FechaIngreso]]+TablaDatos[[#This Row],[DiasNuevo]]</f>
        <v>45583</v>
      </c>
      <c r="I3523">
        <v>16</v>
      </c>
      <c r="J3523" t="s">
        <v>23</v>
      </c>
      <c r="K3523" s="3">
        <v>8263.19</v>
      </c>
      <c r="L3523" t="b">
        <f>TablaDatos[[#This Row],[FechaAlta]] &lt; TablaDatos[[#This Row],[FechaIngreso]]</f>
        <v>0</v>
      </c>
      <c r="M3523">
        <f>_xlfn.XLOOKUP(TablaDatos[[#This Row],[PacienteID]],'Datos_Ejemplo.csv'!A:A,'Datos_Ejemplo.csv'!I:I)</f>
        <v>16</v>
      </c>
      <c r="N3523">
        <f>ABS(TablaDatos[[#This Row],[DiasOriginal]])</f>
        <v>16</v>
      </c>
      <c r="O3523" s="1">
        <f>TablaDatos[[#This Row],[FechaIngreso]]+TablaDatos[[#This Row],[DiasNuevo]]</f>
        <v>45583</v>
      </c>
    </row>
    <row r="3524" spans="1:15">
      <c r="A3524">
        <v>3523</v>
      </c>
      <c r="B3524" t="s">
        <v>130</v>
      </c>
      <c r="C3524" s="1">
        <v>33239</v>
      </c>
      <c r="D3524">
        <f ca="1">DATEDIF(TablaDatos[[#This Row],[FechaNacimiento]],TODAY(),"Y")</f>
        <v>35</v>
      </c>
      <c r="E3524" s="4" t="s">
        <v>15</v>
      </c>
      <c r="F3524" t="s">
        <v>18</v>
      </c>
      <c r="G3524" s="1">
        <v>45439</v>
      </c>
      <c r="H3524" s="1">
        <f>TablaDatos[[#This Row],[FechaIngreso]]+TablaDatos[[#This Row],[DiasNuevo]]</f>
        <v>45463</v>
      </c>
      <c r="I3524">
        <v>24</v>
      </c>
      <c r="J3524" t="s">
        <v>19</v>
      </c>
      <c r="K3524" s="3">
        <v>6787.74</v>
      </c>
      <c r="L3524" t="b">
        <f>TablaDatos[[#This Row],[FechaAlta]] &lt; TablaDatos[[#This Row],[FechaIngreso]]</f>
        <v>0</v>
      </c>
      <c r="M3524">
        <f>_xlfn.XLOOKUP(TablaDatos[[#This Row],[PacienteID]],'Datos_Ejemplo.csv'!A:A,'Datos_Ejemplo.csv'!I:I)</f>
        <v>24</v>
      </c>
      <c r="N3524">
        <f>ABS(TablaDatos[[#This Row],[DiasOriginal]])</f>
        <v>24</v>
      </c>
      <c r="O3524" s="1">
        <f>TablaDatos[[#This Row],[FechaIngreso]]+TablaDatos[[#This Row],[DiasNuevo]]</f>
        <v>45463</v>
      </c>
    </row>
    <row r="3525" spans="1:15">
      <c r="A3525">
        <v>3524</v>
      </c>
      <c r="B3525" t="s">
        <v>364</v>
      </c>
      <c r="C3525" s="1">
        <v>29951</v>
      </c>
      <c r="D3525">
        <v>44</v>
      </c>
      <c r="E3525" s="4" t="s">
        <v>15</v>
      </c>
      <c r="F3525" t="s">
        <v>295</v>
      </c>
      <c r="G3525" s="1">
        <v>44990</v>
      </c>
      <c r="H3525" s="1">
        <f>TablaDatos[[#This Row],[FechaIngreso]]+TablaDatos[[#This Row],[DiasNuevo]]</f>
        <v>45025</v>
      </c>
      <c r="I3525">
        <v>35</v>
      </c>
      <c r="J3525" t="s">
        <v>19</v>
      </c>
      <c r="K3525" s="3">
        <v>8879.11</v>
      </c>
      <c r="L3525" t="b">
        <f>TablaDatos[[#This Row],[FechaAlta]] &lt; TablaDatos[[#This Row],[FechaIngreso]]</f>
        <v>0</v>
      </c>
      <c r="M3525">
        <f>_xlfn.XLOOKUP(TablaDatos[[#This Row],[PacienteID]],'Datos_Ejemplo.csv'!A:A,'Datos_Ejemplo.csv'!I:I)</f>
        <v>35</v>
      </c>
      <c r="N3525">
        <f>ABS(TablaDatos[[#This Row],[DiasOriginal]])</f>
        <v>35</v>
      </c>
      <c r="O3525" s="1">
        <f>TablaDatos[[#This Row],[FechaIngreso]]+TablaDatos[[#This Row],[DiasNuevo]]</f>
        <v>45025</v>
      </c>
    </row>
    <row r="3526" spans="1:15">
      <c r="A3526">
        <v>3525</v>
      </c>
      <c r="B3526" t="s">
        <v>308</v>
      </c>
      <c r="C3526" s="1">
        <v>19724</v>
      </c>
      <c r="D3526">
        <v>72</v>
      </c>
      <c r="E3526" s="4" t="s">
        <v>12</v>
      </c>
      <c r="F3526" t="s">
        <v>21</v>
      </c>
      <c r="G3526" s="1">
        <v>45500</v>
      </c>
      <c r="H3526" s="1">
        <f>TablaDatos[[#This Row],[FechaIngreso]]+TablaDatos[[#This Row],[DiasNuevo]]</f>
        <v>45526</v>
      </c>
      <c r="I3526">
        <v>26</v>
      </c>
      <c r="J3526" t="s">
        <v>23</v>
      </c>
      <c r="K3526" s="3">
        <v>4253.57</v>
      </c>
      <c r="L3526" t="b">
        <f>TablaDatos[[#This Row],[FechaAlta]] &lt; TablaDatos[[#This Row],[FechaIngreso]]</f>
        <v>0</v>
      </c>
      <c r="M3526">
        <f>_xlfn.XLOOKUP(TablaDatos[[#This Row],[PacienteID]],'Datos_Ejemplo.csv'!A:A,'Datos_Ejemplo.csv'!I:I)</f>
        <v>26</v>
      </c>
      <c r="N3526">
        <f>ABS(TablaDatos[[#This Row],[DiasOriginal]])</f>
        <v>26</v>
      </c>
      <c r="O3526" s="1">
        <f>TablaDatos[[#This Row],[FechaIngreso]]+TablaDatos[[#This Row],[DiasNuevo]]</f>
        <v>45526</v>
      </c>
    </row>
    <row r="3527" spans="1:15">
      <c r="A3527">
        <v>3526</v>
      </c>
      <c r="B3527" t="s">
        <v>260</v>
      </c>
      <c r="C3527" s="1">
        <v>27029</v>
      </c>
      <c r="D3527">
        <f ca="1">DATEDIF(TablaDatos[[#This Row],[FechaNacimiento]],TODAY(),"Y")</f>
        <v>52</v>
      </c>
      <c r="E3527" s="4" t="s">
        <v>12</v>
      </c>
      <c r="F3527" t="s">
        <v>21</v>
      </c>
      <c r="G3527" s="1">
        <v>45346</v>
      </c>
      <c r="H3527" s="1">
        <f>TablaDatos[[#This Row],[FechaIngreso]]+TablaDatos[[#This Row],[DiasNuevo]]</f>
        <v>45355</v>
      </c>
      <c r="I3527">
        <v>9</v>
      </c>
      <c r="J3527" t="s">
        <v>23</v>
      </c>
      <c r="K3527" s="3">
        <v>1914.46</v>
      </c>
      <c r="L3527" t="b">
        <f>TablaDatos[[#This Row],[FechaAlta]] &lt; TablaDatos[[#This Row],[FechaIngreso]]</f>
        <v>0</v>
      </c>
      <c r="M3527">
        <f>_xlfn.XLOOKUP(TablaDatos[[#This Row],[PacienteID]],'Datos_Ejemplo.csv'!A:A,'Datos_Ejemplo.csv'!I:I)</f>
        <v>9</v>
      </c>
      <c r="N3527">
        <f>ABS(TablaDatos[[#This Row],[DiasOriginal]])</f>
        <v>9</v>
      </c>
      <c r="O3527" s="1">
        <f>TablaDatos[[#This Row],[FechaIngreso]]+TablaDatos[[#This Row],[DiasNuevo]]</f>
        <v>45355</v>
      </c>
    </row>
    <row r="3528" spans="1:15">
      <c r="A3528">
        <v>3527</v>
      </c>
      <c r="B3528" t="s">
        <v>240</v>
      </c>
      <c r="C3528" s="1">
        <v>35430</v>
      </c>
      <c r="D3528">
        <v>29</v>
      </c>
      <c r="E3528" s="4" t="s">
        <v>15</v>
      </c>
      <c r="F3528" t="s">
        <v>295</v>
      </c>
      <c r="G3528" s="1">
        <v>45072</v>
      </c>
      <c r="H3528" s="1">
        <f>TablaDatos[[#This Row],[FechaIngreso]]+TablaDatos[[#This Row],[DiasNuevo]]</f>
        <v>45088</v>
      </c>
      <c r="I3528">
        <v>16</v>
      </c>
      <c r="J3528" t="s">
        <v>23</v>
      </c>
      <c r="K3528" s="3">
        <v>2886.43</v>
      </c>
      <c r="L3528" t="b">
        <f>TablaDatos[[#This Row],[FechaAlta]] &lt; TablaDatos[[#This Row],[FechaIngreso]]</f>
        <v>0</v>
      </c>
      <c r="M3528">
        <f>_xlfn.XLOOKUP(TablaDatos[[#This Row],[PacienteID]],'Datos_Ejemplo.csv'!A:A,'Datos_Ejemplo.csv'!I:I)</f>
        <v>16</v>
      </c>
      <c r="N3528">
        <f>ABS(TablaDatos[[#This Row],[DiasOriginal]])</f>
        <v>16</v>
      </c>
      <c r="O3528" s="1">
        <f>TablaDatos[[#This Row],[FechaIngreso]]+TablaDatos[[#This Row],[DiasNuevo]]</f>
        <v>45088</v>
      </c>
    </row>
    <row r="3529" spans="1:15">
      <c r="A3529">
        <v>3528</v>
      </c>
      <c r="B3529" t="s">
        <v>305</v>
      </c>
      <c r="C3529" s="1">
        <v>24473</v>
      </c>
      <c r="D3529">
        <v>59</v>
      </c>
      <c r="E3529" s="4" t="s">
        <v>15</v>
      </c>
      <c r="F3529" t="s">
        <v>201</v>
      </c>
      <c r="G3529" s="1">
        <v>45198</v>
      </c>
      <c r="H3529" s="1">
        <f>TablaDatos[[#This Row],[FechaIngreso]]+TablaDatos[[#This Row],[DiasNuevo]]</f>
        <v>45204</v>
      </c>
      <c r="I3529">
        <v>6</v>
      </c>
      <c r="J3529" t="s">
        <v>19</v>
      </c>
      <c r="K3529" s="3">
        <v>3249.76</v>
      </c>
      <c r="L3529" t="b">
        <f>TablaDatos[[#This Row],[FechaAlta]] &lt; TablaDatos[[#This Row],[FechaIngreso]]</f>
        <v>0</v>
      </c>
      <c r="M3529">
        <f>_xlfn.XLOOKUP(TablaDatos[[#This Row],[PacienteID]],'Datos_Ejemplo.csv'!A:A,'Datos_Ejemplo.csv'!I:I)</f>
        <v>6</v>
      </c>
      <c r="N3529">
        <f>ABS(TablaDatos[[#This Row],[DiasOriginal]])</f>
        <v>6</v>
      </c>
      <c r="O3529" s="1">
        <f>TablaDatos[[#This Row],[FechaIngreso]]+TablaDatos[[#This Row],[DiasNuevo]]</f>
        <v>45204</v>
      </c>
    </row>
    <row r="3530" spans="1:15">
      <c r="A3530">
        <v>3529</v>
      </c>
      <c r="B3530" t="s">
        <v>331</v>
      </c>
      <c r="C3530" s="1">
        <v>34700</v>
      </c>
      <c r="D3530">
        <v>31</v>
      </c>
      <c r="E3530" s="4" t="s">
        <v>12</v>
      </c>
      <c r="F3530" t="s">
        <v>21</v>
      </c>
      <c r="G3530" s="1">
        <v>44943</v>
      </c>
      <c r="H3530" s="1">
        <f>TablaDatos[[#This Row],[FechaIngreso]]+TablaDatos[[#This Row],[DiasNuevo]]</f>
        <v>44958</v>
      </c>
      <c r="I3530">
        <v>15</v>
      </c>
      <c r="J3530" t="s">
        <v>23</v>
      </c>
      <c r="K3530" s="3">
        <v>3873.24</v>
      </c>
      <c r="L3530" t="b">
        <f>TablaDatos[[#This Row],[FechaAlta]] &lt; TablaDatos[[#This Row],[FechaIngreso]]</f>
        <v>0</v>
      </c>
      <c r="M3530">
        <f>_xlfn.XLOOKUP(TablaDatos[[#This Row],[PacienteID]],'Datos_Ejemplo.csv'!A:A,'Datos_Ejemplo.csv'!I:I)</f>
        <v>15</v>
      </c>
      <c r="N3530">
        <f>ABS(TablaDatos[[#This Row],[DiasOriginal]])</f>
        <v>15</v>
      </c>
      <c r="O3530" s="1">
        <f>TablaDatos[[#This Row],[FechaIngreso]]+TablaDatos[[#This Row],[DiasNuevo]]</f>
        <v>44958</v>
      </c>
    </row>
    <row r="3531" spans="1:15">
      <c r="A3531">
        <v>3530</v>
      </c>
      <c r="B3531" t="s">
        <v>367</v>
      </c>
      <c r="C3531" s="1">
        <v>21916</v>
      </c>
      <c r="D3531">
        <v>66</v>
      </c>
      <c r="E3531" s="4" t="s">
        <v>12</v>
      </c>
      <c r="F3531" t="s">
        <v>295</v>
      </c>
      <c r="G3531" s="1">
        <v>45024</v>
      </c>
      <c r="H3531" s="1">
        <f>TablaDatos[[#This Row],[FechaIngreso]]+TablaDatos[[#This Row],[DiasNuevo]]</f>
        <v>45050</v>
      </c>
      <c r="I3531">
        <v>26</v>
      </c>
      <c r="J3531" t="s">
        <v>25</v>
      </c>
      <c r="K3531" s="3">
        <v>8341.2000000000007</v>
      </c>
      <c r="L3531" t="b">
        <f>TablaDatos[[#This Row],[FechaAlta]] &lt; TablaDatos[[#This Row],[FechaIngreso]]</f>
        <v>0</v>
      </c>
      <c r="M3531">
        <f>_xlfn.XLOOKUP(TablaDatos[[#This Row],[PacienteID]],'Datos_Ejemplo.csv'!A:A,'Datos_Ejemplo.csv'!I:I)</f>
        <v>26</v>
      </c>
      <c r="N3531">
        <f>ABS(TablaDatos[[#This Row],[DiasOriginal]])</f>
        <v>26</v>
      </c>
      <c r="O3531" s="1">
        <f>TablaDatos[[#This Row],[FechaIngreso]]+TablaDatos[[#This Row],[DiasNuevo]]</f>
        <v>45050</v>
      </c>
    </row>
    <row r="3532" spans="1:15">
      <c r="A3532">
        <v>3531</v>
      </c>
      <c r="B3532" t="s">
        <v>235</v>
      </c>
      <c r="C3532" s="1">
        <v>21916</v>
      </c>
      <c r="D3532">
        <v>66</v>
      </c>
      <c r="E3532" s="4" t="s">
        <v>15</v>
      </c>
      <c r="F3532" t="s">
        <v>32</v>
      </c>
      <c r="G3532" s="1">
        <v>45378</v>
      </c>
      <c r="H3532" s="1">
        <f>TablaDatos[[#This Row],[FechaIngreso]]+TablaDatos[[#This Row],[DiasNuevo]]</f>
        <v>45378</v>
      </c>
      <c r="I3532">
        <v>0</v>
      </c>
      <c r="J3532" t="s">
        <v>25</v>
      </c>
      <c r="K3532" s="3">
        <v>12440.38</v>
      </c>
      <c r="L3532" t="b">
        <f>TablaDatos[[#This Row],[FechaAlta]] &lt; TablaDatos[[#This Row],[FechaIngreso]]</f>
        <v>0</v>
      </c>
      <c r="M3532">
        <f>_xlfn.XLOOKUP(TablaDatos[[#This Row],[PacienteID]],'Datos_Ejemplo.csv'!A:A,'Datos_Ejemplo.csv'!I:I)</f>
        <v>0</v>
      </c>
      <c r="N3532">
        <f>ABS(TablaDatos[[#This Row],[DiasOriginal]])</f>
        <v>0</v>
      </c>
      <c r="O3532" s="1">
        <f>TablaDatos[[#This Row],[FechaIngreso]]+TablaDatos[[#This Row],[DiasNuevo]]</f>
        <v>45378</v>
      </c>
    </row>
    <row r="3533" spans="1:15">
      <c r="A3533">
        <v>3532</v>
      </c>
      <c r="B3533" t="s">
        <v>244</v>
      </c>
      <c r="C3533" s="1">
        <v>36161</v>
      </c>
      <c r="D3533">
        <v>27</v>
      </c>
      <c r="E3533" s="4" t="s">
        <v>15</v>
      </c>
      <c r="F3533" t="s">
        <v>18</v>
      </c>
      <c r="G3533" s="1">
        <v>45169</v>
      </c>
      <c r="H3533" s="1">
        <f>TablaDatos[[#This Row],[FechaIngreso]]+TablaDatos[[#This Row],[DiasNuevo]]</f>
        <v>45189</v>
      </c>
      <c r="I3533">
        <v>20</v>
      </c>
      <c r="J3533" t="s">
        <v>23</v>
      </c>
      <c r="K3533" s="3">
        <v>12540.65</v>
      </c>
      <c r="L3533" t="b">
        <f>TablaDatos[[#This Row],[FechaAlta]] &lt; TablaDatos[[#This Row],[FechaIngreso]]</f>
        <v>0</v>
      </c>
      <c r="M3533">
        <f>_xlfn.XLOOKUP(TablaDatos[[#This Row],[PacienteID]],'Datos_Ejemplo.csv'!A:A,'Datos_Ejemplo.csv'!I:I)</f>
        <v>20</v>
      </c>
      <c r="N3533">
        <f>ABS(TablaDatos[[#This Row],[DiasOriginal]])</f>
        <v>20</v>
      </c>
      <c r="O3533" s="1">
        <f>TablaDatos[[#This Row],[FechaIngreso]]+TablaDatos[[#This Row],[DiasNuevo]]</f>
        <v>45189</v>
      </c>
    </row>
    <row r="3534" spans="1:15">
      <c r="A3534">
        <v>3533</v>
      </c>
      <c r="B3534" t="s">
        <v>356</v>
      </c>
      <c r="C3534" s="1">
        <v>30317</v>
      </c>
      <c r="D3534">
        <v>43</v>
      </c>
      <c r="E3534" s="4" t="s">
        <v>15</v>
      </c>
      <c r="F3534" t="s">
        <v>21</v>
      </c>
      <c r="G3534" s="1">
        <v>45405</v>
      </c>
      <c r="H3534" s="1">
        <f>TablaDatos[[#This Row],[FechaIngreso]]+TablaDatos[[#This Row],[DiasNuevo]]</f>
        <v>45432</v>
      </c>
      <c r="I3534">
        <v>27</v>
      </c>
      <c r="J3534" t="s">
        <v>23</v>
      </c>
      <c r="K3534" s="3">
        <v>-98.04</v>
      </c>
      <c r="L3534" t="b">
        <f>TablaDatos[[#This Row],[FechaAlta]] &lt; TablaDatos[[#This Row],[FechaIngreso]]</f>
        <v>0</v>
      </c>
      <c r="M3534">
        <f>_xlfn.XLOOKUP(TablaDatos[[#This Row],[PacienteID]],'Datos_Ejemplo.csv'!A:A,'Datos_Ejemplo.csv'!I:I)</f>
        <v>27</v>
      </c>
      <c r="N3534">
        <f>ABS(TablaDatos[[#This Row],[DiasOriginal]])</f>
        <v>27</v>
      </c>
      <c r="O3534" s="1">
        <f>TablaDatos[[#This Row],[FechaIngreso]]+TablaDatos[[#This Row],[DiasNuevo]]</f>
        <v>45432</v>
      </c>
    </row>
    <row r="3535" spans="1:15">
      <c r="A3535">
        <v>3534</v>
      </c>
      <c r="B3535" t="s">
        <v>116</v>
      </c>
      <c r="C3535" s="1">
        <v>17533</v>
      </c>
      <c r="D3535">
        <v>78</v>
      </c>
      <c r="E3535" s="4" t="s">
        <v>15</v>
      </c>
      <c r="F3535" t="s">
        <v>32</v>
      </c>
      <c r="G3535" s="1">
        <v>45127</v>
      </c>
      <c r="H3535" s="1">
        <f>TablaDatos[[#This Row],[FechaIngreso]]+TablaDatos[[#This Row],[DiasNuevo]]</f>
        <v>45148</v>
      </c>
      <c r="I3535">
        <v>21</v>
      </c>
      <c r="J3535" t="s">
        <v>23</v>
      </c>
      <c r="K3535" s="3">
        <v>18411.25</v>
      </c>
      <c r="L3535" t="b">
        <f>TablaDatos[[#This Row],[FechaAlta]] &lt; TablaDatos[[#This Row],[FechaIngreso]]</f>
        <v>0</v>
      </c>
      <c r="M3535">
        <f>_xlfn.XLOOKUP(TablaDatos[[#This Row],[PacienteID]],'Datos_Ejemplo.csv'!A:A,'Datos_Ejemplo.csv'!I:I)</f>
        <v>21</v>
      </c>
      <c r="N3535">
        <f>ABS(TablaDatos[[#This Row],[DiasOriginal]])</f>
        <v>21</v>
      </c>
      <c r="O3535" s="1">
        <f>TablaDatos[[#This Row],[FechaIngreso]]+TablaDatos[[#This Row],[DiasNuevo]]</f>
        <v>45148</v>
      </c>
    </row>
    <row r="3536" spans="1:15">
      <c r="A3536">
        <v>3535</v>
      </c>
      <c r="B3536" t="s">
        <v>257</v>
      </c>
      <c r="C3536" s="1">
        <v>31412</v>
      </c>
      <c r="D3536">
        <v>40</v>
      </c>
      <c r="E3536" s="4" t="s">
        <v>12</v>
      </c>
      <c r="F3536" t="s">
        <v>21</v>
      </c>
      <c r="G3536" s="1">
        <v>45399</v>
      </c>
      <c r="H3536" s="1">
        <f>TablaDatos[[#This Row],[FechaIngreso]]+TablaDatos[[#This Row],[DiasNuevo]]</f>
        <v>45433</v>
      </c>
      <c r="I3536">
        <v>34</v>
      </c>
      <c r="J3536" t="s">
        <v>23</v>
      </c>
      <c r="K3536" s="3">
        <v>16439.23</v>
      </c>
      <c r="L3536" t="b">
        <f>TablaDatos[[#This Row],[FechaAlta]] &lt; TablaDatos[[#This Row],[FechaIngreso]]</f>
        <v>0</v>
      </c>
      <c r="M3536">
        <f>_xlfn.XLOOKUP(TablaDatos[[#This Row],[PacienteID]],'Datos_Ejemplo.csv'!A:A,'Datos_Ejemplo.csv'!I:I)</f>
        <v>34</v>
      </c>
      <c r="N3536">
        <f>ABS(TablaDatos[[#This Row],[DiasOriginal]])</f>
        <v>34</v>
      </c>
      <c r="O3536" s="1">
        <f>TablaDatos[[#This Row],[FechaIngreso]]+TablaDatos[[#This Row],[DiasNuevo]]</f>
        <v>45433</v>
      </c>
    </row>
    <row r="3537" spans="1:15">
      <c r="A3537">
        <v>3536</v>
      </c>
      <c r="B3537" t="s">
        <v>116</v>
      </c>
      <c r="C3537" s="1">
        <v>23377</v>
      </c>
      <c r="D3537">
        <v>62</v>
      </c>
      <c r="E3537" s="4" t="s">
        <v>15</v>
      </c>
      <c r="F3537" t="s">
        <v>13</v>
      </c>
      <c r="G3537" s="1">
        <v>45105</v>
      </c>
      <c r="H3537" s="1">
        <f>TablaDatos[[#This Row],[FechaIngreso]]+TablaDatos[[#This Row],[DiasNuevo]]</f>
        <v>45139</v>
      </c>
      <c r="I3537">
        <v>34</v>
      </c>
      <c r="J3537" t="s">
        <v>23</v>
      </c>
      <c r="K3537" s="3">
        <v>19275.150000000001</v>
      </c>
      <c r="L3537" t="b">
        <f>TablaDatos[[#This Row],[FechaAlta]] &lt; TablaDatos[[#This Row],[FechaIngreso]]</f>
        <v>0</v>
      </c>
      <c r="M3537">
        <f>_xlfn.XLOOKUP(TablaDatos[[#This Row],[PacienteID]],'Datos_Ejemplo.csv'!A:A,'Datos_Ejemplo.csv'!I:I)</f>
        <v>34</v>
      </c>
      <c r="N3537">
        <f>ABS(TablaDatos[[#This Row],[DiasOriginal]])</f>
        <v>34</v>
      </c>
      <c r="O3537" s="1">
        <f>TablaDatos[[#This Row],[FechaIngreso]]+TablaDatos[[#This Row],[DiasNuevo]]</f>
        <v>45139</v>
      </c>
    </row>
    <row r="3538" spans="1:15">
      <c r="A3538">
        <v>3537</v>
      </c>
      <c r="B3538" t="s">
        <v>55</v>
      </c>
      <c r="C3538" s="1">
        <v>37987</v>
      </c>
      <c r="D3538">
        <v>22</v>
      </c>
      <c r="E3538" s="4" t="s">
        <v>12</v>
      </c>
      <c r="F3538" t="s">
        <v>295</v>
      </c>
      <c r="G3538" s="1">
        <v>45434</v>
      </c>
      <c r="H3538" s="1">
        <f>TablaDatos[[#This Row],[FechaIngreso]]+TablaDatos[[#This Row],[DiasNuevo]]</f>
        <v>45435</v>
      </c>
      <c r="I3538">
        <v>1</v>
      </c>
      <c r="J3538" t="s">
        <v>23</v>
      </c>
      <c r="K3538" s="3">
        <v>7135.73</v>
      </c>
      <c r="L3538" t="b">
        <f>TablaDatos[[#This Row],[FechaAlta]] &lt; TablaDatos[[#This Row],[FechaIngreso]]</f>
        <v>0</v>
      </c>
      <c r="M3538">
        <f>_xlfn.XLOOKUP(TablaDatos[[#This Row],[PacienteID]],'Datos_Ejemplo.csv'!A:A,'Datos_Ejemplo.csv'!I:I)</f>
        <v>1</v>
      </c>
      <c r="N3538">
        <f>ABS(TablaDatos[[#This Row],[DiasOriginal]])</f>
        <v>1</v>
      </c>
      <c r="O3538" s="1">
        <f>TablaDatos[[#This Row],[FechaIngreso]]+TablaDatos[[#This Row],[DiasNuevo]]</f>
        <v>45435</v>
      </c>
    </row>
    <row r="3539" spans="1:15">
      <c r="A3539">
        <v>3538</v>
      </c>
      <c r="B3539" t="s">
        <v>297</v>
      </c>
      <c r="C3539" s="1">
        <v>18994</v>
      </c>
      <c r="D3539">
        <v>74</v>
      </c>
      <c r="E3539" s="4" t="s">
        <v>12</v>
      </c>
      <c r="F3539" t="s">
        <v>295</v>
      </c>
      <c r="G3539" s="1">
        <v>45379</v>
      </c>
      <c r="H3539" s="1">
        <f>TablaDatos[[#This Row],[FechaIngreso]]+TablaDatos[[#This Row],[DiasNuevo]]</f>
        <v>45404</v>
      </c>
      <c r="I3539">
        <v>25</v>
      </c>
      <c r="J3539" t="s">
        <v>25</v>
      </c>
      <c r="K3539" s="3">
        <v>13262.47</v>
      </c>
      <c r="L3539" t="b">
        <f>TablaDatos[[#This Row],[FechaAlta]] &lt; TablaDatos[[#This Row],[FechaIngreso]]</f>
        <v>0</v>
      </c>
      <c r="M3539">
        <f>_xlfn.XLOOKUP(TablaDatos[[#This Row],[PacienteID]],'Datos_Ejemplo.csv'!A:A,'Datos_Ejemplo.csv'!I:I)</f>
        <v>25</v>
      </c>
      <c r="N3539">
        <f>ABS(TablaDatos[[#This Row],[DiasOriginal]])</f>
        <v>25</v>
      </c>
      <c r="O3539" s="1">
        <f>TablaDatos[[#This Row],[FechaIngreso]]+TablaDatos[[#This Row],[DiasNuevo]]</f>
        <v>45404</v>
      </c>
    </row>
    <row r="3540" spans="1:15">
      <c r="A3540">
        <v>3539</v>
      </c>
      <c r="B3540" t="s">
        <v>343</v>
      </c>
      <c r="C3540" s="1">
        <v>28856</v>
      </c>
      <c r="D3540">
        <v>47</v>
      </c>
      <c r="E3540" s="4" t="s">
        <v>15</v>
      </c>
      <c r="F3540" t="s">
        <v>32</v>
      </c>
      <c r="G3540" s="1">
        <v>45196</v>
      </c>
      <c r="H3540" s="1">
        <f>TablaDatos[[#This Row],[FechaIngreso]]+TablaDatos[[#This Row],[DiasNuevo]]</f>
        <v>45209</v>
      </c>
      <c r="I3540">
        <v>13</v>
      </c>
      <c r="J3540" t="s">
        <v>19</v>
      </c>
      <c r="K3540" s="3">
        <v>3277.22</v>
      </c>
      <c r="L3540" t="b">
        <f>TablaDatos[[#This Row],[FechaAlta]] &lt; TablaDatos[[#This Row],[FechaIngreso]]</f>
        <v>0</v>
      </c>
      <c r="M3540">
        <f>_xlfn.XLOOKUP(TablaDatos[[#This Row],[PacienteID]],'Datos_Ejemplo.csv'!A:A,'Datos_Ejemplo.csv'!I:I)</f>
        <v>13</v>
      </c>
      <c r="N3540">
        <f>ABS(TablaDatos[[#This Row],[DiasOriginal]])</f>
        <v>13</v>
      </c>
      <c r="O3540" s="1">
        <f>TablaDatos[[#This Row],[FechaIngreso]]+TablaDatos[[#This Row],[DiasNuevo]]</f>
        <v>45209</v>
      </c>
    </row>
    <row r="3541" spans="1:15">
      <c r="A3541">
        <v>3540</v>
      </c>
      <c r="B3541" t="s">
        <v>349</v>
      </c>
      <c r="C3541" s="1">
        <v>34700</v>
      </c>
      <c r="D3541">
        <v>31</v>
      </c>
      <c r="E3541" s="4" t="s">
        <v>15</v>
      </c>
      <c r="F3541" t="s">
        <v>201</v>
      </c>
      <c r="G3541" s="1">
        <v>45160</v>
      </c>
      <c r="H3541" s="1">
        <f>TablaDatos[[#This Row],[FechaIngreso]]+TablaDatos[[#This Row],[DiasNuevo]]</f>
        <v>45170</v>
      </c>
      <c r="I3541">
        <v>10</v>
      </c>
      <c r="J3541" t="s">
        <v>19</v>
      </c>
      <c r="K3541" s="3">
        <v>16322.36</v>
      </c>
      <c r="L3541" t="b">
        <f>TablaDatos[[#This Row],[FechaAlta]] &lt; TablaDatos[[#This Row],[FechaIngreso]]</f>
        <v>0</v>
      </c>
      <c r="M3541">
        <f>_xlfn.XLOOKUP(TablaDatos[[#This Row],[PacienteID]],'Datos_Ejemplo.csv'!A:A,'Datos_Ejemplo.csv'!I:I)</f>
        <v>10</v>
      </c>
      <c r="N3541">
        <f>ABS(TablaDatos[[#This Row],[DiasOriginal]])</f>
        <v>10</v>
      </c>
      <c r="O3541" s="1">
        <f>TablaDatos[[#This Row],[FechaIngreso]]+TablaDatos[[#This Row],[DiasNuevo]]</f>
        <v>45170</v>
      </c>
    </row>
    <row r="3542" spans="1:15">
      <c r="A3542">
        <v>3541</v>
      </c>
      <c r="B3542" t="s">
        <v>273</v>
      </c>
      <c r="C3542" s="1">
        <v>25568</v>
      </c>
      <c r="D3542">
        <v>56</v>
      </c>
      <c r="E3542" s="4" t="s">
        <v>12</v>
      </c>
      <c r="F3542" t="s">
        <v>13</v>
      </c>
      <c r="G3542" s="1">
        <v>45550</v>
      </c>
      <c r="H3542" s="1">
        <f>TablaDatos[[#This Row],[FechaIngreso]]+TablaDatos[[#This Row],[DiasNuevo]]</f>
        <v>45555</v>
      </c>
      <c r="I3542">
        <v>5</v>
      </c>
      <c r="J3542" t="s">
        <v>25</v>
      </c>
      <c r="K3542" s="3">
        <v>3143.49</v>
      </c>
      <c r="L3542" t="b">
        <f>TablaDatos[[#This Row],[FechaAlta]] &lt; TablaDatos[[#This Row],[FechaIngreso]]</f>
        <v>0</v>
      </c>
      <c r="M3542">
        <f>_xlfn.XLOOKUP(TablaDatos[[#This Row],[PacienteID]],'Datos_Ejemplo.csv'!A:A,'Datos_Ejemplo.csv'!I:I)</f>
        <v>5</v>
      </c>
      <c r="N3542">
        <f>ABS(TablaDatos[[#This Row],[DiasOriginal]])</f>
        <v>5</v>
      </c>
      <c r="O3542" s="1">
        <f>TablaDatos[[#This Row],[FechaIngreso]]+TablaDatos[[#This Row],[DiasNuevo]]</f>
        <v>45555</v>
      </c>
    </row>
    <row r="3543" spans="1:15">
      <c r="A3543">
        <v>3542</v>
      </c>
      <c r="B3543" t="s">
        <v>304</v>
      </c>
      <c r="C3543" s="1">
        <v>34334</v>
      </c>
      <c r="D3543">
        <v>32</v>
      </c>
      <c r="E3543" s="4" t="s">
        <v>15</v>
      </c>
      <c r="F3543" t="s">
        <v>18</v>
      </c>
      <c r="G3543" s="1">
        <v>45412</v>
      </c>
      <c r="H3543" s="1">
        <f>TablaDatos[[#This Row],[FechaIngreso]]+TablaDatos[[#This Row],[DiasNuevo]]</f>
        <v>45434</v>
      </c>
      <c r="I3543">
        <v>22</v>
      </c>
      <c r="J3543" t="s">
        <v>19</v>
      </c>
      <c r="K3543" s="3">
        <v>6452.31</v>
      </c>
      <c r="L3543" t="b">
        <f>TablaDatos[[#This Row],[FechaAlta]] &lt; TablaDatos[[#This Row],[FechaIngreso]]</f>
        <v>0</v>
      </c>
      <c r="M3543">
        <f>_xlfn.XLOOKUP(TablaDatos[[#This Row],[PacienteID]],'Datos_Ejemplo.csv'!A:A,'Datos_Ejemplo.csv'!I:I)</f>
        <v>22</v>
      </c>
      <c r="N3543">
        <f>ABS(TablaDatos[[#This Row],[DiasOriginal]])</f>
        <v>22</v>
      </c>
      <c r="O3543" s="1">
        <f>TablaDatos[[#This Row],[FechaIngreso]]+TablaDatos[[#This Row],[DiasNuevo]]</f>
        <v>45434</v>
      </c>
    </row>
    <row r="3544" spans="1:15">
      <c r="A3544">
        <v>3543</v>
      </c>
      <c r="B3544" t="s">
        <v>287</v>
      </c>
      <c r="C3544" s="1">
        <f ca="1">DATE(YEAR(TODAY())-TablaDatos[[#This Row],[Edad]],1,1)</f>
        <v>37622</v>
      </c>
      <c r="D3544">
        <v>23</v>
      </c>
      <c r="E3544" s="4" t="s">
        <v>12</v>
      </c>
      <c r="F3544" t="s">
        <v>13</v>
      </c>
      <c r="G3544" s="1">
        <v>45504</v>
      </c>
      <c r="H3544" s="1">
        <f>TablaDatos[[#This Row],[FechaIngreso]]+TablaDatos[[#This Row],[DiasNuevo]]</f>
        <v>45505</v>
      </c>
      <c r="I3544">
        <v>1</v>
      </c>
      <c r="J3544" t="s">
        <v>23</v>
      </c>
      <c r="K3544" s="3">
        <v>9765.7800000000007</v>
      </c>
      <c r="L3544" t="b">
        <f>TablaDatos[[#This Row],[FechaAlta]] &lt; TablaDatos[[#This Row],[FechaIngreso]]</f>
        <v>0</v>
      </c>
      <c r="M3544">
        <f>_xlfn.XLOOKUP(TablaDatos[[#This Row],[PacienteID]],'Datos_Ejemplo.csv'!A:A,'Datos_Ejemplo.csv'!I:I)</f>
        <v>-1</v>
      </c>
      <c r="N3544">
        <f>ABS(TablaDatos[[#This Row],[DiasOriginal]])</f>
        <v>1</v>
      </c>
      <c r="O3544" s="1">
        <f>TablaDatos[[#This Row],[FechaIngreso]]+TablaDatos[[#This Row],[DiasNuevo]]</f>
        <v>45505</v>
      </c>
    </row>
    <row r="3545" spans="1:15">
      <c r="A3545">
        <v>3544</v>
      </c>
      <c r="B3545" t="s">
        <v>263</v>
      </c>
      <c r="C3545" s="1">
        <v>32143</v>
      </c>
      <c r="D3545">
        <v>38</v>
      </c>
      <c r="E3545" s="4" t="s">
        <v>197</v>
      </c>
      <c r="F3545" t="s">
        <v>201</v>
      </c>
      <c r="G3545" s="1">
        <v>45264</v>
      </c>
      <c r="H3545" s="1">
        <f>TablaDatos[[#This Row],[FechaIngreso]]+TablaDatos[[#This Row],[DiasNuevo]]</f>
        <v>45291</v>
      </c>
      <c r="I3545">
        <v>27</v>
      </c>
      <c r="J3545" t="s">
        <v>23</v>
      </c>
      <c r="K3545" s="3">
        <v>11850.09</v>
      </c>
      <c r="L3545" t="b">
        <f>TablaDatos[[#This Row],[FechaAlta]] &lt; TablaDatos[[#This Row],[FechaIngreso]]</f>
        <v>0</v>
      </c>
      <c r="M3545">
        <f>_xlfn.XLOOKUP(TablaDatos[[#This Row],[PacienteID]],'Datos_Ejemplo.csv'!A:A,'Datos_Ejemplo.csv'!I:I)</f>
        <v>27</v>
      </c>
      <c r="N3545">
        <f>ABS(TablaDatos[[#This Row],[DiasOriginal]])</f>
        <v>27</v>
      </c>
      <c r="O3545" s="1">
        <f>TablaDatos[[#This Row],[FechaIngreso]]+TablaDatos[[#This Row],[DiasNuevo]]</f>
        <v>45291</v>
      </c>
    </row>
    <row r="3546" spans="1:15">
      <c r="A3546">
        <v>3545</v>
      </c>
      <c r="B3546" t="s">
        <v>249</v>
      </c>
      <c r="C3546" s="1">
        <v>33969</v>
      </c>
      <c r="D3546">
        <v>33</v>
      </c>
      <c r="E3546" s="4" t="s">
        <v>15</v>
      </c>
      <c r="F3546" t="s">
        <v>13</v>
      </c>
      <c r="G3546" s="1">
        <v>45374</v>
      </c>
      <c r="H3546" s="1">
        <f>TablaDatos[[#This Row],[FechaIngreso]]+TablaDatos[[#This Row],[DiasNuevo]]</f>
        <v>45411</v>
      </c>
      <c r="I3546">
        <v>37</v>
      </c>
      <c r="J3546" t="s">
        <v>25</v>
      </c>
      <c r="K3546" s="3">
        <v>11148.62</v>
      </c>
      <c r="L3546" t="b">
        <f>TablaDatos[[#This Row],[FechaAlta]] &lt; TablaDatos[[#This Row],[FechaIngreso]]</f>
        <v>0</v>
      </c>
      <c r="M3546">
        <f>_xlfn.XLOOKUP(TablaDatos[[#This Row],[PacienteID]],'Datos_Ejemplo.csv'!A:A,'Datos_Ejemplo.csv'!I:I)</f>
        <v>37</v>
      </c>
      <c r="N3546">
        <f>ABS(TablaDatos[[#This Row],[DiasOriginal]])</f>
        <v>37</v>
      </c>
      <c r="O3546" s="1">
        <f>TablaDatos[[#This Row],[FechaIngreso]]+TablaDatos[[#This Row],[DiasNuevo]]</f>
        <v>45411</v>
      </c>
    </row>
    <row r="3547" spans="1:15">
      <c r="A3547">
        <v>3546</v>
      </c>
      <c r="B3547" t="s">
        <v>329</v>
      </c>
      <c r="C3547" s="1">
        <v>25934</v>
      </c>
      <c r="D3547">
        <v>55</v>
      </c>
      <c r="E3547" s="4" t="s">
        <v>15</v>
      </c>
      <c r="F3547" t="s">
        <v>261</v>
      </c>
      <c r="G3547" s="1">
        <v>45510</v>
      </c>
      <c r="H3547" s="1">
        <f>TablaDatos[[#This Row],[FechaIngreso]]+TablaDatos[[#This Row],[DiasNuevo]]</f>
        <v>45510</v>
      </c>
      <c r="I3547">
        <v>0</v>
      </c>
      <c r="J3547" t="s">
        <v>25</v>
      </c>
      <c r="K3547" s="3">
        <v>1952.13</v>
      </c>
      <c r="L3547" t="b">
        <f>TablaDatos[[#This Row],[FechaAlta]] &lt; TablaDatos[[#This Row],[FechaIngreso]]</f>
        <v>0</v>
      </c>
      <c r="M3547">
        <f>_xlfn.XLOOKUP(TablaDatos[[#This Row],[PacienteID]],'Datos_Ejemplo.csv'!A:A,'Datos_Ejemplo.csv'!I:I)</f>
        <v>0</v>
      </c>
      <c r="N3547">
        <f>ABS(TablaDatos[[#This Row],[DiasOriginal]])</f>
        <v>0</v>
      </c>
      <c r="O3547" s="1">
        <f>TablaDatos[[#This Row],[FechaIngreso]]+TablaDatos[[#This Row],[DiasNuevo]]</f>
        <v>45510</v>
      </c>
    </row>
    <row r="3548" spans="1:15">
      <c r="A3548">
        <v>3547</v>
      </c>
      <c r="B3548" t="s">
        <v>282</v>
      </c>
      <c r="C3548" s="1">
        <v>36161</v>
      </c>
      <c r="D3548">
        <v>27</v>
      </c>
      <c r="E3548" s="4" t="s">
        <v>15</v>
      </c>
      <c r="F3548" t="s">
        <v>18</v>
      </c>
      <c r="G3548" s="1">
        <v>45283</v>
      </c>
      <c r="H3548" s="1">
        <f>TablaDatos[[#This Row],[FechaIngreso]]+TablaDatos[[#This Row],[DiasNuevo]]</f>
        <v>45303</v>
      </c>
      <c r="I3548">
        <v>20</v>
      </c>
      <c r="J3548" t="s">
        <v>25</v>
      </c>
      <c r="K3548" s="3">
        <v>8375.69</v>
      </c>
      <c r="L3548" t="b">
        <f>TablaDatos[[#This Row],[FechaAlta]] &lt; TablaDatos[[#This Row],[FechaIngreso]]</f>
        <v>0</v>
      </c>
      <c r="M3548">
        <f>_xlfn.XLOOKUP(TablaDatos[[#This Row],[PacienteID]],'Datos_Ejemplo.csv'!A:A,'Datos_Ejemplo.csv'!I:I)</f>
        <v>20</v>
      </c>
      <c r="N3548">
        <f>ABS(TablaDatos[[#This Row],[DiasOriginal]])</f>
        <v>20</v>
      </c>
      <c r="O3548" s="1">
        <f>TablaDatos[[#This Row],[FechaIngreso]]+TablaDatos[[#This Row],[DiasNuevo]]</f>
        <v>45303</v>
      </c>
    </row>
    <row r="3549" spans="1:15">
      <c r="A3549">
        <v>3548</v>
      </c>
      <c r="B3549" t="s">
        <v>344</v>
      </c>
      <c r="C3549" s="1">
        <v>32873</v>
      </c>
      <c r="D3549">
        <v>36</v>
      </c>
      <c r="E3549" s="4" t="s">
        <v>12</v>
      </c>
      <c r="F3549" t="s">
        <v>18</v>
      </c>
      <c r="G3549" s="1">
        <v>44975</v>
      </c>
      <c r="H3549" s="1">
        <f>TablaDatos[[#This Row],[FechaIngreso]]+TablaDatos[[#This Row],[DiasNuevo]]</f>
        <v>45001</v>
      </c>
      <c r="I3549">
        <v>26</v>
      </c>
      <c r="J3549" t="s">
        <v>25</v>
      </c>
      <c r="K3549" s="3">
        <v>18450.48</v>
      </c>
      <c r="L3549" t="b">
        <f>TablaDatos[[#This Row],[FechaAlta]] &lt; TablaDatos[[#This Row],[FechaIngreso]]</f>
        <v>0</v>
      </c>
      <c r="M3549">
        <f>_xlfn.XLOOKUP(TablaDatos[[#This Row],[PacienteID]],'Datos_Ejemplo.csv'!A:A,'Datos_Ejemplo.csv'!I:I)</f>
        <v>26</v>
      </c>
      <c r="N3549">
        <f>ABS(TablaDatos[[#This Row],[DiasOriginal]])</f>
        <v>26</v>
      </c>
      <c r="O3549" s="1">
        <f>TablaDatos[[#This Row],[FechaIngreso]]+TablaDatos[[#This Row],[DiasNuevo]]</f>
        <v>45001</v>
      </c>
    </row>
    <row r="3550" spans="1:15">
      <c r="A3550">
        <v>3549</v>
      </c>
      <c r="B3550" t="s">
        <v>347</v>
      </c>
      <c r="C3550" s="1">
        <v>43831</v>
      </c>
      <c r="D3550">
        <v>6</v>
      </c>
      <c r="E3550" s="4" t="s">
        <v>12</v>
      </c>
      <c r="F3550" t="s">
        <v>13</v>
      </c>
      <c r="G3550" s="1">
        <v>45422</v>
      </c>
      <c r="H3550" s="1">
        <f>TablaDatos[[#This Row],[FechaIngreso]]+TablaDatos[[#This Row],[DiasNuevo]]</f>
        <v>45460</v>
      </c>
      <c r="I3550">
        <v>38</v>
      </c>
      <c r="J3550" t="s">
        <v>19</v>
      </c>
      <c r="K3550" s="3">
        <v>17434.61</v>
      </c>
      <c r="L3550" t="b">
        <f>TablaDatos[[#This Row],[FechaAlta]] &lt; TablaDatos[[#This Row],[FechaIngreso]]</f>
        <v>0</v>
      </c>
      <c r="M3550">
        <f>_xlfn.XLOOKUP(TablaDatos[[#This Row],[PacienteID]],'Datos_Ejemplo.csv'!A:A,'Datos_Ejemplo.csv'!I:I)</f>
        <v>38</v>
      </c>
      <c r="N3550">
        <f>ABS(TablaDatos[[#This Row],[DiasOriginal]])</f>
        <v>38</v>
      </c>
      <c r="O3550" s="1">
        <f>TablaDatos[[#This Row],[FechaIngreso]]+TablaDatos[[#This Row],[DiasNuevo]]</f>
        <v>45460</v>
      </c>
    </row>
    <row r="3551" spans="1:15">
      <c r="A3551">
        <v>3550</v>
      </c>
      <c r="B3551" t="s">
        <v>258</v>
      </c>
      <c r="C3551" s="1">
        <v>21551</v>
      </c>
      <c r="D3551">
        <v>67</v>
      </c>
      <c r="E3551" s="4" t="s">
        <v>12</v>
      </c>
      <c r="F3551" t="s">
        <v>21</v>
      </c>
      <c r="G3551" s="1">
        <v>45272</v>
      </c>
      <c r="H3551" s="1">
        <f>TablaDatos[[#This Row],[FechaIngreso]]+TablaDatos[[#This Row],[DiasNuevo]]</f>
        <v>45299</v>
      </c>
      <c r="I3551">
        <v>27</v>
      </c>
      <c r="J3551" t="s">
        <v>19</v>
      </c>
      <c r="K3551" s="3">
        <v>11774.75</v>
      </c>
      <c r="L3551" t="b">
        <f>TablaDatos[[#This Row],[FechaAlta]] &lt; TablaDatos[[#This Row],[FechaIngreso]]</f>
        <v>0</v>
      </c>
      <c r="M3551">
        <f>_xlfn.XLOOKUP(TablaDatos[[#This Row],[PacienteID]],'Datos_Ejemplo.csv'!A:A,'Datos_Ejemplo.csv'!I:I)</f>
        <v>27</v>
      </c>
      <c r="N3551">
        <f>ABS(TablaDatos[[#This Row],[DiasOriginal]])</f>
        <v>27</v>
      </c>
      <c r="O3551" s="1">
        <f>TablaDatos[[#This Row],[FechaIngreso]]+TablaDatos[[#This Row],[DiasNuevo]]</f>
        <v>45299</v>
      </c>
    </row>
    <row r="3552" spans="1:15">
      <c r="A3552">
        <v>3551</v>
      </c>
      <c r="B3552" t="s">
        <v>344</v>
      </c>
      <c r="C3552" s="1">
        <v>32873</v>
      </c>
      <c r="D3552">
        <v>36</v>
      </c>
      <c r="E3552" s="4" t="s">
        <v>12</v>
      </c>
      <c r="F3552" t="s">
        <v>261</v>
      </c>
      <c r="G3552" s="1">
        <v>45628</v>
      </c>
      <c r="H3552" s="1">
        <f>TablaDatos[[#This Row],[FechaIngreso]]+TablaDatos[[#This Row],[DiasNuevo]]</f>
        <v>45636</v>
      </c>
      <c r="I3552">
        <v>8</v>
      </c>
      <c r="J3552" t="s">
        <v>19</v>
      </c>
      <c r="K3552" s="3">
        <v>11403.72</v>
      </c>
      <c r="L3552" t="b">
        <f>TablaDatos[[#This Row],[FechaAlta]] &lt; TablaDatos[[#This Row],[FechaIngreso]]</f>
        <v>0</v>
      </c>
      <c r="M3552">
        <f>_xlfn.XLOOKUP(TablaDatos[[#This Row],[PacienteID]],'Datos_Ejemplo.csv'!A:A,'Datos_Ejemplo.csv'!I:I)</f>
        <v>8</v>
      </c>
      <c r="N3552">
        <f>ABS(TablaDatos[[#This Row],[DiasOriginal]])</f>
        <v>8</v>
      </c>
      <c r="O3552" s="1">
        <f>TablaDatos[[#This Row],[FechaIngreso]]+TablaDatos[[#This Row],[DiasNuevo]]</f>
        <v>45636</v>
      </c>
    </row>
    <row r="3553" spans="1:15">
      <c r="A3553">
        <v>3552</v>
      </c>
      <c r="B3553" t="s">
        <v>288</v>
      </c>
      <c r="C3553" s="1">
        <v>25934</v>
      </c>
      <c r="D3553">
        <v>55</v>
      </c>
      <c r="E3553" s="4" t="s">
        <v>15</v>
      </c>
      <c r="F3553" t="s">
        <v>21</v>
      </c>
      <c r="G3553" s="1">
        <v>45219</v>
      </c>
      <c r="H3553" s="1">
        <f>TablaDatos[[#This Row],[FechaIngreso]]+TablaDatos[[#This Row],[DiasNuevo]]</f>
        <v>45237</v>
      </c>
      <c r="I3553">
        <v>18</v>
      </c>
      <c r="J3553" t="s">
        <v>23</v>
      </c>
      <c r="K3553" s="3">
        <v>2144.67</v>
      </c>
      <c r="L3553" t="b">
        <f>TablaDatos[[#This Row],[FechaAlta]] &lt; TablaDatos[[#This Row],[FechaIngreso]]</f>
        <v>0</v>
      </c>
      <c r="M3553">
        <f>_xlfn.XLOOKUP(TablaDatos[[#This Row],[PacienteID]],'Datos_Ejemplo.csv'!A:A,'Datos_Ejemplo.csv'!I:I)</f>
        <v>18</v>
      </c>
      <c r="N3553">
        <f>ABS(TablaDatos[[#This Row],[DiasOriginal]])</f>
        <v>18</v>
      </c>
      <c r="O3553" s="1">
        <f>TablaDatos[[#This Row],[FechaIngreso]]+TablaDatos[[#This Row],[DiasNuevo]]</f>
        <v>45237</v>
      </c>
    </row>
    <row r="3554" spans="1:15">
      <c r="A3554">
        <v>3553</v>
      </c>
      <c r="B3554" t="s">
        <v>275</v>
      </c>
      <c r="C3554" s="1">
        <v>22646</v>
      </c>
      <c r="D3554">
        <v>64</v>
      </c>
      <c r="E3554" s="4" t="s">
        <v>12</v>
      </c>
      <c r="F3554" t="s">
        <v>13</v>
      </c>
      <c r="G3554" s="1">
        <v>45615</v>
      </c>
      <c r="H3554" s="1">
        <f>TablaDatos[[#This Row],[FechaIngreso]]+TablaDatos[[#This Row],[DiasNuevo]]</f>
        <v>45639</v>
      </c>
      <c r="I3554">
        <v>24</v>
      </c>
      <c r="J3554" t="s">
        <v>23</v>
      </c>
      <c r="K3554" s="3">
        <v>3925.21</v>
      </c>
      <c r="L3554" t="b">
        <f>TablaDatos[[#This Row],[FechaAlta]] &lt; TablaDatos[[#This Row],[FechaIngreso]]</f>
        <v>0</v>
      </c>
      <c r="M3554">
        <f>_xlfn.XLOOKUP(TablaDatos[[#This Row],[PacienteID]],'Datos_Ejemplo.csv'!A:A,'Datos_Ejemplo.csv'!I:I)</f>
        <v>24</v>
      </c>
      <c r="N3554">
        <f>ABS(TablaDatos[[#This Row],[DiasOriginal]])</f>
        <v>24</v>
      </c>
      <c r="O3554" s="1">
        <f>TablaDatos[[#This Row],[FechaIngreso]]+TablaDatos[[#This Row],[DiasNuevo]]</f>
        <v>45639</v>
      </c>
    </row>
    <row r="3555" spans="1:15">
      <c r="A3555">
        <v>3554</v>
      </c>
      <c r="B3555" t="s">
        <v>308</v>
      </c>
      <c r="C3555" s="1">
        <v>22646</v>
      </c>
      <c r="D3555">
        <v>64</v>
      </c>
      <c r="E3555" s="4" t="s">
        <v>12</v>
      </c>
      <c r="F3555" t="s">
        <v>21</v>
      </c>
      <c r="G3555" s="1">
        <v>45599</v>
      </c>
      <c r="H3555" s="1">
        <f>TablaDatos[[#This Row],[FechaIngreso]]+TablaDatos[[#This Row],[DiasNuevo]]</f>
        <v>45620</v>
      </c>
      <c r="I3555">
        <v>21</v>
      </c>
      <c r="J3555" t="s">
        <v>23</v>
      </c>
      <c r="K3555" s="3">
        <v>4978.0600000000004</v>
      </c>
      <c r="L3555" t="b">
        <f>TablaDatos[[#This Row],[FechaAlta]] &lt; TablaDatos[[#This Row],[FechaIngreso]]</f>
        <v>0</v>
      </c>
      <c r="M3555">
        <f>_xlfn.XLOOKUP(TablaDatos[[#This Row],[PacienteID]],'Datos_Ejemplo.csv'!A:A,'Datos_Ejemplo.csv'!I:I)</f>
        <v>21</v>
      </c>
      <c r="N3555">
        <f>ABS(TablaDatos[[#This Row],[DiasOriginal]])</f>
        <v>21</v>
      </c>
      <c r="O3555" s="1">
        <f>TablaDatos[[#This Row],[FechaIngreso]]+TablaDatos[[#This Row],[DiasNuevo]]</f>
        <v>45620</v>
      </c>
    </row>
    <row r="3556" spans="1:15">
      <c r="A3556">
        <v>3555</v>
      </c>
      <c r="B3556" t="s">
        <v>273</v>
      </c>
      <c r="C3556" s="1">
        <v>29221</v>
      </c>
      <c r="D3556">
        <v>46</v>
      </c>
      <c r="E3556" s="4" t="s">
        <v>12</v>
      </c>
      <c r="F3556" t="s">
        <v>18</v>
      </c>
      <c r="G3556" s="1">
        <v>45076</v>
      </c>
      <c r="H3556" s="1">
        <f>TablaDatos[[#This Row],[FechaIngreso]]+TablaDatos[[#This Row],[DiasNuevo]]</f>
        <v>45104</v>
      </c>
      <c r="I3556">
        <v>28</v>
      </c>
      <c r="J3556" t="s">
        <v>23</v>
      </c>
      <c r="K3556" s="3">
        <v>9712.73</v>
      </c>
      <c r="L3556" t="b">
        <f>TablaDatos[[#This Row],[FechaAlta]] &lt; TablaDatos[[#This Row],[FechaIngreso]]</f>
        <v>0</v>
      </c>
      <c r="M3556">
        <f>_xlfn.XLOOKUP(TablaDatos[[#This Row],[PacienteID]],'Datos_Ejemplo.csv'!A:A,'Datos_Ejemplo.csv'!I:I)</f>
        <v>28</v>
      </c>
      <c r="N3556">
        <f>ABS(TablaDatos[[#This Row],[DiasOriginal]])</f>
        <v>28</v>
      </c>
      <c r="O3556" s="1">
        <f>TablaDatos[[#This Row],[FechaIngreso]]+TablaDatos[[#This Row],[DiasNuevo]]</f>
        <v>45104</v>
      </c>
    </row>
    <row r="3557" spans="1:15">
      <c r="A3557">
        <v>3556</v>
      </c>
      <c r="B3557" t="s">
        <v>308</v>
      </c>
      <c r="C3557" s="1">
        <v>39083</v>
      </c>
      <c r="D3557">
        <v>19</v>
      </c>
      <c r="E3557" s="4" t="s">
        <v>15</v>
      </c>
      <c r="F3557" t="s">
        <v>18</v>
      </c>
      <c r="G3557" s="1">
        <v>45508</v>
      </c>
      <c r="H3557" s="1">
        <f>TablaDatos[[#This Row],[FechaIngreso]]+TablaDatos[[#This Row],[DiasNuevo]]</f>
        <v>45535</v>
      </c>
      <c r="I3557">
        <v>27</v>
      </c>
      <c r="J3557" t="s">
        <v>25</v>
      </c>
      <c r="K3557" s="3">
        <v>14600.26</v>
      </c>
      <c r="L3557" t="b">
        <f>TablaDatos[[#This Row],[FechaAlta]] &lt; TablaDatos[[#This Row],[FechaIngreso]]</f>
        <v>0</v>
      </c>
      <c r="M3557">
        <f>_xlfn.XLOOKUP(TablaDatos[[#This Row],[PacienteID]],'Datos_Ejemplo.csv'!A:A,'Datos_Ejemplo.csv'!I:I)</f>
        <v>27</v>
      </c>
      <c r="N3557">
        <f>ABS(TablaDatos[[#This Row],[DiasOriginal]])</f>
        <v>27</v>
      </c>
      <c r="O3557" s="1">
        <f>TablaDatos[[#This Row],[FechaIngreso]]+TablaDatos[[#This Row],[DiasNuevo]]</f>
        <v>45535</v>
      </c>
    </row>
    <row r="3558" spans="1:15">
      <c r="A3558">
        <v>3557</v>
      </c>
      <c r="B3558" t="s">
        <v>311</v>
      </c>
      <c r="C3558" s="1">
        <v>39448</v>
      </c>
      <c r="D3558">
        <v>18</v>
      </c>
      <c r="E3558" s="4" t="s">
        <v>12</v>
      </c>
      <c r="F3558" t="s">
        <v>21</v>
      </c>
      <c r="G3558" s="1">
        <v>45471</v>
      </c>
      <c r="H3558" s="1">
        <f>TablaDatos[[#This Row],[FechaIngreso]]+TablaDatos[[#This Row],[DiasNuevo]]</f>
        <v>45473</v>
      </c>
      <c r="I3558">
        <v>2</v>
      </c>
      <c r="J3558" t="s">
        <v>25</v>
      </c>
      <c r="K3558" s="3">
        <v>9160.58</v>
      </c>
      <c r="L3558" t="b">
        <f>TablaDatos[[#This Row],[FechaAlta]] &lt; TablaDatos[[#This Row],[FechaIngreso]]</f>
        <v>0</v>
      </c>
      <c r="M3558">
        <f>_xlfn.XLOOKUP(TablaDatos[[#This Row],[PacienteID]],'Datos_Ejemplo.csv'!A:A,'Datos_Ejemplo.csv'!I:I)</f>
        <v>-2</v>
      </c>
      <c r="N3558">
        <f>ABS(TablaDatos[[#This Row],[DiasOriginal]])</f>
        <v>2</v>
      </c>
      <c r="O3558" s="1">
        <f>TablaDatos[[#This Row],[FechaIngreso]]+TablaDatos[[#This Row],[DiasNuevo]]</f>
        <v>45473</v>
      </c>
    </row>
    <row r="3559" spans="1:15">
      <c r="A3559">
        <v>3558</v>
      </c>
      <c r="B3559" t="s">
        <v>302</v>
      </c>
      <c r="C3559" s="1">
        <v>35795</v>
      </c>
      <c r="D3559">
        <v>28</v>
      </c>
      <c r="E3559" s="4" t="s">
        <v>12</v>
      </c>
      <c r="F3559" t="s">
        <v>18</v>
      </c>
      <c r="G3559" s="1">
        <v>45186</v>
      </c>
      <c r="H3559" s="1">
        <f>TablaDatos[[#This Row],[FechaIngreso]]+TablaDatos[[#This Row],[DiasNuevo]]</f>
        <v>45188</v>
      </c>
      <c r="I3559">
        <v>2</v>
      </c>
      <c r="J3559" t="s">
        <v>19</v>
      </c>
      <c r="K3559" s="3">
        <v>2433.83</v>
      </c>
      <c r="L3559" t="b">
        <f>TablaDatos[[#This Row],[FechaAlta]] &lt; TablaDatos[[#This Row],[FechaIngreso]]</f>
        <v>0</v>
      </c>
      <c r="M3559">
        <f>_xlfn.XLOOKUP(TablaDatos[[#This Row],[PacienteID]],'Datos_Ejemplo.csv'!A:A,'Datos_Ejemplo.csv'!I:I)</f>
        <v>-2</v>
      </c>
      <c r="N3559">
        <f>ABS(TablaDatos[[#This Row],[DiasOriginal]])</f>
        <v>2</v>
      </c>
      <c r="O3559" s="1">
        <f>TablaDatos[[#This Row],[FechaIngreso]]+TablaDatos[[#This Row],[DiasNuevo]]</f>
        <v>45188</v>
      </c>
    </row>
    <row r="3560" spans="1:15">
      <c r="A3560">
        <v>3559</v>
      </c>
      <c r="B3560" t="s">
        <v>335</v>
      </c>
      <c r="C3560" s="1">
        <v>19359</v>
      </c>
      <c r="D3560">
        <v>73</v>
      </c>
      <c r="E3560" s="4" t="s">
        <v>12</v>
      </c>
      <c r="F3560" t="s">
        <v>295</v>
      </c>
      <c r="G3560" s="1">
        <v>45248</v>
      </c>
      <c r="H3560" s="1">
        <f>TablaDatos[[#This Row],[FechaIngreso]]+TablaDatos[[#This Row],[DiasNuevo]]</f>
        <v>45253</v>
      </c>
      <c r="I3560">
        <v>5</v>
      </c>
      <c r="J3560" t="s">
        <v>19</v>
      </c>
      <c r="K3560" s="3">
        <v>8730.91</v>
      </c>
      <c r="L3560" t="b">
        <f>TablaDatos[[#This Row],[FechaAlta]] &lt; TablaDatos[[#This Row],[FechaIngreso]]</f>
        <v>0</v>
      </c>
      <c r="M3560">
        <f>_xlfn.XLOOKUP(TablaDatos[[#This Row],[PacienteID]],'Datos_Ejemplo.csv'!A:A,'Datos_Ejemplo.csv'!I:I)</f>
        <v>5</v>
      </c>
      <c r="N3560">
        <f>ABS(TablaDatos[[#This Row],[DiasOriginal]])</f>
        <v>5</v>
      </c>
      <c r="O3560" s="1">
        <f>TablaDatos[[#This Row],[FechaIngreso]]+TablaDatos[[#This Row],[DiasNuevo]]</f>
        <v>45253</v>
      </c>
    </row>
    <row r="3561" spans="1:15">
      <c r="A3561">
        <v>3560</v>
      </c>
      <c r="B3561" t="s">
        <v>351</v>
      </c>
      <c r="C3561" s="1">
        <v>24473</v>
      </c>
      <c r="D3561">
        <v>59</v>
      </c>
      <c r="E3561" s="4" t="s">
        <v>12</v>
      </c>
      <c r="F3561" t="s">
        <v>18</v>
      </c>
      <c r="G3561" s="1">
        <v>45003</v>
      </c>
      <c r="H3561" s="1">
        <f>TablaDatos[[#This Row],[FechaIngreso]]+TablaDatos[[#This Row],[DiasNuevo]]</f>
        <v>45042</v>
      </c>
      <c r="I3561">
        <v>39</v>
      </c>
      <c r="J3561" t="s">
        <v>23</v>
      </c>
      <c r="K3561" s="3">
        <v>3168.93</v>
      </c>
      <c r="L3561" t="b">
        <f>TablaDatos[[#This Row],[FechaAlta]] &lt; TablaDatos[[#This Row],[FechaIngreso]]</f>
        <v>0</v>
      </c>
      <c r="M3561">
        <f>_xlfn.XLOOKUP(TablaDatos[[#This Row],[PacienteID]],'Datos_Ejemplo.csv'!A:A,'Datos_Ejemplo.csv'!I:I)</f>
        <v>39</v>
      </c>
      <c r="N3561">
        <f>ABS(TablaDatos[[#This Row],[DiasOriginal]])</f>
        <v>39</v>
      </c>
      <c r="O3561" s="1">
        <f>TablaDatos[[#This Row],[FechaIngreso]]+TablaDatos[[#This Row],[DiasNuevo]]</f>
        <v>45042</v>
      </c>
    </row>
    <row r="3562" spans="1:15">
      <c r="A3562">
        <v>3561</v>
      </c>
      <c r="B3562" t="s">
        <v>231</v>
      </c>
      <c r="C3562" s="1">
        <v>39813</v>
      </c>
      <c r="D3562">
        <v>17</v>
      </c>
      <c r="E3562" s="4" t="s">
        <v>12</v>
      </c>
      <c r="F3562" t="s">
        <v>13</v>
      </c>
      <c r="G3562" s="1">
        <v>45036</v>
      </c>
      <c r="H3562" s="1">
        <f>TablaDatos[[#This Row],[FechaIngreso]]+TablaDatos[[#This Row],[DiasNuevo]]</f>
        <v>45067</v>
      </c>
      <c r="I3562">
        <v>31</v>
      </c>
      <c r="J3562" t="s">
        <v>23</v>
      </c>
      <c r="K3562" s="3">
        <v>14998.06</v>
      </c>
      <c r="L3562" t="b">
        <f>TablaDatos[[#This Row],[FechaAlta]] &lt; TablaDatos[[#This Row],[FechaIngreso]]</f>
        <v>0</v>
      </c>
      <c r="M3562">
        <f>_xlfn.XLOOKUP(TablaDatos[[#This Row],[PacienteID]],'Datos_Ejemplo.csv'!A:A,'Datos_Ejemplo.csv'!I:I)</f>
        <v>31</v>
      </c>
      <c r="N3562">
        <f>ABS(TablaDatos[[#This Row],[DiasOriginal]])</f>
        <v>31</v>
      </c>
      <c r="O3562" s="1">
        <f>TablaDatos[[#This Row],[FechaIngreso]]+TablaDatos[[#This Row],[DiasNuevo]]</f>
        <v>45067</v>
      </c>
    </row>
    <row r="3563" spans="1:15">
      <c r="A3563">
        <v>3562</v>
      </c>
      <c r="B3563" t="s">
        <v>368</v>
      </c>
      <c r="C3563" s="1">
        <v>12785</v>
      </c>
      <c r="D3563">
        <v>91</v>
      </c>
      <c r="E3563" s="4" t="s">
        <v>12</v>
      </c>
      <c r="F3563" t="s">
        <v>32</v>
      </c>
      <c r="G3563" s="1">
        <v>45577</v>
      </c>
      <c r="H3563" s="1">
        <f>TablaDatos[[#This Row],[FechaIngreso]]+TablaDatos[[#This Row],[DiasNuevo]]</f>
        <v>45590</v>
      </c>
      <c r="I3563">
        <v>13</v>
      </c>
      <c r="J3563" t="s">
        <v>19</v>
      </c>
      <c r="K3563" s="3">
        <v>3246.67</v>
      </c>
      <c r="L3563" t="b">
        <f>TablaDatos[[#This Row],[FechaAlta]] &lt; TablaDatos[[#This Row],[FechaIngreso]]</f>
        <v>0</v>
      </c>
      <c r="M3563">
        <f>_xlfn.XLOOKUP(TablaDatos[[#This Row],[PacienteID]],'Datos_Ejemplo.csv'!A:A,'Datos_Ejemplo.csv'!I:I)</f>
        <v>13</v>
      </c>
      <c r="N3563">
        <f>ABS(TablaDatos[[#This Row],[DiasOriginal]])</f>
        <v>13</v>
      </c>
      <c r="O3563" s="1">
        <f>TablaDatos[[#This Row],[FechaIngreso]]+TablaDatos[[#This Row],[DiasNuevo]]</f>
        <v>45590</v>
      </c>
    </row>
    <row r="3564" spans="1:15">
      <c r="A3564">
        <v>3563</v>
      </c>
      <c r="B3564" t="s">
        <v>114</v>
      </c>
      <c r="C3564" s="1">
        <v>33604</v>
      </c>
      <c r="D3564">
        <v>34</v>
      </c>
      <c r="E3564" s="4" t="s">
        <v>12</v>
      </c>
      <c r="F3564" t="s">
        <v>21</v>
      </c>
      <c r="G3564" s="1">
        <v>45473</v>
      </c>
      <c r="H3564" s="1">
        <f>TablaDatos[[#This Row],[FechaIngreso]]+TablaDatos[[#This Row],[DiasNuevo]]</f>
        <v>45497</v>
      </c>
      <c r="I3564">
        <v>24</v>
      </c>
      <c r="J3564" t="s">
        <v>25</v>
      </c>
      <c r="K3564" s="3">
        <v>9598.93</v>
      </c>
      <c r="L3564" t="b">
        <f>TablaDatos[[#This Row],[FechaAlta]] &lt; TablaDatos[[#This Row],[FechaIngreso]]</f>
        <v>0</v>
      </c>
      <c r="M3564">
        <f>_xlfn.XLOOKUP(TablaDatos[[#This Row],[PacienteID]],'Datos_Ejemplo.csv'!A:A,'Datos_Ejemplo.csv'!I:I)</f>
        <v>24</v>
      </c>
      <c r="N3564">
        <f>ABS(TablaDatos[[#This Row],[DiasOriginal]])</f>
        <v>24</v>
      </c>
      <c r="O3564" s="1">
        <f>TablaDatos[[#This Row],[FechaIngreso]]+TablaDatos[[#This Row],[DiasNuevo]]</f>
        <v>45497</v>
      </c>
    </row>
    <row r="3565" spans="1:15">
      <c r="A3565">
        <v>3564</v>
      </c>
      <c r="B3565" t="s">
        <v>327</v>
      </c>
      <c r="C3565" s="1">
        <v>30682</v>
      </c>
      <c r="D3565">
        <v>42</v>
      </c>
      <c r="E3565" s="4" t="s">
        <v>12</v>
      </c>
      <c r="F3565" t="s">
        <v>261</v>
      </c>
      <c r="G3565" s="1">
        <v>45349</v>
      </c>
      <c r="H3565" s="1">
        <f>TablaDatos[[#This Row],[FechaIngreso]]+TablaDatos[[#This Row],[DiasNuevo]]</f>
        <v>45350</v>
      </c>
      <c r="I3565">
        <v>1</v>
      </c>
      <c r="J3565" t="s">
        <v>19</v>
      </c>
      <c r="K3565" s="3">
        <v>13837.61</v>
      </c>
      <c r="L3565" t="b">
        <f>TablaDatos[[#This Row],[FechaAlta]] &lt; TablaDatos[[#This Row],[FechaIngreso]]</f>
        <v>0</v>
      </c>
      <c r="M3565">
        <f>_xlfn.XLOOKUP(TablaDatos[[#This Row],[PacienteID]],'Datos_Ejemplo.csv'!A:A,'Datos_Ejemplo.csv'!I:I)</f>
        <v>1</v>
      </c>
      <c r="N3565">
        <f>ABS(TablaDatos[[#This Row],[DiasOriginal]])</f>
        <v>1</v>
      </c>
      <c r="O3565" s="1">
        <f>TablaDatos[[#This Row],[FechaIngreso]]+TablaDatos[[#This Row],[DiasNuevo]]</f>
        <v>45350</v>
      </c>
    </row>
    <row r="3566" spans="1:15">
      <c r="A3566">
        <v>3565</v>
      </c>
      <c r="B3566" t="s">
        <v>162</v>
      </c>
      <c r="C3566" s="1">
        <v>11689</v>
      </c>
      <c r="D3566">
        <v>94</v>
      </c>
      <c r="E3566" s="4" t="s">
        <v>15</v>
      </c>
      <c r="F3566" t="s">
        <v>201</v>
      </c>
      <c r="G3566" s="1">
        <v>45320</v>
      </c>
      <c r="H3566" s="1">
        <f>TablaDatos[[#This Row],[FechaIngreso]]+TablaDatos[[#This Row],[DiasNuevo]]</f>
        <v>45336</v>
      </c>
      <c r="I3566">
        <v>16</v>
      </c>
      <c r="J3566" t="s">
        <v>25</v>
      </c>
      <c r="K3566" s="3">
        <v>4486.78</v>
      </c>
      <c r="L3566" t="b">
        <f>TablaDatos[[#This Row],[FechaAlta]] &lt; TablaDatos[[#This Row],[FechaIngreso]]</f>
        <v>0</v>
      </c>
      <c r="M3566">
        <f>_xlfn.XLOOKUP(TablaDatos[[#This Row],[PacienteID]],'Datos_Ejemplo.csv'!A:A,'Datos_Ejemplo.csv'!I:I)</f>
        <v>16</v>
      </c>
      <c r="N3566">
        <f>ABS(TablaDatos[[#This Row],[DiasOriginal]])</f>
        <v>16</v>
      </c>
      <c r="O3566" s="1">
        <f>TablaDatos[[#This Row],[FechaIngreso]]+TablaDatos[[#This Row],[DiasNuevo]]</f>
        <v>45336</v>
      </c>
    </row>
    <row r="3567" spans="1:15">
      <c r="A3567">
        <v>3566</v>
      </c>
      <c r="B3567" t="s">
        <v>161</v>
      </c>
      <c r="C3567" s="1">
        <v>13150</v>
      </c>
      <c r="D3567">
        <v>90</v>
      </c>
      <c r="E3567" s="4" t="s">
        <v>15</v>
      </c>
      <c r="F3567" t="s">
        <v>21</v>
      </c>
      <c r="G3567" s="1">
        <v>45161</v>
      </c>
      <c r="H3567" s="1">
        <f>TablaDatos[[#This Row],[FechaIngreso]]+TablaDatos[[#This Row],[DiasNuevo]]</f>
        <v>45187</v>
      </c>
      <c r="I3567">
        <v>26</v>
      </c>
      <c r="J3567" t="s">
        <v>25</v>
      </c>
      <c r="K3567" s="3">
        <v>1428.21</v>
      </c>
      <c r="L3567" t="b">
        <f>TablaDatos[[#This Row],[FechaAlta]] &lt; TablaDatos[[#This Row],[FechaIngreso]]</f>
        <v>0</v>
      </c>
      <c r="M3567">
        <f>_xlfn.XLOOKUP(TablaDatos[[#This Row],[PacienteID]],'Datos_Ejemplo.csv'!A:A,'Datos_Ejemplo.csv'!I:I)</f>
        <v>26</v>
      </c>
      <c r="N3567">
        <f>ABS(TablaDatos[[#This Row],[DiasOriginal]])</f>
        <v>26</v>
      </c>
      <c r="O3567" s="1">
        <f>TablaDatos[[#This Row],[FechaIngreso]]+TablaDatos[[#This Row],[DiasNuevo]]</f>
        <v>45187</v>
      </c>
    </row>
    <row r="3568" spans="1:15">
      <c r="A3568">
        <v>3567</v>
      </c>
      <c r="B3568" t="s">
        <v>356</v>
      </c>
      <c r="C3568" s="1">
        <v>42370</v>
      </c>
      <c r="D3568">
        <v>10</v>
      </c>
      <c r="E3568" s="4" t="s">
        <v>15</v>
      </c>
      <c r="F3568" t="s">
        <v>201</v>
      </c>
      <c r="G3568" s="1">
        <v>45256</v>
      </c>
      <c r="H3568" s="1">
        <f>TablaDatos[[#This Row],[FechaIngreso]]+TablaDatos[[#This Row],[DiasNuevo]]</f>
        <v>45294</v>
      </c>
      <c r="I3568">
        <v>38</v>
      </c>
      <c r="J3568" t="s">
        <v>23</v>
      </c>
      <c r="K3568" s="3">
        <v>11222.32</v>
      </c>
      <c r="L3568" t="b">
        <f>TablaDatos[[#This Row],[FechaAlta]] &lt; TablaDatos[[#This Row],[FechaIngreso]]</f>
        <v>0</v>
      </c>
      <c r="M3568">
        <f>_xlfn.XLOOKUP(TablaDatos[[#This Row],[PacienteID]],'Datos_Ejemplo.csv'!A:A,'Datos_Ejemplo.csv'!I:I)</f>
        <v>38</v>
      </c>
      <c r="N3568">
        <f>ABS(TablaDatos[[#This Row],[DiasOriginal]])</f>
        <v>38</v>
      </c>
      <c r="O3568" s="1">
        <f>TablaDatos[[#This Row],[FechaIngreso]]+TablaDatos[[#This Row],[DiasNuevo]]</f>
        <v>45294</v>
      </c>
    </row>
    <row r="3569" spans="1:15">
      <c r="A3569">
        <v>3568</v>
      </c>
      <c r="B3569" t="s">
        <v>326</v>
      </c>
      <c r="C3569" s="1">
        <v>28490</v>
      </c>
      <c r="D3569">
        <v>48</v>
      </c>
      <c r="E3569" s="4" t="s">
        <v>12</v>
      </c>
      <c r="F3569" t="s">
        <v>201</v>
      </c>
      <c r="G3569" s="1">
        <v>45638</v>
      </c>
      <c r="H3569" s="1">
        <f>TablaDatos[[#This Row],[FechaIngreso]]+TablaDatos[[#This Row],[DiasNuevo]]</f>
        <v>45638</v>
      </c>
      <c r="I3569">
        <v>0</v>
      </c>
      <c r="J3569" t="s">
        <v>23</v>
      </c>
      <c r="K3569" s="3">
        <v>989.47</v>
      </c>
      <c r="L3569" t="b">
        <f>TablaDatos[[#This Row],[FechaAlta]] &lt; TablaDatos[[#This Row],[FechaIngreso]]</f>
        <v>0</v>
      </c>
      <c r="M3569">
        <f>_xlfn.XLOOKUP(TablaDatos[[#This Row],[PacienteID]],'Datos_Ejemplo.csv'!A:A,'Datos_Ejemplo.csv'!I:I)</f>
        <v>0</v>
      </c>
      <c r="N3569">
        <f>ABS(TablaDatos[[#This Row],[DiasOriginal]])</f>
        <v>0</v>
      </c>
      <c r="O3569" s="1">
        <f>TablaDatos[[#This Row],[FechaIngreso]]+TablaDatos[[#This Row],[DiasNuevo]]</f>
        <v>45638</v>
      </c>
    </row>
    <row r="3570" spans="1:15">
      <c r="A3570">
        <v>3569</v>
      </c>
      <c r="B3570" t="s">
        <v>250</v>
      </c>
      <c r="C3570" s="1">
        <v>32508</v>
      </c>
      <c r="D3570">
        <v>37</v>
      </c>
      <c r="E3570" s="4" t="s">
        <v>12</v>
      </c>
      <c r="F3570" t="s">
        <v>18</v>
      </c>
      <c r="G3570" s="1">
        <v>45251</v>
      </c>
      <c r="H3570" s="1">
        <f>TablaDatos[[#This Row],[FechaIngreso]]+TablaDatos[[#This Row],[DiasNuevo]]</f>
        <v>45259</v>
      </c>
      <c r="I3570">
        <v>8</v>
      </c>
      <c r="J3570" t="s">
        <v>23</v>
      </c>
      <c r="K3570" s="3">
        <v>11714.15</v>
      </c>
      <c r="L3570" t="b">
        <f>TablaDatos[[#This Row],[FechaAlta]] &lt; TablaDatos[[#This Row],[FechaIngreso]]</f>
        <v>0</v>
      </c>
      <c r="M3570">
        <f>_xlfn.XLOOKUP(TablaDatos[[#This Row],[PacienteID]],'Datos_Ejemplo.csv'!A:A,'Datos_Ejemplo.csv'!I:I)</f>
        <v>8</v>
      </c>
      <c r="N3570">
        <f>ABS(TablaDatos[[#This Row],[DiasOriginal]])</f>
        <v>8</v>
      </c>
      <c r="O3570" s="1">
        <f>TablaDatos[[#This Row],[FechaIngreso]]+TablaDatos[[#This Row],[DiasNuevo]]</f>
        <v>45259</v>
      </c>
    </row>
    <row r="3571" spans="1:15">
      <c r="A3571">
        <v>3570</v>
      </c>
      <c r="B3571" t="s">
        <v>105</v>
      </c>
      <c r="C3571" s="1">
        <v>23012</v>
      </c>
      <c r="D3571">
        <v>63</v>
      </c>
      <c r="E3571" s="4" t="s">
        <v>197</v>
      </c>
      <c r="F3571" t="s">
        <v>18</v>
      </c>
      <c r="G3571" s="1">
        <v>45077</v>
      </c>
      <c r="H3571" s="1">
        <f>TablaDatos[[#This Row],[FechaIngreso]]+TablaDatos[[#This Row],[DiasNuevo]]</f>
        <v>45082</v>
      </c>
      <c r="I3571">
        <v>5</v>
      </c>
      <c r="J3571" t="s">
        <v>25</v>
      </c>
      <c r="K3571" s="3">
        <v>15045.32</v>
      </c>
      <c r="L3571" t="b">
        <f>TablaDatos[[#This Row],[FechaAlta]] &lt; TablaDatos[[#This Row],[FechaIngreso]]</f>
        <v>0</v>
      </c>
      <c r="M3571">
        <f>_xlfn.XLOOKUP(TablaDatos[[#This Row],[PacienteID]],'Datos_Ejemplo.csv'!A:A,'Datos_Ejemplo.csv'!I:I)</f>
        <v>5</v>
      </c>
      <c r="N3571">
        <f>ABS(TablaDatos[[#This Row],[DiasOriginal]])</f>
        <v>5</v>
      </c>
      <c r="O3571" s="1">
        <f>TablaDatos[[#This Row],[FechaIngreso]]+TablaDatos[[#This Row],[DiasNuevo]]</f>
        <v>45082</v>
      </c>
    </row>
    <row r="3572" spans="1:15">
      <c r="A3572">
        <v>3571</v>
      </c>
      <c r="B3572" t="s">
        <v>256</v>
      </c>
      <c r="C3572" s="1">
        <v>21185</v>
      </c>
      <c r="D3572">
        <v>68</v>
      </c>
      <c r="E3572" s="4" t="s">
        <v>15</v>
      </c>
      <c r="F3572" t="s">
        <v>32</v>
      </c>
      <c r="G3572" s="1">
        <v>45472</v>
      </c>
      <c r="H3572" s="1">
        <f>TablaDatos[[#This Row],[FechaIngreso]]+TablaDatos[[#This Row],[DiasNuevo]]</f>
        <v>45508</v>
      </c>
      <c r="I3572">
        <v>36</v>
      </c>
      <c r="J3572" t="s">
        <v>19</v>
      </c>
      <c r="K3572" s="3">
        <v>6519.25</v>
      </c>
      <c r="L3572" t="b">
        <f>TablaDatos[[#This Row],[FechaAlta]] &lt; TablaDatos[[#This Row],[FechaIngreso]]</f>
        <v>0</v>
      </c>
      <c r="M3572">
        <f>_xlfn.XLOOKUP(TablaDatos[[#This Row],[PacienteID]],'Datos_Ejemplo.csv'!A:A,'Datos_Ejemplo.csv'!I:I)</f>
        <v>36</v>
      </c>
      <c r="N3572">
        <f>ABS(TablaDatos[[#This Row],[DiasOriginal]])</f>
        <v>36</v>
      </c>
      <c r="O3572" s="1">
        <f>TablaDatos[[#This Row],[FechaIngreso]]+TablaDatos[[#This Row],[DiasNuevo]]</f>
        <v>45508</v>
      </c>
    </row>
    <row r="3573" spans="1:15">
      <c r="A3573">
        <v>3572</v>
      </c>
      <c r="B3573" t="s">
        <v>67</v>
      </c>
      <c r="C3573" s="1">
        <v>43466</v>
      </c>
      <c r="D3573">
        <v>7</v>
      </c>
      <c r="E3573" s="4" t="s">
        <v>15</v>
      </c>
      <c r="F3573" t="s">
        <v>32</v>
      </c>
      <c r="G3573" s="1">
        <v>45562</v>
      </c>
      <c r="H3573" s="1">
        <f>TablaDatos[[#This Row],[FechaIngreso]]+TablaDatos[[#This Row],[DiasNuevo]]</f>
        <v>45592</v>
      </c>
      <c r="I3573">
        <v>30</v>
      </c>
      <c r="J3573" t="s">
        <v>25</v>
      </c>
      <c r="K3573" s="3">
        <v>9715.82</v>
      </c>
      <c r="L3573" t="b">
        <f>TablaDatos[[#This Row],[FechaAlta]] &lt; TablaDatos[[#This Row],[FechaIngreso]]</f>
        <v>0</v>
      </c>
      <c r="M3573">
        <f>_xlfn.XLOOKUP(TablaDatos[[#This Row],[PacienteID]],'Datos_Ejemplo.csv'!A:A,'Datos_Ejemplo.csv'!I:I)</f>
        <v>30</v>
      </c>
      <c r="N3573">
        <f>ABS(TablaDatos[[#This Row],[DiasOriginal]])</f>
        <v>30</v>
      </c>
      <c r="O3573" s="1">
        <f>TablaDatos[[#This Row],[FechaIngreso]]+TablaDatos[[#This Row],[DiasNuevo]]</f>
        <v>45592</v>
      </c>
    </row>
    <row r="3574" spans="1:15">
      <c r="A3574">
        <v>3573</v>
      </c>
      <c r="B3574" t="s">
        <v>358</v>
      </c>
      <c r="C3574" s="1">
        <v>33969</v>
      </c>
      <c r="D3574">
        <v>33</v>
      </c>
      <c r="E3574" s="4" t="s">
        <v>15</v>
      </c>
      <c r="F3574" t="s">
        <v>261</v>
      </c>
      <c r="G3574" s="1">
        <v>44958</v>
      </c>
      <c r="H3574" s="1">
        <f>TablaDatos[[#This Row],[FechaIngreso]]+TablaDatos[[#This Row],[DiasNuevo]]</f>
        <v>44963</v>
      </c>
      <c r="I3574">
        <v>5</v>
      </c>
      <c r="J3574" t="s">
        <v>23</v>
      </c>
      <c r="K3574" s="3">
        <v>18568.11</v>
      </c>
      <c r="L3574" t="b">
        <f>TablaDatos[[#This Row],[FechaAlta]] &lt; TablaDatos[[#This Row],[FechaIngreso]]</f>
        <v>0</v>
      </c>
      <c r="M3574">
        <f>_xlfn.XLOOKUP(TablaDatos[[#This Row],[PacienteID]],'Datos_Ejemplo.csv'!A:A,'Datos_Ejemplo.csv'!I:I)</f>
        <v>5</v>
      </c>
      <c r="N3574">
        <f>ABS(TablaDatos[[#This Row],[DiasOriginal]])</f>
        <v>5</v>
      </c>
      <c r="O3574" s="1">
        <f>TablaDatos[[#This Row],[FechaIngreso]]+TablaDatos[[#This Row],[DiasNuevo]]</f>
        <v>44963</v>
      </c>
    </row>
    <row r="3575" spans="1:15">
      <c r="A3575">
        <v>3574</v>
      </c>
      <c r="B3575" t="s">
        <v>364</v>
      </c>
      <c r="C3575" s="1">
        <v>28856</v>
      </c>
      <c r="D3575">
        <f ca="1">DATEDIF(TablaDatos[[#This Row],[FechaNacimiento]],TODAY(),"Y")</f>
        <v>47</v>
      </c>
      <c r="E3575" s="4" t="s">
        <v>15</v>
      </c>
      <c r="F3575" t="s">
        <v>13</v>
      </c>
      <c r="G3575" s="1">
        <v>45198</v>
      </c>
      <c r="H3575" s="1">
        <f>TablaDatos[[#This Row],[FechaIngreso]]+TablaDatos[[#This Row],[DiasNuevo]]</f>
        <v>45220</v>
      </c>
      <c r="I3575">
        <v>22</v>
      </c>
      <c r="J3575" t="s">
        <v>25</v>
      </c>
      <c r="K3575" s="3">
        <v>9369.2900000000009</v>
      </c>
      <c r="L3575" t="b">
        <f>TablaDatos[[#This Row],[FechaAlta]] &lt; TablaDatos[[#This Row],[FechaIngreso]]</f>
        <v>0</v>
      </c>
      <c r="M3575">
        <f>_xlfn.XLOOKUP(TablaDatos[[#This Row],[PacienteID]],'Datos_Ejemplo.csv'!A:A,'Datos_Ejemplo.csv'!I:I)</f>
        <v>22</v>
      </c>
      <c r="N3575">
        <f>ABS(TablaDatos[[#This Row],[DiasOriginal]])</f>
        <v>22</v>
      </c>
      <c r="O3575" s="1">
        <f>TablaDatos[[#This Row],[FechaIngreso]]+TablaDatos[[#This Row],[DiasNuevo]]</f>
        <v>45220</v>
      </c>
    </row>
    <row r="3576" spans="1:15">
      <c r="A3576">
        <v>3575</v>
      </c>
      <c r="B3576" t="s">
        <v>241</v>
      </c>
      <c r="C3576" s="1">
        <v>25934</v>
      </c>
      <c r="D3576">
        <v>55</v>
      </c>
      <c r="E3576" s="4" t="s">
        <v>12</v>
      </c>
      <c r="F3576" t="s">
        <v>295</v>
      </c>
      <c r="G3576" s="1">
        <v>45562</v>
      </c>
      <c r="H3576" s="1">
        <f>TablaDatos[[#This Row],[FechaIngreso]]+TablaDatos[[#This Row],[DiasNuevo]]</f>
        <v>45583</v>
      </c>
      <c r="I3576">
        <v>21</v>
      </c>
      <c r="J3576" t="s">
        <v>25</v>
      </c>
      <c r="K3576" s="3">
        <v>19930.740000000002</v>
      </c>
      <c r="L3576" t="b">
        <f>TablaDatos[[#This Row],[FechaAlta]] &lt; TablaDatos[[#This Row],[FechaIngreso]]</f>
        <v>0</v>
      </c>
      <c r="M3576">
        <f>_xlfn.XLOOKUP(TablaDatos[[#This Row],[PacienteID]],'Datos_Ejemplo.csv'!A:A,'Datos_Ejemplo.csv'!I:I)</f>
        <v>21</v>
      </c>
      <c r="N3576">
        <f>ABS(TablaDatos[[#This Row],[DiasOriginal]])</f>
        <v>21</v>
      </c>
      <c r="O3576" s="1">
        <f>TablaDatos[[#This Row],[FechaIngreso]]+TablaDatos[[#This Row],[DiasNuevo]]</f>
        <v>45583</v>
      </c>
    </row>
    <row r="3577" spans="1:15">
      <c r="A3577">
        <v>3576</v>
      </c>
      <c r="B3577" t="s">
        <v>298</v>
      </c>
      <c r="C3577" s="1">
        <v>18629</v>
      </c>
      <c r="D3577">
        <v>75</v>
      </c>
      <c r="E3577" s="4" t="s">
        <v>15</v>
      </c>
      <c r="F3577" t="s">
        <v>13</v>
      </c>
      <c r="G3577" s="1">
        <v>45294</v>
      </c>
      <c r="H3577" s="1">
        <f>TablaDatos[[#This Row],[FechaIngreso]]+TablaDatos[[#This Row],[DiasNuevo]]</f>
        <v>45317</v>
      </c>
      <c r="I3577">
        <v>23</v>
      </c>
      <c r="J3577" t="s">
        <v>23</v>
      </c>
      <c r="K3577" s="3">
        <v>3055.75</v>
      </c>
      <c r="L3577" t="b">
        <f>TablaDatos[[#This Row],[FechaAlta]] &lt; TablaDatos[[#This Row],[FechaIngreso]]</f>
        <v>0</v>
      </c>
      <c r="M3577">
        <f>_xlfn.XLOOKUP(TablaDatos[[#This Row],[PacienteID]],'Datos_Ejemplo.csv'!A:A,'Datos_Ejemplo.csv'!I:I)</f>
        <v>23</v>
      </c>
      <c r="N3577">
        <f>ABS(TablaDatos[[#This Row],[DiasOriginal]])</f>
        <v>23</v>
      </c>
      <c r="O3577" s="1">
        <f>TablaDatos[[#This Row],[FechaIngreso]]+TablaDatos[[#This Row],[DiasNuevo]]</f>
        <v>45317</v>
      </c>
    </row>
    <row r="3578" spans="1:15">
      <c r="A3578">
        <v>3577</v>
      </c>
      <c r="B3578" t="s">
        <v>146</v>
      </c>
      <c r="C3578" s="1">
        <v>22646</v>
      </c>
      <c r="D3578">
        <v>64</v>
      </c>
      <c r="E3578" s="4" t="s">
        <v>12</v>
      </c>
      <c r="F3578" t="s">
        <v>261</v>
      </c>
      <c r="G3578" s="1">
        <v>45418</v>
      </c>
      <c r="H3578" s="1">
        <f>TablaDatos[[#This Row],[FechaIngreso]]+TablaDatos[[#This Row],[DiasNuevo]]</f>
        <v>45441</v>
      </c>
      <c r="I3578">
        <v>23</v>
      </c>
      <c r="J3578" t="s">
        <v>25</v>
      </c>
      <c r="K3578" s="3">
        <v>14149.57</v>
      </c>
      <c r="L3578" t="b">
        <f>TablaDatos[[#This Row],[FechaAlta]] &lt; TablaDatos[[#This Row],[FechaIngreso]]</f>
        <v>0</v>
      </c>
      <c r="M3578">
        <f>_xlfn.XLOOKUP(TablaDatos[[#This Row],[PacienteID]],'Datos_Ejemplo.csv'!A:A,'Datos_Ejemplo.csv'!I:I)</f>
        <v>23</v>
      </c>
      <c r="N3578">
        <f>ABS(TablaDatos[[#This Row],[DiasOriginal]])</f>
        <v>23</v>
      </c>
      <c r="O3578" s="1">
        <f>TablaDatos[[#This Row],[FechaIngreso]]+TablaDatos[[#This Row],[DiasNuevo]]</f>
        <v>45441</v>
      </c>
    </row>
    <row r="3579" spans="1:15">
      <c r="A3579">
        <v>3578</v>
      </c>
      <c r="B3579" t="s">
        <v>364</v>
      </c>
      <c r="C3579" s="1">
        <v>35065</v>
      </c>
      <c r="D3579">
        <v>30</v>
      </c>
      <c r="E3579" s="4" t="s">
        <v>12</v>
      </c>
      <c r="F3579" t="s">
        <v>21</v>
      </c>
      <c r="G3579" s="1">
        <v>45242</v>
      </c>
      <c r="H3579" s="1">
        <f>TablaDatos[[#This Row],[FechaIngreso]]+TablaDatos[[#This Row],[DiasNuevo]]</f>
        <v>45256</v>
      </c>
      <c r="I3579">
        <v>14</v>
      </c>
      <c r="J3579" t="s">
        <v>23</v>
      </c>
      <c r="K3579" s="3">
        <v>13017.63</v>
      </c>
      <c r="L3579" t="b">
        <f>TablaDatos[[#This Row],[FechaAlta]] &lt; TablaDatos[[#This Row],[FechaIngreso]]</f>
        <v>0</v>
      </c>
      <c r="M3579">
        <f>_xlfn.XLOOKUP(TablaDatos[[#This Row],[PacienteID]],'Datos_Ejemplo.csv'!A:A,'Datos_Ejemplo.csv'!I:I)</f>
        <v>14</v>
      </c>
      <c r="N3579">
        <f>ABS(TablaDatos[[#This Row],[DiasOriginal]])</f>
        <v>14</v>
      </c>
      <c r="O3579" s="1">
        <f>TablaDatos[[#This Row],[FechaIngreso]]+TablaDatos[[#This Row],[DiasNuevo]]</f>
        <v>45256</v>
      </c>
    </row>
    <row r="3580" spans="1:15">
      <c r="A3580">
        <v>3579</v>
      </c>
      <c r="B3580" t="s">
        <v>335</v>
      </c>
      <c r="C3580" s="1">
        <v>44927</v>
      </c>
      <c r="D3580">
        <v>3</v>
      </c>
      <c r="E3580" s="4" t="s">
        <v>15</v>
      </c>
      <c r="F3580" t="s">
        <v>18</v>
      </c>
      <c r="G3580" s="1">
        <v>45516</v>
      </c>
      <c r="H3580" s="1">
        <f>TablaDatos[[#This Row],[FechaIngreso]]+TablaDatos[[#This Row],[DiasNuevo]]</f>
        <v>45540</v>
      </c>
      <c r="I3580">
        <v>24</v>
      </c>
      <c r="J3580" t="s">
        <v>23</v>
      </c>
      <c r="K3580" s="3">
        <v>17433.330000000002</v>
      </c>
      <c r="L3580" t="b">
        <f>TablaDatos[[#This Row],[FechaAlta]] &lt; TablaDatos[[#This Row],[FechaIngreso]]</f>
        <v>0</v>
      </c>
      <c r="M3580">
        <f>_xlfn.XLOOKUP(TablaDatos[[#This Row],[PacienteID]],'Datos_Ejemplo.csv'!A:A,'Datos_Ejemplo.csv'!I:I)</f>
        <v>24</v>
      </c>
      <c r="N3580">
        <f>ABS(TablaDatos[[#This Row],[DiasOriginal]])</f>
        <v>24</v>
      </c>
      <c r="O3580" s="1">
        <f>TablaDatos[[#This Row],[FechaIngreso]]+TablaDatos[[#This Row],[DiasNuevo]]</f>
        <v>45540</v>
      </c>
    </row>
    <row r="3581" spans="1:15">
      <c r="A3581">
        <v>3580</v>
      </c>
      <c r="B3581" t="s">
        <v>311</v>
      </c>
      <c r="C3581" s="1">
        <v>28125</v>
      </c>
      <c r="D3581">
        <v>49</v>
      </c>
      <c r="E3581" s="4" t="s">
        <v>12</v>
      </c>
      <c r="F3581" t="s">
        <v>13</v>
      </c>
      <c r="G3581" s="1">
        <v>45514</v>
      </c>
      <c r="H3581" s="1">
        <f>TablaDatos[[#This Row],[FechaIngreso]]+TablaDatos[[#This Row],[DiasNuevo]]</f>
        <v>45540</v>
      </c>
      <c r="I3581">
        <v>26</v>
      </c>
      <c r="J3581" t="s">
        <v>23</v>
      </c>
      <c r="K3581" s="3">
        <v>1758.11</v>
      </c>
      <c r="L3581" t="b">
        <f>TablaDatos[[#This Row],[FechaAlta]] &lt; TablaDatos[[#This Row],[FechaIngreso]]</f>
        <v>0</v>
      </c>
      <c r="M3581">
        <f>_xlfn.XLOOKUP(TablaDatos[[#This Row],[PacienteID]],'Datos_Ejemplo.csv'!A:A,'Datos_Ejemplo.csv'!I:I)</f>
        <v>26</v>
      </c>
      <c r="N3581">
        <f>ABS(TablaDatos[[#This Row],[DiasOriginal]])</f>
        <v>26</v>
      </c>
      <c r="O3581" s="1">
        <f>TablaDatos[[#This Row],[FechaIngreso]]+TablaDatos[[#This Row],[DiasNuevo]]</f>
        <v>45540</v>
      </c>
    </row>
    <row r="3582" spans="1:15">
      <c r="A3582">
        <v>3581</v>
      </c>
      <c r="B3582" t="s">
        <v>266</v>
      </c>
      <c r="C3582" s="1">
        <v>21185</v>
      </c>
      <c r="D3582">
        <v>68</v>
      </c>
      <c r="E3582" s="4" t="s">
        <v>15</v>
      </c>
      <c r="F3582" t="s">
        <v>201</v>
      </c>
      <c r="G3582" s="1">
        <v>45498</v>
      </c>
      <c r="H3582" s="1">
        <f>TablaDatos[[#This Row],[FechaIngreso]]+TablaDatos[[#This Row],[DiasNuevo]]</f>
        <v>45534</v>
      </c>
      <c r="I3582">
        <v>36</v>
      </c>
      <c r="J3582" t="s">
        <v>23</v>
      </c>
      <c r="K3582" s="3">
        <v>5532.15</v>
      </c>
      <c r="L3582" t="b">
        <f>TablaDatos[[#This Row],[FechaAlta]] &lt; TablaDatos[[#This Row],[FechaIngreso]]</f>
        <v>0</v>
      </c>
      <c r="M3582">
        <f>_xlfn.XLOOKUP(TablaDatos[[#This Row],[PacienteID]],'Datos_Ejemplo.csv'!A:A,'Datos_Ejemplo.csv'!I:I)</f>
        <v>36</v>
      </c>
      <c r="N3582">
        <f>ABS(TablaDatos[[#This Row],[DiasOriginal]])</f>
        <v>36</v>
      </c>
      <c r="O3582" s="1">
        <f>TablaDatos[[#This Row],[FechaIngreso]]+TablaDatos[[#This Row],[DiasNuevo]]</f>
        <v>45534</v>
      </c>
    </row>
    <row r="3583" spans="1:15">
      <c r="A3583">
        <v>3582</v>
      </c>
      <c r="B3583" t="s">
        <v>266</v>
      </c>
      <c r="C3583" s="1">
        <v>35430</v>
      </c>
      <c r="D3583">
        <v>29</v>
      </c>
      <c r="E3583" s="4" t="s">
        <v>15</v>
      </c>
      <c r="F3583" t="s">
        <v>18</v>
      </c>
      <c r="G3583" s="1">
        <v>45523</v>
      </c>
      <c r="H3583" s="1">
        <f>TablaDatos[[#This Row],[FechaIngreso]]+TablaDatos[[#This Row],[DiasNuevo]]</f>
        <v>45529</v>
      </c>
      <c r="I3583">
        <v>6</v>
      </c>
      <c r="J3583" t="s">
        <v>25</v>
      </c>
      <c r="K3583" s="3">
        <v>2556.8000000000002</v>
      </c>
      <c r="L3583" t="b">
        <f>TablaDatos[[#This Row],[FechaAlta]] &lt; TablaDatos[[#This Row],[FechaIngreso]]</f>
        <v>0</v>
      </c>
      <c r="M3583">
        <f>_xlfn.XLOOKUP(TablaDatos[[#This Row],[PacienteID]],'Datos_Ejemplo.csv'!A:A,'Datos_Ejemplo.csv'!I:I)</f>
        <v>6</v>
      </c>
      <c r="N3583">
        <f>ABS(TablaDatos[[#This Row],[DiasOriginal]])</f>
        <v>6</v>
      </c>
      <c r="O3583" s="1">
        <f>TablaDatos[[#This Row],[FechaIngreso]]+TablaDatos[[#This Row],[DiasNuevo]]</f>
        <v>45529</v>
      </c>
    </row>
    <row r="3584" spans="1:15">
      <c r="A3584">
        <v>3583</v>
      </c>
      <c r="B3584" t="s">
        <v>342</v>
      </c>
      <c r="C3584" s="1">
        <v>14246</v>
      </c>
      <c r="D3584">
        <v>87</v>
      </c>
      <c r="E3584" s="4" t="s">
        <v>12</v>
      </c>
      <c r="F3584" t="s">
        <v>18</v>
      </c>
      <c r="G3584" s="1">
        <v>45294</v>
      </c>
      <c r="H3584" s="1">
        <f>TablaDatos[[#This Row],[FechaIngreso]]+TablaDatos[[#This Row],[DiasNuevo]]</f>
        <v>45305</v>
      </c>
      <c r="I3584">
        <v>11</v>
      </c>
      <c r="J3584" t="s">
        <v>23</v>
      </c>
      <c r="K3584" s="3">
        <v>18655.21</v>
      </c>
      <c r="L3584" t="b">
        <f>TablaDatos[[#This Row],[FechaAlta]] &lt; TablaDatos[[#This Row],[FechaIngreso]]</f>
        <v>0</v>
      </c>
      <c r="M3584">
        <f>_xlfn.XLOOKUP(TablaDatos[[#This Row],[PacienteID]],'Datos_Ejemplo.csv'!A:A,'Datos_Ejemplo.csv'!I:I)</f>
        <v>11</v>
      </c>
      <c r="N3584">
        <f>ABS(TablaDatos[[#This Row],[DiasOriginal]])</f>
        <v>11</v>
      </c>
      <c r="O3584" s="1">
        <f>TablaDatos[[#This Row],[FechaIngreso]]+TablaDatos[[#This Row],[DiasNuevo]]</f>
        <v>45305</v>
      </c>
    </row>
    <row r="3585" spans="1:15">
      <c r="A3585">
        <v>3584</v>
      </c>
      <c r="B3585" t="s">
        <v>262</v>
      </c>
      <c r="C3585" s="1">
        <v>24838</v>
      </c>
      <c r="D3585">
        <v>58</v>
      </c>
      <c r="E3585" s="4" t="s">
        <v>12</v>
      </c>
      <c r="F3585" t="s">
        <v>13</v>
      </c>
      <c r="G3585" s="1">
        <v>45006</v>
      </c>
      <c r="H3585" s="1">
        <f>TablaDatos[[#This Row],[FechaIngreso]]+TablaDatos[[#This Row],[DiasNuevo]]</f>
        <v>45008</v>
      </c>
      <c r="I3585">
        <v>2</v>
      </c>
      <c r="J3585" t="s">
        <v>23</v>
      </c>
      <c r="K3585" s="3">
        <v>8475.3700000000008</v>
      </c>
      <c r="L3585" t="b">
        <f>TablaDatos[[#This Row],[FechaAlta]] &lt; TablaDatos[[#This Row],[FechaIngreso]]</f>
        <v>0</v>
      </c>
      <c r="M3585">
        <f>_xlfn.XLOOKUP(TablaDatos[[#This Row],[PacienteID]],'Datos_Ejemplo.csv'!A:A,'Datos_Ejemplo.csv'!I:I)</f>
        <v>2</v>
      </c>
      <c r="N3585">
        <f>ABS(TablaDatos[[#This Row],[DiasOriginal]])</f>
        <v>2</v>
      </c>
      <c r="O3585" s="1">
        <f>TablaDatos[[#This Row],[FechaIngreso]]+TablaDatos[[#This Row],[DiasNuevo]]</f>
        <v>45008</v>
      </c>
    </row>
    <row r="3586" spans="1:15">
      <c r="A3586">
        <v>3585</v>
      </c>
      <c r="B3586" t="s">
        <v>353</v>
      </c>
      <c r="C3586" s="1">
        <v>21916</v>
      </c>
      <c r="D3586">
        <v>66</v>
      </c>
      <c r="E3586" s="4" t="s">
        <v>15</v>
      </c>
      <c r="F3586" t="s">
        <v>13</v>
      </c>
      <c r="G3586" s="1">
        <v>45098</v>
      </c>
      <c r="H3586" s="1">
        <f>TablaDatos[[#This Row],[FechaIngreso]]+TablaDatos[[#This Row],[DiasNuevo]]</f>
        <v>45125</v>
      </c>
      <c r="I3586">
        <v>27</v>
      </c>
      <c r="J3586" t="s">
        <v>19</v>
      </c>
      <c r="K3586" s="3">
        <v>18192.32</v>
      </c>
      <c r="L3586" t="b">
        <f>TablaDatos[[#This Row],[FechaAlta]] &lt; TablaDatos[[#This Row],[FechaIngreso]]</f>
        <v>0</v>
      </c>
      <c r="M3586">
        <f>_xlfn.XLOOKUP(TablaDatos[[#This Row],[PacienteID]],'Datos_Ejemplo.csv'!A:A,'Datos_Ejemplo.csv'!I:I)</f>
        <v>27</v>
      </c>
      <c r="N3586">
        <f>ABS(TablaDatos[[#This Row],[DiasOriginal]])</f>
        <v>27</v>
      </c>
      <c r="O3586" s="1">
        <f>TablaDatos[[#This Row],[FechaIngreso]]+TablaDatos[[#This Row],[DiasNuevo]]</f>
        <v>45125</v>
      </c>
    </row>
    <row r="3587" spans="1:15">
      <c r="A3587">
        <v>3586</v>
      </c>
      <c r="B3587" t="s">
        <v>270</v>
      </c>
      <c r="C3587" s="1">
        <v>18994</v>
      </c>
      <c r="D3587">
        <v>74</v>
      </c>
      <c r="E3587" s="4" t="s">
        <v>15</v>
      </c>
      <c r="F3587" t="s">
        <v>201</v>
      </c>
      <c r="G3587" s="1">
        <v>45184</v>
      </c>
      <c r="H3587" s="1">
        <f>TablaDatos[[#This Row],[FechaIngreso]]+TablaDatos[[#This Row],[DiasNuevo]]</f>
        <v>45209</v>
      </c>
      <c r="I3587">
        <v>25</v>
      </c>
      <c r="J3587" t="s">
        <v>23</v>
      </c>
      <c r="K3587" s="3">
        <v>5817.58</v>
      </c>
      <c r="L3587" t="b">
        <f>TablaDatos[[#This Row],[FechaAlta]] &lt; TablaDatos[[#This Row],[FechaIngreso]]</f>
        <v>0</v>
      </c>
      <c r="M3587">
        <f>_xlfn.XLOOKUP(TablaDatos[[#This Row],[PacienteID]],'Datos_Ejemplo.csv'!A:A,'Datos_Ejemplo.csv'!I:I)</f>
        <v>25</v>
      </c>
      <c r="N3587">
        <f>ABS(TablaDatos[[#This Row],[DiasOriginal]])</f>
        <v>25</v>
      </c>
      <c r="O3587" s="1">
        <f>TablaDatos[[#This Row],[FechaIngreso]]+TablaDatos[[#This Row],[DiasNuevo]]</f>
        <v>45209</v>
      </c>
    </row>
    <row r="3588" spans="1:15">
      <c r="A3588">
        <v>3587</v>
      </c>
      <c r="B3588" t="s">
        <v>257</v>
      </c>
      <c r="C3588" s="1">
        <v>29951</v>
      </c>
      <c r="D3588">
        <f ca="1">DATEDIF(TablaDatos[[#This Row],[FechaNacimiento]],TODAY(),"Y")</f>
        <v>44</v>
      </c>
      <c r="E3588" s="4" t="s">
        <v>15</v>
      </c>
      <c r="F3588" t="s">
        <v>201</v>
      </c>
      <c r="G3588" s="1">
        <v>45205</v>
      </c>
      <c r="H3588" s="1">
        <f>TablaDatos[[#This Row],[FechaIngreso]]+TablaDatos[[#This Row],[DiasNuevo]]</f>
        <v>45239</v>
      </c>
      <c r="I3588">
        <v>34</v>
      </c>
      <c r="J3588" t="s">
        <v>23</v>
      </c>
      <c r="K3588" s="3">
        <v>2440</v>
      </c>
      <c r="L3588" t="b">
        <f>TablaDatos[[#This Row],[FechaAlta]] &lt; TablaDatos[[#This Row],[FechaIngreso]]</f>
        <v>0</v>
      </c>
      <c r="M3588">
        <f>_xlfn.XLOOKUP(TablaDatos[[#This Row],[PacienteID]],'Datos_Ejemplo.csv'!A:A,'Datos_Ejemplo.csv'!I:I)</f>
        <v>34</v>
      </c>
      <c r="N3588">
        <f>ABS(TablaDatos[[#This Row],[DiasOriginal]])</f>
        <v>34</v>
      </c>
      <c r="O3588" s="1">
        <f>TablaDatos[[#This Row],[FechaIngreso]]+TablaDatos[[#This Row],[DiasNuevo]]</f>
        <v>45239</v>
      </c>
    </row>
    <row r="3589" spans="1:15">
      <c r="A3589">
        <v>3588</v>
      </c>
      <c r="B3589" t="s">
        <v>304</v>
      </c>
      <c r="C3589" s="1">
        <v>44927</v>
      </c>
      <c r="D3589">
        <v>3</v>
      </c>
      <c r="E3589" s="4" t="s">
        <v>15</v>
      </c>
      <c r="F3589" t="s">
        <v>32</v>
      </c>
      <c r="G3589" s="1">
        <v>45430</v>
      </c>
      <c r="H3589" s="1">
        <f>TablaDatos[[#This Row],[FechaIngreso]]+TablaDatos[[#This Row],[DiasNuevo]]</f>
        <v>45435</v>
      </c>
      <c r="I3589">
        <v>5</v>
      </c>
      <c r="J3589" t="s">
        <v>25</v>
      </c>
      <c r="K3589" s="3">
        <v>5860.4</v>
      </c>
      <c r="L3589" t="b">
        <f>TablaDatos[[#This Row],[FechaAlta]] &lt; TablaDatos[[#This Row],[FechaIngreso]]</f>
        <v>0</v>
      </c>
      <c r="M3589">
        <f>_xlfn.XLOOKUP(TablaDatos[[#This Row],[PacienteID]],'Datos_Ejemplo.csv'!A:A,'Datos_Ejemplo.csv'!I:I)</f>
        <v>5</v>
      </c>
      <c r="N3589">
        <f>ABS(TablaDatos[[#This Row],[DiasOriginal]])</f>
        <v>5</v>
      </c>
      <c r="O3589" s="1">
        <f>TablaDatos[[#This Row],[FechaIngreso]]+TablaDatos[[#This Row],[DiasNuevo]]</f>
        <v>45435</v>
      </c>
    </row>
    <row r="3590" spans="1:15">
      <c r="A3590">
        <v>3589</v>
      </c>
      <c r="B3590" t="s">
        <v>244</v>
      </c>
      <c r="C3590" s="1">
        <v>36891</v>
      </c>
      <c r="D3590">
        <v>25</v>
      </c>
      <c r="E3590" s="4" t="s">
        <v>197</v>
      </c>
      <c r="F3590" t="s">
        <v>261</v>
      </c>
      <c r="G3590" s="1">
        <v>45484</v>
      </c>
      <c r="H3590" s="1">
        <f>TablaDatos[[#This Row],[FechaIngreso]]+TablaDatos[[#This Row],[DiasNuevo]]</f>
        <v>45496</v>
      </c>
      <c r="I3590">
        <v>12</v>
      </c>
      <c r="J3590" t="s">
        <v>23</v>
      </c>
      <c r="K3590" s="3">
        <v>11903.2</v>
      </c>
      <c r="L3590" t="b">
        <f>TablaDatos[[#This Row],[FechaAlta]] &lt; TablaDatos[[#This Row],[FechaIngreso]]</f>
        <v>0</v>
      </c>
      <c r="M3590">
        <f>_xlfn.XLOOKUP(TablaDatos[[#This Row],[PacienteID]],'Datos_Ejemplo.csv'!A:A,'Datos_Ejemplo.csv'!I:I)</f>
        <v>12</v>
      </c>
      <c r="N3590">
        <f>ABS(TablaDatos[[#This Row],[DiasOriginal]])</f>
        <v>12</v>
      </c>
      <c r="O3590" s="1">
        <f>TablaDatos[[#This Row],[FechaIngreso]]+TablaDatos[[#This Row],[DiasNuevo]]</f>
        <v>45496</v>
      </c>
    </row>
    <row r="3591" spans="1:15">
      <c r="A3591">
        <v>3590</v>
      </c>
      <c r="B3591" t="s">
        <v>345</v>
      </c>
      <c r="C3591" s="1">
        <v>36526</v>
      </c>
      <c r="D3591">
        <v>26</v>
      </c>
      <c r="E3591" s="4" t="s">
        <v>12</v>
      </c>
      <c r="F3591" t="s">
        <v>261</v>
      </c>
      <c r="G3591" s="1">
        <v>45417</v>
      </c>
      <c r="H3591" s="1">
        <f>TablaDatos[[#This Row],[FechaIngreso]]+TablaDatos[[#This Row],[DiasNuevo]]</f>
        <v>45442</v>
      </c>
      <c r="I3591">
        <v>25</v>
      </c>
      <c r="J3591" t="s">
        <v>23</v>
      </c>
      <c r="K3591" s="3">
        <v>16889.18</v>
      </c>
      <c r="L3591" t="b">
        <f>TablaDatos[[#This Row],[FechaAlta]] &lt; TablaDatos[[#This Row],[FechaIngreso]]</f>
        <v>0</v>
      </c>
      <c r="M3591">
        <f>_xlfn.XLOOKUP(TablaDatos[[#This Row],[PacienteID]],'Datos_Ejemplo.csv'!A:A,'Datos_Ejemplo.csv'!I:I)</f>
        <v>25</v>
      </c>
      <c r="N3591">
        <f>ABS(TablaDatos[[#This Row],[DiasOriginal]])</f>
        <v>25</v>
      </c>
      <c r="O3591" s="1">
        <f>TablaDatos[[#This Row],[FechaIngreso]]+TablaDatos[[#This Row],[DiasNuevo]]</f>
        <v>45442</v>
      </c>
    </row>
    <row r="3592" spans="1:15">
      <c r="A3592">
        <v>3591</v>
      </c>
      <c r="B3592" t="s">
        <v>66</v>
      </c>
      <c r="C3592" s="1">
        <v>29586</v>
      </c>
      <c r="D3592">
        <v>45</v>
      </c>
      <c r="E3592" s="4" t="s">
        <v>15</v>
      </c>
      <c r="F3592" t="s">
        <v>201</v>
      </c>
      <c r="G3592" s="1">
        <v>45511</v>
      </c>
      <c r="H3592" s="1">
        <f>TablaDatos[[#This Row],[FechaIngreso]]+TablaDatos[[#This Row],[DiasNuevo]]</f>
        <v>45544</v>
      </c>
      <c r="I3592">
        <v>33</v>
      </c>
      <c r="J3592" t="s">
        <v>23</v>
      </c>
      <c r="K3592" s="3">
        <v>7646.35</v>
      </c>
      <c r="L3592" t="b">
        <f>TablaDatos[[#This Row],[FechaAlta]] &lt; TablaDatos[[#This Row],[FechaIngreso]]</f>
        <v>0</v>
      </c>
      <c r="M3592">
        <f>_xlfn.XLOOKUP(TablaDatos[[#This Row],[PacienteID]],'Datos_Ejemplo.csv'!A:A,'Datos_Ejemplo.csv'!I:I)</f>
        <v>33</v>
      </c>
      <c r="N3592">
        <f>ABS(TablaDatos[[#This Row],[DiasOriginal]])</f>
        <v>33</v>
      </c>
      <c r="O3592" s="1">
        <f>TablaDatos[[#This Row],[FechaIngreso]]+TablaDatos[[#This Row],[DiasNuevo]]</f>
        <v>45544</v>
      </c>
    </row>
    <row r="3593" spans="1:15">
      <c r="A3593">
        <v>3592</v>
      </c>
      <c r="B3593" t="s">
        <v>255</v>
      </c>
      <c r="C3593" s="1">
        <v>23012</v>
      </c>
      <c r="D3593">
        <v>63</v>
      </c>
      <c r="E3593" s="4" t="s">
        <v>12</v>
      </c>
      <c r="F3593" t="s">
        <v>295</v>
      </c>
      <c r="G3593" s="1">
        <v>45492</v>
      </c>
      <c r="H3593" s="1">
        <f>TablaDatos[[#This Row],[FechaIngreso]]+TablaDatos[[#This Row],[DiasNuevo]]</f>
        <v>45522</v>
      </c>
      <c r="I3593">
        <v>30</v>
      </c>
      <c r="J3593" t="s">
        <v>25</v>
      </c>
      <c r="K3593" s="3">
        <v>18287.650000000001</v>
      </c>
      <c r="L3593" t="b">
        <f>TablaDatos[[#This Row],[FechaAlta]] &lt; TablaDatos[[#This Row],[FechaIngreso]]</f>
        <v>0</v>
      </c>
      <c r="M3593">
        <f>_xlfn.XLOOKUP(TablaDatos[[#This Row],[PacienteID]],'Datos_Ejemplo.csv'!A:A,'Datos_Ejemplo.csv'!I:I)</f>
        <v>30</v>
      </c>
      <c r="N3593">
        <f>ABS(TablaDatos[[#This Row],[DiasOriginal]])</f>
        <v>30</v>
      </c>
      <c r="O3593" s="1">
        <f>TablaDatos[[#This Row],[FechaIngreso]]+TablaDatos[[#This Row],[DiasNuevo]]</f>
        <v>45522</v>
      </c>
    </row>
    <row r="3594" spans="1:15">
      <c r="A3594">
        <v>3593</v>
      </c>
      <c r="B3594" t="s">
        <v>330</v>
      </c>
      <c r="C3594" s="1">
        <v>13150</v>
      </c>
      <c r="D3594">
        <v>90</v>
      </c>
      <c r="E3594" s="4" t="s">
        <v>15</v>
      </c>
      <c r="F3594" t="s">
        <v>201</v>
      </c>
      <c r="G3594" s="1">
        <v>45263</v>
      </c>
      <c r="H3594" s="1">
        <f>TablaDatos[[#This Row],[FechaIngreso]]+TablaDatos[[#This Row],[DiasNuevo]]</f>
        <v>45266</v>
      </c>
      <c r="I3594">
        <v>3</v>
      </c>
      <c r="J3594" t="s">
        <v>23</v>
      </c>
      <c r="K3594" s="3">
        <v>4809.0600000000004</v>
      </c>
      <c r="L3594" t="b">
        <f>TablaDatos[[#This Row],[FechaAlta]] &lt; TablaDatos[[#This Row],[FechaIngreso]]</f>
        <v>0</v>
      </c>
      <c r="M3594">
        <f>_xlfn.XLOOKUP(TablaDatos[[#This Row],[PacienteID]],'Datos_Ejemplo.csv'!A:A,'Datos_Ejemplo.csv'!I:I)</f>
        <v>3</v>
      </c>
      <c r="N3594">
        <f>ABS(TablaDatos[[#This Row],[DiasOriginal]])</f>
        <v>3</v>
      </c>
      <c r="O3594" s="1">
        <f>TablaDatos[[#This Row],[FechaIngreso]]+TablaDatos[[#This Row],[DiasNuevo]]</f>
        <v>45266</v>
      </c>
    </row>
    <row r="3595" spans="1:15">
      <c r="A3595">
        <v>3594</v>
      </c>
      <c r="B3595" t="s">
        <v>267</v>
      </c>
      <c r="C3595" s="1">
        <v>27760</v>
      </c>
      <c r="D3595">
        <v>50</v>
      </c>
      <c r="E3595" s="4" t="s">
        <v>15</v>
      </c>
      <c r="F3595" t="s">
        <v>32</v>
      </c>
      <c r="G3595" s="1">
        <v>45447</v>
      </c>
      <c r="H3595" s="1">
        <f>TablaDatos[[#This Row],[FechaIngreso]]+TablaDatos[[#This Row],[DiasNuevo]]</f>
        <v>45456</v>
      </c>
      <c r="I3595">
        <v>9</v>
      </c>
      <c r="J3595" t="s">
        <v>25</v>
      </c>
      <c r="K3595" s="3">
        <v>13840.17</v>
      </c>
      <c r="L3595" t="b">
        <f>TablaDatos[[#This Row],[FechaAlta]] &lt; TablaDatos[[#This Row],[FechaIngreso]]</f>
        <v>0</v>
      </c>
      <c r="M3595">
        <f>_xlfn.XLOOKUP(TablaDatos[[#This Row],[PacienteID]],'Datos_Ejemplo.csv'!A:A,'Datos_Ejemplo.csv'!I:I)</f>
        <v>9</v>
      </c>
      <c r="N3595">
        <f>ABS(TablaDatos[[#This Row],[DiasOriginal]])</f>
        <v>9</v>
      </c>
      <c r="O3595" s="1">
        <f>TablaDatos[[#This Row],[FechaIngreso]]+TablaDatos[[#This Row],[DiasNuevo]]</f>
        <v>45456</v>
      </c>
    </row>
    <row r="3596" spans="1:15">
      <c r="A3596">
        <v>3595</v>
      </c>
      <c r="B3596" t="s">
        <v>122</v>
      </c>
      <c r="C3596" s="1">
        <f ca="1">DATE(YEAR(TODAY())-TablaDatos[[#This Row],[Edad]],1,1)</f>
        <v>28126</v>
      </c>
      <c r="D3596">
        <v>49</v>
      </c>
      <c r="E3596" s="4" t="s">
        <v>12</v>
      </c>
      <c r="F3596" t="s">
        <v>295</v>
      </c>
      <c r="G3596" s="1">
        <v>45252</v>
      </c>
      <c r="H3596" s="1">
        <f>TablaDatos[[#This Row],[FechaIngreso]]+TablaDatos[[#This Row],[DiasNuevo]]</f>
        <v>45256</v>
      </c>
      <c r="I3596">
        <v>4</v>
      </c>
      <c r="J3596" t="s">
        <v>23</v>
      </c>
      <c r="K3596" s="3">
        <v>14687.84</v>
      </c>
      <c r="L3596" t="b">
        <f>TablaDatos[[#This Row],[FechaAlta]] &lt; TablaDatos[[#This Row],[FechaIngreso]]</f>
        <v>0</v>
      </c>
      <c r="M3596">
        <f>_xlfn.XLOOKUP(TablaDatos[[#This Row],[PacienteID]],'Datos_Ejemplo.csv'!A:A,'Datos_Ejemplo.csv'!I:I)</f>
        <v>4</v>
      </c>
      <c r="N3596">
        <f>ABS(TablaDatos[[#This Row],[DiasOriginal]])</f>
        <v>4</v>
      </c>
      <c r="O3596" s="1">
        <f>TablaDatos[[#This Row],[FechaIngreso]]+TablaDatos[[#This Row],[DiasNuevo]]</f>
        <v>45256</v>
      </c>
    </row>
    <row r="3597" spans="1:15">
      <c r="A3597">
        <v>3596</v>
      </c>
      <c r="B3597" t="s">
        <v>342</v>
      </c>
      <c r="C3597" s="1">
        <v>44196</v>
      </c>
      <c r="D3597">
        <v>5</v>
      </c>
      <c r="E3597" s="4" t="s">
        <v>12</v>
      </c>
      <c r="F3597" t="s">
        <v>13</v>
      </c>
      <c r="G3597" s="1">
        <v>45098</v>
      </c>
      <c r="H3597" s="1">
        <f>TablaDatos[[#This Row],[FechaIngreso]]+TablaDatos[[#This Row],[DiasNuevo]]</f>
        <v>45123</v>
      </c>
      <c r="I3597">
        <v>25</v>
      </c>
      <c r="J3597" t="s">
        <v>23</v>
      </c>
      <c r="K3597" s="3">
        <v>5406.65</v>
      </c>
      <c r="L3597" t="b">
        <f>TablaDatos[[#This Row],[FechaAlta]] &lt; TablaDatos[[#This Row],[FechaIngreso]]</f>
        <v>0</v>
      </c>
      <c r="M3597">
        <f>_xlfn.XLOOKUP(TablaDatos[[#This Row],[PacienteID]],'Datos_Ejemplo.csv'!A:A,'Datos_Ejemplo.csv'!I:I)</f>
        <v>25</v>
      </c>
      <c r="N3597">
        <f>ABS(TablaDatos[[#This Row],[DiasOriginal]])</f>
        <v>25</v>
      </c>
      <c r="O3597" s="1">
        <f>TablaDatos[[#This Row],[FechaIngreso]]+TablaDatos[[#This Row],[DiasNuevo]]</f>
        <v>45123</v>
      </c>
    </row>
    <row r="3598" spans="1:15">
      <c r="A3598">
        <v>3597</v>
      </c>
      <c r="B3598" t="s">
        <v>347</v>
      </c>
      <c r="C3598" s="1">
        <v>24838</v>
      </c>
      <c r="D3598">
        <v>58</v>
      </c>
      <c r="E3598" s="4" t="s">
        <v>12</v>
      </c>
      <c r="F3598" t="s">
        <v>261</v>
      </c>
      <c r="G3598" s="1">
        <v>45010</v>
      </c>
      <c r="H3598" s="1">
        <f>TablaDatos[[#This Row],[FechaIngreso]]+TablaDatos[[#This Row],[DiasNuevo]]</f>
        <v>45014</v>
      </c>
      <c r="I3598">
        <v>4</v>
      </c>
      <c r="J3598" t="s">
        <v>25</v>
      </c>
      <c r="K3598" s="3">
        <v>442.09</v>
      </c>
      <c r="L3598" t="b">
        <f>TablaDatos[[#This Row],[FechaAlta]] &lt; TablaDatos[[#This Row],[FechaIngreso]]</f>
        <v>0</v>
      </c>
      <c r="M3598">
        <f>_xlfn.XLOOKUP(TablaDatos[[#This Row],[PacienteID]],'Datos_Ejemplo.csv'!A:A,'Datos_Ejemplo.csv'!I:I)</f>
        <v>4</v>
      </c>
      <c r="N3598">
        <f>ABS(TablaDatos[[#This Row],[DiasOriginal]])</f>
        <v>4</v>
      </c>
      <c r="O3598" s="1">
        <f>TablaDatos[[#This Row],[FechaIngreso]]+TablaDatos[[#This Row],[DiasNuevo]]</f>
        <v>45014</v>
      </c>
    </row>
    <row r="3599" spans="1:15">
      <c r="A3599">
        <v>3598</v>
      </c>
      <c r="B3599" t="s">
        <v>280</v>
      </c>
      <c r="C3599" s="1">
        <v>40909</v>
      </c>
      <c r="D3599">
        <v>14</v>
      </c>
      <c r="E3599" s="4" t="s">
        <v>12</v>
      </c>
      <c r="F3599" t="s">
        <v>261</v>
      </c>
      <c r="G3599" s="1">
        <v>45450</v>
      </c>
      <c r="H3599" s="1">
        <f>TablaDatos[[#This Row],[FechaIngreso]]+TablaDatos[[#This Row],[DiasNuevo]]</f>
        <v>45488</v>
      </c>
      <c r="I3599">
        <v>38</v>
      </c>
      <c r="J3599" t="s">
        <v>25</v>
      </c>
      <c r="K3599" s="3">
        <v>7241.27</v>
      </c>
      <c r="L3599" t="b">
        <f>TablaDatos[[#This Row],[FechaAlta]] &lt; TablaDatos[[#This Row],[FechaIngreso]]</f>
        <v>0</v>
      </c>
      <c r="M3599">
        <f>_xlfn.XLOOKUP(TablaDatos[[#This Row],[PacienteID]],'Datos_Ejemplo.csv'!A:A,'Datos_Ejemplo.csv'!I:I)</f>
        <v>38</v>
      </c>
      <c r="N3599">
        <f>ABS(TablaDatos[[#This Row],[DiasOriginal]])</f>
        <v>38</v>
      </c>
      <c r="O3599" s="1">
        <f>TablaDatos[[#This Row],[FechaIngreso]]+TablaDatos[[#This Row],[DiasNuevo]]</f>
        <v>45488</v>
      </c>
    </row>
    <row r="3600" spans="1:15">
      <c r="A3600">
        <v>3599</v>
      </c>
      <c r="B3600" t="s">
        <v>244</v>
      </c>
      <c r="C3600" s="1">
        <v>35430</v>
      </c>
      <c r="D3600">
        <f ca="1">DATEDIF(TablaDatos[[#This Row],[FechaNacimiento]],TODAY(),"Y")</f>
        <v>29</v>
      </c>
      <c r="E3600" s="4" t="s">
        <v>12</v>
      </c>
      <c r="F3600" t="s">
        <v>295</v>
      </c>
      <c r="G3600" s="1">
        <v>45407</v>
      </c>
      <c r="H3600" s="1">
        <f>TablaDatos[[#This Row],[FechaIngreso]]+TablaDatos[[#This Row],[DiasNuevo]]</f>
        <v>45409</v>
      </c>
      <c r="I3600">
        <v>2</v>
      </c>
      <c r="J3600" t="s">
        <v>23</v>
      </c>
      <c r="K3600" s="3">
        <v>808.44</v>
      </c>
      <c r="L3600" t="b">
        <f>TablaDatos[[#This Row],[FechaAlta]] &lt; TablaDatos[[#This Row],[FechaIngreso]]</f>
        <v>0</v>
      </c>
      <c r="M3600">
        <f>_xlfn.XLOOKUP(TablaDatos[[#This Row],[PacienteID]],'Datos_Ejemplo.csv'!A:A,'Datos_Ejemplo.csv'!I:I)</f>
        <v>-2</v>
      </c>
      <c r="N3600">
        <f>ABS(TablaDatos[[#This Row],[DiasOriginal]])</f>
        <v>2</v>
      </c>
      <c r="O3600" s="1">
        <f>TablaDatos[[#This Row],[FechaIngreso]]+TablaDatos[[#This Row],[DiasNuevo]]</f>
        <v>45409</v>
      </c>
    </row>
    <row r="3601" spans="1:15">
      <c r="A3601">
        <v>3600</v>
      </c>
      <c r="B3601" t="s">
        <v>333</v>
      </c>
      <c r="C3601" s="1">
        <v>31047</v>
      </c>
      <c r="D3601">
        <f ca="1">DATEDIF(TablaDatos[[#This Row],[FechaNacimiento]],TODAY(),"Y")</f>
        <v>41</v>
      </c>
      <c r="E3601" s="4" t="s">
        <v>15</v>
      </c>
      <c r="F3601" t="s">
        <v>21</v>
      </c>
      <c r="G3601" s="1">
        <v>45470</v>
      </c>
      <c r="H3601" s="1">
        <f>TablaDatos[[#This Row],[FechaIngreso]]+TablaDatos[[#This Row],[DiasNuevo]]</f>
        <v>45491</v>
      </c>
      <c r="I3601">
        <v>21</v>
      </c>
      <c r="J3601" t="s">
        <v>19</v>
      </c>
      <c r="K3601" s="3">
        <v>18005.150000000001</v>
      </c>
      <c r="L3601" t="b">
        <f>TablaDatos[[#This Row],[FechaAlta]] &lt; TablaDatos[[#This Row],[FechaIngreso]]</f>
        <v>0</v>
      </c>
      <c r="M3601">
        <f>_xlfn.XLOOKUP(TablaDatos[[#This Row],[PacienteID]],'Datos_Ejemplo.csv'!A:A,'Datos_Ejemplo.csv'!I:I)</f>
        <v>21</v>
      </c>
      <c r="N3601">
        <f>ABS(TablaDatos[[#This Row],[DiasOriginal]])</f>
        <v>21</v>
      </c>
      <c r="O3601" s="1">
        <f>TablaDatos[[#This Row],[FechaIngreso]]+TablaDatos[[#This Row],[DiasNuevo]]</f>
        <v>45491</v>
      </c>
    </row>
    <row r="3602" spans="1:15">
      <c r="A3602">
        <v>3601</v>
      </c>
      <c r="B3602" t="s">
        <v>336</v>
      </c>
      <c r="C3602" s="1">
        <v>32873</v>
      </c>
      <c r="D3602">
        <v>36</v>
      </c>
      <c r="E3602" s="4" t="s">
        <v>12</v>
      </c>
      <c r="F3602" t="s">
        <v>32</v>
      </c>
      <c r="G3602" s="1">
        <v>45344</v>
      </c>
      <c r="H3602" s="1">
        <f>TablaDatos[[#This Row],[FechaIngreso]]+TablaDatos[[#This Row],[DiasNuevo]]</f>
        <v>45360</v>
      </c>
      <c r="I3602">
        <v>16</v>
      </c>
      <c r="J3602" t="s">
        <v>23</v>
      </c>
      <c r="K3602" s="3">
        <v>19065.86</v>
      </c>
      <c r="L3602" t="b">
        <f>TablaDatos[[#This Row],[FechaAlta]] &lt; TablaDatos[[#This Row],[FechaIngreso]]</f>
        <v>0</v>
      </c>
      <c r="M3602">
        <f>_xlfn.XLOOKUP(TablaDatos[[#This Row],[PacienteID]],'Datos_Ejemplo.csv'!A:A,'Datos_Ejemplo.csv'!I:I)</f>
        <v>16</v>
      </c>
      <c r="N3602">
        <f>ABS(TablaDatos[[#This Row],[DiasOriginal]])</f>
        <v>16</v>
      </c>
      <c r="O3602" s="1">
        <f>TablaDatos[[#This Row],[FechaIngreso]]+TablaDatos[[#This Row],[DiasNuevo]]</f>
        <v>45360</v>
      </c>
    </row>
    <row r="3603" spans="1:15">
      <c r="A3603">
        <v>3602</v>
      </c>
      <c r="B3603" t="s">
        <v>61</v>
      </c>
      <c r="C3603" s="1">
        <v>31047</v>
      </c>
      <c r="D3603">
        <f ca="1">DATEDIF(TablaDatos[[#This Row],[FechaNacimiento]],TODAY(),"Y")</f>
        <v>41</v>
      </c>
      <c r="E3603" s="4" t="s">
        <v>197</v>
      </c>
      <c r="F3603" t="s">
        <v>32</v>
      </c>
      <c r="G3603" s="1">
        <v>45265</v>
      </c>
      <c r="H3603" s="1">
        <f>TablaDatos[[#This Row],[FechaIngreso]]+TablaDatos[[#This Row],[DiasNuevo]]</f>
        <v>45294</v>
      </c>
      <c r="I3603">
        <v>29</v>
      </c>
      <c r="J3603" t="s">
        <v>19</v>
      </c>
      <c r="K3603" s="3">
        <v>14681.14</v>
      </c>
      <c r="L3603" t="b">
        <f>TablaDatos[[#This Row],[FechaAlta]] &lt; TablaDatos[[#This Row],[FechaIngreso]]</f>
        <v>0</v>
      </c>
      <c r="M3603">
        <f>_xlfn.XLOOKUP(TablaDatos[[#This Row],[PacienteID]],'Datos_Ejemplo.csv'!A:A,'Datos_Ejemplo.csv'!I:I)</f>
        <v>29</v>
      </c>
      <c r="N3603">
        <f>ABS(TablaDatos[[#This Row],[DiasOriginal]])</f>
        <v>29</v>
      </c>
      <c r="O3603" s="1">
        <f>TablaDatos[[#This Row],[FechaIngreso]]+TablaDatos[[#This Row],[DiasNuevo]]</f>
        <v>45294</v>
      </c>
    </row>
    <row r="3604" spans="1:15">
      <c r="A3604">
        <v>3603</v>
      </c>
      <c r="B3604" t="s">
        <v>39</v>
      </c>
      <c r="C3604" s="1">
        <v>33604</v>
      </c>
      <c r="D3604">
        <v>34</v>
      </c>
      <c r="E3604" s="4" t="s">
        <v>15</v>
      </c>
      <c r="F3604" t="s">
        <v>32</v>
      </c>
      <c r="G3604" s="1">
        <v>45246</v>
      </c>
      <c r="H3604" s="1">
        <f>TablaDatos[[#This Row],[FechaIngreso]]+TablaDatos[[#This Row],[DiasNuevo]]</f>
        <v>45273</v>
      </c>
      <c r="I3604">
        <v>27</v>
      </c>
      <c r="J3604" t="s">
        <v>23</v>
      </c>
      <c r="K3604" s="3">
        <v>14506.36</v>
      </c>
      <c r="L3604" t="b">
        <f>TablaDatos[[#This Row],[FechaAlta]] &lt; TablaDatos[[#This Row],[FechaIngreso]]</f>
        <v>0</v>
      </c>
      <c r="M3604">
        <f>_xlfn.XLOOKUP(TablaDatos[[#This Row],[PacienteID]],'Datos_Ejemplo.csv'!A:A,'Datos_Ejemplo.csv'!I:I)</f>
        <v>27</v>
      </c>
      <c r="N3604">
        <f>ABS(TablaDatos[[#This Row],[DiasOriginal]])</f>
        <v>27</v>
      </c>
      <c r="O3604" s="1">
        <f>TablaDatos[[#This Row],[FechaIngreso]]+TablaDatos[[#This Row],[DiasNuevo]]</f>
        <v>45273</v>
      </c>
    </row>
    <row r="3605" spans="1:15">
      <c r="A3605">
        <v>3604</v>
      </c>
      <c r="B3605" t="s">
        <v>238</v>
      </c>
      <c r="C3605" s="1">
        <v>14611</v>
      </c>
      <c r="D3605">
        <v>86</v>
      </c>
      <c r="E3605" s="4" t="s">
        <v>12</v>
      </c>
      <c r="F3605" t="s">
        <v>261</v>
      </c>
      <c r="G3605" s="1">
        <v>45230</v>
      </c>
      <c r="H3605" s="1">
        <f>TablaDatos[[#This Row],[FechaIngreso]]+TablaDatos[[#This Row],[DiasNuevo]]</f>
        <v>45232</v>
      </c>
      <c r="I3605">
        <v>2</v>
      </c>
      <c r="J3605" t="s">
        <v>23</v>
      </c>
      <c r="K3605" s="3">
        <v>4741.9399999999996</v>
      </c>
      <c r="L3605" t="b">
        <f>TablaDatos[[#This Row],[FechaAlta]] &lt; TablaDatos[[#This Row],[FechaIngreso]]</f>
        <v>0</v>
      </c>
      <c r="M3605">
        <f>_xlfn.XLOOKUP(TablaDatos[[#This Row],[PacienteID]],'Datos_Ejemplo.csv'!A:A,'Datos_Ejemplo.csv'!I:I)</f>
        <v>-2</v>
      </c>
      <c r="N3605">
        <f>ABS(TablaDatos[[#This Row],[DiasOriginal]])</f>
        <v>2</v>
      </c>
      <c r="O3605" s="1">
        <f>TablaDatos[[#This Row],[FechaIngreso]]+TablaDatos[[#This Row],[DiasNuevo]]</f>
        <v>45232</v>
      </c>
    </row>
    <row r="3606" spans="1:15">
      <c r="A3606">
        <v>3605</v>
      </c>
      <c r="B3606" t="s">
        <v>310</v>
      </c>
      <c r="C3606" s="1">
        <v>44196</v>
      </c>
      <c r="D3606">
        <v>5</v>
      </c>
      <c r="E3606" s="4" t="s">
        <v>12</v>
      </c>
      <c r="F3606" t="s">
        <v>18</v>
      </c>
      <c r="G3606" s="1">
        <v>45198</v>
      </c>
      <c r="H3606" s="1">
        <f>TablaDatos[[#This Row],[FechaIngreso]]+TablaDatos[[#This Row],[DiasNuevo]]</f>
        <v>45227</v>
      </c>
      <c r="I3606">
        <v>29</v>
      </c>
      <c r="J3606" t="s">
        <v>19</v>
      </c>
      <c r="K3606" s="3">
        <v>1385.9</v>
      </c>
      <c r="L3606" t="b">
        <f>TablaDatos[[#This Row],[FechaAlta]] &lt; TablaDatos[[#This Row],[FechaIngreso]]</f>
        <v>0</v>
      </c>
      <c r="M3606">
        <f>_xlfn.XLOOKUP(TablaDatos[[#This Row],[PacienteID]],'Datos_Ejemplo.csv'!A:A,'Datos_Ejemplo.csv'!I:I)</f>
        <v>29</v>
      </c>
      <c r="N3606">
        <f>ABS(TablaDatos[[#This Row],[DiasOriginal]])</f>
        <v>29</v>
      </c>
      <c r="O3606" s="1">
        <f>TablaDatos[[#This Row],[FechaIngreso]]+TablaDatos[[#This Row],[DiasNuevo]]</f>
        <v>45227</v>
      </c>
    </row>
    <row r="3607" spans="1:15">
      <c r="A3607">
        <v>3606</v>
      </c>
      <c r="B3607" t="s">
        <v>306</v>
      </c>
      <c r="C3607" s="1">
        <v>21551</v>
      </c>
      <c r="D3607">
        <v>67</v>
      </c>
      <c r="E3607" s="4" t="s">
        <v>15</v>
      </c>
      <c r="F3607" t="s">
        <v>261</v>
      </c>
      <c r="G3607" s="1">
        <v>45616</v>
      </c>
      <c r="H3607" s="1">
        <f>TablaDatos[[#This Row],[FechaIngreso]]+TablaDatos[[#This Row],[DiasNuevo]]</f>
        <v>45633</v>
      </c>
      <c r="I3607">
        <v>17</v>
      </c>
      <c r="J3607" t="s">
        <v>19</v>
      </c>
      <c r="K3607" s="3">
        <v>16022.3</v>
      </c>
      <c r="L3607" t="b">
        <f>TablaDatos[[#This Row],[FechaAlta]] &lt; TablaDatos[[#This Row],[FechaIngreso]]</f>
        <v>0</v>
      </c>
      <c r="M3607">
        <f>_xlfn.XLOOKUP(TablaDatos[[#This Row],[PacienteID]],'Datos_Ejemplo.csv'!A:A,'Datos_Ejemplo.csv'!I:I)</f>
        <v>17</v>
      </c>
      <c r="N3607">
        <f>ABS(TablaDatos[[#This Row],[DiasOriginal]])</f>
        <v>17</v>
      </c>
      <c r="O3607" s="1">
        <f>TablaDatos[[#This Row],[FechaIngreso]]+TablaDatos[[#This Row],[DiasNuevo]]</f>
        <v>45633</v>
      </c>
    </row>
    <row r="3608" spans="1:15">
      <c r="A3608">
        <v>3607</v>
      </c>
      <c r="B3608" t="s">
        <v>164</v>
      </c>
      <c r="C3608" s="1">
        <v>39813</v>
      </c>
      <c r="D3608">
        <v>17</v>
      </c>
      <c r="E3608" s="4" t="s">
        <v>12</v>
      </c>
      <c r="F3608" t="s">
        <v>18</v>
      </c>
      <c r="G3608" s="1">
        <v>45040</v>
      </c>
      <c r="H3608" s="1">
        <f>TablaDatos[[#This Row],[FechaIngreso]]+TablaDatos[[#This Row],[DiasNuevo]]</f>
        <v>45058</v>
      </c>
      <c r="I3608">
        <v>18</v>
      </c>
      <c r="J3608" t="s">
        <v>23</v>
      </c>
      <c r="K3608" s="3">
        <v>11139.15</v>
      </c>
      <c r="L3608" t="b">
        <f>TablaDatos[[#This Row],[FechaAlta]] &lt; TablaDatos[[#This Row],[FechaIngreso]]</f>
        <v>0</v>
      </c>
      <c r="M3608">
        <f>_xlfn.XLOOKUP(TablaDatos[[#This Row],[PacienteID]],'Datos_Ejemplo.csv'!A:A,'Datos_Ejemplo.csv'!I:I)</f>
        <v>18</v>
      </c>
      <c r="N3608">
        <f>ABS(TablaDatos[[#This Row],[DiasOriginal]])</f>
        <v>18</v>
      </c>
      <c r="O3608" s="1">
        <f>TablaDatos[[#This Row],[FechaIngreso]]+TablaDatos[[#This Row],[DiasNuevo]]</f>
        <v>45058</v>
      </c>
    </row>
    <row r="3609" spans="1:15">
      <c r="A3609">
        <v>3608</v>
      </c>
      <c r="B3609" t="s">
        <v>329</v>
      </c>
      <c r="C3609" s="1">
        <v>19724</v>
      </c>
      <c r="D3609">
        <v>72</v>
      </c>
      <c r="E3609" s="4" t="s">
        <v>15</v>
      </c>
      <c r="F3609" t="s">
        <v>261</v>
      </c>
      <c r="G3609" s="1">
        <v>45333</v>
      </c>
      <c r="H3609" s="1">
        <f>TablaDatos[[#This Row],[FechaIngreso]]+TablaDatos[[#This Row],[DiasNuevo]]</f>
        <v>45349</v>
      </c>
      <c r="I3609">
        <v>16</v>
      </c>
      <c r="J3609" t="s">
        <v>23</v>
      </c>
      <c r="K3609" s="3">
        <v>13600.71</v>
      </c>
      <c r="L3609" t="b">
        <f>TablaDatos[[#This Row],[FechaAlta]] &lt; TablaDatos[[#This Row],[FechaIngreso]]</f>
        <v>0</v>
      </c>
      <c r="M3609">
        <f>_xlfn.XLOOKUP(TablaDatos[[#This Row],[PacienteID]],'Datos_Ejemplo.csv'!A:A,'Datos_Ejemplo.csv'!I:I)</f>
        <v>16</v>
      </c>
      <c r="N3609">
        <f>ABS(TablaDatos[[#This Row],[DiasOriginal]])</f>
        <v>16</v>
      </c>
      <c r="O3609" s="1">
        <f>TablaDatos[[#This Row],[FechaIngreso]]+TablaDatos[[#This Row],[DiasNuevo]]</f>
        <v>45349</v>
      </c>
    </row>
    <row r="3610" spans="1:15">
      <c r="A3610">
        <v>3609</v>
      </c>
      <c r="B3610" t="s">
        <v>241</v>
      </c>
      <c r="C3610" s="1">
        <v>35795</v>
      </c>
      <c r="D3610">
        <v>28</v>
      </c>
      <c r="E3610" s="4" t="s">
        <v>12</v>
      </c>
      <c r="F3610" t="s">
        <v>13</v>
      </c>
      <c r="G3610" s="1">
        <v>44952</v>
      </c>
      <c r="H3610" s="1">
        <f>TablaDatos[[#This Row],[FechaIngreso]]+TablaDatos[[#This Row],[DiasNuevo]]</f>
        <v>44979</v>
      </c>
      <c r="I3610">
        <v>27</v>
      </c>
      <c r="J3610" t="s">
        <v>23</v>
      </c>
      <c r="K3610" s="3">
        <v>15570.79</v>
      </c>
      <c r="L3610" t="b">
        <f>TablaDatos[[#This Row],[FechaAlta]] &lt; TablaDatos[[#This Row],[FechaIngreso]]</f>
        <v>0</v>
      </c>
      <c r="M3610">
        <f>_xlfn.XLOOKUP(TablaDatos[[#This Row],[PacienteID]],'Datos_Ejemplo.csv'!A:A,'Datos_Ejemplo.csv'!I:I)</f>
        <v>27</v>
      </c>
      <c r="N3610">
        <f>ABS(TablaDatos[[#This Row],[DiasOriginal]])</f>
        <v>27</v>
      </c>
      <c r="O3610" s="1">
        <f>TablaDatos[[#This Row],[FechaIngreso]]+TablaDatos[[#This Row],[DiasNuevo]]</f>
        <v>44979</v>
      </c>
    </row>
    <row r="3611" spans="1:15">
      <c r="A3611">
        <v>3610</v>
      </c>
      <c r="B3611" t="s">
        <v>245</v>
      </c>
      <c r="C3611" s="1">
        <v>18263</v>
      </c>
      <c r="D3611">
        <v>76</v>
      </c>
      <c r="E3611" s="4" t="s">
        <v>15</v>
      </c>
      <c r="F3611" t="s">
        <v>261</v>
      </c>
      <c r="G3611" s="1">
        <v>45163</v>
      </c>
      <c r="H3611" s="1">
        <f>TablaDatos[[#This Row],[FechaIngreso]]+TablaDatos[[#This Row],[DiasNuevo]]</f>
        <v>45188</v>
      </c>
      <c r="I3611">
        <v>25</v>
      </c>
      <c r="J3611" t="s">
        <v>19</v>
      </c>
      <c r="K3611" s="3">
        <v>8129.63</v>
      </c>
      <c r="L3611" t="b">
        <f>TablaDatos[[#This Row],[FechaAlta]] &lt; TablaDatos[[#This Row],[FechaIngreso]]</f>
        <v>0</v>
      </c>
      <c r="M3611">
        <f>_xlfn.XLOOKUP(TablaDatos[[#This Row],[PacienteID]],'Datos_Ejemplo.csv'!A:A,'Datos_Ejemplo.csv'!I:I)</f>
        <v>25</v>
      </c>
      <c r="N3611">
        <f>ABS(TablaDatos[[#This Row],[DiasOriginal]])</f>
        <v>25</v>
      </c>
      <c r="O3611" s="1">
        <f>TablaDatos[[#This Row],[FechaIngreso]]+TablaDatos[[#This Row],[DiasNuevo]]</f>
        <v>45188</v>
      </c>
    </row>
    <row r="3612" spans="1:15">
      <c r="A3612">
        <v>3611</v>
      </c>
      <c r="B3612" t="s">
        <v>233</v>
      </c>
      <c r="C3612" s="1">
        <v>24838</v>
      </c>
      <c r="D3612">
        <v>58</v>
      </c>
      <c r="E3612" s="4" t="s">
        <v>12</v>
      </c>
      <c r="F3612" t="s">
        <v>13</v>
      </c>
      <c r="G3612" s="1">
        <v>45236</v>
      </c>
      <c r="H3612" s="1">
        <f>TablaDatos[[#This Row],[FechaIngreso]]+TablaDatos[[#This Row],[DiasNuevo]]</f>
        <v>45265</v>
      </c>
      <c r="I3612">
        <v>29</v>
      </c>
      <c r="J3612" t="s">
        <v>19</v>
      </c>
      <c r="K3612" s="3">
        <v>2805.39</v>
      </c>
      <c r="L3612" t="b">
        <f>TablaDatos[[#This Row],[FechaAlta]] &lt; TablaDatos[[#This Row],[FechaIngreso]]</f>
        <v>0</v>
      </c>
      <c r="M3612">
        <f>_xlfn.XLOOKUP(TablaDatos[[#This Row],[PacienteID]],'Datos_Ejemplo.csv'!A:A,'Datos_Ejemplo.csv'!I:I)</f>
        <v>29</v>
      </c>
      <c r="N3612">
        <f>ABS(TablaDatos[[#This Row],[DiasOriginal]])</f>
        <v>29</v>
      </c>
      <c r="O3612" s="1">
        <f>TablaDatos[[#This Row],[FechaIngreso]]+TablaDatos[[#This Row],[DiasNuevo]]</f>
        <v>45265</v>
      </c>
    </row>
    <row r="3613" spans="1:15">
      <c r="A3613">
        <v>3612</v>
      </c>
      <c r="B3613" t="s">
        <v>358</v>
      </c>
      <c r="C3613" s="1">
        <v>29221</v>
      </c>
      <c r="D3613">
        <f ca="1">DATEDIF(TablaDatos[[#This Row],[FechaNacimiento]],TODAY(),"Y")</f>
        <v>46</v>
      </c>
      <c r="E3613" s="4" t="s">
        <v>15</v>
      </c>
      <c r="F3613" t="s">
        <v>18</v>
      </c>
      <c r="G3613" s="1">
        <v>45610</v>
      </c>
      <c r="H3613" s="1">
        <f>TablaDatos[[#This Row],[FechaIngreso]]+TablaDatos[[#This Row],[DiasNuevo]]</f>
        <v>45637</v>
      </c>
      <c r="I3613">
        <v>27</v>
      </c>
      <c r="J3613" t="s">
        <v>25</v>
      </c>
      <c r="K3613" s="3">
        <v>15880.24</v>
      </c>
      <c r="L3613" t="b">
        <f>TablaDatos[[#This Row],[FechaAlta]] &lt; TablaDatos[[#This Row],[FechaIngreso]]</f>
        <v>0</v>
      </c>
      <c r="M3613">
        <f>_xlfn.XLOOKUP(TablaDatos[[#This Row],[PacienteID]],'Datos_Ejemplo.csv'!A:A,'Datos_Ejemplo.csv'!I:I)</f>
        <v>27</v>
      </c>
      <c r="N3613">
        <f>ABS(TablaDatos[[#This Row],[DiasOriginal]])</f>
        <v>27</v>
      </c>
      <c r="O3613" s="1">
        <f>TablaDatos[[#This Row],[FechaIngreso]]+TablaDatos[[#This Row],[DiasNuevo]]</f>
        <v>45637</v>
      </c>
    </row>
    <row r="3614" spans="1:15">
      <c r="A3614">
        <v>3613</v>
      </c>
      <c r="B3614" t="s">
        <v>310</v>
      </c>
      <c r="C3614" s="1">
        <v>40178</v>
      </c>
      <c r="D3614">
        <v>16</v>
      </c>
      <c r="E3614" s="4" t="s">
        <v>15</v>
      </c>
      <c r="F3614" t="s">
        <v>32</v>
      </c>
      <c r="G3614" s="1">
        <v>45159</v>
      </c>
      <c r="H3614" s="1">
        <f>TablaDatos[[#This Row],[FechaIngreso]]+TablaDatos[[#This Row],[DiasNuevo]]</f>
        <v>45179</v>
      </c>
      <c r="I3614">
        <v>20</v>
      </c>
      <c r="J3614" t="s">
        <v>23</v>
      </c>
      <c r="K3614" s="3">
        <v>9020.69</v>
      </c>
      <c r="L3614" t="b">
        <f>TablaDatos[[#This Row],[FechaAlta]] &lt; TablaDatos[[#This Row],[FechaIngreso]]</f>
        <v>0</v>
      </c>
      <c r="M3614">
        <f>_xlfn.XLOOKUP(TablaDatos[[#This Row],[PacienteID]],'Datos_Ejemplo.csv'!A:A,'Datos_Ejemplo.csv'!I:I)</f>
        <v>20</v>
      </c>
      <c r="N3614">
        <f>ABS(TablaDatos[[#This Row],[DiasOriginal]])</f>
        <v>20</v>
      </c>
      <c r="O3614" s="1">
        <f>TablaDatos[[#This Row],[FechaIngreso]]+TablaDatos[[#This Row],[DiasNuevo]]</f>
        <v>45179</v>
      </c>
    </row>
    <row r="3615" spans="1:15">
      <c r="A3615">
        <v>3614</v>
      </c>
      <c r="B3615" t="s">
        <v>105</v>
      </c>
      <c r="C3615" s="1">
        <v>38352</v>
      </c>
      <c r="D3615">
        <f ca="1">DATEDIF(TablaDatos[[#This Row],[FechaNacimiento]],TODAY(),"Y")</f>
        <v>21</v>
      </c>
      <c r="E3615" s="4" t="s">
        <v>15</v>
      </c>
      <c r="F3615" t="s">
        <v>18</v>
      </c>
      <c r="G3615" s="1">
        <v>45475</v>
      </c>
      <c r="H3615" s="1">
        <f>TablaDatos[[#This Row],[FechaIngreso]]+TablaDatos[[#This Row],[DiasNuevo]]</f>
        <v>45499</v>
      </c>
      <c r="I3615">
        <v>24</v>
      </c>
      <c r="J3615" t="s">
        <v>23</v>
      </c>
      <c r="K3615" s="3">
        <v>16521.18</v>
      </c>
      <c r="L3615" t="b">
        <f>TablaDatos[[#This Row],[FechaAlta]] &lt; TablaDatos[[#This Row],[FechaIngreso]]</f>
        <v>0</v>
      </c>
      <c r="M3615">
        <f>_xlfn.XLOOKUP(TablaDatos[[#This Row],[PacienteID]],'Datos_Ejemplo.csv'!A:A,'Datos_Ejemplo.csv'!I:I)</f>
        <v>24</v>
      </c>
      <c r="N3615">
        <f>ABS(TablaDatos[[#This Row],[DiasOriginal]])</f>
        <v>24</v>
      </c>
      <c r="O3615" s="1">
        <f>TablaDatos[[#This Row],[FechaIngreso]]+TablaDatos[[#This Row],[DiasNuevo]]</f>
        <v>45499</v>
      </c>
    </row>
    <row r="3616" spans="1:15">
      <c r="A3616">
        <v>3615</v>
      </c>
      <c r="B3616" t="s">
        <v>105</v>
      </c>
      <c r="C3616" s="1">
        <v>21551</v>
      </c>
      <c r="D3616">
        <v>67</v>
      </c>
      <c r="E3616" s="4" t="s">
        <v>12</v>
      </c>
      <c r="F3616" t="s">
        <v>295</v>
      </c>
      <c r="G3616" s="1">
        <v>45191</v>
      </c>
      <c r="H3616" s="1">
        <f>TablaDatos[[#This Row],[FechaIngreso]]+TablaDatos[[#This Row],[DiasNuevo]]</f>
        <v>45225</v>
      </c>
      <c r="I3616">
        <v>34</v>
      </c>
      <c r="J3616" t="s">
        <v>23</v>
      </c>
      <c r="K3616" s="3">
        <v>8697.75</v>
      </c>
      <c r="L3616" t="b">
        <f>TablaDatos[[#This Row],[FechaAlta]] &lt; TablaDatos[[#This Row],[FechaIngreso]]</f>
        <v>0</v>
      </c>
      <c r="M3616">
        <f>_xlfn.XLOOKUP(TablaDatos[[#This Row],[PacienteID]],'Datos_Ejemplo.csv'!A:A,'Datos_Ejemplo.csv'!I:I)</f>
        <v>34</v>
      </c>
      <c r="N3616">
        <f>ABS(TablaDatos[[#This Row],[DiasOriginal]])</f>
        <v>34</v>
      </c>
      <c r="O3616" s="1">
        <f>TablaDatos[[#This Row],[FechaIngreso]]+TablaDatos[[#This Row],[DiasNuevo]]</f>
        <v>45225</v>
      </c>
    </row>
    <row r="3617" spans="1:15">
      <c r="A3617">
        <v>3616</v>
      </c>
      <c r="B3617" t="s">
        <v>250</v>
      </c>
      <c r="C3617" s="1">
        <v>21185</v>
      </c>
      <c r="D3617">
        <v>68</v>
      </c>
      <c r="E3617" s="4" t="s">
        <v>12</v>
      </c>
      <c r="F3617" t="s">
        <v>32</v>
      </c>
      <c r="G3617" s="1">
        <v>44939</v>
      </c>
      <c r="H3617" s="1">
        <f>TablaDatos[[#This Row],[FechaIngreso]]+TablaDatos[[#This Row],[DiasNuevo]]</f>
        <v>44962</v>
      </c>
      <c r="I3617">
        <v>23</v>
      </c>
      <c r="J3617" t="s">
        <v>25</v>
      </c>
      <c r="K3617" s="3">
        <v>4262.03</v>
      </c>
      <c r="L3617" t="b">
        <f>TablaDatos[[#This Row],[FechaAlta]] &lt; TablaDatos[[#This Row],[FechaIngreso]]</f>
        <v>0</v>
      </c>
      <c r="M3617">
        <f>_xlfn.XLOOKUP(TablaDatos[[#This Row],[PacienteID]],'Datos_Ejemplo.csv'!A:A,'Datos_Ejemplo.csv'!I:I)</f>
        <v>23</v>
      </c>
      <c r="N3617">
        <f>ABS(TablaDatos[[#This Row],[DiasOriginal]])</f>
        <v>23</v>
      </c>
      <c r="O3617" s="1">
        <f>TablaDatos[[#This Row],[FechaIngreso]]+TablaDatos[[#This Row],[DiasNuevo]]</f>
        <v>44962</v>
      </c>
    </row>
    <row r="3618" spans="1:15">
      <c r="A3618">
        <v>3617</v>
      </c>
      <c r="B3618" t="s">
        <v>152</v>
      </c>
      <c r="C3618" s="1">
        <v>32873</v>
      </c>
      <c r="D3618">
        <v>36</v>
      </c>
      <c r="E3618" s="4" t="s">
        <v>12</v>
      </c>
      <c r="F3618" t="s">
        <v>261</v>
      </c>
      <c r="G3618" s="1">
        <v>45422</v>
      </c>
      <c r="H3618" s="1">
        <f>TablaDatos[[#This Row],[FechaIngreso]]+TablaDatos[[#This Row],[DiasNuevo]]</f>
        <v>45422</v>
      </c>
      <c r="I3618">
        <v>0</v>
      </c>
      <c r="J3618" t="s">
        <v>23</v>
      </c>
      <c r="K3618" s="3">
        <v>3337.2</v>
      </c>
      <c r="L3618" t="b">
        <f>TablaDatos[[#This Row],[FechaAlta]] &lt; TablaDatos[[#This Row],[FechaIngreso]]</f>
        <v>0</v>
      </c>
      <c r="M3618">
        <f>_xlfn.XLOOKUP(TablaDatos[[#This Row],[PacienteID]],'Datos_Ejemplo.csv'!A:A,'Datos_Ejemplo.csv'!I:I)</f>
        <v>0</v>
      </c>
      <c r="N3618">
        <f>ABS(TablaDatos[[#This Row],[DiasOriginal]])</f>
        <v>0</v>
      </c>
      <c r="O3618" s="1">
        <f>TablaDatos[[#This Row],[FechaIngreso]]+TablaDatos[[#This Row],[DiasNuevo]]</f>
        <v>45422</v>
      </c>
    </row>
    <row r="3619" spans="1:15">
      <c r="A3619">
        <v>3618</v>
      </c>
      <c r="B3619" t="s">
        <v>344</v>
      </c>
      <c r="C3619" s="1">
        <v>28490</v>
      </c>
      <c r="D3619">
        <v>48</v>
      </c>
      <c r="E3619" s="4" t="s">
        <v>12</v>
      </c>
      <c r="F3619" t="s">
        <v>261</v>
      </c>
      <c r="G3619" s="1">
        <v>45242</v>
      </c>
      <c r="H3619" s="1">
        <f>TablaDatos[[#This Row],[FechaIngreso]]+TablaDatos[[#This Row],[DiasNuevo]]</f>
        <v>45270</v>
      </c>
      <c r="I3619">
        <v>28</v>
      </c>
      <c r="J3619" t="s">
        <v>25</v>
      </c>
      <c r="K3619" s="3">
        <v>14852.83</v>
      </c>
      <c r="L3619" t="b">
        <f>TablaDatos[[#This Row],[FechaAlta]] &lt; TablaDatos[[#This Row],[FechaIngreso]]</f>
        <v>0</v>
      </c>
      <c r="M3619">
        <f>_xlfn.XLOOKUP(TablaDatos[[#This Row],[PacienteID]],'Datos_Ejemplo.csv'!A:A,'Datos_Ejemplo.csv'!I:I)</f>
        <v>28</v>
      </c>
      <c r="N3619">
        <f>ABS(TablaDatos[[#This Row],[DiasOriginal]])</f>
        <v>28</v>
      </c>
      <c r="O3619" s="1">
        <f>TablaDatos[[#This Row],[FechaIngreso]]+TablaDatos[[#This Row],[DiasNuevo]]</f>
        <v>45270</v>
      </c>
    </row>
    <row r="3620" spans="1:15">
      <c r="A3620">
        <v>3619</v>
      </c>
      <c r="B3620" t="s">
        <v>305</v>
      </c>
      <c r="C3620" s="1">
        <v>41639</v>
      </c>
      <c r="D3620">
        <v>12</v>
      </c>
      <c r="E3620" s="4" t="s">
        <v>15</v>
      </c>
      <c r="F3620" t="s">
        <v>261</v>
      </c>
      <c r="G3620" s="1">
        <v>45544</v>
      </c>
      <c r="H3620" s="1">
        <f>TablaDatos[[#This Row],[FechaIngreso]]+TablaDatos[[#This Row],[DiasNuevo]]</f>
        <v>45545</v>
      </c>
      <c r="I3620">
        <v>1</v>
      </c>
      <c r="J3620" t="s">
        <v>23</v>
      </c>
      <c r="K3620" s="3">
        <v>11455.27</v>
      </c>
      <c r="L3620" t="b">
        <f>TablaDatos[[#This Row],[FechaAlta]] &lt; TablaDatos[[#This Row],[FechaIngreso]]</f>
        <v>0</v>
      </c>
      <c r="M3620">
        <f>_xlfn.XLOOKUP(TablaDatos[[#This Row],[PacienteID]],'Datos_Ejemplo.csv'!A:A,'Datos_Ejemplo.csv'!I:I)</f>
        <v>-1</v>
      </c>
      <c r="N3620">
        <f>ABS(TablaDatos[[#This Row],[DiasOriginal]])</f>
        <v>1</v>
      </c>
      <c r="O3620" s="1">
        <f>TablaDatos[[#This Row],[FechaIngreso]]+TablaDatos[[#This Row],[DiasNuevo]]</f>
        <v>45545</v>
      </c>
    </row>
    <row r="3621" spans="1:15">
      <c r="A3621">
        <v>3620</v>
      </c>
      <c r="B3621" t="s">
        <v>247</v>
      </c>
      <c r="C3621" s="1">
        <v>33969</v>
      </c>
      <c r="D3621">
        <v>33</v>
      </c>
      <c r="E3621" s="4" t="s">
        <v>15</v>
      </c>
      <c r="F3621" t="s">
        <v>261</v>
      </c>
      <c r="G3621" s="1">
        <v>45564</v>
      </c>
      <c r="H3621" s="1">
        <f>TablaDatos[[#This Row],[FechaIngreso]]+TablaDatos[[#This Row],[DiasNuevo]]</f>
        <v>45571</v>
      </c>
      <c r="I3621">
        <v>7</v>
      </c>
      <c r="J3621" t="s">
        <v>23</v>
      </c>
      <c r="K3621" s="3">
        <v>8032.52</v>
      </c>
      <c r="L3621" t="b">
        <f>TablaDatos[[#This Row],[FechaAlta]] &lt; TablaDatos[[#This Row],[FechaIngreso]]</f>
        <v>0</v>
      </c>
      <c r="M3621">
        <f>_xlfn.XLOOKUP(TablaDatos[[#This Row],[PacienteID]],'Datos_Ejemplo.csv'!A:A,'Datos_Ejemplo.csv'!I:I)</f>
        <v>7</v>
      </c>
      <c r="N3621">
        <f>ABS(TablaDatos[[#This Row],[DiasOriginal]])</f>
        <v>7</v>
      </c>
      <c r="O3621" s="1">
        <f>TablaDatos[[#This Row],[FechaIngreso]]+TablaDatos[[#This Row],[DiasNuevo]]</f>
        <v>45571</v>
      </c>
    </row>
    <row r="3622" spans="1:15">
      <c r="A3622">
        <v>3621</v>
      </c>
      <c r="B3622" t="s">
        <v>252</v>
      </c>
      <c r="C3622" s="1">
        <v>14976</v>
      </c>
      <c r="D3622">
        <v>85</v>
      </c>
      <c r="E3622" s="4" t="s">
        <v>12</v>
      </c>
      <c r="F3622" t="s">
        <v>261</v>
      </c>
      <c r="G3622" s="1">
        <v>45310</v>
      </c>
      <c r="H3622" s="1">
        <f>TablaDatos[[#This Row],[FechaIngreso]]+TablaDatos[[#This Row],[DiasNuevo]]</f>
        <v>45345</v>
      </c>
      <c r="I3622">
        <v>35</v>
      </c>
      <c r="J3622" t="s">
        <v>25</v>
      </c>
      <c r="K3622" s="3">
        <v>9791.5499999999993</v>
      </c>
      <c r="L3622" t="b">
        <f>TablaDatos[[#This Row],[FechaAlta]] &lt; TablaDatos[[#This Row],[FechaIngreso]]</f>
        <v>0</v>
      </c>
      <c r="M3622">
        <f>_xlfn.XLOOKUP(TablaDatos[[#This Row],[PacienteID]],'Datos_Ejemplo.csv'!A:A,'Datos_Ejemplo.csv'!I:I)</f>
        <v>35</v>
      </c>
      <c r="N3622">
        <f>ABS(TablaDatos[[#This Row],[DiasOriginal]])</f>
        <v>35</v>
      </c>
      <c r="O3622" s="1">
        <f>TablaDatos[[#This Row],[FechaIngreso]]+TablaDatos[[#This Row],[DiasNuevo]]</f>
        <v>45345</v>
      </c>
    </row>
    <row r="3623" spans="1:15">
      <c r="A3623">
        <v>3622</v>
      </c>
      <c r="B3623" t="s">
        <v>116</v>
      </c>
      <c r="C3623" s="1">
        <v>27029</v>
      </c>
      <c r="D3623">
        <v>52</v>
      </c>
      <c r="E3623" s="4" t="s">
        <v>15</v>
      </c>
      <c r="F3623" t="s">
        <v>18</v>
      </c>
      <c r="G3623" s="1">
        <v>45568</v>
      </c>
      <c r="H3623" s="1">
        <f>TablaDatos[[#This Row],[FechaIngreso]]+TablaDatos[[#This Row],[DiasNuevo]]</f>
        <v>45584</v>
      </c>
      <c r="I3623">
        <v>16</v>
      </c>
      <c r="J3623" t="s">
        <v>23</v>
      </c>
      <c r="K3623" s="3">
        <v>10947.74</v>
      </c>
      <c r="L3623" t="b">
        <f>TablaDatos[[#This Row],[FechaAlta]] &lt; TablaDatos[[#This Row],[FechaIngreso]]</f>
        <v>0</v>
      </c>
      <c r="M3623">
        <f>_xlfn.XLOOKUP(TablaDatos[[#This Row],[PacienteID]],'Datos_Ejemplo.csv'!A:A,'Datos_Ejemplo.csv'!I:I)</f>
        <v>16</v>
      </c>
      <c r="N3623">
        <f>ABS(TablaDatos[[#This Row],[DiasOriginal]])</f>
        <v>16</v>
      </c>
      <c r="O3623" s="1">
        <f>TablaDatos[[#This Row],[FechaIngreso]]+TablaDatos[[#This Row],[DiasNuevo]]</f>
        <v>45584</v>
      </c>
    </row>
    <row r="3624" spans="1:15">
      <c r="A3624">
        <v>3623</v>
      </c>
      <c r="B3624" t="s">
        <v>146</v>
      </c>
      <c r="C3624" s="1">
        <v>14611</v>
      </c>
      <c r="D3624">
        <v>86</v>
      </c>
      <c r="E3624" s="4" t="s">
        <v>197</v>
      </c>
      <c r="F3624" t="s">
        <v>201</v>
      </c>
      <c r="G3624" s="1">
        <v>45242</v>
      </c>
      <c r="H3624" s="1">
        <f>TablaDatos[[#This Row],[FechaIngreso]]+TablaDatos[[#This Row],[DiasNuevo]]</f>
        <v>45270</v>
      </c>
      <c r="I3624">
        <v>28</v>
      </c>
      <c r="J3624" t="s">
        <v>25</v>
      </c>
      <c r="K3624" s="3">
        <v>4712.2700000000004</v>
      </c>
      <c r="L3624" t="b">
        <f>TablaDatos[[#This Row],[FechaAlta]] &lt; TablaDatos[[#This Row],[FechaIngreso]]</f>
        <v>0</v>
      </c>
      <c r="M3624">
        <f>_xlfn.XLOOKUP(TablaDatos[[#This Row],[PacienteID]],'Datos_Ejemplo.csv'!A:A,'Datos_Ejemplo.csv'!I:I)</f>
        <v>28</v>
      </c>
      <c r="N3624">
        <f>ABS(TablaDatos[[#This Row],[DiasOriginal]])</f>
        <v>28</v>
      </c>
      <c r="O3624" s="1">
        <f>TablaDatos[[#This Row],[FechaIngreso]]+TablaDatos[[#This Row],[DiasNuevo]]</f>
        <v>45270</v>
      </c>
    </row>
    <row r="3625" spans="1:15">
      <c r="A3625">
        <v>3624</v>
      </c>
      <c r="B3625" t="s">
        <v>265</v>
      </c>
      <c r="C3625" s="1">
        <v>27760</v>
      </c>
      <c r="D3625">
        <v>50</v>
      </c>
      <c r="E3625" s="4" t="s">
        <v>12</v>
      </c>
      <c r="F3625" t="s">
        <v>13</v>
      </c>
      <c r="G3625" s="1">
        <v>45182</v>
      </c>
      <c r="H3625" s="1">
        <f>TablaDatos[[#This Row],[FechaIngreso]]+TablaDatos[[#This Row],[DiasNuevo]]</f>
        <v>45208</v>
      </c>
      <c r="I3625">
        <v>26</v>
      </c>
      <c r="J3625" t="s">
        <v>19</v>
      </c>
      <c r="K3625" s="3">
        <v>7501.13</v>
      </c>
      <c r="L3625" t="b">
        <f>TablaDatos[[#This Row],[FechaAlta]] &lt; TablaDatos[[#This Row],[FechaIngreso]]</f>
        <v>0</v>
      </c>
      <c r="M3625">
        <f>_xlfn.XLOOKUP(TablaDatos[[#This Row],[PacienteID]],'Datos_Ejemplo.csv'!A:A,'Datos_Ejemplo.csv'!I:I)</f>
        <v>26</v>
      </c>
      <c r="N3625">
        <f>ABS(TablaDatos[[#This Row],[DiasOriginal]])</f>
        <v>26</v>
      </c>
      <c r="O3625" s="1">
        <f>TablaDatos[[#This Row],[FechaIngreso]]+TablaDatos[[#This Row],[DiasNuevo]]</f>
        <v>45208</v>
      </c>
    </row>
    <row r="3626" spans="1:15">
      <c r="A3626">
        <v>3625</v>
      </c>
      <c r="B3626" t="s">
        <v>161</v>
      </c>
      <c r="C3626" s="1">
        <v>45292</v>
      </c>
      <c r="D3626">
        <v>2</v>
      </c>
      <c r="E3626" s="4" t="s">
        <v>15</v>
      </c>
      <c r="F3626" t="s">
        <v>201</v>
      </c>
      <c r="G3626" s="1">
        <v>45367</v>
      </c>
      <c r="H3626" s="1">
        <f>TablaDatos[[#This Row],[FechaIngreso]]+TablaDatos[[#This Row],[DiasNuevo]]</f>
        <v>45389</v>
      </c>
      <c r="I3626">
        <v>22</v>
      </c>
      <c r="J3626" t="s">
        <v>23</v>
      </c>
      <c r="K3626" s="3">
        <v>5777.47</v>
      </c>
      <c r="L3626" t="b">
        <f>TablaDatos[[#This Row],[FechaAlta]] &lt; TablaDatos[[#This Row],[FechaIngreso]]</f>
        <v>0</v>
      </c>
      <c r="M3626">
        <f>_xlfn.XLOOKUP(TablaDatos[[#This Row],[PacienteID]],'Datos_Ejemplo.csv'!A:A,'Datos_Ejemplo.csv'!I:I)</f>
        <v>22</v>
      </c>
      <c r="N3626">
        <f>ABS(TablaDatos[[#This Row],[DiasOriginal]])</f>
        <v>22</v>
      </c>
      <c r="O3626" s="1">
        <f>TablaDatos[[#This Row],[FechaIngreso]]+TablaDatos[[#This Row],[DiasNuevo]]</f>
        <v>45389</v>
      </c>
    </row>
    <row r="3627" spans="1:15">
      <c r="A3627">
        <v>3626</v>
      </c>
      <c r="B3627" t="s">
        <v>327</v>
      </c>
      <c r="C3627" s="1">
        <v>31047</v>
      </c>
      <c r="D3627">
        <v>41</v>
      </c>
      <c r="E3627" s="4" t="s">
        <v>15</v>
      </c>
      <c r="F3627" t="s">
        <v>18</v>
      </c>
      <c r="G3627" s="1">
        <v>45041</v>
      </c>
      <c r="H3627" s="1">
        <f>TablaDatos[[#This Row],[FechaIngreso]]+TablaDatos[[#This Row],[DiasNuevo]]</f>
        <v>45070</v>
      </c>
      <c r="I3627">
        <v>29</v>
      </c>
      <c r="J3627" t="s">
        <v>19</v>
      </c>
      <c r="K3627" s="3">
        <v>7707.32</v>
      </c>
      <c r="L3627" t="b">
        <f>TablaDatos[[#This Row],[FechaAlta]] &lt; TablaDatos[[#This Row],[FechaIngreso]]</f>
        <v>0</v>
      </c>
      <c r="M3627">
        <f>_xlfn.XLOOKUP(TablaDatos[[#This Row],[PacienteID]],'Datos_Ejemplo.csv'!A:A,'Datos_Ejemplo.csv'!I:I)</f>
        <v>29</v>
      </c>
      <c r="N3627">
        <f>ABS(TablaDatos[[#This Row],[DiasOriginal]])</f>
        <v>29</v>
      </c>
      <c r="O3627" s="1">
        <f>TablaDatos[[#This Row],[FechaIngreso]]+TablaDatos[[#This Row],[DiasNuevo]]</f>
        <v>45070</v>
      </c>
    </row>
    <row r="3628" spans="1:15">
      <c r="A3628">
        <v>3627</v>
      </c>
      <c r="B3628" t="s">
        <v>344</v>
      </c>
      <c r="C3628" s="1">
        <v>34700</v>
      </c>
      <c r="D3628">
        <v>31</v>
      </c>
      <c r="E3628" s="4" t="s">
        <v>12</v>
      </c>
      <c r="F3628" t="s">
        <v>21</v>
      </c>
      <c r="G3628" s="1">
        <v>45225</v>
      </c>
      <c r="H3628" s="1">
        <f>TablaDatos[[#This Row],[FechaIngreso]]+TablaDatos[[#This Row],[DiasNuevo]]</f>
        <v>45239</v>
      </c>
      <c r="I3628">
        <v>14</v>
      </c>
      <c r="J3628" t="s">
        <v>25</v>
      </c>
      <c r="K3628" s="3">
        <v>9961.2999999999993</v>
      </c>
      <c r="L3628" t="b">
        <f>TablaDatos[[#This Row],[FechaAlta]] &lt; TablaDatos[[#This Row],[FechaIngreso]]</f>
        <v>0</v>
      </c>
      <c r="M3628">
        <f>_xlfn.XLOOKUP(TablaDatos[[#This Row],[PacienteID]],'Datos_Ejemplo.csv'!A:A,'Datos_Ejemplo.csv'!I:I)</f>
        <v>14</v>
      </c>
      <c r="N3628">
        <f>ABS(TablaDatos[[#This Row],[DiasOriginal]])</f>
        <v>14</v>
      </c>
      <c r="O3628" s="1">
        <f>TablaDatos[[#This Row],[FechaIngreso]]+TablaDatos[[#This Row],[DiasNuevo]]</f>
        <v>45239</v>
      </c>
    </row>
    <row r="3629" spans="1:15">
      <c r="A3629">
        <v>3628</v>
      </c>
      <c r="B3629" t="s">
        <v>356</v>
      </c>
      <c r="C3629" s="1">
        <v>27760</v>
      </c>
      <c r="D3629">
        <v>50</v>
      </c>
      <c r="E3629" s="4" t="s">
        <v>15</v>
      </c>
      <c r="F3629" t="s">
        <v>201</v>
      </c>
      <c r="G3629" s="1">
        <v>45050</v>
      </c>
      <c r="H3629" s="1">
        <f>TablaDatos[[#This Row],[FechaIngreso]]+TablaDatos[[#This Row],[DiasNuevo]]</f>
        <v>45070</v>
      </c>
      <c r="I3629">
        <v>20</v>
      </c>
      <c r="J3629" t="s">
        <v>23</v>
      </c>
      <c r="K3629" s="3">
        <v>3384.49</v>
      </c>
      <c r="L3629" t="b">
        <f>TablaDatos[[#This Row],[FechaAlta]] &lt; TablaDatos[[#This Row],[FechaIngreso]]</f>
        <v>0</v>
      </c>
      <c r="M3629">
        <f>_xlfn.XLOOKUP(TablaDatos[[#This Row],[PacienteID]],'Datos_Ejemplo.csv'!A:A,'Datos_Ejemplo.csv'!I:I)</f>
        <v>20</v>
      </c>
      <c r="N3629">
        <f>ABS(TablaDatos[[#This Row],[DiasOriginal]])</f>
        <v>20</v>
      </c>
      <c r="O3629" s="1">
        <f>TablaDatos[[#This Row],[FechaIngreso]]+TablaDatos[[#This Row],[DiasNuevo]]</f>
        <v>45070</v>
      </c>
    </row>
    <row r="3630" spans="1:15">
      <c r="A3630">
        <v>3629</v>
      </c>
      <c r="B3630" t="s">
        <v>259</v>
      </c>
      <c r="C3630" s="1">
        <v>15341</v>
      </c>
      <c r="D3630">
        <v>84</v>
      </c>
      <c r="E3630" s="4" t="s">
        <v>15</v>
      </c>
      <c r="F3630" t="s">
        <v>18</v>
      </c>
      <c r="G3630" s="1">
        <v>45182</v>
      </c>
      <c r="H3630" s="1">
        <f>TablaDatos[[#This Row],[FechaIngreso]]+TablaDatos[[#This Row],[DiasNuevo]]</f>
        <v>45197</v>
      </c>
      <c r="I3630">
        <v>15</v>
      </c>
      <c r="J3630" t="s">
        <v>25</v>
      </c>
      <c r="K3630" s="3">
        <v>7809.65</v>
      </c>
      <c r="L3630" t="b">
        <f>TablaDatos[[#This Row],[FechaAlta]] &lt; TablaDatos[[#This Row],[FechaIngreso]]</f>
        <v>0</v>
      </c>
      <c r="M3630">
        <f>_xlfn.XLOOKUP(TablaDatos[[#This Row],[PacienteID]],'Datos_Ejemplo.csv'!A:A,'Datos_Ejemplo.csv'!I:I)</f>
        <v>15</v>
      </c>
      <c r="N3630">
        <f>ABS(TablaDatos[[#This Row],[DiasOriginal]])</f>
        <v>15</v>
      </c>
      <c r="O3630" s="1">
        <f>TablaDatos[[#This Row],[FechaIngreso]]+TablaDatos[[#This Row],[DiasNuevo]]</f>
        <v>45197</v>
      </c>
    </row>
    <row r="3631" spans="1:15">
      <c r="A3631">
        <v>3630</v>
      </c>
      <c r="B3631" t="s">
        <v>349</v>
      </c>
      <c r="C3631" s="1">
        <v>29586</v>
      </c>
      <c r="D3631">
        <f ca="1">DATEDIF(TablaDatos[[#This Row],[FechaNacimiento]],TODAY(),"Y")</f>
        <v>45</v>
      </c>
      <c r="E3631" s="4" t="s">
        <v>15</v>
      </c>
      <c r="F3631" t="s">
        <v>32</v>
      </c>
      <c r="G3631" s="1">
        <v>45577</v>
      </c>
      <c r="H3631" s="1">
        <f>TablaDatos[[#This Row],[FechaIngreso]]+TablaDatos[[#This Row],[DiasNuevo]]</f>
        <v>45585</v>
      </c>
      <c r="I3631">
        <v>8</v>
      </c>
      <c r="J3631" t="s">
        <v>25</v>
      </c>
      <c r="K3631" s="3">
        <v>7648.44</v>
      </c>
      <c r="L3631" t="b">
        <f>TablaDatos[[#This Row],[FechaAlta]] &lt; TablaDatos[[#This Row],[FechaIngreso]]</f>
        <v>0</v>
      </c>
      <c r="M3631">
        <f>_xlfn.XLOOKUP(TablaDatos[[#This Row],[PacienteID]],'Datos_Ejemplo.csv'!A:A,'Datos_Ejemplo.csv'!I:I)</f>
        <v>8</v>
      </c>
      <c r="N3631">
        <f>ABS(TablaDatos[[#This Row],[DiasOriginal]])</f>
        <v>8</v>
      </c>
      <c r="O3631" s="1">
        <f>TablaDatos[[#This Row],[FechaIngreso]]+TablaDatos[[#This Row],[DiasNuevo]]</f>
        <v>45585</v>
      </c>
    </row>
    <row r="3632" spans="1:15">
      <c r="A3632">
        <v>3631</v>
      </c>
      <c r="B3632" t="s">
        <v>273</v>
      </c>
      <c r="C3632" s="1">
        <v>38717</v>
      </c>
      <c r="D3632">
        <v>20</v>
      </c>
      <c r="E3632" s="4" t="s">
        <v>12</v>
      </c>
      <c r="F3632" t="s">
        <v>261</v>
      </c>
      <c r="G3632" s="1">
        <v>45644</v>
      </c>
      <c r="H3632" s="1">
        <f>TablaDatos[[#This Row],[FechaIngreso]]+TablaDatos[[#This Row],[DiasNuevo]]</f>
        <v>45661</v>
      </c>
      <c r="I3632">
        <v>17</v>
      </c>
      <c r="J3632" t="s">
        <v>19</v>
      </c>
      <c r="K3632" s="3">
        <v>5648.68</v>
      </c>
      <c r="L3632" t="b">
        <f>TablaDatos[[#This Row],[FechaAlta]] &lt; TablaDatos[[#This Row],[FechaIngreso]]</f>
        <v>0</v>
      </c>
      <c r="M3632">
        <f>_xlfn.XLOOKUP(TablaDatos[[#This Row],[PacienteID]],'Datos_Ejemplo.csv'!A:A,'Datos_Ejemplo.csv'!I:I)</f>
        <v>17</v>
      </c>
      <c r="N3632">
        <f>ABS(TablaDatos[[#This Row],[DiasOriginal]])</f>
        <v>17</v>
      </c>
      <c r="O3632" s="1">
        <f>TablaDatos[[#This Row],[FechaIngreso]]+TablaDatos[[#This Row],[DiasNuevo]]</f>
        <v>45661</v>
      </c>
    </row>
    <row r="3633" spans="1:15">
      <c r="A3633">
        <v>3632</v>
      </c>
      <c r="B3633" t="s">
        <v>233</v>
      </c>
      <c r="C3633" s="1">
        <v>30317</v>
      </c>
      <c r="D3633">
        <v>43</v>
      </c>
      <c r="E3633" s="4" t="s">
        <v>12</v>
      </c>
      <c r="F3633" t="s">
        <v>18</v>
      </c>
      <c r="G3633" s="1">
        <v>44973</v>
      </c>
      <c r="H3633" s="1">
        <f>TablaDatos[[#This Row],[FechaIngreso]]+TablaDatos[[#This Row],[DiasNuevo]]</f>
        <v>44983</v>
      </c>
      <c r="I3633">
        <v>10</v>
      </c>
      <c r="J3633" t="s">
        <v>23</v>
      </c>
      <c r="K3633" s="3">
        <v>19969.78</v>
      </c>
      <c r="L3633" t="b">
        <f>TablaDatos[[#This Row],[FechaAlta]] &lt; TablaDatos[[#This Row],[FechaIngreso]]</f>
        <v>0</v>
      </c>
      <c r="M3633">
        <f>_xlfn.XLOOKUP(TablaDatos[[#This Row],[PacienteID]],'Datos_Ejemplo.csv'!A:A,'Datos_Ejemplo.csv'!I:I)</f>
        <v>10</v>
      </c>
      <c r="N3633">
        <f>ABS(TablaDatos[[#This Row],[DiasOriginal]])</f>
        <v>10</v>
      </c>
      <c r="O3633" s="1">
        <f>TablaDatos[[#This Row],[FechaIngreso]]+TablaDatos[[#This Row],[DiasNuevo]]</f>
        <v>44983</v>
      </c>
    </row>
    <row r="3634" spans="1:15">
      <c r="A3634">
        <v>3633</v>
      </c>
      <c r="B3634" t="s">
        <v>233</v>
      </c>
      <c r="C3634" s="1">
        <v>42370</v>
      </c>
      <c r="D3634">
        <v>10</v>
      </c>
      <c r="E3634" s="4" t="s">
        <v>15</v>
      </c>
      <c r="F3634" t="s">
        <v>201</v>
      </c>
      <c r="G3634" s="1">
        <v>45655</v>
      </c>
      <c r="H3634" s="1">
        <f>TablaDatos[[#This Row],[FechaIngreso]]+TablaDatos[[#This Row],[DiasNuevo]]</f>
        <v>45676</v>
      </c>
      <c r="I3634">
        <v>21</v>
      </c>
      <c r="J3634" t="s">
        <v>23</v>
      </c>
      <c r="K3634" s="3">
        <v>1379.91</v>
      </c>
      <c r="L3634" t="b">
        <f>TablaDatos[[#This Row],[FechaAlta]] &lt; TablaDatos[[#This Row],[FechaIngreso]]</f>
        <v>0</v>
      </c>
      <c r="M3634">
        <f>_xlfn.XLOOKUP(TablaDatos[[#This Row],[PacienteID]],'Datos_Ejemplo.csv'!A:A,'Datos_Ejemplo.csv'!I:I)</f>
        <v>21</v>
      </c>
      <c r="N3634">
        <f>ABS(TablaDatos[[#This Row],[DiasOriginal]])</f>
        <v>21</v>
      </c>
      <c r="O3634" s="1">
        <f>TablaDatos[[#This Row],[FechaIngreso]]+TablaDatos[[#This Row],[DiasNuevo]]</f>
        <v>45676</v>
      </c>
    </row>
    <row r="3635" spans="1:15">
      <c r="A3635">
        <v>3634</v>
      </c>
      <c r="B3635" t="s">
        <v>242</v>
      </c>
      <c r="C3635" s="1">
        <v>21551</v>
      </c>
      <c r="D3635">
        <v>67</v>
      </c>
      <c r="E3635" s="4" t="s">
        <v>15</v>
      </c>
      <c r="F3635" t="s">
        <v>13</v>
      </c>
      <c r="G3635" s="1">
        <v>45389</v>
      </c>
      <c r="H3635" s="1">
        <f>TablaDatos[[#This Row],[FechaIngreso]]+TablaDatos[[#This Row],[DiasNuevo]]</f>
        <v>45406</v>
      </c>
      <c r="I3635">
        <v>17</v>
      </c>
      <c r="J3635" t="s">
        <v>25</v>
      </c>
      <c r="K3635" s="3">
        <v>12823.32</v>
      </c>
      <c r="L3635" t="b">
        <f>TablaDatos[[#This Row],[FechaAlta]] &lt; TablaDatos[[#This Row],[FechaIngreso]]</f>
        <v>0</v>
      </c>
      <c r="M3635">
        <f>_xlfn.XLOOKUP(TablaDatos[[#This Row],[PacienteID]],'Datos_Ejemplo.csv'!A:A,'Datos_Ejemplo.csv'!I:I)</f>
        <v>17</v>
      </c>
      <c r="N3635">
        <f>ABS(TablaDatos[[#This Row],[DiasOriginal]])</f>
        <v>17</v>
      </c>
      <c r="O3635" s="1">
        <f>TablaDatos[[#This Row],[FechaIngreso]]+TablaDatos[[#This Row],[DiasNuevo]]</f>
        <v>45406</v>
      </c>
    </row>
    <row r="3636" spans="1:15">
      <c r="A3636">
        <v>3635</v>
      </c>
      <c r="B3636" t="s">
        <v>279</v>
      </c>
      <c r="C3636" s="1">
        <v>46022</v>
      </c>
      <c r="D3636">
        <v>0</v>
      </c>
      <c r="E3636" s="4" t="s">
        <v>15</v>
      </c>
      <c r="F3636" t="s">
        <v>201</v>
      </c>
      <c r="G3636" s="1">
        <v>45276</v>
      </c>
      <c r="H3636" s="1">
        <f>TablaDatos[[#This Row],[FechaIngreso]]+TablaDatos[[#This Row],[DiasNuevo]]</f>
        <v>45315</v>
      </c>
      <c r="I3636">
        <v>39</v>
      </c>
      <c r="J3636" t="s">
        <v>19</v>
      </c>
      <c r="K3636" s="3">
        <v>3406.22</v>
      </c>
      <c r="L3636" t="b">
        <f>TablaDatos[[#This Row],[FechaAlta]] &lt; TablaDatos[[#This Row],[FechaIngreso]]</f>
        <v>0</v>
      </c>
      <c r="M3636">
        <f>_xlfn.XLOOKUP(TablaDatos[[#This Row],[PacienteID]],'Datos_Ejemplo.csv'!A:A,'Datos_Ejemplo.csv'!I:I)</f>
        <v>39</v>
      </c>
      <c r="N3636">
        <f>ABS(TablaDatos[[#This Row],[DiasOriginal]])</f>
        <v>39</v>
      </c>
      <c r="O3636" s="1">
        <f>TablaDatos[[#This Row],[FechaIngreso]]+TablaDatos[[#This Row],[DiasNuevo]]</f>
        <v>45315</v>
      </c>
    </row>
    <row r="3637" spans="1:15">
      <c r="A3637">
        <v>3636</v>
      </c>
      <c r="B3637" t="s">
        <v>357</v>
      </c>
      <c r="C3637" s="1">
        <v>12785</v>
      </c>
      <c r="D3637">
        <v>91</v>
      </c>
      <c r="E3637" s="4" t="s">
        <v>12</v>
      </c>
      <c r="F3637" t="s">
        <v>261</v>
      </c>
      <c r="G3637" s="1">
        <v>45049</v>
      </c>
      <c r="H3637" s="1">
        <f>TablaDatos[[#This Row],[FechaIngreso]]+TablaDatos[[#This Row],[DiasNuevo]]</f>
        <v>45074</v>
      </c>
      <c r="I3637">
        <v>25</v>
      </c>
      <c r="J3637" t="s">
        <v>23</v>
      </c>
      <c r="K3637" s="3">
        <v>16774.43</v>
      </c>
      <c r="L3637" t="b">
        <f>TablaDatos[[#This Row],[FechaAlta]] &lt; TablaDatos[[#This Row],[FechaIngreso]]</f>
        <v>0</v>
      </c>
      <c r="M3637">
        <f>_xlfn.XLOOKUP(TablaDatos[[#This Row],[PacienteID]],'Datos_Ejemplo.csv'!A:A,'Datos_Ejemplo.csv'!I:I)</f>
        <v>25</v>
      </c>
      <c r="N3637">
        <f>ABS(TablaDatos[[#This Row],[DiasOriginal]])</f>
        <v>25</v>
      </c>
      <c r="O3637" s="1">
        <f>TablaDatos[[#This Row],[FechaIngreso]]+TablaDatos[[#This Row],[DiasNuevo]]</f>
        <v>45074</v>
      </c>
    </row>
    <row r="3638" spans="1:15">
      <c r="A3638">
        <v>3637</v>
      </c>
      <c r="B3638" t="s">
        <v>337</v>
      </c>
      <c r="C3638" s="1">
        <v>23377</v>
      </c>
      <c r="D3638">
        <v>62</v>
      </c>
      <c r="E3638" s="4" t="s">
        <v>15</v>
      </c>
      <c r="F3638" t="s">
        <v>201</v>
      </c>
      <c r="G3638" s="1">
        <v>44957</v>
      </c>
      <c r="H3638" s="1">
        <f>TablaDatos[[#This Row],[FechaIngreso]]+TablaDatos[[#This Row],[DiasNuevo]]</f>
        <v>44989</v>
      </c>
      <c r="I3638">
        <v>32</v>
      </c>
      <c r="J3638" t="s">
        <v>19</v>
      </c>
      <c r="K3638" s="3">
        <v>18275.349999999999</v>
      </c>
      <c r="L3638" t="b">
        <f>TablaDatos[[#This Row],[FechaAlta]] &lt; TablaDatos[[#This Row],[FechaIngreso]]</f>
        <v>0</v>
      </c>
      <c r="M3638">
        <f>_xlfn.XLOOKUP(TablaDatos[[#This Row],[PacienteID]],'Datos_Ejemplo.csv'!A:A,'Datos_Ejemplo.csv'!I:I)</f>
        <v>32</v>
      </c>
      <c r="N3638">
        <f>ABS(TablaDatos[[#This Row],[DiasOriginal]])</f>
        <v>32</v>
      </c>
      <c r="O3638" s="1">
        <f>TablaDatos[[#This Row],[FechaIngreso]]+TablaDatos[[#This Row],[DiasNuevo]]</f>
        <v>44989</v>
      </c>
    </row>
    <row r="3639" spans="1:15">
      <c r="A3639">
        <v>3638</v>
      </c>
      <c r="B3639" t="s">
        <v>294</v>
      </c>
      <c r="C3639" s="1">
        <v>37622</v>
      </c>
      <c r="D3639">
        <v>23</v>
      </c>
      <c r="E3639" s="4" t="s">
        <v>15</v>
      </c>
      <c r="F3639" t="s">
        <v>295</v>
      </c>
      <c r="G3639" s="1">
        <v>44981</v>
      </c>
      <c r="H3639" s="1">
        <f>TablaDatos[[#This Row],[FechaIngreso]]+TablaDatos[[#This Row],[DiasNuevo]]</f>
        <v>44999</v>
      </c>
      <c r="I3639">
        <v>18</v>
      </c>
      <c r="J3639" t="s">
        <v>19</v>
      </c>
      <c r="K3639" s="3">
        <v>7969.71</v>
      </c>
      <c r="L3639" t="b">
        <f>TablaDatos[[#This Row],[FechaAlta]] &lt; TablaDatos[[#This Row],[FechaIngreso]]</f>
        <v>0</v>
      </c>
      <c r="M3639">
        <f>_xlfn.XLOOKUP(TablaDatos[[#This Row],[PacienteID]],'Datos_Ejemplo.csv'!A:A,'Datos_Ejemplo.csv'!I:I)</f>
        <v>18</v>
      </c>
      <c r="N3639">
        <f>ABS(TablaDatos[[#This Row],[DiasOriginal]])</f>
        <v>18</v>
      </c>
      <c r="O3639" s="1">
        <f>TablaDatos[[#This Row],[FechaIngreso]]+TablaDatos[[#This Row],[DiasNuevo]]</f>
        <v>44999</v>
      </c>
    </row>
    <row r="3640" spans="1:15">
      <c r="A3640">
        <v>3639</v>
      </c>
      <c r="B3640" t="s">
        <v>361</v>
      </c>
      <c r="C3640" s="1">
        <v>41639</v>
      </c>
      <c r="D3640">
        <v>12</v>
      </c>
      <c r="E3640" s="4" t="s">
        <v>12</v>
      </c>
      <c r="F3640" t="s">
        <v>21</v>
      </c>
      <c r="G3640" s="1">
        <v>45079</v>
      </c>
      <c r="H3640" s="1">
        <f>TablaDatos[[#This Row],[FechaIngreso]]+TablaDatos[[#This Row],[DiasNuevo]]</f>
        <v>45082</v>
      </c>
      <c r="I3640">
        <v>3</v>
      </c>
      <c r="J3640" t="s">
        <v>19</v>
      </c>
      <c r="K3640" s="3">
        <v>16451.919999999998</v>
      </c>
      <c r="L3640" t="b">
        <f>TablaDatos[[#This Row],[FechaAlta]] &lt; TablaDatos[[#This Row],[FechaIngreso]]</f>
        <v>0</v>
      </c>
      <c r="M3640">
        <f>_xlfn.XLOOKUP(TablaDatos[[#This Row],[PacienteID]],'Datos_Ejemplo.csv'!A:A,'Datos_Ejemplo.csv'!I:I)</f>
        <v>3</v>
      </c>
      <c r="N3640">
        <f>ABS(TablaDatos[[#This Row],[DiasOriginal]])</f>
        <v>3</v>
      </c>
      <c r="O3640" s="1">
        <f>TablaDatos[[#This Row],[FechaIngreso]]+TablaDatos[[#This Row],[DiasNuevo]]</f>
        <v>45082</v>
      </c>
    </row>
    <row r="3641" spans="1:15">
      <c r="A3641">
        <v>3640</v>
      </c>
      <c r="B3641" t="s">
        <v>260</v>
      </c>
      <c r="C3641" s="1">
        <v>42370</v>
      </c>
      <c r="D3641">
        <v>10</v>
      </c>
      <c r="E3641" s="4" t="s">
        <v>12</v>
      </c>
      <c r="F3641" t="s">
        <v>32</v>
      </c>
      <c r="G3641" s="1">
        <v>45382</v>
      </c>
      <c r="H3641" s="1">
        <f>TablaDatos[[#This Row],[FechaIngreso]]+TablaDatos[[#This Row],[DiasNuevo]]</f>
        <v>45386</v>
      </c>
      <c r="I3641">
        <v>4</v>
      </c>
      <c r="J3641" t="s">
        <v>25</v>
      </c>
      <c r="K3641" s="3">
        <v>4923.18</v>
      </c>
      <c r="L3641" t="b">
        <f>TablaDatos[[#This Row],[FechaAlta]] &lt; TablaDatos[[#This Row],[FechaIngreso]]</f>
        <v>0</v>
      </c>
      <c r="M3641">
        <f>_xlfn.XLOOKUP(TablaDatos[[#This Row],[PacienteID]],'Datos_Ejemplo.csv'!A:A,'Datos_Ejemplo.csv'!I:I)</f>
        <v>4</v>
      </c>
      <c r="N3641">
        <f>ABS(TablaDatos[[#This Row],[DiasOriginal]])</f>
        <v>4</v>
      </c>
      <c r="O3641" s="1">
        <f>TablaDatos[[#This Row],[FechaIngreso]]+TablaDatos[[#This Row],[DiasNuevo]]</f>
        <v>45386</v>
      </c>
    </row>
    <row r="3642" spans="1:15">
      <c r="A3642">
        <v>3641</v>
      </c>
      <c r="B3642" t="s">
        <v>300</v>
      </c>
      <c r="C3642" s="1">
        <v>27760</v>
      </c>
      <c r="D3642">
        <v>50</v>
      </c>
      <c r="E3642" s="4" t="s">
        <v>197</v>
      </c>
      <c r="F3642" t="s">
        <v>13</v>
      </c>
      <c r="G3642" s="1">
        <v>45212</v>
      </c>
      <c r="H3642" s="1">
        <f>TablaDatos[[#This Row],[FechaIngreso]]+TablaDatos[[#This Row],[DiasNuevo]]</f>
        <v>45238</v>
      </c>
      <c r="I3642">
        <v>26</v>
      </c>
      <c r="J3642" t="s">
        <v>23</v>
      </c>
      <c r="K3642" s="3">
        <v>2715.38</v>
      </c>
      <c r="L3642" t="b">
        <f>TablaDatos[[#This Row],[FechaAlta]] &lt; TablaDatos[[#This Row],[FechaIngreso]]</f>
        <v>0</v>
      </c>
      <c r="M3642">
        <f>_xlfn.XLOOKUP(TablaDatos[[#This Row],[PacienteID]],'Datos_Ejemplo.csv'!A:A,'Datos_Ejemplo.csv'!I:I)</f>
        <v>26</v>
      </c>
      <c r="N3642">
        <f>ABS(TablaDatos[[#This Row],[DiasOriginal]])</f>
        <v>26</v>
      </c>
      <c r="O3642" s="1">
        <f>TablaDatos[[#This Row],[FechaIngreso]]+TablaDatos[[#This Row],[DiasNuevo]]</f>
        <v>45238</v>
      </c>
    </row>
    <row r="3643" spans="1:15">
      <c r="A3643">
        <v>3642</v>
      </c>
      <c r="B3643" t="s">
        <v>241</v>
      </c>
      <c r="C3643" s="1">
        <v>40178</v>
      </c>
      <c r="D3643">
        <v>16</v>
      </c>
      <c r="E3643" s="4" t="s">
        <v>12</v>
      </c>
      <c r="F3643" t="s">
        <v>21</v>
      </c>
      <c r="G3643" s="1">
        <v>44962</v>
      </c>
      <c r="H3643" s="1">
        <f>TablaDatos[[#This Row],[FechaIngreso]]+TablaDatos[[#This Row],[DiasNuevo]]</f>
        <v>44982</v>
      </c>
      <c r="I3643">
        <v>20</v>
      </c>
      <c r="J3643" t="s">
        <v>25</v>
      </c>
      <c r="K3643" s="3">
        <v>6249.15</v>
      </c>
      <c r="L3643" t="b">
        <f>TablaDatos[[#This Row],[FechaAlta]] &lt; TablaDatos[[#This Row],[FechaIngreso]]</f>
        <v>0</v>
      </c>
      <c r="M3643">
        <f>_xlfn.XLOOKUP(TablaDatos[[#This Row],[PacienteID]],'Datos_Ejemplo.csv'!A:A,'Datos_Ejemplo.csv'!I:I)</f>
        <v>20</v>
      </c>
      <c r="N3643">
        <f>ABS(TablaDatos[[#This Row],[DiasOriginal]])</f>
        <v>20</v>
      </c>
      <c r="O3643" s="1">
        <f>TablaDatos[[#This Row],[FechaIngreso]]+TablaDatos[[#This Row],[DiasNuevo]]</f>
        <v>44982</v>
      </c>
    </row>
    <row r="3644" spans="1:15">
      <c r="A3644">
        <v>3643</v>
      </c>
      <c r="B3644" t="s">
        <v>281</v>
      </c>
      <c r="C3644" s="1">
        <v>16437</v>
      </c>
      <c r="D3644">
        <v>81</v>
      </c>
      <c r="E3644" s="4" t="s">
        <v>15</v>
      </c>
      <c r="F3644" t="s">
        <v>18</v>
      </c>
      <c r="G3644" s="1">
        <v>45182</v>
      </c>
      <c r="H3644" s="1">
        <f>TablaDatos[[#This Row],[FechaIngreso]]+TablaDatos[[#This Row],[DiasNuevo]]</f>
        <v>45184</v>
      </c>
      <c r="I3644">
        <v>2</v>
      </c>
      <c r="J3644" t="s">
        <v>25</v>
      </c>
      <c r="K3644" s="3">
        <v>6767.65</v>
      </c>
      <c r="L3644" t="b">
        <f>TablaDatos[[#This Row],[FechaAlta]] &lt; TablaDatos[[#This Row],[FechaIngreso]]</f>
        <v>0</v>
      </c>
      <c r="M3644">
        <f>_xlfn.XLOOKUP(TablaDatos[[#This Row],[PacienteID]],'Datos_Ejemplo.csv'!A:A,'Datos_Ejemplo.csv'!I:I)</f>
        <v>2</v>
      </c>
      <c r="N3644">
        <f>ABS(TablaDatos[[#This Row],[DiasOriginal]])</f>
        <v>2</v>
      </c>
      <c r="O3644" s="1">
        <f>TablaDatos[[#This Row],[FechaIngreso]]+TablaDatos[[#This Row],[DiasNuevo]]</f>
        <v>45184</v>
      </c>
    </row>
    <row r="3645" spans="1:15">
      <c r="A3645">
        <v>3644</v>
      </c>
      <c r="B3645" t="s">
        <v>265</v>
      </c>
      <c r="C3645" s="1">
        <v>14976</v>
      </c>
      <c r="D3645">
        <v>85</v>
      </c>
      <c r="E3645" s="4" t="s">
        <v>15</v>
      </c>
      <c r="F3645" t="s">
        <v>21</v>
      </c>
      <c r="G3645" s="1">
        <v>45104</v>
      </c>
      <c r="H3645" s="1">
        <f>TablaDatos[[#This Row],[FechaIngreso]]+TablaDatos[[#This Row],[DiasNuevo]]</f>
        <v>45123</v>
      </c>
      <c r="I3645">
        <v>19</v>
      </c>
      <c r="J3645" t="s">
        <v>23</v>
      </c>
      <c r="K3645" s="3">
        <v>7886.89</v>
      </c>
      <c r="L3645" t="b">
        <f>TablaDatos[[#This Row],[FechaAlta]] &lt; TablaDatos[[#This Row],[FechaIngreso]]</f>
        <v>0</v>
      </c>
      <c r="M3645">
        <f>_xlfn.XLOOKUP(TablaDatos[[#This Row],[PacienteID]],'Datos_Ejemplo.csv'!A:A,'Datos_Ejemplo.csv'!I:I)</f>
        <v>19</v>
      </c>
      <c r="N3645">
        <f>ABS(TablaDatos[[#This Row],[DiasOriginal]])</f>
        <v>19</v>
      </c>
      <c r="O3645" s="1">
        <f>TablaDatos[[#This Row],[FechaIngreso]]+TablaDatos[[#This Row],[DiasNuevo]]</f>
        <v>45123</v>
      </c>
    </row>
    <row r="3646" spans="1:15">
      <c r="A3646">
        <v>3645</v>
      </c>
      <c r="B3646" t="s">
        <v>267</v>
      </c>
      <c r="C3646" s="1">
        <v>37622</v>
      </c>
      <c r="D3646">
        <v>23</v>
      </c>
      <c r="E3646" s="4" t="s">
        <v>15</v>
      </c>
      <c r="F3646" t="s">
        <v>261</v>
      </c>
      <c r="G3646" s="1">
        <v>45474</v>
      </c>
      <c r="H3646" s="1">
        <f>TablaDatos[[#This Row],[FechaIngreso]]+TablaDatos[[#This Row],[DiasNuevo]]</f>
        <v>45480</v>
      </c>
      <c r="I3646">
        <v>6</v>
      </c>
      <c r="J3646" t="s">
        <v>23</v>
      </c>
      <c r="K3646" s="3">
        <v>7396.47</v>
      </c>
      <c r="L3646" t="b">
        <f>TablaDatos[[#This Row],[FechaAlta]] &lt; TablaDatos[[#This Row],[FechaIngreso]]</f>
        <v>0</v>
      </c>
      <c r="M3646">
        <f>_xlfn.XLOOKUP(TablaDatos[[#This Row],[PacienteID]],'Datos_Ejemplo.csv'!A:A,'Datos_Ejemplo.csv'!I:I)</f>
        <v>6</v>
      </c>
      <c r="N3646">
        <f>ABS(TablaDatos[[#This Row],[DiasOriginal]])</f>
        <v>6</v>
      </c>
      <c r="O3646" s="1">
        <f>TablaDatos[[#This Row],[FechaIngreso]]+TablaDatos[[#This Row],[DiasNuevo]]</f>
        <v>45480</v>
      </c>
    </row>
    <row r="3647" spans="1:15">
      <c r="A3647">
        <v>3646</v>
      </c>
      <c r="B3647" t="s">
        <v>288</v>
      </c>
      <c r="C3647" s="1">
        <v>39448</v>
      </c>
      <c r="D3647">
        <v>18</v>
      </c>
      <c r="E3647" s="4" t="s">
        <v>15</v>
      </c>
      <c r="F3647" t="s">
        <v>261</v>
      </c>
      <c r="G3647" s="1">
        <v>45180</v>
      </c>
      <c r="H3647" s="1">
        <f>TablaDatos[[#This Row],[FechaIngreso]]+TablaDatos[[#This Row],[DiasNuevo]]</f>
        <v>45209</v>
      </c>
      <c r="I3647">
        <v>29</v>
      </c>
      <c r="J3647" t="s">
        <v>23</v>
      </c>
      <c r="K3647" s="3">
        <v>8164</v>
      </c>
      <c r="L3647" t="b">
        <f>TablaDatos[[#This Row],[FechaAlta]] &lt; TablaDatos[[#This Row],[FechaIngreso]]</f>
        <v>0</v>
      </c>
      <c r="M3647">
        <f>_xlfn.XLOOKUP(TablaDatos[[#This Row],[PacienteID]],'Datos_Ejemplo.csv'!A:A,'Datos_Ejemplo.csv'!I:I)</f>
        <v>29</v>
      </c>
      <c r="N3647">
        <f>ABS(TablaDatos[[#This Row],[DiasOriginal]])</f>
        <v>29</v>
      </c>
      <c r="O3647" s="1">
        <f>TablaDatos[[#This Row],[FechaIngreso]]+TablaDatos[[#This Row],[DiasNuevo]]</f>
        <v>45209</v>
      </c>
    </row>
    <row r="3648" spans="1:15">
      <c r="A3648">
        <v>3647</v>
      </c>
      <c r="B3648" t="s">
        <v>264</v>
      </c>
      <c r="C3648" s="1">
        <v>32873</v>
      </c>
      <c r="D3648">
        <v>36</v>
      </c>
      <c r="E3648" s="4" t="s">
        <v>12</v>
      </c>
      <c r="F3648" t="s">
        <v>295</v>
      </c>
      <c r="G3648" s="1">
        <v>45434</v>
      </c>
      <c r="H3648" s="1">
        <f>TablaDatos[[#This Row],[FechaIngreso]]+TablaDatos[[#This Row],[DiasNuevo]]</f>
        <v>45441</v>
      </c>
      <c r="I3648">
        <v>7</v>
      </c>
      <c r="J3648" t="s">
        <v>19</v>
      </c>
      <c r="K3648" s="3">
        <v>14171.67</v>
      </c>
      <c r="L3648" t="b">
        <f>TablaDatos[[#This Row],[FechaAlta]] &lt; TablaDatos[[#This Row],[FechaIngreso]]</f>
        <v>0</v>
      </c>
      <c r="M3648">
        <f>_xlfn.XLOOKUP(TablaDatos[[#This Row],[PacienteID]],'Datos_Ejemplo.csv'!A:A,'Datos_Ejemplo.csv'!I:I)</f>
        <v>7</v>
      </c>
      <c r="N3648">
        <f>ABS(TablaDatos[[#This Row],[DiasOriginal]])</f>
        <v>7</v>
      </c>
      <c r="O3648" s="1">
        <f>TablaDatos[[#This Row],[FechaIngreso]]+TablaDatos[[#This Row],[DiasNuevo]]</f>
        <v>45441</v>
      </c>
    </row>
    <row r="3649" spans="1:15">
      <c r="A3649">
        <v>3648</v>
      </c>
      <c r="B3649" t="s">
        <v>276</v>
      </c>
      <c r="C3649" s="1">
        <v>15341</v>
      </c>
      <c r="D3649">
        <v>84</v>
      </c>
      <c r="E3649" s="4" t="s">
        <v>12</v>
      </c>
      <c r="F3649" t="s">
        <v>21</v>
      </c>
      <c r="G3649" s="1">
        <v>45600</v>
      </c>
      <c r="H3649" s="1">
        <f>TablaDatos[[#This Row],[FechaIngreso]]+TablaDatos[[#This Row],[DiasNuevo]]</f>
        <v>45625</v>
      </c>
      <c r="I3649">
        <v>25</v>
      </c>
      <c r="J3649" t="s">
        <v>23</v>
      </c>
      <c r="K3649" s="3">
        <v>4836.16</v>
      </c>
      <c r="L3649" t="b">
        <f>TablaDatos[[#This Row],[FechaAlta]] &lt; TablaDatos[[#This Row],[FechaIngreso]]</f>
        <v>0</v>
      </c>
      <c r="M3649">
        <f>_xlfn.XLOOKUP(TablaDatos[[#This Row],[PacienteID]],'Datos_Ejemplo.csv'!A:A,'Datos_Ejemplo.csv'!I:I)</f>
        <v>25</v>
      </c>
      <c r="N3649">
        <f>ABS(TablaDatos[[#This Row],[DiasOriginal]])</f>
        <v>25</v>
      </c>
      <c r="O3649" s="1">
        <f>TablaDatos[[#This Row],[FechaIngreso]]+TablaDatos[[#This Row],[DiasNuevo]]</f>
        <v>45625</v>
      </c>
    </row>
    <row r="3650" spans="1:15">
      <c r="A3650">
        <v>3649</v>
      </c>
      <c r="B3650" t="s">
        <v>360</v>
      </c>
      <c r="C3650" s="1">
        <v>43466</v>
      </c>
      <c r="D3650">
        <v>7</v>
      </c>
      <c r="E3650" s="4" t="s">
        <v>12</v>
      </c>
      <c r="F3650" t="s">
        <v>201</v>
      </c>
      <c r="G3650" s="1">
        <v>44947</v>
      </c>
      <c r="H3650" s="1">
        <f>TablaDatos[[#This Row],[FechaIngreso]]+TablaDatos[[#This Row],[DiasNuevo]]</f>
        <v>44955</v>
      </c>
      <c r="I3650">
        <v>8</v>
      </c>
      <c r="J3650" t="s">
        <v>23</v>
      </c>
      <c r="K3650" s="3">
        <v>273.37</v>
      </c>
      <c r="L3650" t="b">
        <f>TablaDatos[[#This Row],[FechaAlta]] &lt; TablaDatos[[#This Row],[FechaIngreso]]</f>
        <v>0</v>
      </c>
      <c r="M3650">
        <f>_xlfn.XLOOKUP(TablaDatos[[#This Row],[PacienteID]],'Datos_Ejemplo.csv'!A:A,'Datos_Ejemplo.csv'!I:I)</f>
        <v>8</v>
      </c>
      <c r="N3650">
        <f>ABS(TablaDatos[[#This Row],[DiasOriginal]])</f>
        <v>8</v>
      </c>
      <c r="O3650" s="1">
        <f>TablaDatos[[#This Row],[FechaIngreso]]+TablaDatos[[#This Row],[DiasNuevo]]</f>
        <v>44955</v>
      </c>
    </row>
    <row r="3651" spans="1:15">
      <c r="A3651">
        <v>3650</v>
      </c>
      <c r="B3651" t="s">
        <v>305</v>
      </c>
      <c r="C3651" s="1">
        <v>36161</v>
      </c>
      <c r="D3651">
        <v>27</v>
      </c>
      <c r="E3651" s="4" t="s">
        <v>15</v>
      </c>
      <c r="F3651" t="s">
        <v>21</v>
      </c>
      <c r="G3651" s="1">
        <v>45001</v>
      </c>
      <c r="H3651" s="1">
        <f>TablaDatos[[#This Row],[FechaIngreso]]+TablaDatos[[#This Row],[DiasNuevo]]</f>
        <v>45005</v>
      </c>
      <c r="I3651">
        <v>4</v>
      </c>
      <c r="J3651" t="s">
        <v>25</v>
      </c>
      <c r="K3651" s="3">
        <v>9742.58</v>
      </c>
      <c r="L3651" t="b">
        <f>TablaDatos[[#This Row],[FechaAlta]] &lt; TablaDatos[[#This Row],[FechaIngreso]]</f>
        <v>0</v>
      </c>
      <c r="M3651">
        <f>_xlfn.XLOOKUP(TablaDatos[[#This Row],[PacienteID]],'Datos_Ejemplo.csv'!A:A,'Datos_Ejemplo.csv'!I:I)</f>
        <v>4</v>
      </c>
      <c r="N3651">
        <f>ABS(TablaDatos[[#This Row],[DiasOriginal]])</f>
        <v>4</v>
      </c>
      <c r="O3651" s="1">
        <f>TablaDatos[[#This Row],[FechaIngreso]]+TablaDatos[[#This Row],[DiasNuevo]]</f>
        <v>45005</v>
      </c>
    </row>
    <row r="3652" spans="1:15">
      <c r="A3652">
        <v>3651</v>
      </c>
      <c r="B3652" t="s">
        <v>254</v>
      </c>
      <c r="C3652" s="1">
        <v>44561</v>
      </c>
      <c r="D3652">
        <v>4</v>
      </c>
      <c r="E3652" s="4" t="s">
        <v>12</v>
      </c>
      <c r="F3652" t="s">
        <v>261</v>
      </c>
      <c r="G3652" s="1">
        <v>45645</v>
      </c>
      <c r="H3652" s="1">
        <f>TablaDatos[[#This Row],[FechaIngreso]]+TablaDatos[[#This Row],[DiasNuevo]]</f>
        <v>45672</v>
      </c>
      <c r="I3652">
        <v>27</v>
      </c>
      <c r="J3652" t="s">
        <v>19</v>
      </c>
      <c r="K3652" s="3">
        <v>8910.65</v>
      </c>
      <c r="L3652" t="b">
        <f>TablaDatos[[#This Row],[FechaAlta]] &lt; TablaDatos[[#This Row],[FechaIngreso]]</f>
        <v>0</v>
      </c>
      <c r="M3652">
        <f>_xlfn.XLOOKUP(TablaDatos[[#This Row],[PacienteID]],'Datos_Ejemplo.csv'!A:A,'Datos_Ejemplo.csv'!I:I)</f>
        <v>27</v>
      </c>
      <c r="N3652">
        <f>ABS(TablaDatos[[#This Row],[DiasOriginal]])</f>
        <v>27</v>
      </c>
      <c r="O3652" s="1">
        <f>TablaDatos[[#This Row],[FechaIngreso]]+TablaDatos[[#This Row],[DiasNuevo]]</f>
        <v>45672</v>
      </c>
    </row>
    <row r="3653" spans="1:15">
      <c r="A3653">
        <v>3652</v>
      </c>
      <c r="B3653" t="s">
        <v>244</v>
      </c>
      <c r="C3653" s="1">
        <v>40178</v>
      </c>
      <c r="D3653">
        <v>16</v>
      </c>
      <c r="E3653" s="4" t="s">
        <v>12</v>
      </c>
      <c r="F3653" t="s">
        <v>18</v>
      </c>
      <c r="G3653" s="1">
        <v>45386</v>
      </c>
      <c r="H3653" s="1">
        <f>TablaDatos[[#This Row],[FechaIngreso]]+TablaDatos[[#This Row],[DiasNuevo]]</f>
        <v>45421</v>
      </c>
      <c r="I3653">
        <v>35</v>
      </c>
      <c r="J3653" t="s">
        <v>25</v>
      </c>
      <c r="K3653" s="3">
        <v>1107.31</v>
      </c>
      <c r="L3653" t="b">
        <f>TablaDatos[[#This Row],[FechaAlta]] &lt; TablaDatos[[#This Row],[FechaIngreso]]</f>
        <v>0</v>
      </c>
      <c r="M3653">
        <f>_xlfn.XLOOKUP(TablaDatos[[#This Row],[PacienteID]],'Datos_Ejemplo.csv'!A:A,'Datos_Ejemplo.csv'!I:I)</f>
        <v>35</v>
      </c>
      <c r="N3653">
        <f>ABS(TablaDatos[[#This Row],[DiasOriginal]])</f>
        <v>35</v>
      </c>
      <c r="O3653" s="1">
        <f>TablaDatos[[#This Row],[FechaIngreso]]+TablaDatos[[#This Row],[DiasNuevo]]</f>
        <v>45421</v>
      </c>
    </row>
    <row r="3654" spans="1:15">
      <c r="A3654">
        <v>3653</v>
      </c>
      <c r="B3654" t="s">
        <v>230</v>
      </c>
      <c r="C3654" s="1">
        <v>33239</v>
      </c>
      <c r="D3654">
        <v>35</v>
      </c>
      <c r="E3654" s="4" t="s">
        <v>15</v>
      </c>
      <c r="F3654" t="s">
        <v>18</v>
      </c>
      <c r="G3654" s="1">
        <v>45104</v>
      </c>
      <c r="H3654" s="1">
        <f>TablaDatos[[#This Row],[FechaIngreso]]+TablaDatos[[#This Row],[DiasNuevo]]</f>
        <v>45135</v>
      </c>
      <c r="I3654">
        <v>31</v>
      </c>
      <c r="J3654" t="s">
        <v>23</v>
      </c>
      <c r="K3654" s="3">
        <v>2589.41</v>
      </c>
      <c r="L3654" t="b">
        <f>TablaDatos[[#This Row],[FechaAlta]] &lt; TablaDatos[[#This Row],[FechaIngreso]]</f>
        <v>0</v>
      </c>
      <c r="M3654">
        <f>_xlfn.XLOOKUP(TablaDatos[[#This Row],[PacienteID]],'Datos_Ejemplo.csv'!A:A,'Datos_Ejemplo.csv'!I:I)</f>
        <v>31</v>
      </c>
      <c r="N3654">
        <f>ABS(TablaDatos[[#This Row],[DiasOriginal]])</f>
        <v>31</v>
      </c>
      <c r="O3654" s="1">
        <f>TablaDatos[[#This Row],[FechaIngreso]]+TablaDatos[[#This Row],[DiasNuevo]]</f>
        <v>45135</v>
      </c>
    </row>
    <row r="3655" spans="1:15">
      <c r="A3655">
        <v>3654</v>
      </c>
      <c r="B3655" t="s">
        <v>66</v>
      </c>
      <c r="C3655" s="1">
        <f ca="1">DATE(YEAR(TODAY())-TablaDatos[[#This Row],[Edad]],1,1)</f>
        <v>39448</v>
      </c>
      <c r="D3655">
        <v>18</v>
      </c>
      <c r="E3655" s="4" t="s">
        <v>12</v>
      </c>
      <c r="F3655" t="s">
        <v>32</v>
      </c>
      <c r="G3655" s="1">
        <v>45308</v>
      </c>
      <c r="H3655" s="1">
        <f>TablaDatos[[#This Row],[FechaIngreso]]+TablaDatos[[#This Row],[DiasNuevo]]</f>
        <v>45333</v>
      </c>
      <c r="I3655">
        <v>25</v>
      </c>
      <c r="J3655" t="s">
        <v>19</v>
      </c>
      <c r="K3655" s="3">
        <v>10149.41</v>
      </c>
      <c r="L3655" t="b">
        <f>TablaDatos[[#This Row],[FechaAlta]] &lt; TablaDatos[[#This Row],[FechaIngreso]]</f>
        <v>0</v>
      </c>
      <c r="M3655">
        <f>_xlfn.XLOOKUP(TablaDatos[[#This Row],[PacienteID]],'Datos_Ejemplo.csv'!A:A,'Datos_Ejemplo.csv'!I:I)</f>
        <v>25</v>
      </c>
      <c r="N3655">
        <f>ABS(TablaDatos[[#This Row],[DiasOriginal]])</f>
        <v>25</v>
      </c>
      <c r="O3655" s="1">
        <f>TablaDatos[[#This Row],[FechaIngreso]]+TablaDatos[[#This Row],[DiasNuevo]]</f>
        <v>45333</v>
      </c>
    </row>
    <row r="3656" spans="1:15">
      <c r="A3656">
        <v>3655</v>
      </c>
      <c r="B3656" t="s">
        <v>348</v>
      </c>
      <c r="C3656" s="1">
        <v>23012</v>
      </c>
      <c r="D3656">
        <v>63</v>
      </c>
      <c r="E3656" s="4" t="s">
        <v>15</v>
      </c>
      <c r="F3656" t="s">
        <v>201</v>
      </c>
      <c r="G3656" s="1">
        <v>44963</v>
      </c>
      <c r="H3656" s="1">
        <f>TablaDatos[[#This Row],[FechaIngreso]]+TablaDatos[[#This Row],[DiasNuevo]]</f>
        <v>44992</v>
      </c>
      <c r="I3656">
        <v>29</v>
      </c>
      <c r="J3656" t="s">
        <v>25</v>
      </c>
      <c r="K3656" s="3">
        <v>4618.49</v>
      </c>
      <c r="L3656" t="b">
        <f>TablaDatos[[#This Row],[FechaAlta]] &lt; TablaDatos[[#This Row],[FechaIngreso]]</f>
        <v>0</v>
      </c>
      <c r="M3656">
        <f>_xlfn.XLOOKUP(TablaDatos[[#This Row],[PacienteID]],'Datos_Ejemplo.csv'!A:A,'Datos_Ejemplo.csv'!I:I)</f>
        <v>29</v>
      </c>
      <c r="N3656">
        <f>ABS(TablaDatos[[#This Row],[DiasOriginal]])</f>
        <v>29</v>
      </c>
      <c r="O3656" s="1">
        <f>TablaDatos[[#This Row],[FechaIngreso]]+TablaDatos[[#This Row],[DiasNuevo]]</f>
        <v>44992</v>
      </c>
    </row>
    <row r="3657" spans="1:15">
      <c r="A3657">
        <v>3656</v>
      </c>
      <c r="B3657" t="s">
        <v>102</v>
      </c>
      <c r="C3657" s="1">
        <v>13150</v>
      </c>
      <c r="D3657">
        <v>90</v>
      </c>
      <c r="E3657" s="4" t="s">
        <v>15</v>
      </c>
      <c r="F3657" t="s">
        <v>201</v>
      </c>
      <c r="G3657" s="1">
        <v>45046</v>
      </c>
      <c r="H3657" s="1">
        <f>TablaDatos[[#This Row],[FechaIngreso]]+TablaDatos[[#This Row],[DiasNuevo]]</f>
        <v>45059</v>
      </c>
      <c r="I3657">
        <v>13</v>
      </c>
      <c r="J3657" t="s">
        <v>25</v>
      </c>
      <c r="K3657" s="3">
        <v>17539.73</v>
      </c>
      <c r="L3657" t="b">
        <f>TablaDatos[[#This Row],[FechaAlta]] &lt; TablaDatos[[#This Row],[FechaIngreso]]</f>
        <v>0</v>
      </c>
      <c r="M3657">
        <f>_xlfn.XLOOKUP(TablaDatos[[#This Row],[PacienteID]],'Datos_Ejemplo.csv'!A:A,'Datos_Ejemplo.csv'!I:I)</f>
        <v>13</v>
      </c>
      <c r="N3657">
        <f>ABS(TablaDatos[[#This Row],[DiasOriginal]])</f>
        <v>13</v>
      </c>
      <c r="O3657" s="1">
        <f>TablaDatos[[#This Row],[FechaIngreso]]+TablaDatos[[#This Row],[DiasNuevo]]</f>
        <v>45059</v>
      </c>
    </row>
    <row r="3658" spans="1:15">
      <c r="A3658">
        <v>3657</v>
      </c>
      <c r="B3658" t="s">
        <v>277</v>
      </c>
      <c r="C3658" s="1">
        <v>42370</v>
      </c>
      <c r="D3658">
        <f ca="1">DATEDIF(TablaDatos[[#This Row],[FechaNacimiento]],TODAY(),"Y")</f>
        <v>10</v>
      </c>
      <c r="E3658" s="4" t="s">
        <v>12</v>
      </c>
      <c r="F3658" t="s">
        <v>18</v>
      </c>
      <c r="G3658" s="1">
        <v>45556</v>
      </c>
      <c r="H3658" s="1">
        <f>TablaDatos[[#This Row],[FechaIngreso]]+TablaDatos[[#This Row],[DiasNuevo]]</f>
        <v>45592</v>
      </c>
      <c r="I3658">
        <v>36</v>
      </c>
      <c r="J3658" t="s">
        <v>25</v>
      </c>
      <c r="K3658" s="3">
        <v>3383.18</v>
      </c>
      <c r="L3658" t="b">
        <f>TablaDatos[[#This Row],[FechaAlta]] &lt; TablaDatos[[#This Row],[FechaIngreso]]</f>
        <v>0</v>
      </c>
      <c r="M3658">
        <f>_xlfn.XLOOKUP(TablaDatos[[#This Row],[PacienteID]],'Datos_Ejemplo.csv'!A:A,'Datos_Ejemplo.csv'!I:I)</f>
        <v>36</v>
      </c>
      <c r="N3658">
        <f>ABS(TablaDatos[[#This Row],[DiasOriginal]])</f>
        <v>36</v>
      </c>
      <c r="O3658" s="1">
        <f>TablaDatos[[#This Row],[FechaIngreso]]+TablaDatos[[#This Row],[DiasNuevo]]</f>
        <v>45592</v>
      </c>
    </row>
    <row r="3659" spans="1:15">
      <c r="A3659">
        <v>3658</v>
      </c>
      <c r="B3659" t="s">
        <v>49</v>
      </c>
      <c r="C3659" s="1">
        <v>26664</v>
      </c>
      <c r="D3659">
        <v>53</v>
      </c>
      <c r="E3659" s="4" t="s">
        <v>12</v>
      </c>
      <c r="F3659" t="s">
        <v>21</v>
      </c>
      <c r="G3659" s="1">
        <v>44927</v>
      </c>
      <c r="H3659" s="1">
        <f>TablaDatos[[#This Row],[FechaIngreso]]+TablaDatos[[#This Row],[DiasNuevo]]</f>
        <v>44929</v>
      </c>
      <c r="I3659">
        <v>2</v>
      </c>
      <c r="J3659" t="s">
        <v>19</v>
      </c>
      <c r="K3659" s="3">
        <v>304.45999999999998</v>
      </c>
      <c r="L3659" t="b">
        <f>TablaDatos[[#This Row],[FechaAlta]] &lt; TablaDatos[[#This Row],[FechaIngreso]]</f>
        <v>0</v>
      </c>
      <c r="M3659">
        <f>_xlfn.XLOOKUP(TablaDatos[[#This Row],[PacienteID]],'Datos_Ejemplo.csv'!A:A,'Datos_Ejemplo.csv'!I:I)</f>
        <v>-2</v>
      </c>
      <c r="N3659">
        <f>ABS(TablaDatos[[#This Row],[DiasOriginal]])</f>
        <v>2</v>
      </c>
      <c r="O3659" s="1">
        <f>TablaDatos[[#This Row],[FechaIngreso]]+TablaDatos[[#This Row],[DiasNuevo]]</f>
        <v>44929</v>
      </c>
    </row>
    <row r="3660" spans="1:15">
      <c r="A3660">
        <v>3659</v>
      </c>
      <c r="B3660" t="s">
        <v>362</v>
      </c>
      <c r="C3660" s="1">
        <v>29951</v>
      </c>
      <c r="D3660">
        <v>44</v>
      </c>
      <c r="E3660" s="4" t="s">
        <v>15</v>
      </c>
      <c r="F3660" t="s">
        <v>295</v>
      </c>
      <c r="G3660" s="1">
        <v>45647</v>
      </c>
      <c r="H3660" s="1">
        <f>TablaDatos[[#This Row],[FechaIngreso]]+TablaDatos[[#This Row],[DiasNuevo]]</f>
        <v>45678</v>
      </c>
      <c r="I3660">
        <v>31</v>
      </c>
      <c r="J3660" t="s">
        <v>23</v>
      </c>
      <c r="K3660" s="3">
        <v>8896.0300000000007</v>
      </c>
      <c r="L3660" t="b">
        <f>TablaDatos[[#This Row],[FechaAlta]] &lt; TablaDatos[[#This Row],[FechaIngreso]]</f>
        <v>0</v>
      </c>
      <c r="M3660">
        <f>_xlfn.XLOOKUP(TablaDatos[[#This Row],[PacienteID]],'Datos_Ejemplo.csv'!A:A,'Datos_Ejemplo.csv'!I:I)</f>
        <v>31</v>
      </c>
      <c r="N3660">
        <f>ABS(TablaDatos[[#This Row],[DiasOriginal]])</f>
        <v>31</v>
      </c>
      <c r="O3660" s="1">
        <f>TablaDatos[[#This Row],[FechaIngreso]]+TablaDatos[[#This Row],[DiasNuevo]]</f>
        <v>45678</v>
      </c>
    </row>
    <row r="3661" spans="1:15">
      <c r="A3661">
        <v>3660</v>
      </c>
      <c r="B3661" t="s">
        <v>103</v>
      </c>
      <c r="C3661" s="1">
        <v>29221</v>
      </c>
      <c r="D3661">
        <v>46</v>
      </c>
      <c r="E3661" s="4" t="s">
        <v>15</v>
      </c>
      <c r="F3661" t="s">
        <v>18</v>
      </c>
      <c r="G3661" s="1">
        <v>45237</v>
      </c>
      <c r="H3661" s="1">
        <f>TablaDatos[[#This Row],[FechaIngreso]]+TablaDatos[[#This Row],[DiasNuevo]]</f>
        <v>45275</v>
      </c>
      <c r="I3661">
        <v>38</v>
      </c>
      <c r="J3661" t="s">
        <v>23</v>
      </c>
      <c r="K3661" s="3">
        <v>19721.88</v>
      </c>
      <c r="L3661" t="b">
        <f>TablaDatos[[#This Row],[FechaAlta]] &lt; TablaDatos[[#This Row],[FechaIngreso]]</f>
        <v>0</v>
      </c>
      <c r="M3661">
        <f>_xlfn.XLOOKUP(TablaDatos[[#This Row],[PacienteID]],'Datos_Ejemplo.csv'!A:A,'Datos_Ejemplo.csv'!I:I)</f>
        <v>38</v>
      </c>
      <c r="N3661">
        <f>ABS(TablaDatos[[#This Row],[DiasOriginal]])</f>
        <v>38</v>
      </c>
      <c r="O3661" s="1">
        <f>TablaDatos[[#This Row],[FechaIngreso]]+TablaDatos[[#This Row],[DiasNuevo]]</f>
        <v>45275</v>
      </c>
    </row>
    <row r="3662" spans="1:15">
      <c r="A3662">
        <v>3661</v>
      </c>
      <c r="B3662" t="s">
        <v>362</v>
      </c>
      <c r="C3662" s="1">
        <v>42005</v>
      </c>
      <c r="D3662">
        <v>11</v>
      </c>
      <c r="E3662" s="4" t="s">
        <v>197</v>
      </c>
      <c r="F3662" t="s">
        <v>201</v>
      </c>
      <c r="G3662" s="1">
        <v>45134</v>
      </c>
      <c r="H3662" s="1">
        <f>TablaDatos[[#This Row],[FechaIngreso]]+TablaDatos[[#This Row],[DiasNuevo]]</f>
        <v>45154</v>
      </c>
      <c r="I3662">
        <v>20</v>
      </c>
      <c r="J3662" t="s">
        <v>25</v>
      </c>
      <c r="K3662" s="3">
        <v>12640.84</v>
      </c>
      <c r="L3662" t="b">
        <f>TablaDatos[[#This Row],[FechaAlta]] &lt; TablaDatos[[#This Row],[FechaIngreso]]</f>
        <v>0</v>
      </c>
      <c r="M3662">
        <f>_xlfn.XLOOKUP(TablaDatos[[#This Row],[PacienteID]],'Datos_Ejemplo.csv'!A:A,'Datos_Ejemplo.csv'!I:I)</f>
        <v>20</v>
      </c>
      <c r="N3662">
        <f>ABS(TablaDatos[[#This Row],[DiasOriginal]])</f>
        <v>20</v>
      </c>
      <c r="O3662" s="1">
        <f>TablaDatos[[#This Row],[FechaIngreso]]+TablaDatos[[#This Row],[DiasNuevo]]</f>
        <v>45154</v>
      </c>
    </row>
    <row r="3663" spans="1:15">
      <c r="A3663">
        <v>3662</v>
      </c>
      <c r="B3663" t="s">
        <v>249</v>
      </c>
      <c r="C3663" s="1">
        <v>38717</v>
      </c>
      <c r="D3663">
        <v>20</v>
      </c>
      <c r="E3663" s="4" t="s">
        <v>12</v>
      </c>
      <c r="F3663" t="s">
        <v>201</v>
      </c>
      <c r="G3663" s="1">
        <v>45080</v>
      </c>
      <c r="H3663" s="1">
        <f>TablaDatos[[#This Row],[FechaIngreso]]+TablaDatos[[#This Row],[DiasNuevo]]</f>
        <v>45097</v>
      </c>
      <c r="I3663">
        <v>17</v>
      </c>
      <c r="J3663" t="s">
        <v>19</v>
      </c>
      <c r="K3663" s="3">
        <v>7016</v>
      </c>
      <c r="L3663" t="b">
        <f>TablaDatos[[#This Row],[FechaAlta]] &lt; TablaDatos[[#This Row],[FechaIngreso]]</f>
        <v>0</v>
      </c>
      <c r="M3663">
        <f>_xlfn.XLOOKUP(TablaDatos[[#This Row],[PacienteID]],'Datos_Ejemplo.csv'!A:A,'Datos_Ejemplo.csv'!I:I)</f>
        <v>17</v>
      </c>
      <c r="N3663">
        <f>ABS(TablaDatos[[#This Row],[DiasOriginal]])</f>
        <v>17</v>
      </c>
      <c r="O3663" s="1">
        <f>TablaDatos[[#This Row],[FechaIngreso]]+TablaDatos[[#This Row],[DiasNuevo]]</f>
        <v>45097</v>
      </c>
    </row>
    <row r="3664" spans="1:15">
      <c r="A3664">
        <v>3663</v>
      </c>
      <c r="B3664" t="s">
        <v>291</v>
      </c>
      <c r="C3664" s="1">
        <v>42370</v>
      </c>
      <c r="D3664">
        <v>10</v>
      </c>
      <c r="E3664" s="4" t="s">
        <v>12</v>
      </c>
      <c r="F3664" t="s">
        <v>261</v>
      </c>
      <c r="G3664" s="1">
        <v>45609</v>
      </c>
      <c r="H3664" s="1">
        <f>TablaDatos[[#This Row],[FechaIngreso]]+TablaDatos[[#This Row],[DiasNuevo]]</f>
        <v>45624</v>
      </c>
      <c r="I3664">
        <v>15</v>
      </c>
      <c r="J3664" t="s">
        <v>23</v>
      </c>
      <c r="K3664" s="3">
        <v>239.05</v>
      </c>
      <c r="L3664" t="b">
        <f>TablaDatos[[#This Row],[FechaAlta]] &lt; TablaDatos[[#This Row],[FechaIngreso]]</f>
        <v>0</v>
      </c>
      <c r="M3664">
        <f>_xlfn.XLOOKUP(TablaDatos[[#This Row],[PacienteID]],'Datos_Ejemplo.csv'!A:A,'Datos_Ejemplo.csv'!I:I)</f>
        <v>15</v>
      </c>
      <c r="N3664">
        <f>ABS(TablaDatos[[#This Row],[DiasOriginal]])</f>
        <v>15</v>
      </c>
      <c r="O3664" s="1">
        <f>TablaDatos[[#This Row],[FechaIngreso]]+TablaDatos[[#This Row],[DiasNuevo]]</f>
        <v>45624</v>
      </c>
    </row>
    <row r="3665" spans="1:15">
      <c r="A3665">
        <v>3664</v>
      </c>
      <c r="B3665" t="s">
        <v>51</v>
      </c>
      <c r="C3665" s="1">
        <v>12785</v>
      </c>
      <c r="D3665">
        <v>91</v>
      </c>
      <c r="E3665" s="4" t="s">
        <v>15</v>
      </c>
      <c r="F3665" t="s">
        <v>261</v>
      </c>
      <c r="G3665" s="1">
        <v>45241</v>
      </c>
      <c r="H3665" s="1">
        <f>TablaDatos[[#This Row],[FechaIngreso]]+TablaDatos[[#This Row],[DiasNuevo]]</f>
        <v>45256</v>
      </c>
      <c r="I3665">
        <v>15</v>
      </c>
      <c r="J3665" t="s">
        <v>25</v>
      </c>
      <c r="K3665" s="3">
        <v>9647.4599999999991</v>
      </c>
      <c r="L3665" t="b">
        <f>TablaDatos[[#This Row],[FechaAlta]] &lt; TablaDatos[[#This Row],[FechaIngreso]]</f>
        <v>0</v>
      </c>
      <c r="M3665">
        <f>_xlfn.XLOOKUP(TablaDatos[[#This Row],[PacienteID]],'Datos_Ejemplo.csv'!A:A,'Datos_Ejemplo.csv'!I:I)</f>
        <v>15</v>
      </c>
      <c r="N3665">
        <f>ABS(TablaDatos[[#This Row],[DiasOriginal]])</f>
        <v>15</v>
      </c>
      <c r="O3665" s="1">
        <f>TablaDatos[[#This Row],[FechaIngreso]]+TablaDatos[[#This Row],[DiasNuevo]]</f>
        <v>45256</v>
      </c>
    </row>
    <row r="3666" spans="1:15">
      <c r="A3666">
        <v>3665</v>
      </c>
      <c r="B3666" t="s">
        <v>114</v>
      </c>
      <c r="C3666" s="1">
        <v>44561</v>
      </c>
      <c r="D3666">
        <v>4</v>
      </c>
      <c r="E3666" s="4" t="s">
        <v>15</v>
      </c>
      <c r="F3666" t="s">
        <v>32</v>
      </c>
      <c r="G3666" s="1">
        <v>45233</v>
      </c>
      <c r="H3666" s="1">
        <f>TablaDatos[[#This Row],[FechaIngreso]]+TablaDatos[[#This Row],[DiasNuevo]]</f>
        <v>45272</v>
      </c>
      <c r="I3666">
        <v>39</v>
      </c>
      <c r="J3666" t="s">
        <v>19</v>
      </c>
      <c r="K3666" s="3">
        <v>4049.97</v>
      </c>
      <c r="L3666" t="b">
        <f>TablaDatos[[#This Row],[FechaAlta]] &lt; TablaDatos[[#This Row],[FechaIngreso]]</f>
        <v>0</v>
      </c>
      <c r="M3666">
        <f>_xlfn.XLOOKUP(TablaDatos[[#This Row],[PacienteID]],'Datos_Ejemplo.csv'!A:A,'Datos_Ejemplo.csv'!I:I)</f>
        <v>39</v>
      </c>
      <c r="N3666">
        <f>ABS(TablaDatos[[#This Row],[DiasOriginal]])</f>
        <v>39</v>
      </c>
      <c r="O3666" s="1">
        <f>TablaDatos[[#This Row],[FechaIngreso]]+TablaDatos[[#This Row],[DiasNuevo]]</f>
        <v>45272</v>
      </c>
    </row>
    <row r="3667" spans="1:15">
      <c r="A3667">
        <v>3666</v>
      </c>
      <c r="B3667" t="s">
        <v>116</v>
      </c>
      <c r="C3667" s="1">
        <v>16802</v>
      </c>
      <c r="D3667">
        <v>80</v>
      </c>
      <c r="E3667" s="4" t="s">
        <v>15</v>
      </c>
      <c r="F3667" t="s">
        <v>32</v>
      </c>
      <c r="G3667" s="1">
        <v>45430</v>
      </c>
      <c r="H3667" s="1">
        <f>TablaDatos[[#This Row],[FechaIngreso]]+TablaDatos[[#This Row],[DiasNuevo]]</f>
        <v>45467</v>
      </c>
      <c r="I3667">
        <v>37</v>
      </c>
      <c r="J3667" t="s">
        <v>23</v>
      </c>
      <c r="K3667" s="3">
        <v>12919.86</v>
      </c>
      <c r="L3667" t="b">
        <f>TablaDatos[[#This Row],[FechaAlta]] &lt; TablaDatos[[#This Row],[FechaIngreso]]</f>
        <v>0</v>
      </c>
      <c r="M3667">
        <f>_xlfn.XLOOKUP(TablaDatos[[#This Row],[PacienteID]],'Datos_Ejemplo.csv'!A:A,'Datos_Ejemplo.csv'!I:I)</f>
        <v>37</v>
      </c>
      <c r="N3667">
        <f>ABS(TablaDatos[[#This Row],[DiasOriginal]])</f>
        <v>37</v>
      </c>
      <c r="O3667" s="1">
        <f>TablaDatos[[#This Row],[FechaIngreso]]+TablaDatos[[#This Row],[DiasNuevo]]</f>
        <v>45467</v>
      </c>
    </row>
    <row r="3668" spans="1:15">
      <c r="A3668">
        <v>3667</v>
      </c>
      <c r="B3668" t="s">
        <v>232</v>
      </c>
      <c r="C3668" s="1">
        <v>25934</v>
      </c>
      <c r="D3668">
        <v>55</v>
      </c>
      <c r="E3668" s="4" t="s">
        <v>15</v>
      </c>
      <c r="F3668" t="s">
        <v>21</v>
      </c>
      <c r="G3668" s="1">
        <v>45545</v>
      </c>
      <c r="H3668" s="1">
        <f>TablaDatos[[#This Row],[FechaIngreso]]+TablaDatos[[#This Row],[DiasNuevo]]</f>
        <v>45563</v>
      </c>
      <c r="I3668">
        <v>18</v>
      </c>
      <c r="J3668" t="s">
        <v>25</v>
      </c>
      <c r="K3668" s="3">
        <v>11618.47</v>
      </c>
      <c r="L3668" t="b">
        <f>TablaDatos[[#This Row],[FechaAlta]] &lt; TablaDatos[[#This Row],[FechaIngreso]]</f>
        <v>0</v>
      </c>
      <c r="M3668">
        <f>_xlfn.XLOOKUP(TablaDatos[[#This Row],[PacienteID]],'Datos_Ejemplo.csv'!A:A,'Datos_Ejemplo.csv'!I:I)</f>
        <v>18</v>
      </c>
      <c r="N3668">
        <f>ABS(TablaDatos[[#This Row],[DiasOriginal]])</f>
        <v>18</v>
      </c>
      <c r="O3668" s="1">
        <f>TablaDatos[[#This Row],[FechaIngreso]]+TablaDatos[[#This Row],[DiasNuevo]]</f>
        <v>45563</v>
      </c>
    </row>
    <row r="3669" spans="1:15">
      <c r="A3669">
        <v>3668</v>
      </c>
      <c r="B3669" t="s">
        <v>259</v>
      </c>
      <c r="C3669" s="1">
        <v>39083</v>
      </c>
      <c r="D3669">
        <f ca="1">DATEDIF(TablaDatos[[#This Row],[FechaNacimiento]],TODAY(),"Y")</f>
        <v>19</v>
      </c>
      <c r="E3669" s="4" t="s">
        <v>15</v>
      </c>
      <c r="F3669" t="s">
        <v>18</v>
      </c>
      <c r="G3669" s="1">
        <v>45581</v>
      </c>
      <c r="H3669" s="1">
        <f>TablaDatos[[#This Row],[FechaIngreso]]+TablaDatos[[#This Row],[DiasNuevo]]</f>
        <v>45586</v>
      </c>
      <c r="I3669">
        <v>5</v>
      </c>
      <c r="J3669" t="s">
        <v>19</v>
      </c>
      <c r="K3669" s="3">
        <v>5230.8</v>
      </c>
      <c r="L3669" t="b">
        <f>TablaDatos[[#This Row],[FechaAlta]] &lt; TablaDatos[[#This Row],[FechaIngreso]]</f>
        <v>0</v>
      </c>
      <c r="M3669">
        <f>_xlfn.XLOOKUP(TablaDatos[[#This Row],[PacienteID]],'Datos_Ejemplo.csv'!A:A,'Datos_Ejemplo.csv'!I:I)</f>
        <v>5</v>
      </c>
      <c r="N3669">
        <f>ABS(TablaDatos[[#This Row],[DiasOriginal]])</f>
        <v>5</v>
      </c>
      <c r="O3669" s="1">
        <f>TablaDatos[[#This Row],[FechaIngreso]]+TablaDatos[[#This Row],[DiasNuevo]]</f>
        <v>45586</v>
      </c>
    </row>
    <row r="3670" spans="1:15">
      <c r="A3670">
        <v>3669</v>
      </c>
      <c r="B3670" t="s">
        <v>266</v>
      </c>
      <c r="C3670" s="1">
        <v>31412</v>
      </c>
      <c r="D3670">
        <v>40</v>
      </c>
      <c r="E3670" s="4" t="s">
        <v>15</v>
      </c>
      <c r="F3670" t="s">
        <v>18</v>
      </c>
      <c r="G3670" s="1">
        <v>45446</v>
      </c>
      <c r="H3670" s="1">
        <f>TablaDatos[[#This Row],[FechaIngreso]]+TablaDatos[[#This Row],[DiasNuevo]]</f>
        <v>45477</v>
      </c>
      <c r="I3670">
        <v>31</v>
      </c>
      <c r="J3670" t="s">
        <v>25</v>
      </c>
      <c r="K3670" s="3">
        <v>1284.54</v>
      </c>
      <c r="L3670" t="b">
        <f>TablaDatos[[#This Row],[FechaAlta]] &lt; TablaDatos[[#This Row],[FechaIngreso]]</f>
        <v>0</v>
      </c>
      <c r="M3670">
        <f>_xlfn.XLOOKUP(TablaDatos[[#This Row],[PacienteID]],'Datos_Ejemplo.csv'!A:A,'Datos_Ejemplo.csv'!I:I)</f>
        <v>31</v>
      </c>
      <c r="N3670">
        <f>ABS(TablaDatos[[#This Row],[DiasOriginal]])</f>
        <v>31</v>
      </c>
      <c r="O3670" s="1">
        <f>TablaDatos[[#This Row],[FechaIngreso]]+TablaDatos[[#This Row],[DiasNuevo]]</f>
        <v>45477</v>
      </c>
    </row>
    <row r="3671" spans="1:15">
      <c r="A3671">
        <v>3670</v>
      </c>
      <c r="B3671" t="s">
        <v>355</v>
      </c>
      <c r="C3671" s="1">
        <v>29586</v>
      </c>
      <c r="D3671">
        <v>45</v>
      </c>
      <c r="E3671" s="4" t="s">
        <v>12</v>
      </c>
      <c r="F3671" t="s">
        <v>32</v>
      </c>
      <c r="G3671" s="1">
        <v>45532</v>
      </c>
      <c r="H3671" s="1">
        <f>TablaDatos[[#This Row],[FechaIngreso]]+TablaDatos[[#This Row],[DiasNuevo]]</f>
        <v>45540</v>
      </c>
      <c r="I3671">
        <v>8</v>
      </c>
      <c r="J3671" t="s">
        <v>19</v>
      </c>
      <c r="K3671" s="3">
        <v>15075.89</v>
      </c>
      <c r="L3671" t="b">
        <f>TablaDatos[[#This Row],[FechaAlta]] &lt; TablaDatos[[#This Row],[FechaIngreso]]</f>
        <v>0</v>
      </c>
      <c r="M3671">
        <f>_xlfn.XLOOKUP(TablaDatos[[#This Row],[PacienteID]],'Datos_Ejemplo.csv'!A:A,'Datos_Ejemplo.csv'!I:I)</f>
        <v>8</v>
      </c>
      <c r="N3671">
        <f>ABS(TablaDatos[[#This Row],[DiasOriginal]])</f>
        <v>8</v>
      </c>
      <c r="O3671" s="1">
        <f>TablaDatos[[#This Row],[FechaIngreso]]+TablaDatos[[#This Row],[DiasNuevo]]</f>
        <v>45540</v>
      </c>
    </row>
    <row r="3672" spans="1:15">
      <c r="A3672">
        <v>3671</v>
      </c>
      <c r="B3672" t="s">
        <v>278</v>
      </c>
      <c r="C3672" s="1">
        <v>42005</v>
      </c>
      <c r="D3672">
        <v>11</v>
      </c>
      <c r="E3672" s="4" t="s">
        <v>15</v>
      </c>
      <c r="F3672" t="s">
        <v>18</v>
      </c>
      <c r="G3672" s="1">
        <v>45023</v>
      </c>
      <c r="H3672" s="1">
        <f>TablaDatos[[#This Row],[FechaIngreso]]+TablaDatos[[#This Row],[DiasNuevo]]</f>
        <v>45030</v>
      </c>
      <c r="I3672">
        <v>7</v>
      </c>
      <c r="J3672" t="s">
        <v>23</v>
      </c>
      <c r="K3672" s="3">
        <v>11667.83</v>
      </c>
      <c r="L3672" t="b">
        <f>TablaDatos[[#This Row],[FechaAlta]] &lt; TablaDatos[[#This Row],[FechaIngreso]]</f>
        <v>0</v>
      </c>
      <c r="M3672">
        <f>_xlfn.XLOOKUP(TablaDatos[[#This Row],[PacienteID]],'Datos_Ejemplo.csv'!A:A,'Datos_Ejemplo.csv'!I:I)</f>
        <v>7</v>
      </c>
      <c r="N3672">
        <f>ABS(TablaDatos[[#This Row],[DiasOriginal]])</f>
        <v>7</v>
      </c>
      <c r="O3672" s="1">
        <f>TablaDatos[[#This Row],[FechaIngreso]]+TablaDatos[[#This Row],[DiasNuevo]]</f>
        <v>45030</v>
      </c>
    </row>
    <row r="3673" spans="1:15">
      <c r="A3673">
        <v>3672</v>
      </c>
      <c r="B3673" t="s">
        <v>345</v>
      </c>
      <c r="C3673" s="1">
        <v>20820</v>
      </c>
      <c r="D3673">
        <f ca="1">DATEDIF(TablaDatos[[#This Row],[FechaNacimiento]],TODAY(),"Y")</f>
        <v>69</v>
      </c>
      <c r="E3673" s="4" t="s">
        <v>12</v>
      </c>
      <c r="F3673" t="s">
        <v>21</v>
      </c>
      <c r="G3673" s="1">
        <v>45416</v>
      </c>
      <c r="H3673" s="1">
        <f>TablaDatos[[#This Row],[FechaIngreso]]+TablaDatos[[#This Row],[DiasNuevo]]</f>
        <v>45421</v>
      </c>
      <c r="I3673">
        <v>5</v>
      </c>
      <c r="J3673" t="s">
        <v>23</v>
      </c>
      <c r="K3673" s="3">
        <v>16826.740000000002</v>
      </c>
      <c r="L3673" t="b">
        <f>TablaDatos[[#This Row],[FechaAlta]] &lt; TablaDatos[[#This Row],[FechaIngreso]]</f>
        <v>0</v>
      </c>
      <c r="M3673">
        <f>_xlfn.XLOOKUP(TablaDatos[[#This Row],[PacienteID]],'Datos_Ejemplo.csv'!A:A,'Datos_Ejemplo.csv'!I:I)</f>
        <v>5</v>
      </c>
      <c r="N3673">
        <f>ABS(TablaDatos[[#This Row],[DiasOriginal]])</f>
        <v>5</v>
      </c>
      <c r="O3673" s="1">
        <f>TablaDatos[[#This Row],[FechaIngreso]]+TablaDatos[[#This Row],[DiasNuevo]]</f>
        <v>45421</v>
      </c>
    </row>
    <row r="3674" spans="1:15">
      <c r="A3674">
        <v>3673</v>
      </c>
      <c r="B3674" t="s">
        <v>361</v>
      </c>
      <c r="C3674" s="1">
        <v>40178</v>
      </c>
      <c r="D3674">
        <v>16</v>
      </c>
      <c r="E3674" s="4" t="s">
        <v>15</v>
      </c>
      <c r="F3674" t="s">
        <v>295</v>
      </c>
      <c r="G3674" s="1">
        <v>44933</v>
      </c>
      <c r="H3674" s="1">
        <f>TablaDatos[[#This Row],[FechaIngreso]]+TablaDatos[[#This Row],[DiasNuevo]]</f>
        <v>44938</v>
      </c>
      <c r="I3674">
        <v>5</v>
      </c>
      <c r="J3674" t="s">
        <v>19</v>
      </c>
      <c r="K3674" s="3">
        <v>5121.9799999999996</v>
      </c>
      <c r="L3674" t="b">
        <f>TablaDatos[[#This Row],[FechaAlta]] &lt; TablaDatos[[#This Row],[FechaIngreso]]</f>
        <v>0</v>
      </c>
      <c r="M3674">
        <f>_xlfn.XLOOKUP(TablaDatos[[#This Row],[PacienteID]],'Datos_Ejemplo.csv'!A:A,'Datos_Ejemplo.csv'!I:I)</f>
        <v>5</v>
      </c>
      <c r="N3674">
        <f>ABS(TablaDatos[[#This Row],[DiasOriginal]])</f>
        <v>5</v>
      </c>
      <c r="O3674" s="1">
        <f>TablaDatos[[#This Row],[FechaIngreso]]+TablaDatos[[#This Row],[DiasNuevo]]</f>
        <v>44938</v>
      </c>
    </row>
    <row r="3675" spans="1:15">
      <c r="A3675">
        <v>3674</v>
      </c>
      <c r="B3675" t="s">
        <v>146</v>
      </c>
      <c r="C3675" s="1">
        <v>39448</v>
      </c>
      <c r="D3675">
        <v>18</v>
      </c>
      <c r="E3675" s="4" t="s">
        <v>15</v>
      </c>
      <c r="F3675" t="s">
        <v>261</v>
      </c>
      <c r="G3675" s="1">
        <v>44938</v>
      </c>
      <c r="H3675" s="1">
        <f>TablaDatos[[#This Row],[FechaIngreso]]+TablaDatos[[#This Row],[DiasNuevo]]</f>
        <v>44954</v>
      </c>
      <c r="I3675">
        <v>16</v>
      </c>
      <c r="J3675" t="s">
        <v>23</v>
      </c>
      <c r="K3675" s="3">
        <v>13022.53</v>
      </c>
      <c r="L3675" t="b">
        <f>TablaDatos[[#This Row],[FechaAlta]] &lt; TablaDatos[[#This Row],[FechaIngreso]]</f>
        <v>0</v>
      </c>
      <c r="M3675">
        <f>_xlfn.XLOOKUP(TablaDatos[[#This Row],[PacienteID]],'Datos_Ejemplo.csv'!A:A,'Datos_Ejemplo.csv'!I:I)</f>
        <v>16</v>
      </c>
      <c r="N3675">
        <f>ABS(TablaDatos[[#This Row],[DiasOriginal]])</f>
        <v>16</v>
      </c>
      <c r="O3675" s="1">
        <f>TablaDatos[[#This Row],[FechaIngreso]]+TablaDatos[[#This Row],[DiasNuevo]]</f>
        <v>44954</v>
      </c>
    </row>
    <row r="3676" spans="1:15">
      <c r="A3676">
        <v>3675</v>
      </c>
      <c r="B3676" t="s">
        <v>287</v>
      </c>
      <c r="C3676" s="1">
        <v>36891</v>
      </c>
      <c r="D3676">
        <v>25</v>
      </c>
      <c r="E3676" s="4" t="s">
        <v>15</v>
      </c>
      <c r="F3676" t="s">
        <v>21</v>
      </c>
      <c r="G3676" s="1">
        <v>45440</v>
      </c>
      <c r="H3676" s="1">
        <f>TablaDatos[[#This Row],[FechaIngreso]]+TablaDatos[[#This Row],[DiasNuevo]]</f>
        <v>45442</v>
      </c>
      <c r="I3676">
        <v>2</v>
      </c>
      <c r="J3676" t="s">
        <v>23</v>
      </c>
      <c r="K3676" s="3">
        <v>2285.48</v>
      </c>
      <c r="L3676" t="b">
        <f>TablaDatos[[#This Row],[FechaAlta]] &lt; TablaDatos[[#This Row],[FechaIngreso]]</f>
        <v>0</v>
      </c>
      <c r="M3676">
        <f>_xlfn.XLOOKUP(TablaDatos[[#This Row],[PacienteID]],'Datos_Ejemplo.csv'!A:A,'Datos_Ejemplo.csv'!I:I)</f>
        <v>-2</v>
      </c>
      <c r="N3676">
        <f>ABS(TablaDatos[[#This Row],[DiasOriginal]])</f>
        <v>2</v>
      </c>
      <c r="O3676" s="1">
        <f>TablaDatos[[#This Row],[FechaIngreso]]+TablaDatos[[#This Row],[DiasNuevo]]</f>
        <v>45442</v>
      </c>
    </row>
    <row r="3677" spans="1:15">
      <c r="A3677">
        <v>3676</v>
      </c>
      <c r="B3677" t="s">
        <v>305</v>
      </c>
      <c r="C3677" s="1">
        <v>28856</v>
      </c>
      <c r="D3677">
        <v>47</v>
      </c>
      <c r="E3677" s="4" t="s">
        <v>12</v>
      </c>
      <c r="F3677" t="s">
        <v>18</v>
      </c>
      <c r="G3677" s="1">
        <v>45275</v>
      </c>
      <c r="H3677" s="1">
        <f>TablaDatos[[#This Row],[FechaIngreso]]+TablaDatos[[#This Row],[DiasNuevo]]</f>
        <v>45275</v>
      </c>
      <c r="I3677">
        <v>0</v>
      </c>
      <c r="J3677" t="s">
        <v>25</v>
      </c>
      <c r="K3677" s="3">
        <v>5765.38</v>
      </c>
      <c r="L3677" t="b">
        <f>TablaDatos[[#This Row],[FechaAlta]] &lt; TablaDatos[[#This Row],[FechaIngreso]]</f>
        <v>0</v>
      </c>
      <c r="M3677">
        <f>_xlfn.XLOOKUP(TablaDatos[[#This Row],[PacienteID]],'Datos_Ejemplo.csv'!A:A,'Datos_Ejemplo.csv'!I:I)</f>
        <v>0</v>
      </c>
      <c r="N3677">
        <f>ABS(TablaDatos[[#This Row],[DiasOriginal]])</f>
        <v>0</v>
      </c>
      <c r="O3677" s="1">
        <f>TablaDatos[[#This Row],[FechaIngreso]]+TablaDatos[[#This Row],[DiasNuevo]]</f>
        <v>45275</v>
      </c>
    </row>
    <row r="3678" spans="1:15">
      <c r="A3678">
        <v>3677</v>
      </c>
      <c r="B3678" t="s">
        <v>364</v>
      </c>
      <c r="C3678" s="1">
        <v>27395</v>
      </c>
      <c r="D3678">
        <v>51</v>
      </c>
      <c r="E3678" s="4" t="s">
        <v>15</v>
      </c>
      <c r="F3678" t="s">
        <v>21</v>
      </c>
      <c r="G3678" s="1">
        <v>44933</v>
      </c>
      <c r="H3678" s="1">
        <f>TablaDatos[[#This Row],[FechaIngreso]]+TablaDatos[[#This Row],[DiasNuevo]]</f>
        <v>44962</v>
      </c>
      <c r="I3678">
        <v>29</v>
      </c>
      <c r="J3678" t="s">
        <v>23</v>
      </c>
      <c r="K3678" s="3">
        <v>13096.44</v>
      </c>
      <c r="L3678" t="b">
        <f>TablaDatos[[#This Row],[FechaAlta]] &lt; TablaDatos[[#This Row],[FechaIngreso]]</f>
        <v>0</v>
      </c>
      <c r="M3678">
        <f>_xlfn.XLOOKUP(TablaDatos[[#This Row],[PacienteID]],'Datos_Ejemplo.csv'!A:A,'Datos_Ejemplo.csv'!I:I)</f>
        <v>29</v>
      </c>
      <c r="N3678">
        <f>ABS(TablaDatos[[#This Row],[DiasOriginal]])</f>
        <v>29</v>
      </c>
      <c r="O3678" s="1">
        <f>TablaDatos[[#This Row],[FechaIngreso]]+TablaDatos[[#This Row],[DiasNuevo]]</f>
        <v>44962</v>
      </c>
    </row>
    <row r="3679" spans="1:15">
      <c r="A3679">
        <v>3678</v>
      </c>
      <c r="B3679" t="s">
        <v>236</v>
      </c>
      <c r="C3679" s="1">
        <v>20820</v>
      </c>
      <c r="D3679">
        <v>69</v>
      </c>
      <c r="E3679" s="4" t="s">
        <v>197</v>
      </c>
      <c r="F3679" t="s">
        <v>261</v>
      </c>
      <c r="G3679" s="1">
        <v>45426</v>
      </c>
      <c r="H3679" s="1">
        <f>TablaDatos[[#This Row],[FechaIngreso]]+TablaDatos[[#This Row],[DiasNuevo]]</f>
        <v>45439</v>
      </c>
      <c r="I3679">
        <v>13</v>
      </c>
      <c r="J3679" t="s">
        <v>25</v>
      </c>
      <c r="K3679" s="3">
        <v>16494.18</v>
      </c>
      <c r="L3679" t="b">
        <f>TablaDatos[[#This Row],[FechaAlta]] &lt; TablaDatos[[#This Row],[FechaIngreso]]</f>
        <v>0</v>
      </c>
      <c r="M3679">
        <f>_xlfn.XLOOKUP(TablaDatos[[#This Row],[PacienteID]],'Datos_Ejemplo.csv'!A:A,'Datos_Ejemplo.csv'!I:I)</f>
        <v>13</v>
      </c>
      <c r="N3679">
        <f>ABS(TablaDatos[[#This Row],[DiasOriginal]])</f>
        <v>13</v>
      </c>
      <c r="O3679" s="1">
        <f>TablaDatos[[#This Row],[FechaIngreso]]+TablaDatos[[#This Row],[DiasNuevo]]</f>
        <v>45439</v>
      </c>
    </row>
    <row r="3680" spans="1:15">
      <c r="A3680">
        <v>3679</v>
      </c>
      <c r="B3680" t="s">
        <v>288</v>
      </c>
      <c r="C3680" s="1">
        <v>26299</v>
      </c>
      <c r="D3680">
        <v>54</v>
      </c>
      <c r="E3680" s="4" t="s">
        <v>12</v>
      </c>
      <c r="F3680" t="s">
        <v>13</v>
      </c>
      <c r="G3680" s="1">
        <v>45401</v>
      </c>
      <c r="H3680" s="1">
        <f>TablaDatos[[#This Row],[FechaIngreso]]+TablaDatos[[#This Row],[DiasNuevo]]</f>
        <v>45428</v>
      </c>
      <c r="I3680">
        <v>27</v>
      </c>
      <c r="J3680" t="s">
        <v>23</v>
      </c>
      <c r="K3680" s="3">
        <v>6350.6</v>
      </c>
      <c r="L3680" t="b">
        <f>TablaDatos[[#This Row],[FechaAlta]] &lt; TablaDatos[[#This Row],[FechaIngreso]]</f>
        <v>0</v>
      </c>
      <c r="M3680">
        <f>_xlfn.XLOOKUP(TablaDatos[[#This Row],[PacienteID]],'Datos_Ejemplo.csv'!A:A,'Datos_Ejemplo.csv'!I:I)</f>
        <v>27</v>
      </c>
      <c r="N3680">
        <f>ABS(TablaDatos[[#This Row],[DiasOriginal]])</f>
        <v>27</v>
      </c>
      <c r="O3680" s="1">
        <f>TablaDatos[[#This Row],[FechaIngreso]]+TablaDatos[[#This Row],[DiasNuevo]]</f>
        <v>45428</v>
      </c>
    </row>
    <row r="3681" spans="1:15">
      <c r="A3681">
        <v>3680</v>
      </c>
      <c r="B3681" t="s">
        <v>51</v>
      </c>
      <c r="C3681" s="1">
        <f ca="1">DATE(YEAR(TODAY())-TablaDatos[[#This Row],[Edad]],1,1)</f>
        <v>18994</v>
      </c>
      <c r="D3681">
        <v>74</v>
      </c>
      <c r="E3681" s="4" t="s">
        <v>12</v>
      </c>
      <c r="F3681" t="s">
        <v>201</v>
      </c>
      <c r="G3681" s="1">
        <v>45450</v>
      </c>
      <c r="H3681" s="1">
        <f>TablaDatos[[#This Row],[FechaIngreso]]+TablaDatos[[#This Row],[DiasNuevo]]</f>
        <v>45475</v>
      </c>
      <c r="I3681">
        <v>25</v>
      </c>
      <c r="J3681" t="s">
        <v>23</v>
      </c>
      <c r="K3681" s="3">
        <v>15956.96</v>
      </c>
      <c r="L3681" t="b">
        <f>TablaDatos[[#This Row],[FechaAlta]] &lt; TablaDatos[[#This Row],[FechaIngreso]]</f>
        <v>0</v>
      </c>
      <c r="M3681">
        <f>_xlfn.XLOOKUP(TablaDatos[[#This Row],[PacienteID]],'Datos_Ejemplo.csv'!A:A,'Datos_Ejemplo.csv'!I:I)</f>
        <v>25</v>
      </c>
      <c r="N3681">
        <f>ABS(TablaDatos[[#This Row],[DiasOriginal]])</f>
        <v>25</v>
      </c>
      <c r="O3681" s="1">
        <f>TablaDatos[[#This Row],[FechaIngreso]]+TablaDatos[[#This Row],[DiasNuevo]]</f>
        <v>45475</v>
      </c>
    </row>
    <row r="3682" spans="1:15">
      <c r="A3682">
        <v>3681</v>
      </c>
      <c r="B3682" t="s">
        <v>232</v>
      </c>
      <c r="C3682" s="1">
        <f ca="1">DATE(YEAR(TODAY())-TablaDatos[[#This Row],[Edad]],1,1)</f>
        <v>0</v>
      </c>
      <c r="D3682">
        <f ca="1">DATEDIF(TablaDatos[[#This Row],[FechaNacimiento]],TODAY(),"Y")</f>
        <v>126</v>
      </c>
      <c r="E3682" s="4" t="s">
        <v>15</v>
      </c>
      <c r="F3682" t="s">
        <v>261</v>
      </c>
      <c r="G3682" s="1">
        <v>44983</v>
      </c>
      <c r="H3682" s="1">
        <f>TablaDatos[[#This Row],[FechaIngreso]]+TablaDatos[[#This Row],[DiasNuevo]]</f>
        <v>45008</v>
      </c>
      <c r="I3682">
        <v>25</v>
      </c>
      <c r="J3682" t="s">
        <v>25</v>
      </c>
      <c r="K3682" s="3">
        <v>13522.82</v>
      </c>
      <c r="L3682" t="b">
        <f>TablaDatos[[#This Row],[FechaAlta]] &lt; TablaDatos[[#This Row],[FechaIngreso]]</f>
        <v>0</v>
      </c>
      <c r="M3682">
        <f>_xlfn.XLOOKUP(TablaDatos[[#This Row],[PacienteID]],'Datos_Ejemplo.csv'!A:A,'Datos_Ejemplo.csv'!I:I)</f>
        <v>25</v>
      </c>
      <c r="N3682">
        <f>ABS(TablaDatos[[#This Row],[DiasOriginal]])</f>
        <v>25</v>
      </c>
      <c r="O3682" s="1">
        <f>TablaDatos[[#This Row],[FechaIngreso]]+TablaDatos[[#This Row],[DiasNuevo]]</f>
        <v>45008</v>
      </c>
    </row>
    <row r="3683" spans="1:15">
      <c r="A3683">
        <v>3682</v>
      </c>
      <c r="B3683" t="s">
        <v>361</v>
      </c>
      <c r="C3683" s="1">
        <v>23742</v>
      </c>
      <c r="D3683">
        <v>61</v>
      </c>
      <c r="E3683" s="4" t="s">
        <v>12</v>
      </c>
      <c r="F3683" t="s">
        <v>201</v>
      </c>
      <c r="G3683" s="1">
        <v>45516</v>
      </c>
      <c r="H3683" s="1">
        <f>TablaDatos[[#This Row],[FechaIngreso]]+TablaDatos[[#This Row],[DiasNuevo]]</f>
        <v>45529</v>
      </c>
      <c r="I3683">
        <v>13</v>
      </c>
      <c r="J3683" t="s">
        <v>23</v>
      </c>
      <c r="K3683" s="3">
        <v>6908.36</v>
      </c>
      <c r="L3683" t="b">
        <f>TablaDatos[[#This Row],[FechaAlta]] &lt; TablaDatos[[#This Row],[FechaIngreso]]</f>
        <v>0</v>
      </c>
      <c r="M3683">
        <f>_xlfn.XLOOKUP(TablaDatos[[#This Row],[PacienteID]],'Datos_Ejemplo.csv'!A:A,'Datos_Ejemplo.csv'!I:I)</f>
        <v>13</v>
      </c>
      <c r="N3683">
        <f>ABS(TablaDatos[[#This Row],[DiasOriginal]])</f>
        <v>13</v>
      </c>
      <c r="O3683" s="1">
        <f>TablaDatos[[#This Row],[FechaIngreso]]+TablaDatos[[#This Row],[DiasNuevo]]</f>
        <v>45529</v>
      </c>
    </row>
    <row r="3684" spans="1:15">
      <c r="A3684">
        <v>3683</v>
      </c>
      <c r="B3684" t="s">
        <v>346</v>
      </c>
      <c r="C3684" s="1">
        <v>14246</v>
      </c>
      <c r="D3684">
        <v>87</v>
      </c>
      <c r="E3684" s="4" t="s">
        <v>12</v>
      </c>
      <c r="F3684" t="s">
        <v>261</v>
      </c>
      <c r="G3684" s="1">
        <v>45512</v>
      </c>
      <c r="H3684" s="1">
        <f>TablaDatos[[#This Row],[FechaIngreso]]+TablaDatos[[#This Row],[DiasNuevo]]</f>
        <v>45550</v>
      </c>
      <c r="I3684">
        <v>38</v>
      </c>
      <c r="J3684" t="s">
        <v>25</v>
      </c>
      <c r="K3684" s="3">
        <v>17515.580000000002</v>
      </c>
      <c r="L3684" t="b">
        <f>TablaDatos[[#This Row],[FechaAlta]] &lt; TablaDatos[[#This Row],[FechaIngreso]]</f>
        <v>0</v>
      </c>
      <c r="M3684">
        <f>_xlfn.XLOOKUP(TablaDatos[[#This Row],[PacienteID]],'Datos_Ejemplo.csv'!A:A,'Datos_Ejemplo.csv'!I:I)</f>
        <v>38</v>
      </c>
      <c r="N3684">
        <f>ABS(TablaDatos[[#This Row],[DiasOriginal]])</f>
        <v>38</v>
      </c>
      <c r="O3684" s="1">
        <f>TablaDatos[[#This Row],[FechaIngreso]]+TablaDatos[[#This Row],[DiasNuevo]]</f>
        <v>45550</v>
      </c>
    </row>
    <row r="3685" spans="1:15">
      <c r="A3685">
        <v>3684</v>
      </c>
      <c r="B3685" t="s">
        <v>269</v>
      </c>
      <c r="C3685" s="1">
        <v>37987</v>
      </c>
      <c r="D3685">
        <v>22</v>
      </c>
      <c r="E3685" s="4" t="s">
        <v>15</v>
      </c>
      <c r="F3685" t="s">
        <v>13</v>
      </c>
      <c r="G3685" s="1">
        <v>45159</v>
      </c>
      <c r="H3685" s="1">
        <f>TablaDatos[[#This Row],[FechaIngreso]]+TablaDatos[[#This Row],[DiasNuevo]]</f>
        <v>45189</v>
      </c>
      <c r="I3685">
        <v>30</v>
      </c>
      <c r="J3685" t="s">
        <v>25</v>
      </c>
      <c r="K3685" s="3">
        <v>10135.5</v>
      </c>
      <c r="L3685" t="b">
        <f>TablaDatos[[#This Row],[FechaAlta]] &lt; TablaDatos[[#This Row],[FechaIngreso]]</f>
        <v>0</v>
      </c>
      <c r="M3685">
        <f>_xlfn.XLOOKUP(TablaDatos[[#This Row],[PacienteID]],'Datos_Ejemplo.csv'!A:A,'Datos_Ejemplo.csv'!I:I)</f>
        <v>30</v>
      </c>
      <c r="N3685">
        <f>ABS(TablaDatos[[#This Row],[DiasOriginal]])</f>
        <v>30</v>
      </c>
      <c r="O3685" s="1">
        <f>TablaDatos[[#This Row],[FechaIngreso]]+TablaDatos[[#This Row],[DiasNuevo]]</f>
        <v>45189</v>
      </c>
    </row>
    <row r="3686" spans="1:15">
      <c r="A3686">
        <v>3685</v>
      </c>
      <c r="B3686" t="s">
        <v>55</v>
      </c>
      <c r="C3686" s="1">
        <v>40909</v>
      </c>
      <c r="D3686">
        <v>14</v>
      </c>
      <c r="E3686" s="4" t="s">
        <v>12</v>
      </c>
      <c r="F3686" t="s">
        <v>18</v>
      </c>
      <c r="G3686" s="1">
        <v>44956</v>
      </c>
      <c r="H3686" s="1">
        <f>TablaDatos[[#This Row],[FechaIngreso]]+TablaDatos[[#This Row],[DiasNuevo]]</f>
        <v>44978</v>
      </c>
      <c r="I3686">
        <v>22</v>
      </c>
      <c r="J3686" t="s">
        <v>23</v>
      </c>
      <c r="K3686" s="3">
        <v>12929.76</v>
      </c>
      <c r="L3686" t="b">
        <f>TablaDatos[[#This Row],[FechaAlta]] &lt; TablaDatos[[#This Row],[FechaIngreso]]</f>
        <v>0</v>
      </c>
      <c r="M3686">
        <f>_xlfn.XLOOKUP(TablaDatos[[#This Row],[PacienteID]],'Datos_Ejemplo.csv'!A:A,'Datos_Ejemplo.csv'!I:I)</f>
        <v>22</v>
      </c>
      <c r="N3686">
        <f>ABS(TablaDatos[[#This Row],[DiasOriginal]])</f>
        <v>22</v>
      </c>
      <c r="O3686" s="1">
        <f>TablaDatos[[#This Row],[FechaIngreso]]+TablaDatos[[#This Row],[DiasNuevo]]</f>
        <v>44978</v>
      </c>
    </row>
    <row r="3687" spans="1:15">
      <c r="A3687">
        <v>3686</v>
      </c>
      <c r="B3687" t="s">
        <v>235</v>
      </c>
      <c r="C3687" s="1">
        <v>36526</v>
      </c>
      <c r="D3687">
        <v>26</v>
      </c>
      <c r="E3687" s="4" t="s">
        <v>12</v>
      </c>
      <c r="F3687" t="s">
        <v>18</v>
      </c>
      <c r="G3687" s="1">
        <v>45293</v>
      </c>
      <c r="H3687" s="1">
        <f>TablaDatos[[#This Row],[FechaIngreso]]+TablaDatos[[#This Row],[DiasNuevo]]</f>
        <v>45308</v>
      </c>
      <c r="I3687">
        <v>15</v>
      </c>
      <c r="J3687" t="s">
        <v>23</v>
      </c>
      <c r="K3687" s="3">
        <v>9862.19</v>
      </c>
      <c r="L3687" t="b">
        <f>TablaDatos[[#This Row],[FechaAlta]] &lt; TablaDatos[[#This Row],[FechaIngreso]]</f>
        <v>0</v>
      </c>
      <c r="M3687">
        <f>_xlfn.XLOOKUP(TablaDatos[[#This Row],[PacienteID]],'Datos_Ejemplo.csv'!A:A,'Datos_Ejemplo.csv'!I:I)</f>
        <v>15</v>
      </c>
      <c r="N3687">
        <f>ABS(TablaDatos[[#This Row],[DiasOriginal]])</f>
        <v>15</v>
      </c>
      <c r="O3687" s="1">
        <f>TablaDatos[[#This Row],[FechaIngreso]]+TablaDatos[[#This Row],[DiasNuevo]]</f>
        <v>45308</v>
      </c>
    </row>
    <row r="3688" spans="1:15">
      <c r="A3688">
        <v>3687</v>
      </c>
      <c r="B3688" t="s">
        <v>265</v>
      </c>
      <c r="C3688" s="1">
        <v>18994</v>
      </c>
      <c r="D3688">
        <v>74</v>
      </c>
      <c r="E3688" s="4" t="s">
        <v>12</v>
      </c>
      <c r="F3688" t="s">
        <v>295</v>
      </c>
      <c r="G3688" s="1">
        <v>45533</v>
      </c>
      <c r="H3688" s="1">
        <f>TablaDatos[[#This Row],[FechaIngreso]]+TablaDatos[[#This Row],[DiasNuevo]]</f>
        <v>45556</v>
      </c>
      <c r="I3688">
        <v>23</v>
      </c>
      <c r="J3688" t="s">
        <v>25</v>
      </c>
      <c r="K3688" s="3">
        <v>8999.67</v>
      </c>
      <c r="L3688" t="b">
        <f>TablaDatos[[#This Row],[FechaAlta]] &lt; TablaDatos[[#This Row],[FechaIngreso]]</f>
        <v>0</v>
      </c>
      <c r="M3688">
        <f>_xlfn.XLOOKUP(TablaDatos[[#This Row],[PacienteID]],'Datos_Ejemplo.csv'!A:A,'Datos_Ejemplo.csv'!I:I)</f>
        <v>23</v>
      </c>
      <c r="N3688">
        <f>ABS(TablaDatos[[#This Row],[DiasOriginal]])</f>
        <v>23</v>
      </c>
      <c r="O3688" s="1">
        <f>TablaDatos[[#This Row],[FechaIngreso]]+TablaDatos[[#This Row],[DiasNuevo]]</f>
        <v>45556</v>
      </c>
    </row>
    <row r="3689" spans="1:15">
      <c r="A3689">
        <v>3688</v>
      </c>
      <c r="B3689" t="s">
        <v>333</v>
      </c>
      <c r="C3689" s="1">
        <v>23012</v>
      </c>
      <c r="D3689">
        <v>63</v>
      </c>
      <c r="E3689" s="4" t="s">
        <v>12</v>
      </c>
      <c r="F3689" t="s">
        <v>261</v>
      </c>
      <c r="G3689" s="1">
        <v>44982</v>
      </c>
      <c r="H3689" s="1">
        <f>TablaDatos[[#This Row],[FechaIngreso]]+TablaDatos[[#This Row],[DiasNuevo]]</f>
        <v>44985</v>
      </c>
      <c r="I3689">
        <v>3</v>
      </c>
      <c r="J3689" t="s">
        <v>19</v>
      </c>
      <c r="K3689" s="3">
        <v>16944.349999999999</v>
      </c>
      <c r="L3689" t="b">
        <f>TablaDatos[[#This Row],[FechaAlta]] &lt; TablaDatos[[#This Row],[FechaIngreso]]</f>
        <v>0</v>
      </c>
      <c r="M3689">
        <f>_xlfn.XLOOKUP(TablaDatos[[#This Row],[PacienteID]],'Datos_Ejemplo.csv'!A:A,'Datos_Ejemplo.csv'!I:I)</f>
        <v>3</v>
      </c>
      <c r="N3689">
        <f>ABS(TablaDatos[[#This Row],[DiasOriginal]])</f>
        <v>3</v>
      </c>
      <c r="O3689" s="1">
        <f>TablaDatos[[#This Row],[FechaIngreso]]+TablaDatos[[#This Row],[DiasNuevo]]</f>
        <v>44985</v>
      </c>
    </row>
    <row r="3690" spans="1:15">
      <c r="A3690">
        <v>3689</v>
      </c>
      <c r="B3690" t="s">
        <v>234</v>
      </c>
      <c r="C3690" s="1">
        <v>16802</v>
      </c>
      <c r="D3690">
        <v>80</v>
      </c>
      <c r="E3690" s="4" t="s">
        <v>12</v>
      </c>
      <c r="F3690" t="s">
        <v>21</v>
      </c>
      <c r="G3690" s="1">
        <v>44936</v>
      </c>
      <c r="H3690" s="1">
        <f>TablaDatos[[#This Row],[FechaIngreso]]+TablaDatos[[#This Row],[DiasNuevo]]</f>
        <v>44971</v>
      </c>
      <c r="I3690">
        <v>35</v>
      </c>
      <c r="J3690" t="s">
        <v>23</v>
      </c>
      <c r="K3690" s="3">
        <v>5823.56</v>
      </c>
      <c r="L3690" t="b">
        <f>TablaDatos[[#This Row],[FechaAlta]] &lt; TablaDatos[[#This Row],[FechaIngreso]]</f>
        <v>0</v>
      </c>
      <c r="M3690">
        <f>_xlfn.XLOOKUP(TablaDatos[[#This Row],[PacienteID]],'Datos_Ejemplo.csv'!A:A,'Datos_Ejemplo.csv'!I:I)</f>
        <v>35</v>
      </c>
      <c r="N3690">
        <f>ABS(TablaDatos[[#This Row],[DiasOriginal]])</f>
        <v>35</v>
      </c>
      <c r="O3690" s="1">
        <f>TablaDatos[[#This Row],[FechaIngreso]]+TablaDatos[[#This Row],[DiasNuevo]]</f>
        <v>44971</v>
      </c>
    </row>
    <row r="3691" spans="1:15">
      <c r="A3691">
        <v>3690</v>
      </c>
      <c r="B3691" t="s">
        <v>272</v>
      </c>
      <c r="C3691" s="1">
        <v>27760</v>
      </c>
      <c r="D3691">
        <v>50</v>
      </c>
      <c r="E3691" s="4" t="s">
        <v>12</v>
      </c>
      <c r="F3691" t="s">
        <v>295</v>
      </c>
      <c r="G3691" s="1">
        <v>45073</v>
      </c>
      <c r="H3691" s="1">
        <f>TablaDatos[[#This Row],[FechaIngreso]]+TablaDatos[[#This Row],[DiasNuevo]]</f>
        <v>45073</v>
      </c>
      <c r="I3691">
        <v>0</v>
      </c>
      <c r="J3691" t="s">
        <v>23</v>
      </c>
      <c r="K3691" s="3">
        <v>636.25</v>
      </c>
      <c r="L3691" t="b">
        <f>TablaDatos[[#This Row],[FechaAlta]] &lt; TablaDatos[[#This Row],[FechaIngreso]]</f>
        <v>0</v>
      </c>
      <c r="M3691">
        <f>_xlfn.XLOOKUP(TablaDatos[[#This Row],[PacienteID]],'Datos_Ejemplo.csv'!A:A,'Datos_Ejemplo.csv'!I:I)</f>
        <v>0</v>
      </c>
      <c r="N3691">
        <f>ABS(TablaDatos[[#This Row],[DiasOriginal]])</f>
        <v>0</v>
      </c>
      <c r="O3691" s="1">
        <f>TablaDatos[[#This Row],[FechaIngreso]]+TablaDatos[[#This Row],[DiasNuevo]]</f>
        <v>45073</v>
      </c>
    </row>
    <row r="3692" spans="1:15">
      <c r="A3692">
        <v>3691</v>
      </c>
      <c r="B3692" t="s">
        <v>264</v>
      </c>
      <c r="C3692" s="1">
        <v>27029</v>
      </c>
      <c r="D3692">
        <v>52</v>
      </c>
      <c r="E3692" s="4" t="s">
        <v>15</v>
      </c>
      <c r="F3692" t="s">
        <v>18</v>
      </c>
      <c r="G3692" s="1">
        <v>45290</v>
      </c>
      <c r="H3692" s="1">
        <f>TablaDatos[[#This Row],[FechaIngreso]]+TablaDatos[[#This Row],[DiasNuevo]]</f>
        <v>45293</v>
      </c>
      <c r="I3692">
        <v>3</v>
      </c>
      <c r="J3692" t="s">
        <v>23</v>
      </c>
      <c r="K3692" s="3">
        <v>17583.63</v>
      </c>
      <c r="L3692" t="b">
        <f>TablaDatos[[#This Row],[FechaAlta]] &lt; TablaDatos[[#This Row],[FechaIngreso]]</f>
        <v>0</v>
      </c>
      <c r="M3692">
        <f>_xlfn.XLOOKUP(TablaDatos[[#This Row],[PacienteID]],'Datos_Ejemplo.csv'!A:A,'Datos_Ejemplo.csv'!I:I)</f>
        <v>3</v>
      </c>
      <c r="N3692">
        <f>ABS(TablaDatos[[#This Row],[DiasOriginal]])</f>
        <v>3</v>
      </c>
      <c r="O3692" s="1">
        <f>TablaDatos[[#This Row],[FechaIngreso]]+TablaDatos[[#This Row],[DiasNuevo]]</f>
        <v>45293</v>
      </c>
    </row>
    <row r="3693" spans="1:15">
      <c r="A3693">
        <v>3692</v>
      </c>
      <c r="B3693" t="s">
        <v>345</v>
      </c>
      <c r="C3693" s="1">
        <v>17898</v>
      </c>
      <c r="D3693">
        <v>77</v>
      </c>
      <c r="E3693" s="4" t="s">
        <v>12</v>
      </c>
      <c r="F3693" t="s">
        <v>18</v>
      </c>
      <c r="G3693" s="1">
        <v>45525</v>
      </c>
      <c r="H3693" s="1">
        <f>TablaDatos[[#This Row],[FechaIngreso]]+TablaDatos[[#This Row],[DiasNuevo]]</f>
        <v>45536</v>
      </c>
      <c r="I3693">
        <v>11</v>
      </c>
      <c r="J3693" t="s">
        <v>19</v>
      </c>
      <c r="K3693" s="3">
        <v>16482.98</v>
      </c>
      <c r="L3693" t="b">
        <f>TablaDatos[[#This Row],[FechaAlta]] &lt; TablaDatos[[#This Row],[FechaIngreso]]</f>
        <v>0</v>
      </c>
      <c r="M3693">
        <f>_xlfn.XLOOKUP(TablaDatos[[#This Row],[PacienteID]],'Datos_Ejemplo.csv'!A:A,'Datos_Ejemplo.csv'!I:I)</f>
        <v>11</v>
      </c>
      <c r="N3693">
        <f>ABS(TablaDatos[[#This Row],[DiasOriginal]])</f>
        <v>11</v>
      </c>
      <c r="O3693" s="1">
        <f>TablaDatos[[#This Row],[FechaIngreso]]+TablaDatos[[#This Row],[DiasNuevo]]</f>
        <v>45536</v>
      </c>
    </row>
    <row r="3694" spans="1:15">
      <c r="A3694">
        <v>3693</v>
      </c>
      <c r="B3694" t="s">
        <v>363</v>
      </c>
      <c r="C3694" s="1">
        <v>13150</v>
      </c>
      <c r="D3694">
        <v>90</v>
      </c>
      <c r="E3694" s="4" t="s">
        <v>12</v>
      </c>
      <c r="F3694" t="s">
        <v>32</v>
      </c>
      <c r="G3694" s="1">
        <v>45179</v>
      </c>
      <c r="H3694" s="1">
        <f>TablaDatos[[#This Row],[FechaIngreso]]+TablaDatos[[#This Row],[DiasNuevo]]</f>
        <v>45194</v>
      </c>
      <c r="I3694">
        <v>15</v>
      </c>
      <c r="J3694" t="s">
        <v>19</v>
      </c>
      <c r="K3694" s="3">
        <v>7267.87</v>
      </c>
      <c r="L3694" t="b">
        <f>TablaDatos[[#This Row],[FechaAlta]] &lt; TablaDatos[[#This Row],[FechaIngreso]]</f>
        <v>0</v>
      </c>
      <c r="M3694">
        <f>_xlfn.XLOOKUP(TablaDatos[[#This Row],[PacienteID]],'Datos_Ejemplo.csv'!A:A,'Datos_Ejemplo.csv'!I:I)</f>
        <v>15</v>
      </c>
      <c r="N3694">
        <f>ABS(TablaDatos[[#This Row],[DiasOriginal]])</f>
        <v>15</v>
      </c>
      <c r="O3694" s="1">
        <f>TablaDatos[[#This Row],[FechaIngreso]]+TablaDatos[[#This Row],[DiasNuevo]]</f>
        <v>45194</v>
      </c>
    </row>
    <row r="3695" spans="1:15">
      <c r="A3695">
        <v>3694</v>
      </c>
      <c r="B3695" t="s">
        <v>161</v>
      </c>
      <c r="C3695" s="1">
        <v>16437</v>
      </c>
      <c r="D3695">
        <v>81</v>
      </c>
      <c r="E3695" s="4" t="s">
        <v>12</v>
      </c>
      <c r="F3695" t="s">
        <v>295</v>
      </c>
      <c r="G3695" s="1">
        <v>45625</v>
      </c>
      <c r="H3695" s="1">
        <f>TablaDatos[[#This Row],[FechaIngreso]]+TablaDatos[[#This Row],[DiasNuevo]]</f>
        <v>45638</v>
      </c>
      <c r="I3695">
        <v>13</v>
      </c>
      <c r="J3695" t="s">
        <v>23</v>
      </c>
      <c r="K3695" s="3">
        <v>3627.57</v>
      </c>
      <c r="L3695" t="b">
        <f>TablaDatos[[#This Row],[FechaAlta]] &lt; TablaDatos[[#This Row],[FechaIngreso]]</f>
        <v>0</v>
      </c>
      <c r="M3695">
        <f>_xlfn.XLOOKUP(TablaDatos[[#This Row],[PacienteID]],'Datos_Ejemplo.csv'!A:A,'Datos_Ejemplo.csv'!I:I)</f>
        <v>13</v>
      </c>
      <c r="N3695">
        <f>ABS(TablaDatos[[#This Row],[DiasOriginal]])</f>
        <v>13</v>
      </c>
      <c r="O3695" s="1">
        <f>TablaDatos[[#This Row],[FechaIngreso]]+TablaDatos[[#This Row],[DiasNuevo]]</f>
        <v>45638</v>
      </c>
    </row>
    <row r="3696" spans="1:15">
      <c r="A3696">
        <v>3695</v>
      </c>
      <c r="B3696" t="s">
        <v>268</v>
      </c>
      <c r="C3696" s="1">
        <v>12785</v>
      </c>
      <c r="D3696">
        <v>91</v>
      </c>
      <c r="E3696" s="4" t="s">
        <v>197</v>
      </c>
      <c r="F3696" t="s">
        <v>18</v>
      </c>
      <c r="G3696" s="1">
        <v>45179</v>
      </c>
      <c r="H3696" s="1">
        <f>TablaDatos[[#This Row],[FechaIngreso]]+TablaDatos[[#This Row],[DiasNuevo]]</f>
        <v>45200</v>
      </c>
      <c r="I3696">
        <v>21</v>
      </c>
      <c r="J3696" t="s">
        <v>23</v>
      </c>
      <c r="K3696" s="3">
        <v>13478.23</v>
      </c>
      <c r="L3696" t="b">
        <f>TablaDatos[[#This Row],[FechaAlta]] &lt; TablaDatos[[#This Row],[FechaIngreso]]</f>
        <v>0</v>
      </c>
      <c r="M3696">
        <f>_xlfn.XLOOKUP(TablaDatos[[#This Row],[PacienteID]],'Datos_Ejemplo.csv'!A:A,'Datos_Ejemplo.csv'!I:I)</f>
        <v>21</v>
      </c>
      <c r="N3696">
        <f>ABS(TablaDatos[[#This Row],[DiasOriginal]])</f>
        <v>21</v>
      </c>
      <c r="O3696" s="1">
        <f>TablaDatos[[#This Row],[FechaIngreso]]+TablaDatos[[#This Row],[DiasNuevo]]</f>
        <v>45200</v>
      </c>
    </row>
    <row r="3697" spans="1:15">
      <c r="A3697">
        <v>3696</v>
      </c>
      <c r="B3697" t="s">
        <v>283</v>
      </c>
      <c r="C3697" s="1">
        <v>27760</v>
      </c>
      <c r="D3697">
        <v>50</v>
      </c>
      <c r="E3697" s="4" t="s">
        <v>15</v>
      </c>
      <c r="F3697" t="s">
        <v>13</v>
      </c>
      <c r="G3697" s="1">
        <v>45369</v>
      </c>
      <c r="H3697" s="1">
        <f>TablaDatos[[#This Row],[FechaIngreso]]+TablaDatos[[#This Row],[DiasNuevo]]</f>
        <v>45379</v>
      </c>
      <c r="I3697">
        <v>10</v>
      </c>
      <c r="J3697" t="s">
        <v>23</v>
      </c>
      <c r="K3697" s="3">
        <v>1483.09</v>
      </c>
      <c r="L3697" t="b">
        <f>TablaDatos[[#This Row],[FechaAlta]] &lt; TablaDatos[[#This Row],[FechaIngreso]]</f>
        <v>0</v>
      </c>
      <c r="M3697">
        <f>_xlfn.XLOOKUP(TablaDatos[[#This Row],[PacienteID]],'Datos_Ejemplo.csv'!A:A,'Datos_Ejemplo.csv'!I:I)</f>
        <v>10</v>
      </c>
      <c r="N3697">
        <f>ABS(TablaDatos[[#This Row],[DiasOriginal]])</f>
        <v>10</v>
      </c>
      <c r="O3697" s="1">
        <f>TablaDatos[[#This Row],[FechaIngreso]]+TablaDatos[[#This Row],[DiasNuevo]]</f>
        <v>45379</v>
      </c>
    </row>
    <row r="3698" spans="1:15">
      <c r="A3698">
        <v>3697</v>
      </c>
      <c r="B3698" t="s">
        <v>345</v>
      </c>
      <c r="C3698" s="1">
        <v>29221</v>
      </c>
      <c r="D3698">
        <v>46</v>
      </c>
      <c r="E3698" s="4" t="s">
        <v>15</v>
      </c>
      <c r="F3698" t="s">
        <v>201</v>
      </c>
      <c r="G3698" s="1">
        <v>45266</v>
      </c>
      <c r="H3698" s="1">
        <f>TablaDatos[[#This Row],[FechaIngreso]]+TablaDatos[[#This Row],[DiasNuevo]]</f>
        <v>45268</v>
      </c>
      <c r="I3698">
        <v>2</v>
      </c>
      <c r="J3698" t="s">
        <v>23</v>
      </c>
      <c r="K3698" s="3">
        <v>8417.4699999999993</v>
      </c>
      <c r="L3698" t="b">
        <f>TablaDatos[[#This Row],[FechaAlta]] &lt; TablaDatos[[#This Row],[FechaIngreso]]</f>
        <v>0</v>
      </c>
      <c r="M3698">
        <f>_xlfn.XLOOKUP(TablaDatos[[#This Row],[PacienteID]],'Datos_Ejemplo.csv'!A:A,'Datos_Ejemplo.csv'!I:I)</f>
        <v>-2</v>
      </c>
      <c r="N3698">
        <f>ABS(TablaDatos[[#This Row],[DiasOriginal]])</f>
        <v>2</v>
      </c>
      <c r="O3698" s="1">
        <f>TablaDatos[[#This Row],[FechaIngreso]]+TablaDatos[[#This Row],[DiasNuevo]]</f>
        <v>45268</v>
      </c>
    </row>
    <row r="3699" spans="1:15">
      <c r="A3699">
        <v>3698</v>
      </c>
      <c r="B3699" t="s">
        <v>273</v>
      </c>
      <c r="C3699" s="1">
        <v>44927</v>
      </c>
      <c r="D3699">
        <v>3</v>
      </c>
      <c r="E3699" s="4" t="s">
        <v>15</v>
      </c>
      <c r="F3699" t="s">
        <v>32</v>
      </c>
      <c r="G3699" s="1">
        <v>45442</v>
      </c>
      <c r="H3699" s="1">
        <f>TablaDatos[[#This Row],[FechaIngreso]]+TablaDatos[[#This Row],[DiasNuevo]]</f>
        <v>45477</v>
      </c>
      <c r="I3699">
        <v>35</v>
      </c>
      <c r="J3699" t="s">
        <v>19</v>
      </c>
      <c r="K3699" s="3">
        <v>1625.83</v>
      </c>
      <c r="L3699" t="b">
        <f>TablaDatos[[#This Row],[FechaAlta]] &lt; TablaDatos[[#This Row],[FechaIngreso]]</f>
        <v>0</v>
      </c>
      <c r="M3699">
        <f>_xlfn.XLOOKUP(TablaDatos[[#This Row],[PacienteID]],'Datos_Ejemplo.csv'!A:A,'Datos_Ejemplo.csv'!I:I)</f>
        <v>35</v>
      </c>
      <c r="N3699">
        <f>ABS(TablaDatos[[#This Row],[DiasOriginal]])</f>
        <v>35</v>
      </c>
      <c r="O3699" s="1">
        <f>TablaDatos[[#This Row],[FechaIngreso]]+TablaDatos[[#This Row],[DiasNuevo]]</f>
        <v>45477</v>
      </c>
    </row>
    <row r="3700" spans="1:15">
      <c r="A3700">
        <v>3699</v>
      </c>
      <c r="B3700" t="s">
        <v>293</v>
      </c>
      <c r="C3700" s="1">
        <v>43831</v>
      </c>
      <c r="D3700">
        <v>6</v>
      </c>
      <c r="E3700" s="4" t="s">
        <v>15</v>
      </c>
      <c r="F3700" t="s">
        <v>21</v>
      </c>
      <c r="G3700" s="1">
        <v>45279</v>
      </c>
      <c r="H3700" s="1">
        <f>TablaDatos[[#This Row],[FechaIngreso]]+TablaDatos[[#This Row],[DiasNuevo]]</f>
        <v>45290</v>
      </c>
      <c r="I3700">
        <v>11</v>
      </c>
      <c r="J3700" t="s">
        <v>23</v>
      </c>
      <c r="K3700" s="3">
        <v>11917.98</v>
      </c>
      <c r="L3700" t="b">
        <f>TablaDatos[[#This Row],[FechaAlta]] &lt; TablaDatos[[#This Row],[FechaIngreso]]</f>
        <v>0</v>
      </c>
      <c r="M3700">
        <f>_xlfn.XLOOKUP(TablaDatos[[#This Row],[PacienteID]],'Datos_Ejemplo.csv'!A:A,'Datos_Ejemplo.csv'!I:I)</f>
        <v>11</v>
      </c>
      <c r="N3700">
        <f>ABS(TablaDatos[[#This Row],[DiasOriginal]])</f>
        <v>11</v>
      </c>
      <c r="O3700" s="1">
        <f>TablaDatos[[#This Row],[FechaIngreso]]+TablaDatos[[#This Row],[DiasNuevo]]</f>
        <v>45290</v>
      </c>
    </row>
    <row r="3701" spans="1:15">
      <c r="A3701">
        <v>3700</v>
      </c>
      <c r="B3701" t="s">
        <v>66</v>
      </c>
      <c r="C3701" s="1">
        <v>33604</v>
      </c>
      <c r="D3701">
        <v>34</v>
      </c>
      <c r="E3701" s="4" t="s">
        <v>15</v>
      </c>
      <c r="F3701" t="s">
        <v>201</v>
      </c>
      <c r="G3701" s="1">
        <v>45550</v>
      </c>
      <c r="H3701" s="1">
        <f>TablaDatos[[#This Row],[FechaIngreso]]+TablaDatos[[#This Row],[DiasNuevo]]</f>
        <v>45564</v>
      </c>
      <c r="I3701">
        <v>14</v>
      </c>
      <c r="J3701" t="s">
        <v>23</v>
      </c>
      <c r="K3701" s="3">
        <v>446.89</v>
      </c>
      <c r="L3701" t="b">
        <f>TablaDatos[[#This Row],[FechaAlta]] &lt; TablaDatos[[#This Row],[FechaIngreso]]</f>
        <v>0</v>
      </c>
      <c r="M3701">
        <f>_xlfn.XLOOKUP(TablaDatos[[#This Row],[PacienteID]],'Datos_Ejemplo.csv'!A:A,'Datos_Ejemplo.csv'!I:I)</f>
        <v>14</v>
      </c>
      <c r="N3701">
        <f>ABS(TablaDatos[[#This Row],[DiasOriginal]])</f>
        <v>14</v>
      </c>
      <c r="O3701" s="1">
        <f>TablaDatos[[#This Row],[FechaIngreso]]+TablaDatos[[#This Row],[DiasNuevo]]</f>
        <v>45564</v>
      </c>
    </row>
    <row r="3702" spans="1:15">
      <c r="A3702">
        <v>3701</v>
      </c>
      <c r="B3702" t="s">
        <v>248</v>
      </c>
      <c r="C3702" s="1">
        <v>28856</v>
      </c>
      <c r="D3702">
        <v>47</v>
      </c>
      <c r="E3702" s="4" t="s">
        <v>12</v>
      </c>
      <c r="F3702" t="s">
        <v>32</v>
      </c>
      <c r="G3702" s="1">
        <v>45631</v>
      </c>
      <c r="H3702" s="1">
        <f>TablaDatos[[#This Row],[FechaIngreso]]+TablaDatos[[#This Row],[DiasNuevo]]</f>
        <v>45641</v>
      </c>
      <c r="I3702">
        <v>10</v>
      </c>
      <c r="J3702" t="s">
        <v>23</v>
      </c>
      <c r="K3702" s="3">
        <v>12547.69</v>
      </c>
      <c r="L3702" t="b">
        <f>TablaDatos[[#This Row],[FechaAlta]] &lt; TablaDatos[[#This Row],[FechaIngreso]]</f>
        <v>0</v>
      </c>
      <c r="M3702">
        <f>_xlfn.XLOOKUP(TablaDatos[[#This Row],[PacienteID]],'Datos_Ejemplo.csv'!A:A,'Datos_Ejemplo.csv'!I:I)</f>
        <v>10</v>
      </c>
      <c r="N3702">
        <f>ABS(TablaDatos[[#This Row],[DiasOriginal]])</f>
        <v>10</v>
      </c>
      <c r="O3702" s="1">
        <f>TablaDatos[[#This Row],[FechaIngreso]]+TablaDatos[[#This Row],[DiasNuevo]]</f>
        <v>45641</v>
      </c>
    </row>
    <row r="3703" spans="1:15">
      <c r="A3703">
        <v>3702</v>
      </c>
      <c r="B3703" t="s">
        <v>122</v>
      </c>
      <c r="C3703" s="1">
        <v>19724</v>
      </c>
      <c r="D3703">
        <v>72</v>
      </c>
      <c r="E3703" s="4" t="s">
        <v>15</v>
      </c>
      <c r="F3703" t="s">
        <v>261</v>
      </c>
      <c r="G3703" s="1">
        <v>45579</v>
      </c>
      <c r="H3703" s="1">
        <f>TablaDatos[[#This Row],[FechaIngreso]]+TablaDatos[[#This Row],[DiasNuevo]]</f>
        <v>45589</v>
      </c>
      <c r="I3703">
        <v>10</v>
      </c>
      <c r="J3703" t="s">
        <v>23</v>
      </c>
      <c r="K3703" s="3">
        <v>13431.43</v>
      </c>
      <c r="L3703" t="b">
        <f>TablaDatos[[#This Row],[FechaAlta]] &lt; TablaDatos[[#This Row],[FechaIngreso]]</f>
        <v>0</v>
      </c>
      <c r="M3703">
        <f>_xlfn.XLOOKUP(TablaDatos[[#This Row],[PacienteID]],'Datos_Ejemplo.csv'!A:A,'Datos_Ejemplo.csv'!I:I)</f>
        <v>10</v>
      </c>
      <c r="N3703">
        <f>ABS(TablaDatos[[#This Row],[DiasOriginal]])</f>
        <v>10</v>
      </c>
      <c r="O3703" s="1">
        <f>TablaDatos[[#This Row],[FechaIngreso]]+TablaDatos[[#This Row],[DiasNuevo]]</f>
        <v>45589</v>
      </c>
    </row>
    <row r="3704" spans="1:15">
      <c r="A3704">
        <v>3703</v>
      </c>
      <c r="B3704" t="s">
        <v>351</v>
      </c>
      <c r="C3704" s="1">
        <v>20090</v>
      </c>
      <c r="D3704">
        <v>71</v>
      </c>
      <c r="E3704" s="4" t="s">
        <v>12</v>
      </c>
      <c r="F3704" t="s">
        <v>261</v>
      </c>
      <c r="G3704" s="1">
        <v>45249</v>
      </c>
      <c r="H3704" s="1">
        <f>TablaDatos[[#This Row],[FechaIngreso]]+TablaDatos[[#This Row],[DiasNuevo]]</f>
        <v>45255</v>
      </c>
      <c r="I3704">
        <v>6</v>
      </c>
      <c r="J3704" t="s">
        <v>19</v>
      </c>
      <c r="K3704" s="3">
        <v>9691.6</v>
      </c>
      <c r="L3704" t="b">
        <f>TablaDatos[[#This Row],[FechaAlta]] &lt; TablaDatos[[#This Row],[FechaIngreso]]</f>
        <v>0</v>
      </c>
      <c r="M3704">
        <f>_xlfn.XLOOKUP(TablaDatos[[#This Row],[PacienteID]],'Datos_Ejemplo.csv'!A:A,'Datos_Ejemplo.csv'!I:I)</f>
        <v>6</v>
      </c>
      <c r="N3704">
        <f>ABS(TablaDatos[[#This Row],[DiasOriginal]])</f>
        <v>6</v>
      </c>
      <c r="O3704" s="1">
        <f>TablaDatos[[#This Row],[FechaIngreso]]+TablaDatos[[#This Row],[DiasNuevo]]</f>
        <v>45255</v>
      </c>
    </row>
    <row r="3705" spans="1:15">
      <c r="A3705">
        <v>3704</v>
      </c>
      <c r="B3705" t="s">
        <v>351</v>
      </c>
      <c r="C3705" s="1">
        <v>29951</v>
      </c>
      <c r="D3705">
        <v>44</v>
      </c>
      <c r="E3705" s="4" t="s">
        <v>12</v>
      </c>
      <c r="F3705" t="s">
        <v>21</v>
      </c>
      <c r="G3705" s="1">
        <v>45066</v>
      </c>
      <c r="H3705" s="1">
        <f>TablaDatos[[#This Row],[FechaIngreso]]+TablaDatos[[#This Row],[DiasNuevo]]</f>
        <v>45069</v>
      </c>
      <c r="I3705">
        <v>3</v>
      </c>
      <c r="J3705" t="s">
        <v>19</v>
      </c>
      <c r="K3705" s="3">
        <v>3417.65</v>
      </c>
      <c r="L3705" t="b">
        <f>TablaDatos[[#This Row],[FechaAlta]] &lt; TablaDatos[[#This Row],[FechaIngreso]]</f>
        <v>0</v>
      </c>
      <c r="M3705">
        <f>_xlfn.XLOOKUP(TablaDatos[[#This Row],[PacienteID]],'Datos_Ejemplo.csv'!A:A,'Datos_Ejemplo.csv'!I:I)</f>
        <v>3</v>
      </c>
      <c r="N3705">
        <f>ABS(TablaDatos[[#This Row],[DiasOriginal]])</f>
        <v>3</v>
      </c>
      <c r="O3705" s="1">
        <f>TablaDatos[[#This Row],[FechaIngreso]]+TablaDatos[[#This Row],[DiasNuevo]]</f>
        <v>45069</v>
      </c>
    </row>
    <row r="3706" spans="1:15">
      <c r="A3706">
        <v>3705</v>
      </c>
      <c r="B3706" t="s">
        <v>267</v>
      </c>
      <c r="C3706" s="1">
        <v>16802</v>
      </c>
      <c r="D3706">
        <v>80</v>
      </c>
      <c r="E3706" s="4" t="s">
        <v>15</v>
      </c>
      <c r="F3706" t="s">
        <v>13</v>
      </c>
      <c r="G3706" s="1">
        <v>45371</v>
      </c>
      <c r="H3706" s="1">
        <f>TablaDatos[[#This Row],[FechaIngreso]]+TablaDatos[[#This Row],[DiasNuevo]]</f>
        <v>45374</v>
      </c>
      <c r="I3706">
        <v>3</v>
      </c>
      <c r="J3706" t="s">
        <v>25</v>
      </c>
      <c r="K3706" s="3">
        <v>1938.02</v>
      </c>
      <c r="L3706" t="b">
        <f>TablaDatos[[#This Row],[FechaAlta]] &lt; TablaDatos[[#This Row],[FechaIngreso]]</f>
        <v>0</v>
      </c>
      <c r="M3706">
        <f>_xlfn.XLOOKUP(TablaDatos[[#This Row],[PacienteID]],'Datos_Ejemplo.csv'!A:A,'Datos_Ejemplo.csv'!I:I)</f>
        <v>3</v>
      </c>
      <c r="N3706">
        <f>ABS(TablaDatos[[#This Row],[DiasOriginal]])</f>
        <v>3</v>
      </c>
      <c r="O3706" s="1">
        <f>TablaDatos[[#This Row],[FechaIngreso]]+TablaDatos[[#This Row],[DiasNuevo]]</f>
        <v>45374</v>
      </c>
    </row>
    <row r="3707" spans="1:15">
      <c r="A3707">
        <v>3706</v>
      </c>
      <c r="B3707" t="s">
        <v>348</v>
      </c>
      <c r="C3707" s="1">
        <v>16802</v>
      </c>
      <c r="D3707">
        <v>80</v>
      </c>
      <c r="E3707" s="4" t="s">
        <v>15</v>
      </c>
      <c r="F3707" t="s">
        <v>21</v>
      </c>
      <c r="G3707" s="1">
        <v>45021</v>
      </c>
      <c r="H3707" s="1">
        <f>TablaDatos[[#This Row],[FechaIngreso]]+TablaDatos[[#This Row],[DiasNuevo]]</f>
        <v>45048</v>
      </c>
      <c r="I3707">
        <v>27</v>
      </c>
      <c r="J3707" t="s">
        <v>19</v>
      </c>
      <c r="K3707" s="3">
        <v>6197.18</v>
      </c>
      <c r="L3707" t="b">
        <f>TablaDatos[[#This Row],[FechaAlta]] &lt; TablaDatos[[#This Row],[FechaIngreso]]</f>
        <v>0</v>
      </c>
      <c r="M3707">
        <f>_xlfn.XLOOKUP(TablaDatos[[#This Row],[PacienteID]],'Datos_Ejemplo.csv'!A:A,'Datos_Ejemplo.csv'!I:I)</f>
        <v>27</v>
      </c>
      <c r="N3707">
        <f>ABS(TablaDatos[[#This Row],[DiasOriginal]])</f>
        <v>27</v>
      </c>
      <c r="O3707" s="1">
        <f>TablaDatos[[#This Row],[FechaIngreso]]+TablaDatos[[#This Row],[DiasNuevo]]</f>
        <v>45048</v>
      </c>
    </row>
    <row r="3708" spans="1:15">
      <c r="A3708">
        <v>3707</v>
      </c>
      <c r="B3708" t="s">
        <v>242</v>
      </c>
      <c r="C3708" s="1">
        <v>20090</v>
      </c>
      <c r="D3708">
        <v>71</v>
      </c>
      <c r="E3708" s="4" t="s">
        <v>12</v>
      </c>
      <c r="F3708" t="s">
        <v>295</v>
      </c>
      <c r="G3708" s="1">
        <v>45479</v>
      </c>
      <c r="H3708" s="1">
        <f>TablaDatos[[#This Row],[FechaIngreso]]+TablaDatos[[#This Row],[DiasNuevo]]</f>
        <v>45513</v>
      </c>
      <c r="I3708">
        <v>34</v>
      </c>
      <c r="J3708" t="s">
        <v>25</v>
      </c>
      <c r="K3708" s="3">
        <v>9250.65</v>
      </c>
      <c r="L3708" t="b">
        <f>TablaDatos[[#This Row],[FechaAlta]] &lt; TablaDatos[[#This Row],[FechaIngreso]]</f>
        <v>0</v>
      </c>
      <c r="M3708">
        <f>_xlfn.XLOOKUP(TablaDatos[[#This Row],[PacienteID]],'Datos_Ejemplo.csv'!A:A,'Datos_Ejemplo.csv'!I:I)</f>
        <v>34</v>
      </c>
      <c r="N3708">
        <f>ABS(TablaDatos[[#This Row],[DiasOriginal]])</f>
        <v>34</v>
      </c>
      <c r="O3708" s="1">
        <f>TablaDatos[[#This Row],[FechaIngreso]]+TablaDatos[[#This Row],[DiasNuevo]]</f>
        <v>45513</v>
      </c>
    </row>
    <row r="3709" spans="1:15">
      <c r="A3709">
        <v>3708</v>
      </c>
      <c r="B3709" t="s">
        <v>240</v>
      </c>
      <c r="C3709" s="1">
        <v>39448</v>
      </c>
      <c r="D3709">
        <v>18</v>
      </c>
      <c r="E3709" s="4" t="s">
        <v>12</v>
      </c>
      <c r="F3709" t="s">
        <v>201</v>
      </c>
      <c r="G3709" s="1">
        <v>45346</v>
      </c>
      <c r="H3709" s="1">
        <f>TablaDatos[[#This Row],[FechaIngreso]]+TablaDatos[[#This Row],[DiasNuevo]]</f>
        <v>45357</v>
      </c>
      <c r="I3709">
        <v>11</v>
      </c>
      <c r="J3709" t="s">
        <v>19</v>
      </c>
      <c r="K3709" s="3">
        <v>12808.39</v>
      </c>
      <c r="L3709" t="b">
        <f>TablaDatos[[#This Row],[FechaAlta]] &lt; TablaDatos[[#This Row],[FechaIngreso]]</f>
        <v>0</v>
      </c>
      <c r="M3709">
        <f>_xlfn.XLOOKUP(TablaDatos[[#This Row],[PacienteID]],'Datos_Ejemplo.csv'!A:A,'Datos_Ejemplo.csv'!I:I)</f>
        <v>11</v>
      </c>
      <c r="N3709">
        <f>ABS(TablaDatos[[#This Row],[DiasOriginal]])</f>
        <v>11</v>
      </c>
      <c r="O3709" s="1">
        <f>TablaDatos[[#This Row],[FechaIngreso]]+TablaDatos[[#This Row],[DiasNuevo]]</f>
        <v>45357</v>
      </c>
    </row>
    <row r="3710" spans="1:15">
      <c r="A3710">
        <v>3709</v>
      </c>
      <c r="B3710" t="s">
        <v>288</v>
      </c>
      <c r="C3710" s="1">
        <v>23377</v>
      </c>
      <c r="D3710">
        <v>62</v>
      </c>
      <c r="E3710" s="4" t="s">
        <v>12</v>
      </c>
      <c r="F3710" t="s">
        <v>21</v>
      </c>
      <c r="G3710" s="1">
        <v>45440</v>
      </c>
      <c r="H3710" s="1">
        <f>TablaDatos[[#This Row],[FechaIngreso]]+TablaDatos[[#This Row],[DiasNuevo]]</f>
        <v>45441</v>
      </c>
      <c r="I3710">
        <v>1</v>
      </c>
      <c r="J3710" t="s">
        <v>19</v>
      </c>
      <c r="K3710" s="3">
        <v>-74.87</v>
      </c>
      <c r="L3710" t="b">
        <f>TablaDatos[[#This Row],[FechaAlta]] &lt; TablaDatos[[#This Row],[FechaIngreso]]</f>
        <v>0</v>
      </c>
      <c r="M3710">
        <f>_xlfn.XLOOKUP(TablaDatos[[#This Row],[PacienteID]],'Datos_Ejemplo.csv'!A:A,'Datos_Ejemplo.csv'!I:I)</f>
        <v>1</v>
      </c>
      <c r="N3710">
        <f>ABS(TablaDatos[[#This Row],[DiasOriginal]])</f>
        <v>1</v>
      </c>
      <c r="O3710" s="1">
        <f>TablaDatos[[#This Row],[FechaIngreso]]+TablaDatos[[#This Row],[DiasNuevo]]</f>
        <v>45441</v>
      </c>
    </row>
    <row r="3711" spans="1:15">
      <c r="A3711">
        <v>3710</v>
      </c>
      <c r="B3711" t="s">
        <v>51</v>
      </c>
      <c r="C3711" s="1">
        <v>32508</v>
      </c>
      <c r="D3711">
        <v>37</v>
      </c>
      <c r="E3711" s="4" t="s">
        <v>12</v>
      </c>
      <c r="F3711" t="s">
        <v>21</v>
      </c>
      <c r="G3711" s="1">
        <v>45076</v>
      </c>
      <c r="H3711" s="1">
        <f>TablaDatos[[#This Row],[FechaIngreso]]+TablaDatos[[#This Row],[DiasNuevo]]</f>
        <v>45107</v>
      </c>
      <c r="I3711">
        <v>31</v>
      </c>
      <c r="J3711" t="s">
        <v>25</v>
      </c>
      <c r="K3711" s="3">
        <v>14192.38</v>
      </c>
      <c r="L3711" t="b">
        <f>TablaDatos[[#This Row],[FechaAlta]] &lt; TablaDatos[[#This Row],[FechaIngreso]]</f>
        <v>0</v>
      </c>
      <c r="M3711">
        <f>_xlfn.XLOOKUP(TablaDatos[[#This Row],[PacienteID]],'Datos_Ejemplo.csv'!A:A,'Datos_Ejemplo.csv'!I:I)</f>
        <v>31</v>
      </c>
      <c r="N3711">
        <f>ABS(TablaDatos[[#This Row],[DiasOriginal]])</f>
        <v>31</v>
      </c>
      <c r="O3711" s="1">
        <f>TablaDatos[[#This Row],[FechaIngreso]]+TablaDatos[[#This Row],[DiasNuevo]]</f>
        <v>45107</v>
      </c>
    </row>
    <row r="3712" spans="1:15">
      <c r="A3712">
        <v>3711</v>
      </c>
      <c r="B3712" t="s">
        <v>364</v>
      </c>
      <c r="C3712" s="1">
        <v>21916</v>
      </c>
      <c r="D3712">
        <v>66</v>
      </c>
      <c r="E3712" s="4" t="s">
        <v>197</v>
      </c>
      <c r="F3712" t="s">
        <v>32</v>
      </c>
      <c r="G3712" s="1">
        <v>45479</v>
      </c>
      <c r="H3712" s="1">
        <f>TablaDatos[[#This Row],[FechaIngreso]]+TablaDatos[[#This Row],[DiasNuevo]]</f>
        <v>45480</v>
      </c>
      <c r="I3712">
        <v>1</v>
      </c>
      <c r="J3712" t="s">
        <v>25</v>
      </c>
      <c r="K3712" s="3">
        <v>14225.51</v>
      </c>
      <c r="L3712" t="b">
        <f>TablaDatos[[#This Row],[FechaAlta]] &lt; TablaDatos[[#This Row],[FechaIngreso]]</f>
        <v>0</v>
      </c>
      <c r="M3712">
        <f>_xlfn.XLOOKUP(TablaDatos[[#This Row],[PacienteID]],'Datos_Ejemplo.csv'!A:A,'Datos_Ejemplo.csv'!I:I)</f>
        <v>-1</v>
      </c>
      <c r="N3712">
        <f>ABS(TablaDatos[[#This Row],[DiasOriginal]])</f>
        <v>1</v>
      </c>
      <c r="O3712" s="1">
        <f>TablaDatos[[#This Row],[FechaIngreso]]+TablaDatos[[#This Row],[DiasNuevo]]</f>
        <v>45480</v>
      </c>
    </row>
    <row r="3713" spans="1:15">
      <c r="A3713">
        <v>3712</v>
      </c>
      <c r="B3713" t="s">
        <v>241</v>
      </c>
      <c r="C3713" s="1">
        <v>24838</v>
      </c>
      <c r="D3713">
        <v>58</v>
      </c>
      <c r="E3713" s="4" t="s">
        <v>12</v>
      </c>
      <c r="F3713" t="s">
        <v>13</v>
      </c>
      <c r="G3713" s="1">
        <v>45277</v>
      </c>
      <c r="H3713" s="1">
        <f>TablaDatos[[#This Row],[FechaIngreso]]+TablaDatos[[#This Row],[DiasNuevo]]</f>
        <v>45291</v>
      </c>
      <c r="I3713">
        <v>14</v>
      </c>
      <c r="J3713" t="s">
        <v>25</v>
      </c>
      <c r="K3713" s="3">
        <v>8835.2099999999991</v>
      </c>
      <c r="L3713" t="b">
        <f>TablaDatos[[#This Row],[FechaAlta]] &lt; TablaDatos[[#This Row],[FechaIngreso]]</f>
        <v>0</v>
      </c>
      <c r="M3713">
        <f>_xlfn.XLOOKUP(TablaDatos[[#This Row],[PacienteID]],'Datos_Ejemplo.csv'!A:A,'Datos_Ejemplo.csv'!I:I)</f>
        <v>14</v>
      </c>
      <c r="N3713">
        <f>ABS(TablaDatos[[#This Row],[DiasOriginal]])</f>
        <v>14</v>
      </c>
      <c r="O3713" s="1">
        <f>TablaDatos[[#This Row],[FechaIngreso]]+TablaDatos[[#This Row],[DiasNuevo]]</f>
        <v>45291</v>
      </c>
    </row>
    <row r="3714" spans="1:15">
      <c r="A3714">
        <v>3713</v>
      </c>
      <c r="B3714" t="s">
        <v>251</v>
      </c>
      <c r="C3714" s="1">
        <f ca="1">DATE(YEAR(TODAY())-TablaDatos[[#This Row],[Edad]],1,1)</f>
        <v>21186</v>
      </c>
      <c r="D3714">
        <v>68</v>
      </c>
      <c r="E3714" s="4" t="s">
        <v>12</v>
      </c>
      <c r="F3714" t="s">
        <v>21</v>
      </c>
      <c r="G3714" s="1">
        <v>45042</v>
      </c>
      <c r="H3714" s="1">
        <f>TablaDatos[[#This Row],[FechaIngreso]]+TablaDatos[[#This Row],[DiasNuevo]]</f>
        <v>45081</v>
      </c>
      <c r="I3714">
        <v>39</v>
      </c>
      <c r="J3714" t="s">
        <v>23</v>
      </c>
      <c r="K3714" s="3">
        <v>6802.47</v>
      </c>
      <c r="L3714" t="b">
        <f>TablaDatos[[#This Row],[FechaAlta]] &lt; TablaDatos[[#This Row],[FechaIngreso]]</f>
        <v>0</v>
      </c>
      <c r="M3714">
        <f>_xlfn.XLOOKUP(TablaDatos[[#This Row],[PacienteID]],'Datos_Ejemplo.csv'!A:A,'Datos_Ejemplo.csv'!I:I)</f>
        <v>39</v>
      </c>
      <c r="N3714">
        <f>ABS(TablaDatos[[#This Row],[DiasOriginal]])</f>
        <v>39</v>
      </c>
      <c r="O3714" s="1">
        <f>TablaDatos[[#This Row],[FechaIngreso]]+TablaDatos[[#This Row],[DiasNuevo]]</f>
        <v>45081</v>
      </c>
    </row>
    <row r="3715" spans="1:15">
      <c r="A3715">
        <v>3714</v>
      </c>
      <c r="B3715" t="s">
        <v>285</v>
      </c>
      <c r="C3715" s="1">
        <v>41639</v>
      </c>
      <c r="D3715">
        <v>12</v>
      </c>
      <c r="E3715" s="4" t="s">
        <v>12</v>
      </c>
      <c r="F3715" t="s">
        <v>295</v>
      </c>
      <c r="G3715" s="1">
        <v>45558</v>
      </c>
      <c r="H3715" s="1">
        <f>TablaDatos[[#This Row],[FechaIngreso]]+TablaDatos[[#This Row],[DiasNuevo]]</f>
        <v>45569</v>
      </c>
      <c r="I3715">
        <v>11</v>
      </c>
      <c r="J3715" t="s">
        <v>25</v>
      </c>
      <c r="K3715" s="3">
        <v>16830.400000000001</v>
      </c>
      <c r="L3715" t="b">
        <f>TablaDatos[[#This Row],[FechaAlta]] &lt; TablaDatos[[#This Row],[FechaIngreso]]</f>
        <v>0</v>
      </c>
      <c r="M3715">
        <f>_xlfn.XLOOKUP(TablaDatos[[#This Row],[PacienteID]],'Datos_Ejemplo.csv'!A:A,'Datos_Ejemplo.csv'!I:I)</f>
        <v>11</v>
      </c>
      <c r="N3715">
        <f>ABS(TablaDatos[[#This Row],[DiasOriginal]])</f>
        <v>11</v>
      </c>
      <c r="O3715" s="1">
        <f>TablaDatos[[#This Row],[FechaIngreso]]+TablaDatos[[#This Row],[DiasNuevo]]</f>
        <v>45569</v>
      </c>
    </row>
    <row r="3716" spans="1:15">
      <c r="A3716">
        <v>3715</v>
      </c>
      <c r="B3716" t="s">
        <v>273</v>
      </c>
      <c r="C3716" s="1">
        <v>29221</v>
      </c>
      <c r="D3716">
        <v>46</v>
      </c>
      <c r="E3716" s="4" t="s">
        <v>12</v>
      </c>
      <c r="F3716" t="s">
        <v>32</v>
      </c>
      <c r="G3716" s="1">
        <v>45163</v>
      </c>
      <c r="H3716" s="1">
        <f>TablaDatos[[#This Row],[FechaIngreso]]+TablaDatos[[#This Row],[DiasNuevo]]</f>
        <v>45177</v>
      </c>
      <c r="I3716">
        <v>14</v>
      </c>
      <c r="J3716" t="s">
        <v>23</v>
      </c>
      <c r="K3716" s="3">
        <v>15670.21</v>
      </c>
      <c r="L3716" t="b">
        <f>TablaDatos[[#This Row],[FechaAlta]] &lt; TablaDatos[[#This Row],[FechaIngreso]]</f>
        <v>0</v>
      </c>
      <c r="M3716">
        <f>_xlfn.XLOOKUP(TablaDatos[[#This Row],[PacienteID]],'Datos_Ejemplo.csv'!A:A,'Datos_Ejemplo.csv'!I:I)</f>
        <v>14</v>
      </c>
      <c r="N3716">
        <f>ABS(TablaDatos[[#This Row],[DiasOriginal]])</f>
        <v>14</v>
      </c>
      <c r="O3716" s="1">
        <f>TablaDatos[[#This Row],[FechaIngreso]]+TablaDatos[[#This Row],[DiasNuevo]]</f>
        <v>45177</v>
      </c>
    </row>
    <row r="3717" spans="1:15">
      <c r="A3717">
        <v>3716</v>
      </c>
      <c r="B3717" t="s">
        <v>275</v>
      </c>
      <c r="C3717" s="1">
        <v>24107</v>
      </c>
      <c r="D3717">
        <f ca="1">DATEDIF(TablaDatos[[#This Row],[FechaNacimiento]],TODAY(),"Y")</f>
        <v>60</v>
      </c>
      <c r="E3717" s="4" t="s">
        <v>15</v>
      </c>
      <c r="F3717" t="s">
        <v>13</v>
      </c>
      <c r="G3717" s="1">
        <v>45196</v>
      </c>
      <c r="H3717" s="1">
        <f>TablaDatos[[#This Row],[FechaIngreso]]+TablaDatos[[#This Row],[DiasNuevo]]</f>
        <v>45223</v>
      </c>
      <c r="I3717">
        <v>27</v>
      </c>
      <c r="J3717" t="s">
        <v>23</v>
      </c>
      <c r="K3717" s="3">
        <v>19663.849999999999</v>
      </c>
      <c r="L3717" t="b">
        <f>TablaDatos[[#This Row],[FechaAlta]] &lt; TablaDatos[[#This Row],[FechaIngreso]]</f>
        <v>0</v>
      </c>
      <c r="M3717">
        <f>_xlfn.XLOOKUP(TablaDatos[[#This Row],[PacienteID]],'Datos_Ejemplo.csv'!A:A,'Datos_Ejemplo.csv'!I:I)</f>
        <v>27</v>
      </c>
      <c r="N3717">
        <f>ABS(TablaDatos[[#This Row],[DiasOriginal]])</f>
        <v>27</v>
      </c>
      <c r="O3717" s="1">
        <f>TablaDatos[[#This Row],[FechaIngreso]]+TablaDatos[[#This Row],[DiasNuevo]]</f>
        <v>45223</v>
      </c>
    </row>
    <row r="3718" spans="1:15">
      <c r="A3718">
        <v>3717</v>
      </c>
      <c r="B3718" t="s">
        <v>287</v>
      </c>
      <c r="C3718" s="1">
        <v>35065</v>
      </c>
      <c r="D3718">
        <v>30</v>
      </c>
      <c r="E3718" s="4" t="s">
        <v>197</v>
      </c>
      <c r="F3718" t="s">
        <v>13</v>
      </c>
      <c r="G3718" s="1">
        <v>45217</v>
      </c>
      <c r="H3718" s="1">
        <f>TablaDatos[[#This Row],[FechaIngreso]]+TablaDatos[[#This Row],[DiasNuevo]]</f>
        <v>45243</v>
      </c>
      <c r="I3718">
        <v>26</v>
      </c>
      <c r="J3718" t="s">
        <v>25</v>
      </c>
      <c r="K3718" s="3">
        <v>7375.81</v>
      </c>
      <c r="L3718" t="b">
        <f>TablaDatos[[#This Row],[FechaAlta]] &lt; TablaDatos[[#This Row],[FechaIngreso]]</f>
        <v>0</v>
      </c>
      <c r="M3718">
        <f>_xlfn.XLOOKUP(TablaDatos[[#This Row],[PacienteID]],'Datos_Ejemplo.csv'!A:A,'Datos_Ejemplo.csv'!I:I)</f>
        <v>26</v>
      </c>
      <c r="N3718">
        <f>ABS(TablaDatos[[#This Row],[DiasOriginal]])</f>
        <v>26</v>
      </c>
      <c r="O3718" s="1">
        <f>TablaDatos[[#This Row],[FechaIngreso]]+TablaDatos[[#This Row],[DiasNuevo]]</f>
        <v>45243</v>
      </c>
    </row>
    <row r="3719" spans="1:15">
      <c r="A3719">
        <v>3718</v>
      </c>
      <c r="B3719" t="s">
        <v>329</v>
      </c>
      <c r="C3719" s="1">
        <v>17168</v>
      </c>
      <c r="D3719">
        <v>79</v>
      </c>
      <c r="E3719" s="4" t="s">
        <v>15</v>
      </c>
      <c r="F3719" t="s">
        <v>18</v>
      </c>
      <c r="G3719" s="1">
        <v>45360</v>
      </c>
      <c r="H3719" s="1">
        <f>TablaDatos[[#This Row],[FechaIngreso]]+TablaDatos[[#This Row],[DiasNuevo]]</f>
        <v>45364</v>
      </c>
      <c r="I3719">
        <v>4</v>
      </c>
      <c r="J3719" t="s">
        <v>25</v>
      </c>
      <c r="K3719" s="3">
        <v>18127.34</v>
      </c>
      <c r="L3719" t="b">
        <f>TablaDatos[[#This Row],[FechaAlta]] &lt; TablaDatos[[#This Row],[FechaIngreso]]</f>
        <v>0</v>
      </c>
      <c r="M3719">
        <f>_xlfn.XLOOKUP(TablaDatos[[#This Row],[PacienteID]],'Datos_Ejemplo.csv'!A:A,'Datos_Ejemplo.csv'!I:I)</f>
        <v>4</v>
      </c>
      <c r="N3719">
        <f>ABS(TablaDatos[[#This Row],[DiasOriginal]])</f>
        <v>4</v>
      </c>
      <c r="O3719" s="1">
        <f>TablaDatos[[#This Row],[FechaIngreso]]+TablaDatos[[#This Row],[DiasNuevo]]</f>
        <v>45364</v>
      </c>
    </row>
    <row r="3720" spans="1:15">
      <c r="A3720">
        <v>3719</v>
      </c>
      <c r="B3720" t="s">
        <v>236</v>
      </c>
      <c r="C3720" s="1">
        <v>38352</v>
      </c>
      <c r="D3720">
        <v>21</v>
      </c>
      <c r="E3720" s="4" t="s">
        <v>12</v>
      </c>
      <c r="F3720" t="s">
        <v>261</v>
      </c>
      <c r="G3720" s="1">
        <v>44935</v>
      </c>
      <c r="H3720" s="1">
        <f>TablaDatos[[#This Row],[FechaIngreso]]+TablaDatos[[#This Row],[DiasNuevo]]</f>
        <v>44941</v>
      </c>
      <c r="I3720">
        <v>6</v>
      </c>
      <c r="J3720" t="s">
        <v>25</v>
      </c>
      <c r="K3720" s="3">
        <v>1656.78</v>
      </c>
      <c r="L3720" t="b">
        <f>TablaDatos[[#This Row],[FechaAlta]] &lt; TablaDatos[[#This Row],[FechaIngreso]]</f>
        <v>0</v>
      </c>
      <c r="M3720">
        <f>_xlfn.XLOOKUP(TablaDatos[[#This Row],[PacienteID]],'Datos_Ejemplo.csv'!A:A,'Datos_Ejemplo.csv'!I:I)</f>
        <v>6</v>
      </c>
      <c r="N3720">
        <f>ABS(TablaDatos[[#This Row],[DiasOriginal]])</f>
        <v>6</v>
      </c>
      <c r="O3720" s="1">
        <f>TablaDatos[[#This Row],[FechaIngreso]]+TablaDatos[[#This Row],[DiasNuevo]]</f>
        <v>44941</v>
      </c>
    </row>
    <row r="3721" spans="1:15">
      <c r="A3721">
        <v>3720</v>
      </c>
      <c r="B3721" t="s">
        <v>303</v>
      </c>
      <c r="C3721" s="1">
        <v>12419</v>
      </c>
      <c r="D3721">
        <v>92</v>
      </c>
      <c r="E3721" s="4" t="s">
        <v>15</v>
      </c>
      <c r="F3721" t="s">
        <v>201</v>
      </c>
      <c r="G3721" s="1">
        <v>45556</v>
      </c>
      <c r="H3721" s="1">
        <f>TablaDatos[[#This Row],[FechaIngreso]]+TablaDatos[[#This Row],[DiasNuevo]]</f>
        <v>45576</v>
      </c>
      <c r="I3721">
        <v>20</v>
      </c>
      <c r="J3721" t="s">
        <v>19</v>
      </c>
      <c r="K3721" s="3">
        <v>8170.47</v>
      </c>
      <c r="L3721" t="b">
        <f>TablaDatos[[#This Row],[FechaAlta]] &lt; TablaDatos[[#This Row],[FechaIngreso]]</f>
        <v>0</v>
      </c>
      <c r="M3721">
        <f>_xlfn.XLOOKUP(TablaDatos[[#This Row],[PacienteID]],'Datos_Ejemplo.csv'!A:A,'Datos_Ejemplo.csv'!I:I)</f>
        <v>20</v>
      </c>
      <c r="N3721">
        <f>ABS(TablaDatos[[#This Row],[DiasOriginal]])</f>
        <v>20</v>
      </c>
      <c r="O3721" s="1">
        <f>TablaDatos[[#This Row],[FechaIngreso]]+TablaDatos[[#This Row],[DiasNuevo]]</f>
        <v>45576</v>
      </c>
    </row>
    <row r="3722" spans="1:15">
      <c r="A3722">
        <v>3721</v>
      </c>
      <c r="B3722" t="s">
        <v>339</v>
      </c>
      <c r="C3722" s="1">
        <v>14976</v>
      </c>
      <c r="D3722">
        <v>85</v>
      </c>
      <c r="E3722" s="4" t="s">
        <v>15</v>
      </c>
      <c r="F3722" t="s">
        <v>295</v>
      </c>
      <c r="G3722" s="1">
        <v>45401</v>
      </c>
      <c r="H3722" s="1">
        <f>TablaDatos[[#This Row],[FechaIngreso]]+TablaDatos[[#This Row],[DiasNuevo]]</f>
        <v>45434</v>
      </c>
      <c r="I3722">
        <v>33</v>
      </c>
      <c r="J3722" t="s">
        <v>19</v>
      </c>
      <c r="K3722" s="3">
        <v>9254.02</v>
      </c>
      <c r="L3722" t="b">
        <f>TablaDatos[[#This Row],[FechaAlta]] &lt; TablaDatos[[#This Row],[FechaIngreso]]</f>
        <v>0</v>
      </c>
      <c r="M3722">
        <f>_xlfn.XLOOKUP(TablaDatos[[#This Row],[PacienteID]],'Datos_Ejemplo.csv'!A:A,'Datos_Ejemplo.csv'!I:I)</f>
        <v>33</v>
      </c>
      <c r="N3722">
        <f>ABS(TablaDatos[[#This Row],[DiasOriginal]])</f>
        <v>33</v>
      </c>
      <c r="O3722" s="1">
        <f>TablaDatos[[#This Row],[FechaIngreso]]+TablaDatos[[#This Row],[DiasNuevo]]</f>
        <v>45434</v>
      </c>
    </row>
    <row r="3723" spans="1:15">
      <c r="A3723">
        <v>3722</v>
      </c>
      <c r="B3723" t="s">
        <v>294</v>
      </c>
      <c r="C3723" s="1">
        <v>30682</v>
      </c>
      <c r="D3723">
        <v>42</v>
      </c>
      <c r="E3723" s="4" t="s">
        <v>15</v>
      </c>
      <c r="F3723" t="s">
        <v>261</v>
      </c>
      <c r="G3723" s="1">
        <v>45448</v>
      </c>
      <c r="H3723" s="1">
        <f>TablaDatos[[#This Row],[FechaIngreso]]+TablaDatos[[#This Row],[DiasNuevo]]</f>
        <v>45459</v>
      </c>
      <c r="I3723">
        <v>11</v>
      </c>
      <c r="J3723" t="s">
        <v>25</v>
      </c>
      <c r="K3723" s="3">
        <v>8761.57</v>
      </c>
      <c r="L3723" t="b">
        <f>TablaDatos[[#This Row],[FechaAlta]] &lt; TablaDatos[[#This Row],[FechaIngreso]]</f>
        <v>0</v>
      </c>
      <c r="M3723">
        <f>_xlfn.XLOOKUP(TablaDatos[[#This Row],[PacienteID]],'Datos_Ejemplo.csv'!A:A,'Datos_Ejemplo.csv'!I:I)</f>
        <v>11</v>
      </c>
      <c r="N3723">
        <f>ABS(TablaDatos[[#This Row],[DiasOriginal]])</f>
        <v>11</v>
      </c>
      <c r="O3723" s="1">
        <f>TablaDatos[[#This Row],[FechaIngreso]]+TablaDatos[[#This Row],[DiasNuevo]]</f>
        <v>45459</v>
      </c>
    </row>
    <row r="3724" spans="1:15">
      <c r="A3724">
        <v>3723</v>
      </c>
      <c r="B3724" t="s">
        <v>273</v>
      </c>
      <c r="C3724" s="1">
        <v>21916</v>
      </c>
      <c r="D3724">
        <v>66</v>
      </c>
      <c r="E3724" s="4" t="s">
        <v>15</v>
      </c>
      <c r="F3724" t="s">
        <v>32</v>
      </c>
      <c r="G3724" s="1">
        <v>45463</v>
      </c>
      <c r="H3724" s="1">
        <f>TablaDatos[[#This Row],[FechaIngreso]]+TablaDatos[[#This Row],[DiasNuevo]]</f>
        <v>45480</v>
      </c>
      <c r="I3724">
        <v>17</v>
      </c>
      <c r="J3724" t="s">
        <v>23</v>
      </c>
      <c r="K3724" s="3">
        <v>12464.47</v>
      </c>
      <c r="L3724" t="b">
        <f>TablaDatos[[#This Row],[FechaAlta]] &lt; TablaDatos[[#This Row],[FechaIngreso]]</f>
        <v>0</v>
      </c>
      <c r="M3724">
        <f>_xlfn.XLOOKUP(TablaDatos[[#This Row],[PacienteID]],'Datos_Ejemplo.csv'!A:A,'Datos_Ejemplo.csv'!I:I)</f>
        <v>17</v>
      </c>
      <c r="N3724">
        <f>ABS(TablaDatos[[#This Row],[DiasOriginal]])</f>
        <v>17</v>
      </c>
      <c r="O3724" s="1">
        <f>TablaDatos[[#This Row],[FechaIngreso]]+TablaDatos[[#This Row],[DiasNuevo]]</f>
        <v>45480</v>
      </c>
    </row>
    <row r="3725" spans="1:15">
      <c r="A3725">
        <v>3724</v>
      </c>
      <c r="B3725" t="s">
        <v>329</v>
      </c>
      <c r="C3725" s="1">
        <v>26664</v>
      </c>
      <c r="D3725">
        <v>53</v>
      </c>
      <c r="E3725" s="4" t="s">
        <v>15</v>
      </c>
      <c r="F3725" t="s">
        <v>32</v>
      </c>
      <c r="G3725" s="1">
        <v>45611</v>
      </c>
      <c r="H3725" s="1">
        <f>TablaDatos[[#This Row],[FechaIngreso]]+TablaDatos[[#This Row],[DiasNuevo]]</f>
        <v>45625</v>
      </c>
      <c r="I3725">
        <v>14</v>
      </c>
      <c r="J3725" t="s">
        <v>25</v>
      </c>
      <c r="K3725" s="3">
        <v>3321.18</v>
      </c>
      <c r="L3725" t="b">
        <f>TablaDatos[[#This Row],[FechaAlta]] &lt; TablaDatos[[#This Row],[FechaIngreso]]</f>
        <v>0</v>
      </c>
      <c r="M3725">
        <f>_xlfn.XLOOKUP(TablaDatos[[#This Row],[PacienteID]],'Datos_Ejemplo.csv'!A:A,'Datos_Ejemplo.csv'!I:I)</f>
        <v>14</v>
      </c>
      <c r="N3725">
        <f>ABS(TablaDatos[[#This Row],[DiasOriginal]])</f>
        <v>14</v>
      </c>
      <c r="O3725" s="1">
        <f>TablaDatos[[#This Row],[FechaIngreso]]+TablaDatos[[#This Row],[DiasNuevo]]</f>
        <v>45625</v>
      </c>
    </row>
    <row r="3726" spans="1:15">
      <c r="A3726">
        <v>3725</v>
      </c>
      <c r="B3726" t="s">
        <v>52</v>
      </c>
      <c r="C3726" s="1">
        <v>42735</v>
      </c>
      <c r="D3726">
        <v>9</v>
      </c>
      <c r="E3726" s="4" t="s">
        <v>12</v>
      </c>
      <c r="F3726" t="s">
        <v>295</v>
      </c>
      <c r="G3726" s="1">
        <v>44937</v>
      </c>
      <c r="H3726" s="1">
        <f>TablaDatos[[#This Row],[FechaIngreso]]+TablaDatos[[#This Row],[DiasNuevo]]</f>
        <v>44966</v>
      </c>
      <c r="I3726">
        <v>29</v>
      </c>
      <c r="J3726" t="s">
        <v>23</v>
      </c>
      <c r="K3726" s="3">
        <v>17315.689999999999</v>
      </c>
      <c r="L3726" t="b">
        <f>TablaDatos[[#This Row],[FechaAlta]] &lt; TablaDatos[[#This Row],[FechaIngreso]]</f>
        <v>0</v>
      </c>
      <c r="M3726">
        <f>_xlfn.XLOOKUP(TablaDatos[[#This Row],[PacienteID]],'Datos_Ejemplo.csv'!A:A,'Datos_Ejemplo.csv'!I:I)</f>
        <v>29</v>
      </c>
      <c r="N3726">
        <f>ABS(TablaDatos[[#This Row],[DiasOriginal]])</f>
        <v>29</v>
      </c>
      <c r="O3726" s="1">
        <f>TablaDatos[[#This Row],[FechaIngreso]]+TablaDatos[[#This Row],[DiasNuevo]]</f>
        <v>44966</v>
      </c>
    </row>
    <row r="3727" spans="1:15">
      <c r="A3727">
        <v>3726</v>
      </c>
      <c r="B3727" t="s">
        <v>237</v>
      </c>
      <c r="C3727" s="1">
        <v>31047</v>
      </c>
      <c r="D3727">
        <v>41</v>
      </c>
      <c r="E3727" s="4" t="s">
        <v>15</v>
      </c>
      <c r="F3727" t="s">
        <v>13</v>
      </c>
      <c r="G3727" s="1">
        <v>45539</v>
      </c>
      <c r="H3727" s="1">
        <f>TablaDatos[[#This Row],[FechaIngreso]]+TablaDatos[[#This Row],[DiasNuevo]]</f>
        <v>45561</v>
      </c>
      <c r="I3727">
        <v>22</v>
      </c>
      <c r="J3727" t="s">
        <v>19</v>
      </c>
      <c r="K3727" s="3">
        <v>10990.46</v>
      </c>
      <c r="L3727" t="b">
        <f>TablaDatos[[#This Row],[FechaAlta]] &lt; TablaDatos[[#This Row],[FechaIngreso]]</f>
        <v>0</v>
      </c>
      <c r="M3727">
        <f>_xlfn.XLOOKUP(TablaDatos[[#This Row],[PacienteID]],'Datos_Ejemplo.csv'!A:A,'Datos_Ejemplo.csv'!I:I)</f>
        <v>22</v>
      </c>
      <c r="N3727">
        <f>ABS(TablaDatos[[#This Row],[DiasOriginal]])</f>
        <v>22</v>
      </c>
      <c r="O3727" s="1">
        <f>TablaDatos[[#This Row],[FechaIngreso]]+TablaDatos[[#This Row],[DiasNuevo]]</f>
        <v>45561</v>
      </c>
    </row>
    <row r="3728" spans="1:15">
      <c r="A3728">
        <v>3727</v>
      </c>
      <c r="B3728" t="s">
        <v>67</v>
      </c>
      <c r="C3728" s="1">
        <v>23012</v>
      </c>
      <c r="D3728">
        <v>63</v>
      </c>
      <c r="E3728" s="4" t="s">
        <v>15</v>
      </c>
      <c r="F3728" t="s">
        <v>21</v>
      </c>
      <c r="G3728" s="1">
        <v>45253</v>
      </c>
      <c r="H3728" s="1">
        <f>TablaDatos[[#This Row],[FechaIngreso]]+TablaDatos[[#This Row],[DiasNuevo]]</f>
        <v>45280</v>
      </c>
      <c r="I3728">
        <v>27</v>
      </c>
      <c r="J3728" t="s">
        <v>19</v>
      </c>
      <c r="K3728" s="3">
        <v>18074.61</v>
      </c>
      <c r="L3728" t="b">
        <f>TablaDatos[[#This Row],[FechaAlta]] &lt; TablaDatos[[#This Row],[FechaIngreso]]</f>
        <v>0</v>
      </c>
      <c r="M3728">
        <f>_xlfn.XLOOKUP(TablaDatos[[#This Row],[PacienteID]],'Datos_Ejemplo.csv'!A:A,'Datos_Ejemplo.csv'!I:I)</f>
        <v>27</v>
      </c>
      <c r="N3728">
        <f>ABS(TablaDatos[[#This Row],[DiasOriginal]])</f>
        <v>27</v>
      </c>
      <c r="O3728" s="1">
        <f>TablaDatos[[#This Row],[FechaIngreso]]+TablaDatos[[#This Row],[DiasNuevo]]</f>
        <v>45280</v>
      </c>
    </row>
    <row r="3729" spans="1:15">
      <c r="A3729">
        <v>3728</v>
      </c>
      <c r="B3729" t="s">
        <v>289</v>
      </c>
      <c r="C3729" s="1">
        <v>38717</v>
      </c>
      <c r="D3729">
        <v>20</v>
      </c>
      <c r="E3729" s="4" t="s">
        <v>15</v>
      </c>
      <c r="F3729" t="s">
        <v>295</v>
      </c>
      <c r="G3729" s="1">
        <v>45521</v>
      </c>
      <c r="H3729" s="1">
        <f>TablaDatos[[#This Row],[FechaIngreso]]+TablaDatos[[#This Row],[DiasNuevo]]</f>
        <v>45545</v>
      </c>
      <c r="I3729">
        <v>24</v>
      </c>
      <c r="J3729" t="s">
        <v>23</v>
      </c>
      <c r="K3729" s="3">
        <v>-47.1</v>
      </c>
      <c r="L3729" t="b">
        <f>TablaDatos[[#This Row],[FechaAlta]] &lt; TablaDatos[[#This Row],[FechaIngreso]]</f>
        <v>0</v>
      </c>
      <c r="M3729">
        <f>_xlfn.XLOOKUP(TablaDatos[[#This Row],[PacienteID]],'Datos_Ejemplo.csv'!A:A,'Datos_Ejemplo.csv'!I:I)</f>
        <v>24</v>
      </c>
      <c r="N3729">
        <f>ABS(TablaDatos[[#This Row],[DiasOriginal]])</f>
        <v>24</v>
      </c>
      <c r="O3729" s="1">
        <f>TablaDatos[[#This Row],[FechaIngreso]]+TablaDatos[[#This Row],[DiasNuevo]]</f>
        <v>45545</v>
      </c>
    </row>
    <row r="3730" spans="1:15">
      <c r="A3730">
        <v>3729</v>
      </c>
      <c r="B3730" t="s">
        <v>308</v>
      </c>
      <c r="C3730" s="1">
        <v>17168</v>
      </c>
      <c r="D3730">
        <v>79</v>
      </c>
      <c r="E3730" s="4" t="s">
        <v>12</v>
      </c>
      <c r="F3730" t="s">
        <v>32</v>
      </c>
      <c r="G3730" s="1">
        <v>45202</v>
      </c>
      <c r="H3730" s="1">
        <f>TablaDatos[[#This Row],[FechaIngreso]]+TablaDatos[[#This Row],[DiasNuevo]]</f>
        <v>45226</v>
      </c>
      <c r="I3730">
        <v>24</v>
      </c>
      <c r="J3730" t="s">
        <v>19</v>
      </c>
      <c r="K3730" s="3">
        <v>12562.76</v>
      </c>
      <c r="L3730" t="b">
        <f>TablaDatos[[#This Row],[FechaAlta]] &lt; TablaDatos[[#This Row],[FechaIngreso]]</f>
        <v>0</v>
      </c>
      <c r="M3730">
        <f>_xlfn.XLOOKUP(TablaDatos[[#This Row],[PacienteID]],'Datos_Ejemplo.csv'!A:A,'Datos_Ejemplo.csv'!I:I)</f>
        <v>24</v>
      </c>
      <c r="N3730">
        <f>ABS(TablaDatos[[#This Row],[DiasOriginal]])</f>
        <v>24</v>
      </c>
      <c r="O3730" s="1">
        <f>TablaDatos[[#This Row],[FechaIngreso]]+TablaDatos[[#This Row],[DiasNuevo]]</f>
        <v>45226</v>
      </c>
    </row>
    <row r="3731" spans="1:15">
      <c r="A3731">
        <v>3730</v>
      </c>
      <c r="B3731" t="s">
        <v>335</v>
      </c>
      <c r="C3731" s="1">
        <v>18629</v>
      </c>
      <c r="D3731">
        <v>75</v>
      </c>
      <c r="E3731" s="4" t="s">
        <v>15</v>
      </c>
      <c r="F3731" t="s">
        <v>261</v>
      </c>
      <c r="G3731" s="1">
        <v>45296</v>
      </c>
      <c r="H3731" s="1">
        <f>TablaDatos[[#This Row],[FechaIngreso]]+TablaDatos[[#This Row],[DiasNuevo]]</f>
        <v>45324</v>
      </c>
      <c r="I3731">
        <v>28</v>
      </c>
      <c r="J3731" t="s">
        <v>25</v>
      </c>
      <c r="K3731" s="3">
        <v>8190.4</v>
      </c>
      <c r="L3731" t="b">
        <f>TablaDatos[[#This Row],[FechaAlta]] &lt; TablaDatos[[#This Row],[FechaIngreso]]</f>
        <v>0</v>
      </c>
      <c r="M3731">
        <f>_xlfn.XLOOKUP(TablaDatos[[#This Row],[PacienteID]],'Datos_Ejemplo.csv'!A:A,'Datos_Ejemplo.csv'!I:I)</f>
        <v>28</v>
      </c>
      <c r="N3731">
        <f>ABS(TablaDatos[[#This Row],[DiasOriginal]])</f>
        <v>28</v>
      </c>
      <c r="O3731" s="1">
        <f>TablaDatos[[#This Row],[FechaIngreso]]+TablaDatos[[#This Row],[DiasNuevo]]</f>
        <v>45324</v>
      </c>
    </row>
    <row r="3732" spans="1:15">
      <c r="A3732">
        <v>3731</v>
      </c>
      <c r="B3732" t="s">
        <v>368</v>
      </c>
      <c r="C3732" s="1">
        <v>22281</v>
      </c>
      <c r="D3732">
        <v>65</v>
      </c>
      <c r="E3732" s="4" t="s">
        <v>15</v>
      </c>
      <c r="F3732" t="s">
        <v>201</v>
      </c>
      <c r="G3732" s="1">
        <v>45416</v>
      </c>
      <c r="H3732" s="1">
        <f>TablaDatos[[#This Row],[FechaIngreso]]+TablaDatos[[#This Row],[DiasNuevo]]</f>
        <v>45439</v>
      </c>
      <c r="I3732">
        <v>23</v>
      </c>
      <c r="J3732" t="s">
        <v>23</v>
      </c>
      <c r="K3732" s="3">
        <v>10052.49</v>
      </c>
      <c r="L3732" t="b">
        <f>TablaDatos[[#This Row],[FechaAlta]] &lt; TablaDatos[[#This Row],[FechaIngreso]]</f>
        <v>0</v>
      </c>
      <c r="M3732">
        <f>_xlfn.XLOOKUP(TablaDatos[[#This Row],[PacienteID]],'Datos_Ejemplo.csv'!A:A,'Datos_Ejemplo.csv'!I:I)</f>
        <v>23</v>
      </c>
      <c r="N3732">
        <f>ABS(TablaDatos[[#This Row],[DiasOriginal]])</f>
        <v>23</v>
      </c>
      <c r="O3732" s="1">
        <f>TablaDatos[[#This Row],[FechaIngreso]]+TablaDatos[[#This Row],[DiasNuevo]]</f>
        <v>45439</v>
      </c>
    </row>
    <row r="3733" spans="1:15">
      <c r="A3733">
        <v>3732</v>
      </c>
      <c r="B3733" t="s">
        <v>281</v>
      </c>
      <c r="C3733" s="1">
        <f ca="1">DATE(YEAR(TODAY())-TablaDatos[[#This Row],[Edad]],1,1)</f>
        <v>31413</v>
      </c>
      <c r="D3733">
        <v>40</v>
      </c>
      <c r="E3733" s="4" t="s">
        <v>12</v>
      </c>
      <c r="F3733" t="s">
        <v>295</v>
      </c>
      <c r="G3733" s="1">
        <v>45271</v>
      </c>
      <c r="H3733" s="1">
        <f>TablaDatos[[#This Row],[FechaIngreso]]+TablaDatos[[#This Row],[DiasNuevo]]</f>
        <v>45282</v>
      </c>
      <c r="I3733">
        <v>11</v>
      </c>
      <c r="J3733" t="s">
        <v>23</v>
      </c>
      <c r="K3733" s="3">
        <v>14850.47</v>
      </c>
      <c r="L3733" t="b">
        <f>TablaDatos[[#This Row],[FechaAlta]] &lt; TablaDatos[[#This Row],[FechaIngreso]]</f>
        <v>0</v>
      </c>
      <c r="M3733">
        <f>_xlfn.XLOOKUP(TablaDatos[[#This Row],[PacienteID]],'Datos_Ejemplo.csv'!A:A,'Datos_Ejemplo.csv'!I:I)</f>
        <v>11</v>
      </c>
      <c r="N3733">
        <f>ABS(TablaDatos[[#This Row],[DiasOriginal]])</f>
        <v>11</v>
      </c>
      <c r="O3733" s="1">
        <f>TablaDatos[[#This Row],[FechaIngreso]]+TablaDatos[[#This Row],[DiasNuevo]]</f>
        <v>45282</v>
      </c>
    </row>
    <row r="3734" spans="1:15">
      <c r="A3734">
        <v>3733</v>
      </c>
      <c r="B3734" t="s">
        <v>266</v>
      </c>
      <c r="C3734" s="1">
        <v>37622</v>
      </c>
      <c r="D3734">
        <v>23</v>
      </c>
      <c r="E3734" s="4" t="s">
        <v>12</v>
      </c>
      <c r="F3734" t="s">
        <v>13</v>
      </c>
      <c r="G3734" s="1">
        <v>45294</v>
      </c>
      <c r="H3734" s="1">
        <f>TablaDatos[[#This Row],[FechaIngreso]]+TablaDatos[[#This Row],[DiasNuevo]]</f>
        <v>45312</v>
      </c>
      <c r="I3734">
        <v>18</v>
      </c>
      <c r="J3734" t="s">
        <v>23</v>
      </c>
      <c r="K3734" s="3">
        <v>4465.75</v>
      </c>
      <c r="L3734" t="b">
        <f>TablaDatos[[#This Row],[FechaAlta]] &lt; TablaDatos[[#This Row],[FechaIngreso]]</f>
        <v>0</v>
      </c>
      <c r="M3734">
        <f>_xlfn.XLOOKUP(TablaDatos[[#This Row],[PacienteID]],'Datos_Ejemplo.csv'!A:A,'Datos_Ejemplo.csv'!I:I)</f>
        <v>18</v>
      </c>
      <c r="N3734">
        <f>ABS(TablaDatos[[#This Row],[DiasOriginal]])</f>
        <v>18</v>
      </c>
      <c r="O3734" s="1">
        <f>TablaDatos[[#This Row],[FechaIngreso]]+TablaDatos[[#This Row],[DiasNuevo]]</f>
        <v>45312</v>
      </c>
    </row>
    <row r="3735" spans="1:15">
      <c r="A3735">
        <v>3734</v>
      </c>
      <c r="B3735" t="s">
        <v>291</v>
      </c>
      <c r="C3735" s="1">
        <v>33604</v>
      </c>
      <c r="D3735">
        <v>34</v>
      </c>
      <c r="E3735" s="4" t="s">
        <v>15</v>
      </c>
      <c r="F3735" t="s">
        <v>201</v>
      </c>
      <c r="G3735" s="1">
        <v>45237</v>
      </c>
      <c r="H3735" s="1">
        <f>TablaDatos[[#This Row],[FechaIngreso]]+TablaDatos[[#This Row],[DiasNuevo]]</f>
        <v>45262</v>
      </c>
      <c r="I3735">
        <v>25</v>
      </c>
      <c r="J3735" t="s">
        <v>19</v>
      </c>
      <c r="K3735" s="3">
        <v>4018.48</v>
      </c>
      <c r="L3735" t="b">
        <f>TablaDatos[[#This Row],[FechaAlta]] &lt; TablaDatos[[#This Row],[FechaIngreso]]</f>
        <v>0</v>
      </c>
      <c r="M3735">
        <f>_xlfn.XLOOKUP(TablaDatos[[#This Row],[PacienteID]],'Datos_Ejemplo.csv'!A:A,'Datos_Ejemplo.csv'!I:I)</f>
        <v>25</v>
      </c>
      <c r="N3735">
        <f>ABS(TablaDatos[[#This Row],[DiasOriginal]])</f>
        <v>25</v>
      </c>
      <c r="O3735" s="1">
        <f>TablaDatos[[#This Row],[FechaIngreso]]+TablaDatos[[#This Row],[DiasNuevo]]</f>
        <v>45262</v>
      </c>
    </row>
    <row r="3736" spans="1:15">
      <c r="A3736">
        <v>3735</v>
      </c>
      <c r="B3736" t="s">
        <v>272</v>
      </c>
      <c r="C3736" s="1">
        <v>25934</v>
      </c>
      <c r="D3736">
        <v>55</v>
      </c>
      <c r="E3736" s="4" t="s">
        <v>15</v>
      </c>
      <c r="F3736" t="s">
        <v>201</v>
      </c>
      <c r="G3736" s="1">
        <v>45527</v>
      </c>
      <c r="H3736" s="1">
        <f>TablaDatos[[#This Row],[FechaIngreso]]+TablaDatos[[#This Row],[DiasNuevo]]</f>
        <v>45539</v>
      </c>
      <c r="I3736">
        <v>12</v>
      </c>
      <c r="J3736" t="s">
        <v>23</v>
      </c>
      <c r="K3736" s="3">
        <v>14030.46</v>
      </c>
      <c r="L3736" t="b">
        <f>TablaDatos[[#This Row],[FechaAlta]] &lt; TablaDatos[[#This Row],[FechaIngreso]]</f>
        <v>0</v>
      </c>
      <c r="M3736">
        <f>_xlfn.XLOOKUP(TablaDatos[[#This Row],[PacienteID]],'Datos_Ejemplo.csv'!A:A,'Datos_Ejemplo.csv'!I:I)</f>
        <v>12</v>
      </c>
      <c r="N3736">
        <f>ABS(TablaDatos[[#This Row],[DiasOriginal]])</f>
        <v>12</v>
      </c>
      <c r="O3736" s="1">
        <f>TablaDatos[[#This Row],[FechaIngreso]]+TablaDatos[[#This Row],[DiasNuevo]]</f>
        <v>45539</v>
      </c>
    </row>
    <row r="3737" spans="1:15">
      <c r="A3737">
        <v>3736</v>
      </c>
      <c r="B3737" t="s">
        <v>309</v>
      </c>
      <c r="C3737" s="1">
        <v>35430</v>
      </c>
      <c r="D3737">
        <v>29</v>
      </c>
      <c r="E3737" s="4" t="s">
        <v>15</v>
      </c>
      <c r="F3737" t="s">
        <v>201</v>
      </c>
      <c r="G3737" s="1">
        <v>45411</v>
      </c>
      <c r="H3737" s="1">
        <f>TablaDatos[[#This Row],[FechaIngreso]]+TablaDatos[[#This Row],[DiasNuevo]]</f>
        <v>45438</v>
      </c>
      <c r="I3737">
        <v>27</v>
      </c>
      <c r="J3737" t="s">
        <v>23</v>
      </c>
      <c r="K3737" s="3">
        <v>10379.450000000001</v>
      </c>
      <c r="L3737" t="b">
        <f>TablaDatos[[#This Row],[FechaAlta]] &lt; TablaDatos[[#This Row],[FechaIngreso]]</f>
        <v>0</v>
      </c>
      <c r="M3737">
        <f>_xlfn.XLOOKUP(TablaDatos[[#This Row],[PacienteID]],'Datos_Ejemplo.csv'!A:A,'Datos_Ejemplo.csv'!I:I)</f>
        <v>27</v>
      </c>
      <c r="N3737">
        <f>ABS(TablaDatos[[#This Row],[DiasOriginal]])</f>
        <v>27</v>
      </c>
      <c r="O3737" s="1">
        <f>TablaDatos[[#This Row],[FechaIngreso]]+TablaDatos[[#This Row],[DiasNuevo]]</f>
        <v>45438</v>
      </c>
    </row>
    <row r="3738" spans="1:15">
      <c r="A3738">
        <v>3737</v>
      </c>
      <c r="B3738" t="s">
        <v>90</v>
      </c>
      <c r="C3738" s="1">
        <v>25568</v>
      </c>
      <c r="D3738">
        <v>56</v>
      </c>
      <c r="E3738" s="4" t="s">
        <v>197</v>
      </c>
      <c r="F3738" t="s">
        <v>18</v>
      </c>
      <c r="G3738" s="1">
        <v>44941</v>
      </c>
      <c r="H3738" s="1">
        <f>TablaDatos[[#This Row],[FechaIngreso]]+TablaDatos[[#This Row],[DiasNuevo]]</f>
        <v>44963</v>
      </c>
      <c r="I3738">
        <v>22</v>
      </c>
      <c r="J3738" t="s">
        <v>23</v>
      </c>
      <c r="K3738" s="3">
        <v>4596.1499999999996</v>
      </c>
      <c r="L3738" t="b">
        <f>TablaDatos[[#This Row],[FechaAlta]] &lt; TablaDatos[[#This Row],[FechaIngreso]]</f>
        <v>0</v>
      </c>
      <c r="M3738">
        <f>_xlfn.XLOOKUP(TablaDatos[[#This Row],[PacienteID]],'Datos_Ejemplo.csv'!A:A,'Datos_Ejemplo.csv'!I:I)</f>
        <v>22</v>
      </c>
      <c r="N3738">
        <f>ABS(TablaDatos[[#This Row],[DiasOriginal]])</f>
        <v>22</v>
      </c>
      <c r="O3738" s="1">
        <f>TablaDatos[[#This Row],[FechaIngreso]]+TablaDatos[[#This Row],[DiasNuevo]]</f>
        <v>44963</v>
      </c>
    </row>
    <row r="3739" spans="1:15">
      <c r="A3739">
        <v>3738</v>
      </c>
      <c r="B3739" t="s">
        <v>365</v>
      </c>
      <c r="C3739" s="1">
        <v>12054</v>
      </c>
      <c r="D3739">
        <v>93</v>
      </c>
      <c r="E3739" s="4" t="s">
        <v>15</v>
      </c>
      <c r="F3739" t="s">
        <v>201</v>
      </c>
      <c r="G3739" s="1">
        <v>45614</v>
      </c>
      <c r="H3739" s="1">
        <f>TablaDatos[[#This Row],[FechaIngreso]]+TablaDatos[[#This Row],[DiasNuevo]]</f>
        <v>45622</v>
      </c>
      <c r="I3739">
        <v>8</v>
      </c>
      <c r="J3739" t="s">
        <v>19</v>
      </c>
      <c r="K3739" s="3">
        <v>9628.77</v>
      </c>
      <c r="L3739" t="b">
        <f>TablaDatos[[#This Row],[FechaAlta]] &lt; TablaDatos[[#This Row],[FechaIngreso]]</f>
        <v>0</v>
      </c>
      <c r="M3739">
        <f>_xlfn.XLOOKUP(TablaDatos[[#This Row],[PacienteID]],'Datos_Ejemplo.csv'!A:A,'Datos_Ejemplo.csv'!I:I)</f>
        <v>8</v>
      </c>
      <c r="N3739">
        <f>ABS(TablaDatos[[#This Row],[DiasOriginal]])</f>
        <v>8</v>
      </c>
      <c r="O3739" s="1">
        <f>TablaDatos[[#This Row],[FechaIngreso]]+TablaDatos[[#This Row],[DiasNuevo]]</f>
        <v>45622</v>
      </c>
    </row>
    <row r="3740" spans="1:15">
      <c r="A3740">
        <v>3739</v>
      </c>
      <c r="B3740" t="s">
        <v>311</v>
      </c>
      <c r="C3740" s="1">
        <v>29221</v>
      </c>
      <c r="D3740">
        <v>46</v>
      </c>
      <c r="E3740" s="4" t="s">
        <v>12</v>
      </c>
      <c r="F3740" t="s">
        <v>18</v>
      </c>
      <c r="G3740" s="1">
        <v>44930</v>
      </c>
      <c r="H3740" s="1">
        <f>TablaDatos[[#This Row],[FechaIngreso]]+TablaDatos[[#This Row],[DiasNuevo]]</f>
        <v>44938</v>
      </c>
      <c r="I3740">
        <v>8</v>
      </c>
      <c r="J3740" t="s">
        <v>23</v>
      </c>
      <c r="K3740" s="3">
        <v>9137.1200000000008</v>
      </c>
      <c r="L3740" t="b">
        <f>TablaDatos[[#This Row],[FechaAlta]] &lt; TablaDatos[[#This Row],[FechaIngreso]]</f>
        <v>0</v>
      </c>
      <c r="M3740">
        <f>_xlfn.XLOOKUP(TablaDatos[[#This Row],[PacienteID]],'Datos_Ejemplo.csv'!A:A,'Datos_Ejemplo.csv'!I:I)</f>
        <v>8</v>
      </c>
      <c r="N3740">
        <f>ABS(TablaDatos[[#This Row],[DiasOriginal]])</f>
        <v>8</v>
      </c>
      <c r="O3740" s="1">
        <f>TablaDatos[[#This Row],[FechaIngreso]]+TablaDatos[[#This Row],[DiasNuevo]]</f>
        <v>44938</v>
      </c>
    </row>
    <row r="3741" spans="1:15">
      <c r="A3741">
        <v>3740</v>
      </c>
      <c r="B3741" t="s">
        <v>299</v>
      </c>
      <c r="C3741" s="1">
        <v>33604</v>
      </c>
      <c r="D3741">
        <v>34</v>
      </c>
      <c r="E3741" s="4" t="s">
        <v>15</v>
      </c>
      <c r="F3741" t="s">
        <v>21</v>
      </c>
      <c r="G3741" s="1">
        <v>45302</v>
      </c>
      <c r="H3741" s="1">
        <f>TablaDatos[[#This Row],[FechaIngreso]]+TablaDatos[[#This Row],[DiasNuevo]]</f>
        <v>45327</v>
      </c>
      <c r="I3741">
        <v>25</v>
      </c>
      <c r="J3741" t="s">
        <v>23</v>
      </c>
      <c r="K3741" s="3">
        <v>13798.03</v>
      </c>
      <c r="L3741" t="b">
        <f>TablaDatos[[#This Row],[FechaAlta]] &lt; TablaDatos[[#This Row],[FechaIngreso]]</f>
        <v>0</v>
      </c>
      <c r="M3741">
        <f>_xlfn.XLOOKUP(TablaDatos[[#This Row],[PacienteID]],'Datos_Ejemplo.csv'!A:A,'Datos_Ejemplo.csv'!I:I)</f>
        <v>25</v>
      </c>
      <c r="N3741">
        <f>ABS(TablaDatos[[#This Row],[DiasOriginal]])</f>
        <v>25</v>
      </c>
      <c r="O3741" s="1">
        <f>TablaDatos[[#This Row],[FechaIngreso]]+TablaDatos[[#This Row],[DiasNuevo]]</f>
        <v>45327</v>
      </c>
    </row>
    <row r="3742" spans="1:15">
      <c r="A3742">
        <v>3741</v>
      </c>
      <c r="B3742" t="s">
        <v>244</v>
      </c>
      <c r="C3742" s="1">
        <v>39448</v>
      </c>
      <c r="D3742">
        <v>18</v>
      </c>
      <c r="E3742" s="4" t="s">
        <v>12</v>
      </c>
      <c r="F3742" t="s">
        <v>21</v>
      </c>
      <c r="G3742" s="1">
        <v>45295</v>
      </c>
      <c r="H3742" s="1">
        <f>TablaDatos[[#This Row],[FechaIngreso]]+TablaDatos[[#This Row],[DiasNuevo]]</f>
        <v>45297</v>
      </c>
      <c r="I3742">
        <v>2</v>
      </c>
      <c r="J3742" t="s">
        <v>25</v>
      </c>
      <c r="K3742" s="3">
        <v>-46.51</v>
      </c>
      <c r="L3742" t="b">
        <f>TablaDatos[[#This Row],[FechaAlta]] &lt; TablaDatos[[#This Row],[FechaIngreso]]</f>
        <v>0</v>
      </c>
      <c r="M3742">
        <f>_xlfn.XLOOKUP(TablaDatos[[#This Row],[PacienteID]],'Datos_Ejemplo.csv'!A:A,'Datos_Ejemplo.csv'!I:I)</f>
        <v>2</v>
      </c>
      <c r="N3742">
        <f>ABS(TablaDatos[[#This Row],[DiasOriginal]])</f>
        <v>2</v>
      </c>
      <c r="O3742" s="1">
        <f>TablaDatos[[#This Row],[FechaIngreso]]+TablaDatos[[#This Row],[DiasNuevo]]</f>
        <v>45297</v>
      </c>
    </row>
    <row r="3743" spans="1:15">
      <c r="A3743">
        <v>3742</v>
      </c>
      <c r="B3743" t="s">
        <v>345</v>
      </c>
      <c r="C3743" s="1">
        <v>43466</v>
      </c>
      <c r="D3743">
        <v>7</v>
      </c>
      <c r="E3743" s="4" t="s">
        <v>15</v>
      </c>
      <c r="F3743" t="s">
        <v>201</v>
      </c>
      <c r="G3743" s="1">
        <v>45391</v>
      </c>
      <c r="H3743" s="1">
        <f>TablaDatos[[#This Row],[FechaIngreso]]+TablaDatos[[#This Row],[DiasNuevo]]</f>
        <v>45416</v>
      </c>
      <c r="I3743">
        <v>25</v>
      </c>
      <c r="J3743" t="s">
        <v>25</v>
      </c>
      <c r="K3743" s="3">
        <v>11693.88</v>
      </c>
      <c r="L3743" t="b">
        <f>TablaDatos[[#This Row],[FechaAlta]] &lt; TablaDatos[[#This Row],[FechaIngreso]]</f>
        <v>0</v>
      </c>
      <c r="M3743">
        <f>_xlfn.XLOOKUP(TablaDatos[[#This Row],[PacienteID]],'Datos_Ejemplo.csv'!A:A,'Datos_Ejemplo.csv'!I:I)</f>
        <v>25</v>
      </c>
      <c r="N3743">
        <f>ABS(TablaDatos[[#This Row],[DiasOriginal]])</f>
        <v>25</v>
      </c>
      <c r="O3743" s="1">
        <f>TablaDatos[[#This Row],[FechaIngreso]]+TablaDatos[[#This Row],[DiasNuevo]]</f>
        <v>45416</v>
      </c>
    </row>
    <row r="3744" spans="1:15">
      <c r="A3744">
        <v>3743</v>
      </c>
      <c r="B3744" t="s">
        <v>274</v>
      </c>
      <c r="C3744" s="1">
        <v>36891</v>
      </c>
      <c r="D3744">
        <v>25</v>
      </c>
      <c r="E3744" s="4" t="s">
        <v>15</v>
      </c>
      <c r="F3744" t="s">
        <v>13</v>
      </c>
      <c r="G3744" s="1">
        <v>45459</v>
      </c>
      <c r="H3744" s="1">
        <f>TablaDatos[[#This Row],[FechaIngreso]]+TablaDatos[[#This Row],[DiasNuevo]]</f>
        <v>45464</v>
      </c>
      <c r="I3744">
        <v>5</v>
      </c>
      <c r="J3744" t="s">
        <v>23</v>
      </c>
      <c r="K3744" s="3">
        <v>12074.13</v>
      </c>
      <c r="L3744" t="b">
        <f>TablaDatos[[#This Row],[FechaAlta]] &lt; TablaDatos[[#This Row],[FechaIngreso]]</f>
        <v>0</v>
      </c>
      <c r="M3744">
        <f>_xlfn.XLOOKUP(TablaDatos[[#This Row],[PacienteID]],'Datos_Ejemplo.csv'!A:A,'Datos_Ejemplo.csv'!I:I)</f>
        <v>5</v>
      </c>
      <c r="N3744">
        <f>ABS(TablaDatos[[#This Row],[DiasOriginal]])</f>
        <v>5</v>
      </c>
      <c r="O3744" s="1">
        <f>TablaDatos[[#This Row],[FechaIngreso]]+TablaDatos[[#This Row],[DiasNuevo]]</f>
        <v>45464</v>
      </c>
    </row>
    <row r="3745" spans="1:15">
      <c r="A3745">
        <v>3744</v>
      </c>
      <c r="B3745" t="s">
        <v>355</v>
      </c>
      <c r="C3745" s="1">
        <v>20455</v>
      </c>
      <c r="D3745">
        <v>70</v>
      </c>
      <c r="E3745" s="4" t="s">
        <v>15</v>
      </c>
      <c r="F3745" t="s">
        <v>261</v>
      </c>
      <c r="G3745" s="1">
        <v>45646</v>
      </c>
      <c r="H3745" s="1">
        <f>TablaDatos[[#This Row],[FechaIngreso]]+TablaDatos[[#This Row],[DiasNuevo]]</f>
        <v>45669</v>
      </c>
      <c r="I3745">
        <v>23</v>
      </c>
      <c r="J3745" t="s">
        <v>23</v>
      </c>
      <c r="K3745" s="3">
        <v>14884.75</v>
      </c>
      <c r="L3745" t="b">
        <f>TablaDatos[[#This Row],[FechaAlta]] &lt; TablaDatos[[#This Row],[FechaIngreso]]</f>
        <v>0</v>
      </c>
      <c r="M3745">
        <f>_xlfn.XLOOKUP(TablaDatos[[#This Row],[PacienteID]],'Datos_Ejemplo.csv'!A:A,'Datos_Ejemplo.csv'!I:I)</f>
        <v>23</v>
      </c>
      <c r="N3745">
        <f>ABS(TablaDatos[[#This Row],[DiasOriginal]])</f>
        <v>23</v>
      </c>
      <c r="O3745" s="1">
        <f>TablaDatos[[#This Row],[FechaIngreso]]+TablaDatos[[#This Row],[DiasNuevo]]</f>
        <v>45669</v>
      </c>
    </row>
    <row r="3746" spans="1:15">
      <c r="A3746">
        <v>3745</v>
      </c>
      <c r="B3746" t="s">
        <v>345</v>
      </c>
      <c r="C3746" s="1">
        <v>35430</v>
      </c>
      <c r="D3746">
        <v>29</v>
      </c>
      <c r="E3746" s="4" t="s">
        <v>15</v>
      </c>
      <c r="F3746" t="s">
        <v>21</v>
      </c>
      <c r="G3746" s="1">
        <v>45063</v>
      </c>
      <c r="H3746" s="1">
        <f>TablaDatos[[#This Row],[FechaIngreso]]+TablaDatos[[#This Row],[DiasNuevo]]</f>
        <v>45066</v>
      </c>
      <c r="I3746">
        <v>3</v>
      </c>
      <c r="J3746" t="s">
        <v>19</v>
      </c>
      <c r="K3746" s="3">
        <v>17773.53</v>
      </c>
      <c r="L3746" t="b">
        <f>TablaDatos[[#This Row],[FechaAlta]] &lt; TablaDatos[[#This Row],[FechaIngreso]]</f>
        <v>0</v>
      </c>
      <c r="M3746">
        <f>_xlfn.XLOOKUP(TablaDatos[[#This Row],[PacienteID]],'Datos_Ejemplo.csv'!A:A,'Datos_Ejemplo.csv'!I:I)</f>
        <v>3</v>
      </c>
      <c r="N3746">
        <f>ABS(TablaDatos[[#This Row],[DiasOriginal]])</f>
        <v>3</v>
      </c>
      <c r="O3746" s="1">
        <f>TablaDatos[[#This Row],[FechaIngreso]]+TablaDatos[[#This Row],[DiasNuevo]]</f>
        <v>45066</v>
      </c>
    </row>
    <row r="3747" spans="1:15">
      <c r="A3747">
        <v>3746</v>
      </c>
      <c r="B3747" t="s">
        <v>333</v>
      </c>
      <c r="C3747" s="1">
        <v>43831</v>
      </c>
      <c r="D3747">
        <f ca="1">DATEDIF(TablaDatos[[#This Row],[FechaNacimiento]],TODAY(),"Y")</f>
        <v>6</v>
      </c>
      <c r="E3747" s="4" t="s">
        <v>15</v>
      </c>
      <c r="F3747" t="s">
        <v>18</v>
      </c>
      <c r="G3747" s="1">
        <v>45289</v>
      </c>
      <c r="H3747" s="1">
        <f>TablaDatos[[#This Row],[FechaIngreso]]+TablaDatos[[#This Row],[DiasNuevo]]</f>
        <v>45318</v>
      </c>
      <c r="I3747">
        <v>29</v>
      </c>
      <c r="J3747" t="s">
        <v>23</v>
      </c>
      <c r="K3747" s="3">
        <v>8747.81</v>
      </c>
      <c r="L3747" t="b">
        <f>TablaDatos[[#This Row],[FechaAlta]] &lt; TablaDatos[[#This Row],[FechaIngreso]]</f>
        <v>0</v>
      </c>
      <c r="M3747">
        <f>_xlfn.XLOOKUP(TablaDatos[[#This Row],[PacienteID]],'Datos_Ejemplo.csv'!A:A,'Datos_Ejemplo.csv'!I:I)</f>
        <v>29</v>
      </c>
      <c r="N3747">
        <f>ABS(TablaDatos[[#This Row],[DiasOriginal]])</f>
        <v>29</v>
      </c>
      <c r="O3747" s="1">
        <f>TablaDatos[[#This Row],[FechaIngreso]]+TablaDatos[[#This Row],[DiasNuevo]]</f>
        <v>45318</v>
      </c>
    </row>
    <row r="3748" spans="1:15">
      <c r="A3748">
        <v>3747</v>
      </c>
      <c r="B3748" t="s">
        <v>235</v>
      </c>
      <c r="C3748" s="1">
        <v>21916</v>
      </c>
      <c r="D3748">
        <v>66</v>
      </c>
      <c r="E3748" s="4" t="s">
        <v>12</v>
      </c>
      <c r="F3748" t="s">
        <v>13</v>
      </c>
      <c r="G3748" s="1">
        <v>45142</v>
      </c>
      <c r="H3748" s="1">
        <f>TablaDatos[[#This Row],[FechaIngreso]]+TablaDatos[[#This Row],[DiasNuevo]]</f>
        <v>45171</v>
      </c>
      <c r="I3748">
        <v>29</v>
      </c>
      <c r="J3748" t="s">
        <v>23</v>
      </c>
      <c r="K3748" s="3">
        <v>6784.66</v>
      </c>
      <c r="L3748" t="b">
        <f>TablaDatos[[#This Row],[FechaAlta]] &lt; TablaDatos[[#This Row],[FechaIngreso]]</f>
        <v>0</v>
      </c>
      <c r="M3748">
        <f>_xlfn.XLOOKUP(TablaDatos[[#This Row],[PacienteID]],'Datos_Ejemplo.csv'!A:A,'Datos_Ejemplo.csv'!I:I)</f>
        <v>29</v>
      </c>
      <c r="N3748">
        <f>ABS(TablaDatos[[#This Row],[DiasOriginal]])</f>
        <v>29</v>
      </c>
      <c r="O3748" s="1">
        <f>TablaDatos[[#This Row],[FechaIngreso]]+TablaDatos[[#This Row],[DiasNuevo]]</f>
        <v>45171</v>
      </c>
    </row>
    <row r="3749" spans="1:15">
      <c r="A3749">
        <v>3748</v>
      </c>
      <c r="B3749" t="s">
        <v>130</v>
      </c>
      <c r="C3749" s="1">
        <v>22646</v>
      </c>
      <c r="D3749">
        <v>64</v>
      </c>
      <c r="E3749" s="4" t="s">
        <v>197</v>
      </c>
      <c r="F3749" t="s">
        <v>201</v>
      </c>
      <c r="G3749" s="1">
        <v>45294</v>
      </c>
      <c r="H3749" s="1">
        <f>TablaDatos[[#This Row],[FechaIngreso]]+TablaDatos[[#This Row],[DiasNuevo]]</f>
        <v>45303</v>
      </c>
      <c r="I3749">
        <v>9</v>
      </c>
      <c r="J3749" t="s">
        <v>23</v>
      </c>
      <c r="K3749" s="3">
        <v>1956.64</v>
      </c>
      <c r="L3749" t="b">
        <f>TablaDatos[[#This Row],[FechaAlta]] &lt; TablaDatos[[#This Row],[FechaIngreso]]</f>
        <v>0</v>
      </c>
      <c r="M3749">
        <f>_xlfn.XLOOKUP(TablaDatos[[#This Row],[PacienteID]],'Datos_Ejemplo.csv'!A:A,'Datos_Ejemplo.csv'!I:I)</f>
        <v>9</v>
      </c>
      <c r="N3749">
        <f>ABS(TablaDatos[[#This Row],[DiasOriginal]])</f>
        <v>9</v>
      </c>
      <c r="O3749" s="1">
        <f>TablaDatos[[#This Row],[FechaIngreso]]+TablaDatos[[#This Row],[DiasNuevo]]</f>
        <v>45303</v>
      </c>
    </row>
    <row r="3750" spans="1:15">
      <c r="A3750">
        <v>3749</v>
      </c>
      <c r="B3750" t="s">
        <v>277</v>
      </c>
      <c r="C3750" s="1">
        <v>33239</v>
      </c>
      <c r="D3750">
        <v>35</v>
      </c>
      <c r="E3750" s="4" t="s">
        <v>15</v>
      </c>
      <c r="F3750" t="s">
        <v>13</v>
      </c>
      <c r="G3750" s="1">
        <v>45043</v>
      </c>
      <c r="H3750" s="1">
        <f>TablaDatos[[#This Row],[FechaIngreso]]+TablaDatos[[#This Row],[DiasNuevo]]</f>
        <v>45046</v>
      </c>
      <c r="I3750">
        <v>3</v>
      </c>
      <c r="J3750" t="s">
        <v>23</v>
      </c>
      <c r="K3750" s="3">
        <v>6670.4</v>
      </c>
      <c r="L3750" t="b">
        <f>TablaDatos[[#This Row],[FechaAlta]] &lt; TablaDatos[[#This Row],[FechaIngreso]]</f>
        <v>0</v>
      </c>
      <c r="M3750">
        <f>_xlfn.XLOOKUP(TablaDatos[[#This Row],[PacienteID]],'Datos_Ejemplo.csv'!A:A,'Datos_Ejemplo.csv'!I:I)</f>
        <v>3</v>
      </c>
      <c r="N3750">
        <f>ABS(TablaDatos[[#This Row],[DiasOriginal]])</f>
        <v>3</v>
      </c>
      <c r="O3750" s="1">
        <f>TablaDatos[[#This Row],[FechaIngreso]]+TablaDatos[[#This Row],[DiasNuevo]]</f>
        <v>45046</v>
      </c>
    </row>
    <row r="3751" spans="1:15">
      <c r="A3751">
        <v>3750</v>
      </c>
      <c r="B3751" t="s">
        <v>291</v>
      </c>
      <c r="C3751" s="1">
        <v>37256</v>
      </c>
      <c r="D3751">
        <v>24</v>
      </c>
      <c r="E3751" s="4" t="s">
        <v>12</v>
      </c>
      <c r="F3751" t="s">
        <v>13</v>
      </c>
      <c r="G3751" s="1">
        <v>45105</v>
      </c>
      <c r="H3751" s="1">
        <f>TablaDatos[[#This Row],[FechaIngreso]]+TablaDatos[[#This Row],[DiasNuevo]]</f>
        <v>45115</v>
      </c>
      <c r="I3751">
        <v>10</v>
      </c>
      <c r="J3751" t="s">
        <v>23</v>
      </c>
      <c r="K3751" s="3">
        <v>1276.54</v>
      </c>
      <c r="L3751" t="b">
        <f>TablaDatos[[#This Row],[FechaAlta]] &lt; TablaDatos[[#This Row],[FechaIngreso]]</f>
        <v>0</v>
      </c>
      <c r="M3751">
        <f>_xlfn.XLOOKUP(TablaDatos[[#This Row],[PacienteID]],'Datos_Ejemplo.csv'!A:A,'Datos_Ejemplo.csv'!I:I)</f>
        <v>10</v>
      </c>
      <c r="N3751">
        <f>ABS(TablaDatos[[#This Row],[DiasOriginal]])</f>
        <v>10</v>
      </c>
      <c r="O3751" s="1">
        <f>TablaDatos[[#This Row],[FechaIngreso]]+TablaDatos[[#This Row],[DiasNuevo]]</f>
        <v>45115</v>
      </c>
    </row>
    <row r="3752" spans="1:15">
      <c r="A3752">
        <v>3751</v>
      </c>
      <c r="B3752" t="s">
        <v>327</v>
      </c>
      <c r="C3752" s="1">
        <v>32873</v>
      </c>
      <c r="D3752">
        <v>36</v>
      </c>
      <c r="E3752" s="4" t="s">
        <v>197</v>
      </c>
      <c r="F3752" t="s">
        <v>295</v>
      </c>
      <c r="G3752" s="1">
        <v>45172</v>
      </c>
      <c r="H3752" s="1">
        <f>TablaDatos[[#This Row],[FechaIngreso]]+TablaDatos[[#This Row],[DiasNuevo]]</f>
        <v>45208</v>
      </c>
      <c r="I3752">
        <v>36</v>
      </c>
      <c r="J3752" t="s">
        <v>19</v>
      </c>
      <c r="K3752" s="3">
        <v>16036.69</v>
      </c>
      <c r="L3752" t="b">
        <f>TablaDatos[[#This Row],[FechaAlta]] &lt; TablaDatos[[#This Row],[FechaIngreso]]</f>
        <v>0</v>
      </c>
      <c r="M3752">
        <f>_xlfn.XLOOKUP(TablaDatos[[#This Row],[PacienteID]],'Datos_Ejemplo.csv'!A:A,'Datos_Ejemplo.csv'!I:I)</f>
        <v>36</v>
      </c>
      <c r="N3752">
        <f>ABS(TablaDatos[[#This Row],[DiasOriginal]])</f>
        <v>36</v>
      </c>
      <c r="O3752" s="1">
        <f>TablaDatos[[#This Row],[FechaIngreso]]+TablaDatos[[#This Row],[DiasNuevo]]</f>
        <v>45208</v>
      </c>
    </row>
    <row r="3753" spans="1:15">
      <c r="A3753">
        <v>3752</v>
      </c>
      <c r="B3753" t="s">
        <v>274</v>
      </c>
      <c r="C3753" s="1">
        <v>46022</v>
      </c>
      <c r="D3753">
        <v>0</v>
      </c>
      <c r="E3753" s="4" t="s">
        <v>12</v>
      </c>
      <c r="F3753" t="s">
        <v>261</v>
      </c>
      <c r="G3753" s="1">
        <v>45054</v>
      </c>
      <c r="H3753" s="1">
        <f>TablaDatos[[#This Row],[FechaIngreso]]+TablaDatos[[#This Row],[DiasNuevo]]</f>
        <v>45091</v>
      </c>
      <c r="I3753">
        <v>37</v>
      </c>
      <c r="J3753" t="s">
        <v>25</v>
      </c>
      <c r="K3753" s="3">
        <v>16120.82</v>
      </c>
      <c r="L3753" t="b">
        <f>TablaDatos[[#This Row],[FechaAlta]] &lt; TablaDatos[[#This Row],[FechaIngreso]]</f>
        <v>0</v>
      </c>
      <c r="M3753">
        <f>_xlfn.XLOOKUP(TablaDatos[[#This Row],[PacienteID]],'Datos_Ejemplo.csv'!A:A,'Datos_Ejemplo.csv'!I:I)</f>
        <v>37</v>
      </c>
      <c r="N3753">
        <f>ABS(TablaDatos[[#This Row],[DiasOriginal]])</f>
        <v>37</v>
      </c>
      <c r="O3753" s="1">
        <f>TablaDatos[[#This Row],[FechaIngreso]]+TablaDatos[[#This Row],[DiasNuevo]]</f>
        <v>45091</v>
      </c>
    </row>
    <row r="3754" spans="1:15">
      <c r="A3754">
        <v>3753</v>
      </c>
      <c r="B3754" t="s">
        <v>298</v>
      </c>
      <c r="C3754" s="1">
        <v>40909</v>
      </c>
      <c r="D3754">
        <v>14</v>
      </c>
      <c r="E3754" s="4" t="s">
        <v>15</v>
      </c>
      <c r="F3754" t="s">
        <v>201</v>
      </c>
      <c r="G3754" s="1">
        <v>45284</v>
      </c>
      <c r="H3754" s="1">
        <f>TablaDatos[[#This Row],[FechaIngreso]]+TablaDatos[[#This Row],[DiasNuevo]]</f>
        <v>45315</v>
      </c>
      <c r="I3754">
        <v>31</v>
      </c>
      <c r="J3754" t="s">
        <v>25</v>
      </c>
      <c r="K3754" s="3">
        <v>8286.48</v>
      </c>
      <c r="L3754" t="b">
        <f>TablaDatos[[#This Row],[FechaAlta]] &lt; TablaDatos[[#This Row],[FechaIngreso]]</f>
        <v>0</v>
      </c>
      <c r="M3754">
        <f>_xlfn.XLOOKUP(TablaDatos[[#This Row],[PacienteID]],'Datos_Ejemplo.csv'!A:A,'Datos_Ejemplo.csv'!I:I)</f>
        <v>31</v>
      </c>
      <c r="N3754">
        <f>ABS(TablaDatos[[#This Row],[DiasOriginal]])</f>
        <v>31</v>
      </c>
      <c r="O3754" s="1">
        <f>TablaDatos[[#This Row],[FechaIngreso]]+TablaDatos[[#This Row],[DiasNuevo]]</f>
        <v>45315</v>
      </c>
    </row>
    <row r="3755" spans="1:15">
      <c r="A3755">
        <v>3754</v>
      </c>
      <c r="B3755" t="s">
        <v>52</v>
      </c>
      <c r="C3755" s="1">
        <v>32873</v>
      </c>
      <c r="D3755">
        <v>36</v>
      </c>
      <c r="E3755" s="4" t="s">
        <v>12</v>
      </c>
      <c r="F3755" t="s">
        <v>261</v>
      </c>
      <c r="G3755" s="1">
        <v>45004</v>
      </c>
      <c r="H3755" s="1">
        <f>TablaDatos[[#This Row],[FechaIngreso]]+TablaDatos[[#This Row],[DiasNuevo]]</f>
        <v>45024</v>
      </c>
      <c r="I3755">
        <v>20</v>
      </c>
      <c r="J3755" t="s">
        <v>23</v>
      </c>
      <c r="K3755" s="3">
        <v>5118.79</v>
      </c>
      <c r="L3755" t="b">
        <f>TablaDatos[[#This Row],[FechaAlta]] &lt; TablaDatos[[#This Row],[FechaIngreso]]</f>
        <v>0</v>
      </c>
      <c r="M3755">
        <f>_xlfn.XLOOKUP(TablaDatos[[#This Row],[PacienteID]],'Datos_Ejemplo.csv'!A:A,'Datos_Ejemplo.csv'!I:I)</f>
        <v>20</v>
      </c>
      <c r="N3755">
        <f>ABS(TablaDatos[[#This Row],[DiasOriginal]])</f>
        <v>20</v>
      </c>
      <c r="O3755" s="1">
        <f>TablaDatos[[#This Row],[FechaIngreso]]+TablaDatos[[#This Row],[DiasNuevo]]</f>
        <v>45024</v>
      </c>
    </row>
    <row r="3756" spans="1:15">
      <c r="A3756">
        <v>3755</v>
      </c>
      <c r="B3756" t="s">
        <v>359</v>
      </c>
      <c r="C3756" s="1">
        <v>41639</v>
      </c>
      <c r="D3756">
        <v>12</v>
      </c>
      <c r="E3756" s="4" t="s">
        <v>15</v>
      </c>
      <c r="F3756" t="s">
        <v>21</v>
      </c>
      <c r="G3756" s="1">
        <v>45219</v>
      </c>
      <c r="H3756" s="1">
        <f>TablaDatos[[#This Row],[FechaIngreso]]+TablaDatos[[#This Row],[DiasNuevo]]</f>
        <v>45257</v>
      </c>
      <c r="I3756">
        <v>38</v>
      </c>
      <c r="J3756" t="s">
        <v>19</v>
      </c>
      <c r="K3756" s="3">
        <v>2272.1999999999998</v>
      </c>
      <c r="L3756" t="b">
        <f>TablaDatos[[#This Row],[FechaAlta]] &lt; TablaDatos[[#This Row],[FechaIngreso]]</f>
        <v>0</v>
      </c>
      <c r="M3756">
        <f>_xlfn.XLOOKUP(TablaDatos[[#This Row],[PacienteID]],'Datos_Ejemplo.csv'!A:A,'Datos_Ejemplo.csv'!I:I)</f>
        <v>38</v>
      </c>
      <c r="N3756">
        <f>ABS(TablaDatos[[#This Row],[DiasOriginal]])</f>
        <v>38</v>
      </c>
      <c r="O3756" s="1">
        <f>TablaDatos[[#This Row],[FechaIngreso]]+TablaDatos[[#This Row],[DiasNuevo]]</f>
        <v>45257</v>
      </c>
    </row>
    <row r="3757" spans="1:15">
      <c r="A3757">
        <v>3756</v>
      </c>
      <c r="B3757" t="s">
        <v>256</v>
      </c>
      <c r="C3757" s="1">
        <f ca="1">DATE(YEAR(TODAY())-TablaDatos[[#This Row],[Edad]],1,1)</f>
        <v>43466</v>
      </c>
      <c r="D3757">
        <v>7</v>
      </c>
      <c r="E3757" s="4" t="s">
        <v>12</v>
      </c>
      <c r="F3757" t="s">
        <v>261</v>
      </c>
      <c r="G3757" s="1">
        <v>45008</v>
      </c>
      <c r="H3757" s="1">
        <f>TablaDatos[[#This Row],[FechaIngreso]]+TablaDatos[[#This Row],[DiasNuevo]]</f>
        <v>45022</v>
      </c>
      <c r="I3757">
        <v>14</v>
      </c>
      <c r="J3757" t="s">
        <v>19</v>
      </c>
      <c r="K3757" s="3">
        <v>17009.87</v>
      </c>
      <c r="L3757" t="b">
        <f>TablaDatos[[#This Row],[FechaAlta]] &lt; TablaDatos[[#This Row],[FechaIngreso]]</f>
        <v>0</v>
      </c>
      <c r="M3757">
        <f>_xlfn.XLOOKUP(TablaDatos[[#This Row],[PacienteID]],'Datos_Ejemplo.csv'!A:A,'Datos_Ejemplo.csv'!I:I)</f>
        <v>14</v>
      </c>
      <c r="N3757">
        <f>ABS(TablaDatos[[#This Row],[DiasOriginal]])</f>
        <v>14</v>
      </c>
      <c r="O3757" s="1">
        <f>TablaDatos[[#This Row],[FechaIngreso]]+TablaDatos[[#This Row],[DiasNuevo]]</f>
        <v>45022</v>
      </c>
    </row>
    <row r="3758" spans="1:15">
      <c r="A3758">
        <v>3757</v>
      </c>
      <c r="B3758" t="s">
        <v>243</v>
      </c>
      <c r="C3758" s="1">
        <v>44561</v>
      </c>
      <c r="D3758">
        <v>4</v>
      </c>
      <c r="E3758" s="4" t="s">
        <v>15</v>
      </c>
      <c r="F3758" t="s">
        <v>32</v>
      </c>
      <c r="G3758" s="1">
        <v>45268</v>
      </c>
      <c r="H3758" s="1">
        <f>TablaDatos[[#This Row],[FechaIngreso]]+TablaDatos[[#This Row],[DiasNuevo]]</f>
        <v>45270</v>
      </c>
      <c r="I3758">
        <v>2</v>
      </c>
      <c r="J3758" t="s">
        <v>19</v>
      </c>
      <c r="K3758" s="3">
        <v>17537.66</v>
      </c>
      <c r="L3758" t="b">
        <f>TablaDatos[[#This Row],[FechaAlta]] &lt; TablaDatos[[#This Row],[FechaIngreso]]</f>
        <v>0</v>
      </c>
      <c r="M3758">
        <f>_xlfn.XLOOKUP(TablaDatos[[#This Row],[PacienteID]],'Datos_Ejemplo.csv'!A:A,'Datos_Ejemplo.csv'!I:I)</f>
        <v>-2</v>
      </c>
      <c r="N3758">
        <f>ABS(TablaDatos[[#This Row],[DiasOriginal]])</f>
        <v>2</v>
      </c>
      <c r="O3758" s="1">
        <f>TablaDatos[[#This Row],[FechaIngreso]]+TablaDatos[[#This Row],[DiasNuevo]]</f>
        <v>45270</v>
      </c>
    </row>
    <row r="3759" spans="1:15">
      <c r="A3759">
        <v>3758</v>
      </c>
      <c r="B3759" t="s">
        <v>265</v>
      </c>
      <c r="C3759" s="1">
        <v>24473</v>
      </c>
      <c r="D3759">
        <v>59</v>
      </c>
      <c r="E3759" s="4" t="s">
        <v>15</v>
      </c>
      <c r="F3759" t="s">
        <v>18</v>
      </c>
      <c r="G3759" s="1">
        <v>45264</v>
      </c>
      <c r="H3759" s="1">
        <f>TablaDatos[[#This Row],[FechaIngreso]]+TablaDatos[[#This Row],[DiasNuevo]]</f>
        <v>45268</v>
      </c>
      <c r="I3759">
        <v>4</v>
      </c>
      <c r="J3759" t="s">
        <v>23</v>
      </c>
      <c r="K3759" s="3">
        <v>5252.42</v>
      </c>
      <c r="L3759" t="b">
        <f>TablaDatos[[#This Row],[FechaAlta]] &lt; TablaDatos[[#This Row],[FechaIngreso]]</f>
        <v>0</v>
      </c>
      <c r="M3759">
        <f>_xlfn.XLOOKUP(TablaDatos[[#This Row],[PacienteID]],'Datos_Ejemplo.csv'!A:A,'Datos_Ejemplo.csv'!I:I)</f>
        <v>4</v>
      </c>
      <c r="N3759">
        <f>ABS(TablaDatos[[#This Row],[DiasOriginal]])</f>
        <v>4</v>
      </c>
      <c r="O3759" s="1">
        <f>TablaDatos[[#This Row],[FechaIngreso]]+TablaDatos[[#This Row],[DiasNuevo]]</f>
        <v>45268</v>
      </c>
    </row>
    <row r="3760" spans="1:15">
      <c r="A3760">
        <v>3759</v>
      </c>
      <c r="B3760" t="s">
        <v>237</v>
      </c>
      <c r="C3760" s="1">
        <v>19724</v>
      </c>
      <c r="D3760">
        <v>72</v>
      </c>
      <c r="E3760" s="4" t="s">
        <v>15</v>
      </c>
      <c r="F3760" t="s">
        <v>21</v>
      </c>
      <c r="G3760" s="1">
        <v>45504</v>
      </c>
      <c r="H3760" s="1">
        <f>TablaDatos[[#This Row],[FechaIngreso]]+TablaDatos[[#This Row],[DiasNuevo]]</f>
        <v>45514</v>
      </c>
      <c r="I3760">
        <v>10</v>
      </c>
      <c r="J3760" t="s">
        <v>19</v>
      </c>
      <c r="K3760" s="3">
        <v>12397.39</v>
      </c>
      <c r="L3760" t="b">
        <f>TablaDatos[[#This Row],[FechaAlta]] &lt; TablaDatos[[#This Row],[FechaIngreso]]</f>
        <v>0</v>
      </c>
      <c r="M3760">
        <f>_xlfn.XLOOKUP(TablaDatos[[#This Row],[PacienteID]],'Datos_Ejemplo.csv'!A:A,'Datos_Ejemplo.csv'!I:I)</f>
        <v>10</v>
      </c>
      <c r="N3760">
        <f>ABS(TablaDatos[[#This Row],[DiasOriginal]])</f>
        <v>10</v>
      </c>
      <c r="O3760" s="1">
        <f>TablaDatos[[#This Row],[FechaIngreso]]+TablaDatos[[#This Row],[DiasNuevo]]</f>
        <v>45514</v>
      </c>
    </row>
    <row r="3761" spans="1:15">
      <c r="A3761">
        <v>3760</v>
      </c>
      <c r="B3761" t="s">
        <v>283</v>
      </c>
      <c r="C3761" s="1">
        <v>46022</v>
      </c>
      <c r="D3761">
        <v>0</v>
      </c>
      <c r="E3761" s="4" t="s">
        <v>15</v>
      </c>
      <c r="F3761" t="s">
        <v>201</v>
      </c>
      <c r="G3761" s="1">
        <v>45022</v>
      </c>
      <c r="H3761" s="1">
        <f>TablaDatos[[#This Row],[FechaIngreso]]+TablaDatos[[#This Row],[DiasNuevo]]</f>
        <v>45033</v>
      </c>
      <c r="I3761">
        <v>11</v>
      </c>
      <c r="J3761" t="s">
        <v>25</v>
      </c>
      <c r="K3761" s="3">
        <v>5098.9399999999996</v>
      </c>
      <c r="L3761" t="b">
        <f>TablaDatos[[#This Row],[FechaAlta]] &lt; TablaDatos[[#This Row],[FechaIngreso]]</f>
        <v>0</v>
      </c>
      <c r="M3761">
        <f>_xlfn.XLOOKUP(TablaDatos[[#This Row],[PacienteID]],'Datos_Ejemplo.csv'!A:A,'Datos_Ejemplo.csv'!I:I)</f>
        <v>11</v>
      </c>
      <c r="N3761">
        <f>ABS(TablaDatos[[#This Row],[DiasOriginal]])</f>
        <v>11</v>
      </c>
      <c r="O3761" s="1">
        <f>TablaDatos[[#This Row],[FechaIngreso]]+TablaDatos[[#This Row],[DiasNuevo]]</f>
        <v>45033</v>
      </c>
    </row>
    <row r="3762" spans="1:15">
      <c r="A3762">
        <v>3761</v>
      </c>
      <c r="B3762" t="s">
        <v>51</v>
      </c>
      <c r="C3762" s="1">
        <v>33239</v>
      </c>
      <c r="D3762">
        <v>35</v>
      </c>
      <c r="E3762" s="4" t="s">
        <v>12</v>
      </c>
      <c r="F3762" t="s">
        <v>261</v>
      </c>
      <c r="G3762" s="1">
        <v>45071</v>
      </c>
      <c r="H3762" s="1">
        <f>TablaDatos[[#This Row],[FechaIngreso]]+TablaDatos[[#This Row],[DiasNuevo]]</f>
        <v>45085</v>
      </c>
      <c r="I3762">
        <v>14</v>
      </c>
      <c r="J3762" t="s">
        <v>19</v>
      </c>
      <c r="K3762" s="3">
        <v>4425.05</v>
      </c>
      <c r="L3762" t="b">
        <f>TablaDatos[[#This Row],[FechaAlta]] &lt; TablaDatos[[#This Row],[FechaIngreso]]</f>
        <v>0</v>
      </c>
      <c r="M3762">
        <f>_xlfn.XLOOKUP(TablaDatos[[#This Row],[PacienteID]],'Datos_Ejemplo.csv'!A:A,'Datos_Ejemplo.csv'!I:I)</f>
        <v>14</v>
      </c>
      <c r="N3762">
        <f>ABS(TablaDatos[[#This Row],[DiasOriginal]])</f>
        <v>14</v>
      </c>
      <c r="O3762" s="1">
        <f>TablaDatos[[#This Row],[FechaIngreso]]+TablaDatos[[#This Row],[DiasNuevo]]</f>
        <v>45085</v>
      </c>
    </row>
    <row r="3763" spans="1:15">
      <c r="A3763">
        <v>3762</v>
      </c>
      <c r="B3763" t="s">
        <v>291</v>
      </c>
      <c r="C3763" s="1">
        <v>33604</v>
      </c>
      <c r="D3763">
        <v>34</v>
      </c>
      <c r="E3763" s="4" t="s">
        <v>15</v>
      </c>
      <c r="F3763" t="s">
        <v>18</v>
      </c>
      <c r="G3763" s="1">
        <v>45503</v>
      </c>
      <c r="H3763" s="1">
        <f>TablaDatos[[#This Row],[FechaIngreso]]+TablaDatos[[#This Row],[DiasNuevo]]</f>
        <v>45530</v>
      </c>
      <c r="I3763">
        <v>27</v>
      </c>
      <c r="J3763" t="s">
        <v>19</v>
      </c>
      <c r="K3763" s="3">
        <v>326.27999999999997</v>
      </c>
      <c r="L3763" t="b">
        <f>TablaDatos[[#This Row],[FechaAlta]] &lt; TablaDatos[[#This Row],[FechaIngreso]]</f>
        <v>0</v>
      </c>
      <c r="M3763">
        <f>_xlfn.XLOOKUP(TablaDatos[[#This Row],[PacienteID]],'Datos_Ejemplo.csv'!A:A,'Datos_Ejemplo.csv'!I:I)</f>
        <v>27</v>
      </c>
      <c r="N3763">
        <f>ABS(TablaDatos[[#This Row],[DiasOriginal]])</f>
        <v>27</v>
      </c>
      <c r="O3763" s="1">
        <f>TablaDatos[[#This Row],[FechaIngreso]]+TablaDatos[[#This Row],[DiasNuevo]]</f>
        <v>45530</v>
      </c>
    </row>
    <row r="3764" spans="1:15">
      <c r="A3764">
        <v>3763</v>
      </c>
      <c r="B3764" t="s">
        <v>367</v>
      </c>
      <c r="C3764" s="1">
        <v>22281</v>
      </c>
      <c r="D3764">
        <v>65</v>
      </c>
      <c r="E3764" s="4" t="s">
        <v>12</v>
      </c>
      <c r="F3764" t="s">
        <v>201</v>
      </c>
      <c r="G3764" s="1">
        <v>45447</v>
      </c>
      <c r="H3764" s="1">
        <f>TablaDatos[[#This Row],[FechaIngreso]]+TablaDatos[[#This Row],[DiasNuevo]]</f>
        <v>45478</v>
      </c>
      <c r="I3764">
        <v>31</v>
      </c>
      <c r="J3764" t="s">
        <v>23</v>
      </c>
      <c r="K3764" s="3">
        <v>11500.9</v>
      </c>
      <c r="L3764" t="b">
        <f>TablaDatos[[#This Row],[FechaAlta]] &lt; TablaDatos[[#This Row],[FechaIngreso]]</f>
        <v>0</v>
      </c>
      <c r="M3764">
        <f>_xlfn.XLOOKUP(TablaDatos[[#This Row],[PacienteID]],'Datos_Ejemplo.csv'!A:A,'Datos_Ejemplo.csv'!I:I)</f>
        <v>31</v>
      </c>
      <c r="N3764">
        <f>ABS(TablaDatos[[#This Row],[DiasOriginal]])</f>
        <v>31</v>
      </c>
      <c r="O3764" s="1">
        <f>TablaDatos[[#This Row],[FechaIngreso]]+TablaDatos[[#This Row],[DiasNuevo]]</f>
        <v>45478</v>
      </c>
    </row>
    <row r="3765" spans="1:15">
      <c r="A3765">
        <v>3764</v>
      </c>
      <c r="B3765" t="s">
        <v>262</v>
      </c>
      <c r="C3765" s="1">
        <v>23377</v>
      </c>
      <c r="D3765">
        <v>62</v>
      </c>
      <c r="E3765" s="4" t="s">
        <v>15</v>
      </c>
      <c r="F3765" t="s">
        <v>201</v>
      </c>
      <c r="G3765" s="1">
        <v>45323</v>
      </c>
      <c r="H3765" s="1">
        <f>TablaDatos[[#This Row],[FechaIngreso]]+TablaDatos[[#This Row],[DiasNuevo]]</f>
        <v>45347</v>
      </c>
      <c r="I3765">
        <v>24</v>
      </c>
      <c r="J3765" t="s">
        <v>23</v>
      </c>
      <c r="K3765" s="3">
        <v>2913.83</v>
      </c>
      <c r="L3765" t="b">
        <f>TablaDatos[[#This Row],[FechaAlta]] &lt; TablaDatos[[#This Row],[FechaIngreso]]</f>
        <v>0</v>
      </c>
      <c r="M3765">
        <f>_xlfn.XLOOKUP(TablaDatos[[#This Row],[PacienteID]],'Datos_Ejemplo.csv'!A:A,'Datos_Ejemplo.csv'!I:I)</f>
        <v>24</v>
      </c>
      <c r="N3765">
        <f>ABS(TablaDatos[[#This Row],[DiasOriginal]])</f>
        <v>24</v>
      </c>
      <c r="O3765" s="1">
        <f>TablaDatos[[#This Row],[FechaIngreso]]+TablaDatos[[#This Row],[DiasNuevo]]</f>
        <v>45347</v>
      </c>
    </row>
    <row r="3766" spans="1:15">
      <c r="A3766">
        <v>3765</v>
      </c>
      <c r="B3766" t="s">
        <v>288</v>
      </c>
      <c r="C3766" s="1">
        <v>37987</v>
      </c>
      <c r="D3766">
        <v>22</v>
      </c>
      <c r="E3766" s="4" t="s">
        <v>15</v>
      </c>
      <c r="F3766" t="s">
        <v>21</v>
      </c>
      <c r="G3766" s="1">
        <v>45283</v>
      </c>
      <c r="H3766" s="1">
        <f>TablaDatos[[#This Row],[FechaIngreso]]+TablaDatos[[#This Row],[DiasNuevo]]</f>
        <v>45305</v>
      </c>
      <c r="I3766">
        <v>22</v>
      </c>
      <c r="J3766" t="s">
        <v>23</v>
      </c>
      <c r="K3766" s="3">
        <v>148.66</v>
      </c>
      <c r="L3766" t="b">
        <f>TablaDatos[[#This Row],[FechaAlta]] &lt; TablaDatos[[#This Row],[FechaIngreso]]</f>
        <v>0</v>
      </c>
      <c r="M3766">
        <f>_xlfn.XLOOKUP(TablaDatos[[#This Row],[PacienteID]],'Datos_Ejemplo.csv'!A:A,'Datos_Ejemplo.csv'!I:I)</f>
        <v>22</v>
      </c>
      <c r="N3766">
        <f>ABS(TablaDatos[[#This Row],[DiasOriginal]])</f>
        <v>22</v>
      </c>
      <c r="O3766" s="1">
        <f>TablaDatos[[#This Row],[FechaIngreso]]+TablaDatos[[#This Row],[DiasNuevo]]</f>
        <v>45305</v>
      </c>
    </row>
    <row r="3767" spans="1:15">
      <c r="A3767">
        <v>3766</v>
      </c>
      <c r="B3767" t="s">
        <v>344</v>
      </c>
      <c r="C3767" s="1">
        <v>43100</v>
      </c>
      <c r="D3767">
        <v>8</v>
      </c>
      <c r="E3767" s="4" t="s">
        <v>12</v>
      </c>
      <c r="F3767" t="s">
        <v>32</v>
      </c>
      <c r="G3767" s="1">
        <v>45112</v>
      </c>
      <c r="H3767" s="1">
        <f>TablaDatos[[#This Row],[FechaIngreso]]+TablaDatos[[#This Row],[DiasNuevo]]</f>
        <v>45144</v>
      </c>
      <c r="I3767">
        <v>32</v>
      </c>
      <c r="J3767" t="s">
        <v>23</v>
      </c>
      <c r="K3767" s="3">
        <v>2007.51</v>
      </c>
      <c r="L3767" t="b">
        <f>TablaDatos[[#This Row],[FechaAlta]] &lt; TablaDatos[[#This Row],[FechaIngreso]]</f>
        <v>0</v>
      </c>
      <c r="M3767">
        <f>_xlfn.XLOOKUP(TablaDatos[[#This Row],[PacienteID]],'Datos_Ejemplo.csv'!A:A,'Datos_Ejemplo.csv'!I:I)</f>
        <v>32</v>
      </c>
      <c r="N3767">
        <f>ABS(TablaDatos[[#This Row],[DiasOriginal]])</f>
        <v>32</v>
      </c>
      <c r="O3767" s="1">
        <f>TablaDatos[[#This Row],[FechaIngreso]]+TablaDatos[[#This Row],[DiasNuevo]]</f>
        <v>45144</v>
      </c>
    </row>
    <row r="3768" spans="1:15">
      <c r="A3768">
        <v>3767</v>
      </c>
      <c r="B3768" t="s">
        <v>234</v>
      </c>
      <c r="C3768" s="1">
        <v>33969</v>
      </c>
      <c r="D3768">
        <v>33</v>
      </c>
      <c r="E3768" s="4" t="s">
        <v>197</v>
      </c>
      <c r="F3768" t="s">
        <v>18</v>
      </c>
      <c r="G3768" s="1">
        <v>45596</v>
      </c>
      <c r="H3768" s="1">
        <f>TablaDatos[[#This Row],[FechaIngreso]]+TablaDatos[[#This Row],[DiasNuevo]]</f>
        <v>45602</v>
      </c>
      <c r="I3768">
        <v>6</v>
      </c>
      <c r="J3768" t="s">
        <v>23</v>
      </c>
      <c r="K3768" s="3">
        <v>6206.76</v>
      </c>
      <c r="L3768" t="b">
        <f>TablaDatos[[#This Row],[FechaAlta]] &lt; TablaDatos[[#This Row],[FechaIngreso]]</f>
        <v>0</v>
      </c>
      <c r="M3768">
        <f>_xlfn.XLOOKUP(TablaDatos[[#This Row],[PacienteID]],'Datos_Ejemplo.csv'!A:A,'Datos_Ejemplo.csv'!I:I)</f>
        <v>6</v>
      </c>
      <c r="N3768">
        <f>ABS(TablaDatos[[#This Row],[DiasOriginal]])</f>
        <v>6</v>
      </c>
      <c r="O3768" s="1">
        <f>TablaDatos[[#This Row],[FechaIngreso]]+TablaDatos[[#This Row],[DiasNuevo]]</f>
        <v>45602</v>
      </c>
    </row>
    <row r="3769" spans="1:15">
      <c r="A3769">
        <v>3768</v>
      </c>
      <c r="B3769" t="s">
        <v>251</v>
      </c>
      <c r="C3769" s="1">
        <v>29586</v>
      </c>
      <c r="D3769">
        <v>45</v>
      </c>
      <c r="E3769" s="4" t="s">
        <v>15</v>
      </c>
      <c r="F3769" t="s">
        <v>32</v>
      </c>
      <c r="G3769" s="1">
        <v>45469</v>
      </c>
      <c r="H3769" s="1">
        <f>TablaDatos[[#This Row],[FechaIngreso]]+TablaDatos[[#This Row],[DiasNuevo]]</f>
        <v>45472</v>
      </c>
      <c r="I3769">
        <v>3</v>
      </c>
      <c r="J3769" t="s">
        <v>23</v>
      </c>
      <c r="K3769" s="3">
        <v>13350.18</v>
      </c>
      <c r="L3769" t="b">
        <f>TablaDatos[[#This Row],[FechaAlta]] &lt; TablaDatos[[#This Row],[FechaIngreso]]</f>
        <v>0</v>
      </c>
      <c r="M3769">
        <f>_xlfn.XLOOKUP(TablaDatos[[#This Row],[PacienteID]],'Datos_Ejemplo.csv'!A:A,'Datos_Ejemplo.csv'!I:I)</f>
        <v>3</v>
      </c>
      <c r="N3769">
        <f>ABS(TablaDatos[[#This Row],[DiasOriginal]])</f>
        <v>3</v>
      </c>
      <c r="O3769" s="1">
        <f>TablaDatos[[#This Row],[FechaIngreso]]+TablaDatos[[#This Row],[DiasNuevo]]</f>
        <v>45472</v>
      </c>
    </row>
    <row r="3770" spans="1:15">
      <c r="A3770">
        <v>3769</v>
      </c>
      <c r="B3770" t="s">
        <v>282</v>
      </c>
      <c r="C3770" s="1">
        <v>17898</v>
      </c>
      <c r="D3770">
        <v>77</v>
      </c>
      <c r="E3770" s="4" t="s">
        <v>15</v>
      </c>
      <c r="F3770" t="s">
        <v>18</v>
      </c>
      <c r="G3770" s="1">
        <v>45077</v>
      </c>
      <c r="H3770" s="1">
        <f>TablaDatos[[#This Row],[FechaIngreso]]+TablaDatos[[#This Row],[DiasNuevo]]</f>
        <v>45100</v>
      </c>
      <c r="I3770">
        <v>23</v>
      </c>
      <c r="J3770" t="s">
        <v>23</v>
      </c>
      <c r="K3770" s="3">
        <v>3972.72</v>
      </c>
      <c r="L3770" t="b">
        <f>TablaDatos[[#This Row],[FechaAlta]] &lt; TablaDatos[[#This Row],[FechaIngreso]]</f>
        <v>0</v>
      </c>
      <c r="M3770">
        <f>_xlfn.XLOOKUP(TablaDatos[[#This Row],[PacienteID]],'Datos_Ejemplo.csv'!A:A,'Datos_Ejemplo.csv'!I:I)</f>
        <v>23</v>
      </c>
      <c r="N3770">
        <f>ABS(TablaDatos[[#This Row],[DiasOriginal]])</f>
        <v>23</v>
      </c>
      <c r="O3770" s="1">
        <f>TablaDatos[[#This Row],[FechaIngreso]]+TablaDatos[[#This Row],[DiasNuevo]]</f>
        <v>45100</v>
      </c>
    </row>
    <row r="3771" spans="1:15">
      <c r="A3771">
        <v>3770</v>
      </c>
      <c r="B3771" t="s">
        <v>277</v>
      </c>
      <c r="C3771" s="1">
        <v>44927</v>
      </c>
      <c r="D3771">
        <v>3</v>
      </c>
      <c r="E3771" s="4" t="s">
        <v>12</v>
      </c>
      <c r="F3771" t="s">
        <v>295</v>
      </c>
      <c r="G3771" s="1">
        <v>45245</v>
      </c>
      <c r="H3771" s="1">
        <f>TablaDatos[[#This Row],[FechaIngreso]]+TablaDatos[[#This Row],[DiasNuevo]]</f>
        <v>45280</v>
      </c>
      <c r="I3771">
        <v>35</v>
      </c>
      <c r="J3771" t="s">
        <v>19</v>
      </c>
      <c r="K3771" s="3">
        <v>17740.57</v>
      </c>
      <c r="L3771" t="b">
        <f>TablaDatos[[#This Row],[FechaAlta]] &lt; TablaDatos[[#This Row],[FechaIngreso]]</f>
        <v>0</v>
      </c>
      <c r="M3771">
        <f>_xlfn.XLOOKUP(TablaDatos[[#This Row],[PacienteID]],'Datos_Ejemplo.csv'!A:A,'Datos_Ejemplo.csv'!I:I)</f>
        <v>35</v>
      </c>
      <c r="N3771">
        <f>ABS(TablaDatos[[#This Row],[DiasOriginal]])</f>
        <v>35</v>
      </c>
      <c r="O3771" s="1">
        <f>TablaDatos[[#This Row],[FechaIngreso]]+TablaDatos[[#This Row],[DiasNuevo]]</f>
        <v>45280</v>
      </c>
    </row>
    <row r="3772" spans="1:15">
      <c r="A3772">
        <v>3771</v>
      </c>
      <c r="B3772" t="s">
        <v>111</v>
      </c>
      <c r="C3772" s="1">
        <v>35430</v>
      </c>
      <c r="D3772">
        <v>29</v>
      </c>
      <c r="E3772" s="4" t="s">
        <v>15</v>
      </c>
      <c r="F3772" t="s">
        <v>201</v>
      </c>
      <c r="G3772" s="1">
        <v>45594</v>
      </c>
      <c r="H3772" s="1">
        <f>TablaDatos[[#This Row],[FechaIngreso]]+TablaDatos[[#This Row],[DiasNuevo]]</f>
        <v>45630</v>
      </c>
      <c r="I3772">
        <v>36</v>
      </c>
      <c r="J3772" t="s">
        <v>19</v>
      </c>
      <c r="K3772" s="3">
        <v>5698.62</v>
      </c>
      <c r="L3772" t="b">
        <f>TablaDatos[[#This Row],[FechaAlta]] &lt; TablaDatos[[#This Row],[FechaIngreso]]</f>
        <v>0</v>
      </c>
      <c r="M3772">
        <f>_xlfn.XLOOKUP(TablaDatos[[#This Row],[PacienteID]],'Datos_Ejemplo.csv'!A:A,'Datos_Ejemplo.csv'!I:I)</f>
        <v>36</v>
      </c>
      <c r="N3772">
        <f>ABS(TablaDatos[[#This Row],[DiasOriginal]])</f>
        <v>36</v>
      </c>
      <c r="O3772" s="1">
        <f>TablaDatos[[#This Row],[FechaIngreso]]+TablaDatos[[#This Row],[DiasNuevo]]</f>
        <v>45630</v>
      </c>
    </row>
    <row r="3773" spans="1:15">
      <c r="A3773">
        <v>3772</v>
      </c>
      <c r="B3773" t="s">
        <v>242</v>
      </c>
      <c r="C3773" s="1">
        <v>11689</v>
      </c>
      <c r="D3773">
        <v>94</v>
      </c>
      <c r="E3773" s="4" t="s">
        <v>12</v>
      </c>
      <c r="F3773" t="s">
        <v>295</v>
      </c>
      <c r="G3773" s="1">
        <v>44985</v>
      </c>
      <c r="H3773" s="1">
        <f>TablaDatos[[#This Row],[FechaIngreso]]+TablaDatos[[#This Row],[DiasNuevo]]</f>
        <v>45009</v>
      </c>
      <c r="I3773">
        <v>24</v>
      </c>
      <c r="J3773" t="s">
        <v>23</v>
      </c>
      <c r="K3773" s="3">
        <v>6557.65</v>
      </c>
      <c r="L3773" t="b">
        <f>TablaDatos[[#This Row],[FechaAlta]] &lt; TablaDatos[[#This Row],[FechaIngreso]]</f>
        <v>0</v>
      </c>
      <c r="M3773">
        <f>_xlfn.XLOOKUP(TablaDatos[[#This Row],[PacienteID]],'Datos_Ejemplo.csv'!A:A,'Datos_Ejemplo.csv'!I:I)</f>
        <v>24</v>
      </c>
      <c r="N3773">
        <f>ABS(TablaDatos[[#This Row],[DiasOriginal]])</f>
        <v>24</v>
      </c>
      <c r="O3773" s="1">
        <f>TablaDatos[[#This Row],[FechaIngreso]]+TablaDatos[[#This Row],[DiasNuevo]]</f>
        <v>45009</v>
      </c>
    </row>
    <row r="3774" spans="1:15">
      <c r="A3774">
        <v>3773</v>
      </c>
      <c r="B3774" t="s">
        <v>67</v>
      </c>
      <c r="C3774" s="1">
        <v>18994</v>
      </c>
      <c r="D3774">
        <v>74</v>
      </c>
      <c r="E3774" s="4" t="s">
        <v>12</v>
      </c>
      <c r="F3774" t="s">
        <v>18</v>
      </c>
      <c r="G3774" s="1">
        <v>44936</v>
      </c>
      <c r="H3774" s="1">
        <f>TablaDatos[[#This Row],[FechaIngreso]]+TablaDatos[[#This Row],[DiasNuevo]]</f>
        <v>44973</v>
      </c>
      <c r="I3774">
        <v>37</v>
      </c>
      <c r="J3774" t="s">
        <v>23</v>
      </c>
      <c r="K3774" s="3">
        <v>4281.34</v>
      </c>
      <c r="L3774" t="b">
        <f>TablaDatos[[#This Row],[FechaAlta]] &lt; TablaDatos[[#This Row],[FechaIngreso]]</f>
        <v>0</v>
      </c>
      <c r="M3774">
        <f>_xlfn.XLOOKUP(TablaDatos[[#This Row],[PacienteID]],'Datos_Ejemplo.csv'!A:A,'Datos_Ejemplo.csv'!I:I)</f>
        <v>37</v>
      </c>
      <c r="N3774">
        <f>ABS(TablaDatos[[#This Row],[DiasOriginal]])</f>
        <v>37</v>
      </c>
      <c r="O3774" s="1">
        <f>TablaDatos[[#This Row],[FechaIngreso]]+TablaDatos[[#This Row],[DiasNuevo]]</f>
        <v>44973</v>
      </c>
    </row>
    <row r="3775" spans="1:15">
      <c r="A3775">
        <v>3774</v>
      </c>
      <c r="B3775" t="s">
        <v>267</v>
      </c>
      <c r="C3775" s="1">
        <v>20090</v>
      </c>
      <c r="D3775">
        <v>71</v>
      </c>
      <c r="E3775" s="4" t="s">
        <v>15</v>
      </c>
      <c r="F3775" t="s">
        <v>18</v>
      </c>
      <c r="G3775" s="1">
        <v>45050</v>
      </c>
      <c r="H3775" s="1">
        <f>TablaDatos[[#This Row],[FechaIngreso]]+TablaDatos[[#This Row],[DiasNuevo]]</f>
        <v>45078</v>
      </c>
      <c r="I3775">
        <v>28</v>
      </c>
      <c r="J3775" t="s">
        <v>23</v>
      </c>
      <c r="K3775" s="3">
        <v>5001.49</v>
      </c>
      <c r="L3775" t="b">
        <f>TablaDatos[[#This Row],[FechaAlta]] &lt; TablaDatos[[#This Row],[FechaIngreso]]</f>
        <v>0</v>
      </c>
      <c r="M3775">
        <f>_xlfn.XLOOKUP(TablaDatos[[#This Row],[PacienteID]],'Datos_Ejemplo.csv'!A:A,'Datos_Ejemplo.csv'!I:I)</f>
        <v>28</v>
      </c>
      <c r="N3775">
        <f>ABS(TablaDatos[[#This Row],[DiasOriginal]])</f>
        <v>28</v>
      </c>
      <c r="O3775" s="1">
        <f>TablaDatos[[#This Row],[FechaIngreso]]+TablaDatos[[#This Row],[DiasNuevo]]</f>
        <v>45078</v>
      </c>
    </row>
    <row r="3776" spans="1:15">
      <c r="A3776">
        <v>3775</v>
      </c>
      <c r="B3776" t="s">
        <v>116</v>
      </c>
      <c r="C3776" s="1">
        <v>45292</v>
      </c>
      <c r="D3776">
        <v>2</v>
      </c>
      <c r="E3776" s="4" t="s">
        <v>15</v>
      </c>
      <c r="F3776" t="s">
        <v>32</v>
      </c>
      <c r="G3776" s="1">
        <v>45282</v>
      </c>
      <c r="H3776" s="1">
        <f>TablaDatos[[#This Row],[FechaIngreso]]+TablaDatos[[#This Row],[DiasNuevo]]</f>
        <v>45282</v>
      </c>
      <c r="I3776">
        <v>0</v>
      </c>
      <c r="J3776" t="s">
        <v>19</v>
      </c>
      <c r="K3776" s="3">
        <v>1390.12</v>
      </c>
      <c r="L3776" t="b">
        <f>TablaDatos[[#This Row],[FechaAlta]] &lt; TablaDatos[[#This Row],[FechaIngreso]]</f>
        <v>0</v>
      </c>
      <c r="M3776">
        <f>_xlfn.XLOOKUP(TablaDatos[[#This Row],[PacienteID]],'Datos_Ejemplo.csv'!A:A,'Datos_Ejemplo.csv'!I:I)</f>
        <v>0</v>
      </c>
      <c r="N3776">
        <f>ABS(TablaDatos[[#This Row],[DiasOriginal]])</f>
        <v>0</v>
      </c>
      <c r="O3776" s="1">
        <f>TablaDatos[[#This Row],[FechaIngreso]]+TablaDatos[[#This Row],[DiasNuevo]]</f>
        <v>45282</v>
      </c>
    </row>
    <row r="3777" spans="1:15">
      <c r="A3777">
        <v>3776</v>
      </c>
      <c r="B3777" t="s">
        <v>238</v>
      </c>
      <c r="C3777" s="1">
        <v>41274</v>
      </c>
      <c r="D3777">
        <v>13</v>
      </c>
      <c r="E3777" s="4" t="s">
        <v>15</v>
      </c>
      <c r="F3777" t="s">
        <v>201</v>
      </c>
      <c r="G3777" s="1">
        <v>45272</v>
      </c>
      <c r="H3777" s="1">
        <f>TablaDatos[[#This Row],[FechaIngreso]]+TablaDatos[[#This Row],[DiasNuevo]]</f>
        <v>45293</v>
      </c>
      <c r="I3777">
        <v>21</v>
      </c>
      <c r="J3777" t="s">
        <v>23</v>
      </c>
      <c r="K3777" s="3">
        <v>5824.89</v>
      </c>
      <c r="L3777" t="b">
        <f>TablaDatos[[#This Row],[FechaAlta]] &lt; TablaDatos[[#This Row],[FechaIngreso]]</f>
        <v>0</v>
      </c>
      <c r="M3777">
        <f>_xlfn.XLOOKUP(TablaDatos[[#This Row],[PacienteID]],'Datos_Ejemplo.csv'!A:A,'Datos_Ejemplo.csv'!I:I)</f>
        <v>21</v>
      </c>
      <c r="N3777">
        <f>ABS(TablaDatos[[#This Row],[DiasOriginal]])</f>
        <v>21</v>
      </c>
      <c r="O3777" s="1">
        <f>TablaDatos[[#This Row],[FechaIngreso]]+TablaDatos[[#This Row],[DiasNuevo]]</f>
        <v>45293</v>
      </c>
    </row>
    <row r="3778" spans="1:15">
      <c r="A3778">
        <v>3777</v>
      </c>
      <c r="B3778" t="s">
        <v>162</v>
      </c>
      <c r="C3778" s="1">
        <v>24473</v>
      </c>
      <c r="D3778">
        <v>59</v>
      </c>
      <c r="E3778" s="4" t="s">
        <v>15</v>
      </c>
      <c r="F3778" t="s">
        <v>261</v>
      </c>
      <c r="G3778" s="1">
        <v>45163</v>
      </c>
      <c r="H3778" s="1">
        <f>TablaDatos[[#This Row],[FechaIngreso]]+TablaDatos[[#This Row],[DiasNuevo]]</f>
        <v>45175</v>
      </c>
      <c r="I3778">
        <v>12</v>
      </c>
      <c r="J3778" t="s">
        <v>25</v>
      </c>
      <c r="K3778" s="3">
        <v>17178.310000000001</v>
      </c>
      <c r="L3778" t="b">
        <f>TablaDatos[[#This Row],[FechaAlta]] &lt; TablaDatos[[#This Row],[FechaIngreso]]</f>
        <v>0</v>
      </c>
      <c r="M3778">
        <f>_xlfn.XLOOKUP(TablaDatos[[#This Row],[PacienteID]],'Datos_Ejemplo.csv'!A:A,'Datos_Ejemplo.csv'!I:I)</f>
        <v>12</v>
      </c>
      <c r="N3778">
        <f>ABS(TablaDatos[[#This Row],[DiasOriginal]])</f>
        <v>12</v>
      </c>
      <c r="O3778" s="1">
        <f>TablaDatos[[#This Row],[FechaIngreso]]+TablaDatos[[#This Row],[DiasNuevo]]</f>
        <v>45175</v>
      </c>
    </row>
    <row r="3779" spans="1:15">
      <c r="A3779">
        <v>3778</v>
      </c>
      <c r="B3779" t="s">
        <v>242</v>
      </c>
      <c r="C3779" s="1">
        <f ca="1">DATE(YEAR(TODAY())-TablaDatos[[#This Row],[Edad]],1,1)</f>
        <v>18264</v>
      </c>
      <c r="D3779">
        <v>76</v>
      </c>
      <c r="E3779" s="4" t="s">
        <v>12</v>
      </c>
      <c r="F3779" t="s">
        <v>201</v>
      </c>
      <c r="G3779" s="1">
        <v>45259</v>
      </c>
      <c r="H3779" s="1">
        <f>TablaDatos[[#This Row],[FechaIngreso]]+TablaDatos[[#This Row],[DiasNuevo]]</f>
        <v>45262</v>
      </c>
      <c r="I3779">
        <v>3</v>
      </c>
      <c r="J3779" t="s">
        <v>19</v>
      </c>
      <c r="K3779" s="3">
        <v>13737.33</v>
      </c>
      <c r="L3779" t="b">
        <f>TablaDatos[[#This Row],[FechaAlta]] &lt; TablaDatos[[#This Row],[FechaIngreso]]</f>
        <v>0</v>
      </c>
      <c r="M3779">
        <f>_xlfn.XLOOKUP(TablaDatos[[#This Row],[PacienteID]],'Datos_Ejemplo.csv'!A:A,'Datos_Ejemplo.csv'!I:I)</f>
        <v>3</v>
      </c>
      <c r="N3779">
        <f>ABS(TablaDatos[[#This Row],[DiasOriginal]])</f>
        <v>3</v>
      </c>
      <c r="O3779" s="1">
        <f>TablaDatos[[#This Row],[FechaIngreso]]+TablaDatos[[#This Row],[DiasNuevo]]</f>
        <v>45262</v>
      </c>
    </row>
    <row r="3780" spans="1:15">
      <c r="A3780">
        <v>3779</v>
      </c>
      <c r="B3780" t="s">
        <v>267</v>
      </c>
      <c r="C3780" s="1">
        <v>29951</v>
      </c>
      <c r="D3780">
        <v>44</v>
      </c>
      <c r="E3780" s="4" t="s">
        <v>12</v>
      </c>
      <c r="F3780" t="s">
        <v>13</v>
      </c>
      <c r="G3780" s="1">
        <v>44943</v>
      </c>
      <c r="H3780" s="1">
        <f>TablaDatos[[#This Row],[FechaIngreso]]+TablaDatos[[#This Row],[DiasNuevo]]</f>
        <v>44951</v>
      </c>
      <c r="I3780">
        <v>8</v>
      </c>
      <c r="J3780" t="s">
        <v>25</v>
      </c>
      <c r="K3780" s="3">
        <v>17492.89</v>
      </c>
      <c r="L3780" t="b">
        <f>TablaDatos[[#This Row],[FechaAlta]] &lt; TablaDatos[[#This Row],[FechaIngreso]]</f>
        <v>0</v>
      </c>
      <c r="M3780">
        <f>_xlfn.XLOOKUP(TablaDatos[[#This Row],[PacienteID]],'Datos_Ejemplo.csv'!A:A,'Datos_Ejemplo.csv'!I:I)</f>
        <v>8</v>
      </c>
      <c r="N3780">
        <f>ABS(TablaDatos[[#This Row],[DiasOriginal]])</f>
        <v>8</v>
      </c>
      <c r="O3780" s="1">
        <f>TablaDatos[[#This Row],[FechaIngreso]]+TablaDatos[[#This Row],[DiasNuevo]]</f>
        <v>44951</v>
      </c>
    </row>
    <row r="3781" spans="1:15">
      <c r="A3781">
        <v>3780</v>
      </c>
      <c r="B3781" t="s">
        <v>257</v>
      </c>
      <c r="C3781" s="1">
        <v>33969</v>
      </c>
      <c r="D3781">
        <v>33</v>
      </c>
      <c r="E3781" s="4" t="s">
        <v>12</v>
      </c>
      <c r="F3781" t="s">
        <v>18</v>
      </c>
      <c r="G3781" s="1">
        <v>45350</v>
      </c>
      <c r="H3781" s="1">
        <f>TablaDatos[[#This Row],[FechaIngreso]]+TablaDatos[[#This Row],[DiasNuevo]]</f>
        <v>45377</v>
      </c>
      <c r="I3781">
        <v>27</v>
      </c>
      <c r="J3781" t="s">
        <v>19</v>
      </c>
      <c r="K3781" s="3">
        <v>2007.67</v>
      </c>
      <c r="L3781" t="b">
        <f>TablaDatos[[#This Row],[FechaAlta]] &lt; TablaDatos[[#This Row],[FechaIngreso]]</f>
        <v>0</v>
      </c>
      <c r="M3781">
        <f>_xlfn.XLOOKUP(TablaDatos[[#This Row],[PacienteID]],'Datos_Ejemplo.csv'!A:A,'Datos_Ejemplo.csv'!I:I)</f>
        <v>27</v>
      </c>
      <c r="N3781">
        <f>ABS(TablaDatos[[#This Row],[DiasOriginal]])</f>
        <v>27</v>
      </c>
      <c r="O3781" s="1">
        <f>TablaDatos[[#This Row],[FechaIngreso]]+TablaDatos[[#This Row],[DiasNuevo]]</f>
        <v>45377</v>
      </c>
    </row>
    <row r="3782" spans="1:15">
      <c r="A3782">
        <v>3781</v>
      </c>
      <c r="B3782" t="s">
        <v>327</v>
      </c>
      <c r="C3782" s="1">
        <v>29951</v>
      </c>
      <c r="D3782">
        <v>44</v>
      </c>
      <c r="E3782" s="4" t="s">
        <v>12</v>
      </c>
      <c r="F3782" t="s">
        <v>21</v>
      </c>
      <c r="G3782" s="1">
        <v>45250</v>
      </c>
      <c r="H3782" s="1">
        <f>TablaDatos[[#This Row],[FechaIngreso]]+TablaDatos[[#This Row],[DiasNuevo]]</f>
        <v>45282</v>
      </c>
      <c r="I3782">
        <v>32</v>
      </c>
      <c r="J3782" t="s">
        <v>19</v>
      </c>
      <c r="K3782" s="3">
        <v>9057.89</v>
      </c>
      <c r="L3782" t="b">
        <f>TablaDatos[[#This Row],[FechaAlta]] &lt; TablaDatos[[#This Row],[FechaIngreso]]</f>
        <v>0</v>
      </c>
      <c r="M3782">
        <f>_xlfn.XLOOKUP(TablaDatos[[#This Row],[PacienteID]],'Datos_Ejemplo.csv'!A:A,'Datos_Ejemplo.csv'!I:I)</f>
        <v>32</v>
      </c>
      <c r="N3782">
        <f>ABS(TablaDatos[[#This Row],[DiasOriginal]])</f>
        <v>32</v>
      </c>
      <c r="O3782" s="1">
        <f>TablaDatos[[#This Row],[FechaIngreso]]+TablaDatos[[#This Row],[DiasNuevo]]</f>
        <v>45282</v>
      </c>
    </row>
    <row r="3783" spans="1:15">
      <c r="A3783">
        <v>3782</v>
      </c>
      <c r="B3783" t="s">
        <v>337</v>
      </c>
      <c r="C3783" s="1">
        <v>24107</v>
      </c>
      <c r="D3783">
        <v>60</v>
      </c>
      <c r="E3783" s="4" t="s">
        <v>15</v>
      </c>
      <c r="F3783" t="s">
        <v>21</v>
      </c>
      <c r="G3783" s="1">
        <v>44949</v>
      </c>
      <c r="H3783" s="1">
        <f>TablaDatos[[#This Row],[FechaIngreso]]+TablaDatos[[#This Row],[DiasNuevo]]</f>
        <v>44984</v>
      </c>
      <c r="I3783">
        <v>35</v>
      </c>
      <c r="J3783" t="s">
        <v>19</v>
      </c>
      <c r="K3783" s="3">
        <v>4508.0200000000004</v>
      </c>
      <c r="L3783" t="b">
        <f>TablaDatos[[#This Row],[FechaAlta]] &lt; TablaDatos[[#This Row],[FechaIngreso]]</f>
        <v>0</v>
      </c>
      <c r="M3783">
        <f>_xlfn.XLOOKUP(TablaDatos[[#This Row],[PacienteID]],'Datos_Ejemplo.csv'!A:A,'Datos_Ejemplo.csv'!I:I)</f>
        <v>35</v>
      </c>
      <c r="N3783">
        <f>ABS(TablaDatos[[#This Row],[DiasOriginal]])</f>
        <v>35</v>
      </c>
      <c r="O3783" s="1">
        <f>TablaDatos[[#This Row],[FechaIngreso]]+TablaDatos[[#This Row],[DiasNuevo]]</f>
        <v>44984</v>
      </c>
    </row>
    <row r="3784" spans="1:15">
      <c r="A3784">
        <v>3783</v>
      </c>
      <c r="B3784" t="s">
        <v>122</v>
      </c>
      <c r="C3784" s="1">
        <v>16072</v>
      </c>
      <c r="D3784">
        <v>82</v>
      </c>
      <c r="E3784" s="4" t="s">
        <v>12</v>
      </c>
      <c r="F3784" t="s">
        <v>21</v>
      </c>
      <c r="G3784" s="1">
        <v>45385</v>
      </c>
      <c r="H3784" s="1">
        <f>TablaDatos[[#This Row],[FechaIngreso]]+TablaDatos[[#This Row],[DiasNuevo]]</f>
        <v>45422</v>
      </c>
      <c r="I3784">
        <v>37</v>
      </c>
      <c r="J3784" t="s">
        <v>23</v>
      </c>
      <c r="K3784" s="3">
        <v>14396.43</v>
      </c>
      <c r="L3784" t="b">
        <f>TablaDatos[[#This Row],[FechaAlta]] &lt; TablaDatos[[#This Row],[FechaIngreso]]</f>
        <v>0</v>
      </c>
      <c r="M3784">
        <f>_xlfn.XLOOKUP(TablaDatos[[#This Row],[PacienteID]],'Datos_Ejemplo.csv'!A:A,'Datos_Ejemplo.csv'!I:I)</f>
        <v>37</v>
      </c>
      <c r="N3784">
        <f>ABS(TablaDatos[[#This Row],[DiasOriginal]])</f>
        <v>37</v>
      </c>
      <c r="O3784" s="1">
        <f>TablaDatos[[#This Row],[FechaIngreso]]+TablaDatos[[#This Row],[DiasNuevo]]</f>
        <v>45422</v>
      </c>
    </row>
    <row r="3785" spans="1:15">
      <c r="A3785">
        <v>3784</v>
      </c>
      <c r="B3785" t="s">
        <v>241</v>
      </c>
      <c r="C3785" s="1">
        <v>40544</v>
      </c>
      <c r="D3785">
        <v>15</v>
      </c>
      <c r="E3785" s="4" t="s">
        <v>15</v>
      </c>
      <c r="F3785" t="s">
        <v>295</v>
      </c>
      <c r="G3785" s="1">
        <v>45386</v>
      </c>
      <c r="H3785" s="1">
        <f>TablaDatos[[#This Row],[FechaIngreso]]+TablaDatos[[#This Row],[DiasNuevo]]</f>
        <v>45412</v>
      </c>
      <c r="I3785">
        <v>26</v>
      </c>
      <c r="J3785" t="s">
        <v>23</v>
      </c>
      <c r="K3785" s="3">
        <v>19401.78</v>
      </c>
      <c r="L3785" t="b">
        <f>TablaDatos[[#This Row],[FechaAlta]] &lt; TablaDatos[[#This Row],[FechaIngreso]]</f>
        <v>0</v>
      </c>
      <c r="M3785">
        <f>_xlfn.XLOOKUP(TablaDatos[[#This Row],[PacienteID]],'Datos_Ejemplo.csv'!A:A,'Datos_Ejemplo.csv'!I:I)</f>
        <v>26</v>
      </c>
      <c r="N3785">
        <f>ABS(TablaDatos[[#This Row],[DiasOriginal]])</f>
        <v>26</v>
      </c>
      <c r="O3785" s="1">
        <f>TablaDatos[[#This Row],[FechaIngreso]]+TablaDatos[[#This Row],[DiasNuevo]]</f>
        <v>45412</v>
      </c>
    </row>
    <row r="3786" spans="1:15">
      <c r="A3786">
        <v>3785</v>
      </c>
      <c r="B3786" t="s">
        <v>277</v>
      </c>
      <c r="C3786" s="1">
        <v>22281</v>
      </c>
      <c r="D3786">
        <v>65</v>
      </c>
      <c r="E3786" s="4" t="s">
        <v>12</v>
      </c>
      <c r="F3786" t="s">
        <v>261</v>
      </c>
      <c r="G3786" s="1">
        <v>45447</v>
      </c>
      <c r="H3786" s="1">
        <f>TablaDatos[[#This Row],[FechaIngreso]]+TablaDatos[[#This Row],[DiasNuevo]]</f>
        <v>45467</v>
      </c>
      <c r="I3786">
        <v>20</v>
      </c>
      <c r="J3786" t="s">
        <v>19</v>
      </c>
      <c r="K3786" s="3">
        <v>16288.73</v>
      </c>
      <c r="L3786" t="b">
        <f>TablaDatos[[#This Row],[FechaAlta]] &lt; TablaDatos[[#This Row],[FechaIngreso]]</f>
        <v>0</v>
      </c>
      <c r="M3786">
        <f>_xlfn.XLOOKUP(TablaDatos[[#This Row],[PacienteID]],'Datos_Ejemplo.csv'!A:A,'Datos_Ejemplo.csv'!I:I)</f>
        <v>20</v>
      </c>
      <c r="N3786">
        <f>ABS(TablaDatos[[#This Row],[DiasOriginal]])</f>
        <v>20</v>
      </c>
      <c r="O3786" s="1">
        <f>TablaDatos[[#This Row],[FechaIngreso]]+TablaDatos[[#This Row],[DiasNuevo]]</f>
        <v>45467</v>
      </c>
    </row>
    <row r="3787" spans="1:15">
      <c r="A3787">
        <v>3786</v>
      </c>
      <c r="B3787" t="s">
        <v>312</v>
      </c>
      <c r="C3787" s="1">
        <v>31778</v>
      </c>
      <c r="D3787">
        <f ca="1">DATEDIF(TablaDatos[[#This Row],[FechaNacimiento]],TODAY(),"Y")</f>
        <v>39</v>
      </c>
      <c r="E3787" s="4" t="s">
        <v>15</v>
      </c>
      <c r="F3787" t="s">
        <v>32</v>
      </c>
      <c r="G3787" s="1">
        <v>45645</v>
      </c>
      <c r="H3787" s="1">
        <f>TablaDatos[[#This Row],[FechaIngreso]]+TablaDatos[[#This Row],[DiasNuevo]]</f>
        <v>45684</v>
      </c>
      <c r="I3787">
        <v>39</v>
      </c>
      <c r="J3787" t="s">
        <v>19</v>
      </c>
      <c r="K3787" s="3">
        <v>609.09</v>
      </c>
      <c r="L3787" t="b">
        <f>TablaDatos[[#This Row],[FechaAlta]] &lt; TablaDatos[[#This Row],[FechaIngreso]]</f>
        <v>0</v>
      </c>
      <c r="M3787">
        <f>_xlfn.XLOOKUP(TablaDatos[[#This Row],[PacienteID]],'Datos_Ejemplo.csv'!A:A,'Datos_Ejemplo.csv'!I:I)</f>
        <v>39</v>
      </c>
      <c r="N3787">
        <f>ABS(TablaDatos[[#This Row],[DiasOriginal]])</f>
        <v>39</v>
      </c>
      <c r="O3787" s="1">
        <f>TablaDatos[[#This Row],[FechaIngreso]]+TablaDatos[[#This Row],[DiasNuevo]]</f>
        <v>45684</v>
      </c>
    </row>
    <row r="3788" spans="1:15">
      <c r="A3788">
        <v>3787</v>
      </c>
      <c r="B3788" t="s">
        <v>265</v>
      </c>
      <c r="C3788" s="1">
        <v>40178</v>
      </c>
      <c r="D3788">
        <v>16</v>
      </c>
      <c r="E3788" s="4" t="s">
        <v>12</v>
      </c>
      <c r="F3788" t="s">
        <v>261</v>
      </c>
      <c r="G3788" s="1">
        <v>45483</v>
      </c>
      <c r="H3788" s="1">
        <f>TablaDatos[[#This Row],[FechaIngreso]]+TablaDatos[[#This Row],[DiasNuevo]]</f>
        <v>45522</v>
      </c>
      <c r="I3788">
        <v>39</v>
      </c>
      <c r="J3788" t="s">
        <v>19</v>
      </c>
      <c r="K3788" s="3">
        <v>6264.86</v>
      </c>
      <c r="L3788" t="b">
        <f>TablaDatos[[#This Row],[FechaAlta]] &lt; TablaDatos[[#This Row],[FechaIngreso]]</f>
        <v>0</v>
      </c>
      <c r="M3788">
        <f>_xlfn.XLOOKUP(TablaDatos[[#This Row],[PacienteID]],'Datos_Ejemplo.csv'!A:A,'Datos_Ejemplo.csv'!I:I)</f>
        <v>39</v>
      </c>
      <c r="N3788">
        <f>ABS(TablaDatos[[#This Row],[DiasOriginal]])</f>
        <v>39</v>
      </c>
      <c r="O3788" s="1">
        <f>TablaDatos[[#This Row],[FechaIngreso]]+TablaDatos[[#This Row],[DiasNuevo]]</f>
        <v>45522</v>
      </c>
    </row>
    <row r="3789" spans="1:15">
      <c r="A3789">
        <v>3788</v>
      </c>
      <c r="B3789" t="s">
        <v>114</v>
      </c>
      <c r="C3789" s="1">
        <v>33969</v>
      </c>
      <c r="D3789">
        <v>33</v>
      </c>
      <c r="E3789" s="4" t="s">
        <v>12</v>
      </c>
      <c r="F3789" t="s">
        <v>295</v>
      </c>
      <c r="G3789" s="1">
        <v>45347</v>
      </c>
      <c r="H3789" s="1">
        <f>TablaDatos[[#This Row],[FechaIngreso]]+TablaDatos[[#This Row],[DiasNuevo]]</f>
        <v>45347</v>
      </c>
      <c r="I3789">
        <v>0</v>
      </c>
      <c r="J3789" t="s">
        <v>19</v>
      </c>
      <c r="K3789" s="3">
        <v>474.45</v>
      </c>
      <c r="L3789" t="b">
        <f>TablaDatos[[#This Row],[FechaAlta]] &lt; TablaDatos[[#This Row],[FechaIngreso]]</f>
        <v>0</v>
      </c>
      <c r="M3789">
        <f>_xlfn.XLOOKUP(TablaDatos[[#This Row],[PacienteID]],'Datos_Ejemplo.csv'!A:A,'Datos_Ejemplo.csv'!I:I)</f>
        <v>0</v>
      </c>
      <c r="N3789">
        <f>ABS(TablaDatos[[#This Row],[DiasOriginal]])</f>
        <v>0</v>
      </c>
      <c r="O3789" s="1">
        <f>TablaDatos[[#This Row],[FechaIngreso]]+TablaDatos[[#This Row],[DiasNuevo]]</f>
        <v>45347</v>
      </c>
    </row>
    <row r="3790" spans="1:15">
      <c r="A3790">
        <v>3789</v>
      </c>
      <c r="B3790" t="s">
        <v>130</v>
      </c>
      <c r="C3790" s="1">
        <v>40544</v>
      </c>
      <c r="D3790">
        <v>15</v>
      </c>
      <c r="E3790" s="4" t="s">
        <v>15</v>
      </c>
      <c r="F3790" t="s">
        <v>261</v>
      </c>
      <c r="G3790" s="1">
        <v>45329</v>
      </c>
      <c r="H3790" s="1">
        <f>TablaDatos[[#This Row],[FechaIngreso]]+TablaDatos[[#This Row],[DiasNuevo]]</f>
        <v>45352</v>
      </c>
      <c r="I3790">
        <v>23</v>
      </c>
      <c r="J3790" t="s">
        <v>23</v>
      </c>
      <c r="K3790" s="3">
        <v>707.36</v>
      </c>
      <c r="L3790" t="b">
        <f>TablaDatos[[#This Row],[FechaAlta]] &lt; TablaDatos[[#This Row],[FechaIngreso]]</f>
        <v>0</v>
      </c>
      <c r="M3790">
        <f>_xlfn.XLOOKUP(TablaDatos[[#This Row],[PacienteID]],'Datos_Ejemplo.csv'!A:A,'Datos_Ejemplo.csv'!I:I)</f>
        <v>23</v>
      </c>
      <c r="N3790">
        <f>ABS(TablaDatos[[#This Row],[DiasOriginal]])</f>
        <v>23</v>
      </c>
      <c r="O3790" s="1">
        <f>TablaDatos[[#This Row],[FechaIngreso]]+TablaDatos[[#This Row],[DiasNuevo]]</f>
        <v>45352</v>
      </c>
    </row>
    <row r="3791" spans="1:15">
      <c r="A3791">
        <v>3790</v>
      </c>
      <c r="B3791" t="s">
        <v>332</v>
      </c>
      <c r="C3791" s="1">
        <v>24473</v>
      </c>
      <c r="D3791">
        <v>59</v>
      </c>
      <c r="E3791" s="4" t="s">
        <v>15</v>
      </c>
      <c r="F3791" t="s">
        <v>261</v>
      </c>
      <c r="G3791" s="1">
        <v>45257</v>
      </c>
      <c r="H3791" s="1">
        <f>TablaDatos[[#This Row],[FechaIngreso]]+TablaDatos[[#This Row],[DiasNuevo]]</f>
        <v>45268</v>
      </c>
      <c r="I3791">
        <v>11</v>
      </c>
      <c r="J3791" t="s">
        <v>23</v>
      </c>
      <c r="K3791" s="3">
        <v>1498.26</v>
      </c>
      <c r="L3791" t="b">
        <f>TablaDatos[[#This Row],[FechaAlta]] &lt; TablaDatos[[#This Row],[FechaIngreso]]</f>
        <v>0</v>
      </c>
      <c r="M3791">
        <f>_xlfn.XLOOKUP(TablaDatos[[#This Row],[PacienteID]],'Datos_Ejemplo.csv'!A:A,'Datos_Ejemplo.csv'!I:I)</f>
        <v>11</v>
      </c>
      <c r="N3791">
        <f>ABS(TablaDatos[[#This Row],[DiasOriginal]])</f>
        <v>11</v>
      </c>
      <c r="O3791" s="1">
        <f>TablaDatos[[#This Row],[FechaIngreso]]+TablaDatos[[#This Row],[DiasNuevo]]</f>
        <v>45268</v>
      </c>
    </row>
    <row r="3792" spans="1:15">
      <c r="A3792">
        <v>3791</v>
      </c>
      <c r="B3792" t="s">
        <v>248</v>
      </c>
      <c r="C3792" s="1">
        <v>22281</v>
      </c>
      <c r="D3792">
        <v>65</v>
      </c>
      <c r="E3792" s="4" t="s">
        <v>12</v>
      </c>
      <c r="F3792" t="s">
        <v>201</v>
      </c>
      <c r="G3792" s="1">
        <v>45383</v>
      </c>
      <c r="H3792" s="1">
        <f>TablaDatos[[#This Row],[FechaIngreso]]+TablaDatos[[#This Row],[DiasNuevo]]</f>
        <v>45399</v>
      </c>
      <c r="I3792">
        <v>16</v>
      </c>
      <c r="J3792" t="s">
        <v>23</v>
      </c>
      <c r="K3792" s="3">
        <v>5454.17</v>
      </c>
      <c r="L3792" t="b">
        <f>TablaDatos[[#This Row],[FechaAlta]] &lt; TablaDatos[[#This Row],[FechaIngreso]]</f>
        <v>0</v>
      </c>
      <c r="M3792">
        <f>_xlfn.XLOOKUP(TablaDatos[[#This Row],[PacienteID]],'Datos_Ejemplo.csv'!A:A,'Datos_Ejemplo.csv'!I:I)</f>
        <v>16</v>
      </c>
      <c r="N3792">
        <f>ABS(TablaDatos[[#This Row],[DiasOriginal]])</f>
        <v>16</v>
      </c>
      <c r="O3792" s="1">
        <f>TablaDatos[[#This Row],[FechaIngreso]]+TablaDatos[[#This Row],[DiasNuevo]]</f>
        <v>45399</v>
      </c>
    </row>
    <row r="3793" spans="1:15">
      <c r="A3793">
        <v>3792</v>
      </c>
      <c r="B3793" t="s">
        <v>250</v>
      </c>
      <c r="C3793" s="1">
        <v>22281</v>
      </c>
      <c r="D3793">
        <v>65</v>
      </c>
      <c r="E3793" s="4" t="s">
        <v>15</v>
      </c>
      <c r="F3793" t="s">
        <v>21</v>
      </c>
      <c r="G3793" s="1">
        <v>45409</v>
      </c>
      <c r="H3793" s="1">
        <f>TablaDatos[[#This Row],[FechaIngreso]]+TablaDatos[[#This Row],[DiasNuevo]]</f>
        <v>45427</v>
      </c>
      <c r="I3793">
        <v>18</v>
      </c>
      <c r="J3793" t="s">
        <v>23</v>
      </c>
      <c r="K3793" s="3">
        <v>6014.48</v>
      </c>
      <c r="L3793" t="b">
        <f>TablaDatos[[#This Row],[FechaAlta]] &lt; TablaDatos[[#This Row],[FechaIngreso]]</f>
        <v>0</v>
      </c>
      <c r="M3793">
        <f>_xlfn.XLOOKUP(TablaDatos[[#This Row],[PacienteID]],'Datos_Ejemplo.csv'!A:A,'Datos_Ejemplo.csv'!I:I)</f>
        <v>18</v>
      </c>
      <c r="N3793">
        <f>ABS(TablaDatos[[#This Row],[DiasOriginal]])</f>
        <v>18</v>
      </c>
      <c r="O3793" s="1">
        <f>TablaDatos[[#This Row],[FechaIngreso]]+TablaDatos[[#This Row],[DiasNuevo]]</f>
        <v>45427</v>
      </c>
    </row>
    <row r="3794" spans="1:15">
      <c r="A3794">
        <v>3793</v>
      </c>
      <c r="B3794" t="s">
        <v>344</v>
      </c>
      <c r="C3794" s="1">
        <v>13515</v>
      </c>
      <c r="D3794">
        <v>89</v>
      </c>
      <c r="E3794" s="4" t="s">
        <v>12</v>
      </c>
      <c r="F3794" t="s">
        <v>18</v>
      </c>
      <c r="G3794" s="1">
        <v>45424</v>
      </c>
      <c r="H3794" s="1">
        <f>TablaDatos[[#This Row],[FechaIngreso]]+TablaDatos[[#This Row],[DiasNuevo]]</f>
        <v>45442</v>
      </c>
      <c r="I3794">
        <v>18</v>
      </c>
      <c r="J3794" t="s">
        <v>25</v>
      </c>
      <c r="K3794" s="3">
        <v>7949.12</v>
      </c>
      <c r="L3794" t="b">
        <f>TablaDatos[[#This Row],[FechaAlta]] &lt; TablaDatos[[#This Row],[FechaIngreso]]</f>
        <v>0</v>
      </c>
      <c r="M3794">
        <f>_xlfn.XLOOKUP(TablaDatos[[#This Row],[PacienteID]],'Datos_Ejemplo.csv'!A:A,'Datos_Ejemplo.csv'!I:I)</f>
        <v>18</v>
      </c>
      <c r="N3794">
        <f>ABS(TablaDatos[[#This Row],[DiasOriginal]])</f>
        <v>18</v>
      </c>
      <c r="O3794" s="1">
        <f>TablaDatos[[#This Row],[FechaIngreso]]+TablaDatos[[#This Row],[DiasNuevo]]</f>
        <v>45442</v>
      </c>
    </row>
    <row r="3795" spans="1:15">
      <c r="A3795">
        <v>3794</v>
      </c>
      <c r="B3795" t="s">
        <v>239</v>
      </c>
      <c r="C3795" s="1">
        <v>41639</v>
      </c>
      <c r="D3795">
        <v>12</v>
      </c>
      <c r="E3795" s="4" t="s">
        <v>12</v>
      </c>
      <c r="F3795" t="s">
        <v>21</v>
      </c>
      <c r="G3795" s="1">
        <v>44953</v>
      </c>
      <c r="H3795" s="1">
        <f>TablaDatos[[#This Row],[FechaIngreso]]+TablaDatos[[#This Row],[DiasNuevo]]</f>
        <v>44959</v>
      </c>
      <c r="I3795">
        <v>6</v>
      </c>
      <c r="J3795" t="s">
        <v>19</v>
      </c>
      <c r="K3795" s="3">
        <v>8039.11</v>
      </c>
      <c r="L3795" t="b">
        <f>TablaDatos[[#This Row],[FechaAlta]] &lt; TablaDatos[[#This Row],[FechaIngreso]]</f>
        <v>0</v>
      </c>
      <c r="M3795">
        <f>_xlfn.XLOOKUP(TablaDatos[[#This Row],[PacienteID]],'Datos_Ejemplo.csv'!A:A,'Datos_Ejemplo.csv'!I:I)</f>
        <v>6</v>
      </c>
      <c r="N3795">
        <f>ABS(TablaDatos[[#This Row],[DiasOriginal]])</f>
        <v>6</v>
      </c>
      <c r="O3795" s="1">
        <f>TablaDatos[[#This Row],[FechaIngreso]]+TablaDatos[[#This Row],[DiasNuevo]]</f>
        <v>44959</v>
      </c>
    </row>
    <row r="3796" spans="1:15">
      <c r="A3796">
        <v>3795</v>
      </c>
      <c r="B3796" t="s">
        <v>354</v>
      </c>
      <c r="C3796" s="1">
        <v>25934</v>
      </c>
      <c r="D3796">
        <v>55</v>
      </c>
      <c r="E3796" s="4" t="s">
        <v>12</v>
      </c>
      <c r="F3796" t="s">
        <v>261</v>
      </c>
      <c r="G3796" s="1">
        <v>45323</v>
      </c>
      <c r="H3796" s="1">
        <f>TablaDatos[[#This Row],[FechaIngreso]]+TablaDatos[[#This Row],[DiasNuevo]]</f>
        <v>45333</v>
      </c>
      <c r="I3796">
        <v>10</v>
      </c>
      <c r="J3796" t="s">
        <v>23</v>
      </c>
      <c r="K3796" s="3">
        <v>15405.32</v>
      </c>
      <c r="L3796" t="b">
        <f>TablaDatos[[#This Row],[FechaAlta]] &lt; TablaDatos[[#This Row],[FechaIngreso]]</f>
        <v>0</v>
      </c>
      <c r="M3796">
        <f>_xlfn.XLOOKUP(TablaDatos[[#This Row],[PacienteID]],'Datos_Ejemplo.csv'!A:A,'Datos_Ejemplo.csv'!I:I)</f>
        <v>10</v>
      </c>
      <c r="N3796">
        <f>ABS(TablaDatos[[#This Row],[DiasOriginal]])</f>
        <v>10</v>
      </c>
      <c r="O3796" s="1">
        <f>TablaDatos[[#This Row],[FechaIngreso]]+TablaDatos[[#This Row],[DiasNuevo]]</f>
        <v>45333</v>
      </c>
    </row>
    <row r="3797" spans="1:15">
      <c r="A3797">
        <v>3796</v>
      </c>
      <c r="B3797" t="s">
        <v>66</v>
      </c>
      <c r="C3797" s="1">
        <v>35065</v>
      </c>
      <c r="D3797">
        <v>30</v>
      </c>
      <c r="E3797" s="4" t="s">
        <v>15</v>
      </c>
      <c r="F3797" t="s">
        <v>18</v>
      </c>
      <c r="G3797" s="1">
        <v>45114</v>
      </c>
      <c r="H3797" s="1">
        <f>TablaDatos[[#This Row],[FechaIngreso]]+TablaDatos[[#This Row],[DiasNuevo]]</f>
        <v>45152</v>
      </c>
      <c r="I3797">
        <v>38</v>
      </c>
      <c r="J3797" t="s">
        <v>23</v>
      </c>
      <c r="K3797" s="3">
        <v>2742.21</v>
      </c>
      <c r="L3797" t="b">
        <f>TablaDatos[[#This Row],[FechaAlta]] &lt; TablaDatos[[#This Row],[FechaIngreso]]</f>
        <v>0</v>
      </c>
      <c r="M3797">
        <f>_xlfn.XLOOKUP(TablaDatos[[#This Row],[PacienteID]],'Datos_Ejemplo.csv'!A:A,'Datos_Ejemplo.csv'!I:I)</f>
        <v>38</v>
      </c>
      <c r="N3797">
        <f>ABS(TablaDatos[[#This Row],[DiasOriginal]])</f>
        <v>38</v>
      </c>
      <c r="O3797" s="1">
        <f>TablaDatos[[#This Row],[FechaIngreso]]+TablaDatos[[#This Row],[DiasNuevo]]</f>
        <v>45152</v>
      </c>
    </row>
    <row r="3798" spans="1:15">
      <c r="A3798">
        <v>3797</v>
      </c>
      <c r="B3798" t="s">
        <v>241</v>
      </c>
      <c r="C3798" s="1">
        <v>33969</v>
      </c>
      <c r="D3798">
        <v>33</v>
      </c>
      <c r="E3798" s="4" t="s">
        <v>12</v>
      </c>
      <c r="F3798" t="s">
        <v>201</v>
      </c>
      <c r="G3798" s="1">
        <v>45066</v>
      </c>
      <c r="H3798" s="1">
        <f>TablaDatos[[#This Row],[FechaIngreso]]+TablaDatos[[#This Row],[DiasNuevo]]</f>
        <v>45100</v>
      </c>
      <c r="I3798">
        <v>34</v>
      </c>
      <c r="J3798" t="s">
        <v>23</v>
      </c>
      <c r="K3798" s="3">
        <v>3070.59</v>
      </c>
      <c r="L3798" t="b">
        <f>TablaDatos[[#This Row],[FechaAlta]] &lt; TablaDatos[[#This Row],[FechaIngreso]]</f>
        <v>0</v>
      </c>
      <c r="M3798">
        <f>_xlfn.XLOOKUP(TablaDatos[[#This Row],[PacienteID]],'Datos_Ejemplo.csv'!A:A,'Datos_Ejemplo.csv'!I:I)</f>
        <v>34</v>
      </c>
      <c r="N3798">
        <f>ABS(TablaDatos[[#This Row],[DiasOriginal]])</f>
        <v>34</v>
      </c>
      <c r="O3798" s="1">
        <f>TablaDatos[[#This Row],[FechaIngreso]]+TablaDatos[[#This Row],[DiasNuevo]]</f>
        <v>45100</v>
      </c>
    </row>
    <row r="3799" spans="1:15">
      <c r="A3799">
        <v>3798</v>
      </c>
      <c r="B3799" t="s">
        <v>90</v>
      </c>
      <c r="C3799" s="1">
        <v>32143</v>
      </c>
      <c r="D3799">
        <v>38</v>
      </c>
      <c r="E3799" s="4" t="s">
        <v>15</v>
      </c>
      <c r="F3799" t="s">
        <v>32</v>
      </c>
      <c r="G3799" s="1">
        <v>45447</v>
      </c>
      <c r="H3799" s="1">
        <f>TablaDatos[[#This Row],[FechaIngreso]]+TablaDatos[[#This Row],[DiasNuevo]]</f>
        <v>45482</v>
      </c>
      <c r="I3799">
        <v>35</v>
      </c>
      <c r="J3799" t="s">
        <v>19</v>
      </c>
      <c r="K3799" s="3">
        <v>12494.44</v>
      </c>
      <c r="L3799" t="b">
        <f>TablaDatos[[#This Row],[FechaAlta]] &lt; TablaDatos[[#This Row],[FechaIngreso]]</f>
        <v>0</v>
      </c>
      <c r="M3799">
        <f>_xlfn.XLOOKUP(TablaDatos[[#This Row],[PacienteID]],'Datos_Ejemplo.csv'!A:A,'Datos_Ejemplo.csv'!I:I)</f>
        <v>35</v>
      </c>
      <c r="N3799">
        <f>ABS(TablaDatos[[#This Row],[DiasOriginal]])</f>
        <v>35</v>
      </c>
      <c r="O3799" s="1">
        <f>TablaDatos[[#This Row],[FechaIngreso]]+TablaDatos[[#This Row],[DiasNuevo]]</f>
        <v>45482</v>
      </c>
    </row>
    <row r="3800" spans="1:15">
      <c r="A3800">
        <v>3799</v>
      </c>
      <c r="B3800" t="s">
        <v>349</v>
      </c>
      <c r="C3800" s="1">
        <v>21916</v>
      </c>
      <c r="D3800">
        <v>66</v>
      </c>
      <c r="E3800" s="4" t="s">
        <v>15</v>
      </c>
      <c r="F3800" t="s">
        <v>13</v>
      </c>
      <c r="G3800" s="1">
        <v>45018</v>
      </c>
      <c r="H3800" s="1">
        <f>TablaDatos[[#This Row],[FechaIngreso]]+TablaDatos[[#This Row],[DiasNuevo]]</f>
        <v>45039</v>
      </c>
      <c r="I3800">
        <v>21</v>
      </c>
      <c r="J3800" t="s">
        <v>19</v>
      </c>
      <c r="K3800" s="3">
        <v>11392.02</v>
      </c>
      <c r="L3800" t="b">
        <f>TablaDatos[[#This Row],[FechaAlta]] &lt; TablaDatos[[#This Row],[FechaIngreso]]</f>
        <v>0</v>
      </c>
      <c r="M3800">
        <f>_xlfn.XLOOKUP(TablaDatos[[#This Row],[PacienteID]],'Datos_Ejemplo.csv'!A:A,'Datos_Ejemplo.csv'!I:I)</f>
        <v>21</v>
      </c>
      <c r="N3800">
        <f>ABS(TablaDatos[[#This Row],[DiasOriginal]])</f>
        <v>21</v>
      </c>
      <c r="O3800" s="1">
        <f>TablaDatos[[#This Row],[FechaIngreso]]+TablaDatos[[#This Row],[DiasNuevo]]</f>
        <v>45039</v>
      </c>
    </row>
    <row r="3801" spans="1:15">
      <c r="A3801">
        <v>3800</v>
      </c>
      <c r="B3801" t="s">
        <v>330</v>
      </c>
      <c r="C3801" s="1">
        <v>43466</v>
      </c>
      <c r="D3801">
        <f ca="1">DATEDIF(TablaDatos[[#This Row],[FechaNacimiento]],TODAY(),"Y")</f>
        <v>7</v>
      </c>
      <c r="E3801" s="4" t="s">
        <v>12</v>
      </c>
      <c r="F3801" t="s">
        <v>18</v>
      </c>
      <c r="G3801" s="1">
        <v>45003</v>
      </c>
      <c r="H3801" s="1">
        <f>TablaDatos[[#This Row],[FechaIngreso]]+TablaDatos[[#This Row],[DiasNuevo]]</f>
        <v>45038</v>
      </c>
      <c r="I3801">
        <v>35</v>
      </c>
      <c r="J3801" t="s">
        <v>25</v>
      </c>
      <c r="K3801" s="3">
        <v>2995.49</v>
      </c>
      <c r="L3801" t="b">
        <f>TablaDatos[[#This Row],[FechaAlta]] &lt; TablaDatos[[#This Row],[FechaIngreso]]</f>
        <v>0</v>
      </c>
      <c r="M3801">
        <f>_xlfn.XLOOKUP(TablaDatos[[#This Row],[PacienteID]],'Datos_Ejemplo.csv'!A:A,'Datos_Ejemplo.csv'!I:I)</f>
        <v>35</v>
      </c>
      <c r="N3801">
        <f>ABS(TablaDatos[[#This Row],[DiasOriginal]])</f>
        <v>35</v>
      </c>
      <c r="O3801" s="1">
        <f>TablaDatos[[#This Row],[FechaIngreso]]+TablaDatos[[#This Row],[DiasNuevo]]</f>
        <v>45038</v>
      </c>
    </row>
    <row r="3802" spans="1:15">
      <c r="A3802">
        <v>3801</v>
      </c>
      <c r="B3802" t="s">
        <v>336</v>
      </c>
      <c r="C3802" s="1">
        <v>14611</v>
      </c>
      <c r="D3802">
        <v>86</v>
      </c>
      <c r="E3802" s="4" t="s">
        <v>12</v>
      </c>
      <c r="F3802" t="s">
        <v>295</v>
      </c>
      <c r="G3802" s="1">
        <v>45170</v>
      </c>
      <c r="H3802" s="1">
        <f>TablaDatos[[#This Row],[FechaIngreso]]+TablaDatos[[#This Row],[DiasNuevo]]</f>
        <v>45178</v>
      </c>
      <c r="I3802">
        <v>8</v>
      </c>
      <c r="J3802" t="s">
        <v>23</v>
      </c>
      <c r="K3802" s="3">
        <v>17030.509999999998</v>
      </c>
      <c r="L3802" t="b">
        <f>TablaDatos[[#This Row],[FechaAlta]] &lt; TablaDatos[[#This Row],[FechaIngreso]]</f>
        <v>0</v>
      </c>
      <c r="M3802">
        <f>_xlfn.XLOOKUP(TablaDatos[[#This Row],[PacienteID]],'Datos_Ejemplo.csv'!A:A,'Datos_Ejemplo.csv'!I:I)</f>
        <v>8</v>
      </c>
      <c r="N3802">
        <f>ABS(TablaDatos[[#This Row],[DiasOriginal]])</f>
        <v>8</v>
      </c>
      <c r="O3802" s="1">
        <f>TablaDatos[[#This Row],[FechaIngreso]]+TablaDatos[[#This Row],[DiasNuevo]]</f>
        <v>45178</v>
      </c>
    </row>
    <row r="3803" spans="1:15">
      <c r="A3803">
        <v>3802</v>
      </c>
      <c r="B3803" t="s">
        <v>245</v>
      </c>
      <c r="C3803" s="1">
        <v>17898</v>
      </c>
      <c r="D3803">
        <v>77</v>
      </c>
      <c r="E3803" s="4" t="s">
        <v>15</v>
      </c>
      <c r="F3803" t="s">
        <v>21</v>
      </c>
      <c r="G3803" s="1">
        <v>45593</v>
      </c>
      <c r="H3803" s="1">
        <f>TablaDatos[[#This Row],[FechaIngreso]]+TablaDatos[[#This Row],[DiasNuevo]]</f>
        <v>45619</v>
      </c>
      <c r="I3803">
        <v>26</v>
      </c>
      <c r="J3803" t="s">
        <v>25</v>
      </c>
      <c r="K3803" s="3">
        <v>6514.09</v>
      </c>
      <c r="L3803" t="b">
        <f>TablaDatos[[#This Row],[FechaAlta]] &lt; TablaDatos[[#This Row],[FechaIngreso]]</f>
        <v>0</v>
      </c>
      <c r="M3803">
        <f>_xlfn.XLOOKUP(TablaDatos[[#This Row],[PacienteID]],'Datos_Ejemplo.csv'!A:A,'Datos_Ejemplo.csv'!I:I)</f>
        <v>26</v>
      </c>
      <c r="N3803">
        <f>ABS(TablaDatos[[#This Row],[DiasOriginal]])</f>
        <v>26</v>
      </c>
      <c r="O3803" s="1">
        <f>TablaDatos[[#This Row],[FechaIngreso]]+TablaDatos[[#This Row],[DiasNuevo]]</f>
        <v>45619</v>
      </c>
    </row>
    <row r="3804" spans="1:15">
      <c r="A3804">
        <v>3803</v>
      </c>
      <c r="B3804" t="s">
        <v>329</v>
      </c>
      <c r="C3804" s="1">
        <v>26299</v>
      </c>
      <c r="D3804">
        <v>54</v>
      </c>
      <c r="E3804" s="4" t="s">
        <v>15</v>
      </c>
      <c r="F3804" t="s">
        <v>201</v>
      </c>
      <c r="G3804" s="1">
        <v>45656</v>
      </c>
      <c r="H3804" s="1">
        <f>TablaDatos[[#This Row],[FechaIngreso]]+TablaDatos[[#This Row],[DiasNuevo]]</f>
        <v>45691</v>
      </c>
      <c r="I3804">
        <v>35</v>
      </c>
      <c r="J3804" t="s">
        <v>19</v>
      </c>
      <c r="K3804" s="3">
        <v>7276.04</v>
      </c>
      <c r="L3804" t="b">
        <f>TablaDatos[[#This Row],[FechaAlta]] &lt; TablaDatos[[#This Row],[FechaIngreso]]</f>
        <v>0</v>
      </c>
      <c r="M3804">
        <f>_xlfn.XLOOKUP(TablaDatos[[#This Row],[PacienteID]],'Datos_Ejemplo.csv'!A:A,'Datos_Ejemplo.csv'!I:I)</f>
        <v>35</v>
      </c>
      <c r="N3804">
        <f>ABS(TablaDatos[[#This Row],[DiasOriginal]])</f>
        <v>35</v>
      </c>
      <c r="O3804" s="1">
        <f>TablaDatos[[#This Row],[FechaIngreso]]+TablaDatos[[#This Row],[DiasNuevo]]</f>
        <v>45691</v>
      </c>
    </row>
    <row r="3805" spans="1:15">
      <c r="A3805">
        <v>3804</v>
      </c>
      <c r="B3805" t="s">
        <v>338</v>
      </c>
      <c r="C3805" s="1">
        <v>36526</v>
      </c>
      <c r="D3805">
        <v>26</v>
      </c>
      <c r="E3805" s="4" t="s">
        <v>12</v>
      </c>
      <c r="F3805" t="s">
        <v>201</v>
      </c>
      <c r="G3805" s="1">
        <v>45588</v>
      </c>
      <c r="H3805" s="1">
        <f>TablaDatos[[#This Row],[FechaIngreso]]+TablaDatos[[#This Row],[DiasNuevo]]</f>
        <v>45626</v>
      </c>
      <c r="I3805">
        <v>38</v>
      </c>
      <c r="J3805" t="s">
        <v>25</v>
      </c>
      <c r="K3805" s="3">
        <v>8351.25</v>
      </c>
      <c r="L3805" t="b">
        <f>TablaDatos[[#This Row],[FechaAlta]] &lt; TablaDatos[[#This Row],[FechaIngreso]]</f>
        <v>0</v>
      </c>
      <c r="M3805">
        <f>_xlfn.XLOOKUP(TablaDatos[[#This Row],[PacienteID]],'Datos_Ejemplo.csv'!A:A,'Datos_Ejemplo.csv'!I:I)</f>
        <v>38</v>
      </c>
      <c r="N3805">
        <f>ABS(TablaDatos[[#This Row],[DiasOriginal]])</f>
        <v>38</v>
      </c>
      <c r="O3805" s="1">
        <f>TablaDatos[[#This Row],[FechaIngreso]]+TablaDatos[[#This Row],[DiasNuevo]]</f>
        <v>45626</v>
      </c>
    </row>
    <row r="3806" spans="1:15">
      <c r="A3806">
        <v>3805</v>
      </c>
      <c r="B3806" t="s">
        <v>351</v>
      </c>
      <c r="C3806" s="1">
        <v>12419</v>
      </c>
      <c r="D3806">
        <v>92</v>
      </c>
      <c r="E3806" s="4" t="s">
        <v>12</v>
      </c>
      <c r="F3806" t="s">
        <v>21</v>
      </c>
      <c r="G3806" s="1">
        <v>45014</v>
      </c>
      <c r="H3806" s="1">
        <f>TablaDatos[[#This Row],[FechaIngreso]]+TablaDatos[[#This Row],[DiasNuevo]]</f>
        <v>45028</v>
      </c>
      <c r="I3806">
        <v>14</v>
      </c>
      <c r="J3806" t="s">
        <v>23</v>
      </c>
      <c r="K3806" s="3">
        <v>6386.31</v>
      </c>
      <c r="L3806" t="b">
        <f>TablaDatos[[#This Row],[FechaAlta]] &lt; TablaDatos[[#This Row],[FechaIngreso]]</f>
        <v>0</v>
      </c>
      <c r="M3806">
        <f>_xlfn.XLOOKUP(TablaDatos[[#This Row],[PacienteID]],'Datos_Ejemplo.csv'!A:A,'Datos_Ejemplo.csv'!I:I)</f>
        <v>14</v>
      </c>
      <c r="N3806">
        <f>ABS(TablaDatos[[#This Row],[DiasOriginal]])</f>
        <v>14</v>
      </c>
      <c r="O3806" s="1">
        <f>TablaDatos[[#This Row],[FechaIngreso]]+TablaDatos[[#This Row],[DiasNuevo]]</f>
        <v>45028</v>
      </c>
    </row>
    <row r="3807" spans="1:15">
      <c r="A3807">
        <v>3806</v>
      </c>
      <c r="B3807" t="s">
        <v>271</v>
      </c>
      <c r="C3807" s="1">
        <v>27029</v>
      </c>
      <c r="D3807">
        <v>52</v>
      </c>
      <c r="E3807" s="4" t="s">
        <v>12</v>
      </c>
      <c r="F3807" t="s">
        <v>261</v>
      </c>
      <c r="G3807" s="1">
        <v>45544</v>
      </c>
      <c r="H3807" s="1">
        <f>TablaDatos[[#This Row],[FechaIngreso]]+TablaDatos[[#This Row],[DiasNuevo]]</f>
        <v>45567</v>
      </c>
      <c r="I3807">
        <v>23</v>
      </c>
      <c r="J3807" t="s">
        <v>25</v>
      </c>
      <c r="K3807" s="3">
        <v>11104.85</v>
      </c>
      <c r="L3807" t="b">
        <f>TablaDatos[[#This Row],[FechaAlta]] &lt; TablaDatos[[#This Row],[FechaIngreso]]</f>
        <v>0</v>
      </c>
      <c r="M3807">
        <f>_xlfn.XLOOKUP(TablaDatos[[#This Row],[PacienteID]],'Datos_Ejemplo.csv'!A:A,'Datos_Ejemplo.csv'!I:I)</f>
        <v>23</v>
      </c>
      <c r="N3807">
        <f>ABS(TablaDatos[[#This Row],[DiasOriginal]])</f>
        <v>23</v>
      </c>
      <c r="O3807" s="1">
        <f>TablaDatos[[#This Row],[FechaIngreso]]+TablaDatos[[#This Row],[DiasNuevo]]</f>
        <v>45567</v>
      </c>
    </row>
    <row r="3808" spans="1:15">
      <c r="A3808">
        <v>3807</v>
      </c>
      <c r="B3808" t="s">
        <v>262</v>
      </c>
      <c r="C3808" s="1">
        <v>32143</v>
      </c>
      <c r="D3808">
        <v>38</v>
      </c>
      <c r="E3808" s="4" t="s">
        <v>15</v>
      </c>
      <c r="F3808" t="s">
        <v>261</v>
      </c>
      <c r="G3808" s="1">
        <v>45220</v>
      </c>
      <c r="H3808" s="1">
        <f>TablaDatos[[#This Row],[FechaIngreso]]+TablaDatos[[#This Row],[DiasNuevo]]</f>
        <v>45243</v>
      </c>
      <c r="I3808">
        <v>23</v>
      </c>
      <c r="J3808" t="s">
        <v>23</v>
      </c>
      <c r="K3808" s="3">
        <v>7711.82</v>
      </c>
      <c r="L3808" t="b">
        <f>TablaDatos[[#This Row],[FechaAlta]] &lt; TablaDatos[[#This Row],[FechaIngreso]]</f>
        <v>0</v>
      </c>
      <c r="M3808">
        <f>_xlfn.XLOOKUP(TablaDatos[[#This Row],[PacienteID]],'Datos_Ejemplo.csv'!A:A,'Datos_Ejemplo.csv'!I:I)</f>
        <v>23</v>
      </c>
      <c r="N3808">
        <f>ABS(TablaDatos[[#This Row],[DiasOriginal]])</f>
        <v>23</v>
      </c>
      <c r="O3808" s="1">
        <f>TablaDatos[[#This Row],[FechaIngreso]]+TablaDatos[[#This Row],[DiasNuevo]]</f>
        <v>45243</v>
      </c>
    </row>
    <row r="3809" spans="1:15">
      <c r="A3809">
        <v>3808</v>
      </c>
      <c r="B3809" t="s">
        <v>310</v>
      </c>
      <c r="C3809" s="1">
        <v>22646</v>
      </c>
      <c r="D3809">
        <v>64</v>
      </c>
      <c r="E3809" s="4" t="s">
        <v>12</v>
      </c>
      <c r="F3809" t="s">
        <v>261</v>
      </c>
      <c r="G3809" s="1">
        <v>45021</v>
      </c>
      <c r="H3809" s="1">
        <f>TablaDatos[[#This Row],[FechaIngreso]]+TablaDatos[[#This Row],[DiasNuevo]]</f>
        <v>45030</v>
      </c>
      <c r="I3809">
        <v>9</v>
      </c>
      <c r="J3809" t="s">
        <v>25</v>
      </c>
      <c r="K3809" s="3">
        <v>5114.6400000000003</v>
      </c>
      <c r="L3809" t="b">
        <f>TablaDatos[[#This Row],[FechaAlta]] &lt; TablaDatos[[#This Row],[FechaIngreso]]</f>
        <v>0</v>
      </c>
      <c r="M3809">
        <f>_xlfn.XLOOKUP(TablaDatos[[#This Row],[PacienteID]],'Datos_Ejemplo.csv'!A:A,'Datos_Ejemplo.csv'!I:I)</f>
        <v>9</v>
      </c>
      <c r="N3809">
        <f>ABS(TablaDatos[[#This Row],[DiasOriginal]])</f>
        <v>9</v>
      </c>
      <c r="O3809" s="1">
        <f>TablaDatos[[#This Row],[FechaIngreso]]+TablaDatos[[#This Row],[DiasNuevo]]</f>
        <v>45030</v>
      </c>
    </row>
    <row r="3810" spans="1:15">
      <c r="A3810">
        <v>3809</v>
      </c>
      <c r="B3810" t="s">
        <v>293</v>
      </c>
      <c r="C3810" s="1">
        <v>40178</v>
      </c>
      <c r="D3810">
        <v>16</v>
      </c>
      <c r="E3810" s="4" t="s">
        <v>12</v>
      </c>
      <c r="F3810" t="s">
        <v>201</v>
      </c>
      <c r="G3810" s="1">
        <v>45179</v>
      </c>
      <c r="H3810" s="1">
        <f>TablaDatos[[#This Row],[FechaIngreso]]+TablaDatos[[#This Row],[DiasNuevo]]</f>
        <v>45194</v>
      </c>
      <c r="I3810">
        <v>15</v>
      </c>
      <c r="J3810" t="s">
        <v>23</v>
      </c>
      <c r="K3810" s="3">
        <v>18079.939999999999</v>
      </c>
      <c r="L3810" t="b">
        <f>TablaDatos[[#This Row],[FechaAlta]] &lt; TablaDatos[[#This Row],[FechaIngreso]]</f>
        <v>0</v>
      </c>
      <c r="M3810">
        <f>_xlfn.XLOOKUP(TablaDatos[[#This Row],[PacienteID]],'Datos_Ejemplo.csv'!A:A,'Datos_Ejemplo.csv'!I:I)</f>
        <v>15</v>
      </c>
      <c r="N3810">
        <f>ABS(TablaDatos[[#This Row],[DiasOriginal]])</f>
        <v>15</v>
      </c>
      <c r="O3810" s="1">
        <f>TablaDatos[[#This Row],[FechaIngreso]]+TablaDatos[[#This Row],[DiasNuevo]]</f>
        <v>45194</v>
      </c>
    </row>
    <row r="3811" spans="1:15">
      <c r="A3811">
        <v>3810</v>
      </c>
      <c r="B3811" t="s">
        <v>245</v>
      </c>
      <c r="C3811" s="1">
        <v>35430</v>
      </c>
      <c r="D3811">
        <v>29</v>
      </c>
      <c r="E3811" s="4" t="s">
        <v>12</v>
      </c>
      <c r="F3811" t="s">
        <v>261</v>
      </c>
      <c r="G3811" s="1">
        <v>45477</v>
      </c>
      <c r="H3811" s="1">
        <f>TablaDatos[[#This Row],[FechaIngreso]]+TablaDatos[[#This Row],[DiasNuevo]]</f>
        <v>45483</v>
      </c>
      <c r="I3811">
        <v>6</v>
      </c>
      <c r="J3811" t="s">
        <v>25</v>
      </c>
      <c r="K3811" s="3">
        <v>6097.85</v>
      </c>
      <c r="L3811" t="b">
        <f>TablaDatos[[#This Row],[FechaAlta]] &lt; TablaDatos[[#This Row],[FechaIngreso]]</f>
        <v>0</v>
      </c>
      <c r="M3811">
        <f>_xlfn.XLOOKUP(TablaDatos[[#This Row],[PacienteID]],'Datos_Ejemplo.csv'!A:A,'Datos_Ejemplo.csv'!I:I)</f>
        <v>6</v>
      </c>
      <c r="N3811">
        <f>ABS(TablaDatos[[#This Row],[DiasOriginal]])</f>
        <v>6</v>
      </c>
      <c r="O3811" s="1">
        <f>TablaDatos[[#This Row],[FechaIngreso]]+TablaDatos[[#This Row],[DiasNuevo]]</f>
        <v>45483</v>
      </c>
    </row>
    <row r="3812" spans="1:15">
      <c r="A3812">
        <v>3811</v>
      </c>
      <c r="B3812" t="s">
        <v>162</v>
      </c>
      <c r="C3812" s="1">
        <v>27029</v>
      </c>
      <c r="D3812">
        <v>52</v>
      </c>
      <c r="E3812" s="4" t="s">
        <v>12</v>
      </c>
      <c r="F3812" t="s">
        <v>21</v>
      </c>
      <c r="G3812" s="1">
        <v>45325</v>
      </c>
      <c r="H3812" s="1">
        <f>TablaDatos[[#This Row],[FechaIngreso]]+TablaDatos[[#This Row],[DiasNuevo]]</f>
        <v>45325</v>
      </c>
      <c r="I3812">
        <v>0</v>
      </c>
      <c r="J3812" t="s">
        <v>23</v>
      </c>
      <c r="K3812" s="3">
        <v>13939.63</v>
      </c>
      <c r="L3812" t="b">
        <f>TablaDatos[[#This Row],[FechaAlta]] &lt; TablaDatos[[#This Row],[FechaIngreso]]</f>
        <v>0</v>
      </c>
      <c r="M3812">
        <f>_xlfn.XLOOKUP(TablaDatos[[#This Row],[PacienteID]],'Datos_Ejemplo.csv'!A:A,'Datos_Ejemplo.csv'!I:I)</f>
        <v>0</v>
      </c>
      <c r="N3812">
        <f>ABS(TablaDatos[[#This Row],[DiasOriginal]])</f>
        <v>0</v>
      </c>
      <c r="O3812" s="1">
        <f>TablaDatos[[#This Row],[FechaIngreso]]+TablaDatos[[#This Row],[DiasNuevo]]</f>
        <v>45325</v>
      </c>
    </row>
    <row r="3813" spans="1:15">
      <c r="A3813">
        <v>3812</v>
      </c>
      <c r="B3813" t="s">
        <v>255</v>
      </c>
      <c r="C3813" s="1">
        <v>41639</v>
      </c>
      <c r="D3813">
        <v>12</v>
      </c>
      <c r="E3813" s="4" t="s">
        <v>15</v>
      </c>
      <c r="F3813" t="s">
        <v>18</v>
      </c>
      <c r="G3813" s="1">
        <v>44980</v>
      </c>
      <c r="H3813" s="1">
        <f>TablaDatos[[#This Row],[FechaIngreso]]+TablaDatos[[#This Row],[DiasNuevo]]</f>
        <v>44987</v>
      </c>
      <c r="I3813">
        <v>7</v>
      </c>
      <c r="J3813" t="s">
        <v>25</v>
      </c>
      <c r="K3813" s="3">
        <v>6879.26</v>
      </c>
      <c r="L3813" t="b">
        <f>TablaDatos[[#This Row],[FechaAlta]] &lt; TablaDatos[[#This Row],[FechaIngreso]]</f>
        <v>0</v>
      </c>
      <c r="M3813">
        <f>_xlfn.XLOOKUP(TablaDatos[[#This Row],[PacienteID]],'Datos_Ejemplo.csv'!A:A,'Datos_Ejemplo.csv'!I:I)</f>
        <v>7</v>
      </c>
      <c r="N3813">
        <f>ABS(TablaDatos[[#This Row],[DiasOriginal]])</f>
        <v>7</v>
      </c>
      <c r="O3813" s="1">
        <f>TablaDatos[[#This Row],[FechaIngreso]]+TablaDatos[[#This Row],[DiasNuevo]]</f>
        <v>44987</v>
      </c>
    </row>
    <row r="3814" spans="1:15">
      <c r="A3814">
        <v>3813</v>
      </c>
      <c r="B3814" t="s">
        <v>287</v>
      </c>
      <c r="C3814" s="1">
        <v>38717</v>
      </c>
      <c r="D3814">
        <v>20</v>
      </c>
      <c r="E3814" s="4" t="s">
        <v>197</v>
      </c>
      <c r="F3814" t="s">
        <v>32</v>
      </c>
      <c r="G3814" s="1">
        <v>45169</v>
      </c>
      <c r="H3814" s="1">
        <f>TablaDatos[[#This Row],[FechaIngreso]]+TablaDatos[[#This Row],[DiasNuevo]]</f>
        <v>45170</v>
      </c>
      <c r="I3814">
        <v>1</v>
      </c>
      <c r="J3814" t="s">
        <v>19</v>
      </c>
      <c r="K3814" s="3">
        <v>8647.92</v>
      </c>
      <c r="L3814" t="b">
        <f>TablaDatos[[#This Row],[FechaAlta]] &lt; TablaDatos[[#This Row],[FechaIngreso]]</f>
        <v>0</v>
      </c>
      <c r="M3814">
        <f>_xlfn.XLOOKUP(TablaDatos[[#This Row],[PacienteID]],'Datos_Ejemplo.csv'!A:A,'Datos_Ejemplo.csv'!I:I)</f>
        <v>-1</v>
      </c>
      <c r="N3814">
        <f>ABS(TablaDatos[[#This Row],[DiasOriginal]])</f>
        <v>1</v>
      </c>
      <c r="O3814" s="1">
        <f>TablaDatos[[#This Row],[FechaIngreso]]+TablaDatos[[#This Row],[DiasNuevo]]</f>
        <v>45170</v>
      </c>
    </row>
    <row r="3815" spans="1:15">
      <c r="A3815">
        <v>3814</v>
      </c>
      <c r="B3815" t="s">
        <v>240</v>
      </c>
      <c r="C3815" s="1">
        <v>39448</v>
      </c>
      <c r="D3815">
        <v>18</v>
      </c>
      <c r="E3815" s="4" t="s">
        <v>15</v>
      </c>
      <c r="F3815" t="s">
        <v>18</v>
      </c>
      <c r="G3815" s="1">
        <v>45036</v>
      </c>
      <c r="H3815" s="1">
        <f>TablaDatos[[#This Row],[FechaIngreso]]+TablaDatos[[#This Row],[DiasNuevo]]</f>
        <v>45041</v>
      </c>
      <c r="I3815">
        <v>5</v>
      </c>
      <c r="J3815" t="s">
        <v>19</v>
      </c>
      <c r="K3815" s="3">
        <v>4642.46</v>
      </c>
      <c r="L3815" t="b">
        <f>TablaDatos[[#This Row],[FechaAlta]] &lt; TablaDatos[[#This Row],[FechaIngreso]]</f>
        <v>0</v>
      </c>
      <c r="M3815">
        <f>_xlfn.XLOOKUP(TablaDatos[[#This Row],[PacienteID]],'Datos_Ejemplo.csv'!A:A,'Datos_Ejemplo.csv'!I:I)</f>
        <v>5</v>
      </c>
      <c r="N3815">
        <f>ABS(TablaDatos[[#This Row],[DiasOriginal]])</f>
        <v>5</v>
      </c>
      <c r="O3815" s="1">
        <f>TablaDatos[[#This Row],[FechaIngreso]]+TablaDatos[[#This Row],[DiasNuevo]]</f>
        <v>45041</v>
      </c>
    </row>
    <row r="3816" spans="1:15">
      <c r="A3816">
        <v>3815</v>
      </c>
      <c r="B3816" t="s">
        <v>114</v>
      </c>
      <c r="C3816" s="1">
        <v>27029</v>
      </c>
      <c r="D3816">
        <v>52</v>
      </c>
      <c r="E3816" s="4" t="s">
        <v>15</v>
      </c>
      <c r="F3816" t="s">
        <v>295</v>
      </c>
      <c r="G3816" s="1">
        <v>45550</v>
      </c>
      <c r="H3816" s="1">
        <f>TablaDatos[[#This Row],[FechaIngreso]]+TablaDatos[[#This Row],[DiasNuevo]]</f>
        <v>45565</v>
      </c>
      <c r="I3816">
        <v>15</v>
      </c>
      <c r="J3816" t="s">
        <v>23</v>
      </c>
      <c r="K3816" s="3">
        <v>15021.83</v>
      </c>
      <c r="L3816" t="b">
        <f>TablaDatos[[#This Row],[FechaAlta]] &lt; TablaDatos[[#This Row],[FechaIngreso]]</f>
        <v>0</v>
      </c>
      <c r="M3816">
        <f>_xlfn.XLOOKUP(TablaDatos[[#This Row],[PacienteID]],'Datos_Ejemplo.csv'!A:A,'Datos_Ejemplo.csv'!I:I)</f>
        <v>15</v>
      </c>
      <c r="N3816">
        <f>ABS(TablaDatos[[#This Row],[DiasOriginal]])</f>
        <v>15</v>
      </c>
      <c r="O3816" s="1">
        <f>TablaDatos[[#This Row],[FechaIngreso]]+TablaDatos[[#This Row],[DiasNuevo]]</f>
        <v>45565</v>
      </c>
    </row>
    <row r="3817" spans="1:15">
      <c r="A3817">
        <v>3816</v>
      </c>
      <c r="B3817" t="s">
        <v>297</v>
      </c>
      <c r="C3817" s="1">
        <v>39448</v>
      </c>
      <c r="D3817">
        <v>18</v>
      </c>
      <c r="E3817" s="4" t="s">
        <v>12</v>
      </c>
      <c r="F3817" t="s">
        <v>21</v>
      </c>
      <c r="G3817" s="1">
        <v>45612</v>
      </c>
      <c r="H3817" s="1">
        <f>TablaDatos[[#This Row],[FechaIngreso]]+TablaDatos[[#This Row],[DiasNuevo]]</f>
        <v>45648</v>
      </c>
      <c r="I3817">
        <v>36</v>
      </c>
      <c r="J3817" t="s">
        <v>19</v>
      </c>
      <c r="K3817" s="3">
        <v>14717.79</v>
      </c>
      <c r="L3817" t="b">
        <f>TablaDatos[[#This Row],[FechaAlta]] &lt; TablaDatos[[#This Row],[FechaIngreso]]</f>
        <v>0</v>
      </c>
      <c r="M3817">
        <f>_xlfn.XLOOKUP(TablaDatos[[#This Row],[PacienteID]],'Datos_Ejemplo.csv'!A:A,'Datos_Ejemplo.csv'!I:I)</f>
        <v>36</v>
      </c>
      <c r="N3817">
        <f>ABS(TablaDatos[[#This Row],[DiasOriginal]])</f>
        <v>36</v>
      </c>
      <c r="O3817" s="1">
        <f>TablaDatos[[#This Row],[FechaIngreso]]+TablaDatos[[#This Row],[DiasNuevo]]</f>
        <v>45648</v>
      </c>
    </row>
    <row r="3818" spans="1:15">
      <c r="A3818">
        <v>3817</v>
      </c>
      <c r="B3818" t="s">
        <v>280</v>
      </c>
      <c r="C3818" s="1">
        <v>25568</v>
      </c>
      <c r="D3818">
        <v>56</v>
      </c>
      <c r="E3818" s="4" t="s">
        <v>12</v>
      </c>
      <c r="F3818" t="s">
        <v>18</v>
      </c>
      <c r="G3818" s="1">
        <v>45627</v>
      </c>
      <c r="H3818" s="1">
        <f>TablaDatos[[#This Row],[FechaIngreso]]+TablaDatos[[#This Row],[DiasNuevo]]</f>
        <v>45655</v>
      </c>
      <c r="I3818">
        <v>28</v>
      </c>
      <c r="J3818" t="s">
        <v>23</v>
      </c>
      <c r="K3818" s="3">
        <v>347.02</v>
      </c>
      <c r="L3818" t="b">
        <f>TablaDatos[[#This Row],[FechaAlta]] &lt; TablaDatos[[#This Row],[FechaIngreso]]</f>
        <v>0</v>
      </c>
      <c r="M3818">
        <f>_xlfn.XLOOKUP(TablaDatos[[#This Row],[PacienteID]],'Datos_Ejemplo.csv'!A:A,'Datos_Ejemplo.csv'!I:I)</f>
        <v>28</v>
      </c>
      <c r="N3818">
        <f>ABS(TablaDatos[[#This Row],[DiasOriginal]])</f>
        <v>28</v>
      </c>
      <c r="O3818" s="1">
        <f>TablaDatos[[#This Row],[FechaIngreso]]+TablaDatos[[#This Row],[DiasNuevo]]</f>
        <v>45655</v>
      </c>
    </row>
    <row r="3819" spans="1:15">
      <c r="A3819">
        <v>3818</v>
      </c>
      <c r="B3819" t="s">
        <v>247</v>
      </c>
      <c r="C3819" s="1">
        <v>37256</v>
      </c>
      <c r="D3819">
        <v>24</v>
      </c>
      <c r="E3819" s="4" t="s">
        <v>12</v>
      </c>
      <c r="F3819" t="s">
        <v>21</v>
      </c>
      <c r="G3819" s="1">
        <v>45147</v>
      </c>
      <c r="H3819" s="1">
        <f>TablaDatos[[#This Row],[FechaIngreso]]+TablaDatos[[#This Row],[DiasNuevo]]</f>
        <v>45158</v>
      </c>
      <c r="I3819">
        <v>11</v>
      </c>
      <c r="J3819" t="s">
        <v>23</v>
      </c>
      <c r="K3819" s="3">
        <v>1109.9000000000001</v>
      </c>
      <c r="L3819" t="b">
        <f>TablaDatos[[#This Row],[FechaAlta]] &lt; TablaDatos[[#This Row],[FechaIngreso]]</f>
        <v>0</v>
      </c>
      <c r="M3819">
        <f>_xlfn.XLOOKUP(TablaDatos[[#This Row],[PacienteID]],'Datos_Ejemplo.csv'!A:A,'Datos_Ejemplo.csv'!I:I)</f>
        <v>11</v>
      </c>
      <c r="N3819">
        <f>ABS(TablaDatos[[#This Row],[DiasOriginal]])</f>
        <v>11</v>
      </c>
      <c r="O3819" s="1">
        <f>TablaDatos[[#This Row],[FechaIngreso]]+TablaDatos[[#This Row],[DiasNuevo]]</f>
        <v>45158</v>
      </c>
    </row>
    <row r="3820" spans="1:15">
      <c r="A3820">
        <v>3819</v>
      </c>
      <c r="B3820" t="s">
        <v>103</v>
      </c>
      <c r="C3820" s="1">
        <v>14976</v>
      </c>
      <c r="D3820">
        <v>85</v>
      </c>
      <c r="E3820" s="4" t="s">
        <v>12</v>
      </c>
      <c r="F3820" t="s">
        <v>201</v>
      </c>
      <c r="G3820" s="1">
        <v>45490</v>
      </c>
      <c r="H3820" s="1">
        <f>TablaDatos[[#This Row],[FechaIngreso]]+TablaDatos[[#This Row],[DiasNuevo]]</f>
        <v>45526</v>
      </c>
      <c r="I3820">
        <v>36</v>
      </c>
      <c r="J3820" t="s">
        <v>19</v>
      </c>
      <c r="K3820" s="3">
        <v>18439.77</v>
      </c>
      <c r="L3820" t="b">
        <f>TablaDatos[[#This Row],[FechaAlta]] &lt; TablaDatos[[#This Row],[FechaIngreso]]</f>
        <v>0</v>
      </c>
      <c r="M3820">
        <f>_xlfn.XLOOKUP(TablaDatos[[#This Row],[PacienteID]],'Datos_Ejemplo.csv'!A:A,'Datos_Ejemplo.csv'!I:I)</f>
        <v>36</v>
      </c>
      <c r="N3820">
        <f>ABS(TablaDatos[[#This Row],[DiasOriginal]])</f>
        <v>36</v>
      </c>
      <c r="O3820" s="1">
        <f>TablaDatos[[#This Row],[FechaIngreso]]+TablaDatos[[#This Row],[DiasNuevo]]</f>
        <v>45526</v>
      </c>
    </row>
    <row r="3821" spans="1:15">
      <c r="A3821">
        <v>3820</v>
      </c>
      <c r="B3821" t="s">
        <v>164</v>
      </c>
      <c r="C3821" s="1">
        <v>35065</v>
      </c>
      <c r="D3821">
        <v>30</v>
      </c>
      <c r="E3821" s="4" t="s">
        <v>15</v>
      </c>
      <c r="F3821" t="s">
        <v>295</v>
      </c>
      <c r="G3821" s="1">
        <v>45088</v>
      </c>
      <c r="H3821" s="1">
        <f>TablaDatos[[#This Row],[FechaIngreso]]+TablaDatos[[#This Row],[DiasNuevo]]</f>
        <v>45118</v>
      </c>
      <c r="I3821">
        <v>30</v>
      </c>
      <c r="J3821" t="s">
        <v>19</v>
      </c>
      <c r="K3821" s="3">
        <v>17765.419999999998</v>
      </c>
      <c r="L3821" t="b">
        <f>TablaDatos[[#This Row],[FechaAlta]] &lt; TablaDatos[[#This Row],[FechaIngreso]]</f>
        <v>0</v>
      </c>
      <c r="M3821">
        <f>_xlfn.XLOOKUP(TablaDatos[[#This Row],[PacienteID]],'Datos_Ejemplo.csv'!A:A,'Datos_Ejemplo.csv'!I:I)</f>
        <v>30</v>
      </c>
      <c r="N3821">
        <f>ABS(TablaDatos[[#This Row],[DiasOriginal]])</f>
        <v>30</v>
      </c>
      <c r="O3821" s="1">
        <f>TablaDatos[[#This Row],[FechaIngreso]]+TablaDatos[[#This Row],[DiasNuevo]]</f>
        <v>45118</v>
      </c>
    </row>
    <row r="3822" spans="1:15">
      <c r="A3822">
        <v>3821</v>
      </c>
      <c r="B3822" t="s">
        <v>293</v>
      </c>
      <c r="C3822" s="1">
        <v>16802</v>
      </c>
      <c r="D3822">
        <v>80</v>
      </c>
      <c r="E3822" s="4" t="s">
        <v>12</v>
      </c>
      <c r="F3822" t="s">
        <v>201</v>
      </c>
      <c r="G3822" s="1">
        <v>44961</v>
      </c>
      <c r="H3822" s="1">
        <f>TablaDatos[[#This Row],[FechaIngreso]]+TablaDatos[[#This Row],[DiasNuevo]]</f>
        <v>44987</v>
      </c>
      <c r="I3822">
        <v>26</v>
      </c>
      <c r="J3822" t="s">
        <v>23</v>
      </c>
      <c r="K3822" s="3">
        <v>10072.35</v>
      </c>
      <c r="L3822" t="b">
        <f>TablaDatos[[#This Row],[FechaAlta]] &lt; TablaDatos[[#This Row],[FechaIngreso]]</f>
        <v>0</v>
      </c>
      <c r="M3822">
        <f>_xlfn.XLOOKUP(TablaDatos[[#This Row],[PacienteID]],'Datos_Ejemplo.csv'!A:A,'Datos_Ejemplo.csv'!I:I)</f>
        <v>26</v>
      </c>
      <c r="N3822">
        <f>ABS(TablaDatos[[#This Row],[DiasOriginal]])</f>
        <v>26</v>
      </c>
      <c r="O3822" s="1">
        <f>TablaDatos[[#This Row],[FechaIngreso]]+TablaDatos[[#This Row],[DiasNuevo]]</f>
        <v>44987</v>
      </c>
    </row>
    <row r="3823" spans="1:15">
      <c r="A3823">
        <v>3822</v>
      </c>
      <c r="B3823" t="s">
        <v>242</v>
      </c>
      <c r="C3823" s="1">
        <v>26299</v>
      </c>
      <c r="D3823">
        <v>54</v>
      </c>
      <c r="E3823" s="4" t="s">
        <v>15</v>
      </c>
      <c r="F3823" t="s">
        <v>13</v>
      </c>
      <c r="G3823" s="1">
        <v>44963</v>
      </c>
      <c r="H3823" s="1">
        <f>TablaDatos[[#This Row],[FechaIngreso]]+TablaDatos[[#This Row],[DiasNuevo]]</f>
        <v>44993</v>
      </c>
      <c r="I3823">
        <v>30</v>
      </c>
      <c r="J3823" t="s">
        <v>23</v>
      </c>
      <c r="K3823" s="3">
        <v>9816.48</v>
      </c>
      <c r="L3823" t="b">
        <f>TablaDatos[[#This Row],[FechaAlta]] &lt; TablaDatos[[#This Row],[FechaIngreso]]</f>
        <v>0</v>
      </c>
      <c r="M3823">
        <f>_xlfn.XLOOKUP(TablaDatos[[#This Row],[PacienteID]],'Datos_Ejemplo.csv'!A:A,'Datos_Ejemplo.csv'!I:I)</f>
        <v>30</v>
      </c>
      <c r="N3823">
        <f>ABS(TablaDatos[[#This Row],[DiasOriginal]])</f>
        <v>30</v>
      </c>
      <c r="O3823" s="1">
        <f>TablaDatos[[#This Row],[FechaIngreso]]+TablaDatos[[#This Row],[DiasNuevo]]</f>
        <v>44993</v>
      </c>
    </row>
    <row r="3824" spans="1:15">
      <c r="A3824">
        <v>3823</v>
      </c>
      <c r="B3824" t="s">
        <v>230</v>
      </c>
      <c r="C3824" s="1">
        <v>37987</v>
      </c>
      <c r="D3824">
        <v>22</v>
      </c>
      <c r="E3824" s="4" t="s">
        <v>12</v>
      </c>
      <c r="F3824" t="s">
        <v>13</v>
      </c>
      <c r="G3824" s="1">
        <v>45549</v>
      </c>
      <c r="H3824" s="1">
        <f>TablaDatos[[#This Row],[FechaIngreso]]+TablaDatos[[#This Row],[DiasNuevo]]</f>
        <v>45581</v>
      </c>
      <c r="I3824">
        <v>32</v>
      </c>
      <c r="J3824" t="s">
        <v>23</v>
      </c>
      <c r="K3824" s="3">
        <v>16229.73</v>
      </c>
      <c r="L3824" t="b">
        <f>TablaDatos[[#This Row],[FechaAlta]] &lt; TablaDatos[[#This Row],[FechaIngreso]]</f>
        <v>0</v>
      </c>
      <c r="M3824">
        <f>_xlfn.XLOOKUP(TablaDatos[[#This Row],[PacienteID]],'Datos_Ejemplo.csv'!A:A,'Datos_Ejemplo.csv'!I:I)</f>
        <v>32</v>
      </c>
      <c r="N3824">
        <f>ABS(TablaDatos[[#This Row],[DiasOriginal]])</f>
        <v>32</v>
      </c>
      <c r="O3824" s="1">
        <f>TablaDatos[[#This Row],[FechaIngreso]]+TablaDatos[[#This Row],[DiasNuevo]]</f>
        <v>45581</v>
      </c>
    </row>
    <row r="3825" spans="1:15">
      <c r="A3825">
        <v>3824</v>
      </c>
      <c r="B3825" t="s">
        <v>252</v>
      </c>
      <c r="C3825" s="1">
        <v>34700</v>
      </c>
      <c r="D3825">
        <v>31</v>
      </c>
      <c r="E3825" s="4" t="s">
        <v>15</v>
      </c>
      <c r="F3825" t="s">
        <v>13</v>
      </c>
      <c r="G3825" s="1">
        <v>45296</v>
      </c>
      <c r="H3825" s="1">
        <f>TablaDatos[[#This Row],[FechaIngreso]]+TablaDatos[[#This Row],[DiasNuevo]]</f>
        <v>45297</v>
      </c>
      <c r="I3825">
        <v>1</v>
      </c>
      <c r="J3825" t="s">
        <v>25</v>
      </c>
      <c r="K3825" s="3">
        <v>2682.85</v>
      </c>
      <c r="L3825" t="b">
        <f>TablaDatos[[#This Row],[FechaAlta]] &lt; TablaDatos[[#This Row],[FechaIngreso]]</f>
        <v>0</v>
      </c>
      <c r="M3825">
        <f>_xlfn.XLOOKUP(TablaDatos[[#This Row],[PacienteID]],'Datos_Ejemplo.csv'!A:A,'Datos_Ejemplo.csv'!I:I)</f>
        <v>-1</v>
      </c>
      <c r="N3825">
        <f>ABS(TablaDatos[[#This Row],[DiasOriginal]])</f>
        <v>1</v>
      </c>
      <c r="O3825" s="1">
        <f>TablaDatos[[#This Row],[FechaIngreso]]+TablaDatos[[#This Row],[DiasNuevo]]</f>
        <v>45297</v>
      </c>
    </row>
    <row r="3826" spans="1:15">
      <c r="A3826">
        <v>3825</v>
      </c>
      <c r="B3826" t="s">
        <v>304</v>
      </c>
      <c r="C3826" s="1">
        <v>23742</v>
      </c>
      <c r="D3826">
        <v>61</v>
      </c>
      <c r="E3826" s="4" t="s">
        <v>12</v>
      </c>
      <c r="F3826" t="s">
        <v>21</v>
      </c>
      <c r="G3826" s="1">
        <v>45103</v>
      </c>
      <c r="H3826" s="1">
        <f>TablaDatos[[#This Row],[FechaIngreso]]+TablaDatos[[#This Row],[DiasNuevo]]</f>
        <v>45135</v>
      </c>
      <c r="I3826">
        <v>32</v>
      </c>
      <c r="J3826" t="s">
        <v>23</v>
      </c>
      <c r="K3826" s="3">
        <v>13039.35</v>
      </c>
      <c r="L3826" t="b">
        <f>TablaDatos[[#This Row],[FechaAlta]] &lt; TablaDatos[[#This Row],[FechaIngreso]]</f>
        <v>0</v>
      </c>
      <c r="M3826">
        <f>_xlfn.XLOOKUP(TablaDatos[[#This Row],[PacienteID]],'Datos_Ejemplo.csv'!A:A,'Datos_Ejemplo.csv'!I:I)</f>
        <v>32</v>
      </c>
      <c r="N3826">
        <f>ABS(TablaDatos[[#This Row],[DiasOriginal]])</f>
        <v>32</v>
      </c>
      <c r="O3826" s="1">
        <f>TablaDatos[[#This Row],[FechaIngreso]]+TablaDatos[[#This Row],[DiasNuevo]]</f>
        <v>45135</v>
      </c>
    </row>
    <row r="3827" spans="1:15">
      <c r="A3827">
        <v>3826</v>
      </c>
      <c r="B3827" t="s">
        <v>242</v>
      </c>
      <c r="C3827" s="1">
        <v>19359</v>
      </c>
      <c r="D3827">
        <v>73</v>
      </c>
      <c r="E3827" s="4" t="s">
        <v>15</v>
      </c>
      <c r="F3827" t="s">
        <v>18</v>
      </c>
      <c r="G3827" s="1">
        <v>45447</v>
      </c>
      <c r="H3827" s="1">
        <f>TablaDatos[[#This Row],[FechaIngreso]]+TablaDatos[[#This Row],[DiasNuevo]]</f>
        <v>45476</v>
      </c>
      <c r="I3827">
        <v>29</v>
      </c>
      <c r="J3827" t="s">
        <v>23</v>
      </c>
      <c r="K3827" s="3">
        <v>9467.26</v>
      </c>
      <c r="L3827" t="b">
        <f>TablaDatos[[#This Row],[FechaAlta]] &lt; TablaDatos[[#This Row],[FechaIngreso]]</f>
        <v>0</v>
      </c>
      <c r="M3827">
        <f>_xlfn.XLOOKUP(TablaDatos[[#This Row],[PacienteID]],'Datos_Ejemplo.csv'!A:A,'Datos_Ejemplo.csv'!I:I)</f>
        <v>29</v>
      </c>
      <c r="N3827">
        <f>ABS(TablaDatos[[#This Row],[DiasOriginal]])</f>
        <v>29</v>
      </c>
      <c r="O3827" s="1">
        <f>TablaDatos[[#This Row],[FechaIngreso]]+TablaDatos[[#This Row],[DiasNuevo]]</f>
        <v>45476</v>
      </c>
    </row>
    <row r="3828" spans="1:15">
      <c r="A3828">
        <v>3827</v>
      </c>
      <c r="B3828" t="s">
        <v>252</v>
      </c>
      <c r="C3828" s="1">
        <v>42735</v>
      </c>
      <c r="D3828">
        <v>9</v>
      </c>
      <c r="E3828" s="4" t="s">
        <v>12</v>
      </c>
      <c r="F3828" t="s">
        <v>21</v>
      </c>
      <c r="G3828" s="1">
        <v>45201</v>
      </c>
      <c r="H3828" s="1">
        <f>TablaDatos[[#This Row],[FechaIngreso]]+TablaDatos[[#This Row],[DiasNuevo]]</f>
        <v>45234</v>
      </c>
      <c r="I3828">
        <v>33</v>
      </c>
      <c r="J3828" t="s">
        <v>23</v>
      </c>
      <c r="K3828" s="3">
        <v>14840.95</v>
      </c>
      <c r="L3828" t="b">
        <f>TablaDatos[[#This Row],[FechaAlta]] &lt; TablaDatos[[#This Row],[FechaIngreso]]</f>
        <v>0</v>
      </c>
      <c r="M3828">
        <f>_xlfn.XLOOKUP(TablaDatos[[#This Row],[PacienteID]],'Datos_Ejemplo.csv'!A:A,'Datos_Ejemplo.csv'!I:I)</f>
        <v>33</v>
      </c>
      <c r="N3828">
        <f>ABS(TablaDatos[[#This Row],[DiasOriginal]])</f>
        <v>33</v>
      </c>
      <c r="O3828" s="1">
        <f>TablaDatos[[#This Row],[FechaIngreso]]+TablaDatos[[#This Row],[DiasNuevo]]</f>
        <v>45234</v>
      </c>
    </row>
    <row r="3829" spans="1:15">
      <c r="A3829">
        <v>3828</v>
      </c>
      <c r="B3829" t="s">
        <v>253</v>
      </c>
      <c r="C3829" s="1">
        <v>20090</v>
      </c>
      <c r="D3829">
        <v>71</v>
      </c>
      <c r="E3829" s="4" t="s">
        <v>12</v>
      </c>
      <c r="F3829" t="s">
        <v>201</v>
      </c>
      <c r="G3829" s="1">
        <v>45559</v>
      </c>
      <c r="H3829" s="1">
        <f>TablaDatos[[#This Row],[FechaIngreso]]+TablaDatos[[#This Row],[DiasNuevo]]</f>
        <v>45579</v>
      </c>
      <c r="I3829">
        <v>20</v>
      </c>
      <c r="J3829" t="s">
        <v>23</v>
      </c>
      <c r="K3829" s="3">
        <v>505.07</v>
      </c>
      <c r="L3829" t="b">
        <f>TablaDatos[[#This Row],[FechaAlta]] &lt; TablaDatos[[#This Row],[FechaIngreso]]</f>
        <v>0</v>
      </c>
      <c r="M3829">
        <f>_xlfn.XLOOKUP(TablaDatos[[#This Row],[PacienteID]],'Datos_Ejemplo.csv'!A:A,'Datos_Ejemplo.csv'!I:I)</f>
        <v>20</v>
      </c>
      <c r="N3829">
        <f>ABS(TablaDatos[[#This Row],[DiasOriginal]])</f>
        <v>20</v>
      </c>
      <c r="O3829" s="1">
        <f>TablaDatos[[#This Row],[FechaIngreso]]+TablaDatos[[#This Row],[DiasNuevo]]</f>
        <v>45579</v>
      </c>
    </row>
    <row r="3830" spans="1:15">
      <c r="A3830">
        <v>3829</v>
      </c>
      <c r="B3830" t="s">
        <v>347</v>
      </c>
      <c r="C3830" s="1">
        <v>26664</v>
      </c>
      <c r="D3830">
        <v>53</v>
      </c>
      <c r="E3830" s="4" t="s">
        <v>15</v>
      </c>
      <c r="F3830" t="s">
        <v>32</v>
      </c>
      <c r="G3830" s="1">
        <v>45031</v>
      </c>
      <c r="H3830" s="1">
        <f>TablaDatos[[#This Row],[FechaIngreso]]+TablaDatos[[#This Row],[DiasNuevo]]</f>
        <v>45033</v>
      </c>
      <c r="I3830">
        <v>2</v>
      </c>
      <c r="J3830" t="s">
        <v>19</v>
      </c>
      <c r="K3830" s="3">
        <v>11813.78</v>
      </c>
      <c r="L3830" t="b">
        <f>TablaDatos[[#This Row],[FechaAlta]] &lt; TablaDatos[[#This Row],[FechaIngreso]]</f>
        <v>0</v>
      </c>
      <c r="M3830">
        <f>_xlfn.XLOOKUP(TablaDatos[[#This Row],[PacienteID]],'Datos_Ejemplo.csv'!A:A,'Datos_Ejemplo.csv'!I:I)</f>
        <v>2</v>
      </c>
      <c r="N3830">
        <f>ABS(TablaDatos[[#This Row],[DiasOriginal]])</f>
        <v>2</v>
      </c>
      <c r="O3830" s="1">
        <f>TablaDatos[[#This Row],[FechaIngreso]]+TablaDatos[[#This Row],[DiasNuevo]]</f>
        <v>45033</v>
      </c>
    </row>
    <row r="3831" spans="1:15">
      <c r="A3831">
        <v>3830</v>
      </c>
      <c r="B3831" t="s">
        <v>277</v>
      </c>
      <c r="C3831" s="1">
        <v>27395</v>
      </c>
      <c r="D3831">
        <v>51</v>
      </c>
      <c r="E3831" s="4" t="s">
        <v>12</v>
      </c>
      <c r="F3831" t="s">
        <v>201</v>
      </c>
      <c r="G3831" s="1">
        <v>45082</v>
      </c>
      <c r="H3831" s="1">
        <f>TablaDatos[[#This Row],[FechaIngreso]]+TablaDatos[[#This Row],[DiasNuevo]]</f>
        <v>45095</v>
      </c>
      <c r="I3831">
        <v>13</v>
      </c>
      <c r="J3831" t="s">
        <v>19</v>
      </c>
      <c r="K3831" s="3">
        <v>11090.24</v>
      </c>
      <c r="L3831" t="b">
        <f>TablaDatos[[#This Row],[FechaAlta]] &lt; TablaDatos[[#This Row],[FechaIngreso]]</f>
        <v>0</v>
      </c>
      <c r="M3831">
        <f>_xlfn.XLOOKUP(TablaDatos[[#This Row],[PacienteID]],'Datos_Ejemplo.csv'!A:A,'Datos_Ejemplo.csv'!I:I)</f>
        <v>13</v>
      </c>
      <c r="N3831">
        <f>ABS(TablaDatos[[#This Row],[DiasOriginal]])</f>
        <v>13</v>
      </c>
      <c r="O3831" s="1">
        <f>TablaDatos[[#This Row],[FechaIngreso]]+TablaDatos[[#This Row],[DiasNuevo]]</f>
        <v>45095</v>
      </c>
    </row>
    <row r="3832" spans="1:15">
      <c r="A3832">
        <v>3831</v>
      </c>
      <c r="B3832" t="s">
        <v>238</v>
      </c>
      <c r="C3832" s="1">
        <v>39083</v>
      </c>
      <c r="D3832">
        <v>19</v>
      </c>
      <c r="E3832" s="4" t="s">
        <v>12</v>
      </c>
      <c r="F3832" t="s">
        <v>18</v>
      </c>
      <c r="G3832" s="1">
        <v>45262</v>
      </c>
      <c r="H3832" s="1">
        <f>TablaDatos[[#This Row],[FechaIngreso]]+TablaDatos[[#This Row],[DiasNuevo]]</f>
        <v>45299</v>
      </c>
      <c r="I3832">
        <v>37</v>
      </c>
      <c r="J3832" t="s">
        <v>19</v>
      </c>
      <c r="K3832" s="3">
        <v>16801.05</v>
      </c>
      <c r="L3832" t="b">
        <f>TablaDatos[[#This Row],[FechaAlta]] &lt; TablaDatos[[#This Row],[FechaIngreso]]</f>
        <v>0</v>
      </c>
      <c r="M3832">
        <f>_xlfn.XLOOKUP(TablaDatos[[#This Row],[PacienteID]],'Datos_Ejemplo.csv'!A:A,'Datos_Ejemplo.csv'!I:I)</f>
        <v>37</v>
      </c>
      <c r="N3832">
        <f>ABS(TablaDatos[[#This Row],[DiasOriginal]])</f>
        <v>37</v>
      </c>
      <c r="O3832" s="1">
        <f>TablaDatos[[#This Row],[FechaIngreso]]+TablaDatos[[#This Row],[DiasNuevo]]</f>
        <v>45299</v>
      </c>
    </row>
    <row r="3833" spans="1:15">
      <c r="A3833">
        <v>3832</v>
      </c>
      <c r="B3833" t="s">
        <v>326</v>
      </c>
      <c r="C3833" s="1">
        <v>34700</v>
      </c>
      <c r="D3833">
        <v>31</v>
      </c>
      <c r="E3833" s="4" t="s">
        <v>12</v>
      </c>
      <c r="F3833" t="s">
        <v>201</v>
      </c>
      <c r="G3833" s="1">
        <v>44952</v>
      </c>
      <c r="H3833" s="1">
        <f>TablaDatos[[#This Row],[FechaIngreso]]+TablaDatos[[#This Row],[DiasNuevo]]</f>
        <v>44973</v>
      </c>
      <c r="I3833">
        <v>21</v>
      </c>
      <c r="J3833" t="s">
        <v>23</v>
      </c>
      <c r="K3833" s="3">
        <v>13504.41</v>
      </c>
      <c r="L3833" t="b">
        <f>TablaDatos[[#This Row],[FechaAlta]] &lt; TablaDatos[[#This Row],[FechaIngreso]]</f>
        <v>0</v>
      </c>
      <c r="M3833">
        <f>_xlfn.XLOOKUP(TablaDatos[[#This Row],[PacienteID]],'Datos_Ejemplo.csv'!A:A,'Datos_Ejemplo.csv'!I:I)</f>
        <v>21</v>
      </c>
      <c r="N3833">
        <f>ABS(TablaDatos[[#This Row],[DiasOriginal]])</f>
        <v>21</v>
      </c>
      <c r="O3833" s="1">
        <f>TablaDatos[[#This Row],[FechaIngreso]]+TablaDatos[[#This Row],[DiasNuevo]]</f>
        <v>44973</v>
      </c>
    </row>
    <row r="3834" spans="1:15">
      <c r="A3834">
        <v>3833</v>
      </c>
      <c r="B3834" t="s">
        <v>327</v>
      </c>
      <c r="C3834" s="1">
        <v>41274</v>
      </c>
      <c r="D3834">
        <v>13</v>
      </c>
      <c r="E3834" s="4" t="s">
        <v>12</v>
      </c>
      <c r="F3834" t="s">
        <v>201</v>
      </c>
      <c r="G3834" s="1">
        <v>45222</v>
      </c>
      <c r="H3834" s="1">
        <f>TablaDatos[[#This Row],[FechaIngreso]]+TablaDatos[[#This Row],[DiasNuevo]]</f>
        <v>45259</v>
      </c>
      <c r="I3834">
        <v>37</v>
      </c>
      <c r="J3834" t="s">
        <v>25</v>
      </c>
      <c r="K3834" s="3">
        <v>17591.22</v>
      </c>
      <c r="L3834" t="b">
        <f>TablaDatos[[#This Row],[FechaAlta]] &lt; TablaDatos[[#This Row],[FechaIngreso]]</f>
        <v>0</v>
      </c>
      <c r="M3834">
        <f>_xlfn.XLOOKUP(TablaDatos[[#This Row],[PacienteID]],'Datos_Ejemplo.csv'!A:A,'Datos_Ejemplo.csv'!I:I)</f>
        <v>37</v>
      </c>
      <c r="N3834">
        <f>ABS(TablaDatos[[#This Row],[DiasOriginal]])</f>
        <v>37</v>
      </c>
      <c r="O3834" s="1">
        <f>TablaDatos[[#This Row],[FechaIngreso]]+TablaDatos[[#This Row],[DiasNuevo]]</f>
        <v>45259</v>
      </c>
    </row>
    <row r="3835" spans="1:15">
      <c r="A3835">
        <v>3834</v>
      </c>
      <c r="B3835" t="s">
        <v>257</v>
      </c>
      <c r="C3835" s="1">
        <v>28125</v>
      </c>
      <c r="D3835">
        <v>49</v>
      </c>
      <c r="E3835" s="4" t="s">
        <v>15</v>
      </c>
      <c r="F3835" t="s">
        <v>295</v>
      </c>
      <c r="G3835" s="1">
        <v>45463</v>
      </c>
      <c r="H3835" s="1">
        <f>TablaDatos[[#This Row],[FechaIngreso]]+TablaDatos[[#This Row],[DiasNuevo]]</f>
        <v>45488</v>
      </c>
      <c r="I3835">
        <v>25</v>
      </c>
      <c r="J3835" t="s">
        <v>25</v>
      </c>
      <c r="K3835" s="3">
        <v>17734.189999999999</v>
      </c>
      <c r="L3835" t="b">
        <f>TablaDatos[[#This Row],[FechaAlta]] &lt; TablaDatos[[#This Row],[FechaIngreso]]</f>
        <v>0</v>
      </c>
      <c r="M3835">
        <f>_xlfn.XLOOKUP(TablaDatos[[#This Row],[PacienteID]],'Datos_Ejemplo.csv'!A:A,'Datos_Ejemplo.csv'!I:I)</f>
        <v>25</v>
      </c>
      <c r="N3835">
        <f>ABS(TablaDatos[[#This Row],[DiasOriginal]])</f>
        <v>25</v>
      </c>
      <c r="O3835" s="1">
        <f>TablaDatos[[#This Row],[FechaIngreso]]+TablaDatos[[#This Row],[DiasNuevo]]</f>
        <v>45488</v>
      </c>
    </row>
    <row r="3836" spans="1:15">
      <c r="A3836">
        <v>3835</v>
      </c>
      <c r="B3836" t="s">
        <v>237</v>
      </c>
      <c r="C3836" s="1">
        <v>36161</v>
      </c>
      <c r="D3836">
        <v>27</v>
      </c>
      <c r="E3836" s="4" t="s">
        <v>15</v>
      </c>
      <c r="F3836" t="s">
        <v>261</v>
      </c>
      <c r="G3836" s="1">
        <v>45281</v>
      </c>
      <c r="H3836" s="1">
        <f>TablaDatos[[#This Row],[FechaIngreso]]+TablaDatos[[#This Row],[DiasNuevo]]</f>
        <v>45303</v>
      </c>
      <c r="I3836">
        <v>22</v>
      </c>
      <c r="J3836" t="s">
        <v>23</v>
      </c>
      <c r="K3836" s="3">
        <v>8104.1</v>
      </c>
      <c r="L3836" t="b">
        <f>TablaDatos[[#This Row],[FechaAlta]] &lt; TablaDatos[[#This Row],[FechaIngreso]]</f>
        <v>0</v>
      </c>
      <c r="M3836">
        <f>_xlfn.XLOOKUP(TablaDatos[[#This Row],[PacienteID]],'Datos_Ejemplo.csv'!A:A,'Datos_Ejemplo.csv'!I:I)</f>
        <v>22</v>
      </c>
      <c r="N3836">
        <f>ABS(TablaDatos[[#This Row],[DiasOriginal]])</f>
        <v>22</v>
      </c>
      <c r="O3836" s="1">
        <f>TablaDatos[[#This Row],[FechaIngreso]]+TablaDatos[[#This Row],[DiasNuevo]]</f>
        <v>45303</v>
      </c>
    </row>
    <row r="3837" spans="1:15">
      <c r="A3837">
        <v>3836</v>
      </c>
      <c r="B3837" t="s">
        <v>330</v>
      </c>
      <c r="C3837" s="1">
        <v>27029</v>
      </c>
      <c r="D3837">
        <v>52</v>
      </c>
      <c r="E3837" s="4" t="s">
        <v>15</v>
      </c>
      <c r="F3837" t="s">
        <v>13</v>
      </c>
      <c r="G3837" s="1">
        <v>44995</v>
      </c>
      <c r="H3837" s="1">
        <f>TablaDatos[[#This Row],[FechaIngreso]]+TablaDatos[[#This Row],[DiasNuevo]]</f>
        <v>44999</v>
      </c>
      <c r="I3837">
        <v>4</v>
      </c>
      <c r="J3837" t="s">
        <v>23</v>
      </c>
      <c r="K3837" s="3">
        <v>2662.43</v>
      </c>
      <c r="L3837" t="b">
        <f>TablaDatos[[#This Row],[FechaAlta]] &lt; TablaDatos[[#This Row],[FechaIngreso]]</f>
        <v>0</v>
      </c>
      <c r="M3837">
        <f>_xlfn.XLOOKUP(TablaDatos[[#This Row],[PacienteID]],'Datos_Ejemplo.csv'!A:A,'Datos_Ejemplo.csv'!I:I)</f>
        <v>4</v>
      </c>
      <c r="N3837">
        <f>ABS(TablaDatos[[#This Row],[DiasOriginal]])</f>
        <v>4</v>
      </c>
      <c r="O3837" s="1">
        <f>TablaDatos[[#This Row],[FechaIngreso]]+TablaDatos[[#This Row],[DiasNuevo]]</f>
        <v>44999</v>
      </c>
    </row>
    <row r="3838" spans="1:15">
      <c r="A3838">
        <v>3837</v>
      </c>
      <c r="B3838" t="s">
        <v>352</v>
      </c>
      <c r="C3838" s="1">
        <v>37622</v>
      </c>
      <c r="D3838">
        <v>23</v>
      </c>
      <c r="E3838" s="4" t="s">
        <v>15</v>
      </c>
      <c r="F3838" t="s">
        <v>18</v>
      </c>
      <c r="G3838" s="1">
        <v>45253</v>
      </c>
      <c r="H3838" s="1">
        <f>TablaDatos[[#This Row],[FechaIngreso]]+TablaDatos[[#This Row],[DiasNuevo]]</f>
        <v>45288</v>
      </c>
      <c r="I3838">
        <v>35</v>
      </c>
      <c r="J3838" t="s">
        <v>23</v>
      </c>
      <c r="K3838" s="3">
        <v>12568.7</v>
      </c>
      <c r="L3838" t="b">
        <f>TablaDatos[[#This Row],[FechaAlta]] &lt; TablaDatos[[#This Row],[FechaIngreso]]</f>
        <v>0</v>
      </c>
      <c r="M3838">
        <f>_xlfn.XLOOKUP(TablaDatos[[#This Row],[PacienteID]],'Datos_Ejemplo.csv'!A:A,'Datos_Ejemplo.csv'!I:I)</f>
        <v>35</v>
      </c>
      <c r="N3838">
        <f>ABS(TablaDatos[[#This Row],[DiasOriginal]])</f>
        <v>35</v>
      </c>
      <c r="O3838" s="1">
        <f>TablaDatos[[#This Row],[FechaIngreso]]+TablaDatos[[#This Row],[DiasNuevo]]</f>
        <v>45288</v>
      </c>
    </row>
    <row r="3839" spans="1:15">
      <c r="A3839">
        <v>3838</v>
      </c>
      <c r="B3839" t="s">
        <v>355</v>
      </c>
      <c r="C3839" s="1">
        <v>17533</v>
      </c>
      <c r="D3839">
        <v>78</v>
      </c>
      <c r="E3839" s="4" t="s">
        <v>15</v>
      </c>
      <c r="F3839" t="s">
        <v>18</v>
      </c>
      <c r="G3839" s="1">
        <v>45077</v>
      </c>
      <c r="H3839" s="1">
        <f>TablaDatos[[#This Row],[FechaIngreso]]+TablaDatos[[#This Row],[DiasNuevo]]</f>
        <v>45081</v>
      </c>
      <c r="I3839">
        <v>4</v>
      </c>
      <c r="J3839" t="s">
        <v>23</v>
      </c>
      <c r="K3839" s="3">
        <v>17462.3</v>
      </c>
      <c r="L3839" t="b">
        <f>TablaDatos[[#This Row],[FechaAlta]] &lt; TablaDatos[[#This Row],[FechaIngreso]]</f>
        <v>0</v>
      </c>
      <c r="M3839">
        <f>_xlfn.XLOOKUP(TablaDatos[[#This Row],[PacienteID]],'Datos_Ejemplo.csv'!A:A,'Datos_Ejemplo.csv'!I:I)</f>
        <v>4</v>
      </c>
      <c r="N3839">
        <f>ABS(TablaDatos[[#This Row],[DiasOriginal]])</f>
        <v>4</v>
      </c>
      <c r="O3839" s="1">
        <f>TablaDatos[[#This Row],[FechaIngreso]]+TablaDatos[[#This Row],[DiasNuevo]]</f>
        <v>45081</v>
      </c>
    </row>
    <row r="3840" spans="1:15">
      <c r="A3840">
        <v>3839</v>
      </c>
      <c r="B3840" t="s">
        <v>111</v>
      </c>
      <c r="C3840" s="1">
        <v>38352</v>
      </c>
      <c r="D3840">
        <v>21</v>
      </c>
      <c r="E3840" s="4" t="s">
        <v>12</v>
      </c>
      <c r="F3840" t="s">
        <v>13</v>
      </c>
      <c r="G3840" s="1">
        <v>45503</v>
      </c>
      <c r="H3840" s="1">
        <f>TablaDatos[[#This Row],[FechaIngreso]]+TablaDatos[[#This Row],[DiasNuevo]]</f>
        <v>45522</v>
      </c>
      <c r="I3840">
        <v>19</v>
      </c>
      <c r="J3840" t="s">
        <v>25</v>
      </c>
      <c r="K3840" s="3">
        <v>1406.56</v>
      </c>
      <c r="L3840" t="b">
        <f>TablaDatos[[#This Row],[FechaAlta]] &lt; TablaDatos[[#This Row],[FechaIngreso]]</f>
        <v>0</v>
      </c>
      <c r="M3840">
        <f>_xlfn.XLOOKUP(TablaDatos[[#This Row],[PacienteID]],'Datos_Ejemplo.csv'!A:A,'Datos_Ejemplo.csv'!I:I)</f>
        <v>19</v>
      </c>
      <c r="N3840">
        <f>ABS(TablaDatos[[#This Row],[DiasOriginal]])</f>
        <v>19</v>
      </c>
      <c r="O3840" s="1">
        <f>TablaDatos[[#This Row],[FechaIngreso]]+TablaDatos[[#This Row],[DiasNuevo]]</f>
        <v>45522</v>
      </c>
    </row>
    <row r="3841" spans="1:15">
      <c r="A3841">
        <v>3840</v>
      </c>
      <c r="B3841" t="s">
        <v>338</v>
      </c>
      <c r="C3841" s="1">
        <v>35430</v>
      </c>
      <c r="D3841">
        <v>29</v>
      </c>
      <c r="E3841" s="4" t="s">
        <v>15</v>
      </c>
      <c r="F3841" t="s">
        <v>201</v>
      </c>
      <c r="G3841" s="1">
        <v>45588</v>
      </c>
      <c r="H3841" s="1">
        <f>TablaDatos[[#This Row],[FechaIngreso]]+TablaDatos[[#This Row],[DiasNuevo]]</f>
        <v>45607</v>
      </c>
      <c r="I3841">
        <v>19</v>
      </c>
      <c r="J3841" t="s">
        <v>19</v>
      </c>
      <c r="K3841" s="3">
        <v>11114.26</v>
      </c>
      <c r="L3841" t="b">
        <f>TablaDatos[[#This Row],[FechaAlta]] &lt; TablaDatos[[#This Row],[FechaIngreso]]</f>
        <v>0</v>
      </c>
      <c r="M3841">
        <f>_xlfn.XLOOKUP(TablaDatos[[#This Row],[PacienteID]],'Datos_Ejemplo.csv'!A:A,'Datos_Ejemplo.csv'!I:I)</f>
        <v>19</v>
      </c>
      <c r="N3841">
        <f>ABS(TablaDatos[[#This Row],[DiasOriginal]])</f>
        <v>19</v>
      </c>
      <c r="O3841" s="1">
        <f>TablaDatos[[#This Row],[FechaIngreso]]+TablaDatos[[#This Row],[DiasNuevo]]</f>
        <v>45607</v>
      </c>
    </row>
    <row r="3842" spans="1:15">
      <c r="A3842">
        <v>3841</v>
      </c>
      <c r="B3842" t="s">
        <v>130</v>
      </c>
      <c r="C3842" s="1">
        <v>23377</v>
      </c>
      <c r="D3842">
        <v>62</v>
      </c>
      <c r="E3842" s="4" t="s">
        <v>15</v>
      </c>
      <c r="F3842" t="s">
        <v>295</v>
      </c>
      <c r="G3842" s="1">
        <v>45246</v>
      </c>
      <c r="H3842" s="1">
        <f>TablaDatos[[#This Row],[FechaIngreso]]+TablaDatos[[#This Row],[DiasNuevo]]</f>
        <v>45270</v>
      </c>
      <c r="I3842">
        <v>24</v>
      </c>
      <c r="J3842" t="s">
        <v>23</v>
      </c>
      <c r="K3842" s="3">
        <v>2211.4899999999998</v>
      </c>
      <c r="L3842" t="b">
        <f>TablaDatos[[#This Row],[FechaAlta]] &lt; TablaDatos[[#This Row],[FechaIngreso]]</f>
        <v>0</v>
      </c>
      <c r="M3842">
        <f>_xlfn.XLOOKUP(TablaDatos[[#This Row],[PacienteID]],'Datos_Ejemplo.csv'!A:A,'Datos_Ejemplo.csv'!I:I)</f>
        <v>24</v>
      </c>
      <c r="N3842">
        <f>ABS(TablaDatos[[#This Row],[DiasOriginal]])</f>
        <v>24</v>
      </c>
      <c r="O3842" s="1">
        <f>TablaDatos[[#This Row],[FechaIngreso]]+TablaDatos[[#This Row],[DiasNuevo]]</f>
        <v>45270</v>
      </c>
    </row>
    <row r="3843" spans="1:15">
      <c r="A3843">
        <v>3842</v>
      </c>
      <c r="B3843" t="s">
        <v>306</v>
      </c>
      <c r="C3843" s="1">
        <v>44927</v>
      </c>
      <c r="D3843">
        <v>3</v>
      </c>
      <c r="E3843" s="4" t="s">
        <v>15</v>
      </c>
      <c r="F3843" t="s">
        <v>21</v>
      </c>
      <c r="G3843" s="1">
        <v>45378</v>
      </c>
      <c r="H3843" s="1">
        <f>TablaDatos[[#This Row],[FechaIngreso]]+TablaDatos[[#This Row],[DiasNuevo]]</f>
        <v>45408</v>
      </c>
      <c r="I3843">
        <v>30</v>
      </c>
      <c r="J3843" t="s">
        <v>25</v>
      </c>
      <c r="K3843" s="3">
        <v>442.62</v>
      </c>
      <c r="L3843" t="b">
        <f>TablaDatos[[#This Row],[FechaAlta]] &lt; TablaDatos[[#This Row],[FechaIngreso]]</f>
        <v>0</v>
      </c>
      <c r="M3843">
        <f>_xlfn.XLOOKUP(TablaDatos[[#This Row],[PacienteID]],'Datos_Ejemplo.csv'!A:A,'Datos_Ejemplo.csv'!I:I)</f>
        <v>30</v>
      </c>
      <c r="N3843">
        <f>ABS(TablaDatos[[#This Row],[DiasOriginal]])</f>
        <v>30</v>
      </c>
      <c r="O3843" s="1">
        <f>TablaDatos[[#This Row],[FechaIngreso]]+TablaDatos[[#This Row],[DiasNuevo]]</f>
        <v>45408</v>
      </c>
    </row>
    <row r="3844" spans="1:15">
      <c r="A3844">
        <v>3843</v>
      </c>
      <c r="B3844" t="s">
        <v>298</v>
      </c>
      <c r="C3844" s="1">
        <v>18263</v>
      </c>
      <c r="D3844">
        <v>76</v>
      </c>
      <c r="E3844" s="4" t="s">
        <v>12</v>
      </c>
      <c r="F3844" t="s">
        <v>21</v>
      </c>
      <c r="G3844" s="1">
        <v>45496</v>
      </c>
      <c r="H3844" s="1">
        <f>TablaDatos[[#This Row],[FechaIngreso]]+TablaDatos[[#This Row],[DiasNuevo]]</f>
        <v>45525</v>
      </c>
      <c r="I3844">
        <v>29</v>
      </c>
      <c r="J3844" t="s">
        <v>25</v>
      </c>
      <c r="K3844" s="3">
        <v>13560.67</v>
      </c>
      <c r="L3844" t="b">
        <f>TablaDatos[[#This Row],[FechaAlta]] &lt; TablaDatos[[#This Row],[FechaIngreso]]</f>
        <v>0</v>
      </c>
      <c r="M3844">
        <f>_xlfn.XLOOKUP(TablaDatos[[#This Row],[PacienteID]],'Datos_Ejemplo.csv'!A:A,'Datos_Ejemplo.csv'!I:I)</f>
        <v>29</v>
      </c>
      <c r="N3844">
        <f>ABS(TablaDatos[[#This Row],[DiasOriginal]])</f>
        <v>29</v>
      </c>
      <c r="O3844" s="1">
        <f>TablaDatos[[#This Row],[FechaIngreso]]+TablaDatos[[#This Row],[DiasNuevo]]</f>
        <v>45525</v>
      </c>
    </row>
    <row r="3845" spans="1:15">
      <c r="A3845">
        <v>3844</v>
      </c>
      <c r="B3845" t="s">
        <v>265</v>
      </c>
      <c r="C3845" s="1">
        <v>24838</v>
      </c>
      <c r="D3845">
        <v>58</v>
      </c>
      <c r="E3845" s="4" t="s">
        <v>12</v>
      </c>
      <c r="F3845" t="s">
        <v>201</v>
      </c>
      <c r="G3845" s="1">
        <v>45594</v>
      </c>
      <c r="H3845" s="1">
        <f>TablaDatos[[#This Row],[FechaIngreso]]+TablaDatos[[#This Row],[DiasNuevo]]</f>
        <v>45630</v>
      </c>
      <c r="I3845">
        <v>36</v>
      </c>
      <c r="J3845" t="s">
        <v>25</v>
      </c>
      <c r="K3845" s="3">
        <v>13605.18</v>
      </c>
      <c r="L3845" t="b">
        <f>TablaDatos[[#This Row],[FechaAlta]] &lt; TablaDatos[[#This Row],[FechaIngreso]]</f>
        <v>0</v>
      </c>
      <c r="M3845">
        <f>_xlfn.XLOOKUP(TablaDatos[[#This Row],[PacienteID]],'Datos_Ejemplo.csv'!A:A,'Datos_Ejemplo.csv'!I:I)</f>
        <v>36</v>
      </c>
      <c r="N3845">
        <f>ABS(TablaDatos[[#This Row],[DiasOriginal]])</f>
        <v>36</v>
      </c>
      <c r="O3845" s="1">
        <f>TablaDatos[[#This Row],[FechaIngreso]]+TablaDatos[[#This Row],[DiasNuevo]]</f>
        <v>45630</v>
      </c>
    </row>
    <row r="3846" spans="1:15">
      <c r="A3846">
        <v>3845</v>
      </c>
      <c r="B3846" t="s">
        <v>356</v>
      </c>
      <c r="C3846" s="1">
        <v>14611</v>
      </c>
      <c r="D3846">
        <v>86</v>
      </c>
      <c r="E3846" s="4" t="s">
        <v>15</v>
      </c>
      <c r="F3846" t="s">
        <v>201</v>
      </c>
      <c r="G3846" s="1">
        <v>45038</v>
      </c>
      <c r="H3846" s="1">
        <f>TablaDatos[[#This Row],[FechaIngreso]]+TablaDatos[[#This Row],[DiasNuevo]]</f>
        <v>45067</v>
      </c>
      <c r="I3846">
        <v>29</v>
      </c>
      <c r="J3846" t="s">
        <v>19</v>
      </c>
      <c r="K3846" s="3">
        <v>11973.23</v>
      </c>
      <c r="L3846" t="b">
        <f>TablaDatos[[#This Row],[FechaAlta]] &lt; TablaDatos[[#This Row],[FechaIngreso]]</f>
        <v>0</v>
      </c>
      <c r="M3846">
        <f>_xlfn.XLOOKUP(TablaDatos[[#This Row],[PacienteID]],'Datos_Ejemplo.csv'!A:A,'Datos_Ejemplo.csv'!I:I)</f>
        <v>29</v>
      </c>
      <c r="N3846">
        <f>ABS(TablaDatos[[#This Row],[DiasOriginal]])</f>
        <v>29</v>
      </c>
      <c r="O3846" s="1">
        <f>TablaDatos[[#This Row],[FechaIngreso]]+TablaDatos[[#This Row],[DiasNuevo]]</f>
        <v>45067</v>
      </c>
    </row>
    <row r="3847" spans="1:15">
      <c r="A3847">
        <v>3846</v>
      </c>
      <c r="B3847" t="s">
        <v>343</v>
      </c>
      <c r="C3847" s="1">
        <v>43466</v>
      </c>
      <c r="D3847">
        <v>7</v>
      </c>
      <c r="E3847" s="4" t="s">
        <v>12</v>
      </c>
      <c r="F3847" t="s">
        <v>261</v>
      </c>
      <c r="G3847" s="1">
        <v>45561</v>
      </c>
      <c r="H3847" s="1">
        <f>TablaDatos[[#This Row],[FechaIngreso]]+TablaDatos[[#This Row],[DiasNuevo]]</f>
        <v>45563</v>
      </c>
      <c r="I3847">
        <v>2</v>
      </c>
      <c r="J3847" t="s">
        <v>25</v>
      </c>
      <c r="K3847" s="3">
        <v>17170.38</v>
      </c>
      <c r="L3847" t="b">
        <f>TablaDatos[[#This Row],[FechaAlta]] &lt; TablaDatos[[#This Row],[FechaIngreso]]</f>
        <v>0</v>
      </c>
      <c r="M3847">
        <f>_xlfn.XLOOKUP(TablaDatos[[#This Row],[PacienteID]],'Datos_Ejemplo.csv'!A:A,'Datos_Ejemplo.csv'!I:I)</f>
        <v>-2</v>
      </c>
      <c r="N3847">
        <f>ABS(TablaDatos[[#This Row],[DiasOriginal]])</f>
        <v>2</v>
      </c>
      <c r="O3847" s="1">
        <f>TablaDatos[[#This Row],[FechaIngreso]]+TablaDatos[[#This Row],[DiasNuevo]]</f>
        <v>45563</v>
      </c>
    </row>
    <row r="3848" spans="1:15">
      <c r="A3848">
        <v>3847</v>
      </c>
      <c r="B3848" t="s">
        <v>288</v>
      </c>
      <c r="C3848" s="1">
        <v>16437</v>
      </c>
      <c r="D3848">
        <v>81</v>
      </c>
      <c r="E3848" s="4" t="s">
        <v>15</v>
      </c>
      <c r="F3848" t="s">
        <v>18</v>
      </c>
      <c r="G3848" s="1">
        <v>45388</v>
      </c>
      <c r="H3848" s="1">
        <f>TablaDatos[[#This Row],[FechaIngreso]]+TablaDatos[[#This Row],[DiasNuevo]]</f>
        <v>45395</v>
      </c>
      <c r="I3848">
        <v>7</v>
      </c>
      <c r="J3848" t="s">
        <v>23</v>
      </c>
      <c r="K3848" s="3">
        <v>1525.62</v>
      </c>
      <c r="L3848" t="b">
        <f>TablaDatos[[#This Row],[FechaAlta]] &lt; TablaDatos[[#This Row],[FechaIngreso]]</f>
        <v>0</v>
      </c>
      <c r="M3848">
        <f>_xlfn.XLOOKUP(TablaDatos[[#This Row],[PacienteID]],'Datos_Ejemplo.csv'!A:A,'Datos_Ejemplo.csv'!I:I)</f>
        <v>7</v>
      </c>
      <c r="N3848">
        <f>ABS(TablaDatos[[#This Row],[DiasOriginal]])</f>
        <v>7</v>
      </c>
      <c r="O3848" s="1">
        <f>TablaDatos[[#This Row],[FechaIngreso]]+TablaDatos[[#This Row],[DiasNuevo]]</f>
        <v>45395</v>
      </c>
    </row>
    <row r="3849" spans="1:15">
      <c r="A3849">
        <v>3848</v>
      </c>
      <c r="B3849" t="s">
        <v>262</v>
      </c>
      <c r="C3849" s="1">
        <v>42005</v>
      </c>
      <c r="D3849">
        <v>11</v>
      </c>
      <c r="E3849" s="4" t="s">
        <v>197</v>
      </c>
      <c r="F3849" t="s">
        <v>13</v>
      </c>
      <c r="G3849" s="1">
        <v>45288</v>
      </c>
      <c r="H3849" s="1">
        <f>TablaDatos[[#This Row],[FechaIngreso]]+TablaDatos[[#This Row],[DiasNuevo]]</f>
        <v>45289</v>
      </c>
      <c r="I3849">
        <v>1</v>
      </c>
      <c r="J3849" t="s">
        <v>25</v>
      </c>
      <c r="K3849" s="3">
        <v>2015.73</v>
      </c>
      <c r="L3849" t="b">
        <f>TablaDatos[[#This Row],[FechaAlta]] &lt; TablaDatos[[#This Row],[FechaIngreso]]</f>
        <v>0</v>
      </c>
      <c r="M3849">
        <f>_xlfn.XLOOKUP(TablaDatos[[#This Row],[PacienteID]],'Datos_Ejemplo.csv'!A:A,'Datos_Ejemplo.csv'!I:I)</f>
        <v>1</v>
      </c>
      <c r="N3849">
        <f>ABS(TablaDatos[[#This Row],[DiasOriginal]])</f>
        <v>1</v>
      </c>
      <c r="O3849" s="1">
        <f>TablaDatos[[#This Row],[FechaIngreso]]+TablaDatos[[#This Row],[DiasNuevo]]</f>
        <v>45289</v>
      </c>
    </row>
    <row r="3850" spans="1:15">
      <c r="A3850">
        <v>3849</v>
      </c>
      <c r="B3850" t="s">
        <v>161</v>
      </c>
      <c r="C3850" s="1">
        <v>35065</v>
      </c>
      <c r="D3850">
        <v>30</v>
      </c>
      <c r="E3850" s="4" t="s">
        <v>12</v>
      </c>
      <c r="F3850" t="s">
        <v>201</v>
      </c>
      <c r="G3850" s="1">
        <v>45129</v>
      </c>
      <c r="H3850" s="1">
        <f>TablaDatos[[#This Row],[FechaIngreso]]+TablaDatos[[#This Row],[DiasNuevo]]</f>
        <v>45155</v>
      </c>
      <c r="I3850">
        <v>26</v>
      </c>
      <c r="J3850" t="s">
        <v>25</v>
      </c>
      <c r="K3850" s="3">
        <v>17277.16</v>
      </c>
      <c r="L3850" t="b">
        <f>TablaDatos[[#This Row],[FechaAlta]] &lt; TablaDatos[[#This Row],[FechaIngreso]]</f>
        <v>0</v>
      </c>
      <c r="M3850">
        <f>_xlfn.XLOOKUP(TablaDatos[[#This Row],[PacienteID]],'Datos_Ejemplo.csv'!A:A,'Datos_Ejemplo.csv'!I:I)</f>
        <v>26</v>
      </c>
      <c r="N3850">
        <f>ABS(TablaDatos[[#This Row],[DiasOriginal]])</f>
        <v>26</v>
      </c>
      <c r="O3850" s="1">
        <f>TablaDatos[[#This Row],[FechaIngreso]]+TablaDatos[[#This Row],[DiasNuevo]]</f>
        <v>45155</v>
      </c>
    </row>
    <row r="3851" spans="1:15">
      <c r="A3851">
        <v>3850</v>
      </c>
      <c r="B3851" t="s">
        <v>122</v>
      </c>
      <c r="C3851" s="1">
        <v>17898</v>
      </c>
      <c r="D3851">
        <v>77</v>
      </c>
      <c r="E3851" s="4" t="s">
        <v>15</v>
      </c>
      <c r="F3851" t="s">
        <v>201</v>
      </c>
      <c r="G3851" s="1">
        <v>45413</v>
      </c>
      <c r="H3851" s="1">
        <f>TablaDatos[[#This Row],[FechaIngreso]]+TablaDatos[[#This Row],[DiasNuevo]]</f>
        <v>45417</v>
      </c>
      <c r="I3851">
        <v>4</v>
      </c>
      <c r="J3851" t="s">
        <v>23</v>
      </c>
      <c r="K3851" s="3">
        <v>10015.86</v>
      </c>
      <c r="L3851" t="b">
        <f>TablaDatos[[#This Row],[FechaAlta]] &lt; TablaDatos[[#This Row],[FechaIngreso]]</f>
        <v>0</v>
      </c>
      <c r="M3851">
        <f>_xlfn.XLOOKUP(TablaDatos[[#This Row],[PacienteID]],'Datos_Ejemplo.csv'!A:A,'Datos_Ejemplo.csv'!I:I)</f>
        <v>4</v>
      </c>
      <c r="N3851">
        <f>ABS(TablaDatos[[#This Row],[DiasOriginal]])</f>
        <v>4</v>
      </c>
      <c r="O3851" s="1">
        <f>TablaDatos[[#This Row],[FechaIngreso]]+TablaDatos[[#This Row],[DiasNuevo]]</f>
        <v>45417</v>
      </c>
    </row>
    <row r="3852" spans="1:15">
      <c r="A3852">
        <v>3851</v>
      </c>
      <c r="B3852" t="s">
        <v>359</v>
      </c>
      <c r="C3852" s="1">
        <v>33969</v>
      </c>
      <c r="D3852">
        <v>33</v>
      </c>
      <c r="E3852" s="4" t="s">
        <v>12</v>
      </c>
      <c r="F3852" t="s">
        <v>32</v>
      </c>
      <c r="G3852" s="1">
        <v>45406</v>
      </c>
      <c r="H3852" s="1">
        <f>TablaDatos[[#This Row],[FechaIngreso]]+TablaDatos[[#This Row],[DiasNuevo]]</f>
        <v>45441</v>
      </c>
      <c r="I3852">
        <v>35</v>
      </c>
      <c r="J3852" t="s">
        <v>23</v>
      </c>
      <c r="K3852" s="3">
        <v>5388.36</v>
      </c>
      <c r="L3852" t="b">
        <f>TablaDatos[[#This Row],[FechaAlta]] &lt; TablaDatos[[#This Row],[FechaIngreso]]</f>
        <v>0</v>
      </c>
      <c r="M3852">
        <f>_xlfn.XLOOKUP(TablaDatos[[#This Row],[PacienteID]],'Datos_Ejemplo.csv'!A:A,'Datos_Ejemplo.csv'!I:I)</f>
        <v>35</v>
      </c>
      <c r="N3852">
        <f>ABS(TablaDatos[[#This Row],[DiasOriginal]])</f>
        <v>35</v>
      </c>
      <c r="O3852" s="1">
        <f>TablaDatos[[#This Row],[FechaIngreso]]+TablaDatos[[#This Row],[DiasNuevo]]</f>
        <v>45441</v>
      </c>
    </row>
    <row r="3853" spans="1:15">
      <c r="A3853">
        <v>3852</v>
      </c>
      <c r="B3853" t="s">
        <v>288</v>
      </c>
      <c r="C3853" s="1">
        <v>16437</v>
      </c>
      <c r="D3853">
        <v>81</v>
      </c>
      <c r="E3853" s="4" t="s">
        <v>12</v>
      </c>
      <c r="F3853" t="s">
        <v>295</v>
      </c>
      <c r="G3853" s="1">
        <v>44930</v>
      </c>
      <c r="H3853" s="1">
        <f>TablaDatos[[#This Row],[FechaIngreso]]+TablaDatos[[#This Row],[DiasNuevo]]</f>
        <v>44933</v>
      </c>
      <c r="I3853">
        <v>3</v>
      </c>
      <c r="J3853" t="s">
        <v>23</v>
      </c>
      <c r="K3853" s="3">
        <v>14736.96</v>
      </c>
      <c r="L3853" t="b">
        <f>TablaDatos[[#This Row],[FechaAlta]] &lt; TablaDatos[[#This Row],[FechaIngreso]]</f>
        <v>0</v>
      </c>
      <c r="M3853">
        <f>_xlfn.XLOOKUP(TablaDatos[[#This Row],[PacienteID]],'Datos_Ejemplo.csv'!A:A,'Datos_Ejemplo.csv'!I:I)</f>
        <v>3</v>
      </c>
      <c r="N3853">
        <f>ABS(TablaDatos[[#This Row],[DiasOriginal]])</f>
        <v>3</v>
      </c>
      <c r="O3853" s="1">
        <f>TablaDatos[[#This Row],[FechaIngreso]]+TablaDatos[[#This Row],[DiasNuevo]]</f>
        <v>44933</v>
      </c>
    </row>
    <row r="3854" spans="1:15">
      <c r="A3854">
        <v>3853</v>
      </c>
      <c r="B3854" t="s">
        <v>122</v>
      </c>
      <c r="C3854" s="1">
        <v>18994</v>
      </c>
      <c r="D3854">
        <v>74</v>
      </c>
      <c r="E3854" s="4" t="s">
        <v>15</v>
      </c>
      <c r="F3854" t="s">
        <v>21</v>
      </c>
      <c r="G3854" s="1">
        <v>45055</v>
      </c>
      <c r="H3854" s="1">
        <f>TablaDatos[[#This Row],[FechaIngreso]]+TablaDatos[[#This Row],[DiasNuevo]]</f>
        <v>45063</v>
      </c>
      <c r="I3854">
        <v>8</v>
      </c>
      <c r="J3854" t="s">
        <v>25</v>
      </c>
      <c r="K3854" s="3">
        <v>17877.509999999998</v>
      </c>
      <c r="L3854" t="b">
        <f>TablaDatos[[#This Row],[FechaAlta]] &lt; TablaDatos[[#This Row],[FechaIngreso]]</f>
        <v>0</v>
      </c>
      <c r="M3854">
        <f>_xlfn.XLOOKUP(TablaDatos[[#This Row],[PacienteID]],'Datos_Ejemplo.csv'!A:A,'Datos_Ejemplo.csv'!I:I)</f>
        <v>8</v>
      </c>
      <c r="N3854">
        <f>ABS(TablaDatos[[#This Row],[DiasOriginal]])</f>
        <v>8</v>
      </c>
      <c r="O3854" s="1">
        <f>TablaDatos[[#This Row],[FechaIngreso]]+TablaDatos[[#This Row],[DiasNuevo]]</f>
        <v>45063</v>
      </c>
    </row>
    <row r="3855" spans="1:15">
      <c r="A3855">
        <v>3854</v>
      </c>
      <c r="B3855" t="s">
        <v>338</v>
      </c>
      <c r="C3855" s="1">
        <v>18629</v>
      </c>
      <c r="D3855">
        <v>75</v>
      </c>
      <c r="E3855" s="4" t="s">
        <v>12</v>
      </c>
      <c r="F3855" t="s">
        <v>295</v>
      </c>
      <c r="G3855" s="1">
        <v>44952</v>
      </c>
      <c r="H3855" s="1">
        <f>TablaDatos[[#This Row],[FechaIngreso]]+TablaDatos[[#This Row],[DiasNuevo]]</f>
        <v>44958</v>
      </c>
      <c r="I3855">
        <v>6</v>
      </c>
      <c r="J3855" t="s">
        <v>25</v>
      </c>
      <c r="K3855" s="3">
        <v>13761.03</v>
      </c>
      <c r="L3855" t="b">
        <f>TablaDatos[[#This Row],[FechaAlta]] &lt; TablaDatos[[#This Row],[FechaIngreso]]</f>
        <v>0</v>
      </c>
      <c r="M3855">
        <f>_xlfn.XLOOKUP(TablaDatos[[#This Row],[PacienteID]],'Datos_Ejemplo.csv'!A:A,'Datos_Ejemplo.csv'!I:I)</f>
        <v>6</v>
      </c>
      <c r="N3855">
        <f>ABS(TablaDatos[[#This Row],[DiasOriginal]])</f>
        <v>6</v>
      </c>
      <c r="O3855" s="1">
        <f>TablaDatos[[#This Row],[FechaIngreso]]+TablaDatos[[#This Row],[DiasNuevo]]</f>
        <v>44958</v>
      </c>
    </row>
    <row r="3856" spans="1:15">
      <c r="A3856">
        <v>3855</v>
      </c>
      <c r="B3856" t="s">
        <v>260</v>
      </c>
      <c r="C3856" s="1">
        <v>28490</v>
      </c>
      <c r="D3856">
        <v>48</v>
      </c>
      <c r="E3856" s="4" t="s">
        <v>15</v>
      </c>
      <c r="F3856" t="s">
        <v>295</v>
      </c>
      <c r="G3856" s="1">
        <v>44953</v>
      </c>
      <c r="H3856" s="1">
        <f>TablaDatos[[#This Row],[FechaIngreso]]+TablaDatos[[#This Row],[DiasNuevo]]</f>
        <v>44980</v>
      </c>
      <c r="I3856">
        <v>27</v>
      </c>
      <c r="J3856" t="s">
        <v>23</v>
      </c>
      <c r="K3856" s="3">
        <v>15817.85</v>
      </c>
      <c r="L3856" t="b">
        <f>TablaDatos[[#This Row],[FechaAlta]] &lt; TablaDatos[[#This Row],[FechaIngreso]]</f>
        <v>0</v>
      </c>
      <c r="M3856">
        <f>_xlfn.XLOOKUP(TablaDatos[[#This Row],[PacienteID]],'Datos_Ejemplo.csv'!A:A,'Datos_Ejemplo.csv'!I:I)</f>
        <v>27</v>
      </c>
      <c r="N3856">
        <f>ABS(TablaDatos[[#This Row],[DiasOriginal]])</f>
        <v>27</v>
      </c>
      <c r="O3856" s="1">
        <f>TablaDatos[[#This Row],[FechaIngreso]]+TablaDatos[[#This Row],[DiasNuevo]]</f>
        <v>44980</v>
      </c>
    </row>
    <row r="3857" spans="1:15">
      <c r="A3857">
        <v>3856</v>
      </c>
      <c r="B3857" t="s">
        <v>67</v>
      </c>
      <c r="C3857" s="1">
        <v>17533</v>
      </c>
      <c r="D3857">
        <v>78</v>
      </c>
      <c r="E3857" s="4" t="s">
        <v>15</v>
      </c>
      <c r="F3857" t="s">
        <v>261</v>
      </c>
      <c r="G3857" s="1">
        <v>44968</v>
      </c>
      <c r="H3857" s="1">
        <f>TablaDatos[[#This Row],[FechaIngreso]]+TablaDatos[[#This Row],[DiasNuevo]]</f>
        <v>44987</v>
      </c>
      <c r="I3857">
        <v>19</v>
      </c>
      <c r="J3857" t="s">
        <v>19</v>
      </c>
      <c r="K3857" s="3">
        <v>5578.19</v>
      </c>
      <c r="L3857" t="b">
        <f>TablaDatos[[#This Row],[FechaAlta]] &lt; TablaDatos[[#This Row],[FechaIngreso]]</f>
        <v>0</v>
      </c>
      <c r="M3857">
        <f>_xlfn.XLOOKUP(TablaDatos[[#This Row],[PacienteID]],'Datos_Ejemplo.csv'!A:A,'Datos_Ejemplo.csv'!I:I)</f>
        <v>19</v>
      </c>
      <c r="N3857">
        <f>ABS(TablaDatos[[#This Row],[DiasOriginal]])</f>
        <v>19</v>
      </c>
      <c r="O3857" s="1">
        <f>TablaDatos[[#This Row],[FechaIngreso]]+TablaDatos[[#This Row],[DiasNuevo]]</f>
        <v>44987</v>
      </c>
    </row>
    <row r="3858" spans="1:15">
      <c r="A3858">
        <v>3857</v>
      </c>
      <c r="B3858" t="s">
        <v>103</v>
      </c>
      <c r="C3858" s="1">
        <v>25568</v>
      </c>
      <c r="D3858">
        <v>56</v>
      </c>
      <c r="E3858" s="4" t="s">
        <v>15</v>
      </c>
      <c r="F3858" t="s">
        <v>295</v>
      </c>
      <c r="G3858" s="1">
        <v>45509</v>
      </c>
      <c r="H3858" s="1">
        <f>TablaDatos[[#This Row],[FechaIngreso]]+TablaDatos[[#This Row],[DiasNuevo]]</f>
        <v>45545</v>
      </c>
      <c r="I3858">
        <v>36</v>
      </c>
      <c r="J3858" t="s">
        <v>25</v>
      </c>
      <c r="K3858" s="3">
        <v>5704.38</v>
      </c>
      <c r="L3858" t="b">
        <f>TablaDatos[[#This Row],[FechaAlta]] &lt; TablaDatos[[#This Row],[FechaIngreso]]</f>
        <v>0</v>
      </c>
      <c r="M3858">
        <f>_xlfn.XLOOKUP(TablaDatos[[#This Row],[PacienteID]],'Datos_Ejemplo.csv'!A:A,'Datos_Ejemplo.csv'!I:I)</f>
        <v>36</v>
      </c>
      <c r="N3858">
        <f>ABS(TablaDatos[[#This Row],[DiasOriginal]])</f>
        <v>36</v>
      </c>
      <c r="O3858" s="1">
        <f>TablaDatos[[#This Row],[FechaIngreso]]+TablaDatos[[#This Row],[DiasNuevo]]</f>
        <v>45545</v>
      </c>
    </row>
    <row r="3859" spans="1:15">
      <c r="A3859">
        <v>3858</v>
      </c>
      <c r="B3859" t="s">
        <v>305</v>
      </c>
      <c r="C3859" s="1">
        <v>11689</v>
      </c>
      <c r="D3859">
        <v>94</v>
      </c>
      <c r="E3859" s="4" t="s">
        <v>15</v>
      </c>
      <c r="F3859" t="s">
        <v>13</v>
      </c>
      <c r="G3859" s="1">
        <v>44990</v>
      </c>
      <c r="H3859" s="1">
        <f>TablaDatos[[#This Row],[FechaIngreso]]+TablaDatos[[#This Row],[DiasNuevo]]</f>
        <v>44996</v>
      </c>
      <c r="I3859">
        <v>6</v>
      </c>
      <c r="J3859" t="s">
        <v>19</v>
      </c>
      <c r="K3859" s="3">
        <v>17268.89</v>
      </c>
      <c r="L3859" t="b">
        <f>TablaDatos[[#This Row],[FechaAlta]] &lt; TablaDatos[[#This Row],[FechaIngreso]]</f>
        <v>0</v>
      </c>
      <c r="M3859">
        <f>_xlfn.XLOOKUP(TablaDatos[[#This Row],[PacienteID]],'Datos_Ejemplo.csv'!A:A,'Datos_Ejemplo.csv'!I:I)</f>
        <v>6</v>
      </c>
      <c r="N3859">
        <f>ABS(TablaDatos[[#This Row],[DiasOriginal]])</f>
        <v>6</v>
      </c>
      <c r="O3859" s="1">
        <f>TablaDatos[[#This Row],[FechaIngreso]]+TablaDatos[[#This Row],[DiasNuevo]]</f>
        <v>44996</v>
      </c>
    </row>
    <row r="3860" spans="1:15">
      <c r="A3860">
        <v>3859</v>
      </c>
      <c r="B3860" t="s">
        <v>368</v>
      </c>
      <c r="C3860" s="1">
        <v>12419</v>
      </c>
      <c r="D3860">
        <v>92</v>
      </c>
      <c r="E3860" s="4" t="s">
        <v>15</v>
      </c>
      <c r="F3860" t="s">
        <v>261</v>
      </c>
      <c r="G3860" s="1">
        <v>44951</v>
      </c>
      <c r="H3860" s="1">
        <f>TablaDatos[[#This Row],[FechaIngreso]]+TablaDatos[[#This Row],[DiasNuevo]]</f>
        <v>44986</v>
      </c>
      <c r="I3860">
        <v>35</v>
      </c>
      <c r="J3860" t="s">
        <v>25</v>
      </c>
      <c r="K3860" s="3">
        <v>12258.74</v>
      </c>
      <c r="L3860" t="b">
        <f>TablaDatos[[#This Row],[FechaAlta]] &lt; TablaDatos[[#This Row],[FechaIngreso]]</f>
        <v>0</v>
      </c>
      <c r="M3860">
        <f>_xlfn.XLOOKUP(TablaDatos[[#This Row],[PacienteID]],'Datos_Ejemplo.csv'!A:A,'Datos_Ejemplo.csv'!I:I)</f>
        <v>35</v>
      </c>
      <c r="N3860">
        <f>ABS(TablaDatos[[#This Row],[DiasOriginal]])</f>
        <v>35</v>
      </c>
      <c r="O3860" s="1">
        <f>TablaDatos[[#This Row],[FechaIngreso]]+TablaDatos[[#This Row],[DiasNuevo]]</f>
        <v>44986</v>
      </c>
    </row>
    <row r="3861" spans="1:15">
      <c r="A3861">
        <v>3860</v>
      </c>
      <c r="B3861" t="s">
        <v>284</v>
      </c>
      <c r="C3861" s="1">
        <v>36891</v>
      </c>
      <c r="D3861">
        <v>25</v>
      </c>
      <c r="E3861" s="4" t="s">
        <v>12</v>
      </c>
      <c r="F3861" t="s">
        <v>201</v>
      </c>
      <c r="G3861" s="1">
        <v>44998</v>
      </c>
      <c r="H3861" s="1">
        <f>TablaDatos[[#This Row],[FechaIngreso]]+TablaDatos[[#This Row],[DiasNuevo]]</f>
        <v>45028</v>
      </c>
      <c r="I3861">
        <v>30</v>
      </c>
      <c r="J3861" t="s">
        <v>19</v>
      </c>
      <c r="K3861" s="3">
        <v>4606.67</v>
      </c>
      <c r="L3861" t="b">
        <f>TablaDatos[[#This Row],[FechaAlta]] &lt; TablaDatos[[#This Row],[FechaIngreso]]</f>
        <v>0</v>
      </c>
      <c r="M3861">
        <f>_xlfn.XLOOKUP(TablaDatos[[#This Row],[PacienteID]],'Datos_Ejemplo.csv'!A:A,'Datos_Ejemplo.csv'!I:I)</f>
        <v>30</v>
      </c>
      <c r="N3861">
        <f>ABS(TablaDatos[[#This Row],[DiasOriginal]])</f>
        <v>30</v>
      </c>
      <c r="O3861" s="1">
        <f>TablaDatos[[#This Row],[FechaIngreso]]+TablaDatos[[#This Row],[DiasNuevo]]</f>
        <v>45028</v>
      </c>
    </row>
    <row r="3862" spans="1:15">
      <c r="A3862">
        <v>3861</v>
      </c>
      <c r="B3862" t="s">
        <v>297</v>
      </c>
      <c r="C3862" s="1">
        <v>39813</v>
      </c>
      <c r="D3862">
        <v>17</v>
      </c>
      <c r="E3862" s="4" t="s">
        <v>15</v>
      </c>
      <c r="F3862" t="s">
        <v>13</v>
      </c>
      <c r="G3862" s="1">
        <v>45408</v>
      </c>
      <c r="H3862" s="1">
        <f>TablaDatos[[#This Row],[FechaIngreso]]+TablaDatos[[#This Row],[DiasNuevo]]</f>
        <v>45431</v>
      </c>
      <c r="I3862">
        <v>23</v>
      </c>
      <c r="J3862" t="s">
        <v>23</v>
      </c>
      <c r="K3862" s="3">
        <v>10435.65</v>
      </c>
      <c r="L3862" t="b">
        <f>TablaDatos[[#This Row],[FechaAlta]] &lt; TablaDatos[[#This Row],[FechaIngreso]]</f>
        <v>0</v>
      </c>
      <c r="M3862">
        <f>_xlfn.XLOOKUP(TablaDatos[[#This Row],[PacienteID]],'Datos_Ejemplo.csv'!A:A,'Datos_Ejemplo.csv'!I:I)</f>
        <v>23</v>
      </c>
      <c r="N3862">
        <f>ABS(TablaDatos[[#This Row],[DiasOriginal]])</f>
        <v>23</v>
      </c>
      <c r="O3862" s="1">
        <f>TablaDatos[[#This Row],[FechaIngreso]]+TablaDatos[[#This Row],[DiasNuevo]]</f>
        <v>45431</v>
      </c>
    </row>
    <row r="3863" spans="1:15">
      <c r="A3863">
        <v>3862</v>
      </c>
      <c r="B3863" t="s">
        <v>237</v>
      </c>
      <c r="C3863" s="1">
        <v>14976</v>
      </c>
      <c r="D3863">
        <v>85</v>
      </c>
      <c r="E3863" s="4" t="s">
        <v>15</v>
      </c>
      <c r="F3863" t="s">
        <v>261</v>
      </c>
      <c r="G3863" s="1">
        <v>45194</v>
      </c>
      <c r="H3863" s="1">
        <f>TablaDatos[[#This Row],[FechaIngreso]]+TablaDatos[[#This Row],[DiasNuevo]]</f>
        <v>45207</v>
      </c>
      <c r="I3863">
        <v>13</v>
      </c>
      <c r="J3863" t="s">
        <v>25</v>
      </c>
      <c r="K3863" s="3">
        <v>13685.8</v>
      </c>
      <c r="L3863" t="b">
        <f>TablaDatos[[#This Row],[FechaAlta]] &lt; TablaDatos[[#This Row],[FechaIngreso]]</f>
        <v>0</v>
      </c>
      <c r="M3863">
        <f>_xlfn.XLOOKUP(TablaDatos[[#This Row],[PacienteID]],'Datos_Ejemplo.csv'!A:A,'Datos_Ejemplo.csv'!I:I)</f>
        <v>13</v>
      </c>
      <c r="N3863">
        <f>ABS(TablaDatos[[#This Row],[DiasOriginal]])</f>
        <v>13</v>
      </c>
      <c r="O3863" s="1">
        <f>TablaDatos[[#This Row],[FechaIngreso]]+TablaDatos[[#This Row],[DiasNuevo]]</f>
        <v>45207</v>
      </c>
    </row>
    <row r="3864" spans="1:15">
      <c r="A3864">
        <v>3863</v>
      </c>
      <c r="B3864" t="s">
        <v>248</v>
      </c>
      <c r="C3864" s="1">
        <v>32508</v>
      </c>
      <c r="D3864">
        <v>37</v>
      </c>
      <c r="E3864" s="4" t="s">
        <v>12</v>
      </c>
      <c r="F3864" t="s">
        <v>13</v>
      </c>
      <c r="G3864" s="1">
        <v>45021</v>
      </c>
      <c r="H3864" s="1">
        <f>TablaDatos[[#This Row],[FechaIngreso]]+TablaDatos[[#This Row],[DiasNuevo]]</f>
        <v>45027</v>
      </c>
      <c r="I3864">
        <v>6</v>
      </c>
      <c r="J3864" t="s">
        <v>23</v>
      </c>
      <c r="K3864" s="3">
        <v>4292.84</v>
      </c>
      <c r="L3864" t="b">
        <f>TablaDatos[[#This Row],[FechaAlta]] &lt; TablaDatos[[#This Row],[FechaIngreso]]</f>
        <v>0</v>
      </c>
      <c r="M3864">
        <f>_xlfn.XLOOKUP(TablaDatos[[#This Row],[PacienteID]],'Datos_Ejemplo.csv'!A:A,'Datos_Ejemplo.csv'!I:I)</f>
        <v>6</v>
      </c>
      <c r="N3864">
        <f>ABS(TablaDatos[[#This Row],[DiasOriginal]])</f>
        <v>6</v>
      </c>
      <c r="O3864" s="1">
        <f>TablaDatos[[#This Row],[FechaIngreso]]+TablaDatos[[#This Row],[DiasNuevo]]</f>
        <v>45027</v>
      </c>
    </row>
    <row r="3865" spans="1:15">
      <c r="A3865">
        <v>3864</v>
      </c>
      <c r="B3865" t="s">
        <v>243</v>
      </c>
      <c r="C3865" s="1">
        <v>16802</v>
      </c>
      <c r="D3865">
        <v>80</v>
      </c>
      <c r="E3865" s="4" t="s">
        <v>12</v>
      </c>
      <c r="F3865" t="s">
        <v>261</v>
      </c>
      <c r="G3865" s="1">
        <v>45321</v>
      </c>
      <c r="H3865" s="1">
        <f>TablaDatos[[#This Row],[FechaIngreso]]+TablaDatos[[#This Row],[DiasNuevo]]</f>
        <v>45341</v>
      </c>
      <c r="I3865">
        <v>20</v>
      </c>
      <c r="J3865" t="s">
        <v>19</v>
      </c>
      <c r="K3865" s="3">
        <v>13063.62</v>
      </c>
      <c r="L3865" t="b">
        <f>TablaDatos[[#This Row],[FechaAlta]] &lt; TablaDatos[[#This Row],[FechaIngreso]]</f>
        <v>0</v>
      </c>
      <c r="M3865">
        <f>_xlfn.XLOOKUP(TablaDatos[[#This Row],[PacienteID]],'Datos_Ejemplo.csv'!A:A,'Datos_Ejemplo.csv'!I:I)</f>
        <v>20</v>
      </c>
      <c r="N3865">
        <f>ABS(TablaDatos[[#This Row],[DiasOriginal]])</f>
        <v>20</v>
      </c>
      <c r="O3865" s="1">
        <f>TablaDatos[[#This Row],[FechaIngreso]]+TablaDatos[[#This Row],[DiasNuevo]]</f>
        <v>45341</v>
      </c>
    </row>
    <row r="3866" spans="1:15">
      <c r="A3866">
        <v>3865</v>
      </c>
      <c r="B3866" t="s">
        <v>362</v>
      </c>
      <c r="C3866" s="1">
        <v>14611</v>
      </c>
      <c r="D3866">
        <v>86</v>
      </c>
      <c r="E3866" s="4" t="s">
        <v>197</v>
      </c>
      <c r="F3866" t="s">
        <v>261</v>
      </c>
      <c r="G3866" s="1">
        <v>45290</v>
      </c>
      <c r="H3866" s="1">
        <f>TablaDatos[[#This Row],[FechaIngreso]]+TablaDatos[[#This Row],[DiasNuevo]]</f>
        <v>45302</v>
      </c>
      <c r="I3866">
        <v>12</v>
      </c>
      <c r="J3866" t="s">
        <v>23</v>
      </c>
      <c r="K3866" s="3">
        <v>747.11</v>
      </c>
      <c r="L3866" t="b">
        <f>TablaDatos[[#This Row],[FechaAlta]] &lt; TablaDatos[[#This Row],[FechaIngreso]]</f>
        <v>0</v>
      </c>
      <c r="M3866">
        <f>_xlfn.XLOOKUP(TablaDatos[[#This Row],[PacienteID]],'Datos_Ejemplo.csv'!A:A,'Datos_Ejemplo.csv'!I:I)</f>
        <v>12</v>
      </c>
      <c r="N3866">
        <f>ABS(TablaDatos[[#This Row],[DiasOriginal]])</f>
        <v>12</v>
      </c>
      <c r="O3866" s="1">
        <f>TablaDatos[[#This Row],[FechaIngreso]]+TablaDatos[[#This Row],[DiasNuevo]]</f>
        <v>45302</v>
      </c>
    </row>
    <row r="3867" spans="1:15">
      <c r="A3867">
        <v>3866</v>
      </c>
      <c r="B3867" t="s">
        <v>307</v>
      </c>
      <c r="C3867" s="1">
        <v>14246</v>
      </c>
      <c r="D3867">
        <v>87</v>
      </c>
      <c r="E3867" s="4" t="s">
        <v>12</v>
      </c>
      <c r="F3867" t="s">
        <v>18</v>
      </c>
      <c r="G3867" s="1">
        <v>45241</v>
      </c>
      <c r="H3867" s="1">
        <f>TablaDatos[[#This Row],[FechaIngreso]]+TablaDatos[[#This Row],[DiasNuevo]]</f>
        <v>45257</v>
      </c>
      <c r="I3867">
        <v>16</v>
      </c>
      <c r="J3867" t="s">
        <v>23</v>
      </c>
      <c r="K3867" s="3">
        <v>6004.2</v>
      </c>
      <c r="L3867" t="b">
        <f>TablaDatos[[#This Row],[FechaAlta]] &lt; TablaDatos[[#This Row],[FechaIngreso]]</f>
        <v>0</v>
      </c>
      <c r="M3867">
        <f>_xlfn.XLOOKUP(TablaDatos[[#This Row],[PacienteID]],'Datos_Ejemplo.csv'!A:A,'Datos_Ejemplo.csv'!I:I)</f>
        <v>16</v>
      </c>
      <c r="N3867">
        <f>ABS(TablaDatos[[#This Row],[DiasOriginal]])</f>
        <v>16</v>
      </c>
      <c r="O3867" s="1">
        <f>TablaDatos[[#This Row],[FechaIngreso]]+TablaDatos[[#This Row],[DiasNuevo]]</f>
        <v>45257</v>
      </c>
    </row>
    <row r="3868" spans="1:15">
      <c r="A3868">
        <v>3867</v>
      </c>
      <c r="B3868" t="s">
        <v>342</v>
      </c>
      <c r="C3868" s="1">
        <v>28125</v>
      </c>
      <c r="D3868">
        <v>49</v>
      </c>
      <c r="E3868" s="4" t="s">
        <v>197</v>
      </c>
      <c r="F3868" t="s">
        <v>13</v>
      </c>
      <c r="G3868" s="1">
        <v>45043</v>
      </c>
      <c r="H3868" s="1">
        <f>TablaDatos[[#This Row],[FechaIngreso]]+TablaDatos[[#This Row],[DiasNuevo]]</f>
        <v>45082</v>
      </c>
      <c r="I3868">
        <v>39</v>
      </c>
      <c r="J3868" t="s">
        <v>23</v>
      </c>
      <c r="K3868" s="3">
        <v>13446.83</v>
      </c>
      <c r="L3868" t="b">
        <f>TablaDatos[[#This Row],[FechaAlta]] &lt; TablaDatos[[#This Row],[FechaIngreso]]</f>
        <v>0</v>
      </c>
      <c r="M3868">
        <f>_xlfn.XLOOKUP(TablaDatos[[#This Row],[PacienteID]],'Datos_Ejemplo.csv'!A:A,'Datos_Ejemplo.csv'!I:I)</f>
        <v>39</v>
      </c>
      <c r="N3868">
        <f>ABS(TablaDatos[[#This Row],[DiasOriginal]])</f>
        <v>39</v>
      </c>
      <c r="O3868" s="1">
        <f>TablaDatos[[#This Row],[FechaIngreso]]+TablaDatos[[#This Row],[DiasNuevo]]</f>
        <v>45082</v>
      </c>
    </row>
    <row r="3869" spans="1:15">
      <c r="A3869">
        <v>3868</v>
      </c>
      <c r="B3869" t="s">
        <v>333</v>
      </c>
      <c r="C3869" s="1">
        <v>43466</v>
      </c>
      <c r="D3869">
        <v>7</v>
      </c>
      <c r="E3869" s="4" t="s">
        <v>12</v>
      </c>
      <c r="F3869" t="s">
        <v>18</v>
      </c>
      <c r="G3869" s="1">
        <v>45090</v>
      </c>
      <c r="H3869" s="1">
        <f>TablaDatos[[#This Row],[FechaIngreso]]+TablaDatos[[#This Row],[DiasNuevo]]</f>
        <v>45103</v>
      </c>
      <c r="I3869">
        <v>13</v>
      </c>
      <c r="J3869" t="s">
        <v>25</v>
      </c>
      <c r="K3869" s="3">
        <v>2901.92</v>
      </c>
      <c r="L3869" t="b">
        <f>TablaDatos[[#This Row],[FechaAlta]] &lt; TablaDatos[[#This Row],[FechaIngreso]]</f>
        <v>0</v>
      </c>
      <c r="M3869">
        <f>_xlfn.XLOOKUP(TablaDatos[[#This Row],[PacienteID]],'Datos_Ejemplo.csv'!A:A,'Datos_Ejemplo.csv'!I:I)</f>
        <v>13</v>
      </c>
      <c r="N3869">
        <f>ABS(TablaDatos[[#This Row],[DiasOriginal]])</f>
        <v>13</v>
      </c>
      <c r="O3869" s="1">
        <f>TablaDatos[[#This Row],[FechaIngreso]]+TablaDatos[[#This Row],[DiasNuevo]]</f>
        <v>45103</v>
      </c>
    </row>
    <row r="3870" spans="1:15">
      <c r="A3870">
        <v>3869</v>
      </c>
      <c r="B3870" t="s">
        <v>105</v>
      </c>
      <c r="C3870" s="1">
        <v>31412</v>
      </c>
      <c r="D3870">
        <v>40</v>
      </c>
      <c r="E3870" s="4" t="s">
        <v>197</v>
      </c>
      <c r="F3870" t="s">
        <v>201</v>
      </c>
      <c r="G3870" s="1">
        <v>45503</v>
      </c>
      <c r="H3870" s="1">
        <f>TablaDatos[[#This Row],[FechaIngreso]]+TablaDatos[[#This Row],[DiasNuevo]]</f>
        <v>45525</v>
      </c>
      <c r="I3870">
        <v>22</v>
      </c>
      <c r="J3870" t="s">
        <v>23</v>
      </c>
      <c r="K3870" s="3">
        <v>4366.2</v>
      </c>
      <c r="L3870" t="b">
        <f>TablaDatos[[#This Row],[FechaAlta]] &lt; TablaDatos[[#This Row],[FechaIngreso]]</f>
        <v>0</v>
      </c>
      <c r="M3870">
        <f>_xlfn.XLOOKUP(TablaDatos[[#This Row],[PacienteID]],'Datos_Ejemplo.csv'!A:A,'Datos_Ejemplo.csv'!I:I)</f>
        <v>22</v>
      </c>
      <c r="N3870">
        <f>ABS(TablaDatos[[#This Row],[DiasOriginal]])</f>
        <v>22</v>
      </c>
      <c r="O3870" s="1">
        <f>TablaDatos[[#This Row],[FechaIngreso]]+TablaDatos[[#This Row],[DiasNuevo]]</f>
        <v>45525</v>
      </c>
    </row>
    <row r="3871" spans="1:15">
      <c r="A3871">
        <v>3870</v>
      </c>
      <c r="B3871" t="s">
        <v>39</v>
      </c>
      <c r="C3871" s="1">
        <v>44196</v>
      </c>
      <c r="D3871">
        <v>5</v>
      </c>
      <c r="E3871" s="4" t="s">
        <v>12</v>
      </c>
      <c r="F3871" t="s">
        <v>261</v>
      </c>
      <c r="G3871" s="1">
        <v>45232</v>
      </c>
      <c r="H3871" s="1">
        <f>TablaDatos[[#This Row],[FechaIngreso]]+TablaDatos[[#This Row],[DiasNuevo]]</f>
        <v>45264</v>
      </c>
      <c r="I3871">
        <v>32</v>
      </c>
      <c r="J3871" t="s">
        <v>19</v>
      </c>
      <c r="K3871" s="3">
        <v>17569.78</v>
      </c>
      <c r="L3871" t="b">
        <f>TablaDatos[[#This Row],[FechaAlta]] &lt; TablaDatos[[#This Row],[FechaIngreso]]</f>
        <v>0</v>
      </c>
      <c r="M3871">
        <f>_xlfn.XLOOKUP(TablaDatos[[#This Row],[PacienteID]],'Datos_Ejemplo.csv'!A:A,'Datos_Ejemplo.csv'!I:I)</f>
        <v>32</v>
      </c>
      <c r="N3871">
        <f>ABS(TablaDatos[[#This Row],[DiasOriginal]])</f>
        <v>32</v>
      </c>
      <c r="O3871" s="1">
        <f>TablaDatos[[#This Row],[FechaIngreso]]+TablaDatos[[#This Row],[DiasNuevo]]</f>
        <v>45264</v>
      </c>
    </row>
    <row r="3872" spans="1:15">
      <c r="A3872">
        <v>3871</v>
      </c>
      <c r="B3872" t="s">
        <v>301</v>
      </c>
      <c r="C3872" s="1">
        <f ca="1">DATE(YEAR(TODAY())-TablaDatos[[#This Row],[Edad]],1,1)</f>
        <v>21186</v>
      </c>
      <c r="D3872">
        <v>68</v>
      </c>
      <c r="E3872" s="4" t="s">
        <v>15</v>
      </c>
      <c r="F3872" t="s">
        <v>21</v>
      </c>
      <c r="G3872" s="1">
        <v>45126</v>
      </c>
      <c r="H3872" s="1">
        <f>TablaDatos[[#This Row],[FechaIngreso]]+TablaDatos[[#This Row],[DiasNuevo]]</f>
        <v>45136</v>
      </c>
      <c r="I3872">
        <v>10</v>
      </c>
      <c r="J3872" t="s">
        <v>19</v>
      </c>
      <c r="K3872" s="3">
        <v>13453.85</v>
      </c>
      <c r="L3872" t="b">
        <f>TablaDatos[[#This Row],[FechaAlta]] &lt; TablaDatos[[#This Row],[FechaIngreso]]</f>
        <v>0</v>
      </c>
      <c r="M3872">
        <f>_xlfn.XLOOKUP(TablaDatos[[#This Row],[PacienteID]],'Datos_Ejemplo.csv'!A:A,'Datos_Ejemplo.csv'!I:I)</f>
        <v>10</v>
      </c>
      <c r="N3872">
        <f>ABS(TablaDatos[[#This Row],[DiasOriginal]])</f>
        <v>10</v>
      </c>
      <c r="O3872" s="1">
        <f>TablaDatos[[#This Row],[FechaIngreso]]+TablaDatos[[#This Row],[DiasNuevo]]</f>
        <v>45136</v>
      </c>
    </row>
    <row r="3873" spans="1:15">
      <c r="A3873">
        <v>3872</v>
      </c>
      <c r="B3873" t="s">
        <v>275</v>
      </c>
      <c r="C3873" s="1">
        <v>30317</v>
      </c>
      <c r="D3873">
        <v>43</v>
      </c>
      <c r="E3873" s="4" t="s">
        <v>15</v>
      </c>
      <c r="F3873" t="s">
        <v>261</v>
      </c>
      <c r="G3873" s="1">
        <v>45106</v>
      </c>
      <c r="H3873" s="1">
        <f>TablaDatos[[#This Row],[FechaIngreso]]+TablaDatos[[#This Row],[DiasNuevo]]</f>
        <v>45110</v>
      </c>
      <c r="I3873">
        <v>4</v>
      </c>
      <c r="J3873" t="s">
        <v>23</v>
      </c>
      <c r="K3873" s="3">
        <v>9928.27</v>
      </c>
      <c r="L3873" t="b">
        <f>TablaDatos[[#This Row],[FechaAlta]] &lt; TablaDatos[[#This Row],[FechaIngreso]]</f>
        <v>0</v>
      </c>
      <c r="M3873">
        <f>_xlfn.XLOOKUP(TablaDatos[[#This Row],[PacienteID]],'Datos_Ejemplo.csv'!A:A,'Datos_Ejemplo.csv'!I:I)</f>
        <v>4</v>
      </c>
      <c r="N3873">
        <f>ABS(TablaDatos[[#This Row],[DiasOriginal]])</f>
        <v>4</v>
      </c>
      <c r="O3873" s="1">
        <f>TablaDatos[[#This Row],[FechaIngreso]]+TablaDatos[[#This Row],[DiasNuevo]]</f>
        <v>45110</v>
      </c>
    </row>
    <row r="3874" spans="1:15">
      <c r="A3874">
        <v>3873</v>
      </c>
      <c r="B3874" t="s">
        <v>114</v>
      </c>
      <c r="C3874" s="1">
        <v>23012</v>
      </c>
      <c r="D3874">
        <v>63</v>
      </c>
      <c r="E3874" s="4" t="s">
        <v>12</v>
      </c>
      <c r="F3874" t="s">
        <v>21</v>
      </c>
      <c r="G3874" s="1">
        <v>45284</v>
      </c>
      <c r="H3874" s="1">
        <f>TablaDatos[[#This Row],[FechaIngreso]]+TablaDatos[[#This Row],[DiasNuevo]]</f>
        <v>45315</v>
      </c>
      <c r="I3874">
        <v>31</v>
      </c>
      <c r="J3874" t="s">
        <v>19</v>
      </c>
      <c r="K3874" s="3">
        <v>4138.96</v>
      </c>
      <c r="L3874" t="b">
        <f>TablaDatos[[#This Row],[FechaAlta]] &lt; TablaDatos[[#This Row],[FechaIngreso]]</f>
        <v>0</v>
      </c>
      <c r="M3874">
        <f>_xlfn.XLOOKUP(TablaDatos[[#This Row],[PacienteID]],'Datos_Ejemplo.csv'!A:A,'Datos_Ejemplo.csv'!I:I)</f>
        <v>31</v>
      </c>
      <c r="N3874">
        <f>ABS(TablaDatos[[#This Row],[DiasOriginal]])</f>
        <v>31</v>
      </c>
      <c r="O3874" s="1">
        <f>TablaDatos[[#This Row],[FechaIngreso]]+TablaDatos[[#This Row],[DiasNuevo]]</f>
        <v>45315</v>
      </c>
    </row>
    <row r="3875" spans="1:15">
      <c r="A3875">
        <v>3874</v>
      </c>
      <c r="B3875" t="s">
        <v>368</v>
      </c>
      <c r="C3875" s="1">
        <v>35795</v>
      </c>
      <c r="D3875">
        <v>28</v>
      </c>
      <c r="E3875" s="4" t="s">
        <v>15</v>
      </c>
      <c r="F3875" t="s">
        <v>21</v>
      </c>
      <c r="G3875" s="1">
        <v>45178</v>
      </c>
      <c r="H3875" s="1">
        <f>TablaDatos[[#This Row],[FechaIngreso]]+TablaDatos[[#This Row],[DiasNuevo]]</f>
        <v>45189</v>
      </c>
      <c r="I3875">
        <v>11</v>
      </c>
      <c r="J3875" t="s">
        <v>23</v>
      </c>
      <c r="K3875" s="3">
        <v>6762.33</v>
      </c>
      <c r="L3875" t="b">
        <f>TablaDatos[[#This Row],[FechaAlta]] &lt; TablaDatos[[#This Row],[FechaIngreso]]</f>
        <v>0</v>
      </c>
      <c r="M3875">
        <f>_xlfn.XLOOKUP(TablaDatos[[#This Row],[PacienteID]],'Datos_Ejemplo.csv'!A:A,'Datos_Ejemplo.csv'!I:I)</f>
        <v>11</v>
      </c>
      <c r="N3875">
        <f>ABS(TablaDatos[[#This Row],[DiasOriginal]])</f>
        <v>11</v>
      </c>
      <c r="O3875" s="1">
        <f>TablaDatos[[#This Row],[FechaIngreso]]+TablaDatos[[#This Row],[DiasNuevo]]</f>
        <v>45189</v>
      </c>
    </row>
    <row r="3876" spans="1:15">
      <c r="A3876">
        <v>3875</v>
      </c>
      <c r="B3876" t="s">
        <v>90</v>
      </c>
      <c r="C3876" s="1">
        <v>36161</v>
      </c>
      <c r="D3876">
        <v>27</v>
      </c>
      <c r="E3876" s="4" t="s">
        <v>15</v>
      </c>
      <c r="F3876" t="s">
        <v>21</v>
      </c>
      <c r="G3876" s="1">
        <v>45225</v>
      </c>
      <c r="H3876" s="1">
        <f>TablaDatos[[#This Row],[FechaIngreso]]+TablaDatos[[#This Row],[DiasNuevo]]</f>
        <v>45245</v>
      </c>
      <c r="I3876">
        <v>20</v>
      </c>
      <c r="J3876" t="s">
        <v>23</v>
      </c>
      <c r="K3876" s="3">
        <v>11444.04</v>
      </c>
      <c r="L3876" t="b">
        <f>TablaDatos[[#This Row],[FechaAlta]] &lt; TablaDatos[[#This Row],[FechaIngreso]]</f>
        <v>0</v>
      </c>
      <c r="M3876">
        <f>_xlfn.XLOOKUP(TablaDatos[[#This Row],[PacienteID]],'Datos_Ejemplo.csv'!A:A,'Datos_Ejemplo.csv'!I:I)</f>
        <v>20</v>
      </c>
      <c r="N3876">
        <f>ABS(TablaDatos[[#This Row],[DiasOriginal]])</f>
        <v>20</v>
      </c>
      <c r="O3876" s="1">
        <f>TablaDatos[[#This Row],[FechaIngreso]]+TablaDatos[[#This Row],[DiasNuevo]]</f>
        <v>45245</v>
      </c>
    </row>
    <row r="3877" spans="1:15">
      <c r="A3877">
        <v>3876</v>
      </c>
      <c r="B3877" t="s">
        <v>103</v>
      </c>
      <c r="C3877" s="1">
        <v>42370</v>
      </c>
      <c r="D3877">
        <v>10</v>
      </c>
      <c r="E3877" s="4" t="s">
        <v>12</v>
      </c>
      <c r="F3877" t="s">
        <v>21</v>
      </c>
      <c r="G3877" s="1">
        <v>45356</v>
      </c>
      <c r="H3877" s="1">
        <f>TablaDatos[[#This Row],[FechaIngreso]]+TablaDatos[[#This Row],[DiasNuevo]]</f>
        <v>45376</v>
      </c>
      <c r="I3877">
        <v>20</v>
      </c>
      <c r="J3877" t="s">
        <v>19</v>
      </c>
      <c r="K3877" s="3">
        <v>3021.78</v>
      </c>
      <c r="L3877" t="b">
        <f>TablaDatos[[#This Row],[FechaAlta]] &lt; TablaDatos[[#This Row],[FechaIngreso]]</f>
        <v>0</v>
      </c>
      <c r="M3877">
        <f>_xlfn.XLOOKUP(TablaDatos[[#This Row],[PacienteID]],'Datos_Ejemplo.csv'!A:A,'Datos_Ejemplo.csv'!I:I)</f>
        <v>20</v>
      </c>
      <c r="N3877">
        <f>ABS(TablaDatos[[#This Row],[DiasOriginal]])</f>
        <v>20</v>
      </c>
      <c r="O3877" s="1">
        <f>TablaDatos[[#This Row],[FechaIngreso]]+TablaDatos[[#This Row],[DiasNuevo]]</f>
        <v>45376</v>
      </c>
    </row>
    <row r="3878" spans="1:15">
      <c r="A3878">
        <v>3877</v>
      </c>
      <c r="B3878" t="s">
        <v>297</v>
      </c>
      <c r="C3878" s="1">
        <v>22646</v>
      </c>
      <c r="D3878">
        <v>64</v>
      </c>
      <c r="E3878" s="4" t="s">
        <v>12</v>
      </c>
      <c r="F3878" t="s">
        <v>13</v>
      </c>
      <c r="G3878" s="1">
        <v>44930</v>
      </c>
      <c r="H3878" s="1">
        <f>TablaDatos[[#This Row],[FechaIngreso]]+TablaDatos[[#This Row],[DiasNuevo]]</f>
        <v>44944</v>
      </c>
      <c r="I3878">
        <v>14</v>
      </c>
      <c r="J3878" t="s">
        <v>23</v>
      </c>
      <c r="K3878" s="3">
        <v>9583.06</v>
      </c>
      <c r="L3878" t="b">
        <f>TablaDatos[[#This Row],[FechaAlta]] &lt; TablaDatos[[#This Row],[FechaIngreso]]</f>
        <v>0</v>
      </c>
      <c r="M3878">
        <f>_xlfn.XLOOKUP(TablaDatos[[#This Row],[PacienteID]],'Datos_Ejemplo.csv'!A:A,'Datos_Ejemplo.csv'!I:I)</f>
        <v>14</v>
      </c>
      <c r="N3878">
        <f>ABS(TablaDatos[[#This Row],[DiasOriginal]])</f>
        <v>14</v>
      </c>
      <c r="O3878" s="1">
        <f>TablaDatos[[#This Row],[FechaIngreso]]+TablaDatos[[#This Row],[DiasNuevo]]</f>
        <v>44944</v>
      </c>
    </row>
    <row r="3879" spans="1:15">
      <c r="A3879">
        <v>3878</v>
      </c>
      <c r="B3879" t="s">
        <v>275</v>
      </c>
      <c r="C3879" s="1">
        <v>39448</v>
      </c>
      <c r="D3879">
        <v>18</v>
      </c>
      <c r="E3879" s="4" t="s">
        <v>15</v>
      </c>
      <c r="F3879" t="s">
        <v>32</v>
      </c>
      <c r="G3879" s="1">
        <v>45579</v>
      </c>
      <c r="H3879" s="1">
        <f>TablaDatos[[#This Row],[FechaIngreso]]+TablaDatos[[#This Row],[DiasNuevo]]</f>
        <v>45589</v>
      </c>
      <c r="I3879">
        <v>10</v>
      </c>
      <c r="J3879" t="s">
        <v>19</v>
      </c>
      <c r="K3879" s="3">
        <v>8120.39</v>
      </c>
      <c r="L3879" t="b">
        <f>TablaDatos[[#This Row],[FechaAlta]] &lt; TablaDatos[[#This Row],[FechaIngreso]]</f>
        <v>0</v>
      </c>
      <c r="M3879">
        <f>_xlfn.XLOOKUP(TablaDatos[[#This Row],[PacienteID]],'Datos_Ejemplo.csv'!A:A,'Datos_Ejemplo.csv'!I:I)</f>
        <v>10</v>
      </c>
      <c r="N3879">
        <f>ABS(TablaDatos[[#This Row],[DiasOriginal]])</f>
        <v>10</v>
      </c>
      <c r="O3879" s="1">
        <f>TablaDatos[[#This Row],[FechaIngreso]]+TablaDatos[[#This Row],[DiasNuevo]]</f>
        <v>45589</v>
      </c>
    </row>
    <row r="3880" spans="1:15">
      <c r="A3880">
        <v>3879</v>
      </c>
      <c r="B3880" t="s">
        <v>105</v>
      </c>
      <c r="C3880" s="1">
        <v>43100</v>
      </c>
      <c r="D3880">
        <v>8</v>
      </c>
      <c r="E3880" s="4" t="s">
        <v>12</v>
      </c>
      <c r="F3880" t="s">
        <v>13</v>
      </c>
      <c r="G3880" s="1">
        <v>45604</v>
      </c>
      <c r="H3880" s="1">
        <f>TablaDatos[[#This Row],[FechaIngreso]]+TablaDatos[[#This Row],[DiasNuevo]]</f>
        <v>45628</v>
      </c>
      <c r="I3880">
        <v>24</v>
      </c>
      <c r="J3880" t="s">
        <v>23</v>
      </c>
      <c r="K3880" s="3">
        <v>9481.42</v>
      </c>
      <c r="L3880" t="b">
        <f>TablaDatos[[#This Row],[FechaAlta]] &lt; TablaDatos[[#This Row],[FechaIngreso]]</f>
        <v>0</v>
      </c>
      <c r="M3880">
        <f>_xlfn.XLOOKUP(TablaDatos[[#This Row],[PacienteID]],'Datos_Ejemplo.csv'!A:A,'Datos_Ejemplo.csv'!I:I)</f>
        <v>24</v>
      </c>
      <c r="N3880">
        <f>ABS(TablaDatos[[#This Row],[DiasOriginal]])</f>
        <v>24</v>
      </c>
      <c r="O3880" s="1">
        <f>TablaDatos[[#This Row],[FechaIngreso]]+TablaDatos[[#This Row],[DiasNuevo]]</f>
        <v>45628</v>
      </c>
    </row>
    <row r="3881" spans="1:15">
      <c r="A3881">
        <v>3880</v>
      </c>
      <c r="B3881" t="s">
        <v>292</v>
      </c>
      <c r="C3881" s="1">
        <v>36526</v>
      </c>
      <c r="D3881">
        <v>26</v>
      </c>
      <c r="E3881" s="4" t="s">
        <v>12</v>
      </c>
      <c r="F3881" t="s">
        <v>201</v>
      </c>
      <c r="G3881" s="1">
        <v>45180</v>
      </c>
      <c r="H3881" s="1">
        <f>TablaDatos[[#This Row],[FechaIngreso]]+TablaDatos[[#This Row],[DiasNuevo]]</f>
        <v>45181</v>
      </c>
      <c r="I3881">
        <v>1</v>
      </c>
      <c r="J3881" t="s">
        <v>25</v>
      </c>
      <c r="K3881" s="3">
        <v>2021.77</v>
      </c>
      <c r="L3881" t="b">
        <f>TablaDatos[[#This Row],[FechaAlta]] &lt; TablaDatos[[#This Row],[FechaIngreso]]</f>
        <v>0</v>
      </c>
      <c r="M3881">
        <f>_xlfn.XLOOKUP(TablaDatos[[#This Row],[PacienteID]],'Datos_Ejemplo.csv'!A:A,'Datos_Ejemplo.csv'!I:I)</f>
        <v>-1</v>
      </c>
      <c r="N3881">
        <f>ABS(TablaDatos[[#This Row],[DiasOriginal]])</f>
        <v>1</v>
      </c>
      <c r="O3881" s="1">
        <f>TablaDatos[[#This Row],[FechaIngreso]]+TablaDatos[[#This Row],[DiasNuevo]]</f>
        <v>45181</v>
      </c>
    </row>
    <row r="3882" spans="1:15">
      <c r="A3882">
        <v>3881</v>
      </c>
      <c r="B3882" t="s">
        <v>103</v>
      </c>
      <c r="C3882" s="1">
        <v>33969</v>
      </c>
      <c r="D3882">
        <v>33</v>
      </c>
      <c r="E3882" s="4" t="s">
        <v>197</v>
      </c>
      <c r="F3882" t="s">
        <v>32</v>
      </c>
      <c r="G3882" s="1">
        <v>45591</v>
      </c>
      <c r="H3882" s="1">
        <f>TablaDatos[[#This Row],[FechaIngreso]]+TablaDatos[[#This Row],[DiasNuevo]]</f>
        <v>45625</v>
      </c>
      <c r="I3882">
        <v>34</v>
      </c>
      <c r="J3882" t="s">
        <v>23</v>
      </c>
      <c r="K3882" s="3">
        <v>2040.59</v>
      </c>
      <c r="L3882" t="b">
        <f>TablaDatos[[#This Row],[FechaAlta]] &lt; TablaDatos[[#This Row],[FechaIngreso]]</f>
        <v>0</v>
      </c>
      <c r="M3882">
        <f>_xlfn.XLOOKUP(TablaDatos[[#This Row],[PacienteID]],'Datos_Ejemplo.csv'!A:A,'Datos_Ejemplo.csv'!I:I)</f>
        <v>34</v>
      </c>
      <c r="N3882">
        <f>ABS(TablaDatos[[#This Row],[DiasOriginal]])</f>
        <v>34</v>
      </c>
      <c r="O3882" s="1">
        <f>TablaDatos[[#This Row],[FechaIngreso]]+TablaDatos[[#This Row],[DiasNuevo]]</f>
        <v>45625</v>
      </c>
    </row>
    <row r="3883" spans="1:15">
      <c r="A3883">
        <v>3882</v>
      </c>
      <c r="B3883" t="s">
        <v>130</v>
      </c>
      <c r="C3883" s="1">
        <v>30317</v>
      </c>
      <c r="D3883">
        <v>43</v>
      </c>
      <c r="E3883" s="4" t="s">
        <v>12</v>
      </c>
      <c r="F3883" t="s">
        <v>13</v>
      </c>
      <c r="G3883" s="1">
        <v>45505</v>
      </c>
      <c r="H3883" s="1">
        <f>TablaDatos[[#This Row],[FechaIngreso]]+TablaDatos[[#This Row],[DiasNuevo]]</f>
        <v>45532</v>
      </c>
      <c r="I3883">
        <v>27</v>
      </c>
      <c r="J3883" t="s">
        <v>19</v>
      </c>
      <c r="K3883" s="3">
        <v>19278.63</v>
      </c>
      <c r="L3883" t="b">
        <f>TablaDatos[[#This Row],[FechaAlta]] &lt; TablaDatos[[#This Row],[FechaIngreso]]</f>
        <v>0</v>
      </c>
      <c r="M3883">
        <f>_xlfn.XLOOKUP(TablaDatos[[#This Row],[PacienteID]],'Datos_Ejemplo.csv'!A:A,'Datos_Ejemplo.csv'!I:I)</f>
        <v>27</v>
      </c>
      <c r="N3883">
        <f>ABS(TablaDatos[[#This Row],[DiasOriginal]])</f>
        <v>27</v>
      </c>
      <c r="O3883" s="1">
        <f>TablaDatos[[#This Row],[FechaIngreso]]+TablaDatos[[#This Row],[DiasNuevo]]</f>
        <v>45532</v>
      </c>
    </row>
    <row r="3884" spans="1:15">
      <c r="A3884">
        <v>3883</v>
      </c>
      <c r="B3884" t="s">
        <v>307</v>
      </c>
      <c r="C3884" s="1">
        <v>21551</v>
      </c>
      <c r="D3884">
        <v>67</v>
      </c>
      <c r="E3884" s="4" t="s">
        <v>12</v>
      </c>
      <c r="F3884" t="s">
        <v>201</v>
      </c>
      <c r="G3884" s="1">
        <v>45493</v>
      </c>
      <c r="H3884" s="1">
        <f>TablaDatos[[#This Row],[FechaIngreso]]+TablaDatos[[#This Row],[DiasNuevo]]</f>
        <v>45494</v>
      </c>
      <c r="I3884">
        <v>1</v>
      </c>
      <c r="J3884" t="s">
        <v>23</v>
      </c>
      <c r="K3884" s="3">
        <v>19585.29</v>
      </c>
      <c r="L3884" t="b">
        <f>TablaDatos[[#This Row],[FechaAlta]] &lt; TablaDatos[[#This Row],[FechaIngreso]]</f>
        <v>0</v>
      </c>
      <c r="M3884">
        <f>_xlfn.XLOOKUP(TablaDatos[[#This Row],[PacienteID]],'Datos_Ejemplo.csv'!A:A,'Datos_Ejemplo.csv'!I:I)</f>
        <v>1</v>
      </c>
      <c r="N3884">
        <f>ABS(TablaDatos[[#This Row],[DiasOriginal]])</f>
        <v>1</v>
      </c>
      <c r="O3884" s="1">
        <f>TablaDatos[[#This Row],[FechaIngreso]]+TablaDatos[[#This Row],[DiasNuevo]]</f>
        <v>45494</v>
      </c>
    </row>
    <row r="3885" spans="1:15">
      <c r="A3885">
        <v>3884</v>
      </c>
      <c r="B3885" t="s">
        <v>365</v>
      </c>
      <c r="C3885" s="1">
        <v>16437</v>
      </c>
      <c r="D3885">
        <v>81</v>
      </c>
      <c r="E3885" s="4" t="s">
        <v>12</v>
      </c>
      <c r="F3885" t="s">
        <v>21</v>
      </c>
      <c r="G3885" s="1">
        <v>45022</v>
      </c>
      <c r="H3885" s="1">
        <f>TablaDatos[[#This Row],[FechaIngreso]]+TablaDatos[[#This Row],[DiasNuevo]]</f>
        <v>45049</v>
      </c>
      <c r="I3885">
        <v>27</v>
      </c>
      <c r="J3885" t="s">
        <v>19</v>
      </c>
      <c r="K3885" s="3">
        <v>8465.91</v>
      </c>
      <c r="L3885" t="b">
        <f>TablaDatos[[#This Row],[FechaAlta]] &lt; TablaDatos[[#This Row],[FechaIngreso]]</f>
        <v>0</v>
      </c>
      <c r="M3885">
        <f>_xlfn.XLOOKUP(TablaDatos[[#This Row],[PacienteID]],'Datos_Ejemplo.csv'!A:A,'Datos_Ejemplo.csv'!I:I)</f>
        <v>27</v>
      </c>
      <c r="N3885">
        <f>ABS(TablaDatos[[#This Row],[DiasOriginal]])</f>
        <v>27</v>
      </c>
      <c r="O3885" s="1">
        <f>TablaDatos[[#This Row],[FechaIngreso]]+TablaDatos[[#This Row],[DiasNuevo]]</f>
        <v>45049</v>
      </c>
    </row>
    <row r="3886" spans="1:15">
      <c r="A3886">
        <v>3885</v>
      </c>
      <c r="B3886" t="s">
        <v>270</v>
      </c>
      <c r="C3886" s="1">
        <v>40909</v>
      </c>
      <c r="D3886">
        <v>14</v>
      </c>
      <c r="E3886" s="4" t="s">
        <v>15</v>
      </c>
      <c r="F3886" t="s">
        <v>295</v>
      </c>
      <c r="G3886" s="1">
        <v>45093</v>
      </c>
      <c r="H3886" s="1">
        <f>TablaDatos[[#This Row],[FechaIngreso]]+TablaDatos[[#This Row],[DiasNuevo]]</f>
        <v>45093</v>
      </c>
      <c r="I3886">
        <v>0</v>
      </c>
      <c r="J3886" t="s">
        <v>23</v>
      </c>
      <c r="K3886" s="3">
        <v>15758.81</v>
      </c>
      <c r="L3886" t="b">
        <f>TablaDatos[[#This Row],[FechaAlta]] &lt; TablaDatos[[#This Row],[FechaIngreso]]</f>
        <v>0</v>
      </c>
      <c r="M3886">
        <f>_xlfn.XLOOKUP(TablaDatos[[#This Row],[PacienteID]],'Datos_Ejemplo.csv'!A:A,'Datos_Ejemplo.csv'!I:I)</f>
        <v>0</v>
      </c>
      <c r="N3886">
        <f>ABS(TablaDatos[[#This Row],[DiasOriginal]])</f>
        <v>0</v>
      </c>
      <c r="O3886" s="1">
        <f>TablaDatos[[#This Row],[FechaIngreso]]+TablaDatos[[#This Row],[DiasNuevo]]</f>
        <v>45093</v>
      </c>
    </row>
    <row r="3887" spans="1:15">
      <c r="A3887">
        <v>3886</v>
      </c>
      <c r="B3887" t="s">
        <v>285</v>
      </c>
      <c r="C3887" s="1">
        <v>27760</v>
      </c>
      <c r="D3887">
        <v>50</v>
      </c>
      <c r="E3887" s="4" t="s">
        <v>12</v>
      </c>
      <c r="F3887" t="s">
        <v>261</v>
      </c>
      <c r="G3887" s="1">
        <v>45257</v>
      </c>
      <c r="H3887" s="1">
        <f>TablaDatos[[#This Row],[FechaIngreso]]+TablaDatos[[#This Row],[DiasNuevo]]</f>
        <v>45268</v>
      </c>
      <c r="I3887">
        <v>11</v>
      </c>
      <c r="J3887" t="s">
        <v>23</v>
      </c>
      <c r="K3887" s="3">
        <v>13081.41</v>
      </c>
      <c r="L3887" t="b">
        <f>TablaDatos[[#This Row],[FechaAlta]] &lt; TablaDatos[[#This Row],[FechaIngreso]]</f>
        <v>0</v>
      </c>
      <c r="M3887">
        <f>_xlfn.XLOOKUP(TablaDatos[[#This Row],[PacienteID]],'Datos_Ejemplo.csv'!A:A,'Datos_Ejemplo.csv'!I:I)</f>
        <v>11</v>
      </c>
      <c r="N3887">
        <f>ABS(TablaDatos[[#This Row],[DiasOriginal]])</f>
        <v>11</v>
      </c>
      <c r="O3887" s="1">
        <f>TablaDatos[[#This Row],[FechaIngreso]]+TablaDatos[[#This Row],[DiasNuevo]]</f>
        <v>45268</v>
      </c>
    </row>
    <row r="3888" spans="1:15">
      <c r="A3888">
        <v>3887</v>
      </c>
      <c r="B3888" t="s">
        <v>335</v>
      </c>
      <c r="C3888" s="1">
        <v>41639</v>
      </c>
      <c r="D3888">
        <v>12</v>
      </c>
      <c r="E3888" s="4" t="s">
        <v>12</v>
      </c>
      <c r="F3888" t="s">
        <v>32</v>
      </c>
      <c r="G3888" s="1">
        <v>44988</v>
      </c>
      <c r="H3888" s="1">
        <f>TablaDatos[[#This Row],[FechaIngreso]]+TablaDatos[[#This Row],[DiasNuevo]]</f>
        <v>44996</v>
      </c>
      <c r="I3888">
        <v>8</v>
      </c>
      <c r="J3888" t="s">
        <v>25</v>
      </c>
      <c r="K3888" s="3">
        <v>2250.0300000000002</v>
      </c>
      <c r="L3888" t="b">
        <f>TablaDatos[[#This Row],[FechaAlta]] &lt; TablaDatos[[#This Row],[FechaIngreso]]</f>
        <v>0</v>
      </c>
      <c r="M3888">
        <f>_xlfn.XLOOKUP(TablaDatos[[#This Row],[PacienteID]],'Datos_Ejemplo.csv'!A:A,'Datos_Ejemplo.csv'!I:I)</f>
        <v>8</v>
      </c>
      <c r="N3888">
        <f>ABS(TablaDatos[[#This Row],[DiasOriginal]])</f>
        <v>8</v>
      </c>
      <c r="O3888" s="1">
        <f>TablaDatos[[#This Row],[FechaIngreso]]+TablaDatos[[#This Row],[DiasNuevo]]</f>
        <v>44996</v>
      </c>
    </row>
    <row r="3889" spans="1:15">
      <c r="A3889">
        <v>3888</v>
      </c>
      <c r="B3889" t="s">
        <v>285</v>
      </c>
      <c r="C3889" s="1">
        <v>16072</v>
      </c>
      <c r="D3889">
        <v>82</v>
      </c>
      <c r="E3889" s="4" t="s">
        <v>12</v>
      </c>
      <c r="F3889" t="s">
        <v>295</v>
      </c>
      <c r="G3889" s="1">
        <v>45100</v>
      </c>
      <c r="H3889" s="1">
        <f>TablaDatos[[#This Row],[FechaIngreso]]+TablaDatos[[#This Row],[DiasNuevo]]</f>
        <v>45137</v>
      </c>
      <c r="I3889">
        <v>37</v>
      </c>
      <c r="J3889" t="s">
        <v>23</v>
      </c>
      <c r="K3889" s="3">
        <v>5863.24</v>
      </c>
      <c r="L3889" t="b">
        <f>TablaDatos[[#This Row],[FechaAlta]] &lt; TablaDatos[[#This Row],[FechaIngreso]]</f>
        <v>0</v>
      </c>
      <c r="M3889">
        <f>_xlfn.XLOOKUP(TablaDatos[[#This Row],[PacienteID]],'Datos_Ejemplo.csv'!A:A,'Datos_Ejemplo.csv'!I:I)</f>
        <v>37</v>
      </c>
      <c r="N3889">
        <f>ABS(TablaDatos[[#This Row],[DiasOriginal]])</f>
        <v>37</v>
      </c>
      <c r="O3889" s="1">
        <f>TablaDatos[[#This Row],[FechaIngreso]]+TablaDatos[[#This Row],[DiasNuevo]]</f>
        <v>45137</v>
      </c>
    </row>
    <row r="3890" spans="1:15">
      <c r="A3890">
        <v>3889</v>
      </c>
      <c r="B3890" t="s">
        <v>308</v>
      </c>
      <c r="C3890" s="1">
        <v>28490</v>
      </c>
      <c r="D3890">
        <v>48</v>
      </c>
      <c r="E3890" s="4" t="s">
        <v>12</v>
      </c>
      <c r="F3890" t="s">
        <v>21</v>
      </c>
      <c r="G3890" s="1">
        <v>45179</v>
      </c>
      <c r="H3890" s="1">
        <f>TablaDatos[[#This Row],[FechaIngreso]]+TablaDatos[[#This Row],[DiasNuevo]]</f>
        <v>45199</v>
      </c>
      <c r="I3890">
        <v>20</v>
      </c>
      <c r="J3890" t="s">
        <v>25</v>
      </c>
      <c r="K3890" s="3">
        <v>6204.39</v>
      </c>
      <c r="L3890" t="b">
        <f>TablaDatos[[#This Row],[FechaAlta]] &lt; TablaDatos[[#This Row],[FechaIngreso]]</f>
        <v>0</v>
      </c>
      <c r="M3890">
        <f>_xlfn.XLOOKUP(TablaDatos[[#This Row],[PacienteID]],'Datos_Ejemplo.csv'!A:A,'Datos_Ejemplo.csv'!I:I)</f>
        <v>20</v>
      </c>
      <c r="N3890">
        <f>ABS(TablaDatos[[#This Row],[DiasOriginal]])</f>
        <v>20</v>
      </c>
      <c r="O3890" s="1">
        <f>TablaDatos[[#This Row],[FechaIngreso]]+TablaDatos[[#This Row],[DiasNuevo]]</f>
        <v>45199</v>
      </c>
    </row>
    <row r="3891" spans="1:15">
      <c r="A3891">
        <v>3890</v>
      </c>
      <c r="B3891" t="s">
        <v>39</v>
      </c>
      <c r="C3891" s="1">
        <v>20820</v>
      </c>
      <c r="D3891">
        <v>69</v>
      </c>
      <c r="E3891" s="4" t="s">
        <v>15</v>
      </c>
      <c r="F3891" t="s">
        <v>32</v>
      </c>
      <c r="G3891" s="1">
        <v>45387</v>
      </c>
      <c r="H3891" s="1">
        <f>TablaDatos[[#This Row],[FechaIngreso]]+TablaDatos[[#This Row],[DiasNuevo]]</f>
        <v>45425</v>
      </c>
      <c r="I3891">
        <v>38</v>
      </c>
      <c r="J3891" t="s">
        <v>23</v>
      </c>
      <c r="K3891" s="3">
        <v>11875.07</v>
      </c>
      <c r="L3891" t="b">
        <f>TablaDatos[[#This Row],[FechaAlta]] &lt; TablaDatos[[#This Row],[FechaIngreso]]</f>
        <v>0</v>
      </c>
      <c r="M3891">
        <f>_xlfn.XLOOKUP(TablaDatos[[#This Row],[PacienteID]],'Datos_Ejemplo.csv'!A:A,'Datos_Ejemplo.csv'!I:I)</f>
        <v>38</v>
      </c>
      <c r="N3891">
        <f>ABS(TablaDatos[[#This Row],[DiasOriginal]])</f>
        <v>38</v>
      </c>
      <c r="O3891" s="1">
        <f>TablaDatos[[#This Row],[FechaIngreso]]+TablaDatos[[#This Row],[DiasNuevo]]</f>
        <v>45425</v>
      </c>
    </row>
    <row r="3892" spans="1:15">
      <c r="A3892">
        <v>3891</v>
      </c>
      <c r="B3892" t="s">
        <v>268</v>
      </c>
      <c r="C3892" s="1">
        <v>25934</v>
      </c>
      <c r="D3892">
        <v>55</v>
      </c>
      <c r="E3892" s="4" t="s">
        <v>12</v>
      </c>
      <c r="F3892" t="s">
        <v>295</v>
      </c>
      <c r="G3892" s="1">
        <v>45550</v>
      </c>
      <c r="H3892" s="1">
        <f>TablaDatos[[#This Row],[FechaIngreso]]+TablaDatos[[#This Row],[DiasNuevo]]</f>
        <v>45579</v>
      </c>
      <c r="I3892">
        <v>29</v>
      </c>
      <c r="J3892" t="s">
        <v>23</v>
      </c>
      <c r="K3892" s="3">
        <v>11557.53</v>
      </c>
      <c r="L3892" t="b">
        <f>TablaDatos[[#This Row],[FechaAlta]] &lt; TablaDatos[[#This Row],[FechaIngreso]]</f>
        <v>0</v>
      </c>
      <c r="M3892">
        <f>_xlfn.XLOOKUP(TablaDatos[[#This Row],[PacienteID]],'Datos_Ejemplo.csv'!A:A,'Datos_Ejemplo.csv'!I:I)</f>
        <v>29</v>
      </c>
      <c r="N3892">
        <f>ABS(TablaDatos[[#This Row],[DiasOriginal]])</f>
        <v>29</v>
      </c>
      <c r="O3892" s="1">
        <f>TablaDatos[[#This Row],[FechaIngreso]]+TablaDatos[[#This Row],[DiasNuevo]]</f>
        <v>45579</v>
      </c>
    </row>
    <row r="3893" spans="1:15">
      <c r="A3893">
        <v>3892</v>
      </c>
      <c r="B3893" t="s">
        <v>52</v>
      </c>
      <c r="C3893" s="1">
        <v>18629</v>
      </c>
      <c r="D3893">
        <v>75</v>
      </c>
      <c r="E3893" s="4" t="s">
        <v>15</v>
      </c>
      <c r="F3893" t="s">
        <v>13</v>
      </c>
      <c r="G3893" s="1">
        <v>45141</v>
      </c>
      <c r="H3893" s="1">
        <f>TablaDatos[[#This Row],[FechaIngreso]]+TablaDatos[[#This Row],[DiasNuevo]]</f>
        <v>45141</v>
      </c>
      <c r="I3893">
        <v>0</v>
      </c>
      <c r="J3893" t="s">
        <v>23</v>
      </c>
      <c r="K3893" s="3">
        <v>18462.52</v>
      </c>
      <c r="L3893" t="b">
        <f>TablaDatos[[#This Row],[FechaAlta]] &lt; TablaDatos[[#This Row],[FechaIngreso]]</f>
        <v>0</v>
      </c>
      <c r="M3893">
        <f>_xlfn.XLOOKUP(TablaDatos[[#This Row],[PacienteID]],'Datos_Ejemplo.csv'!A:A,'Datos_Ejemplo.csv'!I:I)</f>
        <v>0</v>
      </c>
      <c r="N3893">
        <f>ABS(TablaDatos[[#This Row],[DiasOriginal]])</f>
        <v>0</v>
      </c>
      <c r="O3893" s="1">
        <f>TablaDatos[[#This Row],[FechaIngreso]]+TablaDatos[[#This Row],[DiasNuevo]]</f>
        <v>45141</v>
      </c>
    </row>
    <row r="3894" spans="1:15">
      <c r="A3894">
        <v>3893</v>
      </c>
      <c r="B3894" t="s">
        <v>254</v>
      </c>
      <c r="C3894" s="1">
        <v>27760</v>
      </c>
      <c r="D3894">
        <v>50</v>
      </c>
      <c r="E3894" s="4" t="s">
        <v>15</v>
      </c>
      <c r="F3894" t="s">
        <v>201</v>
      </c>
      <c r="G3894" s="1">
        <v>45165</v>
      </c>
      <c r="H3894" s="1">
        <f>TablaDatos[[#This Row],[FechaIngreso]]+TablaDatos[[#This Row],[DiasNuevo]]</f>
        <v>45204</v>
      </c>
      <c r="I3894">
        <v>39</v>
      </c>
      <c r="J3894" t="s">
        <v>25</v>
      </c>
      <c r="K3894" s="3">
        <v>15779.73</v>
      </c>
      <c r="L3894" t="b">
        <f>TablaDatos[[#This Row],[FechaAlta]] &lt; TablaDatos[[#This Row],[FechaIngreso]]</f>
        <v>0</v>
      </c>
      <c r="M3894">
        <f>_xlfn.XLOOKUP(TablaDatos[[#This Row],[PacienteID]],'Datos_Ejemplo.csv'!A:A,'Datos_Ejemplo.csv'!I:I)</f>
        <v>39</v>
      </c>
      <c r="N3894">
        <f>ABS(TablaDatos[[#This Row],[DiasOriginal]])</f>
        <v>39</v>
      </c>
      <c r="O3894" s="1">
        <f>TablaDatos[[#This Row],[FechaIngreso]]+TablaDatos[[#This Row],[DiasNuevo]]</f>
        <v>45204</v>
      </c>
    </row>
    <row r="3895" spans="1:15">
      <c r="A3895">
        <v>3894</v>
      </c>
      <c r="B3895" t="s">
        <v>286</v>
      </c>
      <c r="C3895" s="1">
        <v>32873</v>
      </c>
      <c r="D3895">
        <v>36</v>
      </c>
      <c r="E3895" s="4" t="s">
        <v>15</v>
      </c>
      <c r="F3895" t="s">
        <v>21</v>
      </c>
      <c r="G3895" s="1">
        <v>45341</v>
      </c>
      <c r="H3895" s="1">
        <f>TablaDatos[[#This Row],[FechaIngreso]]+TablaDatos[[#This Row],[DiasNuevo]]</f>
        <v>45343</v>
      </c>
      <c r="I3895">
        <v>2</v>
      </c>
      <c r="J3895" t="s">
        <v>25</v>
      </c>
      <c r="K3895" s="3">
        <v>17122.64</v>
      </c>
      <c r="L3895" t="b">
        <f>TablaDatos[[#This Row],[FechaAlta]] &lt; TablaDatos[[#This Row],[FechaIngreso]]</f>
        <v>0</v>
      </c>
      <c r="M3895">
        <f>_xlfn.XLOOKUP(TablaDatos[[#This Row],[PacienteID]],'Datos_Ejemplo.csv'!A:A,'Datos_Ejemplo.csv'!I:I)</f>
        <v>-2</v>
      </c>
      <c r="N3895">
        <f>ABS(TablaDatos[[#This Row],[DiasOriginal]])</f>
        <v>2</v>
      </c>
      <c r="O3895" s="1">
        <f>TablaDatos[[#This Row],[FechaIngreso]]+TablaDatos[[#This Row],[DiasNuevo]]</f>
        <v>45343</v>
      </c>
    </row>
    <row r="3896" spans="1:15">
      <c r="A3896">
        <v>3895</v>
      </c>
      <c r="B3896" t="s">
        <v>303</v>
      </c>
      <c r="C3896" s="1">
        <v>40178</v>
      </c>
      <c r="D3896">
        <v>16</v>
      </c>
      <c r="E3896" s="4" t="s">
        <v>15</v>
      </c>
      <c r="F3896" t="s">
        <v>13</v>
      </c>
      <c r="G3896" s="1">
        <v>45601</v>
      </c>
      <c r="H3896" s="1">
        <f>TablaDatos[[#This Row],[FechaIngreso]]+TablaDatos[[#This Row],[DiasNuevo]]</f>
        <v>45607</v>
      </c>
      <c r="I3896">
        <v>6</v>
      </c>
      <c r="J3896" t="s">
        <v>23</v>
      </c>
      <c r="K3896" s="3">
        <v>17813.7</v>
      </c>
      <c r="L3896" t="b">
        <f>TablaDatos[[#This Row],[FechaAlta]] &lt; TablaDatos[[#This Row],[FechaIngreso]]</f>
        <v>0</v>
      </c>
      <c r="M3896">
        <f>_xlfn.XLOOKUP(TablaDatos[[#This Row],[PacienteID]],'Datos_Ejemplo.csv'!A:A,'Datos_Ejemplo.csv'!I:I)</f>
        <v>6</v>
      </c>
      <c r="N3896">
        <f>ABS(TablaDatos[[#This Row],[DiasOriginal]])</f>
        <v>6</v>
      </c>
      <c r="O3896" s="1">
        <f>TablaDatos[[#This Row],[FechaIngreso]]+TablaDatos[[#This Row],[DiasNuevo]]</f>
        <v>45607</v>
      </c>
    </row>
    <row r="3897" spans="1:15">
      <c r="A3897">
        <v>3896</v>
      </c>
      <c r="B3897" t="s">
        <v>350</v>
      </c>
      <c r="C3897" s="1">
        <v>25203</v>
      </c>
      <c r="D3897">
        <v>57</v>
      </c>
      <c r="E3897" s="4" t="s">
        <v>12</v>
      </c>
      <c r="F3897" t="s">
        <v>13</v>
      </c>
      <c r="G3897" s="1">
        <v>45052</v>
      </c>
      <c r="H3897" s="1">
        <f>TablaDatos[[#This Row],[FechaIngreso]]+TablaDatos[[#This Row],[DiasNuevo]]</f>
        <v>45058</v>
      </c>
      <c r="I3897">
        <v>6</v>
      </c>
      <c r="J3897" t="s">
        <v>23</v>
      </c>
      <c r="K3897" s="3">
        <v>16005.66</v>
      </c>
      <c r="L3897" t="b">
        <f>TablaDatos[[#This Row],[FechaAlta]] &lt; TablaDatos[[#This Row],[FechaIngreso]]</f>
        <v>0</v>
      </c>
      <c r="M3897">
        <f>_xlfn.XLOOKUP(TablaDatos[[#This Row],[PacienteID]],'Datos_Ejemplo.csv'!A:A,'Datos_Ejemplo.csv'!I:I)</f>
        <v>6</v>
      </c>
      <c r="N3897">
        <f>ABS(TablaDatos[[#This Row],[DiasOriginal]])</f>
        <v>6</v>
      </c>
      <c r="O3897" s="1">
        <f>TablaDatos[[#This Row],[FechaIngreso]]+TablaDatos[[#This Row],[DiasNuevo]]</f>
        <v>45058</v>
      </c>
    </row>
    <row r="3898" spans="1:15">
      <c r="A3898">
        <v>3897</v>
      </c>
      <c r="B3898" t="s">
        <v>352</v>
      </c>
      <c r="C3898" s="1">
        <v>14611</v>
      </c>
      <c r="D3898">
        <v>86</v>
      </c>
      <c r="E3898" s="4" t="s">
        <v>15</v>
      </c>
      <c r="F3898" t="s">
        <v>21</v>
      </c>
      <c r="G3898" s="1">
        <v>45179</v>
      </c>
      <c r="H3898" s="1">
        <f>TablaDatos[[#This Row],[FechaIngreso]]+TablaDatos[[#This Row],[DiasNuevo]]</f>
        <v>45188</v>
      </c>
      <c r="I3898">
        <v>9</v>
      </c>
      <c r="J3898" t="s">
        <v>23</v>
      </c>
      <c r="K3898" s="3">
        <v>6590.91</v>
      </c>
      <c r="L3898" t="b">
        <f>TablaDatos[[#This Row],[FechaAlta]] &lt; TablaDatos[[#This Row],[FechaIngreso]]</f>
        <v>0</v>
      </c>
      <c r="M3898">
        <f>_xlfn.XLOOKUP(TablaDatos[[#This Row],[PacienteID]],'Datos_Ejemplo.csv'!A:A,'Datos_Ejemplo.csv'!I:I)</f>
        <v>9</v>
      </c>
      <c r="N3898">
        <f>ABS(TablaDatos[[#This Row],[DiasOriginal]])</f>
        <v>9</v>
      </c>
      <c r="O3898" s="1">
        <f>TablaDatos[[#This Row],[FechaIngreso]]+TablaDatos[[#This Row],[DiasNuevo]]</f>
        <v>45188</v>
      </c>
    </row>
    <row r="3899" spans="1:15">
      <c r="A3899">
        <v>3898</v>
      </c>
      <c r="B3899" t="s">
        <v>264</v>
      </c>
      <c r="C3899" s="1">
        <v>13515</v>
      </c>
      <c r="D3899">
        <v>89</v>
      </c>
      <c r="E3899" s="4" t="s">
        <v>15</v>
      </c>
      <c r="F3899" t="s">
        <v>32</v>
      </c>
      <c r="G3899" s="1">
        <v>45637</v>
      </c>
      <c r="H3899" s="1">
        <f>TablaDatos[[#This Row],[FechaIngreso]]+TablaDatos[[#This Row],[DiasNuevo]]</f>
        <v>45639</v>
      </c>
      <c r="I3899">
        <v>2</v>
      </c>
      <c r="J3899" t="s">
        <v>25</v>
      </c>
      <c r="K3899" s="3">
        <v>4221.76</v>
      </c>
      <c r="L3899" t="b">
        <f>TablaDatos[[#This Row],[FechaAlta]] &lt; TablaDatos[[#This Row],[FechaIngreso]]</f>
        <v>0</v>
      </c>
      <c r="M3899">
        <f>_xlfn.XLOOKUP(TablaDatos[[#This Row],[PacienteID]],'Datos_Ejemplo.csv'!A:A,'Datos_Ejemplo.csv'!I:I)</f>
        <v>-2</v>
      </c>
      <c r="N3899">
        <f>ABS(TablaDatos[[#This Row],[DiasOriginal]])</f>
        <v>2</v>
      </c>
      <c r="O3899" s="1">
        <f>TablaDatos[[#This Row],[FechaIngreso]]+TablaDatos[[#This Row],[DiasNuevo]]</f>
        <v>45639</v>
      </c>
    </row>
    <row r="3900" spans="1:15">
      <c r="A3900">
        <v>3899</v>
      </c>
      <c r="B3900" t="s">
        <v>307</v>
      </c>
      <c r="C3900" s="1">
        <v>35795</v>
      </c>
      <c r="D3900">
        <v>28</v>
      </c>
      <c r="E3900" s="4" t="s">
        <v>12</v>
      </c>
      <c r="F3900" t="s">
        <v>261</v>
      </c>
      <c r="G3900" s="1">
        <v>45123</v>
      </c>
      <c r="H3900" s="1">
        <f>TablaDatos[[#This Row],[FechaIngreso]]+TablaDatos[[#This Row],[DiasNuevo]]</f>
        <v>45136</v>
      </c>
      <c r="I3900">
        <v>13</v>
      </c>
      <c r="J3900" t="s">
        <v>19</v>
      </c>
      <c r="K3900" s="3">
        <v>11392.52</v>
      </c>
      <c r="L3900" t="b">
        <f>TablaDatos[[#This Row],[FechaAlta]] &lt; TablaDatos[[#This Row],[FechaIngreso]]</f>
        <v>0</v>
      </c>
      <c r="M3900">
        <f>_xlfn.XLOOKUP(TablaDatos[[#This Row],[PacienteID]],'Datos_Ejemplo.csv'!A:A,'Datos_Ejemplo.csv'!I:I)</f>
        <v>13</v>
      </c>
      <c r="N3900">
        <f>ABS(TablaDatos[[#This Row],[DiasOriginal]])</f>
        <v>13</v>
      </c>
      <c r="O3900" s="1">
        <f>TablaDatos[[#This Row],[FechaIngreso]]+TablaDatos[[#This Row],[DiasNuevo]]</f>
        <v>45136</v>
      </c>
    </row>
    <row r="3901" spans="1:15">
      <c r="A3901">
        <v>3900</v>
      </c>
      <c r="B3901" t="s">
        <v>348</v>
      </c>
      <c r="C3901" s="1">
        <v>34334</v>
      </c>
      <c r="D3901">
        <v>32</v>
      </c>
      <c r="E3901" s="4" t="s">
        <v>15</v>
      </c>
      <c r="F3901" t="s">
        <v>18</v>
      </c>
      <c r="G3901" s="1">
        <v>45560</v>
      </c>
      <c r="H3901" s="1">
        <f>TablaDatos[[#This Row],[FechaIngreso]]+TablaDatos[[#This Row],[DiasNuevo]]</f>
        <v>45587</v>
      </c>
      <c r="I3901">
        <v>27</v>
      </c>
      <c r="J3901" t="s">
        <v>23</v>
      </c>
      <c r="K3901" s="3">
        <v>13760.32</v>
      </c>
      <c r="L3901" t="b">
        <f>TablaDatos[[#This Row],[FechaAlta]] &lt; TablaDatos[[#This Row],[FechaIngreso]]</f>
        <v>0</v>
      </c>
      <c r="M3901">
        <f>_xlfn.XLOOKUP(TablaDatos[[#This Row],[PacienteID]],'Datos_Ejemplo.csv'!A:A,'Datos_Ejemplo.csv'!I:I)</f>
        <v>27</v>
      </c>
      <c r="N3901">
        <f>ABS(TablaDatos[[#This Row],[DiasOriginal]])</f>
        <v>27</v>
      </c>
      <c r="O3901" s="1">
        <f>TablaDatos[[#This Row],[FechaIngreso]]+TablaDatos[[#This Row],[DiasNuevo]]</f>
        <v>45587</v>
      </c>
    </row>
    <row r="3902" spans="1:15">
      <c r="A3902">
        <v>3901</v>
      </c>
      <c r="B3902" t="s">
        <v>152</v>
      </c>
      <c r="C3902" s="1">
        <v>24473</v>
      </c>
      <c r="D3902">
        <v>59</v>
      </c>
      <c r="E3902" s="4" t="s">
        <v>15</v>
      </c>
      <c r="F3902" t="s">
        <v>18</v>
      </c>
      <c r="G3902" s="1">
        <v>45339</v>
      </c>
      <c r="H3902" s="1">
        <f>TablaDatos[[#This Row],[FechaIngreso]]+TablaDatos[[#This Row],[DiasNuevo]]</f>
        <v>45344</v>
      </c>
      <c r="I3902">
        <v>5</v>
      </c>
      <c r="J3902" t="s">
        <v>23</v>
      </c>
      <c r="K3902" s="3">
        <v>7670.02</v>
      </c>
      <c r="L3902" t="b">
        <f>TablaDatos[[#This Row],[FechaAlta]] &lt; TablaDatos[[#This Row],[FechaIngreso]]</f>
        <v>0</v>
      </c>
      <c r="M3902">
        <f>_xlfn.XLOOKUP(TablaDatos[[#This Row],[PacienteID]],'Datos_Ejemplo.csv'!A:A,'Datos_Ejemplo.csv'!I:I)</f>
        <v>5</v>
      </c>
      <c r="N3902">
        <f>ABS(TablaDatos[[#This Row],[DiasOriginal]])</f>
        <v>5</v>
      </c>
      <c r="O3902" s="1">
        <f>TablaDatos[[#This Row],[FechaIngreso]]+TablaDatos[[#This Row],[DiasNuevo]]</f>
        <v>45344</v>
      </c>
    </row>
    <row r="3903" spans="1:15">
      <c r="A3903">
        <v>3902</v>
      </c>
      <c r="B3903" t="s">
        <v>329</v>
      </c>
      <c r="C3903" s="1">
        <v>13150</v>
      </c>
      <c r="D3903">
        <v>90</v>
      </c>
      <c r="E3903" s="4" t="s">
        <v>15</v>
      </c>
      <c r="F3903" t="s">
        <v>261</v>
      </c>
      <c r="G3903" s="1">
        <v>45382</v>
      </c>
      <c r="H3903" s="1">
        <f>TablaDatos[[#This Row],[FechaIngreso]]+TablaDatos[[#This Row],[DiasNuevo]]</f>
        <v>45389</v>
      </c>
      <c r="I3903">
        <v>7</v>
      </c>
      <c r="J3903" t="s">
        <v>25</v>
      </c>
      <c r="K3903" s="3">
        <v>16951.61</v>
      </c>
      <c r="L3903" t="b">
        <f>TablaDatos[[#This Row],[FechaAlta]] &lt; TablaDatos[[#This Row],[FechaIngreso]]</f>
        <v>0</v>
      </c>
      <c r="M3903">
        <f>_xlfn.XLOOKUP(TablaDatos[[#This Row],[PacienteID]],'Datos_Ejemplo.csv'!A:A,'Datos_Ejemplo.csv'!I:I)</f>
        <v>7</v>
      </c>
      <c r="N3903">
        <f>ABS(TablaDatos[[#This Row],[DiasOriginal]])</f>
        <v>7</v>
      </c>
      <c r="O3903" s="1">
        <f>TablaDatos[[#This Row],[FechaIngreso]]+TablaDatos[[#This Row],[DiasNuevo]]</f>
        <v>45389</v>
      </c>
    </row>
    <row r="3904" spans="1:15">
      <c r="A3904">
        <v>3903</v>
      </c>
      <c r="B3904" t="s">
        <v>354</v>
      </c>
      <c r="C3904" s="1">
        <v>13880</v>
      </c>
      <c r="D3904">
        <v>88</v>
      </c>
      <c r="E3904" s="4" t="s">
        <v>15</v>
      </c>
      <c r="F3904" t="s">
        <v>21</v>
      </c>
      <c r="G3904" s="1">
        <v>44980</v>
      </c>
      <c r="H3904" s="1">
        <f>TablaDatos[[#This Row],[FechaIngreso]]+TablaDatos[[#This Row],[DiasNuevo]]</f>
        <v>45010</v>
      </c>
      <c r="I3904">
        <v>30</v>
      </c>
      <c r="J3904" t="s">
        <v>23</v>
      </c>
      <c r="K3904" s="3">
        <v>19207.39</v>
      </c>
      <c r="L3904" t="b">
        <f>TablaDatos[[#This Row],[FechaAlta]] &lt; TablaDatos[[#This Row],[FechaIngreso]]</f>
        <v>0</v>
      </c>
      <c r="M3904">
        <f>_xlfn.XLOOKUP(TablaDatos[[#This Row],[PacienteID]],'Datos_Ejemplo.csv'!A:A,'Datos_Ejemplo.csv'!I:I)</f>
        <v>30</v>
      </c>
      <c r="N3904">
        <f>ABS(TablaDatos[[#This Row],[DiasOriginal]])</f>
        <v>30</v>
      </c>
      <c r="O3904" s="1">
        <f>TablaDatos[[#This Row],[FechaIngreso]]+TablaDatos[[#This Row],[DiasNuevo]]</f>
        <v>45010</v>
      </c>
    </row>
    <row r="3905" spans="1:15">
      <c r="A3905">
        <v>3904</v>
      </c>
      <c r="B3905" t="s">
        <v>49</v>
      </c>
      <c r="C3905" s="1">
        <v>26299</v>
      </c>
      <c r="D3905">
        <v>54</v>
      </c>
      <c r="E3905" s="4" t="s">
        <v>15</v>
      </c>
      <c r="F3905" t="s">
        <v>18</v>
      </c>
      <c r="G3905" s="1">
        <v>45573</v>
      </c>
      <c r="H3905" s="1">
        <f>TablaDatos[[#This Row],[FechaIngreso]]+TablaDatos[[#This Row],[DiasNuevo]]</f>
        <v>45608</v>
      </c>
      <c r="I3905">
        <v>35</v>
      </c>
      <c r="J3905" t="s">
        <v>23</v>
      </c>
      <c r="K3905" s="3">
        <v>11344.85</v>
      </c>
      <c r="L3905" t="b">
        <f>TablaDatos[[#This Row],[FechaAlta]] &lt; TablaDatos[[#This Row],[FechaIngreso]]</f>
        <v>0</v>
      </c>
      <c r="M3905">
        <f>_xlfn.XLOOKUP(TablaDatos[[#This Row],[PacienteID]],'Datos_Ejemplo.csv'!A:A,'Datos_Ejemplo.csv'!I:I)</f>
        <v>35</v>
      </c>
      <c r="N3905">
        <f>ABS(TablaDatos[[#This Row],[DiasOriginal]])</f>
        <v>35</v>
      </c>
      <c r="O3905" s="1">
        <f>TablaDatos[[#This Row],[FechaIngreso]]+TablaDatos[[#This Row],[DiasNuevo]]</f>
        <v>45608</v>
      </c>
    </row>
    <row r="3906" spans="1:15">
      <c r="A3906">
        <v>3905</v>
      </c>
      <c r="B3906" t="s">
        <v>105</v>
      </c>
      <c r="C3906" s="1">
        <v>42735</v>
      </c>
      <c r="D3906">
        <v>9</v>
      </c>
      <c r="E3906" s="4" t="s">
        <v>15</v>
      </c>
      <c r="F3906" t="s">
        <v>261</v>
      </c>
      <c r="G3906" s="1">
        <v>45265</v>
      </c>
      <c r="H3906" s="1">
        <f>TablaDatos[[#This Row],[FechaIngreso]]+TablaDatos[[#This Row],[DiasNuevo]]</f>
        <v>45303</v>
      </c>
      <c r="I3906">
        <v>38</v>
      </c>
      <c r="J3906" t="s">
        <v>23</v>
      </c>
      <c r="K3906" s="3">
        <v>9077.5</v>
      </c>
      <c r="L3906" t="b">
        <f>TablaDatos[[#This Row],[FechaAlta]] &lt; TablaDatos[[#This Row],[FechaIngreso]]</f>
        <v>0</v>
      </c>
      <c r="M3906">
        <f>_xlfn.XLOOKUP(TablaDatos[[#This Row],[PacienteID]],'Datos_Ejemplo.csv'!A:A,'Datos_Ejemplo.csv'!I:I)</f>
        <v>38</v>
      </c>
      <c r="N3906">
        <f>ABS(TablaDatos[[#This Row],[DiasOriginal]])</f>
        <v>38</v>
      </c>
      <c r="O3906" s="1">
        <f>TablaDatos[[#This Row],[FechaIngreso]]+TablaDatos[[#This Row],[DiasNuevo]]</f>
        <v>45303</v>
      </c>
    </row>
    <row r="3907" spans="1:15">
      <c r="A3907">
        <v>3906</v>
      </c>
      <c r="B3907" t="s">
        <v>111</v>
      </c>
      <c r="C3907" s="1">
        <v>29221</v>
      </c>
      <c r="D3907">
        <f ca="1">DATEDIF(TablaDatos[[#This Row],[FechaNacimiento]],TODAY(),"Y")</f>
        <v>46</v>
      </c>
      <c r="E3907" s="4" t="s">
        <v>12</v>
      </c>
      <c r="F3907" t="s">
        <v>295</v>
      </c>
      <c r="G3907" s="1">
        <v>45285</v>
      </c>
      <c r="H3907" s="1">
        <f>TablaDatos[[#This Row],[FechaIngreso]]+TablaDatos[[#This Row],[DiasNuevo]]</f>
        <v>45304</v>
      </c>
      <c r="I3907">
        <v>19</v>
      </c>
      <c r="J3907" t="s">
        <v>23</v>
      </c>
      <c r="K3907" s="3">
        <v>16842.03</v>
      </c>
      <c r="L3907" t="b">
        <f>TablaDatos[[#This Row],[FechaAlta]] &lt; TablaDatos[[#This Row],[FechaIngreso]]</f>
        <v>0</v>
      </c>
      <c r="M3907">
        <f>_xlfn.XLOOKUP(TablaDatos[[#This Row],[PacienteID]],'Datos_Ejemplo.csv'!A:A,'Datos_Ejemplo.csv'!I:I)</f>
        <v>19</v>
      </c>
      <c r="N3907">
        <f>ABS(TablaDatos[[#This Row],[DiasOriginal]])</f>
        <v>19</v>
      </c>
      <c r="O3907" s="1">
        <f>TablaDatos[[#This Row],[FechaIngreso]]+TablaDatos[[#This Row],[DiasNuevo]]</f>
        <v>45304</v>
      </c>
    </row>
    <row r="3908" spans="1:15">
      <c r="A3908">
        <v>3907</v>
      </c>
      <c r="B3908" t="s">
        <v>122</v>
      </c>
      <c r="C3908" s="1">
        <v>37987</v>
      </c>
      <c r="D3908">
        <v>22</v>
      </c>
      <c r="E3908" s="4" t="s">
        <v>15</v>
      </c>
      <c r="F3908" t="s">
        <v>261</v>
      </c>
      <c r="G3908" s="1">
        <v>45077</v>
      </c>
      <c r="H3908" s="1">
        <f>TablaDatos[[#This Row],[FechaIngreso]]+TablaDatos[[#This Row],[DiasNuevo]]</f>
        <v>45090</v>
      </c>
      <c r="I3908">
        <v>13</v>
      </c>
      <c r="J3908" t="s">
        <v>23</v>
      </c>
      <c r="K3908" s="3">
        <v>387.82</v>
      </c>
      <c r="L3908" t="b">
        <f>TablaDatos[[#This Row],[FechaAlta]] &lt; TablaDatos[[#This Row],[FechaIngreso]]</f>
        <v>0</v>
      </c>
      <c r="M3908">
        <f>_xlfn.XLOOKUP(TablaDatos[[#This Row],[PacienteID]],'Datos_Ejemplo.csv'!A:A,'Datos_Ejemplo.csv'!I:I)</f>
        <v>13</v>
      </c>
      <c r="N3908">
        <f>ABS(TablaDatos[[#This Row],[DiasOriginal]])</f>
        <v>13</v>
      </c>
      <c r="O3908" s="1">
        <f>TablaDatos[[#This Row],[FechaIngreso]]+TablaDatos[[#This Row],[DiasNuevo]]</f>
        <v>45090</v>
      </c>
    </row>
    <row r="3909" spans="1:15">
      <c r="A3909">
        <v>3908</v>
      </c>
      <c r="B3909" t="s">
        <v>258</v>
      </c>
      <c r="C3909" s="1">
        <v>15341</v>
      </c>
      <c r="D3909">
        <v>84</v>
      </c>
      <c r="E3909" s="4" t="s">
        <v>15</v>
      </c>
      <c r="F3909" t="s">
        <v>32</v>
      </c>
      <c r="G3909" s="1">
        <v>45026</v>
      </c>
      <c r="H3909" s="1">
        <f>TablaDatos[[#This Row],[FechaIngreso]]+TablaDatos[[#This Row],[DiasNuevo]]</f>
        <v>45042</v>
      </c>
      <c r="I3909">
        <v>16</v>
      </c>
      <c r="J3909" t="s">
        <v>23</v>
      </c>
      <c r="K3909" s="3">
        <v>2493.15</v>
      </c>
      <c r="L3909" t="b">
        <f>TablaDatos[[#This Row],[FechaAlta]] &lt; TablaDatos[[#This Row],[FechaIngreso]]</f>
        <v>0</v>
      </c>
      <c r="M3909">
        <f>_xlfn.XLOOKUP(TablaDatos[[#This Row],[PacienteID]],'Datos_Ejemplo.csv'!A:A,'Datos_Ejemplo.csv'!I:I)</f>
        <v>16</v>
      </c>
      <c r="N3909">
        <f>ABS(TablaDatos[[#This Row],[DiasOriginal]])</f>
        <v>16</v>
      </c>
      <c r="O3909" s="1">
        <f>TablaDatos[[#This Row],[FechaIngreso]]+TablaDatos[[#This Row],[DiasNuevo]]</f>
        <v>45042</v>
      </c>
    </row>
    <row r="3910" spans="1:15">
      <c r="A3910">
        <v>3909</v>
      </c>
      <c r="B3910" t="s">
        <v>122</v>
      </c>
      <c r="C3910" s="1">
        <v>38717</v>
      </c>
      <c r="D3910">
        <f ca="1">DATEDIF(TablaDatos[[#This Row],[FechaNacimiento]],TODAY(),"Y")</f>
        <v>20</v>
      </c>
      <c r="E3910" s="4" t="s">
        <v>12</v>
      </c>
      <c r="F3910" t="s">
        <v>201</v>
      </c>
      <c r="G3910" s="1">
        <v>45160</v>
      </c>
      <c r="H3910" s="1">
        <f>TablaDatos[[#This Row],[FechaIngreso]]+TablaDatos[[#This Row],[DiasNuevo]]</f>
        <v>45168</v>
      </c>
      <c r="I3910">
        <v>8</v>
      </c>
      <c r="J3910" t="s">
        <v>25</v>
      </c>
      <c r="K3910" s="3">
        <v>16897.72</v>
      </c>
      <c r="L3910" t="b">
        <f>TablaDatos[[#This Row],[FechaAlta]] &lt; TablaDatos[[#This Row],[FechaIngreso]]</f>
        <v>0</v>
      </c>
      <c r="M3910">
        <f>_xlfn.XLOOKUP(TablaDatos[[#This Row],[PacienteID]],'Datos_Ejemplo.csv'!A:A,'Datos_Ejemplo.csv'!I:I)</f>
        <v>8</v>
      </c>
      <c r="N3910">
        <f>ABS(TablaDatos[[#This Row],[DiasOriginal]])</f>
        <v>8</v>
      </c>
      <c r="O3910" s="1">
        <f>TablaDatos[[#This Row],[FechaIngreso]]+TablaDatos[[#This Row],[DiasNuevo]]</f>
        <v>45168</v>
      </c>
    </row>
    <row r="3911" spans="1:15">
      <c r="A3911">
        <v>3910</v>
      </c>
      <c r="B3911" t="s">
        <v>305</v>
      </c>
      <c r="C3911" s="1">
        <v>41639</v>
      </c>
      <c r="D3911">
        <v>12</v>
      </c>
      <c r="E3911" s="4" t="s">
        <v>15</v>
      </c>
      <c r="F3911" t="s">
        <v>261</v>
      </c>
      <c r="G3911" s="1">
        <v>45470</v>
      </c>
      <c r="H3911" s="1">
        <f>TablaDatos[[#This Row],[FechaIngreso]]+TablaDatos[[#This Row],[DiasNuevo]]</f>
        <v>45478</v>
      </c>
      <c r="I3911">
        <v>8</v>
      </c>
      <c r="J3911" t="s">
        <v>23</v>
      </c>
      <c r="K3911" s="3">
        <v>14613.77</v>
      </c>
      <c r="L3911" t="b">
        <f>TablaDatos[[#This Row],[FechaAlta]] &lt; TablaDatos[[#This Row],[FechaIngreso]]</f>
        <v>0</v>
      </c>
      <c r="M3911">
        <f>_xlfn.XLOOKUP(TablaDatos[[#This Row],[PacienteID]],'Datos_Ejemplo.csv'!A:A,'Datos_Ejemplo.csv'!I:I)</f>
        <v>8</v>
      </c>
      <c r="N3911">
        <f>ABS(TablaDatos[[#This Row],[DiasOriginal]])</f>
        <v>8</v>
      </c>
      <c r="O3911" s="1">
        <f>TablaDatos[[#This Row],[FechaIngreso]]+TablaDatos[[#This Row],[DiasNuevo]]</f>
        <v>45478</v>
      </c>
    </row>
    <row r="3912" spans="1:15">
      <c r="A3912">
        <v>3911</v>
      </c>
      <c r="B3912" t="s">
        <v>278</v>
      </c>
      <c r="C3912" s="1">
        <v>34334</v>
      </c>
      <c r="D3912">
        <v>32</v>
      </c>
      <c r="E3912" s="4" t="s">
        <v>12</v>
      </c>
      <c r="F3912" t="s">
        <v>13</v>
      </c>
      <c r="G3912" s="1">
        <v>44988</v>
      </c>
      <c r="H3912" s="1">
        <f>TablaDatos[[#This Row],[FechaIngreso]]+TablaDatos[[#This Row],[DiasNuevo]]</f>
        <v>44999</v>
      </c>
      <c r="I3912">
        <v>11</v>
      </c>
      <c r="J3912" t="s">
        <v>23</v>
      </c>
      <c r="K3912" s="3">
        <v>8264.35</v>
      </c>
      <c r="L3912" t="b">
        <f>TablaDatos[[#This Row],[FechaAlta]] &lt; TablaDatos[[#This Row],[FechaIngreso]]</f>
        <v>0</v>
      </c>
      <c r="M3912">
        <f>_xlfn.XLOOKUP(TablaDatos[[#This Row],[PacienteID]],'Datos_Ejemplo.csv'!A:A,'Datos_Ejemplo.csv'!I:I)</f>
        <v>11</v>
      </c>
      <c r="N3912">
        <f>ABS(TablaDatos[[#This Row],[DiasOriginal]])</f>
        <v>11</v>
      </c>
      <c r="O3912" s="1">
        <f>TablaDatos[[#This Row],[FechaIngreso]]+TablaDatos[[#This Row],[DiasNuevo]]</f>
        <v>44999</v>
      </c>
    </row>
    <row r="3913" spans="1:15">
      <c r="A3913">
        <v>3912</v>
      </c>
      <c r="B3913" t="s">
        <v>288</v>
      </c>
      <c r="C3913" s="1">
        <v>37622</v>
      </c>
      <c r="D3913">
        <f ca="1">DATEDIF(TablaDatos[[#This Row],[FechaNacimiento]],TODAY(),"Y")</f>
        <v>23</v>
      </c>
      <c r="E3913" s="4" t="s">
        <v>12</v>
      </c>
      <c r="F3913" t="s">
        <v>13</v>
      </c>
      <c r="G3913" s="1">
        <v>45122</v>
      </c>
      <c r="H3913" s="1">
        <f>TablaDatos[[#This Row],[FechaIngreso]]+TablaDatos[[#This Row],[DiasNuevo]]</f>
        <v>45158</v>
      </c>
      <c r="I3913">
        <v>36</v>
      </c>
      <c r="J3913" t="s">
        <v>23</v>
      </c>
      <c r="K3913" s="3">
        <v>17765.919999999998</v>
      </c>
      <c r="L3913" t="b">
        <f>TablaDatos[[#This Row],[FechaAlta]] &lt; TablaDatos[[#This Row],[FechaIngreso]]</f>
        <v>0</v>
      </c>
      <c r="M3913">
        <f>_xlfn.XLOOKUP(TablaDatos[[#This Row],[PacienteID]],'Datos_Ejemplo.csv'!A:A,'Datos_Ejemplo.csv'!I:I)</f>
        <v>36</v>
      </c>
      <c r="N3913">
        <f>ABS(TablaDatos[[#This Row],[DiasOriginal]])</f>
        <v>36</v>
      </c>
      <c r="O3913" s="1">
        <f>TablaDatos[[#This Row],[FechaIngreso]]+TablaDatos[[#This Row],[DiasNuevo]]</f>
        <v>45158</v>
      </c>
    </row>
    <row r="3914" spans="1:15">
      <c r="A3914">
        <v>3913</v>
      </c>
      <c r="B3914" t="s">
        <v>310</v>
      </c>
      <c r="C3914" s="1">
        <v>42370</v>
      </c>
      <c r="D3914">
        <v>10</v>
      </c>
      <c r="E3914" s="4" t="s">
        <v>15</v>
      </c>
      <c r="F3914" t="s">
        <v>201</v>
      </c>
      <c r="G3914" s="1">
        <v>45468</v>
      </c>
      <c r="H3914" s="1">
        <f>TablaDatos[[#This Row],[FechaIngreso]]+TablaDatos[[#This Row],[DiasNuevo]]</f>
        <v>45491</v>
      </c>
      <c r="I3914">
        <v>23</v>
      </c>
      <c r="J3914" t="s">
        <v>23</v>
      </c>
      <c r="K3914" s="3">
        <v>6964.31</v>
      </c>
      <c r="L3914" t="b">
        <f>TablaDatos[[#This Row],[FechaAlta]] &lt; TablaDatos[[#This Row],[FechaIngreso]]</f>
        <v>0</v>
      </c>
      <c r="M3914">
        <f>_xlfn.XLOOKUP(TablaDatos[[#This Row],[PacienteID]],'Datos_Ejemplo.csv'!A:A,'Datos_Ejemplo.csv'!I:I)</f>
        <v>23</v>
      </c>
      <c r="N3914">
        <f>ABS(TablaDatos[[#This Row],[DiasOriginal]])</f>
        <v>23</v>
      </c>
      <c r="O3914" s="1">
        <f>TablaDatos[[#This Row],[FechaIngreso]]+TablaDatos[[#This Row],[DiasNuevo]]</f>
        <v>45491</v>
      </c>
    </row>
    <row r="3915" spans="1:15">
      <c r="A3915">
        <v>3914</v>
      </c>
      <c r="B3915" t="s">
        <v>349</v>
      </c>
      <c r="C3915" s="1">
        <v>40178</v>
      </c>
      <c r="D3915">
        <v>16</v>
      </c>
      <c r="E3915" s="4" t="s">
        <v>12</v>
      </c>
      <c r="F3915" t="s">
        <v>21</v>
      </c>
      <c r="G3915" s="1">
        <v>45032</v>
      </c>
      <c r="H3915" s="1">
        <f>TablaDatos[[#This Row],[FechaIngreso]]+TablaDatos[[#This Row],[DiasNuevo]]</f>
        <v>45049</v>
      </c>
      <c r="I3915">
        <v>17</v>
      </c>
      <c r="J3915" t="s">
        <v>23</v>
      </c>
      <c r="K3915" s="3">
        <v>12640.29</v>
      </c>
      <c r="L3915" t="b">
        <f>TablaDatos[[#This Row],[FechaAlta]] &lt; TablaDatos[[#This Row],[FechaIngreso]]</f>
        <v>0</v>
      </c>
      <c r="M3915">
        <f>_xlfn.XLOOKUP(TablaDatos[[#This Row],[PacienteID]],'Datos_Ejemplo.csv'!A:A,'Datos_Ejemplo.csv'!I:I)</f>
        <v>17</v>
      </c>
      <c r="N3915">
        <f>ABS(TablaDatos[[#This Row],[DiasOriginal]])</f>
        <v>17</v>
      </c>
      <c r="O3915" s="1">
        <f>TablaDatos[[#This Row],[FechaIngreso]]+TablaDatos[[#This Row],[DiasNuevo]]</f>
        <v>45049</v>
      </c>
    </row>
    <row r="3916" spans="1:15">
      <c r="A3916">
        <v>3915</v>
      </c>
      <c r="B3916" t="s">
        <v>248</v>
      </c>
      <c r="C3916" s="1">
        <v>21551</v>
      </c>
      <c r="D3916">
        <v>67</v>
      </c>
      <c r="E3916" s="4" t="s">
        <v>15</v>
      </c>
      <c r="F3916" t="s">
        <v>13</v>
      </c>
      <c r="G3916" s="1">
        <v>45221</v>
      </c>
      <c r="H3916" s="1">
        <f>TablaDatos[[#This Row],[FechaIngreso]]+TablaDatos[[#This Row],[DiasNuevo]]</f>
        <v>45238</v>
      </c>
      <c r="I3916">
        <v>17</v>
      </c>
      <c r="J3916" t="s">
        <v>23</v>
      </c>
      <c r="K3916" s="3">
        <v>12650.12</v>
      </c>
      <c r="L3916" t="b">
        <f>TablaDatos[[#This Row],[FechaAlta]] &lt; TablaDatos[[#This Row],[FechaIngreso]]</f>
        <v>0</v>
      </c>
      <c r="M3916">
        <f>_xlfn.XLOOKUP(TablaDatos[[#This Row],[PacienteID]],'Datos_Ejemplo.csv'!A:A,'Datos_Ejemplo.csv'!I:I)</f>
        <v>17</v>
      </c>
      <c r="N3916">
        <f>ABS(TablaDatos[[#This Row],[DiasOriginal]])</f>
        <v>17</v>
      </c>
      <c r="O3916" s="1">
        <f>TablaDatos[[#This Row],[FechaIngreso]]+TablaDatos[[#This Row],[DiasNuevo]]</f>
        <v>45238</v>
      </c>
    </row>
    <row r="3917" spans="1:15">
      <c r="A3917">
        <v>3916</v>
      </c>
      <c r="B3917" t="s">
        <v>249</v>
      </c>
      <c r="C3917" s="1">
        <v>29221</v>
      </c>
      <c r="D3917">
        <v>46</v>
      </c>
      <c r="E3917" s="4" t="s">
        <v>15</v>
      </c>
      <c r="F3917" t="s">
        <v>295</v>
      </c>
      <c r="G3917" s="1">
        <v>45571</v>
      </c>
      <c r="H3917" s="1">
        <f>TablaDatos[[#This Row],[FechaIngreso]]+TablaDatos[[#This Row],[DiasNuevo]]</f>
        <v>45573</v>
      </c>
      <c r="I3917">
        <v>2</v>
      </c>
      <c r="J3917" t="s">
        <v>23</v>
      </c>
      <c r="K3917" s="3">
        <v>3605.07</v>
      </c>
      <c r="L3917" t="b">
        <f>TablaDatos[[#This Row],[FechaAlta]] &lt; TablaDatos[[#This Row],[FechaIngreso]]</f>
        <v>0</v>
      </c>
      <c r="M3917">
        <f>_xlfn.XLOOKUP(TablaDatos[[#This Row],[PacienteID]],'Datos_Ejemplo.csv'!A:A,'Datos_Ejemplo.csv'!I:I)</f>
        <v>2</v>
      </c>
      <c r="N3917">
        <f>ABS(TablaDatos[[#This Row],[DiasOriginal]])</f>
        <v>2</v>
      </c>
      <c r="O3917" s="1">
        <f>TablaDatos[[#This Row],[FechaIngreso]]+TablaDatos[[#This Row],[DiasNuevo]]</f>
        <v>45573</v>
      </c>
    </row>
    <row r="3918" spans="1:15">
      <c r="A3918">
        <v>3917</v>
      </c>
      <c r="B3918" t="s">
        <v>337</v>
      </c>
      <c r="C3918" s="1">
        <v>37256</v>
      </c>
      <c r="D3918">
        <v>24</v>
      </c>
      <c r="E3918" s="4" t="s">
        <v>12</v>
      </c>
      <c r="F3918" t="s">
        <v>261</v>
      </c>
      <c r="G3918" s="1">
        <v>45377</v>
      </c>
      <c r="H3918" s="1">
        <f>TablaDatos[[#This Row],[FechaIngreso]]+TablaDatos[[#This Row],[DiasNuevo]]</f>
        <v>45379</v>
      </c>
      <c r="I3918">
        <v>2</v>
      </c>
      <c r="J3918" t="s">
        <v>19</v>
      </c>
      <c r="K3918" s="3">
        <v>5625.52</v>
      </c>
      <c r="L3918" t="b">
        <f>TablaDatos[[#This Row],[FechaAlta]] &lt; TablaDatos[[#This Row],[FechaIngreso]]</f>
        <v>0</v>
      </c>
      <c r="M3918">
        <f>_xlfn.XLOOKUP(TablaDatos[[#This Row],[PacienteID]],'Datos_Ejemplo.csv'!A:A,'Datos_Ejemplo.csv'!I:I)</f>
        <v>-2</v>
      </c>
      <c r="N3918">
        <f>ABS(TablaDatos[[#This Row],[DiasOriginal]])</f>
        <v>2</v>
      </c>
      <c r="O3918" s="1">
        <f>TablaDatos[[#This Row],[FechaIngreso]]+TablaDatos[[#This Row],[DiasNuevo]]</f>
        <v>45379</v>
      </c>
    </row>
    <row r="3919" spans="1:15">
      <c r="A3919">
        <v>3918</v>
      </c>
      <c r="B3919" t="s">
        <v>257</v>
      </c>
      <c r="C3919" s="1">
        <v>12054</v>
      </c>
      <c r="D3919">
        <v>93</v>
      </c>
      <c r="E3919" s="4" t="s">
        <v>12</v>
      </c>
      <c r="F3919" t="s">
        <v>201</v>
      </c>
      <c r="G3919" s="1">
        <v>45460</v>
      </c>
      <c r="H3919" s="1">
        <f>TablaDatos[[#This Row],[FechaIngreso]]+TablaDatos[[#This Row],[DiasNuevo]]</f>
        <v>45468</v>
      </c>
      <c r="I3919">
        <v>8</v>
      </c>
      <c r="J3919" t="s">
        <v>23</v>
      </c>
      <c r="K3919" s="3">
        <v>18311.740000000002</v>
      </c>
      <c r="L3919" t="b">
        <f>TablaDatos[[#This Row],[FechaAlta]] &lt; TablaDatos[[#This Row],[FechaIngreso]]</f>
        <v>0</v>
      </c>
      <c r="M3919">
        <f>_xlfn.XLOOKUP(TablaDatos[[#This Row],[PacienteID]],'Datos_Ejemplo.csv'!A:A,'Datos_Ejemplo.csv'!I:I)</f>
        <v>8</v>
      </c>
      <c r="N3919">
        <f>ABS(TablaDatos[[#This Row],[DiasOriginal]])</f>
        <v>8</v>
      </c>
      <c r="O3919" s="1">
        <f>TablaDatos[[#This Row],[FechaIngreso]]+TablaDatos[[#This Row],[DiasNuevo]]</f>
        <v>45468</v>
      </c>
    </row>
    <row r="3920" spans="1:15">
      <c r="A3920">
        <v>3919</v>
      </c>
      <c r="B3920" t="s">
        <v>130</v>
      </c>
      <c r="C3920" s="1">
        <v>19724</v>
      </c>
      <c r="D3920">
        <v>72</v>
      </c>
      <c r="E3920" s="4" t="s">
        <v>12</v>
      </c>
      <c r="F3920" t="s">
        <v>295</v>
      </c>
      <c r="G3920" s="1">
        <v>45082</v>
      </c>
      <c r="H3920" s="1">
        <f>TablaDatos[[#This Row],[FechaIngreso]]+TablaDatos[[#This Row],[DiasNuevo]]</f>
        <v>45089</v>
      </c>
      <c r="I3920">
        <v>7</v>
      </c>
      <c r="J3920" t="s">
        <v>25</v>
      </c>
      <c r="K3920" s="3">
        <v>3586.64</v>
      </c>
      <c r="L3920" t="b">
        <f>TablaDatos[[#This Row],[FechaAlta]] &lt; TablaDatos[[#This Row],[FechaIngreso]]</f>
        <v>0</v>
      </c>
      <c r="M3920">
        <f>_xlfn.XLOOKUP(TablaDatos[[#This Row],[PacienteID]],'Datos_Ejemplo.csv'!A:A,'Datos_Ejemplo.csv'!I:I)</f>
        <v>7</v>
      </c>
      <c r="N3920">
        <f>ABS(TablaDatos[[#This Row],[DiasOriginal]])</f>
        <v>7</v>
      </c>
      <c r="O3920" s="1">
        <f>TablaDatos[[#This Row],[FechaIngreso]]+TablaDatos[[#This Row],[DiasNuevo]]</f>
        <v>45089</v>
      </c>
    </row>
    <row r="3921" spans="1:15">
      <c r="A3921">
        <v>3920</v>
      </c>
      <c r="B3921" t="s">
        <v>264</v>
      </c>
      <c r="C3921" s="1">
        <v>38717</v>
      </c>
      <c r="D3921">
        <v>20</v>
      </c>
      <c r="E3921" s="4" t="s">
        <v>12</v>
      </c>
      <c r="F3921" t="s">
        <v>21</v>
      </c>
      <c r="G3921" s="1">
        <v>45332</v>
      </c>
      <c r="H3921" s="1">
        <f>TablaDatos[[#This Row],[FechaIngreso]]+TablaDatos[[#This Row],[DiasNuevo]]</f>
        <v>45357</v>
      </c>
      <c r="I3921">
        <v>25</v>
      </c>
      <c r="J3921" t="s">
        <v>25</v>
      </c>
      <c r="K3921" s="3">
        <v>3388.85</v>
      </c>
      <c r="L3921" t="b">
        <f>TablaDatos[[#This Row],[FechaAlta]] &lt; TablaDatos[[#This Row],[FechaIngreso]]</f>
        <v>0</v>
      </c>
      <c r="M3921">
        <f>_xlfn.XLOOKUP(TablaDatos[[#This Row],[PacienteID]],'Datos_Ejemplo.csv'!A:A,'Datos_Ejemplo.csv'!I:I)</f>
        <v>25</v>
      </c>
      <c r="N3921">
        <f>ABS(TablaDatos[[#This Row],[DiasOriginal]])</f>
        <v>25</v>
      </c>
      <c r="O3921" s="1">
        <f>TablaDatos[[#This Row],[FechaIngreso]]+TablaDatos[[#This Row],[DiasNuevo]]</f>
        <v>45357</v>
      </c>
    </row>
    <row r="3922" spans="1:15">
      <c r="A3922">
        <v>3921</v>
      </c>
      <c r="B3922" t="s">
        <v>364</v>
      </c>
      <c r="C3922" s="1">
        <v>15707</v>
      </c>
      <c r="D3922">
        <v>83</v>
      </c>
      <c r="E3922" s="4" t="s">
        <v>15</v>
      </c>
      <c r="F3922" t="s">
        <v>13</v>
      </c>
      <c r="G3922" s="1">
        <v>45652</v>
      </c>
      <c r="H3922" s="1">
        <f>TablaDatos[[#This Row],[FechaIngreso]]+TablaDatos[[#This Row],[DiasNuevo]]</f>
        <v>45683</v>
      </c>
      <c r="I3922">
        <v>31</v>
      </c>
      <c r="J3922" t="s">
        <v>25</v>
      </c>
      <c r="K3922" s="3">
        <v>9540.27</v>
      </c>
      <c r="L3922" t="b">
        <f>TablaDatos[[#This Row],[FechaAlta]] &lt; TablaDatos[[#This Row],[FechaIngreso]]</f>
        <v>0</v>
      </c>
      <c r="M3922">
        <f>_xlfn.XLOOKUP(TablaDatos[[#This Row],[PacienteID]],'Datos_Ejemplo.csv'!A:A,'Datos_Ejemplo.csv'!I:I)</f>
        <v>31</v>
      </c>
      <c r="N3922">
        <f>ABS(TablaDatos[[#This Row],[DiasOriginal]])</f>
        <v>31</v>
      </c>
      <c r="O3922" s="1">
        <f>TablaDatos[[#This Row],[FechaIngreso]]+TablaDatos[[#This Row],[DiasNuevo]]</f>
        <v>45683</v>
      </c>
    </row>
    <row r="3923" spans="1:15">
      <c r="A3923">
        <v>3922</v>
      </c>
      <c r="B3923" t="s">
        <v>360</v>
      </c>
      <c r="C3923" s="1">
        <v>16072</v>
      </c>
      <c r="D3923">
        <v>82</v>
      </c>
      <c r="E3923" s="4" t="s">
        <v>12</v>
      </c>
      <c r="F3923" t="s">
        <v>201</v>
      </c>
      <c r="G3923" s="1">
        <v>45609</v>
      </c>
      <c r="H3923" s="1">
        <f>TablaDatos[[#This Row],[FechaIngreso]]+TablaDatos[[#This Row],[DiasNuevo]]</f>
        <v>45619</v>
      </c>
      <c r="I3923">
        <v>10</v>
      </c>
      <c r="J3923" t="s">
        <v>19</v>
      </c>
      <c r="K3923" s="3">
        <v>1753.17</v>
      </c>
      <c r="L3923" t="b">
        <f>TablaDatos[[#This Row],[FechaAlta]] &lt; TablaDatos[[#This Row],[FechaIngreso]]</f>
        <v>0</v>
      </c>
      <c r="M3923">
        <f>_xlfn.XLOOKUP(TablaDatos[[#This Row],[PacienteID]],'Datos_Ejemplo.csv'!A:A,'Datos_Ejemplo.csv'!I:I)</f>
        <v>10</v>
      </c>
      <c r="N3923">
        <f>ABS(TablaDatos[[#This Row],[DiasOriginal]])</f>
        <v>10</v>
      </c>
      <c r="O3923" s="1">
        <f>TablaDatos[[#This Row],[FechaIngreso]]+TablaDatos[[#This Row],[DiasNuevo]]</f>
        <v>45619</v>
      </c>
    </row>
    <row r="3924" spans="1:15">
      <c r="A3924">
        <v>3923</v>
      </c>
      <c r="B3924" t="s">
        <v>114</v>
      </c>
      <c r="C3924" s="1">
        <v>16072</v>
      </c>
      <c r="D3924">
        <v>82</v>
      </c>
      <c r="E3924" s="4" t="s">
        <v>12</v>
      </c>
      <c r="F3924" t="s">
        <v>18</v>
      </c>
      <c r="G3924" s="1">
        <v>45480</v>
      </c>
      <c r="H3924" s="1">
        <f>TablaDatos[[#This Row],[FechaIngreso]]+TablaDatos[[#This Row],[DiasNuevo]]</f>
        <v>45502</v>
      </c>
      <c r="I3924">
        <v>22</v>
      </c>
      <c r="J3924" t="s">
        <v>19</v>
      </c>
      <c r="K3924" s="3">
        <v>17881.990000000002</v>
      </c>
      <c r="L3924" t="b">
        <f>TablaDatos[[#This Row],[FechaAlta]] &lt; TablaDatos[[#This Row],[FechaIngreso]]</f>
        <v>0</v>
      </c>
      <c r="M3924">
        <f>_xlfn.XLOOKUP(TablaDatos[[#This Row],[PacienteID]],'Datos_Ejemplo.csv'!A:A,'Datos_Ejemplo.csv'!I:I)</f>
        <v>22</v>
      </c>
      <c r="N3924">
        <f>ABS(TablaDatos[[#This Row],[DiasOriginal]])</f>
        <v>22</v>
      </c>
      <c r="O3924" s="1">
        <f>TablaDatos[[#This Row],[FechaIngreso]]+TablaDatos[[#This Row],[DiasNuevo]]</f>
        <v>45502</v>
      </c>
    </row>
    <row r="3925" spans="1:15">
      <c r="A3925">
        <v>3924</v>
      </c>
      <c r="B3925" t="s">
        <v>39</v>
      </c>
      <c r="C3925" s="1">
        <v>42005</v>
      </c>
      <c r="D3925">
        <v>11</v>
      </c>
      <c r="E3925" s="4" t="s">
        <v>197</v>
      </c>
      <c r="F3925" t="s">
        <v>261</v>
      </c>
      <c r="G3925" s="1">
        <v>45498</v>
      </c>
      <c r="H3925" s="1">
        <f>TablaDatos[[#This Row],[FechaIngreso]]+TablaDatos[[#This Row],[DiasNuevo]]</f>
        <v>45518</v>
      </c>
      <c r="I3925">
        <v>20</v>
      </c>
      <c r="J3925" t="s">
        <v>25</v>
      </c>
      <c r="K3925" s="3">
        <v>1913</v>
      </c>
      <c r="L3925" t="b">
        <f>TablaDatos[[#This Row],[FechaAlta]] &lt; TablaDatos[[#This Row],[FechaIngreso]]</f>
        <v>0</v>
      </c>
      <c r="M3925">
        <f>_xlfn.XLOOKUP(TablaDatos[[#This Row],[PacienteID]],'Datos_Ejemplo.csv'!A:A,'Datos_Ejemplo.csv'!I:I)</f>
        <v>20</v>
      </c>
      <c r="N3925">
        <f>ABS(TablaDatos[[#This Row],[DiasOriginal]])</f>
        <v>20</v>
      </c>
      <c r="O3925" s="1">
        <f>TablaDatos[[#This Row],[FechaIngreso]]+TablaDatos[[#This Row],[DiasNuevo]]</f>
        <v>45518</v>
      </c>
    </row>
    <row r="3926" spans="1:15">
      <c r="A3926">
        <v>3925</v>
      </c>
      <c r="B3926" t="s">
        <v>247</v>
      </c>
      <c r="C3926" s="1">
        <v>32873</v>
      </c>
      <c r="D3926">
        <v>36</v>
      </c>
      <c r="E3926" s="4" t="s">
        <v>12</v>
      </c>
      <c r="F3926" t="s">
        <v>18</v>
      </c>
      <c r="G3926" s="1">
        <v>45301</v>
      </c>
      <c r="H3926" s="1">
        <f>TablaDatos[[#This Row],[FechaIngreso]]+TablaDatos[[#This Row],[DiasNuevo]]</f>
        <v>45334</v>
      </c>
      <c r="I3926">
        <v>33</v>
      </c>
      <c r="J3926" t="s">
        <v>25</v>
      </c>
      <c r="K3926" s="3">
        <v>12292.81</v>
      </c>
      <c r="L3926" t="b">
        <f>TablaDatos[[#This Row],[FechaAlta]] &lt; TablaDatos[[#This Row],[FechaIngreso]]</f>
        <v>0</v>
      </c>
      <c r="M3926">
        <f>_xlfn.XLOOKUP(TablaDatos[[#This Row],[PacienteID]],'Datos_Ejemplo.csv'!A:A,'Datos_Ejemplo.csv'!I:I)</f>
        <v>33</v>
      </c>
      <c r="N3926">
        <f>ABS(TablaDatos[[#This Row],[DiasOriginal]])</f>
        <v>33</v>
      </c>
      <c r="O3926" s="1">
        <f>TablaDatos[[#This Row],[FechaIngreso]]+TablaDatos[[#This Row],[DiasNuevo]]</f>
        <v>45334</v>
      </c>
    </row>
    <row r="3927" spans="1:15">
      <c r="A3927">
        <v>3926</v>
      </c>
      <c r="B3927" t="s">
        <v>246</v>
      </c>
      <c r="C3927" s="1">
        <v>31047</v>
      </c>
      <c r="D3927">
        <v>41</v>
      </c>
      <c r="E3927" s="4" t="s">
        <v>12</v>
      </c>
      <c r="F3927" t="s">
        <v>32</v>
      </c>
      <c r="G3927" s="1">
        <v>45515</v>
      </c>
      <c r="H3927" s="1">
        <f>TablaDatos[[#This Row],[FechaIngreso]]+TablaDatos[[#This Row],[DiasNuevo]]</f>
        <v>45524</v>
      </c>
      <c r="I3927">
        <v>9</v>
      </c>
      <c r="J3927" t="s">
        <v>25</v>
      </c>
      <c r="K3927" s="3">
        <v>6729.62</v>
      </c>
      <c r="L3927" t="b">
        <f>TablaDatos[[#This Row],[FechaAlta]] &lt; TablaDatos[[#This Row],[FechaIngreso]]</f>
        <v>0</v>
      </c>
      <c r="M3927">
        <f>_xlfn.XLOOKUP(TablaDatos[[#This Row],[PacienteID]],'Datos_Ejemplo.csv'!A:A,'Datos_Ejemplo.csv'!I:I)</f>
        <v>9</v>
      </c>
      <c r="N3927">
        <f>ABS(TablaDatos[[#This Row],[DiasOriginal]])</f>
        <v>9</v>
      </c>
      <c r="O3927" s="1">
        <f>TablaDatos[[#This Row],[FechaIngreso]]+TablaDatos[[#This Row],[DiasNuevo]]</f>
        <v>45524</v>
      </c>
    </row>
    <row r="3928" spans="1:15">
      <c r="A3928">
        <v>3927</v>
      </c>
      <c r="B3928" t="s">
        <v>49</v>
      </c>
      <c r="C3928" s="1">
        <v>40178</v>
      </c>
      <c r="D3928">
        <v>16</v>
      </c>
      <c r="E3928" s="4" t="s">
        <v>15</v>
      </c>
      <c r="F3928" t="s">
        <v>21</v>
      </c>
      <c r="G3928" s="1">
        <v>45381</v>
      </c>
      <c r="H3928" s="1">
        <f>TablaDatos[[#This Row],[FechaIngreso]]+TablaDatos[[#This Row],[DiasNuevo]]</f>
        <v>45382</v>
      </c>
      <c r="I3928">
        <v>1</v>
      </c>
      <c r="J3928" t="s">
        <v>23</v>
      </c>
      <c r="K3928" s="3">
        <v>16065.88</v>
      </c>
      <c r="L3928" t="b">
        <f>TablaDatos[[#This Row],[FechaAlta]] &lt; TablaDatos[[#This Row],[FechaIngreso]]</f>
        <v>0</v>
      </c>
      <c r="M3928">
        <f>_xlfn.XLOOKUP(TablaDatos[[#This Row],[PacienteID]],'Datos_Ejemplo.csv'!A:A,'Datos_Ejemplo.csv'!I:I)</f>
        <v>-1</v>
      </c>
      <c r="N3928">
        <f>ABS(TablaDatos[[#This Row],[DiasOriginal]])</f>
        <v>1</v>
      </c>
      <c r="O3928" s="1">
        <f>TablaDatos[[#This Row],[FechaIngreso]]+TablaDatos[[#This Row],[DiasNuevo]]</f>
        <v>45382</v>
      </c>
    </row>
    <row r="3929" spans="1:15">
      <c r="A3929">
        <v>3928</v>
      </c>
      <c r="B3929" t="s">
        <v>255</v>
      </c>
      <c r="C3929" s="1">
        <v>28856</v>
      </c>
      <c r="D3929">
        <v>47</v>
      </c>
      <c r="E3929" s="4" t="s">
        <v>12</v>
      </c>
      <c r="F3929" t="s">
        <v>32</v>
      </c>
      <c r="G3929" s="1">
        <v>45128</v>
      </c>
      <c r="H3929" s="1">
        <f>TablaDatos[[#This Row],[FechaIngreso]]+TablaDatos[[#This Row],[DiasNuevo]]</f>
        <v>45145</v>
      </c>
      <c r="I3929">
        <v>17</v>
      </c>
      <c r="J3929" t="s">
        <v>23</v>
      </c>
      <c r="K3929" s="3">
        <v>11755.2</v>
      </c>
      <c r="L3929" t="b">
        <f>TablaDatos[[#This Row],[FechaAlta]] &lt; TablaDatos[[#This Row],[FechaIngreso]]</f>
        <v>0</v>
      </c>
      <c r="M3929">
        <f>_xlfn.XLOOKUP(TablaDatos[[#This Row],[PacienteID]],'Datos_Ejemplo.csv'!A:A,'Datos_Ejemplo.csv'!I:I)</f>
        <v>17</v>
      </c>
      <c r="N3929">
        <f>ABS(TablaDatos[[#This Row],[DiasOriginal]])</f>
        <v>17</v>
      </c>
      <c r="O3929" s="1">
        <f>TablaDatos[[#This Row],[FechaIngreso]]+TablaDatos[[#This Row],[DiasNuevo]]</f>
        <v>45145</v>
      </c>
    </row>
    <row r="3930" spans="1:15">
      <c r="A3930">
        <v>3929</v>
      </c>
      <c r="B3930" t="s">
        <v>272</v>
      </c>
      <c r="C3930" s="1">
        <v>36161</v>
      </c>
      <c r="D3930">
        <v>27</v>
      </c>
      <c r="E3930" s="4" t="s">
        <v>15</v>
      </c>
      <c r="F3930" t="s">
        <v>18</v>
      </c>
      <c r="G3930" s="1">
        <v>45378</v>
      </c>
      <c r="H3930" s="1">
        <f>TablaDatos[[#This Row],[FechaIngreso]]+TablaDatos[[#This Row],[DiasNuevo]]</f>
        <v>45391</v>
      </c>
      <c r="I3930">
        <v>13</v>
      </c>
      <c r="J3930" t="s">
        <v>19</v>
      </c>
      <c r="K3930" s="3">
        <v>7704.95</v>
      </c>
      <c r="L3930" t="b">
        <f>TablaDatos[[#This Row],[FechaAlta]] &lt; TablaDatos[[#This Row],[FechaIngreso]]</f>
        <v>0</v>
      </c>
      <c r="M3930">
        <f>_xlfn.XLOOKUP(TablaDatos[[#This Row],[PacienteID]],'Datos_Ejemplo.csv'!A:A,'Datos_Ejemplo.csv'!I:I)</f>
        <v>13</v>
      </c>
      <c r="N3930">
        <f>ABS(TablaDatos[[#This Row],[DiasOriginal]])</f>
        <v>13</v>
      </c>
      <c r="O3930" s="1">
        <f>TablaDatos[[#This Row],[FechaIngreso]]+TablaDatos[[#This Row],[DiasNuevo]]</f>
        <v>45391</v>
      </c>
    </row>
    <row r="3931" spans="1:15">
      <c r="A3931">
        <v>3930</v>
      </c>
      <c r="B3931" t="s">
        <v>358</v>
      </c>
      <c r="C3931" s="1">
        <v>31412</v>
      </c>
      <c r="D3931">
        <v>40</v>
      </c>
      <c r="E3931" s="4" t="s">
        <v>15</v>
      </c>
      <c r="F3931" t="s">
        <v>18</v>
      </c>
      <c r="G3931" s="1">
        <v>45113</v>
      </c>
      <c r="H3931" s="1">
        <f>TablaDatos[[#This Row],[FechaIngreso]]+TablaDatos[[#This Row],[DiasNuevo]]</f>
        <v>45124</v>
      </c>
      <c r="I3931">
        <v>11</v>
      </c>
      <c r="J3931" t="s">
        <v>19</v>
      </c>
      <c r="K3931" s="3">
        <v>19675.849999999999</v>
      </c>
      <c r="L3931" t="b">
        <f>TablaDatos[[#This Row],[FechaAlta]] &lt; TablaDatos[[#This Row],[FechaIngreso]]</f>
        <v>0</v>
      </c>
      <c r="M3931">
        <f>_xlfn.XLOOKUP(TablaDatos[[#This Row],[PacienteID]],'Datos_Ejemplo.csv'!A:A,'Datos_Ejemplo.csv'!I:I)</f>
        <v>11</v>
      </c>
      <c r="N3931">
        <f>ABS(TablaDatos[[#This Row],[DiasOriginal]])</f>
        <v>11</v>
      </c>
      <c r="O3931" s="1">
        <f>TablaDatos[[#This Row],[FechaIngreso]]+TablaDatos[[#This Row],[DiasNuevo]]</f>
        <v>45124</v>
      </c>
    </row>
    <row r="3932" spans="1:15">
      <c r="A3932">
        <v>3931</v>
      </c>
      <c r="B3932" t="s">
        <v>146</v>
      </c>
      <c r="C3932" s="1">
        <v>29221</v>
      </c>
      <c r="D3932">
        <v>46</v>
      </c>
      <c r="E3932" s="4" t="s">
        <v>12</v>
      </c>
      <c r="F3932" t="s">
        <v>18</v>
      </c>
      <c r="G3932" s="1">
        <v>45534</v>
      </c>
      <c r="H3932" s="1">
        <f>TablaDatos[[#This Row],[FechaIngreso]]+TablaDatos[[#This Row],[DiasNuevo]]</f>
        <v>45535</v>
      </c>
      <c r="I3932">
        <v>1</v>
      </c>
      <c r="J3932" t="s">
        <v>23</v>
      </c>
      <c r="K3932" s="3">
        <v>1231.24</v>
      </c>
      <c r="L3932" t="b">
        <f>TablaDatos[[#This Row],[FechaAlta]] &lt; TablaDatos[[#This Row],[FechaIngreso]]</f>
        <v>0</v>
      </c>
      <c r="M3932">
        <f>_xlfn.XLOOKUP(TablaDatos[[#This Row],[PacienteID]],'Datos_Ejemplo.csv'!A:A,'Datos_Ejemplo.csv'!I:I)</f>
        <v>-1</v>
      </c>
      <c r="N3932">
        <f>ABS(TablaDatos[[#This Row],[DiasOriginal]])</f>
        <v>1</v>
      </c>
      <c r="O3932" s="1">
        <f>TablaDatos[[#This Row],[FechaIngreso]]+TablaDatos[[#This Row],[DiasNuevo]]</f>
        <v>45535</v>
      </c>
    </row>
    <row r="3933" spans="1:15">
      <c r="A3933">
        <v>3932</v>
      </c>
      <c r="B3933" t="s">
        <v>162</v>
      </c>
      <c r="C3933" s="1">
        <f ca="1">DATE(YEAR(TODAY())-TablaDatos[[#This Row],[Edad]],1,1)</f>
        <v>39814</v>
      </c>
      <c r="D3933">
        <v>17</v>
      </c>
      <c r="E3933" s="4" t="s">
        <v>15</v>
      </c>
      <c r="F3933" t="s">
        <v>32</v>
      </c>
      <c r="G3933" s="1">
        <v>45650</v>
      </c>
      <c r="H3933" s="1">
        <f>TablaDatos[[#This Row],[FechaIngreso]]+TablaDatos[[#This Row],[DiasNuevo]]</f>
        <v>45663</v>
      </c>
      <c r="I3933">
        <v>13</v>
      </c>
      <c r="J3933" t="s">
        <v>19</v>
      </c>
      <c r="K3933" s="3">
        <v>11513.5</v>
      </c>
      <c r="L3933" t="b">
        <f>TablaDatos[[#This Row],[FechaAlta]] &lt; TablaDatos[[#This Row],[FechaIngreso]]</f>
        <v>0</v>
      </c>
      <c r="M3933">
        <f>_xlfn.XLOOKUP(TablaDatos[[#This Row],[PacienteID]],'Datos_Ejemplo.csv'!A:A,'Datos_Ejemplo.csv'!I:I)</f>
        <v>13</v>
      </c>
      <c r="N3933">
        <f>ABS(TablaDatos[[#This Row],[DiasOriginal]])</f>
        <v>13</v>
      </c>
      <c r="O3933" s="1">
        <f>TablaDatos[[#This Row],[FechaIngreso]]+TablaDatos[[#This Row],[DiasNuevo]]</f>
        <v>45663</v>
      </c>
    </row>
    <row r="3934" spans="1:15">
      <c r="A3934">
        <v>3933</v>
      </c>
      <c r="B3934" t="s">
        <v>243</v>
      </c>
      <c r="C3934" s="1">
        <v>17898</v>
      </c>
      <c r="D3934">
        <v>77</v>
      </c>
      <c r="E3934" s="4" t="s">
        <v>197</v>
      </c>
      <c r="F3934" t="s">
        <v>201</v>
      </c>
      <c r="G3934" s="1">
        <v>45294</v>
      </c>
      <c r="H3934" s="1">
        <f>TablaDatos[[#This Row],[FechaIngreso]]+TablaDatos[[#This Row],[DiasNuevo]]</f>
        <v>45295</v>
      </c>
      <c r="I3934">
        <v>1</v>
      </c>
      <c r="J3934" t="s">
        <v>25</v>
      </c>
      <c r="K3934" s="3">
        <v>19790.32</v>
      </c>
      <c r="L3934" t="b">
        <f>TablaDatos[[#This Row],[FechaAlta]] &lt; TablaDatos[[#This Row],[FechaIngreso]]</f>
        <v>0</v>
      </c>
      <c r="M3934">
        <f>_xlfn.XLOOKUP(TablaDatos[[#This Row],[PacienteID]],'Datos_Ejemplo.csv'!A:A,'Datos_Ejemplo.csv'!I:I)</f>
        <v>1</v>
      </c>
      <c r="N3934">
        <f>ABS(TablaDatos[[#This Row],[DiasOriginal]])</f>
        <v>1</v>
      </c>
      <c r="O3934" s="1">
        <f>TablaDatos[[#This Row],[FechaIngreso]]+TablaDatos[[#This Row],[DiasNuevo]]</f>
        <v>45295</v>
      </c>
    </row>
    <row r="3935" spans="1:15">
      <c r="A3935">
        <v>3934</v>
      </c>
      <c r="B3935" t="s">
        <v>280</v>
      </c>
      <c r="C3935" s="1">
        <v>20455</v>
      </c>
      <c r="D3935">
        <v>70</v>
      </c>
      <c r="E3935" s="4" t="s">
        <v>15</v>
      </c>
      <c r="F3935" t="s">
        <v>21</v>
      </c>
      <c r="G3935" s="1">
        <v>45266</v>
      </c>
      <c r="H3935" s="1">
        <f>TablaDatos[[#This Row],[FechaIngreso]]+TablaDatos[[#This Row],[DiasNuevo]]</f>
        <v>45276</v>
      </c>
      <c r="I3935">
        <v>10</v>
      </c>
      <c r="J3935" t="s">
        <v>19</v>
      </c>
      <c r="K3935" s="3">
        <v>13788.15</v>
      </c>
      <c r="L3935" t="b">
        <f>TablaDatos[[#This Row],[FechaAlta]] &lt; TablaDatos[[#This Row],[FechaIngreso]]</f>
        <v>0</v>
      </c>
      <c r="M3935">
        <f>_xlfn.XLOOKUP(TablaDatos[[#This Row],[PacienteID]],'Datos_Ejemplo.csv'!A:A,'Datos_Ejemplo.csv'!I:I)</f>
        <v>10</v>
      </c>
      <c r="N3935">
        <f>ABS(TablaDatos[[#This Row],[DiasOriginal]])</f>
        <v>10</v>
      </c>
      <c r="O3935" s="1">
        <f>TablaDatos[[#This Row],[FechaIngreso]]+TablaDatos[[#This Row],[DiasNuevo]]</f>
        <v>45276</v>
      </c>
    </row>
    <row r="3936" spans="1:15">
      <c r="A3936">
        <v>3935</v>
      </c>
      <c r="B3936" t="s">
        <v>136</v>
      </c>
      <c r="C3936" s="1">
        <v>41639</v>
      </c>
      <c r="D3936">
        <v>12</v>
      </c>
      <c r="E3936" s="4" t="s">
        <v>12</v>
      </c>
      <c r="F3936" t="s">
        <v>261</v>
      </c>
      <c r="G3936" s="1">
        <v>45188</v>
      </c>
      <c r="H3936" s="1">
        <f>TablaDatos[[#This Row],[FechaIngreso]]+TablaDatos[[#This Row],[DiasNuevo]]</f>
        <v>45223</v>
      </c>
      <c r="I3936">
        <v>35</v>
      </c>
      <c r="J3936" t="s">
        <v>23</v>
      </c>
      <c r="K3936" s="3">
        <v>14769.37</v>
      </c>
      <c r="L3936" t="b">
        <f>TablaDatos[[#This Row],[FechaAlta]] &lt; TablaDatos[[#This Row],[FechaIngreso]]</f>
        <v>0</v>
      </c>
      <c r="M3936">
        <f>_xlfn.XLOOKUP(TablaDatos[[#This Row],[PacienteID]],'Datos_Ejemplo.csv'!A:A,'Datos_Ejemplo.csv'!I:I)</f>
        <v>35</v>
      </c>
      <c r="N3936">
        <f>ABS(TablaDatos[[#This Row],[DiasOriginal]])</f>
        <v>35</v>
      </c>
      <c r="O3936" s="1">
        <f>TablaDatos[[#This Row],[FechaIngreso]]+TablaDatos[[#This Row],[DiasNuevo]]</f>
        <v>45223</v>
      </c>
    </row>
    <row r="3937" spans="1:15">
      <c r="A3937">
        <v>3936</v>
      </c>
      <c r="B3937" t="s">
        <v>266</v>
      </c>
      <c r="C3937" s="1">
        <v>16437</v>
      </c>
      <c r="D3937">
        <v>81</v>
      </c>
      <c r="E3937" s="4" t="s">
        <v>15</v>
      </c>
      <c r="F3937" t="s">
        <v>201</v>
      </c>
      <c r="G3937" s="1">
        <v>45515</v>
      </c>
      <c r="H3937" s="1">
        <f>TablaDatos[[#This Row],[FechaIngreso]]+TablaDatos[[#This Row],[DiasNuevo]]</f>
        <v>45517</v>
      </c>
      <c r="I3937">
        <v>2</v>
      </c>
      <c r="J3937" t="s">
        <v>23</v>
      </c>
      <c r="K3937" s="3">
        <v>545.03</v>
      </c>
      <c r="L3937" t="b">
        <f>TablaDatos[[#This Row],[FechaAlta]] &lt; TablaDatos[[#This Row],[FechaIngreso]]</f>
        <v>0</v>
      </c>
      <c r="M3937">
        <f>_xlfn.XLOOKUP(TablaDatos[[#This Row],[PacienteID]],'Datos_Ejemplo.csv'!A:A,'Datos_Ejemplo.csv'!I:I)</f>
        <v>-2</v>
      </c>
      <c r="N3937">
        <f>ABS(TablaDatos[[#This Row],[DiasOriginal]])</f>
        <v>2</v>
      </c>
      <c r="O3937" s="1">
        <f>TablaDatos[[#This Row],[FechaIngreso]]+TablaDatos[[#This Row],[DiasNuevo]]</f>
        <v>45517</v>
      </c>
    </row>
    <row r="3938" spans="1:15">
      <c r="A3938">
        <v>3937</v>
      </c>
      <c r="B3938" t="s">
        <v>355</v>
      </c>
      <c r="C3938" s="1">
        <v>41639</v>
      </c>
      <c r="D3938">
        <v>12</v>
      </c>
      <c r="E3938" s="4" t="s">
        <v>15</v>
      </c>
      <c r="F3938" t="s">
        <v>261</v>
      </c>
      <c r="G3938" s="1">
        <v>45469</v>
      </c>
      <c r="H3938" s="1">
        <f>TablaDatos[[#This Row],[FechaIngreso]]+TablaDatos[[#This Row],[DiasNuevo]]</f>
        <v>45475</v>
      </c>
      <c r="I3938">
        <v>6</v>
      </c>
      <c r="J3938" t="s">
        <v>25</v>
      </c>
      <c r="K3938" s="3">
        <v>329.4</v>
      </c>
      <c r="L3938" t="b">
        <f>TablaDatos[[#This Row],[FechaAlta]] &lt; TablaDatos[[#This Row],[FechaIngreso]]</f>
        <v>0</v>
      </c>
      <c r="M3938">
        <f>_xlfn.XLOOKUP(TablaDatos[[#This Row],[PacienteID]],'Datos_Ejemplo.csv'!A:A,'Datos_Ejemplo.csv'!I:I)</f>
        <v>6</v>
      </c>
      <c r="N3938">
        <f>ABS(TablaDatos[[#This Row],[DiasOriginal]])</f>
        <v>6</v>
      </c>
      <c r="O3938" s="1">
        <f>TablaDatos[[#This Row],[FechaIngreso]]+TablaDatos[[#This Row],[DiasNuevo]]</f>
        <v>45475</v>
      </c>
    </row>
    <row r="3939" spans="1:15">
      <c r="A3939">
        <v>3938</v>
      </c>
      <c r="B3939" t="s">
        <v>279</v>
      </c>
      <c r="C3939" s="1">
        <v>35065</v>
      </c>
      <c r="D3939">
        <v>30</v>
      </c>
      <c r="E3939" s="4" t="s">
        <v>15</v>
      </c>
      <c r="F3939" t="s">
        <v>295</v>
      </c>
      <c r="G3939" s="1">
        <v>45477</v>
      </c>
      <c r="H3939" s="1">
        <f>TablaDatos[[#This Row],[FechaIngreso]]+TablaDatos[[#This Row],[DiasNuevo]]</f>
        <v>45495</v>
      </c>
      <c r="I3939">
        <v>18</v>
      </c>
      <c r="J3939" t="s">
        <v>19</v>
      </c>
      <c r="K3939" s="3">
        <v>625.80999999999995</v>
      </c>
      <c r="L3939" t="b">
        <f>TablaDatos[[#This Row],[FechaAlta]] &lt; TablaDatos[[#This Row],[FechaIngreso]]</f>
        <v>0</v>
      </c>
      <c r="M3939">
        <f>_xlfn.XLOOKUP(TablaDatos[[#This Row],[PacienteID]],'Datos_Ejemplo.csv'!A:A,'Datos_Ejemplo.csv'!I:I)</f>
        <v>18</v>
      </c>
      <c r="N3939">
        <f>ABS(TablaDatos[[#This Row],[DiasOriginal]])</f>
        <v>18</v>
      </c>
      <c r="O3939" s="1">
        <f>TablaDatos[[#This Row],[FechaIngreso]]+TablaDatos[[#This Row],[DiasNuevo]]</f>
        <v>45495</v>
      </c>
    </row>
    <row r="3940" spans="1:15">
      <c r="A3940">
        <v>3939</v>
      </c>
      <c r="B3940" t="s">
        <v>61</v>
      </c>
      <c r="C3940" s="1">
        <v>45657</v>
      </c>
      <c r="D3940">
        <v>1</v>
      </c>
      <c r="E3940" s="4" t="s">
        <v>12</v>
      </c>
      <c r="F3940" t="s">
        <v>295</v>
      </c>
      <c r="G3940" s="1">
        <v>45232</v>
      </c>
      <c r="H3940" s="1">
        <f>TablaDatos[[#This Row],[FechaIngreso]]+TablaDatos[[#This Row],[DiasNuevo]]</f>
        <v>45247</v>
      </c>
      <c r="I3940">
        <v>15</v>
      </c>
      <c r="J3940" t="s">
        <v>25</v>
      </c>
      <c r="K3940" s="3">
        <v>19833.650000000001</v>
      </c>
      <c r="L3940" t="b">
        <f>TablaDatos[[#This Row],[FechaAlta]] &lt; TablaDatos[[#This Row],[FechaIngreso]]</f>
        <v>0</v>
      </c>
      <c r="M3940">
        <f>_xlfn.XLOOKUP(TablaDatos[[#This Row],[PacienteID]],'Datos_Ejemplo.csv'!A:A,'Datos_Ejemplo.csv'!I:I)</f>
        <v>15</v>
      </c>
      <c r="N3940">
        <f>ABS(TablaDatos[[#This Row],[DiasOriginal]])</f>
        <v>15</v>
      </c>
      <c r="O3940" s="1">
        <f>TablaDatos[[#This Row],[FechaIngreso]]+TablaDatos[[#This Row],[DiasNuevo]]</f>
        <v>45247</v>
      </c>
    </row>
    <row r="3941" spans="1:15">
      <c r="A3941">
        <v>3940</v>
      </c>
      <c r="B3941" t="s">
        <v>339</v>
      </c>
      <c r="C3941" s="1">
        <v>40544</v>
      </c>
      <c r="D3941">
        <v>15</v>
      </c>
      <c r="E3941" s="4" t="s">
        <v>15</v>
      </c>
      <c r="F3941" t="s">
        <v>18</v>
      </c>
      <c r="G3941" s="1">
        <v>45652</v>
      </c>
      <c r="H3941" s="1">
        <f>TablaDatos[[#This Row],[FechaIngreso]]+TablaDatos[[#This Row],[DiasNuevo]]</f>
        <v>45681</v>
      </c>
      <c r="I3941">
        <v>29</v>
      </c>
      <c r="J3941" t="s">
        <v>23</v>
      </c>
      <c r="K3941" s="3">
        <v>19588.349999999999</v>
      </c>
      <c r="L3941" t="b">
        <f>TablaDatos[[#This Row],[FechaAlta]] &lt; TablaDatos[[#This Row],[FechaIngreso]]</f>
        <v>0</v>
      </c>
      <c r="M3941">
        <f>_xlfn.XLOOKUP(TablaDatos[[#This Row],[PacienteID]],'Datos_Ejemplo.csv'!A:A,'Datos_Ejemplo.csv'!I:I)</f>
        <v>29</v>
      </c>
      <c r="N3941">
        <f>ABS(TablaDatos[[#This Row],[DiasOriginal]])</f>
        <v>29</v>
      </c>
      <c r="O3941" s="1">
        <f>TablaDatos[[#This Row],[FechaIngreso]]+TablaDatos[[#This Row],[DiasNuevo]]</f>
        <v>45681</v>
      </c>
    </row>
    <row r="3942" spans="1:15">
      <c r="A3942">
        <v>3941</v>
      </c>
      <c r="B3942" t="s">
        <v>358</v>
      </c>
      <c r="C3942" s="1">
        <v>43100</v>
      </c>
      <c r="D3942">
        <v>8</v>
      </c>
      <c r="E3942" s="4" t="s">
        <v>12</v>
      </c>
      <c r="F3942" t="s">
        <v>21</v>
      </c>
      <c r="G3942" s="1">
        <v>45564</v>
      </c>
      <c r="H3942" s="1">
        <f>TablaDatos[[#This Row],[FechaIngreso]]+TablaDatos[[#This Row],[DiasNuevo]]</f>
        <v>45595</v>
      </c>
      <c r="I3942">
        <v>31</v>
      </c>
      <c r="J3942" t="s">
        <v>19</v>
      </c>
      <c r="K3942" s="3">
        <v>6623.63</v>
      </c>
      <c r="L3942" t="b">
        <f>TablaDatos[[#This Row],[FechaAlta]] &lt; TablaDatos[[#This Row],[FechaIngreso]]</f>
        <v>0</v>
      </c>
      <c r="M3942">
        <f>_xlfn.XLOOKUP(TablaDatos[[#This Row],[PacienteID]],'Datos_Ejemplo.csv'!A:A,'Datos_Ejemplo.csv'!I:I)</f>
        <v>31</v>
      </c>
      <c r="N3942">
        <f>ABS(TablaDatos[[#This Row],[DiasOriginal]])</f>
        <v>31</v>
      </c>
      <c r="O3942" s="1">
        <f>TablaDatos[[#This Row],[FechaIngreso]]+TablaDatos[[#This Row],[DiasNuevo]]</f>
        <v>45595</v>
      </c>
    </row>
    <row r="3943" spans="1:15">
      <c r="A3943">
        <v>3942</v>
      </c>
      <c r="B3943" t="s">
        <v>363</v>
      </c>
      <c r="C3943" s="1">
        <v>19724</v>
      </c>
      <c r="D3943">
        <v>72</v>
      </c>
      <c r="E3943" s="4" t="s">
        <v>15</v>
      </c>
      <c r="F3943" t="s">
        <v>21</v>
      </c>
      <c r="G3943" s="1">
        <v>45091</v>
      </c>
      <c r="H3943" s="1">
        <f>TablaDatos[[#This Row],[FechaIngreso]]+TablaDatos[[#This Row],[DiasNuevo]]</f>
        <v>45108</v>
      </c>
      <c r="I3943">
        <v>17</v>
      </c>
      <c r="J3943" t="s">
        <v>25</v>
      </c>
      <c r="K3943" s="3">
        <v>5748.73</v>
      </c>
      <c r="L3943" t="b">
        <f>TablaDatos[[#This Row],[FechaAlta]] &lt; TablaDatos[[#This Row],[FechaIngreso]]</f>
        <v>0</v>
      </c>
      <c r="M3943">
        <f>_xlfn.XLOOKUP(TablaDatos[[#This Row],[PacienteID]],'Datos_Ejemplo.csv'!A:A,'Datos_Ejemplo.csv'!I:I)</f>
        <v>17</v>
      </c>
      <c r="N3943">
        <f>ABS(TablaDatos[[#This Row],[DiasOriginal]])</f>
        <v>17</v>
      </c>
      <c r="O3943" s="1">
        <f>TablaDatos[[#This Row],[FechaIngreso]]+TablaDatos[[#This Row],[DiasNuevo]]</f>
        <v>45108</v>
      </c>
    </row>
    <row r="3944" spans="1:15">
      <c r="A3944">
        <v>3943</v>
      </c>
      <c r="B3944" t="s">
        <v>346</v>
      </c>
      <c r="C3944" s="1">
        <v>32508</v>
      </c>
      <c r="D3944">
        <v>37</v>
      </c>
      <c r="E3944" s="4" t="s">
        <v>15</v>
      </c>
      <c r="F3944" t="s">
        <v>13</v>
      </c>
      <c r="G3944" s="1">
        <v>45547</v>
      </c>
      <c r="H3944" s="1">
        <f>TablaDatos[[#This Row],[FechaIngreso]]+TablaDatos[[#This Row],[DiasNuevo]]</f>
        <v>45548</v>
      </c>
      <c r="I3944">
        <v>1</v>
      </c>
      <c r="J3944" t="s">
        <v>23</v>
      </c>
      <c r="K3944" s="3">
        <v>2833.77</v>
      </c>
      <c r="L3944" t="b">
        <f>TablaDatos[[#This Row],[FechaAlta]] &lt; TablaDatos[[#This Row],[FechaIngreso]]</f>
        <v>0</v>
      </c>
      <c r="M3944">
        <f>_xlfn.XLOOKUP(TablaDatos[[#This Row],[PacienteID]],'Datos_Ejemplo.csv'!A:A,'Datos_Ejemplo.csv'!I:I)</f>
        <v>-1</v>
      </c>
      <c r="N3944">
        <f>ABS(TablaDatos[[#This Row],[DiasOriginal]])</f>
        <v>1</v>
      </c>
      <c r="O3944" s="1">
        <f>TablaDatos[[#This Row],[FechaIngreso]]+TablaDatos[[#This Row],[DiasNuevo]]</f>
        <v>45548</v>
      </c>
    </row>
    <row r="3945" spans="1:15">
      <c r="A3945">
        <v>3944</v>
      </c>
      <c r="B3945" t="s">
        <v>367</v>
      </c>
      <c r="C3945" s="1">
        <v>18994</v>
      </c>
      <c r="D3945">
        <v>74</v>
      </c>
      <c r="E3945" s="4" t="s">
        <v>15</v>
      </c>
      <c r="F3945" t="s">
        <v>13</v>
      </c>
      <c r="G3945" s="1">
        <v>45014</v>
      </c>
      <c r="H3945" s="1">
        <f>TablaDatos[[#This Row],[FechaIngreso]]+TablaDatos[[#This Row],[DiasNuevo]]</f>
        <v>45015</v>
      </c>
      <c r="I3945">
        <v>1</v>
      </c>
      <c r="J3945" t="s">
        <v>23</v>
      </c>
      <c r="K3945" s="3">
        <v>6515.72</v>
      </c>
      <c r="L3945" t="b">
        <f>TablaDatos[[#This Row],[FechaAlta]] &lt; TablaDatos[[#This Row],[FechaIngreso]]</f>
        <v>0</v>
      </c>
      <c r="M3945">
        <f>_xlfn.XLOOKUP(TablaDatos[[#This Row],[PacienteID]],'Datos_Ejemplo.csv'!A:A,'Datos_Ejemplo.csv'!I:I)</f>
        <v>1</v>
      </c>
      <c r="N3945">
        <f>ABS(TablaDatos[[#This Row],[DiasOriginal]])</f>
        <v>1</v>
      </c>
      <c r="O3945" s="1">
        <f>TablaDatos[[#This Row],[FechaIngreso]]+TablaDatos[[#This Row],[DiasNuevo]]</f>
        <v>45015</v>
      </c>
    </row>
    <row r="3946" spans="1:15">
      <c r="A3946">
        <v>3945</v>
      </c>
      <c r="B3946" t="s">
        <v>276</v>
      </c>
      <c r="C3946" s="1">
        <v>26664</v>
      </c>
      <c r="D3946">
        <v>53</v>
      </c>
      <c r="E3946" s="4" t="s">
        <v>15</v>
      </c>
      <c r="F3946" t="s">
        <v>201</v>
      </c>
      <c r="G3946" s="1">
        <v>45126</v>
      </c>
      <c r="H3946" s="1">
        <f>TablaDatos[[#This Row],[FechaIngreso]]+TablaDatos[[#This Row],[DiasNuevo]]</f>
        <v>45161</v>
      </c>
      <c r="I3946">
        <v>35</v>
      </c>
      <c r="J3946" t="s">
        <v>23</v>
      </c>
      <c r="K3946" s="3">
        <v>7340.01</v>
      </c>
      <c r="L3946" t="b">
        <f>TablaDatos[[#This Row],[FechaAlta]] &lt; TablaDatos[[#This Row],[FechaIngreso]]</f>
        <v>0</v>
      </c>
      <c r="M3946">
        <f>_xlfn.XLOOKUP(TablaDatos[[#This Row],[PacienteID]],'Datos_Ejemplo.csv'!A:A,'Datos_Ejemplo.csv'!I:I)</f>
        <v>35</v>
      </c>
      <c r="N3946">
        <f>ABS(TablaDatos[[#This Row],[DiasOriginal]])</f>
        <v>35</v>
      </c>
      <c r="O3946" s="1">
        <f>TablaDatos[[#This Row],[FechaIngreso]]+TablaDatos[[#This Row],[DiasNuevo]]</f>
        <v>45161</v>
      </c>
    </row>
    <row r="3947" spans="1:15">
      <c r="A3947">
        <v>3946</v>
      </c>
      <c r="B3947" t="s">
        <v>161</v>
      </c>
      <c r="C3947" s="1">
        <v>25934</v>
      </c>
      <c r="D3947">
        <v>55</v>
      </c>
      <c r="E3947" s="4" t="s">
        <v>12</v>
      </c>
      <c r="F3947" t="s">
        <v>32</v>
      </c>
      <c r="G3947" s="1">
        <v>45197</v>
      </c>
      <c r="H3947" s="1">
        <f>TablaDatos[[#This Row],[FechaIngreso]]+TablaDatos[[#This Row],[DiasNuevo]]</f>
        <v>45201</v>
      </c>
      <c r="I3947">
        <v>4</v>
      </c>
      <c r="J3947" t="s">
        <v>23</v>
      </c>
      <c r="K3947" s="3">
        <v>14940.48</v>
      </c>
      <c r="L3947" t="b">
        <f>TablaDatos[[#This Row],[FechaAlta]] &lt; TablaDatos[[#This Row],[FechaIngreso]]</f>
        <v>0</v>
      </c>
      <c r="M3947">
        <f>_xlfn.XLOOKUP(TablaDatos[[#This Row],[PacienteID]],'Datos_Ejemplo.csv'!A:A,'Datos_Ejemplo.csv'!I:I)</f>
        <v>4</v>
      </c>
      <c r="N3947">
        <f>ABS(TablaDatos[[#This Row],[DiasOriginal]])</f>
        <v>4</v>
      </c>
      <c r="O3947" s="1">
        <f>TablaDatos[[#This Row],[FechaIngreso]]+TablaDatos[[#This Row],[DiasNuevo]]</f>
        <v>45201</v>
      </c>
    </row>
    <row r="3948" spans="1:15">
      <c r="A3948">
        <v>3947</v>
      </c>
      <c r="B3948" t="s">
        <v>296</v>
      </c>
      <c r="C3948" s="1">
        <v>14976</v>
      </c>
      <c r="D3948">
        <v>85</v>
      </c>
      <c r="E3948" s="4" t="s">
        <v>12</v>
      </c>
      <c r="F3948" t="s">
        <v>13</v>
      </c>
      <c r="G3948" s="1">
        <v>44977</v>
      </c>
      <c r="H3948" s="1">
        <f>TablaDatos[[#This Row],[FechaIngreso]]+TablaDatos[[#This Row],[DiasNuevo]]</f>
        <v>44996</v>
      </c>
      <c r="I3948">
        <v>19</v>
      </c>
      <c r="J3948" t="s">
        <v>23</v>
      </c>
      <c r="K3948" s="3">
        <v>17312.5</v>
      </c>
      <c r="L3948" t="b">
        <f>TablaDatos[[#This Row],[FechaAlta]] &lt; TablaDatos[[#This Row],[FechaIngreso]]</f>
        <v>0</v>
      </c>
      <c r="M3948">
        <f>_xlfn.XLOOKUP(TablaDatos[[#This Row],[PacienteID]],'Datos_Ejemplo.csv'!A:A,'Datos_Ejemplo.csv'!I:I)</f>
        <v>19</v>
      </c>
      <c r="N3948">
        <f>ABS(TablaDatos[[#This Row],[DiasOriginal]])</f>
        <v>19</v>
      </c>
      <c r="O3948" s="1">
        <f>TablaDatos[[#This Row],[FechaIngreso]]+TablaDatos[[#This Row],[DiasNuevo]]</f>
        <v>44996</v>
      </c>
    </row>
    <row r="3949" spans="1:15">
      <c r="A3949">
        <v>3948</v>
      </c>
      <c r="B3949" t="s">
        <v>264</v>
      </c>
      <c r="C3949" s="1">
        <f ca="1">DATE(YEAR(TODAY())-TablaDatos[[#This Row],[Edad]],1,1)</f>
        <v>14611</v>
      </c>
      <c r="D3949">
        <v>86</v>
      </c>
      <c r="E3949" s="4" t="s">
        <v>15</v>
      </c>
      <c r="F3949" t="s">
        <v>201</v>
      </c>
      <c r="G3949" s="1">
        <v>45415</v>
      </c>
      <c r="H3949" s="1">
        <f>TablaDatos[[#This Row],[FechaIngreso]]+TablaDatos[[#This Row],[DiasNuevo]]</f>
        <v>45432</v>
      </c>
      <c r="I3949">
        <v>17</v>
      </c>
      <c r="J3949" t="s">
        <v>19</v>
      </c>
      <c r="K3949" s="3">
        <v>14909.38</v>
      </c>
      <c r="L3949" t="b">
        <f>TablaDatos[[#This Row],[FechaAlta]] &lt; TablaDatos[[#This Row],[FechaIngreso]]</f>
        <v>0</v>
      </c>
      <c r="M3949">
        <f>_xlfn.XLOOKUP(TablaDatos[[#This Row],[PacienteID]],'Datos_Ejemplo.csv'!A:A,'Datos_Ejemplo.csv'!I:I)</f>
        <v>17</v>
      </c>
      <c r="N3949">
        <f>ABS(TablaDatos[[#This Row],[DiasOriginal]])</f>
        <v>17</v>
      </c>
      <c r="O3949" s="1">
        <f>TablaDatos[[#This Row],[FechaIngreso]]+TablaDatos[[#This Row],[DiasNuevo]]</f>
        <v>45432</v>
      </c>
    </row>
    <row r="3950" spans="1:15">
      <c r="A3950">
        <v>3949</v>
      </c>
      <c r="B3950" t="s">
        <v>272</v>
      </c>
      <c r="C3950" s="1">
        <v>29951</v>
      </c>
      <c r="D3950">
        <v>44</v>
      </c>
      <c r="E3950" s="4" t="s">
        <v>12</v>
      </c>
      <c r="F3950" t="s">
        <v>261</v>
      </c>
      <c r="G3950" s="1">
        <v>45124</v>
      </c>
      <c r="H3950" s="1">
        <f>TablaDatos[[#This Row],[FechaIngreso]]+TablaDatos[[#This Row],[DiasNuevo]]</f>
        <v>45156</v>
      </c>
      <c r="I3950">
        <v>32</v>
      </c>
      <c r="J3950" t="s">
        <v>23</v>
      </c>
      <c r="K3950" s="3">
        <v>12894.15</v>
      </c>
      <c r="L3950" t="b">
        <f>TablaDatos[[#This Row],[FechaAlta]] &lt; TablaDatos[[#This Row],[FechaIngreso]]</f>
        <v>0</v>
      </c>
      <c r="M3950">
        <f>_xlfn.XLOOKUP(TablaDatos[[#This Row],[PacienteID]],'Datos_Ejemplo.csv'!A:A,'Datos_Ejemplo.csv'!I:I)</f>
        <v>32</v>
      </c>
      <c r="N3950">
        <f>ABS(TablaDatos[[#This Row],[DiasOriginal]])</f>
        <v>32</v>
      </c>
      <c r="O3950" s="1">
        <f>TablaDatos[[#This Row],[FechaIngreso]]+TablaDatos[[#This Row],[DiasNuevo]]</f>
        <v>45156</v>
      </c>
    </row>
    <row r="3951" spans="1:15">
      <c r="A3951">
        <v>3950</v>
      </c>
      <c r="B3951" t="s">
        <v>337</v>
      </c>
      <c r="C3951" s="1">
        <v>33969</v>
      </c>
      <c r="D3951">
        <v>33</v>
      </c>
      <c r="E3951" s="4" t="s">
        <v>12</v>
      </c>
      <c r="F3951" t="s">
        <v>261</v>
      </c>
      <c r="G3951" s="1">
        <v>44949</v>
      </c>
      <c r="H3951" s="1">
        <f>TablaDatos[[#This Row],[FechaIngreso]]+TablaDatos[[#This Row],[DiasNuevo]]</f>
        <v>44950</v>
      </c>
      <c r="I3951">
        <v>1</v>
      </c>
      <c r="J3951" t="s">
        <v>19</v>
      </c>
      <c r="K3951" s="3">
        <v>15294.59</v>
      </c>
      <c r="L3951" t="b">
        <f>TablaDatos[[#This Row],[FechaAlta]] &lt; TablaDatos[[#This Row],[FechaIngreso]]</f>
        <v>0</v>
      </c>
      <c r="M3951">
        <f>_xlfn.XLOOKUP(TablaDatos[[#This Row],[PacienteID]],'Datos_Ejemplo.csv'!A:A,'Datos_Ejemplo.csv'!I:I)</f>
        <v>1</v>
      </c>
      <c r="N3951">
        <f>ABS(TablaDatos[[#This Row],[DiasOriginal]])</f>
        <v>1</v>
      </c>
      <c r="O3951" s="1">
        <f>TablaDatos[[#This Row],[FechaIngreso]]+TablaDatos[[#This Row],[DiasNuevo]]</f>
        <v>44950</v>
      </c>
    </row>
    <row r="3952" spans="1:15">
      <c r="A3952">
        <v>3951</v>
      </c>
      <c r="B3952" t="s">
        <v>282</v>
      </c>
      <c r="C3952" s="1">
        <v>43100</v>
      </c>
      <c r="D3952">
        <v>8</v>
      </c>
      <c r="E3952" s="4" t="s">
        <v>15</v>
      </c>
      <c r="F3952" t="s">
        <v>201</v>
      </c>
      <c r="G3952" s="1">
        <v>45591</v>
      </c>
      <c r="H3952" s="1">
        <f>TablaDatos[[#This Row],[FechaIngreso]]+TablaDatos[[#This Row],[DiasNuevo]]</f>
        <v>45608</v>
      </c>
      <c r="I3952">
        <v>17</v>
      </c>
      <c r="J3952" t="s">
        <v>25</v>
      </c>
      <c r="K3952" s="3">
        <v>14743.8</v>
      </c>
      <c r="L3952" t="b">
        <f>TablaDatos[[#This Row],[FechaAlta]] &lt; TablaDatos[[#This Row],[FechaIngreso]]</f>
        <v>0</v>
      </c>
      <c r="M3952">
        <f>_xlfn.XLOOKUP(TablaDatos[[#This Row],[PacienteID]],'Datos_Ejemplo.csv'!A:A,'Datos_Ejemplo.csv'!I:I)</f>
        <v>17</v>
      </c>
      <c r="N3952">
        <f>ABS(TablaDatos[[#This Row],[DiasOriginal]])</f>
        <v>17</v>
      </c>
      <c r="O3952" s="1">
        <f>TablaDatos[[#This Row],[FechaIngreso]]+TablaDatos[[#This Row],[DiasNuevo]]</f>
        <v>45608</v>
      </c>
    </row>
    <row r="3953" spans="1:15">
      <c r="A3953">
        <v>3952</v>
      </c>
      <c r="B3953" t="s">
        <v>102</v>
      </c>
      <c r="C3953" s="1">
        <v>14246</v>
      </c>
      <c r="D3953">
        <f ca="1">DATEDIF(TablaDatos[[#This Row],[FechaNacimiento]],TODAY(),"Y")</f>
        <v>87</v>
      </c>
      <c r="E3953" s="4" t="s">
        <v>15</v>
      </c>
      <c r="F3953" t="s">
        <v>32</v>
      </c>
      <c r="G3953" s="1">
        <v>45149</v>
      </c>
      <c r="H3953" s="1">
        <f>TablaDatos[[#This Row],[FechaIngreso]]+TablaDatos[[#This Row],[DiasNuevo]]</f>
        <v>45181</v>
      </c>
      <c r="I3953">
        <v>32</v>
      </c>
      <c r="J3953" t="s">
        <v>23</v>
      </c>
      <c r="K3953" s="3">
        <v>9462.57</v>
      </c>
      <c r="L3953" t="b">
        <f>TablaDatos[[#This Row],[FechaAlta]] &lt; TablaDatos[[#This Row],[FechaIngreso]]</f>
        <v>0</v>
      </c>
      <c r="M3953">
        <f>_xlfn.XLOOKUP(TablaDatos[[#This Row],[PacienteID]],'Datos_Ejemplo.csv'!A:A,'Datos_Ejemplo.csv'!I:I)</f>
        <v>32</v>
      </c>
      <c r="N3953">
        <f>ABS(TablaDatos[[#This Row],[DiasOriginal]])</f>
        <v>32</v>
      </c>
      <c r="O3953" s="1">
        <f>TablaDatos[[#This Row],[FechaIngreso]]+TablaDatos[[#This Row],[DiasNuevo]]</f>
        <v>45181</v>
      </c>
    </row>
    <row r="3954" spans="1:15">
      <c r="A3954">
        <v>3953</v>
      </c>
      <c r="B3954" t="s">
        <v>246</v>
      </c>
      <c r="C3954" s="1">
        <v>43466</v>
      </c>
      <c r="D3954">
        <v>7</v>
      </c>
      <c r="E3954" s="4" t="s">
        <v>12</v>
      </c>
      <c r="F3954" t="s">
        <v>295</v>
      </c>
      <c r="G3954" s="1">
        <v>45147</v>
      </c>
      <c r="H3954" s="1">
        <f>TablaDatos[[#This Row],[FechaIngreso]]+TablaDatos[[#This Row],[DiasNuevo]]</f>
        <v>45177</v>
      </c>
      <c r="I3954">
        <v>30</v>
      </c>
      <c r="J3954" t="s">
        <v>25</v>
      </c>
      <c r="K3954" s="3">
        <v>6650.61</v>
      </c>
      <c r="L3954" t="b">
        <f>TablaDatos[[#This Row],[FechaAlta]] &lt; TablaDatos[[#This Row],[FechaIngreso]]</f>
        <v>0</v>
      </c>
      <c r="M3954">
        <f>_xlfn.XLOOKUP(TablaDatos[[#This Row],[PacienteID]],'Datos_Ejemplo.csv'!A:A,'Datos_Ejemplo.csv'!I:I)</f>
        <v>30</v>
      </c>
      <c r="N3954">
        <f>ABS(TablaDatos[[#This Row],[DiasOriginal]])</f>
        <v>30</v>
      </c>
      <c r="O3954" s="1">
        <f>TablaDatos[[#This Row],[FechaIngreso]]+TablaDatos[[#This Row],[DiasNuevo]]</f>
        <v>45177</v>
      </c>
    </row>
    <row r="3955" spans="1:15">
      <c r="A3955">
        <v>3954</v>
      </c>
      <c r="B3955" t="s">
        <v>269</v>
      </c>
      <c r="C3955" s="1">
        <v>43831</v>
      </c>
      <c r="D3955">
        <v>6</v>
      </c>
      <c r="E3955" s="4" t="s">
        <v>15</v>
      </c>
      <c r="F3955" t="s">
        <v>18</v>
      </c>
      <c r="G3955" s="1">
        <v>45589</v>
      </c>
      <c r="H3955" s="1">
        <f>TablaDatos[[#This Row],[FechaIngreso]]+TablaDatos[[#This Row],[DiasNuevo]]</f>
        <v>45607</v>
      </c>
      <c r="I3955">
        <v>18</v>
      </c>
      <c r="J3955" t="s">
        <v>23</v>
      </c>
      <c r="K3955" s="3">
        <v>5583.89</v>
      </c>
      <c r="L3955" t="b">
        <f>TablaDatos[[#This Row],[FechaAlta]] &lt; TablaDatos[[#This Row],[FechaIngreso]]</f>
        <v>0</v>
      </c>
      <c r="M3955">
        <f>_xlfn.XLOOKUP(TablaDatos[[#This Row],[PacienteID]],'Datos_Ejemplo.csv'!A:A,'Datos_Ejemplo.csv'!I:I)</f>
        <v>18</v>
      </c>
      <c r="N3955">
        <f>ABS(TablaDatos[[#This Row],[DiasOriginal]])</f>
        <v>18</v>
      </c>
      <c r="O3955" s="1">
        <f>TablaDatos[[#This Row],[FechaIngreso]]+TablaDatos[[#This Row],[DiasNuevo]]</f>
        <v>45607</v>
      </c>
    </row>
    <row r="3956" spans="1:15">
      <c r="A3956">
        <v>3955</v>
      </c>
      <c r="B3956" t="s">
        <v>303</v>
      </c>
      <c r="C3956" s="1">
        <v>33239</v>
      </c>
      <c r="D3956">
        <v>35</v>
      </c>
      <c r="E3956" s="4" t="s">
        <v>15</v>
      </c>
      <c r="F3956" t="s">
        <v>21</v>
      </c>
      <c r="G3956" s="1">
        <v>45192</v>
      </c>
      <c r="H3956" s="1">
        <f>TablaDatos[[#This Row],[FechaIngreso]]+TablaDatos[[#This Row],[DiasNuevo]]</f>
        <v>45203</v>
      </c>
      <c r="I3956">
        <v>11</v>
      </c>
      <c r="J3956" t="s">
        <v>23</v>
      </c>
      <c r="K3956" s="3">
        <v>13555.04</v>
      </c>
      <c r="L3956" t="b">
        <f>TablaDatos[[#This Row],[FechaAlta]] &lt; TablaDatos[[#This Row],[FechaIngreso]]</f>
        <v>0</v>
      </c>
      <c r="M3956">
        <f>_xlfn.XLOOKUP(TablaDatos[[#This Row],[PacienteID]],'Datos_Ejemplo.csv'!A:A,'Datos_Ejemplo.csv'!I:I)</f>
        <v>11</v>
      </c>
      <c r="N3956">
        <f>ABS(TablaDatos[[#This Row],[DiasOriginal]])</f>
        <v>11</v>
      </c>
      <c r="O3956" s="1">
        <f>TablaDatos[[#This Row],[FechaIngreso]]+TablaDatos[[#This Row],[DiasNuevo]]</f>
        <v>45203</v>
      </c>
    </row>
    <row r="3957" spans="1:15">
      <c r="A3957">
        <v>3956</v>
      </c>
      <c r="B3957" t="s">
        <v>270</v>
      </c>
      <c r="C3957" s="1">
        <v>39813</v>
      </c>
      <c r="D3957">
        <v>17</v>
      </c>
      <c r="E3957" s="4" t="s">
        <v>15</v>
      </c>
      <c r="F3957" t="s">
        <v>295</v>
      </c>
      <c r="G3957" s="1">
        <v>44999</v>
      </c>
      <c r="H3957" s="1">
        <f>TablaDatos[[#This Row],[FechaIngreso]]+TablaDatos[[#This Row],[DiasNuevo]]</f>
        <v>45027</v>
      </c>
      <c r="I3957">
        <v>28</v>
      </c>
      <c r="J3957" t="s">
        <v>25</v>
      </c>
      <c r="K3957" s="3">
        <v>19182.009999999998</v>
      </c>
      <c r="L3957" t="b">
        <f>TablaDatos[[#This Row],[FechaAlta]] &lt; TablaDatos[[#This Row],[FechaIngreso]]</f>
        <v>0</v>
      </c>
      <c r="M3957">
        <f>_xlfn.XLOOKUP(TablaDatos[[#This Row],[PacienteID]],'Datos_Ejemplo.csv'!A:A,'Datos_Ejemplo.csv'!I:I)</f>
        <v>28</v>
      </c>
      <c r="N3957">
        <f>ABS(TablaDatos[[#This Row],[DiasOriginal]])</f>
        <v>28</v>
      </c>
      <c r="O3957" s="1">
        <f>TablaDatos[[#This Row],[FechaIngreso]]+TablaDatos[[#This Row],[DiasNuevo]]</f>
        <v>45027</v>
      </c>
    </row>
    <row r="3958" spans="1:15">
      <c r="A3958">
        <v>3957</v>
      </c>
      <c r="B3958" t="s">
        <v>39</v>
      </c>
      <c r="C3958" s="1">
        <v>45292</v>
      </c>
      <c r="D3958">
        <v>2</v>
      </c>
      <c r="E3958" s="4" t="s">
        <v>12</v>
      </c>
      <c r="F3958" t="s">
        <v>201</v>
      </c>
      <c r="G3958" s="1">
        <v>45003</v>
      </c>
      <c r="H3958" s="1">
        <f>TablaDatos[[#This Row],[FechaIngreso]]+TablaDatos[[#This Row],[DiasNuevo]]</f>
        <v>45022</v>
      </c>
      <c r="I3958">
        <v>19</v>
      </c>
      <c r="J3958" t="s">
        <v>25</v>
      </c>
      <c r="K3958" s="3">
        <v>11579.2</v>
      </c>
      <c r="L3958" t="b">
        <f>TablaDatos[[#This Row],[FechaAlta]] &lt; TablaDatos[[#This Row],[FechaIngreso]]</f>
        <v>0</v>
      </c>
      <c r="M3958">
        <f>_xlfn.XLOOKUP(TablaDatos[[#This Row],[PacienteID]],'Datos_Ejemplo.csv'!A:A,'Datos_Ejemplo.csv'!I:I)</f>
        <v>19</v>
      </c>
      <c r="N3958">
        <f>ABS(TablaDatos[[#This Row],[DiasOriginal]])</f>
        <v>19</v>
      </c>
      <c r="O3958" s="1">
        <f>TablaDatos[[#This Row],[FechaIngreso]]+TablaDatos[[#This Row],[DiasNuevo]]</f>
        <v>45022</v>
      </c>
    </row>
    <row r="3959" spans="1:15">
      <c r="A3959">
        <v>3958</v>
      </c>
      <c r="B3959" t="s">
        <v>305</v>
      </c>
      <c r="C3959" s="1">
        <v>36161</v>
      </c>
      <c r="D3959">
        <v>27</v>
      </c>
      <c r="E3959" s="4" t="s">
        <v>15</v>
      </c>
      <c r="F3959" t="s">
        <v>261</v>
      </c>
      <c r="G3959" s="1">
        <v>45470</v>
      </c>
      <c r="H3959" s="1">
        <f>TablaDatos[[#This Row],[FechaIngreso]]+TablaDatos[[#This Row],[DiasNuevo]]</f>
        <v>45497</v>
      </c>
      <c r="I3959">
        <v>27</v>
      </c>
      <c r="J3959" t="s">
        <v>23</v>
      </c>
      <c r="K3959" s="3">
        <v>18241.78</v>
      </c>
      <c r="L3959" t="b">
        <f>TablaDatos[[#This Row],[FechaAlta]] &lt; TablaDatos[[#This Row],[FechaIngreso]]</f>
        <v>0</v>
      </c>
      <c r="M3959">
        <f>_xlfn.XLOOKUP(TablaDatos[[#This Row],[PacienteID]],'Datos_Ejemplo.csv'!A:A,'Datos_Ejemplo.csv'!I:I)</f>
        <v>27</v>
      </c>
      <c r="N3959">
        <f>ABS(TablaDatos[[#This Row],[DiasOriginal]])</f>
        <v>27</v>
      </c>
      <c r="O3959" s="1">
        <f>TablaDatos[[#This Row],[FechaIngreso]]+TablaDatos[[#This Row],[DiasNuevo]]</f>
        <v>45497</v>
      </c>
    </row>
    <row r="3960" spans="1:15">
      <c r="A3960">
        <v>3959</v>
      </c>
      <c r="B3960" t="s">
        <v>303</v>
      </c>
      <c r="C3960" s="1">
        <v>20820</v>
      </c>
      <c r="D3960">
        <v>69</v>
      </c>
      <c r="E3960" s="4" t="s">
        <v>15</v>
      </c>
      <c r="F3960" t="s">
        <v>295</v>
      </c>
      <c r="G3960" s="1">
        <v>45361</v>
      </c>
      <c r="H3960" s="1">
        <f>TablaDatos[[#This Row],[FechaIngreso]]+TablaDatos[[#This Row],[DiasNuevo]]</f>
        <v>45387</v>
      </c>
      <c r="I3960">
        <v>26</v>
      </c>
      <c r="J3960" t="s">
        <v>25</v>
      </c>
      <c r="K3960" s="3">
        <v>186.01</v>
      </c>
      <c r="L3960" t="b">
        <f>TablaDatos[[#This Row],[FechaAlta]] &lt; TablaDatos[[#This Row],[FechaIngreso]]</f>
        <v>0</v>
      </c>
      <c r="M3960">
        <f>_xlfn.XLOOKUP(TablaDatos[[#This Row],[PacienteID]],'Datos_Ejemplo.csv'!A:A,'Datos_Ejemplo.csv'!I:I)</f>
        <v>26</v>
      </c>
      <c r="N3960">
        <f>ABS(TablaDatos[[#This Row],[DiasOriginal]])</f>
        <v>26</v>
      </c>
      <c r="O3960" s="1">
        <f>TablaDatos[[#This Row],[FechaIngreso]]+TablaDatos[[#This Row],[DiasNuevo]]</f>
        <v>45387</v>
      </c>
    </row>
    <row r="3961" spans="1:15">
      <c r="A3961">
        <v>3960</v>
      </c>
      <c r="B3961" t="s">
        <v>345</v>
      </c>
      <c r="C3961" s="1">
        <v>30317</v>
      </c>
      <c r="D3961">
        <v>43</v>
      </c>
      <c r="E3961" s="4" t="s">
        <v>15</v>
      </c>
      <c r="F3961" t="s">
        <v>32</v>
      </c>
      <c r="G3961" s="1">
        <v>44991</v>
      </c>
      <c r="H3961" s="1">
        <f>TablaDatos[[#This Row],[FechaIngreso]]+TablaDatos[[#This Row],[DiasNuevo]]</f>
        <v>45024</v>
      </c>
      <c r="I3961">
        <v>33</v>
      </c>
      <c r="J3961" t="s">
        <v>19</v>
      </c>
      <c r="K3961" s="3">
        <v>15868.86</v>
      </c>
      <c r="L3961" t="b">
        <f>TablaDatos[[#This Row],[FechaAlta]] &lt; TablaDatos[[#This Row],[FechaIngreso]]</f>
        <v>0</v>
      </c>
      <c r="M3961">
        <f>_xlfn.XLOOKUP(TablaDatos[[#This Row],[PacienteID]],'Datos_Ejemplo.csv'!A:A,'Datos_Ejemplo.csv'!I:I)</f>
        <v>33</v>
      </c>
      <c r="N3961">
        <f>ABS(TablaDatos[[#This Row],[DiasOriginal]])</f>
        <v>33</v>
      </c>
      <c r="O3961" s="1">
        <f>TablaDatos[[#This Row],[FechaIngreso]]+TablaDatos[[#This Row],[DiasNuevo]]</f>
        <v>45024</v>
      </c>
    </row>
    <row r="3962" spans="1:15">
      <c r="A3962">
        <v>3961</v>
      </c>
      <c r="B3962" t="s">
        <v>111</v>
      </c>
      <c r="C3962" s="1">
        <v>38717</v>
      </c>
      <c r="D3962">
        <v>20</v>
      </c>
      <c r="E3962" s="4" t="s">
        <v>15</v>
      </c>
      <c r="F3962" t="s">
        <v>18</v>
      </c>
      <c r="G3962" s="1">
        <v>45283</v>
      </c>
      <c r="H3962" s="1">
        <f>TablaDatos[[#This Row],[FechaIngreso]]+TablaDatos[[#This Row],[DiasNuevo]]</f>
        <v>45322</v>
      </c>
      <c r="I3962">
        <v>39</v>
      </c>
      <c r="J3962" t="s">
        <v>23</v>
      </c>
      <c r="K3962" s="3">
        <v>17057.41</v>
      </c>
      <c r="L3962" t="b">
        <f>TablaDatos[[#This Row],[FechaAlta]] &lt; TablaDatos[[#This Row],[FechaIngreso]]</f>
        <v>0</v>
      </c>
      <c r="M3962">
        <f>_xlfn.XLOOKUP(TablaDatos[[#This Row],[PacienteID]],'Datos_Ejemplo.csv'!A:A,'Datos_Ejemplo.csv'!I:I)</f>
        <v>39</v>
      </c>
      <c r="N3962">
        <f>ABS(TablaDatos[[#This Row],[DiasOriginal]])</f>
        <v>39</v>
      </c>
      <c r="O3962" s="1">
        <f>TablaDatos[[#This Row],[FechaIngreso]]+TablaDatos[[#This Row],[DiasNuevo]]</f>
        <v>45322</v>
      </c>
    </row>
    <row r="3963" spans="1:15">
      <c r="A3963">
        <v>3962</v>
      </c>
      <c r="B3963" t="s">
        <v>260</v>
      </c>
      <c r="C3963" s="1">
        <v>36161</v>
      </c>
      <c r="D3963">
        <v>27</v>
      </c>
      <c r="E3963" s="4" t="s">
        <v>15</v>
      </c>
      <c r="F3963" t="s">
        <v>261</v>
      </c>
      <c r="G3963" s="1">
        <v>44944</v>
      </c>
      <c r="H3963" s="1">
        <f>TablaDatos[[#This Row],[FechaIngreso]]+TablaDatos[[#This Row],[DiasNuevo]]</f>
        <v>44970</v>
      </c>
      <c r="I3963">
        <v>26</v>
      </c>
      <c r="J3963" t="s">
        <v>23</v>
      </c>
      <c r="K3963" s="3">
        <v>12582.98</v>
      </c>
      <c r="L3963" t="b">
        <f>TablaDatos[[#This Row],[FechaAlta]] &lt; TablaDatos[[#This Row],[FechaIngreso]]</f>
        <v>0</v>
      </c>
      <c r="M3963">
        <f>_xlfn.XLOOKUP(TablaDatos[[#This Row],[PacienteID]],'Datos_Ejemplo.csv'!A:A,'Datos_Ejemplo.csv'!I:I)</f>
        <v>26</v>
      </c>
      <c r="N3963">
        <f>ABS(TablaDatos[[#This Row],[DiasOriginal]])</f>
        <v>26</v>
      </c>
      <c r="O3963" s="1">
        <f>TablaDatos[[#This Row],[FechaIngreso]]+TablaDatos[[#This Row],[DiasNuevo]]</f>
        <v>44970</v>
      </c>
    </row>
    <row r="3964" spans="1:15">
      <c r="A3964">
        <v>3963</v>
      </c>
      <c r="B3964" t="s">
        <v>277</v>
      </c>
      <c r="C3964" s="1">
        <v>26664</v>
      </c>
      <c r="D3964">
        <f ca="1">DATEDIF(TablaDatos[[#This Row],[FechaNacimiento]],TODAY(),"Y")</f>
        <v>53</v>
      </c>
      <c r="E3964" s="4" t="s">
        <v>12</v>
      </c>
      <c r="F3964" t="s">
        <v>32</v>
      </c>
      <c r="G3964" s="1">
        <v>45602</v>
      </c>
      <c r="H3964" s="1">
        <f>TablaDatos[[#This Row],[FechaIngreso]]+TablaDatos[[#This Row],[DiasNuevo]]</f>
        <v>45606</v>
      </c>
      <c r="I3964">
        <v>4</v>
      </c>
      <c r="J3964" t="s">
        <v>19</v>
      </c>
      <c r="K3964" s="3">
        <v>18674.63</v>
      </c>
      <c r="L3964" t="b">
        <f>TablaDatos[[#This Row],[FechaAlta]] &lt; TablaDatos[[#This Row],[FechaIngreso]]</f>
        <v>0</v>
      </c>
      <c r="M3964">
        <f>_xlfn.XLOOKUP(TablaDatos[[#This Row],[PacienteID]],'Datos_Ejemplo.csv'!A:A,'Datos_Ejemplo.csv'!I:I)</f>
        <v>4</v>
      </c>
      <c r="N3964">
        <f>ABS(TablaDatos[[#This Row],[DiasOriginal]])</f>
        <v>4</v>
      </c>
      <c r="O3964" s="1">
        <f>TablaDatos[[#This Row],[FechaIngreso]]+TablaDatos[[#This Row],[DiasNuevo]]</f>
        <v>45606</v>
      </c>
    </row>
    <row r="3965" spans="1:15">
      <c r="A3965">
        <v>3964</v>
      </c>
      <c r="B3965" t="s">
        <v>279</v>
      </c>
      <c r="C3965" s="1">
        <v>26664</v>
      </c>
      <c r="D3965">
        <v>53</v>
      </c>
      <c r="E3965" s="4" t="s">
        <v>15</v>
      </c>
      <c r="F3965" t="s">
        <v>201</v>
      </c>
      <c r="G3965" s="1">
        <v>45492</v>
      </c>
      <c r="H3965" s="1">
        <f>TablaDatos[[#This Row],[FechaIngreso]]+TablaDatos[[#This Row],[DiasNuevo]]</f>
        <v>45521</v>
      </c>
      <c r="I3965">
        <v>29</v>
      </c>
      <c r="J3965" t="s">
        <v>19</v>
      </c>
      <c r="K3965" s="3">
        <v>11757.25</v>
      </c>
      <c r="L3965" t="b">
        <f>TablaDatos[[#This Row],[FechaAlta]] &lt; TablaDatos[[#This Row],[FechaIngreso]]</f>
        <v>0</v>
      </c>
      <c r="M3965">
        <f>_xlfn.XLOOKUP(TablaDatos[[#This Row],[PacienteID]],'Datos_Ejemplo.csv'!A:A,'Datos_Ejemplo.csv'!I:I)</f>
        <v>29</v>
      </c>
      <c r="N3965">
        <f>ABS(TablaDatos[[#This Row],[DiasOriginal]])</f>
        <v>29</v>
      </c>
      <c r="O3965" s="1">
        <f>TablaDatos[[#This Row],[FechaIngreso]]+TablaDatos[[#This Row],[DiasNuevo]]</f>
        <v>45521</v>
      </c>
    </row>
    <row r="3966" spans="1:15">
      <c r="A3966">
        <v>3965</v>
      </c>
      <c r="B3966" t="s">
        <v>254</v>
      </c>
      <c r="C3966" s="1">
        <v>22646</v>
      </c>
      <c r="D3966">
        <v>64</v>
      </c>
      <c r="E3966" s="4" t="s">
        <v>12</v>
      </c>
      <c r="F3966" t="s">
        <v>295</v>
      </c>
      <c r="G3966" s="1">
        <v>45501</v>
      </c>
      <c r="H3966" s="1">
        <f>TablaDatos[[#This Row],[FechaIngreso]]+TablaDatos[[#This Row],[DiasNuevo]]</f>
        <v>45511</v>
      </c>
      <c r="I3966">
        <v>10</v>
      </c>
      <c r="J3966" t="s">
        <v>23</v>
      </c>
      <c r="K3966" s="3">
        <v>4734.79</v>
      </c>
      <c r="L3966" t="b">
        <f>TablaDatos[[#This Row],[FechaAlta]] &lt; TablaDatos[[#This Row],[FechaIngreso]]</f>
        <v>0</v>
      </c>
      <c r="M3966">
        <f>_xlfn.XLOOKUP(TablaDatos[[#This Row],[PacienteID]],'Datos_Ejemplo.csv'!A:A,'Datos_Ejemplo.csv'!I:I)</f>
        <v>10</v>
      </c>
      <c r="N3966">
        <f>ABS(TablaDatos[[#This Row],[DiasOriginal]])</f>
        <v>10</v>
      </c>
      <c r="O3966" s="1">
        <f>TablaDatos[[#This Row],[FechaIngreso]]+TablaDatos[[#This Row],[DiasNuevo]]</f>
        <v>45511</v>
      </c>
    </row>
    <row r="3967" spans="1:15">
      <c r="A3967">
        <v>3966</v>
      </c>
      <c r="B3967" t="s">
        <v>361</v>
      </c>
      <c r="C3967" s="1">
        <v>38717</v>
      </c>
      <c r="D3967">
        <v>20</v>
      </c>
      <c r="E3967" s="4" t="s">
        <v>15</v>
      </c>
      <c r="F3967" t="s">
        <v>21</v>
      </c>
      <c r="G3967" s="1">
        <v>45362</v>
      </c>
      <c r="H3967" s="1">
        <f>TablaDatos[[#This Row],[FechaIngreso]]+TablaDatos[[#This Row],[DiasNuevo]]</f>
        <v>45372</v>
      </c>
      <c r="I3967">
        <v>10</v>
      </c>
      <c r="J3967" t="s">
        <v>25</v>
      </c>
      <c r="K3967" s="3">
        <v>4235.92</v>
      </c>
      <c r="L3967" t="b">
        <f>TablaDatos[[#This Row],[FechaAlta]] &lt; TablaDatos[[#This Row],[FechaIngreso]]</f>
        <v>0</v>
      </c>
      <c r="M3967">
        <f>_xlfn.XLOOKUP(TablaDatos[[#This Row],[PacienteID]],'Datos_Ejemplo.csv'!A:A,'Datos_Ejemplo.csv'!I:I)</f>
        <v>10</v>
      </c>
      <c r="N3967">
        <f>ABS(TablaDatos[[#This Row],[DiasOriginal]])</f>
        <v>10</v>
      </c>
      <c r="O3967" s="1">
        <f>TablaDatos[[#This Row],[FechaIngreso]]+TablaDatos[[#This Row],[DiasNuevo]]</f>
        <v>45372</v>
      </c>
    </row>
    <row r="3968" spans="1:15">
      <c r="A3968">
        <v>3967</v>
      </c>
      <c r="B3968" t="s">
        <v>277</v>
      </c>
      <c r="C3968" s="1">
        <v>41639</v>
      </c>
      <c r="D3968">
        <v>12</v>
      </c>
      <c r="E3968" s="4" t="s">
        <v>12</v>
      </c>
      <c r="F3968" t="s">
        <v>13</v>
      </c>
      <c r="G3968" s="1">
        <v>45367</v>
      </c>
      <c r="H3968" s="1">
        <f>TablaDatos[[#This Row],[FechaIngreso]]+TablaDatos[[#This Row],[DiasNuevo]]</f>
        <v>45378</v>
      </c>
      <c r="I3968">
        <v>11</v>
      </c>
      <c r="J3968" t="s">
        <v>23</v>
      </c>
      <c r="K3968" s="3">
        <v>11072.31</v>
      </c>
      <c r="L3968" t="b">
        <f>TablaDatos[[#This Row],[FechaAlta]] &lt; TablaDatos[[#This Row],[FechaIngreso]]</f>
        <v>0</v>
      </c>
      <c r="M3968">
        <f>_xlfn.XLOOKUP(TablaDatos[[#This Row],[PacienteID]],'Datos_Ejemplo.csv'!A:A,'Datos_Ejemplo.csv'!I:I)</f>
        <v>11</v>
      </c>
      <c r="N3968">
        <f>ABS(TablaDatos[[#This Row],[DiasOriginal]])</f>
        <v>11</v>
      </c>
      <c r="O3968" s="1">
        <f>TablaDatos[[#This Row],[FechaIngreso]]+TablaDatos[[#This Row],[DiasNuevo]]</f>
        <v>45378</v>
      </c>
    </row>
    <row r="3969" spans="1:15">
      <c r="A3969">
        <v>3968</v>
      </c>
      <c r="B3969" t="s">
        <v>231</v>
      </c>
      <c r="C3969" s="1">
        <v>25568</v>
      </c>
      <c r="D3969">
        <f ca="1">DATEDIF(TablaDatos[[#This Row],[FechaNacimiento]],TODAY(),"Y")</f>
        <v>56</v>
      </c>
      <c r="E3969" s="4" t="s">
        <v>12</v>
      </c>
      <c r="F3969" t="s">
        <v>32</v>
      </c>
      <c r="G3969" s="1">
        <v>44935</v>
      </c>
      <c r="H3969" s="1">
        <f>TablaDatos[[#This Row],[FechaIngreso]]+TablaDatos[[#This Row],[DiasNuevo]]</f>
        <v>44938</v>
      </c>
      <c r="I3969">
        <v>3</v>
      </c>
      <c r="J3969" t="s">
        <v>19</v>
      </c>
      <c r="K3969" s="3">
        <v>18120.330000000002</v>
      </c>
      <c r="L3969" t="b">
        <f>TablaDatos[[#This Row],[FechaAlta]] &lt; TablaDatos[[#This Row],[FechaIngreso]]</f>
        <v>0</v>
      </c>
      <c r="M3969">
        <f>_xlfn.XLOOKUP(TablaDatos[[#This Row],[PacienteID]],'Datos_Ejemplo.csv'!A:A,'Datos_Ejemplo.csv'!I:I)</f>
        <v>3</v>
      </c>
      <c r="N3969">
        <f>ABS(TablaDatos[[#This Row],[DiasOriginal]])</f>
        <v>3</v>
      </c>
      <c r="O3969" s="1">
        <f>TablaDatos[[#This Row],[FechaIngreso]]+TablaDatos[[#This Row],[DiasNuevo]]</f>
        <v>44938</v>
      </c>
    </row>
    <row r="3970" spans="1:15">
      <c r="A3970">
        <v>3969</v>
      </c>
      <c r="B3970" t="s">
        <v>262</v>
      </c>
      <c r="C3970" s="1">
        <v>28490</v>
      </c>
      <c r="D3970">
        <v>48</v>
      </c>
      <c r="E3970" s="4" t="s">
        <v>15</v>
      </c>
      <c r="F3970" t="s">
        <v>261</v>
      </c>
      <c r="G3970" s="1">
        <v>45396</v>
      </c>
      <c r="H3970" s="1">
        <f>TablaDatos[[#This Row],[FechaIngreso]]+TablaDatos[[#This Row],[DiasNuevo]]</f>
        <v>45409</v>
      </c>
      <c r="I3970">
        <v>13</v>
      </c>
      <c r="J3970" t="s">
        <v>25</v>
      </c>
      <c r="K3970" s="3">
        <v>1354.6</v>
      </c>
      <c r="L3970" t="b">
        <f>TablaDatos[[#This Row],[FechaAlta]] &lt; TablaDatos[[#This Row],[FechaIngreso]]</f>
        <v>0</v>
      </c>
      <c r="M3970">
        <f>_xlfn.XLOOKUP(TablaDatos[[#This Row],[PacienteID]],'Datos_Ejemplo.csv'!A:A,'Datos_Ejemplo.csv'!I:I)</f>
        <v>13</v>
      </c>
      <c r="N3970">
        <f>ABS(TablaDatos[[#This Row],[DiasOriginal]])</f>
        <v>13</v>
      </c>
      <c r="O3970" s="1">
        <f>TablaDatos[[#This Row],[FechaIngreso]]+TablaDatos[[#This Row],[DiasNuevo]]</f>
        <v>45409</v>
      </c>
    </row>
    <row r="3971" spans="1:15">
      <c r="A3971">
        <v>3970</v>
      </c>
      <c r="B3971" t="s">
        <v>279</v>
      </c>
      <c r="C3971" s="1">
        <v>26664</v>
      </c>
      <c r="D3971">
        <v>53</v>
      </c>
      <c r="E3971" s="4" t="s">
        <v>12</v>
      </c>
      <c r="F3971" t="s">
        <v>295</v>
      </c>
      <c r="G3971" s="1">
        <v>45558</v>
      </c>
      <c r="H3971" s="1">
        <f>TablaDatos[[#This Row],[FechaIngreso]]+TablaDatos[[#This Row],[DiasNuevo]]</f>
        <v>45596</v>
      </c>
      <c r="I3971">
        <v>38</v>
      </c>
      <c r="J3971" t="s">
        <v>23</v>
      </c>
      <c r="K3971" s="3">
        <v>12048.25</v>
      </c>
      <c r="L3971" t="b">
        <f>TablaDatos[[#This Row],[FechaAlta]] &lt; TablaDatos[[#This Row],[FechaIngreso]]</f>
        <v>0</v>
      </c>
      <c r="M3971">
        <f>_xlfn.XLOOKUP(TablaDatos[[#This Row],[PacienteID]],'Datos_Ejemplo.csv'!A:A,'Datos_Ejemplo.csv'!I:I)</f>
        <v>38</v>
      </c>
      <c r="N3971">
        <f>ABS(TablaDatos[[#This Row],[DiasOriginal]])</f>
        <v>38</v>
      </c>
      <c r="O3971" s="1">
        <f>TablaDatos[[#This Row],[FechaIngreso]]+TablaDatos[[#This Row],[DiasNuevo]]</f>
        <v>45596</v>
      </c>
    </row>
    <row r="3972" spans="1:15">
      <c r="A3972">
        <v>3971</v>
      </c>
      <c r="B3972" t="s">
        <v>284</v>
      </c>
      <c r="C3972" s="1">
        <v>42735</v>
      </c>
      <c r="D3972">
        <v>9</v>
      </c>
      <c r="E3972" s="4" t="s">
        <v>12</v>
      </c>
      <c r="F3972" t="s">
        <v>13</v>
      </c>
      <c r="G3972" s="1">
        <v>45274</v>
      </c>
      <c r="H3972" s="1">
        <f>TablaDatos[[#This Row],[FechaIngreso]]+TablaDatos[[#This Row],[DiasNuevo]]</f>
        <v>45292</v>
      </c>
      <c r="I3972">
        <v>18</v>
      </c>
      <c r="J3972" t="s">
        <v>23</v>
      </c>
      <c r="K3972" s="3">
        <v>15373.05</v>
      </c>
      <c r="L3972" t="b">
        <f>TablaDatos[[#This Row],[FechaAlta]] &lt; TablaDatos[[#This Row],[FechaIngreso]]</f>
        <v>0</v>
      </c>
      <c r="M3972">
        <f>_xlfn.XLOOKUP(TablaDatos[[#This Row],[PacienteID]],'Datos_Ejemplo.csv'!A:A,'Datos_Ejemplo.csv'!I:I)</f>
        <v>18</v>
      </c>
      <c r="N3972">
        <f>ABS(TablaDatos[[#This Row],[DiasOriginal]])</f>
        <v>18</v>
      </c>
      <c r="O3972" s="1">
        <f>TablaDatos[[#This Row],[FechaIngreso]]+TablaDatos[[#This Row],[DiasNuevo]]</f>
        <v>45292</v>
      </c>
    </row>
    <row r="3973" spans="1:15">
      <c r="A3973">
        <v>3972</v>
      </c>
      <c r="B3973" t="s">
        <v>39</v>
      </c>
      <c r="C3973" s="1">
        <v>27029</v>
      </c>
      <c r="D3973">
        <v>52</v>
      </c>
      <c r="E3973" s="4" t="s">
        <v>12</v>
      </c>
      <c r="F3973" t="s">
        <v>13</v>
      </c>
      <c r="G3973" s="1">
        <v>45528</v>
      </c>
      <c r="H3973" s="1">
        <f>TablaDatos[[#This Row],[FechaIngreso]]+TablaDatos[[#This Row],[DiasNuevo]]</f>
        <v>45541</v>
      </c>
      <c r="I3973">
        <v>13</v>
      </c>
      <c r="J3973" t="s">
        <v>23</v>
      </c>
      <c r="K3973" s="3">
        <v>2219.58</v>
      </c>
      <c r="L3973" t="b">
        <f>TablaDatos[[#This Row],[FechaAlta]] &lt; TablaDatos[[#This Row],[FechaIngreso]]</f>
        <v>0</v>
      </c>
      <c r="M3973">
        <f>_xlfn.XLOOKUP(TablaDatos[[#This Row],[PacienteID]],'Datos_Ejemplo.csv'!A:A,'Datos_Ejemplo.csv'!I:I)</f>
        <v>13</v>
      </c>
      <c r="N3973">
        <f>ABS(TablaDatos[[#This Row],[DiasOriginal]])</f>
        <v>13</v>
      </c>
      <c r="O3973" s="1">
        <f>TablaDatos[[#This Row],[FechaIngreso]]+TablaDatos[[#This Row],[DiasNuevo]]</f>
        <v>45541</v>
      </c>
    </row>
    <row r="3974" spans="1:15">
      <c r="A3974">
        <v>3973</v>
      </c>
      <c r="B3974" t="s">
        <v>330</v>
      </c>
      <c r="C3974" s="1">
        <v>30317</v>
      </c>
      <c r="D3974">
        <v>43</v>
      </c>
      <c r="E3974" s="4" t="s">
        <v>15</v>
      </c>
      <c r="F3974" t="s">
        <v>295</v>
      </c>
      <c r="G3974" s="1">
        <v>45298</v>
      </c>
      <c r="H3974" s="1">
        <f>TablaDatos[[#This Row],[FechaIngreso]]+TablaDatos[[#This Row],[DiasNuevo]]</f>
        <v>45300</v>
      </c>
      <c r="I3974">
        <v>2</v>
      </c>
      <c r="J3974" t="s">
        <v>23</v>
      </c>
      <c r="K3974" s="3">
        <v>2247.0700000000002</v>
      </c>
      <c r="L3974" t="b">
        <f>TablaDatos[[#This Row],[FechaAlta]] &lt; TablaDatos[[#This Row],[FechaIngreso]]</f>
        <v>0</v>
      </c>
      <c r="M3974">
        <f>_xlfn.XLOOKUP(TablaDatos[[#This Row],[PacienteID]],'Datos_Ejemplo.csv'!A:A,'Datos_Ejemplo.csv'!I:I)</f>
        <v>2</v>
      </c>
      <c r="N3974">
        <f>ABS(TablaDatos[[#This Row],[DiasOriginal]])</f>
        <v>2</v>
      </c>
      <c r="O3974" s="1">
        <f>TablaDatos[[#This Row],[FechaIngreso]]+TablaDatos[[#This Row],[DiasNuevo]]</f>
        <v>45300</v>
      </c>
    </row>
    <row r="3975" spans="1:15">
      <c r="A3975">
        <v>3974</v>
      </c>
      <c r="B3975" t="s">
        <v>360</v>
      </c>
      <c r="C3975" s="1">
        <v>29221</v>
      </c>
      <c r="D3975">
        <v>46</v>
      </c>
      <c r="E3975" s="4" t="s">
        <v>197</v>
      </c>
      <c r="F3975" t="s">
        <v>18</v>
      </c>
      <c r="G3975" s="1">
        <v>45101</v>
      </c>
      <c r="H3975" s="1">
        <f>TablaDatos[[#This Row],[FechaIngreso]]+TablaDatos[[#This Row],[DiasNuevo]]</f>
        <v>45122</v>
      </c>
      <c r="I3975">
        <v>21</v>
      </c>
      <c r="J3975" t="s">
        <v>23</v>
      </c>
      <c r="K3975" s="3">
        <v>7259.17</v>
      </c>
      <c r="L3975" t="b">
        <f>TablaDatos[[#This Row],[FechaAlta]] &lt; TablaDatos[[#This Row],[FechaIngreso]]</f>
        <v>0</v>
      </c>
      <c r="M3975">
        <f>_xlfn.XLOOKUP(TablaDatos[[#This Row],[PacienteID]],'Datos_Ejemplo.csv'!A:A,'Datos_Ejemplo.csv'!I:I)</f>
        <v>21</v>
      </c>
      <c r="N3975">
        <f>ABS(TablaDatos[[#This Row],[DiasOriginal]])</f>
        <v>21</v>
      </c>
      <c r="O3975" s="1">
        <f>TablaDatos[[#This Row],[FechaIngreso]]+TablaDatos[[#This Row],[DiasNuevo]]</f>
        <v>45122</v>
      </c>
    </row>
    <row r="3976" spans="1:15">
      <c r="A3976">
        <v>3975</v>
      </c>
      <c r="B3976" t="s">
        <v>162</v>
      </c>
      <c r="C3976" s="1">
        <v>27029</v>
      </c>
      <c r="D3976">
        <v>52</v>
      </c>
      <c r="E3976" s="4" t="s">
        <v>12</v>
      </c>
      <c r="F3976" t="s">
        <v>295</v>
      </c>
      <c r="G3976" s="1">
        <v>45441</v>
      </c>
      <c r="H3976" s="1">
        <f>TablaDatos[[#This Row],[FechaIngreso]]+TablaDatos[[#This Row],[DiasNuevo]]</f>
        <v>45443</v>
      </c>
      <c r="I3976">
        <v>2</v>
      </c>
      <c r="J3976" t="s">
        <v>23</v>
      </c>
      <c r="K3976" s="3">
        <v>5405.01</v>
      </c>
      <c r="L3976" t="b">
        <f>TablaDatos[[#This Row],[FechaAlta]] &lt; TablaDatos[[#This Row],[FechaIngreso]]</f>
        <v>0</v>
      </c>
      <c r="M3976">
        <f>_xlfn.XLOOKUP(TablaDatos[[#This Row],[PacienteID]],'Datos_Ejemplo.csv'!A:A,'Datos_Ejemplo.csv'!I:I)</f>
        <v>-2</v>
      </c>
      <c r="N3976">
        <f>ABS(TablaDatos[[#This Row],[DiasOriginal]])</f>
        <v>2</v>
      </c>
      <c r="O3976" s="1">
        <f>TablaDatos[[#This Row],[FechaIngreso]]+TablaDatos[[#This Row],[DiasNuevo]]</f>
        <v>45443</v>
      </c>
    </row>
    <row r="3977" spans="1:15">
      <c r="A3977">
        <v>3976</v>
      </c>
      <c r="B3977" t="s">
        <v>255</v>
      </c>
      <c r="C3977" s="1">
        <v>19359</v>
      </c>
      <c r="D3977">
        <v>73</v>
      </c>
      <c r="E3977" s="4" t="s">
        <v>197</v>
      </c>
      <c r="F3977" t="s">
        <v>261</v>
      </c>
      <c r="G3977" s="1">
        <v>45056</v>
      </c>
      <c r="H3977" s="1">
        <f>TablaDatos[[#This Row],[FechaIngreso]]+TablaDatos[[#This Row],[DiasNuevo]]</f>
        <v>45063</v>
      </c>
      <c r="I3977">
        <v>7</v>
      </c>
      <c r="J3977" t="s">
        <v>23</v>
      </c>
      <c r="K3977" s="3">
        <v>3886.11</v>
      </c>
      <c r="L3977" t="b">
        <f>TablaDatos[[#This Row],[FechaAlta]] &lt; TablaDatos[[#This Row],[FechaIngreso]]</f>
        <v>0</v>
      </c>
      <c r="M3977">
        <f>_xlfn.XLOOKUP(TablaDatos[[#This Row],[PacienteID]],'Datos_Ejemplo.csv'!A:A,'Datos_Ejemplo.csv'!I:I)</f>
        <v>7</v>
      </c>
      <c r="N3977">
        <f>ABS(TablaDatos[[#This Row],[DiasOriginal]])</f>
        <v>7</v>
      </c>
      <c r="O3977" s="1">
        <f>TablaDatos[[#This Row],[FechaIngreso]]+TablaDatos[[#This Row],[DiasNuevo]]</f>
        <v>45063</v>
      </c>
    </row>
    <row r="3978" spans="1:15">
      <c r="A3978">
        <v>3977</v>
      </c>
      <c r="B3978" t="s">
        <v>349</v>
      </c>
      <c r="C3978" s="1">
        <v>29586</v>
      </c>
      <c r="D3978">
        <v>45</v>
      </c>
      <c r="E3978" s="4" t="s">
        <v>12</v>
      </c>
      <c r="F3978" t="s">
        <v>201</v>
      </c>
      <c r="G3978" s="1">
        <v>45492</v>
      </c>
      <c r="H3978" s="1">
        <f>TablaDatos[[#This Row],[FechaIngreso]]+TablaDatos[[#This Row],[DiasNuevo]]</f>
        <v>45524</v>
      </c>
      <c r="I3978">
        <v>32</v>
      </c>
      <c r="J3978" t="s">
        <v>19</v>
      </c>
      <c r="K3978" s="3">
        <v>3893.75</v>
      </c>
      <c r="L3978" t="b">
        <f>TablaDatos[[#This Row],[FechaAlta]] &lt; TablaDatos[[#This Row],[FechaIngreso]]</f>
        <v>0</v>
      </c>
      <c r="M3978">
        <f>_xlfn.XLOOKUP(TablaDatos[[#This Row],[PacienteID]],'Datos_Ejemplo.csv'!A:A,'Datos_Ejemplo.csv'!I:I)</f>
        <v>32</v>
      </c>
      <c r="N3978">
        <f>ABS(TablaDatos[[#This Row],[DiasOriginal]])</f>
        <v>32</v>
      </c>
      <c r="O3978" s="1">
        <f>TablaDatos[[#This Row],[FechaIngreso]]+TablaDatos[[#This Row],[DiasNuevo]]</f>
        <v>45524</v>
      </c>
    </row>
    <row r="3979" spans="1:15">
      <c r="A3979">
        <v>3978</v>
      </c>
      <c r="B3979" t="s">
        <v>247</v>
      </c>
      <c r="C3979" s="1">
        <v>41639</v>
      </c>
      <c r="D3979">
        <v>12</v>
      </c>
      <c r="E3979" s="4" t="s">
        <v>15</v>
      </c>
      <c r="F3979" t="s">
        <v>21</v>
      </c>
      <c r="G3979" s="1">
        <v>45219</v>
      </c>
      <c r="H3979" s="1">
        <f>TablaDatos[[#This Row],[FechaIngreso]]+TablaDatos[[#This Row],[DiasNuevo]]</f>
        <v>45247</v>
      </c>
      <c r="I3979">
        <v>28</v>
      </c>
      <c r="J3979" t="s">
        <v>25</v>
      </c>
      <c r="K3979" s="3">
        <v>2526.4499999999998</v>
      </c>
      <c r="L3979" t="b">
        <f>TablaDatos[[#This Row],[FechaAlta]] &lt; TablaDatos[[#This Row],[FechaIngreso]]</f>
        <v>0</v>
      </c>
      <c r="M3979">
        <f>_xlfn.XLOOKUP(TablaDatos[[#This Row],[PacienteID]],'Datos_Ejemplo.csv'!A:A,'Datos_Ejemplo.csv'!I:I)</f>
        <v>28</v>
      </c>
      <c r="N3979">
        <f>ABS(TablaDatos[[#This Row],[DiasOriginal]])</f>
        <v>28</v>
      </c>
      <c r="O3979" s="1">
        <f>TablaDatos[[#This Row],[FechaIngreso]]+TablaDatos[[#This Row],[DiasNuevo]]</f>
        <v>45247</v>
      </c>
    </row>
    <row r="3980" spans="1:15">
      <c r="A3980">
        <v>3979</v>
      </c>
      <c r="B3980" t="s">
        <v>282</v>
      </c>
      <c r="C3980" s="1">
        <v>32873</v>
      </c>
      <c r="D3980">
        <v>36</v>
      </c>
      <c r="E3980" s="4" t="s">
        <v>12</v>
      </c>
      <c r="F3980" t="s">
        <v>261</v>
      </c>
      <c r="G3980" s="1">
        <v>45622</v>
      </c>
      <c r="H3980" s="1">
        <f>TablaDatos[[#This Row],[FechaIngreso]]+TablaDatos[[#This Row],[DiasNuevo]]</f>
        <v>45634</v>
      </c>
      <c r="I3980">
        <v>12</v>
      </c>
      <c r="J3980" t="s">
        <v>19</v>
      </c>
      <c r="K3980" s="3">
        <v>12178.17</v>
      </c>
      <c r="L3980" t="b">
        <f>TablaDatos[[#This Row],[FechaAlta]] &lt; TablaDatos[[#This Row],[FechaIngreso]]</f>
        <v>0</v>
      </c>
      <c r="M3980">
        <f>_xlfn.XLOOKUP(TablaDatos[[#This Row],[PacienteID]],'Datos_Ejemplo.csv'!A:A,'Datos_Ejemplo.csv'!I:I)</f>
        <v>12</v>
      </c>
      <c r="N3980">
        <f>ABS(TablaDatos[[#This Row],[DiasOriginal]])</f>
        <v>12</v>
      </c>
      <c r="O3980" s="1">
        <f>TablaDatos[[#This Row],[FechaIngreso]]+TablaDatos[[#This Row],[DiasNuevo]]</f>
        <v>45634</v>
      </c>
    </row>
    <row r="3981" spans="1:15">
      <c r="A3981">
        <v>3980</v>
      </c>
      <c r="B3981" t="s">
        <v>152</v>
      </c>
      <c r="C3981" s="1">
        <v>37622</v>
      </c>
      <c r="D3981">
        <v>23</v>
      </c>
      <c r="E3981" s="4" t="s">
        <v>12</v>
      </c>
      <c r="F3981" t="s">
        <v>201</v>
      </c>
      <c r="G3981" s="1">
        <v>45279</v>
      </c>
      <c r="H3981" s="1">
        <f>TablaDatos[[#This Row],[FechaIngreso]]+TablaDatos[[#This Row],[DiasNuevo]]</f>
        <v>45287</v>
      </c>
      <c r="I3981">
        <v>8</v>
      </c>
      <c r="J3981" t="s">
        <v>23</v>
      </c>
      <c r="K3981" s="3">
        <v>13731.32</v>
      </c>
      <c r="L3981" t="b">
        <f>TablaDatos[[#This Row],[FechaAlta]] &lt; TablaDatos[[#This Row],[FechaIngreso]]</f>
        <v>0</v>
      </c>
      <c r="M3981">
        <f>_xlfn.XLOOKUP(TablaDatos[[#This Row],[PacienteID]],'Datos_Ejemplo.csv'!A:A,'Datos_Ejemplo.csv'!I:I)</f>
        <v>8</v>
      </c>
      <c r="N3981">
        <f>ABS(TablaDatos[[#This Row],[DiasOriginal]])</f>
        <v>8</v>
      </c>
      <c r="O3981" s="1">
        <f>TablaDatos[[#This Row],[FechaIngreso]]+TablaDatos[[#This Row],[DiasNuevo]]</f>
        <v>45287</v>
      </c>
    </row>
    <row r="3982" spans="1:15">
      <c r="A3982">
        <v>3981</v>
      </c>
      <c r="B3982" t="s">
        <v>326</v>
      </c>
      <c r="C3982" s="1">
        <v>45657</v>
      </c>
      <c r="D3982">
        <v>1</v>
      </c>
      <c r="E3982" s="4" t="s">
        <v>197</v>
      </c>
      <c r="F3982" t="s">
        <v>13</v>
      </c>
      <c r="G3982" s="1">
        <v>45150</v>
      </c>
      <c r="H3982" s="1">
        <f>TablaDatos[[#This Row],[FechaIngreso]]+TablaDatos[[#This Row],[DiasNuevo]]</f>
        <v>45156</v>
      </c>
      <c r="I3982">
        <v>6</v>
      </c>
      <c r="J3982" t="s">
        <v>19</v>
      </c>
      <c r="K3982" s="3">
        <v>14029.02</v>
      </c>
      <c r="L3982" t="b">
        <f>TablaDatos[[#This Row],[FechaAlta]] &lt; TablaDatos[[#This Row],[FechaIngreso]]</f>
        <v>0</v>
      </c>
      <c r="M3982">
        <f>_xlfn.XLOOKUP(TablaDatos[[#This Row],[PacienteID]],'Datos_Ejemplo.csv'!A:A,'Datos_Ejemplo.csv'!I:I)</f>
        <v>6</v>
      </c>
      <c r="N3982">
        <f>ABS(TablaDatos[[#This Row],[DiasOriginal]])</f>
        <v>6</v>
      </c>
      <c r="O3982" s="1">
        <f>TablaDatos[[#This Row],[FechaIngreso]]+TablaDatos[[#This Row],[DiasNuevo]]</f>
        <v>45156</v>
      </c>
    </row>
    <row r="3983" spans="1:15">
      <c r="A3983">
        <v>3982</v>
      </c>
      <c r="B3983" t="s">
        <v>258</v>
      </c>
      <c r="C3983" s="1">
        <v>14976</v>
      </c>
      <c r="D3983">
        <v>85</v>
      </c>
      <c r="E3983" s="4" t="s">
        <v>15</v>
      </c>
      <c r="F3983" t="s">
        <v>21</v>
      </c>
      <c r="G3983" s="1">
        <v>45450</v>
      </c>
      <c r="H3983" s="1">
        <f>TablaDatos[[#This Row],[FechaIngreso]]+TablaDatos[[#This Row],[DiasNuevo]]</f>
        <v>45451</v>
      </c>
      <c r="I3983">
        <v>1</v>
      </c>
      <c r="J3983" t="s">
        <v>23</v>
      </c>
      <c r="K3983" s="3">
        <v>10600.31</v>
      </c>
      <c r="L3983" t="b">
        <f>TablaDatos[[#This Row],[FechaAlta]] &lt; TablaDatos[[#This Row],[FechaIngreso]]</f>
        <v>0</v>
      </c>
      <c r="M3983">
        <f>_xlfn.XLOOKUP(TablaDatos[[#This Row],[PacienteID]],'Datos_Ejemplo.csv'!A:A,'Datos_Ejemplo.csv'!I:I)</f>
        <v>-1</v>
      </c>
      <c r="N3983">
        <f>ABS(TablaDatos[[#This Row],[DiasOriginal]])</f>
        <v>1</v>
      </c>
      <c r="O3983" s="1">
        <f>TablaDatos[[#This Row],[FechaIngreso]]+TablaDatos[[#This Row],[DiasNuevo]]</f>
        <v>45451</v>
      </c>
    </row>
    <row r="3984" spans="1:15">
      <c r="A3984">
        <v>3983</v>
      </c>
      <c r="B3984" t="s">
        <v>329</v>
      </c>
      <c r="C3984" s="1">
        <v>16802</v>
      </c>
      <c r="D3984">
        <v>80</v>
      </c>
      <c r="E3984" s="4" t="s">
        <v>12</v>
      </c>
      <c r="F3984" t="s">
        <v>32</v>
      </c>
      <c r="G3984" s="1">
        <v>45633</v>
      </c>
      <c r="H3984" s="1">
        <f>TablaDatos[[#This Row],[FechaIngreso]]+TablaDatos[[#This Row],[DiasNuevo]]</f>
        <v>45660</v>
      </c>
      <c r="I3984">
        <v>27</v>
      </c>
      <c r="J3984" t="s">
        <v>23</v>
      </c>
      <c r="K3984" s="3">
        <v>19053.419999999998</v>
      </c>
      <c r="L3984" t="b">
        <f>TablaDatos[[#This Row],[FechaAlta]] &lt; TablaDatos[[#This Row],[FechaIngreso]]</f>
        <v>0</v>
      </c>
      <c r="M3984">
        <f>_xlfn.XLOOKUP(TablaDatos[[#This Row],[PacienteID]],'Datos_Ejemplo.csv'!A:A,'Datos_Ejemplo.csv'!I:I)</f>
        <v>27</v>
      </c>
      <c r="N3984">
        <f>ABS(TablaDatos[[#This Row],[DiasOriginal]])</f>
        <v>27</v>
      </c>
      <c r="O3984" s="1">
        <f>TablaDatos[[#This Row],[FechaIngreso]]+TablaDatos[[#This Row],[DiasNuevo]]</f>
        <v>45660</v>
      </c>
    </row>
    <row r="3985" spans="1:15">
      <c r="A3985">
        <v>3984</v>
      </c>
      <c r="B3985" t="s">
        <v>339</v>
      </c>
      <c r="C3985" s="1">
        <v>41274</v>
      </c>
      <c r="D3985">
        <v>13</v>
      </c>
      <c r="E3985" s="4" t="s">
        <v>15</v>
      </c>
      <c r="F3985" t="s">
        <v>13</v>
      </c>
      <c r="G3985" s="1">
        <v>45435</v>
      </c>
      <c r="H3985" s="1">
        <f>TablaDatos[[#This Row],[FechaIngreso]]+TablaDatos[[#This Row],[DiasNuevo]]</f>
        <v>45448</v>
      </c>
      <c r="I3985">
        <v>13</v>
      </c>
      <c r="J3985" t="s">
        <v>25</v>
      </c>
      <c r="K3985" s="3">
        <v>17598.71</v>
      </c>
      <c r="L3985" t="b">
        <f>TablaDatos[[#This Row],[FechaAlta]] &lt; TablaDatos[[#This Row],[FechaIngreso]]</f>
        <v>0</v>
      </c>
      <c r="M3985">
        <f>_xlfn.XLOOKUP(TablaDatos[[#This Row],[PacienteID]],'Datos_Ejemplo.csv'!A:A,'Datos_Ejemplo.csv'!I:I)</f>
        <v>13</v>
      </c>
      <c r="N3985">
        <f>ABS(TablaDatos[[#This Row],[DiasOriginal]])</f>
        <v>13</v>
      </c>
      <c r="O3985" s="1">
        <f>TablaDatos[[#This Row],[FechaIngreso]]+TablaDatos[[#This Row],[DiasNuevo]]</f>
        <v>45448</v>
      </c>
    </row>
    <row r="3986" spans="1:15">
      <c r="A3986">
        <v>3985</v>
      </c>
      <c r="B3986" t="s">
        <v>327</v>
      </c>
      <c r="C3986" s="1">
        <v>42735</v>
      </c>
      <c r="D3986">
        <v>9</v>
      </c>
      <c r="E3986" s="4" t="s">
        <v>12</v>
      </c>
      <c r="F3986" t="s">
        <v>18</v>
      </c>
      <c r="G3986" s="1">
        <v>45294</v>
      </c>
      <c r="H3986" s="1">
        <f>TablaDatos[[#This Row],[FechaIngreso]]+TablaDatos[[#This Row],[DiasNuevo]]</f>
        <v>45296</v>
      </c>
      <c r="I3986">
        <v>2</v>
      </c>
      <c r="J3986" t="s">
        <v>23</v>
      </c>
      <c r="K3986" s="3">
        <v>19148.39</v>
      </c>
      <c r="L3986" t="b">
        <f>TablaDatos[[#This Row],[FechaAlta]] &lt; TablaDatos[[#This Row],[FechaIngreso]]</f>
        <v>0</v>
      </c>
      <c r="M3986">
        <f>_xlfn.XLOOKUP(TablaDatos[[#This Row],[PacienteID]],'Datos_Ejemplo.csv'!A:A,'Datos_Ejemplo.csv'!I:I)</f>
        <v>-2</v>
      </c>
      <c r="N3986">
        <f>ABS(TablaDatos[[#This Row],[DiasOriginal]])</f>
        <v>2</v>
      </c>
      <c r="O3986" s="1">
        <f>TablaDatos[[#This Row],[FechaIngreso]]+TablaDatos[[#This Row],[DiasNuevo]]</f>
        <v>45296</v>
      </c>
    </row>
    <row r="3987" spans="1:15">
      <c r="A3987">
        <v>3986</v>
      </c>
      <c r="B3987" t="s">
        <v>248</v>
      </c>
      <c r="C3987" s="1">
        <v>33604</v>
      </c>
      <c r="D3987">
        <f ca="1">DATEDIF(TablaDatos[[#This Row],[FechaNacimiento]],TODAY(),"Y")</f>
        <v>34</v>
      </c>
      <c r="E3987" s="4" t="s">
        <v>15</v>
      </c>
      <c r="F3987" t="s">
        <v>295</v>
      </c>
      <c r="G3987" s="1">
        <v>45592</v>
      </c>
      <c r="H3987" s="1">
        <f>TablaDatos[[#This Row],[FechaIngreso]]+TablaDatos[[#This Row],[DiasNuevo]]</f>
        <v>45595</v>
      </c>
      <c r="I3987">
        <v>3</v>
      </c>
      <c r="J3987" t="s">
        <v>23</v>
      </c>
      <c r="K3987" s="3">
        <v>7714.79</v>
      </c>
      <c r="L3987" t="b">
        <f>TablaDatos[[#This Row],[FechaAlta]] &lt; TablaDatos[[#This Row],[FechaIngreso]]</f>
        <v>0</v>
      </c>
      <c r="M3987">
        <f>_xlfn.XLOOKUP(TablaDatos[[#This Row],[PacienteID]],'Datos_Ejemplo.csv'!A:A,'Datos_Ejemplo.csv'!I:I)</f>
        <v>3</v>
      </c>
      <c r="N3987">
        <f>ABS(TablaDatos[[#This Row],[DiasOriginal]])</f>
        <v>3</v>
      </c>
      <c r="O3987" s="1">
        <f>TablaDatos[[#This Row],[FechaIngreso]]+TablaDatos[[#This Row],[DiasNuevo]]</f>
        <v>45595</v>
      </c>
    </row>
    <row r="3988" spans="1:15">
      <c r="A3988">
        <v>3987</v>
      </c>
      <c r="B3988" t="s">
        <v>306</v>
      </c>
      <c r="C3988" s="1">
        <v>37256</v>
      </c>
      <c r="D3988">
        <v>24</v>
      </c>
      <c r="E3988" s="4" t="s">
        <v>15</v>
      </c>
      <c r="F3988" t="s">
        <v>32</v>
      </c>
      <c r="G3988" s="1">
        <v>45516</v>
      </c>
      <c r="H3988" s="1">
        <f>TablaDatos[[#This Row],[FechaIngreso]]+TablaDatos[[#This Row],[DiasNuevo]]</f>
        <v>45524</v>
      </c>
      <c r="I3988">
        <v>8</v>
      </c>
      <c r="J3988" t="s">
        <v>25</v>
      </c>
      <c r="K3988" s="3">
        <v>17543.439999999999</v>
      </c>
      <c r="L3988" t="b">
        <f>TablaDatos[[#This Row],[FechaAlta]] &lt; TablaDatos[[#This Row],[FechaIngreso]]</f>
        <v>0</v>
      </c>
      <c r="M3988">
        <f>_xlfn.XLOOKUP(TablaDatos[[#This Row],[PacienteID]],'Datos_Ejemplo.csv'!A:A,'Datos_Ejemplo.csv'!I:I)</f>
        <v>8</v>
      </c>
      <c r="N3988">
        <f>ABS(TablaDatos[[#This Row],[DiasOriginal]])</f>
        <v>8</v>
      </c>
      <c r="O3988" s="1">
        <f>TablaDatos[[#This Row],[FechaIngreso]]+TablaDatos[[#This Row],[DiasNuevo]]</f>
        <v>45524</v>
      </c>
    </row>
    <row r="3989" spans="1:15">
      <c r="A3989">
        <v>3988</v>
      </c>
      <c r="B3989" t="s">
        <v>360</v>
      </c>
      <c r="C3989" s="1">
        <v>45292</v>
      </c>
      <c r="D3989">
        <v>2</v>
      </c>
      <c r="E3989" s="4" t="s">
        <v>12</v>
      </c>
      <c r="F3989" t="s">
        <v>261</v>
      </c>
      <c r="G3989" s="1">
        <v>45578</v>
      </c>
      <c r="H3989" s="1">
        <f>TablaDatos[[#This Row],[FechaIngreso]]+TablaDatos[[#This Row],[DiasNuevo]]</f>
        <v>45608</v>
      </c>
      <c r="I3989">
        <v>30</v>
      </c>
      <c r="J3989" t="s">
        <v>25</v>
      </c>
      <c r="K3989" s="3">
        <v>15233.78</v>
      </c>
      <c r="L3989" t="b">
        <f>TablaDatos[[#This Row],[FechaAlta]] &lt; TablaDatos[[#This Row],[FechaIngreso]]</f>
        <v>0</v>
      </c>
      <c r="M3989">
        <f>_xlfn.XLOOKUP(TablaDatos[[#This Row],[PacienteID]],'Datos_Ejemplo.csv'!A:A,'Datos_Ejemplo.csv'!I:I)</f>
        <v>30</v>
      </c>
      <c r="N3989">
        <f>ABS(TablaDatos[[#This Row],[DiasOriginal]])</f>
        <v>30</v>
      </c>
      <c r="O3989" s="1">
        <f>TablaDatos[[#This Row],[FechaIngreso]]+TablaDatos[[#This Row],[DiasNuevo]]</f>
        <v>45608</v>
      </c>
    </row>
    <row r="3990" spans="1:15">
      <c r="A3990">
        <v>3989</v>
      </c>
      <c r="B3990" t="s">
        <v>287</v>
      </c>
      <c r="C3990" s="1">
        <v>40178</v>
      </c>
      <c r="D3990">
        <v>16</v>
      </c>
      <c r="E3990" s="4" t="s">
        <v>15</v>
      </c>
      <c r="F3990" t="s">
        <v>21</v>
      </c>
      <c r="G3990" s="1">
        <v>45426</v>
      </c>
      <c r="H3990" s="1">
        <f>TablaDatos[[#This Row],[FechaIngreso]]+TablaDatos[[#This Row],[DiasNuevo]]</f>
        <v>45440</v>
      </c>
      <c r="I3990">
        <v>14</v>
      </c>
      <c r="J3990" t="s">
        <v>23</v>
      </c>
      <c r="K3990" s="3">
        <v>6733.46</v>
      </c>
      <c r="L3990" t="b">
        <f>TablaDatos[[#This Row],[FechaAlta]] &lt; TablaDatos[[#This Row],[FechaIngreso]]</f>
        <v>0</v>
      </c>
      <c r="M3990">
        <f>_xlfn.XLOOKUP(TablaDatos[[#This Row],[PacienteID]],'Datos_Ejemplo.csv'!A:A,'Datos_Ejemplo.csv'!I:I)</f>
        <v>14</v>
      </c>
      <c r="N3990">
        <f>ABS(TablaDatos[[#This Row],[DiasOriginal]])</f>
        <v>14</v>
      </c>
      <c r="O3990" s="1">
        <f>TablaDatos[[#This Row],[FechaIngreso]]+TablaDatos[[#This Row],[DiasNuevo]]</f>
        <v>45440</v>
      </c>
    </row>
    <row r="3991" spans="1:15">
      <c r="A3991">
        <v>3990</v>
      </c>
      <c r="B3991" t="s">
        <v>146</v>
      </c>
      <c r="C3991" s="1">
        <v>42005</v>
      </c>
      <c r="D3991">
        <v>11</v>
      </c>
      <c r="E3991" s="4" t="s">
        <v>12</v>
      </c>
      <c r="F3991" t="s">
        <v>32</v>
      </c>
      <c r="G3991" s="1">
        <v>45016</v>
      </c>
      <c r="H3991" s="1">
        <f>TablaDatos[[#This Row],[FechaIngreso]]+TablaDatos[[#This Row],[DiasNuevo]]</f>
        <v>45047</v>
      </c>
      <c r="I3991">
        <v>31</v>
      </c>
      <c r="J3991" t="s">
        <v>23</v>
      </c>
      <c r="K3991" s="3">
        <v>2042.52</v>
      </c>
      <c r="L3991" t="b">
        <f>TablaDatos[[#This Row],[FechaAlta]] &lt; TablaDatos[[#This Row],[FechaIngreso]]</f>
        <v>0</v>
      </c>
      <c r="M3991">
        <f>_xlfn.XLOOKUP(TablaDatos[[#This Row],[PacienteID]],'Datos_Ejemplo.csv'!A:A,'Datos_Ejemplo.csv'!I:I)</f>
        <v>31</v>
      </c>
      <c r="N3991">
        <f>ABS(TablaDatos[[#This Row],[DiasOriginal]])</f>
        <v>31</v>
      </c>
      <c r="O3991" s="1">
        <f>TablaDatos[[#This Row],[FechaIngreso]]+TablaDatos[[#This Row],[DiasNuevo]]</f>
        <v>45047</v>
      </c>
    </row>
    <row r="3992" spans="1:15">
      <c r="A3992">
        <v>3991</v>
      </c>
      <c r="B3992" t="s">
        <v>232</v>
      </c>
      <c r="C3992" s="1">
        <v>26664</v>
      </c>
      <c r="D3992">
        <v>53</v>
      </c>
      <c r="E3992" s="4" t="s">
        <v>12</v>
      </c>
      <c r="F3992" t="s">
        <v>18</v>
      </c>
      <c r="G3992" s="1">
        <v>45582</v>
      </c>
      <c r="H3992" s="1">
        <f>TablaDatos[[#This Row],[FechaIngreso]]+TablaDatos[[#This Row],[DiasNuevo]]</f>
        <v>45619</v>
      </c>
      <c r="I3992">
        <v>37</v>
      </c>
      <c r="J3992" t="s">
        <v>23</v>
      </c>
      <c r="K3992" s="3">
        <v>13620.69</v>
      </c>
      <c r="L3992" t="b">
        <f>TablaDatos[[#This Row],[FechaAlta]] &lt; TablaDatos[[#This Row],[FechaIngreso]]</f>
        <v>0</v>
      </c>
      <c r="M3992">
        <f>_xlfn.XLOOKUP(TablaDatos[[#This Row],[PacienteID]],'Datos_Ejemplo.csv'!A:A,'Datos_Ejemplo.csv'!I:I)</f>
        <v>37</v>
      </c>
      <c r="N3992">
        <f>ABS(TablaDatos[[#This Row],[DiasOriginal]])</f>
        <v>37</v>
      </c>
      <c r="O3992" s="1">
        <f>TablaDatos[[#This Row],[FechaIngreso]]+TablaDatos[[#This Row],[DiasNuevo]]</f>
        <v>45619</v>
      </c>
    </row>
    <row r="3993" spans="1:15">
      <c r="A3993">
        <v>3992</v>
      </c>
      <c r="B3993" t="s">
        <v>253</v>
      </c>
      <c r="C3993" s="1">
        <v>37622</v>
      </c>
      <c r="D3993">
        <v>23</v>
      </c>
      <c r="E3993" s="4" t="s">
        <v>15</v>
      </c>
      <c r="F3993" t="s">
        <v>295</v>
      </c>
      <c r="G3993" s="1">
        <v>44998</v>
      </c>
      <c r="H3993" s="1">
        <f>TablaDatos[[#This Row],[FechaIngreso]]+TablaDatos[[#This Row],[DiasNuevo]]</f>
        <v>45020</v>
      </c>
      <c r="I3993">
        <v>22</v>
      </c>
      <c r="J3993" t="s">
        <v>25</v>
      </c>
      <c r="K3993" s="3">
        <v>2642.69</v>
      </c>
      <c r="L3993" t="b">
        <f>TablaDatos[[#This Row],[FechaAlta]] &lt; TablaDatos[[#This Row],[FechaIngreso]]</f>
        <v>0</v>
      </c>
      <c r="M3993">
        <f>_xlfn.XLOOKUP(TablaDatos[[#This Row],[PacienteID]],'Datos_Ejemplo.csv'!A:A,'Datos_Ejemplo.csv'!I:I)</f>
        <v>22</v>
      </c>
      <c r="N3993">
        <f>ABS(TablaDatos[[#This Row],[DiasOriginal]])</f>
        <v>22</v>
      </c>
      <c r="O3993" s="1">
        <f>TablaDatos[[#This Row],[FechaIngreso]]+TablaDatos[[#This Row],[DiasNuevo]]</f>
        <v>45020</v>
      </c>
    </row>
    <row r="3994" spans="1:15">
      <c r="A3994">
        <v>3993</v>
      </c>
      <c r="B3994" t="s">
        <v>339</v>
      </c>
      <c r="C3994" s="1">
        <v>35795</v>
      </c>
      <c r="D3994">
        <v>28</v>
      </c>
      <c r="E3994" s="4" t="s">
        <v>15</v>
      </c>
      <c r="F3994" t="s">
        <v>32</v>
      </c>
      <c r="G3994" s="1">
        <v>45359</v>
      </c>
      <c r="H3994" s="1">
        <f>TablaDatos[[#This Row],[FechaIngreso]]+TablaDatos[[#This Row],[DiasNuevo]]</f>
        <v>45378</v>
      </c>
      <c r="I3994">
        <v>19</v>
      </c>
      <c r="J3994" t="s">
        <v>25</v>
      </c>
      <c r="K3994" s="3">
        <v>5804.89</v>
      </c>
      <c r="L3994" t="b">
        <f>TablaDatos[[#This Row],[FechaAlta]] &lt; TablaDatos[[#This Row],[FechaIngreso]]</f>
        <v>0</v>
      </c>
      <c r="M3994">
        <f>_xlfn.XLOOKUP(TablaDatos[[#This Row],[PacienteID]],'Datos_Ejemplo.csv'!A:A,'Datos_Ejemplo.csv'!I:I)</f>
        <v>19</v>
      </c>
      <c r="N3994">
        <f>ABS(TablaDatos[[#This Row],[DiasOriginal]])</f>
        <v>19</v>
      </c>
      <c r="O3994" s="1">
        <f>TablaDatos[[#This Row],[FechaIngreso]]+TablaDatos[[#This Row],[DiasNuevo]]</f>
        <v>45378</v>
      </c>
    </row>
    <row r="3995" spans="1:15">
      <c r="A3995">
        <v>3994</v>
      </c>
      <c r="B3995" t="s">
        <v>308</v>
      </c>
      <c r="C3995" s="1">
        <f ca="1">DATE(YEAR(TODAY())-TablaDatos[[#This Row],[Edad]],1,1)</f>
        <v>30682</v>
      </c>
      <c r="D3995">
        <v>42</v>
      </c>
      <c r="E3995" s="4" t="s">
        <v>12</v>
      </c>
      <c r="F3995" t="s">
        <v>261</v>
      </c>
      <c r="G3995" s="1">
        <v>45615</v>
      </c>
      <c r="H3995" s="1">
        <f>TablaDatos[[#This Row],[FechaIngreso]]+TablaDatos[[#This Row],[DiasNuevo]]</f>
        <v>45638</v>
      </c>
      <c r="I3995">
        <v>23</v>
      </c>
      <c r="J3995" t="s">
        <v>25</v>
      </c>
      <c r="K3995" s="3">
        <v>9957.33</v>
      </c>
      <c r="L3995" t="b">
        <f>TablaDatos[[#This Row],[FechaAlta]] &lt; TablaDatos[[#This Row],[FechaIngreso]]</f>
        <v>0</v>
      </c>
      <c r="M3995">
        <f>_xlfn.XLOOKUP(TablaDatos[[#This Row],[PacienteID]],'Datos_Ejemplo.csv'!A:A,'Datos_Ejemplo.csv'!I:I)</f>
        <v>23</v>
      </c>
      <c r="N3995">
        <f>ABS(TablaDatos[[#This Row],[DiasOriginal]])</f>
        <v>23</v>
      </c>
      <c r="O3995" s="1">
        <f>TablaDatos[[#This Row],[FechaIngreso]]+TablaDatos[[#This Row],[DiasNuevo]]</f>
        <v>45638</v>
      </c>
    </row>
    <row r="3996" spans="1:15">
      <c r="A3996">
        <v>3995</v>
      </c>
      <c r="B3996" t="s">
        <v>230</v>
      </c>
      <c r="C3996" s="1">
        <v>37256</v>
      </c>
      <c r="D3996">
        <v>24</v>
      </c>
      <c r="E3996" s="4" t="s">
        <v>15</v>
      </c>
      <c r="F3996" t="s">
        <v>21</v>
      </c>
      <c r="G3996" s="1">
        <v>45274</v>
      </c>
      <c r="H3996" s="1">
        <f>TablaDatos[[#This Row],[FechaIngreso]]+TablaDatos[[#This Row],[DiasNuevo]]</f>
        <v>45298</v>
      </c>
      <c r="I3996">
        <v>24</v>
      </c>
      <c r="J3996" t="s">
        <v>23</v>
      </c>
      <c r="K3996" s="3">
        <v>13565.64</v>
      </c>
      <c r="L3996" t="b">
        <f>TablaDatos[[#This Row],[FechaAlta]] &lt; TablaDatos[[#This Row],[FechaIngreso]]</f>
        <v>0</v>
      </c>
      <c r="M3996">
        <f>_xlfn.XLOOKUP(TablaDatos[[#This Row],[PacienteID]],'Datos_Ejemplo.csv'!A:A,'Datos_Ejemplo.csv'!I:I)</f>
        <v>24</v>
      </c>
      <c r="N3996">
        <f>ABS(TablaDatos[[#This Row],[DiasOriginal]])</f>
        <v>24</v>
      </c>
      <c r="O3996" s="1">
        <f>TablaDatos[[#This Row],[FechaIngreso]]+TablaDatos[[#This Row],[DiasNuevo]]</f>
        <v>45298</v>
      </c>
    </row>
    <row r="3997" spans="1:15">
      <c r="A3997">
        <v>3996</v>
      </c>
      <c r="B3997" t="s">
        <v>306</v>
      </c>
      <c r="C3997" s="1">
        <v>24473</v>
      </c>
      <c r="D3997">
        <v>59</v>
      </c>
      <c r="E3997" s="4" t="s">
        <v>12</v>
      </c>
      <c r="F3997" t="s">
        <v>32</v>
      </c>
      <c r="G3997" s="1">
        <v>45189</v>
      </c>
      <c r="H3997" s="1">
        <f>TablaDatos[[#This Row],[FechaIngreso]]+TablaDatos[[#This Row],[DiasNuevo]]</f>
        <v>45224</v>
      </c>
      <c r="I3997">
        <v>35</v>
      </c>
      <c r="J3997" t="s">
        <v>25</v>
      </c>
      <c r="K3997" s="3">
        <v>18517.18</v>
      </c>
      <c r="L3997" t="b">
        <f>TablaDatos[[#This Row],[FechaAlta]] &lt; TablaDatos[[#This Row],[FechaIngreso]]</f>
        <v>0</v>
      </c>
      <c r="M3997">
        <f>_xlfn.XLOOKUP(TablaDatos[[#This Row],[PacienteID]],'Datos_Ejemplo.csv'!A:A,'Datos_Ejemplo.csv'!I:I)</f>
        <v>35</v>
      </c>
      <c r="N3997">
        <f>ABS(TablaDatos[[#This Row],[DiasOriginal]])</f>
        <v>35</v>
      </c>
      <c r="O3997" s="1">
        <f>TablaDatos[[#This Row],[FechaIngreso]]+TablaDatos[[#This Row],[DiasNuevo]]</f>
        <v>45224</v>
      </c>
    </row>
    <row r="3998" spans="1:15">
      <c r="A3998">
        <v>3997</v>
      </c>
      <c r="B3998" t="s">
        <v>259</v>
      </c>
      <c r="C3998" s="1">
        <v>13515</v>
      </c>
      <c r="D3998">
        <v>89</v>
      </c>
      <c r="E3998" s="4" t="s">
        <v>197</v>
      </c>
      <c r="F3998" t="s">
        <v>295</v>
      </c>
      <c r="G3998" s="1">
        <v>45197</v>
      </c>
      <c r="H3998" s="1">
        <f>TablaDatos[[#This Row],[FechaIngreso]]+TablaDatos[[#This Row],[DiasNuevo]]</f>
        <v>45203</v>
      </c>
      <c r="I3998">
        <v>6</v>
      </c>
      <c r="J3998" t="s">
        <v>19</v>
      </c>
      <c r="K3998" s="3">
        <v>11824.12</v>
      </c>
      <c r="L3998" t="b">
        <f>TablaDatos[[#This Row],[FechaAlta]] &lt; TablaDatos[[#This Row],[FechaIngreso]]</f>
        <v>0</v>
      </c>
      <c r="M3998">
        <f>_xlfn.XLOOKUP(TablaDatos[[#This Row],[PacienteID]],'Datos_Ejemplo.csv'!A:A,'Datos_Ejemplo.csv'!I:I)</f>
        <v>6</v>
      </c>
      <c r="N3998">
        <f>ABS(TablaDatos[[#This Row],[DiasOriginal]])</f>
        <v>6</v>
      </c>
      <c r="O3998" s="1">
        <f>TablaDatos[[#This Row],[FechaIngreso]]+TablaDatos[[#This Row],[DiasNuevo]]</f>
        <v>45203</v>
      </c>
    </row>
    <row r="3999" spans="1:15">
      <c r="A3999">
        <v>3998</v>
      </c>
      <c r="B3999" t="s">
        <v>270</v>
      </c>
      <c r="C3999" s="1">
        <v>22646</v>
      </c>
      <c r="D3999">
        <v>64</v>
      </c>
      <c r="E3999" s="4" t="s">
        <v>15</v>
      </c>
      <c r="F3999" t="s">
        <v>261</v>
      </c>
      <c r="G3999" s="1">
        <v>45435</v>
      </c>
      <c r="H3999" s="1">
        <f>TablaDatos[[#This Row],[FechaIngreso]]+TablaDatos[[#This Row],[DiasNuevo]]</f>
        <v>45469</v>
      </c>
      <c r="I3999">
        <v>34</v>
      </c>
      <c r="J3999" t="s">
        <v>19</v>
      </c>
      <c r="K3999" s="3">
        <v>13395.4</v>
      </c>
      <c r="L3999" t="b">
        <f>TablaDatos[[#This Row],[FechaAlta]] &lt; TablaDatos[[#This Row],[FechaIngreso]]</f>
        <v>0</v>
      </c>
      <c r="M3999">
        <f>_xlfn.XLOOKUP(TablaDatos[[#This Row],[PacienteID]],'Datos_Ejemplo.csv'!A:A,'Datos_Ejemplo.csv'!I:I)</f>
        <v>34</v>
      </c>
      <c r="N3999">
        <f>ABS(TablaDatos[[#This Row],[DiasOriginal]])</f>
        <v>34</v>
      </c>
      <c r="O3999" s="1">
        <f>TablaDatos[[#This Row],[FechaIngreso]]+TablaDatos[[#This Row],[DiasNuevo]]</f>
        <v>45469</v>
      </c>
    </row>
    <row r="4000" spans="1:15">
      <c r="A4000">
        <v>3999</v>
      </c>
      <c r="B4000" t="s">
        <v>266</v>
      </c>
      <c r="C4000" s="1">
        <v>15707</v>
      </c>
      <c r="D4000">
        <v>83</v>
      </c>
      <c r="E4000" s="4" t="s">
        <v>15</v>
      </c>
      <c r="F4000" t="s">
        <v>32</v>
      </c>
      <c r="G4000" s="1">
        <v>45434</v>
      </c>
      <c r="H4000" s="1">
        <f>TablaDatos[[#This Row],[FechaIngreso]]+TablaDatos[[#This Row],[DiasNuevo]]</f>
        <v>45436</v>
      </c>
      <c r="I4000">
        <v>2</v>
      </c>
      <c r="J4000" t="s">
        <v>25</v>
      </c>
      <c r="K4000" s="3">
        <v>6131.28</v>
      </c>
      <c r="L4000" t="b">
        <f>TablaDatos[[#This Row],[FechaAlta]] &lt; TablaDatos[[#This Row],[FechaIngreso]]</f>
        <v>0</v>
      </c>
      <c r="M4000">
        <f>_xlfn.XLOOKUP(TablaDatos[[#This Row],[PacienteID]],'Datos_Ejemplo.csv'!A:A,'Datos_Ejemplo.csv'!I:I)</f>
        <v>2</v>
      </c>
      <c r="N4000">
        <f>ABS(TablaDatos[[#This Row],[DiasOriginal]])</f>
        <v>2</v>
      </c>
      <c r="O4000" s="1">
        <f>TablaDatos[[#This Row],[FechaIngreso]]+TablaDatos[[#This Row],[DiasNuevo]]</f>
        <v>45436</v>
      </c>
    </row>
    <row r="4001" spans="1:15">
      <c r="A4001">
        <v>4000</v>
      </c>
      <c r="B4001" t="s">
        <v>242</v>
      </c>
      <c r="C4001" s="1">
        <v>36161</v>
      </c>
      <c r="D4001">
        <v>27</v>
      </c>
      <c r="E4001" s="4" t="s">
        <v>15</v>
      </c>
      <c r="F4001" t="s">
        <v>21</v>
      </c>
      <c r="G4001" s="1">
        <v>45543</v>
      </c>
      <c r="H4001" s="1">
        <f>TablaDatos[[#This Row],[FechaIngreso]]+TablaDatos[[#This Row],[DiasNuevo]]</f>
        <v>45558</v>
      </c>
      <c r="I4001">
        <v>15</v>
      </c>
      <c r="J4001" t="s">
        <v>19</v>
      </c>
      <c r="K4001" s="3">
        <v>13714.58</v>
      </c>
      <c r="L4001" t="b">
        <f>TablaDatos[[#This Row],[FechaAlta]] &lt; TablaDatos[[#This Row],[FechaIngreso]]</f>
        <v>0</v>
      </c>
      <c r="M4001">
        <f>_xlfn.XLOOKUP(TablaDatos[[#This Row],[PacienteID]],'Datos_Ejemplo.csv'!A:A,'Datos_Ejemplo.csv'!I:I)</f>
        <v>15</v>
      </c>
      <c r="N4001">
        <f>ABS(TablaDatos[[#This Row],[DiasOriginal]])</f>
        <v>15</v>
      </c>
      <c r="O4001" s="1">
        <f>TablaDatos[[#This Row],[FechaIngreso]]+TablaDatos[[#This Row],[DiasNuevo]]</f>
        <v>45558</v>
      </c>
    </row>
    <row r="4002" spans="1:15">
      <c r="A4002">
        <v>4001</v>
      </c>
      <c r="B4002" t="s">
        <v>102</v>
      </c>
      <c r="C4002" s="1">
        <v>40544</v>
      </c>
      <c r="D4002">
        <v>15</v>
      </c>
      <c r="E4002" s="4" t="s">
        <v>12</v>
      </c>
      <c r="F4002" t="s">
        <v>295</v>
      </c>
      <c r="G4002" s="1">
        <v>45346</v>
      </c>
      <c r="H4002" s="1">
        <f>TablaDatos[[#This Row],[FechaIngreso]]+TablaDatos[[#This Row],[DiasNuevo]]</f>
        <v>45365</v>
      </c>
      <c r="I4002">
        <v>19</v>
      </c>
      <c r="J4002" t="s">
        <v>19</v>
      </c>
      <c r="K4002" s="3">
        <v>8699.58</v>
      </c>
      <c r="L4002" t="b">
        <f>TablaDatos[[#This Row],[FechaAlta]] &lt; TablaDatos[[#This Row],[FechaIngreso]]</f>
        <v>0</v>
      </c>
      <c r="M4002">
        <f>_xlfn.XLOOKUP(TablaDatos[[#This Row],[PacienteID]],'Datos_Ejemplo.csv'!A:A,'Datos_Ejemplo.csv'!I:I)</f>
        <v>19</v>
      </c>
      <c r="N4002">
        <f>ABS(TablaDatos[[#This Row],[DiasOriginal]])</f>
        <v>19</v>
      </c>
      <c r="O4002" s="1">
        <f>TablaDatos[[#This Row],[FechaIngreso]]+TablaDatos[[#This Row],[DiasNuevo]]</f>
        <v>45365</v>
      </c>
    </row>
    <row r="4003" spans="1:15">
      <c r="A4003">
        <v>4002</v>
      </c>
      <c r="B4003" t="s">
        <v>236</v>
      </c>
      <c r="C4003" s="1">
        <v>29221</v>
      </c>
      <c r="D4003">
        <f ca="1">DATEDIF(TablaDatos[[#This Row],[FechaNacimiento]],TODAY(),"Y")</f>
        <v>46</v>
      </c>
      <c r="E4003" s="4" t="s">
        <v>15</v>
      </c>
      <c r="F4003" t="s">
        <v>18</v>
      </c>
      <c r="G4003" s="1">
        <v>44998</v>
      </c>
      <c r="H4003" s="1">
        <f>TablaDatos[[#This Row],[FechaIngreso]]+TablaDatos[[#This Row],[DiasNuevo]]</f>
        <v>45007</v>
      </c>
      <c r="I4003">
        <v>9</v>
      </c>
      <c r="J4003" t="s">
        <v>23</v>
      </c>
      <c r="K4003" s="3">
        <v>17124.32</v>
      </c>
      <c r="L4003" t="b">
        <f>TablaDatos[[#This Row],[FechaAlta]] &lt; TablaDatos[[#This Row],[FechaIngreso]]</f>
        <v>0</v>
      </c>
      <c r="M4003">
        <f>_xlfn.XLOOKUP(TablaDatos[[#This Row],[PacienteID]],'Datos_Ejemplo.csv'!A:A,'Datos_Ejemplo.csv'!I:I)</f>
        <v>9</v>
      </c>
      <c r="N4003">
        <f>ABS(TablaDatos[[#This Row],[DiasOriginal]])</f>
        <v>9</v>
      </c>
      <c r="O4003" s="1">
        <f>TablaDatos[[#This Row],[FechaIngreso]]+TablaDatos[[#This Row],[DiasNuevo]]</f>
        <v>45007</v>
      </c>
    </row>
    <row r="4004" spans="1:15">
      <c r="A4004">
        <v>4003</v>
      </c>
      <c r="B4004" t="s">
        <v>244</v>
      </c>
      <c r="C4004" s="1">
        <v>16802</v>
      </c>
      <c r="D4004">
        <v>80</v>
      </c>
      <c r="E4004" s="4" t="s">
        <v>15</v>
      </c>
      <c r="F4004" t="s">
        <v>18</v>
      </c>
      <c r="G4004" s="1">
        <v>45000</v>
      </c>
      <c r="H4004" s="1">
        <f>TablaDatos[[#This Row],[FechaIngreso]]+TablaDatos[[#This Row],[DiasNuevo]]</f>
        <v>45019</v>
      </c>
      <c r="I4004">
        <v>19</v>
      </c>
      <c r="J4004" t="s">
        <v>25</v>
      </c>
      <c r="K4004" s="3">
        <v>7788.26</v>
      </c>
      <c r="L4004" t="b">
        <f>TablaDatos[[#This Row],[FechaAlta]] &lt; TablaDatos[[#This Row],[FechaIngreso]]</f>
        <v>0</v>
      </c>
      <c r="M4004">
        <f>_xlfn.XLOOKUP(TablaDatos[[#This Row],[PacienteID]],'Datos_Ejemplo.csv'!A:A,'Datos_Ejemplo.csv'!I:I)</f>
        <v>19</v>
      </c>
      <c r="N4004">
        <f>ABS(TablaDatos[[#This Row],[DiasOriginal]])</f>
        <v>19</v>
      </c>
      <c r="O4004" s="1">
        <f>TablaDatos[[#This Row],[FechaIngreso]]+TablaDatos[[#This Row],[DiasNuevo]]</f>
        <v>45019</v>
      </c>
    </row>
    <row r="4005" spans="1:15">
      <c r="A4005">
        <v>4004</v>
      </c>
      <c r="B4005" t="s">
        <v>242</v>
      </c>
      <c r="C4005" s="1">
        <v>12785</v>
      </c>
      <c r="D4005">
        <v>91</v>
      </c>
      <c r="E4005" s="4" t="s">
        <v>12</v>
      </c>
      <c r="F4005" t="s">
        <v>13</v>
      </c>
      <c r="G4005" s="1">
        <v>45581</v>
      </c>
      <c r="H4005" s="1">
        <f>TablaDatos[[#This Row],[FechaIngreso]]+TablaDatos[[#This Row],[DiasNuevo]]</f>
        <v>45584</v>
      </c>
      <c r="I4005">
        <v>3</v>
      </c>
      <c r="J4005" t="s">
        <v>23</v>
      </c>
      <c r="K4005" s="3">
        <v>9312.27</v>
      </c>
      <c r="L4005" t="b">
        <f>TablaDatos[[#This Row],[FechaAlta]] &lt; TablaDatos[[#This Row],[FechaIngreso]]</f>
        <v>0</v>
      </c>
      <c r="M4005">
        <f>_xlfn.XLOOKUP(TablaDatos[[#This Row],[PacienteID]],'Datos_Ejemplo.csv'!A:A,'Datos_Ejemplo.csv'!I:I)</f>
        <v>3</v>
      </c>
      <c r="N4005">
        <f>ABS(TablaDatos[[#This Row],[DiasOriginal]])</f>
        <v>3</v>
      </c>
      <c r="O4005" s="1">
        <f>TablaDatos[[#This Row],[FechaIngreso]]+TablaDatos[[#This Row],[DiasNuevo]]</f>
        <v>45584</v>
      </c>
    </row>
    <row r="4006" spans="1:15">
      <c r="A4006">
        <v>4005</v>
      </c>
      <c r="B4006" t="s">
        <v>278</v>
      </c>
      <c r="C4006" s="1">
        <f ca="1">DATE(YEAR(TODAY())-TablaDatos[[#This Row],[Edad]],1,1)</f>
        <v>25204</v>
      </c>
      <c r="D4006">
        <v>57</v>
      </c>
      <c r="E4006" s="4" t="s">
        <v>12</v>
      </c>
      <c r="F4006" t="s">
        <v>32</v>
      </c>
      <c r="G4006" s="1">
        <v>45429</v>
      </c>
      <c r="H4006" s="1">
        <f>TablaDatos[[#This Row],[FechaIngreso]]+TablaDatos[[#This Row],[DiasNuevo]]</f>
        <v>45462</v>
      </c>
      <c r="I4006">
        <v>33</v>
      </c>
      <c r="J4006" t="s">
        <v>25</v>
      </c>
      <c r="K4006" s="3">
        <v>8595.01</v>
      </c>
      <c r="L4006" t="b">
        <f>TablaDatos[[#This Row],[FechaAlta]] &lt; TablaDatos[[#This Row],[FechaIngreso]]</f>
        <v>0</v>
      </c>
      <c r="M4006">
        <f>_xlfn.XLOOKUP(TablaDatos[[#This Row],[PacienteID]],'Datos_Ejemplo.csv'!A:A,'Datos_Ejemplo.csv'!I:I)</f>
        <v>33</v>
      </c>
      <c r="N4006">
        <f>ABS(TablaDatos[[#This Row],[DiasOriginal]])</f>
        <v>33</v>
      </c>
      <c r="O4006" s="1">
        <f>TablaDatos[[#This Row],[FechaIngreso]]+TablaDatos[[#This Row],[DiasNuevo]]</f>
        <v>45462</v>
      </c>
    </row>
    <row r="4007" spans="1:15">
      <c r="A4007">
        <v>4006</v>
      </c>
      <c r="B4007" t="s">
        <v>299</v>
      </c>
      <c r="C4007" s="1">
        <f ca="1">DATE(YEAR(TODAY())-TablaDatos[[#This Row],[Edad]],1,1)</f>
        <v>18629</v>
      </c>
      <c r="D4007">
        <v>75</v>
      </c>
      <c r="E4007" s="4" t="s">
        <v>15</v>
      </c>
      <c r="F4007" t="s">
        <v>21</v>
      </c>
      <c r="G4007" s="1">
        <v>45500</v>
      </c>
      <c r="H4007" s="1">
        <f>TablaDatos[[#This Row],[FechaIngreso]]+TablaDatos[[#This Row],[DiasNuevo]]</f>
        <v>45524</v>
      </c>
      <c r="I4007">
        <v>24</v>
      </c>
      <c r="J4007" t="s">
        <v>23</v>
      </c>
      <c r="K4007" s="3">
        <v>16203.57</v>
      </c>
      <c r="L4007" t="b">
        <f>TablaDatos[[#This Row],[FechaAlta]] &lt; TablaDatos[[#This Row],[FechaIngreso]]</f>
        <v>0</v>
      </c>
      <c r="M4007">
        <f>_xlfn.XLOOKUP(TablaDatos[[#This Row],[PacienteID]],'Datos_Ejemplo.csv'!A:A,'Datos_Ejemplo.csv'!I:I)</f>
        <v>24</v>
      </c>
      <c r="N4007">
        <f>ABS(TablaDatos[[#This Row],[DiasOriginal]])</f>
        <v>24</v>
      </c>
      <c r="O4007" s="1">
        <f>TablaDatos[[#This Row],[FechaIngreso]]+TablaDatos[[#This Row],[DiasNuevo]]</f>
        <v>45524</v>
      </c>
    </row>
    <row r="4008" spans="1:15">
      <c r="A4008">
        <v>4007</v>
      </c>
      <c r="B4008" t="s">
        <v>289</v>
      </c>
      <c r="C4008" s="1">
        <v>36526</v>
      </c>
      <c r="D4008">
        <v>26</v>
      </c>
      <c r="E4008" s="4" t="s">
        <v>15</v>
      </c>
      <c r="F4008" t="s">
        <v>32</v>
      </c>
      <c r="G4008" s="1">
        <v>45072</v>
      </c>
      <c r="H4008" s="1">
        <f>TablaDatos[[#This Row],[FechaIngreso]]+TablaDatos[[#This Row],[DiasNuevo]]</f>
        <v>45084</v>
      </c>
      <c r="I4008">
        <v>12</v>
      </c>
      <c r="J4008" t="s">
        <v>19</v>
      </c>
      <c r="K4008" s="3">
        <v>19069.349999999999</v>
      </c>
      <c r="L4008" t="b">
        <f>TablaDatos[[#This Row],[FechaAlta]] &lt; TablaDatos[[#This Row],[FechaIngreso]]</f>
        <v>0</v>
      </c>
      <c r="M4008">
        <f>_xlfn.XLOOKUP(TablaDatos[[#This Row],[PacienteID]],'Datos_Ejemplo.csv'!A:A,'Datos_Ejemplo.csv'!I:I)</f>
        <v>12</v>
      </c>
      <c r="N4008">
        <f>ABS(TablaDatos[[#This Row],[DiasOriginal]])</f>
        <v>12</v>
      </c>
      <c r="O4008" s="1">
        <f>TablaDatos[[#This Row],[FechaIngreso]]+TablaDatos[[#This Row],[DiasNuevo]]</f>
        <v>45084</v>
      </c>
    </row>
    <row r="4009" spans="1:15">
      <c r="A4009">
        <v>4008</v>
      </c>
      <c r="B4009" t="s">
        <v>280</v>
      </c>
      <c r="C4009" s="1">
        <v>27029</v>
      </c>
      <c r="D4009">
        <v>52</v>
      </c>
      <c r="E4009" s="4" t="s">
        <v>197</v>
      </c>
      <c r="F4009" t="s">
        <v>295</v>
      </c>
      <c r="G4009" s="1">
        <v>44972</v>
      </c>
      <c r="H4009" s="1">
        <f>TablaDatos[[#This Row],[FechaIngreso]]+TablaDatos[[#This Row],[DiasNuevo]]</f>
        <v>44986</v>
      </c>
      <c r="I4009">
        <v>14</v>
      </c>
      <c r="J4009" t="s">
        <v>23</v>
      </c>
      <c r="K4009" s="3">
        <v>6478.25</v>
      </c>
      <c r="L4009" t="b">
        <f>TablaDatos[[#This Row],[FechaAlta]] &lt; TablaDatos[[#This Row],[FechaIngreso]]</f>
        <v>0</v>
      </c>
      <c r="M4009">
        <f>_xlfn.XLOOKUP(TablaDatos[[#This Row],[PacienteID]],'Datos_Ejemplo.csv'!A:A,'Datos_Ejemplo.csv'!I:I)</f>
        <v>14</v>
      </c>
      <c r="N4009">
        <f>ABS(TablaDatos[[#This Row],[DiasOriginal]])</f>
        <v>14</v>
      </c>
      <c r="O4009" s="1">
        <f>TablaDatos[[#This Row],[FechaIngreso]]+TablaDatos[[#This Row],[DiasNuevo]]</f>
        <v>44986</v>
      </c>
    </row>
    <row r="4010" spans="1:15">
      <c r="A4010">
        <v>4009</v>
      </c>
      <c r="B4010" t="s">
        <v>353</v>
      </c>
      <c r="C4010" s="1">
        <v>31047</v>
      </c>
      <c r="D4010">
        <v>41</v>
      </c>
      <c r="E4010" s="4" t="s">
        <v>12</v>
      </c>
      <c r="F4010" t="s">
        <v>13</v>
      </c>
      <c r="G4010" s="1">
        <v>45031</v>
      </c>
      <c r="H4010" s="1">
        <f>TablaDatos[[#This Row],[FechaIngreso]]+TablaDatos[[#This Row],[DiasNuevo]]</f>
        <v>45031</v>
      </c>
      <c r="I4010">
        <v>0</v>
      </c>
      <c r="J4010" t="s">
        <v>23</v>
      </c>
      <c r="K4010" s="3">
        <v>9448.06</v>
      </c>
      <c r="L4010" t="b">
        <f>TablaDatos[[#This Row],[FechaAlta]] &lt; TablaDatos[[#This Row],[FechaIngreso]]</f>
        <v>0</v>
      </c>
      <c r="M4010">
        <f>_xlfn.XLOOKUP(TablaDatos[[#This Row],[PacienteID]],'Datos_Ejemplo.csv'!A:A,'Datos_Ejemplo.csv'!I:I)</f>
        <v>0</v>
      </c>
      <c r="N4010">
        <f>ABS(TablaDatos[[#This Row],[DiasOriginal]])</f>
        <v>0</v>
      </c>
      <c r="O4010" s="1">
        <f>TablaDatos[[#This Row],[FechaIngreso]]+TablaDatos[[#This Row],[DiasNuevo]]</f>
        <v>45031</v>
      </c>
    </row>
    <row r="4011" spans="1:15">
      <c r="A4011">
        <v>4010</v>
      </c>
      <c r="B4011" t="s">
        <v>303</v>
      </c>
      <c r="C4011" s="1">
        <v>24838</v>
      </c>
      <c r="D4011">
        <v>58</v>
      </c>
      <c r="E4011" s="4" t="s">
        <v>12</v>
      </c>
      <c r="F4011" t="s">
        <v>21</v>
      </c>
      <c r="G4011" s="1">
        <v>45035</v>
      </c>
      <c r="H4011" s="1">
        <f>TablaDatos[[#This Row],[FechaIngreso]]+TablaDatos[[#This Row],[DiasNuevo]]</f>
        <v>45042</v>
      </c>
      <c r="I4011">
        <v>7</v>
      </c>
      <c r="J4011" t="s">
        <v>23</v>
      </c>
      <c r="K4011" s="3">
        <v>14089.12</v>
      </c>
      <c r="L4011" t="b">
        <f>TablaDatos[[#This Row],[FechaAlta]] &lt; TablaDatos[[#This Row],[FechaIngreso]]</f>
        <v>0</v>
      </c>
      <c r="M4011">
        <f>_xlfn.XLOOKUP(TablaDatos[[#This Row],[PacienteID]],'Datos_Ejemplo.csv'!A:A,'Datos_Ejemplo.csv'!I:I)</f>
        <v>7</v>
      </c>
      <c r="N4011">
        <f>ABS(TablaDatos[[#This Row],[DiasOriginal]])</f>
        <v>7</v>
      </c>
      <c r="O4011" s="1">
        <f>TablaDatos[[#This Row],[FechaIngreso]]+TablaDatos[[#This Row],[DiasNuevo]]</f>
        <v>45042</v>
      </c>
    </row>
    <row r="4012" spans="1:15">
      <c r="A4012">
        <v>4011</v>
      </c>
      <c r="B4012" t="s">
        <v>356</v>
      </c>
      <c r="C4012" s="1">
        <v>29221</v>
      </c>
      <c r="D4012">
        <v>46</v>
      </c>
      <c r="E4012" s="4" t="s">
        <v>12</v>
      </c>
      <c r="F4012" t="s">
        <v>32</v>
      </c>
      <c r="G4012" s="1">
        <v>45243</v>
      </c>
      <c r="H4012" s="1">
        <f>TablaDatos[[#This Row],[FechaIngreso]]+TablaDatos[[#This Row],[DiasNuevo]]</f>
        <v>45265</v>
      </c>
      <c r="I4012">
        <v>22</v>
      </c>
      <c r="J4012" t="s">
        <v>23</v>
      </c>
      <c r="K4012" s="3">
        <v>17897.169999999998</v>
      </c>
      <c r="L4012" t="b">
        <f>TablaDatos[[#This Row],[FechaAlta]] &lt; TablaDatos[[#This Row],[FechaIngreso]]</f>
        <v>0</v>
      </c>
      <c r="M4012">
        <f>_xlfn.XLOOKUP(TablaDatos[[#This Row],[PacienteID]],'Datos_Ejemplo.csv'!A:A,'Datos_Ejemplo.csv'!I:I)</f>
        <v>22</v>
      </c>
      <c r="N4012">
        <f>ABS(TablaDatos[[#This Row],[DiasOriginal]])</f>
        <v>22</v>
      </c>
      <c r="O4012" s="1">
        <f>TablaDatos[[#This Row],[FechaIngreso]]+TablaDatos[[#This Row],[DiasNuevo]]</f>
        <v>45265</v>
      </c>
    </row>
    <row r="4013" spans="1:15">
      <c r="A4013">
        <v>4012</v>
      </c>
      <c r="B4013" t="s">
        <v>130</v>
      </c>
      <c r="C4013" s="1">
        <v>12054</v>
      </c>
      <c r="D4013">
        <v>93</v>
      </c>
      <c r="E4013" s="4" t="s">
        <v>197</v>
      </c>
      <c r="F4013" t="s">
        <v>21</v>
      </c>
      <c r="G4013" s="1">
        <v>45047</v>
      </c>
      <c r="H4013" s="1">
        <f>TablaDatos[[#This Row],[FechaIngreso]]+TablaDatos[[#This Row],[DiasNuevo]]</f>
        <v>45065</v>
      </c>
      <c r="I4013">
        <v>18</v>
      </c>
      <c r="J4013" t="s">
        <v>19</v>
      </c>
      <c r="K4013" s="3">
        <v>9823.3799999999992</v>
      </c>
      <c r="L4013" t="b">
        <f>TablaDatos[[#This Row],[FechaAlta]] &lt; TablaDatos[[#This Row],[FechaIngreso]]</f>
        <v>0</v>
      </c>
      <c r="M4013">
        <f>_xlfn.XLOOKUP(TablaDatos[[#This Row],[PacienteID]],'Datos_Ejemplo.csv'!A:A,'Datos_Ejemplo.csv'!I:I)</f>
        <v>18</v>
      </c>
      <c r="N4013">
        <f>ABS(TablaDatos[[#This Row],[DiasOriginal]])</f>
        <v>18</v>
      </c>
      <c r="O4013" s="1">
        <f>TablaDatos[[#This Row],[FechaIngreso]]+TablaDatos[[#This Row],[DiasNuevo]]</f>
        <v>45065</v>
      </c>
    </row>
    <row r="4014" spans="1:15">
      <c r="A4014">
        <v>4013</v>
      </c>
      <c r="B4014" t="s">
        <v>312</v>
      </c>
      <c r="C4014" s="1">
        <v>33969</v>
      </c>
      <c r="D4014">
        <v>33</v>
      </c>
      <c r="E4014" s="4" t="s">
        <v>12</v>
      </c>
      <c r="F4014" t="s">
        <v>295</v>
      </c>
      <c r="G4014" s="1">
        <v>45425</v>
      </c>
      <c r="H4014" s="1">
        <f>TablaDatos[[#This Row],[FechaIngreso]]+TablaDatos[[#This Row],[DiasNuevo]]</f>
        <v>45462</v>
      </c>
      <c r="I4014">
        <v>37</v>
      </c>
      <c r="J4014" t="s">
        <v>19</v>
      </c>
      <c r="K4014" s="3">
        <v>2088.7600000000002</v>
      </c>
      <c r="L4014" t="b">
        <f>TablaDatos[[#This Row],[FechaAlta]] &lt; TablaDatos[[#This Row],[FechaIngreso]]</f>
        <v>0</v>
      </c>
      <c r="M4014">
        <f>_xlfn.XLOOKUP(TablaDatos[[#This Row],[PacienteID]],'Datos_Ejemplo.csv'!A:A,'Datos_Ejemplo.csv'!I:I)</f>
        <v>37</v>
      </c>
      <c r="N4014">
        <f>ABS(TablaDatos[[#This Row],[DiasOriginal]])</f>
        <v>37</v>
      </c>
      <c r="O4014" s="1">
        <f>TablaDatos[[#This Row],[FechaIngreso]]+TablaDatos[[#This Row],[DiasNuevo]]</f>
        <v>45462</v>
      </c>
    </row>
    <row r="4015" spans="1:15">
      <c r="A4015">
        <v>4014</v>
      </c>
      <c r="B4015" t="s">
        <v>267</v>
      </c>
      <c r="C4015" s="1">
        <v>32873</v>
      </c>
      <c r="D4015">
        <v>36</v>
      </c>
      <c r="E4015" s="4" t="s">
        <v>12</v>
      </c>
      <c r="F4015" t="s">
        <v>13</v>
      </c>
      <c r="G4015" s="1">
        <v>44969</v>
      </c>
      <c r="H4015" s="1">
        <f>TablaDatos[[#This Row],[FechaIngreso]]+TablaDatos[[#This Row],[DiasNuevo]]</f>
        <v>44975</v>
      </c>
      <c r="I4015">
        <v>6</v>
      </c>
      <c r="J4015" t="s">
        <v>25</v>
      </c>
      <c r="K4015" s="3">
        <v>7310.29</v>
      </c>
      <c r="L4015" t="b">
        <f>TablaDatos[[#This Row],[FechaAlta]] &lt; TablaDatos[[#This Row],[FechaIngreso]]</f>
        <v>0</v>
      </c>
      <c r="M4015">
        <f>_xlfn.XLOOKUP(TablaDatos[[#This Row],[PacienteID]],'Datos_Ejemplo.csv'!A:A,'Datos_Ejemplo.csv'!I:I)</f>
        <v>6</v>
      </c>
      <c r="N4015">
        <f>ABS(TablaDatos[[#This Row],[DiasOriginal]])</f>
        <v>6</v>
      </c>
      <c r="O4015" s="1">
        <f>TablaDatos[[#This Row],[FechaIngreso]]+TablaDatos[[#This Row],[DiasNuevo]]</f>
        <v>44975</v>
      </c>
    </row>
    <row r="4016" spans="1:15">
      <c r="A4016">
        <v>4015</v>
      </c>
      <c r="B4016" t="s">
        <v>52</v>
      </c>
      <c r="C4016" s="1">
        <v>44196</v>
      </c>
      <c r="D4016">
        <v>5</v>
      </c>
      <c r="E4016" s="4" t="s">
        <v>12</v>
      </c>
      <c r="F4016" t="s">
        <v>21</v>
      </c>
      <c r="G4016" s="1">
        <v>45025</v>
      </c>
      <c r="H4016" s="1">
        <f>TablaDatos[[#This Row],[FechaIngreso]]+TablaDatos[[#This Row],[DiasNuevo]]</f>
        <v>45046</v>
      </c>
      <c r="I4016">
        <v>21</v>
      </c>
      <c r="J4016" t="s">
        <v>25</v>
      </c>
      <c r="K4016" s="3">
        <v>10962.27</v>
      </c>
      <c r="L4016" t="b">
        <f>TablaDatos[[#This Row],[FechaAlta]] &lt; TablaDatos[[#This Row],[FechaIngreso]]</f>
        <v>0</v>
      </c>
      <c r="M4016">
        <f>_xlfn.XLOOKUP(TablaDatos[[#This Row],[PacienteID]],'Datos_Ejemplo.csv'!A:A,'Datos_Ejemplo.csv'!I:I)</f>
        <v>21</v>
      </c>
      <c r="N4016">
        <f>ABS(TablaDatos[[#This Row],[DiasOriginal]])</f>
        <v>21</v>
      </c>
      <c r="O4016" s="1">
        <f>TablaDatos[[#This Row],[FechaIngreso]]+TablaDatos[[#This Row],[DiasNuevo]]</f>
        <v>45046</v>
      </c>
    </row>
    <row r="4017" spans="1:15">
      <c r="A4017">
        <v>4016</v>
      </c>
      <c r="B4017" t="s">
        <v>353</v>
      </c>
      <c r="C4017" s="1">
        <v>43831</v>
      </c>
      <c r="D4017">
        <v>6</v>
      </c>
      <c r="E4017" s="4" t="s">
        <v>12</v>
      </c>
      <c r="F4017" t="s">
        <v>295</v>
      </c>
      <c r="G4017" s="1">
        <v>45632</v>
      </c>
      <c r="H4017" s="1">
        <f>TablaDatos[[#This Row],[FechaIngreso]]+TablaDatos[[#This Row],[DiasNuevo]]</f>
        <v>45661</v>
      </c>
      <c r="I4017">
        <v>29</v>
      </c>
      <c r="J4017" t="s">
        <v>23</v>
      </c>
      <c r="K4017" s="3">
        <v>8292.24</v>
      </c>
      <c r="L4017" t="b">
        <f>TablaDatos[[#This Row],[FechaAlta]] &lt; TablaDatos[[#This Row],[FechaIngreso]]</f>
        <v>0</v>
      </c>
      <c r="M4017">
        <f>_xlfn.XLOOKUP(TablaDatos[[#This Row],[PacienteID]],'Datos_Ejemplo.csv'!A:A,'Datos_Ejemplo.csv'!I:I)</f>
        <v>29</v>
      </c>
      <c r="N4017">
        <f>ABS(TablaDatos[[#This Row],[DiasOriginal]])</f>
        <v>29</v>
      </c>
      <c r="O4017" s="1">
        <f>TablaDatos[[#This Row],[FechaIngreso]]+TablaDatos[[#This Row],[DiasNuevo]]</f>
        <v>45661</v>
      </c>
    </row>
    <row r="4018" spans="1:15">
      <c r="A4018">
        <v>4017</v>
      </c>
      <c r="B4018" t="s">
        <v>285</v>
      </c>
      <c r="C4018" s="1">
        <v>37256</v>
      </c>
      <c r="D4018">
        <v>24</v>
      </c>
      <c r="E4018" s="4" t="s">
        <v>15</v>
      </c>
      <c r="F4018" t="s">
        <v>18</v>
      </c>
      <c r="G4018" s="1">
        <v>45237</v>
      </c>
      <c r="H4018" s="1">
        <f>TablaDatos[[#This Row],[FechaIngreso]]+TablaDatos[[#This Row],[DiasNuevo]]</f>
        <v>45237</v>
      </c>
      <c r="I4018">
        <v>0</v>
      </c>
      <c r="J4018" t="s">
        <v>19</v>
      </c>
      <c r="K4018" s="3">
        <v>3649.77</v>
      </c>
      <c r="L4018" t="b">
        <f>TablaDatos[[#This Row],[FechaAlta]] &lt; TablaDatos[[#This Row],[FechaIngreso]]</f>
        <v>0</v>
      </c>
      <c r="M4018">
        <f>_xlfn.XLOOKUP(TablaDatos[[#This Row],[PacienteID]],'Datos_Ejemplo.csv'!A:A,'Datos_Ejemplo.csv'!I:I)</f>
        <v>0</v>
      </c>
      <c r="N4018">
        <f>ABS(TablaDatos[[#This Row],[DiasOriginal]])</f>
        <v>0</v>
      </c>
      <c r="O4018" s="1">
        <f>TablaDatos[[#This Row],[FechaIngreso]]+TablaDatos[[#This Row],[DiasNuevo]]</f>
        <v>45237</v>
      </c>
    </row>
    <row r="4019" spans="1:15">
      <c r="A4019">
        <v>4018</v>
      </c>
      <c r="B4019" t="s">
        <v>255</v>
      </c>
      <c r="C4019" s="1">
        <v>34334</v>
      </c>
      <c r="D4019">
        <v>32</v>
      </c>
      <c r="E4019" s="4" t="s">
        <v>15</v>
      </c>
      <c r="F4019" t="s">
        <v>21</v>
      </c>
      <c r="G4019" s="1">
        <v>45140</v>
      </c>
      <c r="H4019" s="1">
        <f>TablaDatos[[#This Row],[FechaIngreso]]+TablaDatos[[#This Row],[DiasNuevo]]</f>
        <v>45170</v>
      </c>
      <c r="I4019">
        <v>30</v>
      </c>
      <c r="J4019" t="s">
        <v>19</v>
      </c>
      <c r="K4019" s="3">
        <v>643.49</v>
      </c>
      <c r="L4019" t="b">
        <f>TablaDatos[[#This Row],[FechaAlta]] &lt; TablaDatos[[#This Row],[FechaIngreso]]</f>
        <v>0</v>
      </c>
      <c r="M4019">
        <f>_xlfn.XLOOKUP(TablaDatos[[#This Row],[PacienteID]],'Datos_Ejemplo.csv'!A:A,'Datos_Ejemplo.csv'!I:I)</f>
        <v>30</v>
      </c>
      <c r="N4019">
        <f>ABS(TablaDatos[[#This Row],[DiasOriginal]])</f>
        <v>30</v>
      </c>
      <c r="O4019" s="1">
        <f>TablaDatos[[#This Row],[FechaIngreso]]+TablaDatos[[#This Row],[DiasNuevo]]</f>
        <v>45170</v>
      </c>
    </row>
    <row r="4020" spans="1:15">
      <c r="A4020">
        <v>4019</v>
      </c>
      <c r="B4020" t="s">
        <v>235</v>
      </c>
      <c r="C4020" s="1">
        <v>26299</v>
      </c>
      <c r="D4020">
        <v>54</v>
      </c>
      <c r="E4020" s="4" t="s">
        <v>12</v>
      </c>
      <c r="F4020" t="s">
        <v>13</v>
      </c>
      <c r="G4020" s="1">
        <v>45389</v>
      </c>
      <c r="H4020" s="1">
        <f>TablaDatos[[#This Row],[FechaIngreso]]+TablaDatos[[#This Row],[DiasNuevo]]</f>
        <v>45398</v>
      </c>
      <c r="I4020">
        <v>9</v>
      </c>
      <c r="J4020" t="s">
        <v>23</v>
      </c>
      <c r="K4020" s="3">
        <v>13716.91</v>
      </c>
      <c r="L4020" t="b">
        <f>TablaDatos[[#This Row],[FechaAlta]] &lt; TablaDatos[[#This Row],[FechaIngreso]]</f>
        <v>0</v>
      </c>
      <c r="M4020">
        <f>_xlfn.XLOOKUP(TablaDatos[[#This Row],[PacienteID]],'Datos_Ejemplo.csv'!A:A,'Datos_Ejemplo.csv'!I:I)</f>
        <v>9</v>
      </c>
      <c r="N4020">
        <f>ABS(TablaDatos[[#This Row],[DiasOriginal]])</f>
        <v>9</v>
      </c>
      <c r="O4020" s="1">
        <f>TablaDatos[[#This Row],[FechaIngreso]]+TablaDatos[[#This Row],[DiasNuevo]]</f>
        <v>45398</v>
      </c>
    </row>
    <row r="4021" spans="1:15">
      <c r="A4021">
        <v>4020</v>
      </c>
      <c r="B4021" t="s">
        <v>349</v>
      </c>
      <c r="C4021" s="1">
        <v>25203</v>
      </c>
      <c r="D4021">
        <v>57</v>
      </c>
      <c r="E4021" s="4" t="s">
        <v>15</v>
      </c>
      <c r="F4021" t="s">
        <v>201</v>
      </c>
      <c r="G4021" s="1">
        <v>45349</v>
      </c>
      <c r="H4021" s="1">
        <f>TablaDatos[[#This Row],[FechaIngreso]]+TablaDatos[[#This Row],[DiasNuevo]]</f>
        <v>45375</v>
      </c>
      <c r="I4021">
        <v>26</v>
      </c>
      <c r="J4021" t="s">
        <v>23</v>
      </c>
      <c r="K4021" s="3">
        <v>19854.02</v>
      </c>
      <c r="L4021" t="b">
        <f>TablaDatos[[#This Row],[FechaAlta]] &lt; TablaDatos[[#This Row],[FechaIngreso]]</f>
        <v>0</v>
      </c>
      <c r="M4021">
        <f>_xlfn.XLOOKUP(TablaDatos[[#This Row],[PacienteID]],'Datos_Ejemplo.csv'!A:A,'Datos_Ejemplo.csv'!I:I)</f>
        <v>26</v>
      </c>
      <c r="N4021">
        <f>ABS(TablaDatos[[#This Row],[DiasOriginal]])</f>
        <v>26</v>
      </c>
      <c r="O4021" s="1">
        <f>TablaDatos[[#This Row],[FechaIngreso]]+TablaDatos[[#This Row],[DiasNuevo]]</f>
        <v>45375</v>
      </c>
    </row>
    <row r="4022" spans="1:15">
      <c r="A4022">
        <v>4021</v>
      </c>
      <c r="B4022" t="s">
        <v>231</v>
      </c>
      <c r="C4022" s="1">
        <v>43831</v>
      </c>
      <c r="D4022">
        <v>6</v>
      </c>
      <c r="E4022" s="4" t="s">
        <v>12</v>
      </c>
      <c r="F4022" t="s">
        <v>261</v>
      </c>
      <c r="G4022" s="1">
        <v>45315</v>
      </c>
      <c r="H4022" s="1">
        <f>TablaDatos[[#This Row],[FechaIngreso]]+TablaDatos[[#This Row],[DiasNuevo]]</f>
        <v>45333</v>
      </c>
      <c r="I4022">
        <v>18</v>
      </c>
      <c r="J4022" t="s">
        <v>23</v>
      </c>
      <c r="K4022" s="3">
        <v>18376.05</v>
      </c>
      <c r="L4022" t="b">
        <f>TablaDatos[[#This Row],[FechaAlta]] &lt; TablaDatos[[#This Row],[FechaIngreso]]</f>
        <v>0</v>
      </c>
      <c r="M4022">
        <f>_xlfn.XLOOKUP(TablaDatos[[#This Row],[PacienteID]],'Datos_Ejemplo.csv'!A:A,'Datos_Ejemplo.csv'!I:I)</f>
        <v>18</v>
      </c>
      <c r="N4022">
        <f>ABS(TablaDatos[[#This Row],[DiasOriginal]])</f>
        <v>18</v>
      </c>
      <c r="O4022" s="1">
        <f>TablaDatos[[#This Row],[FechaIngreso]]+TablaDatos[[#This Row],[DiasNuevo]]</f>
        <v>45333</v>
      </c>
    </row>
    <row r="4023" spans="1:15">
      <c r="A4023">
        <v>4022</v>
      </c>
      <c r="B4023" t="s">
        <v>122</v>
      </c>
      <c r="C4023" s="1">
        <f ca="1">DATE(YEAR(TODAY())-TablaDatos[[#This Row],[Edad]],1,1)</f>
        <v>25569</v>
      </c>
      <c r="D4023">
        <v>56</v>
      </c>
      <c r="E4023" s="4" t="s">
        <v>15</v>
      </c>
      <c r="F4023" t="s">
        <v>261</v>
      </c>
      <c r="G4023" s="1">
        <v>45623</v>
      </c>
      <c r="H4023" s="1">
        <f>TablaDatos[[#This Row],[FechaIngreso]]+TablaDatos[[#This Row],[DiasNuevo]]</f>
        <v>45659</v>
      </c>
      <c r="I4023">
        <v>36</v>
      </c>
      <c r="J4023" t="s">
        <v>23</v>
      </c>
      <c r="K4023" s="3">
        <v>13633.75</v>
      </c>
      <c r="L4023" t="b">
        <f>TablaDatos[[#This Row],[FechaAlta]] &lt; TablaDatos[[#This Row],[FechaIngreso]]</f>
        <v>0</v>
      </c>
      <c r="M4023">
        <f>_xlfn.XLOOKUP(TablaDatos[[#This Row],[PacienteID]],'Datos_Ejemplo.csv'!A:A,'Datos_Ejemplo.csv'!I:I)</f>
        <v>36</v>
      </c>
      <c r="N4023">
        <f>ABS(TablaDatos[[#This Row],[DiasOriginal]])</f>
        <v>36</v>
      </c>
      <c r="O4023" s="1">
        <f>TablaDatos[[#This Row],[FechaIngreso]]+TablaDatos[[#This Row],[DiasNuevo]]</f>
        <v>45659</v>
      </c>
    </row>
    <row r="4024" spans="1:15">
      <c r="A4024">
        <v>4023</v>
      </c>
      <c r="B4024" t="s">
        <v>262</v>
      </c>
      <c r="C4024" s="1">
        <v>42005</v>
      </c>
      <c r="D4024">
        <v>11</v>
      </c>
      <c r="E4024" s="4" t="s">
        <v>12</v>
      </c>
      <c r="F4024" t="s">
        <v>21</v>
      </c>
      <c r="G4024" s="1">
        <v>45038</v>
      </c>
      <c r="H4024" s="1">
        <f>TablaDatos[[#This Row],[FechaIngreso]]+TablaDatos[[#This Row],[DiasNuevo]]</f>
        <v>45069</v>
      </c>
      <c r="I4024">
        <v>31</v>
      </c>
      <c r="J4024" t="s">
        <v>23</v>
      </c>
      <c r="K4024" s="3">
        <v>16814.75</v>
      </c>
      <c r="L4024" t="b">
        <f>TablaDatos[[#This Row],[FechaAlta]] &lt; TablaDatos[[#This Row],[FechaIngreso]]</f>
        <v>0</v>
      </c>
      <c r="M4024">
        <f>_xlfn.XLOOKUP(TablaDatos[[#This Row],[PacienteID]],'Datos_Ejemplo.csv'!A:A,'Datos_Ejemplo.csv'!I:I)</f>
        <v>31</v>
      </c>
      <c r="N4024">
        <f>ABS(TablaDatos[[#This Row],[DiasOriginal]])</f>
        <v>31</v>
      </c>
      <c r="O4024" s="1">
        <f>TablaDatos[[#This Row],[FechaIngreso]]+TablaDatos[[#This Row],[DiasNuevo]]</f>
        <v>45069</v>
      </c>
    </row>
    <row r="4025" spans="1:15">
      <c r="A4025">
        <v>4024</v>
      </c>
      <c r="B4025" t="s">
        <v>265</v>
      </c>
      <c r="C4025" s="1">
        <v>40544</v>
      </c>
      <c r="D4025">
        <v>15</v>
      </c>
      <c r="E4025" s="4" t="s">
        <v>15</v>
      </c>
      <c r="F4025" t="s">
        <v>21</v>
      </c>
      <c r="G4025" s="1">
        <v>45198</v>
      </c>
      <c r="H4025" s="1">
        <f>TablaDatos[[#This Row],[FechaIngreso]]+TablaDatos[[#This Row],[DiasNuevo]]</f>
        <v>45228</v>
      </c>
      <c r="I4025">
        <v>30</v>
      </c>
      <c r="J4025" t="s">
        <v>25</v>
      </c>
      <c r="K4025" s="3">
        <v>5040.13</v>
      </c>
      <c r="L4025" t="b">
        <f>TablaDatos[[#This Row],[FechaAlta]] &lt; TablaDatos[[#This Row],[FechaIngreso]]</f>
        <v>0</v>
      </c>
      <c r="M4025">
        <f>_xlfn.XLOOKUP(TablaDatos[[#This Row],[PacienteID]],'Datos_Ejemplo.csv'!A:A,'Datos_Ejemplo.csv'!I:I)</f>
        <v>30</v>
      </c>
      <c r="N4025">
        <f>ABS(TablaDatos[[#This Row],[DiasOriginal]])</f>
        <v>30</v>
      </c>
      <c r="O4025" s="1">
        <f>TablaDatos[[#This Row],[FechaIngreso]]+TablaDatos[[#This Row],[DiasNuevo]]</f>
        <v>45228</v>
      </c>
    </row>
    <row r="4026" spans="1:15">
      <c r="A4026">
        <v>4025</v>
      </c>
      <c r="B4026" t="s">
        <v>151</v>
      </c>
      <c r="C4026" s="1">
        <v>17168</v>
      </c>
      <c r="D4026">
        <v>79</v>
      </c>
      <c r="E4026" s="4" t="s">
        <v>12</v>
      </c>
      <c r="F4026" t="s">
        <v>295</v>
      </c>
      <c r="G4026" s="1">
        <v>45028</v>
      </c>
      <c r="H4026" s="1">
        <f>TablaDatos[[#This Row],[FechaIngreso]]+TablaDatos[[#This Row],[DiasNuevo]]</f>
        <v>45057</v>
      </c>
      <c r="I4026">
        <v>29</v>
      </c>
      <c r="J4026" t="s">
        <v>23</v>
      </c>
      <c r="K4026" s="3">
        <v>12410.93</v>
      </c>
      <c r="L4026" t="b">
        <f>TablaDatos[[#This Row],[FechaAlta]] &lt; TablaDatos[[#This Row],[FechaIngreso]]</f>
        <v>0</v>
      </c>
      <c r="M4026">
        <f>_xlfn.XLOOKUP(TablaDatos[[#This Row],[PacienteID]],'Datos_Ejemplo.csv'!A:A,'Datos_Ejemplo.csv'!I:I)</f>
        <v>29</v>
      </c>
      <c r="N4026">
        <f>ABS(TablaDatos[[#This Row],[DiasOriginal]])</f>
        <v>29</v>
      </c>
      <c r="O4026" s="1">
        <f>TablaDatos[[#This Row],[FechaIngreso]]+TablaDatos[[#This Row],[DiasNuevo]]</f>
        <v>45057</v>
      </c>
    </row>
    <row r="4027" spans="1:15">
      <c r="A4027">
        <v>4026</v>
      </c>
      <c r="B4027" t="s">
        <v>116</v>
      </c>
      <c r="C4027" s="1">
        <v>30682</v>
      </c>
      <c r="D4027">
        <v>42</v>
      </c>
      <c r="E4027" s="4" t="s">
        <v>12</v>
      </c>
      <c r="F4027" t="s">
        <v>32</v>
      </c>
      <c r="G4027" s="1">
        <v>45136</v>
      </c>
      <c r="H4027" s="1">
        <f>TablaDatos[[#This Row],[FechaIngreso]]+TablaDatos[[#This Row],[DiasNuevo]]</f>
        <v>45153</v>
      </c>
      <c r="I4027">
        <v>17</v>
      </c>
      <c r="J4027" t="s">
        <v>23</v>
      </c>
      <c r="K4027" s="3">
        <v>1118.1400000000001</v>
      </c>
      <c r="L4027" t="b">
        <f>TablaDatos[[#This Row],[FechaAlta]] &lt; TablaDatos[[#This Row],[FechaIngreso]]</f>
        <v>0</v>
      </c>
      <c r="M4027">
        <f>_xlfn.XLOOKUP(TablaDatos[[#This Row],[PacienteID]],'Datos_Ejemplo.csv'!A:A,'Datos_Ejemplo.csv'!I:I)</f>
        <v>17</v>
      </c>
      <c r="N4027">
        <f>ABS(TablaDatos[[#This Row],[DiasOriginal]])</f>
        <v>17</v>
      </c>
      <c r="O4027" s="1">
        <f>TablaDatos[[#This Row],[FechaIngreso]]+TablaDatos[[#This Row],[DiasNuevo]]</f>
        <v>45153</v>
      </c>
    </row>
    <row r="4028" spans="1:15">
      <c r="A4028">
        <v>4027</v>
      </c>
      <c r="B4028" t="s">
        <v>233</v>
      </c>
      <c r="C4028" s="1">
        <v>18263</v>
      </c>
      <c r="D4028">
        <f ca="1">DATEDIF(TablaDatos[[#This Row],[FechaNacimiento]],TODAY(),"Y")</f>
        <v>76</v>
      </c>
      <c r="E4028" s="4" t="s">
        <v>15</v>
      </c>
      <c r="F4028" t="s">
        <v>261</v>
      </c>
      <c r="G4028" s="1">
        <v>44948</v>
      </c>
      <c r="H4028" s="1">
        <f>TablaDatos[[#This Row],[FechaIngreso]]+TablaDatos[[#This Row],[DiasNuevo]]</f>
        <v>44948</v>
      </c>
      <c r="I4028">
        <v>0</v>
      </c>
      <c r="J4028" t="s">
        <v>23</v>
      </c>
      <c r="K4028" s="3">
        <v>14114.4</v>
      </c>
      <c r="L4028" t="b">
        <f>TablaDatos[[#This Row],[FechaAlta]] &lt; TablaDatos[[#This Row],[FechaIngreso]]</f>
        <v>0</v>
      </c>
      <c r="M4028">
        <f>_xlfn.XLOOKUP(TablaDatos[[#This Row],[PacienteID]],'Datos_Ejemplo.csv'!A:A,'Datos_Ejemplo.csv'!I:I)</f>
        <v>0</v>
      </c>
      <c r="N4028">
        <f>ABS(TablaDatos[[#This Row],[DiasOriginal]])</f>
        <v>0</v>
      </c>
      <c r="O4028" s="1">
        <f>TablaDatos[[#This Row],[FechaIngreso]]+TablaDatos[[#This Row],[DiasNuevo]]</f>
        <v>44948</v>
      </c>
    </row>
    <row r="4029" spans="1:15">
      <c r="A4029">
        <v>4028</v>
      </c>
      <c r="B4029" t="s">
        <v>252</v>
      </c>
      <c r="C4029" s="1">
        <v>43831</v>
      </c>
      <c r="D4029">
        <v>6</v>
      </c>
      <c r="E4029" s="4" t="s">
        <v>12</v>
      </c>
      <c r="F4029" t="s">
        <v>32</v>
      </c>
      <c r="G4029" s="1">
        <v>45085</v>
      </c>
      <c r="H4029" s="1">
        <f>TablaDatos[[#This Row],[FechaIngreso]]+TablaDatos[[#This Row],[DiasNuevo]]</f>
        <v>45086</v>
      </c>
      <c r="I4029">
        <v>1</v>
      </c>
      <c r="J4029" t="s">
        <v>23</v>
      </c>
      <c r="K4029" s="3">
        <v>19394.43</v>
      </c>
      <c r="L4029" t="b">
        <f>TablaDatos[[#This Row],[FechaAlta]] &lt; TablaDatos[[#This Row],[FechaIngreso]]</f>
        <v>0</v>
      </c>
      <c r="M4029">
        <f>_xlfn.XLOOKUP(TablaDatos[[#This Row],[PacienteID]],'Datos_Ejemplo.csv'!A:A,'Datos_Ejemplo.csv'!I:I)</f>
        <v>1</v>
      </c>
      <c r="N4029">
        <f>ABS(TablaDatos[[#This Row],[DiasOriginal]])</f>
        <v>1</v>
      </c>
      <c r="O4029" s="1">
        <f>TablaDatos[[#This Row],[FechaIngreso]]+TablaDatos[[#This Row],[DiasNuevo]]</f>
        <v>45086</v>
      </c>
    </row>
    <row r="4030" spans="1:15">
      <c r="A4030">
        <v>4029</v>
      </c>
      <c r="B4030" t="s">
        <v>288</v>
      </c>
      <c r="C4030" s="1">
        <v>27760</v>
      </c>
      <c r="D4030">
        <v>50</v>
      </c>
      <c r="E4030" s="4" t="s">
        <v>15</v>
      </c>
      <c r="F4030" t="s">
        <v>261</v>
      </c>
      <c r="G4030" s="1">
        <v>45269</v>
      </c>
      <c r="H4030" s="1">
        <f>TablaDatos[[#This Row],[FechaIngreso]]+TablaDatos[[#This Row],[DiasNuevo]]</f>
        <v>45283</v>
      </c>
      <c r="I4030">
        <v>14</v>
      </c>
      <c r="J4030" t="s">
        <v>23</v>
      </c>
      <c r="K4030" s="3">
        <v>17202.03</v>
      </c>
      <c r="L4030" t="b">
        <f>TablaDatos[[#This Row],[FechaAlta]] &lt; TablaDatos[[#This Row],[FechaIngreso]]</f>
        <v>0</v>
      </c>
      <c r="M4030">
        <f>_xlfn.XLOOKUP(TablaDatos[[#This Row],[PacienteID]],'Datos_Ejemplo.csv'!A:A,'Datos_Ejemplo.csv'!I:I)</f>
        <v>14</v>
      </c>
      <c r="N4030">
        <f>ABS(TablaDatos[[#This Row],[DiasOriginal]])</f>
        <v>14</v>
      </c>
      <c r="O4030" s="1">
        <f>TablaDatos[[#This Row],[FechaIngreso]]+TablaDatos[[#This Row],[DiasNuevo]]</f>
        <v>45283</v>
      </c>
    </row>
    <row r="4031" spans="1:15">
      <c r="A4031">
        <v>4030</v>
      </c>
      <c r="B4031" t="s">
        <v>151</v>
      </c>
      <c r="C4031" s="1">
        <v>19724</v>
      </c>
      <c r="D4031">
        <v>72</v>
      </c>
      <c r="E4031" s="4" t="s">
        <v>15</v>
      </c>
      <c r="F4031" t="s">
        <v>21</v>
      </c>
      <c r="G4031" s="1">
        <v>45326</v>
      </c>
      <c r="H4031" s="1">
        <f>TablaDatos[[#This Row],[FechaIngreso]]+TablaDatos[[#This Row],[DiasNuevo]]</f>
        <v>45340</v>
      </c>
      <c r="I4031">
        <v>14</v>
      </c>
      <c r="J4031" t="s">
        <v>23</v>
      </c>
      <c r="K4031" s="3">
        <v>10642.26</v>
      </c>
      <c r="L4031" t="b">
        <f>TablaDatos[[#This Row],[FechaAlta]] &lt; TablaDatos[[#This Row],[FechaIngreso]]</f>
        <v>0</v>
      </c>
      <c r="M4031">
        <f>_xlfn.XLOOKUP(TablaDatos[[#This Row],[PacienteID]],'Datos_Ejemplo.csv'!A:A,'Datos_Ejemplo.csv'!I:I)</f>
        <v>14</v>
      </c>
      <c r="N4031">
        <f>ABS(TablaDatos[[#This Row],[DiasOriginal]])</f>
        <v>14</v>
      </c>
      <c r="O4031" s="1">
        <f>TablaDatos[[#This Row],[FechaIngreso]]+TablaDatos[[#This Row],[DiasNuevo]]</f>
        <v>45340</v>
      </c>
    </row>
    <row r="4032" spans="1:15">
      <c r="A4032">
        <v>4031</v>
      </c>
      <c r="B4032" t="s">
        <v>290</v>
      </c>
      <c r="C4032" s="1">
        <v>34700</v>
      </c>
      <c r="D4032">
        <v>31</v>
      </c>
      <c r="E4032" s="4" t="s">
        <v>15</v>
      </c>
      <c r="F4032" t="s">
        <v>13</v>
      </c>
      <c r="G4032" s="1">
        <v>45380</v>
      </c>
      <c r="H4032" s="1">
        <f>TablaDatos[[#This Row],[FechaIngreso]]+TablaDatos[[#This Row],[DiasNuevo]]</f>
        <v>45396</v>
      </c>
      <c r="I4032">
        <v>16</v>
      </c>
      <c r="J4032" t="s">
        <v>19</v>
      </c>
      <c r="K4032" s="3">
        <v>15753.68</v>
      </c>
      <c r="L4032" t="b">
        <f>TablaDatos[[#This Row],[FechaAlta]] &lt; TablaDatos[[#This Row],[FechaIngreso]]</f>
        <v>0</v>
      </c>
      <c r="M4032">
        <f>_xlfn.XLOOKUP(TablaDatos[[#This Row],[PacienteID]],'Datos_Ejemplo.csv'!A:A,'Datos_Ejemplo.csv'!I:I)</f>
        <v>16</v>
      </c>
      <c r="N4032">
        <f>ABS(TablaDatos[[#This Row],[DiasOriginal]])</f>
        <v>16</v>
      </c>
      <c r="O4032" s="1">
        <f>TablaDatos[[#This Row],[FechaIngreso]]+TablaDatos[[#This Row],[DiasNuevo]]</f>
        <v>45396</v>
      </c>
    </row>
    <row r="4033" spans="1:15">
      <c r="A4033">
        <v>4032</v>
      </c>
      <c r="B4033" t="s">
        <v>342</v>
      </c>
      <c r="C4033" s="1">
        <v>18994</v>
      </c>
      <c r="D4033">
        <v>74</v>
      </c>
      <c r="E4033" s="4" t="s">
        <v>15</v>
      </c>
      <c r="F4033" t="s">
        <v>13</v>
      </c>
      <c r="G4033" s="1">
        <v>45625</v>
      </c>
      <c r="H4033" s="1">
        <f>TablaDatos[[#This Row],[FechaIngreso]]+TablaDatos[[#This Row],[DiasNuevo]]</f>
        <v>45626</v>
      </c>
      <c r="I4033">
        <v>1</v>
      </c>
      <c r="J4033" t="s">
        <v>19</v>
      </c>
      <c r="K4033" s="3">
        <v>18872.37</v>
      </c>
      <c r="L4033" t="b">
        <f>TablaDatos[[#This Row],[FechaAlta]] &lt; TablaDatos[[#This Row],[FechaIngreso]]</f>
        <v>0</v>
      </c>
      <c r="M4033">
        <f>_xlfn.XLOOKUP(TablaDatos[[#This Row],[PacienteID]],'Datos_Ejemplo.csv'!A:A,'Datos_Ejemplo.csv'!I:I)</f>
        <v>1</v>
      </c>
      <c r="N4033">
        <f>ABS(TablaDatos[[#This Row],[DiasOriginal]])</f>
        <v>1</v>
      </c>
      <c r="O4033" s="1">
        <f>TablaDatos[[#This Row],[FechaIngreso]]+TablaDatos[[#This Row],[DiasNuevo]]</f>
        <v>45626</v>
      </c>
    </row>
    <row r="4034" spans="1:15">
      <c r="A4034">
        <v>4033</v>
      </c>
      <c r="B4034" t="s">
        <v>233</v>
      </c>
      <c r="C4034" s="1">
        <f ca="1">DATE(YEAR(TODAY())-TablaDatos[[#This Row],[Edad]],1,1)</f>
        <v>43466</v>
      </c>
      <c r="D4034">
        <v>7</v>
      </c>
      <c r="E4034" s="4" t="s">
        <v>197</v>
      </c>
      <c r="F4034" t="s">
        <v>201</v>
      </c>
      <c r="G4034" s="1">
        <v>45069</v>
      </c>
      <c r="H4034" s="1">
        <f>TablaDatos[[#This Row],[FechaIngreso]]+TablaDatos[[#This Row],[DiasNuevo]]</f>
        <v>45095</v>
      </c>
      <c r="I4034">
        <v>26</v>
      </c>
      <c r="J4034" t="s">
        <v>19</v>
      </c>
      <c r="K4034" s="3">
        <v>4241.95</v>
      </c>
      <c r="L4034" t="b">
        <f>TablaDatos[[#This Row],[FechaAlta]] &lt; TablaDatos[[#This Row],[FechaIngreso]]</f>
        <v>0</v>
      </c>
      <c r="M4034">
        <f>_xlfn.XLOOKUP(TablaDatos[[#This Row],[PacienteID]],'Datos_Ejemplo.csv'!A:A,'Datos_Ejemplo.csv'!I:I)</f>
        <v>26</v>
      </c>
      <c r="N4034">
        <f>ABS(TablaDatos[[#This Row],[DiasOriginal]])</f>
        <v>26</v>
      </c>
      <c r="O4034" s="1">
        <f>TablaDatos[[#This Row],[FechaIngreso]]+TablaDatos[[#This Row],[DiasNuevo]]</f>
        <v>45095</v>
      </c>
    </row>
    <row r="4035" spans="1:15">
      <c r="A4035">
        <v>4034</v>
      </c>
      <c r="B4035" t="s">
        <v>262</v>
      </c>
      <c r="C4035" s="1">
        <v>14611</v>
      </c>
      <c r="D4035">
        <v>86</v>
      </c>
      <c r="E4035" s="4" t="s">
        <v>15</v>
      </c>
      <c r="F4035" t="s">
        <v>261</v>
      </c>
      <c r="G4035" s="1">
        <v>45323</v>
      </c>
      <c r="H4035" s="1">
        <f>TablaDatos[[#This Row],[FechaIngreso]]+TablaDatos[[#This Row],[DiasNuevo]]</f>
        <v>45337</v>
      </c>
      <c r="I4035">
        <v>14</v>
      </c>
      <c r="J4035" t="s">
        <v>23</v>
      </c>
      <c r="K4035" s="3">
        <v>15844.5</v>
      </c>
      <c r="L4035" t="b">
        <f>TablaDatos[[#This Row],[FechaAlta]] &lt; TablaDatos[[#This Row],[FechaIngreso]]</f>
        <v>0</v>
      </c>
      <c r="M4035">
        <f>_xlfn.XLOOKUP(TablaDatos[[#This Row],[PacienteID]],'Datos_Ejemplo.csv'!A:A,'Datos_Ejemplo.csv'!I:I)</f>
        <v>14</v>
      </c>
      <c r="N4035">
        <f>ABS(TablaDatos[[#This Row],[DiasOriginal]])</f>
        <v>14</v>
      </c>
      <c r="O4035" s="1">
        <f>TablaDatos[[#This Row],[FechaIngreso]]+TablaDatos[[#This Row],[DiasNuevo]]</f>
        <v>45337</v>
      </c>
    </row>
    <row r="4036" spans="1:15">
      <c r="A4036">
        <v>4035</v>
      </c>
      <c r="B4036" t="s">
        <v>335</v>
      </c>
      <c r="C4036" s="1">
        <v>13880</v>
      </c>
      <c r="D4036">
        <v>88</v>
      </c>
      <c r="E4036" s="4" t="s">
        <v>12</v>
      </c>
      <c r="F4036" t="s">
        <v>261</v>
      </c>
      <c r="G4036" s="1">
        <v>45462</v>
      </c>
      <c r="H4036" s="1">
        <f>TablaDatos[[#This Row],[FechaIngreso]]+TablaDatos[[#This Row],[DiasNuevo]]</f>
        <v>45481</v>
      </c>
      <c r="I4036">
        <v>19</v>
      </c>
      <c r="J4036" t="s">
        <v>19</v>
      </c>
      <c r="K4036" s="3">
        <v>5323.92</v>
      </c>
      <c r="L4036" t="b">
        <f>TablaDatos[[#This Row],[FechaAlta]] &lt; TablaDatos[[#This Row],[FechaIngreso]]</f>
        <v>0</v>
      </c>
      <c r="M4036">
        <f>_xlfn.XLOOKUP(TablaDatos[[#This Row],[PacienteID]],'Datos_Ejemplo.csv'!A:A,'Datos_Ejemplo.csv'!I:I)</f>
        <v>19</v>
      </c>
      <c r="N4036">
        <f>ABS(TablaDatos[[#This Row],[DiasOriginal]])</f>
        <v>19</v>
      </c>
      <c r="O4036" s="1">
        <f>TablaDatos[[#This Row],[FechaIngreso]]+TablaDatos[[#This Row],[DiasNuevo]]</f>
        <v>45481</v>
      </c>
    </row>
    <row r="4037" spans="1:15">
      <c r="A4037">
        <v>4036</v>
      </c>
      <c r="B4037" t="s">
        <v>287</v>
      </c>
      <c r="C4037" s="1">
        <v>20090</v>
      </c>
      <c r="D4037">
        <v>71</v>
      </c>
      <c r="E4037" s="4" t="s">
        <v>15</v>
      </c>
      <c r="F4037" t="s">
        <v>295</v>
      </c>
      <c r="G4037" s="1">
        <v>45067</v>
      </c>
      <c r="H4037" s="1">
        <f>TablaDatos[[#This Row],[FechaIngreso]]+TablaDatos[[#This Row],[DiasNuevo]]</f>
        <v>45068</v>
      </c>
      <c r="I4037">
        <v>1</v>
      </c>
      <c r="J4037" t="s">
        <v>25</v>
      </c>
      <c r="K4037" s="3">
        <v>17526.64</v>
      </c>
      <c r="L4037" t="b">
        <f>TablaDatos[[#This Row],[FechaAlta]] &lt; TablaDatos[[#This Row],[FechaIngreso]]</f>
        <v>0</v>
      </c>
      <c r="M4037">
        <f>_xlfn.XLOOKUP(TablaDatos[[#This Row],[PacienteID]],'Datos_Ejemplo.csv'!A:A,'Datos_Ejemplo.csv'!I:I)</f>
        <v>-1</v>
      </c>
      <c r="N4037">
        <f>ABS(TablaDatos[[#This Row],[DiasOriginal]])</f>
        <v>1</v>
      </c>
      <c r="O4037" s="1">
        <f>TablaDatos[[#This Row],[FechaIngreso]]+TablaDatos[[#This Row],[DiasNuevo]]</f>
        <v>45068</v>
      </c>
    </row>
    <row r="4038" spans="1:15">
      <c r="A4038">
        <v>4037</v>
      </c>
      <c r="B4038" t="s">
        <v>289</v>
      </c>
      <c r="C4038" s="1">
        <v>29951</v>
      </c>
      <c r="D4038">
        <v>44</v>
      </c>
      <c r="E4038" s="4" t="s">
        <v>12</v>
      </c>
      <c r="F4038" t="s">
        <v>21</v>
      </c>
      <c r="G4038" s="1">
        <v>45166</v>
      </c>
      <c r="H4038" s="1">
        <f>TablaDatos[[#This Row],[FechaIngreso]]+TablaDatos[[#This Row],[DiasNuevo]]</f>
        <v>45205</v>
      </c>
      <c r="I4038">
        <v>39</v>
      </c>
      <c r="J4038" t="s">
        <v>19</v>
      </c>
      <c r="K4038" s="3">
        <v>1876.93</v>
      </c>
      <c r="L4038" t="b">
        <f>TablaDatos[[#This Row],[FechaAlta]] &lt; TablaDatos[[#This Row],[FechaIngreso]]</f>
        <v>0</v>
      </c>
      <c r="M4038">
        <f>_xlfn.XLOOKUP(TablaDatos[[#This Row],[PacienteID]],'Datos_Ejemplo.csv'!A:A,'Datos_Ejemplo.csv'!I:I)</f>
        <v>39</v>
      </c>
      <c r="N4038">
        <f>ABS(TablaDatos[[#This Row],[DiasOriginal]])</f>
        <v>39</v>
      </c>
      <c r="O4038" s="1">
        <f>TablaDatos[[#This Row],[FechaIngreso]]+TablaDatos[[#This Row],[DiasNuevo]]</f>
        <v>45205</v>
      </c>
    </row>
    <row r="4039" spans="1:15">
      <c r="A4039">
        <v>4038</v>
      </c>
      <c r="B4039" t="s">
        <v>164</v>
      </c>
      <c r="C4039" s="1">
        <v>14976</v>
      </c>
      <c r="D4039">
        <v>85</v>
      </c>
      <c r="E4039" s="4" t="s">
        <v>15</v>
      </c>
      <c r="F4039" t="s">
        <v>21</v>
      </c>
      <c r="G4039" s="1">
        <v>45218</v>
      </c>
      <c r="H4039" s="1">
        <f>TablaDatos[[#This Row],[FechaIngreso]]+TablaDatos[[#This Row],[DiasNuevo]]</f>
        <v>45227</v>
      </c>
      <c r="I4039">
        <v>9</v>
      </c>
      <c r="J4039" t="s">
        <v>23</v>
      </c>
      <c r="K4039" s="3">
        <v>3482.19</v>
      </c>
      <c r="L4039" t="b">
        <f>TablaDatos[[#This Row],[FechaAlta]] &lt; TablaDatos[[#This Row],[FechaIngreso]]</f>
        <v>0</v>
      </c>
      <c r="M4039">
        <f>_xlfn.XLOOKUP(TablaDatos[[#This Row],[PacienteID]],'Datos_Ejemplo.csv'!A:A,'Datos_Ejemplo.csv'!I:I)</f>
        <v>9</v>
      </c>
      <c r="N4039">
        <f>ABS(TablaDatos[[#This Row],[DiasOriginal]])</f>
        <v>9</v>
      </c>
      <c r="O4039" s="1">
        <f>TablaDatos[[#This Row],[FechaIngreso]]+TablaDatos[[#This Row],[DiasNuevo]]</f>
        <v>45227</v>
      </c>
    </row>
    <row r="4040" spans="1:15">
      <c r="A4040">
        <v>4039</v>
      </c>
      <c r="B4040" t="s">
        <v>294</v>
      </c>
      <c r="C4040" s="1">
        <v>24838</v>
      </c>
      <c r="D4040">
        <v>58</v>
      </c>
      <c r="E4040" s="4" t="s">
        <v>12</v>
      </c>
      <c r="F4040" t="s">
        <v>201</v>
      </c>
      <c r="G4040" s="1">
        <v>45008</v>
      </c>
      <c r="H4040" s="1">
        <f>TablaDatos[[#This Row],[FechaIngreso]]+TablaDatos[[#This Row],[DiasNuevo]]</f>
        <v>45016</v>
      </c>
      <c r="I4040">
        <v>8</v>
      </c>
      <c r="J4040" t="s">
        <v>19</v>
      </c>
      <c r="K4040" s="3">
        <v>14384.39</v>
      </c>
      <c r="L4040" t="b">
        <f>TablaDatos[[#This Row],[FechaAlta]] &lt; TablaDatos[[#This Row],[FechaIngreso]]</f>
        <v>0</v>
      </c>
      <c r="M4040">
        <f>_xlfn.XLOOKUP(TablaDatos[[#This Row],[PacienteID]],'Datos_Ejemplo.csv'!A:A,'Datos_Ejemplo.csv'!I:I)</f>
        <v>8</v>
      </c>
      <c r="N4040">
        <f>ABS(TablaDatos[[#This Row],[DiasOriginal]])</f>
        <v>8</v>
      </c>
      <c r="O4040" s="1">
        <f>TablaDatos[[#This Row],[FechaIngreso]]+TablaDatos[[#This Row],[DiasNuevo]]</f>
        <v>45016</v>
      </c>
    </row>
    <row r="4041" spans="1:15">
      <c r="A4041">
        <v>4040</v>
      </c>
      <c r="B4041" t="s">
        <v>116</v>
      </c>
      <c r="C4041" s="1">
        <v>44927</v>
      </c>
      <c r="D4041">
        <v>3</v>
      </c>
      <c r="E4041" s="4" t="s">
        <v>12</v>
      </c>
      <c r="F4041" t="s">
        <v>32</v>
      </c>
      <c r="G4041" s="1">
        <v>45486</v>
      </c>
      <c r="H4041" s="1">
        <f>TablaDatos[[#This Row],[FechaIngreso]]+TablaDatos[[#This Row],[DiasNuevo]]</f>
        <v>45523</v>
      </c>
      <c r="I4041">
        <v>37</v>
      </c>
      <c r="J4041" t="s">
        <v>19</v>
      </c>
      <c r="K4041" s="3">
        <v>3413.03</v>
      </c>
      <c r="L4041" t="b">
        <f>TablaDatos[[#This Row],[FechaAlta]] &lt; TablaDatos[[#This Row],[FechaIngreso]]</f>
        <v>0</v>
      </c>
      <c r="M4041">
        <f>_xlfn.XLOOKUP(TablaDatos[[#This Row],[PacienteID]],'Datos_Ejemplo.csv'!A:A,'Datos_Ejemplo.csv'!I:I)</f>
        <v>37</v>
      </c>
      <c r="N4041">
        <f>ABS(TablaDatos[[#This Row],[DiasOriginal]])</f>
        <v>37</v>
      </c>
      <c r="O4041" s="1">
        <f>TablaDatos[[#This Row],[FechaIngreso]]+TablaDatos[[#This Row],[DiasNuevo]]</f>
        <v>45523</v>
      </c>
    </row>
    <row r="4042" spans="1:15">
      <c r="A4042">
        <v>4041</v>
      </c>
      <c r="B4042" t="s">
        <v>352</v>
      </c>
      <c r="C4042" s="1">
        <v>21916</v>
      </c>
      <c r="D4042">
        <v>66</v>
      </c>
      <c r="E4042" s="4" t="s">
        <v>12</v>
      </c>
      <c r="F4042" t="s">
        <v>295</v>
      </c>
      <c r="G4042" s="1">
        <v>45097</v>
      </c>
      <c r="H4042" s="1">
        <f>TablaDatos[[#This Row],[FechaIngreso]]+TablaDatos[[#This Row],[DiasNuevo]]</f>
        <v>45123</v>
      </c>
      <c r="I4042">
        <v>26</v>
      </c>
      <c r="J4042" t="s">
        <v>19</v>
      </c>
      <c r="K4042" s="3">
        <v>3076.89</v>
      </c>
      <c r="L4042" t="b">
        <f>TablaDatos[[#This Row],[FechaAlta]] &lt; TablaDatos[[#This Row],[FechaIngreso]]</f>
        <v>0</v>
      </c>
      <c r="M4042">
        <f>_xlfn.XLOOKUP(TablaDatos[[#This Row],[PacienteID]],'Datos_Ejemplo.csv'!A:A,'Datos_Ejemplo.csv'!I:I)</f>
        <v>26</v>
      </c>
      <c r="N4042">
        <f>ABS(TablaDatos[[#This Row],[DiasOriginal]])</f>
        <v>26</v>
      </c>
      <c r="O4042" s="1">
        <f>TablaDatos[[#This Row],[FechaIngreso]]+TablaDatos[[#This Row],[DiasNuevo]]</f>
        <v>45123</v>
      </c>
    </row>
    <row r="4043" spans="1:15">
      <c r="A4043">
        <v>4042</v>
      </c>
      <c r="B4043" t="s">
        <v>239</v>
      </c>
      <c r="C4043" s="1">
        <v>35795</v>
      </c>
      <c r="D4043">
        <v>28</v>
      </c>
      <c r="E4043" s="4" t="s">
        <v>15</v>
      </c>
      <c r="F4043" t="s">
        <v>18</v>
      </c>
      <c r="G4043" s="1">
        <v>45506</v>
      </c>
      <c r="H4043" s="1">
        <f>TablaDatos[[#This Row],[FechaIngreso]]+TablaDatos[[#This Row],[DiasNuevo]]</f>
        <v>45523</v>
      </c>
      <c r="I4043">
        <v>17</v>
      </c>
      <c r="J4043" t="s">
        <v>25</v>
      </c>
      <c r="K4043" s="3">
        <v>11064.88</v>
      </c>
      <c r="L4043" t="b">
        <f>TablaDatos[[#This Row],[FechaAlta]] &lt; TablaDatos[[#This Row],[FechaIngreso]]</f>
        <v>0</v>
      </c>
      <c r="M4043">
        <f>_xlfn.XLOOKUP(TablaDatos[[#This Row],[PacienteID]],'Datos_Ejemplo.csv'!A:A,'Datos_Ejemplo.csv'!I:I)</f>
        <v>17</v>
      </c>
      <c r="N4043">
        <f>ABS(TablaDatos[[#This Row],[DiasOriginal]])</f>
        <v>17</v>
      </c>
      <c r="O4043" s="1">
        <f>TablaDatos[[#This Row],[FechaIngreso]]+TablaDatos[[#This Row],[DiasNuevo]]</f>
        <v>45523</v>
      </c>
    </row>
    <row r="4044" spans="1:15">
      <c r="A4044">
        <v>4043</v>
      </c>
      <c r="B4044" t="s">
        <v>338</v>
      </c>
      <c r="C4044" s="1">
        <v>35795</v>
      </c>
      <c r="D4044">
        <v>28</v>
      </c>
      <c r="E4044" s="4" t="s">
        <v>12</v>
      </c>
      <c r="F4044" t="s">
        <v>13</v>
      </c>
      <c r="G4044" s="1">
        <v>45452</v>
      </c>
      <c r="H4044" s="1">
        <f>TablaDatos[[#This Row],[FechaIngreso]]+TablaDatos[[#This Row],[DiasNuevo]]</f>
        <v>45454</v>
      </c>
      <c r="I4044">
        <v>2</v>
      </c>
      <c r="J4044" t="s">
        <v>25</v>
      </c>
      <c r="K4044" s="3">
        <v>16683.240000000002</v>
      </c>
      <c r="L4044" t="b">
        <f>TablaDatos[[#This Row],[FechaAlta]] &lt; TablaDatos[[#This Row],[FechaIngreso]]</f>
        <v>0</v>
      </c>
      <c r="M4044">
        <f>_xlfn.XLOOKUP(TablaDatos[[#This Row],[PacienteID]],'Datos_Ejemplo.csv'!A:A,'Datos_Ejemplo.csv'!I:I)</f>
        <v>2</v>
      </c>
      <c r="N4044">
        <f>ABS(TablaDatos[[#This Row],[DiasOriginal]])</f>
        <v>2</v>
      </c>
      <c r="O4044" s="1">
        <f>TablaDatos[[#This Row],[FechaIngreso]]+TablaDatos[[#This Row],[DiasNuevo]]</f>
        <v>45454</v>
      </c>
    </row>
    <row r="4045" spans="1:15">
      <c r="A4045">
        <v>4044</v>
      </c>
      <c r="B4045" t="s">
        <v>349</v>
      </c>
      <c r="C4045" s="1">
        <v>36161</v>
      </c>
      <c r="D4045">
        <v>27</v>
      </c>
      <c r="E4045" s="4" t="s">
        <v>15</v>
      </c>
      <c r="F4045" t="s">
        <v>13</v>
      </c>
      <c r="G4045" s="1">
        <v>45468</v>
      </c>
      <c r="H4045" s="1">
        <f>TablaDatos[[#This Row],[FechaIngreso]]+TablaDatos[[#This Row],[DiasNuevo]]</f>
        <v>45490</v>
      </c>
      <c r="I4045">
        <v>22</v>
      </c>
      <c r="J4045" t="s">
        <v>23</v>
      </c>
      <c r="K4045" s="3">
        <v>5296.2</v>
      </c>
      <c r="L4045" t="b">
        <f>TablaDatos[[#This Row],[FechaAlta]] &lt; TablaDatos[[#This Row],[FechaIngreso]]</f>
        <v>0</v>
      </c>
      <c r="M4045">
        <f>_xlfn.XLOOKUP(TablaDatos[[#This Row],[PacienteID]],'Datos_Ejemplo.csv'!A:A,'Datos_Ejemplo.csv'!I:I)</f>
        <v>22</v>
      </c>
      <c r="N4045">
        <f>ABS(TablaDatos[[#This Row],[DiasOriginal]])</f>
        <v>22</v>
      </c>
      <c r="O4045" s="1">
        <f>TablaDatos[[#This Row],[FechaIngreso]]+TablaDatos[[#This Row],[DiasNuevo]]</f>
        <v>45490</v>
      </c>
    </row>
    <row r="4046" spans="1:15">
      <c r="A4046">
        <v>4045</v>
      </c>
      <c r="B4046" t="s">
        <v>265</v>
      </c>
      <c r="C4046" s="1">
        <v>18263</v>
      </c>
      <c r="D4046">
        <v>76</v>
      </c>
      <c r="E4046" s="4" t="s">
        <v>15</v>
      </c>
      <c r="F4046" t="s">
        <v>21</v>
      </c>
      <c r="G4046" s="1">
        <v>45036</v>
      </c>
      <c r="H4046" s="1">
        <f>TablaDatos[[#This Row],[FechaIngreso]]+TablaDatos[[#This Row],[DiasNuevo]]</f>
        <v>45067</v>
      </c>
      <c r="I4046">
        <v>31</v>
      </c>
      <c r="J4046" t="s">
        <v>23</v>
      </c>
      <c r="K4046" s="3">
        <v>16806.88</v>
      </c>
      <c r="L4046" t="b">
        <f>TablaDatos[[#This Row],[FechaAlta]] &lt; TablaDatos[[#This Row],[FechaIngreso]]</f>
        <v>0</v>
      </c>
      <c r="M4046">
        <f>_xlfn.XLOOKUP(TablaDatos[[#This Row],[PacienteID]],'Datos_Ejemplo.csv'!A:A,'Datos_Ejemplo.csv'!I:I)</f>
        <v>31</v>
      </c>
      <c r="N4046">
        <f>ABS(TablaDatos[[#This Row],[DiasOriginal]])</f>
        <v>31</v>
      </c>
      <c r="O4046" s="1">
        <f>TablaDatos[[#This Row],[FechaIngreso]]+TablaDatos[[#This Row],[DiasNuevo]]</f>
        <v>45067</v>
      </c>
    </row>
    <row r="4047" spans="1:15">
      <c r="A4047">
        <v>4046</v>
      </c>
      <c r="B4047" t="s">
        <v>146</v>
      </c>
      <c r="C4047" s="1">
        <v>17533</v>
      </c>
      <c r="D4047">
        <v>78</v>
      </c>
      <c r="E4047" s="4" t="s">
        <v>15</v>
      </c>
      <c r="F4047" t="s">
        <v>201</v>
      </c>
      <c r="G4047" s="1">
        <v>45138</v>
      </c>
      <c r="H4047" s="1">
        <f>TablaDatos[[#This Row],[FechaIngreso]]+TablaDatos[[#This Row],[DiasNuevo]]</f>
        <v>45147</v>
      </c>
      <c r="I4047">
        <v>9</v>
      </c>
      <c r="J4047" t="s">
        <v>25</v>
      </c>
      <c r="K4047" s="3">
        <v>16139.86</v>
      </c>
      <c r="L4047" t="b">
        <f>TablaDatos[[#This Row],[FechaAlta]] &lt; TablaDatos[[#This Row],[FechaIngreso]]</f>
        <v>0</v>
      </c>
      <c r="M4047">
        <f>_xlfn.XLOOKUP(TablaDatos[[#This Row],[PacienteID]],'Datos_Ejemplo.csv'!A:A,'Datos_Ejemplo.csv'!I:I)</f>
        <v>9</v>
      </c>
      <c r="N4047">
        <f>ABS(TablaDatos[[#This Row],[DiasOriginal]])</f>
        <v>9</v>
      </c>
      <c r="O4047" s="1">
        <f>TablaDatos[[#This Row],[FechaIngreso]]+TablaDatos[[#This Row],[DiasNuevo]]</f>
        <v>45147</v>
      </c>
    </row>
    <row r="4048" spans="1:15">
      <c r="A4048">
        <v>4047</v>
      </c>
      <c r="B4048" t="s">
        <v>252</v>
      </c>
      <c r="C4048" s="1">
        <v>14611</v>
      </c>
      <c r="D4048">
        <v>86</v>
      </c>
      <c r="E4048" s="4" t="s">
        <v>15</v>
      </c>
      <c r="F4048" t="s">
        <v>295</v>
      </c>
      <c r="G4048" s="1">
        <v>45364</v>
      </c>
      <c r="H4048" s="1">
        <f>TablaDatos[[#This Row],[FechaIngreso]]+TablaDatos[[#This Row],[DiasNuevo]]</f>
        <v>45389</v>
      </c>
      <c r="I4048">
        <v>25</v>
      </c>
      <c r="J4048" t="s">
        <v>25</v>
      </c>
      <c r="K4048" s="3">
        <v>11540.02</v>
      </c>
      <c r="L4048" t="b">
        <f>TablaDatos[[#This Row],[FechaAlta]] &lt; TablaDatos[[#This Row],[FechaIngreso]]</f>
        <v>0</v>
      </c>
      <c r="M4048">
        <f>_xlfn.XLOOKUP(TablaDatos[[#This Row],[PacienteID]],'Datos_Ejemplo.csv'!A:A,'Datos_Ejemplo.csv'!I:I)</f>
        <v>25</v>
      </c>
      <c r="N4048">
        <f>ABS(TablaDatos[[#This Row],[DiasOriginal]])</f>
        <v>25</v>
      </c>
      <c r="O4048" s="1">
        <f>TablaDatos[[#This Row],[FechaIngreso]]+TablaDatos[[#This Row],[DiasNuevo]]</f>
        <v>45389</v>
      </c>
    </row>
    <row r="4049" spans="1:15">
      <c r="A4049">
        <v>4048</v>
      </c>
      <c r="B4049" t="s">
        <v>249</v>
      </c>
      <c r="C4049" s="1">
        <v>30317</v>
      </c>
      <c r="D4049">
        <v>43</v>
      </c>
      <c r="E4049" s="4" t="s">
        <v>15</v>
      </c>
      <c r="F4049" t="s">
        <v>18</v>
      </c>
      <c r="G4049" s="1">
        <v>45248</v>
      </c>
      <c r="H4049" s="1">
        <f>TablaDatos[[#This Row],[FechaIngreso]]+TablaDatos[[#This Row],[DiasNuevo]]</f>
        <v>45279</v>
      </c>
      <c r="I4049">
        <v>31</v>
      </c>
      <c r="J4049" t="s">
        <v>25</v>
      </c>
      <c r="K4049" s="3">
        <v>12895.91</v>
      </c>
      <c r="L4049" t="b">
        <f>TablaDatos[[#This Row],[FechaAlta]] &lt; TablaDatos[[#This Row],[FechaIngreso]]</f>
        <v>0</v>
      </c>
      <c r="M4049">
        <f>_xlfn.XLOOKUP(TablaDatos[[#This Row],[PacienteID]],'Datos_Ejemplo.csv'!A:A,'Datos_Ejemplo.csv'!I:I)</f>
        <v>31</v>
      </c>
      <c r="N4049">
        <f>ABS(TablaDatos[[#This Row],[DiasOriginal]])</f>
        <v>31</v>
      </c>
      <c r="O4049" s="1">
        <f>TablaDatos[[#This Row],[FechaIngreso]]+TablaDatos[[#This Row],[DiasNuevo]]</f>
        <v>45279</v>
      </c>
    </row>
    <row r="4050" spans="1:15">
      <c r="A4050">
        <v>4049</v>
      </c>
      <c r="B4050" t="s">
        <v>312</v>
      </c>
      <c r="C4050" s="1">
        <v>13515</v>
      </c>
      <c r="D4050">
        <v>89</v>
      </c>
      <c r="E4050" s="4" t="s">
        <v>12</v>
      </c>
      <c r="F4050" t="s">
        <v>13</v>
      </c>
      <c r="G4050" s="1">
        <v>45640</v>
      </c>
      <c r="H4050" s="1">
        <f>TablaDatos[[#This Row],[FechaIngreso]]+TablaDatos[[#This Row],[DiasNuevo]]</f>
        <v>45643</v>
      </c>
      <c r="I4050">
        <v>3</v>
      </c>
      <c r="J4050" t="s">
        <v>23</v>
      </c>
      <c r="K4050" s="3">
        <v>712.87</v>
      </c>
      <c r="L4050" t="b">
        <f>TablaDatos[[#This Row],[FechaAlta]] &lt; TablaDatos[[#This Row],[FechaIngreso]]</f>
        <v>0</v>
      </c>
      <c r="M4050">
        <f>_xlfn.XLOOKUP(TablaDatos[[#This Row],[PacienteID]],'Datos_Ejemplo.csv'!A:A,'Datos_Ejemplo.csv'!I:I)</f>
        <v>3</v>
      </c>
      <c r="N4050">
        <f>ABS(TablaDatos[[#This Row],[DiasOriginal]])</f>
        <v>3</v>
      </c>
      <c r="O4050" s="1">
        <f>TablaDatos[[#This Row],[FechaIngreso]]+TablaDatos[[#This Row],[DiasNuevo]]</f>
        <v>45643</v>
      </c>
    </row>
    <row r="4051" spans="1:15">
      <c r="A4051">
        <v>4050</v>
      </c>
      <c r="B4051" t="s">
        <v>366</v>
      </c>
      <c r="C4051" s="1">
        <v>44927</v>
      </c>
      <c r="D4051">
        <v>3</v>
      </c>
      <c r="E4051" s="4" t="s">
        <v>15</v>
      </c>
      <c r="F4051" t="s">
        <v>295</v>
      </c>
      <c r="G4051" s="1">
        <v>45010</v>
      </c>
      <c r="H4051" s="1">
        <f>TablaDatos[[#This Row],[FechaIngreso]]+TablaDatos[[#This Row],[DiasNuevo]]</f>
        <v>45026</v>
      </c>
      <c r="I4051">
        <v>16</v>
      </c>
      <c r="J4051" t="s">
        <v>23</v>
      </c>
      <c r="K4051" s="3">
        <v>7279.42</v>
      </c>
      <c r="L4051" t="b">
        <f>TablaDatos[[#This Row],[FechaAlta]] &lt; TablaDatos[[#This Row],[FechaIngreso]]</f>
        <v>0</v>
      </c>
      <c r="M4051">
        <f>_xlfn.XLOOKUP(TablaDatos[[#This Row],[PacienteID]],'Datos_Ejemplo.csv'!A:A,'Datos_Ejemplo.csv'!I:I)</f>
        <v>16</v>
      </c>
      <c r="N4051">
        <f>ABS(TablaDatos[[#This Row],[DiasOriginal]])</f>
        <v>16</v>
      </c>
      <c r="O4051" s="1">
        <f>TablaDatos[[#This Row],[FechaIngreso]]+TablaDatos[[#This Row],[DiasNuevo]]</f>
        <v>45026</v>
      </c>
    </row>
    <row r="4052" spans="1:15">
      <c r="A4052">
        <v>4051</v>
      </c>
      <c r="B4052" t="s">
        <v>304</v>
      </c>
      <c r="C4052" s="1">
        <v>13515</v>
      </c>
      <c r="D4052">
        <v>89</v>
      </c>
      <c r="E4052" s="4" t="s">
        <v>15</v>
      </c>
      <c r="F4052" t="s">
        <v>18</v>
      </c>
      <c r="G4052" s="1">
        <v>45302</v>
      </c>
      <c r="H4052" s="1">
        <f>TablaDatos[[#This Row],[FechaIngreso]]+TablaDatos[[#This Row],[DiasNuevo]]</f>
        <v>45311</v>
      </c>
      <c r="I4052">
        <v>9</v>
      </c>
      <c r="J4052" t="s">
        <v>23</v>
      </c>
      <c r="K4052" s="3">
        <v>5194.24</v>
      </c>
      <c r="L4052" t="b">
        <f>TablaDatos[[#This Row],[FechaAlta]] &lt; TablaDatos[[#This Row],[FechaIngreso]]</f>
        <v>0</v>
      </c>
      <c r="M4052">
        <f>_xlfn.XLOOKUP(TablaDatos[[#This Row],[PacienteID]],'Datos_Ejemplo.csv'!A:A,'Datos_Ejemplo.csv'!I:I)</f>
        <v>9</v>
      </c>
      <c r="N4052">
        <f>ABS(TablaDatos[[#This Row],[DiasOriginal]])</f>
        <v>9</v>
      </c>
      <c r="O4052" s="1">
        <f>TablaDatos[[#This Row],[FechaIngreso]]+TablaDatos[[#This Row],[DiasNuevo]]</f>
        <v>45311</v>
      </c>
    </row>
    <row r="4053" spans="1:15">
      <c r="A4053">
        <v>4052</v>
      </c>
      <c r="B4053" t="s">
        <v>61</v>
      </c>
      <c r="C4053" s="1">
        <v>43100</v>
      </c>
      <c r="D4053">
        <v>8</v>
      </c>
      <c r="E4053" s="4" t="s">
        <v>15</v>
      </c>
      <c r="F4053" t="s">
        <v>261</v>
      </c>
      <c r="G4053" s="1">
        <v>44979</v>
      </c>
      <c r="H4053" s="1">
        <f>TablaDatos[[#This Row],[FechaIngreso]]+TablaDatos[[#This Row],[DiasNuevo]]</f>
        <v>45001</v>
      </c>
      <c r="I4053">
        <v>22</v>
      </c>
      <c r="J4053" t="s">
        <v>19</v>
      </c>
      <c r="K4053" s="3">
        <v>2915.08</v>
      </c>
      <c r="L4053" t="b">
        <f>TablaDatos[[#This Row],[FechaAlta]] &lt; TablaDatos[[#This Row],[FechaIngreso]]</f>
        <v>0</v>
      </c>
      <c r="M4053">
        <f>_xlfn.XLOOKUP(TablaDatos[[#This Row],[PacienteID]],'Datos_Ejemplo.csv'!A:A,'Datos_Ejemplo.csv'!I:I)</f>
        <v>22</v>
      </c>
      <c r="N4053">
        <f>ABS(TablaDatos[[#This Row],[DiasOriginal]])</f>
        <v>22</v>
      </c>
      <c r="O4053" s="1">
        <f>TablaDatos[[#This Row],[FechaIngreso]]+TablaDatos[[#This Row],[DiasNuevo]]</f>
        <v>45001</v>
      </c>
    </row>
    <row r="4054" spans="1:15">
      <c r="A4054">
        <v>4053</v>
      </c>
      <c r="B4054" t="s">
        <v>356</v>
      </c>
      <c r="C4054" s="1">
        <v>44561</v>
      </c>
      <c r="D4054">
        <v>4</v>
      </c>
      <c r="E4054" s="4" t="s">
        <v>12</v>
      </c>
      <c r="F4054" t="s">
        <v>21</v>
      </c>
      <c r="G4054" s="1">
        <v>45422</v>
      </c>
      <c r="H4054" s="1">
        <f>TablaDatos[[#This Row],[FechaIngreso]]+TablaDatos[[#This Row],[DiasNuevo]]</f>
        <v>45432</v>
      </c>
      <c r="I4054">
        <v>10</v>
      </c>
      <c r="J4054" t="s">
        <v>23</v>
      </c>
      <c r="K4054" s="3">
        <v>7732.15</v>
      </c>
      <c r="L4054" t="b">
        <f>TablaDatos[[#This Row],[FechaAlta]] &lt; TablaDatos[[#This Row],[FechaIngreso]]</f>
        <v>0</v>
      </c>
      <c r="M4054">
        <f>_xlfn.XLOOKUP(TablaDatos[[#This Row],[PacienteID]],'Datos_Ejemplo.csv'!A:A,'Datos_Ejemplo.csv'!I:I)</f>
        <v>10</v>
      </c>
      <c r="N4054">
        <f>ABS(TablaDatos[[#This Row],[DiasOriginal]])</f>
        <v>10</v>
      </c>
      <c r="O4054" s="1">
        <f>TablaDatos[[#This Row],[FechaIngreso]]+TablaDatos[[#This Row],[DiasNuevo]]</f>
        <v>45432</v>
      </c>
    </row>
    <row r="4055" spans="1:15">
      <c r="A4055">
        <v>4054</v>
      </c>
      <c r="B4055" t="s">
        <v>236</v>
      </c>
      <c r="C4055" s="1">
        <v>25934</v>
      </c>
      <c r="D4055">
        <v>55</v>
      </c>
      <c r="E4055" s="4" t="s">
        <v>12</v>
      </c>
      <c r="F4055" t="s">
        <v>32</v>
      </c>
      <c r="G4055" s="1">
        <v>45182</v>
      </c>
      <c r="H4055" s="1">
        <f>TablaDatos[[#This Row],[FechaIngreso]]+TablaDatos[[#This Row],[DiasNuevo]]</f>
        <v>45196</v>
      </c>
      <c r="I4055">
        <v>14</v>
      </c>
      <c r="J4055" t="s">
        <v>19</v>
      </c>
      <c r="K4055" s="3">
        <v>7033.57</v>
      </c>
      <c r="L4055" t="b">
        <f>TablaDatos[[#This Row],[FechaAlta]] &lt; TablaDatos[[#This Row],[FechaIngreso]]</f>
        <v>0</v>
      </c>
      <c r="M4055">
        <f>_xlfn.XLOOKUP(TablaDatos[[#This Row],[PacienteID]],'Datos_Ejemplo.csv'!A:A,'Datos_Ejemplo.csv'!I:I)</f>
        <v>14</v>
      </c>
      <c r="N4055">
        <f>ABS(TablaDatos[[#This Row],[DiasOriginal]])</f>
        <v>14</v>
      </c>
      <c r="O4055" s="1">
        <f>TablaDatos[[#This Row],[FechaIngreso]]+TablaDatos[[#This Row],[DiasNuevo]]</f>
        <v>45196</v>
      </c>
    </row>
    <row r="4056" spans="1:15">
      <c r="A4056">
        <v>4055</v>
      </c>
      <c r="B4056" t="s">
        <v>262</v>
      </c>
      <c r="C4056" s="1">
        <v>15707</v>
      </c>
      <c r="D4056">
        <v>83</v>
      </c>
      <c r="E4056" s="4" t="s">
        <v>15</v>
      </c>
      <c r="F4056" t="s">
        <v>13</v>
      </c>
      <c r="G4056" s="1">
        <v>45512</v>
      </c>
      <c r="H4056" s="1">
        <f>TablaDatos[[#This Row],[FechaIngreso]]+TablaDatos[[#This Row],[DiasNuevo]]</f>
        <v>45521</v>
      </c>
      <c r="I4056">
        <v>9</v>
      </c>
      <c r="J4056" t="s">
        <v>25</v>
      </c>
      <c r="K4056" s="3">
        <v>14550.72</v>
      </c>
      <c r="L4056" t="b">
        <f>TablaDatos[[#This Row],[FechaAlta]] &lt; TablaDatos[[#This Row],[FechaIngreso]]</f>
        <v>0</v>
      </c>
      <c r="M4056">
        <f>_xlfn.XLOOKUP(TablaDatos[[#This Row],[PacienteID]],'Datos_Ejemplo.csv'!A:A,'Datos_Ejemplo.csv'!I:I)</f>
        <v>9</v>
      </c>
      <c r="N4056">
        <f>ABS(TablaDatos[[#This Row],[DiasOriginal]])</f>
        <v>9</v>
      </c>
      <c r="O4056" s="1">
        <f>TablaDatos[[#This Row],[FechaIngreso]]+TablaDatos[[#This Row],[DiasNuevo]]</f>
        <v>45521</v>
      </c>
    </row>
    <row r="4057" spans="1:15">
      <c r="A4057">
        <v>4056</v>
      </c>
      <c r="B4057" t="s">
        <v>281</v>
      </c>
      <c r="C4057" s="1">
        <v>28125</v>
      </c>
      <c r="D4057">
        <v>49</v>
      </c>
      <c r="E4057" s="4" t="s">
        <v>12</v>
      </c>
      <c r="F4057" t="s">
        <v>13</v>
      </c>
      <c r="G4057" s="1">
        <v>45146</v>
      </c>
      <c r="H4057" s="1">
        <f>TablaDatos[[#This Row],[FechaIngreso]]+TablaDatos[[#This Row],[DiasNuevo]]</f>
        <v>45146</v>
      </c>
      <c r="I4057">
        <v>0</v>
      </c>
      <c r="J4057" t="s">
        <v>23</v>
      </c>
      <c r="K4057" s="3">
        <v>11921.74</v>
      </c>
      <c r="L4057" t="b">
        <f>TablaDatos[[#This Row],[FechaAlta]] &lt; TablaDatos[[#This Row],[FechaIngreso]]</f>
        <v>0</v>
      </c>
      <c r="M4057">
        <f>_xlfn.XLOOKUP(TablaDatos[[#This Row],[PacienteID]],'Datos_Ejemplo.csv'!A:A,'Datos_Ejemplo.csv'!I:I)</f>
        <v>0</v>
      </c>
      <c r="N4057">
        <f>ABS(TablaDatos[[#This Row],[DiasOriginal]])</f>
        <v>0</v>
      </c>
      <c r="O4057" s="1">
        <f>TablaDatos[[#This Row],[FechaIngreso]]+TablaDatos[[#This Row],[DiasNuevo]]</f>
        <v>45146</v>
      </c>
    </row>
    <row r="4058" spans="1:15">
      <c r="A4058">
        <v>4057</v>
      </c>
      <c r="B4058" t="s">
        <v>248</v>
      </c>
      <c r="C4058" s="1">
        <v>18994</v>
      </c>
      <c r="D4058">
        <v>74</v>
      </c>
      <c r="E4058" s="4" t="s">
        <v>12</v>
      </c>
      <c r="F4058" t="s">
        <v>18</v>
      </c>
      <c r="G4058" s="1">
        <v>45581</v>
      </c>
      <c r="H4058" s="1">
        <f>TablaDatos[[#This Row],[FechaIngreso]]+TablaDatos[[#This Row],[DiasNuevo]]</f>
        <v>45602</v>
      </c>
      <c r="I4058">
        <v>21</v>
      </c>
      <c r="J4058" t="s">
        <v>19</v>
      </c>
      <c r="K4058" s="3">
        <v>18253.310000000001</v>
      </c>
      <c r="L4058" t="b">
        <f>TablaDatos[[#This Row],[FechaAlta]] &lt; TablaDatos[[#This Row],[FechaIngreso]]</f>
        <v>0</v>
      </c>
      <c r="M4058">
        <f>_xlfn.XLOOKUP(TablaDatos[[#This Row],[PacienteID]],'Datos_Ejemplo.csv'!A:A,'Datos_Ejemplo.csv'!I:I)</f>
        <v>21</v>
      </c>
      <c r="N4058">
        <f>ABS(TablaDatos[[#This Row],[DiasOriginal]])</f>
        <v>21</v>
      </c>
      <c r="O4058" s="1">
        <f>TablaDatos[[#This Row],[FechaIngreso]]+TablaDatos[[#This Row],[DiasNuevo]]</f>
        <v>45602</v>
      </c>
    </row>
    <row r="4059" spans="1:15">
      <c r="A4059">
        <v>4058</v>
      </c>
      <c r="B4059" t="s">
        <v>297</v>
      </c>
      <c r="C4059" s="1">
        <v>40909</v>
      </c>
      <c r="D4059">
        <v>14</v>
      </c>
      <c r="E4059" s="4" t="s">
        <v>15</v>
      </c>
      <c r="F4059" t="s">
        <v>32</v>
      </c>
      <c r="G4059" s="1">
        <v>45026</v>
      </c>
      <c r="H4059" s="1">
        <f>TablaDatos[[#This Row],[FechaIngreso]]+TablaDatos[[#This Row],[DiasNuevo]]</f>
        <v>45031</v>
      </c>
      <c r="I4059">
        <v>5</v>
      </c>
      <c r="J4059" t="s">
        <v>23</v>
      </c>
      <c r="K4059" s="3">
        <v>2822.69</v>
      </c>
      <c r="L4059" t="b">
        <f>TablaDatos[[#This Row],[FechaAlta]] &lt; TablaDatos[[#This Row],[FechaIngreso]]</f>
        <v>0</v>
      </c>
      <c r="M4059">
        <f>_xlfn.XLOOKUP(TablaDatos[[#This Row],[PacienteID]],'Datos_Ejemplo.csv'!A:A,'Datos_Ejemplo.csv'!I:I)</f>
        <v>5</v>
      </c>
      <c r="N4059">
        <f>ABS(TablaDatos[[#This Row],[DiasOriginal]])</f>
        <v>5</v>
      </c>
      <c r="O4059" s="1">
        <f>TablaDatos[[#This Row],[FechaIngreso]]+TablaDatos[[#This Row],[DiasNuevo]]</f>
        <v>45031</v>
      </c>
    </row>
    <row r="4060" spans="1:15">
      <c r="A4060">
        <v>4059</v>
      </c>
      <c r="B4060" t="s">
        <v>335</v>
      </c>
      <c r="C4060" s="1">
        <v>34700</v>
      </c>
      <c r="D4060">
        <v>31</v>
      </c>
      <c r="E4060" s="4" t="s">
        <v>12</v>
      </c>
      <c r="F4060" t="s">
        <v>261</v>
      </c>
      <c r="G4060" s="1">
        <v>45055</v>
      </c>
      <c r="H4060" s="1">
        <f>TablaDatos[[#This Row],[FechaIngreso]]+TablaDatos[[#This Row],[DiasNuevo]]</f>
        <v>45088</v>
      </c>
      <c r="I4060">
        <v>33</v>
      </c>
      <c r="J4060" t="s">
        <v>19</v>
      </c>
      <c r="K4060" s="3">
        <v>1100.95</v>
      </c>
      <c r="L4060" t="b">
        <f>TablaDatos[[#This Row],[FechaAlta]] &lt; TablaDatos[[#This Row],[FechaIngreso]]</f>
        <v>0</v>
      </c>
      <c r="M4060">
        <f>_xlfn.XLOOKUP(TablaDatos[[#This Row],[PacienteID]],'Datos_Ejemplo.csv'!A:A,'Datos_Ejemplo.csv'!I:I)</f>
        <v>33</v>
      </c>
      <c r="N4060">
        <f>ABS(TablaDatos[[#This Row],[DiasOriginal]])</f>
        <v>33</v>
      </c>
      <c r="O4060" s="1">
        <f>TablaDatos[[#This Row],[FechaIngreso]]+TablaDatos[[#This Row],[DiasNuevo]]</f>
        <v>45088</v>
      </c>
    </row>
    <row r="4061" spans="1:15">
      <c r="A4061">
        <v>4060</v>
      </c>
      <c r="B4061" t="s">
        <v>289</v>
      </c>
      <c r="C4061" s="1">
        <f ca="1">DATE(YEAR(TODAY())-TablaDatos[[#This Row],[Edad]],1,1)</f>
        <v>36161</v>
      </c>
      <c r="D4061">
        <v>27</v>
      </c>
      <c r="E4061" s="4" t="s">
        <v>12</v>
      </c>
      <c r="F4061" t="s">
        <v>295</v>
      </c>
      <c r="G4061" s="1">
        <v>45145</v>
      </c>
      <c r="H4061" s="1">
        <f>TablaDatos[[#This Row],[FechaIngreso]]+TablaDatos[[#This Row],[DiasNuevo]]</f>
        <v>45168</v>
      </c>
      <c r="I4061">
        <v>23</v>
      </c>
      <c r="J4061" t="s">
        <v>19</v>
      </c>
      <c r="K4061" s="3">
        <v>10645.62</v>
      </c>
      <c r="L4061" t="b">
        <f>TablaDatos[[#This Row],[FechaAlta]] &lt; TablaDatos[[#This Row],[FechaIngreso]]</f>
        <v>0</v>
      </c>
      <c r="M4061">
        <f>_xlfn.XLOOKUP(TablaDatos[[#This Row],[PacienteID]],'Datos_Ejemplo.csv'!A:A,'Datos_Ejemplo.csv'!I:I)</f>
        <v>23</v>
      </c>
      <c r="N4061">
        <f>ABS(TablaDatos[[#This Row],[DiasOriginal]])</f>
        <v>23</v>
      </c>
      <c r="O4061" s="1">
        <f>TablaDatos[[#This Row],[FechaIngreso]]+TablaDatos[[#This Row],[DiasNuevo]]</f>
        <v>45168</v>
      </c>
    </row>
    <row r="4062" spans="1:15">
      <c r="A4062">
        <v>4061</v>
      </c>
      <c r="B4062" t="s">
        <v>344</v>
      </c>
      <c r="C4062" s="1">
        <v>38352</v>
      </c>
      <c r="D4062">
        <v>21</v>
      </c>
      <c r="E4062" s="4" t="s">
        <v>12</v>
      </c>
      <c r="F4062" t="s">
        <v>21</v>
      </c>
      <c r="G4062" s="1">
        <v>45403</v>
      </c>
      <c r="H4062" s="1">
        <f>TablaDatos[[#This Row],[FechaIngreso]]+TablaDatos[[#This Row],[DiasNuevo]]</f>
        <v>45408</v>
      </c>
      <c r="I4062">
        <v>5</v>
      </c>
      <c r="J4062" t="s">
        <v>25</v>
      </c>
      <c r="K4062" s="3">
        <v>-79.349999999999994</v>
      </c>
      <c r="L4062" t="b">
        <f>TablaDatos[[#This Row],[FechaAlta]] &lt; TablaDatos[[#This Row],[FechaIngreso]]</f>
        <v>0</v>
      </c>
      <c r="M4062">
        <f>_xlfn.XLOOKUP(TablaDatos[[#This Row],[PacienteID]],'Datos_Ejemplo.csv'!A:A,'Datos_Ejemplo.csv'!I:I)</f>
        <v>5</v>
      </c>
      <c r="N4062">
        <f>ABS(TablaDatos[[#This Row],[DiasOriginal]])</f>
        <v>5</v>
      </c>
      <c r="O4062" s="1">
        <f>TablaDatos[[#This Row],[FechaIngreso]]+TablaDatos[[#This Row],[DiasNuevo]]</f>
        <v>45408</v>
      </c>
    </row>
    <row r="4063" spans="1:15">
      <c r="A4063">
        <v>4062</v>
      </c>
      <c r="B4063" t="s">
        <v>253</v>
      </c>
      <c r="C4063" s="1">
        <v>40178</v>
      </c>
      <c r="D4063">
        <v>16</v>
      </c>
      <c r="E4063" s="4" t="s">
        <v>15</v>
      </c>
      <c r="F4063" t="s">
        <v>295</v>
      </c>
      <c r="G4063" s="1">
        <v>45384</v>
      </c>
      <c r="H4063" s="1">
        <f>TablaDatos[[#This Row],[FechaIngreso]]+TablaDatos[[#This Row],[DiasNuevo]]</f>
        <v>45413</v>
      </c>
      <c r="I4063">
        <v>29</v>
      </c>
      <c r="J4063" t="s">
        <v>19</v>
      </c>
      <c r="K4063" s="3">
        <v>15733.15</v>
      </c>
      <c r="L4063" t="b">
        <f>TablaDatos[[#This Row],[FechaAlta]] &lt; TablaDatos[[#This Row],[FechaIngreso]]</f>
        <v>0</v>
      </c>
      <c r="M4063">
        <f>_xlfn.XLOOKUP(TablaDatos[[#This Row],[PacienteID]],'Datos_Ejemplo.csv'!A:A,'Datos_Ejemplo.csv'!I:I)</f>
        <v>29</v>
      </c>
      <c r="N4063">
        <f>ABS(TablaDatos[[#This Row],[DiasOriginal]])</f>
        <v>29</v>
      </c>
      <c r="O4063" s="1">
        <f>TablaDatos[[#This Row],[FechaIngreso]]+TablaDatos[[#This Row],[DiasNuevo]]</f>
        <v>45413</v>
      </c>
    </row>
    <row r="4064" spans="1:15">
      <c r="A4064">
        <v>4063</v>
      </c>
      <c r="B4064" t="s">
        <v>309</v>
      </c>
      <c r="C4064" s="1">
        <v>24838</v>
      </c>
      <c r="D4064">
        <v>58</v>
      </c>
      <c r="E4064" s="4" t="s">
        <v>15</v>
      </c>
      <c r="F4064" t="s">
        <v>18</v>
      </c>
      <c r="G4064" s="1">
        <v>44948</v>
      </c>
      <c r="H4064" s="1">
        <f>TablaDatos[[#This Row],[FechaIngreso]]+TablaDatos[[#This Row],[DiasNuevo]]</f>
        <v>44977</v>
      </c>
      <c r="I4064">
        <v>29</v>
      </c>
      <c r="J4064" t="s">
        <v>19</v>
      </c>
      <c r="K4064" s="3">
        <v>10070.06</v>
      </c>
      <c r="L4064" t="b">
        <f>TablaDatos[[#This Row],[FechaAlta]] &lt; TablaDatos[[#This Row],[FechaIngreso]]</f>
        <v>0</v>
      </c>
      <c r="M4064">
        <f>_xlfn.XLOOKUP(TablaDatos[[#This Row],[PacienteID]],'Datos_Ejemplo.csv'!A:A,'Datos_Ejemplo.csv'!I:I)</f>
        <v>29</v>
      </c>
      <c r="N4064">
        <f>ABS(TablaDatos[[#This Row],[DiasOriginal]])</f>
        <v>29</v>
      </c>
      <c r="O4064" s="1">
        <f>TablaDatos[[#This Row],[FechaIngreso]]+TablaDatos[[#This Row],[DiasNuevo]]</f>
        <v>44977</v>
      </c>
    </row>
    <row r="4065" spans="1:15">
      <c r="A4065">
        <v>4064</v>
      </c>
      <c r="B4065" t="s">
        <v>368</v>
      </c>
      <c r="C4065" s="1">
        <v>13515</v>
      </c>
      <c r="D4065">
        <v>89</v>
      </c>
      <c r="E4065" s="4" t="s">
        <v>15</v>
      </c>
      <c r="F4065" t="s">
        <v>13</v>
      </c>
      <c r="G4065" s="1">
        <v>45616</v>
      </c>
      <c r="H4065" s="1">
        <f>TablaDatos[[#This Row],[FechaIngreso]]+TablaDatos[[#This Row],[DiasNuevo]]</f>
        <v>45618</v>
      </c>
      <c r="I4065">
        <v>2</v>
      </c>
      <c r="J4065" t="s">
        <v>25</v>
      </c>
      <c r="K4065" s="3">
        <v>9710.1200000000008</v>
      </c>
      <c r="L4065" t="b">
        <f>TablaDatos[[#This Row],[FechaAlta]] &lt; TablaDatos[[#This Row],[FechaIngreso]]</f>
        <v>0</v>
      </c>
      <c r="M4065">
        <f>_xlfn.XLOOKUP(TablaDatos[[#This Row],[PacienteID]],'Datos_Ejemplo.csv'!A:A,'Datos_Ejemplo.csv'!I:I)</f>
        <v>-2</v>
      </c>
      <c r="N4065">
        <f>ABS(TablaDatos[[#This Row],[DiasOriginal]])</f>
        <v>2</v>
      </c>
      <c r="O4065" s="1">
        <f>TablaDatos[[#This Row],[FechaIngreso]]+TablaDatos[[#This Row],[DiasNuevo]]</f>
        <v>45618</v>
      </c>
    </row>
    <row r="4066" spans="1:15">
      <c r="A4066">
        <v>4065</v>
      </c>
      <c r="B4066" t="s">
        <v>271</v>
      </c>
      <c r="C4066" s="1">
        <v>20455</v>
      </c>
      <c r="D4066">
        <v>70</v>
      </c>
      <c r="E4066" s="4" t="s">
        <v>12</v>
      </c>
      <c r="F4066" t="s">
        <v>261</v>
      </c>
      <c r="G4066" s="1">
        <v>45486</v>
      </c>
      <c r="H4066" s="1">
        <f>TablaDatos[[#This Row],[FechaIngreso]]+TablaDatos[[#This Row],[DiasNuevo]]</f>
        <v>45486</v>
      </c>
      <c r="I4066">
        <v>0</v>
      </c>
      <c r="J4066" t="s">
        <v>23</v>
      </c>
      <c r="K4066" s="3">
        <v>7186.17</v>
      </c>
      <c r="L4066" t="b">
        <f>TablaDatos[[#This Row],[FechaAlta]] &lt; TablaDatos[[#This Row],[FechaIngreso]]</f>
        <v>0</v>
      </c>
      <c r="M4066">
        <f>_xlfn.XLOOKUP(TablaDatos[[#This Row],[PacienteID]],'Datos_Ejemplo.csv'!A:A,'Datos_Ejemplo.csv'!I:I)</f>
        <v>0</v>
      </c>
      <c r="N4066">
        <f>ABS(TablaDatos[[#This Row],[DiasOriginal]])</f>
        <v>0</v>
      </c>
      <c r="O4066" s="1">
        <f>TablaDatos[[#This Row],[FechaIngreso]]+TablaDatos[[#This Row],[DiasNuevo]]</f>
        <v>45486</v>
      </c>
    </row>
    <row r="4067" spans="1:15">
      <c r="A4067">
        <v>4066</v>
      </c>
      <c r="B4067" t="s">
        <v>247</v>
      </c>
      <c r="C4067" s="1">
        <v>25568</v>
      </c>
      <c r="D4067">
        <v>56</v>
      </c>
      <c r="E4067" s="4" t="s">
        <v>12</v>
      </c>
      <c r="F4067" t="s">
        <v>13</v>
      </c>
      <c r="G4067" s="1">
        <v>45555</v>
      </c>
      <c r="H4067" s="1">
        <f>TablaDatos[[#This Row],[FechaIngreso]]+TablaDatos[[#This Row],[DiasNuevo]]</f>
        <v>45557</v>
      </c>
      <c r="I4067">
        <v>2</v>
      </c>
      <c r="J4067" t="s">
        <v>25</v>
      </c>
      <c r="K4067" s="3">
        <v>7436.97</v>
      </c>
      <c r="L4067" t="b">
        <f>TablaDatos[[#This Row],[FechaAlta]] &lt; TablaDatos[[#This Row],[FechaIngreso]]</f>
        <v>0</v>
      </c>
      <c r="M4067">
        <f>_xlfn.XLOOKUP(TablaDatos[[#This Row],[PacienteID]],'Datos_Ejemplo.csv'!A:A,'Datos_Ejemplo.csv'!I:I)</f>
        <v>-2</v>
      </c>
      <c r="N4067">
        <f>ABS(TablaDatos[[#This Row],[DiasOriginal]])</f>
        <v>2</v>
      </c>
      <c r="O4067" s="1">
        <f>TablaDatos[[#This Row],[FechaIngreso]]+TablaDatos[[#This Row],[DiasNuevo]]</f>
        <v>45557</v>
      </c>
    </row>
    <row r="4068" spans="1:15">
      <c r="A4068">
        <v>4067</v>
      </c>
      <c r="B4068" t="s">
        <v>331</v>
      </c>
      <c r="C4068" s="1">
        <v>36891</v>
      </c>
      <c r="D4068">
        <v>25</v>
      </c>
      <c r="E4068" s="4" t="s">
        <v>15</v>
      </c>
      <c r="F4068" t="s">
        <v>295</v>
      </c>
      <c r="G4068" s="1">
        <v>45255</v>
      </c>
      <c r="H4068" s="1">
        <f>TablaDatos[[#This Row],[FechaIngreso]]+TablaDatos[[#This Row],[DiasNuevo]]</f>
        <v>45267</v>
      </c>
      <c r="I4068">
        <v>12</v>
      </c>
      <c r="J4068" t="s">
        <v>19</v>
      </c>
      <c r="K4068" s="3">
        <v>8565.7900000000009</v>
      </c>
      <c r="L4068" t="b">
        <f>TablaDatos[[#This Row],[FechaAlta]] &lt; TablaDatos[[#This Row],[FechaIngreso]]</f>
        <v>0</v>
      </c>
      <c r="M4068">
        <f>_xlfn.XLOOKUP(TablaDatos[[#This Row],[PacienteID]],'Datos_Ejemplo.csv'!A:A,'Datos_Ejemplo.csv'!I:I)</f>
        <v>12</v>
      </c>
      <c r="N4068">
        <f>ABS(TablaDatos[[#This Row],[DiasOriginal]])</f>
        <v>12</v>
      </c>
      <c r="O4068" s="1">
        <f>TablaDatos[[#This Row],[FechaIngreso]]+TablaDatos[[#This Row],[DiasNuevo]]</f>
        <v>45267</v>
      </c>
    </row>
    <row r="4069" spans="1:15">
      <c r="A4069">
        <v>4068</v>
      </c>
      <c r="B4069" t="s">
        <v>241</v>
      </c>
      <c r="C4069" s="1">
        <v>37256</v>
      </c>
      <c r="D4069">
        <v>24</v>
      </c>
      <c r="E4069" s="4" t="s">
        <v>15</v>
      </c>
      <c r="F4069" t="s">
        <v>261</v>
      </c>
      <c r="G4069" s="1">
        <v>45617</v>
      </c>
      <c r="H4069" s="1">
        <f>TablaDatos[[#This Row],[FechaIngreso]]+TablaDatos[[#This Row],[DiasNuevo]]</f>
        <v>45634</v>
      </c>
      <c r="I4069">
        <v>17</v>
      </c>
      <c r="J4069" t="s">
        <v>23</v>
      </c>
      <c r="K4069" s="3">
        <v>222.25</v>
      </c>
      <c r="L4069" t="b">
        <f>TablaDatos[[#This Row],[FechaAlta]] &lt; TablaDatos[[#This Row],[FechaIngreso]]</f>
        <v>0</v>
      </c>
      <c r="M4069">
        <f>_xlfn.XLOOKUP(TablaDatos[[#This Row],[PacienteID]],'Datos_Ejemplo.csv'!A:A,'Datos_Ejemplo.csv'!I:I)</f>
        <v>17</v>
      </c>
      <c r="N4069">
        <f>ABS(TablaDatos[[#This Row],[DiasOriginal]])</f>
        <v>17</v>
      </c>
      <c r="O4069" s="1">
        <f>TablaDatos[[#This Row],[FechaIngreso]]+TablaDatos[[#This Row],[DiasNuevo]]</f>
        <v>45634</v>
      </c>
    </row>
    <row r="4070" spans="1:15">
      <c r="A4070">
        <v>4069</v>
      </c>
      <c r="B4070" t="s">
        <v>240</v>
      </c>
      <c r="C4070" s="1">
        <v>42735</v>
      </c>
      <c r="D4070">
        <v>9</v>
      </c>
      <c r="E4070" s="4" t="s">
        <v>12</v>
      </c>
      <c r="F4070" t="s">
        <v>201</v>
      </c>
      <c r="G4070" s="1">
        <v>45406</v>
      </c>
      <c r="H4070" s="1">
        <f>TablaDatos[[#This Row],[FechaIngreso]]+TablaDatos[[#This Row],[DiasNuevo]]</f>
        <v>45406</v>
      </c>
      <c r="I4070">
        <v>0</v>
      </c>
      <c r="J4070" t="s">
        <v>25</v>
      </c>
      <c r="K4070" s="3">
        <v>1579.27</v>
      </c>
      <c r="L4070" t="b">
        <f>TablaDatos[[#This Row],[FechaAlta]] &lt; TablaDatos[[#This Row],[FechaIngreso]]</f>
        <v>0</v>
      </c>
      <c r="M4070">
        <f>_xlfn.XLOOKUP(TablaDatos[[#This Row],[PacienteID]],'Datos_Ejemplo.csv'!A:A,'Datos_Ejemplo.csv'!I:I)</f>
        <v>0</v>
      </c>
      <c r="N4070">
        <f>ABS(TablaDatos[[#This Row],[DiasOriginal]])</f>
        <v>0</v>
      </c>
      <c r="O4070" s="1">
        <f>TablaDatos[[#This Row],[FechaIngreso]]+TablaDatos[[#This Row],[DiasNuevo]]</f>
        <v>45406</v>
      </c>
    </row>
    <row r="4071" spans="1:15">
      <c r="A4071">
        <v>4070</v>
      </c>
      <c r="B4071" t="s">
        <v>249</v>
      </c>
      <c r="C4071" s="1">
        <v>29951</v>
      </c>
      <c r="D4071">
        <v>44</v>
      </c>
      <c r="E4071" s="4" t="s">
        <v>12</v>
      </c>
      <c r="F4071" t="s">
        <v>21</v>
      </c>
      <c r="G4071" s="1">
        <v>45265</v>
      </c>
      <c r="H4071" s="1">
        <f>TablaDatos[[#This Row],[FechaIngreso]]+TablaDatos[[#This Row],[DiasNuevo]]</f>
        <v>45277</v>
      </c>
      <c r="I4071">
        <v>12</v>
      </c>
      <c r="J4071" t="s">
        <v>25</v>
      </c>
      <c r="K4071" s="3">
        <v>10051.469999999999</v>
      </c>
      <c r="L4071" t="b">
        <f>TablaDatos[[#This Row],[FechaAlta]] &lt; TablaDatos[[#This Row],[FechaIngreso]]</f>
        <v>0</v>
      </c>
      <c r="M4071">
        <f>_xlfn.XLOOKUP(TablaDatos[[#This Row],[PacienteID]],'Datos_Ejemplo.csv'!A:A,'Datos_Ejemplo.csv'!I:I)</f>
        <v>12</v>
      </c>
      <c r="N4071">
        <f>ABS(TablaDatos[[#This Row],[DiasOriginal]])</f>
        <v>12</v>
      </c>
      <c r="O4071" s="1">
        <f>TablaDatos[[#This Row],[FechaIngreso]]+TablaDatos[[#This Row],[DiasNuevo]]</f>
        <v>45277</v>
      </c>
    </row>
    <row r="4072" spans="1:15">
      <c r="A4072">
        <v>4071</v>
      </c>
      <c r="B4072" t="s">
        <v>233</v>
      </c>
      <c r="C4072" s="1">
        <v>16072</v>
      </c>
      <c r="D4072">
        <v>82</v>
      </c>
      <c r="E4072" s="4" t="s">
        <v>12</v>
      </c>
      <c r="F4072" t="s">
        <v>18</v>
      </c>
      <c r="G4072" s="1">
        <v>45105</v>
      </c>
      <c r="H4072" s="1">
        <f>TablaDatos[[#This Row],[FechaIngreso]]+TablaDatos[[#This Row],[DiasNuevo]]</f>
        <v>45139</v>
      </c>
      <c r="I4072">
        <v>34</v>
      </c>
      <c r="J4072" t="s">
        <v>19</v>
      </c>
      <c r="K4072" s="3">
        <v>2917.46</v>
      </c>
      <c r="L4072" t="b">
        <f>TablaDatos[[#This Row],[FechaAlta]] &lt; TablaDatos[[#This Row],[FechaIngreso]]</f>
        <v>0</v>
      </c>
      <c r="M4072">
        <f>_xlfn.XLOOKUP(TablaDatos[[#This Row],[PacienteID]],'Datos_Ejemplo.csv'!A:A,'Datos_Ejemplo.csv'!I:I)</f>
        <v>34</v>
      </c>
      <c r="N4072">
        <f>ABS(TablaDatos[[#This Row],[DiasOriginal]])</f>
        <v>34</v>
      </c>
      <c r="O4072" s="1">
        <f>TablaDatos[[#This Row],[FechaIngreso]]+TablaDatos[[#This Row],[DiasNuevo]]</f>
        <v>45139</v>
      </c>
    </row>
    <row r="4073" spans="1:15">
      <c r="A4073">
        <v>4072</v>
      </c>
      <c r="B4073" t="s">
        <v>330</v>
      </c>
      <c r="C4073" s="1">
        <v>42370</v>
      </c>
      <c r="D4073">
        <v>10</v>
      </c>
      <c r="E4073" s="4" t="s">
        <v>12</v>
      </c>
      <c r="F4073" t="s">
        <v>21</v>
      </c>
      <c r="G4073" s="1">
        <v>45347</v>
      </c>
      <c r="H4073" s="1">
        <f>TablaDatos[[#This Row],[FechaIngreso]]+TablaDatos[[#This Row],[DiasNuevo]]</f>
        <v>45365</v>
      </c>
      <c r="I4073">
        <v>18</v>
      </c>
      <c r="J4073" t="s">
        <v>23</v>
      </c>
      <c r="K4073" s="3">
        <v>15553.13</v>
      </c>
      <c r="L4073" t="b">
        <f>TablaDatos[[#This Row],[FechaAlta]] &lt; TablaDatos[[#This Row],[FechaIngreso]]</f>
        <v>0</v>
      </c>
      <c r="M4073">
        <f>_xlfn.XLOOKUP(TablaDatos[[#This Row],[PacienteID]],'Datos_Ejemplo.csv'!A:A,'Datos_Ejemplo.csv'!I:I)</f>
        <v>18</v>
      </c>
      <c r="N4073">
        <f>ABS(TablaDatos[[#This Row],[DiasOriginal]])</f>
        <v>18</v>
      </c>
      <c r="O4073" s="1">
        <f>TablaDatos[[#This Row],[FechaIngreso]]+TablaDatos[[#This Row],[DiasNuevo]]</f>
        <v>45365</v>
      </c>
    </row>
    <row r="4074" spans="1:15">
      <c r="A4074">
        <v>4073</v>
      </c>
      <c r="B4074" t="s">
        <v>352</v>
      </c>
      <c r="C4074" s="1">
        <v>18263</v>
      </c>
      <c r="D4074">
        <v>76</v>
      </c>
      <c r="E4074" s="4" t="s">
        <v>12</v>
      </c>
      <c r="F4074" t="s">
        <v>18</v>
      </c>
      <c r="G4074" s="1">
        <v>45408</v>
      </c>
      <c r="H4074" s="1">
        <f>TablaDatos[[#This Row],[FechaIngreso]]+TablaDatos[[#This Row],[DiasNuevo]]</f>
        <v>45447</v>
      </c>
      <c r="I4074">
        <v>39</v>
      </c>
      <c r="J4074" t="s">
        <v>23</v>
      </c>
      <c r="K4074" s="3">
        <v>5417.15</v>
      </c>
      <c r="L4074" t="b">
        <f>TablaDatos[[#This Row],[FechaAlta]] &lt; TablaDatos[[#This Row],[FechaIngreso]]</f>
        <v>0</v>
      </c>
      <c r="M4074">
        <f>_xlfn.XLOOKUP(TablaDatos[[#This Row],[PacienteID]],'Datos_Ejemplo.csv'!A:A,'Datos_Ejemplo.csv'!I:I)</f>
        <v>39</v>
      </c>
      <c r="N4074">
        <f>ABS(TablaDatos[[#This Row],[DiasOriginal]])</f>
        <v>39</v>
      </c>
      <c r="O4074" s="1">
        <f>TablaDatos[[#This Row],[FechaIngreso]]+TablaDatos[[#This Row],[DiasNuevo]]</f>
        <v>45447</v>
      </c>
    </row>
    <row r="4075" spans="1:15">
      <c r="A4075">
        <v>4074</v>
      </c>
      <c r="B4075" t="s">
        <v>236</v>
      </c>
      <c r="C4075" s="1">
        <v>27029</v>
      </c>
      <c r="D4075">
        <v>52</v>
      </c>
      <c r="E4075" s="4" t="s">
        <v>15</v>
      </c>
      <c r="F4075" t="s">
        <v>21</v>
      </c>
      <c r="G4075" s="1">
        <v>44975</v>
      </c>
      <c r="H4075" s="1">
        <f>TablaDatos[[#This Row],[FechaIngreso]]+TablaDatos[[#This Row],[DiasNuevo]]</f>
        <v>45011</v>
      </c>
      <c r="I4075">
        <v>36</v>
      </c>
      <c r="J4075" t="s">
        <v>23</v>
      </c>
      <c r="K4075" s="3">
        <v>1867.78</v>
      </c>
      <c r="L4075" t="b">
        <f>TablaDatos[[#This Row],[FechaAlta]] &lt; TablaDatos[[#This Row],[FechaIngreso]]</f>
        <v>0</v>
      </c>
      <c r="M4075">
        <f>_xlfn.XLOOKUP(TablaDatos[[#This Row],[PacienteID]],'Datos_Ejemplo.csv'!A:A,'Datos_Ejemplo.csv'!I:I)</f>
        <v>36</v>
      </c>
      <c r="N4075">
        <f>ABS(TablaDatos[[#This Row],[DiasOriginal]])</f>
        <v>36</v>
      </c>
      <c r="O4075" s="1">
        <f>TablaDatos[[#This Row],[FechaIngreso]]+TablaDatos[[#This Row],[DiasNuevo]]</f>
        <v>45011</v>
      </c>
    </row>
    <row r="4076" spans="1:15">
      <c r="A4076">
        <v>4075</v>
      </c>
      <c r="B4076" t="s">
        <v>233</v>
      </c>
      <c r="C4076" s="1">
        <v>20090</v>
      </c>
      <c r="D4076">
        <v>71</v>
      </c>
      <c r="E4076" s="4" t="s">
        <v>15</v>
      </c>
      <c r="F4076" t="s">
        <v>201</v>
      </c>
      <c r="G4076" s="1">
        <v>44956</v>
      </c>
      <c r="H4076" s="1">
        <f>TablaDatos[[#This Row],[FechaIngreso]]+TablaDatos[[#This Row],[DiasNuevo]]</f>
        <v>44976</v>
      </c>
      <c r="I4076">
        <v>20</v>
      </c>
      <c r="J4076" t="s">
        <v>25</v>
      </c>
      <c r="K4076" s="3">
        <v>4627.72</v>
      </c>
      <c r="L4076" t="b">
        <f>TablaDatos[[#This Row],[FechaAlta]] &lt; TablaDatos[[#This Row],[FechaIngreso]]</f>
        <v>0</v>
      </c>
      <c r="M4076">
        <f>_xlfn.XLOOKUP(TablaDatos[[#This Row],[PacienteID]],'Datos_Ejemplo.csv'!A:A,'Datos_Ejemplo.csv'!I:I)</f>
        <v>20</v>
      </c>
      <c r="N4076">
        <f>ABS(TablaDatos[[#This Row],[DiasOriginal]])</f>
        <v>20</v>
      </c>
      <c r="O4076" s="1">
        <f>TablaDatos[[#This Row],[FechaIngreso]]+TablaDatos[[#This Row],[DiasNuevo]]</f>
        <v>44976</v>
      </c>
    </row>
    <row r="4077" spans="1:15">
      <c r="A4077">
        <v>4076</v>
      </c>
      <c r="B4077" t="s">
        <v>299</v>
      </c>
      <c r="C4077" s="1">
        <v>21551</v>
      </c>
      <c r="D4077">
        <v>67</v>
      </c>
      <c r="E4077" s="4" t="s">
        <v>15</v>
      </c>
      <c r="F4077" t="s">
        <v>295</v>
      </c>
      <c r="G4077" s="1">
        <v>45011</v>
      </c>
      <c r="H4077" s="1">
        <f>TablaDatos[[#This Row],[FechaIngreso]]+TablaDatos[[#This Row],[DiasNuevo]]</f>
        <v>45048</v>
      </c>
      <c r="I4077">
        <v>37</v>
      </c>
      <c r="J4077" t="s">
        <v>23</v>
      </c>
      <c r="K4077" s="3">
        <v>7077.67</v>
      </c>
      <c r="L4077" t="b">
        <f>TablaDatos[[#This Row],[FechaAlta]] &lt; TablaDatos[[#This Row],[FechaIngreso]]</f>
        <v>0</v>
      </c>
      <c r="M4077">
        <f>_xlfn.XLOOKUP(TablaDatos[[#This Row],[PacienteID]],'Datos_Ejemplo.csv'!A:A,'Datos_Ejemplo.csv'!I:I)</f>
        <v>37</v>
      </c>
      <c r="N4077">
        <f>ABS(TablaDatos[[#This Row],[DiasOriginal]])</f>
        <v>37</v>
      </c>
      <c r="O4077" s="1">
        <f>TablaDatos[[#This Row],[FechaIngreso]]+TablaDatos[[#This Row],[DiasNuevo]]</f>
        <v>45048</v>
      </c>
    </row>
    <row r="4078" spans="1:15">
      <c r="A4078">
        <v>4077</v>
      </c>
      <c r="B4078" t="s">
        <v>342</v>
      </c>
      <c r="C4078" s="1">
        <v>11689</v>
      </c>
      <c r="D4078">
        <v>94</v>
      </c>
      <c r="E4078" s="4" t="s">
        <v>12</v>
      </c>
      <c r="F4078" t="s">
        <v>32</v>
      </c>
      <c r="G4078" s="1">
        <v>45428</v>
      </c>
      <c r="H4078" s="1">
        <f>TablaDatos[[#This Row],[FechaIngreso]]+TablaDatos[[#This Row],[DiasNuevo]]</f>
        <v>45460</v>
      </c>
      <c r="I4078">
        <v>32</v>
      </c>
      <c r="J4078" t="s">
        <v>23</v>
      </c>
      <c r="K4078" s="3">
        <v>609.86</v>
      </c>
      <c r="L4078" t="b">
        <f>TablaDatos[[#This Row],[FechaAlta]] &lt; TablaDatos[[#This Row],[FechaIngreso]]</f>
        <v>0</v>
      </c>
      <c r="M4078">
        <f>_xlfn.XLOOKUP(TablaDatos[[#This Row],[PacienteID]],'Datos_Ejemplo.csv'!A:A,'Datos_Ejemplo.csv'!I:I)</f>
        <v>32</v>
      </c>
      <c r="N4078">
        <f>ABS(TablaDatos[[#This Row],[DiasOriginal]])</f>
        <v>32</v>
      </c>
      <c r="O4078" s="1">
        <f>TablaDatos[[#This Row],[FechaIngreso]]+TablaDatos[[#This Row],[DiasNuevo]]</f>
        <v>45460</v>
      </c>
    </row>
    <row r="4079" spans="1:15">
      <c r="A4079">
        <v>4078</v>
      </c>
      <c r="B4079" t="s">
        <v>338</v>
      </c>
      <c r="C4079" s="1">
        <v>36161</v>
      </c>
      <c r="D4079">
        <v>27</v>
      </c>
      <c r="E4079" s="4" t="s">
        <v>15</v>
      </c>
      <c r="F4079" t="s">
        <v>261</v>
      </c>
      <c r="G4079" s="1">
        <v>45472</v>
      </c>
      <c r="H4079" s="1">
        <f>TablaDatos[[#This Row],[FechaIngreso]]+TablaDatos[[#This Row],[DiasNuevo]]</f>
        <v>45487</v>
      </c>
      <c r="I4079">
        <v>15</v>
      </c>
      <c r="J4079" t="s">
        <v>23</v>
      </c>
      <c r="K4079" s="3">
        <v>2747.68</v>
      </c>
      <c r="L4079" t="b">
        <f>TablaDatos[[#This Row],[FechaAlta]] &lt; TablaDatos[[#This Row],[FechaIngreso]]</f>
        <v>0</v>
      </c>
      <c r="M4079">
        <f>_xlfn.XLOOKUP(TablaDatos[[#This Row],[PacienteID]],'Datos_Ejemplo.csv'!A:A,'Datos_Ejemplo.csv'!I:I)</f>
        <v>15</v>
      </c>
      <c r="N4079">
        <f>ABS(TablaDatos[[#This Row],[DiasOriginal]])</f>
        <v>15</v>
      </c>
      <c r="O4079" s="1">
        <f>TablaDatos[[#This Row],[FechaIngreso]]+TablaDatos[[#This Row],[DiasNuevo]]</f>
        <v>45487</v>
      </c>
    </row>
    <row r="4080" spans="1:15">
      <c r="A4080">
        <v>4079</v>
      </c>
      <c r="B4080" t="s">
        <v>348</v>
      </c>
      <c r="C4080" s="1">
        <v>18994</v>
      </c>
      <c r="D4080">
        <v>74</v>
      </c>
      <c r="E4080" s="4" t="s">
        <v>12</v>
      </c>
      <c r="F4080" t="s">
        <v>18</v>
      </c>
      <c r="G4080" s="1">
        <v>45255</v>
      </c>
      <c r="H4080" s="1">
        <f>TablaDatos[[#This Row],[FechaIngreso]]+TablaDatos[[#This Row],[DiasNuevo]]</f>
        <v>45269</v>
      </c>
      <c r="I4080">
        <v>14</v>
      </c>
      <c r="J4080" t="s">
        <v>23</v>
      </c>
      <c r="K4080" s="3">
        <v>6409.32</v>
      </c>
      <c r="L4080" t="b">
        <f>TablaDatos[[#This Row],[FechaAlta]] &lt; TablaDatos[[#This Row],[FechaIngreso]]</f>
        <v>0</v>
      </c>
      <c r="M4080">
        <f>_xlfn.XLOOKUP(TablaDatos[[#This Row],[PacienteID]],'Datos_Ejemplo.csv'!A:A,'Datos_Ejemplo.csv'!I:I)</f>
        <v>14</v>
      </c>
      <c r="N4080">
        <f>ABS(TablaDatos[[#This Row],[DiasOriginal]])</f>
        <v>14</v>
      </c>
      <c r="O4080" s="1">
        <f>TablaDatos[[#This Row],[FechaIngreso]]+TablaDatos[[#This Row],[DiasNuevo]]</f>
        <v>45269</v>
      </c>
    </row>
    <row r="4081" spans="1:15">
      <c r="A4081">
        <v>4080</v>
      </c>
      <c r="B4081" t="s">
        <v>152</v>
      </c>
      <c r="C4081" s="1">
        <v>22646</v>
      </c>
      <c r="D4081">
        <v>64</v>
      </c>
      <c r="E4081" s="4" t="s">
        <v>15</v>
      </c>
      <c r="F4081" t="s">
        <v>295</v>
      </c>
      <c r="G4081" s="1">
        <v>45536</v>
      </c>
      <c r="H4081" s="1">
        <f>TablaDatos[[#This Row],[FechaIngreso]]+TablaDatos[[#This Row],[DiasNuevo]]</f>
        <v>45564</v>
      </c>
      <c r="I4081">
        <v>28</v>
      </c>
      <c r="J4081" t="s">
        <v>23</v>
      </c>
      <c r="K4081" s="3">
        <v>6140.66</v>
      </c>
      <c r="L4081" t="b">
        <f>TablaDatos[[#This Row],[FechaAlta]] &lt; TablaDatos[[#This Row],[FechaIngreso]]</f>
        <v>0</v>
      </c>
      <c r="M4081">
        <f>_xlfn.XLOOKUP(TablaDatos[[#This Row],[PacienteID]],'Datos_Ejemplo.csv'!A:A,'Datos_Ejemplo.csv'!I:I)</f>
        <v>28</v>
      </c>
      <c r="N4081">
        <f>ABS(TablaDatos[[#This Row],[DiasOriginal]])</f>
        <v>28</v>
      </c>
      <c r="O4081" s="1">
        <f>TablaDatos[[#This Row],[FechaIngreso]]+TablaDatos[[#This Row],[DiasNuevo]]</f>
        <v>45564</v>
      </c>
    </row>
    <row r="4082" spans="1:15">
      <c r="A4082">
        <v>4081</v>
      </c>
      <c r="B4082" t="s">
        <v>304</v>
      </c>
      <c r="C4082" s="1">
        <v>28490</v>
      </c>
      <c r="D4082">
        <v>48</v>
      </c>
      <c r="E4082" s="4" t="s">
        <v>15</v>
      </c>
      <c r="F4082" t="s">
        <v>13</v>
      </c>
      <c r="G4082" s="1">
        <v>45360</v>
      </c>
      <c r="H4082" s="1">
        <f>TablaDatos[[#This Row],[FechaIngreso]]+TablaDatos[[#This Row],[DiasNuevo]]</f>
        <v>45383</v>
      </c>
      <c r="I4082">
        <v>23</v>
      </c>
      <c r="J4082" t="s">
        <v>25</v>
      </c>
      <c r="K4082" s="3">
        <v>15987.77</v>
      </c>
      <c r="L4082" t="b">
        <f>TablaDatos[[#This Row],[FechaAlta]] &lt; TablaDatos[[#This Row],[FechaIngreso]]</f>
        <v>0</v>
      </c>
      <c r="M4082">
        <f>_xlfn.XLOOKUP(TablaDatos[[#This Row],[PacienteID]],'Datos_Ejemplo.csv'!A:A,'Datos_Ejemplo.csv'!I:I)</f>
        <v>23</v>
      </c>
      <c r="N4082">
        <f>ABS(TablaDatos[[#This Row],[DiasOriginal]])</f>
        <v>23</v>
      </c>
      <c r="O4082" s="1">
        <f>TablaDatos[[#This Row],[FechaIngreso]]+TablaDatos[[#This Row],[DiasNuevo]]</f>
        <v>45383</v>
      </c>
    </row>
    <row r="4083" spans="1:15">
      <c r="A4083">
        <v>4082</v>
      </c>
      <c r="B4083" t="s">
        <v>136</v>
      </c>
      <c r="C4083" s="1">
        <v>29221</v>
      </c>
      <c r="D4083">
        <v>46</v>
      </c>
      <c r="E4083" s="4" t="s">
        <v>12</v>
      </c>
      <c r="F4083" t="s">
        <v>13</v>
      </c>
      <c r="G4083" s="1">
        <v>45514</v>
      </c>
      <c r="H4083" s="1">
        <f>TablaDatos[[#This Row],[FechaIngreso]]+TablaDatos[[#This Row],[DiasNuevo]]</f>
        <v>45533</v>
      </c>
      <c r="I4083">
        <v>19</v>
      </c>
      <c r="J4083" t="s">
        <v>19</v>
      </c>
      <c r="K4083" s="3">
        <v>16849.439999999999</v>
      </c>
      <c r="L4083" t="b">
        <f>TablaDatos[[#This Row],[FechaAlta]] &lt; TablaDatos[[#This Row],[FechaIngreso]]</f>
        <v>0</v>
      </c>
      <c r="M4083">
        <f>_xlfn.XLOOKUP(TablaDatos[[#This Row],[PacienteID]],'Datos_Ejemplo.csv'!A:A,'Datos_Ejemplo.csv'!I:I)</f>
        <v>19</v>
      </c>
      <c r="N4083">
        <f>ABS(TablaDatos[[#This Row],[DiasOriginal]])</f>
        <v>19</v>
      </c>
      <c r="O4083" s="1">
        <f>TablaDatos[[#This Row],[FechaIngreso]]+TablaDatos[[#This Row],[DiasNuevo]]</f>
        <v>45533</v>
      </c>
    </row>
    <row r="4084" spans="1:15">
      <c r="A4084">
        <v>4083</v>
      </c>
      <c r="B4084" t="s">
        <v>364</v>
      </c>
      <c r="C4084" s="1">
        <v>27395</v>
      </c>
      <c r="D4084">
        <v>51</v>
      </c>
      <c r="E4084" s="4" t="s">
        <v>15</v>
      </c>
      <c r="F4084" t="s">
        <v>21</v>
      </c>
      <c r="G4084" s="1">
        <v>45613</v>
      </c>
      <c r="H4084" s="1">
        <f>TablaDatos[[#This Row],[FechaIngreso]]+TablaDatos[[#This Row],[DiasNuevo]]</f>
        <v>45646</v>
      </c>
      <c r="I4084">
        <v>33</v>
      </c>
      <c r="J4084" t="s">
        <v>19</v>
      </c>
      <c r="K4084" s="3">
        <v>3787.71</v>
      </c>
      <c r="L4084" t="b">
        <f>TablaDatos[[#This Row],[FechaAlta]] &lt; TablaDatos[[#This Row],[FechaIngreso]]</f>
        <v>0</v>
      </c>
      <c r="M4084">
        <f>_xlfn.XLOOKUP(TablaDatos[[#This Row],[PacienteID]],'Datos_Ejemplo.csv'!A:A,'Datos_Ejemplo.csv'!I:I)</f>
        <v>33</v>
      </c>
      <c r="N4084">
        <f>ABS(TablaDatos[[#This Row],[DiasOriginal]])</f>
        <v>33</v>
      </c>
      <c r="O4084" s="1">
        <f>TablaDatos[[#This Row],[FechaIngreso]]+TablaDatos[[#This Row],[DiasNuevo]]</f>
        <v>45646</v>
      </c>
    </row>
    <row r="4085" spans="1:15">
      <c r="A4085">
        <v>4084</v>
      </c>
      <c r="B4085" t="s">
        <v>285</v>
      </c>
      <c r="C4085" s="1">
        <v>14246</v>
      </c>
      <c r="D4085">
        <v>87</v>
      </c>
      <c r="E4085" s="4" t="s">
        <v>15</v>
      </c>
      <c r="F4085" t="s">
        <v>13</v>
      </c>
      <c r="G4085" s="1">
        <v>45175</v>
      </c>
      <c r="H4085" s="1">
        <f>TablaDatos[[#This Row],[FechaIngreso]]+TablaDatos[[#This Row],[DiasNuevo]]</f>
        <v>45207</v>
      </c>
      <c r="I4085">
        <v>32</v>
      </c>
      <c r="J4085" t="s">
        <v>23</v>
      </c>
      <c r="K4085" s="3">
        <v>2391.19</v>
      </c>
      <c r="L4085" t="b">
        <f>TablaDatos[[#This Row],[FechaAlta]] &lt; TablaDatos[[#This Row],[FechaIngreso]]</f>
        <v>0</v>
      </c>
      <c r="M4085">
        <f>_xlfn.XLOOKUP(TablaDatos[[#This Row],[PacienteID]],'Datos_Ejemplo.csv'!A:A,'Datos_Ejemplo.csv'!I:I)</f>
        <v>32</v>
      </c>
      <c r="N4085">
        <f>ABS(TablaDatos[[#This Row],[DiasOriginal]])</f>
        <v>32</v>
      </c>
      <c r="O4085" s="1">
        <f>TablaDatos[[#This Row],[FechaIngreso]]+TablaDatos[[#This Row],[DiasNuevo]]</f>
        <v>45207</v>
      </c>
    </row>
    <row r="4086" spans="1:15">
      <c r="A4086">
        <v>4085</v>
      </c>
      <c r="B4086" t="s">
        <v>146</v>
      </c>
      <c r="C4086" s="1">
        <v>26664</v>
      </c>
      <c r="D4086">
        <v>53</v>
      </c>
      <c r="E4086" s="4" t="s">
        <v>12</v>
      </c>
      <c r="F4086" t="s">
        <v>32</v>
      </c>
      <c r="G4086" s="1">
        <v>45060</v>
      </c>
      <c r="H4086" s="1">
        <f>TablaDatos[[#This Row],[FechaIngreso]]+TablaDatos[[#This Row],[DiasNuevo]]</f>
        <v>45068</v>
      </c>
      <c r="I4086">
        <v>8</v>
      </c>
      <c r="J4086" t="s">
        <v>25</v>
      </c>
      <c r="K4086" s="3">
        <v>12646.67</v>
      </c>
      <c r="L4086" t="b">
        <f>TablaDatos[[#This Row],[FechaAlta]] &lt; TablaDatos[[#This Row],[FechaIngreso]]</f>
        <v>0</v>
      </c>
      <c r="M4086">
        <f>_xlfn.XLOOKUP(TablaDatos[[#This Row],[PacienteID]],'Datos_Ejemplo.csv'!A:A,'Datos_Ejemplo.csv'!I:I)</f>
        <v>8</v>
      </c>
      <c r="N4086">
        <f>ABS(TablaDatos[[#This Row],[DiasOriginal]])</f>
        <v>8</v>
      </c>
      <c r="O4086" s="1">
        <f>TablaDatos[[#This Row],[FechaIngreso]]+TablaDatos[[#This Row],[DiasNuevo]]</f>
        <v>45068</v>
      </c>
    </row>
    <row r="4087" spans="1:15">
      <c r="A4087">
        <v>4086</v>
      </c>
      <c r="B4087" t="s">
        <v>346</v>
      </c>
      <c r="C4087" s="1">
        <v>24473</v>
      </c>
      <c r="D4087">
        <v>59</v>
      </c>
      <c r="E4087" s="4" t="s">
        <v>15</v>
      </c>
      <c r="F4087" t="s">
        <v>18</v>
      </c>
      <c r="G4087" s="1">
        <v>45616</v>
      </c>
      <c r="H4087" s="1">
        <f>TablaDatos[[#This Row],[FechaIngreso]]+TablaDatos[[#This Row],[DiasNuevo]]</f>
        <v>45640</v>
      </c>
      <c r="I4087">
        <v>24</v>
      </c>
      <c r="J4087" t="s">
        <v>25</v>
      </c>
      <c r="K4087" s="3">
        <v>16072.93</v>
      </c>
      <c r="L4087" t="b">
        <f>TablaDatos[[#This Row],[FechaAlta]] &lt; TablaDatos[[#This Row],[FechaIngreso]]</f>
        <v>0</v>
      </c>
      <c r="M4087">
        <f>_xlfn.XLOOKUP(TablaDatos[[#This Row],[PacienteID]],'Datos_Ejemplo.csv'!A:A,'Datos_Ejemplo.csv'!I:I)</f>
        <v>24</v>
      </c>
      <c r="N4087">
        <f>ABS(TablaDatos[[#This Row],[DiasOriginal]])</f>
        <v>24</v>
      </c>
      <c r="O4087" s="1">
        <f>TablaDatos[[#This Row],[FechaIngreso]]+TablaDatos[[#This Row],[DiasNuevo]]</f>
        <v>45640</v>
      </c>
    </row>
    <row r="4088" spans="1:15">
      <c r="A4088">
        <v>4087</v>
      </c>
      <c r="B4088" t="s">
        <v>105</v>
      </c>
      <c r="C4088" s="1">
        <v>25568</v>
      </c>
      <c r="D4088">
        <v>56</v>
      </c>
      <c r="E4088" s="4" t="s">
        <v>12</v>
      </c>
      <c r="F4088" t="s">
        <v>21</v>
      </c>
      <c r="G4088" s="1">
        <v>45291</v>
      </c>
      <c r="H4088" s="1">
        <f>TablaDatos[[#This Row],[FechaIngreso]]+TablaDatos[[#This Row],[DiasNuevo]]</f>
        <v>45322</v>
      </c>
      <c r="I4088">
        <v>31</v>
      </c>
      <c r="J4088" t="s">
        <v>25</v>
      </c>
      <c r="K4088" s="3">
        <v>19270.830000000002</v>
      </c>
      <c r="L4088" t="b">
        <f>TablaDatos[[#This Row],[FechaAlta]] &lt; TablaDatos[[#This Row],[FechaIngreso]]</f>
        <v>0</v>
      </c>
      <c r="M4088">
        <f>_xlfn.XLOOKUP(TablaDatos[[#This Row],[PacienteID]],'Datos_Ejemplo.csv'!A:A,'Datos_Ejemplo.csv'!I:I)</f>
        <v>31</v>
      </c>
      <c r="N4088">
        <f>ABS(TablaDatos[[#This Row],[DiasOriginal]])</f>
        <v>31</v>
      </c>
      <c r="O4088" s="1">
        <f>TablaDatos[[#This Row],[FechaIngreso]]+TablaDatos[[#This Row],[DiasNuevo]]</f>
        <v>45322</v>
      </c>
    </row>
    <row r="4089" spans="1:15">
      <c r="A4089">
        <v>4088</v>
      </c>
      <c r="B4089" t="s">
        <v>252</v>
      </c>
      <c r="C4089" s="1">
        <v>29221</v>
      </c>
      <c r="D4089">
        <v>46</v>
      </c>
      <c r="E4089" s="4" t="s">
        <v>12</v>
      </c>
      <c r="F4089" t="s">
        <v>18</v>
      </c>
      <c r="G4089" s="1">
        <v>45501</v>
      </c>
      <c r="H4089" s="1">
        <f>TablaDatos[[#This Row],[FechaIngreso]]+TablaDatos[[#This Row],[DiasNuevo]]</f>
        <v>45516</v>
      </c>
      <c r="I4089">
        <v>15</v>
      </c>
      <c r="J4089" t="s">
        <v>19</v>
      </c>
      <c r="K4089" s="3">
        <v>36.61</v>
      </c>
      <c r="L4089" t="b">
        <f>TablaDatos[[#This Row],[FechaAlta]] &lt; TablaDatos[[#This Row],[FechaIngreso]]</f>
        <v>0</v>
      </c>
      <c r="M4089">
        <f>_xlfn.XLOOKUP(TablaDatos[[#This Row],[PacienteID]],'Datos_Ejemplo.csv'!A:A,'Datos_Ejemplo.csv'!I:I)</f>
        <v>15</v>
      </c>
      <c r="N4089">
        <f>ABS(TablaDatos[[#This Row],[DiasOriginal]])</f>
        <v>15</v>
      </c>
      <c r="O4089" s="1">
        <f>TablaDatos[[#This Row],[FechaIngreso]]+TablaDatos[[#This Row],[DiasNuevo]]</f>
        <v>45516</v>
      </c>
    </row>
    <row r="4090" spans="1:15">
      <c r="A4090">
        <v>4089</v>
      </c>
      <c r="B4090" t="s">
        <v>262</v>
      </c>
      <c r="C4090" s="1">
        <v>35065</v>
      </c>
      <c r="D4090">
        <v>30</v>
      </c>
      <c r="E4090" s="4" t="s">
        <v>12</v>
      </c>
      <c r="F4090" t="s">
        <v>18</v>
      </c>
      <c r="G4090" s="1">
        <v>45351</v>
      </c>
      <c r="H4090" s="1">
        <f>TablaDatos[[#This Row],[FechaIngreso]]+TablaDatos[[#This Row],[DiasNuevo]]</f>
        <v>45375</v>
      </c>
      <c r="I4090">
        <v>24</v>
      </c>
      <c r="J4090" t="s">
        <v>25</v>
      </c>
      <c r="K4090" s="3">
        <v>8214.93</v>
      </c>
      <c r="L4090" t="b">
        <f>TablaDatos[[#This Row],[FechaAlta]] &lt; TablaDatos[[#This Row],[FechaIngreso]]</f>
        <v>0</v>
      </c>
      <c r="M4090">
        <f>_xlfn.XLOOKUP(TablaDatos[[#This Row],[PacienteID]],'Datos_Ejemplo.csv'!A:A,'Datos_Ejemplo.csv'!I:I)</f>
        <v>24</v>
      </c>
      <c r="N4090">
        <f>ABS(TablaDatos[[#This Row],[DiasOriginal]])</f>
        <v>24</v>
      </c>
      <c r="O4090" s="1">
        <f>TablaDatos[[#This Row],[FechaIngreso]]+TablaDatos[[#This Row],[DiasNuevo]]</f>
        <v>45375</v>
      </c>
    </row>
    <row r="4091" spans="1:15">
      <c r="A4091">
        <v>4090</v>
      </c>
      <c r="B4091" t="s">
        <v>152</v>
      </c>
      <c r="C4091" s="1">
        <v>29586</v>
      </c>
      <c r="D4091">
        <v>45</v>
      </c>
      <c r="E4091" s="4" t="s">
        <v>12</v>
      </c>
      <c r="F4091" t="s">
        <v>201</v>
      </c>
      <c r="G4091" s="1">
        <v>45341</v>
      </c>
      <c r="H4091" s="1">
        <f>TablaDatos[[#This Row],[FechaIngreso]]+TablaDatos[[#This Row],[DiasNuevo]]</f>
        <v>45342</v>
      </c>
      <c r="I4091">
        <v>1</v>
      </c>
      <c r="J4091" t="s">
        <v>23</v>
      </c>
      <c r="K4091" s="3">
        <v>14653.16</v>
      </c>
      <c r="L4091" t="b">
        <f>TablaDatos[[#This Row],[FechaAlta]] &lt; TablaDatos[[#This Row],[FechaIngreso]]</f>
        <v>0</v>
      </c>
      <c r="M4091">
        <f>_xlfn.XLOOKUP(TablaDatos[[#This Row],[PacienteID]],'Datos_Ejemplo.csv'!A:A,'Datos_Ejemplo.csv'!I:I)</f>
        <v>1</v>
      </c>
      <c r="N4091">
        <f>ABS(TablaDatos[[#This Row],[DiasOriginal]])</f>
        <v>1</v>
      </c>
      <c r="O4091" s="1">
        <f>TablaDatos[[#This Row],[FechaIngreso]]+TablaDatos[[#This Row],[DiasNuevo]]</f>
        <v>45342</v>
      </c>
    </row>
    <row r="4092" spans="1:15">
      <c r="A4092">
        <v>4091</v>
      </c>
      <c r="B4092" t="s">
        <v>241</v>
      </c>
      <c r="C4092" s="1">
        <v>36891</v>
      </c>
      <c r="D4092">
        <v>25</v>
      </c>
      <c r="E4092" s="4" t="s">
        <v>15</v>
      </c>
      <c r="F4092" t="s">
        <v>295</v>
      </c>
      <c r="G4092" s="1">
        <v>45582</v>
      </c>
      <c r="H4092" s="1">
        <f>TablaDatos[[#This Row],[FechaIngreso]]+TablaDatos[[#This Row],[DiasNuevo]]</f>
        <v>45596</v>
      </c>
      <c r="I4092">
        <v>14</v>
      </c>
      <c r="J4092" t="s">
        <v>19</v>
      </c>
      <c r="K4092" s="3">
        <v>16554.04</v>
      </c>
      <c r="L4092" t="b">
        <f>TablaDatos[[#This Row],[FechaAlta]] &lt; TablaDatos[[#This Row],[FechaIngreso]]</f>
        <v>0</v>
      </c>
      <c r="M4092">
        <f>_xlfn.XLOOKUP(TablaDatos[[#This Row],[PacienteID]],'Datos_Ejemplo.csv'!A:A,'Datos_Ejemplo.csv'!I:I)</f>
        <v>14</v>
      </c>
      <c r="N4092">
        <f>ABS(TablaDatos[[#This Row],[DiasOriginal]])</f>
        <v>14</v>
      </c>
      <c r="O4092" s="1">
        <f>TablaDatos[[#This Row],[FechaIngreso]]+TablaDatos[[#This Row],[DiasNuevo]]</f>
        <v>45596</v>
      </c>
    </row>
    <row r="4093" spans="1:15">
      <c r="A4093">
        <v>4092</v>
      </c>
      <c r="B4093" t="s">
        <v>338</v>
      </c>
      <c r="C4093" s="1">
        <v>44561</v>
      </c>
      <c r="D4093">
        <v>4</v>
      </c>
      <c r="E4093" s="4" t="s">
        <v>12</v>
      </c>
      <c r="F4093" t="s">
        <v>13</v>
      </c>
      <c r="G4093" s="1">
        <v>45438</v>
      </c>
      <c r="H4093" s="1">
        <f>TablaDatos[[#This Row],[FechaIngreso]]+TablaDatos[[#This Row],[DiasNuevo]]</f>
        <v>45441</v>
      </c>
      <c r="I4093">
        <v>3</v>
      </c>
      <c r="J4093" t="s">
        <v>25</v>
      </c>
      <c r="K4093" s="3">
        <v>1151.95</v>
      </c>
      <c r="L4093" t="b">
        <f>TablaDatos[[#This Row],[FechaAlta]] &lt; TablaDatos[[#This Row],[FechaIngreso]]</f>
        <v>0</v>
      </c>
      <c r="M4093">
        <f>_xlfn.XLOOKUP(TablaDatos[[#This Row],[PacienteID]],'Datos_Ejemplo.csv'!A:A,'Datos_Ejemplo.csv'!I:I)</f>
        <v>3</v>
      </c>
      <c r="N4093">
        <f>ABS(TablaDatos[[#This Row],[DiasOriginal]])</f>
        <v>3</v>
      </c>
      <c r="O4093" s="1">
        <f>TablaDatos[[#This Row],[FechaIngreso]]+TablaDatos[[#This Row],[DiasNuevo]]</f>
        <v>45441</v>
      </c>
    </row>
    <row r="4094" spans="1:15">
      <c r="A4094">
        <v>4093</v>
      </c>
      <c r="B4094" t="s">
        <v>52</v>
      </c>
      <c r="C4094" s="1">
        <v>15707</v>
      </c>
      <c r="D4094">
        <v>83</v>
      </c>
      <c r="E4094" s="4" t="s">
        <v>15</v>
      </c>
      <c r="F4094" t="s">
        <v>261</v>
      </c>
      <c r="G4094" s="1">
        <v>45311</v>
      </c>
      <c r="H4094" s="1">
        <f>TablaDatos[[#This Row],[FechaIngreso]]+TablaDatos[[#This Row],[DiasNuevo]]</f>
        <v>45350</v>
      </c>
      <c r="I4094">
        <v>39</v>
      </c>
      <c r="J4094" t="s">
        <v>23</v>
      </c>
      <c r="K4094" s="3">
        <v>13580.35</v>
      </c>
      <c r="L4094" t="b">
        <f>TablaDatos[[#This Row],[FechaAlta]] &lt; TablaDatos[[#This Row],[FechaIngreso]]</f>
        <v>0</v>
      </c>
      <c r="M4094">
        <f>_xlfn.XLOOKUP(TablaDatos[[#This Row],[PacienteID]],'Datos_Ejemplo.csv'!A:A,'Datos_Ejemplo.csv'!I:I)</f>
        <v>39</v>
      </c>
      <c r="N4094">
        <f>ABS(TablaDatos[[#This Row],[DiasOriginal]])</f>
        <v>39</v>
      </c>
      <c r="O4094" s="1">
        <f>TablaDatos[[#This Row],[FechaIngreso]]+TablaDatos[[#This Row],[DiasNuevo]]</f>
        <v>45350</v>
      </c>
    </row>
    <row r="4095" spans="1:15">
      <c r="A4095">
        <v>4094</v>
      </c>
      <c r="B4095" t="s">
        <v>291</v>
      </c>
      <c r="C4095" s="1">
        <v>27395</v>
      </c>
      <c r="D4095">
        <v>51</v>
      </c>
      <c r="E4095" s="4" t="s">
        <v>15</v>
      </c>
      <c r="F4095" t="s">
        <v>18</v>
      </c>
      <c r="G4095" s="1">
        <v>45314</v>
      </c>
      <c r="H4095" s="1">
        <f>TablaDatos[[#This Row],[FechaIngreso]]+TablaDatos[[#This Row],[DiasNuevo]]</f>
        <v>45322</v>
      </c>
      <c r="I4095">
        <v>8</v>
      </c>
      <c r="J4095" t="s">
        <v>19</v>
      </c>
      <c r="K4095" s="3">
        <v>5707.67</v>
      </c>
      <c r="L4095" t="b">
        <f>TablaDatos[[#This Row],[FechaAlta]] &lt; TablaDatos[[#This Row],[FechaIngreso]]</f>
        <v>0</v>
      </c>
      <c r="M4095">
        <f>_xlfn.XLOOKUP(TablaDatos[[#This Row],[PacienteID]],'Datos_Ejemplo.csv'!A:A,'Datos_Ejemplo.csv'!I:I)</f>
        <v>8</v>
      </c>
      <c r="N4095">
        <f>ABS(TablaDatos[[#This Row],[DiasOriginal]])</f>
        <v>8</v>
      </c>
      <c r="O4095" s="1">
        <f>TablaDatos[[#This Row],[FechaIngreso]]+TablaDatos[[#This Row],[DiasNuevo]]</f>
        <v>45322</v>
      </c>
    </row>
    <row r="4096" spans="1:15">
      <c r="A4096">
        <v>4095</v>
      </c>
      <c r="B4096" t="s">
        <v>162</v>
      </c>
      <c r="C4096" s="1">
        <v>18994</v>
      </c>
      <c r="D4096">
        <v>74</v>
      </c>
      <c r="E4096" s="4" t="s">
        <v>15</v>
      </c>
      <c r="F4096" t="s">
        <v>32</v>
      </c>
      <c r="G4096" s="1">
        <v>45375</v>
      </c>
      <c r="H4096" s="1">
        <f>TablaDatos[[#This Row],[FechaIngreso]]+TablaDatos[[#This Row],[DiasNuevo]]</f>
        <v>45377</v>
      </c>
      <c r="I4096">
        <v>2</v>
      </c>
      <c r="J4096" t="s">
        <v>25</v>
      </c>
      <c r="K4096" s="3">
        <v>1399.4</v>
      </c>
      <c r="L4096" t="b">
        <f>TablaDatos[[#This Row],[FechaAlta]] &lt; TablaDatos[[#This Row],[FechaIngreso]]</f>
        <v>0</v>
      </c>
      <c r="M4096">
        <f>_xlfn.XLOOKUP(TablaDatos[[#This Row],[PacienteID]],'Datos_Ejemplo.csv'!A:A,'Datos_Ejemplo.csv'!I:I)</f>
        <v>2</v>
      </c>
      <c r="N4096">
        <f>ABS(TablaDatos[[#This Row],[DiasOriginal]])</f>
        <v>2</v>
      </c>
      <c r="O4096" s="1">
        <f>TablaDatos[[#This Row],[FechaIngreso]]+TablaDatos[[#This Row],[DiasNuevo]]</f>
        <v>45377</v>
      </c>
    </row>
    <row r="4097" spans="1:15">
      <c r="A4097">
        <v>4096</v>
      </c>
      <c r="B4097" t="s">
        <v>244</v>
      </c>
      <c r="C4097" s="1">
        <v>26664</v>
      </c>
      <c r="D4097">
        <v>53</v>
      </c>
      <c r="E4097" s="4" t="s">
        <v>15</v>
      </c>
      <c r="F4097" t="s">
        <v>201</v>
      </c>
      <c r="G4097" s="1">
        <v>45490</v>
      </c>
      <c r="H4097" s="1">
        <f>TablaDatos[[#This Row],[FechaIngreso]]+TablaDatos[[#This Row],[DiasNuevo]]</f>
        <v>45505</v>
      </c>
      <c r="I4097">
        <v>15</v>
      </c>
      <c r="J4097" t="s">
        <v>23</v>
      </c>
      <c r="K4097" s="3">
        <v>9730.9599999999991</v>
      </c>
      <c r="L4097" t="b">
        <f>TablaDatos[[#This Row],[FechaAlta]] &lt; TablaDatos[[#This Row],[FechaIngreso]]</f>
        <v>0</v>
      </c>
      <c r="M4097">
        <f>_xlfn.XLOOKUP(TablaDatos[[#This Row],[PacienteID]],'Datos_Ejemplo.csv'!A:A,'Datos_Ejemplo.csv'!I:I)</f>
        <v>15</v>
      </c>
      <c r="N4097">
        <f>ABS(TablaDatos[[#This Row],[DiasOriginal]])</f>
        <v>15</v>
      </c>
      <c r="O4097" s="1">
        <f>TablaDatos[[#This Row],[FechaIngreso]]+TablaDatos[[#This Row],[DiasNuevo]]</f>
        <v>45505</v>
      </c>
    </row>
    <row r="4098" spans="1:15">
      <c r="A4098">
        <v>4097</v>
      </c>
      <c r="B4098" t="s">
        <v>235</v>
      </c>
      <c r="C4098" s="1">
        <v>34334</v>
      </c>
      <c r="D4098">
        <v>32</v>
      </c>
      <c r="E4098" s="4" t="s">
        <v>12</v>
      </c>
      <c r="F4098" t="s">
        <v>32</v>
      </c>
      <c r="G4098" s="1">
        <v>45229</v>
      </c>
      <c r="H4098" s="1">
        <f>TablaDatos[[#This Row],[FechaIngreso]]+TablaDatos[[#This Row],[DiasNuevo]]</f>
        <v>45251</v>
      </c>
      <c r="I4098">
        <v>22</v>
      </c>
      <c r="J4098" t="s">
        <v>23</v>
      </c>
      <c r="K4098" s="3">
        <v>3078.88</v>
      </c>
      <c r="L4098" t="b">
        <f>TablaDatos[[#This Row],[FechaAlta]] &lt; TablaDatos[[#This Row],[FechaIngreso]]</f>
        <v>0</v>
      </c>
      <c r="M4098">
        <f>_xlfn.XLOOKUP(TablaDatos[[#This Row],[PacienteID]],'Datos_Ejemplo.csv'!A:A,'Datos_Ejemplo.csv'!I:I)</f>
        <v>22</v>
      </c>
      <c r="N4098">
        <f>ABS(TablaDatos[[#This Row],[DiasOriginal]])</f>
        <v>22</v>
      </c>
      <c r="O4098" s="1">
        <f>TablaDatos[[#This Row],[FechaIngreso]]+TablaDatos[[#This Row],[DiasNuevo]]</f>
        <v>45251</v>
      </c>
    </row>
    <row r="4099" spans="1:15">
      <c r="A4099">
        <v>4098</v>
      </c>
      <c r="B4099" t="s">
        <v>339</v>
      </c>
      <c r="C4099" s="1">
        <v>28125</v>
      </c>
      <c r="D4099">
        <v>49</v>
      </c>
      <c r="E4099" s="4" t="s">
        <v>15</v>
      </c>
      <c r="F4099" t="s">
        <v>261</v>
      </c>
      <c r="G4099" s="1">
        <v>45025</v>
      </c>
      <c r="H4099" s="1">
        <f>TablaDatos[[#This Row],[FechaIngreso]]+TablaDatos[[#This Row],[DiasNuevo]]</f>
        <v>45032</v>
      </c>
      <c r="I4099">
        <v>7</v>
      </c>
      <c r="J4099" t="s">
        <v>23</v>
      </c>
      <c r="K4099" s="3">
        <v>14713.85</v>
      </c>
      <c r="L4099" t="b">
        <f>TablaDatos[[#This Row],[FechaAlta]] &lt; TablaDatos[[#This Row],[FechaIngreso]]</f>
        <v>0</v>
      </c>
      <c r="M4099">
        <f>_xlfn.XLOOKUP(TablaDatos[[#This Row],[PacienteID]],'Datos_Ejemplo.csv'!A:A,'Datos_Ejemplo.csv'!I:I)</f>
        <v>7</v>
      </c>
      <c r="N4099">
        <f>ABS(TablaDatos[[#This Row],[DiasOriginal]])</f>
        <v>7</v>
      </c>
      <c r="O4099" s="1">
        <f>TablaDatos[[#This Row],[FechaIngreso]]+TablaDatos[[#This Row],[DiasNuevo]]</f>
        <v>45032</v>
      </c>
    </row>
    <row r="4100" spans="1:15">
      <c r="A4100">
        <v>4099</v>
      </c>
      <c r="B4100" t="s">
        <v>239</v>
      </c>
      <c r="C4100" s="1">
        <v>32508</v>
      </c>
      <c r="D4100">
        <v>37</v>
      </c>
      <c r="E4100" s="4" t="s">
        <v>12</v>
      </c>
      <c r="F4100" t="s">
        <v>13</v>
      </c>
      <c r="G4100" s="1">
        <v>45232</v>
      </c>
      <c r="H4100" s="1">
        <f>TablaDatos[[#This Row],[FechaIngreso]]+TablaDatos[[#This Row],[DiasNuevo]]</f>
        <v>45270</v>
      </c>
      <c r="I4100">
        <v>38</v>
      </c>
      <c r="J4100" t="s">
        <v>19</v>
      </c>
      <c r="K4100" s="3">
        <v>14799.36</v>
      </c>
      <c r="L4100" t="b">
        <f>TablaDatos[[#This Row],[FechaAlta]] &lt; TablaDatos[[#This Row],[FechaIngreso]]</f>
        <v>0</v>
      </c>
      <c r="M4100">
        <f>_xlfn.XLOOKUP(TablaDatos[[#This Row],[PacienteID]],'Datos_Ejemplo.csv'!A:A,'Datos_Ejemplo.csv'!I:I)</f>
        <v>38</v>
      </c>
      <c r="N4100">
        <f>ABS(TablaDatos[[#This Row],[DiasOriginal]])</f>
        <v>38</v>
      </c>
      <c r="O4100" s="1">
        <f>TablaDatos[[#This Row],[FechaIngreso]]+TablaDatos[[#This Row],[DiasNuevo]]</f>
        <v>45270</v>
      </c>
    </row>
    <row r="4101" spans="1:15">
      <c r="A4101">
        <v>4100</v>
      </c>
      <c r="B4101" t="s">
        <v>345</v>
      </c>
      <c r="C4101" s="1">
        <v>36526</v>
      </c>
      <c r="D4101">
        <v>26</v>
      </c>
      <c r="E4101" s="4" t="s">
        <v>15</v>
      </c>
      <c r="F4101" t="s">
        <v>13</v>
      </c>
      <c r="G4101" s="1">
        <v>45483</v>
      </c>
      <c r="H4101" s="1">
        <f>TablaDatos[[#This Row],[FechaIngreso]]+TablaDatos[[#This Row],[DiasNuevo]]</f>
        <v>45496</v>
      </c>
      <c r="I4101">
        <v>13</v>
      </c>
      <c r="J4101" t="s">
        <v>25</v>
      </c>
      <c r="K4101" s="3">
        <v>16825.560000000001</v>
      </c>
      <c r="L4101" t="b">
        <f>TablaDatos[[#This Row],[FechaAlta]] &lt; TablaDatos[[#This Row],[FechaIngreso]]</f>
        <v>0</v>
      </c>
      <c r="M4101">
        <f>_xlfn.XLOOKUP(TablaDatos[[#This Row],[PacienteID]],'Datos_Ejemplo.csv'!A:A,'Datos_Ejemplo.csv'!I:I)</f>
        <v>13</v>
      </c>
      <c r="N4101">
        <f>ABS(TablaDatos[[#This Row],[DiasOriginal]])</f>
        <v>13</v>
      </c>
      <c r="O4101" s="1">
        <f>TablaDatos[[#This Row],[FechaIngreso]]+TablaDatos[[#This Row],[DiasNuevo]]</f>
        <v>45496</v>
      </c>
    </row>
    <row r="4102" spans="1:15">
      <c r="A4102">
        <v>4101</v>
      </c>
      <c r="B4102" t="s">
        <v>268</v>
      </c>
      <c r="C4102" s="1">
        <v>40909</v>
      </c>
      <c r="D4102">
        <v>14</v>
      </c>
      <c r="E4102" s="4" t="s">
        <v>15</v>
      </c>
      <c r="F4102" t="s">
        <v>21</v>
      </c>
      <c r="G4102" s="1">
        <v>44968</v>
      </c>
      <c r="H4102" s="1">
        <f>TablaDatos[[#This Row],[FechaIngreso]]+TablaDatos[[#This Row],[DiasNuevo]]</f>
        <v>44975</v>
      </c>
      <c r="I4102">
        <v>7</v>
      </c>
      <c r="J4102" t="s">
        <v>23</v>
      </c>
      <c r="K4102" s="3">
        <v>7489.13</v>
      </c>
      <c r="L4102" t="b">
        <f>TablaDatos[[#This Row],[FechaAlta]] &lt; TablaDatos[[#This Row],[FechaIngreso]]</f>
        <v>0</v>
      </c>
      <c r="M4102">
        <f>_xlfn.XLOOKUP(TablaDatos[[#This Row],[PacienteID]],'Datos_Ejemplo.csv'!A:A,'Datos_Ejemplo.csv'!I:I)</f>
        <v>7</v>
      </c>
      <c r="N4102">
        <f>ABS(TablaDatos[[#This Row],[DiasOriginal]])</f>
        <v>7</v>
      </c>
      <c r="O4102" s="1">
        <f>TablaDatos[[#This Row],[FechaIngreso]]+TablaDatos[[#This Row],[DiasNuevo]]</f>
        <v>44975</v>
      </c>
    </row>
    <row r="4103" spans="1:15">
      <c r="A4103">
        <v>4102</v>
      </c>
      <c r="B4103" t="s">
        <v>365</v>
      </c>
      <c r="C4103" s="1">
        <v>24107</v>
      </c>
      <c r="D4103">
        <v>60</v>
      </c>
      <c r="E4103" s="4" t="s">
        <v>197</v>
      </c>
      <c r="F4103" t="s">
        <v>21</v>
      </c>
      <c r="G4103" s="1">
        <v>45394</v>
      </c>
      <c r="H4103" s="1">
        <f>TablaDatos[[#This Row],[FechaIngreso]]+TablaDatos[[#This Row],[DiasNuevo]]</f>
        <v>45401</v>
      </c>
      <c r="I4103">
        <v>7</v>
      </c>
      <c r="J4103" t="s">
        <v>23</v>
      </c>
      <c r="K4103" s="3">
        <v>167.53</v>
      </c>
      <c r="L4103" t="b">
        <f>TablaDatos[[#This Row],[FechaAlta]] &lt; TablaDatos[[#This Row],[FechaIngreso]]</f>
        <v>0</v>
      </c>
      <c r="M4103">
        <f>_xlfn.XLOOKUP(TablaDatos[[#This Row],[PacienteID]],'Datos_Ejemplo.csv'!A:A,'Datos_Ejemplo.csv'!I:I)</f>
        <v>7</v>
      </c>
      <c r="N4103">
        <f>ABS(TablaDatos[[#This Row],[DiasOriginal]])</f>
        <v>7</v>
      </c>
      <c r="O4103" s="1">
        <f>TablaDatos[[#This Row],[FechaIngreso]]+TablaDatos[[#This Row],[DiasNuevo]]</f>
        <v>45401</v>
      </c>
    </row>
    <row r="4104" spans="1:15">
      <c r="A4104">
        <v>4103</v>
      </c>
      <c r="B4104" t="s">
        <v>279</v>
      </c>
      <c r="C4104" s="1">
        <v>38717</v>
      </c>
      <c r="D4104">
        <v>20</v>
      </c>
      <c r="E4104" s="4" t="s">
        <v>15</v>
      </c>
      <c r="F4104" t="s">
        <v>21</v>
      </c>
      <c r="G4104" s="1">
        <v>45366</v>
      </c>
      <c r="H4104" s="1">
        <f>TablaDatos[[#This Row],[FechaIngreso]]+TablaDatos[[#This Row],[DiasNuevo]]</f>
        <v>45399</v>
      </c>
      <c r="I4104">
        <v>33</v>
      </c>
      <c r="J4104" t="s">
        <v>23</v>
      </c>
      <c r="K4104" s="3">
        <v>5120.6899999999996</v>
      </c>
      <c r="L4104" t="b">
        <f>TablaDatos[[#This Row],[FechaAlta]] &lt; TablaDatos[[#This Row],[FechaIngreso]]</f>
        <v>0</v>
      </c>
      <c r="M4104">
        <f>_xlfn.XLOOKUP(TablaDatos[[#This Row],[PacienteID]],'Datos_Ejemplo.csv'!A:A,'Datos_Ejemplo.csv'!I:I)</f>
        <v>33</v>
      </c>
      <c r="N4104">
        <f>ABS(TablaDatos[[#This Row],[DiasOriginal]])</f>
        <v>33</v>
      </c>
      <c r="O4104" s="1">
        <f>TablaDatos[[#This Row],[FechaIngreso]]+TablaDatos[[#This Row],[DiasNuevo]]</f>
        <v>45399</v>
      </c>
    </row>
    <row r="4105" spans="1:15">
      <c r="A4105">
        <v>4104</v>
      </c>
      <c r="B4105" t="s">
        <v>162</v>
      </c>
      <c r="C4105" s="1">
        <v>29586</v>
      </c>
      <c r="D4105">
        <v>45</v>
      </c>
      <c r="E4105" s="4" t="s">
        <v>12</v>
      </c>
      <c r="F4105" t="s">
        <v>13</v>
      </c>
      <c r="G4105" s="1">
        <v>45253</v>
      </c>
      <c r="H4105" s="1">
        <f>TablaDatos[[#This Row],[FechaIngreso]]+TablaDatos[[#This Row],[DiasNuevo]]</f>
        <v>45271</v>
      </c>
      <c r="I4105">
        <v>18</v>
      </c>
      <c r="J4105" t="s">
        <v>23</v>
      </c>
      <c r="K4105" s="3">
        <v>9303.02</v>
      </c>
      <c r="L4105" t="b">
        <f>TablaDatos[[#This Row],[FechaAlta]] &lt; TablaDatos[[#This Row],[FechaIngreso]]</f>
        <v>0</v>
      </c>
      <c r="M4105">
        <f>_xlfn.XLOOKUP(TablaDatos[[#This Row],[PacienteID]],'Datos_Ejemplo.csv'!A:A,'Datos_Ejemplo.csv'!I:I)</f>
        <v>18</v>
      </c>
      <c r="N4105">
        <f>ABS(TablaDatos[[#This Row],[DiasOriginal]])</f>
        <v>18</v>
      </c>
      <c r="O4105" s="1">
        <f>TablaDatos[[#This Row],[FechaIngreso]]+TablaDatos[[#This Row],[DiasNuevo]]</f>
        <v>45271</v>
      </c>
    </row>
    <row r="4106" spans="1:15">
      <c r="A4106">
        <v>4105</v>
      </c>
      <c r="B4106" t="s">
        <v>162</v>
      </c>
      <c r="C4106" s="1">
        <f ca="1">DATE(YEAR(TODAY())-TablaDatos[[#This Row],[Edad]],1,1)</f>
        <v>21186</v>
      </c>
      <c r="D4106">
        <v>68</v>
      </c>
      <c r="E4106" s="4" t="s">
        <v>15</v>
      </c>
      <c r="F4106" t="s">
        <v>18</v>
      </c>
      <c r="G4106" s="1">
        <v>45495</v>
      </c>
      <c r="H4106" s="1">
        <f>TablaDatos[[#This Row],[FechaIngreso]]+TablaDatos[[#This Row],[DiasNuevo]]</f>
        <v>45506</v>
      </c>
      <c r="I4106">
        <v>11</v>
      </c>
      <c r="J4106" t="s">
        <v>25</v>
      </c>
      <c r="K4106" s="3">
        <v>13849.63</v>
      </c>
      <c r="L4106" t="b">
        <f>TablaDatos[[#This Row],[FechaAlta]] &lt; TablaDatos[[#This Row],[FechaIngreso]]</f>
        <v>0</v>
      </c>
      <c r="M4106">
        <f>_xlfn.XLOOKUP(TablaDatos[[#This Row],[PacienteID]],'Datos_Ejemplo.csv'!A:A,'Datos_Ejemplo.csv'!I:I)</f>
        <v>11</v>
      </c>
      <c r="N4106">
        <f>ABS(TablaDatos[[#This Row],[DiasOriginal]])</f>
        <v>11</v>
      </c>
      <c r="O4106" s="1">
        <f>TablaDatos[[#This Row],[FechaIngreso]]+TablaDatos[[#This Row],[DiasNuevo]]</f>
        <v>45506</v>
      </c>
    </row>
    <row r="4107" spans="1:15">
      <c r="A4107">
        <v>4106</v>
      </c>
      <c r="B4107" t="s">
        <v>259</v>
      </c>
      <c r="C4107" s="1">
        <f ca="1">DATE(YEAR(TODAY())-TablaDatos[[#This Row],[Edad]],1,1)</f>
        <v>44197</v>
      </c>
      <c r="D4107">
        <v>5</v>
      </c>
      <c r="E4107" s="4" t="s">
        <v>15</v>
      </c>
      <c r="F4107" t="s">
        <v>295</v>
      </c>
      <c r="G4107" s="1">
        <v>44959</v>
      </c>
      <c r="H4107" s="1">
        <f>TablaDatos[[#This Row],[FechaIngreso]]+TablaDatos[[#This Row],[DiasNuevo]]</f>
        <v>44964</v>
      </c>
      <c r="I4107">
        <v>5</v>
      </c>
      <c r="J4107" t="s">
        <v>25</v>
      </c>
      <c r="K4107" s="3">
        <v>7579.02</v>
      </c>
      <c r="L4107" t="b">
        <f>TablaDatos[[#This Row],[FechaAlta]] &lt; TablaDatos[[#This Row],[FechaIngreso]]</f>
        <v>0</v>
      </c>
      <c r="M4107">
        <f>_xlfn.XLOOKUP(TablaDatos[[#This Row],[PacienteID]],'Datos_Ejemplo.csv'!A:A,'Datos_Ejemplo.csv'!I:I)</f>
        <v>5</v>
      </c>
      <c r="N4107">
        <f>ABS(TablaDatos[[#This Row],[DiasOriginal]])</f>
        <v>5</v>
      </c>
      <c r="O4107" s="1">
        <f>TablaDatos[[#This Row],[FechaIngreso]]+TablaDatos[[#This Row],[DiasNuevo]]</f>
        <v>44964</v>
      </c>
    </row>
    <row r="4108" spans="1:15">
      <c r="A4108">
        <v>4107</v>
      </c>
      <c r="B4108" t="s">
        <v>51</v>
      </c>
      <c r="C4108" s="1">
        <v>32508</v>
      </c>
      <c r="D4108">
        <v>37</v>
      </c>
      <c r="E4108" s="4" t="s">
        <v>12</v>
      </c>
      <c r="F4108" t="s">
        <v>261</v>
      </c>
      <c r="G4108" s="1">
        <v>45338</v>
      </c>
      <c r="H4108" s="1">
        <f>TablaDatos[[#This Row],[FechaIngreso]]+TablaDatos[[#This Row],[DiasNuevo]]</f>
        <v>45340</v>
      </c>
      <c r="I4108">
        <v>2</v>
      </c>
      <c r="J4108" t="s">
        <v>25</v>
      </c>
      <c r="K4108" s="3">
        <v>10674.57</v>
      </c>
      <c r="L4108" t="b">
        <f>TablaDatos[[#This Row],[FechaAlta]] &lt; TablaDatos[[#This Row],[FechaIngreso]]</f>
        <v>0</v>
      </c>
      <c r="M4108">
        <f>_xlfn.XLOOKUP(TablaDatos[[#This Row],[PacienteID]],'Datos_Ejemplo.csv'!A:A,'Datos_Ejemplo.csv'!I:I)</f>
        <v>-2</v>
      </c>
      <c r="N4108">
        <f>ABS(TablaDatos[[#This Row],[DiasOriginal]])</f>
        <v>2</v>
      </c>
      <c r="O4108" s="1">
        <f>TablaDatos[[#This Row],[FechaIngreso]]+TablaDatos[[#This Row],[DiasNuevo]]</f>
        <v>45340</v>
      </c>
    </row>
    <row r="4109" spans="1:15">
      <c r="A4109">
        <v>4108</v>
      </c>
      <c r="B4109" t="s">
        <v>266</v>
      </c>
      <c r="C4109" s="1">
        <v>23742</v>
      </c>
      <c r="D4109">
        <v>61</v>
      </c>
      <c r="E4109" s="4" t="s">
        <v>12</v>
      </c>
      <c r="F4109" t="s">
        <v>201</v>
      </c>
      <c r="G4109" s="1">
        <v>45552</v>
      </c>
      <c r="H4109" s="1">
        <f>TablaDatos[[#This Row],[FechaIngreso]]+TablaDatos[[#This Row],[DiasNuevo]]</f>
        <v>45565</v>
      </c>
      <c r="I4109">
        <v>13</v>
      </c>
      <c r="J4109" t="s">
        <v>23</v>
      </c>
      <c r="K4109" s="3">
        <v>10437.700000000001</v>
      </c>
      <c r="L4109" t="b">
        <f>TablaDatos[[#This Row],[FechaAlta]] &lt; TablaDatos[[#This Row],[FechaIngreso]]</f>
        <v>0</v>
      </c>
      <c r="M4109">
        <f>_xlfn.XLOOKUP(TablaDatos[[#This Row],[PacienteID]],'Datos_Ejemplo.csv'!A:A,'Datos_Ejemplo.csv'!I:I)</f>
        <v>13</v>
      </c>
      <c r="N4109">
        <f>ABS(TablaDatos[[#This Row],[DiasOriginal]])</f>
        <v>13</v>
      </c>
      <c r="O4109" s="1">
        <f>TablaDatos[[#This Row],[FechaIngreso]]+TablaDatos[[#This Row],[DiasNuevo]]</f>
        <v>45565</v>
      </c>
    </row>
    <row r="4110" spans="1:15">
      <c r="A4110">
        <v>4109</v>
      </c>
      <c r="B4110" t="s">
        <v>61</v>
      </c>
      <c r="C4110" s="1">
        <v>14976</v>
      </c>
      <c r="D4110">
        <v>85</v>
      </c>
      <c r="E4110" s="4" t="s">
        <v>15</v>
      </c>
      <c r="F4110" t="s">
        <v>261</v>
      </c>
      <c r="G4110" s="1">
        <v>45040</v>
      </c>
      <c r="H4110" s="1">
        <f>TablaDatos[[#This Row],[FechaIngreso]]+TablaDatos[[#This Row],[DiasNuevo]]</f>
        <v>45063</v>
      </c>
      <c r="I4110">
        <v>23</v>
      </c>
      <c r="J4110" t="s">
        <v>19</v>
      </c>
      <c r="K4110" s="3">
        <v>3216.15</v>
      </c>
      <c r="L4110" t="b">
        <f>TablaDatos[[#This Row],[FechaAlta]] &lt; TablaDatos[[#This Row],[FechaIngreso]]</f>
        <v>0</v>
      </c>
      <c r="M4110">
        <f>_xlfn.XLOOKUP(TablaDatos[[#This Row],[PacienteID]],'Datos_Ejemplo.csv'!A:A,'Datos_Ejemplo.csv'!I:I)</f>
        <v>23</v>
      </c>
      <c r="N4110">
        <f>ABS(TablaDatos[[#This Row],[DiasOriginal]])</f>
        <v>23</v>
      </c>
      <c r="O4110" s="1">
        <f>TablaDatos[[#This Row],[FechaIngreso]]+TablaDatos[[#This Row],[DiasNuevo]]</f>
        <v>45063</v>
      </c>
    </row>
    <row r="4111" spans="1:15">
      <c r="A4111">
        <v>4110</v>
      </c>
      <c r="B4111" t="s">
        <v>325</v>
      </c>
      <c r="C4111" s="1">
        <v>23742</v>
      </c>
      <c r="D4111">
        <v>61</v>
      </c>
      <c r="E4111" s="4" t="s">
        <v>15</v>
      </c>
      <c r="F4111" t="s">
        <v>261</v>
      </c>
      <c r="G4111" s="1">
        <v>45434</v>
      </c>
      <c r="H4111" s="1">
        <f>TablaDatos[[#This Row],[FechaIngreso]]+TablaDatos[[#This Row],[DiasNuevo]]</f>
        <v>45473</v>
      </c>
      <c r="I4111">
        <v>39</v>
      </c>
      <c r="J4111" t="s">
        <v>23</v>
      </c>
      <c r="K4111" s="3">
        <v>12423.29</v>
      </c>
      <c r="L4111" t="b">
        <f>TablaDatos[[#This Row],[FechaAlta]] &lt; TablaDatos[[#This Row],[FechaIngreso]]</f>
        <v>0</v>
      </c>
      <c r="M4111">
        <f>_xlfn.XLOOKUP(TablaDatos[[#This Row],[PacienteID]],'Datos_Ejemplo.csv'!A:A,'Datos_Ejemplo.csv'!I:I)</f>
        <v>39</v>
      </c>
      <c r="N4111">
        <f>ABS(TablaDatos[[#This Row],[DiasOriginal]])</f>
        <v>39</v>
      </c>
      <c r="O4111" s="1">
        <f>TablaDatos[[#This Row],[FechaIngreso]]+TablaDatos[[#This Row],[DiasNuevo]]</f>
        <v>45473</v>
      </c>
    </row>
    <row r="4112" spans="1:15">
      <c r="A4112">
        <v>4111</v>
      </c>
      <c r="B4112" t="s">
        <v>258</v>
      </c>
      <c r="C4112" s="1">
        <v>16437</v>
      </c>
      <c r="D4112">
        <v>81</v>
      </c>
      <c r="E4112" s="4" t="s">
        <v>15</v>
      </c>
      <c r="F4112" t="s">
        <v>21</v>
      </c>
      <c r="G4112" s="1">
        <v>44982</v>
      </c>
      <c r="H4112" s="1">
        <f>TablaDatos[[#This Row],[FechaIngreso]]+TablaDatos[[#This Row],[DiasNuevo]]</f>
        <v>44985</v>
      </c>
      <c r="I4112">
        <v>3</v>
      </c>
      <c r="J4112" t="s">
        <v>19</v>
      </c>
      <c r="K4112" s="3">
        <v>8728.9599999999991</v>
      </c>
      <c r="L4112" t="b">
        <f>TablaDatos[[#This Row],[FechaAlta]] &lt; TablaDatos[[#This Row],[FechaIngreso]]</f>
        <v>0</v>
      </c>
      <c r="M4112">
        <f>_xlfn.XLOOKUP(TablaDatos[[#This Row],[PacienteID]],'Datos_Ejemplo.csv'!A:A,'Datos_Ejemplo.csv'!I:I)</f>
        <v>3</v>
      </c>
      <c r="N4112">
        <f>ABS(TablaDatos[[#This Row],[DiasOriginal]])</f>
        <v>3</v>
      </c>
      <c r="O4112" s="1">
        <f>TablaDatos[[#This Row],[FechaIngreso]]+TablaDatos[[#This Row],[DiasNuevo]]</f>
        <v>44985</v>
      </c>
    </row>
    <row r="4113" spans="1:15">
      <c r="A4113">
        <v>4112</v>
      </c>
      <c r="B4113" t="s">
        <v>301</v>
      </c>
      <c r="C4113" s="1">
        <v>17898</v>
      </c>
      <c r="D4113">
        <v>77</v>
      </c>
      <c r="E4113" s="4" t="s">
        <v>12</v>
      </c>
      <c r="F4113" t="s">
        <v>295</v>
      </c>
      <c r="G4113" s="1">
        <v>45482</v>
      </c>
      <c r="H4113" s="1">
        <f>TablaDatos[[#This Row],[FechaIngreso]]+TablaDatos[[#This Row],[DiasNuevo]]</f>
        <v>45518</v>
      </c>
      <c r="I4113">
        <v>36</v>
      </c>
      <c r="J4113" t="s">
        <v>23</v>
      </c>
      <c r="K4113" s="3">
        <v>16139.17</v>
      </c>
      <c r="L4113" t="b">
        <f>TablaDatos[[#This Row],[FechaAlta]] &lt; TablaDatos[[#This Row],[FechaIngreso]]</f>
        <v>0</v>
      </c>
      <c r="M4113">
        <f>_xlfn.XLOOKUP(TablaDatos[[#This Row],[PacienteID]],'Datos_Ejemplo.csv'!A:A,'Datos_Ejemplo.csv'!I:I)</f>
        <v>36</v>
      </c>
      <c r="N4113">
        <f>ABS(TablaDatos[[#This Row],[DiasOriginal]])</f>
        <v>36</v>
      </c>
      <c r="O4113" s="1">
        <f>TablaDatos[[#This Row],[FechaIngreso]]+TablaDatos[[#This Row],[DiasNuevo]]</f>
        <v>45518</v>
      </c>
    </row>
    <row r="4114" spans="1:15">
      <c r="A4114">
        <v>4113</v>
      </c>
      <c r="B4114" t="s">
        <v>297</v>
      </c>
      <c r="C4114" s="1">
        <v>19359</v>
      </c>
      <c r="D4114">
        <v>73</v>
      </c>
      <c r="E4114" s="4" t="s">
        <v>12</v>
      </c>
      <c r="F4114" t="s">
        <v>32</v>
      </c>
      <c r="G4114" s="1">
        <v>45650</v>
      </c>
      <c r="H4114" s="1">
        <f>TablaDatos[[#This Row],[FechaIngreso]]+TablaDatos[[#This Row],[DiasNuevo]]</f>
        <v>45651</v>
      </c>
      <c r="I4114">
        <v>1</v>
      </c>
      <c r="J4114" t="s">
        <v>25</v>
      </c>
      <c r="K4114" s="3">
        <v>13781.29</v>
      </c>
      <c r="L4114" t="b">
        <f>TablaDatos[[#This Row],[FechaAlta]] &lt; TablaDatos[[#This Row],[FechaIngreso]]</f>
        <v>0</v>
      </c>
      <c r="M4114">
        <f>_xlfn.XLOOKUP(TablaDatos[[#This Row],[PacienteID]],'Datos_Ejemplo.csv'!A:A,'Datos_Ejemplo.csv'!I:I)</f>
        <v>-1</v>
      </c>
      <c r="N4114">
        <f>ABS(TablaDatos[[#This Row],[DiasOriginal]])</f>
        <v>1</v>
      </c>
      <c r="O4114" s="1">
        <f>TablaDatos[[#This Row],[FechaIngreso]]+TablaDatos[[#This Row],[DiasNuevo]]</f>
        <v>45651</v>
      </c>
    </row>
    <row r="4115" spans="1:15">
      <c r="A4115">
        <v>4114</v>
      </c>
      <c r="B4115" t="s">
        <v>299</v>
      </c>
      <c r="C4115" s="1">
        <f ca="1">DATE(YEAR(TODAY())-TablaDatos[[#This Row],[Edad]],1,1)</f>
        <v>0</v>
      </c>
      <c r="D4115">
        <f ca="1">DATEDIF(TablaDatos[[#This Row],[FechaNacimiento]],TODAY(),"Y")</f>
        <v>126</v>
      </c>
      <c r="E4115" s="4" t="s">
        <v>12</v>
      </c>
      <c r="F4115" t="s">
        <v>13</v>
      </c>
      <c r="G4115" s="1">
        <v>45278</v>
      </c>
      <c r="H4115" s="1">
        <f>TablaDatos[[#This Row],[FechaIngreso]]+TablaDatos[[#This Row],[DiasNuevo]]</f>
        <v>45284</v>
      </c>
      <c r="I4115">
        <v>6</v>
      </c>
      <c r="J4115" t="s">
        <v>25</v>
      </c>
      <c r="K4115" s="3">
        <v>2140.5300000000002</v>
      </c>
      <c r="L4115" t="b">
        <f>TablaDatos[[#This Row],[FechaAlta]] &lt; TablaDatos[[#This Row],[FechaIngreso]]</f>
        <v>0</v>
      </c>
      <c r="M4115">
        <f>_xlfn.XLOOKUP(TablaDatos[[#This Row],[PacienteID]],'Datos_Ejemplo.csv'!A:A,'Datos_Ejemplo.csv'!I:I)</f>
        <v>6</v>
      </c>
      <c r="N4115">
        <f>ABS(TablaDatos[[#This Row],[DiasOriginal]])</f>
        <v>6</v>
      </c>
      <c r="O4115" s="1">
        <f>TablaDatos[[#This Row],[FechaIngreso]]+TablaDatos[[#This Row],[DiasNuevo]]</f>
        <v>45284</v>
      </c>
    </row>
    <row r="4116" spans="1:15">
      <c r="A4116">
        <v>4115</v>
      </c>
      <c r="B4116" t="s">
        <v>243</v>
      </c>
      <c r="C4116" s="1">
        <v>41639</v>
      </c>
      <c r="D4116">
        <v>12</v>
      </c>
      <c r="E4116" s="4" t="s">
        <v>15</v>
      </c>
      <c r="F4116" t="s">
        <v>32</v>
      </c>
      <c r="G4116" s="1">
        <v>45255</v>
      </c>
      <c r="H4116" s="1">
        <f>TablaDatos[[#This Row],[FechaIngreso]]+TablaDatos[[#This Row],[DiasNuevo]]</f>
        <v>45257</v>
      </c>
      <c r="I4116">
        <v>2</v>
      </c>
      <c r="J4116" t="s">
        <v>25</v>
      </c>
      <c r="K4116" s="3">
        <v>9724.0400000000009</v>
      </c>
      <c r="L4116" t="b">
        <f>TablaDatos[[#This Row],[FechaAlta]] &lt; TablaDatos[[#This Row],[FechaIngreso]]</f>
        <v>0</v>
      </c>
      <c r="M4116">
        <f>_xlfn.XLOOKUP(TablaDatos[[#This Row],[PacienteID]],'Datos_Ejemplo.csv'!A:A,'Datos_Ejemplo.csv'!I:I)</f>
        <v>2</v>
      </c>
      <c r="N4116">
        <f>ABS(TablaDatos[[#This Row],[DiasOriginal]])</f>
        <v>2</v>
      </c>
      <c r="O4116" s="1">
        <f>TablaDatos[[#This Row],[FechaIngreso]]+TablaDatos[[#This Row],[DiasNuevo]]</f>
        <v>45257</v>
      </c>
    </row>
    <row r="4117" spans="1:15">
      <c r="A4117">
        <v>4116</v>
      </c>
      <c r="B4117" t="s">
        <v>343</v>
      </c>
      <c r="C4117" s="1">
        <v>11689</v>
      </c>
      <c r="D4117">
        <v>94</v>
      </c>
      <c r="E4117" s="4" t="s">
        <v>12</v>
      </c>
      <c r="F4117" t="s">
        <v>21</v>
      </c>
      <c r="G4117" s="1">
        <v>45472</v>
      </c>
      <c r="H4117" s="1">
        <f>TablaDatos[[#This Row],[FechaIngreso]]+TablaDatos[[#This Row],[DiasNuevo]]</f>
        <v>45509</v>
      </c>
      <c r="I4117">
        <v>37</v>
      </c>
      <c r="J4117" t="s">
        <v>23</v>
      </c>
      <c r="K4117" s="3">
        <v>14020.14</v>
      </c>
      <c r="L4117" t="b">
        <f>TablaDatos[[#This Row],[FechaAlta]] &lt; TablaDatos[[#This Row],[FechaIngreso]]</f>
        <v>0</v>
      </c>
      <c r="M4117">
        <f>_xlfn.XLOOKUP(TablaDatos[[#This Row],[PacienteID]],'Datos_Ejemplo.csv'!A:A,'Datos_Ejemplo.csv'!I:I)</f>
        <v>37</v>
      </c>
      <c r="N4117">
        <f>ABS(TablaDatos[[#This Row],[DiasOriginal]])</f>
        <v>37</v>
      </c>
      <c r="O4117" s="1">
        <f>TablaDatos[[#This Row],[FechaIngreso]]+TablaDatos[[#This Row],[DiasNuevo]]</f>
        <v>45509</v>
      </c>
    </row>
    <row r="4118" spans="1:15">
      <c r="A4118">
        <v>4117</v>
      </c>
      <c r="B4118" t="s">
        <v>136</v>
      </c>
      <c r="C4118" s="1">
        <v>12054</v>
      </c>
      <c r="D4118">
        <v>93</v>
      </c>
      <c r="E4118" s="4" t="s">
        <v>12</v>
      </c>
      <c r="F4118" t="s">
        <v>18</v>
      </c>
      <c r="G4118" s="1">
        <v>45196</v>
      </c>
      <c r="H4118" s="1">
        <f>TablaDatos[[#This Row],[FechaIngreso]]+TablaDatos[[#This Row],[DiasNuevo]]</f>
        <v>45198</v>
      </c>
      <c r="I4118">
        <v>2</v>
      </c>
      <c r="J4118" t="s">
        <v>23</v>
      </c>
      <c r="K4118" s="3">
        <v>1648.94</v>
      </c>
      <c r="L4118" t="b">
        <f>TablaDatos[[#This Row],[FechaAlta]] &lt; TablaDatos[[#This Row],[FechaIngreso]]</f>
        <v>0</v>
      </c>
      <c r="M4118">
        <f>_xlfn.XLOOKUP(TablaDatos[[#This Row],[PacienteID]],'Datos_Ejemplo.csv'!A:A,'Datos_Ejemplo.csv'!I:I)</f>
        <v>2</v>
      </c>
      <c r="N4118">
        <f>ABS(TablaDatos[[#This Row],[DiasOriginal]])</f>
        <v>2</v>
      </c>
      <c r="O4118" s="1">
        <f>TablaDatos[[#This Row],[FechaIngreso]]+TablaDatos[[#This Row],[DiasNuevo]]</f>
        <v>45198</v>
      </c>
    </row>
    <row r="4119" spans="1:15">
      <c r="A4119">
        <v>4118</v>
      </c>
      <c r="B4119" t="s">
        <v>90</v>
      </c>
      <c r="C4119" s="1">
        <v>45292</v>
      </c>
      <c r="D4119">
        <v>2</v>
      </c>
      <c r="E4119" s="4" t="s">
        <v>12</v>
      </c>
      <c r="F4119" t="s">
        <v>201</v>
      </c>
      <c r="G4119" s="1">
        <v>45122</v>
      </c>
      <c r="H4119" s="1">
        <f>TablaDatos[[#This Row],[FechaIngreso]]+TablaDatos[[#This Row],[DiasNuevo]]</f>
        <v>45127</v>
      </c>
      <c r="I4119">
        <v>5</v>
      </c>
      <c r="J4119" t="s">
        <v>23</v>
      </c>
      <c r="K4119" s="3">
        <v>15829.19</v>
      </c>
      <c r="L4119" t="b">
        <f>TablaDatos[[#This Row],[FechaAlta]] &lt; TablaDatos[[#This Row],[FechaIngreso]]</f>
        <v>0</v>
      </c>
      <c r="M4119">
        <f>_xlfn.XLOOKUP(TablaDatos[[#This Row],[PacienteID]],'Datos_Ejemplo.csv'!A:A,'Datos_Ejemplo.csv'!I:I)</f>
        <v>5</v>
      </c>
      <c r="N4119">
        <f>ABS(TablaDatos[[#This Row],[DiasOriginal]])</f>
        <v>5</v>
      </c>
      <c r="O4119" s="1">
        <f>TablaDatos[[#This Row],[FechaIngreso]]+TablaDatos[[#This Row],[DiasNuevo]]</f>
        <v>45127</v>
      </c>
    </row>
    <row r="4120" spans="1:15">
      <c r="A4120">
        <v>4119</v>
      </c>
      <c r="B4120" t="s">
        <v>330</v>
      </c>
      <c r="C4120" s="1">
        <v>12054</v>
      </c>
      <c r="D4120">
        <v>93</v>
      </c>
      <c r="E4120" s="4" t="s">
        <v>12</v>
      </c>
      <c r="F4120" t="s">
        <v>201</v>
      </c>
      <c r="G4120" s="1">
        <v>45339</v>
      </c>
      <c r="H4120" s="1">
        <f>TablaDatos[[#This Row],[FechaIngreso]]+TablaDatos[[#This Row],[DiasNuevo]]</f>
        <v>45341</v>
      </c>
      <c r="I4120">
        <v>2</v>
      </c>
      <c r="J4120" t="s">
        <v>19</v>
      </c>
      <c r="K4120" s="3">
        <v>4362.29</v>
      </c>
      <c r="L4120" t="b">
        <f>TablaDatos[[#This Row],[FechaAlta]] &lt; TablaDatos[[#This Row],[FechaIngreso]]</f>
        <v>0</v>
      </c>
      <c r="M4120">
        <f>_xlfn.XLOOKUP(TablaDatos[[#This Row],[PacienteID]],'Datos_Ejemplo.csv'!A:A,'Datos_Ejemplo.csv'!I:I)</f>
        <v>2</v>
      </c>
      <c r="N4120">
        <f>ABS(TablaDatos[[#This Row],[DiasOriginal]])</f>
        <v>2</v>
      </c>
      <c r="O4120" s="1">
        <f>TablaDatos[[#This Row],[FechaIngreso]]+TablaDatos[[#This Row],[DiasNuevo]]</f>
        <v>45341</v>
      </c>
    </row>
    <row r="4121" spans="1:15">
      <c r="A4121">
        <v>4120</v>
      </c>
      <c r="B4121" t="s">
        <v>338</v>
      </c>
      <c r="C4121" s="1">
        <v>44196</v>
      </c>
      <c r="D4121">
        <v>5</v>
      </c>
      <c r="E4121" s="4" t="s">
        <v>12</v>
      </c>
      <c r="F4121" t="s">
        <v>21</v>
      </c>
      <c r="G4121" s="1">
        <v>45563</v>
      </c>
      <c r="H4121" s="1">
        <f>TablaDatos[[#This Row],[FechaIngreso]]+TablaDatos[[#This Row],[DiasNuevo]]</f>
        <v>45565</v>
      </c>
      <c r="I4121">
        <v>2</v>
      </c>
      <c r="J4121" t="s">
        <v>23</v>
      </c>
      <c r="K4121" s="3">
        <v>10012</v>
      </c>
      <c r="L4121" t="b">
        <f>TablaDatos[[#This Row],[FechaAlta]] &lt; TablaDatos[[#This Row],[FechaIngreso]]</f>
        <v>0</v>
      </c>
      <c r="M4121">
        <f>_xlfn.XLOOKUP(TablaDatos[[#This Row],[PacienteID]],'Datos_Ejemplo.csv'!A:A,'Datos_Ejemplo.csv'!I:I)</f>
        <v>2</v>
      </c>
      <c r="N4121">
        <f>ABS(TablaDatos[[#This Row],[DiasOriginal]])</f>
        <v>2</v>
      </c>
      <c r="O4121" s="1">
        <f>TablaDatos[[#This Row],[FechaIngreso]]+TablaDatos[[#This Row],[DiasNuevo]]</f>
        <v>45565</v>
      </c>
    </row>
    <row r="4122" spans="1:15">
      <c r="A4122">
        <v>4121</v>
      </c>
      <c r="B4122" t="s">
        <v>66</v>
      </c>
      <c r="C4122" s="1">
        <v>12419</v>
      </c>
      <c r="D4122">
        <v>92</v>
      </c>
      <c r="E4122" s="4" t="s">
        <v>15</v>
      </c>
      <c r="F4122" t="s">
        <v>295</v>
      </c>
      <c r="G4122" s="1">
        <v>45005</v>
      </c>
      <c r="H4122" s="1">
        <f>TablaDatos[[#This Row],[FechaIngreso]]+TablaDatos[[#This Row],[DiasNuevo]]</f>
        <v>45019</v>
      </c>
      <c r="I4122">
        <v>14</v>
      </c>
      <c r="J4122" t="s">
        <v>19</v>
      </c>
      <c r="K4122" s="3">
        <v>18805.28</v>
      </c>
      <c r="L4122" t="b">
        <f>TablaDatos[[#This Row],[FechaAlta]] &lt; TablaDatos[[#This Row],[FechaIngreso]]</f>
        <v>0</v>
      </c>
      <c r="M4122">
        <f>_xlfn.XLOOKUP(TablaDatos[[#This Row],[PacienteID]],'Datos_Ejemplo.csv'!A:A,'Datos_Ejemplo.csv'!I:I)</f>
        <v>14</v>
      </c>
      <c r="N4122">
        <f>ABS(TablaDatos[[#This Row],[DiasOriginal]])</f>
        <v>14</v>
      </c>
      <c r="O4122" s="1">
        <f>TablaDatos[[#This Row],[FechaIngreso]]+TablaDatos[[#This Row],[DiasNuevo]]</f>
        <v>45019</v>
      </c>
    </row>
    <row r="4123" spans="1:15">
      <c r="A4123">
        <v>4122</v>
      </c>
      <c r="B4123" t="s">
        <v>364</v>
      </c>
      <c r="C4123" s="1">
        <v>43466</v>
      </c>
      <c r="D4123">
        <f ca="1">DATEDIF(TablaDatos[[#This Row],[FechaNacimiento]],TODAY(),"Y")</f>
        <v>7</v>
      </c>
      <c r="E4123" s="4" t="s">
        <v>12</v>
      </c>
      <c r="F4123" t="s">
        <v>201</v>
      </c>
      <c r="G4123" s="1">
        <v>45583</v>
      </c>
      <c r="H4123" s="1">
        <f>TablaDatos[[#This Row],[FechaIngreso]]+TablaDatos[[#This Row],[DiasNuevo]]</f>
        <v>45589</v>
      </c>
      <c r="I4123">
        <v>6</v>
      </c>
      <c r="J4123" t="s">
        <v>23</v>
      </c>
      <c r="K4123" s="3">
        <v>11383.82</v>
      </c>
      <c r="L4123" t="b">
        <f>TablaDatos[[#This Row],[FechaAlta]] &lt; TablaDatos[[#This Row],[FechaIngreso]]</f>
        <v>0</v>
      </c>
      <c r="M4123">
        <f>_xlfn.XLOOKUP(TablaDatos[[#This Row],[PacienteID]],'Datos_Ejemplo.csv'!A:A,'Datos_Ejemplo.csv'!I:I)</f>
        <v>6</v>
      </c>
      <c r="N4123">
        <f>ABS(TablaDatos[[#This Row],[DiasOriginal]])</f>
        <v>6</v>
      </c>
      <c r="O4123" s="1">
        <f>TablaDatos[[#This Row],[FechaIngreso]]+TablaDatos[[#This Row],[DiasNuevo]]</f>
        <v>45589</v>
      </c>
    </row>
    <row r="4124" spans="1:15">
      <c r="A4124">
        <v>4123</v>
      </c>
      <c r="B4124" t="s">
        <v>304</v>
      </c>
      <c r="C4124" s="1">
        <v>30317</v>
      </c>
      <c r="D4124">
        <v>43</v>
      </c>
      <c r="E4124" s="4" t="s">
        <v>12</v>
      </c>
      <c r="F4124" t="s">
        <v>21</v>
      </c>
      <c r="G4124" s="1">
        <v>45009</v>
      </c>
      <c r="H4124" s="1">
        <f>TablaDatos[[#This Row],[FechaIngreso]]+TablaDatos[[#This Row],[DiasNuevo]]</f>
        <v>45040</v>
      </c>
      <c r="I4124">
        <v>31</v>
      </c>
      <c r="J4124" t="s">
        <v>23</v>
      </c>
      <c r="K4124" s="3">
        <v>8423.49</v>
      </c>
      <c r="L4124" t="b">
        <f>TablaDatos[[#This Row],[FechaAlta]] &lt; TablaDatos[[#This Row],[FechaIngreso]]</f>
        <v>0</v>
      </c>
      <c r="M4124">
        <f>_xlfn.XLOOKUP(TablaDatos[[#This Row],[PacienteID]],'Datos_Ejemplo.csv'!A:A,'Datos_Ejemplo.csv'!I:I)</f>
        <v>31</v>
      </c>
      <c r="N4124">
        <f>ABS(TablaDatos[[#This Row],[DiasOriginal]])</f>
        <v>31</v>
      </c>
      <c r="O4124" s="1">
        <f>TablaDatos[[#This Row],[FechaIngreso]]+TablaDatos[[#This Row],[DiasNuevo]]</f>
        <v>45040</v>
      </c>
    </row>
    <row r="4125" spans="1:15">
      <c r="A4125">
        <v>4124</v>
      </c>
      <c r="B4125" t="s">
        <v>232</v>
      </c>
      <c r="C4125" s="1">
        <v>34334</v>
      </c>
      <c r="D4125">
        <v>32</v>
      </c>
      <c r="E4125" s="4" t="s">
        <v>15</v>
      </c>
      <c r="F4125" t="s">
        <v>261</v>
      </c>
      <c r="G4125" s="1">
        <v>45063</v>
      </c>
      <c r="H4125" s="1">
        <f>TablaDatos[[#This Row],[FechaIngreso]]+TablaDatos[[#This Row],[DiasNuevo]]</f>
        <v>45093</v>
      </c>
      <c r="I4125">
        <v>30</v>
      </c>
      <c r="J4125" t="s">
        <v>23</v>
      </c>
      <c r="K4125" s="3">
        <v>36.58</v>
      </c>
      <c r="L4125" t="b">
        <f>TablaDatos[[#This Row],[FechaAlta]] &lt; TablaDatos[[#This Row],[FechaIngreso]]</f>
        <v>0</v>
      </c>
      <c r="M4125">
        <f>_xlfn.XLOOKUP(TablaDatos[[#This Row],[PacienteID]],'Datos_Ejemplo.csv'!A:A,'Datos_Ejemplo.csv'!I:I)</f>
        <v>30</v>
      </c>
      <c r="N4125">
        <f>ABS(TablaDatos[[#This Row],[DiasOriginal]])</f>
        <v>30</v>
      </c>
      <c r="O4125" s="1">
        <f>TablaDatos[[#This Row],[FechaIngreso]]+TablaDatos[[#This Row],[DiasNuevo]]</f>
        <v>45093</v>
      </c>
    </row>
    <row r="4126" spans="1:15">
      <c r="A4126">
        <v>4125</v>
      </c>
      <c r="B4126" t="s">
        <v>130</v>
      </c>
      <c r="C4126" s="1">
        <v>16802</v>
      </c>
      <c r="D4126">
        <v>80</v>
      </c>
      <c r="E4126" s="4" t="s">
        <v>15</v>
      </c>
      <c r="F4126" t="s">
        <v>18</v>
      </c>
      <c r="G4126" s="1">
        <v>45465</v>
      </c>
      <c r="H4126" s="1">
        <f>TablaDatos[[#This Row],[FechaIngreso]]+TablaDatos[[#This Row],[DiasNuevo]]</f>
        <v>45484</v>
      </c>
      <c r="I4126">
        <v>19</v>
      </c>
      <c r="J4126" t="s">
        <v>25</v>
      </c>
      <c r="K4126" s="3">
        <v>2581.61</v>
      </c>
      <c r="L4126" t="b">
        <f>TablaDatos[[#This Row],[FechaAlta]] &lt; TablaDatos[[#This Row],[FechaIngreso]]</f>
        <v>0</v>
      </c>
      <c r="M4126">
        <f>_xlfn.XLOOKUP(TablaDatos[[#This Row],[PacienteID]],'Datos_Ejemplo.csv'!A:A,'Datos_Ejemplo.csv'!I:I)</f>
        <v>19</v>
      </c>
      <c r="N4126">
        <f>ABS(TablaDatos[[#This Row],[DiasOriginal]])</f>
        <v>19</v>
      </c>
      <c r="O4126" s="1">
        <f>TablaDatos[[#This Row],[FechaIngreso]]+TablaDatos[[#This Row],[DiasNuevo]]</f>
        <v>45484</v>
      </c>
    </row>
    <row r="4127" spans="1:15">
      <c r="A4127">
        <v>4126</v>
      </c>
      <c r="B4127" t="s">
        <v>249</v>
      </c>
      <c r="C4127" s="1">
        <v>18994</v>
      </c>
      <c r="D4127">
        <v>74</v>
      </c>
      <c r="E4127" s="4" t="s">
        <v>12</v>
      </c>
      <c r="F4127" t="s">
        <v>18</v>
      </c>
      <c r="G4127" s="1">
        <v>45615</v>
      </c>
      <c r="H4127" s="1">
        <f>TablaDatos[[#This Row],[FechaIngreso]]+TablaDatos[[#This Row],[DiasNuevo]]</f>
        <v>45633</v>
      </c>
      <c r="I4127">
        <v>18</v>
      </c>
      <c r="J4127" t="s">
        <v>23</v>
      </c>
      <c r="K4127" s="3">
        <v>11531.14</v>
      </c>
      <c r="L4127" t="b">
        <f>TablaDatos[[#This Row],[FechaAlta]] &lt; TablaDatos[[#This Row],[FechaIngreso]]</f>
        <v>0</v>
      </c>
      <c r="M4127">
        <f>_xlfn.XLOOKUP(TablaDatos[[#This Row],[PacienteID]],'Datos_Ejemplo.csv'!A:A,'Datos_Ejemplo.csv'!I:I)</f>
        <v>18</v>
      </c>
      <c r="N4127">
        <f>ABS(TablaDatos[[#This Row],[DiasOriginal]])</f>
        <v>18</v>
      </c>
      <c r="O4127" s="1">
        <f>TablaDatos[[#This Row],[FechaIngreso]]+TablaDatos[[#This Row],[DiasNuevo]]</f>
        <v>45633</v>
      </c>
    </row>
    <row r="4128" spans="1:15">
      <c r="A4128">
        <v>4127</v>
      </c>
      <c r="B4128" t="s">
        <v>300</v>
      </c>
      <c r="C4128" s="1">
        <v>18263</v>
      </c>
      <c r="D4128">
        <v>76</v>
      </c>
      <c r="E4128" s="4" t="s">
        <v>15</v>
      </c>
      <c r="F4128" t="s">
        <v>13</v>
      </c>
      <c r="G4128" s="1">
        <v>45645</v>
      </c>
      <c r="H4128" s="1">
        <f>TablaDatos[[#This Row],[FechaIngreso]]+TablaDatos[[#This Row],[DiasNuevo]]</f>
        <v>45657</v>
      </c>
      <c r="I4128">
        <v>12</v>
      </c>
      <c r="J4128" t="s">
        <v>23</v>
      </c>
      <c r="K4128" s="3">
        <v>9825.8799999999992</v>
      </c>
      <c r="L4128" t="b">
        <f>TablaDatos[[#This Row],[FechaAlta]] &lt; TablaDatos[[#This Row],[FechaIngreso]]</f>
        <v>0</v>
      </c>
      <c r="M4128">
        <f>_xlfn.XLOOKUP(TablaDatos[[#This Row],[PacienteID]],'Datos_Ejemplo.csv'!A:A,'Datos_Ejemplo.csv'!I:I)</f>
        <v>12</v>
      </c>
      <c r="N4128">
        <f>ABS(TablaDatos[[#This Row],[DiasOriginal]])</f>
        <v>12</v>
      </c>
      <c r="O4128" s="1">
        <f>TablaDatos[[#This Row],[FechaIngreso]]+TablaDatos[[#This Row],[DiasNuevo]]</f>
        <v>45657</v>
      </c>
    </row>
    <row r="4129" spans="1:15">
      <c r="A4129">
        <v>4128</v>
      </c>
      <c r="B4129" t="s">
        <v>247</v>
      </c>
      <c r="C4129" s="1">
        <v>28125</v>
      </c>
      <c r="D4129">
        <v>49</v>
      </c>
      <c r="E4129" s="4" t="s">
        <v>12</v>
      </c>
      <c r="F4129" t="s">
        <v>13</v>
      </c>
      <c r="G4129" s="1">
        <v>45232</v>
      </c>
      <c r="H4129" s="1">
        <f>TablaDatos[[#This Row],[FechaIngreso]]+TablaDatos[[#This Row],[DiasNuevo]]</f>
        <v>45234</v>
      </c>
      <c r="I4129">
        <v>2</v>
      </c>
      <c r="J4129" t="s">
        <v>23</v>
      </c>
      <c r="K4129" s="3">
        <v>7212.97</v>
      </c>
      <c r="L4129" t="b">
        <f>TablaDatos[[#This Row],[FechaAlta]] &lt; TablaDatos[[#This Row],[FechaIngreso]]</f>
        <v>0</v>
      </c>
      <c r="M4129">
        <f>_xlfn.XLOOKUP(TablaDatos[[#This Row],[PacienteID]],'Datos_Ejemplo.csv'!A:A,'Datos_Ejemplo.csv'!I:I)</f>
        <v>-2</v>
      </c>
      <c r="N4129">
        <f>ABS(TablaDatos[[#This Row],[DiasOriginal]])</f>
        <v>2</v>
      </c>
      <c r="O4129" s="1">
        <f>TablaDatos[[#This Row],[FechaIngreso]]+TablaDatos[[#This Row],[DiasNuevo]]</f>
        <v>45234</v>
      </c>
    </row>
    <row r="4130" spans="1:15">
      <c r="A4130">
        <v>4129</v>
      </c>
      <c r="B4130" t="s">
        <v>325</v>
      </c>
      <c r="C4130" s="1">
        <v>42370</v>
      </c>
      <c r="D4130">
        <v>10</v>
      </c>
      <c r="E4130" s="4" t="s">
        <v>15</v>
      </c>
      <c r="F4130" t="s">
        <v>261</v>
      </c>
      <c r="G4130" s="1">
        <v>45237</v>
      </c>
      <c r="H4130" s="1">
        <f>TablaDatos[[#This Row],[FechaIngreso]]+TablaDatos[[#This Row],[DiasNuevo]]</f>
        <v>45241</v>
      </c>
      <c r="I4130">
        <v>4</v>
      </c>
      <c r="J4130" t="s">
        <v>25</v>
      </c>
      <c r="K4130" s="3">
        <v>18456.64</v>
      </c>
      <c r="L4130" t="b">
        <f>TablaDatos[[#This Row],[FechaAlta]] &lt; TablaDatos[[#This Row],[FechaIngreso]]</f>
        <v>0</v>
      </c>
      <c r="M4130">
        <f>_xlfn.XLOOKUP(TablaDatos[[#This Row],[PacienteID]],'Datos_Ejemplo.csv'!A:A,'Datos_Ejemplo.csv'!I:I)</f>
        <v>4</v>
      </c>
      <c r="N4130">
        <f>ABS(TablaDatos[[#This Row],[DiasOriginal]])</f>
        <v>4</v>
      </c>
      <c r="O4130" s="1">
        <f>TablaDatos[[#This Row],[FechaIngreso]]+TablaDatos[[#This Row],[DiasNuevo]]</f>
        <v>45241</v>
      </c>
    </row>
    <row r="4131" spans="1:15">
      <c r="A4131">
        <v>4130</v>
      </c>
      <c r="B4131" t="s">
        <v>244</v>
      </c>
      <c r="C4131" s="1">
        <v>11689</v>
      </c>
      <c r="D4131">
        <v>94</v>
      </c>
      <c r="E4131" s="4" t="s">
        <v>15</v>
      </c>
      <c r="F4131" t="s">
        <v>18</v>
      </c>
      <c r="G4131" s="1">
        <v>45314</v>
      </c>
      <c r="H4131" s="1">
        <f>TablaDatos[[#This Row],[FechaIngreso]]+TablaDatos[[#This Row],[DiasNuevo]]</f>
        <v>45334</v>
      </c>
      <c r="I4131">
        <v>20</v>
      </c>
      <c r="J4131" t="s">
        <v>23</v>
      </c>
      <c r="K4131" s="3">
        <v>6582.9</v>
      </c>
      <c r="L4131" t="b">
        <f>TablaDatos[[#This Row],[FechaAlta]] &lt; TablaDatos[[#This Row],[FechaIngreso]]</f>
        <v>0</v>
      </c>
      <c r="M4131">
        <f>_xlfn.XLOOKUP(TablaDatos[[#This Row],[PacienteID]],'Datos_Ejemplo.csv'!A:A,'Datos_Ejemplo.csv'!I:I)</f>
        <v>20</v>
      </c>
      <c r="N4131">
        <f>ABS(TablaDatos[[#This Row],[DiasOriginal]])</f>
        <v>20</v>
      </c>
      <c r="O4131" s="1">
        <f>TablaDatos[[#This Row],[FechaIngreso]]+TablaDatos[[#This Row],[DiasNuevo]]</f>
        <v>45334</v>
      </c>
    </row>
    <row r="4132" spans="1:15">
      <c r="A4132">
        <v>4131</v>
      </c>
      <c r="B4132" t="s">
        <v>250</v>
      </c>
      <c r="C4132" s="1">
        <v>36161</v>
      </c>
      <c r="D4132">
        <v>27</v>
      </c>
      <c r="E4132" s="4" t="s">
        <v>15</v>
      </c>
      <c r="F4132" t="s">
        <v>261</v>
      </c>
      <c r="G4132" s="1">
        <v>45651</v>
      </c>
      <c r="H4132" s="1">
        <f>TablaDatos[[#This Row],[FechaIngreso]]+TablaDatos[[#This Row],[DiasNuevo]]</f>
        <v>45654</v>
      </c>
      <c r="I4132">
        <v>3</v>
      </c>
      <c r="J4132" t="s">
        <v>19</v>
      </c>
      <c r="K4132" s="3">
        <v>10696.73</v>
      </c>
      <c r="L4132" t="b">
        <f>TablaDatos[[#This Row],[FechaAlta]] &lt; TablaDatos[[#This Row],[FechaIngreso]]</f>
        <v>0</v>
      </c>
      <c r="M4132">
        <f>_xlfn.XLOOKUP(TablaDatos[[#This Row],[PacienteID]],'Datos_Ejemplo.csv'!A:A,'Datos_Ejemplo.csv'!I:I)</f>
        <v>3</v>
      </c>
      <c r="N4132">
        <f>ABS(TablaDatos[[#This Row],[DiasOriginal]])</f>
        <v>3</v>
      </c>
      <c r="O4132" s="1">
        <f>TablaDatos[[#This Row],[FechaIngreso]]+TablaDatos[[#This Row],[DiasNuevo]]</f>
        <v>45654</v>
      </c>
    </row>
    <row r="4133" spans="1:15">
      <c r="A4133">
        <v>4132</v>
      </c>
      <c r="B4133" t="s">
        <v>266</v>
      </c>
      <c r="C4133" s="1">
        <v>20820</v>
      </c>
      <c r="D4133">
        <v>69</v>
      </c>
      <c r="E4133" s="4" t="s">
        <v>15</v>
      </c>
      <c r="F4133" t="s">
        <v>18</v>
      </c>
      <c r="G4133" s="1">
        <v>45475</v>
      </c>
      <c r="H4133" s="1">
        <f>TablaDatos[[#This Row],[FechaIngreso]]+TablaDatos[[#This Row],[DiasNuevo]]</f>
        <v>45492</v>
      </c>
      <c r="I4133">
        <v>17</v>
      </c>
      <c r="J4133" t="s">
        <v>23</v>
      </c>
      <c r="K4133" s="3">
        <v>11331.14</v>
      </c>
      <c r="L4133" t="b">
        <f>TablaDatos[[#This Row],[FechaAlta]] &lt; TablaDatos[[#This Row],[FechaIngreso]]</f>
        <v>0</v>
      </c>
      <c r="M4133">
        <f>_xlfn.XLOOKUP(TablaDatos[[#This Row],[PacienteID]],'Datos_Ejemplo.csv'!A:A,'Datos_Ejemplo.csv'!I:I)</f>
        <v>17</v>
      </c>
      <c r="N4133">
        <f>ABS(TablaDatos[[#This Row],[DiasOriginal]])</f>
        <v>17</v>
      </c>
      <c r="O4133" s="1">
        <f>TablaDatos[[#This Row],[FechaIngreso]]+TablaDatos[[#This Row],[DiasNuevo]]</f>
        <v>45492</v>
      </c>
    </row>
    <row r="4134" spans="1:15">
      <c r="A4134">
        <v>4133</v>
      </c>
      <c r="B4134" t="s">
        <v>356</v>
      </c>
      <c r="C4134" s="1">
        <v>31412</v>
      </c>
      <c r="D4134">
        <v>40</v>
      </c>
      <c r="E4134" s="4" t="s">
        <v>15</v>
      </c>
      <c r="F4134" t="s">
        <v>295</v>
      </c>
      <c r="G4134" s="1">
        <v>45432</v>
      </c>
      <c r="H4134" s="1">
        <f>TablaDatos[[#This Row],[FechaIngreso]]+TablaDatos[[#This Row],[DiasNuevo]]</f>
        <v>45455</v>
      </c>
      <c r="I4134">
        <v>23</v>
      </c>
      <c r="J4134" t="s">
        <v>25</v>
      </c>
      <c r="K4134" s="3">
        <v>10502.11</v>
      </c>
      <c r="L4134" t="b">
        <f>TablaDatos[[#This Row],[FechaAlta]] &lt; TablaDatos[[#This Row],[FechaIngreso]]</f>
        <v>0</v>
      </c>
      <c r="M4134">
        <f>_xlfn.XLOOKUP(TablaDatos[[#This Row],[PacienteID]],'Datos_Ejemplo.csv'!A:A,'Datos_Ejemplo.csv'!I:I)</f>
        <v>23</v>
      </c>
      <c r="N4134">
        <f>ABS(TablaDatos[[#This Row],[DiasOriginal]])</f>
        <v>23</v>
      </c>
      <c r="O4134" s="1">
        <f>TablaDatos[[#This Row],[FechaIngreso]]+TablaDatos[[#This Row],[DiasNuevo]]</f>
        <v>45455</v>
      </c>
    </row>
    <row r="4135" spans="1:15">
      <c r="A4135">
        <v>4134</v>
      </c>
      <c r="B4135" t="s">
        <v>130</v>
      </c>
      <c r="C4135" s="1">
        <v>40544</v>
      </c>
      <c r="D4135">
        <v>15</v>
      </c>
      <c r="E4135" s="4" t="s">
        <v>12</v>
      </c>
      <c r="F4135" t="s">
        <v>21</v>
      </c>
      <c r="G4135" s="1">
        <v>45314</v>
      </c>
      <c r="H4135" s="1">
        <f>TablaDatos[[#This Row],[FechaIngreso]]+TablaDatos[[#This Row],[DiasNuevo]]</f>
        <v>45353</v>
      </c>
      <c r="I4135">
        <v>39</v>
      </c>
      <c r="J4135" t="s">
        <v>23</v>
      </c>
      <c r="K4135" s="3">
        <v>9499.4699999999993</v>
      </c>
      <c r="L4135" t="b">
        <f>TablaDatos[[#This Row],[FechaAlta]] &lt; TablaDatos[[#This Row],[FechaIngreso]]</f>
        <v>0</v>
      </c>
      <c r="M4135">
        <f>_xlfn.XLOOKUP(TablaDatos[[#This Row],[PacienteID]],'Datos_Ejemplo.csv'!A:A,'Datos_Ejemplo.csv'!I:I)</f>
        <v>39</v>
      </c>
      <c r="N4135">
        <f>ABS(TablaDatos[[#This Row],[DiasOriginal]])</f>
        <v>39</v>
      </c>
      <c r="O4135" s="1">
        <f>TablaDatos[[#This Row],[FechaIngreso]]+TablaDatos[[#This Row],[DiasNuevo]]</f>
        <v>45353</v>
      </c>
    </row>
    <row r="4136" spans="1:15">
      <c r="A4136">
        <v>4135</v>
      </c>
      <c r="B4136" t="s">
        <v>265</v>
      </c>
      <c r="C4136" s="1">
        <v>21551</v>
      </c>
      <c r="D4136">
        <v>67</v>
      </c>
      <c r="E4136" s="4" t="s">
        <v>12</v>
      </c>
      <c r="F4136" t="s">
        <v>13</v>
      </c>
      <c r="G4136" s="1">
        <v>45219</v>
      </c>
      <c r="H4136" s="1">
        <f>TablaDatos[[#This Row],[FechaIngreso]]+TablaDatos[[#This Row],[DiasNuevo]]</f>
        <v>45228</v>
      </c>
      <c r="I4136">
        <v>9</v>
      </c>
      <c r="J4136" t="s">
        <v>23</v>
      </c>
      <c r="K4136" s="3">
        <v>6674.98</v>
      </c>
      <c r="L4136" t="b">
        <f>TablaDatos[[#This Row],[FechaAlta]] &lt; TablaDatos[[#This Row],[FechaIngreso]]</f>
        <v>0</v>
      </c>
      <c r="M4136">
        <f>_xlfn.XLOOKUP(TablaDatos[[#This Row],[PacienteID]],'Datos_Ejemplo.csv'!A:A,'Datos_Ejemplo.csv'!I:I)</f>
        <v>9</v>
      </c>
      <c r="N4136">
        <f>ABS(TablaDatos[[#This Row],[DiasOriginal]])</f>
        <v>9</v>
      </c>
      <c r="O4136" s="1">
        <f>TablaDatos[[#This Row],[FechaIngreso]]+TablaDatos[[#This Row],[DiasNuevo]]</f>
        <v>45228</v>
      </c>
    </row>
    <row r="4137" spans="1:15">
      <c r="A4137">
        <v>4136</v>
      </c>
      <c r="B4137" t="s">
        <v>350</v>
      </c>
      <c r="C4137" s="1">
        <v>28856</v>
      </c>
      <c r="D4137">
        <v>47</v>
      </c>
      <c r="E4137" s="4" t="s">
        <v>197</v>
      </c>
      <c r="F4137" t="s">
        <v>295</v>
      </c>
      <c r="G4137" s="1">
        <v>45105</v>
      </c>
      <c r="H4137" s="1">
        <f>TablaDatos[[#This Row],[FechaIngreso]]+TablaDatos[[#This Row],[DiasNuevo]]</f>
        <v>45115</v>
      </c>
      <c r="I4137">
        <v>10</v>
      </c>
      <c r="J4137" t="s">
        <v>23</v>
      </c>
      <c r="K4137" s="3">
        <v>18166.150000000001</v>
      </c>
      <c r="L4137" t="b">
        <f>TablaDatos[[#This Row],[FechaAlta]] &lt; TablaDatos[[#This Row],[FechaIngreso]]</f>
        <v>0</v>
      </c>
      <c r="M4137">
        <f>_xlfn.XLOOKUP(TablaDatos[[#This Row],[PacienteID]],'Datos_Ejemplo.csv'!A:A,'Datos_Ejemplo.csv'!I:I)</f>
        <v>10</v>
      </c>
      <c r="N4137">
        <f>ABS(TablaDatos[[#This Row],[DiasOriginal]])</f>
        <v>10</v>
      </c>
      <c r="O4137" s="1">
        <f>TablaDatos[[#This Row],[FechaIngreso]]+TablaDatos[[#This Row],[DiasNuevo]]</f>
        <v>45115</v>
      </c>
    </row>
    <row r="4138" spans="1:15">
      <c r="A4138">
        <v>4137</v>
      </c>
      <c r="B4138" t="s">
        <v>255</v>
      </c>
      <c r="C4138" s="1">
        <v>25934</v>
      </c>
      <c r="D4138">
        <v>55</v>
      </c>
      <c r="E4138" s="4" t="s">
        <v>15</v>
      </c>
      <c r="F4138" t="s">
        <v>201</v>
      </c>
      <c r="G4138" s="1">
        <v>45598</v>
      </c>
      <c r="H4138" s="1">
        <f>TablaDatos[[#This Row],[FechaIngreso]]+TablaDatos[[#This Row],[DiasNuevo]]</f>
        <v>45608</v>
      </c>
      <c r="I4138">
        <v>10</v>
      </c>
      <c r="J4138" t="s">
        <v>19</v>
      </c>
      <c r="K4138" s="3">
        <v>8961.15</v>
      </c>
      <c r="L4138" t="b">
        <f>TablaDatos[[#This Row],[FechaAlta]] &lt; TablaDatos[[#This Row],[FechaIngreso]]</f>
        <v>0</v>
      </c>
      <c r="M4138">
        <f>_xlfn.XLOOKUP(TablaDatos[[#This Row],[PacienteID]],'Datos_Ejemplo.csv'!A:A,'Datos_Ejemplo.csv'!I:I)</f>
        <v>10</v>
      </c>
      <c r="N4138">
        <f>ABS(TablaDatos[[#This Row],[DiasOriginal]])</f>
        <v>10</v>
      </c>
      <c r="O4138" s="1">
        <f>TablaDatos[[#This Row],[FechaIngreso]]+TablaDatos[[#This Row],[DiasNuevo]]</f>
        <v>45608</v>
      </c>
    </row>
    <row r="4139" spans="1:15">
      <c r="A4139">
        <v>4138</v>
      </c>
      <c r="B4139" t="s">
        <v>283</v>
      </c>
      <c r="C4139" s="1">
        <v>23012</v>
      </c>
      <c r="D4139">
        <v>63</v>
      </c>
      <c r="E4139" s="4" t="s">
        <v>12</v>
      </c>
      <c r="F4139" t="s">
        <v>21</v>
      </c>
      <c r="G4139" s="1">
        <v>45355</v>
      </c>
      <c r="H4139" s="1">
        <f>TablaDatos[[#This Row],[FechaIngreso]]+TablaDatos[[#This Row],[DiasNuevo]]</f>
        <v>45356</v>
      </c>
      <c r="I4139">
        <v>1</v>
      </c>
      <c r="J4139" t="s">
        <v>19</v>
      </c>
      <c r="K4139" s="3">
        <v>10521.82</v>
      </c>
      <c r="L4139" t="b">
        <f>TablaDatos[[#This Row],[FechaAlta]] &lt; TablaDatos[[#This Row],[FechaIngreso]]</f>
        <v>0</v>
      </c>
      <c r="M4139">
        <f>_xlfn.XLOOKUP(TablaDatos[[#This Row],[PacienteID]],'Datos_Ejemplo.csv'!A:A,'Datos_Ejemplo.csv'!I:I)</f>
        <v>-1</v>
      </c>
      <c r="N4139">
        <f>ABS(TablaDatos[[#This Row],[DiasOriginal]])</f>
        <v>1</v>
      </c>
      <c r="O4139" s="1">
        <f>TablaDatos[[#This Row],[FechaIngreso]]+TablaDatos[[#This Row],[DiasNuevo]]</f>
        <v>45356</v>
      </c>
    </row>
    <row r="4140" spans="1:15">
      <c r="A4140">
        <v>4139</v>
      </c>
      <c r="B4140" t="s">
        <v>235</v>
      </c>
      <c r="C4140" s="1">
        <f ca="1">DATE(YEAR(TODAY())-TablaDatos[[#This Row],[Edad]],1,1)</f>
        <v>24838</v>
      </c>
      <c r="D4140">
        <v>58</v>
      </c>
      <c r="E4140" s="4" t="s">
        <v>12</v>
      </c>
      <c r="F4140" t="s">
        <v>13</v>
      </c>
      <c r="G4140" s="1">
        <v>45450</v>
      </c>
      <c r="H4140" s="1">
        <f>TablaDatos[[#This Row],[FechaIngreso]]+TablaDatos[[#This Row],[DiasNuevo]]</f>
        <v>45479</v>
      </c>
      <c r="I4140">
        <v>29</v>
      </c>
      <c r="J4140" t="s">
        <v>19</v>
      </c>
      <c r="K4140" s="3">
        <v>13095.21</v>
      </c>
      <c r="L4140" t="b">
        <f>TablaDatos[[#This Row],[FechaAlta]] &lt; TablaDatos[[#This Row],[FechaIngreso]]</f>
        <v>0</v>
      </c>
      <c r="M4140">
        <f>_xlfn.XLOOKUP(TablaDatos[[#This Row],[PacienteID]],'Datos_Ejemplo.csv'!A:A,'Datos_Ejemplo.csv'!I:I)</f>
        <v>29</v>
      </c>
      <c r="N4140">
        <f>ABS(TablaDatos[[#This Row],[DiasOriginal]])</f>
        <v>29</v>
      </c>
      <c r="O4140" s="1">
        <f>TablaDatos[[#This Row],[FechaIngreso]]+TablaDatos[[#This Row],[DiasNuevo]]</f>
        <v>45479</v>
      </c>
    </row>
    <row r="4141" spans="1:15">
      <c r="A4141">
        <v>4140</v>
      </c>
      <c r="B4141" t="s">
        <v>278</v>
      </c>
      <c r="C4141" s="1">
        <v>13515</v>
      </c>
      <c r="D4141">
        <v>89</v>
      </c>
      <c r="E4141" s="4" t="s">
        <v>12</v>
      </c>
      <c r="F4141" t="s">
        <v>201</v>
      </c>
      <c r="G4141" s="1">
        <v>45607</v>
      </c>
      <c r="H4141" s="1">
        <f>TablaDatos[[#This Row],[FechaIngreso]]+TablaDatos[[#This Row],[DiasNuevo]]</f>
        <v>45635</v>
      </c>
      <c r="I4141">
        <v>28</v>
      </c>
      <c r="J4141" t="s">
        <v>19</v>
      </c>
      <c r="K4141" s="3">
        <v>1259.8900000000001</v>
      </c>
      <c r="L4141" t="b">
        <f>TablaDatos[[#This Row],[FechaAlta]] &lt; TablaDatos[[#This Row],[FechaIngreso]]</f>
        <v>0</v>
      </c>
      <c r="M4141">
        <f>_xlfn.XLOOKUP(TablaDatos[[#This Row],[PacienteID]],'Datos_Ejemplo.csv'!A:A,'Datos_Ejemplo.csv'!I:I)</f>
        <v>28</v>
      </c>
      <c r="N4141">
        <f>ABS(TablaDatos[[#This Row],[DiasOriginal]])</f>
        <v>28</v>
      </c>
      <c r="O4141" s="1">
        <f>TablaDatos[[#This Row],[FechaIngreso]]+TablaDatos[[#This Row],[DiasNuevo]]</f>
        <v>45635</v>
      </c>
    </row>
    <row r="4142" spans="1:15">
      <c r="A4142">
        <v>4141</v>
      </c>
      <c r="B4142" t="s">
        <v>294</v>
      </c>
      <c r="C4142" s="1">
        <v>23742</v>
      </c>
      <c r="D4142">
        <v>61</v>
      </c>
      <c r="E4142" s="4" t="s">
        <v>12</v>
      </c>
      <c r="F4142" t="s">
        <v>261</v>
      </c>
      <c r="G4142" s="1">
        <v>45238</v>
      </c>
      <c r="H4142" s="1">
        <f>TablaDatos[[#This Row],[FechaIngreso]]+TablaDatos[[#This Row],[DiasNuevo]]</f>
        <v>45246</v>
      </c>
      <c r="I4142">
        <v>8</v>
      </c>
      <c r="J4142" t="s">
        <v>23</v>
      </c>
      <c r="K4142" s="3">
        <v>15603.89</v>
      </c>
      <c r="L4142" t="b">
        <f>TablaDatos[[#This Row],[FechaAlta]] &lt; TablaDatos[[#This Row],[FechaIngreso]]</f>
        <v>0</v>
      </c>
      <c r="M4142">
        <f>_xlfn.XLOOKUP(TablaDatos[[#This Row],[PacienteID]],'Datos_Ejemplo.csv'!A:A,'Datos_Ejemplo.csv'!I:I)</f>
        <v>8</v>
      </c>
      <c r="N4142">
        <f>ABS(TablaDatos[[#This Row],[DiasOriginal]])</f>
        <v>8</v>
      </c>
      <c r="O4142" s="1">
        <f>TablaDatos[[#This Row],[FechaIngreso]]+TablaDatos[[#This Row],[DiasNuevo]]</f>
        <v>45246</v>
      </c>
    </row>
    <row r="4143" spans="1:15">
      <c r="A4143">
        <v>4142</v>
      </c>
      <c r="B4143" t="s">
        <v>303</v>
      </c>
      <c r="C4143" s="1">
        <v>18629</v>
      </c>
      <c r="D4143">
        <v>75</v>
      </c>
      <c r="E4143" s="4" t="s">
        <v>15</v>
      </c>
      <c r="F4143" t="s">
        <v>201</v>
      </c>
      <c r="G4143" s="1">
        <v>45006</v>
      </c>
      <c r="H4143" s="1">
        <f>TablaDatos[[#This Row],[FechaIngreso]]+TablaDatos[[#This Row],[DiasNuevo]]</f>
        <v>45040</v>
      </c>
      <c r="I4143">
        <v>34</v>
      </c>
      <c r="J4143" t="s">
        <v>23</v>
      </c>
      <c r="K4143" s="3">
        <v>10201.4</v>
      </c>
      <c r="L4143" t="b">
        <f>TablaDatos[[#This Row],[FechaAlta]] &lt; TablaDatos[[#This Row],[FechaIngreso]]</f>
        <v>0</v>
      </c>
      <c r="M4143">
        <f>_xlfn.XLOOKUP(TablaDatos[[#This Row],[PacienteID]],'Datos_Ejemplo.csv'!A:A,'Datos_Ejemplo.csv'!I:I)</f>
        <v>34</v>
      </c>
      <c r="N4143">
        <f>ABS(TablaDatos[[#This Row],[DiasOriginal]])</f>
        <v>34</v>
      </c>
      <c r="O4143" s="1">
        <f>TablaDatos[[#This Row],[FechaIngreso]]+TablaDatos[[#This Row],[DiasNuevo]]</f>
        <v>45040</v>
      </c>
    </row>
    <row r="4144" spans="1:15">
      <c r="A4144">
        <v>4143</v>
      </c>
      <c r="B4144" t="s">
        <v>331</v>
      </c>
      <c r="C4144" s="1">
        <v>42370</v>
      </c>
      <c r="D4144">
        <v>10</v>
      </c>
      <c r="E4144" s="4" t="s">
        <v>15</v>
      </c>
      <c r="F4144" t="s">
        <v>295</v>
      </c>
      <c r="G4144" s="1">
        <v>44940</v>
      </c>
      <c r="H4144" s="1">
        <f>TablaDatos[[#This Row],[FechaIngreso]]+TablaDatos[[#This Row],[DiasNuevo]]</f>
        <v>44941</v>
      </c>
      <c r="I4144">
        <v>1</v>
      </c>
      <c r="J4144" t="s">
        <v>19</v>
      </c>
      <c r="K4144" s="3">
        <v>13109.26</v>
      </c>
      <c r="L4144" t="b">
        <f>TablaDatos[[#This Row],[FechaAlta]] &lt; TablaDatos[[#This Row],[FechaIngreso]]</f>
        <v>0</v>
      </c>
      <c r="M4144">
        <f>_xlfn.XLOOKUP(TablaDatos[[#This Row],[PacienteID]],'Datos_Ejemplo.csv'!A:A,'Datos_Ejemplo.csv'!I:I)</f>
        <v>1</v>
      </c>
      <c r="N4144">
        <f>ABS(TablaDatos[[#This Row],[DiasOriginal]])</f>
        <v>1</v>
      </c>
      <c r="O4144" s="1">
        <f>TablaDatos[[#This Row],[FechaIngreso]]+TablaDatos[[#This Row],[DiasNuevo]]</f>
        <v>44941</v>
      </c>
    </row>
    <row r="4145" spans="1:15">
      <c r="A4145">
        <v>4144</v>
      </c>
      <c r="B4145" t="s">
        <v>364</v>
      </c>
      <c r="C4145" s="1">
        <v>13880</v>
      </c>
      <c r="D4145">
        <v>88</v>
      </c>
      <c r="E4145" s="4" t="s">
        <v>15</v>
      </c>
      <c r="F4145" t="s">
        <v>32</v>
      </c>
      <c r="G4145" s="1">
        <v>44980</v>
      </c>
      <c r="H4145" s="1">
        <f>TablaDatos[[#This Row],[FechaIngreso]]+TablaDatos[[#This Row],[DiasNuevo]]</f>
        <v>45011</v>
      </c>
      <c r="I4145">
        <v>31</v>
      </c>
      <c r="J4145" t="s">
        <v>23</v>
      </c>
      <c r="K4145" s="3">
        <v>15417.44</v>
      </c>
      <c r="L4145" t="b">
        <f>TablaDatos[[#This Row],[FechaAlta]] &lt; TablaDatos[[#This Row],[FechaIngreso]]</f>
        <v>0</v>
      </c>
      <c r="M4145">
        <f>_xlfn.XLOOKUP(TablaDatos[[#This Row],[PacienteID]],'Datos_Ejemplo.csv'!A:A,'Datos_Ejemplo.csv'!I:I)</f>
        <v>31</v>
      </c>
      <c r="N4145">
        <f>ABS(TablaDatos[[#This Row],[DiasOriginal]])</f>
        <v>31</v>
      </c>
      <c r="O4145" s="1">
        <f>TablaDatos[[#This Row],[FechaIngreso]]+TablaDatos[[#This Row],[DiasNuevo]]</f>
        <v>45011</v>
      </c>
    </row>
    <row r="4146" spans="1:15">
      <c r="A4146">
        <v>4145</v>
      </c>
      <c r="B4146" t="s">
        <v>241</v>
      </c>
      <c r="C4146" s="1">
        <v>39813</v>
      </c>
      <c r="D4146">
        <v>17</v>
      </c>
      <c r="E4146" s="4" t="s">
        <v>15</v>
      </c>
      <c r="F4146" t="s">
        <v>201</v>
      </c>
      <c r="G4146" s="1">
        <v>45373</v>
      </c>
      <c r="H4146" s="1">
        <f>TablaDatos[[#This Row],[FechaIngreso]]+TablaDatos[[#This Row],[DiasNuevo]]</f>
        <v>45386</v>
      </c>
      <c r="I4146">
        <v>13</v>
      </c>
      <c r="J4146" t="s">
        <v>23</v>
      </c>
      <c r="K4146" s="3">
        <v>17469.400000000001</v>
      </c>
      <c r="L4146" t="b">
        <f>TablaDatos[[#This Row],[FechaAlta]] &lt; TablaDatos[[#This Row],[FechaIngreso]]</f>
        <v>0</v>
      </c>
      <c r="M4146">
        <f>_xlfn.XLOOKUP(TablaDatos[[#This Row],[PacienteID]],'Datos_Ejemplo.csv'!A:A,'Datos_Ejemplo.csv'!I:I)</f>
        <v>13</v>
      </c>
      <c r="N4146">
        <f>ABS(TablaDatos[[#This Row],[DiasOriginal]])</f>
        <v>13</v>
      </c>
      <c r="O4146" s="1">
        <f>TablaDatos[[#This Row],[FechaIngreso]]+TablaDatos[[#This Row],[DiasNuevo]]</f>
        <v>45386</v>
      </c>
    </row>
    <row r="4147" spans="1:15">
      <c r="A4147">
        <v>4146</v>
      </c>
      <c r="B4147" t="s">
        <v>245</v>
      </c>
      <c r="C4147" s="1">
        <v>39448</v>
      </c>
      <c r="D4147">
        <v>18</v>
      </c>
      <c r="E4147" s="4" t="s">
        <v>12</v>
      </c>
      <c r="F4147" t="s">
        <v>32</v>
      </c>
      <c r="G4147" s="1">
        <v>44991</v>
      </c>
      <c r="H4147" s="1">
        <f>TablaDatos[[#This Row],[FechaIngreso]]+TablaDatos[[#This Row],[DiasNuevo]]</f>
        <v>45019</v>
      </c>
      <c r="I4147">
        <v>28</v>
      </c>
      <c r="J4147" t="s">
        <v>23</v>
      </c>
      <c r="K4147" s="3">
        <v>7783.63</v>
      </c>
      <c r="L4147" t="b">
        <f>TablaDatos[[#This Row],[FechaAlta]] &lt; TablaDatos[[#This Row],[FechaIngreso]]</f>
        <v>0</v>
      </c>
      <c r="M4147">
        <f>_xlfn.XLOOKUP(TablaDatos[[#This Row],[PacienteID]],'Datos_Ejemplo.csv'!A:A,'Datos_Ejemplo.csv'!I:I)</f>
        <v>28</v>
      </c>
      <c r="N4147">
        <f>ABS(TablaDatos[[#This Row],[DiasOriginal]])</f>
        <v>28</v>
      </c>
      <c r="O4147" s="1">
        <f>TablaDatos[[#This Row],[FechaIngreso]]+TablaDatos[[#This Row],[DiasNuevo]]</f>
        <v>45019</v>
      </c>
    </row>
    <row r="4148" spans="1:15">
      <c r="A4148">
        <v>4147</v>
      </c>
      <c r="B4148" t="s">
        <v>330</v>
      </c>
      <c r="C4148" s="1">
        <v>14611</v>
      </c>
      <c r="D4148">
        <f ca="1">DATEDIF(TablaDatos[[#This Row],[FechaNacimiento]],TODAY(),"Y")</f>
        <v>86</v>
      </c>
      <c r="E4148" s="4" t="s">
        <v>15</v>
      </c>
      <c r="F4148" t="s">
        <v>13</v>
      </c>
      <c r="G4148" s="1">
        <v>45298</v>
      </c>
      <c r="H4148" s="1">
        <f>TablaDatos[[#This Row],[FechaIngreso]]+TablaDatos[[#This Row],[DiasNuevo]]</f>
        <v>45320</v>
      </c>
      <c r="I4148">
        <v>22</v>
      </c>
      <c r="J4148" t="s">
        <v>19</v>
      </c>
      <c r="K4148" s="3">
        <v>16209.74</v>
      </c>
      <c r="L4148" t="b">
        <f>TablaDatos[[#This Row],[FechaAlta]] &lt; TablaDatos[[#This Row],[FechaIngreso]]</f>
        <v>0</v>
      </c>
      <c r="M4148">
        <f>_xlfn.XLOOKUP(TablaDatos[[#This Row],[PacienteID]],'Datos_Ejemplo.csv'!A:A,'Datos_Ejemplo.csv'!I:I)</f>
        <v>22</v>
      </c>
      <c r="N4148">
        <f>ABS(TablaDatos[[#This Row],[DiasOriginal]])</f>
        <v>22</v>
      </c>
      <c r="O4148" s="1">
        <f>TablaDatos[[#This Row],[FechaIngreso]]+TablaDatos[[#This Row],[DiasNuevo]]</f>
        <v>45320</v>
      </c>
    </row>
    <row r="4149" spans="1:15">
      <c r="A4149">
        <v>4148</v>
      </c>
      <c r="B4149" t="s">
        <v>364</v>
      </c>
      <c r="C4149" s="1">
        <v>26299</v>
      </c>
      <c r="D4149">
        <v>54</v>
      </c>
      <c r="E4149" s="4" t="s">
        <v>12</v>
      </c>
      <c r="F4149" t="s">
        <v>295</v>
      </c>
      <c r="G4149" s="1">
        <v>45429</v>
      </c>
      <c r="H4149" s="1">
        <f>TablaDatos[[#This Row],[FechaIngreso]]+TablaDatos[[#This Row],[DiasNuevo]]</f>
        <v>45465</v>
      </c>
      <c r="I4149">
        <v>36</v>
      </c>
      <c r="J4149" t="s">
        <v>19</v>
      </c>
      <c r="K4149" s="3">
        <v>5102.62</v>
      </c>
      <c r="L4149" t="b">
        <f>TablaDatos[[#This Row],[FechaAlta]] &lt; TablaDatos[[#This Row],[FechaIngreso]]</f>
        <v>0</v>
      </c>
      <c r="M4149">
        <f>_xlfn.XLOOKUP(TablaDatos[[#This Row],[PacienteID]],'Datos_Ejemplo.csv'!A:A,'Datos_Ejemplo.csv'!I:I)</f>
        <v>36</v>
      </c>
      <c r="N4149">
        <f>ABS(TablaDatos[[#This Row],[DiasOriginal]])</f>
        <v>36</v>
      </c>
      <c r="O4149" s="1">
        <f>TablaDatos[[#This Row],[FechaIngreso]]+TablaDatos[[#This Row],[DiasNuevo]]</f>
        <v>45465</v>
      </c>
    </row>
    <row r="4150" spans="1:15">
      <c r="A4150">
        <v>4149</v>
      </c>
      <c r="B4150" t="s">
        <v>130</v>
      </c>
      <c r="C4150" s="1">
        <v>16437</v>
      </c>
      <c r="D4150">
        <v>81</v>
      </c>
      <c r="E4150" s="4" t="s">
        <v>12</v>
      </c>
      <c r="F4150" t="s">
        <v>201</v>
      </c>
      <c r="G4150" s="1">
        <v>45496</v>
      </c>
      <c r="H4150" s="1">
        <f>TablaDatos[[#This Row],[FechaIngreso]]+TablaDatos[[#This Row],[DiasNuevo]]</f>
        <v>45501</v>
      </c>
      <c r="I4150">
        <v>5</v>
      </c>
      <c r="J4150" t="s">
        <v>23</v>
      </c>
      <c r="K4150" s="3">
        <v>13172.75</v>
      </c>
      <c r="L4150" t="b">
        <f>TablaDatos[[#This Row],[FechaAlta]] &lt; TablaDatos[[#This Row],[FechaIngreso]]</f>
        <v>0</v>
      </c>
      <c r="M4150">
        <f>_xlfn.XLOOKUP(TablaDatos[[#This Row],[PacienteID]],'Datos_Ejemplo.csv'!A:A,'Datos_Ejemplo.csv'!I:I)</f>
        <v>5</v>
      </c>
      <c r="N4150">
        <f>ABS(TablaDatos[[#This Row],[DiasOriginal]])</f>
        <v>5</v>
      </c>
      <c r="O4150" s="1">
        <f>TablaDatos[[#This Row],[FechaIngreso]]+TablaDatos[[#This Row],[DiasNuevo]]</f>
        <v>45501</v>
      </c>
    </row>
    <row r="4151" spans="1:15">
      <c r="A4151">
        <v>4150</v>
      </c>
      <c r="B4151" t="s">
        <v>246</v>
      </c>
      <c r="C4151" s="1">
        <v>36891</v>
      </c>
      <c r="D4151">
        <v>25</v>
      </c>
      <c r="E4151" s="4" t="s">
        <v>197</v>
      </c>
      <c r="F4151" t="s">
        <v>21</v>
      </c>
      <c r="G4151" s="1">
        <v>45022</v>
      </c>
      <c r="H4151" s="1">
        <f>TablaDatos[[#This Row],[FechaIngreso]]+TablaDatos[[#This Row],[DiasNuevo]]</f>
        <v>45027</v>
      </c>
      <c r="I4151">
        <v>5</v>
      </c>
      <c r="J4151" t="s">
        <v>23</v>
      </c>
      <c r="K4151" s="3">
        <v>1964.42</v>
      </c>
      <c r="L4151" t="b">
        <f>TablaDatos[[#This Row],[FechaAlta]] &lt; TablaDatos[[#This Row],[FechaIngreso]]</f>
        <v>0</v>
      </c>
      <c r="M4151">
        <f>_xlfn.XLOOKUP(TablaDatos[[#This Row],[PacienteID]],'Datos_Ejemplo.csv'!A:A,'Datos_Ejemplo.csv'!I:I)</f>
        <v>5</v>
      </c>
      <c r="N4151">
        <f>ABS(TablaDatos[[#This Row],[DiasOriginal]])</f>
        <v>5</v>
      </c>
      <c r="O4151" s="1">
        <f>TablaDatos[[#This Row],[FechaIngreso]]+TablaDatos[[#This Row],[DiasNuevo]]</f>
        <v>45027</v>
      </c>
    </row>
    <row r="4152" spans="1:15">
      <c r="A4152">
        <v>4151</v>
      </c>
      <c r="B4152" t="s">
        <v>247</v>
      </c>
      <c r="C4152" s="1">
        <v>44196</v>
      </c>
      <c r="D4152">
        <v>5</v>
      </c>
      <c r="E4152" s="4" t="s">
        <v>12</v>
      </c>
      <c r="F4152" t="s">
        <v>201</v>
      </c>
      <c r="G4152" s="1">
        <v>45459</v>
      </c>
      <c r="H4152" s="1">
        <f>TablaDatos[[#This Row],[FechaIngreso]]+TablaDatos[[#This Row],[DiasNuevo]]</f>
        <v>45490</v>
      </c>
      <c r="I4152">
        <v>31</v>
      </c>
      <c r="J4152" t="s">
        <v>23</v>
      </c>
      <c r="K4152" s="3">
        <v>302.61</v>
      </c>
      <c r="L4152" t="b">
        <f>TablaDatos[[#This Row],[FechaAlta]] &lt; TablaDatos[[#This Row],[FechaIngreso]]</f>
        <v>0</v>
      </c>
      <c r="M4152">
        <f>_xlfn.XLOOKUP(TablaDatos[[#This Row],[PacienteID]],'Datos_Ejemplo.csv'!A:A,'Datos_Ejemplo.csv'!I:I)</f>
        <v>31</v>
      </c>
      <c r="N4152">
        <f>ABS(TablaDatos[[#This Row],[DiasOriginal]])</f>
        <v>31</v>
      </c>
      <c r="O4152" s="1">
        <f>TablaDatos[[#This Row],[FechaIngreso]]+TablaDatos[[#This Row],[DiasNuevo]]</f>
        <v>45490</v>
      </c>
    </row>
    <row r="4153" spans="1:15">
      <c r="A4153">
        <v>4152</v>
      </c>
      <c r="B4153" t="s">
        <v>269</v>
      </c>
      <c r="C4153" s="1">
        <v>44927</v>
      </c>
      <c r="D4153">
        <v>3</v>
      </c>
      <c r="E4153" s="4" t="s">
        <v>15</v>
      </c>
      <c r="F4153" t="s">
        <v>21</v>
      </c>
      <c r="G4153" s="1">
        <v>45186</v>
      </c>
      <c r="H4153" s="1">
        <f>TablaDatos[[#This Row],[FechaIngreso]]+TablaDatos[[#This Row],[DiasNuevo]]</f>
        <v>45198</v>
      </c>
      <c r="I4153">
        <v>12</v>
      </c>
      <c r="J4153" t="s">
        <v>23</v>
      </c>
      <c r="K4153" s="3">
        <v>1824.84</v>
      </c>
      <c r="L4153" t="b">
        <f>TablaDatos[[#This Row],[FechaAlta]] &lt; TablaDatos[[#This Row],[FechaIngreso]]</f>
        <v>0</v>
      </c>
      <c r="M4153">
        <f>_xlfn.XLOOKUP(TablaDatos[[#This Row],[PacienteID]],'Datos_Ejemplo.csv'!A:A,'Datos_Ejemplo.csv'!I:I)</f>
        <v>12</v>
      </c>
      <c r="N4153">
        <f>ABS(TablaDatos[[#This Row],[DiasOriginal]])</f>
        <v>12</v>
      </c>
      <c r="O4153" s="1">
        <f>TablaDatos[[#This Row],[FechaIngreso]]+TablaDatos[[#This Row],[DiasNuevo]]</f>
        <v>45198</v>
      </c>
    </row>
    <row r="4154" spans="1:15">
      <c r="A4154">
        <v>4153</v>
      </c>
      <c r="B4154" t="s">
        <v>246</v>
      </c>
      <c r="C4154" s="1">
        <v>35795</v>
      </c>
      <c r="D4154">
        <v>28</v>
      </c>
      <c r="E4154" s="4" t="s">
        <v>12</v>
      </c>
      <c r="F4154" t="s">
        <v>295</v>
      </c>
      <c r="G4154" s="1">
        <v>45511</v>
      </c>
      <c r="H4154" s="1">
        <f>TablaDatos[[#This Row],[FechaIngreso]]+TablaDatos[[#This Row],[DiasNuevo]]</f>
        <v>45513</v>
      </c>
      <c r="I4154">
        <v>2</v>
      </c>
      <c r="J4154" t="s">
        <v>23</v>
      </c>
      <c r="K4154" s="3">
        <v>6319.59</v>
      </c>
      <c r="L4154" t="b">
        <f>TablaDatos[[#This Row],[FechaAlta]] &lt; TablaDatos[[#This Row],[FechaIngreso]]</f>
        <v>0</v>
      </c>
      <c r="M4154">
        <f>_xlfn.XLOOKUP(TablaDatos[[#This Row],[PacienteID]],'Datos_Ejemplo.csv'!A:A,'Datos_Ejemplo.csv'!I:I)</f>
        <v>2</v>
      </c>
      <c r="N4154">
        <f>ABS(TablaDatos[[#This Row],[DiasOriginal]])</f>
        <v>2</v>
      </c>
      <c r="O4154" s="1">
        <f>TablaDatos[[#This Row],[FechaIngreso]]+TablaDatos[[#This Row],[DiasNuevo]]</f>
        <v>45513</v>
      </c>
    </row>
    <row r="4155" spans="1:15">
      <c r="A4155">
        <v>4154</v>
      </c>
      <c r="B4155" t="s">
        <v>105</v>
      </c>
      <c r="C4155" s="1">
        <v>24838</v>
      </c>
      <c r="D4155">
        <v>58</v>
      </c>
      <c r="E4155" s="4" t="s">
        <v>15</v>
      </c>
      <c r="F4155" t="s">
        <v>32</v>
      </c>
      <c r="G4155" s="1">
        <v>45174</v>
      </c>
      <c r="H4155" s="1">
        <f>TablaDatos[[#This Row],[FechaIngreso]]+TablaDatos[[#This Row],[DiasNuevo]]</f>
        <v>45190</v>
      </c>
      <c r="I4155">
        <v>16</v>
      </c>
      <c r="J4155" t="s">
        <v>25</v>
      </c>
      <c r="K4155" s="3">
        <v>525</v>
      </c>
      <c r="L4155" t="b">
        <f>TablaDatos[[#This Row],[FechaAlta]] &lt; TablaDatos[[#This Row],[FechaIngreso]]</f>
        <v>0</v>
      </c>
      <c r="M4155">
        <f>_xlfn.XLOOKUP(TablaDatos[[#This Row],[PacienteID]],'Datos_Ejemplo.csv'!A:A,'Datos_Ejemplo.csv'!I:I)</f>
        <v>16</v>
      </c>
      <c r="N4155">
        <f>ABS(TablaDatos[[#This Row],[DiasOriginal]])</f>
        <v>16</v>
      </c>
      <c r="O4155" s="1">
        <f>TablaDatos[[#This Row],[FechaIngreso]]+TablaDatos[[#This Row],[DiasNuevo]]</f>
        <v>45190</v>
      </c>
    </row>
    <row r="4156" spans="1:15">
      <c r="A4156">
        <v>4155</v>
      </c>
      <c r="B4156" t="s">
        <v>254</v>
      </c>
      <c r="C4156" s="1">
        <v>40178</v>
      </c>
      <c r="D4156">
        <v>16</v>
      </c>
      <c r="E4156" s="4" t="s">
        <v>12</v>
      </c>
      <c r="F4156" t="s">
        <v>295</v>
      </c>
      <c r="G4156" s="1">
        <v>45053</v>
      </c>
      <c r="H4156" s="1">
        <f>TablaDatos[[#This Row],[FechaIngreso]]+TablaDatos[[#This Row],[DiasNuevo]]</f>
        <v>45060</v>
      </c>
      <c r="I4156">
        <v>7</v>
      </c>
      <c r="J4156" t="s">
        <v>25</v>
      </c>
      <c r="K4156" s="3">
        <v>12572.87</v>
      </c>
      <c r="L4156" t="b">
        <f>TablaDatos[[#This Row],[FechaAlta]] &lt; TablaDatos[[#This Row],[FechaIngreso]]</f>
        <v>0</v>
      </c>
      <c r="M4156">
        <f>_xlfn.XLOOKUP(TablaDatos[[#This Row],[PacienteID]],'Datos_Ejemplo.csv'!A:A,'Datos_Ejemplo.csv'!I:I)</f>
        <v>7</v>
      </c>
      <c r="N4156">
        <f>ABS(TablaDatos[[#This Row],[DiasOriginal]])</f>
        <v>7</v>
      </c>
      <c r="O4156" s="1">
        <f>TablaDatos[[#This Row],[FechaIngreso]]+TablaDatos[[#This Row],[DiasNuevo]]</f>
        <v>45060</v>
      </c>
    </row>
    <row r="4157" spans="1:15">
      <c r="A4157">
        <v>4156</v>
      </c>
      <c r="B4157" t="s">
        <v>291</v>
      </c>
      <c r="C4157" s="1">
        <v>30682</v>
      </c>
      <c r="D4157">
        <v>42</v>
      </c>
      <c r="E4157" s="4" t="s">
        <v>12</v>
      </c>
      <c r="F4157" t="s">
        <v>32</v>
      </c>
      <c r="G4157" s="1">
        <v>45425</v>
      </c>
      <c r="H4157" s="1">
        <f>TablaDatos[[#This Row],[FechaIngreso]]+TablaDatos[[#This Row],[DiasNuevo]]</f>
        <v>45431</v>
      </c>
      <c r="I4157">
        <v>6</v>
      </c>
      <c r="J4157" t="s">
        <v>19</v>
      </c>
      <c r="K4157" s="3">
        <v>6262.55</v>
      </c>
      <c r="L4157" t="b">
        <f>TablaDatos[[#This Row],[FechaAlta]] &lt; TablaDatos[[#This Row],[FechaIngreso]]</f>
        <v>0</v>
      </c>
      <c r="M4157">
        <f>_xlfn.XLOOKUP(TablaDatos[[#This Row],[PacienteID]],'Datos_Ejemplo.csv'!A:A,'Datos_Ejemplo.csv'!I:I)</f>
        <v>6</v>
      </c>
      <c r="N4157">
        <f>ABS(TablaDatos[[#This Row],[DiasOriginal]])</f>
        <v>6</v>
      </c>
      <c r="O4157" s="1">
        <f>TablaDatos[[#This Row],[FechaIngreso]]+TablaDatos[[#This Row],[DiasNuevo]]</f>
        <v>45431</v>
      </c>
    </row>
    <row r="4158" spans="1:15">
      <c r="A4158">
        <v>4157</v>
      </c>
      <c r="B4158" t="s">
        <v>366</v>
      </c>
      <c r="C4158" s="1">
        <v>17168</v>
      </c>
      <c r="D4158">
        <v>79</v>
      </c>
      <c r="E4158" s="4" t="s">
        <v>12</v>
      </c>
      <c r="F4158" t="s">
        <v>32</v>
      </c>
      <c r="G4158" s="1">
        <v>44972</v>
      </c>
      <c r="H4158" s="1">
        <f>TablaDatos[[#This Row],[FechaIngreso]]+TablaDatos[[#This Row],[DiasNuevo]]</f>
        <v>44998</v>
      </c>
      <c r="I4158">
        <v>26</v>
      </c>
      <c r="J4158" t="s">
        <v>23</v>
      </c>
      <c r="K4158" s="3">
        <v>14701.16</v>
      </c>
      <c r="L4158" t="b">
        <f>TablaDatos[[#This Row],[FechaAlta]] &lt; TablaDatos[[#This Row],[FechaIngreso]]</f>
        <v>0</v>
      </c>
      <c r="M4158">
        <f>_xlfn.XLOOKUP(TablaDatos[[#This Row],[PacienteID]],'Datos_Ejemplo.csv'!A:A,'Datos_Ejemplo.csv'!I:I)</f>
        <v>26</v>
      </c>
      <c r="N4158">
        <f>ABS(TablaDatos[[#This Row],[DiasOriginal]])</f>
        <v>26</v>
      </c>
      <c r="O4158" s="1">
        <f>TablaDatos[[#This Row],[FechaIngreso]]+TablaDatos[[#This Row],[DiasNuevo]]</f>
        <v>44998</v>
      </c>
    </row>
    <row r="4159" spans="1:15">
      <c r="A4159">
        <v>4158</v>
      </c>
      <c r="B4159" t="s">
        <v>240</v>
      </c>
      <c r="C4159" s="1">
        <v>22281</v>
      </c>
      <c r="D4159">
        <v>65</v>
      </c>
      <c r="E4159" s="4" t="s">
        <v>15</v>
      </c>
      <c r="F4159" t="s">
        <v>261</v>
      </c>
      <c r="G4159" s="1">
        <v>45194</v>
      </c>
      <c r="H4159" s="1">
        <f>TablaDatos[[#This Row],[FechaIngreso]]+TablaDatos[[#This Row],[DiasNuevo]]</f>
        <v>45231</v>
      </c>
      <c r="I4159">
        <v>37</v>
      </c>
      <c r="J4159" t="s">
        <v>25</v>
      </c>
      <c r="K4159" s="3">
        <v>822.89</v>
      </c>
      <c r="L4159" t="b">
        <f>TablaDatos[[#This Row],[FechaAlta]] &lt; TablaDatos[[#This Row],[FechaIngreso]]</f>
        <v>0</v>
      </c>
      <c r="M4159">
        <f>_xlfn.XLOOKUP(TablaDatos[[#This Row],[PacienteID]],'Datos_Ejemplo.csv'!A:A,'Datos_Ejemplo.csv'!I:I)</f>
        <v>37</v>
      </c>
      <c r="N4159">
        <f>ABS(TablaDatos[[#This Row],[DiasOriginal]])</f>
        <v>37</v>
      </c>
      <c r="O4159" s="1">
        <f>TablaDatos[[#This Row],[FechaIngreso]]+TablaDatos[[#This Row],[DiasNuevo]]</f>
        <v>45231</v>
      </c>
    </row>
    <row r="4160" spans="1:15">
      <c r="A4160">
        <v>4159</v>
      </c>
      <c r="B4160" t="s">
        <v>368</v>
      </c>
      <c r="C4160" s="1">
        <v>33969</v>
      </c>
      <c r="D4160">
        <v>33</v>
      </c>
      <c r="E4160" s="4" t="s">
        <v>12</v>
      </c>
      <c r="F4160" t="s">
        <v>261</v>
      </c>
      <c r="G4160" s="1">
        <v>45566</v>
      </c>
      <c r="H4160" s="1">
        <f>TablaDatos[[#This Row],[FechaIngreso]]+TablaDatos[[#This Row],[DiasNuevo]]</f>
        <v>45600</v>
      </c>
      <c r="I4160">
        <v>34</v>
      </c>
      <c r="J4160" t="s">
        <v>23</v>
      </c>
      <c r="K4160" s="3">
        <v>4255.7</v>
      </c>
      <c r="L4160" t="b">
        <f>TablaDatos[[#This Row],[FechaAlta]] &lt; TablaDatos[[#This Row],[FechaIngreso]]</f>
        <v>0</v>
      </c>
      <c r="M4160">
        <f>_xlfn.XLOOKUP(TablaDatos[[#This Row],[PacienteID]],'Datos_Ejemplo.csv'!A:A,'Datos_Ejemplo.csv'!I:I)</f>
        <v>34</v>
      </c>
      <c r="N4160">
        <f>ABS(TablaDatos[[#This Row],[DiasOriginal]])</f>
        <v>34</v>
      </c>
      <c r="O4160" s="1">
        <f>TablaDatos[[#This Row],[FechaIngreso]]+TablaDatos[[#This Row],[DiasNuevo]]</f>
        <v>45600</v>
      </c>
    </row>
    <row r="4161" spans="1:15">
      <c r="A4161">
        <v>4160</v>
      </c>
      <c r="B4161" t="s">
        <v>263</v>
      </c>
      <c r="C4161" s="1">
        <v>43466</v>
      </c>
      <c r="D4161">
        <v>7</v>
      </c>
      <c r="E4161" s="4" t="s">
        <v>15</v>
      </c>
      <c r="F4161" t="s">
        <v>21</v>
      </c>
      <c r="G4161" s="1">
        <v>45468</v>
      </c>
      <c r="H4161" s="1">
        <f>TablaDatos[[#This Row],[FechaIngreso]]+TablaDatos[[#This Row],[DiasNuevo]]</f>
        <v>45484</v>
      </c>
      <c r="I4161">
        <v>16</v>
      </c>
      <c r="J4161" t="s">
        <v>23</v>
      </c>
      <c r="K4161" s="3">
        <v>8100.87</v>
      </c>
      <c r="L4161" t="b">
        <f>TablaDatos[[#This Row],[FechaAlta]] &lt; TablaDatos[[#This Row],[FechaIngreso]]</f>
        <v>0</v>
      </c>
      <c r="M4161">
        <f>_xlfn.XLOOKUP(TablaDatos[[#This Row],[PacienteID]],'Datos_Ejemplo.csv'!A:A,'Datos_Ejemplo.csv'!I:I)</f>
        <v>16</v>
      </c>
      <c r="N4161">
        <f>ABS(TablaDatos[[#This Row],[DiasOriginal]])</f>
        <v>16</v>
      </c>
      <c r="O4161" s="1">
        <f>TablaDatos[[#This Row],[FechaIngreso]]+TablaDatos[[#This Row],[DiasNuevo]]</f>
        <v>45484</v>
      </c>
    </row>
    <row r="4162" spans="1:15">
      <c r="A4162">
        <v>4161</v>
      </c>
      <c r="B4162" t="s">
        <v>335</v>
      </c>
      <c r="C4162" s="1">
        <v>41639</v>
      </c>
      <c r="D4162">
        <v>12</v>
      </c>
      <c r="E4162" s="4" t="s">
        <v>15</v>
      </c>
      <c r="F4162" t="s">
        <v>13</v>
      </c>
      <c r="G4162" s="1">
        <v>45020</v>
      </c>
      <c r="H4162" s="1">
        <f>TablaDatos[[#This Row],[FechaIngreso]]+TablaDatos[[#This Row],[DiasNuevo]]</f>
        <v>45030</v>
      </c>
      <c r="I4162">
        <v>10</v>
      </c>
      <c r="J4162" t="s">
        <v>19</v>
      </c>
      <c r="K4162" s="3">
        <v>7591.3</v>
      </c>
      <c r="L4162" t="b">
        <f>TablaDatos[[#This Row],[FechaAlta]] &lt; TablaDatos[[#This Row],[FechaIngreso]]</f>
        <v>0</v>
      </c>
      <c r="M4162">
        <f>_xlfn.XLOOKUP(TablaDatos[[#This Row],[PacienteID]],'Datos_Ejemplo.csv'!A:A,'Datos_Ejemplo.csv'!I:I)</f>
        <v>10</v>
      </c>
      <c r="N4162">
        <f>ABS(TablaDatos[[#This Row],[DiasOriginal]])</f>
        <v>10</v>
      </c>
      <c r="O4162" s="1">
        <f>TablaDatos[[#This Row],[FechaIngreso]]+TablaDatos[[#This Row],[DiasNuevo]]</f>
        <v>45030</v>
      </c>
    </row>
    <row r="4163" spans="1:15">
      <c r="A4163">
        <v>4162</v>
      </c>
      <c r="B4163" t="s">
        <v>263</v>
      </c>
      <c r="C4163" s="1">
        <v>43466</v>
      </c>
      <c r="D4163">
        <v>7</v>
      </c>
      <c r="E4163" s="4" t="s">
        <v>12</v>
      </c>
      <c r="F4163" t="s">
        <v>18</v>
      </c>
      <c r="G4163" s="1">
        <v>45242</v>
      </c>
      <c r="H4163" s="1">
        <f>TablaDatos[[#This Row],[FechaIngreso]]+TablaDatos[[#This Row],[DiasNuevo]]</f>
        <v>45279</v>
      </c>
      <c r="I4163">
        <v>37</v>
      </c>
      <c r="J4163" t="s">
        <v>19</v>
      </c>
      <c r="K4163" s="3">
        <v>2533.0700000000002</v>
      </c>
      <c r="L4163" t="b">
        <f>TablaDatos[[#This Row],[FechaAlta]] &lt; TablaDatos[[#This Row],[FechaIngreso]]</f>
        <v>0</v>
      </c>
      <c r="M4163">
        <f>_xlfn.XLOOKUP(TablaDatos[[#This Row],[PacienteID]],'Datos_Ejemplo.csv'!A:A,'Datos_Ejemplo.csv'!I:I)</f>
        <v>37</v>
      </c>
      <c r="N4163">
        <f>ABS(TablaDatos[[#This Row],[DiasOriginal]])</f>
        <v>37</v>
      </c>
      <c r="O4163" s="1">
        <f>TablaDatos[[#This Row],[FechaIngreso]]+TablaDatos[[#This Row],[DiasNuevo]]</f>
        <v>45279</v>
      </c>
    </row>
    <row r="4164" spans="1:15">
      <c r="A4164">
        <v>4163</v>
      </c>
      <c r="B4164" t="s">
        <v>240</v>
      </c>
      <c r="C4164" s="1">
        <v>12054</v>
      </c>
      <c r="D4164">
        <v>93</v>
      </c>
      <c r="E4164" s="4" t="s">
        <v>15</v>
      </c>
      <c r="F4164" t="s">
        <v>295</v>
      </c>
      <c r="G4164" s="1">
        <v>45538</v>
      </c>
      <c r="H4164" s="1">
        <f>TablaDatos[[#This Row],[FechaIngreso]]+TablaDatos[[#This Row],[DiasNuevo]]</f>
        <v>45551</v>
      </c>
      <c r="I4164">
        <v>13</v>
      </c>
      <c r="J4164" t="s">
        <v>25</v>
      </c>
      <c r="K4164" s="3">
        <v>19882.150000000001</v>
      </c>
      <c r="L4164" t="b">
        <f>TablaDatos[[#This Row],[FechaAlta]] &lt; TablaDatos[[#This Row],[FechaIngreso]]</f>
        <v>0</v>
      </c>
      <c r="M4164">
        <f>_xlfn.XLOOKUP(TablaDatos[[#This Row],[PacienteID]],'Datos_Ejemplo.csv'!A:A,'Datos_Ejemplo.csv'!I:I)</f>
        <v>13</v>
      </c>
      <c r="N4164">
        <f>ABS(TablaDatos[[#This Row],[DiasOriginal]])</f>
        <v>13</v>
      </c>
      <c r="O4164" s="1">
        <f>TablaDatos[[#This Row],[FechaIngreso]]+TablaDatos[[#This Row],[DiasNuevo]]</f>
        <v>45551</v>
      </c>
    </row>
    <row r="4165" spans="1:15">
      <c r="A4165">
        <v>4164</v>
      </c>
      <c r="B4165" t="s">
        <v>130</v>
      </c>
      <c r="C4165" s="1">
        <v>12054</v>
      </c>
      <c r="D4165">
        <v>93</v>
      </c>
      <c r="E4165" s="4" t="s">
        <v>197</v>
      </c>
      <c r="F4165" t="s">
        <v>32</v>
      </c>
      <c r="G4165" s="1">
        <v>44997</v>
      </c>
      <c r="H4165" s="1">
        <f>TablaDatos[[#This Row],[FechaIngreso]]+TablaDatos[[#This Row],[DiasNuevo]]</f>
        <v>45024</v>
      </c>
      <c r="I4165">
        <v>27</v>
      </c>
      <c r="J4165" t="s">
        <v>23</v>
      </c>
      <c r="K4165" s="3">
        <v>5617.24</v>
      </c>
      <c r="L4165" t="b">
        <f>TablaDatos[[#This Row],[FechaAlta]] &lt; TablaDatos[[#This Row],[FechaIngreso]]</f>
        <v>0</v>
      </c>
      <c r="M4165">
        <f>_xlfn.XLOOKUP(TablaDatos[[#This Row],[PacienteID]],'Datos_Ejemplo.csv'!A:A,'Datos_Ejemplo.csv'!I:I)</f>
        <v>27</v>
      </c>
      <c r="N4165">
        <f>ABS(TablaDatos[[#This Row],[DiasOriginal]])</f>
        <v>27</v>
      </c>
      <c r="O4165" s="1">
        <f>TablaDatos[[#This Row],[FechaIngreso]]+TablaDatos[[#This Row],[DiasNuevo]]</f>
        <v>45024</v>
      </c>
    </row>
    <row r="4166" spans="1:15">
      <c r="A4166">
        <v>4165</v>
      </c>
      <c r="B4166" t="s">
        <v>162</v>
      </c>
      <c r="C4166" s="1">
        <v>22646</v>
      </c>
      <c r="D4166">
        <v>64</v>
      </c>
      <c r="E4166" s="4" t="s">
        <v>15</v>
      </c>
      <c r="F4166" t="s">
        <v>295</v>
      </c>
      <c r="G4166" s="1">
        <v>45519</v>
      </c>
      <c r="H4166" s="1">
        <f>TablaDatos[[#This Row],[FechaIngreso]]+TablaDatos[[#This Row],[DiasNuevo]]</f>
        <v>45521</v>
      </c>
      <c r="I4166">
        <v>2</v>
      </c>
      <c r="J4166" t="s">
        <v>19</v>
      </c>
      <c r="K4166" s="3">
        <v>14392.74</v>
      </c>
      <c r="L4166" t="b">
        <f>TablaDatos[[#This Row],[FechaAlta]] &lt; TablaDatos[[#This Row],[FechaIngreso]]</f>
        <v>0</v>
      </c>
      <c r="M4166">
        <f>_xlfn.XLOOKUP(TablaDatos[[#This Row],[PacienteID]],'Datos_Ejemplo.csv'!A:A,'Datos_Ejemplo.csv'!I:I)</f>
        <v>2</v>
      </c>
      <c r="N4166">
        <f>ABS(TablaDatos[[#This Row],[DiasOriginal]])</f>
        <v>2</v>
      </c>
      <c r="O4166" s="1">
        <f>TablaDatos[[#This Row],[FechaIngreso]]+TablaDatos[[#This Row],[DiasNuevo]]</f>
        <v>45521</v>
      </c>
    </row>
    <row r="4167" spans="1:15">
      <c r="A4167">
        <v>4166</v>
      </c>
      <c r="B4167" t="s">
        <v>103</v>
      </c>
      <c r="C4167" s="1">
        <v>30682</v>
      </c>
      <c r="D4167">
        <v>42</v>
      </c>
      <c r="E4167" s="4" t="s">
        <v>12</v>
      </c>
      <c r="F4167" t="s">
        <v>13</v>
      </c>
      <c r="G4167" s="1">
        <v>45375</v>
      </c>
      <c r="H4167" s="1">
        <f>TablaDatos[[#This Row],[FechaIngreso]]+TablaDatos[[#This Row],[DiasNuevo]]</f>
        <v>45405</v>
      </c>
      <c r="I4167">
        <v>30</v>
      </c>
      <c r="J4167" t="s">
        <v>19</v>
      </c>
      <c r="K4167" s="3">
        <v>4322.54</v>
      </c>
      <c r="L4167" t="b">
        <f>TablaDatos[[#This Row],[FechaAlta]] &lt; TablaDatos[[#This Row],[FechaIngreso]]</f>
        <v>0</v>
      </c>
      <c r="M4167">
        <f>_xlfn.XLOOKUP(TablaDatos[[#This Row],[PacienteID]],'Datos_Ejemplo.csv'!A:A,'Datos_Ejemplo.csv'!I:I)</f>
        <v>30</v>
      </c>
      <c r="N4167">
        <f>ABS(TablaDatos[[#This Row],[DiasOriginal]])</f>
        <v>30</v>
      </c>
      <c r="O4167" s="1">
        <f>TablaDatos[[#This Row],[FechaIngreso]]+TablaDatos[[#This Row],[DiasNuevo]]</f>
        <v>45405</v>
      </c>
    </row>
    <row r="4168" spans="1:15">
      <c r="A4168">
        <v>4167</v>
      </c>
      <c r="B4168" t="s">
        <v>266</v>
      </c>
      <c r="C4168" s="1">
        <v>32143</v>
      </c>
      <c r="D4168">
        <f ca="1">DATEDIF(TablaDatos[[#This Row],[FechaNacimiento]],TODAY(),"Y")</f>
        <v>38</v>
      </c>
      <c r="E4168" s="4" t="s">
        <v>15</v>
      </c>
      <c r="F4168" t="s">
        <v>13</v>
      </c>
      <c r="G4168" s="1">
        <v>45293</v>
      </c>
      <c r="H4168" s="1">
        <f>TablaDatos[[#This Row],[FechaIngreso]]+TablaDatos[[#This Row],[DiasNuevo]]</f>
        <v>45309</v>
      </c>
      <c r="I4168">
        <v>16</v>
      </c>
      <c r="J4168" t="s">
        <v>23</v>
      </c>
      <c r="K4168" s="3">
        <v>17544.810000000001</v>
      </c>
      <c r="L4168" t="b">
        <f>TablaDatos[[#This Row],[FechaAlta]] &lt; TablaDatos[[#This Row],[FechaIngreso]]</f>
        <v>0</v>
      </c>
      <c r="M4168">
        <f>_xlfn.XLOOKUP(TablaDatos[[#This Row],[PacienteID]],'Datos_Ejemplo.csv'!A:A,'Datos_Ejemplo.csv'!I:I)</f>
        <v>16</v>
      </c>
      <c r="N4168">
        <f>ABS(TablaDatos[[#This Row],[DiasOriginal]])</f>
        <v>16</v>
      </c>
      <c r="O4168" s="1">
        <f>TablaDatos[[#This Row],[FechaIngreso]]+TablaDatos[[#This Row],[DiasNuevo]]</f>
        <v>45309</v>
      </c>
    </row>
    <row r="4169" spans="1:15">
      <c r="A4169">
        <v>4168</v>
      </c>
      <c r="B4169" t="s">
        <v>103</v>
      </c>
      <c r="C4169" s="1">
        <v>16802</v>
      </c>
      <c r="D4169">
        <v>80</v>
      </c>
      <c r="E4169" s="4" t="s">
        <v>12</v>
      </c>
      <c r="F4169" t="s">
        <v>18</v>
      </c>
      <c r="G4169" s="1">
        <v>45546</v>
      </c>
      <c r="H4169" s="1">
        <f>TablaDatos[[#This Row],[FechaIngreso]]+TablaDatos[[#This Row],[DiasNuevo]]</f>
        <v>45562</v>
      </c>
      <c r="I4169">
        <v>16</v>
      </c>
      <c r="J4169" t="s">
        <v>25</v>
      </c>
      <c r="K4169" s="3">
        <v>7693.94</v>
      </c>
      <c r="L4169" t="b">
        <f>TablaDatos[[#This Row],[FechaAlta]] &lt; TablaDatos[[#This Row],[FechaIngreso]]</f>
        <v>0</v>
      </c>
      <c r="M4169">
        <f>_xlfn.XLOOKUP(TablaDatos[[#This Row],[PacienteID]],'Datos_Ejemplo.csv'!A:A,'Datos_Ejemplo.csv'!I:I)</f>
        <v>16</v>
      </c>
      <c r="N4169">
        <f>ABS(TablaDatos[[#This Row],[DiasOriginal]])</f>
        <v>16</v>
      </c>
      <c r="O4169" s="1">
        <f>TablaDatos[[#This Row],[FechaIngreso]]+TablaDatos[[#This Row],[DiasNuevo]]</f>
        <v>45562</v>
      </c>
    </row>
    <row r="4170" spans="1:15">
      <c r="A4170">
        <v>4169</v>
      </c>
      <c r="B4170" t="s">
        <v>240</v>
      </c>
      <c r="C4170" s="1">
        <v>24838</v>
      </c>
      <c r="D4170">
        <v>58</v>
      </c>
      <c r="E4170" s="4" t="s">
        <v>12</v>
      </c>
      <c r="F4170" t="s">
        <v>201</v>
      </c>
      <c r="G4170" s="1">
        <v>45540</v>
      </c>
      <c r="H4170" s="1">
        <f>TablaDatos[[#This Row],[FechaIngreso]]+TablaDatos[[#This Row],[DiasNuevo]]</f>
        <v>45554</v>
      </c>
      <c r="I4170">
        <v>14</v>
      </c>
      <c r="J4170" t="s">
        <v>19</v>
      </c>
      <c r="K4170" s="3">
        <v>18008.14</v>
      </c>
      <c r="L4170" t="b">
        <f>TablaDatos[[#This Row],[FechaAlta]] &lt; TablaDatos[[#This Row],[FechaIngreso]]</f>
        <v>0</v>
      </c>
      <c r="M4170">
        <f>_xlfn.XLOOKUP(TablaDatos[[#This Row],[PacienteID]],'Datos_Ejemplo.csv'!A:A,'Datos_Ejemplo.csv'!I:I)</f>
        <v>14</v>
      </c>
      <c r="N4170">
        <f>ABS(TablaDatos[[#This Row],[DiasOriginal]])</f>
        <v>14</v>
      </c>
      <c r="O4170" s="1">
        <f>TablaDatos[[#This Row],[FechaIngreso]]+TablaDatos[[#This Row],[DiasNuevo]]</f>
        <v>45554</v>
      </c>
    </row>
    <row r="4171" spans="1:15">
      <c r="A4171">
        <v>4170</v>
      </c>
      <c r="B4171" t="s">
        <v>262</v>
      </c>
      <c r="C4171" s="1">
        <v>15707</v>
      </c>
      <c r="D4171">
        <v>83</v>
      </c>
      <c r="E4171" s="4" t="s">
        <v>12</v>
      </c>
      <c r="F4171" t="s">
        <v>18</v>
      </c>
      <c r="G4171" s="1">
        <v>45336</v>
      </c>
      <c r="H4171" s="1">
        <f>TablaDatos[[#This Row],[FechaIngreso]]+TablaDatos[[#This Row],[DiasNuevo]]</f>
        <v>45357</v>
      </c>
      <c r="I4171">
        <v>21</v>
      </c>
      <c r="J4171" t="s">
        <v>25</v>
      </c>
      <c r="K4171" s="3">
        <v>6770.88</v>
      </c>
      <c r="L4171" t="b">
        <f>TablaDatos[[#This Row],[FechaAlta]] &lt; TablaDatos[[#This Row],[FechaIngreso]]</f>
        <v>0</v>
      </c>
      <c r="M4171">
        <f>_xlfn.XLOOKUP(TablaDatos[[#This Row],[PacienteID]],'Datos_Ejemplo.csv'!A:A,'Datos_Ejemplo.csv'!I:I)</f>
        <v>21</v>
      </c>
      <c r="N4171">
        <f>ABS(TablaDatos[[#This Row],[DiasOriginal]])</f>
        <v>21</v>
      </c>
      <c r="O4171" s="1">
        <f>TablaDatos[[#This Row],[FechaIngreso]]+TablaDatos[[#This Row],[DiasNuevo]]</f>
        <v>45357</v>
      </c>
    </row>
    <row r="4172" spans="1:15">
      <c r="A4172">
        <v>4171</v>
      </c>
      <c r="B4172" t="s">
        <v>309</v>
      </c>
      <c r="C4172" s="1">
        <v>14246</v>
      </c>
      <c r="D4172">
        <v>87</v>
      </c>
      <c r="E4172" s="4" t="s">
        <v>15</v>
      </c>
      <c r="F4172" t="s">
        <v>32</v>
      </c>
      <c r="G4172" s="1">
        <v>45017</v>
      </c>
      <c r="H4172" s="1">
        <f>TablaDatos[[#This Row],[FechaIngreso]]+TablaDatos[[#This Row],[DiasNuevo]]</f>
        <v>45042</v>
      </c>
      <c r="I4172">
        <v>25</v>
      </c>
      <c r="J4172" t="s">
        <v>23</v>
      </c>
      <c r="K4172" s="3">
        <v>73.739999999999995</v>
      </c>
      <c r="L4172" t="b">
        <f>TablaDatos[[#This Row],[FechaAlta]] &lt; TablaDatos[[#This Row],[FechaIngreso]]</f>
        <v>0</v>
      </c>
      <c r="M4172">
        <f>_xlfn.XLOOKUP(TablaDatos[[#This Row],[PacienteID]],'Datos_Ejemplo.csv'!A:A,'Datos_Ejemplo.csv'!I:I)</f>
        <v>25</v>
      </c>
      <c r="N4172">
        <f>ABS(TablaDatos[[#This Row],[DiasOriginal]])</f>
        <v>25</v>
      </c>
      <c r="O4172" s="1">
        <f>TablaDatos[[#This Row],[FechaIngreso]]+TablaDatos[[#This Row],[DiasNuevo]]</f>
        <v>45042</v>
      </c>
    </row>
    <row r="4173" spans="1:15">
      <c r="A4173">
        <v>4172</v>
      </c>
      <c r="B4173" t="s">
        <v>257</v>
      </c>
      <c r="C4173" s="1">
        <f ca="1">DATE(YEAR(TODAY())-TablaDatos[[#This Row],[Edad]],1,1)</f>
        <v>14977</v>
      </c>
      <c r="D4173">
        <v>85</v>
      </c>
      <c r="E4173" s="4" t="s">
        <v>12</v>
      </c>
      <c r="F4173" t="s">
        <v>261</v>
      </c>
      <c r="G4173" s="1">
        <v>45435</v>
      </c>
      <c r="H4173" s="1">
        <f>TablaDatos[[#This Row],[FechaIngreso]]+TablaDatos[[#This Row],[DiasNuevo]]</f>
        <v>45474</v>
      </c>
      <c r="I4173">
        <v>39</v>
      </c>
      <c r="J4173" t="s">
        <v>25</v>
      </c>
      <c r="K4173" s="3">
        <v>10292.11</v>
      </c>
      <c r="L4173" t="b">
        <f>TablaDatos[[#This Row],[FechaAlta]] &lt; TablaDatos[[#This Row],[FechaIngreso]]</f>
        <v>0</v>
      </c>
      <c r="M4173">
        <f>_xlfn.XLOOKUP(TablaDatos[[#This Row],[PacienteID]],'Datos_Ejemplo.csv'!A:A,'Datos_Ejemplo.csv'!I:I)</f>
        <v>39</v>
      </c>
      <c r="N4173">
        <f>ABS(TablaDatos[[#This Row],[DiasOriginal]])</f>
        <v>39</v>
      </c>
      <c r="O4173" s="1">
        <f>TablaDatos[[#This Row],[FechaIngreso]]+TablaDatos[[#This Row],[DiasNuevo]]</f>
        <v>45474</v>
      </c>
    </row>
    <row r="4174" spans="1:15">
      <c r="A4174">
        <v>4173</v>
      </c>
      <c r="B4174" t="s">
        <v>307</v>
      </c>
      <c r="C4174" s="1">
        <v>12419</v>
      </c>
      <c r="D4174">
        <f ca="1">DATEDIF(TablaDatos[[#This Row],[FechaNacimiento]],TODAY(),"Y")</f>
        <v>92</v>
      </c>
      <c r="E4174" s="4" t="s">
        <v>15</v>
      </c>
      <c r="F4174" t="s">
        <v>201</v>
      </c>
      <c r="G4174" s="1">
        <v>45454</v>
      </c>
      <c r="H4174" s="1">
        <f>TablaDatos[[#This Row],[FechaIngreso]]+TablaDatos[[#This Row],[DiasNuevo]]</f>
        <v>45488</v>
      </c>
      <c r="I4174">
        <v>34</v>
      </c>
      <c r="J4174" t="s">
        <v>19</v>
      </c>
      <c r="K4174" s="3">
        <v>10448.24</v>
      </c>
      <c r="L4174" t="b">
        <f>TablaDatos[[#This Row],[FechaAlta]] &lt; TablaDatos[[#This Row],[FechaIngreso]]</f>
        <v>0</v>
      </c>
      <c r="M4174">
        <f>_xlfn.XLOOKUP(TablaDatos[[#This Row],[PacienteID]],'Datos_Ejemplo.csv'!A:A,'Datos_Ejemplo.csv'!I:I)</f>
        <v>34</v>
      </c>
      <c r="N4174">
        <f>ABS(TablaDatos[[#This Row],[DiasOriginal]])</f>
        <v>34</v>
      </c>
      <c r="O4174" s="1">
        <f>TablaDatos[[#This Row],[FechaIngreso]]+TablaDatos[[#This Row],[DiasNuevo]]</f>
        <v>45488</v>
      </c>
    </row>
    <row r="4175" spans="1:15">
      <c r="A4175">
        <v>4174</v>
      </c>
      <c r="B4175" t="s">
        <v>152</v>
      </c>
      <c r="C4175" s="1">
        <f ca="1">DATE(YEAR(TODAY())-TablaDatos[[#This Row],[Edad]],1,1)</f>
        <v>14977</v>
      </c>
      <c r="D4175">
        <v>85</v>
      </c>
      <c r="E4175" s="4" t="s">
        <v>15</v>
      </c>
      <c r="F4175" t="s">
        <v>18</v>
      </c>
      <c r="G4175" s="1">
        <v>45036</v>
      </c>
      <c r="H4175" s="1">
        <f>TablaDatos[[#This Row],[FechaIngreso]]+TablaDatos[[#This Row],[DiasNuevo]]</f>
        <v>45055</v>
      </c>
      <c r="I4175">
        <v>19</v>
      </c>
      <c r="J4175" t="s">
        <v>23</v>
      </c>
      <c r="K4175" s="3">
        <v>2308.67</v>
      </c>
      <c r="L4175" t="b">
        <f>TablaDatos[[#This Row],[FechaAlta]] &lt; TablaDatos[[#This Row],[FechaIngreso]]</f>
        <v>0</v>
      </c>
      <c r="M4175">
        <f>_xlfn.XLOOKUP(TablaDatos[[#This Row],[PacienteID]],'Datos_Ejemplo.csv'!A:A,'Datos_Ejemplo.csv'!I:I)</f>
        <v>19</v>
      </c>
      <c r="N4175">
        <f>ABS(TablaDatos[[#This Row],[DiasOriginal]])</f>
        <v>19</v>
      </c>
      <c r="O4175" s="1">
        <f>TablaDatos[[#This Row],[FechaIngreso]]+TablaDatos[[#This Row],[DiasNuevo]]</f>
        <v>45055</v>
      </c>
    </row>
    <row r="4176" spans="1:15">
      <c r="A4176">
        <v>4175</v>
      </c>
      <c r="B4176" t="s">
        <v>293</v>
      </c>
      <c r="C4176" s="1">
        <v>30317</v>
      </c>
      <c r="D4176">
        <v>43</v>
      </c>
      <c r="E4176" s="4" t="s">
        <v>15</v>
      </c>
      <c r="F4176" t="s">
        <v>261</v>
      </c>
      <c r="G4176" s="1">
        <v>45598</v>
      </c>
      <c r="H4176" s="1">
        <f>TablaDatos[[#This Row],[FechaIngreso]]+TablaDatos[[#This Row],[DiasNuevo]]</f>
        <v>45634</v>
      </c>
      <c r="I4176">
        <v>36</v>
      </c>
      <c r="J4176" t="s">
        <v>25</v>
      </c>
      <c r="K4176" s="3">
        <v>4622.7700000000004</v>
      </c>
      <c r="L4176" t="b">
        <f>TablaDatos[[#This Row],[FechaAlta]] &lt; TablaDatos[[#This Row],[FechaIngreso]]</f>
        <v>0</v>
      </c>
      <c r="M4176">
        <f>_xlfn.XLOOKUP(TablaDatos[[#This Row],[PacienteID]],'Datos_Ejemplo.csv'!A:A,'Datos_Ejemplo.csv'!I:I)</f>
        <v>36</v>
      </c>
      <c r="N4176">
        <f>ABS(TablaDatos[[#This Row],[DiasOriginal]])</f>
        <v>36</v>
      </c>
      <c r="O4176" s="1">
        <f>TablaDatos[[#This Row],[FechaIngreso]]+TablaDatos[[#This Row],[DiasNuevo]]</f>
        <v>45634</v>
      </c>
    </row>
    <row r="4177" spans="1:15">
      <c r="A4177">
        <v>4176</v>
      </c>
      <c r="B4177" t="s">
        <v>234</v>
      </c>
      <c r="C4177" s="1">
        <v>43100</v>
      </c>
      <c r="D4177">
        <v>8</v>
      </c>
      <c r="E4177" s="4" t="s">
        <v>12</v>
      </c>
      <c r="F4177" t="s">
        <v>201</v>
      </c>
      <c r="G4177" s="1">
        <v>45015</v>
      </c>
      <c r="H4177" s="1">
        <f>TablaDatos[[#This Row],[FechaIngreso]]+TablaDatos[[#This Row],[DiasNuevo]]</f>
        <v>45028</v>
      </c>
      <c r="I4177">
        <v>13</v>
      </c>
      <c r="J4177" t="s">
        <v>25</v>
      </c>
      <c r="K4177" s="3">
        <v>15648.26</v>
      </c>
      <c r="L4177" t="b">
        <f>TablaDatos[[#This Row],[FechaAlta]] &lt; TablaDatos[[#This Row],[FechaIngreso]]</f>
        <v>0</v>
      </c>
      <c r="M4177">
        <f>_xlfn.XLOOKUP(TablaDatos[[#This Row],[PacienteID]],'Datos_Ejemplo.csv'!A:A,'Datos_Ejemplo.csv'!I:I)</f>
        <v>13</v>
      </c>
      <c r="N4177">
        <f>ABS(TablaDatos[[#This Row],[DiasOriginal]])</f>
        <v>13</v>
      </c>
      <c r="O4177" s="1">
        <f>TablaDatos[[#This Row],[FechaIngreso]]+TablaDatos[[#This Row],[DiasNuevo]]</f>
        <v>45028</v>
      </c>
    </row>
    <row r="4178" spans="1:15">
      <c r="A4178">
        <v>4177</v>
      </c>
      <c r="B4178" t="s">
        <v>269</v>
      </c>
      <c r="C4178" s="1">
        <v>32873</v>
      </c>
      <c r="D4178">
        <v>36</v>
      </c>
      <c r="E4178" s="4" t="s">
        <v>15</v>
      </c>
      <c r="F4178" t="s">
        <v>261</v>
      </c>
      <c r="G4178" s="1">
        <v>45533</v>
      </c>
      <c r="H4178" s="1">
        <f>TablaDatos[[#This Row],[FechaIngreso]]+TablaDatos[[#This Row],[DiasNuevo]]</f>
        <v>45565</v>
      </c>
      <c r="I4178">
        <v>32</v>
      </c>
      <c r="J4178" t="s">
        <v>23</v>
      </c>
      <c r="K4178" s="3">
        <v>638.79</v>
      </c>
      <c r="L4178" t="b">
        <f>TablaDatos[[#This Row],[FechaAlta]] &lt; TablaDatos[[#This Row],[FechaIngreso]]</f>
        <v>0</v>
      </c>
      <c r="M4178">
        <f>_xlfn.XLOOKUP(TablaDatos[[#This Row],[PacienteID]],'Datos_Ejemplo.csv'!A:A,'Datos_Ejemplo.csv'!I:I)</f>
        <v>32</v>
      </c>
      <c r="N4178">
        <f>ABS(TablaDatos[[#This Row],[DiasOriginal]])</f>
        <v>32</v>
      </c>
      <c r="O4178" s="1">
        <f>TablaDatos[[#This Row],[FechaIngreso]]+TablaDatos[[#This Row],[DiasNuevo]]</f>
        <v>45565</v>
      </c>
    </row>
    <row r="4179" spans="1:15">
      <c r="A4179">
        <v>4178</v>
      </c>
      <c r="B4179" t="s">
        <v>122</v>
      </c>
      <c r="C4179" s="1">
        <v>19359</v>
      </c>
      <c r="D4179">
        <v>73</v>
      </c>
      <c r="E4179" s="4" t="s">
        <v>12</v>
      </c>
      <c r="F4179" t="s">
        <v>32</v>
      </c>
      <c r="G4179" s="1">
        <v>45198</v>
      </c>
      <c r="H4179" s="1">
        <f>TablaDatos[[#This Row],[FechaIngreso]]+TablaDatos[[#This Row],[DiasNuevo]]</f>
        <v>45222</v>
      </c>
      <c r="I4179">
        <v>24</v>
      </c>
      <c r="J4179" t="s">
        <v>23</v>
      </c>
      <c r="K4179" s="3">
        <v>9739.49</v>
      </c>
      <c r="L4179" t="b">
        <f>TablaDatos[[#This Row],[FechaAlta]] &lt; TablaDatos[[#This Row],[FechaIngreso]]</f>
        <v>0</v>
      </c>
      <c r="M4179">
        <f>_xlfn.XLOOKUP(TablaDatos[[#This Row],[PacienteID]],'Datos_Ejemplo.csv'!A:A,'Datos_Ejemplo.csv'!I:I)</f>
        <v>24</v>
      </c>
      <c r="N4179">
        <f>ABS(TablaDatos[[#This Row],[DiasOriginal]])</f>
        <v>24</v>
      </c>
      <c r="O4179" s="1">
        <f>TablaDatos[[#This Row],[FechaIngreso]]+TablaDatos[[#This Row],[DiasNuevo]]</f>
        <v>45222</v>
      </c>
    </row>
    <row r="4180" spans="1:15">
      <c r="A4180">
        <v>4179</v>
      </c>
      <c r="B4180" t="s">
        <v>289</v>
      </c>
      <c r="C4180" s="1">
        <v>33239</v>
      </c>
      <c r="D4180">
        <v>35</v>
      </c>
      <c r="E4180" s="4" t="s">
        <v>12</v>
      </c>
      <c r="F4180" t="s">
        <v>21</v>
      </c>
      <c r="G4180" s="1">
        <v>45173</v>
      </c>
      <c r="H4180" s="1">
        <f>TablaDatos[[#This Row],[FechaIngreso]]+TablaDatos[[#This Row],[DiasNuevo]]</f>
        <v>45182</v>
      </c>
      <c r="I4180">
        <v>9</v>
      </c>
      <c r="J4180" t="s">
        <v>25</v>
      </c>
      <c r="K4180" s="3">
        <v>10561.2</v>
      </c>
      <c r="L4180" t="b">
        <f>TablaDatos[[#This Row],[FechaAlta]] &lt; TablaDatos[[#This Row],[FechaIngreso]]</f>
        <v>0</v>
      </c>
      <c r="M4180">
        <f>_xlfn.XLOOKUP(TablaDatos[[#This Row],[PacienteID]],'Datos_Ejemplo.csv'!A:A,'Datos_Ejemplo.csv'!I:I)</f>
        <v>9</v>
      </c>
      <c r="N4180">
        <f>ABS(TablaDatos[[#This Row],[DiasOriginal]])</f>
        <v>9</v>
      </c>
      <c r="O4180" s="1">
        <f>TablaDatos[[#This Row],[FechaIngreso]]+TablaDatos[[#This Row],[DiasNuevo]]</f>
        <v>45182</v>
      </c>
    </row>
    <row r="4181" spans="1:15">
      <c r="A4181">
        <v>4180</v>
      </c>
      <c r="B4181" t="s">
        <v>349</v>
      </c>
      <c r="C4181" s="1">
        <v>12785</v>
      </c>
      <c r="D4181">
        <v>91</v>
      </c>
      <c r="E4181" s="4" t="s">
        <v>15</v>
      </c>
      <c r="F4181" t="s">
        <v>261</v>
      </c>
      <c r="G4181" s="1">
        <v>45287</v>
      </c>
      <c r="H4181" s="1">
        <f>TablaDatos[[#This Row],[FechaIngreso]]+TablaDatos[[#This Row],[DiasNuevo]]</f>
        <v>45312</v>
      </c>
      <c r="I4181">
        <v>25</v>
      </c>
      <c r="J4181" t="s">
        <v>23</v>
      </c>
      <c r="K4181" s="3">
        <v>13743.11</v>
      </c>
      <c r="L4181" t="b">
        <f>TablaDatos[[#This Row],[FechaAlta]] &lt; TablaDatos[[#This Row],[FechaIngreso]]</f>
        <v>0</v>
      </c>
      <c r="M4181">
        <f>_xlfn.XLOOKUP(TablaDatos[[#This Row],[PacienteID]],'Datos_Ejemplo.csv'!A:A,'Datos_Ejemplo.csv'!I:I)</f>
        <v>25</v>
      </c>
      <c r="N4181">
        <f>ABS(TablaDatos[[#This Row],[DiasOriginal]])</f>
        <v>25</v>
      </c>
      <c r="O4181" s="1">
        <f>TablaDatos[[#This Row],[FechaIngreso]]+TablaDatos[[#This Row],[DiasNuevo]]</f>
        <v>45312</v>
      </c>
    </row>
    <row r="4182" spans="1:15">
      <c r="A4182">
        <v>4181</v>
      </c>
      <c r="B4182" t="s">
        <v>360</v>
      </c>
      <c r="C4182" s="1">
        <v>36161</v>
      </c>
      <c r="D4182">
        <v>27</v>
      </c>
      <c r="E4182" s="4" t="s">
        <v>12</v>
      </c>
      <c r="F4182" t="s">
        <v>32</v>
      </c>
      <c r="G4182" s="1">
        <v>45304</v>
      </c>
      <c r="H4182" s="1">
        <f>TablaDatos[[#This Row],[FechaIngreso]]+TablaDatos[[#This Row],[DiasNuevo]]</f>
        <v>45306</v>
      </c>
      <c r="I4182">
        <v>2</v>
      </c>
      <c r="J4182" t="s">
        <v>19</v>
      </c>
      <c r="K4182" s="3">
        <v>652.87</v>
      </c>
      <c r="L4182" t="b">
        <f>TablaDatos[[#This Row],[FechaAlta]] &lt; TablaDatos[[#This Row],[FechaIngreso]]</f>
        <v>0</v>
      </c>
      <c r="M4182">
        <f>_xlfn.XLOOKUP(TablaDatos[[#This Row],[PacienteID]],'Datos_Ejemplo.csv'!A:A,'Datos_Ejemplo.csv'!I:I)</f>
        <v>-2</v>
      </c>
      <c r="N4182">
        <f>ABS(TablaDatos[[#This Row],[DiasOriginal]])</f>
        <v>2</v>
      </c>
      <c r="O4182" s="1">
        <f>TablaDatos[[#This Row],[FechaIngreso]]+TablaDatos[[#This Row],[DiasNuevo]]</f>
        <v>45306</v>
      </c>
    </row>
    <row r="4183" spans="1:15">
      <c r="A4183">
        <v>4182</v>
      </c>
      <c r="B4183" t="s">
        <v>252</v>
      </c>
      <c r="C4183" s="1">
        <f ca="1">DATE(YEAR(TODAY())-TablaDatos[[#This Row],[Edad]],1,1)</f>
        <v>31048</v>
      </c>
      <c r="D4183">
        <v>41</v>
      </c>
      <c r="E4183" s="4" t="s">
        <v>15</v>
      </c>
      <c r="F4183" t="s">
        <v>18</v>
      </c>
      <c r="G4183" s="1">
        <v>45132</v>
      </c>
      <c r="H4183" s="1">
        <f>TablaDatos[[#This Row],[FechaIngreso]]+TablaDatos[[#This Row],[DiasNuevo]]</f>
        <v>45168</v>
      </c>
      <c r="I4183">
        <v>36</v>
      </c>
      <c r="J4183" t="s">
        <v>23</v>
      </c>
      <c r="K4183" s="3">
        <v>11671.49</v>
      </c>
      <c r="L4183" t="b">
        <f>TablaDatos[[#This Row],[FechaAlta]] &lt; TablaDatos[[#This Row],[FechaIngreso]]</f>
        <v>0</v>
      </c>
      <c r="M4183">
        <f>_xlfn.XLOOKUP(TablaDatos[[#This Row],[PacienteID]],'Datos_Ejemplo.csv'!A:A,'Datos_Ejemplo.csv'!I:I)</f>
        <v>36</v>
      </c>
      <c r="N4183">
        <f>ABS(TablaDatos[[#This Row],[DiasOriginal]])</f>
        <v>36</v>
      </c>
      <c r="O4183" s="1">
        <f>TablaDatos[[#This Row],[FechaIngreso]]+TablaDatos[[#This Row],[DiasNuevo]]</f>
        <v>45168</v>
      </c>
    </row>
    <row r="4184" spans="1:15">
      <c r="A4184">
        <v>4183</v>
      </c>
      <c r="B4184" t="s">
        <v>260</v>
      </c>
      <c r="C4184" s="1">
        <v>30682</v>
      </c>
      <c r="D4184">
        <v>42</v>
      </c>
      <c r="E4184" s="4" t="s">
        <v>12</v>
      </c>
      <c r="F4184" t="s">
        <v>295</v>
      </c>
      <c r="G4184" s="1">
        <v>45271</v>
      </c>
      <c r="H4184" s="1">
        <f>TablaDatos[[#This Row],[FechaIngreso]]+TablaDatos[[#This Row],[DiasNuevo]]</f>
        <v>45286</v>
      </c>
      <c r="I4184">
        <v>15</v>
      </c>
      <c r="J4184" t="s">
        <v>19</v>
      </c>
      <c r="K4184" s="3">
        <v>-37.729999999999997</v>
      </c>
      <c r="L4184" t="b">
        <f>TablaDatos[[#This Row],[FechaAlta]] &lt; TablaDatos[[#This Row],[FechaIngreso]]</f>
        <v>0</v>
      </c>
      <c r="M4184">
        <f>_xlfn.XLOOKUP(TablaDatos[[#This Row],[PacienteID]],'Datos_Ejemplo.csv'!A:A,'Datos_Ejemplo.csv'!I:I)</f>
        <v>15</v>
      </c>
      <c r="N4184">
        <f>ABS(TablaDatos[[#This Row],[DiasOriginal]])</f>
        <v>15</v>
      </c>
      <c r="O4184" s="1">
        <f>TablaDatos[[#This Row],[FechaIngreso]]+TablaDatos[[#This Row],[DiasNuevo]]</f>
        <v>45286</v>
      </c>
    </row>
    <row r="4185" spans="1:15">
      <c r="A4185">
        <v>4184</v>
      </c>
      <c r="B4185" t="s">
        <v>356</v>
      </c>
      <c r="C4185" s="1">
        <v>15341</v>
      </c>
      <c r="D4185">
        <v>84</v>
      </c>
      <c r="E4185" s="4" t="s">
        <v>15</v>
      </c>
      <c r="F4185" t="s">
        <v>18</v>
      </c>
      <c r="G4185" s="1">
        <v>45381</v>
      </c>
      <c r="H4185" s="1">
        <f>TablaDatos[[#This Row],[FechaIngreso]]+TablaDatos[[#This Row],[DiasNuevo]]</f>
        <v>45401</v>
      </c>
      <c r="I4185">
        <v>20</v>
      </c>
      <c r="J4185" t="s">
        <v>23</v>
      </c>
      <c r="K4185" s="3">
        <v>5230.09</v>
      </c>
      <c r="L4185" t="b">
        <f>TablaDatos[[#This Row],[FechaAlta]] &lt; TablaDatos[[#This Row],[FechaIngreso]]</f>
        <v>0</v>
      </c>
      <c r="M4185">
        <f>_xlfn.XLOOKUP(TablaDatos[[#This Row],[PacienteID]],'Datos_Ejemplo.csv'!A:A,'Datos_Ejemplo.csv'!I:I)</f>
        <v>20</v>
      </c>
      <c r="N4185">
        <f>ABS(TablaDatos[[#This Row],[DiasOriginal]])</f>
        <v>20</v>
      </c>
      <c r="O4185" s="1">
        <f>TablaDatos[[#This Row],[FechaIngreso]]+TablaDatos[[#This Row],[DiasNuevo]]</f>
        <v>45401</v>
      </c>
    </row>
    <row r="4186" spans="1:15">
      <c r="A4186">
        <v>4185</v>
      </c>
      <c r="B4186" t="s">
        <v>367</v>
      </c>
      <c r="C4186" s="1">
        <v>14246</v>
      </c>
      <c r="D4186">
        <v>87</v>
      </c>
      <c r="E4186" s="4" t="s">
        <v>12</v>
      </c>
      <c r="F4186" t="s">
        <v>13</v>
      </c>
      <c r="G4186" s="1">
        <v>44993</v>
      </c>
      <c r="H4186" s="1">
        <f>TablaDatos[[#This Row],[FechaIngreso]]+TablaDatos[[#This Row],[DiasNuevo]]</f>
        <v>45012</v>
      </c>
      <c r="I4186">
        <v>19</v>
      </c>
      <c r="J4186" t="s">
        <v>23</v>
      </c>
      <c r="K4186" s="3">
        <v>9943.65</v>
      </c>
      <c r="L4186" t="b">
        <f>TablaDatos[[#This Row],[FechaAlta]] &lt; TablaDatos[[#This Row],[FechaIngreso]]</f>
        <v>0</v>
      </c>
      <c r="M4186">
        <f>_xlfn.XLOOKUP(TablaDatos[[#This Row],[PacienteID]],'Datos_Ejemplo.csv'!A:A,'Datos_Ejemplo.csv'!I:I)</f>
        <v>19</v>
      </c>
      <c r="N4186">
        <f>ABS(TablaDatos[[#This Row],[DiasOriginal]])</f>
        <v>19</v>
      </c>
      <c r="O4186" s="1">
        <f>TablaDatos[[#This Row],[FechaIngreso]]+TablaDatos[[#This Row],[DiasNuevo]]</f>
        <v>45012</v>
      </c>
    </row>
    <row r="4187" spans="1:15">
      <c r="A4187">
        <v>4186</v>
      </c>
      <c r="B4187" t="s">
        <v>338</v>
      </c>
      <c r="C4187" s="1">
        <v>31047</v>
      </c>
      <c r="D4187">
        <v>41</v>
      </c>
      <c r="E4187" s="4" t="s">
        <v>15</v>
      </c>
      <c r="F4187" t="s">
        <v>18</v>
      </c>
      <c r="G4187" s="1">
        <v>45484</v>
      </c>
      <c r="H4187" s="1">
        <f>TablaDatos[[#This Row],[FechaIngreso]]+TablaDatos[[#This Row],[DiasNuevo]]</f>
        <v>45485</v>
      </c>
      <c r="I4187">
        <v>1</v>
      </c>
      <c r="J4187" t="s">
        <v>23</v>
      </c>
      <c r="K4187" s="3">
        <v>18216.75</v>
      </c>
      <c r="L4187" t="b">
        <f>TablaDatos[[#This Row],[FechaAlta]] &lt; TablaDatos[[#This Row],[FechaIngreso]]</f>
        <v>0</v>
      </c>
      <c r="M4187">
        <f>_xlfn.XLOOKUP(TablaDatos[[#This Row],[PacienteID]],'Datos_Ejemplo.csv'!A:A,'Datos_Ejemplo.csv'!I:I)</f>
        <v>1</v>
      </c>
      <c r="N4187">
        <f>ABS(TablaDatos[[#This Row],[DiasOriginal]])</f>
        <v>1</v>
      </c>
      <c r="O4187" s="1">
        <f>TablaDatos[[#This Row],[FechaIngreso]]+TablaDatos[[#This Row],[DiasNuevo]]</f>
        <v>45485</v>
      </c>
    </row>
    <row r="4188" spans="1:15">
      <c r="A4188">
        <v>4187</v>
      </c>
      <c r="B4188" t="s">
        <v>252</v>
      </c>
      <c r="C4188" s="1">
        <v>22281</v>
      </c>
      <c r="D4188">
        <v>65</v>
      </c>
      <c r="E4188" s="4" t="s">
        <v>15</v>
      </c>
      <c r="F4188" t="s">
        <v>21</v>
      </c>
      <c r="G4188" s="1">
        <v>44969</v>
      </c>
      <c r="H4188" s="1">
        <f>TablaDatos[[#This Row],[FechaIngreso]]+TablaDatos[[#This Row],[DiasNuevo]]</f>
        <v>44977</v>
      </c>
      <c r="I4188">
        <v>8</v>
      </c>
      <c r="J4188" t="s">
        <v>19</v>
      </c>
      <c r="K4188" s="3">
        <v>2444.46</v>
      </c>
      <c r="L4188" t="b">
        <f>TablaDatos[[#This Row],[FechaAlta]] &lt; TablaDatos[[#This Row],[FechaIngreso]]</f>
        <v>0</v>
      </c>
      <c r="M4188">
        <f>_xlfn.XLOOKUP(TablaDatos[[#This Row],[PacienteID]],'Datos_Ejemplo.csv'!A:A,'Datos_Ejemplo.csv'!I:I)</f>
        <v>8</v>
      </c>
      <c r="N4188">
        <f>ABS(TablaDatos[[#This Row],[DiasOriginal]])</f>
        <v>8</v>
      </c>
      <c r="O4188" s="1">
        <f>TablaDatos[[#This Row],[FechaIngreso]]+TablaDatos[[#This Row],[DiasNuevo]]</f>
        <v>44977</v>
      </c>
    </row>
    <row r="4189" spans="1:15">
      <c r="A4189">
        <v>4188</v>
      </c>
      <c r="B4189" t="s">
        <v>297</v>
      </c>
      <c r="C4189" s="1">
        <f ca="1">DATE(YEAR(TODAY())-TablaDatos[[#This Row],[Edad]],1,1)</f>
        <v>26299</v>
      </c>
      <c r="D4189">
        <v>54</v>
      </c>
      <c r="E4189" s="4" t="s">
        <v>15</v>
      </c>
      <c r="F4189" t="s">
        <v>32</v>
      </c>
      <c r="G4189" s="1">
        <v>45155</v>
      </c>
      <c r="H4189" s="1">
        <f>TablaDatos[[#This Row],[FechaIngreso]]+TablaDatos[[#This Row],[DiasNuevo]]</f>
        <v>45170</v>
      </c>
      <c r="I4189">
        <v>15</v>
      </c>
      <c r="J4189" t="s">
        <v>25</v>
      </c>
      <c r="K4189" s="3">
        <v>3302.71</v>
      </c>
      <c r="L4189" t="b">
        <f>TablaDatos[[#This Row],[FechaAlta]] &lt; TablaDatos[[#This Row],[FechaIngreso]]</f>
        <v>0</v>
      </c>
      <c r="M4189">
        <f>_xlfn.XLOOKUP(TablaDatos[[#This Row],[PacienteID]],'Datos_Ejemplo.csv'!A:A,'Datos_Ejemplo.csv'!I:I)</f>
        <v>15</v>
      </c>
      <c r="N4189">
        <f>ABS(TablaDatos[[#This Row],[DiasOriginal]])</f>
        <v>15</v>
      </c>
      <c r="O4189" s="1">
        <f>TablaDatos[[#This Row],[FechaIngreso]]+TablaDatos[[#This Row],[DiasNuevo]]</f>
        <v>45170</v>
      </c>
    </row>
    <row r="4190" spans="1:15">
      <c r="A4190">
        <v>4189</v>
      </c>
      <c r="B4190" t="s">
        <v>287</v>
      </c>
      <c r="C4190" s="1">
        <v>20090</v>
      </c>
      <c r="D4190">
        <v>71</v>
      </c>
      <c r="E4190" s="4" t="s">
        <v>15</v>
      </c>
      <c r="F4190" t="s">
        <v>261</v>
      </c>
      <c r="G4190" s="1">
        <v>45370</v>
      </c>
      <c r="H4190" s="1">
        <f>TablaDatos[[#This Row],[FechaIngreso]]+TablaDatos[[#This Row],[DiasNuevo]]</f>
        <v>45374</v>
      </c>
      <c r="I4190">
        <v>4</v>
      </c>
      <c r="J4190" t="s">
        <v>19</v>
      </c>
      <c r="K4190" s="3">
        <v>13351.93</v>
      </c>
      <c r="L4190" t="b">
        <f>TablaDatos[[#This Row],[FechaAlta]] &lt; TablaDatos[[#This Row],[FechaIngreso]]</f>
        <v>0</v>
      </c>
      <c r="M4190">
        <f>_xlfn.XLOOKUP(TablaDatos[[#This Row],[PacienteID]],'Datos_Ejemplo.csv'!A:A,'Datos_Ejemplo.csv'!I:I)</f>
        <v>4</v>
      </c>
      <c r="N4190">
        <f>ABS(TablaDatos[[#This Row],[DiasOriginal]])</f>
        <v>4</v>
      </c>
      <c r="O4190" s="1">
        <f>TablaDatos[[#This Row],[FechaIngreso]]+TablaDatos[[#This Row],[DiasNuevo]]</f>
        <v>45374</v>
      </c>
    </row>
    <row r="4191" spans="1:15">
      <c r="A4191">
        <v>4190</v>
      </c>
      <c r="B4191" t="s">
        <v>284</v>
      </c>
      <c r="C4191" s="1">
        <v>28856</v>
      </c>
      <c r="D4191">
        <v>47</v>
      </c>
      <c r="E4191" s="4" t="s">
        <v>15</v>
      </c>
      <c r="F4191" t="s">
        <v>13</v>
      </c>
      <c r="G4191" s="1">
        <v>45160</v>
      </c>
      <c r="H4191" s="1">
        <f>TablaDatos[[#This Row],[FechaIngreso]]+TablaDatos[[#This Row],[DiasNuevo]]</f>
        <v>45178</v>
      </c>
      <c r="I4191">
        <v>18</v>
      </c>
      <c r="J4191" t="s">
        <v>23</v>
      </c>
      <c r="K4191" s="3">
        <v>7434.72</v>
      </c>
      <c r="L4191" t="b">
        <f>TablaDatos[[#This Row],[FechaAlta]] &lt; TablaDatos[[#This Row],[FechaIngreso]]</f>
        <v>0</v>
      </c>
      <c r="M4191">
        <f>_xlfn.XLOOKUP(TablaDatos[[#This Row],[PacienteID]],'Datos_Ejemplo.csv'!A:A,'Datos_Ejemplo.csv'!I:I)</f>
        <v>18</v>
      </c>
      <c r="N4191">
        <f>ABS(TablaDatos[[#This Row],[DiasOriginal]])</f>
        <v>18</v>
      </c>
      <c r="O4191" s="1">
        <f>TablaDatos[[#This Row],[FechaIngreso]]+TablaDatos[[#This Row],[DiasNuevo]]</f>
        <v>45178</v>
      </c>
    </row>
    <row r="4192" spans="1:15">
      <c r="A4192">
        <v>4191</v>
      </c>
      <c r="B4192" t="s">
        <v>302</v>
      </c>
      <c r="C4192" s="1">
        <v>13150</v>
      </c>
      <c r="D4192">
        <v>90</v>
      </c>
      <c r="E4192" s="4" t="s">
        <v>15</v>
      </c>
      <c r="F4192" t="s">
        <v>32</v>
      </c>
      <c r="G4192" s="1">
        <v>45125</v>
      </c>
      <c r="H4192" s="1">
        <f>TablaDatos[[#This Row],[FechaIngreso]]+TablaDatos[[#This Row],[DiasNuevo]]</f>
        <v>45157</v>
      </c>
      <c r="I4192">
        <v>32</v>
      </c>
      <c r="J4192" t="s">
        <v>23</v>
      </c>
      <c r="K4192" s="3">
        <v>12430.77</v>
      </c>
      <c r="L4192" t="b">
        <f>TablaDatos[[#This Row],[FechaAlta]] &lt; TablaDatos[[#This Row],[FechaIngreso]]</f>
        <v>0</v>
      </c>
      <c r="M4192">
        <f>_xlfn.XLOOKUP(TablaDatos[[#This Row],[PacienteID]],'Datos_Ejemplo.csv'!A:A,'Datos_Ejemplo.csv'!I:I)</f>
        <v>32</v>
      </c>
      <c r="N4192">
        <f>ABS(TablaDatos[[#This Row],[DiasOriginal]])</f>
        <v>32</v>
      </c>
      <c r="O4192" s="1">
        <f>TablaDatos[[#This Row],[FechaIngreso]]+TablaDatos[[#This Row],[DiasNuevo]]</f>
        <v>45157</v>
      </c>
    </row>
    <row r="4193" spans="1:15">
      <c r="A4193">
        <v>4192</v>
      </c>
      <c r="B4193" t="s">
        <v>255</v>
      </c>
      <c r="C4193" s="1">
        <v>38352</v>
      </c>
      <c r="D4193">
        <v>21</v>
      </c>
      <c r="E4193" s="4" t="s">
        <v>12</v>
      </c>
      <c r="F4193" t="s">
        <v>32</v>
      </c>
      <c r="G4193" s="1">
        <v>45423</v>
      </c>
      <c r="H4193" s="1">
        <f>TablaDatos[[#This Row],[FechaIngreso]]+TablaDatos[[#This Row],[DiasNuevo]]</f>
        <v>45457</v>
      </c>
      <c r="I4193">
        <v>34</v>
      </c>
      <c r="J4193" t="s">
        <v>19</v>
      </c>
      <c r="K4193" s="3">
        <v>19948.830000000002</v>
      </c>
      <c r="L4193" t="b">
        <f>TablaDatos[[#This Row],[FechaAlta]] &lt; TablaDatos[[#This Row],[FechaIngreso]]</f>
        <v>0</v>
      </c>
      <c r="M4193">
        <f>_xlfn.XLOOKUP(TablaDatos[[#This Row],[PacienteID]],'Datos_Ejemplo.csv'!A:A,'Datos_Ejemplo.csv'!I:I)</f>
        <v>34</v>
      </c>
      <c r="N4193">
        <f>ABS(TablaDatos[[#This Row],[DiasOriginal]])</f>
        <v>34</v>
      </c>
      <c r="O4193" s="1">
        <f>TablaDatos[[#This Row],[FechaIngreso]]+TablaDatos[[#This Row],[DiasNuevo]]</f>
        <v>45457</v>
      </c>
    </row>
    <row r="4194" spans="1:15">
      <c r="A4194">
        <v>4193</v>
      </c>
      <c r="B4194" t="s">
        <v>152</v>
      </c>
      <c r="C4194" s="1">
        <v>36526</v>
      </c>
      <c r="D4194">
        <v>26</v>
      </c>
      <c r="E4194" s="4" t="s">
        <v>12</v>
      </c>
      <c r="F4194" t="s">
        <v>261</v>
      </c>
      <c r="G4194" s="1">
        <v>44958</v>
      </c>
      <c r="H4194" s="1">
        <f>TablaDatos[[#This Row],[FechaIngreso]]+TablaDatos[[#This Row],[DiasNuevo]]</f>
        <v>44985</v>
      </c>
      <c r="I4194">
        <v>27</v>
      </c>
      <c r="J4194" t="s">
        <v>23</v>
      </c>
      <c r="K4194" s="3">
        <v>19736.12</v>
      </c>
      <c r="L4194" t="b">
        <f>TablaDatos[[#This Row],[FechaAlta]] &lt; TablaDatos[[#This Row],[FechaIngreso]]</f>
        <v>0</v>
      </c>
      <c r="M4194">
        <f>_xlfn.XLOOKUP(TablaDatos[[#This Row],[PacienteID]],'Datos_Ejemplo.csv'!A:A,'Datos_Ejemplo.csv'!I:I)</f>
        <v>27</v>
      </c>
      <c r="N4194">
        <f>ABS(TablaDatos[[#This Row],[DiasOriginal]])</f>
        <v>27</v>
      </c>
      <c r="O4194" s="1">
        <f>TablaDatos[[#This Row],[FechaIngreso]]+TablaDatos[[#This Row],[DiasNuevo]]</f>
        <v>44985</v>
      </c>
    </row>
    <row r="4195" spans="1:15">
      <c r="A4195">
        <v>4194</v>
      </c>
      <c r="B4195" t="s">
        <v>136</v>
      </c>
      <c r="C4195" s="1">
        <v>12419</v>
      </c>
      <c r="D4195">
        <f ca="1">DATEDIF(TablaDatos[[#This Row],[FechaNacimiento]],TODAY(),"Y")</f>
        <v>92</v>
      </c>
      <c r="E4195" s="4" t="s">
        <v>12</v>
      </c>
      <c r="F4195" t="s">
        <v>201</v>
      </c>
      <c r="G4195" s="1">
        <v>45190</v>
      </c>
      <c r="H4195" s="1">
        <f>TablaDatos[[#This Row],[FechaIngreso]]+TablaDatos[[#This Row],[DiasNuevo]]</f>
        <v>45204</v>
      </c>
      <c r="I4195">
        <v>14</v>
      </c>
      <c r="J4195" t="s">
        <v>23</v>
      </c>
      <c r="K4195" s="3">
        <v>7009.64</v>
      </c>
      <c r="L4195" t="b">
        <f>TablaDatos[[#This Row],[FechaAlta]] &lt; TablaDatos[[#This Row],[FechaIngreso]]</f>
        <v>0</v>
      </c>
      <c r="M4195">
        <f>_xlfn.XLOOKUP(TablaDatos[[#This Row],[PacienteID]],'Datos_Ejemplo.csv'!A:A,'Datos_Ejemplo.csv'!I:I)</f>
        <v>14</v>
      </c>
      <c r="N4195">
        <f>ABS(TablaDatos[[#This Row],[DiasOriginal]])</f>
        <v>14</v>
      </c>
      <c r="O4195" s="1">
        <f>TablaDatos[[#This Row],[FechaIngreso]]+TablaDatos[[#This Row],[DiasNuevo]]</f>
        <v>45204</v>
      </c>
    </row>
    <row r="4196" spans="1:15">
      <c r="A4196">
        <v>4195</v>
      </c>
      <c r="B4196" t="s">
        <v>337</v>
      </c>
      <c r="C4196" s="1">
        <v>21916</v>
      </c>
      <c r="D4196">
        <v>66</v>
      </c>
      <c r="E4196" s="4" t="s">
        <v>12</v>
      </c>
      <c r="F4196" t="s">
        <v>18</v>
      </c>
      <c r="G4196" s="1">
        <v>45039</v>
      </c>
      <c r="H4196" s="1">
        <f>TablaDatos[[#This Row],[FechaIngreso]]+TablaDatos[[#This Row],[DiasNuevo]]</f>
        <v>45069</v>
      </c>
      <c r="I4196">
        <v>30</v>
      </c>
      <c r="J4196" t="s">
        <v>23</v>
      </c>
      <c r="K4196" s="3">
        <v>10028.9</v>
      </c>
      <c r="L4196" t="b">
        <f>TablaDatos[[#This Row],[FechaAlta]] &lt; TablaDatos[[#This Row],[FechaIngreso]]</f>
        <v>0</v>
      </c>
      <c r="M4196">
        <f>_xlfn.XLOOKUP(TablaDatos[[#This Row],[PacienteID]],'Datos_Ejemplo.csv'!A:A,'Datos_Ejemplo.csv'!I:I)</f>
        <v>30</v>
      </c>
      <c r="N4196">
        <f>ABS(TablaDatos[[#This Row],[DiasOriginal]])</f>
        <v>30</v>
      </c>
      <c r="O4196" s="1">
        <f>TablaDatos[[#This Row],[FechaIngreso]]+TablaDatos[[#This Row],[DiasNuevo]]</f>
        <v>45069</v>
      </c>
    </row>
    <row r="4197" spans="1:15">
      <c r="A4197">
        <v>4196</v>
      </c>
      <c r="B4197" t="s">
        <v>253</v>
      </c>
      <c r="C4197" s="1">
        <v>41639</v>
      </c>
      <c r="D4197">
        <v>12</v>
      </c>
      <c r="E4197" s="4" t="s">
        <v>12</v>
      </c>
      <c r="F4197" t="s">
        <v>295</v>
      </c>
      <c r="G4197" s="1">
        <v>45385</v>
      </c>
      <c r="H4197" s="1">
        <f>TablaDatos[[#This Row],[FechaIngreso]]+TablaDatos[[#This Row],[DiasNuevo]]</f>
        <v>45398</v>
      </c>
      <c r="I4197">
        <v>13</v>
      </c>
      <c r="J4197" t="s">
        <v>23</v>
      </c>
      <c r="K4197" s="3">
        <v>18084.27</v>
      </c>
      <c r="L4197" t="b">
        <f>TablaDatos[[#This Row],[FechaAlta]] &lt; TablaDatos[[#This Row],[FechaIngreso]]</f>
        <v>0</v>
      </c>
      <c r="M4197">
        <f>_xlfn.XLOOKUP(TablaDatos[[#This Row],[PacienteID]],'Datos_Ejemplo.csv'!A:A,'Datos_Ejemplo.csv'!I:I)</f>
        <v>13</v>
      </c>
      <c r="N4197">
        <f>ABS(TablaDatos[[#This Row],[DiasOriginal]])</f>
        <v>13</v>
      </c>
      <c r="O4197" s="1">
        <f>TablaDatos[[#This Row],[FechaIngreso]]+TablaDatos[[#This Row],[DiasNuevo]]</f>
        <v>45398</v>
      </c>
    </row>
    <row r="4198" spans="1:15">
      <c r="A4198">
        <v>4197</v>
      </c>
      <c r="B4198" t="s">
        <v>256</v>
      </c>
      <c r="C4198" s="1">
        <v>29951</v>
      </c>
      <c r="D4198">
        <v>44</v>
      </c>
      <c r="E4198" s="4" t="s">
        <v>12</v>
      </c>
      <c r="F4198" t="s">
        <v>201</v>
      </c>
      <c r="G4198" s="1">
        <v>45202</v>
      </c>
      <c r="H4198" s="1">
        <f>TablaDatos[[#This Row],[FechaIngreso]]+TablaDatos[[#This Row],[DiasNuevo]]</f>
        <v>45214</v>
      </c>
      <c r="I4198">
        <v>12</v>
      </c>
      <c r="J4198" t="s">
        <v>25</v>
      </c>
      <c r="K4198" s="3">
        <v>1752.57</v>
      </c>
      <c r="L4198" t="b">
        <f>TablaDatos[[#This Row],[FechaAlta]] &lt; TablaDatos[[#This Row],[FechaIngreso]]</f>
        <v>0</v>
      </c>
      <c r="M4198">
        <f>_xlfn.XLOOKUP(TablaDatos[[#This Row],[PacienteID]],'Datos_Ejemplo.csv'!A:A,'Datos_Ejemplo.csv'!I:I)</f>
        <v>12</v>
      </c>
      <c r="N4198">
        <f>ABS(TablaDatos[[#This Row],[DiasOriginal]])</f>
        <v>12</v>
      </c>
      <c r="O4198" s="1">
        <f>TablaDatos[[#This Row],[FechaIngreso]]+TablaDatos[[#This Row],[DiasNuevo]]</f>
        <v>45214</v>
      </c>
    </row>
    <row r="4199" spans="1:15">
      <c r="A4199">
        <v>4198</v>
      </c>
      <c r="B4199" t="s">
        <v>250</v>
      </c>
      <c r="C4199" s="1">
        <v>42735</v>
      </c>
      <c r="D4199">
        <v>9</v>
      </c>
      <c r="E4199" s="4" t="s">
        <v>12</v>
      </c>
      <c r="F4199" t="s">
        <v>13</v>
      </c>
      <c r="G4199" s="1">
        <v>45072</v>
      </c>
      <c r="H4199" s="1">
        <f>TablaDatos[[#This Row],[FechaIngreso]]+TablaDatos[[#This Row],[DiasNuevo]]</f>
        <v>45082</v>
      </c>
      <c r="I4199">
        <v>10</v>
      </c>
      <c r="J4199" t="s">
        <v>25</v>
      </c>
      <c r="K4199" s="3">
        <v>8991.31</v>
      </c>
      <c r="L4199" t="b">
        <f>TablaDatos[[#This Row],[FechaAlta]] &lt; TablaDatos[[#This Row],[FechaIngreso]]</f>
        <v>0</v>
      </c>
      <c r="M4199">
        <f>_xlfn.XLOOKUP(TablaDatos[[#This Row],[PacienteID]],'Datos_Ejemplo.csv'!A:A,'Datos_Ejemplo.csv'!I:I)</f>
        <v>10</v>
      </c>
      <c r="N4199">
        <f>ABS(TablaDatos[[#This Row],[DiasOriginal]])</f>
        <v>10</v>
      </c>
      <c r="O4199" s="1">
        <f>TablaDatos[[#This Row],[FechaIngreso]]+TablaDatos[[#This Row],[DiasNuevo]]</f>
        <v>45082</v>
      </c>
    </row>
    <row r="4200" spans="1:15">
      <c r="A4200">
        <v>4199</v>
      </c>
      <c r="B4200" t="s">
        <v>347</v>
      </c>
      <c r="C4200" s="1">
        <v>43100</v>
      </c>
      <c r="D4200">
        <f ca="1">DATEDIF(TablaDatos[[#This Row],[FechaNacimiento]],TODAY(),"Y")</f>
        <v>8</v>
      </c>
      <c r="E4200" s="4" t="s">
        <v>15</v>
      </c>
      <c r="F4200" t="s">
        <v>261</v>
      </c>
      <c r="G4200" s="1">
        <v>45283</v>
      </c>
      <c r="H4200" s="1">
        <f>TablaDatos[[#This Row],[FechaIngreso]]+TablaDatos[[#This Row],[DiasNuevo]]</f>
        <v>45319</v>
      </c>
      <c r="I4200">
        <v>36</v>
      </c>
      <c r="J4200" t="s">
        <v>25</v>
      </c>
      <c r="K4200" s="3">
        <v>7489.3</v>
      </c>
      <c r="L4200" t="b">
        <f>TablaDatos[[#This Row],[FechaAlta]] &lt; TablaDatos[[#This Row],[FechaIngreso]]</f>
        <v>0</v>
      </c>
      <c r="M4200">
        <f>_xlfn.XLOOKUP(TablaDatos[[#This Row],[PacienteID]],'Datos_Ejemplo.csv'!A:A,'Datos_Ejemplo.csv'!I:I)</f>
        <v>36</v>
      </c>
      <c r="N4200">
        <f>ABS(TablaDatos[[#This Row],[DiasOriginal]])</f>
        <v>36</v>
      </c>
      <c r="O4200" s="1">
        <f>TablaDatos[[#This Row],[FechaIngreso]]+TablaDatos[[#This Row],[DiasNuevo]]</f>
        <v>45319</v>
      </c>
    </row>
    <row r="4201" spans="1:15">
      <c r="A4201">
        <v>4200</v>
      </c>
      <c r="B4201" t="s">
        <v>334</v>
      </c>
      <c r="C4201" s="1">
        <v>26664</v>
      </c>
      <c r="D4201">
        <v>53</v>
      </c>
      <c r="E4201" s="4" t="s">
        <v>12</v>
      </c>
      <c r="F4201" t="s">
        <v>21</v>
      </c>
      <c r="G4201" s="1">
        <v>44932</v>
      </c>
      <c r="H4201" s="1">
        <f>TablaDatos[[#This Row],[FechaIngreso]]+TablaDatos[[#This Row],[DiasNuevo]]</f>
        <v>44932</v>
      </c>
      <c r="I4201">
        <v>0</v>
      </c>
      <c r="J4201" t="s">
        <v>23</v>
      </c>
      <c r="K4201" s="3">
        <v>5827.14</v>
      </c>
      <c r="L4201" t="b">
        <f>TablaDatos[[#This Row],[FechaAlta]] &lt; TablaDatos[[#This Row],[FechaIngreso]]</f>
        <v>0</v>
      </c>
      <c r="M4201">
        <f>_xlfn.XLOOKUP(TablaDatos[[#This Row],[PacienteID]],'Datos_Ejemplo.csv'!A:A,'Datos_Ejemplo.csv'!I:I)</f>
        <v>0</v>
      </c>
      <c r="N4201">
        <f>ABS(TablaDatos[[#This Row],[DiasOriginal]])</f>
        <v>0</v>
      </c>
      <c r="O4201" s="1">
        <f>TablaDatos[[#This Row],[FechaIngreso]]+TablaDatos[[#This Row],[DiasNuevo]]</f>
        <v>44932</v>
      </c>
    </row>
    <row r="4202" spans="1:15">
      <c r="A4202">
        <v>4201</v>
      </c>
      <c r="B4202" t="s">
        <v>327</v>
      </c>
      <c r="C4202" s="1">
        <v>36526</v>
      </c>
      <c r="D4202">
        <v>26</v>
      </c>
      <c r="E4202" s="4" t="s">
        <v>15</v>
      </c>
      <c r="F4202" t="s">
        <v>21</v>
      </c>
      <c r="G4202" s="1">
        <v>45266</v>
      </c>
      <c r="H4202" s="1">
        <f>TablaDatos[[#This Row],[FechaIngreso]]+TablaDatos[[#This Row],[DiasNuevo]]</f>
        <v>45287</v>
      </c>
      <c r="I4202">
        <v>21</v>
      </c>
      <c r="J4202" t="s">
        <v>25</v>
      </c>
      <c r="K4202" s="3">
        <v>19883.5</v>
      </c>
      <c r="L4202" t="b">
        <f>TablaDatos[[#This Row],[FechaAlta]] &lt; TablaDatos[[#This Row],[FechaIngreso]]</f>
        <v>0</v>
      </c>
      <c r="M4202">
        <f>_xlfn.XLOOKUP(TablaDatos[[#This Row],[PacienteID]],'Datos_Ejemplo.csv'!A:A,'Datos_Ejemplo.csv'!I:I)</f>
        <v>21</v>
      </c>
      <c r="N4202">
        <f>ABS(TablaDatos[[#This Row],[DiasOriginal]])</f>
        <v>21</v>
      </c>
      <c r="O4202" s="1">
        <f>TablaDatos[[#This Row],[FechaIngreso]]+TablaDatos[[#This Row],[DiasNuevo]]</f>
        <v>45287</v>
      </c>
    </row>
    <row r="4203" spans="1:15">
      <c r="A4203">
        <v>4202</v>
      </c>
      <c r="B4203" t="s">
        <v>233</v>
      </c>
      <c r="C4203" s="1">
        <v>33969</v>
      </c>
      <c r="D4203">
        <v>33</v>
      </c>
      <c r="E4203" s="4" t="s">
        <v>12</v>
      </c>
      <c r="F4203" t="s">
        <v>295</v>
      </c>
      <c r="G4203" s="1">
        <v>45420</v>
      </c>
      <c r="H4203" s="1">
        <f>TablaDatos[[#This Row],[FechaIngreso]]+TablaDatos[[#This Row],[DiasNuevo]]</f>
        <v>45440</v>
      </c>
      <c r="I4203">
        <v>20</v>
      </c>
      <c r="J4203" t="s">
        <v>23</v>
      </c>
      <c r="K4203" s="3">
        <v>14644.34</v>
      </c>
      <c r="L4203" t="b">
        <f>TablaDatos[[#This Row],[FechaAlta]] &lt; TablaDatos[[#This Row],[FechaIngreso]]</f>
        <v>0</v>
      </c>
      <c r="M4203">
        <f>_xlfn.XLOOKUP(TablaDatos[[#This Row],[PacienteID]],'Datos_Ejemplo.csv'!A:A,'Datos_Ejemplo.csv'!I:I)</f>
        <v>20</v>
      </c>
      <c r="N4203">
        <f>ABS(TablaDatos[[#This Row],[DiasOriginal]])</f>
        <v>20</v>
      </c>
      <c r="O4203" s="1">
        <f>TablaDatos[[#This Row],[FechaIngreso]]+TablaDatos[[#This Row],[DiasNuevo]]</f>
        <v>45440</v>
      </c>
    </row>
    <row r="4204" spans="1:15">
      <c r="A4204">
        <v>4203</v>
      </c>
      <c r="B4204" t="s">
        <v>354</v>
      </c>
      <c r="C4204" s="1">
        <v>46022</v>
      </c>
      <c r="D4204">
        <v>0</v>
      </c>
      <c r="E4204" s="4" t="s">
        <v>12</v>
      </c>
      <c r="F4204" t="s">
        <v>295</v>
      </c>
      <c r="G4204" s="1">
        <v>45034</v>
      </c>
      <c r="H4204" s="1">
        <f>TablaDatos[[#This Row],[FechaIngreso]]+TablaDatos[[#This Row],[DiasNuevo]]</f>
        <v>45036</v>
      </c>
      <c r="I4204">
        <v>2</v>
      </c>
      <c r="J4204" t="s">
        <v>23</v>
      </c>
      <c r="K4204" s="3">
        <v>7713.81</v>
      </c>
      <c r="L4204" t="b">
        <f>TablaDatos[[#This Row],[FechaAlta]] &lt; TablaDatos[[#This Row],[FechaIngreso]]</f>
        <v>0</v>
      </c>
      <c r="M4204">
        <f>_xlfn.XLOOKUP(TablaDatos[[#This Row],[PacienteID]],'Datos_Ejemplo.csv'!A:A,'Datos_Ejemplo.csv'!I:I)</f>
        <v>-2</v>
      </c>
      <c r="N4204">
        <f>ABS(TablaDatos[[#This Row],[DiasOriginal]])</f>
        <v>2</v>
      </c>
      <c r="O4204" s="1">
        <f>TablaDatos[[#This Row],[FechaIngreso]]+TablaDatos[[#This Row],[DiasNuevo]]</f>
        <v>45036</v>
      </c>
    </row>
    <row r="4205" spans="1:15">
      <c r="A4205">
        <v>4204</v>
      </c>
      <c r="B4205" t="s">
        <v>111</v>
      </c>
      <c r="C4205" s="1">
        <v>34700</v>
      </c>
      <c r="D4205">
        <v>31</v>
      </c>
      <c r="E4205" s="4" t="s">
        <v>15</v>
      </c>
      <c r="F4205" t="s">
        <v>18</v>
      </c>
      <c r="G4205" s="1">
        <v>44997</v>
      </c>
      <c r="H4205" s="1">
        <f>TablaDatos[[#This Row],[FechaIngreso]]+TablaDatos[[#This Row],[DiasNuevo]]</f>
        <v>45026</v>
      </c>
      <c r="I4205">
        <v>29</v>
      </c>
      <c r="J4205" t="s">
        <v>19</v>
      </c>
      <c r="K4205" s="3">
        <v>16563.34</v>
      </c>
      <c r="L4205" t="b">
        <f>TablaDatos[[#This Row],[FechaAlta]] &lt; TablaDatos[[#This Row],[FechaIngreso]]</f>
        <v>0</v>
      </c>
      <c r="M4205">
        <f>_xlfn.XLOOKUP(TablaDatos[[#This Row],[PacienteID]],'Datos_Ejemplo.csv'!A:A,'Datos_Ejemplo.csv'!I:I)</f>
        <v>29</v>
      </c>
      <c r="N4205">
        <f>ABS(TablaDatos[[#This Row],[DiasOriginal]])</f>
        <v>29</v>
      </c>
      <c r="O4205" s="1">
        <f>TablaDatos[[#This Row],[FechaIngreso]]+TablaDatos[[#This Row],[DiasNuevo]]</f>
        <v>45026</v>
      </c>
    </row>
    <row r="4206" spans="1:15">
      <c r="A4206">
        <v>4205</v>
      </c>
      <c r="B4206" t="s">
        <v>264</v>
      </c>
      <c r="C4206" s="1">
        <f ca="1">DATE(YEAR(TODAY())-TablaDatos[[#This Row],[Edad]],1,1)</f>
        <v>13881</v>
      </c>
      <c r="D4206">
        <v>88</v>
      </c>
      <c r="E4206" s="4" t="s">
        <v>12</v>
      </c>
      <c r="F4206" t="s">
        <v>21</v>
      </c>
      <c r="G4206" s="1">
        <v>45266</v>
      </c>
      <c r="H4206" s="1">
        <f>TablaDatos[[#This Row],[FechaIngreso]]+TablaDatos[[#This Row],[DiasNuevo]]</f>
        <v>45296</v>
      </c>
      <c r="I4206">
        <v>30</v>
      </c>
      <c r="J4206" t="s">
        <v>25</v>
      </c>
      <c r="K4206" s="3">
        <v>9742.2900000000009</v>
      </c>
      <c r="L4206" t="b">
        <f>TablaDatos[[#This Row],[FechaAlta]] &lt; TablaDatos[[#This Row],[FechaIngreso]]</f>
        <v>0</v>
      </c>
      <c r="M4206">
        <f>_xlfn.XLOOKUP(TablaDatos[[#This Row],[PacienteID]],'Datos_Ejemplo.csv'!A:A,'Datos_Ejemplo.csv'!I:I)</f>
        <v>30</v>
      </c>
      <c r="N4206">
        <f>ABS(TablaDatos[[#This Row],[DiasOriginal]])</f>
        <v>30</v>
      </c>
      <c r="O4206" s="1">
        <f>TablaDatos[[#This Row],[FechaIngreso]]+TablaDatos[[#This Row],[DiasNuevo]]</f>
        <v>45296</v>
      </c>
    </row>
    <row r="4207" spans="1:15">
      <c r="A4207">
        <v>4206</v>
      </c>
      <c r="B4207" t="s">
        <v>345</v>
      </c>
      <c r="C4207" s="1">
        <v>12419</v>
      </c>
      <c r="D4207">
        <v>92</v>
      </c>
      <c r="E4207" s="4" t="s">
        <v>15</v>
      </c>
      <c r="F4207" t="s">
        <v>13</v>
      </c>
      <c r="G4207" s="1">
        <v>45600</v>
      </c>
      <c r="H4207" s="1">
        <f>TablaDatos[[#This Row],[FechaIngreso]]+TablaDatos[[#This Row],[DiasNuevo]]</f>
        <v>45627</v>
      </c>
      <c r="I4207">
        <v>27</v>
      </c>
      <c r="J4207" t="s">
        <v>19</v>
      </c>
      <c r="K4207" s="3">
        <v>17443.77</v>
      </c>
      <c r="L4207" t="b">
        <f>TablaDatos[[#This Row],[FechaAlta]] &lt; TablaDatos[[#This Row],[FechaIngreso]]</f>
        <v>0</v>
      </c>
      <c r="M4207">
        <f>_xlfn.XLOOKUP(TablaDatos[[#This Row],[PacienteID]],'Datos_Ejemplo.csv'!A:A,'Datos_Ejemplo.csv'!I:I)</f>
        <v>27</v>
      </c>
      <c r="N4207">
        <f>ABS(TablaDatos[[#This Row],[DiasOriginal]])</f>
        <v>27</v>
      </c>
      <c r="O4207" s="1">
        <f>TablaDatos[[#This Row],[FechaIngreso]]+TablaDatos[[#This Row],[DiasNuevo]]</f>
        <v>45627</v>
      </c>
    </row>
    <row r="4208" spans="1:15">
      <c r="A4208">
        <v>4207</v>
      </c>
      <c r="B4208" t="s">
        <v>312</v>
      </c>
      <c r="C4208" s="1">
        <v>20455</v>
      </c>
      <c r="D4208">
        <v>70</v>
      </c>
      <c r="E4208" s="4" t="s">
        <v>15</v>
      </c>
      <c r="F4208" t="s">
        <v>261</v>
      </c>
      <c r="G4208" s="1">
        <v>45026</v>
      </c>
      <c r="H4208" s="1">
        <f>TablaDatos[[#This Row],[FechaIngreso]]+TablaDatos[[#This Row],[DiasNuevo]]</f>
        <v>45027</v>
      </c>
      <c r="I4208">
        <v>1</v>
      </c>
      <c r="J4208" t="s">
        <v>19</v>
      </c>
      <c r="K4208" s="3">
        <v>5254.23</v>
      </c>
      <c r="L4208" t="b">
        <f>TablaDatos[[#This Row],[FechaAlta]] &lt; TablaDatos[[#This Row],[FechaIngreso]]</f>
        <v>0</v>
      </c>
      <c r="M4208">
        <f>_xlfn.XLOOKUP(TablaDatos[[#This Row],[PacienteID]],'Datos_Ejemplo.csv'!A:A,'Datos_Ejemplo.csv'!I:I)</f>
        <v>-1</v>
      </c>
      <c r="N4208">
        <f>ABS(TablaDatos[[#This Row],[DiasOriginal]])</f>
        <v>1</v>
      </c>
      <c r="O4208" s="1">
        <f>TablaDatos[[#This Row],[FechaIngreso]]+TablaDatos[[#This Row],[DiasNuevo]]</f>
        <v>45027</v>
      </c>
    </row>
    <row r="4209" spans="1:15">
      <c r="A4209">
        <v>4208</v>
      </c>
      <c r="B4209" t="s">
        <v>146</v>
      </c>
      <c r="C4209" s="1">
        <v>21916</v>
      </c>
      <c r="D4209">
        <v>66</v>
      </c>
      <c r="E4209" s="4" t="s">
        <v>15</v>
      </c>
      <c r="F4209" t="s">
        <v>295</v>
      </c>
      <c r="G4209" s="1">
        <v>45253</v>
      </c>
      <c r="H4209" s="1">
        <f>TablaDatos[[#This Row],[FechaIngreso]]+TablaDatos[[#This Row],[DiasNuevo]]</f>
        <v>45268</v>
      </c>
      <c r="I4209">
        <v>15</v>
      </c>
      <c r="J4209" t="s">
        <v>25</v>
      </c>
      <c r="K4209" s="3">
        <v>4394.3599999999997</v>
      </c>
      <c r="L4209" t="b">
        <f>TablaDatos[[#This Row],[FechaAlta]] &lt; TablaDatos[[#This Row],[FechaIngreso]]</f>
        <v>0</v>
      </c>
      <c r="M4209">
        <f>_xlfn.XLOOKUP(TablaDatos[[#This Row],[PacienteID]],'Datos_Ejemplo.csv'!A:A,'Datos_Ejemplo.csv'!I:I)</f>
        <v>15</v>
      </c>
      <c r="N4209">
        <f>ABS(TablaDatos[[#This Row],[DiasOriginal]])</f>
        <v>15</v>
      </c>
      <c r="O4209" s="1">
        <f>TablaDatos[[#This Row],[FechaIngreso]]+TablaDatos[[#This Row],[DiasNuevo]]</f>
        <v>45268</v>
      </c>
    </row>
    <row r="4210" spans="1:15">
      <c r="A4210">
        <v>4209</v>
      </c>
      <c r="B4210" t="s">
        <v>67</v>
      </c>
      <c r="C4210" s="1">
        <v>15707</v>
      </c>
      <c r="D4210">
        <f ca="1">DATEDIF(TablaDatos[[#This Row],[FechaNacimiento]],TODAY(),"Y")</f>
        <v>83</v>
      </c>
      <c r="E4210" s="4" t="s">
        <v>12</v>
      </c>
      <c r="F4210" t="s">
        <v>295</v>
      </c>
      <c r="G4210" s="1">
        <v>44959</v>
      </c>
      <c r="H4210" s="1">
        <f>TablaDatos[[#This Row],[FechaIngreso]]+TablaDatos[[#This Row],[DiasNuevo]]</f>
        <v>44986</v>
      </c>
      <c r="I4210">
        <v>27</v>
      </c>
      <c r="J4210" t="s">
        <v>23</v>
      </c>
      <c r="K4210" s="3">
        <v>4870.46</v>
      </c>
      <c r="L4210" t="b">
        <f>TablaDatos[[#This Row],[FechaAlta]] &lt; TablaDatos[[#This Row],[FechaIngreso]]</f>
        <v>0</v>
      </c>
      <c r="M4210">
        <f>_xlfn.XLOOKUP(TablaDatos[[#This Row],[PacienteID]],'Datos_Ejemplo.csv'!A:A,'Datos_Ejemplo.csv'!I:I)</f>
        <v>27</v>
      </c>
      <c r="N4210">
        <f>ABS(TablaDatos[[#This Row],[DiasOriginal]])</f>
        <v>27</v>
      </c>
      <c r="O4210" s="1">
        <f>TablaDatos[[#This Row],[FechaIngreso]]+TablaDatos[[#This Row],[DiasNuevo]]</f>
        <v>44986</v>
      </c>
    </row>
    <row r="4211" spans="1:15">
      <c r="A4211">
        <v>4210</v>
      </c>
      <c r="B4211" t="s">
        <v>364</v>
      </c>
      <c r="C4211" s="1">
        <v>39083</v>
      </c>
      <c r="D4211">
        <v>19</v>
      </c>
      <c r="E4211" s="4" t="s">
        <v>12</v>
      </c>
      <c r="F4211" t="s">
        <v>295</v>
      </c>
      <c r="G4211" s="1">
        <v>45069</v>
      </c>
      <c r="H4211" s="1">
        <f>TablaDatos[[#This Row],[FechaIngreso]]+TablaDatos[[#This Row],[DiasNuevo]]</f>
        <v>45084</v>
      </c>
      <c r="I4211">
        <v>15</v>
      </c>
      <c r="J4211" t="s">
        <v>23</v>
      </c>
      <c r="K4211" s="3">
        <v>10723.46</v>
      </c>
      <c r="L4211" t="b">
        <f>TablaDatos[[#This Row],[FechaAlta]] &lt; TablaDatos[[#This Row],[FechaIngreso]]</f>
        <v>0</v>
      </c>
      <c r="M4211">
        <f>_xlfn.XLOOKUP(TablaDatos[[#This Row],[PacienteID]],'Datos_Ejemplo.csv'!A:A,'Datos_Ejemplo.csv'!I:I)</f>
        <v>15</v>
      </c>
      <c r="N4211">
        <f>ABS(TablaDatos[[#This Row],[DiasOriginal]])</f>
        <v>15</v>
      </c>
      <c r="O4211" s="1">
        <f>TablaDatos[[#This Row],[FechaIngreso]]+TablaDatos[[#This Row],[DiasNuevo]]</f>
        <v>45084</v>
      </c>
    </row>
    <row r="4212" spans="1:15">
      <c r="A4212">
        <v>4211</v>
      </c>
      <c r="B4212" t="s">
        <v>325</v>
      </c>
      <c r="C4212" s="1">
        <v>12054</v>
      </c>
      <c r="D4212">
        <v>93</v>
      </c>
      <c r="E4212" s="4" t="s">
        <v>12</v>
      </c>
      <c r="F4212" t="s">
        <v>261</v>
      </c>
      <c r="G4212" s="1">
        <v>45170</v>
      </c>
      <c r="H4212" s="1">
        <f>TablaDatos[[#This Row],[FechaIngreso]]+TablaDatos[[#This Row],[DiasNuevo]]</f>
        <v>45172</v>
      </c>
      <c r="I4212">
        <v>2</v>
      </c>
      <c r="J4212" t="s">
        <v>23</v>
      </c>
      <c r="K4212" s="3">
        <v>5755.4</v>
      </c>
      <c r="L4212" t="b">
        <f>TablaDatos[[#This Row],[FechaAlta]] &lt; TablaDatos[[#This Row],[FechaIngreso]]</f>
        <v>0</v>
      </c>
      <c r="M4212">
        <f>_xlfn.XLOOKUP(TablaDatos[[#This Row],[PacienteID]],'Datos_Ejemplo.csv'!A:A,'Datos_Ejemplo.csv'!I:I)</f>
        <v>2</v>
      </c>
      <c r="N4212">
        <f>ABS(TablaDatos[[#This Row],[DiasOriginal]])</f>
        <v>2</v>
      </c>
      <c r="O4212" s="1">
        <f>TablaDatos[[#This Row],[FechaIngreso]]+TablaDatos[[#This Row],[DiasNuevo]]</f>
        <v>45172</v>
      </c>
    </row>
    <row r="4213" spans="1:15">
      <c r="A4213">
        <v>4212</v>
      </c>
      <c r="B4213" t="s">
        <v>291</v>
      </c>
      <c r="C4213" s="1">
        <v>33604</v>
      </c>
      <c r="D4213">
        <v>34</v>
      </c>
      <c r="E4213" s="4" t="s">
        <v>15</v>
      </c>
      <c r="F4213" t="s">
        <v>13</v>
      </c>
      <c r="G4213" s="1">
        <v>45652</v>
      </c>
      <c r="H4213" s="1">
        <f>TablaDatos[[#This Row],[FechaIngreso]]+TablaDatos[[#This Row],[DiasNuevo]]</f>
        <v>45654</v>
      </c>
      <c r="I4213">
        <v>2</v>
      </c>
      <c r="J4213" t="s">
        <v>25</v>
      </c>
      <c r="K4213" s="3">
        <v>2857.11</v>
      </c>
      <c r="L4213" t="b">
        <f>TablaDatos[[#This Row],[FechaAlta]] &lt; TablaDatos[[#This Row],[FechaIngreso]]</f>
        <v>0</v>
      </c>
      <c r="M4213">
        <f>_xlfn.XLOOKUP(TablaDatos[[#This Row],[PacienteID]],'Datos_Ejemplo.csv'!A:A,'Datos_Ejemplo.csv'!I:I)</f>
        <v>2</v>
      </c>
      <c r="N4213">
        <f>ABS(TablaDatos[[#This Row],[DiasOriginal]])</f>
        <v>2</v>
      </c>
      <c r="O4213" s="1">
        <f>TablaDatos[[#This Row],[FechaIngreso]]+TablaDatos[[#This Row],[DiasNuevo]]</f>
        <v>45654</v>
      </c>
    </row>
    <row r="4214" spans="1:15">
      <c r="A4214">
        <v>4213</v>
      </c>
      <c r="B4214" t="s">
        <v>269</v>
      </c>
      <c r="C4214" s="1">
        <v>13150</v>
      </c>
      <c r="D4214">
        <v>90</v>
      </c>
      <c r="E4214" s="4" t="s">
        <v>12</v>
      </c>
      <c r="F4214" t="s">
        <v>21</v>
      </c>
      <c r="G4214" s="1">
        <v>45558</v>
      </c>
      <c r="H4214" s="1">
        <f>TablaDatos[[#This Row],[FechaIngreso]]+TablaDatos[[#This Row],[DiasNuevo]]</f>
        <v>45563</v>
      </c>
      <c r="I4214">
        <v>5</v>
      </c>
      <c r="J4214" t="s">
        <v>23</v>
      </c>
      <c r="K4214" s="3">
        <v>19892.02</v>
      </c>
      <c r="L4214" t="b">
        <f>TablaDatos[[#This Row],[FechaAlta]] &lt; TablaDatos[[#This Row],[FechaIngreso]]</f>
        <v>0</v>
      </c>
      <c r="M4214">
        <f>_xlfn.XLOOKUP(TablaDatos[[#This Row],[PacienteID]],'Datos_Ejemplo.csv'!A:A,'Datos_Ejemplo.csv'!I:I)</f>
        <v>5</v>
      </c>
      <c r="N4214">
        <f>ABS(TablaDatos[[#This Row],[DiasOriginal]])</f>
        <v>5</v>
      </c>
      <c r="O4214" s="1">
        <f>TablaDatos[[#This Row],[FechaIngreso]]+TablaDatos[[#This Row],[DiasNuevo]]</f>
        <v>45563</v>
      </c>
    </row>
    <row r="4215" spans="1:15">
      <c r="A4215">
        <v>4214</v>
      </c>
      <c r="B4215" t="s">
        <v>364</v>
      </c>
      <c r="C4215" s="1">
        <v>13515</v>
      </c>
      <c r="D4215">
        <v>89</v>
      </c>
      <c r="E4215" s="4" t="s">
        <v>12</v>
      </c>
      <c r="F4215" t="s">
        <v>201</v>
      </c>
      <c r="G4215" s="1">
        <v>45606</v>
      </c>
      <c r="H4215" s="1">
        <f>TablaDatos[[#This Row],[FechaIngreso]]+TablaDatos[[#This Row],[DiasNuevo]]</f>
        <v>45612</v>
      </c>
      <c r="I4215">
        <v>6</v>
      </c>
      <c r="J4215" t="s">
        <v>19</v>
      </c>
      <c r="K4215" s="3">
        <v>17998.71</v>
      </c>
      <c r="L4215" t="b">
        <f>TablaDatos[[#This Row],[FechaAlta]] &lt; TablaDatos[[#This Row],[FechaIngreso]]</f>
        <v>0</v>
      </c>
      <c r="M4215">
        <f>_xlfn.XLOOKUP(TablaDatos[[#This Row],[PacienteID]],'Datos_Ejemplo.csv'!A:A,'Datos_Ejemplo.csv'!I:I)</f>
        <v>6</v>
      </c>
      <c r="N4215">
        <f>ABS(TablaDatos[[#This Row],[DiasOriginal]])</f>
        <v>6</v>
      </c>
      <c r="O4215" s="1">
        <f>TablaDatos[[#This Row],[FechaIngreso]]+TablaDatos[[#This Row],[DiasNuevo]]</f>
        <v>45612</v>
      </c>
    </row>
    <row r="4216" spans="1:15">
      <c r="A4216">
        <v>4215</v>
      </c>
      <c r="B4216" t="s">
        <v>161</v>
      </c>
      <c r="C4216" s="1">
        <v>17898</v>
      </c>
      <c r="D4216">
        <v>77</v>
      </c>
      <c r="E4216" s="4" t="s">
        <v>15</v>
      </c>
      <c r="F4216" t="s">
        <v>13</v>
      </c>
      <c r="G4216" s="1">
        <v>45143</v>
      </c>
      <c r="H4216" s="1">
        <f>TablaDatos[[#This Row],[FechaIngreso]]+TablaDatos[[#This Row],[DiasNuevo]]</f>
        <v>45172</v>
      </c>
      <c r="I4216">
        <v>29</v>
      </c>
      <c r="J4216" t="s">
        <v>23</v>
      </c>
      <c r="K4216" s="3">
        <v>12663.75</v>
      </c>
      <c r="L4216" t="b">
        <f>TablaDatos[[#This Row],[FechaAlta]] &lt; TablaDatos[[#This Row],[FechaIngreso]]</f>
        <v>0</v>
      </c>
      <c r="M4216">
        <f>_xlfn.XLOOKUP(TablaDatos[[#This Row],[PacienteID]],'Datos_Ejemplo.csv'!A:A,'Datos_Ejemplo.csv'!I:I)</f>
        <v>29</v>
      </c>
      <c r="N4216">
        <f>ABS(TablaDatos[[#This Row],[DiasOriginal]])</f>
        <v>29</v>
      </c>
      <c r="O4216" s="1">
        <f>TablaDatos[[#This Row],[FechaIngreso]]+TablaDatos[[#This Row],[DiasNuevo]]</f>
        <v>45172</v>
      </c>
    </row>
    <row r="4217" spans="1:15">
      <c r="A4217">
        <v>4216</v>
      </c>
      <c r="B4217" t="s">
        <v>272</v>
      </c>
      <c r="C4217" s="1">
        <v>40178</v>
      </c>
      <c r="D4217">
        <v>16</v>
      </c>
      <c r="E4217" s="4" t="s">
        <v>12</v>
      </c>
      <c r="F4217" t="s">
        <v>261</v>
      </c>
      <c r="G4217" s="1">
        <v>45360</v>
      </c>
      <c r="H4217" s="1">
        <f>TablaDatos[[#This Row],[FechaIngreso]]+TablaDatos[[#This Row],[DiasNuevo]]</f>
        <v>45371</v>
      </c>
      <c r="I4217">
        <v>11</v>
      </c>
      <c r="J4217" t="s">
        <v>25</v>
      </c>
      <c r="K4217" s="3">
        <v>17820.009999999998</v>
      </c>
      <c r="L4217" t="b">
        <f>TablaDatos[[#This Row],[FechaAlta]] &lt; TablaDatos[[#This Row],[FechaIngreso]]</f>
        <v>0</v>
      </c>
      <c r="M4217">
        <f>_xlfn.XLOOKUP(TablaDatos[[#This Row],[PacienteID]],'Datos_Ejemplo.csv'!A:A,'Datos_Ejemplo.csv'!I:I)</f>
        <v>11</v>
      </c>
      <c r="N4217">
        <f>ABS(TablaDatos[[#This Row],[DiasOriginal]])</f>
        <v>11</v>
      </c>
      <c r="O4217" s="1">
        <f>TablaDatos[[#This Row],[FechaIngreso]]+TablaDatos[[#This Row],[DiasNuevo]]</f>
        <v>45371</v>
      </c>
    </row>
    <row r="4218" spans="1:15">
      <c r="A4218">
        <v>4217</v>
      </c>
      <c r="B4218" t="s">
        <v>308</v>
      </c>
      <c r="C4218" s="1">
        <v>39813</v>
      </c>
      <c r="D4218">
        <v>17</v>
      </c>
      <c r="E4218" s="4" t="s">
        <v>15</v>
      </c>
      <c r="F4218" t="s">
        <v>13</v>
      </c>
      <c r="G4218" s="1">
        <v>45655</v>
      </c>
      <c r="H4218" s="1">
        <f>TablaDatos[[#This Row],[FechaIngreso]]+TablaDatos[[#This Row],[DiasNuevo]]</f>
        <v>45665</v>
      </c>
      <c r="I4218">
        <v>10</v>
      </c>
      <c r="J4218" t="s">
        <v>23</v>
      </c>
      <c r="K4218" s="3">
        <v>18702.8</v>
      </c>
      <c r="L4218" t="b">
        <f>TablaDatos[[#This Row],[FechaAlta]] &lt; TablaDatos[[#This Row],[FechaIngreso]]</f>
        <v>0</v>
      </c>
      <c r="M4218">
        <f>_xlfn.XLOOKUP(TablaDatos[[#This Row],[PacienteID]],'Datos_Ejemplo.csv'!A:A,'Datos_Ejemplo.csv'!I:I)</f>
        <v>10</v>
      </c>
      <c r="N4218">
        <f>ABS(TablaDatos[[#This Row],[DiasOriginal]])</f>
        <v>10</v>
      </c>
      <c r="O4218" s="1">
        <f>TablaDatos[[#This Row],[FechaIngreso]]+TablaDatos[[#This Row],[DiasNuevo]]</f>
        <v>45665</v>
      </c>
    </row>
    <row r="4219" spans="1:15">
      <c r="A4219">
        <v>4218</v>
      </c>
      <c r="B4219" t="s">
        <v>363</v>
      </c>
      <c r="C4219" s="1">
        <v>29951</v>
      </c>
      <c r="D4219">
        <v>44</v>
      </c>
      <c r="E4219" s="4" t="s">
        <v>15</v>
      </c>
      <c r="F4219" t="s">
        <v>18</v>
      </c>
      <c r="G4219" s="1">
        <v>44980</v>
      </c>
      <c r="H4219" s="1">
        <f>TablaDatos[[#This Row],[FechaIngreso]]+TablaDatos[[#This Row],[DiasNuevo]]</f>
        <v>44995</v>
      </c>
      <c r="I4219">
        <v>15</v>
      </c>
      <c r="J4219" t="s">
        <v>19</v>
      </c>
      <c r="K4219" s="3">
        <v>13489.78</v>
      </c>
      <c r="L4219" t="b">
        <f>TablaDatos[[#This Row],[FechaAlta]] &lt; TablaDatos[[#This Row],[FechaIngreso]]</f>
        <v>0</v>
      </c>
      <c r="M4219">
        <f>_xlfn.XLOOKUP(TablaDatos[[#This Row],[PacienteID]],'Datos_Ejemplo.csv'!A:A,'Datos_Ejemplo.csv'!I:I)</f>
        <v>15</v>
      </c>
      <c r="N4219">
        <f>ABS(TablaDatos[[#This Row],[DiasOriginal]])</f>
        <v>15</v>
      </c>
      <c r="O4219" s="1">
        <f>TablaDatos[[#This Row],[FechaIngreso]]+TablaDatos[[#This Row],[DiasNuevo]]</f>
        <v>44995</v>
      </c>
    </row>
    <row r="4220" spans="1:15">
      <c r="A4220">
        <v>4219</v>
      </c>
      <c r="B4220" t="s">
        <v>255</v>
      </c>
      <c r="C4220" s="1">
        <v>12419</v>
      </c>
      <c r="D4220">
        <v>92</v>
      </c>
      <c r="E4220" s="4" t="s">
        <v>15</v>
      </c>
      <c r="F4220" t="s">
        <v>201</v>
      </c>
      <c r="G4220" s="1">
        <v>45646</v>
      </c>
      <c r="H4220" s="1">
        <f>TablaDatos[[#This Row],[FechaIngreso]]+TablaDatos[[#This Row],[DiasNuevo]]</f>
        <v>45647</v>
      </c>
      <c r="I4220">
        <v>1</v>
      </c>
      <c r="J4220" t="s">
        <v>23</v>
      </c>
      <c r="K4220" s="3">
        <v>10325.459999999999</v>
      </c>
      <c r="L4220" t="b">
        <f>TablaDatos[[#This Row],[FechaAlta]] &lt; TablaDatos[[#This Row],[FechaIngreso]]</f>
        <v>0</v>
      </c>
      <c r="M4220">
        <f>_xlfn.XLOOKUP(TablaDatos[[#This Row],[PacienteID]],'Datos_Ejemplo.csv'!A:A,'Datos_Ejemplo.csv'!I:I)</f>
        <v>1</v>
      </c>
      <c r="N4220">
        <f>ABS(TablaDatos[[#This Row],[DiasOriginal]])</f>
        <v>1</v>
      </c>
      <c r="O4220" s="1">
        <f>TablaDatos[[#This Row],[FechaIngreso]]+TablaDatos[[#This Row],[DiasNuevo]]</f>
        <v>45647</v>
      </c>
    </row>
    <row r="4221" spans="1:15">
      <c r="A4221">
        <v>4220</v>
      </c>
      <c r="B4221" t="s">
        <v>249</v>
      </c>
      <c r="C4221" s="1">
        <v>15707</v>
      </c>
      <c r="D4221">
        <v>83</v>
      </c>
      <c r="E4221" s="4" t="s">
        <v>12</v>
      </c>
      <c r="F4221" t="s">
        <v>261</v>
      </c>
      <c r="G4221" s="1">
        <v>45518</v>
      </c>
      <c r="H4221" s="1">
        <f>TablaDatos[[#This Row],[FechaIngreso]]+TablaDatos[[#This Row],[DiasNuevo]]</f>
        <v>45537</v>
      </c>
      <c r="I4221">
        <v>19</v>
      </c>
      <c r="J4221" t="s">
        <v>19</v>
      </c>
      <c r="K4221" s="3">
        <v>17628.240000000002</v>
      </c>
      <c r="L4221" t="b">
        <f>TablaDatos[[#This Row],[FechaAlta]] &lt; TablaDatos[[#This Row],[FechaIngreso]]</f>
        <v>0</v>
      </c>
      <c r="M4221">
        <f>_xlfn.XLOOKUP(TablaDatos[[#This Row],[PacienteID]],'Datos_Ejemplo.csv'!A:A,'Datos_Ejemplo.csv'!I:I)</f>
        <v>19</v>
      </c>
      <c r="N4221">
        <f>ABS(TablaDatos[[#This Row],[DiasOriginal]])</f>
        <v>19</v>
      </c>
      <c r="O4221" s="1">
        <f>TablaDatos[[#This Row],[FechaIngreso]]+TablaDatos[[#This Row],[DiasNuevo]]</f>
        <v>45537</v>
      </c>
    </row>
    <row r="4222" spans="1:15">
      <c r="A4222">
        <v>4221</v>
      </c>
      <c r="B4222" t="s">
        <v>230</v>
      </c>
      <c r="C4222" s="1">
        <v>27029</v>
      </c>
      <c r="D4222">
        <v>52</v>
      </c>
      <c r="E4222" s="4" t="s">
        <v>15</v>
      </c>
      <c r="F4222" t="s">
        <v>201</v>
      </c>
      <c r="G4222" s="1">
        <v>45077</v>
      </c>
      <c r="H4222" s="1">
        <f>TablaDatos[[#This Row],[FechaIngreso]]+TablaDatos[[#This Row],[DiasNuevo]]</f>
        <v>45094</v>
      </c>
      <c r="I4222">
        <v>17</v>
      </c>
      <c r="J4222" t="s">
        <v>23</v>
      </c>
      <c r="K4222" s="3">
        <v>11312.72</v>
      </c>
      <c r="L4222" t="b">
        <f>TablaDatos[[#This Row],[FechaAlta]] &lt; TablaDatos[[#This Row],[FechaIngreso]]</f>
        <v>0</v>
      </c>
      <c r="M4222">
        <f>_xlfn.XLOOKUP(TablaDatos[[#This Row],[PacienteID]],'Datos_Ejemplo.csv'!A:A,'Datos_Ejemplo.csv'!I:I)</f>
        <v>17</v>
      </c>
      <c r="N4222">
        <f>ABS(TablaDatos[[#This Row],[DiasOriginal]])</f>
        <v>17</v>
      </c>
      <c r="O4222" s="1">
        <f>TablaDatos[[#This Row],[FechaIngreso]]+TablaDatos[[#This Row],[DiasNuevo]]</f>
        <v>45094</v>
      </c>
    </row>
    <row r="4223" spans="1:15">
      <c r="A4223">
        <v>4222</v>
      </c>
      <c r="B4223" t="s">
        <v>237</v>
      </c>
      <c r="C4223" s="1">
        <v>13150</v>
      </c>
      <c r="D4223">
        <v>90</v>
      </c>
      <c r="E4223" s="4" t="s">
        <v>15</v>
      </c>
      <c r="F4223" t="s">
        <v>201</v>
      </c>
      <c r="G4223" s="1">
        <v>44981</v>
      </c>
      <c r="H4223" s="1">
        <f>TablaDatos[[#This Row],[FechaIngreso]]+TablaDatos[[#This Row],[DiasNuevo]]</f>
        <v>44993</v>
      </c>
      <c r="I4223">
        <v>12</v>
      </c>
      <c r="J4223" t="s">
        <v>23</v>
      </c>
      <c r="K4223" s="3">
        <v>2448.69</v>
      </c>
      <c r="L4223" t="b">
        <f>TablaDatos[[#This Row],[FechaAlta]] &lt; TablaDatos[[#This Row],[FechaIngreso]]</f>
        <v>0</v>
      </c>
      <c r="M4223">
        <f>_xlfn.XLOOKUP(TablaDatos[[#This Row],[PacienteID]],'Datos_Ejemplo.csv'!A:A,'Datos_Ejemplo.csv'!I:I)</f>
        <v>12</v>
      </c>
      <c r="N4223">
        <f>ABS(TablaDatos[[#This Row],[DiasOriginal]])</f>
        <v>12</v>
      </c>
      <c r="O4223" s="1">
        <f>TablaDatos[[#This Row],[FechaIngreso]]+TablaDatos[[#This Row],[DiasNuevo]]</f>
        <v>44993</v>
      </c>
    </row>
    <row r="4224" spans="1:15">
      <c r="A4224">
        <v>4223</v>
      </c>
      <c r="B4224" t="s">
        <v>300</v>
      </c>
      <c r="C4224" s="1">
        <v>16437</v>
      </c>
      <c r="D4224">
        <v>81</v>
      </c>
      <c r="E4224" s="4" t="s">
        <v>15</v>
      </c>
      <c r="F4224" t="s">
        <v>295</v>
      </c>
      <c r="G4224" s="1">
        <v>45443</v>
      </c>
      <c r="H4224" s="1">
        <f>TablaDatos[[#This Row],[FechaIngreso]]+TablaDatos[[#This Row],[DiasNuevo]]</f>
        <v>45447</v>
      </c>
      <c r="I4224">
        <v>4</v>
      </c>
      <c r="J4224" t="s">
        <v>23</v>
      </c>
      <c r="K4224" s="3">
        <v>7273.81</v>
      </c>
      <c r="L4224" t="b">
        <f>TablaDatos[[#This Row],[FechaAlta]] &lt; TablaDatos[[#This Row],[FechaIngreso]]</f>
        <v>0</v>
      </c>
      <c r="M4224">
        <f>_xlfn.XLOOKUP(TablaDatos[[#This Row],[PacienteID]],'Datos_Ejemplo.csv'!A:A,'Datos_Ejemplo.csv'!I:I)</f>
        <v>4</v>
      </c>
      <c r="N4224">
        <f>ABS(TablaDatos[[#This Row],[DiasOriginal]])</f>
        <v>4</v>
      </c>
      <c r="O4224" s="1">
        <f>TablaDatos[[#This Row],[FechaIngreso]]+TablaDatos[[#This Row],[DiasNuevo]]</f>
        <v>45447</v>
      </c>
    </row>
    <row r="4225" spans="1:15">
      <c r="A4225">
        <v>4224</v>
      </c>
      <c r="B4225" t="s">
        <v>130</v>
      </c>
      <c r="C4225" s="1">
        <v>21551</v>
      </c>
      <c r="D4225">
        <v>67</v>
      </c>
      <c r="E4225" s="4" t="s">
        <v>15</v>
      </c>
      <c r="F4225" t="s">
        <v>21</v>
      </c>
      <c r="G4225" s="1">
        <v>45374</v>
      </c>
      <c r="H4225" s="1">
        <f>TablaDatos[[#This Row],[FechaIngreso]]+TablaDatos[[#This Row],[DiasNuevo]]</f>
        <v>45384</v>
      </c>
      <c r="I4225">
        <v>10</v>
      </c>
      <c r="J4225" t="s">
        <v>23</v>
      </c>
      <c r="K4225" s="3">
        <v>8863.01</v>
      </c>
      <c r="L4225" t="b">
        <f>TablaDatos[[#This Row],[FechaAlta]] &lt; TablaDatos[[#This Row],[FechaIngreso]]</f>
        <v>0</v>
      </c>
      <c r="M4225">
        <f>_xlfn.XLOOKUP(TablaDatos[[#This Row],[PacienteID]],'Datos_Ejemplo.csv'!A:A,'Datos_Ejemplo.csv'!I:I)</f>
        <v>10</v>
      </c>
      <c r="N4225">
        <f>ABS(TablaDatos[[#This Row],[DiasOriginal]])</f>
        <v>10</v>
      </c>
      <c r="O4225" s="1">
        <f>TablaDatos[[#This Row],[FechaIngreso]]+TablaDatos[[#This Row],[DiasNuevo]]</f>
        <v>45384</v>
      </c>
    </row>
    <row r="4226" spans="1:15">
      <c r="A4226">
        <v>4225</v>
      </c>
      <c r="B4226" t="s">
        <v>246</v>
      </c>
      <c r="C4226" s="1">
        <v>22646</v>
      </c>
      <c r="D4226">
        <v>64</v>
      </c>
      <c r="E4226" s="4" t="s">
        <v>15</v>
      </c>
      <c r="F4226" t="s">
        <v>201</v>
      </c>
      <c r="G4226" s="1">
        <v>44961</v>
      </c>
      <c r="H4226" s="1">
        <f>TablaDatos[[#This Row],[FechaIngreso]]+TablaDatos[[#This Row],[DiasNuevo]]</f>
        <v>44992</v>
      </c>
      <c r="I4226">
        <v>31</v>
      </c>
      <c r="J4226" t="s">
        <v>19</v>
      </c>
      <c r="K4226" s="3">
        <v>18700.919999999998</v>
      </c>
      <c r="L4226" t="b">
        <f>TablaDatos[[#This Row],[FechaAlta]] &lt; TablaDatos[[#This Row],[FechaIngreso]]</f>
        <v>0</v>
      </c>
      <c r="M4226">
        <f>_xlfn.XLOOKUP(TablaDatos[[#This Row],[PacienteID]],'Datos_Ejemplo.csv'!A:A,'Datos_Ejemplo.csv'!I:I)</f>
        <v>31</v>
      </c>
      <c r="N4226">
        <f>ABS(TablaDatos[[#This Row],[DiasOriginal]])</f>
        <v>31</v>
      </c>
      <c r="O4226" s="1">
        <f>TablaDatos[[#This Row],[FechaIngreso]]+TablaDatos[[#This Row],[DiasNuevo]]</f>
        <v>44992</v>
      </c>
    </row>
    <row r="4227" spans="1:15">
      <c r="A4227">
        <v>4226</v>
      </c>
      <c r="B4227" t="s">
        <v>287</v>
      </c>
      <c r="C4227" s="1">
        <v>46022</v>
      </c>
      <c r="D4227">
        <v>0</v>
      </c>
      <c r="E4227" s="4" t="s">
        <v>15</v>
      </c>
      <c r="F4227" t="s">
        <v>18</v>
      </c>
      <c r="G4227" s="1">
        <v>45045</v>
      </c>
      <c r="H4227" s="1">
        <f>TablaDatos[[#This Row],[FechaIngreso]]+TablaDatos[[#This Row],[DiasNuevo]]</f>
        <v>45083</v>
      </c>
      <c r="I4227">
        <v>38</v>
      </c>
      <c r="J4227" t="s">
        <v>19</v>
      </c>
      <c r="K4227" s="3">
        <v>13149.63</v>
      </c>
      <c r="L4227" t="b">
        <f>TablaDatos[[#This Row],[FechaAlta]] &lt; TablaDatos[[#This Row],[FechaIngreso]]</f>
        <v>0</v>
      </c>
      <c r="M4227">
        <f>_xlfn.XLOOKUP(TablaDatos[[#This Row],[PacienteID]],'Datos_Ejemplo.csv'!A:A,'Datos_Ejemplo.csv'!I:I)</f>
        <v>38</v>
      </c>
      <c r="N4227">
        <f>ABS(TablaDatos[[#This Row],[DiasOriginal]])</f>
        <v>38</v>
      </c>
      <c r="O4227" s="1">
        <f>TablaDatos[[#This Row],[FechaIngreso]]+TablaDatos[[#This Row],[DiasNuevo]]</f>
        <v>45083</v>
      </c>
    </row>
    <row r="4228" spans="1:15">
      <c r="A4228">
        <v>4227</v>
      </c>
      <c r="B4228" t="s">
        <v>294</v>
      </c>
      <c r="C4228" s="1">
        <f ca="1">DATE(YEAR(TODAY())-TablaDatos[[#This Row],[Edad]],1,1)</f>
        <v>25204</v>
      </c>
      <c r="D4228">
        <v>57</v>
      </c>
      <c r="E4228" s="4" t="s">
        <v>12</v>
      </c>
      <c r="F4228" t="s">
        <v>18</v>
      </c>
      <c r="G4228" s="1">
        <v>45123</v>
      </c>
      <c r="H4228" s="1">
        <f>TablaDatos[[#This Row],[FechaIngreso]]+TablaDatos[[#This Row],[DiasNuevo]]</f>
        <v>45150</v>
      </c>
      <c r="I4228">
        <v>27</v>
      </c>
      <c r="J4228" t="s">
        <v>19</v>
      </c>
      <c r="K4228" s="3">
        <v>17493.080000000002</v>
      </c>
      <c r="L4228" t="b">
        <f>TablaDatos[[#This Row],[FechaAlta]] &lt; TablaDatos[[#This Row],[FechaIngreso]]</f>
        <v>0</v>
      </c>
      <c r="M4228">
        <f>_xlfn.XLOOKUP(TablaDatos[[#This Row],[PacienteID]],'Datos_Ejemplo.csv'!A:A,'Datos_Ejemplo.csv'!I:I)</f>
        <v>27</v>
      </c>
      <c r="N4228">
        <f>ABS(TablaDatos[[#This Row],[DiasOriginal]])</f>
        <v>27</v>
      </c>
      <c r="O4228" s="1">
        <f>TablaDatos[[#This Row],[FechaIngreso]]+TablaDatos[[#This Row],[DiasNuevo]]</f>
        <v>45150</v>
      </c>
    </row>
    <row r="4229" spans="1:15">
      <c r="A4229">
        <v>4228</v>
      </c>
      <c r="B4229" t="s">
        <v>363</v>
      </c>
      <c r="C4229" s="1">
        <v>36891</v>
      </c>
      <c r="D4229">
        <f ca="1">DATEDIF(TablaDatos[[#This Row],[FechaNacimiento]],TODAY(),"Y")</f>
        <v>25</v>
      </c>
      <c r="E4229" s="4" t="s">
        <v>15</v>
      </c>
      <c r="F4229" t="s">
        <v>261</v>
      </c>
      <c r="G4229" s="1">
        <v>45492</v>
      </c>
      <c r="H4229" s="1">
        <f>TablaDatos[[#This Row],[FechaIngreso]]+TablaDatos[[#This Row],[DiasNuevo]]</f>
        <v>45494</v>
      </c>
      <c r="I4229">
        <v>2</v>
      </c>
      <c r="J4229" t="s">
        <v>25</v>
      </c>
      <c r="K4229" s="3">
        <v>15127.59</v>
      </c>
      <c r="L4229" t="b">
        <f>TablaDatos[[#This Row],[FechaAlta]] &lt; TablaDatos[[#This Row],[FechaIngreso]]</f>
        <v>0</v>
      </c>
      <c r="M4229">
        <f>_xlfn.XLOOKUP(TablaDatos[[#This Row],[PacienteID]],'Datos_Ejemplo.csv'!A:A,'Datos_Ejemplo.csv'!I:I)</f>
        <v>2</v>
      </c>
      <c r="N4229">
        <f>ABS(TablaDatos[[#This Row],[DiasOriginal]])</f>
        <v>2</v>
      </c>
      <c r="O4229" s="1">
        <f>TablaDatos[[#This Row],[FechaIngreso]]+TablaDatos[[#This Row],[DiasNuevo]]</f>
        <v>45494</v>
      </c>
    </row>
    <row r="4230" spans="1:15">
      <c r="A4230">
        <v>4229</v>
      </c>
      <c r="B4230" t="s">
        <v>102</v>
      </c>
      <c r="C4230" s="1">
        <v>39083</v>
      </c>
      <c r="D4230">
        <v>19</v>
      </c>
      <c r="E4230" s="4" t="s">
        <v>12</v>
      </c>
      <c r="F4230" t="s">
        <v>32</v>
      </c>
      <c r="G4230" s="1">
        <v>45440</v>
      </c>
      <c r="H4230" s="1">
        <f>TablaDatos[[#This Row],[FechaIngreso]]+TablaDatos[[#This Row],[DiasNuevo]]</f>
        <v>45442</v>
      </c>
      <c r="I4230">
        <v>2</v>
      </c>
      <c r="J4230" t="s">
        <v>19</v>
      </c>
      <c r="K4230" s="3">
        <v>6128.2</v>
      </c>
      <c r="L4230" t="b">
        <f>TablaDatos[[#This Row],[FechaAlta]] &lt; TablaDatos[[#This Row],[FechaIngreso]]</f>
        <v>0</v>
      </c>
      <c r="M4230">
        <f>_xlfn.XLOOKUP(TablaDatos[[#This Row],[PacienteID]],'Datos_Ejemplo.csv'!A:A,'Datos_Ejemplo.csv'!I:I)</f>
        <v>-2</v>
      </c>
      <c r="N4230">
        <f>ABS(TablaDatos[[#This Row],[DiasOriginal]])</f>
        <v>2</v>
      </c>
      <c r="O4230" s="1">
        <f>TablaDatos[[#This Row],[FechaIngreso]]+TablaDatos[[#This Row],[DiasNuevo]]</f>
        <v>45442</v>
      </c>
    </row>
    <row r="4231" spans="1:15">
      <c r="A4231">
        <v>4230</v>
      </c>
      <c r="B4231" t="s">
        <v>303</v>
      </c>
      <c r="C4231" s="1">
        <v>14611</v>
      </c>
      <c r="D4231">
        <v>86</v>
      </c>
      <c r="E4231" s="4" t="s">
        <v>12</v>
      </c>
      <c r="F4231" t="s">
        <v>295</v>
      </c>
      <c r="G4231" s="1">
        <v>45520</v>
      </c>
      <c r="H4231" s="1">
        <f>TablaDatos[[#This Row],[FechaIngreso]]+TablaDatos[[#This Row],[DiasNuevo]]</f>
        <v>45548</v>
      </c>
      <c r="I4231">
        <v>28</v>
      </c>
      <c r="J4231" t="s">
        <v>25</v>
      </c>
      <c r="K4231" s="3">
        <v>14346.05</v>
      </c>
      <c r="L4231" t="b">
        <f>TablaDatos[[#This Row],[FechaAlta]] &lt; TablaDatos[[#This Row],[FechaIngreso]]</f>
        <v>0</v>
      </c>
      <c r="M4231">
        <f>_xlfn.XLOOKUP(TablaDatos[[#This Row],[PacienteID]],'Datos_Ejemplo.csv'!A:A,'Datos_Ejemplo.csv'!I:I)</f>
        <v>28</v>
      </c>
      <c r="N4231">
        <f>ABS(TablaDatos[[#This Row],[DiasOriginal]])</f>
        <v>28</v>
      </c>
      <c r="O4231" s="1">
        <f>TablaDatos[[#This Row],[FechaIngreso]]+TablaDatos[[#This Row],[DiasNuevo]]</f>
        <v>45548</v>
      </c>
    </row>
    <row r="4232" spans="1:15">
      <c r="A4232">
        <v>4231</v>
      </c>
      <c r="B4232" t="s">
        <v>256</v>
      </c>
      <c r="C4232" s="1">
        <v>42735</v>
      </c>
      <c r="D4232">
        <v>9</v>
      </c>
      <c r="E4232" s="4" t="s">
        <v>15</v>
      </c>
      <c r="F4232" t="s">
        <v>21</v>
      </c>
      <c r="G4232" s="1">
        <v>45348</v>
      </c>
      <c r="H4232" s="1">
        <f>TablaDatos[[#This Row],[FechaIngreso]]+TablaDatos[[#This Row],[DiasNuevo]]</f>
        <v>45365</v>
      </c>
      <c r="I4232">
        <v>17</v>
      </c>
      <c r="J4232" t="s">
        <v>19</v>
      </c>
      <c r="K4232" s="3">
        <v>3825.52</v>
      </c>
      <c r="L4232" t="b">
        <f>TablaDatos[[#This Row],[FechaAlta]] &lt; TablaDatos[[#This Row],[FechaIngreso]]</f>
        <v>0</v>
      </c>
      <c r="M4232">
        <f>_xlfn.XLOOKUP(TablaDatos[[#This Row],[PacienteID]],'Datos_Ejemplo.csv'!A:A,'Datos_Ejemplo.csv'!I:I)</f>
        <v>17</v>
      </c>
      <c r="N4232">
        <f>ABS(TablaDatos[[#This Row],[DiasOriginal]])</f>
        <v>17</v>
      </c>
      <c r="O4232" s="1">
        <f>TablaDatos[[#This Row],[FechaIngreso]]+TablaDatos[[#This Row],[DiasNuevo]]</f>
        <v>45365</v>
      </c>
    </row>
    <row r="4233" spans="1:15">
      <c r="A4233">
        <v>4232</v>
      </c>
      <c r="B4233" t="s">
        <v>253</v>
      </c>
      <c r="C4233" s="1">
        <v>24838</v>
      </c>
      <c r="D4233">
        <v>58</v>
      </c>
      <c r="E4233" s="4" t="s">
        <v>15</v>
      </c>
      <c r="F4233" t="s">
        <v>21</v>
      </c>
      <c r="G4233" s="1">
        <v>45443</v>
      </c>
      <c r="H4233" s="1">
        <f>TablaDatos[[#This Row],[FechaIngreso]]+TablaDatos[[#This Row],[DiasNuevo]]</f>
        <v>45459</v>
      </c>
      <c r="I4233">
        <v>16</v>
      </c>
      <c r="J4233" t="s">
        <v>25</v>
      </c>
      <c r="K4233" s="3">
        <v>8103.73</v>
      </c>
      <c r="L4233" t="b">
        <f>TablaDatos[[#This Row],[FechaAlta]] &lt; TablaDatos[[#This Row],[FechaIngreso]]</f>
        <v>0</v>
      </c>
      <c r="M4233">
        <f>_xlfn.XLOOKUP(TablaDatos[[#This Row],[PacienteID]],'Datos_Ejemplo.csv'!A:A,'Datos_Ejemplo.csv'!I:I)</f>
        <v>16</v>
      </c>
      <c r="N4233">
        <f>ABS(TablaDatos[[#This Row],[DiasOriginal]])</f>
        <v>16</v>
      </c>
      <c r="O4233" s="1">
        <f>TablaDatos[[#This Row],[FechaIngreso]]+TablaDatos[[#This Row],[DiasNuevo]]</f>
        <v>45459</v>
      </c>
    </row>
    <row r="4234" spans="1:15">
      <c r="A4234">
        <v>4233</v>
      </c>
      <c r="B4234" t="s">
        <v>306</v>
      </c>
      <c r="C4234" s="1">
        <v>18994</v>
      </c>
      <c r="D4234">
        <v>74</v>
      </c>
      <c r="E4234" s="4" t="s">
        <v>12</v>
      </c>
      <c r="F4234" t="s">
        <v>21</v>
      </c>
      <c r="G4234" s="1">
        <v>45612</v>
      </c>
      <c r="H4234" s="1">
        <f>TablaDatos[[#This Row],[FechaIngreso]]+TablaDatos[[#This Row],[DiasNuevo]]</f>
        <v>45638</v>
      </c>
      <c r="I4234">
        <v>26</v>
      </c>
      <c r="J4234" t="s">
        <v>23</v>
      </c>
      <c r="K4234" s="3">
        <v>16102.45</v>
      </c>
      <c r="L4234" t="b">
        <f>TablaDatos[[#This Row],[FechaAlta]] &lt; TablaDatos[[#This Row],[FechaIngreso]]</f>
        <v>0</v>
      </c>
      <c r="M4234">
        <f>_xlfn.XLOOKUP(TablaDatos[[#This Row],[PacienteID]],'Datos_Ejemplo.csv'!A:A,'Datos_Ejemplo.csv'!I:I)</f>
        <v>26</v>
      </c>
      <c r="N4234">
        <f>ABS(TablaDatos[[#This Row],[DiasOriginal]])</f>
        <v>26</v>
      </c>
      <c r="O4234" s="1">
        <f>TablaDatos[[#This Row],[FechaIngreso]]+TablaDatos[[#This Row],[DiasNuevo]]</f>
        <v>45638</v>
      </c>
    </row>
    <row r="4235" spans="1:15">
      <c r="A4235">
        <v>4234</v>
      </c>
      <c r="B4235" t="s">
        <v>262</v>
      </c>
      <c r="C4235" s="1">
        <v>31412</v>
      </c>
      <c r="D4235">
        <v>40</v>
      </c>
      <c r="E4235" s="4" t="s">
        <v>15</v>
      </c>
      <c r="F4235" t="s">
        <v>261</v>
      </c>
      <c r="G4235" s="1">
        <v>45065</v>
      </c>
      <c r="H4235" s="1">
        <f>TablaDatos[[#This Row],[FechaIngreso]]+TablaDatos[[#This Row],[DiasNuevo]]</f>
        <v>45100</v>
      </c>
      <c r="I4235">
        <v>35</v>
      </c>
      <c r="J4235" t="s">
        <v>23</v>
      </c>
      <c r="K4235" s="3">
        <v>12199.78</v>
      </c>
      <c r="L4235" t="b">
        <f>TablaDatos[[#This Row],[FechaAlta]] &lt; TablaDatos[[#This Row],[FechaIngreso]]</f>
        <v>0</v>
      </c>
      <c r="M4235">
        <f>_xlfn.XLOOKUP(TablaDatos[[#This Row],[PacienteID]],'Datos_Ejemplo.csv'!A:A,'Datos_Ejemplo.csv'!I:I)</f>
        <v>35</v>
      </c>
      <c r="N4235">
        <f>ABS(TablaDatos[[#This Row],[DiasOriginal]])</f>
        <v>35</v>
      </c>
      <c r="O4235" s="1">
        <f>TablaDatos[[#This Row],[FechaIngreso]]+TablaDatos[[#This Row],[DiasNuevo]]</f>
        <v>45100</v>
      </c>
    </row>
    <row r="4236" spans="1:15">
      <c r="A4236">
        <v>4235</v>
      </c>
      <c r="B4236" t="s">
        <v>291</v>
      </c>
      <c r="C4236" s="1">
        <v>44561</v>
      </c>
      <c r="D4236">
        <v>4</v>
      </c>
      <c r="E4236" s="4" t="s">
        <v>15</v>
      </c>
      <c r="F4236" t="s">
        <v>295</v>
      </c>
      <c r="G4236" s="1">
        <v>45631</v>
      </c>
      <c r="H4236" s="1">
        <f>TablaDatos[[#This Row],[FechaIngreso]]+TablaDatos[[#This Row],[DiasNuevo]]</f>
        <v>45638</v>
      </c>
      <c r="I4236">
        <v>7</v>
      </c>
      <c r="J4236" t="s">
        <v>19</v>
      </c>
      <c r="K4236" s="3">
        <v>16490.79</v>
      </c>
      <c r="L4236" t="b">
        <f>TablaDatos[[#This Row],[FechaAlta]] &lt; TablaDatos[[#This Row],[FechaIngreso]]</f>
        <v>0</v>
      </c>
      <c r="M4236">
        <f>_xlfn.XLOOKUP(TablaDatos[[#This Row],[PacienteID]],'Datos_Ejemplo.csv'!A:A,'Datos_Ejemplo.csv'!I:I)</f>
        <v>7</v>
      </c>
      <c r="N4236">
        <f>ABS(TablaDatos[[#This Row],[DiasOriginal]])</f>
        <v>7</v>
      </c>
      <c r="O4236" s="1">
        <f>TablaDatos[[#This Row],[FechaIngreso]]+TablaDatos[[#This Row],[DiasNuevo]]</f>
        <v>45638</v>
      </c>
    </row>
    <row r="4237" spans="1:15">
      <c r="A4237">
        <v>4236</v>
      </c>
      <c r="B4237" t="s">
        <v>345</v>
      </c>
      <c r="C4237" s="1">
        <v>22646</v>
      </c>
      <c r="D4237">
        <v>64</v>
      </c>
      <c r="E4237" s="4" t="s">
        <v>15</v>
      </c>
      <c r="F4237" t="s">
        <v>201</v>
      </c>
      <c r="G4237" s="1">
        <v>45576</v>
      </c>
      <c r="H4237" s="1">
        <f>TablaDatos[[#This Row],[FechaIngreso]]+TablaDatos[[#This Row],[DiasNuevo]]</f>
        <v>45602</v>
      </c>
      <c r="I4237">
        <v>26</v>
      </c>
      <c r="J4237" t="s">
        <v>25</v>
      </c>
      <c r="K4237" s="3">
        <v>5019.54</v>
      </c>
      <c r="L4237" t="b">
        <f>TablaDatos[[#This Row],[FechaAlta]] &lt; TablaDatos[[#This Row],[FechaIngreso]]</f>
        <v>0</v>
      </c>
      <c r="M4237">
        <f>_xlfn.XLOOKUP(TablaDatos[[#This Row],[PacienteID]],'Datos_Ejemplo.csv'!A:A,'Datos_Ejemplo.csv'!I:I)</f>
        <v>26</v>
      </c>
      <c r="N4237">
        <f>ABS(TablaDatos[[#This Row],[DiasOriginal]])</f>
        <v>26</v>
      </c>
      <c r="O4237" s="1">
        <f>TablaDatos[[#This Row],[FechaIngreso]]+TablaDatos[[#This Row],[DiasNuevo]]</f>
        <v>45602</v>
      </c>
    </row>
    <row r="4238" spans="1:15">
      <c r="A4238">
        <v>4237</v>
      </c>
      <c r="B4238" t="s">
        <v>265</v>
      </c>
      <c r="C4238" s="1">
        <v>40178</v>
      </c>
      <c r="D4238">
        <v>16</v>
      </c>
      <c r="E4238" s="4" t="s">
        <v>12</v>
      </c>
      <c r="F4238" t="s">
        <v>201</v>
      </c>
      <c r="G4238" s="1">
        <v>45554</v>
      </c>
      <c r="H4238" s="1">
        <f>TablaDatos[[#This Row],[FechaIngreso]]+TablaDatos[[#This Row],[DiasNuevo]]</f>
        <v>45582</v>
      </c>
      <c r="I4238">
        <v>28</v>
      </c>
      <c r="J4238" t="s">
        <v>23</v>
      </c>
      <c r="K4238" s="3">
        <v>14969.95</v>
      </c>
      <c r="L4238" t="b">
        <f>TablaDatos[[#This Row],[FechaAlta]] &lt; TablaDatos[[#This Row],[FechaIngreso]]</f>
        <v>0</v>
      </c>
      <c r="M4238">
        <f>_xlfn.XLOOKUP(TablaDatos[[#This Row],[PacienteID]],'Datos_Ejemplo.csv'!A:A,'Datos_Ejemplo.csv'!I:I)</f>
        <v>28</v>
      </c>
      <c r="N4238">
        <f>ABS(TablaDatos[[#This Row],[DiasOriginal]])</f>
        <v>28</v>
      </c>
      <c r="O4238" s="1">
        <f>TablaDatos[[#This Row],[FechaIngreso]]+TablaDatos[[#This Row],[DiasNuevo]]</f>
        <v>45582</v>
      </c>
    </row>
    <row r="4239" spans="1:15">
      <c r="A4239">
        <v>4238</v>
      </c>
      <c r="B4239" t="s">
        <v>241</v>
      </c>
      <c r="C4239" s="1">
        <v>38352</v>
      </c>
      <c r="D4239">
        <v>21</v>
      </c>
      <c r="E4239" s="4" t="s">
        <v>12</v>
      </c>
      <c r="F4239" t="s">
        <v>261</v>
      </c>
      <c r="G4239" s="1">
        <v>44970</v>
      </c>
      <c r="H4239" s="1">
        <f>TablaDatos[[#This Row],[FechaIngreso]]+TablaDatos[[#This Row],[DiasNuevo]]</f>
        <v>44978</v>
      </c>
      <c r="I4239">
        <v>8</v>
      </c>
      <c r="J4239" t="s">
        <v>23</v>
      </c>
      <c r="K4239" s="3">
        <v>3966.72</v>
      </c>
      <c r="L4239" t="b">
        <f>TablaDatos[[#This Row],[FechaAlta]] &lt; TablaDatos[[#This Row],[FechaIngreso]]</f>
        <v>0</v>
      </c>
      <c r="M4239">
        <f>_xlfn.XLOOKUP(TablaDatos[[#This Row],[PacienteID]],'Datos_Ejemplo.csv'!A:A,'Datos_Ejemplo.csv'!I:I)</f>
        <v>8</v>
      </c>
      <c r="N4239">
        <f>ABS(TablaDatos[[#This Row],[DiasOriginal]])</f>
        <v>8</v>
      </c>
      <c r="O4239" s="1">
        <f>TablaDatos[[#This Row],[FechaIngreso]]+TablaDatos[[#This Row],[DiasNuevo]]</f>
        <v>44978</v>
      </c>
    </row>
    <row r="4240" spans="1:15">
      <c r="A4240">
        <v>4239</v>
      </c>
      <c r="B4240" t="s">
        <v>240</v>
      </c>
      <c r="C4240" s="1">
        <v>31412</v>
      </c>
      <c r="D4240">
        <v>40</v>
      </c>
      <c r="E4240" s="4" t="s">
        <v>197</v>
      </c>
      <c r="F4240" t="s">
        <v>21</v>
      </c>
      <c r="G4240" s="1">
        <v>45145</v>
      </c>
      <c r="H4240" s="1">
        <f>TablaDatos[[#This Row],[FechaIngreso]]+TablaDatos[[#This Row],[DiasNuevo]]</f>
        <v>45165</v>
      </c>
      <c r="I4240">
        <v>20</v>
      </c>
      <c r="J4240" t="s">
        <v>23</v>
      </c>
      <c r="K4240" s="3">
        <v>10860.61</v>
      </c>
      <c r="L4240" t="b">
        <f>TablaDatos[[#This Row],[FechaAlta]] &lt; TablaDatos[[#This Row],[FechaIngreso]]</f>
        <v>0</v>
      </c>
      <c r="M4240">
        <f>_xlfn.XLOOKUP(TablaDatos[[#This Row],[PacienteID]],'Datos_Ejemplo.csv'!A:A,'Datos_Ejemplo.csv'!I:I)</f>
        <v>20</v>
      </c>
      <c r="N4240">
        <f>ABS(TablaDatos[[#This Row],[DiasOriginal]])</f>
        <v>20</v>
      </c>
      <c r="O4240" s="1">
        <f>TablaDatos[[#This Row],[FechaIngreso]]+TablaDatos[[#This Row],[DiasNuevo]]</f>
        <v>45165</v>
      </c>
    </row>
    <row r="4241" spans="1:15">
      <c r="A4241">
        <v>4240</v>
      </c>
      <c r="B4241" t="s">
        <v>281</v>
      </c>
      <c r="C4241" s="1">
        <v>12419</v>
      </c>
      <c r="D4241">
        <v>92</v>
      </c>
      <c r="E4241" s="4" t="s">
        <v>12</v>
      </c>
      <c r="F4241" t="s">
        <v>201</v>
      </c>
      <c r="G4241" s="1">
        <v>45494</v>
      </c>
      <c r="H4241" s="1">
        <f>TablaDatos[[#This Row],[FechaIngreso]]+TablaDatos[[#This Row],[DiasNuevo]]</f>
        <v>45521</v>
      </c>
      <c r="I4241">
        <v>27</v>
      </c>
      <c r="J4241" t="s">
        <v>23</v>
      </c>
      <c r="K4241" s="3">
        <v>8614.0499999999993</v>
      </c>
      <c r="L4241" t="b">
        <f>TablaDatos[[#This Row],[FechaAlta]] &lt; TablaDatos[[#This Row],[FechaIngreso]]</f>
        <v>0</v>
      </c>
      <c r="M4241">
        <f>_xlfn.XLOOKUP(TablaDatos[[#This Row],[PacienteID]],'Datos_Ejemplo.csv'!A:A,'Datos_Ejemplo.csv'!I:I)</f>
        <v>27</v>
      </c>
      <c r="N4241">
        <f>ABS(TablaDatos[[#This Row],[DiasOriginal]])</f>
        <v>27</v>
      </c>
      <c r="O4241" s="1">
        <f>TablaDatos[[#This Row],[FechaIngreso]]+TablaDatos[[#This Row],[DiasNuevo]]</f>
        <v>45521</v>
      </c>
    </row>
    <row r="4242" spans="1:15">
      <c r="A4242">
        <v>4241</v>
      </c>
      <c r="B4242" t="s">
        <v>114</v>
      </c>
      <c r="C4242" s="1">
        <v>21551</v>
      </c>
      <c r="D4242">
        <v>67</v>
      </c>
      <c r="E4242" s="4" t="s">
        <v>15</v>
      </c>
      <c r="F4242" t="s">
        <v>13</v>
      </c>
      <c r="G4242" s="1">
        <v>45184</v>
      </c>
      <c r="H4242" s="1">
        <f>TablaDatos[[#This Row],[FechaIngreso]]+TablaDatos[[#This Row],[DiasNuevo]]</f>
        <v>45206</v>
      </c>
      <c r="I4242">
        <v>22</v>
      </c>
      <c r="J4242" t="s">
        <v>23</v>
      </c>
      <c r="K4242" s="3">
        <v>11085.16</v>
      </c>
      <c r="L4242" t="b">
        <f>TablaDatos[[#This Row],[FechaAlta]] &lt; TablaDatos[[#This Row],[FechaIngreso]]</f>
        <v>0</v>
      </c>
      <c r="M4242">
        <f>_xlfn.XLOOKUP(TablaDatos[[#This Row],[PacienteID]],'Datos_Ejemplo.csv'!A:A,'Datos_Ejemplo.csv'!I:I)</f>
        <v>22</v>
      </c>
      <c r="N4242">
        <f>ABS(TablaDatos[[#This Row],[DiasOriginal]])</f>
        <v>22</v>
      </c>
      <c r="O4242" s="1">
        <f>TablaDatos[[#This Row],[FechaIngreso]]+TablaDatos[[#This Row],[DiasNuevo]]</f>
        <v>45206</v>
      </c>
    </row>
    <row r="4243" spans="1:15">
      <c r="A4243">
        <v>4242</v>
      </c>
      <c r="B4243" t="s">
        <v>365</v>
      </c>
      <c r="C4243" s="1">
        <v>21185</v>
      </c>
      <c r="D4243">
        <v>68</v>
      </c>
      <c r="E4243" s="4" t="s">
        <v>15</v>
      </c>
      <c r="F4243" t="s">
        <v>13</v>
      </c>
      <c r="G4243" s="1">
        <v>45439</v>
      </c>
      <c r="H4243" s="1">
        <f>TablaDatos[[#This Row],[FechaIngreso]]+TablaDatos[[#This Row],[DiasNuevo]]</f>
        <v>45452</v>
      </c>
      <c r="I4243">
        <v>13</v>
      </c>
      <c r="J4243" t="s">
        <v>25</v>
      </c>
      <c r="K4243" s="3">
        <v>2624.22</v>
      </c>
      <c r="L4243" t="b">
        <f>TablaDatos[[#This Row],[FechaAlta]] &lt; TablaDatos[[#This Row],[FechaIngreso]]</f>
        <v>0</v>
      </c>
      <c r="M4243">
        <f>_xlfn.XLOOKUP(TablaDatos[[#This Row],[PacienteID]],'Datos_Ejemplo.csv'!A:A,'Datos_Ejemplo.csv'!I:I)</f>
        <v>13</v>
      </c>
      <c r="N4243">
        <f>ABS(TablaDatos[[#This Row],[DiasOriginal]])</f>
        <v>13</v>
      </c>
      <c r="O4243" s="1">
        <f>TablaDatos[[#This Row],[FechaIngreso]]+TablaDatos[[#This Row],[DiasNuevo]]</f>
        <v>45452</v>
      </c>
    </row>
    <row r="4244" spans="1:15">
      <c r="A4244">
        <v>4243</v>
      </c>
      <c r="B4244" t="s">
        <v>290</v>
      </c>
      <c r="C4244" s="1">
        <v>42370</v>
      </c>
      <c r="D4244">
        <v>10</v>
      </c>
      <c r="E4244" s="4" t="s">
        <v>15</v>
      </c>
      <c r="F4244" t="s">
        <v>295</v>
      </c>
      <c r="G4244" s="1">
        <v>45303</v>
      </c>
      <c r="H4244" s="1">
        <f>TablaDatos[[#This Row],[FechaIngreso]]+TablaDatos[[#This Row],[DiasNuevo]]</f>
        <v>45323</v>
      </c>
      <c r="I4244">
        <v>20</v>
      </c>
      <c r="J4244" t="s">
        <v>19</v>
      </c>
      <c r="K4244" s="3">
        <v>7160.68</v>
      </c>
      <c r="L4244" t="b">
        <f>TablaDatos[[#This Row],[FechaAlta]] &lt; TablaDatos[[#This Row],[FechaIngreso]]</f>
        <v>0</v>
      </c>
      <c r="M4244">
        <f>_xlfn.XLOOKUP(TablaDatos[[#This Row],[PacienteID]],'Datos_Ejemplo.csv'!A:A,'Datos_Ejemplo.csv'!I:I)</f>
        <v>20</v>
      </c>
      <c r="N4244">
        <f>ABS(TablaDatos[[#This Row],[DiasOriginal]])</f>
        <v>20</v>
      </c>
      <c r="O4244" s="1">
        <f>TablaDatos[[#This Row],[FechaIngreso]]+TablaDatos[[#This Row],[DiasNuevo]]</f>
        <v>45323</v>
      </c>
    </row>
    <row r="4245" spans="1:15">
      <c r="A4245">
        <v>4244</v>
      </c>
      <c r="B4245" t="s">
        <v>233</v>
      </c>
      <c r="C4245" s="1">
        <f ca="1">DATE(YEAR(TODAY())-TablaDatos[[#This Row],[Edad]],1,1)</f>
        <v>25934</v>
      </c>
      <c r="D4245">
        <v>55</v>
      </c>
      <c r="E4245" s="4" t="s">
        <v>15</v>
      </c>
      <c r="F4245" t="s">
        <v>21</v>
      </c>
      <c r="G4245" s="1">
        <v>45215</v>
      </c>
      <c r="H4245" s="1">
        <f>TablaDatos[[#This Row],[FechaIngreso]]+TablaDatos[[#This Row],[DiasNuevo]]</f>
        <v>45245</v>
      </c>
      <c r="I4245">
        <v>30</v>
      </c>
      <c r="J4245" t="s">
        <v>23</v>
      </c>
      <c r="K4245" s="3">
        <v>13304.77</v>
      </c>
      <c r="L4245" t="b">
        <f>TablaDatos[[#This Row],[FechaAlta]] &lt; TablaDatos[[#This Row],[FechaIngreso]]</f>
        <v>0</v>
      </c>
      <c r="M4245">
        <f>_xlfn.XLOOKUP(TablaDatos[[#This Row],[PacienteID]],'Datos_Ejemplo.csv'!A:A,'Datos_Ejemplo.csv'!I:I)</f>
        <v>30</v>
      </c>
      <c r="N4245">
        <f>ABS(TablaDatos[[#This Row],[DiasOriginal]])</f>
        <v>30</v>
      </c>
      <c r="O4245" s="1">
        <f>TablaDatos[[#This Row],[FechaIngreso]]+TablaDatos[[#This Row],[DiasNuevo]]</f>
        <v>45245</v>
      </c>
    </row>
    <row r="4246" spans="1:15">
      <c r="A4246">
        <v>4245</v>
      </c>
      <c r="B4246" t="s">
        <v>232</v>
      </c>
      <c r="C4246" s="1">
        <v>27760</v>
      </c>
      <c r="D4246">
        <v>50</v>
      </c>
      <c r="E4246" s="4" t="s">
        <v>15</v>
      </c>
      <c r="F4246" t="s">
        <v>261</v>
      </c>
      <c r="G4246" s="1">
        <v>45396</v>
      </c>
      <c r="H4246" s="1">
        <f>TablaDatos[[#This Row],[FechaIngreso]]+TablaDatos[[#This Row],[DiasNuevo]]</f>
        <v>45430</v>
      </c>
      <c r="I4246">
        <v>34</v>
      </c>
      <c r="J4246" t="s">
        <v>19</v>
      </c>
      <c r="K4246" s="3">
        <v>11126.47</v>
      </c>
      <c r="L4246" t="b">
        <f>TablaDatos[[#This Row],[FechaAlta]] &lt; TablaDatos[[#This Row],[FechaIngreso]]</f>
        <v>0</v>
      </c>
      <c r="M4246">
        <f>_xlfn.XLOOKUP(TablaDatos[[#This Row],[PacienteID]],'Datos_Ejemplo.csv'!A:A,'Datos_Ejemplo.csv'!I:I)</f>
        <v>34</v>
      </c>
      <c r="N4246">
        <f>ABS(TablaDatos[[#This Row],[DiasOriginal]])</f>
        <v>34</v>
      </c>
      <c r="O4246" s="1">
        <f>TablaDatos[[#This Row],[FechaIngreso]]+TablaDatos[[#This Row],[DiasNuevo]]</f>
        <v>45430</v>
      </c>
    </row>
    <row r="4247" spans="1:15">
      <c r="A4247">
        <v>4246</v>
      </c>
      <c r="B4247" t="s">
        <v>303</v>
      </c>
      <c r="C4247" s="1">
        <v>38717</v>
      </c>
      <c r="D4247">
        <v>20</v>
      </c>
      <c r="E4247" s="4" t="s">
        <v>15</v>
      </c>
      <c r="F4247" t="s">
        <v>32</v>
      </c>
      <c r="G4247" s="1">
        <v>45029</v>
      </c>
      <c r="H4247" s="1">
        <f>TablaDatos[[#This Row],[FechaIngreso]]+TablaDatos[[#This Row],[DiasNuevo]]</f>
        <v>45054</v>
      </c>
      <c r="I4247">
        <v>25</v>
      </c>
      <c r="J4247" t="s">
        <v>23</v>
      </c>
      <c r="K4247" s="3">
        <v>10934.29</v>
      </c>
      <c r="L4247" t="b">
        <f>TablaDatos[[#This Row],[FechaAlta]] &lt; TablaDatos[[#This Row],[FechaIngreso]]</f>
        <v>0</v>
      </c>
      <c r="M4247">
        <f>_xlfn.XLOOKUP(TablaDatos[[#This Row],[PacienteID]],'Datos_Ejemplo.csv'!A:A,'Datos_Ejemplo.csv'!I:I)</f>
        <v>25</v>
      </c>
      <c r="N4247">
        <f>ABS(TablaDatos[[#This Row],[DiasOriginal]])</f>
        <v>25</v>
      </c>
      <c r="O4247" s="1">
        <f>TablaDatos[[#This Row],[FechaIngreso]]+TablaDatos[[#This Row],[DiasNuevo]]</f>
        <v>45054</v>
      </c>
    </row>
    <row r="4248" spans="1:15">
      <c r="A4248">
        <v>4247</v>
      </c>
      <c r="B4248" t="s">
        <v>343</v>
      </c>
      <c r="C4248" s="1">
        <v>18629</v>
      </c>
      <c r="D4248">
        <v>75</v>
      </c>
      <c r="E4248" s="4" t="s">
        <v>15</v>
      </c>
      <c r="F4248" t="s">
        <v>32</v>
      </c>
      <c r="G4248" s="1">
        <v>45075</v>
      </c>
      <c r="H4248" s="1">
        <f>TablaDatos[[#This Row],[FechaIngreso]]+TablaDatos[[#This Row],[DiasNuevo]]</f>
        <v>45099</v>
      </c>
      <c r="I4248">
        <v>24</v>
      </c>
      <c r="J4248" t="s">
        <v>23</v>
      </c>
      <c r="K4248" s="3">
        <v>10167.69</v>
      </c>
      <c r="L4248" t="b">
        <f>TablaDatos[[#This Row],[FechaAlta]] &lt; TablaDatos[[#This Row],[FechaIngreso]]</f>
        <v>0</v>
      </c>
      <c r="M4248">
        <f>_xlfn.XLOOKUP(TablaDatos[[#This Row],[PacienteID]],'Datos_Ejemplo.csv'!A:A,'Datos_Ejemplo.csv'!I:I)</f>
        <v>24</v>
      </c>
      <c r="N4248">
        <f>ABS(TablaDatos[[#This Row],[DiasOriginal]])</f>
        <v>24</v>
      </c>
      <c r="O4248" s="1">
        <f>TablaDatos[[#This Row],[FechaIngreso]]+TablaDatos[[#This Row],[DiasNuevo]]</f>
        <v>45099</v>
      </c>
    </row>
    <row r="4249" spans="1:15">
      <c r="A4249">
        <v>4248</v>
      </c>
      <c r="B4249" t="s">
        <v>259</v>
      </c>
      <c r="C4249" s="1">
        <v>36891</v>
      </c>
      <c r="D4249">
        <v>25</v>
      </c>
      <c r="E4249" s="4" t="s">
        <v>15</v>
      </c>
      <c r="F4249" t="s">
        <v>32</v>
      </c>
      <c r="G4249" s="1">
        <v>45010</v>
      </c>
      <c r="H4249" s="1">
        <f>TablaDatos[[#This Row],[FechaIngreso]]+TablaDatos[[#This Row],[DiasNuevo]]</f>
        <v>45013</v>
      </c>
      <c r="I4249">
        <v>3</v>
      </c>
      <c r="J4249" t="s">
        <v>19</v>
      </c>
      <c r="K4249" s="3">
        <v>18872.09</v>
      </c>
      <c r="L4249" t="b">
        <f>TablaDatos[[#This Row],[FechaAlta]] &lt; TablaDatos[[#This Row],[FechaIngreso]]</f>
        <v>0</v>
      </c>
      <c r="M4249">
        <f>_xlfn.XLOOKUP(TablaDatos[[#This Row],[PacienteID]],'Datos_Ejemplo.csv'!A:A,'Datos_Ejemplo.csv'!I:I)</f>
        <v>3</v>
      </c>
      <c r="N4249">
        <f>ABS(TablaDatos[[#This Row],[DiasOriginal]])</f>
        <v>3</v>
      </c>
      <c r="O4249" s="1">
        <f>TablaDatos[[#This Row],[FechaIngreso]]+TablaDatos[[#This Row],[DiasNuevo]]</f>
        <v>45013</v>
      </c>
    </row>
    <row r="4250" spans="1:15">
      <c r="A4250">
        <v>4249</v>
      </c>
      <c r="B4250" t="s">
        <v>278</v>
      </c>
      <c r="C4250" s="1">
        <v>39448</v>
      </c>
      <c r="D4250">
        <v>18</v>
      </c>
      <c r="E4250" s="4" t="s">
        <v>15</v>
      </c>
      <c r="F4250" t="s">
        <v>13</v>
      </c>
      <c r="G4250" s="1">
        <v>44952</v>
      </c>
      <c r="H4250" s="1">
        <f>TablaDatos[[#This Row],[FechaIngreso]]+TablaDatos[[#This Row],[DiasNuevo]]</f>
        <v>44987</v>
      </c>
      <c r="I4250">
        <v>35</v>
      </c>
      <c r="J4250" t="s">
        <v>25</v>
      </c>
      <c r="K4250" s="3">
        <v>18684.849999999999</v>
      </c>
      <c r="L4250" t="b">
        <f>TablaDatos[[#This Row],[FechaAlta]] &lt; TablaDatos[[#This Row],[FechaIngreso]]</f>
        <v>0</v>
      </c>
      <c r="M4250">
        <f>_xlfn.XLOOKUP(TablaDatos[[#This Row],[PacienteID]],'Datos_Ejemplo.csv'!A:A,'Datos_Ejemplo.csv'!I:I)</f>
        <v>35</v>
      </c>
      <c r="N4250">
        <f>ABS(TablaDatos[[#This Row],[DiasOriginal]])</f>
        <v>35</v>
      </c>
      <c r="O4250" s="1">
        <f>TablaDatos[[#This Row],[FechaIngreso]]+TablaDatos[[#This Row],[DiasNuevo]]</f>
        <v>44987</v>
      </c>
    </row>
    <row r="4251" spans="1:15">
      <c r="A4251">
        <v>4250</v>
      </c>
      <c r="B4251" t="s">
        <v>361</v>
      </c>
      <c r="C4251" s="1">
        <v>24473</v>
      </c>
      <c r="D4251">
        <v>59</v>
      </c>
      <c r="E4251" s="4" t="s">
        <v>197</v>
      </c>
      <c r="F4251" t="s">
        <v>261</v>
      </c>
      <c r="G4251" s="1">
        <v>45101</v>
      </c>
      <c r="H4251" s="1">
        <f>TablaDatos[[#This Row],[FechaIngreso]]+TablaDatos[[#This Row],[DiasNuevo]]</f>
        <v>45135</v>
      </c>
      <c r="I4251">
        <v>34</v>
      </c>
      <c r="J4251" t="s">
        <v>23</v>
      </c>
      <c r="K4251" s="3">
        <v>7138.91</v>
      </c>
      <c r="L4251" t="b">
        <f>TablaDatos[[#This Row],[FechaAlta]] &lt; TablaDatos[[#This Row],[FechaIngreso]]</f>
        <v>0</v>
      </c>
      <c r="M4251">
        <f>_xlfn.XLOOKUP(TablaDatos[[#This Row],[PacienteID]],'Datos_Ejemplo.csv'!A:A,'Datos_Ejemplo.csv'!I:I)</f>
        <v>34</v>
      </c>
      <c r="N4251">
        <f>ABS(TablaDatos[[#This Row],[DiasOriginal]])</f>
        <v>34</v>
      </c>
      <c r="O4251" s="1">
        <f>TablaDatos[[#This Row],[FechaIngreso]]+TablaDatos[[#This Row],[DiasNuevo]]</f>
        <v>45135</v>
      </c>
    </row>
    <row r="4252" spans="1:15">
      <c r="A4252">
        <v>4251</v>
      </c>
      <c r="B4252" t="s">
        <v>260</v>
      </c>
      <c r="C4252" s="1">
        <v>20455</v>
      </c>
      <c r="D4252">
        <v>70</v>
      </c>
      <c r="E4252" s="4" t="s">
        <v>12</v>
      </c>
      <c r="F4252" t="s">
        <v>32</v>
      </c>
      <c r="G4252" s="1">
        <v>45567</v>
      </c>
      <c r="H4252" s="1">
        <f>TablaDatos[[#This Row],[FechaIngreso]]+TablaDatos[[#This Row],[DiasNuevo]]</f>
        <v>45570</v>
      </c>
      <c r="I4252">
        <v>3</v>
      </c>
      <c r="J4252" t="s">
        <v>25</v>
      </c>
      <c r="K4252" s="3">
        <v>6973.09</v>
      </c>
      <c r="L4252" t="b">
        <f>TablaDatos[[#This Row],[FechaAlta]] &lt; TablaDatos[[#This Row],[FechaIngreso]]</f>
        <v>0</v>
      </c>
      <c r="M4252">
        <f>_xlfn.XLOOKUP(TablaDatos[[#This Row],[PacienteID]],'Datos_Ejemplo.csv'!A:A,'Datos_Ejemplo.csv'!I:I)</f>
        <v>3</v>
      </c>
      <c r="N4252">
        <f>ABS(TablaDatos[[#This Row],[DiasOriginal]])</f>
        <v>3</v>
      </c>
      <c r="O4252" s="1">
        <f>TablaDatos[[#This Row],[FechaIngreso]]+TablaDatos[[#This Row],[DiasNuevo]]</f>
        <v>45570</v>
      </c>
    </row>
    <row r="4253" spans="1:15">
      <c r="A4253">
        <v>4252</v>
      </c>
      <c r="B4253" t="s">
        <v>49</v>
      </c>
      <c r="C4253" s="1">
        <f ca="1">DATE(YEAR(TODAY())-TablaDatos[[#This Row],[Edad]],1,1)</f>
        <v>29221</v>
      </c>
      <c r="D4253">
        <v>46</v>
      </c>
      <c r="E4253" s="4" t="s">
        <v>197</v>
      </c>
      <c r="F4253" t="s">
        <v>21</v>
      </c>
      <c r="G4253" s="1">
        <v>45348</v>
      </c>
      <c r="H4253" s="1">
        <f>TablaDatos[[#This Row],[FechaIngreso]]+TablaDatos[[#This Row],[DiasNuevo]]</f>
        <v>45370</v>
      </c>
      <c r="I4253">
        <v>22</v>
      </c>
      <c r="J4253" t="s">
        <v>23</v>
      </c>
      <c r="K4253" s="3">
        <v>11053.46</v>
      </c>
      <c r="L4253" t="b">
        <f>TablaDatos[[#This Row],[FechaAlta]] &lt; TablaDatos[[#This Row],[FechaIngreso]]</f>
        <v>0</v>
      </c>
      <c r="M4253">
        <f>_xlfn.XLOOKUP(TablaDatos[[#This Row],[PacienteID]],'Datos_Ejemplo.csv'!A:A,'Datos_Ejemplo.csv'!I:I)</f>
        <v>22</v>
      </c>
      <c r="N4253">
        <f>ABS(TablaDatos[[#This Row],[DiasOriginal]])</f>
        <v>22</v>
      </c>
      <c r="O4253" s="1">
        <f>TablaDatos[[#This Row],[FechaIngreso]]+TablaDatos[[#This Row],[DiasNuevo]]</f>
        <v>45370</v>
      </c>
    </row>
    <row r="4254" spans="1:15">
      <c r="A4254">
        <v>4253</v>
      </c>
      <c r="B4254" t="s">
        <v>280</v>
      </c>
      <c r="C4254" s="1">
        <v>20455</v>
      </c>
      <c r="D4254">
        <v>70</v>
      </c>
      <c r="E4254" s="4" t="s">
        <v>15</v>
      </c>
      <c r="F4254" t="s">
        <v>21</v>
      </c>
      <c r="G4254" s="1">
        <v>45580</v>
      </c>
      <c r="H4254" s="1">
        <f>TablaDatos[[#This Row],[FechaIngreso]]+TablaDatos[[#This Row],[DiasNuevo]]</f>
        <v>45590</v>
      </c>
      <c r="I4254">
        <v>10</v>
      </c>
      <c r="J4254" t="s">
        <v>23</v>
      </c>
      <c r="K4254" s="3">
        <v>1821.69</v>
      </c>
      <c r="L4254" t="b">
        <f>TablaDatos[[#This Row],[FechaAlta]] &lt; TablaDatos[[#This Row],[FechaIngreso]]</f>
        <v>0</v>
      </c>
      <c r="M4254">
        <f>_xlfn.XLOOKUP(TablaDatos[[#This Row],[PacienteID]],'Datos_Ejemplo.csv'!A:A,'Datos_Ejemplo.csv'!I:I)</f>
        <v>10</v>
      </c>
      <c r="N4254">
        <f>ABS(TablaDatos[[#This Row],[DiasOriginal]])</f>
        <v>10</v>
      </c>
      <c r="O4254" s="1">
        <f>TablaDatos[[#This Row],[FechaIngreso]]+TablaDatos[[#This Row],[DiasNuevo]]</f>
        <v>45590</v>
      </c>
    </row>
    <row r="4255" spans="1:15">
      <c r="A4255">
        <v>4254</v>
      </c>
      <c r="B4255" t="s">
        <v>340</v>
      </c>
      <c r="C4255" s="1">
        <v>36891</v>
      </c>
      <c r="D4255">
        <v>25</v>
      </c>
      <c r="E4255" s="4" t="s">
        <v>15</v>
      </c>
      <c r="F4255" t="s">
        <v>32</v>
      </c>
      <c r="G4255" s="1">
        <v>45272</v>
      </c>
      <c r="H4255" s="1">
        <f>TablaDatos[[#This Row],[FechaIngreso]]+TablaDatos[[#This Row],[DiasNuevo]]</f>
        <v>45302</v>
      </c>
      <c r="I4255">
        <v>30</v>
      </c>
      <c r="J4255" t="s">
        <v>23</v>
      </c>
      <c r="K4255" s="3">
        <v>5990.43</v>
      </c>
      <c r="L4255" t="b">
        <f>TablaDatos[[#This Row],[FechaAlta]] &lt; TablaDatos[[#This Row],[FechaIngreso]]</f>
        <v>0</v>
      </c>
      <c r="M4255">
        <f>_xlfn.XLOOKUP(TablaDatos[[#This Row],[PacienteID]],'Datos_Ejemplo.csv'!A:A,'Datos_Ejemplo.csv'!I:I)</f>
        <v>30</v>
      </c>
      <c r="N4255">
        <f>ABS(TablaDatos[[#This Row],[DiasOriginal]])</f>
        <v>30</v>
      </c>
      <c r="O4255" s="1">
        <f>TablaDatos[[#This Row],[FechaIngreso]]+TablaDatos[[#This Row],[DiasNuevo]]</f>
        <v>45302</v>
      </c>
    </row>
    <row r="4256" spans="1:15">
      <c r="A4256">
        <v>4255</v>
      </c>
      <c r="B4256" t="s">
        <v>352</v>
      </c>
      <c r="C4256" s="1">
        <v>31778</v>
      </c>
      <c r="D4256">
        <v>39</v>
      </c>
      <c r="E4256" s="4" t="s">
        <v>15</v>
      </c>
      <c r="F4256" t="s">
        <v>18</v>
      </c>
      <c r="G4256" s="1">
        <v>45228</v>
      </c>
      <c r="H4256" s="1">
        <f>TablaDatos[[#This Row],[FechaIngreso]]+TablaDatos[[#This Row],[DiasNuevo]]</f>
        <v>45258</v>
      </c>
      <c r="I4256">
        <v>30</v>
      </c>
      <c r="J4256" t="s">
        <v>25</v>
      </c>
      <c r="K4256" s="3">
        <v>4540.4399999999996</v>
      </c>
      <c r="L4256" t="b">
        <f>TablaDatos[[#This Row],[FechaAlta]] &lt; TablaDatos[[#This Row],[FechaIngreso]]</f>
        <v>0</v>
      </c>
      <c r="M4256">
        <f>_xlfn.XLOOKUP(TablaDatos[[#This Row],[PacienteID]],'Datos_Ejemplo.csv'!A:A,'Datos_Ejemplo.csv'!I:I)</f>
        <v>30</v>
      </c>
      <c r="N4256">
        <f>ABS(TablaDatos[[#This Row],[DiasOriginal]])</f>
        <v>30</v>
      </c>
      <c r="O4256" s="1">
        <f>TablaDatos[[#This Row],[FechaIngreso]]+TablaDatos[[#This Row],[DiasNuevo]]</f>
        <v>45258</v>
      </c>
    </row>
    <row r="4257" spans="1:15">
      <c r="A4257">
        <v>4256</v>
      </c>
      <c r="B4257" t="s">
        <v>328</v>
      </c>
      <c r="C4257" s="1">
        <v>44561</v>
      </c>
      <c r="D4257">
        <v>4</v>
      </c>
      <c r="E4257" s="4" t="s">
        <v>15</v>
      </c>
      <c r="F4257" t="s">
        <v>32</v>
      </c>
      <c r="G4257" s="1">
        <v>45224</v>
      </c>
      <c r="H4257" s="1">
        <f>TablaDatos[[#This Row],[FechaIngreso]]+TablaDatos[[#This Row],[DiasNuevo]]</f>
        <v>45246</v>
      </c>
      <c r="I4257">
        <v>22</v>
      </c>
      <c r="J4257" t="s">
        <v>23</v>
      </c>
      <c r="K4257" s="3">
        <v>4390.13</v>
      </c>
      <c r="L4257" t="b">
        <f>TablaDatos[[#This Row],[FechaAlta]] &lt; TablaDatos[[#This Row],[FechaIngreso]]</f>
        <v>0</v>
      </c>
      <c r="M4257">
        <f>_xlfn.XLOOKUP(TablaDatos[[#This Row],[PacienteID]],'Datos_Ejemplo.csv'!A:A,'Datos_Ejemplo.csv'!I:I)</f>
        <v>22</v>
      </c>
      <c r="N4257">
        <f>ABS(TablaDatos[[#This Row],[DiasOriginal]])</f>
        <v>22</v>
      </c>
      <c r="O4257" s="1">
        <f>TablaDatos[[#This Row],[FechaIngreso]]+TablaDatos[[#This Row],[DiasNuevo]]</f>
        <v>45246</v>
      </c>
    </row>
    <row r="4258" spans="1:15">
      <c r="A4258">
        <v>4257</v>
      </c>
      <c r="B4258" t="s">
        <v>360</v>
      </c>
      <c r="C4258" s="1">
        <v>38717</v>
      </c>
      <c r="D4258">
        <v>20</v>
      </c>
      <c r="E4258" s="4" t="s">
        <v>15</v>
      </c>
      <c r="F4258" t="s">
        <v>18</v>
      </c>
      <c r="G4258" s="1">
        <v>45061</v>
      </c>
      <c r="H4258" s="1">
        <f>TablaDatos[[#This Row],[FechaIngreso]]+TablaDatos[[#This Row],[DiasNuevo]]</f>
        <v>45072</v>
      </c>
      <c r="I4258">
        <v>11</v>
      </c>
      <c r="J4258" t="s">
        <v>23</v>
      </c>
      <c r="K4258" s="3">
        <v>12733.96</v>
      </c>
      <c r="L4258" t="b">
        <f>TablaDatos[[#This Row],[FechaAlta]] &lt; TablaDatos[[#This Row],[FechaIngreso]]</f>
        <v>0</v>
      </c>
      <c r="M4258">
        <f>_xlfn.XLOOKUP(TablaDatos[[#This Row],[PacienteID]],'Datos_Ejemplo.csv'!A:A,'Datos_Ejemplo.csv'!I:I)</f>
        <v>11</v>
      </c>
      <c r="N4258">
        <f>ABS(TablaDatos[[#This Row],[DiasOriginal]])</f>
        <v>11</v>
      </c>
      <c r="O4258" s="1">
        <f>TablaDatos[[#This Row],[FechaIngreso]]+TablaDatos[[#This Row],[DiasNuevo]]</f>
        <v>45072</v>
      </c>
    </row>
    <row r="4259" spans="1:15">
      <c r="A4259">
        <v>4258</v>
      </c>
      <c r="B4259" t="s">
        <v>237</v>
      </c>
      <c r="C4259" s="1">
        <v>17898</v>
      </c>
      <c r="D4259">
        <v>77</v>
      </c>
      <c r="E4259" s="4" t="s">
        <v>12</v>
      </c>
      <c r="F4259" t="s">
        <v>295</v>
      </c>
      <c r="G4259" s="1">
        <v>44981</v>
      </c>
      <c r="H4259" s="1">
        <f>TablaDatos[[#This Row],[FechaIngreso]]+TablaDatos[[#This Row],[DiasNuevo]]</f>
        <v>45018</v>
      </c>
      <c r="I4259">
        <v>37</v>
      </c>
      <c r="J4259" t="s">
        <v>23</v>
      </c>
      <c r="K4259" s="3">
        <v>7625.44</v>
      </c>
      <c r="L4259" t="b">
        <f>TablaDatos[[#This Row],[FechaAlta]] &lt; TablaDatos[[#This Row],[FechaIngreso]]</f>
        <v>0</v>
      </c>
      <c r="M4259">
        <f>_xlfn.XLOOKUP(TablaDatos[[#This Row],[PacienteID]],'Datos_Ejemplo.csv'!A:A,'Datos_Ejemplo.csv'!I:I)</f>
        <v>37</v>
      </c>
      <c r="N4259">
        <f>ABS(TablaDatos[[#This Row],[DiasOriginal]])</f>
        <v>37</v>
      </c>
      <c r="O4259" s="1">
        <f>TablaDatos[[#This Row],[FechaIngreso]]+TablaDatos[[#This Row],[DiasNuevo]]</f>
        <v>45018</v>
      </c>
    </row>
    <row r="4260" spans="1:15">
      <c r="A4260">
        <v>4259</v>
      </c>
      <c r="B4260" t="s">
        <v>244</v>
      </c>
      <c r="C4260" s="1">
        <v>44927</v>
      </c>
      <c r="D4260">
        <v>3</v>
      </c>
      <c r="E4260" s="4" t="s">
        <v>197</v>
      </c>
      <c r="F4260" t="s">
        <v>295</v>
      </c>
      <c r="G4260" s="1">
        <v>44982</v>
      </c>
      <c r="H4260" s="1">
        <f>TablaDatos[[#This Row],[FechaIngreso]]+TablaDatos[[#This Row],[DiasNuevo]]</f>
        <v>45020</v>
      </c>
      <c r="I4260">
        <v>38</v>
      </c>
      <c r="J4260" t="s">
        <v>23</v>
      </c>
      <c r="K4260" s="3">
        <v>3340.4</v>
      </c>
      <c r="L4260" t="b">
        <f>TablaDatos[[#This Row],[FechaAlta]] &lt; TablaDatos[[#This Row],[FechaIngreso]]</f>
        <v>0</v>
      </c>
      <c r="M4260">
        <f>_xlfn.XLOOKUP(TablaDatos[[#This Row],[PacienteID]],'Datos_Ejemplo.csv'!A:A,'Datos_Ejemplo.csv'!I:I)</f>
        <v>38</v>
      </c>
      <c r="N4260">
        <f>ABS(TablaDatos[[#This Row],[DiasOriginal]])</f>
        <v>38</v>
      </c>
      <c r="O4260" s="1">
        <f>TablaDatos[[#This Row],[FechaIngreso]]+TablaDatos[[#This Row],[DiasNuevo]]</f>
        <v>45020</v>
      </c>
    </row>
    <row r="4261" spans="1:15">
      <c r="A4261">
        <v>4260</v>
      </c>
      <c r="B4261" t="s">
        <v>348</v>
      </c>
      <c r="C4261" s="1">
        <v>37987</v>
      </c>
      <c r="D4261">
        <v>22</v>
      </c>
      <c r="E4261" s="4" t="s">
        <v>15</v>
      </c>
      <c r="F4261" t="s">
        <v>21</v>
      </c>
      <c r="G4261" s="1">
        <v>45300</v>
      </c>
      <c r="H4261" s="1">
        <f>TablaDatos[[#This Row],[FechaIngreso]]+TablaDatos[[#This Row],[DiasNuevo]]</f>
        <v>45339</v>
      </c>
      <c r="I4261">
        <v>39</v>
      </c>
      <c r="J4261" t="s">
        <v>23</v>
      </c>
      <c r="K4261" s="3">
        <v>17740.189999999999</v>
      </c>
      <c r="L4261" t="b">
        <f>TablaDatos[[#This Row],[FechaAlta]] &lt; TablaDatos[[#This Row],[FechaIngreso]]</f>
        <v>0</v>
      </c>
      <c r="M4261">
        <f>_xlfn.XLOOKUP(TablaDatos[[#This Row],[PacienteID]],'Datos_Ejemplo.csv'!A:A,'Datos_Ejemplo.csv'!I:I)</f>
        <v>39</v>
      </c>
      <c r="N4261">
        <f>ABS(TablaDatos[[#This Row],[DiasOriginal]])</f>
        <v>39</v>
      </c>
      <c r="O4261" s="1">
        <f>TablaDatos[[#This Row],[FechaIngreso]]+TablaDatos[[#This Row],[DiasNuevo]]</f>
        <v>45339</v>
      </c>
    </row>
    <row r="4262" spans="1:15">
      <c r="A4262">
        <v>4261</v>
      </c>
      <c r="B4262" t="s">
        <v>308</v>
      </c>
      <c r="C4262" s="1">
        <v>15707</v>
      </c>
      <c r="D4262">
        <v>83</v>
      </c>
      <c r="E4262" s="4" t="s">
        <v>15</v>
      </c>
      <c r="F4262" t="s">
        <v>261</v>
      </c>
      <c r="G4262" s="1">
        <v>45514</v>
      </c>
      <c r="H4262" s="1">
        <f>TablaDatos[[#This Row],[FechaIngreso]]+TablaDatos[[#This Row],[DiasNuevo]]</f>
        <v>45549</v>
      </c>
      <c r="I4262">
        <v>35</v>
      </c>
      <c r="J4262" t="s">
        <v>19</v>
      </c>
      <c r="K4262" s="3">
        <v>17470.39</v>
      </c>
      <c r="L4262" t="b">
        <f>TablaDatos[[#This Row],[FechaAlta]] &lt; TablaDatos[[#This Row],[FechaIngreso]]</f>
        <v>0</v>
      </c>
      <c r="M4262">
        <f>_xlfn.XLOOKUP(TablaDatos[[#This Row],[PacienteID]],'Datos_Ejemplo.csv'!A:A,'Datos_Ejemplo.csv'!I:I)</f>
        <v>35</v>
      </c>
      <c r="N4262">
        <f>ABS(TablaDatos[[#This Row],[DiasOriginal]])</f>
        <v>35</v>
      </c>
      <c r="O4262" s="1">
        <f>TablaDatos[[#This Row],[FechaIngreso]]+TablaDatos[[#This Row],[DiasNuevo]]</f>
        <v>45549</v>
      </c>
    </row>
    <row r="4263" spans="1:15">
      <c r="A4263">
        <v>4262</v>
      </c>
      <c r="B4263" t="s">
        <v>130</v>
      </c>
      <c r="C4263" s="1">
        <v>40909</v>
      </c>
      <c r="D4263">
        <v>14</v>
      </c>
      <c r="E4263" s="4" t="s">
        <v>15</v>
      </c>
      <c r="F4263" t="s">
        <v>13</v>
      </c>
      <c r="G4263" s="1">
        <v>45265</v>
      </c>
      <c r="H4263" s="1">
        <f>TablaDatos[[#This Row],[FechaIngreso]]+TablaDatos[[#This Row],[DiasNuevo]]</f>
        <v>45271</v>
      </c>
      <c r="I4263">
        <v>6</v>
      </c>
      <c r="J4263" t="s">
        <v>19</v>
      </c>
      <c r="K4263" s="3">
        <v>17235.5</v>
      </c>
      <c r="L4263" t="b">
        <f>TablaDatos[[#This Row],[FechaAlta]] &lt; TablaDatos[[#This Row],[FechaIngreso]]</f>
        <v>0</v>
      </c>
      <c r="M4263">
        <f>_xlfn.XLOOKUP(TablaDatos[[#This Row],[PacienteID]],'Datos_Ejemplo.csv'!A:A,'Datos_Ejemplo.csv'!I:I)</f>
        <v>6</v>
      </c>
      <c r="N4263">
        <f>ABS(TablaDatos[[#This Row],[DiasOriginal]])</f>
        <v>6</v>
      </c>
      <c r="O4263" s="1">
        <f>TablaDatos[[#This Row],[FechaIngreso]]+TablaDatos[[#This Row],[DiasNuevo]]</f>
        <v>45271</v>
      </c>
    </row>
    <row r="4264" spans="1:15">
      <c r="A4264">
        <v>4263</v>
      </c>
      <c r="B4264" t="s">
        <v>275</v>
      </c>
      <c r="C4264" s="1">
        <v>12419</v>
      </c>
      <c r="D4264">
        <v>92</v>
      </c>
      <c r="E4264" s="4" t="s">
        <v>15</v>
      </c>
      <c r="F4264" t="s">
        <v>261</v>
      </c>
      <c r="G4264" s="1">
        <v>45383</v>
      </c>
      <c r="H4264" s="1">
        <f>TablaDatos[[#This Row],[FechaIngreso]]+TablaDatos[[#This Row],[DiasNuevo]]</f>
        <v>45398</v>
      </c>
      <c r="I4264">
        <v>15</v>
      </c>
      <c r="J4264" t="s">
        <v>25</v>
      </c>
      <c r="K4264" s="3">
        <v>7753.97</v>
      </c>
      <c r="L4264" t="b">
        <f>TablaDatos[[#This Row],[FechaAlta]] &lt; TablaDatos[[#This Row],[FechaIngreso]]</f>
        <v>0</v>
      </c>
      <c r="M4264">
        <f>_xlfn.XLOOKUP(TablaDatos[[#This Row],[PacienteID]],'Datos_Ejemplo.csv'!A:A,'Datos_Ejemplo.csv'!I:I)</f>
        <v>15</v>
      </c>
      <c r="N4264">
        <f>ABS(TablaDatos[[#This Row],[DiasOriginal]])</f>
        <v>15</v>
      </c>
      <c r="O4264" s="1">
        <f>TablaDatos[[#This Row],[FechaIngreso]]+TablaDatos[[#This Row],[DiasNuevo]]</f>
        <v>45398</v>
      </c>
    </row>
    <row r="4265" spans="1:15">
      <c r="A4265">
        <v>4264</v>
      </c>
      <c r="B4265" t="s">
        <v>307</v>
      </c>
      <c r="C4265" s="1">
        <v>43466</v>
      </c>
      <c r="D4265">
        <v>7</v>
      </c>
      <c r="E4265" s="4" t="s">
        <v>15</v>
      </c>
      <c r="F4265" t="s">
        <v>21</v>
      </c>
      <c r="G4265" s="1">
        <v>45281</v>
      </c>
      <c r="H4265" s="1">
        <f>TablaDatos[[#This Row],[FechaIngreso]]+TablaDatos[[#This Row],[DiasNuevo]]</f>
        <v>45293</v>
      </c>
      <c r="I4265">
        <v>12</v>
      </c>
      <c r="J4265" t="s">
        <v>25</v>
      </c>
      <c r="K4265" s="3">
        <v>1045.3499999999999</v>
      </c>
      <c r="L4265" t="b">
        <f>TablaDatos[[#This Row],[FechaAlta]] &lt; TablaDatos[[#This Row],[FechaIngreso]]</f>
        <v>0</v>
      </c>
      <c r="M4265">
        <f>_xlfn.XLOOKUP(TablaDatos[[#This Row],[PacienteID]],'Datos_Ejemplo.csv'!A:A,'Datos_Ejemplo.csv'!I:I)</f>
        <v>12</v>
      </c>
      <c r="N4265">
        <f>ABS(TablaDatos[[#This Row],[DiasOriginal]])</f>
        <v>12</v>
      </c>
      <c r="O4265" s="1">
        <f>TablaDatos[[#This Row],[FechaIngreso]]+TablaDatos[[#This Row],[DiasNuevo]]</f>
        <v>45293</v>
      </c>
    </row>
    <row r="4266" spans="1:15">
      <c r="A4266">
        <v>4265</v>
      </c>
      <c r="B4266" t="s">
        <v>355</v>
      </c>
      <c r="C4266" s="1">
        <v>31412</v>
      </c>
      <c r="D4266">
        <f ca="1">DATEDIF(TablaDatos[[#This Row],[FechaNacimiento]],TODAY(),"Y")</f>
        <v>40</v>
      </c>
      <c r="E4266" s="4" t="s">
        <v>15</v>
      </c>
      <c r="F4266" t="s">
        <v>21</v>
      </c>
      <c r="G4266" s="1">
        <v>45058</v>
      </c>
      <c r="H4266" s="1">
        <f>TablaDatos[[#This Row],[FechaIngreso]]+TablaDatos[[#This Row],[DiasNuevo]]</f>
        <v>45059</v>
      </c>
      <c r="I4266">
        <v>1</v>
      </c>
      <c r="J4266" t="s">
        <v>23</v>
      </c>
      <c r="K4266" s="3">
        <v>2045.51</v>
      </c>
      <c r="L4266" t="b">
        <f>TablaDatos[[#This Row],[FechaAlta]] &lt; TablaDatos[[#This Row],[FechaIngreso]]</f>
        <v>0</v>
      </c>
      <c r="M4266">
        <f>_xlfn.XLOOKUP(TablaDatos[[#This Row],[PacienteID]],'Datos_Ejemplo.csv'!A:A,'Datos_Ejemplo.csv'!I:I)</f>
        <v>1</v>
      </c>
      <c r="N4266">
        <f>ABS(TablaDatos[[#This Row],[DiasOriginal]])</f>
        <v>1</v>
      </c>
      <c r="O4266" s="1">
        <f>TablaDatos[[#This Row],[FechaIngreso]]+TablaDatos[[#This Row],[DiasNuevo]]</f>
        <v>45059</v>
      </c>
    </row>
    <row r="4267" spans="1:15">
      <c r="A4267">
        <v>4266</v>
      </c>
      <c r="B4267" t="s">
        <v>272</v>
      </c>
      <c r="C4267" s="1">
        <v>39448</v>
      </c>
      <c r="D4267">
        <v>18</v>
      </c>
      <c r="E4267" s="4" t="s">
        <v>15</v>
      </c>
      <c r="F4267" t="s">
        <v>261</v>
      </c>
      <c r="G4267" s="1">
        <v>45419</v>
      </c>
      <c r="H4267" s="1">
        <f>TablaDatos[[#This Row],[FechaIngreso]]+TablaDatos[[#This Row],[DiasNuevo]]</f>
        <v>45450</v>
      </c>
      <c r="I4267">
        <v>31</v>
      </c>
      <c r="J4267" t="s">
        <v>23</v>
      </c>
      <c r="K4267" s="3">
        <v>5448.57</v>
      </c>
      <c r="L4267" t="b">
        <f>TablaDatos[[#This Row],[FechaAlta]] &lt; TablaDatos[[#This Row],[FechaIngreso]]</f>
        <v>0</v>
      </c>
      <c r="M4267">
        <f>_xlfn.XLOOKUP(TablaDatos[[#This Row],[PacienteID]],'Datos_Ejemplo.csv'!A:A,'Datos_Ejemplo.csv'!I:I)</f>
        <v>31</v>
      </c>
      <c r="N4267">
        <f>ABS(TablaDatos[[#This Row],[DiasOriginal]])</f>
        <v>31</v>
      </c>
      <c r="O4267" s="1">
        <f>TablaDatos[[#This Row],[FechaIngreso]]+TablaDatos[[#This Row],[DiasNuevo]]</f>
        <v>45450</v>
      </c>
    </row>
    <row r="4268" spans="1:15">
      <c r="A4268">
        <v>4267</v>
      </c>
      <c r="B4268" t="s">
        <v>111</v>
      </c>
      <c r="C4268" s="1">
        <v>29586</v>
      </c>
      <c r="D4268">
        <f ca="1">DATEDIF(TablaDatos[[#This Row],[FechaNacimiento]],TODAY(),"Y")</f>
        <v>45</v>
      </c>
      <c r="E4268" s="4" t="s">
        <v>15</v>
      </c>
      <c r="F4268" t="s">
        <v>13</v>
      </c>
      <c r="G4268" s="1">
        <v>45480</v>
      </c>
      <c r="H4268" s="1">
        <f>TablaDatos[[#This Row],[FechaIngreso]]+TablaDatos[[#This Row],[DiasNuevo]]</f>
        <v>45515</v>
      </c>
      <c r="I4268">
        <v>35</v>
      </c>
      <c r="J4268" t="s">
        <v>23</v>
      </c>
      <c r="K4268" s="3">
        <v>4321.3999999999996</v>
      </c>
      <c r="L4268" t="b">
        <f>TablaDatos[[#This Row],[FechaAlta]] &lt; TablaDatos[[#This Row],[FechaIngreso]]</f>
        <v>0</v>
      </c>
      <c r="M4268">
        <f>_xlfn.XLOOKUP(TablaDatos[[#This Row],[PacienteID]],'Datos_Ejemplo.csv'!A:A,'Datos_Ejemplo.csv'!I:I)</f>
        <v>35</v>
      </c>
      <c r="N4268">
        <f>ABS(TablaDatos[[#This Row],[DiasOriginal]])</f>
        <v>35</v>
      </c>
      <c r="O4268" s="1">
        <f>TablaDatos[[#This Row],[FechaIngreso]]+TablaDatos[[#This Row],[DiasNuevo]]</f>
        <v>45515</v>
      </c>
    </row>
    <row r="4269" spans="1:15">
      <c r="A4269">
        <v>4268</v>
      </c>
      <c r="B4269" t="s">
        <v>240</v>
      </c>
      <c r="C4269" s="1">
        <v>36161</v>
      </c>
      <c r="D4269">
        <v>27</v>
      </c>
      <c r="E4269" s="4" t="s">
        <v>15</v>
      </c>
      <c r="F4269" t="s">
        <v>21</v>
      </c>
      <c r="G4269" s="1">
        <v>45036</v>
      </c>
      <c r="H4269" s="1">
        <f>TablaDatos[[#This Row],[FechaIngreso]]+TablaDatos[[#This Row],[DiasNuevo]]</f>
        <v>45050</v>
      </c>
      <c r="I4269">
        <v>14</v>
      </c>
      <c r="J4269" t="s">
        <v>19</v>
      </c>
      <c r="K4269" s="3">
        <v>17467.11</v>
      </c>
      <c r="L4269" t="b">
        <f>TablaDatos[[#This Row],[FechaAlta]] &lt; TablaDatos[[#This Row],[FechaIngreso]]</f>
        <v>0</v>
      </c>
      <c r="M4269">
        <f>_xlfn.XLOOKUP(TablaDatos[[#This Row],[PacienteID]],'Datos_Ejemplo.csv'!A:A,'Datos_Ejemplo.csv'!I:I)</f>
        <v>14</v>
      </c>
      <c r="N4269">
        <f>ABS(TablaDatos[[#This Row],[DiasOriginal]])</f>
        <v>14</v>
      </c>
      <c r="O4269" s="1">
        <f>TablaDatos[[#This Row],[FechaIngreso]]+TablaDatos[[#This Row],[DiasNuevo]]</f>
        <v>45050</v>
      </c>
    </row>
    <row r="4270" spans="1:15">
      <c r="A4270">
        <v>4269</v>
      </c>
      <c r="B4270" t="s">
        <v>355</v>
      </c>
      <c r="C4270" s="1">
        <v>13150</v>
      </c>
      <c r="D4270">
        <v>90</v>
      </c>
      <c r="E4270" s="4" t="s">
        <v>15</v>
      </c>
      <c r="F4270" t="s">
        <v>201</v>
      </c>
      <c r="G4270" s="1">
        <v>45508</v>
      </c>
      <c r="H4270" s="1">
        <f>TablaDatos[[#This Row],[FechaIngreso]]+TablaDatos[[#This Row],[DiasNuevo]]</f>
        <v>45512</v>
      </c>
      <c r="I4270">
        <v>4</v>
      </c>
      <c r="J4270" t="s">
        <v>19</v>
      </c>
      <c r="K4270" s="3">
        <v>19725.8</v>
      </c>
      <c r="L4270" t="b">
        <f>TablaDatos[[#This Row],[FechaAlta]] &lt; TablaDatos[[#This Row],[FechaIngreso]]</f>
        <v>0</v>
      </c>
      <c r="M4270">
        <f>_xlfn.XLOOKUP(TablaDatos[[#This Row],[PacienteID]],'Datos_Ejemplo.csv'!A:A,'Datos_Ejemplo.csv'!I:I)</f>
        <v>4</v>
      </c>
      <c r="N4270">
        <f>ABS(TablaDatos[[#This Row],[DiasOriginal]])</f>
        <v>4</v>
      </c>
      <c r="O4270" s="1">
        <f>TablaDatos[[#This Row],[FechaIngreso]]+TablaDatos[[#This Row],[DiasNuevo]]</f>
        <v>45512</v>
      </c>
    </row>
    <row r="4271" spans="1:15">
      <c r="A4271">
        <v>4270</v>
      </c>
      <c r="B4271" t="s">
        <v>334</v>
      </c>
      <c r="C4271" s="1">
        <v>21551</v>
      </c>
      <c r="D4271">
        <v>67</v>
      </c>
      <c r="E4271" s="4" t="s">
        <v>15</v>
      </c>
      <c r="F4271" t="s">
        <v>201</v>
      </c>
      <c r="G4271" s="1">
        <v>45052</v>
      </c>
      <c r="H4271" s="1">
        <f>TablaDatos[[#This Row],[FechaIngreso]]+TablaDatos[[#This Row],[DiasNuevo]]</f>
        <v>45081</v>
      </c>
      <c r="I4271">
        <v>29</v>
      </c>
      <c r="J4271" t="s">
        <v>23</v>
      </c>
      <c r="K4271" s="3">
        <v>16315.14</v>
      </c>
      <c r="L4271" t="b">
        <f>TablaDatos[[#This Row],[FechaAlta]] &lt; TablaDatos[[#This Row],[FechaIngreso]]</f>
        <v>0</v>
      </c>
      <c r="M4271">
        <f>_xlfn.XLOOKUP(TablaDatos[[#This Row],[PacienteID]],'Datos_Ejemplo.csv'!A:A,'Datos_Ejemplo.csv'!I:I)</f>
        <v>29</v>
      </c>
      <c r="N4271">
        <f>ABS(TablaDatos[[#This Row],[DiasOriginal]])</f>
        <v>29</v>
      </c>
      <c r="O4271" s="1">
        <f>TablaDatos[[#This Row],[FechaIngreso]]+TablaDatos[[#This Row],[DiasNuevo]]</f>
        <v>45081</v>
      </c>
    </row>
    <row r="4272" spans="1:15">
      <c r="A4272">
        <v>4271</v>
      </c>
      <c r="B4272" t="s">
        <v>335</v>
      </c>
      <c r="C4272" s="1">
        <v>40909</v>
      </c>
      <c r="D4272">
        <v>14</v>
      </c>
      <c r="E4272" s="4" t="s">
        <v>197</v>
      </c>
      <c r="F4272" t="s">
        <v>13</v>
      </c>
      <c r="G4272" s="1">
        <v>45222</v>
      </c>
      <c r="H4272" s="1">
        <f>TablaDatos[[#This Row],[FechaIngreso]]+TablaDatos[[#This Row],[DiasNuevo]]</f>
        <v>45242</v>
      </c>
      <c r="I4272">
        <v>20</v>
      </c>
      <c r="J4272" t="s">
        <v>23</v>
      </c>
      <c r="K4272" s="3">
        <v>14569.96</v>
      </c>
      <c r="L4272" t="b">
        <f>TablaDatos[[#This Row],[FechaAlta]] &lt; TablaDatos[[#This Row],[FechaIngreso]]</f>
        <v>0</v>
      </c>
      <c r="M4272">
        <f>_xlfn.XLOOKUP(TablaDatos[[#This Row],[PacienteID]],'Datos_Ejemplo.csv'!A:A,'Datos_Ejemplo.csv'!I:I)</f>
        <v>20</v>
      </c>
      <c r="N4272">
        <f>ABS(TablaDatos[[#This Row],[DiasOriginal]])</f>
        <v>20</v>
      </c>
      <c r="O4272" s="1">
        <f>TablaDatos[[#This Row],[FechaIngreso]]+TablaDatos[[#This Row],[DiasNuevo]]</f>
        <v>45242</v>
      </c>
    </row>
    <row r="4273" spans="1:15">
      <c r="A4273">
        <v>4272</v>
      </c>
      <c r="B4273" t="s">
        <v>278</v>
      </c>
      <c r="C4273" s="1">
        <v>32873</v>
      </c>
      <c r="D4273">
        <v>36</v>
      </c>
      <c r="E4273" s="4" t="s">
        <v>15</v>
      </c>
      <c r="F4273" t="s">
        <v>21</v>
      </c>
      <c r="G4273" s="1">
        <v>45105</v>
      </c>
      <c r="H4273" s="1">
        <f>TablaDatos[[#This Row],[FechaIngreso]]+TablaDatos[[#This Row],[DiasNuevo]]</f>
        <v>45122</v>
      </c>
      <c r="I4273">
        <v>17</v>
      </c>
      <c r="J4273" t="s">
        <v>25</v>
      </c>
      <c r="K4273" s="3">
        <v>11731.35</v>
      </c>
      <c r="L4273" t="b">
        <f>TablaDatos[[#This Row],[FechaAlta]] &lt; TablaDatos[[#This Row],[FechaIngreso]]</f>
        <v>0</v>
      </c>
      <c r="M4273">
        <f>_xlfn.XLOOKUP(TablaDatos[[#This Row],[PacienteID]],'Datos_Ejemplo.csv'!A:A,'Datos_Ejemplo.csv'!I:I)</f>
        <v>17</v>
      </c>
      <c r="N4273">
        <f>ABS(TablaDatos[[#This Row],[DiasOriginal]])</f>
        <v>17</v>
      </c>
      <c r="O4273" s="1">
        <f>TablaDatos[[#This Row],[FechaIngreso]]+TablaDatos[[#This Row],[DiasNuevo]]</f>
        <v>45122</v>
      </c>
    </row>
    <row r="4274" spans="1:15">
      <c r="A4274">
        <v>4273</v>
      </c>
      <c r="B4274" t="s">
        <v>344</v>
      </c>
      <c r="C4274" s="1">
        <v>46022</v>
      </c>
      <c r="D4274">
        <v>0</v>
      </c>
      <c r="E4274" s="4" t="s">
        <v>12</v>
      </c>
      <c r="F4274" t="s">
        <v>201</v>
      </c>
      <c r="G4274" s="1">
        <v>45123</v>
      </c>
      <c r="H4274" s="1">
        <f>TablaDatos[[#This Row],[FechaIngreso]]+TablaDatos[[#This Row],[DiasNuevo]]</f>
        <v>45124</v>
      </c>
      <c r="I4274">
        <v>1</v>
      </c>
      <c r="J4274" t="s">
        <v>23</v>
      </c>
      <c r="K4274" s="3">
        <v>15375.16</v>
      </c>
      <c r="L4274" t="b">
        <f>TablaDatos[[#This Row],[FechaAlta]] &lt; TablaDatos[[#This Row],[FechaIngreso]]</f>
        <v>0</v>
      </c>
      <c r="M4274">
        <f>_xlfn.XLOOKUP(TablaDatos[[#This Row],[PacienteID]],'Datos_Ejemplo.csv'!A:A,'Datos_Ejemplo.csv'!I:I)</f>
        <v>-1</v>
      </c>
      <c r="N4274">
        <f>ABS(TablaDatos[[#This Row],[DiasOriginal]])</f>
        <v>1</v>
      </c>
      <c r="O4274" s="1">
        <f>TablaDatos[[#This Row],[FechaIngreso]]+TablaDatos[[#This Row],[DiasNuevo]]</f>
        <v>45124</v>
      </c>
    </row>
    <row r="4275" spans="1:15">
      <c r="A4275">
        <v>4274</v>
      </c>
      <c r="B4275" t="s">
        <v>353</v>
      </c>
      <c r="C4275" s="1">
        <v>21916</v>
      </c>
      <c r="D4275">
        <v>66</v>
      </c>
      <c r="E4275" s="4" t="s">
        <v>12</v>
      </c>
      <c r="F4275" t="s">
        <v>295</v>
      </c>
      <c r="G4275" s="1">
        <v>45027</v>
      </c>
      <c r="H4275" s="1">
        <f>TablaDatos[[#This Row],[FechaIngreso]]+TablaDatos[[#This Row],[DiasNuevo]]</f>
        <v>45045</v>
      </c>
      <c r="I4275">
        <v>18</v>
      </c>
      <c r="J4275" t="s">
        <v>23</v>
      </c>
      <c r="K4275" s="3">
        <v>18935.37</v>
      </c>
      <c r="L4275" t="b">
        <f>TablaDatos[[#This Row],[FechaAlta]] &lt; TablaDatos[[#This Row],[FechaIngreso]]</f>
        <v>0</v>
      </c>
      <c r="M4275">
        <f>_xlfn.XLOOKUP(TablaDatos[[#This Row],[PacienteID]],'Datos_Ejemplo.csv'!A:A,'Datos_Ejemplo.csv'!I:I)</f>
        <v>18</v>
      </c>
      <c r="N4275">
        <f>ABS(TablaDatos[[#This Row],[DiasOriginal]])</f>
        <v>18</v>
      </c>
      <c r="O4275" s="1">
        <f>TablaDatos[[#This Row],[FechaIngreso]]+TablaDatos[[#This Row],[DiasNuevo]]</f>
        <v>45045</v>
      </c>
    </row>
    <row r="4276" spans="1:15">
      <c r="A4276">
        <v>4275</v>
      </c>
      <c r="B4276" t="s">
        <v>230</v>
      </c>
      <c r="C4276" s="1">
        <v>37622</v>
      </c>
      <c r="D4276">
        <v>23</v>
      </c>
      <c r="E4276" s="4" t="s">
        <v>12</v>
      </c>
      <c r="F4276" t="s">
        <v>18</v>
      </c>
      <c r="G4276" s="1">
        <v>45499</v>
      </c>
      <c r="H4276" s="1">
        <f>TablaDatos[[#This Row],[FechaIngreso]]+TablaDatos[[#This Row],[DiasNuevo]]</f>
        <v>45508</v>
      </c>
      <c r="I4276">
        <v>9</v>
      </c>
      <c r="J4276" t="s">
        <v>23</v>
      </c>
      <c r="K4276" s="3">
        <v>11987.03</v>
      </c>
      <c r="L4276" t="b">
        <f>TablaDatos[[#This Row],[FechaAlta]] &lt; TablaDatos[[#This Row],[FechaIngreso]]</f>
        <v>0</v>
      </c>
      <c r="M4276">
        <f>_xlfn.XLOOKUP(TablaDatos[[#This Row],[PacienteID]],'Datos_Ejemplo.csv'!A:A,'Datos_Ejemplo.csv'!I:I)</f>
        <v>9</v>
      </c>
      <c r="N4276">
        <f>ABS(TablaDatos[[#This Row],[DiasOriginal]])</f>
        <v>9</v>
      </c>
      <c r="O4276" s="1">
        <f>TablaDatos[[#This Row],[FechaIngreso]]+TablaDatos[[#This Row],[DiasNuevo]]</f>
        <v>45508</v>
      </c>
    </row>
    <row r="4277" spans="1:15">
      <c r="A4277">
        <v>4276</v>
      </c>
      <c r="B4277" t="s">
        <v>270</v>
      </c>
      <c r="C4277" s="1">
        <v>36526</v>
      </c>
      <c r="D4277">
        <v>26</v>
      </c>
      <c r="E4277" s="4" t="s">
        <v>12</v>
      </c>
      <c r="F4277" t="s">
        <v>21</v>
      </c>
      <c r="G4277" s="1">
        <v>45109</v>
      </c>
      <c r="H4277" s="1">
        <f>TablaDatos[[#This Row],[FechaIngreso]]+TablaDatos[[#This Row],[DiasNuevo]]</f>
        <v>45148</v>
      </c>
      <c r="I4277">
        <v>39</v>
      </c>
      <c r="J4277" t="s">
        <v>23</v>
      </c>
      <c r="K4277" s="3">
        <v>3007.73</v>
      </c>
      <c r="L4277" t="b">
        <f>TablaDatos[[#This Row],[FechaAlta]] &lt; TablaDatos[[#This Row],[FechaIngreso]]</f>
        <v>0</v>
      </c>
      <c r="M4277">
        <f>_xlfn.XLOOKUP(TablaDatos[[#This Row],[PacienteID]],'Datos_Ejemplo.csv'!A:A,'Datos_Ejemplo.csv'!I:I)</f>
        <v>39</v>
      </c>
      <c r="N4277">
        <f>ABS(TablaDatos[[#This Row],[DiasOriginal]])</f>
        <v>39</v>
      </c>
      <c r="O4277" s="1">
        <f>TablaDatos[[#This Row],[FechaIngreso]]+TablaDatos[[#This Row],[DiasNuevo]]</f>
        <v>45148</v>
      </c>
    </row>
    <row r="4278" spans="1:15">
      <c r="A4278">
        <v>4277</v>
      </c>
      <c r="B4278" t="s">
        <v>243</v>
      </c>
      <c r="C4278" s="1">
        <v>31778</v>
      </c>
      <c r="D4278">
        <v>39</v>
      </c>
      <c r="E4278" s="4" t="s">
        <v>12</v>
      </c>
      <c r="F4278" t="s">
        <v>18</v>
      </c>
      <c r="G4278" s="1">
        <v>44935</v>
      </c>
      <c r="H4278" s="1">
        <f>TablaDatos[[#This Row],[FechaIngreso]]+TablaDatos[[#This Row],[DiasNuevo]]</f>
        <v>44959</v>
      </c>
      <c r="I4278">
        <v>24</v>
      </c>
      <c r="J4278" t="s">
        <v>19</v>
      </c>
      <c r="K4278" s="3">
        <v>3193.55</v>
      </c>
      <c r="L4278" t="b">
        <f>TablaDatos[[#This Row],[FechaAlta]] &lt; TablaDatos[[#This Row],[FechaIngreso]]</f>
        <v>0</v>
      </c>
      <c r="M4278">
        <f>_xlfn.XLOOKUP(TablaDatos[[#This Row],[PacienteID]],'Datos_Ejemplo.csv'!A:A,'Datos_Ejemplo.csv'!I:I)</f>
        <v>24</v>
      </c>
      <c r="N4278">
        <f>ABS(TablaDatos[[#This Row],[DiasOriginal]])</f>
        <v>24</v>
      </c>
      <c r="O4278" s="1">
        <f>TablaDatos[[#This Row],[FechaIngreso]]+TablaDatos[[#This Row],[DiasNuevo]]</f>
        <v>44959</v>
      </c>
    </row>
    <row r="4279" spans="1:15">
      <c r="A4279">
        <v>4278</v>
      </c>
      <c r="B4279" t="s">
        <v>303</v>
      </c>
      <c r="C4279" s="1">
        <v>23377</v>
      </c>
      <c r="D4279">
        <v>62</v>
      </c>
      <c r="E4279" s="4" t="s">
        <v>12</v>
      </c>
      <c r="F4279" t="s">
        <v>32</v>
      </c>
      <c r="G4279" s="1">
        <v>45339</v>
      </c>
      <c r="H4279" s="1">
        <f>TablaDatos[[#This Row],[FechaIngreso]]+TablaDatos[[#This Row],[DiasNuevo]]</f>
        <v>45346</v>
      </c>
      <c r="I4279">
        <v>7</v>
      </c>
      <c r="J4279" t="s">
        <v>19</v>
      </c>
      <c r="K4279" s="3">
        <v>11635.64</v>
      </c>
      <c r="L4279" t="b">
        <f>TablaDatos[[#This Row],[FechaAlta]] &lt; TablaDatos[[#This Row],[FechaIngreso]]</f>
        <v>0</v>
      </c>
      <c r="M4279">
        <f>_xlfn.XLOOKUP(TablaDatos[[#This Row],[PacienteID]],'Datos_Ejemplo.csv'!A:A,'Datos_Ejemplo.csv'!I:I)</f>
        <v>7</v>
      </c>
      <c r="N4279">
        <f>ABS(TablaDatos[[#This Row],[DiasOriginal]])</f>
        <v>7</v>
      </c>
      <c r="O4279" s="1">
        <f>TablaDatos[[#This Row],[FechaIngreso]]+TablaDatos[[#This Row],[DiasNuevo]]</f>
        <v>45346</v>
      </c>
    </row>
    <row r="4280" spans="1:15">
      <c r="A4280">
        <v>4279</v>
      </c>
      <c r="B4280" t="s">
        <v>257</v>
      </c>
      <c r="C4280" s="1">
        <v>24107</v>
      </c>
      <c r="D4280">
        <v>60</v>
      </c>
      <c r="E4280" s="4" t="s">
        <v>15</v>
      </c>
      <c r="F4280" t="s">
        <v>201</v>
      </c>
      <c r="G4280" s="1">
        <v>45644</v>
      </c>
      <c r="H4280" s="1">
        <f>TablaDatos[[#This Row],[FechaIngreso]]+TablaDatos[[#This Row],[DiasNuevo]]</f>
        <v>45649</v>
      </c>
      <c r="I4280">
        <v>5</v>
      </c>
      <c r="J4280" t="s">
        <v>25</v>
      </c>
      <c r="K4280" s="3">
        <v>6602.72</v>
      </c>
      <c r="L4280" t="b">
        <f>TablaDatos[[#This Row],[FechaAlta]] &lt; TablaDatos[[#This Row],[FechaIngreso]]</f>
        <v>0</v>
      </c>
      <c r="M4280">
        <f>_xlfn.XLOOKUP(TablaDatos[[#This Row],[PacienteID]],'Datos_Ejemplo.csv'!A:A,'Datos_Ejemplo.csv'!I:I)</f>
        <v>5</v>
      </c>
      <c r="N4280">
        <f>ABS(TablaDatos[[#This Row],[DiasOriginal]])</f>
        <v>5</v>
      </c>
      <c r="O4280" s="1">
        <f>TablaDatos[[#This Row],[FechaIngreso]]+TablaDatos[[#This Row],[DiasNuevo]]</f>
        <v>45649</v>
      </c>
    </row>
    <row r="4281" spans="1:15">
      <c r="A4281">
        <v>4280</v>
      </c>
      <c r="B4281" t="s">
        <v>253</v>
      </c>
      <c r="C4281" s="1">
        <v>33239</v>
      </c>
      <c r="D4281">
        <v>35</v>
      </c>
      <c r="E4281" s="4" t="s">
        <v>15</v>
      </c>
      <c r="F4281" t="s">
        <v>21</v>
      </c>
      <c r="G4281" s="1">
        <v>45492</v>
      </c>
      <c r="H4281" s="1">
        <f>TablaDatos[[#This Row],[FechaIngreso]]+TablaDatos[[#This Row],[DiasNuevo]]</f>
        <v>45510</v>
      </c>
      <c r="I4281">
        <v>18</v>
      </c>
      <c r="J4281" t="s">
        <v>25</v>
      </c>
      <c r="K4281" s="3">
        <v>18195.97</v>
      </c>
      <c r="L4281" t="b">
        <f>TablaDatos[[#This Row],[FechaAlta]] &lt; TablaDatos[[#This Row],[FechaIngreso]]</f>
        <v>0</v>
      </c>
      <c r="M4281">
        <f>_xlfn.XLOOKUP(TablaDatos[[#This Row],[PacienteID]],'Datos_Ejemplo.csv'!A:A,'Datos_Ejemplo.csv'!I:I)</f>
        <v>18</v>
      </c>
      <c r="N4281">
        <f>ABS(TablaDatos[[#This Row],[DiasOriginal]])</f>
        <v>18</v>
      </c>
      <c r="O4281" s="1">
        <f>TablaDatos[[#This Row],[FechaIngreso]]+TablaDatos[[#This Row],[DiasNuevo]]</f>
        <v>45510</v>
      </c>
    </row>
    <row r="4282" spans="1:15">
      <c r="A4282">
        <v>4281</v>
      </c>
      <c r="B4282" t="s">
        <v>249</v>
      </c>
      <c r="C4282" s="1">
        <v>12419</v>
      </c>
      <c r="D4282">
        <v>92</v>
      </c>
      <c r="E4282" s="4" t="s">
        <v>197</v>
      </c>
      <c r="F4282" t="s">
        <v>295</v>
      </c>
      <c r="G4282" s="1">
        <v>45618</v>
      </c>
      <c r="H4282" s="1">
        <f>TablaDatos[[#This Row],[FechaIngreso]]+TablaDatos[[#This Row],[DiasNuevo]]</f>
        <v>45637</v>
      </c>
      <c r="I4282">
        <v>19</v>
      </c>
      <c r="J4282" t="s">
        <v>23</v>
      </c>
      <c r="K4282" s="3">
        <v>12194.01</v>
      </c>
      <c r="L4282" t="b">
        <f>TablaDatos[[#This Row],[FechaAlta]] &lt; TablaDatos[[#This Row],[FechaIngreso]]</f>
        <v>0</v>
      </c>
      <c r="M4282">
        <f>_xlfn.XLOOKUP(TablaDatos[[#This Row],[PacienteID]],'Datos_Ejemplo.csv'!A:A,'Datos_Ejemplo.csv'!I:I)</f>
        <v>19</v>
      </c>
      <c r="N4282">
        <f>ABS(TablaDatos[[#This Row],[DiasOriginal]])</f>
        <v>19</v>
      </c>
      <c r="O4282" s="1">
        <f>TablaDatos[[#This Row],[FechaIngreso]]+TablaDatos[[#This Row],[DiasNuevo]]</f>
        <v>45637</v>
      </c>
    </row>
    <row r="4283" spans="1:15">
      <c r="A4283">
        <v>4282</v>
      </c>
      <c r="B4283" t="s">
        <v>162</v>
      </c>
      <c r="C4283" s="1">
        <v>37622</v>
      </c>
      <c r="D4283">
        <v>23</v>
      </c>
      <c r="E4283" s="4" t="s">
        <v>12</v>
      </c>
      <c r="F4283" t="s">
        <v>13</v>
      </c>
      <c r="G4283" s="1">
        <v>45030</v>
      </c>
      <c r="H4283" s="1">
        <f>TablaDatos[[#This Row],[FechaIngreso]]+TablaDatos[[#This Row],[DiasNuevo]]</f>
        <v>45040</v>
      </c>
      <c r="I4283">
        <v>10</v>
      </c>
      <c r="J4283" t="s">
        <v>25</v>
      </c>
      <c r="K4283" s="3">
        <v>13497.5</v>
      </c>
      <c r="L4283" t="b">
        <f>TablaDatos[[#This Row],[FechaAlta]] &lt; TablaDatos[[#This Row],[FechaIngreso]]</f>
        <v>0</v>
      </c>
      <c r="M4283">
        <f>_xlfn.XLOOKUP(TablaDatos[[#This Row],[PacienteID]],'Datos_Ejemplo.csv'!A:A,'Datos_Ejemplo.csv'!I:I)</f>
        <v>10</v>
      </c>
      <c r="N4283">
        <f>ABS(TablaDatos[[#This Row],[DiasOriginal]])</f>
        <v>10</v>
      </c>
      <c r="O4283" s="1">
        <f>TablaDatos[[#This Row],[FechaIngreso]]+TablaDatos[[#This Row],[DiasNuevo]]</f>
        <v>45040</v>
      </c>
    </row>
    <row r="4284" spans="1:15">
      <c r="A4284">
        <v>4283</v>
      </c>
      <c r="B4284" t="s">
        <v>336</v>
      </c>
      <c r="C4284" s="1">
        <v>37622</v>
      </c>
      <c r="D4284">
        <v>23</v>
      </c>
      <c r="E4284" s="4" t="s">
        <v>197</v>
      </c>
      <c r="F4284" t="s">
        <v>295</v>
      </c>
      <c r="G4284" s="1">
        <v>45052</v>
      </c>
      <c r="H4284" s="1">
        <f>TablaDatos[[#This Row],[FechaIngreso]]+TablaDatos[[#This Row],[DiasNuevo]]</f>
        <v>45089</v>
      </c>
      <c r="I4284">
        <v>37</v>
      </c>
      <c r="J4284" t="s">
        <v>23</v>
      </c>
      <c r="K4284" s="3">
        <v>17</v>
      </c>
      <c r="L4284" t="b">
        <f>TablaDatos[[#This Row],[FechaAlta]] &lt; TablaDatos[[#This Row],[FechaIngreso]]</f>
        <v>0</v>
      </c>
      <c r="M4284">
        <f>_xlfn.XLOOKUP(TablaDatos[[#This Row],[PacienteID]],'Datos_Ejemplo.csv'!A:A,'Datos_Ejemplo.csv'!I:I)</f>
        <v>37</v>
      </c>
      <c r="N4284">
        <f>ABS(TablaDatos[[#This Row],[DiasOriginal]])</f>
        <v>37</v>
      </c>
      <c r="O4284" s="1">
        <f>TablaDatos[[#This Row],[FechaIngreso]]+TablaDatos[[#This Row],[DiasNuevo]]</f>
        <v>45089</v>
      </c>
    </row>
    <row r="4285" spans="1:15">
      <c r="A4285">
        <v>4284</v>
      </c>
      <c r="B4285" t="s">
        <v>254</v>
      </c>
      <c r="C4285" s="1">
        <v>44927</v>
      </c>
      <c r="D4285">
        <v>3</v>
      </c>
      <c r="E4285" s="4" t="s">
        <v>12</v>
      </c>
      <c r="F4285" t="s">
        <v>18</v>
      </c>
      <c r="G4285" s="1">
        <v>45472</v>
      </c>
      <c r="H4285" s="1">
        <f>TablaDatos[[#This Row],[FechaIngreso]]+TablaDatos[[#This Row],[DiasNuevo]]</f>
        <v>45481</v>
      </c>
      <c r="I4285">
        <v>9</v>
      </c>
      <c r="J4285" t="s">
        <v>23</v>
      </c>
      <c r="K4285" s="3">
        <v>9926.86</v>
      </c>
      <c r="L4285" t="b">
        <f>TablaDatos[[#This Row],[FechaAlta]] &lt; TablaDatos[[#This Row],[FechaIngreso]]</f>
        <v>0</v>
      </c>
      <c r="M4285">
        <f>_xlfn.XLOOKUP(TablaDatos[[#This Row],[PacienteID]],'Datos_Ejemplo.csv'!A:A,'Datos_Ejemplo.csv'!I:I)</f>
        <v>9</v>
      </c>
      <c r="N4285">
        <f>ABS(TablaDatos[[#This Row],[DiasOriginal]])</f>
        <v>9</v>
      </c>
      <c r="O4285" s="1">
        <f>TablaDatos[[#This Row],[FechaIngreso]]+TablaDatos[[#This Row],[DiasNuevo]]</f>
        <v>45481</v>
      </c>
    </row>
    <row r="4286" spans="1:15">
      <c r="A4286">
        <v>4285</v>
      </c>
      <c r="B4286" t="s">
        <v>309</v>
      </c>
      <c r="C4286" s="1">
        <v>21916</v>
      </c>
      <c r="D4286">
        <v>66</v>
      </c>
      <c r="E4286" s="4" t="s">
        <v>12</v>
      </c>
      <c r="F4286" t="s">
        <v>13</v>
      </c>
      <c r="G4286" s="1">
        <v>45603</v>
      </c>
      <c r="H4286" s="1">
        <f>TablaDatos[[#This Row],[FechaIngreso]]+TablaDatos[[#This Row],[DiasNuevo]]</f>
        <v>45617</v>
      </c>
      <c r="I4286">
        <v>14</v>
      </c>
      <c r="J4286" t="s">
        <v>23</v>
      </c>
      <c r="K4286" s="3">
        <v>8566.41</v>
      </c>
      <c r="L4286" t="b">
        <f>TablaDatos[[#This Row],[FechaAlta]] &lt; TablaDatos[[#This Row],[FechaIngreso]]</f>
        <v>0</v>
      </c>
      <c r="M4286">
        <f>_xlfn.XLOOKUP(TablaDatos[[#This Row],[PacienteID]],'Datos_Ejemplo.csv'!A:A,'Datos_Ejemplo.csv'!I:I)</f>
        <v>14</v>
      </c>
      <c r="N4286">
        <f>ABS(TablaDatos[[#This Row],[DiasOriginal]])</f>
        <v>14</v>
      </c>
      <c r="O4286" s="1">
        <f>TablaDatos[[#This Row],[FechaIngreso]]+TablaDatos[[#This Row],[DiasNuevo]]</f>
        <v>45617</v>
      </c>
    </row>
    <row r="4287" spans="1:15">
      <c r="A4287">
        <v>4286</v>
      </c>
      <c r="B4287" t="s">
        <v>279</v>
      </c>
      <c r="C4287" s="1">
        <v>33969</v>
      </c>
      <c r="D4287">
        <v>33</v>
      </c>
      <c r="E4287" s="4" t="s">
        <v>12</v>
      </c>
      <c r="F4287" t="s">
        <v>295</v>
      </c>
      <c r="G4287" s="1">
        <v>45196</v>
      </c>
      <c r="H4287" s="1">
        <f>TablaDatos[[#This Row],[FechaIngreso]]+TablaDatos[[#This Row],[DiasNuevo]]</f>
        <v>45202</v>
      </c>
      <c r="I4287">
        <v>6</v>
      </c>
      <c r="J4287" t="s">
        <v>19</v>
      </c>
      <c r="K4287" s="3">
        <v>14088.02</v>
      </c>
      <c r="L4287" t="b">
        <f>TablaDatos[[#This Row],[FechaAlta]] &lt; TablaDatos[[#This Row],[FechaIngreso]]</f>
        <v>0</v>
      </c>
      <c r="M4287">
        <f>_xlfn.XLOOKUP(TablaDatos[[#This Row],[PacienteID]],'Datos_Ejemplo.csv'!A:A,'Datos_Ejemplo.csv'!I:I)</f>
        <v>6</v>
      </c>
      <c r="N4287">
        <f>ABS(TablaDatos[[#This Row],[DiasOriginal]])</f>
        <v>6</v>
      </c>
      <c r="O4287" s="1">
        <f>TablaDatos[[#This Row],[FechaIngreso]]+TablaDatos[[#This Row],[DiasNuevo]]</f>
        <v>45202</v>
      </c>
    </row>
    <row r="4288" spans="1:15">
      <c r="A4288">
        <v>4287</v>
      </c>
      <c r="B4288" t="s">
        <v>294</v>
      </c>
      <c r="C4288" s="1">
        <v>25568</v>
      </c>
      <c r="D4288">
        <v>56</v>
      </c>
      <c r="E4288" s="4" t="s">
        <v>12</v>
      </c>
      <c r="F4288" t="s">
        <v>295</v>
      </c>
      <c r="G4288" s="1">
        <v>45392</v>
      </c>
      <c r="H4288" s="1">
        <f>TablaDatos[[#This Row],[FechaIngreso]]+TablaDatos[[#This Row],[DiasNuevo]]</f>
        <v>45429</v>
      </c>
      <c r="I4288">
        <v>37</v>
      </c>
      <c r="J4288" t="s">
        <v>23</v>
      </c>
      <c r="K4288" s="3">
        <v>7591.04</v>
      </c>
      <c r="L4288" t="b">
        <f>TablaDatos[[#This Row],[FechaAlta]] &lt; TablaDatos[[#This Row],[FechaIngreso]]</f>
        <v>0</v>
      </c>
      <c r="M4288">
        <f>_xlfn.XLOOKUP(TablaDatos[[#This Row],[PacienteID]],'Datos_Ejemplo.csv'!A:A,'Datos_Ejemplo.csv'!I:I)</f>
        <v>37</v>
      </c>
      <c r="N4288">
        <f>ABS(TablaDatos[[#This Row],[DiasOriginal]])</f>
        <v>37</v>
      </c>
      <c r="O4288" s="1">
        <f>TablaDatos[[#This Row],[FechaIngreso]]+TablaDatos[[#This Row],[DiasNuevo]]</f>
        <v>45429</v>
      </c>
    </row>
    <row r="4289" spans="1:15">
      <c r="A4289">
        <v>4288</v>
      </c>
      <c r="B4289" t="s">
        <v>332</v>
      </c>
      <c r="C4289" s="1">
        <v>28490</v>
      </c>
      <c r="D4289">
        <v>48</v>
      </c>
      <c r="E4289" s="4" t="s">
        <v>12</v>
      </c>
      <c r="F4289" t="s">
        <v>295</v>
      </c>
      <c r="G4289" s="1">
        <v>45044</v>
      </c>
      <c r="H4289" s="1">
        <f>TablaDatos[[#This Row],[FechaIngreso]]+TablaDatos[[#This Row],[DiasNuevo]]</f>
        <v>45053</v>
      </c>
      <c r="I4289">
        <v>9</v>
      </c>
      <c r="J4289" t="s">
        <v>23</v>
      </c>
      <c r="K4289" s="3">
        <v>19529.16</v>
      </c>
      <c r="L4289" t="b">
        <f>TablaDatos[[#This Row],[FechaAlta]] &lt; TablaDatos[[#This Row],[FechaIngreso]]</f>
        <v>0</v>
      </c>
      <c r="M4289">
        <f>_xlfn.XLOOKUP(TablaDatos[[#This Row],[PacienteID]],'Datos_Ejemplo.csv'!A:A,'Datos_Ejemplo.csv'!I:I)</f>
        <v>9</v>
      </c>
      <c r="N4289">
        <f>ABS(TablaDatos[[#This Row],[DiasOriginal]])</f>
        <v>9</v>
      </c>
      <c r="O4289" s="1">
        <f>TablaDatos[[#This Row],[FechaIngreso]]+TablaDatos[[#This Row],[DiasNuevo]]</f>
        <v>45053</v>
      </c>
    </row>
    <row r="4290" spans="1:15">
      <c r="A4290">
        <v>4289</v>
      </c>
      <c r="B4290" t="s">
        <v>162</v>
      </c>
      <c r="C4290" s="1">
        <v>14611</v>
      </c>
      <c r="D4290">
        <v>86</v>
      </c>
      <c r="E4290" s="4" t="s">
        <v>12</v>
      </c>
      <c r="F4290" t="s">
        <v>261</v>
      </c>
      <c r="G4290" s="1">
        <v>45018</v>
      </c>
      <c r="H4290" s="1">
        <f>TablaDatos[[#This Row],[FechaIngreso]]+TablaDatos[[#This Row],[DiasNuevo]]</f>
        <v>45024</v>
      </c>
      <c r="I4290">
        <v>6</v>
      </c>
      <c r="J4290" t="s">
        <v>23</v>
      </c>
      <c r="K4290" s="3">
        <v>13371.08</v>
      </c>
      <c r="L4290" t="b">
        <f>TablaDatos[[#This Row],[FechaAlta]] &lt; TablaDatos[[#This Row],[FechaIngreso]]</f>
        <v>0</v>
      </c>
      <c r="M4290">
        <f>_xlfn.XLOOKUP(TablaDatos[[#This Row],[PacienteID]],'Datos_Ejemplo.csv'!A:A,'Datos_Ejemplo.csv'!I:I)</f>
        <v>6</v>
      </c>
      <c r="N4290">
        <f>ABS(TablaDatos[[#This Row],[DiasOriginal]])</f>
        <v>6</v>
      </c>
      <c r="O4290" s="1">
        <f>TablaDatos[[#This Row],[FechaIngreso]]+TablaDatos[[#This Row],[DiasNuevo]]</f>
        <v>45024</v>
      </c>
    </row>
    <row r="4291" spans="1:15">
      <c r="A4291">
        <v>4290</v>
      </c>
      <c r="B4291" t="s">
        <v>303</v>
      </c>
      <c r="C4291" s="1">
        <v>27029</v>
      </c>
      <c r="D4291">
        <v>52</v>
      </c>
      <c r="E4291" s="4" t="s">
        <v>12</v>
      </c>
      <c r="F4291" t="s">
        <v>13</v>
      </c>
      <c r="G4291" s="1">
        <v>45538</v>
      </c>
      <c r="H4291" s="1">
        <f>TablaDatos[[#This Row],[FechaIngreso]]+TablaDatos[[#This Row],[DiasNuevo]]</f>
        <v>45565</v>
      </c>
      <c r="I4291">
        <v>27</v>
      </c>
      <c r="J4291" t="s">
        <v>19</v>
      </c>
      <c r="K4291" s="3">
        <v>13164.36</v>
      </c>
      <c r="L4291" t="b">
        <f>TablaDatos[[#This Row],[FechaAlta]] &lt; TablaDatos[[#This Row],[FechaIngreso]]</f>
        <v>0</v>
      </c>
      <c r="M4291">
        <f>_xlfn.XLOOKUP(TablaDatos[[#This Row],[PacienteID]],'Datos_Ejemplo.csv'!A:A,'Datos_Ejemplo.csv'!I:I)</f>
        <v>27</v>
      </c>
      <c r="N4291">
        <f>ABS(TablaDatos[[#This Row],[DiasOriginal]])</f>
        <v>27</v>
      </c>
      <c r="O4291" s="1">
        <f>TablaDatos[[#This Row],[FechaIngreso]]+TablaDatos[[#This Row],[DiasNuevo]]</f>
        <v>45565</v>
      </c>
    </row>
    <row r="4292" spans="1:15">
      <c r="A4292">
        <v>4291</v>
      </c>
      <c r="B4292" t="s">
        <v>296</v>
      </c>
      <c r="C4292" s="1">
        <v>37987</v>
      </c>
      <c r="D4292">
        <v>22</v>
      </c>
      <c r="E4292" s="4" t="s">
        <v>12</v>
      </c>
      <c r="F4292" t="s">
        <v>295</v>
      </c>
      <c r="G4292" s="1">
        <v>45411</v>
      </c>
      <c r="H4292" s="1">
        <f>TablaDatos[[#This Row],[FechaIngreso]]+TablaDatos[[#This Row],[DiasNuevo]]</f>
        <v>45414</v>
      </c>
      <c r="I4292">
        <v>3</v>
      </c>
      <c r="J4292" t="s">
        <v>25</v>
      </c>
      <c r="K4292" s="3">
        <v>18378.759999999998</v>
      </c>
      <c r="L4292" t="b">
        <f>TablaDatos[[#This Row],[FechaAlta]] &lt; TablaDatos[[#This Row],[FechaIngreso]]</f>
        <v>0</v>
      </c>
      <c r="M4292">
        <f>_xlfn.XLOOKUP(TablaDatos[[#This Row],[PacienteID]],'Datos_Ejemplo.csv'!A:A,'Datos_Ejemplo.csv'!I:I)</f>
        <v>3</v>
      </c>
      <c r="N4292">
        <f>ABS(TablaDatos[[#This Row],[DiasOriginal]])</f>
        <v>3</v>
      </c>
      <c r="O4292" s="1">
        <f>TablaDatos[[#This Row],[FechaIngreso]]+TablaDatos[[#This Row],[DiasNuevo]]</f>
        <v>45414</v>
      </c>
    </row>
    <row r="4293" spans="1:15">
      <c r="A4293">
        <v>4292</v>
      </c>
      <c r="B4293" t="s">
        <v>102</v>
      </c>
      <c r="C4293" s="1">
        <v>21185</v>
      </c>
      <c r="D4293">
        <v>68</v>
      </c>
      <c r="E4293" s="4" t="s">
        <v>12</v>
      </c>
      <c r="F4293" t="s">
        <v>201</v>
      </c>
      <c r="G4293" s="1">
        <v>45013</v>
      </c>
      <c r="H4293" s="1">
        <f>TablaDatos[[#This Row],[FechaIngreso]]+TablaDatos[[#This Row],[DiasNuevo]]</f>
        <v>45035</v>
      </c>
      <c r="I4293">
        <v>22</v>
      </c>
      <c r="J4293" t="s">
        <v>23</v>
      </c>
      <c r="K4293" s="3">
        <v>19903.62</v>
      </c>
      <c r="L4293" t="b">
        <f>TablaDatos[[#This Row],[FechaAlta]] &lt; TablaDatos[[#This Row],[FechaIngreso]]</f>
        <v>0</v>
      </c>
      <c r="M4293">
        <f>_xlfn.XLOOKUP(TablaDatos[[#This Row],[PacienteID]],'Datos_Ejemplo.csv'!A:A,'Datos_Ejemplo.csv'!I:I)</f>
        <v>22</v>
      </c>
      <c r="N4293">
        <f>ABS(TablaDatos[[#This Row],[DiasOriginal]])</f>
        <v>22</v>
      </c>
      <c r="O4293" s="1">
        <f>TablaDatos[[#This Row],[FechaIngreso]]+TablaDatos[[#This Row],[DiasNuevo]]</f>
        <v>45035</v>
      </c>
    </row>
    <row r="4294" spans="1:15">
      <c r="A4294">
        <v>4293</v>
      </c>
      <c r="B4294" t="s">
        <v>161</v>
      </c>
      <c r="C4294" s="1">
        <v>11689</v>
      </c>
      <c r="D4294">
        <v>94</v>
      </c>
      <c r="E4294" s="4" t="s">
        <v>15</v>
      </c>
      <c r="F4294" t="s">
        <v>201</v>
      </c>
      <c r="G4294" s="1">
        <v>45160</v>
      </c>
      <c r="H4294" s="1">
        <f>TablaDatos[[#This Row],[FechaIngreso]]+TablaDatos[[#This Row],[DiasNuevo]]</f>
        <v>45185</v>
      </c>
      <c r="I4294">
        <v>25</v>
      </c>
      <c r="J4294" t="s">
        <v>19</v>
      </c>
      <c r="K4294" s="3">
        <v>3876.2</v>
      </c>
      <c r="L4294" t="b">
        <f>TablaDatos[[#This Row],[FechaAlta]] &lt; TablaDatos[[#This Row],[FechaIngreso]]</f>
        <v>0</v>
      </c>
      <c r="M4294">
        <f>_xlfn.XLOOKUP(TablaDatos[[#This Row],[PacienteID]],'Datos_Ejemplo.csv'!A:A,'Datos_Ejemplo.csv'!I:I)</f>
        <v>25</v>
      </c>
      <c r="N4294">
        <f>ABS(TablaDatos[[#This Row],[DiasOriginal]])</f>
        <v>25</v>
      </c>
      <c r="O4294" s="1">
        <f>TablaDatos[[#This Row],[FechaIngreso]]+TablaDatos[[#This Row],[DiasNuevo]]</f>
        <v>45185</v>
      </c>
    </row>
    <row r="4295" spans="1:15">
      <c r="A4295">
        <v>4294</v>
      </c>
      <c r="B4295" t="s">
        <v>105</v>
      </c>
      <c r="C4295" s="1">
        <v>27029</v>
      </c>
      <c r="D4295">
        <v>52</v>
      </c>
      <c r="E4295" s="4" t="s">
        <v>15</v>
      </c>
      <c r="F4295" t="s">
        <v>295</v>
      </c>
      <c r="G4295" s="1">
        <v>45050</v>
      </c>
      <c r="H4295" s="1">
        <f>TablaDatos[[#This Row],[FechaIngreso]]+TablaDatos[[#This Row],[DiasNuevo]]</f>
        <v>45057</v>
      </c>
      <c r="I4295">
        <v>7</v>
      </c>
      <c r="J4295" t="s">
        <v>23</v>
      </c>
      <c r="K4295" s="3">
        <v>16191.72</v>
      </c>
      <c r="L4295" t="b">
        <f>TablaDatos[[#This Row],[FechaAlta]] &lt; TablaDatos[[#This Row],[FechaIngreso]]</f>
        <v>0</v>
      </c>
      <c r="M4295">
        <f>_xlfn.XLOOKUP(TablaDatos[[#This Row],[PacienteID]],'Datos_Ejemplo.csv'!A:A,'Datos_Ejemplo.csv'!I:I)</f>
        <v>7</v>
      </c>
      <c r="N4295">
        <f>ABS(TablaDatos[[#This Row],[DiasOriginal]])</f>
        <v>7</v>
      </c>
      <c r="O4295" s="1">
        <f>TablaDatos[[#This Row],[FechaIngreso]]+TablaDatos[[#This Row],[DiasNuevo]]</f>
        <v>45057</v>
      </c>
    </row>
    <row r="4296" spans="1:15">
      <c r="A4296">
        <v>4295</v>
      </c>
      <c r="B4296" t="s">
        <v>285</v>
      </c>
      <c r="C4296" s="1">
        <v>23742</v>
      </c>
      <c r="D4296">
        <v>61</v>
      </c>
      <c r="E4296" s="4" t="s">
        <v>12</v>
      </c>
      <c r="F4296" t="s">
        <v>18</v>
      </c>
      <c r="G4296" s="1">
        <v>45129</v>
      </c>
      <c r="H4296" s="1">
        <f>TablaDatos[[#This Row],[FechaIngreso]]+TablaDatos[[#This Row],[DiasNuevo]]</f>
        <v>45167</v>
      </c>
      <c r="I4296">
        <v>38</v>
      </c>
      <c r="J4296" t="s">
        <v>23</v>
      </c>
      <c r="K4296" s="3">
        <v>3162.62</v>
      </c>
      <c r="L4296" t="b">
        <f>TablaDatos[[#This Row],[FechaAlta]] &lt; TablaDatos[[#This Row],[FechaIngreso]]</f>
        <v>0</v>
      </c>
      <c r="M4296">
        <f>_xlfn.XLOOKUP(TablaDatos[[#This Row],[PacienteID]],'Datos_Ejemplo.csv'!A:A,'Datos_Ejemplo.csv'!I:I)</f>
        <v>38</v>
      </c>
      <c r="N4296">
        <f>ABS(TablaDatos[[#This Row],[DiasOriginal]])</f>
        <v>38</v>
      </c>
      <c r="O4296" s="1">
        <f>TablaDatos[[#This Row],[FechaIngreso]]+TablaDatos[[#This Row],[DiasNuevo]]</f>
        <v>45167</v>
      </c>
    </row>
    <row r="4297" spans="1:15">
      <c r="A4297">
        <v>4296</v>
      </c>
      <c r="B4297" t="s">
        <v>325</v>
      </c>
      <c r="C4297" s="1">
        <v>31412</v>
      </c>
      <c r="D4297">
        <v>40</v>
      </c>
      <c r="E4297" s="4" t="s">
        <v>12</v>
      </c>
      <c r="F4297" t="s">
        <v>295</v>
      </c>
      <c r="G4297" s="1">
        <v>44958</v>
      </c>
      <c r="H4297" s="1">
        <f>TablaDatos[[#This Row],[FechaIngreso]]+TablaDatos[[#This Row],[DiasNuevo]]</f>
        <v>44983</v>
      </c>
      <c r="I4297">
        <v>25</v>
      </c>
      <c r="J4297" t="s">
        <v>19</v>
      </c>
      <c r="K4297" s="3">
        <v>9086.57</v>
      </c>
      <c r="L4297" t="b">
        <f>TablaDatos[[#This Row],[FechaAlta]] &lt; TablaDatos[[#This Row],[FechaIngreso]]</f>
        <v>0</v>
      </c>
      <c r="M4297">
        <f>_xlfn.XLOOKUP(TablaDatos[[#This Row],[PacienteID]],'Datos_Ejemplo.csv'!A:A,'Datos_Ejemplo.csv'!I:I)</f>
        <v>25</v>
      </c>
      <c r="N4297">
        <f>ABS(TablaDatos[[#This Row],[DiasOriginal]])</f>
        <v>25</v>
      </c>
      <c r="O4297" s="1">
        <f>TablaDatos[[#This Row],[FechaIngreso]]+TablaDatos[[#This Row],[DiasNuevo]]</f>
        <v>44983</v>
      </c>
    </row>
    <row r="4298" spans="1:15">
      <c r="A4298">
        <v>4297</v>
      </c>
      <c r="B4298" t="s">
        <v>232</v>
      </c>
      <c r="C4298" s="1">
        <v>25568</v>
      </c>
      <c r="D4298">
        <v>56</v>
      </c>
      <c r="E4298" s="4" t="s">
        <v>15</v>
      </c>
      <c r="F4298" t="s">
        <v>201</v>
      </c>
      <c r="G4298" s="1">
        <v>45283</v>
      </c>
      <c r="H4298" s="1">
        <f>TablaDatos[[#This Row],[FechaIngreso]]+TablaDatos[[#This Row],[DiasNuevo]]</f>
        <v>45309</v>
      </c>
      <c r="I4298">
        <v>26</v>
      </c>
      <c r="J4298" t="s">
        <v>23</v>
      </c>
      <c r="K4298" s="3">
        <v>1913.73</v>
      </c>
      <c r="L4298" t="b">
        <f>TablaDatos[[#This Row],[FechaAlta]] &lt; TablaDatos[[#This Row],[FechaIngreso]]</f>
        <v>0</v>
      </c>
      <c r="M4298">
        <f>_xlfn.XLOOKUP(TablaDatos[[#This Row],[PacienteID]],'Datos_Ejemplo.csv'!A:A,'Datos_Ejemplo.csv'!I:I)</f>
        <v>26</v>
      </c>
      <c r="N4298">
        <f>ABS(TablaDatos[[#This Row],[DiasOriginal]])</f>
        <v>26</v>
      </c>
      <c r="O4298" s="1">
        <f>TablaDatos[[#This Row],[FechaIngreso]]+TablaDatos[[#This Row],[DiasNuevo]]</f>
        <v>45309</v>
      </c>
    </row>
    <row r="4299" spans="1:15">
      <c r="A4299">
        <v>4298</v>
      </c>
      <c r="B4299" t="s">
        <v>90</v>
      </c>
      <c r="C4299" s="1">
        <v>24473</v>
      </c>
      <c r="D4299">
        <v>59</v>
      </c>
      <c r="E4299" s="4" t="s">
        <v>15</v>
      </c>
      <c r="F4299" t="s">
        <v>295</v>
      </c>
      <c r="G4299" s="1">
        <v>45389</v>
      </c>
      <c r="H4299" s="1">
        <f>TablaDatos[[#This Row],[FechaIngreso]]+TablaDatos[[#This Row],[DiasNuevo]]</f>
        <v>45422</v>
      </c>
      <c r="I4299">
        <v>33</v>
      </c>
      <c r="J4299" t="s">
        <v>25</v>
      </c>
      <c r="K4299" s="3">
        <v>12429.76</v>
      </c>
      <c r="L4299" t="b">
        <f>TablaDatos[[#This Row],[FechaAlta]] &lt; TablaDatos[[#This Row],[FechaIngreso]]</f>
        <v>0</v>
      </c>
      <c r="M4299">
        <f>_xlfn.XLOOKUP(TablaDatos[[#This Row],[PacienteID]],'Datos_Ejemplo.csv'!A:A,'Datos_Ejemplo.csv'!I:I)</f>
        <v>33</v>
      </c>
      <c r="N4299">
        <f>ABS(TablaDatos[[#This Row],[DiasOriginal]])</f>
        <v>33</v>
      </c>
      <c r="O4299" s="1">
        <f>TablaDatos[[#This Row],[FechaIngreso]]+TablaDatos[[#This Row],[DiasNuevo]]</f>
        <v>45422</v>
      </c>
    </row>
    <row r="4300" spans="1:15">
      <c r="A4300">
        <v>4299</v>
      </c>
      <c r="B4300" t="s">
        <v>306</v>
      </c>
      <c r="C4300" s="1">
        <v>26664</v>
      </c>
      <c r="D4300">
        <v>53</v>
      </c>
      <c r="E4300" s="4" t="s">
        <v>12</v>
      </c>
      <c r="F4300" t="s">
        <v>32</v>
      </c>
      <c r="G4300" s="1">
        <v>45477</v>
      </c>
      <c r="H4300" s="1">
        <f>TablaDatos[[#This Row],[FechaIngreso]]+TablaDatos[[#This Row],[DiasNuevo]]</f>
        <v>45485</v>
      </c>
      <c r="I4300">
        <v>8</v>
      </c>
      <c r="J4300" t="s">
        <v>19</v>
      </c>
      <c r="K4300" s="3">
        <v>9317.2199999999993</v>
      </c>
      <c r="L4300" t="b">
        <f>TablaDatos[[#This Row],[FechaAlta]] &lt; TablaDatos[[#This Row],[FechaIngreso]]</f>
        <v>0</v>
      </c>
      <c r="M4300">
        <f>_xlfn.XLOOKUP(TablaDatos[[#This Row],[PacienteID]],'Datos_Ejemplo.csv'!A:A,'Datos_Ejemplo.csv'!I:I)</f>
        <v>8</v>
      </c>
      <c r="N4300">
        <f>ABS(TablaDatos[[#This Row],[DiasOriginal]])</f>
        <v>8</v>
      </c>
      <c r="O4300" s="1">
        <f>TablaDatos[[#This Row],[FechaIngreso]]+TablaDatos[[#This Row],[DiasNuevo]]</f>
        <v>45485</v>
      </c>
    </row>
    <row r="4301" spans="1:15">
      <c r="A4301">
        <v>4300</v>
      </c>
      <c r="B4301" t="s">
        <v>344</v>
      </c>
      <c r="C4301" s="1">
        <v>20820</v>
      </c>
      <c r="D4301">
        <v>69</v>
      </c>
      <c r="E4301" s="4" t="s">
        <v>12</v>
      </c>
      <c r="F4301" t="s">
        <v>13</v>
      </c>
      <c r="G4301" s="1">
        <v>45020</v>
      </c>
      <c r="H4301" s="1">
        <f>TablaDatos[[#This Row],[FechaIngreso]]+TablaDatos[[#This Row],[DiasNuevo]]</f>
        <v>45038</v>
      </c>
      <c r="I4301">
        <v>18</v>
      </c>
      <c r="J4301" t="s">
        <v>25</v>
      </c>
      <c r="K4301" s="3">
        <v>12536.85</v>
      </c>
      <c r="L4301" t="b">
        <f>TablaDatos[[#This Row],[FechaAlta]] &lt; TablaDatos[[#This Row],[FechaIngreso]]</f>
        <v>0</v>
      </c>
      <c r="M4301">
        <f>_xlfn.XLOOKUP(TablaDatos[[#This Row],[PacienteID]],'Datos_Ejemplo.csv'!A:A,'Datos_Ejemplo.csv'!I:I)</f>
        <v>18</v>
      </c>
      <c r="N4301">
        <f>ABS(TablaDatos[[#This Row],[DiasOriginal]])</f>
        <v>18</v>
      </c>
      <c r="O4301" s="1">
        <f>TablaDatos[[#This Row],[FechaIngreso]]+TablaDatos[[#This Row],[DiasNuevo]]</f>
        <v>45038</v>
      </c>
    </row>
    <row r="4302" spans="1:15">
      <c r="A4302">
        <v>4301</v>
      </c>
      <c r="B4302" t="s">
        <v>61</v>
      </c>
      <c r="C4302" s="1">
        <v>25568</v>
      </c>
      <c r="D4302">
        <v>56</v>
      </c>
      <c r="E4302" s="4" t="s">
        <v>12</v>
      </c>
      <c r="F4302" t="s">
        <v>32</v>
      </c>
      <c r="G4302" s="1">
        <v>45448</v>
      </c>
      <c r="H4302" s="1">
        <f>TablaDatos[[#This Row],[FechaIngreso]]+TablaDatos[[#This Row],[DiasNuevo]]</f>
        <v>45483</v>
      </c>
      <c r="I4302">
        <v>35</v>
      </c>
      <c r="J4302" t="s">
        <v>23</v>
      </c>
      <c r="K4302" s="3">
        <v>13527.01</v>
      </c>
      <c r="L4302" t="b">
        <f>TablaDatos[[#This Row],[FechaAlta]] &lt; TablaDatos[[#This Row],[FechaIngreso]]</f>
        <v>0</v>
      </c>
      <c r="M4302">
        <f>_xlfn.XLOOKUP(TablaDatos[[#This Row],[PacienteID]],'Datos_Ejemplo.csv'!A:A,'Datos_Ejemplo.csv'!I:I)</f>
        <v>35</v>
      </c>
      <c r="N4302">
        <f>ABS(TablaDatos[[#This Row],[DiasOriginal]])</f>
        <v>35</v>
      </c>
      <c r="O4302" s="1">
        <f>TablaDatos[[#This Row],[FechaIngreso]]+TablaDatos[[#This Row],[DiasNuevo]]</f>
        <v>45483</v>
      </c>
    </row>
    <row r="4303" spans="1:15">
      <c r="A4303">
        <v>4302</v>
      </c>
      <c r="B4303" t="s">
        <v>360</v>
      </c>
      <c r="C4303" s="1">
        <v>42735</v>
      </c>
      <c r="D4303">
        <f ca="1">DATEDIF(TablaDatos[[#This Row],[FechaNacimiento]],TODAY(),"Y")</f>
        <v>9</v>
      </c>
      <c r="E4303" s="4" t="s">
        <v>12</v>
      </c>
      <c r="F4303" t="s">
        <v>261</v>
      </c>
      <c r="G4303" s="1">
        <v>45653</v>
      </c>
      <c r="H4303" s="1">
        <f>TablaDatos[[#This Row],[FechaIngreso]]+TablaDatos[[#This Row],[DiasNuevo]]</f>
        <v>45676</v>
      </c>
      <c r="I4303">
        <v>23</v>
      </c>
      <c r="J4303" t="s">
        <v>25</v>
      </c>
      <c r="K4303" s="3">
        <v>12350.59</v>
      </c>
      <c r="L4303" t="b">
        <f>TablaDatos[[#This Row],[FechaAlta]] &lt; TablaDatos[[#This Row],[FechaIngreso]]</f>
        <v>0</v>
      </c>
      <c r="M4303">
        <f>_xlfn.XLOOKUP(TablaDatos[[#This Row],[PacienteID]],'Datos_Ejemplo.csv'!A:A,'Datos_Ejemplo.csv'!I:I)</f>
        <v>23</v>
      </c>
      <c r="N4303">
        <f>ABS(TablaDatos[[#This Row],[DiasOriginal]])</f>
        <v>23</v>
      </c>
      <c r="O4303" s="1">
        <f>TablaDatos[[#This Row],[FechaIngreso]]+TablaDatos[[#This Row],[DiasNuevo]]</f>
        <v>45676</v>
      </c>
    </row>
    <row r="4304" spans="1:15">
      <c r="A4304">
        <v>4303</v>
      </c>
      <c r="B4304" t="s">
        <v>305</v>
      </c>
      <c r="C4304" s="1">
        <v>31778</v>
      </c>
      <c r="D4304">
        <v>39</v>
      </c>
      <c r="E4304" s="4" t="s">
        <v>15</v>
      </c>
      <c r="F4304" t="s">
        <v>18</v>
      </c>
      <c r="G4304" s="1">
        <v>45334</v>
      </c>
      <c r="H4304" s="1">
        <f>TablaDatos[[#This Row],[FechaIngreso]]+TablaDatos[[#This Row],[DiasNuevo]]</f>
        <v>45349</v>
      </c>
      <c r="I4304">
        <v>15</v>
      </c>
      <c r="J4304" t="s">
        <v>25</v>
      </c>
      <c r="K4304" s="3">
        <v>5809.99</v>
      </c>
      <c r="L4304" t="b">
        <f>TablaDatos[[#This Row],[FechaAlta]] &lt; TablaDatos[[#This Row],[FechaIngreso]]</f>
        <v>0</v>
      </c>
      <c r="M4304">
        <f>_xlfn.XLOOKUP(TablaDatos[[#This Row],[PacienteID]],'Datos_Ejemplo.csv'!A:A,'Datos_Ejemplo.csv'!I:I)</f>
        <v>15</v>
      </c>
      <c r="N4304">
        <f>ABS(TablaDatos[[#This Row],[DiasOriginal]])</f>
        <v>15</v>
      </c>
      <c r="O4304" s="1">
        <f>TablaDatos[[#This Row],[FechaIngreso]]+TablaDatos[[#This Row],[DiasNuevo]]</f>
        <v>45349</v>
      </c>
    </row>
    <row r="4305" spans="1:15">
      <c r="A4305">
        <v>4304</v>
      </c>
      <c r="B4305" t="s">
        <v>309</v>
      </c>
      <c r="C4305" s="1">
        <v>43831</v>
      </c>
      <c r="D4305">
        <v>6</v>
      </c>
      <c r="E4305" s="4" t="s">
        <v>15</v>
      </c>
      <c r="F4305" t="s">
        <v>32</v>
      </c>
      <c r="G4305" s="1">
        <v>45026</v>
      </c>
      <c r="H4305" s="1">
        <f>TablaDatos[[#This Row],[FechaIngreso]]+TablaDatos[[#This Row],[DiasNuevo]]</f>
        <v>45027</v>
      </c>
      <c r="I4305">
        <v>1</v>
      </c>
      <c r="J4305" t="s">
        <v>25</v>
      </c>
      <c r="K4305" s="3">
        <v>16722.88</v>
      </c>
      <c r="L4305" t="b">
        <f>TablaDatos[[#This Row],[FechaAlta]] &lt; TablaDatos[[#This Row],[FechaIngreso]]</f>
        <v>0</v>
      </c>
      <c r="M4305">
        <f>_xlfn.XLOOKUP(TablaDatos[[#This Row],[PacienteID]],'Datos_Ejemplo.csv'!A:A,'Datos_Ejemplo.csv'!I:I)</f>
        <v>1</v>
      </c>
      <c r="N4305">
        <f>ABS(TablaDatos[[#This Row],[DiasOriginal]])</f>
        <v>1</v>
      </c>
      <c r="O4305" s="1">
        <f>TablaDatos[[#This Row],[FechaIngreso]]+TablaDatos[[#This Row],[DiasNuevo]]</f>
        <v>45027</v>
      </c>
    </row>
    <row r="4306" spans="1:15">
      <c r="A4306">
        <v>4305</v>
      </c>
      <c r="B4306" t="s">
        <v>51</v>
      </c>
      <c r="C4306" s="1">
        <v>32508</v>
      </c>
      <c r="D4306">
        <v>37</v>
      </c>
      <c r="E4306" s="4" t="s">
        <v>15</v>
      </c>
      <c r="F4306" t="s">
        <v>261</v>
      </c>
      <c r="G4306" s="1">
        <v>45170</v>
      </c>
      <c r="H4306" s="1">
        <f>TablaDatos[[#This Row],[FechaIngreso]]+TablaDatos[[#This Row],[DiasNuevo]]</f>
        <v>45208</v>
      </c>
      <c r="I4306">
        <v>38</v>
      </c>
      <c r="J4306" t="s">
        <v>25</v>
      </c>
      <c r="K4306" s="3">
        <v>10988.89</v>
      </c>
      <c r="L4306" t="b">
        <f>TablaDatos[[#This Row],[FechaAlta]] &lt; TablaDatos[[#This Row],[FechaIngreso]]</f>
        <v>0</v>
      </c>
      <c r="M4306">
        <f>_xlfn.XLOOKUP(TablaDatos[[#This Row],[PacienteID]],'Datos_Ejemplo.csv'!A:A,'Datos_Ejemplo.csv'!I:I)</f>
        <v>38</v>
      </c>
      <c r="N4306">
        <f>ABS(TablaDatos[[#This Row],[DiasOriginal]])</f>
        <v>38</v>
      </c>
      <c r="O4306" s="1">
        <f>TablaDatos[[#This Row],[FechaIngreso]]+TablaDatos[[#This Row],[DiasNuevo]]</f>
        <v>45208</v>
      </c>
    </row>
    <row r="4307" spans="1:15">
      <c r="A4307">
        <v>4306</v>
      </c>
      <c r="B4307" t="s">
        <v>265</v>
      </c>
      <c r="C4307" s="1">
        <v>15341</v>
      </c>
      <c r="D4307">
        <v>84</v>
      </c>
      <c r="E4307" s="4" t="s">
        <v>12</v>
      </c>
      <c r="F4307" t="s">
        <v>21</v>
      </c>
      <c r="G4307" s="1">
        <v>44984</v>
      </c>
      <c r="H4307" s="1">
        <f>TablaDatos[[#This Row],[FechaIngreso]]+TablaDatos[[#This Row],[DiasNuevo]]</f>
        <v>44996</v>
      </c>
      <c r="I4307">
        <v>12</v>
      </c>
      <c r="J4307" t="s">
        <v>19</v>
      </c>
      <c r="K4307" s="3">
        <v>9746.01</v>
      </c>
      <c r="L4307" t="b">
        <f>TablaDatos[[#This Row],[FechaAlta]] &lt; TablaDatos[[#This Row],[FechaIngreso]]</f>
        <v>0</v>
      </c>
      <c r="M4307">
        <f>_xlfn.XLOOKUP(TablaDatos[[#This Row],[PacienteID]],'Datos_Ejemplo.csv'!A:A,'Datos_Ejemplo.csv'!I:I)</f>
        <v>12</v>
      </c>
      <c r="N4307">
        <f>ABS(TablaDatos[[#This Row],[DiasOriginal]])</f>
        <v>12</v>
      </c>
      <c r="O4307" s="1">
        <f>TablaDatos[[#This Row],[FechaIngreso]]+TablaDatos[[#This Row],[DiasNuevo]]</f>
        <v>44996</v>
      </c>
    </row>
    <row r="4308" spans="1:15">
      <c r="A4308">
        <v>4307</v>
      </c>
      <c r="B4308" t="s">
        <v>266</v>
      </c>
      <c r="C4308" s="1">
        <v>24107</v>
      </c>
      <c r="D4308">
        <v>60</v>
      </c>
      <c r="E4308" s="4" t="s">
        <v>15</v>
      </c>
      <c r="F4308" t="s">
        <v>13</v>
      </c>
      <c r="G4308" s="1">
        <v>45283</v>
      </c>
      <c r="H4308" s="1">
        <f>TablaDatos[[#This Row],[FechaIngreso]]+TablaDatos[[#This Row],[DiasNuevo]]</f>
        <v>45303</v>
      </c>
      <c r="I4308">
        <v>20</v>
      </c>
      <c r="J4308" t="s">
        <v>23</v>
      </c>
      <c r="K4308" s="3">
        <v>19739.98</v>
      </c>
      <c r="L4308" t="b">
        <f>TablaDatos[[#This Row],[FechaAlta]] &lt; TablaDatos[[#This Row],[FechaIngreso]]</f>
        <v>0</v>
      </c>
      <c r="M4308">
        <f>_xlfn.XLOOKUP(TablaDatos[[#This Row],[PacienteID]],'Datos_Ejemplo.csv'!A:A,'Datos_Ejemplo.csv'!I:I)</f>
        <v>20</v>
      </c>
      <c r="N4308">
        <f>ABS(TablaDatos[[#This Row],[DiasOriginal]])</f>
        <v>20</v>
      </c>
      <c r="O4308" s="1">
        <f>TablaDatos[[#This Row],[FechaIngreso]]+TablaDatos[[#This Row],[DiasNuevo]]</f>
        <v>45303</v>
      </c>
    </row>
    <row r="4309" spans="1:15">
      <c r="A4309">
        <v>4308</v>
      </c>
      <c r="B4309" t="s">
        <v>339</v>
      </c>
      <c r="C4309" s="1">
        <v>15707</v>
      </c>
      <c r="D4309">
        <f ca="1">DATEDIF(TablaDatos[[#This Row],[FechaNacimiento]],TODAY(),"Y")</f>
        <v>83</v>
      </c>
      <c r="E4309" s="4" t="s">
        <v>12</v>
      </c>
      <c r="F4309" t="s">
        <v>295</v>
      </c>
      <c r="G4309" s="1">
        <v>45417</v>
      </c>
      <c r="H4309" s="1">
        <f>TablaDatos[[#This Row],[FechaIngreso]]+TablaDatos[[#This Row],[DiasNuevo]]</f>
        <v>45455</v>
      </c>
      <c r="I4309">
        <v>38</v>
      </c>
      <c r="J4309" t="s">
        <v>23</v>
      </c>
      <c r="K4309" s="3">
        <v>5598.51</v>
      </c>
      <c r="L4309" t="b">
        <f>TablaDatos[[#This Row],[FechaAlta]] &lt; TablaDatos[[#This Row],[FechaIngreso]]</f>
        <v>0</v>
      </c>
      <c r="M4309">
        <f>_xlfn.XLOOKUP(TablaDatos[[#This Row],[PacienteID]],'Datos_Ejemplo.csv'!A:A,'Datos_Ejemplo.csv'!I:I)</f>
        <v>38</v>
      </c>
      <c r="N4309">
        <f>ABS(TablaDatos[[#This Row],[DiasOriginal]])</f>
        <v>38</v>
      </c>
      <c r="O4309" s="1">
        <f>TablaDatos[[#This Row],[FechaIngreso]]+TablaDatos[[#This Row],[DiasNuevo]]</f>
        <v>45455</v>
      </c>
    </row>
    <row r="4310" spans="1:15">
      <c r="A4310">
        <v>4309</v>
      </c>
      <c r="B4310" t="s">
        <v>346</v>
      </c>
      <c r="C4310" s="1">
        <v>45292</v>
      </c>
      <c r="D4310">
        <v>2</v>
      </c>
      <c r="E4310" s="4" t="s">
        <v>12</v>
      </c>
      <c r="F4310" t="s">
        <v>32</v>
      </c>
      <c r="G4310" s="1">
        <v>45246</v>
      </c>
      <c r="H4310" s="1">
        <f>TablaDatos[[#This Row],[FechaIngreso]]+TablaDatos[[#This Row],[DiasNuevo]]</f>
        <v>45249</v>
      </c>
      <c r="I4310">
        <v>3</v>
      </c>
      <c r="J4310" t="s">
        <v>23</v>
      </c>
      <c r="K4310" s="3">
        <v>10513.41</v>
      </c>
      <c r="L4310" t="b">
        <f>TablaDatos[[#This Row],[FechaAlta]] &lt; TablaDatos[[#This Row],[FechaIngreso]]</f>
        <v>0</v>
      </c>
      <c r="M4310">
        <f>_xlfn.XLOOKUP(TablaDatos[[#This Row],[PacienteID]],'Datos_Ejemplo.csv'!A:A,'Datos_Ejemplo.csv'!I:I)</f>
        <v>3</v>
      </c>
      <c r="N4310">
        <f>ABS(TablaDatos[[#This Row],[DiasOriginal]])</f>
        <v>3</v>
      </c>
      <c r="O4310" s="1">
        <f>TablaDatos[[#This Row],[FechaIngreso]]+TablaDatos[[#This Row],[DiasNuevo]]</f>
        <v>45249</v>
      </c>
    </row>
    <row r="4311" spans="1:15">
      <c r="A4311">
        <v>4310</v>
      </c>
      <c r="B4311" t="s">
        <v>361</v>
      </c>
      <c r="C4311" s="1">
        <v>27760</v>
      </c>
      <c r="D4311">
        <v>50</v>
      </c>
      <c r="E4311" s="4" t="s">
        <v>12</v>
      </c>
      <c r="F4311" t="s">
        <v>32</v>
      </c>
      <c r="G4311" s="1">
        <v>44945</v>
      </c>
      <c r="H4311" s="1">
        <f>TablaDatos[[#This Row],[FechaIngreso]]+TablaDatos[[#This Row],[DiasNuevo]]</f>
        <v>44949</v>
      </c>
      <c r="I4311">
        <v>4</v>
      </c>
      <c r="J4311" t="s">
        <v>25</v>
      </c>
      <c r="K4311" s="3">
        <v>13614.72</v>
      </c>
      <c r="L4311" t="b">
        <f>TablaDatos[[#This Row],[FechaAlta]] &lt; TablaDatos[[#This Row],[FechaIngreso]]</f>
        <v>0</v>
      </c>
      <c r="M4311">
        <f>_xlfn.XLOOKUP(TablaDatos[[#This Row],[PacienteID]],'Datos_Ejemplo.csv'!A:A,'Datos_Ejemplo.csv'!I:I)</f>
        <v>4</v>
      </c>
      <c r="N4311">
        <f>ABS(TablaDatos[[#This Row],[DiasOriginal]])</f>
        <v>4</v>
      </c>
      <c r="O4311" s="1">
        <f>TablaDatos[[#This Row],[FechaIngreso]]+TablaDatos[[#This Row],[DiasNuevo]]</f>
        <v>44949</v>
      </c>
    </row>
    <row r="4312" spans="1:15">
      <c r="A4312">
        <v>4311</v>
      </c>
      <c r="B4312" t="s">
        <v>270</v>
      </c>
      <c r="C4312" s="1">
        <v>14976</v>
      </c>
      <c r="D4312">
        <v>85</v>
      </c>
      <c r="E4312" s="4" t="s">
        <v>12</v>
      </c>
      <c r="F4312" t="s">
        <v>295</v>
      </c>
      <c r="G4312" s="1">
        <v>45283</v>
      </c>
      <c r="H4312" s="1">
        <f>TablaDatos[[#This Row],[FechaIngreso]]+TablaDatos[[#This Row],[DiasNuevo]]</f>
        <v>45295</v>
      </c>
      <c r="I4312">
        <v>12</v>
      </c>
      <c r="J4312" t="s">
        <v>25</v>
      </c>
      <c r="K4312" s="3">
        <v>2417.04</v>
      </c>
      <c r="L4312" t="b">
        <f>TablaDatos[[#This Row],[FechaAlta]] &lt; TablaDatos[[#This Row],[FechaIngreso]]</f>
        <v>0</v>
      </c>
      <c r="M4312">
        <f>_xlfn.XLOOKUP(TablaDatos[[#This Row],[PacienteID]],'Datos_Ejemplo.csv'!A:A,'Datos_Ejemplo.csv'!I:I)</f>
        <v>12</v>
      </c>
      <c r="N4312">
        <f>ABS(TablaDatos[[#This Row],[DiasOriginal]])</f>
        <v>12</v>
      </c>
      <c r="O4312" s="1">
        <f>TablaDatos[[#This Row],[FechaIngreso]]+TablaDatos[[#This Row],[DiasNuevo]]</f>
        <v>45295</v>
      </c>
    </row>
    <row r="4313" spans="1:15">
      <c r="A4313">
        <v>4312</v>
      </c>
      <c r="B4313" t="s">
        <v>248</v>
      </c>
      <c r="C4313" s="1">
        <v>29221</v>
      </c>
      <c r="D4313">
        <v>46</v>
      </c>
      <c r="E4313" s="4" t="s">
        <v>15</v>
      </c>
      <c r="F4313" t="s">
        <v>295</v>
      </c>
      <c r="G4313" s="1">
        <v>45043</v>
      </c>
      <c r="H4313" s="1">
        <f>TablaDatos[[#This Row],[FechaIngreso]]+TablaDatos[[#This Row],[DiasNuevo]]</f>
        <v>45049</v>
      </c>
      <c r="I4313">
        <v>6</v>
      </c>
      <c r="J4313" t="s">
        <v>23</v>
      </c>
      <c r="K4313" s="3">
        <v>7020.22</v>
      </c>
      <c r="L4313" t="b">
        <f>TablaDatos[[#This Row],[FechaAlta]] &lt; TablaDatos[[#This Row],[FechaIngreso]]</f>
        <v>0</v>
      </c>
      <c r="M4313">
        <f>_xlfn.XLOOKUP(TablaDatos[[#This Row],[PacienteID]],'Datos_Ejemplo.csv'!A:A,'Datos_Ejemplo.csv'!I:I)</f>
        <v>6</v>
      </c>
      <c r="N4313">
        <f>ABS(TablaDatos[[#This Row],[DiasOriginal]])</f>
        <v>6</v>
      </c>
      <c r="O4313" s="1">
        <f>TablaDatos[[#This Row],[FechaIngreso]]+TablaDatos[[#This Row],[DiasNuevo]]</f>
        <v>45049</v>
      </c>
    </row>
    <row r="4314" spans="1:15">
      <c r="A4314">
        <v>4313</v>
      </c>
      <c r="B4314" t="s">
        <v>354</v>
      </c>
      <c r="C4314" s="1">
        <v>21551</v>
      </c>
      <c r="D4314">
        <v>67</v>
      </c>
      <c r="E4314" s="4" t="s">
        <v>12</v>
      </c>
      <c r="F4314" t="s">
        <v>18</v>
      </c>
      <c r="G4314" s="1">
        <v>45062</v>
      </c>
      <c r="H4314" s="1">
        <f>TablaDatos[[#This Row],[FechaIngreso]]+TablaDatos[[#This Row],[DiasNuevo]]</f>
        <v>45089</v>
      </c>
      <c r="I4314">
        <v>27</v>
      </c>
      <c r="J4314" t="s">
        <v>23</v>
      </c>
      <c r="K4314" s="3">
        <v>16013.94</v>
      </c>
      <c r="L4314" t="b">
        <f>TablaDatos[[#This Row],[FechaAlta]] &lt; TablaDatos[[#This Row],[FechaIngreso]]</f>
        <v>0</v>
      </c>
      <c r="M4314">
        <f>_xlfn.XLOOKUP(TablaDatos[[#This Row],[PacienteID]],'Datos_Ejemplo.csv'!A:A,'Datos_Ejemplo.csv'!I:I)</f>
        <v>27</v>
      </c>
      <c r="N4314">
        <f>ABS(TablaDatos[[#This Row],[DiasOriginal]])</f>
        <v>27</v>
      </c>
      <c r="O4314" s="1">
        <f>TablaDatos[[#This Row],[FechaIngreso]]+TablaDatos[[#This Row],[DiasNuevo]]</f>
        <v>45089</v>
      </c>
    </row>
    <row r="4315" spans="1:15">
      <c r="A4315">
        <v>4314</v>
      </c>
      <c r="B4315" t="s">
        <v>51</v>
      </c>
      <c r="C4315" s="1">
        <v>12785</v>
      </c>
      <c r="D4315">
        <v>91</v>
      </c>
      <c r="E4315" s="4" t="s">
        <v>15</v>
      </c>
      <c r="F4315" t="s">
        <v>32</v>
      </c>
      <c r="G4315" s="1">
        <v>45222</v>
      </c>
      <c r="H4315" s="1">
        <f>TablaDatos[[#This Row],[FechaIngreso]]+TablaDatos[[#This Row],[DiasNuevo]]</f>
        <v>45247</v>
      </c>
      <c r="I4315">
        <v>25</v>
      </c>
      <c r="J4315" t="s">
        <v>25</v>
      </c>
      <c r="K4315" s="3">
        <v>4658.84</v>
      </c>
      <c r="L4315" t="b">
        <f>TablaDatos[[#This Row],[FechaAlta]] &lt; TablaDatos[[#This Row],[FechaIngreso]]</f>
        <v>0</v>
      </c>
      <c r="M4315">
        <f>_xlfn.XLOOKUP(TablaDatos[[#This Row],[PacienteID]],'Datos_Ejemplo.csv'!A:A,'Datos_Ejemplo.csv'!I:I)</f>
        <v>25</v>
      </c>
      <c r="N4315">
        <f>ABS(TablaDatos[[#This Row],[DiasOriginal]])</f>
        <v>25</v>
      </c>
      <c r="O4315" s="1">
        <f>TablaDatos[[#This Row],[FechaIngreso]]+TablaDatos[[#This Row],[DiasNuevo]]</f>
        <v>45247</v>
      </c>
    </row>
    <row r="4316" spans="1:15">
      <c r="A4316">
        <v>4315</v>
      </c>
      <c r="B4316" t="s">
        <v>230</v>
      </c>
      <c r="C4316" s="1">
        <v>18629</v>
      </c>
      <c r="D4316">
        <v>75</v>
      </c>
      <c r="E4316" s="4" t="s">
        <v>15</v>
      </c>
      <c r="F4316" t="s">
        <v>32</v>
      </c>
      <c r="G4316" s="1">
        <v>45451</v>
      </c>
      <c r="H4316" s="1">
        <f>TablaDatos[[#This Row],[FechaIngreso]]+TablaDatos[[#This Row],[DiasNuevo]]</f>
        <v>45478</v>
      </c>
      <c r="I4316">
        <v>27</v>
      </c>
      <c r="J4316" t="s">
        <v>23</v>
      </c>
      <c r="K4316" s="3">
        <v>9815.14</v>
      </c>
      <c r="L4316" t="b">
        <f>TablaDatos[[#This Row],[FechaAlta]] &lt; TablaDatos[[#This Row],[FechaIngreso]]</f>
        <v>0</v>
      </c>
      <c r="M4316">
        <f>_xlfn.XLOOKUP(TablaDatos[[#This Row],[PacienteID]],'Datos_Ejemplo.csv'!A:A,'Datos_Ejemplo.csv'!I:I)</f>
        <v>27</v>
      </c>
      <c r="N4316">
        <f>ABS(TablaDatos[[#This Row],[DiasOriginal]])</f>
        <v>27</v>
      </c>
      <c r="O4316" s="1">
        <f>TablaDatos[[#This Row],[FechaIngreso]]+TablaDatos[[#This Row],[DiasNuevo]]</f>
        <v>45478</v>
      </c>
    </row>
    <row r="4317" spans="1:15">
      <c r="A4317">
        <v>4316</v>
      </c>
      <c r="B4317" t="s">
        <v>290</v>
      </c>
      <c r="C4317" s="1">
        <v>32508</v>
      </c>
      <c r="D4317">
        <v>37</v>
      </c>
      <c r="E4317" s="4" t="s">
        <v>15</v>
      </c>
      <c r="F4317" t="s">
        <v>201</v>
      </c>
      <c r="G4317" s="1">
        <v>45027</v>
      </c>
      <c r="H4317" s="1">
        <f>TablaDatos[[#This Row],[FechaIngreso]]+TablaDatos[[#This Row],[DiasNuevo]]</f>
        <v>45032</v>
      </c>
      <c r="I4317">
        <v>5</v>
      </c>
      <c r="J4317" t="s">
        <v>23</v>
      </c>
      <c r="K4317" s="3">
        <v>12575.68</v>
      </c>
      <c r="L4317" t="b">
        <f>TablaDatos[[#This Row],[FechaAlta]] &lt; TablaDatos[[#This Row],[FechaIngreso]]</f>
        <v>0</v>
      </c>
      <c r="M4317">
        <f>_xlfn.XLOOKUP(TablaDatos[[#This Row],[PacienteID]],'Datos_Ejemplo.csv'!A:A,'Datos_Ejemplo.csv'!I:I)</f>
        <v>5</v>
      </c>
      <c r="N4317">
        <f>ABS(TablaDatos[[#This Row],[DiasOriginal]])</f>
        <v>5</v>
      </c>
      <c r="O4317" s="1">
        <f>TablaDatos[[#This Row],[FechaIngreso]]+TablaDatos[[#This Row],[DiasNuevo]]</f>
        <v>45032</v>
      </c>
    </row>
    <row r="4318" spans="1:15">
      <c r="A4318">
        <v>4317</v>
      </c>
      <c r="B4318" t="s">
        <v>276</v>
      </c>
      <c r="C4318" s="1">
        <v>33239</v>
      </c>
      <c r="D4318">
        <v>35</v>
      </c>
      <c r="E4318" s="4" t="s">
        <v>15</v>
      </c>
      <c r="F4318" t="s">
        <v>21</v>
      </c>
      <c r="G4318" s="1">
        <v>45306</v>
      </c>
      <c r="H4318" s="1">
        <f>TablaDatos[[#This Row],[FechaIngreso]]+TablaDatos[[#This Row],[DiasNuevo]]</f>
        <v>45338</v>
      </c>
      <c r="I4318">
        <v>32</v>
      </c>
      <c r="J4318" t="s">
        <v>25</v>
      </c>
      <c r="K4318" s="3">
        <v>13390.36</v>
      </c>
      <c r="L4318" t="b">
        <f>TablaDatos[[#This Row],[FechaAlta]] &lt; TablaDatos[[#This Row],[FechaIngreso]]</f>
        <v>0</v>
      </c>
      <c r="M4318">
        <f>_xlfn.XLOOKUP(TablaDatos[[#This Row],[PacienteID]],'Datos_Ejemplo.csv'!A:A,'Datos_Ejemplo.csv'!I:I)</f>
        <v>32</v>
      </c>
      <c r="N4318">
        <f>ABS(TablaDatos[[#This Row],[DiasOriginal]])</f>
        <v>32</v>
      </c>
      <c r="O4318" s="1">
        <f>TablaDatos[[#This Row],[FechaIngreso]]+TablaDatos[[#This Row],[DiasNuevo]]</f>
        <v>45338</v>
      </c>
    </row>
    <row r="4319" spans="1:15">
      <c r="A4319">
        <v>4318</v>
      </c>
      <c r="B4319" t="s">
        <v>351</v>
      </c>
      <c r="C4319" s="1">
        <v>31412</v>
      </c>
      <c r="D4319">
        <v>40</v>
      </c>
      <c r="E4319" s="4" t="s">
        <v>12</v>
      </c>
      <c r="F4319" t="s">
        <v>201</v>
      </c>
      <c r="G4319" s="1">
        <v>45081</v>
      </c>
      <c r="H4319" s="1">
        <f>TablaDatos[[#This Row],[FechaIngreso]]+TablaDatos[[#This Row],[DiasNuevo]]</f>
        <v>45113</v>
      </c>
      <c r="I4319">
        <v>32</v>
      </c>
      <c r="J4319" t="s">
        <v>23</v>
      </c>
      <c r="K4319" s="3">
        <v>14539.04</v>
      </c>
      <c r="L4319" t="b">
        <f>TablaDatos[[#This Row],[FechaAlta]] &lt; TablaDatos[[#This Row],[FechaIngreso]]</f>
        <v>0</v>
      </c>
      <c r="M4319">
        <f>_xlfn.XLOOKUP(TablaDatos[[#This Row],[PacienteID]],'Datos_Ejemplo.csv'!A:A,'Datos_Ejemplo.csv'!I:I)</f>
        <v>32</v>
      </c>
      <c r="N4319">
        <f>ABS(TablaDatos[[#This Row],[DiasOriginal]])</f>
        <v>32</v>
      </c>
      <c r="O4319" s="1">
        <f>TablaDatos[[#This Row],[FechaIngreso]]+TablaDatos[[#This Row],[DiasNuevo]]</f>
        <v>45113</v>
      </c>
    </row>
    <row r="4320" spans="1:15">
      <c r="A4320">
        <v>4319</v>
      </c>
      <c r="B4320" t="s">
        <v>330</v>
      </c>
      <c r="C4320" s="1">
        <v>21185</v>
      </c>
      <c r="D4320">
        <v>68</v>
      </c>
      <c r="E4320" s="4" t="s">
        <v>12</v>
      </c>
      <c r="F4320" t="s">
        <v>261</v>
      </c>
      <c r="G4320" s="1">
        <v>45520</v>
      </c>
      <c r="H4320" s="1">
        <f>TablaDatos[[#This Row],[FechaIngreso]]+TablaDatos[[#This Row],[DiasNuevo]]</f>
        <v>45543</v>
      </c>
      <c r="I4320">
        <v>23</v>
      </c>
      <c r="J4320" t="s">
        <v>19</v>
      </c>
      <c r="K4320" s="3">
        <v>17306.14</v>
      </c>
      <c r="L4320" t="b">
        <f>TablaDatos[[#This Row],[FechaAlta]] &lt; TablaDatos[[#This Row],[FechaIngreso]]</f>
        <v>0</v>
      </c>
      <c r="M4320">
        <f>_xlfn.XLOOKUP(TablaDatos[[#This Row],[PacienteID]],'Datos_Ejemplo.csv'!A:A,'Datos_Ejemplo.csv'!I:I)</f>
        <v>23</v>
      </c>
      <c r="N4320">
        <f>ABS(TablaDatos[[#This Row],[DiasOriginal]])</f>
        <v>23</v>
      </c>
      <c r="O4320" s="1">
        <f>TablaDatos[[#This Row],[FechaIngreso]]+TablaDatos[[#This Row],[DiasNuevo]]</f>
        <v>45543</v>
      </c>
    </row>
    <row r="4321" spans="1:15">
      <c r="A4321">
        <v>4320</v>
      </c>
      <c r="B4321" t="s">
        <v>368</v>
      </c>
      <c r="C4321" s="1">
        <v>41639</v>
      </c>
      <c r="D4321">
        <f ca="1">DATEDIF(TablaDatos[[#This Row],[FechaNacimiento]],TODAY(),"Y")</f>
        <v>12</v>
      </c>
      <c r="E4321" s="4" t="s">
        <v>15</v>
      </c>
      <c r="F4321" t="s">
        <v>21</v>
      </c>
      <c r="G4321" s="1">
        <v>45526</v>
      </c>
      <c r="H4321" s="1">
        <f>TablaDatos[[#This Row],[FechaIngreso]]+TablaDatos[[#This Row],[DiasNuevo]]</f>
        <v>45553</v>
      </c>
      <c r="I4321">
        <v>27</v>
      </c>
      <c r="J4321" t="s">
        <v>23</v>
      </c>
      <c r="K4321" s="3">
        <v>7796.47</v>
      </c>
      <c r="L4321" t="b">
        <f>TablaDatos[[#This Row],[FechaAlta]] &lt; TablaDatos[[#This Row],[FechaIngreso]]</f>
        <v>0</v>
      </c>
      <c r="M4321">
        <f>_xlfn.XLOOKUP(TablaDatos[[#This Row],[PacienteID]],'Datos_Ejemplo.csv'!A:A,'Datos_Ejemplo.csv'!I:I)</f>
        <v>27</v>
      </c>
      <c r="N4321">
        <f>ABS(TablaDatos[[#This Row],[DiasOriginal]])</f>
        <v>27</v>
      </c>
      <c r="O4321" s="1">
        <f>TablaDatos[[#This Row],[FechaIngreso]]+TablaDatos[[#This Row],[DiasNuevo]]</f>
        <v>45553</v>
      </c>
    </row>
    <row r="4322" spans="1:15">
      <c r="A4322">
        <v>4321</v>
      </c>
      <c r="B4322" t="s">
        <v>267</v>
      </c>
      <c r="C4322" s="1">
        <v>14611</v>
      </c>
      <c r="D4322">
        <v>86</v>
      </c>
      <c r="E4322" s="4" t="s">
        <v>15</v>
      </c>
      <c r="F4322" t="s">
        <v>201</v>
      </c>
      <c r="G4322" s="1">
        <v>45031</v>
      </c>
      <c r="H4322" s="1">
        <f>TablaDatos[[#This Row],[FechaIngreso]]+TablaDatos[[#This Row],[DiasNuevo]]</f>
        <v>45063</v>
      </c>
      <c r="I4322">
        <v>32</v>
      </c>
      <c r="J4322" t="s">
        <v>23</v>
      </c>
      <c r="K4322" s="3">
        <v>14103.3</v>
      </c>
      <c r="L4322" t="b">
        <f>TablaDatos[[#This Row],[FechaAlta]] &lt; TablaDatos[[#This Row],[FechaIngreso]]</f>
        <v>0</v>
      </c>
      <c r="M4322">
        <f>_xlfn.XLOOKUP(TablaDatos[[#This Row],[PacienteID]],'Datos_Ejemplo.csv'!A:A,'Datos_Ejemplo.csv'!I:I)</f>
        <v>32</v>
      </c>
      <c r="N4322">
        <f>ABS(TablaDatos[[#This Row],[DiasOriginal]])</f>
        <v>32</v>
      </c>
      <c r="O4322" s="1">
        <f>TablaDatos[[#This Row],[FechaIngreso]]+TablaDatos[[#This Row],[DiasNuevo]]</f>
        <v>45063</v>
      </c>
    </row>
    <row r="4323" spans="1:15">
      <c r="A4323">
        <v>4322</v>
      </c>
      <c r="B4323" t="s">
        <v>349</v>
      </c>
      <c r="C4323" s="1">
        <v>25203</v>
      </c>
      <c r="D4323">
        <v>57</v>
      </c>
      <c r="E4323" s="4" t="s">
        <v>12</v>
      </c>
      <c r="F4323" t="s">
        <v>32</v>
      </c>
      <c r="G4323" s="1">
        <v>45568</v>
      </c>
      <c r="H4323" s="1">
        <f>TablaDatos[[#This Row],[FechaIngreso]]+TablaDatos[[#This Row],[DiasNuevo]]</f>
        <v>45603</v>
      </c>
      <c r="I4323">
        <v>35</v>
      </c>
      <c r="J4323" t="s">
        <v>23</v>
      </c>
      <c r="K4323" s="3">
        <v>14616.71</v>
      </c>
      <c r="L4323" t="b">
        <f>TablaDatos[[#This Row],[FechaAlta]] &lt; TablaDatos[[#This Row],[FechaIngreso]]</f>
        <v>0</v>
      </c>
      <c r="M4323">
        <f>_xlfn.XLOOKUP(TablaDatos[[#This Row],[PacienteID]],'Datos_Ejemplo.csv'!A:A,'Datos_Ejemplo.csv'!I:I)</f>
        <v>35</v>
      </c>
      <c r="N4323">
        <f>ABS(TablaDatos[[#This Row],[DiasOriginal]])</f>
        <v>35</v>
      </c>
      <c r="O4323" s="1">
        <f>TablaDatos[[#This Row],[FechaIngreso]]+TablaDatos[[#This Row],[DiasNuevo]]</f>
        <v>45603</v>
      </c>
    </row>
    <row r="4324" spans="1:15">
      <c r="A4324">
        <v>4323</v>
      </c>
      <c r="B4324" t="s">
        <v>274</v>
      </c>
      <c r="C4324" s="1">
        <v>28125</v>
      </c>
      <c r="D4324">
        <v>49</v>
      </c>
      <c r="E4324" s="4" t="s">
        <v>12</v>
      </c>
      <c r="F4324" t="s">
        <v>21</v>
      </c>
      <c r="G4324" s="1">
        <v>45452</v>
      </c>
      <c r="H4324" s="1">
        <f>TablaDatos[[#This Row],[FechaIngreso]]+TablaDatos[[#This Row],[DiasNuevo]]</f>
        <v>45460</v>
      </c>
      <c r="I4324">
        <v>8</v>
      </c>
      <c r="J4324" t="s">
        <v>19</v>
      </c>
      <c r="K4324" s="3">
        <v>5935.51</v>
      </c>
      <c r="L4324" t="b">
        <f>TablaDatos[[#This Row],[FechaAlta]] &lt; TablaDatos[[#This Row],[FechaIngreso]]</f>
        <v>0</v>
      </c>
      <c r="M4324">
        <f>_xlfn.XLOOKUP(TablaDatos[[#This Row],[PacienteID]],'Datos_Ejemplo.csv'!A:A,'Datos_Ejemplo.csv'!I:I)</f>
        <v>8</v>
      </c>
      <c r="N4324">
        <f>ABS(TablaDatos[[#This Row],[DiasOriginal]])</f>
        <v>8</v>
      </c>
      <c r="O4324" s="1">
        <f>TablaDatos[[#This Row],[FechaIngreso]]+TablaDatos[[#This Row],[DiasNuevo]]</f>
        <v>45460</v>
      </c>
    </row>
    <row r="4325" spans="1:15">
      <c r="A4325">
        <v>4324</v>
      </c>
      <c r="B4325" t="s">
        <v>152</v>
      </c>
      <c r="C4325" s="1">
        <v>35430</v>
      </c>
      <c r="D4325">
        <v>29</v>
      </c>
      <c r="E4325" s="4" t="s">
        <v>15</v>
      </c>
      <c r="F4325" t="s">
        <v>32</v>
      </c>
      <c r="G4325" s="1">
        <v>45054</v>
      </c>
      <c r="H4325" s="1">
        <f>TablaDatos[[#This Row],[FechaIngreso]]+TablaDatos[[#This Row],[DiasNuevo]]</f>
        <v>45071</v>
      </c>
      <c r="I4325">
        <v>17</v>
      </c>
      <c r="J4325" t="s">
        <v>23</v>
      </c>
      <c r="K4325" s="3">
        <v>19359.97</v>
      </c>
      <c r="L4325" t="b">
        <f>TablaDatos[[#This Row],[FechaAlta]] &lt; TablaDatos[[#This Row],[FechaIngreso]]</f>
        <v>0</v>
      </c>
      <c r="M4325">
        <f>_xlfn.XLOOKUP(TablaDatos[[#This Row],[PacienteID]],'Datos_Ejemplo.csv'!A:A,'Datos_Ejemplo.csv'!I:I)</f>
        <v>17</v>
      </c>
      <c r="N4325">
        <f>ABS(TablaDatos[[#This Row],[DiasOriginal]])</f>
        <v>17</v>
      </c>
      <c r="O4325" s="1">
        <f>TablaDatos[[#This Row],[FechaIngreso]]+TablaDatos[[#This Row],[DiasNuevo]]</f>
        <v>45071</v>
      </c>
    </row>
    <row r="4326" spans="1:15">
      <c r="A4326">
        <v>4325</v>
      </c>
      <c r="B4326" t="s">
        <v>90</v>
      </c>
      <c r="C4326" s="1">
        <v>23742</v>
      </c>
      <c r="D4326">
        <v>61</v>
      </c>
      <c r="E4326" s="4" t="s">
        <v>12</v>
      </c>
      <c r="F4326" t="s">
        <v>13</v>
      </c>
      <c r="G4326" s="1">
        <v>45327</v>
      </c>
      <c r="H4326" s="1">
        <f>TablaDatos[[#This Row],[FechaIngreso]]+TablaDatos[[#This Row],[DiasNuevo]]</f>
        <v>45355</v>
      </c>
      <c r="I4326">
        <v>28</v>
      </c>
      <c r="J4326" t="s">
        <v>23</v>
      </c>
      <c r="K4326" s="3">
        <v>17290.91</v>
      </c>
      <c r="L4326" t="b">
        <f>TablaDatos[[#This Row],[FechaAlta]] &lt; TablaDatos[[#This Row],[FechaIngreso]]</f>
        <v>0</v>
      </c>
      <c r="M4326">
        <f>_xlfn.XLOOKUP(TablaDatos[[#This Row],[PacienteID]],'Datos_Ejemplo.csv'!A:A,'Datos_Ejemplo.csv'!I:I)</f>
        <v>28</v>
      </c>
      <c r="N4326">
        <f>ABS(TablaDatos[[#This Row],[DiasOriginal]])</f>
        <v>28</v>
      </c>
      <c r="O4326" s="1">
        <f>TablaDatos[[#This Row],[FechaIngreso]]+TablaDatos[[#This Row],[DiasNuevo]]</f>
        <v>45355</v>
      </c>
    </row>
    <row r="4327" spans="1:15">
      <c r="A4327">
        <v>4326</v>
      </c>
      <c r="B4327" t="s">
        <v>249</v>
      </c>
      <c r="C4327" s="1">
        <v>37256</v>
      </c>
      <c r="D4327">
        <v>24</v>
      </c>
      <c r="E4327" s="4" t="s">
        <v>12</v>
      </c>
      <c r="F4327" t="s">
        <v>18</v>
      </c>
      <c r="G4327" s="1">
        <v>45498</v>
      </c>
      <c r="H4327" s="1">
        <f>TablaDatos[[#This Row],[FechaIngreso]]+TablaDatos[[#This Row],[DiasNuevo]]</f>
        <v>45529</v>
      </c>
      <c r="I4327">
        <v>31</v>
      </c>
      <c r="J4327" t="s">
        <v>19</v>
      </c>
      <c r="K4327" s="3">
        <v>5726.21</v>
      </c>
      <c r="L4327" t="b">
        <f>TablaDatos[[#This Row],[FechaAlta]] &lt; TablaDatos[[#This Row],[FechaIngreso]]</f>
        <v>0</v>
      </c>
      <c r="M4327">
        <f>_xlfn.XLOOKUP(TablaDatos[[#This Row],[PacienteID]],'Datos_Ejemplo.csv'!A:A,'Datos_Ejemplo.csv'!I:I)</f>
        <v>31</v>
      </c>
      <c r="N4327">
        <f>ABS(TablaDatos[[#This Row],[DiasOriginal]])</f>
        <v>31</v>
      </c>
      <c r="O4327" s="1">
        <f>TablaDatos[[#This Row],[FechaIngreso]]+TablaDatos[[#This Row],[DiasNuevo]]</f>
        <v>45529</v>
      </c>
    </row>
    <row r="4328" spans="1:15">
      <c r="A4328">
        <v>4327</v>
      </c>
      <c r="B4328" t="s">
        <v>230</v>
      </c>
      <c r="C4328" s="1">
        <v>36526</v>
      </c>
      <c r="D4328">
        <v>26</v>
      </c>
      <c r="E4328" s="4" t="s">
        <v>12</v>
      </c>
      <c r="F4328" t="s">
        <v>21</v>
      </c>
      <c r="G4328" s="1">
        <v>45455</v>
      </c>
      <c r="H4328" s="1">
        <f>TablaDatos[[#This Row],[FechaIngreso]]+TablaDatos[[#This Row],[DiasNuevo]]</f>
        <v>45464</v>
      </c>
      <c r="I4328">
        <v>9</v>
      </c>
      <c r="J4328" t="s">
        <v>25</v>
      </c>
      <c r="K4328" s="3">
        <v>13468.88</v>
      </c>
      <c r="L4328" t="b">
        <f>TablaDatos[[#This Row],[FechaAlta]] &lt; TablaDatos[[#This Row],[FechaIngreso]]</f>
        <v>0</v>
      </c>
      <c r="M4328">
        <f>_xlfn.XLOOKUP(TablaDatos[[#This Row],[PacienteID]],'Datos_Ejemplo.csv'!A:A,'Datos_Ejemplo.csv'!I:I)</f>
        <v>9</v>
      </c>
      <c r="N4328">
        <f>ABS(TablaDatos[[#This Row],[DiasOriginal]])</f>
        <v>9</v>
      </c>
      <c r="O4328" s="1">
        <f>TablaDatos[[#This Row],[FechaIngreso]]+TablaDatos[[#This Row],[DiasNuevo]]</f>
        <v>45464</v>
      </c>
    </row>
    <row r="4329" spans="1:15">
      <c r="A4329">
        <v>4328</v>
      </c>
      <c r="B4329" t="s">
        <v>346</v>
      </c>
      <c r="C4329" s="1">
        <v>27760</v>
      </c>
      <c r="D4329">
        <v>50</v>
      </c>
      <c r="E4329" s="4" t="s">
        <v>15</v>
      </c>
      <c r="F4329" t="s">
        <v>32</v>
      </c>
      <c r="G4329" s="1">
        <v>45483</v>
      </c>
      <c r="H4329" s="1">
        <f>TablaDatos[[#This Row],[FechaIngreso]]+TablaDatos[[#This Row],[DiasNuevo]]</f>
        <v>45508</v>
      </c>
      <c r="I4329">
        <v>25</v>
      </c>
      <c r="J4329" t="s">
        <v>23</v>
      </c>
      <c r="K4329" s="3">
        <v>14327.79</v>
      </c>
      <c r="L4329" t="b">
        <f>TablaDatos[[#This Row],[FechaAlta]] &lt; TablaDatos[[#This Row],[FechaIngreso]]</f>
        <v>0</v>
      </c>
      <c r="M4329">
        <f>_xlfn.XLOOKUP(TablaDatos[[#This Row],[PacienteID]],'Datos_Ejemplo.csv'!A:A,'Datos_Ejemplo.csv'!I:I)</f>
        <v>25</v>
      </c>
      <c r="N4329">
        <f>ABS(TablaDatos[[#This Row],[DiasOriginal]])</f>
        <v>25</v>
      </c>
      <c r="O4329" s="1">
        <f>TablaDatos[[#This Row],[FechaIngreso]]+TablaDatos[[#This Row],[DiasNuevo]]</f>
        <v>45508</v>
      </c>
    </row>
    <row r="4330" spans="1:15">
      <c r="A4330">
        <v>4329</v>
      </c>
      <c r="B4330" t="s">
        <v>248</v>
      </c>
      <c r="C4330" s="1">
        <v>17898</v>
      </c>
      <c r="D4330">
        <v>77</v>
      </c>
      <c r="E4330" s="4" t="s">
        <v>12</v>
      </c>
      <c r="F4330" t="s">
        <v>21</v>
      </c>
      <c r="G4330" s="1">
        <v>45476</v>
      </c>
      <c r="H4330" s="1">
        <f>TablaDatos[[#This Row],[FechaIngreso]]+TablaDatos[[#This Row],[DiasNuevo]]</f>
        <v>45476</v>
      </c>
      <c r="I4330">
        <v>0</v>
      </c>
      <c r="J4330" t="s">
        <v>23</v>
      </c>
      <c r="K4330" s="3">
        <v>8572.82</v>
      </c>
      <c r="L4330" t="b">
        <f>TablaDatos[[#This Row],[FechaAlta]] &lt; TablaDatos[[#This Row],[FechaIngreso]]</f>
        <v>0</v>
      </c>
      <c r="M4330">
        <f>_xlfn.XLOOKUP(TablaDatos[[#This Row],[PacienteID]],'Datos_Ejemplo.csv'!A:A,'Datos_Ejemplo.csv'!I:I)</f>
        <v>0</v>
      </c>
      <c r="N4330">
        <f>ABS(TablaDatos[[#This Row],[DiasOriginal]])</f>
        <v>0</v>
      </c>
      <c r="O4330" s="1">
        <f>TablaDatos[[#This Row],[FechaIngreso]]+TablaDatos[[#This Row],[DiasNuevo]]</f>
        <v>45476</v>
      </c>
    </row>
    <row r="4331" spans="1:15">
      <c r="A4331">
        <v>4330</v>
      </c>
      <c r="B4331" t="s">
        <v>267</v>
      </c>
      <c r="C4331" s="1">
        <v>25568</v>
      </c>
      <c r="D4331">
        <v>56</v>
      </c>
      <c r="E4331" s="4" t="s">
        <v>12</v>
      </c>
      <c r="F4331" t="s">
        <v>261</v>
      </c>
      <c r="G4331" s="1">
        <v>45050</v>
      </c>
      <c r="H4331" s="1">
        <f>TablaDatos[[#This Row],[FechaIngreso]]+TablaDatos[[#This Row],[DiasNuevo]]</f>
        <v>45089</v>
      </c>
      <c r="I4331">
        <v>39</v>
      </c>
      <c r="J4331" t="s">
        <v>23</v>
      </c>
      <c r="K4331" s="3">
        <v>17261.240000000002</v>
      </c>
      <c r="L4331" t="b">
        <f>TablaDatos[[#This Row],[FechaAlta]] &lt; TablaDatos[[#This Row],[FechaIngreso]]</f>
        <v>0</v>
      </c>
      <c r="M4331">
        <f>_xlfn.XLOOKUP(TablaDatos[[#This Row],[PacienteID]],'Datos_Ejemplo.csv'!A:A,'Datos_Ejemplo.csv'!I:I)</f>
        <v>39</v>
      </c>
      <c r="N4331">
        <f>ABS(TablaDatos[[#This Row],[DiasOriginal]])</f>
        <v>39</v>
      </c>
      <c r="O4331" s="1">
        <f>TablaDatos[[#This Row],[FechaIngreso]]+TablaDatos[[#This Row],[DiasNuevo]]</f>
        <v>45089</v>
      </c>
    </row>
    <row r="4332" spans="1:15">
      <c r="A4332">
        <v>4331</v>
      </c>
      <c r="B4332" t="s">
        <v>266</v>
      </c>
      <c r="C4332" s="1">
        <f ca="1">DATE(YEAR(TODAY())-TablaDatos[[#This Row],[Edad]],1,1)</f>
        <v>0</v>
      </c>
      <c r="D4332">
        <f ca="1">DATEDIF(TablaDatos[[#This Row],[FechaNacimiento]],TODAY(),"Y")</f>
        <v>126</v>
      </c>
      <c r="E4332" s="4" t="s">
        <v>12</v>
      </c>
      <c r="F4332" t="s">
        <v>18</v>
      </c>
      <c r="G4332" s="1">
        <v>45286</v>
      </c>
      <c r="H4332" s="1">
        <f>TablaDatos[[#This Row],[FechaIngreso]]+TablaDatos[[#This Row],[DiasNuevo]]</f>
        <v>45288</v>
      </c>
      <c r="I4332">
        <v>2</v>
      </c>
      <c r="J4332" t="s">
        <v>23</v>
      </c>
      <c r="K4332" s="3">
        <v>13773.61</v>
      </c>
      <c r="L4332" t="b">
        <f>TablaDatos[[#This Row],[FechaAlta]] &lt; TablaDatos[[#This Row],[FechaIngreso]]</f>
        <v>0</v>
      </c>
      <c r="M4332">
        <f>_xlfn.XLOOKUP(TablaDatos[[#This Row],[PacienteID]],'Datos_Ejemplo.csv'!A:A,'Datos_Ejemplo.csv'!I:I)</f>
        <v>2</v>
      </c>
      <c r="N4332">
        <f>ABS(TablaDatos[[#This Row],[DiasOriginal]])</f>
        <v>2</v>
      </c>
      <c r="O4332" s="1">
        <f>TablaDatos[[#This Row],[FechaIngreso]]+TablaDatos[[#This Row],[DiasNuevo]]</f>
        <v>45288</v>
      </c>
    </row>
    <row r="4333" spans="1:15">
      <c r="A4333">
        <v>4332</v>
      </c>
      <c r="B4333" t="s">
        <v>308</v>
      </c>
      <c r="C4333" s="1">
        <v>32143</v>
      </c>
      <c r="D4333">
        <v>38</v>
      </c>
      <c r="E4333" s="4" t="s">
        <v>12</v>
      </c>
      <c r="F4333" t="s">
        <v>13</v>
      </c>
      <c r="G4333" s="1">
        <v>44990</v>
      </c>
      <c r="H4333" s="1">
        <f>TablaDatos[[#This Row],[FechaIngreso]]+TablaDatos[[#This Row],[DiasNuevo]]</f>
        <v>45000</v>
      </c>
      <c r="I4333">
        <v>10</v>
      </c>
      <c r="J4333" t="s">
        <v>23</v>
      </c>
      <c r="K4333" s="3">
        <v>13128.91</v>
      </c>
      <c r="L4333" t="b">
        <f>TablaDatos[[#This Row],[FechaAlta]] &lt; TablaDatos[[#This Row],[FechaIngreso]]</f>
        <v>0</v>
      </c>
      <c r="M4333">
        <f>_xlfn.XLOOKUP(TablaDatos[[#This Row],[PacienteID]],'Datos_Ejemplo.csv'!A:A,'Datos_Ejemplo.csv'!I:I)</f>
        <v>10</v>
      </c>
      <c r="N4333">
        <f>ABS(TablaDatos[[#This Row],[DiasOriginal]])</f>
        <v>10</v>
      </c>
      <c r="O4333" s="1">
        <f>TablaDatos[[#This Row],[FechaIngreso]]+TablaDatos[[#This Row],[DiasNuevo]]</f>
        <v>45000</v>
      </c>
    </row>
    <row r="4334" spans="1:15">
      <c r="A4334">
        <v>4333</v>
      </c>
      <c r="B4334" t="s">
        <v>312</v>
      </c>
      <c r="C4334" s="1">
        <v>40544</v>
      </c>
      <c r="D4334">
        <v>15</v>
      </c>
      <c r="E4334" s="4" t="s">
        <v>197</v>
      </c>
      <c r="F4334" t="s">
        <v>295</v>
      </c>
      <c r="G4334" s="1">
        <v>45550</v>
      </c>
      <c r="H4334" s="1">
        <f>TablaDatos[[#This Row],[FechaIngreso]]+TablaDatos[[#This Row],[DiasNuevo]]</f>
        <v>45559</v>
      </c>
      <c r="I4334">
        <v>9</v>
      </c>
      <c r="J4334" t="s">
        <v>23</v>
      </c>
      <c r="K4334" s="3">
        <v>4338.8900000000003</v>
      </c>
      <c r="L4334" t="b">
        <f>TablaDatos[[#This Row],[FechaAlta]] &lt; TablaDatos[[#This Row],[FechaIngreso]]</f>
        <v>0</v>
      </c>
      <c r="M4334">
        <f>_xlfn.XLOOKUP(TablaDatos[[#This Row],[PacienteID]],'Datos_Ejemplo.csv'!A:A,'Datos_Ejemplo.csv'!I:I)</f>
        <v>9</v>
      </c>
      <c r="N4334">
        <f>ABS(TablaDatos[[#This Row],[DiasOriginal]])</f>
        <v>9</v>
      </c>
      <c r="O4334" s="1">
        <f>TablaDatos[[#This Row],[FechaIngreso]]+TablaDatos[[#This Row],[DiasNuevo]]</f>
        <v>45559</v>
      </c>
    </row>
    <row r="4335" spans="1:15">
      <c r="A4335">
        <v>4334</v>
      </c>
      <c r="B4335" t="s">
        <v>55</v>
      </c>
      <c r="C4335" s="1">
        <v>38352</v>
      </c>
      <c r="D4335">
        <v>21</v>
      </c>
      <c r="E4335" s="4" t="s">
        <v>15</v>
      </c>
      <c r="F4335" t="s">
        <v>295</v>
      </c>
      <c r="G4335" s="1">
        <v>45028</v>
      </c>
      <c r="H4335" s="1">
        <f>TablaDatos[[#This Row],[FechaIngreso]]+TablaDatos[[#This Row],[DiasNuevo]]</f>
        <v>45030</v>
      </c>
      <c r="I4335">
        <v>2</v>
      </c>
      <c r="J4335" t="s">
        <v>23</v>
      </c>
      <c r="K4335" s="3">
        <v>8097.63</v>
      </c>
      <c r="L4335" t="b">
        <f>TablaDatos[[#This Row],[FechaAlta]] &lt; TablaDatos[[#This Row],[FechaIngreso]]</f>
        <v>0</v>
      </c>
      <c r="M4335">
        <f>_xlfn.XLOOKUP(TablaDatos[[#This Row],[PacienteID]],'Datos_Ejemplo.csv'!A:A,'Datos_Ejemplo.csv'!I:I)</f>
        <v>-2</v>
      </c>
      <c r="N4335">
        <f>ABS(TablaDatos[[#This Row],[DiasOriginal]])</f>
        <v>2</v>
      </c>
      <c r="O4335" s="1">
        <f>TablaDatos[[#This Row],[FechaIngreso]]+TablaDatos[[#This Row],[DiasNuevo]]</f>
        <v>45030</v>
      </c>
    </row>
    <row r="4336" spans="1:15">
      <c r="A4336">
        <v>4335</v>
      </c>
      <c r="B4336" t="s">
        <v>235</v>
      </c>
      <c r="C4336" s="1">
        <f ca="1">DATE(YEAR(TODAY())-TablaDatos[[#This Row],[Edad]],1,1)</f>
        <v>15342</v>
      </c>
      <c r="D4336">
        <v>84</v>
      </c>
      <c r="E4336" s="4" t="s">
        <v>12</v>
      </c>
      <c r="F4336" t="s">
        <v>21</v>
      </c>
      <c r="G4336" s="1">
        <v>45487</v>
      </c>
      <c r="H4336" s="1">
        <f>TablaDatos[[#This Row],[FechaIngreso]]+TablaDatos[[#This Row],[DiasNuevo]]</f>
        <v>45503</v>
      </c>
      <c r="I4336">
        <v>16</v>
      </c>
      <c r="J4336" t="s">
        <v>19</v>
      </c>
      <c r="K4336" s="3">
        <v>8621.84</v>
      </c>
      <c r="L4336" t="b">
        <f>TablaDatos[[#This Row],[FechaAlta]] &lt; TablaDatos[[#This Row],[FechaIngreso]]</f>
        <v>0</v>
      </c>
      <c r="M4336">
        <f>_xlfn.XLOOKUP(TablaDatos[[#This Row],[PacienteID]],'Datos_Ejemplo.csv'!A:A,'Datos_Ejemplo.csv'!I:I)</f>
        <v>16</v>
      </c>
      <c r="N4336">
        <f>ABS(TablaDatos[[#This Row],[DiasOriginal]])</f>
        <v>16</v>
      </c>
      <c r="O4336" s="1">
        <f>TablaDatos[[#This Row],[FechaIngreso]]+TablaDatos[[#This Row],[DiasNuevo]]</f>
        <v>45503</v>
      </c>
    </row>
    <row r="4337" spans="1:15">
      <c r="A4337">
        <v>4336</v>
      </c>
      <c r="B4337" t="s">
        <v>243</v>
      </c>
      <c r="C4337" s="1">
        <v>26664</v>
      </c>
      <c r="D4337">
        <v>53</v>
      </c>
      <c r="E4337" s="4" t="s">
        <v>12</v>
      </c>
      <c r="F4337" t="s">
        <v>32</v>
      </c>
      <c r="G4337" s="1">
        <v>45203</v>
      </c>
      <c r="H4337" s="1">
        <f>TablaDatos[[#This Row],[FechaIngreso]]+TablaDatos[[#This Row],[DiasNuevo]]</f>
        <v>45229</v>
      </c>
      <c r="I4337">
        <v>26</v>
      </c>
      <c r="J4337" t="s">
        <v>23</v>
      </c>
      <c r="K4337" s="3">
        <v>14646.59</v>
      </c>
      <c r="L4337" t="b">
        <f>TablaDatos[[#This Row],[FechaAlta]] &lt; TablaDatos[[#This Row],[FechaIngreso]]</f>
        <v>0</v>
      </c>
      <c r="M4337">
        <f>_xlfn.XLOOKUP(TablaDatos[[#This Row],[PacienteID]],'Datos_Ejemplo.csv'!A:A,'Datos_Ejemplo.csv'!I:I)</f>
        <v>26</v>
      </c>
      <c r="N4337">
        <f>ABS(TablaDatos[[#This Row],[DiasOriginal]])</f>
        <v>26</v>
      </c>
      <c r="O4337" s="1">
        <f>TablaDatos[[#This Row],[FechaIngreso]]+TablaDatos[[#This Row],[DiasNuevo]]</f>
        <v>45229</v>
      </c>
    </row>
    <row r="4338" spans="1:15">
      <c r="A4338">
        <v>4337</v>
      </c>
      <c r="B4338" t="s">
        <v>293</v>
      </c>
      <c r="C4338" s="1">
        <f ca="1">DATE(YEAR(TODAY())-TablaDatos[[#This Row],[Edad]],1,1)</f>
        <v>38718</v>
      </c>
      <c r="D4338">
        <v>20</v>
      </c>
      <c r="E4338" s="4" t="s">
        <v>12</v>
      </c>
      <c r="F4338" t="s">
        <v>261</v>
      </c>
      <c r="G4338" s="1">
        <v>45153</v>
      </c>
      <c r="H4338" s="1">
        <f>TablaDatos[[#This Row],[FechaIngreso]]+TablaDatos[[#This Row],[DiasNuevo]]</f>
        <v>45189</v>
      </c>
      <c r="I4338">
        <v>36</v>
      </c>
      <c r="J4338" t="s">
        <v>23</v>
      </c>
      <c r="K4338" s="3">
        <v>12329.73</v>
      </c>
      <c r="L4338" t="b">
        <f>TablaDatos[[#This Row],[FechaAlta]] &lt; TablaDatos[[#This Row],[FechaIngreso]]</f>
        <v>0</v>
      </c>
      <c r="M4338">
        <f>_xlfn.XLOOKUP(TablaDatos[[#This Row],[PacienteID]],'Datos_Ejemplo.csv'!A:A,'Datos_Ejemplo.csv'!I:I)</f>
        <v>36</v>
      </c>
      <c r="N4338">
        <f>ABS(TablaDatos[[#This Row],[DiasOriginal]])</f>
        <v>36</v>
      </c>
      <c r="O4338" s="1">
        <f>TablaDatos[[#This Row],[FechaIngreso]]+TablaDatos[[#This Row],[DiasNuevo]]</f>
        <v>45189</v>
      </c>
    </row>
    <row r="4339" spans="1:15">
      <c r="A4339">
        <v>4338</v>
      </c>
      <c r="B4339" t="s">
        <v>260</v>
      </c>
      <c r="C4339" s="1">
        <v>20090</v>
      </c>
      <c r="D4339">
        <v>71</v>
      </c>
      <c r="E4339" s="4" t="s">
        <v>15</v>
      </c>
      <c r="F4339" t="s">
        <v>18</v>
      </c>
      <c r="G4339" s="1">
        <v>44949</v>
      </c>
      <c r="H4339" s="1">
        <f>TablaDatos[[#This Row],[FechaIngreso]]+TablaDatos[[#This Row],[DiasNuevo]]</f>
        <v>44988</v>
      </c>
      <c r="I4339">
        <v>39</v>
      </c>
      <c r="J4339" t="s">
        <v>25</v>
      </c>
      <c r="K4339" s="3">
        <v>1625.8</v>
      </c>
      <c r="L4339" t="b">
        <f>TablaDatos[[#This Row],[FechaAlta]] &lt; TablaDatos[[#This Row],[FechaIngreso]]</f>
        <v>0</v>
      </c>
      <c r="M4339">
        <f>_xlfn.XLOOKUP(TablaDatos[[#This Row],[PacienteID]],'Datos_Ejemplo.csv'!A:A,'Datos_Ejemplo.csv'!I:I)</f>
        <v>39</v>
      </c>
      <c r="N4339">
        <f>ABS(TablaDatos[[#This Row],[DiasOriginal]])</f>
        <v>39</v>
      </c>
      <c r="O4339" s="1">
        <f>TablaDatos[[#This Row],[FechaIngreso]]+TablaDatos[[#This Row],[DiasNuevo]]</f>
        <v>44988</v>
      </c>
    </row>
    <row r="4340" spans="1:15">
      <c r="A4340">
        <v>4339</v>
      </c>
      <c r="B4340" t="s">
        <v>283</v>
      </c>
      <c r="C4340" s="1">
        <v>40544</v>
      </c>
      <c r="D4340">
        <v>15</v>
      </c>
      <c r="E4340" s="4" t="s">
        <v>15</v>
      </c>
      <c r="F4340" t="s">
        <v>13</v>
      </c>
      <c r="G4340" s="1">
        <v>45623</v>
      </c>
      <c r="H4340" s="1">
        <f>TablaDatos[[#This Row],[FechaIngreso]]+TablaDatos[[#This Row],[DiasNuevo]]</f>
        <v>45645</v>
      </c>
      <c r="I4340">
        <v>22</v>
      </c>
      <c r="J4340" t="s">
        <v>25</v>
      </c>
      <c r="K4340" s="3">
        <v>6084.73</v>
      </c>
      <c r="L4340" t="b">
        <f>TablaDatos[[#This Row],[FechaAlta]] &lt; TablaDatos[[#This Row],[FechaIngreso]]</f>
        <v>0</v>
      </c>
      <c r="M4340">
        <f>_xlfn.XLOOKUP(TablaDatos[[#This Row],[PacienteID]],'Datos_Ejemplo.csv'!A:A,'Datos_Ejemplo.csv'!I:I)</f>
        <v>22</v>
      </c>
      <c r="N4340">
        <f>ABS(TablaDatos[[#This Row],[DiasOriginal]])</f>
        <v>22</v>
      </c>
      <c r="O4340" s="1">
        <f>TablaDatos[[#This Row],[FechaIngreso]]+TablaDatos[[#This Row],[DiasNuevo]]</f>
        <v>45645</v>
      </c>
    </row>
    <row r="4341" spans="1:15">
      <c r="A4341">
        <v>4340</v>
      </c>
      <c r="B4341" t="s">
        <v>242</v>
      </c>
      <c r="C4341" s="1">
        <v>24838</v>
      </c>
      <c r="D4341">
        <v>58</v>
      </c>
      <c r="E4341" s="4" t="s">
        <v>12</v>
      </c>
      <c r="F4341" t="s">
        <v>13</v>
      </c>
      <c r="G4341" s="1">
        <v>44990</v>
      </c>
      <c r="H4341" s="1">
        <f>TablaDatos[[#This Row],[FechaIngreso]]+TablaDatos[[#This Row],[DiasNuevo]]</f>
        <v>45003</v>
      </c>
      <c r="I4341">
        <v>13</v>
      </c>
      <c r="J4341" t="s">
        <v>19</v>
      </c>
      <c r="K4341" s="3">
        <v>9408.25</v>
      </c>
      <c r="L4341" t="b">
        <f>TablaDatos[[#This Row],[FechaAlta]] &lt; TablaDatos[[#This Row],[FechaIngreso]]</f>
        <v>0</v>
      </c>
      <c r="M4341">
        <f>_xlfn.XLOOKUP(TablaDatos[[#This Row],[PacienteID]],'Datos_Ejemplo.csv'!A:A,'Datos_Ejemplo.csv'!I:I)</f>
        <v>13</v>
      </c>
      <c r="N4341">
        <f>ABS(TablaDatos[[#This Row],[DiasOriginal]])</f>
        <v>13</v>
      </c>
      <c r="O4341" s="1">
        <f>TablaDatos[[#This Row],[FechaIngreso]]+TablaDatos[[#This Row],[DiasNuevo]]</f>
        <v>45003</v>
      </c>
    </row>
    <row r="4342" spans="1:15">
      <c r="A4342">
        <v>4341</v>
      </c>
      <c r="B4342" t="s">
        <v>270</v>
      </c>
      <c r="C4342" s="1">
        <v>35065</v>
      </c>
      <c r="D4342">
        <v>30</v>
      </c>
      <c r="E4342" s="4" t="s">
        <v>12</v>
      </c>
      <c r="F4342" t="s">
        <v>201</v>
      </c>
      <c r="G4342" s="1">
        <v>45083</v>
      </c>
      <c r="H4342" s="1">
        <f>TablaDatos[[#This Row],[FechaIngreso]]+TablaDatos[[#This Row],[DiasNuevo]]</f>
        <v>45097</v>
      </c>
      <c r="I4342">
        <v>14</v>
      </c>
      <c r="J4342" t="s">
        <v>23</v>
      </c>
      <c r="K4342" s="3">
        <v>14708.33</v>
      </c>
      <c r="L4342" t="b">
        <f>TablaDatos[[#This Row],[FechaAlta]] &lt; TablaDatos[[#This Row],[FechaIngreso]]</f>
        <v>0</v>
      </c>
      <c r="M4342">
        <f>_xlfn.XLOOKUP(TablaDatos[[#This Row],[PacienteID]],'Datos_Ejemplo.csv'!A:A,'Datos_Ejemplo.csv'!I:I)</f>
        <v>14</v>
      </c>
      <c r="N4342">
        <f>ABS(TablaDatos[[#This Row],[DiasOriginal]])</f>
        <v>14</v>
      </c>
      <c r="O4342" s="1">
        <f>TablaDatos[[#This Row],[FechaIngreso]]+TablaDatos[[#This Row],[DiasNuevo]]</f>
        <v>45097</v>
      </c>
    </row>
    <row r="4343" spans="1:15">
      <c r="A4343">
        <v>4342</v>
      </c>
      <c r="B4343" t="s">
        <v>290</v>
      </c>
      <c r="C4343" s="1">
        <v>31047</v>
      </c>
      <c r="D4343">
        <v>41</v>
      </c>
      <c r="E4343" s="4" t="s">
        <v>15</v>
      </c>
      <c r="F4343" t="s">
        <v>13</v>
      </c>
      <c r="G4343" s="1">
        <v>45316</v>
      </c>
      <c r="H4343" s="1">
        <f>TablaDatos[[#This Row],[FechaIngreso]]+TablaDatos[[#This Row],[DiasNuevo]]</f>
        <v>45341</v>
      </c>
      <c r="I4343">
        <v>25</v>
      </c>
      <c r="J4343" t="s">
        <v>23</v>
      </c>
      <c r="K4343" s="3">
        <v>14845.74</v>
      </c>
      <c r="L4343" t="b">
        <f>TablaDatos[[#This Row],[FechaAlta]] &lt; TablaDatos[[#This Row],[FechaIngreso]]</f>
        <v>0</v>
      </c>
      <c r="M4343">
        <f>_xlfn.XLOOKUP(TablaDatos[[#This Row],[PacienteID]],'Datos_Ejemplo.csv'!A:A,'Datos_Ejemplo.csv'!I:I)</f>
        <v>25</v>
      </c>
      <c r="N4343">
        <f>ABS(TablaDatos[[#This Row],[DiasOriginal]])</f>
        <v>25</v>
      </c>
      <c r="O4343" s="1">
        <f>TablaDatos[[#This Row],[FechaIngreso]]+TablaDatos[[#This Row],[DiasNuevo]]</f>
        <v>45341</v>
      </c>
    </row>
    <row r="4344" spans="1:15">
      <c r="A4344">
        <v>4343</v>
      </c>
      <c r="B4344" t="s">
        <v>299</v>
      </c>
      <c r="C4344" s="1">
        <v>19359</v>
      </c>
      <c r="D4344">
        <v>73</v>
      </c>
      <c r="E4344" s="4" t="s">
        <v>12</v>
      </c>
      <c r="F4344" t="s">
        <v>295</v>
      </c>
      <c r="G4344" s="1">
        <v>45075</v>
      </c>
      <c r="H4344" s="1">
        <f>TablaDatos[[#This Row],[FechaIngreso]]+TablaDatos[[#This Row],[DiasNuevo]]</f>
        <v>45111</v>
      </c>
      <c r="I4344">
        <v>36</v>
      </c>
      <c r="J4344" t="s">
        <v>19</v>
      </c>
      <c r="K4344" s="3">
        <v>9759.92</v>
      </c>
      <c r="L4344" t="b">
        <f>TablaDatos[[#This Row],[FechaAlta]] &lt; TablaDatos[[#This Row],[FechaIngreso]]</f>
        <v>0</v>
      </c>
      <c r="M4344">
        <f>_xlfn.XLOOKUP(TablaDatos[[#This Row],[PacienteID]],'Datos_Ejemplo.csv'!A:A,'Datos_Ejemplo.csv'!I:I)</f>
        <v>36</v>
      </c>
      <c r="N4344">
        <f>ABS(TablaDatos[[#This Row],[DiasOriginal]])</f>
        <v>36</v>
      </c>
      <c r="O4344" s="1">
        <f>TablaDatos[[#This Row],[FechaIngreso]]+TablaDatos[[#This Row],[DiasNuevo]]</f>
        <v>45111</v>
      </c>
    </row>
    <row r="4345" spans="1:15">
      <c r="A4345">
        <v>4344</v>
      </c>
      <c r="B4345" t="s">
        <v>246</v>
      </c>
      <c r="C4345" s="1">
        <v>34700</v>
      </c>
      <c r="D4345">
        <v>31</v>
      </c>
      <c r="E4345" s="4" t="s">
        <v>15</v>
      </c>
      <c r="F4345" t="s">
        <v>18</v>
      </c>
      <c r="G4345" s="1">
        <v>45289</v>
      </c>
      <c r="H4345" s="1">
        <f>TablaDatos[[#This Row],[FechaIngreso]]+TablaDatos[[#This Row],[DiasNuevo]]</f>
        <v>45291</v>
      </c>
      <c r="I4345">
        <v>2</v>
      </c>
      <c r="J4345" t="s">
        <v>19</v>
      </c>
      <c r="K4345" s="3">
        <v>2250.34</v>
      </c>
      <c r="L4345" t="b">
        <f>TablaDatos[[#This Row],[FechaAlta]] &lt; TablaDatos[[#This Row],[FechaIngreso]]</f>
        <v>0</v>
      </c>
      <c r="M4345">
        <f>_xlfn.XLOOKUP(TablaDatos[[#This Row],[PacienteID]],'Datos_Ejemplo.csv'!A:A,'Datos_Ejemplo.csv'!I:I)</f>
        <v>2</v>
      </c>
      <c r="N4345">
        <f>ABS(TablaDatos[[#This Row],[DiasOriginal]])</f>
        <v>2</v>
      </c>
      <c r="O4345" s="1">
        <f>TablaDatos[[#This Row],[FechaIngreso]]+TablaDatos[[#This Row],[DiasNuevo]]</f>
        <v>45291</v>
      </c>
    </row>
    <row r="4346" spans="1:15">
      <c r="A4346">
        <v>4345</v>
      </c>
      <c r="B4346" t="s">
        <v>264</v>
      </c>
      <c r="C4346" s="1">
        <v>24838</v>
      </c>
      <c r="D4346">
        <v>58</v>
      </c>
      <c r="E4346" s="4" t="s">
        <v>197</v>
      </c>
      <c r="F4346" t="s">
        <v>201</v>
      </c>
      <c r="G4346" s="1">
        <v>45607</v>
      </c>
      <c r="H4346" s="1">
        <f>TablaDatos[[#This Row],[FechaIngreso]]+TablaDatos[[#This Row],[DiasNuevo]]</f>
        <v>45609</v>
      </c>
      <c r="I4346">
        <v>2</v>
      </c>
      <c r="J4346" t="s">
        <v>19</v>
      </c>
      <c r="K4346" s="3">
        <v>5787.36</v>
      </c>
      <c r="L4346" t="b">
        <f>TablaDatos[[#This Row],[FechaAlta]] &lt; TablaDatos[[#This Row],[FechaIngreso]]</f>
        <v>0</v>
      </c>
      <c r="M4346">
        <f>_xlfn.XLOOKUP(TablaDatos[[#This Row],[PacienteID]],'Datos_Ejemplo.csv'!A:A,'Datos_Ejemplo.csv'!I:I)</f>
        <v>-2</v>
      </c>
      <c r="N4346">
        <f>ABS(TablaDatos[[#This Row],[DiasOriginal]])</f>
        <v>2</v>
      </c>
      <c r="O4346" s="1">
        <f>TablaDatos[[#This Row],[FechaIngreso]]+TablaDatos[[#This Row],[DiasNuevo]]</f>
        <v>45609</v>
      </c>
    </row>
    <row r="4347" spans="1:15">
      <c r="A4347">
        <v>4346</v>
      </c>
      <c r="B4347" t="s">
        <v>234</v>
      </c>
      <c r="C4347" s="1">
        <v>33969</v>
      </c>
      <c r="D4347">
        <f ca="1">DATEDIF(TablaDatos[[#This Row],[FechaNacimiento]],TODAY(),"Y")</f>
        <v>33</v>
      </c>
      <c r="E4347" s="4" t="s">
        <v>12</v>
      </c>
      <c r="F4347" t="s">
        <v>295</v>
      </c>
      <c r="G4347" s="1">
        <v>45390</v>
      </c>
      <c r="H4347" s="1">
        <f>TablaDatos[[#This Row],[FechaIngreso]]+TablaDatos[[#This Row],[DiasNuevo]]</f>
        <v>45390</v>
      </c>
      <c r="I4347">
        <v>0</v>
      </c>
      <c r="J4347" t="s">
        <v>23</v>
      </c>
      <c r="K4347" s="3">
        <v>5019.32</v>
      </c>
      <c r="L4347" t="b">
        <f>TablaDatos[[#This Row],[FechaAlta]] &lt; TablaDatos[[#This Row],[FechaIngreso]]</f>
        <v>0</v>
      </c>
      <c r="M4347">
        <f>_xlfn.XLOOKUP(TablaDatos[[#This Row],[PacienteID]],'Datos_Ejemplo.csv'!A:A,'Datos_Ejemplo.csv'!I:I)</f>
        <v>0</v>
      </c>
      <c r="N4347">
        <f>ABS(TablaDatos[[#This Row],[DiasOriginal]])</f>
        <v>0</v>
      </c>
      <c r="O4347" s="1">
        <f>TablaDatos[[#This Row],[FechaIngreso]]+TablaDatos[[#This Row],[DiasNuevo]]</f>
        <v>45390</v>
      </c>
    </row>
    <row r="4348" spans="1:15">
      <c r="A4348">
        <v>4347</v>
      </c>
      <c r="B4348" t="s">
        <v>105</v>
      </c>
      <c r="C4348" s="1">
        <v>43100</v>
      </c>
      <c r="D4348">
        <v>8</v>
      </c>
      <c r="E4348" s="4" t="s">
        <v>15</v>
      </c>
      <c r="F4348" t="s">
        <v>21</v>
      </c>
      <c r="G4348" s="1">
        <v>45571</v>
      </c>
      <c r="H4348" s="1">
        <f>TablaDatos[[#This Row],[FechaIngreso]]+TablaDatos[[#This Row],[DiasNuevo]]</f>
        <v>45592</v>
      </c>
      <c r="I4348">
        <v>21</v>
      </c>
      <c r="J4348" t="s">
        <v>23</v>
      </c>
      <c r="K4348" s="3">
        <v>15598.63</v>
      </c>
      <c r="L4348" t="b">
        <f>TablaDatos[[#This Row],[FechaAlta]] &lt; TablaDatos[[#This Row],[FechaIngreso]]</f>
        <v>0</v>
      </c>
      <c r="M4348">
        <f>_xlfn.XLOOKUP(TablaDatos[[#This Row],[PacienteID]],'Datos_Ejemplo.csv'!A:A,'Datos_Ejemplo.csv'!I:I)</f>
        <v>21</v>
      </c>
      <c r="N4348">
        <f>ABS(TablaDatos[[#This Row],[DiasOriginal]])</f>
        <v>21</v>
      </c>
      <c r="O4348" s="1">
        <f>TablaDatos[[#This Row],[FechaIngreso]]+TablaDatos[[#This Row],[DiasNuevo]]</f>
        <v>45592</v>
      </c>
    </row>
    <row r="4349" spans="1:15">
      <c r="A4349">
        <v>4348</v>
      </c>
      <c r="B4349" t="s">
        <v>266</v>
      </c>
      <c r="C4349" s="1">
        <v>16802</v>
      </c>
      <c r="D4349">
        <v>80</v>
      </c>
      <c r="E4349" s="4" t="s">
        <v>12</v>
      </c>
      <c r="F4349" t="s">
        <v>13</v>
      </c>
      <c r="G4349" s="1">
        <v>45325</v>
      </c>
      <c r="H4349" s="1">
        <f>TablaDatos[[#This Row],[FechaIngreso]]+TablaDatos[[#This Row],[DiasNuevo]]</f>
        <v>45351</v>
      </c>
      <c r="I4349">
        <v>26</v>
      </c>
      <c r="J4349" t="s">
        <v>19</v>
      </c>
      <c r="K4349" s="3">
        <v>3517.72</v>
      </c>
      <c r="L4349" t="b">
        <f>TablaDatos[[#This Row],[FechaAlta]] &lt; TablaDatos[[#This Row],[FechaIngreso]]</f>
        <v>0</v>
      </c>
      <c r="M4349">
        <f>_xlfn.XLOOKUP(TablaDatos[[#This Row],[PacienteID]],'Datos_Ejemplo.csv'!A:A,'Datos_Ejemplo.csv'!I:I)</f>
        <v>26</v>
      </c>
      <c r="N4349">
        <f>ABS(TablaDatos[[#This Row],[DiasOriginal]])</f>
        <v>26</v>
      </c>
      <c r="O4349" s="1">
        <f>TablaDatos[[#This Row],[FechaIngreso]]+TablaDatos[[#This Row],[DiasNuevo]]</f>
        <v>45351</v>
      </c>
    </row>
    <row r="4350" spans="1:15">
      <c r="A4350">
        <v>4349</v>
      </c>
      <c r="B4350" t="s">
        <v>356</v>
      </c>
      <c r="C4350" s="1">
        <v>42370</v>
      </c>
      <c r="D4350">
        <v>10</v>
      </c>
      <c r="E4350" s="4" t="s">
        <v>12</v>
      </c>
      <c r="F4350" t="s">
        <v>18</v>
      </c>
      <c r="G4350" s="1">
        <v>45331</v>
      </c>
      <c r="H4350" s="1">
        <f>TablaDatos[[#This Row],[FechaIngreso]]+TablaDatos[[#This Row],[DiasNuevo]]</f>
        <v>45343</v>
      </c>
      <c r="I4350">
        <v>12</v>
      </c>
      <c r="J4350" t="s">
        <v>25</v>
      </c>
      <c r="K4350" s="3">
        <v>9244.92</v>
      </c>
      <c r="L4350" t="b">
        <f>TablaDatos[[#This Row],[FechaAlta]] &lt; TablaDatos[[#This Row],[FechaIngreso]]</f>
        <v>0</v>
      </c>
      <c r="M4350">
        <f>_xlfn.XLOOKUP(TablaDatos[[#This Row],[PacienteID]],'Datos_Ejemplo.csv'!A:A,'Datos_Ejemplo.csv'!I:I)</f>
        <v>12</v>
      </c>
      <c r="N4350">
        <f>ABS(TablaDatos[[#This Row],[DiasOriginal]])</f>
        <v>12</v>
      </c>
      <c r="O4350" s="1">
        <f>TablaDatos[[#This Row],[FechaIngreso]]+TablaDatos[[#This Row],[DiasNuevo]]</f>
        <v>45343</v>
      </c>
    </row>
    <row r="4351" spans="1:15">
      <c r="A4351">
        <v>4350</v>
      </c>
      <c r="B4351" t="s">
        <v>246</v>
      </c>
      <c r="C4351" s="1">
        <v>42735</v>
      </c>
      <c r="D4351">
        <v>9</v>
      </c>
      <c r="E4351" s="4" t="s">
        <v>15</v>
      </c>
      <c r="F4351" t="s">
        <v>13</v>
      </c>
      <c r="G4351" s="1">
        <v>45058</v>
      </c>
      <c r="H4351" s="1">
        <f>TablaDatos[[#This Row],[FechaIngreso]]+TablaDatos[[#This Row],[DiasNuevo]]</f>
        <v>45059</v>
      </c>
      <c r="I4351">
        <v>1</v>
      </c>
      <c r="J4351" t="s">
        <v>23</v>
      </c>
      <c r="K4351" s="3">
        <v>13381.45</v>
      </c>
      <c r="L4351" t="b">
        <f>TablaDatos[[#This Row],[FechaAlta]] &lt; TablaDatos[[#This Row],[FechaIngreso]]</f>
        <v>0</v>
      </c>
      <c r="M4351">
        <f>_xlfn.XLOOKUP(TablaDatos[[#This Row],[PacienteID]],'Datos_Ejemplo.csv'!A:A,'Datos_Ejemplo.csv'!I:I)</f>
        <v>1</v>
      </c>
      <c r="N4351">
        <f>ABS(TablaDatos[[#This Row],[DiasOriginal]])</f>
        <v>1</v>
      </c>
      <c r="O4351" s="1">
        <f>TablaDatos[[#This Row],[FechaIngreso]]+TablaDatos[[#This Row],[DiasNuevo]]</f>
        <v>45059</v>
      </c>
    </row>
    <row r="4352" spans="1:15">
      <c r="A4352">
        <v>4351</v>
      </c>
      <c r="B4352" t="s">
        <v>274</v>
      </c>
      <c r="C4352" s="1">
        <v>14976</v>
      </c>
      <c r="D4352">
        <f ca="1">DATEDIF(TablaDatos[[#This Row],[FechaNacimiento]],TODAY(),"Y")</f>
        <v>85</v>
      </c>
      <c r="E4352" s="4" t="s">
        <v>12</v>
      </c>
      <c r="F4352" t="s">
        <v>295</v>
      </c>
      <c r="G4352" s="1">
        <v>45123</v>
      </c>
      <c r="H4352" s="1">
        <f>TablaDatos[[#This Row],[FechaIngreso]]+TablaDatos[[#This Row],[DiasNuevo]]</f>
        <v>45125</v>
      </c>
      <c r="I4352">
        <v>2</v>
      </c>
      <c r="J4352" t="s">
        <v>23</v>
      </c>
      <c r="K4352" s="3">
        <v>19292.2</v>
      </c>
      <c r="L4352" t="b">
        <f>TablaDatos[[#This Row],[FechaAlta]] &lt; TablaDatos[[#This Row],[FechaIngreso]]</f>
        <v>0</v>
      </c>
      <c r="M4352">
        <f>_xlfn.XLOOKUP(TablaDatos[[#This Row],[PacienteID]],'Datos_Ejemplo.csv'!A:A,'Datos_Ejemplo.csv'!I:I)</f>
        <v>-2</v>
      </c>
      <c r="N4352">
        <f>ABS(TablaDatos[[#This Row],[DiasOriginal]])</f>
        <v>2</v>
      </c>
      <c r="O4352" s="1">
        <f>TablaDatos[[#This Row],[FechaIngreso]]+TablaDatos[[#This Row],[DiasNuevo]]</f>
        <v>45125</v>
      </c>
    </row>
    <row r="4353" spans="1:15">
      <c r="A4353">
        <v>4352</v>
      </c>
      <c r="B4353" t="s">
        <v>246</v>
      </c>
      <c r="C4353" s="1">
        <v>40178</v>
      </c>
      <c r="D4353">
        <v>16</v>
      </c>
      <c r="E4353" s="4" t="s">
        <v>15</v>
      </c>
      <c r="F4353" t="s">
        <v>295</v>
      </c>
      <c r="G4353" s="1">
        <v>45573</v>
      </c>
      <c r="H4353" s="1">
        <f>TablaDatos[[#This Row],[FechaIngreso]]+TablaDatos[[#This Row],[DiasNuevo]]</f>
        <v>45585</v>
      </c>
      <c r="I4353">
        <v>12</v>
      </c>
      <c r="J4353" t="s">
        <v>23</v>
      </c>
      <c r="K4353" s="3">
        <v>19984.740000000002</v>
      </c>
      <c r="L4353" t="b">
        <f>TablaDatos[[#This Row],[FechaAlta]] &lt; TablaDatos[[#This Row],[FechaIngreso]]</f>
        <v>0</v>
      </c>
      <c r="M4353">
        <f>_xlfn.XLOOKUP(TablaDatos[[#This Row],[PacienteID]],'Datos_Ejemplo.csv'!A:A,'Datos_Ejemplo.csv'!I:I)</f>
        <v>12</v>
      </c>
      <c r="N4353">
        <f>ABS(TablaDatos[[#This Row],[DiasOriginal]])</f>
        <v>12</v>
      </c>
      <c r="O4353" s="1">
        <f>TablaDatos[[#This Row],[FechaIngreso]]+TablaDatos[[#This Row],[DiasNuevo]]</f>
        <v>45585</v>
      </c>
    </row>
    <row r="4354" spans="1:15">
      <c r="A4354">
        <v>4353</v>
      </c>
      <c r="B4354" t="s">
        <v>325</v>
      </c>
      <c r="C4354" s="1">
        <v>21551</v>
      </c>
      <c r="D4354">
        <v>67</v>
      </c>
      <c r="E4354" s="4" t="s">
        <v>12</v>
      </c>
      <c r="F4354" t="s">
        <v>295</v>
      </c>
      <c r="G4354" s="1">
        <v>44961</v>
      </c>
      <c r="H4354" s="1">
        <f>TablaDatos[[#This Row],[FechaIngreso]]+TablaDatos[[#This Row],[DiasNuevo]]</f>
        <v>44982</v>
      </c>
      <c r="I4354">
        <v>21</v>
      </c>
      <c r="J4354" t="s">
        <v>23</v>
      </c>
      <c r="K4354" s="3">
        <v>19053.740000000002</v>
      </c>
      <c r="L4354" t="b">
        <f>TablaDatos[[#This Row],[FechaAlta]] &lt; TablaDatos[[#This Row],[FechaIngreso]]</f>
        <v>0</v>
      </c>
      <c r="M4354">
        <f>_xlfn.XLOOKUP(TablaDatos[[#This Row],[PacienteID]],'Datos_Ejemplo.csv'!A:A,'Datos_Ejemplo.csv'!I:I)</f>
        <v>21</v>
      </c>
      <c r="N4354">
        <f>ABS(TablaDatos[[#This Row],[DiasOriginal]])</f>
        <v>21</v>
      </c>
      <c r="O4354" s="1">
        <f>TablaDatos[[#This Row],[FechaIngreso]]+TablaDatos[[#This Row],[DiasNuevo]]</f>
        <v>44982</v>
      </c>
    </row>
    <row r="4355" spans="1:15">
      <c r="A4355">
        <v>4354</v>
      </c>
      <c r="B4355" t="s">
        <v>51</v>
      </c>
      <c r="C4355" s="1">
        <v>28856</v>
      </c>
      <c r="D4355">
        <v>47</v>
      </c>
      <c r="E4355" s="4" t="s">
        <v>15</v>
      </c>
      <c r="F4355" t="s">
        <v>13</v>
      </c>
      <c r="G4355" s="1">
        <v>45346</v>
      </c>
      <c r="H4355" s="1">
        <f>TablaDatos[[#This Row],[FechaIngreso]]+TablaDatos[[#This Row],[DiasNuevo]]</f>
        <v>45374</v>
      </c>
      <c r="I4355">
        <v>28</v>
      </c>
      <c r="J4355" t="s">
        <v>19</v>
      </c>
      <c r="K4355" s="3">
        <v>14336.67</v>
      </c>
      <c r="L4355" t="b">
        <f>TablaDatos[[#This Row],[FechaAlta]] &lt; TablaDatos[[#This Row],[FechaIngreso]]</f>
        <v>0</v>
      </c>
      <c r="M4355">
        <f>_xlfn.XLOOKUP(TablaDatos[[#This Row],[PacienteID]],'Datos_Ejemplo.csv'!A:A,'Datos_Ejemplo.csv'!I:I)</f>
        <v>28</v>
      </c>
      <c r="N4355">
        <f>ABS(TablaDatos[[#This Row],[DiasOriginal]])</f>
        <v>28</v>
      </c>
      <c r="O4355" s="1">
        <f>TablaDatos[[#This Row],[FechaIngreso]]+TablaDatos[[#This Row],[DiasNuevo]]</f>
        <v>45374</v>
      </c>
    </row>
    <row r="4356" spans="1:15">
      <c r="A4356">
        <v>4355</v>
      </c>
      <c r="B4356" t="s">
        <v>298</v>
      </c>
      <c r="C4356" s="1">
        <v>27395</v>
      </c>
      <c r="D4356">
        <v>51</v>
      </c>
      <c r="E4356" s="4" t="s">
        <v>15</v>
      </c>
      <c r="F4356" t="s">
        <v>18</v>
      </c>
      <c r="G4356" s="1">
        <v>45303</v>
      </c>
      <c r="H4356" s="1">
        <f>TablaDatos[[#This Row],[FechaIngreso]]+TablaDatos[[#This Row],[DiasNuevo]]</f>
        <v>45320</v>
      </c>
      <c r="I4356">
        <v>17</v>
      </c>
      <c r="J4356" t="s">
        <v>23</v>
      </c>
      <c r="K4356" s="3">
        <v>14903.46</v>
      </c>
      <c r="L4356" t="b">
        <f>TablaDatos[[#This Row],[FechaAlta]] &lt; TablaDatos[[#This Row],[FechaIngreso]]</f>
        <v>0</v>
      </c>
      <c r="M4356">
        <f>_xlfn.XLOOKUP(TablaDatos[[#This Row],[PacienteID]],'Datos_Ejemplo.csv'!A:A,'Datos_Ejemplo.csv'!I:I)</f>
        <v>17</v>
      </c>
      <c r="N4356">
        <f>ABS(TablaDatos[[#This Row],[DiasOriginal]])</f>
        <v>17</v>
      </c>
      <c r="O4356" s="1">
        <f>TablaDatos[[#This Row],[FechaIngreso]]+TablaDatos[[#This Row],[DiasNuevo]]</f>
        <v>45320</v>
      </c>
    </row>
    <row r="4357" spans="1:15">
      <c r="A4357">
        <v>4356</v>
      </c>
      <c r="B4357" t="s">
        <v>230</v>
      </c>
      <c r="C4357" s="1">
        <v>37256</v>
      </c>
      <c r="D4357">
        <v>24</v>
      </c>
      <c r="E4357" s="4" t="s">
        <v>15</v>
      </c>
      <c r="F4357" t="s">
        <v>18</v>
      </c>
      <c r="G4357" s="1">
        <v>45325</v>
      </c>
      <c r="H4357" s="1">
        <f>TablaDatos[[#This Row],[FechaIngreso]]+TablaDatos[[#This Row],[DiasNuevo]]</f>
        <v>45332</v>
      </c>
      <c r="I4357">
        <v>7</v>
      </c>
      <c r="J4357" t="s">
        <v>25</v>
      </c>
      <c r="K4357" s="3">
        <v>15160.12</v>
      </c>
      <c r="L4357" t="b">
        <f>TablaDatos[[#This Row],[FechaAlta]] &lt; TablaDatos[[#This Row],[FechaIngreso]]</f>
        <v>0</v>
      </c>
      <c r="M4357">
        <f>_xlfn.XLOOKUP(TablaDatos[[#This Row],[PacienteID]],'Datos_Ejemplo.csv'!A:A,'Datos_Ejemplo.csv'!I:I)</f>
        <v>7</v>
      </c>
      <c r="N4357">
        <f>ABS(TablaDatos[[#This Row],[DiasOriginal]])</f>
        <v>7</v>
      </c>
      <c r="O4357" s="1">
        <f>TablaDatos[[#This Row],[FechaIngreso]]+TablaDatos[[#This Row],[DiasNuevo]]</f>
        <v>45332</v>
      </c>
    </row>
    <row r="4358" spans="1:15">
      <c r="A4358">
        <v>4357</v>
      </c>
      <c r="B4358" t="s">
        <v>231</v>
      </c>
      <c r="C4358" s="1">
        <v>38717</v>
      </c>
      <c r="D4358">
        <v>20</v>
      </c>
      <c r="E4358" s="4" t="s">
        <v>15</v>
      </c>
      <c r="F4358" t="s">
        <v>21</v>
      </c>
      <c r="G4358" s="1">
        <v>45146</v>
      </c>
      <c r="H4358" s="1">
        <f>TablaDatos[[#This Row],[FechaIngreso]]+TablaDatos[[#This Row],[DiasNuevo]]</f>
        <v>45154</v>
      </c>
      <c r="I4358">
        <v>8</v>
      </c>
      <c r="J4358" t="s">
        <v>25</v>
      </c>
      <c r="K4358" s="3">
        <v>17238.36</v>
      </c>
      <c r="L4358" t="b">
        <f>TablaDatos[[#This Row],[FechaAlta]] &lt; TablaDatos[[#This Row],[FechaIngreso]]</f>
        <v>0</v>
      </c>
      <c r="M4358">
        <f>_xlfn.XLOOKUP(TablaDatos[[#This Row],[PacienteID]],'Datos_Ejemplo.csv'!A:A,'Datos_Ejemplo.csv'!I:I)</f>
        <v>8</v>
      </c>
      <c r="N4358">
        <f>ABS(TablaDatos[[#This Row],[DiasOriginal]])</f>
        <v>8</v>
      </c>
      <c r="O4358" s="1">
        <f>TablaDatos[[#This Row],[FechaIngreso]]+TablaDatos[[#This Row],[DiasNuevo]]</f>
        <v>45154</v>
      </c>
    </row>
    <row r="4359" spans="1:15">
      <c r="A4359">
        <v>4358</v>
      </c>
      <c r="B4359" t="s">
        <v>358</v>
      </c>
      <c r="C4359" s="1">
        <v>22646</v>
      </c>
      <c r="D4359">
        <v>64</v>
      </c>
      <c r="E4359" s="4" t="s">
        <v>12</v>
      </c>
      <c r="F4359" t="s">
        <v>13</v>
      </c>
      <c r="G4359" s="1">
        <v>45623</v>
      </c>
      <c r="H4359" s="1">
        <f>TablaDatos[[#This Row],[FechaIngreso]]+TablaDatos[[#This Row],[DiasNuevo]]</f>
        <v>45638</v>
      </c>
      <c r="I4359">
        <v>15</v>
      </c>
      <c r="J4359" t="s">
        <v>19</v>
      </c>
      <c r="K4359" s="3">
        <v>19030.89</v>
      </c>
      <c r="L4359" t="b">
        <f>TablaDatos[[#This Row],[FechaAlta]] &lt; TablaDatos[[#This Row],[FechaIngreso]]</f>
        <v>0</v>
      </c>
      <c r="M4359">
        <f>_xlfn.XLOOKUP(TablaDatos[[#This Row],[PacienteID]],'Datos_Ejemplo.csv'!A:A,'Datos_Ejemplo.csv'!I:I)</f>
        <v>15</v>
      </c>
      <c r="N4359">
        <f>ABS(TablaDatos[[#This Row],[DiasOriginal]])</f>
        <v>15</v>
      </c>
      <c r="O4359" s="1">
        <f>TablaDatos[[#This Row],[FechaIngreso]]+TablaDatos[[#This Row],[DiasNuevo]]</f>
        <v>45638</v>
      </c>
    </row>
    <row r="4360" spans="1:15">
      <c r="A4360">
        <v>4359</v>
      </c>
      <c r="B4360" t="s">
        <v>233</v>
      </c>
      <c r="C4360" s="1">
        <f ca="1">DATE(YEAR(TODAY())-TablaDatos[[#This Row],[Edad]],1,1)</f>
        <v>23377</v>
      </c>
      <c r="D4360">
        <v>62</v>
      </c>
      <c r="E4360" s="4" t="s">
        <v>15</v>
      </c>
      <c r="F4360" t="s">
        <v>21</v>
      </c>
      <c r="G4360" s="1">
        <v>45443</v>
      </c>
      <c r="H4360" s="1">
        <f>TablaDatos[[#This Row],[FechaIngreso]]+TablaDatos[[#This Row],[DiasNuevo]]</f>
        <v>45474</v>
      </c>
      <c r="I4360">
        <v>31</v>
      </c>
      <c r="J4360" t="s">
        <v>23</v>
      </c>
      <c r="K4360" s="3">
        <v>8858.69</v>
      </c>
      <c r="L4360" t="b">
        <f>TablaDatos[[#This Row],[FechaAlta]] &lt; TablaDatos[[#This Row],[FechaIngreso]]</f>
        <v>0</v>
      </c>
      <c r="M4360">
        <f>_xlfn.XLOOKUP(TablaDatos[[#This Row],[PacienteID]],'Datos_Ejemplo.csv'!A:A,'Datos_Ejemplo.csv'!I:I)</f>
        <v>31</v>
      </c>
      <c r="N4360">
        <f>ABS(TablaDatos[[#This Row],[DiasOriginal]])</f>
        <v>31</v>
      </c>
      <c r="O4360" s="1">
        <f>TablaDatos[[#This Row],[FechaIngreso]]+TablaDatos[[#This Row],[DiasNuevo]]</f>
        <v>45474</v>
      </c>
    </row>
    <row r="4361" spans="1:15">
      <c r="A4361">
        <v>4360</v>
      </c>
      <c r="B4361" t="s">
        <v>130</v>
      </c>
      <c r="C4361" s="1">
        <v>13880</v>
      </c>
      <c r="D4361">
        <v>88</v>
      </c>
      <c r="E4361" s="4" t="s">
        <v>15</v>
      </c>
      <c r="F4361" t="s">
        <v>261</v>
      </c>
      <c r="G4361" s="1">
        <v>45509</v>
      </c>
      <c r="H4361" s="1">
        <f>TablaDatos[[#This Row],[FechaIngreso]]+TablaDatos[[#This Row],[DiasNuevo]]</f>
        <v>45534</v>
      </c>
      <c r="I4361">
        <v>25</v>
      </c>
      <c r="J4361" t="s">
        <v>25</v>
      </c>
      <c r="K4361" s="3">
        <v>8271.8700000000008</v>
      </c>
      <c r="L4361" t="b">
        <f>TablaDatos[[#This Row],[FechaAlta]] &lt; TablaDatos[[#This Row],[FechaIngreso]]</f>
        <v>0</v>
      </c>
      <c r="M4361">
        <f>_xlfn.XLOOKUP(TablaDatos[[#This Row],[PacienteID]],'Datos_Ejemplo.csv'!A:A,'Datos_Ejemplo.csv'!I:I)</f>
        <v>25</v>
      </c>
      <c r="N4361">
        <f>ABS(TablaDatos[[#This Row],[DiasOriginal]])</f>
        <v>25</v>
      </c>
      <c r="O4361" s="1">
        <f>TablaDatos[[#This Row],[FechaIngreso]]+TablaDatos[[#This Row],[DiasNuevo]]</f>
        <v>45534</v>
      </c>
    </row>
    <row r="4362" spans="1:15">
      <c r="A4362">
        <v>4361</v>
      </c>
      <c r="B4362" t="s">
        <v>273</v>
      </c>
      <c r="C4362" s="1">
        <v>27760</v>
      </c>
      <c r="D4362">
        <v>50</v>
      </c>
      <c r="E4362" s="4" t="s">
        <v>12</v>
      </c>
      <c r="F4362" t="s">
        <v>21</v>
      </c>
      <c r="G4362" s="1">
        <v>45268</v>
      </c>
      <c r="H4362" s="1">
        <f>TablaDatos[[#This Row],[FechaIngreso]]+TablaDatos[[#This Row],[DiasNuevo]]</f>
        <v>45303</v>
      </c>
      <c r="I4362">
        <v>35</v>
      </c>
      <c r="J4362" t="s">
        <v>23</v>
      </c>
      <c r="K4362" s="3">
        <v>9155.34</v>
      </c>
      <c r="L4362" t="b">
        <f>TablaDatos[[#This Row],[FechaAlta]] &lt; TablaDatos[[#This Row],[FechaIngreso]]</f>
        <v>0</v>
      </c>
      <c r="M4362">
        <f>_xlfn.XLOOKUP(TablaDatos[[#This Row],[PacienteID]],'Datos_Ejemplo.csv'!A:A,'Datos_Ejemplo.csv'!I:I)</f>
        <v>35</v>
      </c>
      <c r="N4362">
        <f>ABS(TablaDatos[[#This Row],[DiasOriginal]])</f>
        <v>35</v>
      </c>
      <c r="O4362" s="1">
        <f>TablaDatos[[#This Row],[FechaIngreso]]+TablaDatos[[#This Row],[DiasNuevo]]</f>
        <v>45303</v>
      </c>
    </row>
    <row r="4363" spans="1:15">
      <c r="A4363">
        <v>4362</v>
      </c>
      <c r="B4363" t="s">
        <v>264</v>
      </c>
      <c r="C4363" s="1">
        <v>33239</v>
      </c>
      <c r="D4363">
        <v>35</v>
      </c>
      <c r="E4363" s="4" t="s">
        <v>12</v>
      </c>
      <c r="F4363" t="s">
        <v>21</v>
      </c>
      <c r="G4363" s="1">
        <v>45342</v>
      </c>
      <c r="H4363" s="1">
        <f>TablaDatos[[#This Row],[FechaIngreso]]+TablaDatos[[#This Row],[DiasNuevo]]</f>
        <v>45355</v>
      </c>
      <c r="I4363">
        <v>13</v>
      </c>
      <c r="J4363" t="s">
        <v>23</v>
      </c>
      <c r="K4363" s="3">
        <v>13162.33</v>
      </c>
      <c r="L4363" t="b">
        <f>TablaDatos[[#This Row],[FechaAlta]] &lt; TablaDatos[[#This Row],[FechaIngreso]]</f>
        <v>0</v>
      </c>
      <c r="M4363">
        <f>_xlfn.XLOOKUP(TablaDatos[[#This Row],[PacienteID]],'Datos_Ejemplo.csv'!A:A,'Datos_Ejemplo.csv'!I:I)</f>
        <v>13</v>
      </c>
      <c r="N4363">
        <f>ABS(TablaDatos[[#This Row],[DiasOriginal]])</f>
        <v>13</v>
      </c>
      <c r="O4363" s="1">
        <f>TablaDatos[[#This Row],[FechaIngreso]]+TablaDatos[[#This Row],[DiasNuevo]]</f>
        <v>45355</v>
      </c>
    </row>
    <row r="4364" spans="1:15">
      <c r="A4364">
        <v>4363</v>
      </c>
      <c r="B4364" t="s">
        <v>276</v>
      </c>
      <c r="C4364" s="1">
        <v>16802</v>
      </c>
      <c r="D4364">
        <v>80</v>
      </c>
      <c r="E4364" s="4" t="s">
        <v>12</v>
      </c>
      <c r="F4364" t="s">
        <v>21</v>
      </c>
      <c r="G4364" s="1">
        <v>45382</v>
      </c>
      <c r="H4364" s="1">
        <f>TablaDatos[[#This Row],[FechaIngreso]]+TablaDatos[[#This Row],[DiasNuevo]]</f>
        <v>45403</v>
      </c>
      <c r="I4364">
        <v>21</v>
      </c>
      <c r="J4364" t="s">
        <v>19</v>
      </c>
      <c r="K4364" s="3">
        <v>15486.45</v>
      </c>
      <c r="L4364" t="b">
        <f>TablaDatos[[#This Row],[FechaAlta]] &lt; TablaDatos[[#This Row],[FechaIngreso]]</f>
        <v>0</v>
      </c>
      <c r="M4364">
        <f>_xlfn.XLOOKUP(TablaDatos[[#This Row],[PacienteID]],'Datos_Ejemplo.csv'!A:A,'Datos_Ejemplo.csv'!I:I)</f>
        <v>21</v>
      </c>
      <c r="N4364">
        <f>ABS(TablaDatos[[#This Row],[DiasOriginal]])</f>
        <v>21</v>
      </c>
      <c r="O4364" s="1">
        <f>TablaDatos[[#This Row],[FechaIngreso]]+TablaDatos[[#This Row],[DiasNuevo]]</f>
        <v>45403</v>
      </c>
    </row>
    <row r="4365" spans="1:15">
      <c r="A4365">
        <v>4364</v>
      </c>
      <c r="B4365" t="s">
        <v>146</v>
      </c>
      <c r="C4365" s="1">
        <v>14246</v>
      </c>
      <c r="D4365">
        <v>87</v>
      </c>
      <c r="E4365" s="4" t="s">
        <v>12</v>
      </c>
      <c r="F4365" t="s">
        <v>295</v>
      </c>
      <c r="G4365" s="1">
        <v>45223</v>
      </c>
      <c r="H4365" s="1">
        <f>TablaDatos[[#This Row],[FechaIngreso]]+TablaDatos[[#This Row],[DiasNuevo]]</f>
        <v>45259</v>
      </c>
      <c r="I4365">
        <v>36</v>
      </c>
      <c r="J4365" t="s">
        <v>23</v>
      </c>
      <c r="K4365" s="3">
        <v>17397.939999999999</v>
      </c>
      <c r="L4365" t="b">
        <f>TablaDatos[[#This Row],[FechaAlta]] &lt; TablaDatos[[#This Row],[FechaIngreso]]</f>
        <v>0</v>
      </c>
      <c r="M4365">
        <f>_xlfn.XLOOKUP(TablaDatos[[#This Row],[PacienteID]],'Datos_Ejemplo.csv'!A:A,'Datos_Ejemplo.csv'!I:I)</f>
        <v>36</v>
      </c>
      <c r="N4365">
        <f>ABS(TablaDatos[[#This Row],[DiasOriginal]])</f>
        <v>36</v>
      </c>
      <c r="O4365" s="1">
        <f>TablaDatos[[#This Row],[FechaIngreso]]+TablaDatos[[#This Row],[DiasNuevo]]</f>
        <v>45259</v>
      </c>
    </row>
    <row r="4366" spans="1:15">
      <c r="A4366">
        <v>4365</v>
      </c>
      <c r="B4366" t="s">
        <v>241</v>
      </c>
      <c r="C4366" s="1">
        <f ca="1">DATE(YEAR(TODAY())-TablaDatos[[#This Row],[Edad]],1,1)</f>
        <v>22282</v>
      </c>
      <c r="D4366">
        <v>65</v>
      </c>
      <c r="E4366" s="4" t="s">
        <v>12</v>
      </c>
      <c r="F4366" t="s">
        <v>261</v>
      </c>
      <c r="G4366" s="1">
        <v>45257</v>
      </c>
      <c r="H4366" s="1">
        <f>TablaDatos[[#This Row],[FechaIngreso]]+TablaDatos[[#This Row],[DiasNuevo]]</f>
        <v>45266</v>
      </c>
      <c r="I4366">
        <v>9</v>
      </c>
      <c r="J4366" t="s">
        <v>23</v>
      </c>
      <c r="K4366" s="3">
        <v>9069.84</v>
      </c>
      <c r="L4366" t="b">
        <f>TablaDatos[[#This Row],[FechaAlta]] &lt; TablaDatos[[#This Row],[FechaIngreso]]</f>
        <v>0</v>
      </c>
      <c r="M4366">
        <f>_xlfn.XLOOKUP(TablaDatos[[#This Row],[PacienteID]],'Datos_Ejemplo.csv'!A:A,'Datos_Ejemplo.csv'!I:I)</f>
        <v>9</v>
      </c>
      <c r="N4366">
        <f>ABS(TablaDatos[[#This Row],[DiasOriginal]])</f>
        <v>9</v>
      </c>
      <c r="O4366" s="1">
        <f>TablaDatos[[#This Row],[FechaIngreso]]+TablaDatos[[#This Row],[DiasNuevo]]</f>
        <v>45266</v>
      </c>
    </row>
    <row r="4367" spans="1:15">
      <c r="A4367">
        <v>4366</v>
      </c>
      <c r="B4367" t="s">
        <v>307</v>
      </c>
      <c r="C4367" s="1">
        <v>40909</v>
      </c>
      <c r="D4367">
        <v>14</v>
      </c>
      <c r="E4367" s="4" t="s">
        <v>15</v>
      </c>
      <c r="F4367" t="s">
        <v>201</v>
      </c>
      <c r="G4367" s="1">
        <v>45631</v>
      </c>
      <c r="H4367" s="1">
        <f>TablaDatos[[#This Row],[FechaIngreso]]+TablaDatos[[#This Row],[DiasNuevo]]</f>
        <v>45670</v>
      </c>
      <c r="I4367">
        <v>39</v>
      </c>
      <c r="J4367" t="s">
        <v>23</v>
      </c>
      <c r="K4367" s="3">
        <v>7203.79</v>
      </c>
      <c r="L4367" t="b">
        <f>TablaDatos[[#This Row],[FechaAlta]] &lt; TablaDatos[[#This Row],[FechaIngreso]]</f>
        <v>0</v>
      </c>
      <c r="M4367">
        <f>_xlfn.XLOOKUP(TablaDatos[[#This Row],[PacienteID]],'Datos_Ejemplo.csv'!A:A,'Datos_Ejemplo.csv'!I:I)</f>
        <v>39</v>
      </c>
      <c r="N4367">
        <f>ABS(TablaDatos[[#This Row],[DiasOriginal]])</f>
        <v>39</v>
      </c>
      <c r="O4367" s="1">
        <f>TablaDatos[[#This Row],[FechaIngreso]]+TablaDatos[[#This Row],[DiasNuevo]]</f>
        <v>45670</v>
      </c>
    </row>
    <row r="4368" spans="1:15">
      <c r="A4368">
        <v>4367</v>
      </c>
      <c r="B4368" t="s">
        <v>337</v>
      </c>
      <c r="C4368" s="1">
        <v>32143</v>
      </c>
      <c r="D4368">
        <v>38</v>
      </c>
      <c r="E4368" s="4" t="s">
        <v>15</v>
      </c>
      <c r="F4368" t="s">
        <v>21</v>
      </c>
      <c r="G4368" s="1">
        <v>45606</v>
      </c>
      <c r="H4368" s="1">
        <f>TablaDatos[[#This Row],[FechaIngreso]]+TablaDatos[[#This Row],[DiasNuevo]]</f>
        <v>45610</v>
      </c>
      <c r="I4368">
        <v>4</v>
      </c>
      <c r="J4368" t="s">
        <v>23</v>
      </c>
      <c r="K4368" s="3">
        <v>19665.39</v>
      </c>
      <c r="L4368" t="b">
        <f>TablaDatos[[#This Row],[FechaAlta]] &lt; TablaDatos[[#This Row],[FechaIngreso]]</f>
        <v>0</v>
      </c>
      <c r="M4368">
        <f>_xlfn.XLOOKUP(TablaDatos[[#This Row],[PacienteID]],'Datos_Ejemplo.csv'!A:A,'Datos_Ejemplo.csv'!I:I)</f>
        <v>4</v>
      </c>
      <c r="N4368">
        <f>ABS(TablaDatos[[#This Row],[DiasOriginal]])</f>
        <v>4</v>
      </c>
      <c r="O4368" s="1">
        <f>TablaDatos[[#This Row],[FechaIngreso]]+TablaDatos[[#This Row],[DiasNuevo]]</f>
        <v>45610</v>
      </c>
    </row>
    <row r="4369" spans="1:15">
      <c r="A4369">
        <v>4368</v>
      </c>
      <c r="B4369" t="s">
        <v>360</v>
      </c>
      <c r="C4369" s="1">
        <v>20820</v>
      </c>
      <c r="D4369">
        <v>69</v>
      </c>
      <c r="E4369" s="4" t="s">
        <v>197</v>
      </c>
      <c r="F4369" t="s">
        <v>18</v>
      </c>
      <c r="G4369" s="1">
        <v>45265</v>
      </c>
      <c r="H4369" s="1">
        <f>TablaDatos[[#This Row],[FechaIngreso]]+TablaDatos[[#This Row],[DiasNuevo]]</f>
        <v>45298</v>
      </c>
      <c r="I4369">
        <v>33</v>
      </c>
      <c r="J4369" t="s">
        <v>23</v>
      </c>
      <c r="K4369" s="3">
        <v>4560.9399999999996</v>
      </c>
      <c r="L4369" t="b">
        <f>TablaDatos[[#This Row],[FechaAlta]] &lt; TablaDatos[[#This Row],[FechaIngreso]]</f>
        <v>0</v>
      </c>
      <c r="M4369">
        <f>_xlfn.XLOOKUP(TablaDatos[[#This Row],[PacienteID]],'Datos_Ejemplo.csv'!A:A,'Datos_Ejemplo.csv'!I:I)</f>
        <v>33</v>
      </c>
      <c r="N4369">
        <f>ABS(TablaDatos[[#This Row],[DiasOriginal]])</f>
        <v>33</v>
      </c>
      <c r="O4369" s="1">
        <f>TablaDatos[[#This Row],[FechaIngreso]]+TablaDatos[[#This Row],[DiasNuevo]]</f>
        <v>45298</v>
      </c>
    </row>
    <row r="4370" spans="1:15">
      <c r="A4370">
        <v>4369</v>
      </c>
      <c r="B4370" t="s">
        <v>327</v>
      </c>
      <c r="C4370" s="1">
        <v>46022</v>
      </c>
      <c r="D4370">
        <v>0</v>
      </c>
      <c r="E4370" s="4" t="s">
        <v>15</v>
      </c>
      <c r="F4370" t="s">
        <v>21</v>
      </c>
      <c r="G4370" s="1">
        <v>45224</v>
      </c>
      <c r="H4370" s="1">
        <f>TablaDatos[[#This Row],[FechaIngreso]]+TablaDatos[[#This Row],[DiasNuevo]]</f>
        <v>45238</v>
      </c>
      <c r="I4370">
        <v>14</v>
      </c>
      <c r="J4370" t="s">
        <v>25</v>
      </c>
      <c r="K4370" s="3">
        <v>4362.3</v>
      </c>
      <c r="L4370" t="b">
        <f>TablaDatos[[#This Row],[FechaAlta]] &lt; TablaDatos[[#This Row],[FechaIngreso]]</f>
        <v>0</v>
      </c>
      <c r="M4370">
        <f>_xlfn.XLOOKUP(TablaDatos[[#This Row],[PacienteID]],'Datos_Ejemplo.csv'!A:A,'Datos_Ejemplo.csv'!I:I)</f>
        <v>14</v>
      </c>
      <c r="N4370">
        <f>ABS(TablaDatos[[#This Row],[DiasOriginal]])</f>
        <v>14</v>
      </c>
      <c r="O4370" s="1">
        <f>TablaDatos[[#This Row],[FechaIngreso]]+TablaDatos[[#This Row],[DiasNuevo]]</f>
        <v>45238</v>
      </c>
    </row>
    <row r="4371" spans="1:15">
      <c r="A4371">
        <v>4370</v>
      </c>
      <c r="B4371" t="s">
        <v>246</v>
      </c>
      <c r="C4371" s="1">
        <v>37987</v>
      </c>
      <c r="D4371">
        <v>22</v>
      </c>
      <c r="E4371" s="4" t="s">
        <v>15</v>
      </c>
      <c r="F4371" t="s">
        <v>295</v>
      </c>
      <c r="G4371" s="1">
        <v>45603</v>
      </c>
      <c r="H4371" s="1">
        <f>TablaDatos[[#This Row],[FechaIngreso]]+TablaDatos[[#This Row],[DiasNuevo]]</f>
        <v>45604</v>
      </c>
      <c r="I4371">
        <v>1</v>
      </c>
      <c r="J4371" t="s">
        <v>23</v>
      </c>
      <c r="K4371" s="3">
        <v>14279.69</v>
      </c>
      <c r="L4371" t="b">
        <f>TablaDatos[[#This Row],[FechaAlta]] &lt; TablaDatos[[#This Row],[FechaIngreso]]</f>
        <v>0</v>
      </c>
      <c r="M4371">
        <f>_xlfn.XLOOKUP(TablaDatos[[#This Row],[PacienteID]],'Datos_Ejemplo.csv'!A:A,'Datos_Ejemplo.csv'!I:I)</f>
        <v>1</v>
      </c>
      <c r="N4371">
        <f>ABS(TablaDatos[[#This Row],[DiasOriginal]])</f>
        <v>1</v>
      </c>
      <c r="O4371" s="1">
        <f>TablaDatos[[#This Row],[FechaIngreso]]+TablaDatos[[#This Row],[DiasNuevo]]</f>
        <v>45604</v>
      </c>
    </row>
    <row r="4372" spans="1:15">
      <c r="A4372">
        <v>4371</v>
      </c>
      <c r="B4372" t="s">
        <v>339</v>
      </c>
      <c r="C4372" s="1">
        <v>32143</v>
      </c>
      <c r="D4372">
        <v>38</v>
      </c>
      <c r="E4372" s="4" t="s">
        <v>15</v>
      </c>
      <c r="F4372" t="s">
        <v>32</v>
      </c>
      <c r="G4372" s="1">
        <v>45238</v>
      </c>
      <c r="H4372" s="1">
        <f>TablaDatos[[#This Row],[FechaIngreso]]+TablaDatos[[#This Row],[DiasNuevo]]</f>
        <v>45272</v>
      </c>
      <c r="I4372">
        <v>34</v>
      </c>
      <c r="J4372" t="s">
        <v>23</v>
      </c>
      <c r="K4372" s="3">
        <v>3511.11</v>
      </c>
      <c r="L4372" t="b">
        <f>TablaDatos[[#This Row],[FechaAlta]] &lt; TablaDatos[[#This Row],[FechaIngreso]]</f>
        <v>0</v>
      </c>
      <c r="M4372">
        <f>_xlfn.XLOOKUP(TablaDatos[[#This Row],[PacienteID]],'Datos_Ejemplo.csv'!A:A,'Datos_Ejemplo.csv'!I:I)</f>
        <v>34</v>
      </c>
      <c r="N4372">
        <f>ABS(TablaDatos[[#This Row],[DiasOriginal]])</f>
        <v>34</v>
      </c>
      <c r="O4372" s="1">
        <f>TablaDatos[[#This Row],[FechaIngreso]]+TablaDatos[[#This Row],[DiasNuevo]]</f>
        <v>45272</v>
      </c>
    </row>
    <row r="4373" spans="1:15">
      <c r="A4373">
        <v>4372</v>
      </c>
      <c r="B4373" t="s">
        <v>299</v>
      </c>
      <c r="C4373" s="1">
        <v>25568</v>
      </c>
      <c r="D4373">
        <v>56</v>
      </c>
      <c r="E4373" s="4" t="s">
        <v>15</v>
      </c>
      <c r="F4373" t="s">
        <v>201</v>
      </c>
      <c r="G4373" s="1">
        <v>45509</v>
      </c>
      <c r="H4373" s="1">
        <f>TablaDatos[[#This Row],[FechaIngreso]]+TablaDatos[[#This Row],[DiasNuevo]]</f>
        <v>45539</v>
      </c>
      <c r="I4373">
        <v>30</v>
      </c>
      <c r="J4373" t="s">
        <v>19</v>
      </c>
      <c r="K4373" s="3">
        <v>7928.12</v>
      </c>
      <c r="L4373" t="b">
        <f>TablaDatos[[#This Row],[FechaAlta]] &lt; TablaDatos[[#This Row],[FechaIngreso]]</f>
        <v>0</v>
      </c>
      <c r="M4373">
        <f>_xlfn.XLOOKUP(TablaDatos[[#This Row],[PacienteID]],'Datos_Ejemplo.csv'!A:A,'Datos_Ejemplo.csv'!I:I)</f>
        <v>30</v>
      </c>
      <c r="N4373">
        <f>ABS(TablaDatos[[#This Row],[DiasOriginal]])</f>
        <v>30</v>
      </c>
      <c r="O4373" s="1">
        <f>TablaDatos[[#This Row],[FechaIngreso]]+TablaDatos[[#This Row],[DiasNuevo]]</f>
        <v>45539</v>
      </c>
    </row>
    <row r="4374" spans="1:15">
      <c r="A4374">
        <v>4373</v>
      </c>
      <c r="B4374" t="s">
        <v>265</v>
      </c>
      <c r="C4374" s="1">
        <v>16802</v>
      </c>
      <c r="D4374">
        <v>80</v>
      </c>
      <c r="E4374" s="4" t="s">
        <v>12</v>
      </c>
      <c r="F4374" t="s">
        <v>261</v>
      </c>
      <c r="G4374" s="1">
        <v>44981</v>
      </c>
      <c r="H4374" s="1">
        <f>TablaDatos[[#This Row],[FechaIngreso]]+TablaDatos[[#This Row],[DiasNuevo]]</f>
        <v>44997</v>
      </c>
      <c r="I4374">
        <v>16</v>
      </c>
      <c r="J4374" t="s">
        <v>19</v>
      </c>
      <c r="K4374" s="3">
        <v>5776.98</v>
      </c>
      <c r="L4374" t="b">
        <f>TablaDatos[[#This Row],[FechaAlta]] &lt; TablaDatos[[#This Row],[FechaIngreso]]</f>
        <v>0</v>
      </c>
      <c r="M4374">
        <f>_xlfn.XLOOKUP(TablaDatos[[#This Row],[PacienteID]],'Datos_Ejemplo.csv'!A:A,'Datos_Ejemplo.csv'!I:I)</f>
        <v>16</v>
      </c>
      <c r="N4374">
        <f>ABS(TablaDatos[[#This Row],[DiasOriginal]])</f>
        <v>16</v>
      </c>
      <c r="O4374" s="1">
        <f>TablaDatos[[#This Row],[FechaIngreso]]+TablaDatos[[#This Row],[DiasNuevo]]</f>
        <v>44997</v>
      </c>
    </row>
    <row r="4375" spans="1:15">
      <c r="A4375">
        <v>4374</v>
      </c>
      <c r="B4375" t="s">
        <v>103</v>
      </c>
      <c r="C4375" s="1">
        <v>33969</v>
      </c>
      <c r="D4375">
        <v>33</v>
      </c>
      <c r="E4375" s="4" t="s">
        <v>12</v>
      </c>
      <c r="F4375" t="s">
        <v>32</v>
      </c>
      <c r="G4375" s="1">
        <v>45620</v>
      </c>
      <c r="H4375" s="1">
        <f>TablaDatos[[#This Row],[FechaIngreso]]+TablaDatos[[#This Row],[DiasNuevo]]</f>
        <v>45643</v>
      </c>
      <c r="I4375">
        <v>23</v>
      </c>
      <c r="J4375" t="s">
        <v>23</v>
      </c>
      <c r="K4375" s="3">
        <v>3291.08</v>
      </c>
      <c r="L4375" t="b">
        <f>TablaDatos[[#This Row],[FechaAlta]] &lt; TablaDatos[[#This Row],[FechaIngreso]]</f>
        <v>0</v>
      </c>
      <c r="M4375">
        <f>_xlfn.XLOOKUP(TablaDatos[[#This Row],[PacienteID]],'Datos_Ejemplo.csv'!A:A,'Datos_Ejemplo.csv'!I:I)</f>
        <v>23</v>
      </c>
      <c r="N4375">
        <f>ABS(TablaDatos[[#This Row],[DiasOriginal]])</f>
        <v>23</v>
      </c>
      <c r="O4375" s="1">
        <f>TablaDatos[[#This Row],[FechaIngreso]]+TablaDatos[[#This Row],[DiasNuevo]]</f>
        <v>45643</v>
      </c>
    </row>
    <row r="4376" spans="1:15">
      <c r="A4376">
        <v>4375</v>
      </c>
      <c r="B4376" t="s">
        <v>243</v>
      </c>
      <c r="C4376" s="1">
        <f ca="1">DATE(YEAR(TODAY())-TablaDatos[[#This Row],[Edad]],1,1)</f>
        <v>31413</v>
      </c>
      <c r="D4376">
        <v>40</v>
      </c>
      <c r="E4376" s="4" t="s">
        <v>197</v>
      </c>
      <c r="F4376" t="s">
        <v>32</v>
      </c>
      <c r="G4376" s="1">
        <v>45460</v>
      </c>
      <c r="H4376" s="1">
        <f>TablaDatos[[#This Row],[FechaIngreso]]+TablaDatos[[#This Row],[DiasNuevo]]</f>
        <v>45468</v>
      </c>
      <c r="I4376">
        <v>8</v>
      </c>
      <c r="J4376" t="s">
        <v>25</v>
      </c>
      <c r="K4376" s="3">
        <v>11552.12</v>
      </c>
      <c r="L4376" t="b">
        <f>TablaDatos[[#This Row],[FechaAlta]] &lt; TablaDatos[[#This Row],[FechaIngreso]]</f>
        <v>0</v>
      </c>
      <c r="M4376">
        <f>_xlfn.XLOOKUP(TablaDatos[[#This Row],[PacienteID]],'Datos_Ejemplo.csv'!A:A,'Datos_Ejemplo.csv'!I:I)</f>
        <v>8</v>
      </c>
      <c r="N4376">
        <f>ABS(TablaDatos[[#This Row],[DiasOriginal]])</f>
        <v>8</v>
      </c>
      <c r="O4376" s="1">
        <f>TablaDatos[[#This Row],[FechaIngreso]]+TablaDatos[[#This Row],[DiasNuevo]]</f>
        <v>45468</v>
      </c>
    </row>
    <row r="4377" spans="1:15">
      <c r="A4377">
        <v>4376</v>
      </c>
      <c r="B4377" t="s">
        <v>343</v>
      </c>
      <c r="C4377" s="1">
        <v>12419</v>
      </c>
      <c r="D4377">
        <v>92</v>
      </c>
      <c r="E4377" s="4" t="s">
        <v>12</v>
      </c>
      <c r="F4377" t="s">
        <v>261</v>
      </c>
      <c r="G4377" s="1">
        <v>45031</v>
      </c>
      <c r="H4377" s="1">
        <f>TablaDatos[[#This Row],[FechaIngreso]]+TablaDatos[[#This Row],[DiasNuevo]]</f>
        <v>45059</v>
      </c>
      <c r="I4377">
        <v>28</v>
      </c>
      <c r="J4377" t="s">
        <v>25</v>
      </c>
      <c r="K4377" s="3">
        <v>7407.58</v>
      </c>
      <c r="L4377" t="b">
        <f>TablaDatos[[#This Row],[FechaAlta]] &lt; TablaDatos[[#This Row],[FechaIngreso]]</f>
        <v>0</v>
      </c>
      <c r="M4377">
        <f>_xlfn.XLOOKUP(TablaDatos[[#This Row],[PacienteID]],'Datos_Ejemplo.csv'!A:A,'Datos_Ejemplo.csv'!I:I)</f>
        <v>28</v>
      </c>
      <c r="N4377">
        <f>ABS(TablaDatos[[#This Row],[DiasOriginal]])</f>
        <v>28</v>
      </c>
      <c r="O4377" s="1">
        <f>TablaDatos[[#This Row],[FechaIngreso]]+TablaDatos[[#This Row],[DiasNuevo]]</f>
        <v>45059</v>
      </c>
    </row>
    <row r="4378" spans="1:15">
      <c r="A4378">
        <v>4377</v>
      </c>
      <c r="B4378" t="s">
        <v>353</v>
      </c>
      <c r="C4378" s="1">
        <v>19724</v>
      </c>
      <c r="D4378">
        <v>72</v>
      </c>
      <c r="E4378" s="4" t="s">
        <v>15</v>
      </c>
      <c r="F4378" t="s">
        <v>13</v>
      </c>
      <c r="G4378" s="1">
        <v>45101</v>
      </c>
      <c r="H4378" s="1">
        <f>TablaDatos[[#This Row],[FechaIngreso]]+TablaDatos[[#This Row],[DiasNuevo]]</f>
        <v>45103</v>
      </c>
      <c r="I4378">
        <v>2</v>
      </c>
      <c r="J4378" t="s">
        <v>23</v>
      </c>
      <c r="K4378" s="3">
        <v>9190.91</v>
      </c>
      <c r="L4378" t="b">
        <f>TablaDatos[[#This Row],[FechaAlta]] &lt; TablaDatos[[#This Row],[FechaIngreso]]</f>
        <v>0</v>
      </c>
      <c r="M4378">
        <f>_xlfn.XLOOKUP(TablaDatos[[#This Row],[PacienteID]],'Datos_Ejemplo.csv'!A:A,'Datos_Ejemplo.csv'!I:I)</f>
        <v>-2</v>
      </c>
      <c r="N4378">
        <f>ABS(TablaDatos[[#This Row],[DiasOriginal]])</f>
        <v>2</v>
      </c>
      <c r="O4378" s="1">
        <f>TablaDatos[[#This Row],[FechaIngreso]]+TablaDatos[[#This Row],[DiasNuevo]]</f>
        <v>45103</v>
      </c>
    </row>
    <row r="4379" spans="1:15">
      <c r="A4379">
        <v>4378</v>
      </c>
      <c r="B4379" t="s">
        <v>305</v>
      </c>
      <c r="C4379" s="1">
        <v>41639</v>
      </c>
      <c r="D4379">
        <v>12</v>
      </c>
      <c r="E4379" s="4" t="s">
        <v>15</v>
      </c>
      <c r="F4379" t="s">
        <v>201</v>
      </c>
      <c r="G4379" s="1">
        <v>45220</v>
      </c>
      <c r="H4379" s="1">
        <f>TablaDatos[[#This Row],[FechaIngreso]]+TablaDatos[[#This Row],[DiasNuevo]]</f>
        <v>45257</v>
      </c>
      <c r="I4379">
        <v>37</v>
      </c>
      <c r="J4379" t="s">
        <v>19</v>
      </c>
      <c r="K4379" s="3">
        <v>3836.85</v>
      </c>
      <c r="L4379" t="b">
        <f>TablaDatos[[#This Row],[FechaAlta]] &lt; TablaDatos[[#This Row],[FechaIngreso]]</f>
        <v>0</v>
      </c>
      <c r="M4379">
        <f>_xlfn.XLOOKUP(TablaDatos[[#This Row],[PacienteID]],'Datos_Ejemplo.csv'!A:A,'Datos_Ejemplo.csv'!I:I)</f>
        <v>37</v>
      </c>
      <c r="N4379">
        <f>ABS(TablaDatos[[#This Row],[DiasOriginal]])</f>
        <v>37</v>
      </c>
      <c r="O4379" s="1">
        <f>TablaDatos[[#This Row],[FechaIngreso]]+TablaDatos[[#This Row],[DiasNuevo]]</f>
        <v>45257</v>
      </c>
    </row>
    <row r="4380" spans="1:15">
      <c r="A4380">
        <v>4379</v>
      </c>
      <c r="B4380" t="s">
        <v>272</v>
      </c>
      <c r="C4380" s="1">
        <f ca="1">DATE(YEAR(TODAY())-TablaDatos[[#This Row],[Edad]],1,1)</f>
        <v>20821</v>
      </c>
      <c r="D4380">
        <v>69</v>
      </c>
      <c r="E4380" s="4" t="s">
        <v>197</v>
      </c>
      <c r="F4380" t="s">
        <v>201</v>
      </c>
      <c r="G4380" s="1">
        <v>45477</v>
      </c>
      <c r="H4380" s="1">
        <f>TablaDatos[[#This Row],[FechaIngreso]]+TablaDatos[[#This Row],[DiasNuevo]]</f>
        <v>45510</v>
      </c>
      <c r="I4380">
        <v>33</v>
      </c>
      <c r="J4380" t="s">
        <v>19</v>
      </c>
      <c r="K4380" s="3">
        <v>15334.12</v>
      </c>
      <c r="L4380" t="b">
        <f>TablaDatos[[#This Row],[FechaAlta]] &lt; TablaDatos[[#This Row],[FechaIngreso]]</f>
        <v>0</v>
      </c>
      <c r="M4380">
        <f>_xlfn.XLOOKUP(TablaDatos[[#This Row],[PacienteID]],'Datos_Ejemplo.csv'!A:A,'Datos_Ejemplo.csv'!I:I)</f>
        <v>33</v>
      </c>
      <c r="N4380">
        <f>ABS(TablaDatos[[#This Row],[DiasOriginal]])</f>
        <v>33</v>
      </c>
      <c r="O4380" s="1">
        <f>TablaDatos[[#This Row],[FechaIngreso]]+TablaDatos[[#This Row],[DiasNuevo]]</f>
        <v>45510</v>
      </c>
    </row>
    <row r="4381" spans="1:15">
      <c r="A4381">
        <v>4380</v>
      </c>
      <c r="B4381" t="s">
        <v>67</v>
      </c>
      <c r="C4381" s="1">
        <v>44196</v>
      </c>
      <c r="D4381">
        <v>5</v>
      </c>
      <c r="E4381" s="4" t="s">
        <v>15</v>
      </c>
      <c r="F4381" t="s">
        <v>18</v>
      </c>
      <c r="G4381" s="1">
        <v>45301</v>
      </c>
      <c r="H4381" s="1">
        <f>TablaDatos[[#This Row],[FechaIngreso]]+TablaDatos[[#This Row],[DiasNuevo]]</f>
        <v>45327</v>
      </c>
      <c r="I4381">
        <v>26</v>
      </c>
      <c r="J4381" t="s">
        <v>19</v>
      </c>
      <c r="K4381" s="3">
        <v>6225.71</v>
      </c>
      <c r="L4381" t="b">
        <f>TablaDatos[[#This Row],[FechaAlta]] &lt; TablaDatos[[#This Row],[FechaIngreso]]</f>
        <v>0</v>
      </c>
      <c r="M4381">
        <f>_xlfn.XLOOKUP(TablaDatos[[#This Row],[PacienteID]],'Datos_Ejemplo.csv'!A:A,'Datos_Ejemplo.csv'!I:I)</f>
        <v>26</v>
      </c>
      <c r="N4381">
        <f>ABS(TablaDatos[[#This Row],[DiasOriginal]])</f>
        <v>26</v>
      </c>
      <c r="O4381" s="1">
        <f>TablaDatos[[#This Row],[FechaIngreso]]+TablaDatos[[#This Row],[DiasNuevo]]</f>
        <v>45327</v>
      </c>
    </row>
    <row r="4382" spans="1:15">
      <c r="A4382">
        <v>4381</v>
      </c>
      <c r="B4382" t="s">
        <v>325</v>
      </c>
      <c r="C4382" s="1">
        <v>15707</v>
      </c>
      <c r="D4382">
        <v>83</v>
      </c>
      <c r="E4382" s="4" t="s">
        <v>15</v>
      </c>
      <c r="F4382" t="s">
        <v>295</v>
      </c>
      <c r="G4382" s="1">
        <v>45376</v>
      </c>
      <c r="H4382" s="1">
        <f>TablaDatos[[#This Row],[FechaIngreso]]+TablaDatos[[#This Row],[DiasNuevo]]</f>
        <v>45398</v>
      </c>
      <c r="I4382">
        <v>22</v>
      </c>
      <c r="J4382" t="s">
        <v>23</v>
      </c>
      <c r="K4382" s="3">
        <v>6788.64</v>
      </c>
      <c r="L4382" t="b">
        <f>TablaDatos[[#This Row],[FechaAlta]] &lt; TablaDatos[[#This Row],[FechaIngreso]]</f>
        <v>0</v>
      </c>
      <c r="M4382">
        <f>_xlfn.XLOOKUP(TablaDatos[[#This Row],[PacienteID]],'Datos_Ejemplo.csv'!A:A,'Datos_Ejemplo.csv'!I:I)</f>
        <v>22</v>
      </c>
      <c r="N4382">
        <f>ABS(TablaDatos[[#This Row],[DiasOriginal]])</f>
        <v>22</v>
      </c>
      <c r="O4382" s="1">
        <f>TablaDatos[[#This Row],[FechaIngreso]]+TablaDatos[[#This Row],[DiasNuevo]]</f>
        <v>45398</v>
      </c>
    </row>
    <row r="4383" spans="1:15">
      <c r="A4383">
        <v>4382</v>
      </c>
      <c r="B4383" t="s">
        <v>276</v>
      </c>
      <c r="C4383" s="1">
        <v>27395</v>
      </c>
      <c r="D4383">
        <v>51</v>
      </c>
      <c r="E4383" s="4" t="s">
        <v>12</v>
      </c>
      <c r="F4383" t="s">
        <v>261</v>
      </c>
      <c r="G4383" s="1">
        <v>45371</v>
      </c>
      <c r="H4383" s="1">
        <f>TablaDatos[[#This Row],[FechaIngreso]]+TablaDatos[[#This Row],[DiasNuevo]]</f>
        <v>45386</v>
      </c>
      <c r="I4383">
        <v>15</v>
      </c>
      <c r="J4383" t="s">
        <v>25</v>
      </c>
      <c r="K4383" s="3">
        <v>4968.29</v>
      </c>
      <c r="L4383" t="b">
        <f>TablaDatos[[#This Row],[FechaAlta]] &lt; TablaDatos[[#This Row],[FechaIngreso]]</f>
        <v>0</v>
      </c>
      <c r="M4383">
        <f>_xlfn.XLOOKUP(TablaDatos[[#This Row],[PacienteID]],'Datos_Ejemplo.csv'!A:A,'Datos_Ejemplo.csv'!I:I)</f>
        <v>15</v>
      </c>
      <c r="N4383">
        <f>ABS(TablaDatos[[#This Row],[DiasOriginal]])</f>
        <v>15</v>
      </c>
      <c r="O4383" s="1">
        <f>TablaDatos[[#This Row],[FechaIngreso]]+TablaDatos[[#This Row],[DiasNuevo]]</f>
        <v>45386</v>
      </c>
    </row>
    <row r="4384" spans="1:15">
      <c r="A4384">
        <v>4383</v>
      </c>
      <c r="B4384" t="s">
        <v>356</v>
      </c>
      <c r="C4384" s="1">
        <v>45292</v>
      </c>
      <c r="D4384">
        <v>2</v>
      </c>
      <c r="E4384" s="4" t="s">
        <v>12</v>
      </c>
      <c r="F4384" t="s">
        <v>32</v>
      </c>
      <c r="G4384" s="1">
        <v>44986</v>
      </c>
      <c r="H4384" s="1">
        <f>TablaDatos[[#This Row],[FechaIngreso]]+TablaDatos[[#This Row],[DiasNuevo]]</f>
        <v>44986</v>
      </c>
      <c r="I4384">
        <v>0</v>
      </c>
      <c r="J4384" t="s">
        <v>19</v>
      </c>
      <c r="K4384" s="3">
        <v>8631.51</v>
      </c>
      <c r="L4384" t="b">
        <f>TablaDatos[[#This Row],[FechaAlta]] &lt; TablaDatos[[#This Row],[FechaIngreso]]</f>
        <v>0</v>
      </c>
      <c r="M4384">
        <f>_xlfn.XLOOKUP(TablaDatos[[#This Row],[PacienteID]],'Datos_Ejemplo.csv'!A:A,'Datos_Ejemplo.csv'!I:I)</f>
        <v>0</v>
      </c>
      <c r="N4384">
        <f>ABS(TablaDatos[[#This Row],[DiasOriginal]])</f>
        <v>0</v>
      </c>
      <c r="O4384" s="1">
        <f>TablaDatos[[#This Row],[FechaIngreso]]+TablaDatos[[#This Row],[DiasNuevo]]</f>
        <v>44986</v>
      </c>
    </row>
    <row r="4385" spans="1:15">
      <c r="A4385">
        <v>4384</v>
      </c>
      <c r="B4385" t="s">
        <v>244</v>
      </c>
      <c r="C4385" s="1">
        <v>16802</v>
      </c>
      <c r="D4385">
        <v>80</v>
      </c>
      <c r="E4385" s="4" t="s">
        <v>15</v>
      </c>
      <c r="F4385" t="s">
        <v>295</v>
      </c>
      <c r="G4385" s="1">
        <v>45318</v>
      </c>
      <c r="H4385" s="1">
        <f>TablaDatos[[#This Row],[FechaIngreso]]+TablaDatos[[#This Row],[DiasNuevo]]</f>
        <v>45333</v>
      </c>
      <c r="I4385">
        <v>15</v>
      </c>
      <c r="J4385" t="s">
        <v>23</v>
      </c>
      <c r="K4385" s="3">
        <v>9217.89</v>
      </c>
      <c r="L4385" t="b">
        <f>TablaDatos[[#This Row],[FechaAlta]] &lt; TablaDatos[[#This Row],[FechaIngreso]]</f>
        <v>0</v>
      </c>
      <c r="M4385">
        <f>_xlfn.XLOOKUP(TablaDatos[[#This Row],[PacienteID]],'Datos_Ejemplo.csv'!A:A,'Datos_Ejemplo.csv'!I:I)</f>
        <v>15</v>
      </c>
      <c r="N4385">
        <f>ABS(TablaDatos[[#This Row],[DiasOriginal]])</f>
        <v>15</v>
      </c>
      <c r="O4385" s="1">
        <f>TablaDatos[[#This Row],[FechaIngreso]]+TablaDatos[[#This Row],[DiasNuevo]]</f>
        <v>45333</v>
      </c>
    </row>
    <row r="4386" spans="1:15">
      <c r="A4386">
        <v>4385</v>
      </c>
      <c r="B4386" t="s">
        <v>354</v>
      </c>
      <c r="C4386" s="1">
        <v>23377</v>
      </c>
      <c r="D4386">
        <v>62</v>
      </c>
      <c r="E4386" s="4" t="s">
        <v>12</v>
      </c>
      <c r="F4386" t="s">
        <v>295</v>
      </c>
      <c r="G4386" s="1">
        <v>45316</v>
      </c>
      <c r="H4386" s="1">
        <f>TablaDatos[[#This Row],[FechaIngreso]]+TablaDatos[[#This Row],[DiasNuevo]]</f>
        <v>45320</v>
      </c>
      <c r="I4386">
        <v>4</v>
      </c>
      <c r="J4386" t="s">
        <v>23</v>
      </c>
      <c r="K4386" s="3">
        <v>10546.31</v>
      </c>
      <c r="L4386" t="b">
        <f>TablaDatos[[#This Row],[FechaAlta]] &lt; TablaDatos[[#This Row],[FechaIngreso]]</f>
        <v>0</v>
      </c>
      <c r="M4386">
        <f>_xlfn.XLOOKUP(TablaDatos[[#This Row],[PacienteID]],'Datos_Ejemplo.csv'!A:A,'Datos_Ejemplo.csv'!I:I)</f>
        <v>4</v>
      </c>
      <c r="N4386">
        <f>ABS(TablaDatos[[#This Row],[DiasOriginal]])</f>
        <v>4</v>
      </c>
      <c r="O4386" s="1">
        <f>TablaDatos[[#This Row],[FechaIngreso]]+TablaDatos[[#This Row],[DiasNuevo]]</f>
        <v>45320</v>
      </c>
    </row>
    <row r="4387" spans="1:15">
      <c r="A4387">
        <v>4386</v>
      </c>
      <c r="B4387" t="s">
        <v>337</v>
      </c>
      <c r="C4387" s="1">
        <v>28490</v>
      </c>
      <c r="D4387">
        <v>48</v>
      </c>
      <c r="E4387" s="4" t="s">
        <v>197</v>
      </c>
      <c r="F4387" t="s">
        <v>13</v>
      </c>
      <c r="G4387" s="1">
        <v>45138</v>
      </c>
      <c r="H4387" s="1">
        <f>TablaDatos[[#This Row],[FechaIngreso]]+TablaDatos[[#This Row],[DiasNuevo]]</f>
        <v>45163</v>
      </c>
      <c r="I4387">
        <v>25</v>
      </c>
      <c r="J4387" t="s">
        <v>25</v>
      </c>
      <c r="K4387" s="3">
        <v>19348.12</v>
      </c>
      <c r="L4387" t="b">
        <f>TablaDatos[[#This Row],[FechaAlta]] &lt; TablaDatos[[#This Row],[FechaIngreso]]</f>
        <v>0</v>
      </c>
      <c r="M4387">
        <f>_xlfn.XLOOKUP(TablaDatos[[#This Row],[PacienteID]],'Datos_Ejemplo.csv'!A:A,'Datos_Ejemplo.csv'!I:I)</f>
        <v>25</v>
      </c>
      <c r="N4387">
        <f>ABS(TablaDatos[[#This Row],[DiasOriginal]])</f>
        <v>25</v>
      </c>
      <c r="O4387" s="1">
        <f>TablaDatos[[#This Row],[FechaIngreso]]+TablaDatos[[#This Row],[DiasNuevo]]</f>
        <v>45163</v>
      </c>
    </row>
    <row r="4388" spans="1:15">
      <c r="A4388">
        <v>4387</v>
      </c>
      <c r="B4388" t="s">
        <v>105</v>
      </c>
      <c r="C4388" s="1">
        <v>18629</v>
      </c>
      <c r="D4388">
        <v>75</v>
      </c>
      <c r="E4388" s="4" t="s">
        <v>15</v>
      </c>
      <c r="F4388" t="s">
        <v>32</v>
      </c>
      <c r="G4388" s="1">
        <v>45593</v>
      </c>
      <c r="H4388" s="1">
        <f>TablaDatos[[#This Row],[FechaIngreso]]+TablaDatos[[#This Row],[DiasNuevo]]</f>
        <v>45607</v>
      </c>
      <c r="I4388">
        <v>14</v>
      </c>
      <c r="J4388" t="s">
        <v>23</v>
      </c>
      <c r="K4388" s="3">
        <v>18084.310000000001</v>
      </c>
      <c r="L4388" t="b">
        <f>TablaDatos[[#This Row],[FechaAlta]] &lt; TablaDatos[[#This Row],[FechaIngreso]]</f>
        <v>0</v>
      </c>
      <c r="M4388">
        <f>_xlfn.XLOOKUP(TablaDatos[[#This Row],[PacienteID]],'Datos_Ejemplo.csv'!A:A,'Datos_Ejemplo.csv'!I:I)</f>
        <v>14</v>
      </c>
      <c r="N4388">
        <f>ABS(TablaDatos[[#This Row],[DiasOriginal]])</f>
        <v>14</v>
      </c>
      <c r="O4388" s="1">
        <f>TablaDatos[[#This Row],[FechaIngreso]]+TablaDatos[[#This Row],[DiasNuevo]]</f>
        <v>45607</v>
      </c>
    </row>
    <row r="4389" spans="1:15">
      <c r="A4389">
        <v>4388</v>
      </c>
      <c r="B4389" t="s">
        <v>299</v>
      </c>
      <c r="C4389" s="1">
        <v>29221</v>
      </c>
      <c r="D4389">
        <v>46</v>
      </c>
      <c r="E4389" s="4" t="s">
        <v>12</v>
      </c>
      <c r="F4389" t="s">
        <v>21</v>
      </c>
      <c r="G4389" s="1">
        <v>45611</v>
      </c>
      <c r="H4389" s="1">
        <f>TablaDatos[[#This Row],[FechaIngreso]]+TablaDatos[[#This Row],[DiasNuevo]]</f>
        <v>45633</v>
      </c>
      <c r="I4389">
        <v>22</v>
      </c>
      <c r="J4389" t="s">
        <v>19</v>
      </c>
      <c r="K4389" s="3">
        <v>12148.79</v>
      </c>
      <c r="L4389" t="b">
        <f>TablaDatos[[#This Row],[FechaAlta]] &lt; TablaDatos[[#This Row],[FechaIngreso]]</f>
        <v>0</v>
      </c>
      <c r="M4389">
        <f>_xlfn.XLOOKUP(TablaDatos[[#This Row],[PacienteID]],'Datos_Ejemplo.csv'!A:A,'Datos_Ejemplo.csv'!I:I)</f>
        <v>22</v>
      </c>
      <c r="N4389">
        <f>ABS(TablaDatos[[#This Row],[DiasOriginal]])</f>
        <v>22</v>
      </c>
      <c r="O4389" s="1">
        <f>TablaDatos[[#This Row],[FechaIngreso]]+TablaDatos[[#This Row],[DiasNuevo]]</f>
        <v>45633</v>
      </c>
    </row>
    <row r="4390" spans="1:15">
      <c r="A4390">
        <v>4389</v>
      </c>
      <c r="B4390" t="s">
        <v>244</v>
      </c>
      <c r="C4390" s="1">
        <v>26299</v>
      </c>
      <c r="D4390">
        <v>54</v>
      </c>
      <c r="E4390" s="4" t="s">
        <v>15</v>
      </c>
      <c r="F4390" t="s">
        <v>295</v>
      </c>
      <c r="G4390" s="1">
        <v>45461</v>
      </c>
      <c r="H4390" s="1">
        <f>TablaDatos[[#This Row],[FechaIngreso]]+TablaDatos[[#This Row],[DiasNuevo]]</f>
        <v>45476</v>
      </c>
      <c r="I4390">
        <v>15</v>
      </c>
      <c r="J4390" t="s">
        <v>23</v>
      </c>
      <c r="K4390" s="3">
        <v>681.96</v>
      </c>
      <c r="L4390" t="b">
        <f>TablaDatos[[#This Row],[FechaAlta]] &lt; TablaDatos[[#This Row],[FechaIngreso]]</f>
        <v>0</v>
      </c>
      <c r="M4390">
        <f>_xlfn.XLOOKUP(TablaDatos[[#This Row],[PacienteID]],'Datos_Ejemplo.csv'!A:A,'Datos_Ejemplo.csv'!I:I)</f>
        <v>15</v>
      </c>
      <c r="N4390">
        <f>ABS(TablaDatos[[#This Row],[DiasOriginal]])</f>
        <v>15</v>
      </c>
      <c r="O4390" s="1">
        <f>TablaDatos[[#This Row],[FechaIngreso]]+TablaDatos[[#This Row],[DiasNuevo]]</f>
        <v>45476</v>
      </c>
    </row>
    <row r="4391" spans="1:15">
      <c r="A4391">
        <v>4390</v>
      </c>
      <c r="B4391" t="s">
        <v>279</v>
      </c>
      <c r="C4391" s="1">
        <v>23012</v>
      </c>
      <c r="D4391">
        <v>63</v>
      </c>
      <c r="E4391" s="4" t="s">
        <v>12</v>
      </c>
      <c r="F4391" t="s">
        <v>32</v>
      </c>
      <c r="G4391" s="1">
        <v>45166</v>
      </c>
      <c r="H4391" s="1">
        <f>TablaDatos[[#This Row],[FechaIngreso]]+TablaDatos[[#This Row],[DiasNuevo]]</f>
        <v>45203</v>
      </c>
      <c r="I4391">
        <v>37</v>
      </c>
      <c r="J4391" t="s">
        <v>25</v>
      </c>
      <c r="K4391" s="3">
        <v>12206.43</v>
      </c>
      <c r="L4391" t="b">
        <f>TablaDatos[[#This Row],[FechaAlta]] &lt; TablaDatos[[#This Row],[FechaIngreso]]</f>
        <v>0</v>
      </c>
      <c r="M4391">
        <f>_xlfn.XLOOKUP(TablaDatos[[#This Row],[PacienteID]],'Datos_Ejemplo.csv'!A:A,'Datos_Ejemplo.csv'!I:I)</f>
        <v>37</v>
      </c>
      <c r="N4391">
        <f>ABS(TablaDatos[[#This Row],[DiasOriginal]])</f>
        <v>37</v>
      </c>
      <c r="O4391" s="1">
        <f>TablaDatos[[#This Row],[FechaIngreso]]+TablaDatos[[#This Row],[DiasNuevo]]</f>
        <v>45203</v>
      </c>
    </row>
    <row r="4392" spans="1:15">
      <c r="A4392">
        <v>4391</v>
      </c>
      <c r="B4392" t="s">
        <v>342</v>
      </c>
      <c r="C4392" s="1">
        <v>22646</v>
      </c>
      <c r="D4392">
        <v>64</v>
      </c>
      <c r="E4392" s="4" t="s">
        <v>12</v>
      </c>
      <c r="F4392" t="s">
        <v>201</v>
      </c>
      <c r="G4392" s="1">
        <v>45414</v>
      </c>
      <c r="H4392" s="1">
        <f>TablaDatos[[#This Row],[FechaIngreso]]+TablaDatos[[#This Row],[DiasNuevo]]</f>
        <v>45414</v>
      </c>
      <c r="I4392">
        <v>0</v>
      </c>
      <c r="J4392" t="s">
        <v>19</v>
      </c>
      <c r="K4392" s="3">
        <v>1702.34</v>
      </c>
      <c r="L4392" t="b">
        <f>TablaDatos[[#This Row],[FechaAlta]] &lt; TablaDatos[[#This Row],[FechaIngreso]]</f>
        <v>0</v>
      </c>
      <c r="M4392">
        <f>_xlfn.XLOOKUP(TablaDatos[[#This Row],[PacienteID]],'Datos_Ejemplo.csv'!A:A,'Datos_Ejemplo.csv'!I:I)</f>
        <v>0</v>
      </c>
      <c r="N4392">
        <f>ABS(TablaDatos[[#This Row],[DiasOriginal]])</f>
        <v>0</v>
      </c>
      <c r="O4392" s="1">
        <f>TablaDatos[[#This Row],[FechaIngreso]]+TablaDatos[[#This Row],[DiasNuevo]]</f>
        <v>45414</v>
      </c>
    </row>
    <row r="4393" spans="1:15">
      <c r="A4393">
        <v>4392</v>
      </c>
      <c r="B4393" t="s">
        <v>351</v>
      </c>
      <c r="C4393" s="1">
        <v>16802</v>
      </c>
      <c r="D4393">
        <v>80</v>
      </c>
      <c r="E4393" s="4" t="s">
        <v>197</v>
      </c>
      <c r="F4393" t="s">
        <v>295</v>
      </c>
      <c r="G4393" s="1">
        <v>45647</v>
      </c>
      <c r="H4393" s="1">
        <f>TablaDatos[[#This Row],[FechaIngreso]]+TablaDatos[[#This Row],[DiasNuevo]]</f>
        <v>45669</v>
      </c>
      <c r="I4393">
        <v>22</v>
      </c>
      <c r="J4393" t="s">
        <v>25</v>
      </c>
      <c r="K4393" s="3">
        <v>14177.92</v>
      </c>
      <c r="L4393" t="b">
        <f>TablaDatos[[#This Row],[FechaAlta]] &lt; TablaDatos[[#This Row],[FechaIngreso]]</f>
        <v>0</v>
      </c>
      <c r="M4393">
        <f>_xlfn.XLOOKUP(TablaDatos[[#This Row],[PacienteID]],'Datos_Ejemplo.csv'!A:A,'Datos_Ejemplo.csv'!I:I)</f>
        <v>22</v>
      </c>
      <c r="N4393">
        <f>ABS(TablaDatos[[#This Row],[DiasOriginal]])</f>
        <v>22</v>
      </c>
      <c r="O4393" s="1">
        <f>TablaDatos[[#This Row],[FechaIngreso]]+TablaDatos[[#This Row],[DiasNuevo]]</f>
        <v>45669</v>
      </c>
    </row>
    <row r="4394" spans="1:15">
      <c r="A4394">
        <v>4393</v>
      </c>
      <c r="B4394" t="s">
        <v>122</v>
      </c>
      <c r="C4394" s="1">
        <v>21916</v>
      </c>
      <c r="D4394">
        <v>66</v>
      </c>
      <c r="E4394" s="4" t="s">
        <v>15</v>
      </c>
      <c r="F4394" t="s">
        <v>13</v>
      </c>
      <c r="G4394" s="1">
        <v>45048</v>
      </c>
      <c r="H4394" s="1">
        <f>TablaDatos[[#This Row],[FechaIngreso]]+TablaDatos[[#This Row],[DiasNuevo]]</f>
        <v>45052</v>
      </c>
      <c r="I4394">
        <v>4</v>
      </c>
      <c r="J4394" t="s">
        <v>23</v>
      </c>
      <c r="K4394" s="3">
        <v>7740.56</v>
      </c>
      <c r="L4394" t="b">
        <f>TablaDatos[[#This Row],[FechaAlta]] &lt; TablaDatos[[#This Row],[FechaIngreso]]</f>
        <v>0</v>
      </c>
      <c r="M4394">
        <f>_xlfn.XLOOKUP(TablaDatos[[#This Row],[PacienteID]],'Datos_Ejemplo.csv'!A:A,'Datos_Ejemplo.csv'!I:I)</f>
        <v>4</v>
      </c>
      <c r="N4394">
        <f>ABS(TablaDatos[[#This Row],[DiasOriginal]])</f>
        <v>4</v>
      </c>
      <c r="O4394" s="1">
        <f>TablaDatos[[#This Row],[FechaIngreso]]+TablaDatos[[#This Row],[DiasNuevo]]</f>
        <v>45052</v>
      </c>
    </row>
    <row r="4395" spans="1:15">
      <c r="A4395">
        <v>4394</v>
      </c>
      <c r="B4395" t="s">
        <v>312</v>
      </c>
      <c r="C4395" s="1">
        <v>13515</v>
      </c>
      <c r="D4395">
        <v>89</v>
      </c>
      <c r="E4395" s="4" t="s">
        <v>15</v>
      </c>
      <c r="F4395" t="s">
        <v>13</v>
      </c>
      <c r="G4395" s="1">
        <v>45179</v>
      </c>
      <c r="H4395" s="1">
        <f>TablaDatos[[#This Row],[FechaIngreso]]+TablaDatos[[#This Row],[DiasNuevo]]</f>
        <v>45186</v>
      </c>
      <c r="I4395">
        <v>7</v>
      </c>
      <c r="J4395" t="s">
        <v>23</v>
      </c>
      <c r="K4395" s="3">
        <v>16737.7</v>
      </c>
      <c r="L4395" t="b">
        <f>TablaDatos[[#This Row],[FechaAlta]] &lt; TablaDatos[[#This Row],[FechaIngreso]]</f>
        <v>0</v>
      </c>
      <c r="M4395">
        <f>_xlfn.XLOOKUP(TablaDatos[[#This Row],[PacienteID]],'Datos_Ejemplo.csv'!A:A,'Datos_Ejemplo.csv'!I:I)</f>
        <v>7</v>
      </c>
      <c r="N4395">
        <f>ABS(TablaDatos[[#This Row],[DiasOriginal]])</f>
        <v>7</v>
      </c>
      <c r="O4395" s="1">
        <f>TablaDatos[[#This Row],[FechaIngreso]]+TablaDatos[[#This Row],[DiasNuevo]]</f>
        <v>45186</v>
      </c>
    </row>
    <row r="4396" spans="1:15">
      <c r="A4396">
        <v>4395</v>
      </c>
      <c r="B4396" t="s">
        <v>330</v>
      </c>
      <c r="C4396" s="1">
        <v>40909</v>
      </c>
      <c r="D4396">
        <v>14</v>
      </c>
      <c r="E4396" s="4" t="s">
        <v>15</v>
      </c>
      <c r="F4396" t="s">
        <v>21</v>
      </c>
      <c r="G4396" s="1">
        <v>45067</v>
      </c>
      <c r="H4396" s="1">
        <f>TablaDatos[[#This Row],[FechaIngreso]]+TablaDatos[[#This Row],[DiasNuevo]]</f>
        <v>45083</v>
      </c>
      <c r="I4396">
        <v>16</v>
      </c>
      <c r="J4396" t="s">
        <v>19</v>
      </c>
      <c r="K4396" s="3">
        <v>18844.84</v>
      </c>
      <c r="L4396" t="b">
        <f>TablaDatos[[#This Row],[FechaAlta]] &lt; TablaDatos[[#This Row],[FechaIngreso]]</f>
        <v>0</v>
      </c>
      <c r="M4396">
        <f>_xlfn.XLOOKUP(TablaDatos[[#This Row],[PacienteID]],'Datos_Ejemplo.csv'!A:A,'Datos_Ejemplo.csv'!I:I)</f>
        <v>16</v>
      </c>
      <c r="N4396">
        <f>ABS(TablaDatos[[#This Row],[DiasOriginal]])</f>
        <v>16</v>
      </c>
      <c r="O4396" s="1">
        <f>TablaDatos[[#This Row],[FechaIngreso]]+TablaDatos[[#This Row],[DiasNuevo]]</f>
        <v>45083</v>
      </c>
    </row>
    <row r="4397" spans="1:15">
      <c r="A4397">
        <v>4396</v>
      </c>
      <c r="B4397" t="s">
        <v>301</v>
      </c>
      <c r="C4397" s="1">
        <v>34700</v>
      </c>
      <c r="D4397">
        <v>31</v>
      </c>
      <c r="E4397" s="4" t="s">
        <v>12</v>
      </c>
      <c r="F4397" t="s">
        <v>13</v>
      </c>
      <c r="G4397" s="1">
        <v>45378</v>
      </c>
      <c r="H4397" s="1">
        <f>TablaDatos[[#This Row],[FechaIngreso]]+TablaDatos[[#This Row],[DiasNuevo]]</f>
        <v>45390</v>
      </c>
      <c r="I4397">
        <v>12</v>
      </c>
      <c r="J4397" t="s">
        <v>25</v>
      </c>
      <c r="K4397" s="3">
        <v>8283.92</v>
      </c>
      <c r="L4397" t="b">
        <f>TablaDatos[[#This Row],[FechaAlta]] &lt; TablaDatos[[#This Row],[FechaIngreso]]</f>
        <v>0</v>
      </c>
      <c r="M4397">
        <f>_xlfn.XLOOKUP(TablaDatos[[#This Row],[PacienteID]],'Datos_Ejemplo.csv'!A:A,'Datos_Ejemplo.csv'!I:I)</f>
        <v>12</v>
      </c>
      <c r="N4397">
        <f>ABS(TablaDatos[[#This Row],[DiasOriginal]])</f>
        <v>12</v>
      </c>
      <c r="O4397" s="1">
        <f>TablaDatos[[#This Row],[FechaIngreso]]+TablaDatos[[#This Row],[DiasNuevo]]</f>
        <v>45390</v>
      </c>
    </row>
    <row r="4398" spans="1:15">
      <c r="A4398">
        <v>4397</v>
      </c>
      <c r="B4398" t="s">
        <v>307</v>
      </c>
      <c r="C4398" s="1">
        <v>21551</v>
      </c>
      <c r="D4398">
        <v>67</v>
      </c>
      <c r="E4398" s="4" t="s">
        <v>15</v>
      </c>
      <c r="F4398" t="s">
        <v>32</v>
      </c>
      <c r="G4398" s="1">
        <v>45079</v>
      </c>
      <c r="H4398" s="1">
        <f>TablaDatos[[#This Row],[FechaIngreso]]+TablaDatos[[#This Row],[DiasNuevo]]</f>
        <v>45097</v>
      </c>
      <c r="I4398">
        <v>18</v>
      </c>
      <c r="J4398" t="s">
        <v>23</v>
      </c>
      <c r="K4398" s="3">
        <v>9157.16</v>
      </c>
      <c r="L4398" t="b">
        <f>TablaDatos[[#This Row],[FechaAlta]] &lt; TablaDatos[[#This Row],[FechaIngreso]]</f>
        <v>0</v>
      </c>
      <c r="M4398">
        <f>_xlfn.XLOOKUP(TablaDatos[[#This Row],[PacienteID]],'Datos_Ejemplo.csv'!A:A,'Datos_Ejemplo.csv'!I:I)</f>
        <v>18</v>
      </c>
      <c r="N4398">
        <f>ABS(TablaDatos[[#This Row],[DiasOriginal]])</f>
        <v>18</v>
      </c>
      <c r="O4398" s="1">
        <f>TablaDatos[[#This Row],[FechaIngreso]]+TablaDatos[[#This Row],[DiasNuevo]]</f>
        <v>45097</v>
      </c>
    </row>
    <row r="4399" spans="1:15">
      <c r="A4399">
        <v>4398</v>
      </c>
      <c r="B4399" t="s">
        <v>335</v>
      </c>
      <c r="C4399" s="1">
        <v>39813</v>
      </c>
      <c r="D4399">
        <f ca="1">DATEDIF(TablaDatos[[#This Row],[FechaNacimiento]],TODAY(),"Y")</f>
        <v>17</v>
      </c>
      <c r="E4399" s="4" t="s">
        <v>15</v>
      </c>
      <c r="F4399" t="s">
        <v>261</v>
      </c>
      <c r="G4399" s="1">
        <v>45652</v>
      </c>
      <c r="H4399" s="1">
        <f>TablaDatos[[#This Row],[FechaIngreso]]+TablaDatos[[#This Row],[DiasNuevo]]</f>
        <v>45670</v>
      </c>
      <c r="I4399">
        <v>18</v>
      </c>
      <c r="J4399" t="s">
        <v>25</v>
      </c>
      <c r="K4399" s="3">
        <v>11761.97</v>
      </c>
      <c r="L4399" t="b">
        <f>TablaDatos[[#This Row],[FechaAlta]] &lt; TablaDatos[[#This Row],[FechaIngreso]]</f>
        <v>0</v>
      </c>
      <c r="M4399">
        <f>_xlfn.XLOOKUP(TablaDatos[[#This Row],[PacienteID]],'Datos_Ejemplo.csv'!A:A,'Datos_Ejemplo.csv'!I:I)</f>
        <v>18</v>
      </c>
      <c r="N4399">
        <f>ABS(TablaDatos[[#This Row],[DiasOriginal]])</f>
        <v>18</v>
      </c>
      <c r="O4399" s="1">
        <f>TablaDatos[[#This Row],[FechaIngreso]]+TablaDatos[[#This Row],[DiasNuevo]]</f>
        <v>45670</v>
      </c>
    </row>
    <row r="4400" spans="1:15">
      <c r="A4400">
        <v>4399</v>
      </c>
      <c r="B4400" t="s">
        <v>151</v>
      </c>
      <c r="C4400" s="1">
        <v>16072</v>
      </c>
      <c r="D4400">
        <v>82</v>
      </c>
      <c r="E4400" s="4" t="s">
        <v>15</v>
      </c>
      <c r="F4400" t="s">
        <v>13</v>
      </c>
      <c r="G4400" s="1">
        <v>45234</v>
      </c>
      <c r="H4400" s="1">
        <f>TablaDatos[[#This Row],[FechaIngreso]]+TablaDatos[[#This Row],[DiasNuevo]]</f>
        <v>45268</v>
      </c>
      <c r="I4400">
        <v>34</v>
      </c>
      <c r="J4400" t="s">
        <v>25</v>
      </c>
      <c r="K4400" s="3">
        <v>3862.37</v>
      </c>
      <c r="L4400" t="b">
        <f>TablaDatos[[#This Row],[FechaAlta]] &lt; TablaDatos[[#This Row],[FechaIngreso]]</f>
        <v>0</v>
      </c>
      <c r="M4400">
        <f>_xlfn.XLOOKUP(TablaDatos[[#This Row],[PacienteID]],'Datos_Ejemplo.csv'!A:A,'Datos_Ejemplo.csv'!I:I)</f>
        <v>34</v>
      </c>
      <c r="N4400">
        <f>ABS(TablaDatos[[#This Row],[DiasOriginal]])</f>
        <v>34</v>
      </c>
      <c r="O4400" s="1">
        <f>TablaDatos[[#This Row],[FechaIngreso]]+TablaDatos[[#This Row],[DiasNuevo]]</f>
        <v>45268</v>
      </c>
    </row>
    <row r="4401" spans="1:15">
      <c r="A4401">
        <v>4400</v>
      </c>
      <c r="B4401" t="s">
        <v>55</v>
      </c>
      <c r="C4401" s="1">
        <v>30682</v>
      </c>
      <c r="D4401">
        <v>42</v>
      </c>
      <c r="E4401" s="4" t="s">
        <v>15</v>
      </c>
      <c r="F4401" t="s">
        <v>261</v>
      </c>
      <c r="G4401" s="1">
        <v>45486</v>
      </c>
      <c r="H4401" s="1">
        <f>TablaDatos[[#This Row],[FechaIngreso]]+TablaDatos[[#This Row],[DiasNuevo]]</f>
        <v>45511</v>
      </c>
      <c r="I4401">
        <v>25</v>
      </c>
      <c r="J4401" t="s">
        <v>23</v>
      </c>
      <c r="K4401" s="3">
        <v>18539.39</v>
      </c>
      <c r="L4401" t="b">
        <f>TablaDatos[[#This Row],[FechaAlta]] &lt; TablaDatos[[#This Row],[FechaIngreso]]</f>
        <v>0</v>
      </c>
      <c r="M4401">
        <f>_xlfn.XLOOKUP(TablaDatos[[#This Row],[PacienteID]],'Datos_Ejemplo.csv'!A:A,'Datos_Ejemplo.csv'!I:I)</f>
        <v>25</v>
      </c>
      <c r="N4401">
        <f>ABS(TablaDatos[[#This Row],[DiasOriginal]])</f>
        <v>25</v>
      </c>
      <c r="O4401" s="1">
        <f>TablaDatos[[#This Row],[FechaIngreso]]+TablaDatos[[#This Row],[DiasNuevo]]</f>
        <v>45511</v>
      </c>
    </row>
    <row r="4402" spans="1:15">
      <c r="A4402">
        <v>4401</v>
      </c>
      <c r="B4402" t="s">
        <v>312</v>
      </c>
      <c r="C4402" s="1">
        <v>33604</v>
      </c>
      <c r="D4402">
        <v>34</v>
      </c>
      <c r="E4402" s="4" t="s">
        <v>15</v>
      </c>
      <c r="F4402" t="s">
        <v>21</v>
      </c>
      <c r="G4402" s="1">
        <v>45243</v>
      </c>
      <c r="H4402" s="1">
        <f>TablaDatos[[#This Row],[FechaIngreso]]+TablaDatos[[#This Row],[DiasNuevo]]</f>
        <v>45272</v>
      </c>
      <c r="I4402">
        <v>29</v>
      </c>
      <c r="J4402" t="s">
        <v>19</v>
      </c>
      <c r="K4402" s="3">
        <v>8603.2999999999993</v>
      </c>
      <c r="L4402" t="b">
        <f>TablaDatos[[#This Row],[FechaAlta]] &lt; TablaDatos[[#This Row],[FechaIngreso]]</f>
        <v>0</v>
      </c>
      <c r="M4402">
        <f>_xlfn.XLOOKUP(TablaDatos[[#This Row],[PacienteID]],'Datos_Ejemplo.csv'!A:A,'Datos_Ejemplo.csv'!I:I)</f>
        <v>29</v>
      </c>
      <c r="N4402">
        <f>ABS(TablaDatos[[#This Row],[DiasOriginal]])</f>
        <v>29</v>
      </c>
      <c r="O4402" s="1">
        <f>TablaDatos[[#This Row],[FechaIngreso]]+TablaDatos[[#This Row],[DiasNuevo]]</f>
        <v>45272</v>
      </c>
    </row>
    <row r="4403" spans="1:15">
      <c r="A4403">
        <v>4402</v>
      </c>
      <c r="B4403" t="s">
        <v>236</v>
      </c>
      <c r="C4403" s="1">
        <v>17898</v>
      </c>
      <c r="D4403">
        <v>77</v>
      </c>
      <c r="E4403" s="4" t="s">
        <v>12</v>
      </c>
      <c r="F4403" t="s">
        <v>201</v>
      </c>
      <c r="G4403" s="1">
        <v>45455</v>
      </c>
      <c r="H4403" s="1">
        <f>TablaDatos[[#This Row],[FechaIngreso]]+TablaDatos[[#This Row],[DiasNuevo]]</f>
        <v>45493</v>
      </c>
      <c r="I4403">
        <v>38</v>
      </c>
      <c r="J4403" t="s">
        <v>19</v>
      </c>
      <c r="K4403" s="3">
        <v>3253.09</v>
      </c>
      <c r="L4403" t="b">
        <f>TablaDatos[[#This Row],[FechaAlta]] &lt; TablaDatos[[#This Row],[FechaIngreso]]</f>
        <v>0</v>
      </c>
      <c r="M4403">
        <f>_xlfn.XLOOKUP(TablaDatos[[#This Row],[PacienteID]],'Datos_Ejemplo.csv'!A:A,'Datos_Ejemplo.csv'!I:I)</f>
        <v>38</v>
      </c>
      <c r="N4403">
        <f>ABS(TablaDatos[[#This Row],[DiasOriginal]])</f>
        <v>38</v>
      </c>
      <c r="O4403" s="1">
        <f>TablaDatos[[#This Row],[FechaIngreso]]+TablaDatos[[#This Row],[DiasNuevo]]</f>
        <v>45493</v>
      </c>
    </row>
    <row r="4404" spans="1:15">
      <c r="A4404">
        <v>4403</v>
      </c>
      <c r="B4404" t="s">
        <v>305</v>
      </c>
      <c r="C4404" s="1">
        <v>25203</v>
      </c>
      <c r="D4404">
        <v>57</v>
      </c>
      <c r="E4404" s="4" t="s">
        <v>15</v>
      </c>
      <c r="F4404" t="s">
        <v>18</v>
      </c>
      <c r="G4404" s="1">
        <v>45222</v>
      </c>
      <c r="H4404" s="1">
        <f>TablaDatos[[#This Row],[FechaIngreso]]+TablaDatos[[#This Row],[DiasNuevo]]</f>
        <v>45246</v>
      </c>
      <c r="I4404">
        <v>24</v>
      </c>
      <c r="J4404" t="s">
        <v>25</v>
      </c>
      <c r="K4404" s="3">
        <v>15230.91</v>
      </c>
      <c r="L4404" t="b">
        <f>TablaDatos[[#This Row],[FechaAlta]] &lt; TablaDatos[[#This Row],[FechaIngreso]]</f>
        <v>0</v>
      </c>
      <c r="M4404">
        <f>_xlfn.XLOOKUP(TablaDatos[[#This Row],[PacienteID]],'Datos_Ejemplo.csv'!A:A,'Datos_Ejemplo.csv'!I:I)</f>
        <v>24</v>
      </c>
      <c r="N4404">
        <f>ABS(TablaDatos[[#This Row],[DiasOriginal]])</f>
        <v>24</v>
      </c>
      <c r="O4404" s="1">
        <f>TablaDatos[[#This Row],[FechaIngreso]]+TablaDatos[[#This Row],[DiasNuevo]]</f>
        <v>45246</v>
      </c>
    </row>
    <row r="4405" spans="1:15">
      <c r="A4405">
        <v>4404</v>
      </c>
      <c r="B4405" t="s">
        <v>300</v>
      </c>
      <c r="C4405" s="1">
        <v>34334</v>
      </c>
      <c r="D4405">
        <v>32</v>
      </c>
      <c r="E4405" s="4" t="s">
        <v>15</v>
      </c>
      <c r="F4405" t="s">
        <v>295</v>
      </c>
      <c r="G4405" s="1">
        <v>45271</v>
      </c>
      <c r="H4405" s="1">
        <f>TablaDatos[[#This Row],[FechaIngreso]]+TablaDatos[[#This Row],[DiasNuevo]]</f>
        <v>45291</v>
      </c>
      <c r="I4405">
        <v>20</v>
      </c>
      <c r="J4405" t="s">
        <v>23</v>
      </c>
      <c r="K4405" s="3">
        <v>4304.9399999999996</v>
      </c>
      <c r="L4405" t="b">
        <f>TablaDatos[[#This Row],[FechaAlta]] &lt; TablaDatos[[#This Row],[FechaIngreso]]</f>
        <v>0</v>
      </c>
      <c r="M4405">
        <f>_xlfn.XLOOKUP(TablaDatos[[#This Row],[PacienteID]],'Datos_Ejemplo.csv'!A:A,'Datos_Ejemplo.csv'!I:I)</f>
        <v>20</v>
      </c>
      <c r="N4405">
        <f>ABS(TablaDatos[[#This Row],[DiasOriginal]])</f>
        <v>20</v>
      </c>
      <c r="O4405" s="1">
        <f>TablaDatos[[#This Row],[FechaIngreso]]+TablaDatos[[#This Row],[DiasNuevo]]</f>
        <v>45291</v>
      </c>
    </row>
    <row r="4406" spans="1:15">
      <c r="A4406">
        <v>4405</v>
      </c>
      <c r="B4406" t="s">
        <v>290</v>
      </c>
      <c r="C4406" s="1">
        <v>41274</v>
      </c>
      <c r="D4406">
        <v>13</v>
      </c>
      <c r="E4406" s="4" t="s">
        <v>12</v>
      </c>
      <c r="F4406" t="s">
        <v>295</v>
      </c>
      <c r="G4406" s="1">
        <v>45507</v>
      </c>
      <c r="H4406" s="1">
        <f>TablaDatos[[#This Row],[FechaIngreso]]+TablaDatos[[#This Row],[DiasNuevo]]</f>
        <v>45514</v>
      </c>
      <c r="I4406">
        <v>7</v>
      </c>
      <c r="J4406" t="s">
        <v>25</v>
      </c>
      <c r="K4406" s="3">
        <v>2784.94</v>
      </c>
      <c r="L4406" t="b">
        <f>TablaDatos[[#This Row],[FechaAlta]] &lt; TablaDatos[[#This Row],[FechaIngreso]]</f>
        <v>0</v>
      </c>
      <c r="M4406">
        <f>_xlfn.XLOOKUP(TablaDatos[[#This Row],[PacienteID]],'Datos_Ejemplo.csv'!A:A,'Datos_Ejemplo.csv'!I:I)</f>
        <v>7</v>
      </c>
      <c r="N4406">
        <f>ABS(TablaDatos[[#This Row],[DiasOriginal]])</f>
        <v>7</v>
      </c>
      <c r="O4406" s="1">
        <f>TablaDatos[[#This Row],[FechaIngreso]]+TablaDatos[[#This Row],[DiasNuevo]]</f>
        <v>45514</v>
      </c>
    </row>
    <row r="4407" spans="1:15">
      <c r="A4407">
        <v>4406</v>
      </c>
      <c r="B4407" t="s">
        <v>238</v>
      </c>
      <c r="C4407" s="1">
        <v>33969</v>
      </c>
      <c r="D4407">
        <v>33</v>
      </c>
      <c r="E4407" s="4" t="s">
        <v>12</v>
      </c>
      <c r="F4407" t="s">
        <v>32</v>
      </c>
      <c r="G4407" s="1">
        <v>45523</v>
      </c>
      <c r="H4407" s="1">
        <f>TablaDatos[[#This Row],[FechaIngreso]]+TablaDatos[[#This Row],[DiasNuevo]]</f>
        <v>45560</v>
      </c>
      <c r="I4407">
        <v>37</v>
      </c>
      <c r="J4407" t="s">
        <v>19</v>
      </c>
      <c r="K4407" s="3">
        <v>11213.73</v>
      </c>
      <c r="L4407" t="b">
        <f>TablaDatos[[#This Row],[FechaAlta]] &lt; TablaDatos[[#This Row],[FechaIngreso]]</f>
        <v>0</v>
      </c>
      <c r="M4407">
        <f>_xlfn.XLOOKUP(TablaDatos[[#This Row],[PacienteID]],'Datos_Ejemplo.csv'!A:A,'Datos_Ejemplo.csv'!I:I)</f>
        <v>37</v>
      </c>
      <c r="N4407">
        <f>ABS(TablaDatos[[#This Row],[DiasOriginal]])</f>
        <v>37</v>
      </c>
      <c r="O4407" s="1">
        <f>TablaDatos[[#This Row],[FechaIngreso]]+TablaDatos[[#This Row],[DiasNuevo]]</f>
        <v>45560</v>
      </c>
    </row>
    <row r="4408" spans="1:15">
      <c r="A4408">
        <v>4407</v>
      </c>
      <c r="B4408" t="s">
        <v>357</v>
      </c>
      <c r="C4408" s="1">
        <v>24107</v>
      </c>
      <c r="D4408">
        <v>60</v>
      </c>
      <c r="E4408" s="4" t="s">
        <v>15</v>
      </c>
      <c r="F4408" t="s">
        <v>21</v>
      </c>
      <c r="G4408" s="1">
        <v>45208</v>
      </c>
      <c r="H4408" s="1">
        <f>TablaDatos[[#This Row],[FechaIngreso]]+TablaDatos[[#This Row],[DiasNuevo]]</f>
        <v>45246</v>
      </c>
      <c r="I4408">
        <v>38</v>
      </c>
      <c r="J4408" t="s">
        <v>19</v>
      </c>
      <c r="K4408" s="3">
        <v>13397.05</v>
      </c>
      <c r="L4408" t="b">
        <f>TablaDatos[[#This Row],[FechaAlta]] &lt; TablaDatos[[#This Row],[FechaIngreso]]</f>
        <v>0</v>
      </c>
      <c r="M4408">
        <f>_xlfn.XLOOKUP(TablaDatos[[#This Row],[PacienteID]],'Datos_Ejemplo.csv'!A:A,'Datos_Ejemplo.csv'!I:I)</f>
        <v>38</v>
      </c>
      <c r="N4408">
        <f>ABS(TablaDatos[[#This Row],[DiasOriginal]])</f>
        <v>38</v>
      </c>
      <c r="O4408" s="1">
        <f>TablaDatos[[#This Row],[FechaIngreso]]+TablaDatos[[#This Row],[DiasNuevo]]</f>
        <v>45246</v>
      </c>
    </row>
    <row r="4409" spans="1:15">
      <c r="A4409">
        <v>4408</v>
      </c>
      <c r="B4409" t="s">
        <v>327</v>
      </c>
      <c r="C4409" s="1">
        <v>44927</v>
      </c>
      <c r="D4409">
        <v>3</v>
      </c>
      <c r="E4409" s="4" t="s">
        <v>15</v>
      </c>
      <c r="F4409" t="s">
        <v>21</v>
      </c>
      <c r="G4409" s="1">
        <v>45134</v>
      </c>
      <c r="H4409" s="1">
        <f>TablaDatos[[#This Row],[FechaIngreso]]+TablaDatos[[#This Row],[DiasNuevo]]</f>
        <v>45137</v>
      </c>
      <c r="I4409">
        <v>3</v>
      </c>
      <c r="J4409" t="s">
        <v>25</v>
      </c>
      <c r="K4409" s="3">
        <v>11348.21</v>
      </c>
      <c r="L4409" t="b">
        <f>TablaDatos[[#This Row],[FechaAlta]] &lt; TablaDatos[[#This Row],[FechaIngreso]]</f>
        <v>0</v>
      </c>
      <c r="M4409">
        <f>_xlfn.XLOOKUP(TablaDatos[[#This Row],[PacienteID]],'Datos_Ejemplo.csv'!A:A,'Datos_Ejemplo.csv'!I:I)</f>
        <v>3</v>
      </c>
      <c r="N4409">
        <f>ABS(TablaDatos[[#This Row],[DiasOriginal]])</f>
        <v>3</v>
      </c>
      <c r="O4409" s="1">
        <f>TablaDatos[[#This Row],[FechaIngreso]]+TablaDatos[[#This Row],[DiasNuevo]]</f>
        <v>45137</v>
      </c>
    </row>
    <row r="4410" spans="1:15">
      <c r="A4410">
        <v>4409</v>
      </c>
      <c r="B4410" t="s">
        <v>272</v>
      </c>
      <c r="C4410" s="1">
        <v>14246</v>
      </c>
      <c r="D4410">
        <v>87</v>
      </c>
      <c r="E4410" s="4" t="s">
        <v>12</v>
      </c>
      <c r="F4410" t="s">
        <v>21</v>
      </c>
      <c r="G4410" s="1">
        <v>45478</v>
      </c>
      <c r="H4410" s="1">
        <f>TablaDatos[[#This Row],[FechaIngreso]]+TablaDatos[[#This Row],[DiasNuevo]]</f>
        <v>45499</v>
      </c>
      <c r="I4410">
        <v>21</v>
      </c>
      <c r="J4410" t="s">
        <v>25</v>
      </c>
      <c r="K4410" s="3">
        <v>13095.86</v>
      </c>
      <c r="L4410" t="b">
        <f>TablaDatos[[#This Row],[FechaAlta]] &lt; TablaDatos[[#This Row],[FechaIngreso]]</f>
        <v>0</v>
      </c>
      <c r="M4410">
        <f>_xlfn.XLOOKUP(TablaDatos[[#This Row],[PacienteID]],'Datos_Ejemplo.csv'!A:A,'Datos_Ejemplo.csv'!I:I)</f>
        <v>21</v>
      </c>
      <c r="N4410">
        <f>ABS(TablaDatos[[#This Row],[DiasOriginal]])</f>
        <v>21</v>
      </c>
      <c r="O4410" s="1">
        <f>TablaDatos[[#This Row],[FechaIngreso]]+TablaDatos[[#This Row],[DiasNuevo]]</f>
        <v>45499</v>
      </c>
    </row>
    <row r="4411" spans="1:15">
      <c r="A4411">
        <v>4410</v>
      </c>
      <c r="B4411" t="s">
        <v>293</v>
      </c>
      <c r="C4411" s="1">
        <v>24838</v>
      </c>
      <c r="D4411">
        <v>58</v>
      </c>
      <c r="E4411" s="4" t="s">
        <v>15</v>
      </c>
      <c r="F4411" t="s">
        <v>295</v>
      </c>
      <c r="G4411" s="1">
        <v>45022</v>
      </c>
      <c r="H4411" s="1">
        <f>TablaDatos[[#This Row],[FechaIngreso]]+TablaDatos[[#This Row],[DiasNuevo]]</f>
        <v>45037</v>
      </c>
      <c r="I4411">
        <v>15</v>
      </c>
      <c r="J4411" t="s">
        <v>25</v>
      </c>
      <c r="K4411" s="3">
        <v>2222.0300000000002</v>
      </c>
      <c r="L4411" t="b">
        <f>TablaDatos[[#This Row],[FechaAlta]] &lt; TablaDatos[[#This Row],[FechaIngreso]]</f>
        <v>0</v>
      </c>
      <c r="M4411">
        <f>_xlfn.XLOOKUP(TablaDatos[[#This Row],[PacienteID]],'Datos_Ejemplo.csv'!A:A,'Datos_Ejemplo.csv'!I:I)</f>
        <v>15</v>
      </c>
      <c r="N4411">
        <f>ABS(TablaDatos[[#This Row],[DiasOriginal]])</f>
        <v>15</v>
      </c>
      <c r="O4411" s="1">
        <f>TablaDatos[[#This Row],[FechaIngreso]]+TablaDatos[[#This Row],[DiasNuevo]]</f>
        <v>45037</v>
      </c>
    </row>
    <row r="4412" spans="1:15">
      <c r="A4412">
        <v>4411</v>
      </c>
      <c r="B4412" t="s">
        <v>309</v>
      </c>
      <c r="C4412" s="1">
        <v>35795</v>
      </c>
      <c r="D4412">
        <v>28</v>
      </c>
      <c r="E4412" s="4" t="s">
        <v>12</v>
      </c>
      <c r="F4412" t="s">
        <v>13</v>
      </c>
      <c r="G4412" s="1">
        <v>45378</v>
      </c>
      <c r="H4412" s="1">
        <f>TablaDatos[[#This Row],[FechaIngreso]]+TablaDatos[[#This Row],[DiasNuevo]]</f>
        <v>45385</v>
      </c>
      <c r="I4412">
        <v>7</v>
      </c>
      <c r="J4412" t="s">
        <v>19</v>
      </c>
      <c r="K4412" s="3">
        <v>9467.9599999999991</v>
      </c>
      <c r="L4412" t="b">
        <f>TablaDatos[[#This Row],[FechaAlta]] &lt; TablaDatos[[#This Row],[FechaIngreso]]</f>
        <v>0</v>
      </c>
      <c r="M4412">
        <f>_xlfn.XLOOKUP(TablaDatos[[#This Row],[PacienteID]],'Datos_Ejemplo.csv'!A:A,'Datos_Ejemplo.csv'!I:I)</f>
        <v>7</v>
      </c>
      <c r="N4412">
        <f>ABS(TablaDatos[[#This Row],[DiasOriginal]])</f>
        <v>7</v>
      </c>
      <c r="O4412" s="1">
        <f>TablaDatos[[#This Row],[FechaIngreso]]+TablaDatos[[#This Row],[DiasNuevo]]</f>
        <v>45385</v>
      </c>
    </row>
    <row r="4413" spans="1:15">
      <c r="A4413">
        <v>4412</v>
      </c>
      <c r="B4413" t="s">
        <v>290</v>
      </c>
      <c r="C4413" s="1">
        <v>16072</v>
      </c>
      <c r="D4413">
        <v>82</v>
      </c>
      <c r="E4413" s="4" t="s">
        <v>15</v>
      </c>
      <c r="F4413" t="s">
        <v>295</v>
      </c>
      <c r="G4413" s="1">
        <v>45299</v>
      </c>
      <c r="H4413" s="1">
        <f>TablaDatos[[#This Row],[FechaIngreso]]+TablaDatos[[#This Row],[DiasNuevo]]</f>
        <v>45311</v>
      </c>
      <c r="I4413">
        <v>12</v>
      </c>
      <c r="J4413" t="s">
        <v>25</v>
      </c>
      <c r="K4413" s="3">
        <v>7076.07</v>
      </c>
      <c r="L4413" t="b">
        <f>TablaDatos[[#This Row],[FechaAlta]] &lt; TablaDatos[[#This Row],[FechaIngreso]]</f>
        <v>0</v>
      </c>
      <c r="M4413">
        <f>_xlfn.XLOOKUP(TablaDatos[[#This Row],[PacienteID]],'Datos_Ejemplo.csv'!A:A,'Datos_Ejemplo.csv'!I:I)</f>
        <v>12</v>
      </c>
      <c r="N4413">
        <f>ABS(TablaDatos[[#This Row],[DiasOriginal]])</f>
        <v>12</v>
      </c>
      <c r="O4413" s="1">
        <f>TablaDatos[[#This Row],[FechaIngreso]]+TablaDatos[[#This Row],[DiasNuevo]]</f>
        <v>45311</v>
      </c>
    </row>
    <row r="4414" spans="1:15">
      <c r="A4414">
        <v>4413</v>
      </c>
      <c r="B4414" t="s">
        <v>243</v>
      </c>
      <c r="C4414" s="1">
        <v>44196</v>
      </c>
      <c r="D4414">
        <v>5</v>
      </c>
      <c r="E4414" s="4" t="s">
        <v>15</v>
      </c>
      <c r="F4414" t="s">
        <v>295</v>
      </c>
      <c r="G4414" s="1">
        <v>45574</v>
      </c>
      <c r="H4414" s="1">
        <f>TablaDatos[[#This Row],[FechaIngreso]]+TablaDatos[[#This Row],[DiasNuevo]]</f>
        <v>45605</v>
      </c>
      <c r="I4414">
        <v>31</v>
      </c>
      <c r="J4414" t="s">
        <v>25</v>
      </c>
      <c r="K4414" s="3">
        <v>19464.71</v>
      </c>
      <c r="L4414" t="b">
        <f>TablaDatos[[#This Row],[FechaAlta]] &lt; TablaDatos[[#This Row],[FechaIngreso]]</f>
        <v>0</v>
      </c>
      <c r="M4414">
        <f>_xlfn.XLOOKUP(TablaDatos[[#This Row],[PacienteID]],'Datos_Ejemplo.csv'!A:A,'Datos_Ejemplo.csv'!I:I)</f>
        <v>31</v>
      </c>
      <c r="N4414">
        <f>ABS(TablaDatos[[#This Row],[DiasOriginal]])</f>
        <v>31</v>
      </c>
      <c r="O4414" s="1">
        <f>TablaDatos[[#This Row],[FechaIngreso]]+TablaDatos[[#This Row],[DiasNuevo]]</f>
        <v>45605</v>
      </c>
    </row>
    <row r="4415" spans="1:15">
      <c r="A4415">
        <v>4414</v>
      </c>
      <c r="B4415" t="s">
        <v>348</v>
      </c>
      <c r="C4415" s="1">
        <v>28490</v>
      </c>
      <c r="D4415">
        <v>48</v>
      </c>
      <c r="E4415" s="4" t="s">
        <v>15</v>
      </c>
      <c r="F4415" t="s">
        <v>295</v>
      </c>
      <c r="G4415" s="1">
        <v>44999</v>
      </c>
      <c r="H4415" s="1">
        <f>TablaDatos[[#This Row],[FechaIngreso]]+TablaDatos[[#This Row],[DiasNuevo]]</f>
        <v>45004</v>
      </c>
      <c r="I4415">
        <v>5</v>
      </c>
      <c r="J4415" t="s">
        <v>23</v>
      </c>
      <c r="K4415" s="3">
        <v>897.44</v>
      </c>
      <c r="L4415" t="b">
        <f>TablaDatos[[#This Row],[FechaAlta]] &lt; TablaDatos[[#This Row],[FechaIngreso]]</f>
        <v>0</v>
      </c>
      <c r="M4415">
        <f>_xlfn.XLOOKUP(TablaDatos[[#This Row],[PacienteID]],'Datos_Ejemplo.csv'!A:A,'Datos_Ejemplo.csv'!I:I)</f>
        <v>5</v>
      </c>
      <c r="N4415">
        <f>ABS(TablaDatos[[#This Row],[DiasOriginal]])</f>
        <v>5</v>
      </c>
      <c r="O4415" s="1">
        <f>TablaDatos[[#This Row],[FechaIngreso]]+TablaDatos[[#This Row],[DiasNuevo]]</f>
        <v>45004</v>
      </c>
    </row>
    <row r="4416" spans="1:15">
      <c r="A4416">
        <v>4415</v>
      </c>
      <c r="B4416" t="s">
        <v>164</v>
      </c>
      <c r="C4416" s="1">
        <v>31778</v>
      </c>
      <c r="D4416">
        <v>39</v>
      </c>
      <c r="E4416" s="4" t="s">
        <v>12</v>
      </c>
      <c r="F4416" t="s">
        <v>201</v>
      </c>
      <c r="G4416" s="1">
        <v>45607</v>
      </c>
      <c r="H4416" s="1">
        <f>TablaDatos[[#This Row],[FechaIngreso]]+TablaDatos[[#This Row],[DiasNuevo]]</f>
        <v>45639</v>
      </c>
      <c r="I4416">
        <v>32</v>
      </c>
      <c r="J4416" t="s">
        <v>19</v>
      </c>
      <c r="K4416" s="3">
        <v>5895.71</v>
      </c>
      <c r="L4416" t="b">
        <f>TablaDatos[[#This Row],[FechaAlta]] &lt; TablaDatos[[#This Row],[FechaIngreso]]</f>
        <v>0</v>
      </c>
      <c r="M4416">
        <f>_xlfn.XLOOKUP(TablaDatos[[#This Row],[PacienteID]],'Datos_Ejemplo.csv'!A:A,'Datos_Ejemplo.csv'!I:I)</f>
        <v>32</v>
      </c>
      <c r="N4416">
        <f>ABS(TablaDatos[[#This Row],[DiasOriginal]])</f>
        <v>32</v>
      </c>
      <c r="O4416" s="1">
        <f>TablaDatos[[#This Row],[FechaIngreso]]+TablaDatos[[#This Row],[DiasNuevo]]</f>
        <v>45639</v>
      </c>
    </row>
    <row r="4417" spans="1:15">
      <c r="A4417">
        <v>4416</v>
      </c>
      <c r="B4417" t="s">
        <v>281</v>
      </c>
      <c r="C4417" s="1">
        <v>16072</v>
      </c>
      <c r="D4417">
        <v>82</v>
      </c>
      <c r="E4417" s="4" t="s">
        <v>12</v>
      </c>
      <c r="F4417" t="s">
        <v>201</v>
      </c>
      <c r="G4417" s="1">
        <v>45259</v>
      </c>
      <c r="H4417" s="1">
        <f>TablaDatos[[#This Row],[FechaIngreso]]+TablaDatos[[#This Row],[DiasNuevo]]</f>
        <v>45283</v>
      </c>
      <c r="I4417">
        <v>24</v>
      </c>
      <c r="J4417" t="s">
        <v>25</v>
      </c>
      <c r="K4417" s="3">
        <v>18831.43</v>
      </c>
      <c r="L4417" t="b">
        <f>TablaDatos[[#This Row],[FechaAlta]] &lt; TablaDatos[[#This Row],[FechaIngreso]]</f>
        <v>0</v>
      </c>
      <c r="M4417">
        <f>_xlfn.XLOOKUP(TablaDatos[[#This Row],[PacienteID]],'Datos_Ejemplo.csv'!A:A,'Datos_Ejemplo.csv'!I:I)</f>
        <v>24</v>
      </c>
      <c r="N4417">
        <f>ABS(TablaDatos[[#This Row],[DiasOriginal]])</f>
        <v>24</v>
      </c>
      <c r="O4417" s="1">
        <f>TablaDatos[[#This Row],[FechaIngreso]]+TablaDatos[[#This Row],[DiasNuevo]]</f>
        <v>45283</v>
      </c>
    </row>
    <row r="4418" spans="1:15">
      <c r="A4418">
        <v>4417</v>
      </c>
      <c r="B4418" t="s">
        <v>286</v>
      </c>
      <c r="C4418" s="1">
        <v>22646</v>
      </c>
      <c r="D4418">
        <v>64</v>
      </c>
      <c r="E4418" s="4" t="s">
        <v>15</v>
      </c>
      <c r="F4418" t="s">
        <v>13</v>
      </c>
      <c r="G4418" s="1">
        <v>45319</v>
      </c>
      <c r="H4418" s="1">
        <f>TablaDatos[[#This Row],[FechaIngreso]]+TablaDatos[[#This Row],[DiasNuevo]]</f>
        <v>45341</v>
      </c>
      <c r="I4418">
        <v>22</v>
      </c>
      <c r="J4418" t="s">
        <v>23</v>
      </c>
      <c r="K4418" s="3">
        <v>19668.27</v>
      </c>
      <c r="L4418" t="b">
        <f>TablaDatos[[#This Row],[FechaAlta]] &lt; TablaDatos[[#This Row],[FechaIngreso]]</f>
        <v>0</v>
      </c>
      <c r="M4418">
        <f>_xlfn.XLOOKUP(TablaDatos[[#This Row],[PacienteID]],'Datos_Ejemplo.csv'!A:A,'Datos_Ejemplo.csv'!I:I)</f>
        <v>22</v>
      </c>
      <c r="N4418">
        <f>ABS(TablaDatos[[#This Row],[DiasOriginal]])</f>
        <v>22</v>
      </c>
      <c r="O4418" s="1">
        <f>TablaDatos[[#This Row],[FechaIngreso]]+TablaDatos[[#This Row],[DiasNuevo]]</f>
        <v>45341</v>
      </c>
    </row>
    <row r="4419" spans="1:15">
      <c r="A4419">
        <v>4418</v>
      </c>
      <c r="B4419" t="s">
        <v>359</v>
      </c>
      <c r="C4419" s="1">
        <v>21185</v>
      </c>
      <c r="D4419">
        <v>68</v>
      </c>
      <c r="E4419" s="4" t="s">
        <v>12</v>
      </c>
      <c r="F4419" t="s">
        <v>18</v>
      </c>
      <c r="G4419" s="1">
        <v>45636</v>
      </c>
      <c r="H4419" s="1">
        <f>TablaDatos[[#This Row],[FechaIngreso]]+TablaDatos[[#This Row],[DiasNuevo]]</f>
        <v>45636</v>
      </c>
      <c r="I4419">
        <v>0</v>
      </c>
      <c r="J4419" t="s">
        <v>19</v>
      </c>
      <c r="K4419" s="3">
        <v>16480.52</v>
      </c>
      <c r="L4419" t="b">
        <f>TablaDatos[[#This Row],[FechaAlta]] &lt; TablaDatos[[#This Row],[FechaIngreso]]</f>
        <v>0</v>
      </c>
      <c r="M4419">
        <f>_xlfn.XLOOKUP(TablaDatos[[#This Row],[PacienteID]],'Datos_Ejemplo.csv'!A:A,'Datos_Ejemplo.csv'!I:I)</f>
        <v>0</v>
      </c>
      <c r="N4419">
        <f>ABS(TablaDatos[[#This Row],[DiasOriginal]])</f>
        <v>0</v>
      </c>
      <c r="O4419" s="1">
        <f>TablaDatos[[#This Row],[FechaIngreso]]+TablaDatos[[#This Row],[DiasNuevo]]</f>
        <v>45636</v>
      </c>
    </row>
    <row r="4420" spans="1:15">
      <c r="A4420">
        <v>4419</v>
      </c>
      <c r="B4420" t="s">
        <v>237</v>
      </c>
      <c r="C4420" s="1">
        <v>36526</v>
      </c>
      <c r="D4420">
        <v>26</v>
      </c>
      <c r="E4420" s="4" t="s">
        <v>15</v>
      </c>
      <c r="F4420" t="s">
        <v>32</v>
      </c>
      <c r="G4420" s="1">
        <v>45032</v>
      </c>
      <c r="H4420" s="1">
        <f>TablaDatos[[#This Row],[FechaIngreso]]+TablaDatos[[#This Row],[DiasNuevo]]</f>
        <v>45050</v>
      </c>
      <c r="I4420">
        <v>18</v>
      </c>
      <c r="J4420" t="s">
        <v>25</v>
      </c>
      <c r="K4420" s="3">
        <v>1427.56</v>
      </c>
      <c r="L4420" t="b">
        <f>TablaDatos[[#This Row],[FechaAlta]] &lt; TablaDatos[[#This Row],[FechaIngreso]]</f>
        <v>0</v>
      </c>
      <c r="M4420">
        <f>_xlfn.XLOOKUP(TablaDatos[[#This Row],[PacienteID]],'Datos_Ejemplo.csv'!A:A,'Datos_Ejemplo.csv'!I:I)</f>
        <v>18</v>
      </c>
      <c r="N4420">
        <f>ABS(TablaDatos[[#This Row],[DiasOriginal]])</f>
        <v>18</v>
      </c>
      <c r="O4420" s="1">
        <f>TablaDatos[[#This Row],[FechaIngreso]]+TablaDatos[[#This Row],[DiasNuevo]]</f>
        <v>45050</v>
      </c>
    </row>
    <row r="4421" spans="1:15">
      <c r="A4421">
        <v>4420</v>
      </c>
      <c r="B4421" t="s">
        <v>251</v>
      </c>
      <c r="C4421" s="1">
        <v>17168</v>
      </c>
      <c r="D4421">
        <v>79</v>
      </c>
      <c r="E4421" s="4" t="s">
        <v>15</v>
      </c>
      <c r="F4421" t="s">
        <v>18</v>
      </c>
      <c r="G4421" s="1">
        <v>45027</v>
      </c>
      <c r="H4421" s="1">
        <f>TablaDatos[[#This Row],[FechaIngreso]]+TablaDatos[[#This Row],[DiasNuevo]]</f>
        <v>45063</v>
      </c>
      <c r="I4421">
        <v>36</v>
      </c>
      <c r="J4421" t="s">
        <v>25</v>
      </c>
      <c r="K4421" s="3">
        <v>11183.24</v>
      </c>
      <c r="L4421" t="b">
        <f>TablaDatos[[#This Row],[FechaAlta]] &lt; TablaDatos[[#This Row],[FechaIngreso]]</f>
        <v>0</v>
      </c>
      <c r="M4421">
        <f>_xlfn.XLOOKUP(TablaDatos[[#This Row],[PacienteID]],'Datos_Ejemplo.csv'!A:A,'Datos_Ejemplo.csv'!I:I)</f>
        <v>36</v>
      </c>
      <c r="N4421">
        <f>ABS(TablaDatos[[#This Row],[DiasOriginal]])</f>
        <v>36</v>
      </c>
      <c r="O4421" s="1">
        <f>TablaDatos[[#This Row],[FechaIngreso]]+TablaDatos[[#This Row],[DiasNuevo]]</f>
        <v>45063</v>
      </c>
    </row>
    <row r="4422" spans="1:15">
      <c r="A4422">
        <v>4421</v>
      </c>
      <c r="B4422" t="s">
        <v>273</v>
      </c>
      <c r="C4422" s="1">
        <v>44196</v>
      </c>
      <c r="D4422">
        <v>5</v>
      </c>
      <c r="E4422" s="4" t="s">
        <v>12</v>
      </c>
      <c r="F4422" t="s">
        <v>18</v>
      </c>
      <c r="G4422" s="1">
        <v>45285</v>
      </c>
      <c r="H4422" s="1">
        <f>TablaDatos[[#This Row],[FechaIngreso]]+TablaDatos[[#This Row],[DiasNuevo]]</f>
        <v>45314</v>
      </c>
      <c r="I4422">
        <v>29</v>
      </c>
      <c r="J4422" t="s">
        <v>23</v>
      </c>
      <c r="K4422" s="3">
        <v>7942.47</v>
      </c>
      <c r="L4422" t="b">
        <f>TablaDatos[[#This Row],[FechaAlta]] &lt; TablaDatos[[#This Row],[FechaIngreso]]</f>
        <v>0</v>
      </c>
      <c r="M4422">
        <f>_xlfn.XLOOKUP(TablaDatos[[#This Row],[PacienteID]],'Datos_Ejemplo.csv'!A:A,'Datos_Ejemplo.csv'!I:I)</f>
        <v>29</v>
      </c>
      <c r="N4422">
        <f>ABS(TablaDatos[[#This Row],[DiasOriginal]])</f>
        <v>29</v>
      </c>
      <c r="O4422" s="1">
        <f>TablaDatos[[#This Row],[FechaIngreso]]+TablaDatos[[#This Row],[DiasNuevo]]</f>
        <v>45314</v>
      </c>
    </row>
    <row r="4423" spans="1:15">
      <c r="A4423">
        <v>4422</v>
      </c>
      <c r="B4423" t="s">
        <v>242</v>
      </c>
      <c r="C4423" s="1">
        <v>41639</v>
      </c>
      <c r="D4423">
        <v>12</v>
      </c>
      <c r="E4423" s="4" t="s">
        <v>15</v>
      </c>
      <c r="F4423" t="s">
        <v>295</v>
      </c>
      <c r="G4423" s="1">
        <v>45255</v>
      </c>
      <c r="H4423" s="1">
        <f>TablaDatos[[#This Row],[FechaIngreso]]+TablaDatos[[#This Row],[DiasNuevo]]</f>
        <v>45273</v>
      </c>
      <c r="I4423">
        <v>18</v>
      </c>
      <c r="J4423" t="s">
        <v>23</v>
      </c>
      <c r="K4423" s="3">
        <v>16109.7</v>
      </c>
      <c r="L4423" t="b">
        <f>TablaDatos[[#This Row],[FechaAlta]] &lt; TablaDatos[[#This Row],[FechaIngreso]]</f>
        <v>0</v>
      </c>
      <c r="M4423">
        <f>_xlfn.XLOOKUP(TablaDatos[[#This Row],[PacienteID]],'Datos_Ejemplo.csv'!A:A,'Datos_Ejemplo.csv'!I:I)</f>
        <v>18</v>
      </c>
      <c r="N4423">
        <f>ABS(TablaDatos[[#This Row],[DiasOriginal]])</f>
        <v>18</v>
      </c>
      <c r="O4423" s="1">
        <f>TablaDatos[[#This Row],[FechaIngreso]]+TablaDatos[[#This Row],[DiasNuevo]]</f>
        <v>45273</v>
      </c>
    </row>
    <row r="4424" spans="1:15">
      <c r="A4424">
        <v>4423</v>
      </c>
      <c r="B4424" t="s">
        <v>328</v>
      </c>
      <c r="C4424" s="1">
        <v>23012</v>
      </c>
      <c r="D4424">
        <v>63</v>
      </c>
      <c r="E4424" s="4" t="s">
        <v>12</v>
      </c>
      <c r="F4424" t="s">
        <v>18</v>
      </c>
      <c r="G4424" s="1">
        <v>45544</v>
      </c>
      <c r="H4424" s="1">
        <f>TablaDatos[[#This Row],[FechaIngreso]]+TablaDatos[[#This Row],[DiasNuevo]]</f>
        <v>45550</v>
      </c>
      <c r="I4424">
        <v>6</v>
      </c>
      <c r="J4424" t="s">
        <v>19</v>
      </c>
      <c r="K4424" s="3">
        <v>1005.99</v>
      </c>
      <c r="L4424" t="b">
        <f>TablaDatos[[#This Row],[FechaAlta]] &lt; TablaDatos[[#This Row],[FechaIngreso]]</f>
        <v>0</v>
      </c>
      <c r="M4424">
        <f>_xlfn.XLOOKUP(TablaDatos[[#This Row],[PacienteID]],'Datos_Ejemplo.csv'!A:A,'Datos_Ejemplo.csv'!I:I)</f>
        <v>6</v>
      </c>
      <c r="N4424">
        <f>ABS(TablaDatos[[#This Row],[DiasOriginal]])</f>
        <v>6</v>
      </c>
      <c r="O4424" s="1">
        <f>TablaDatos[[#This Row],[FechaIngreso]]+TablaDatos[[#This Row],[DiasNuevo]]</f>
        <v>45550</v>
      </c>
    </row>
    <row r="4425" spans="1:15">
      <c r="A4425">
        <v>4424</v>
      </c>
      <c r="B4425" t="s">
        <v>259</v>
      </c>
      <c r="C4425" s="1">
        <v>23742</v>
      </c>
      <c r="D4425">
        <v>61</v>
      </c>
      <c r="E4425" s="4" t="s">
        <v>12</v>
      </c>
      <c r="F4425" t="s">
        <v>295</v>
      </c>
      <c r="G4425" s="1">
        <v>45321</v>
      </c>
      <c r="H4425" s="1">
        <f>TablaDatos[[#This Row],[FechaIngreso]]+TablaDatos[[#This Row],[DiasNuevo]]</f>
        <v>45323</v>
      </c>
      <c r="I4425">
        <v>2</v>
      </c>
      <c r="J4425" t="s">
        <v>23</v>
      </c>
      <c r="K4425" s="3">
        <v>3862.29</v>
      </c>
      <c r="L4425" t="b">
        <f>TablaDatos[[#This Row],[FechaAlta]] &lt; TablaDatos[[#This Row],[FechaIngreso]]</f>
        <v>0</v>
      </c>
      <c r="M4425">
        <f>_xlfn.XLOOKUP(TablaDatos[[#This Row],[PacienteID]],'Datos_Ejemplo.csv'!A:A,'Datos_Ejemplo.csv'!I:I)</f>
        <v>-2</v>
      </c>
      <c r="N4425">
        <f>ABS(TablaDatos[[#This Row],[DiasOriginal]])</f>
        <v>2</v>
      </c>
      <c r="O4425" s="1">
        <f>TablaDatos[[#This Row],[FechaIngreso]]+TablaDatos[[#This Row],[DiasNuevo]]</f>
        <v>45323</v>
      </c>
    </row>
    <row r="4426" spans="1:15">
      <c r="A4426">
        <v>4425</v>
      </c>
      <c r="B4426" t="s">
        <v>297</v>
      </c>
      <c r="C4426" s="1">
        <v>39448</v>
      </c>
      <c r="D4426">
        <v>18</v>
      </c>
      <c r="E4426" s="4" t="s">
        <v>12</v>
      </c>
      <c r="F4426" t="s">
        <v>295</v>
      </c>
      <c r="G4426" s="1">
        <v>44961</v>
      </c>
      <c r="H4426" s="1">
        <f>TablaDatos[[#This Row],[FechaIngreso]]+TablaDatos[[#This Row],[DiasNuevo]]</f>
        <v>44962</v>
      </c>
      <c r="I4426">
        <v>1</v>
      </c>
      <c r="J4426" t="s">
        <v>23</v>
      </c>
      <c r="K4426" s="3">
        <v>9732.82</v>
      </c>
      <c r="L4426" t="b">
        <f>TablaDatos[[#This Row],[FechaAlta]] &lt; TablaDatos[[#This Row],[FechaIngreso]]</f>
        <v>0</v>
      </c>
      <c r="M4426">
        <f>_xlfn.XLOOKUP(TablaDatos[[#This Row],[PacienteID]],'Datos_Ejemplo.csv'!A:A,'Datos_Ejemplo.csv'!I:I)</f>
        <v>1</v>
      </c>
      <c r="N4426">
        <f>ABS(TablaDatos[[#This Row],[DiasOriginal]])</f>
        <v>1</v>
      </c>
      <c r="O4426" s="1">
        <f>TablaDatos[[#This Row],[FechaIngreso]]+TablaDatos[[#This Row],[DiasNuevo]]</f>
        <v>44962</v>
      </c>
    </row>
    <row r="4427" spans="1:15">
      <c r="A4427">
        <v>4426</v>
      </c>
      <c r="B4427" t="s">
        <v>281</v>
      </c>
      <c r="C4427" s="1">
        <v>18629</v>
      </c>
      <c r="D4427">
        <v>75</v>
      </c>
      <c r="E4427" s="4" t="s">
        <v>12</v>
      </c>
      <c r="F4427" t="s">
        <v>32</v>
      </c>
      <c r="G4427" s="1">
        <v>45083</v>
      </c>
      <c r="H4427" s="1">
        <f>TablaDatos[[#This Row],[FechaIngreso]]+TablaDatos[[#This Row],[DiasNuevo]]</f>
        <v>45084</v>
      </c>
      <c r="I4427">
        <v>1</v>
      </c>
      <c r="J4427" t="s">
        <v>19</v>
      </c>
      <c r="K4427" s="3">
        <v>3068.72</v>
      </c>
      <c r="L4427" t="b">
        <f>TablaDatos[[#This Row],[FechaAlta]] &lt; TablaDatos[[#This Row],[FechaIngreso]]</f>
        <v>0</v>
      </c>
      <c r="M4427">
        <f>_xlfn.XLOOKUP(TablaDatos[[#This Row],[PacienteID]],'Datos_Ejemplo.csv'!A:A,'Datos_Ejemplo.csv'!I:I)</f>
        <v>1</v>
      </c>
      <c r="N4427">
        <f>ABS(TablaDatos[[#This Row],[DiasOriginal]])</f>
        <v>1</v>
      </c>
      <c r="O4427" s="1">
        <f>TablaDatos[[#This Row],[FechaIngreso]]+TablaDatos[[#This Row],[DiasNuevo]]</f>
        <v>45084</v>
      </c>
    </row>
    <row r="4428" spans="1:15">
      <c r="A4428">
        <v>4427</v>
      </c>
      <c r="B4428" t="s">
        <v>285</v>
      </c>
      <c r="C4428" s="1">
        <v>17168</v>
      </c>
      <c r="D4428">
        <v>79</v>
      </c>
      <c r="E4428" s="4" t="s">
        <v>15</v>
      </c>
      <c r="F4428" t="s">
        <v>21</v>
      </c>
      <c r="G4428" s="1">
        <v>45199</v>
      </c>
      <c r="H4428" s="1">
        <f>TablaDatos[[#This Row],[FechaIngreso]]+TablaDatos[[#This Row],[DiasNuevo]]</f>
        <v>45222</v>
      </c>
      <c r="I4428">
        <v>23</v>
      </c>
      <c r="J4428" t="s">
        <v>23</v>
      </c>
      <c r="K4428" s="3">
        <v>13823.57</v>
      </c>
      <c r="L4428" t="b">
        <f>TablaDatos[[#This Row],[FechaAlta]] &lt; TablaDatos[[#This Row],[FechaIngreso]]</f>
        <v>0</v>
      </c>
      <c r="M4428">
        <f>_xlfn.XLOOKUP(TablaDatos[[#This Row],[PacienteID]],'Datos_Ejemplo.csv'!A:A,'Datos_Ejemplo.csv'!I:I)</f>
        <v>23</v>
      </c>
      <c r="N4428">
        <f>ABS(TablaDatos[[#This Row],[DiasOriginal]])</f>
        <v>23</v>
      </c>
      <c r="O4428" s="1">
        <f>TablaDatos[[#This Row],[FechaIngreso]]+TablaDatos[[#This Row],[DiasNuevo]]</f>
        <v>45222</v>
      </c>
    </row>
    <row r="4429" spans="1:15">
      <c r="A4429">
        <v>4428</v>
      </c>
      <c r="B4429" t="s">
        <v>268</v>
      </c>
      <c r="C4429" s="1">
        <v>30682</v>
      </c>
      <c r="D4429">
        <v>42</v>
      </c>
      <c r="E4429" s="4" t="s">
        <v>15</v>
      </c>
      <c r="F4429" t="s">
        <v>295</v>
      </c>
      <c r="G4429" s="1">
        <v>45322</v>
      </c>
      <c r="H4429" s="1">
        <f>TablaDatos[[#This Row],[FechaIngreso]]+TablaDatos[[#This Row],[DiasNuevo]]</f>
        <v>45353</v>
      </c>
      <c r="I4429">
        <v>31</v>
      </c>
      <c r="J4429" t="s">
        <v>25</v>
      </c>
      <c r="K4429" s="3">
        <v>16397.419999999998</v>
      </c>
      <c r="L4429" t="b">
        <f>TablaDatos[[#This Row],[FechaAlta]] &lt; TablaDatos[[#This Row],[FechaIngreso]]</f>
        <v>0</v>
      </c>
      <c r="M4429">
        <f>_xlfn.XLOOKUP(TablaDatos[[#This Row],[PacienteID]],'Datos_Ejemplo.csv'!A:A,'Datos_Ejemplo.csv'!I:I)</f>
        <v>31</v>
      </c>
      <c r="N4429">
        <f>ABS(TablaDatos[[#This Row],[DiasOriginal]])</f>
        <v>31</v>
      </c>
      <c r="O4429" s="1">
        <f>TablaDatos[[#This Row],[FechaIngreso]]+TablaDatos[[#This Row],[DiasNuevo]]</f>
        <v>45353</v>
      </c>
    </row>
    <row r="4430" spans="1:15">
      <c r="A4430">
        <v>4429</v>
      </c>
      <c r="B4430" t="s">
        <v>233</v>
      </c>
      <c r="C4430" s="1">
        <v>19359</v>
      </c>
      <c r="D4430">
        <v>73</v>
      </c>
      <c r="E4430" s="4" t="s">
        <v>15</v>
      </c>
      <c r="F4430" t="s">
        <v>201</v>
      </c>
      <c r="G4430" s="1">
        <v>45133</v>
      </c>
      <c r="H4430" s="1">
        <f>TablaDatos[[#This Row],[FechaIngreso]]+TablaDatos[[#This Row],[DiasNuevo]]</f>
        <v>45157</v>
      </c>
      <c r="I4430">
        <v>24</v>
      </c>
      <c r="J4430" t="s">
        <v>25</v>
      </c>
      <c r="K4430" s="3">
        <v>14060.85</v>
      </c>
      <c r="L4430" t="b">
        <f>TablaDatos[[#This Row],[FechaAlta]] &lt; TablaDatos[[#This Row],[FechaIngreso]]</f>
        <v>0</v>
      </c>
      <c r="M4430">
        <f>_xlfn.XLOOKUP(TablaDatos[[#This Row],[PacienteID]],'Datos_Ejemplo.csv'!A:A,'Datos_Ejemplo.csv'!I:I)</f>
        <v>24</v>
      </c>
      <c r="N4430">
        <f>ABS(TablaDatos[[#This Row],[DiasOriginal]])</f>
        <v>24</v>
      </c>
      <c r="O4430" s="1">
        <f>TablaDatos[[#This Row],[FechaIngreso]]+TablaDatos[[#This Row],[DiasNuevo]]</f>
        <v>45157</v>
      </c>
    </row>
    <row r="4431" spans="1:15">
      <c r="A4431">
        <v>4430</v>
      </c>
      <c r="B4431" t="s">
        <v>329</v>
      </c>
      <c r="C4431" s="1">
        <v>13880</v>
      </c>
      <c r="D4431">
        <v>88</v>
      </c>
      <c r="E4431" s="4" t="s">
        <v>15</v>
      </c>
      <c r="F4431" t="s">
        <v>18</v>
      </c>
      <c r="G4431" s="1">
        <v>45531</v>
      </c>
      <c r="H4431" s="1">
        <f>TablaDatos[[#This Row],[FechaIngreso]]+TablaDatos[[#This Row],[DiasNuevo]]</f>
        <v>45543</v>
      </c>
      <c r="I4431">
        <v>12</v>
      </c>
      <c r="J4431" t="s">
        <v>23</v>
      </c>
      <c r="K4431" s="3">
        <v>8749.7000000000007</v>
      </c>
      <c r="L4431" t="b">
        <f>TablaDatos[[#This Row],[FechaAlta]] &lt; TablaDatos[[#This Row],[FechaIngreso]]</f>
        <v>0</v>
      </c>
      <c r="M4431">
        <f>_xlfn.XLOOKUP(TablaDatos[[#This Row],[PacienteID]],'Datos_Ejemplo.csv'!A:A,'Datos_Ejemplo.csv'!I:I)</f>
        <v>12</v>
      </c>
      <c r="N4431">
        <f>ABS(TablaDatos[[#This Row],[DiasOriginal]])</f>
        <v>12</v>
      </c>
      <c r="O4431" s="1">
        <f>TablaDatos[[#This Row],[FechaIngreso]]+TablaDatos[[#This Row],[DiasNuevo]]</f>
        <v>45543</v>
      </c>
    </row>
    <row r="4432" spans="1:15">
      <c r="A4432">
        <v>4431</v>
      </c>
      <c r="B4432" t="s">
        <v>345</v>
      </c>
      <c r="C4432" s="1">
        <v>39083</v>
      </c>
      <c r="D4432">
        <v>19</v>
      </c>
      <c r="E4432" s="4" t="s">
        <v>12</v>
      </c>
      <c r="F4432" t="s">
        <v>32</v>
      </c>
      <c r="G4432" s="1">
        <v>45547</v>
      </c>
      <c r="H4432" s="1">
        <f>TablaDatos[[#This Row],[FechaIngreso]]+TablaDatos[[#This Row],[DiasNuevo]]</f>
        <v>45576</v>
      </c>
      <c r="I4432">
        <v>29</v>
      </c>
      <c r="J4432" t="s">
        <v>25</v>
      </c>
      <c r="K4432" s="3">
        <v>17555.59</v>
      </c>
      <c r="L4432" t="b">
        <f>TablaDatos[[#This Row],[FechaAlta]] &lt; TablaDatos[[#This Row],[FechaIngreso]]</f>
        <v>0</v>
      </c>
      <c r="M4432">
        <f>_xlfn.XLOOKUP(TablaDatos[[#This Row],[PacienteID]],'Datos_Ejemplo.csv'!A:A,'Datos_Ejemplo.csv'!I:I)</f>
        <v>29</v>
      </c>
      <c r="N4432">
        <f>ABS(TablaDatos[[#This Row],[DiasOriginal]])</f>
        <v>29</v>
      </c>
      <c r="O4432" s="1">
        <f>TablaDatos[[#This Row],[FechaIngreso]]+TablaDatos[[#This Row],[DiasNuevo]]</f>
        <v>45576</v>
      </c>
    </row>
    <row r="4433" spans="1:15">
      <c r="A4433">
        <v>4432</v>
      </c>
      <c r="B4433" t="s">
        <v>281</v>
      </c>
      <c r="C4433" s="1">
        <f ca="1">DATE(YEAR(TODAY())-TablaDatos[[#This Row],[Edad]],1,1)</f>
        <v>11689</v>
      </c>
      <c r="D4433">
        <v>94</v>
      </c>
      <c r="E4433" s="4" t="s">
        <v>15</v>
      </c>
      <c r="F4433" t="s">
        <v>261</v>
      </c>
      <c r="G4433" s="1">
        <v>45232</v>
      </c>
      <c r="H4433" s="1">
        <f>TablaDatos[[#This Row],[FechaIngreso]]+TablaDatos[[#This Row],[DiasNuevo]]</f>
        <v>45270</v>
      </c>
      <c r="I4433">
        <v>38</v>
      </c>
      <c r="J4433" t="s">
        <v>23</v>
      </c>
      <c r="K4433" s="3">
        <v>2667.49</v>
      </c>
      <c r="L4433" t="b">
        <f>TablaDatos[[#This Row],[FechaAlta]] &lt; TablaDatos[[#This Row],[FechaIngreso]]</f>
        <v>0</v>
      </c>
      <c r="M4433">
        <f>_xlfn.XLOOKUP(TablaDatos[[#This Row],[PacienteID]],'Datos_Ejemplo.csv'!A:A,'Datos_Ejemplo.csv'!I:I)</f>
        <v>38</v>
      </c>
      <c r="N4433">
        <f>ABS(TablaDatos[[#This Row],[DiasOriginal]])</f>
        <v>38</v>
      </c>
      <c r="O4433" s="1">
        <f>TablaDatos[[#This Row],[FechaIngreso]]+TablaDatos[[#This Row],[DiasNuevo]]</f>
        <v>45270</v>
      </c>
    </row>
    <row r="4434" spans="1:15">
      <c r="A4434">
        <v>4433</v>
      </c>
      <c r="B4434" t="s">
        <v>330</v>
      </c>
      <c r="C4434" s="1">
        <v>21551</v>
      </c>
      <c r="D4434">
        <v>67</v>
      </c>
      <c r="E4434" s="4" t="s">
        <v>12</v>
      </c>
      <c r="F4434" t="s">
        <v>261</v>
      </c>
      <c r="G4434" s="1">
        <v>45552</v>
      </c>
      <c r="H4434" s="1">
        <f>TablaDatos[[#This Row],[FechaIngreso]]+TablaDatos[[#This Row],[DiasNuevo]]</f>
        <v>45556</v>
      </c>
      <c r="I4434">
        <v>4</v>
      </c>
      <c r="J4434" t="s">
        <v>19</v>
      </c>
      <c r="K4434" s="3">
        <v>5132.8100000000004</v>
      </c>
      <c r="L4434" t="b">
        <f>TablaDatos[[#This Row],[FechaAlta]] &lt; TablaDatos[[#This Row],[FechaIngreso]]</f>
        <v>0</v>
      </c>
      <c r="M4434">
        <f>_xlfn.XLOOKUP(TablaDatos[[#This Row],[PacienteID]],'Datos_Ejemplo.csv'!A:A,'Datos_Ejemplo.csv'!I:I)</f>
        <v>4</v>
      </c>
      <c r="N4434">
        <f>ABS(TablaDatos[[#This Row],[DiasOriginal]])</f>
        <v>4</v>
      </c>
      <c r="O4434" s="1">
        <f>TablaDatos[[#This Row],[FechaIngreso]]+TablaDatos[[#This Row],[DiasNuevo]]</f>
        <v>45556</v>
      </c>
    </row>
    <row r="4435" spans="1:15">
      <c r="A4435">
        <v>4434</v>
      </c>
      <c r="B4435" t="s">
        <v>67</v>
      </c>
      <c r="C4435" s="1">
        <v>30317</v>
      </c>
      <c r="D4435">
        <v>43</v>
      </c>
      <c r="E4435" s="4" t="s">
        <v>15</v>
      </c>
      <c r="F4435" t="s">
        <v>261</v>
      </c>
      <c r="G4435" s="1">
        <v>45462</v>
      </c>
      <c r="H4435" s="1">
        <f>TablaDatos[[#This Row],[FechaIngreso]]+TablaDatos[[#This Row],[DiasNuevo]]</f>
        <v>45473</v>
      </c>
      <c r="I4435">
        <v>11</v>
      </c>
      <c r="J4435" t="s">
        <v>19</v>
      </c>
      <c r="K4435" s="3">
        <v>9739.75</v>
      </c>
      <c r="L4435" t="b">
        <f>TablaDatos[[#This Row],[FechaAlta]] &lt; TablaDatos[[#This Row],[FechaIngreso]]</f>
        <v>0</v>
      </c>
      <c r="M4435">
        <f>_xlfn.XLOOKUP(TablaDatos[[#This Row],[PacienteID]],'Datos_Ejemplo.csv'!A:A,'Datos_Ejemplo.csv'!I:I)</f>
        <v>11</v>
      </c>
      <c r="N4435">
        <f>ABS(TablaDatos[[#This Row],[DiasOriginal]])</f>
        <v>11</v>
      </c>
      <c r="O4435" s="1">
        <f>TablaDatos[[#This Row],[FechaIngreso]]+TablaDatos[[#This Row],[DiasNuevo]]</f>
        <v>45473</v>
      </c>
    </row>
    <row r="4436" spans="1:15">
      <c r="A4436">
        <v>4435</v>
      </c>
      <c r="B4436" t="s">
        <v>288</v>
      </c>
      <c r="C4436" s="1">
        <v>37987</v>
      </c>
      <c r="D4436">
        <v>22</v>
      </c>
      <c r="E4436" s="4" t="s">
        <v>12</v>
      </c>
      <c r="F4436" t="s">
        <v>18</v>
      </c>
      <c r="G4436" s="1">
        <v>45388</v>
      </c>
      <c r="H4436" s="1">
        <f>TablaDatos[[#This Row],[FechaIngreso]]+TablaDatos[[#This Row],[DiasNuevo]]</f>
        <v>45408</v>
      </c>
      <c r="I4436">
        <v>20</v>
      </c>
      <c r="J4436" t="s">
        <v>19</v>
      </c>
      <c r="K4436" s="3">
        <v>1132.9100000000001</v>
      </c>
      <c r="L4436" t="b">
        <f>TablaDatos[[#This Row],[FechaAlta]] &lt; TablaDatos[[#This Row],[FechaIngreso]]</f>
        <v>0</v>
      </c>
      <c r="M4436">
        <f>_xlfn.XLOOKUP(TablaDatos[[#This Row],[PacienteID]],'Datos_Ejemplo.csv'!A:A,'Datos_Ejemplo.csv'!I:I)</f>
        <v>20</v>
      </c>
      <c r="N4436">
        <f>ABS(TablaDatos[[#This Row],[DiasOriginal]])</f>
        <v>20</v>
      </c>
      <c r="O4436" s="1">
        <f>TablaDatos[[#This Row],[FechaIngreso]]+TablaDatos[[#This Row],[DiasNuevo]]</f>
        <v>45408</v>
      </c>
    </row>
    <row r="4437" spans="1:15">
      <c r="A4437">
        <v>4436</v>
      </c>
      <c r="B4437" t="s">
        <v>280</v>
      </c>
      <c r="C4437" s="1">
        <v>45657</v>
      </c>
      <c r="D4437">
        <v>1</v>
      </c>
      <c r="E4437" s="4" t="s">
        <v>12</v>
      </c>
      <c r="F4437" t="s">
        <v>21</v>
      </c>
      <c r="G4437" s="1">
        <v>45178</v>
      </c>
      <c r="H4437" s="1">
        <f>TablaDatos[[#This Row],[FechaIngreso]]+TablaDatos[[#This Row],[DiasNuevo]]</f>
        <v>45180</v>
      </c>
      <c r="I4437">
        <v>2</v>
      </c>
      <c r="J4437" t="s">
        <v>25</v>
      </c>
      <c r="K4437" s="3">
        <v>1823.28</v>
      </c>
      <c r="L4437" t="b">
        <f>TablaDatos[[#This Row],[FechaAlta]] &lt; TablaDatos[[#This Row],[FechaIngreso]]</f>
        <v>0</v>
      </c>
      <c r="M4437">
        <f>_xlfn.XLOOKUP(TablaDatos[[#This Row],[PacienteID]],'Datos_Ejemplo.csv'!A:A,'Datos_Ejemplo.csv'!I:I)</f>
        <v>-2</v>
      </c>
      <c r="N4437">
        <f>ABS(TablaDatos[[#This Row],[DiasOriginal]])</f>
        <v>2</v>
      </c>
      <c r="O4437" s="1">
        <f>TablaDatos[[#This Row],[FechaIngreso]]+TablaDatos[[#This Row],[DiasNuevo]]</f>
        <v>45180</v>
      </c>
    </row>
    <row r="4438" spans="1:15">
      <c r="A4438">
        <v>4437</v>
      </c>
      <c r="B4438" t="s">
        <v>361</v>
      </c>
      <c r="C4438" s="1">
        <v>38352</v>
      </c>
      <c r="D4438">
        <v>21</v>
      </c>
      <c r="E4438" s="4" t="s">
        <v>12</v>
      </c>
      <c r="F4438" t="s">
        <v>13</v>
      </c>
      <c r="G4438" s="1">
        <v>45193</v>
      </c>
      <c r="H4438" s="1">
        <f>TablaDatos[[#This Row],[FechaIngreso]]+TablaDatos[[#This Row],[DiasNuevo]]</f>
        <v>45222</v>
      </c>
      <c r="I4438">
        <v>29</v>
      </c>
      <c r="J4438" t="s">
        <v>23</v>
      </c>
      <c r="K4438" s="3">
        <v>7888.61</v>
      </c>
      <c r="L4438" t="b">
        <f>TablaDatos[[#This Row],[FechaAlta]] &lt; TablaDatos[[#This Row],[FechaIngreso]]</f>
        <v>0</v>
      </c>
      <c r="M4438">
        <f>_xlfn.XLOOKUP(TablaDatos[[#This Row],[PacienteID]],'Datos_Ejemplo.csv'!A:A,'Datos_Ejemplo.csv'!I:I)</f>
        <v>29</v>
      </c>
      <c r="N4438">
        <f>ABS(TablaDatos[[#This Row],[DiasOriginal]])</f>
        <v>29</v>
      </c>
      <c r="O4438" s="1">
        <f>TablaDatos[[#This Row],[FechaIngreso]]+TablaDatos[[#This Row],[DiasNuevo]]</f>
        <v>45222</v>
      </c>
    </row>
    <row r="4439" spans="1:15">
      <c r="A4439">
        <v>4438</v>
      </c>
      <c r="B4439" t="s">
        <v>307</v>
      </c>
      <c r="C4439" s="1">
        <v>25568</v>
      </c>
      <c r="D4439">
        <v>56</v>
      </c>
      <c r="E4439" s="4" t="s">
        <v>15</v>
      </c>
      <c r="F4439" t="s">
        <v>21</v>
      </c>
      <c r="G4439" s="1">
        <v>45135</v>
      </c>
      <c r="H4439" s="1">
        <f>TablaDatos[[#This Row],[FechaIngreso]]+TablaDatos[[#This Row],[DiasNuevo]]</f>
        <v>45173</v>
      </c>
      <c r="I4439">
        <v>38</v>
      </c>
      <c r="J4439" t="s">
        <v>23</v>
      </c>
      <c r="K4439" s="3">
        <v>18872.11</v>
      </c>
      <c r="L4439" t="b">
        <f>TablaDatos[[#This Row],[FechaAlta]] &lt; TablaDatos[[#This Row],[FechaIngreso]]</f>
        <v>0</v>
      </c>
      <c r="M4439">
        <f>_xlfn.XLOOKUP(TablaDatos[[#This Row],[PacienteID]],'Datos_Ejemplo.csv'!A:A,'Datos_Ejemplo.csv'!I:I)</f>
        <v>38</v>
      </c>
      <c r="N4439">
        <f>ABS(TablaDatos[[#This Row],[DiasOriginal]])</f>
        <v>38</v>
      </c>
      <c r="O4439" s="1">
        <f>TablaDatos[[#This Row],[FechaIngreso]]+TablaDatos[[#This Row],[DiasNuevo]]</f>
        <v>45173</v>
      </c>
    </row>
    <row r="4440" spans="1:15">
      <c r="A4440">
        <v>4439</v>
      </c>
      <c r="B4440" t="s">
        <v>122</v>
      </c>
      <c r="C4440" s="1">
        <v>20090</v>
      </c>
      <c r="D4440">
        <v>71</v>
      </c>
      <c r="E4440" s="4" t="s">
        <v>12</v>
      </c>
      <c r="F4440" t="s">
        <v>32</v>
      </c>
      <c r="G4440" s="1">
        <v>45493</v>
      </c>
      <c r="H4440" s="1">
        <f>TablaDatos[[#This Row],[FechaIngreso]]+TablaDatos[[#This Row],[DiasNuevo]]</f>
        <v>45516</v>
      </c>
      <c r="I4440">
        <v>23</v>
      </c>
      <c r="J4440" t="s">
        <v>25</v>
      </c>
      <c r="K4440" s="3">
        <v>18159.12</v>
      </c>
      <c r="L4440" t="b">
        <f>TablaDatos[[#This Row],[FechaAlta]] &lt; TablaDatos[[#This Row],[FechaIngreso]]</f>
        <v>0</v>
      </c>
      <c r="M4440">
        <f>_xlfn.XLOOKUP(TablaDatos[[#This Row],[PacienteID]],'Datos_Ejemplo.csv'!A:A,'Datos_Ejemplo.csv'!I:I)</f>
        <v>23</v>
      </c>
      <c r="N4440">
        <f>ABS(TablaDatos[[#This Row],[DiasOriginal]])</f>
        <v>23</v>
      </c>
      <c r="O4440" s="1">
        <f>TablaDatos[[#This Row],[FechaIngreso]]+TablaDatos[[#This Row],[DiasNuevo]]</f>
        <v>45516</v>
      </c>
    </row>
    <row r="4441" spans="1:15">
      <c r="A4441">
        <v>4440</v>
      </c>
      <c r="B4441" t="s">
        <v>289</v>
      </c>
      <c r="C4441" s="1">
        <v>43831</v>
      </c>
      <c r="D4441">
        <v>6</v>
      </c>
      <c r="E4441" s="4" t="s">
        <v>15</v>
      </c>
      <c r="F4441" t="s">
        <v>21</v>
      </c>
      <c r="G4441" s="1">
        <v>45465</v>
      </c>
      <c r="H4441" s="1">
        <f>TablaDatos[[#This Row],[FechaIngreso]]+TablaDatos[[#This Row],[DiasNuevo]]</f>
        <v>45471</v>
      </c>
      <c r="I4441">
        <v>6</v>
      </c>
      <c r="J4441" t="s">
        <v>19</v>
      </c>
      <c r="K4441" s="3">
        <v>9266.09</v>
      </c>
      <c r="L4441" t="b">
        <f>TablaDatos[[#This Row],[FechaAlta]] &lt; TablaDatos[[#This Row],[FechaIngreso]]</f>
        <v>0</v>
      </c>
      <c r="M4441">
        <f>_xlfn.XLOOKUP(TablaDatos[[#This Row],[PacienteID]],'Datos_Ejemplo.csv'!A:A,'Datos_Ejemplo.csv'!I:I)</f>
        <v>6</v>
      </c>
      <c r="N4441">
        <f>ABS(TablaDatos[[#This Row],[DiasOriginal]])</f>
        <v>6</v>
      </c>
      <c r="O4441" s="1">
        <f>TablaDatos[[#This Row],[FechaIngreso]]+TablaDatos[[#This Row],[DiasNuevo]]</f>
        <v>45471</v>
      </c>
    </row>
    <row r="4442" spans="1:15">
      <c r="A4442">
        <v>4441</v>
      </c>
      <c r="B4442" t="s">
        <v>146</v>
      </c>
      <c r="C4442" s="1">
        <v>17898</v>
      </c>
      <c r="D4442">
        <v>77</v>
      </c>
      <c r="E4442" s="4" t="s">
        <v>15</v>
      </c>
      <c r="F4442" t="s">
        <v>261</v>
      </c>
      <c r="G4442" s="1">
        <v>45429</v>
      </c>
      <c r="H4442" s="1">
        <f>TablaDatos[[#This Row],[FechaIngreso]]+TablaDatos[[#This Row],[DiasNuevo]]</f>
        <v>45442</v>
      </c>
      <c r="I4442">
        <v>13</v>
      </c>
      <c r="J4442" t="s">
        <v>23</v>
      </c>
      <c r="K4442" s="3">
        <v>2757.39</v>
      </c>
      <c r="L4442" t="b">
        <f>TablaDatos[[#This Row],[FechaAlta]] &lt; TablaDatos[[#This Row],[FechaIngreso]]</f>
        <v>0</v>
      </c>
      <c r="M4442">
        <f>_xlfn.XLOOKUP(TablaDatos[[#This Row],[PacienteID]],'Datos_Ejemplo.csv'!A:A,'Datos_Ejemplo.csv'!I:I)</f>
        <v>13</v>
      </c>
      <c r="N4442">
        <f>ABS(TablaDatos[[#This Row],[DiasOriginal]])</f>
        <v>13</v>
      </c>
      <c r="O4442" s="1">
        <f>TablaDatos[[#This Row],[FechaIngreso]]+TablaDatos[[#This Row],[DiasNuevo]]</f>
        <v>45442</v>
      </c>
    </row>
    <row r="4443" spans="1:15">
      <c r="A4443">
        <v>4442</v>
      </c>
      <c r="B4443" t="s">
        <v>359</v>
      </c>
      <c r="C4443" s="1">
        <v>25934</v>
      </c>
      <c r="D4443">
        <v>55</v>
      </c>
      <c r="E4443" s="4" t="s">
        <v>15</v>
      </c>
      <c r="F4443" t="s">
        <v>21</v>
      </c>
      <c r="G4443" s="1">
        <v>45440</v>
      </c>
      <c r="H4443" s="1">
        <f>TablaDatos[[#This Row],[FechaIngreso]]+TablaDatos[[#This Row],[DiasNuevo]]</f>
        <v>45468</v>
      </c>
      <c r="I4443">
        <v>28</v>
      </c>
      <c r="J4443" t="s">
        <v>23</v>
      </c>
      <c r="K4443" s="3">
        <v>3479.96</v>
      </c>
      <c r="L4443" t="b">
        <f>TablaDatos[[#This Row],[FechaAlta]] &lt; TablaDatos[[#This Row],[FechaIngreso]]</f>
        <v>0</v>
      </c>
      <c r="M4443">
        <f>_xlfn.XLOOKUP(TablaDatos[[#This Row],[PacienteID]],'Datos_Ejemplo.csv'!A:A,'Datos_Ejemplo.csv'!I:I)</f>
        <v>28</v>
      </c>
      <c r="N4443">
        <f>ABS(TablaDatos[[#This Row],[DiasOriginal]])</f>
        <v>28</v>
      </c>
      <c r="O4443" s="1">
        <f>TablaDatos[[#This Row],[FechaIngreso]]+TablaDatos[[#This Row],[DiasNuevo]]</f>
        <v>45468</v>
      </c>
    </row>
    <row r="4444" spans="1:15">
      <c r="A4444">
        <v>4443</v>
      </c>
      <c r="B4444" t="s">
        <v>152</v>
      </c>
      <c r="C4444" s="1">
        <v>21916</v>
      </c>
      <c r="D4444">
        <v>66</v>
      </c>
      <c r="E4444" s="4" t="s">
        <v>12</v>
      </c>
      <c r="F4444" t="s">
        <v>32</v>
      </c>
      <c r="G4444" s="1">
        <v>45506</v>
      </c>
      <c r="H4444" s="1">
        <f>TablaDatos[[#This Row],[FechaIngreso]]+TablaDatos[[#This Row],[DiasNuevo]]</f>
        <v>45507</v>
      </c>
      <c r="I4444">
        <v>1</v>
      </c>
      <c r="J4444" t="s">
        <v>23</v>
      </c>
      <c r="K4444" s="3">
        <v>7488.68</v>
      </c>
      <c r="L4444" t="b">
        <f>TablaDatos[[#This Row],[FechaAlta]] &lt; TablaDatos[[#This Row],[FechaIngreso]]</f>
        <v>0</v>
      </c>
      <c r="M4444">
        <f>_xlfn.XLOOKUP(TablaDatos[[#This Row],[PacienteID]],'Datos_Ejemplo.csv'!A:A,'Datos_Ejemplo.csv'!I:I)</f>
        <v>-1</v>
      </c>
      <c r="N4444">
        <f>ABS(TablaDatos[[#This Row],[DiasOriginal]])</f>
        <v>1</v>
      </c>
      <c r="O4444" s="1">
        <f>TablaDatos[[#This Row],[FechaIngreso]]+TablaDatos[[#This Row],[DiasNuevo]]</f>
        <v>45507</v>
      </c>
    </row>
    <row r="4445" spans="1:15">
      <c r="A4445">
        <v>4444</v>
      </c>
      <c r="B4445" t="s">
        <v>237</v>
      </c>
      <c r="C4445" s="1">
        <v>40544</v>
      </c>
      <c r="D4445">
        <v>15</v>
      </c>
      <c r="E4445" s="4" t="s">
        <v>15</v>
      </c>
      <c r="F4445" t="s">
        <v>32</v>
      </c>
      <c r="G4445" s="1">
        <v>45074</v>
      </c>
      <c r="H4445" s="1">
        <f>TablaDatos[[#This Row],[FechaIngreso]]+TablaDatos[[#This Row],[DiasNuevo]]</f>
        <v>45103</v>
      </c>
      <c r="I4445">
        <v>29</v>
      </c>
      <c r="J4445" t="s">
        <v>25</v>
      </c>
      <c r="K4445" s="3">
        <v>4122.49</v>
      </c>
      <c r="L4445" t="b">
        <f>TablaDatos[[#This Row],[FechaAlta]] &lt; TablaDatos[[#This Row],[FechaIngreso]]</f>
        <v>0</v>
      </c>
      <c r="M4445">
        <f>_xlfn.XLOOKUP(TablaDatos[[#This Row],[PacienteID]],'Datos_Ejemplo.csv'!A:A,'Datos_Ejemplo.csv'!I:I)</f>
        <v>29</v>
      </c>
      <c r="N4445">
        <f>ABS(TablaDatos[[#This Row],[DiasOriginal]])</f>
        <v>29</v>
      </c>
      <c r="O4445" s="1">
        <f>TablaDatos[[#This Row],[FechaIngreso]]+TablaDatos[[#This Row],[DiasNuevo]]</f>
        <v>45103</v>
      </c>
    </row>
    <row r="4446" spans="1:15">
      <c r="A4446">
        <v>4445</v>
      </c>
      <c r="B4446" t="s">
        <v>146</v>
      </c>
      <c r="C4446" s="1">
        <v>16072</v>
      </c>
      <c r="D4446">
        <v>82</v>
      </c>
      <c r="E4446" s="4" t="s">
        <v>12</v>
      </c>
      <c r="F4446" t="s">
        <v>261</v>
      </c>
      <c r="G4446" s="1">
        <v>45568</v>
      </c>
      <c r="H4446" s="1">
        <f>TablaDatos[[#This Row],[FechaIngreso]]+TablaDatos[[#This Row],[DiasNuevo]]</f>
        <v>45575</v>
      </c>
      <c r="I4446">
        <v>7</v>
      </c>
      <c r="J4446" t="s">
        <v>23</v>
      </c>
      <c r="K4446" s="3">
        <v>1567.81</v>
      </c>
      <c r="L4446" t="b">
        <f>TablaDatos[[#This Row],[FechaAlta]] &lt; TablaDatos[[#This Row],[FechaIngreso]]</f>
        <v>0</v>
      </c>
      <c r="M4446">
        <f>_xlfn.XLOOKUP(TablaDatos[[#This Row],[PacienteID]],'Datos_Ejemplo.csv'!A:A,'Datos_Ejemplo.csv'!I:I)</f>
        <v>7</v>
      </c>
      <c r="N4446">
        <f>ABS(TablaDatos[[#This Row],[DiasOriginal]])</f>
        <v>7</v>
      </c>
      <c r="O4446" s="1">
        <f>TablaDatos[[#This Row],[FechaIngreso]]+TablaDatos[[#This Row],[DiasNuevo]]</f>
        <v>45575</v>
      </c>
    </row>
    <row r="4447" spans="1:15">
      <c r="A4447">
        <v>4446</v>
      </c>
      <c r="B4447" t="s">
        <v>336</v>
      </c>
      <c r="C4447" s="1">
        <v>27760</v>
      </c>
      <c r="D4447">
        <f ca="1">DATEDIF(TablaDatos[[#This Row],[FechaNacimiento]],TODAY(),"Y")</f>
        <v>50</v>
      </c>
      <c r="E4447" s="4" t="s">
        <v>197</v>
      </c>
      <c r="F4447" t="s">
        <v>201</v>
      </c>
      <c r="G4447" s="1">
        <v>45009</v>
      </c>
      <c r="H4447" s="1">
        <f>TablaDatos[[#This Row],[FechaIngreso]]+TablaDatos[[#This Row],[DiasNuevo]]</f>
        <v>45031</v>
      </c>
      <c r="I4447">
        <v>22</v>
      </c>
      <c r="J4447" t="s">
        <v>19</v>
      </c>
      <c r="K4447" s="3">
        <v>13442.93</v>
      </c>
      <c r="L4447" t="b">
        <f>TablaDatos[[#This Row],[FechaAlta]] &lt; TablaDatos[[#This Row],[FechaIngreso]]</f>
        <v>0</v>
      </c>
      <c r="M4447">
        <f>_xlfn.XLOOKUP(TablaDatos[[#This Row],[PacienteID]],'Datos_Ejemplo.csv'!A:A,'Datos_Ejemplo.csv'!I:I)</f>
        <v>22</v>
      </c>
      <c r="N4447">
        <f>ABS(TablaDatos[[#This Row],[DiasOriginal]])</f>
        <v>22</v>
      </c>
      <c r="O4447" s="1">
        <f>TablaDatos[[#This Row],[FechaIngreso]]+TablaDatos[[#This Row],[DiasNuevo]]</f>
        <v>45031</v>
      </c>
    </row>
    <row r="4448" spans="1:15">
      <c r="A4448">
        <v>4447</v>
      </c>
      <c r="B4448" t="s">
        <v>61</v>
      </c>
      <c r="C4448" s="1">
        <v>16437</v>
      </c>
      <c r="D4448">
        <v>81</v>
      </c>
      <c r="E4448" s="4" t="s">
        <v>15</v>
      </c>
      <c r="F4448" t="s">
        <v>18</v>
      </c>
      <c r="G4448" s="1">
        <v>44968</v>
      </c>
      <c r="H4448" s="1">
        <f>TablaDatos[[#This Row],[FechaIngreso]]+TablaDatos[[#This Row],[DiasNuevo]]</f>
        <v>44983</v>
      </c>
      <c r="I4448">
        <v>15</v>
      </c>
      <c r="J4448" t="s">
        <v>23</v>
      </c>
      <c r="K4448" s="3">
        <v>11587.12</v>
      </c>
      <c r="L4448" t="b">
        <f>TablaDatos[[#This Row],[FechaAlta]] &lt; TablaDatos[[#This Row],[FechaIngreso]]</f>
        <v>0</v>
      </c>
      <c r="M4448">
        <f>_xlfn.XLOOKUP(TablaDatos[[#This Row],[PacienteID]],'Datos_Ejemplo.csv'!A:A,'Datos_Ejemplo.csv'!I:I)</f>
        <v>15</v>
      </c>
      <c r="N4448">
        <f>ABS(TablaDatos[[#This Row],[DiasOriginal]])</f>
        <v>15</v>
      </c>
      <c r="O4448" s="1">
        <f>TablaDatos[[#This Row],[FechaIngreso]]+TablaDatos[[#This Row],[DiasNuevo]]</f>
        <v>44983</v>
      </c>
    </row>
    <row r="4449" spans="1:15">
      <c r="A4449">
        <v>4448</v>
      </c>
      <c r="B4449" t="s">
        <v>339</v>
      </c>
      <c r="C4449" s="1">
        <v>17168</v>
      </c>
      <c r="D4449">
        <v>79</v>
      </c>
      <c r="E4449" s="4" t="s">
        <v>12</v>
      </c>
      <c r="F4449" t="s">
        <v>295</v>
      </c>
      <c r="G4449" s="1">
        <v>45082</v>
      </c>
      <c r="H4449" s="1">
        <f>TablaDatos[[#This Row],[FechaIngreso]]+TablaDatos[[#This Row],[DiasNuevo]]</f>
        <v>45113</v>
      </c>
      <c r="I4449">
        <v>31</v>
      </c>
      <c r="J4449" t="s">
        <v>25</v>
      </c>
      <c r="K4449" s="3">
        <v>5755.06</v>
      </c>
      <c r="L4449" t="b">
        <f>TablaDatos[[#This Row],[FechaAlta]] &lt; TablaDatos[[#This Row],[FechaIngreso]]</f>
        <v>0</v>
      </c>
      <c r="M4449">
        <f>_xlfn.XLOOKUP(TablaDatos[[#This Row],[PacienteID]],'Datos_Ejemplo.csv'!A:A,'Datos_Ejemplo.csv'!I:I)</f>
        <v>31</v>
      </c>
      <c r="N4449">
        <f>ABS(TablaDatos[[#This Row],[DiasOriginal]])</f>
        <v>31</v>
      </c>
      <c r="O4449" s="1">
        <f>TablaDatos[[#This Row],[FechaIngreso]]+TablaDatos[[#This Row],[DiasNuevo]]</f>
        <v>45113</v>
      </c>
    </row>
    <row r="4450" spans="1:15">
      <c r="A4450">
        <v>4449</v>
      </c>
      <c r="B4450" t="s">
        <v>55</v>
      </c>
      <c r="C4450" s="1">
        <v>20090</v>
      </c>
      <c r="D4450">
        <v>71</v>
      </c>
      <c r="E4450" s="4" t="s">
        <v>12</v>
      </c>
      <c r="F4450" t="s">
        <v>13</v>
      </c>
      <c r="G4450" s="1">
        <v>45595</v>
      </c>
      <c r="H4450" s="1">
        <f>TablaDatos[[#This Row],[FechaIngreso]]+TablaDatos[[#This Row],[DiasNuevo]]</f>
        <v>45621</v>
      </c>
      <c r="I4450">
        <v>26</v>
      </c>
      <c r="J4450" t="s">
        <v>23</v>
      </c>
      <c r="K4450" s="3">
        <v>15556.86</v>
      </c>
      <c r="L4450" t="b">
        <f>TablaDatos[[#This Row],[FechaAlta]] &lt; TablaDatos[[#This Row],[FechaIngreso]]</f>
        <v>0</v>
      </c>
      <c r="M4450">
        <f>_xlfn.XLOOKUP(TablaDatos[[#This Row],[PacienteID]],'Datos_Ejemplo.csv'!A:A,'Datos_Ejemplo.csv'!I:I)</f>
        <v>26</v>
      </c>
      <c r="N4450">
        <f>ABS(TablaDatos[[#This Row],[DiasOriginal]])</f>
        <v>26</v>
      </c>
      <c r="O4450" s="1">
        <f>TablaDatos[[#This Row],[FechaIngreso]]+TablaDatos[[#This Row],[DiasNuevo]]</f>
        <v>45621</v>
      </c>
    </row>
    <row r="4451" spans="1:15">
      <c r="A4451">
        <v>4450</v>
      </c>
      <c r="B4451" t="s">
        <v>234</v>
      </c>
      <c r="C4451" s="1">
        <v>42005</v>
      </c>
      <c r="D4451">
        <v>11</v>
      </c>
      <c r="E4451" s="4" t="s">
        <v>15</v>
      </c>
      <c r="F4451" t="s">
        <v>13</v>
      </c>
      <c r="G4451" s="1">
        <v>45379</v>
      </c>
      <c r="H4451" s="1">
        <f>TablaDatos[[#This Row],[FechaIngreso]]+TablaDatos[[#This Row],[DiasNuevo]]</f>
        <v>45400</v>
      </c>
      <c r="I4451">
        <v>21</v>
      </c>
      <c r="J4451" t="s">
        <v>25</v>
      </c>
      <c r="K4451" s="3">
        <v>15496.57</v>
      </c>
      <c r="L4451" t="b">
        <f>TablaDatos[[#This Row],[FechaAlta]] &lt; TablaDatos[[#This Row],[FechaIngreso]]</f>
        <v>0</v>
      </c>
      <c r="M4451">
        <f>_xlfn.XLOOKUP(TablaDatos[[#This Row],[PacienteID]],'Datos_Ejemplo.csv'!A:A,'Datos_Ejemplo.csv'!I:I)</f>
        <v>21</v>
      </c>
      <c r="N4451">
        <f>ABS(TablaDatos[[#This Row],[DiasOriginal]])</f>
        <v>21</v>
      </c>
      <c r="O4451" s="1">
        <f>TablaDatos[[#This Row],[FechaIngreso]]+TablaDatos[[#This Row],[DiasNuevo]]</f>
        <v>45400</v>
      </c>
    </row>
    <row r="4452" spans="1:15">
      <c r="A4452">
        <v>4451</v>
      </c>
      <c r="B4452" t="s">
        <v>102</v>
      </c>
      <c r="C4452" s="1">
        <v>27029</v>
      </c>
      <c r="D4452">
        <v>52</v>
      </c>
      <c r="E4452" s="4" t="s">
        <v>12</v>
      </c>
      <c r="F4452" t="s">
        <v>261</v>
      </c>
      <c r="G4452" s="1">
        <v>45545</v>
      </c>
      <c r="H4452" s="1">
        <f>TablaDatos[[#This Row],[FechaIngreso]]+TablaDatos[[#This Row],[DiasNuevo]]</f>
        <v>45545</v>
      </c>
      <c r="I4452">
        <v>0</v>
      </c>
      <c r="J4452" t="s">
        <v>23</v>
      </c>
      <c r="K4452" s="3">
        <v>9769.14</v>
      </c>
      <c r="L4452" t="b">
        <f>TablaDatos[[#This Row],[FechaAlta]] &lt; TablaDatos[[#This Row],[FechaIngreso]]</f>
        <v>0</v>
      </c>
      <c r="M4452">
        <f>_xlfn.XLOOKUP(TablaDatos[[#This Row],[PacienteID]],'Datos_Ejemplo.csv'!A:A,'Datos_Ejemplo.csv'!I:I)</f>
        <v>0</v>
      </c>
      <c r="N4452">
        <f>ABS(TablaDatos[[#This Row],[DiasOriginal]])</f>
        <v>0</v>
      </c>
      <c r="O4452" s="1">
        <f>TablaDatos[[#This Row],[FechaIngreso]]+TablaDatos[[#This Row],[DiasNuevo]]</f>
        <v>45545</v>
      </c>
    </row>
    <row r="4453" spans="1:15">
      <c r="A4453">
        <v>4452</v>
      </c>
      <c r="B4453" t="s">
        <v>61</v>
      </c>
      <c r="C4453" s="1">
        <v>18994</v>
      </c>
      <c r="D4453">
        <v>74</v>
      </c>
      <c r="E4453" s="4" t="s">
        <v>15</v>
      </c>
      <c r="F4453" t="s">
        <v>201</v>
      </c>
      <c r="G4453" s="1">
        <v>45210</v>
      </c>
      <c r="H4453" s="1">
        <f>TablaDatos[[#This Row],[FechaIngreso]]+TablaDatos[[#This Row],[DiasNuevo]]</f>
        <v>45222</v>
      </c>
      <c r="I4453">
        <v>12</v>
      </c>
      <c r="J4453" t="s">
        <v>25</v>
      </c>
      <c r="K4453" s="3">
        <v>1840.3</v>
      </c>
      <c r="L4453" t="b">
        <f>TablaDatos[[#This Row],[FechaAlta]] &lt; TablaDatos[[#This Row],[FechaIngreso]]</f>
        <v>0</v>
      </c>
      <c r="M4453">
        <f>_xlfn.XLOOKUP(TablaDatos[[#This Row],[PacienteID]],'Datos_Ejemplo.csv'!A:A,'Datos_Ejemplo.csv'!I:I)</f>
        <v>12</v>
      </c>
      <c r="N4453">
        <f>ABS(TablaDatos[[#This Row],[DiasOriginal]])</f>
        <v>12</v>
      </c>
      <c r="O4453" s="1">
        <f>TablaDatos[[#This Row],[FechaIngreso]]+TablaDatos[[#This Row],[DiasNuevo]]</f>
        <v>45222</v>
      </c>
    </row>
    <row r="4454" spans="1:15">
      <c r="A4454">
        <v>4453</v>
      </c>
      <c r="B4454" t="s">
        <v>275</v>
      </c>
      <c r="C4454" s="1">
        <v>44561</v>
      </c>
      <c r="D4454">
        <v>4</v>
      </c>
      <c r="E4454" s="4" t="s">
        <v>12</v>
      </c>
      <c r="F4454" t="s">
        <v>13</v>
      </c>
      <c r="G4454" s="1">
        <v>45114</v>
      </c>
      <c r="H4454" s="1">
        <f>TablaDatos[[#This Row],[FechaIngreso]]+TablaDatos[[#This Row],[DiasNuevo]]</f>
        <v>45114</v>
      </c>
      <c r="I4454">
        <v>0</v>
      </c>
      <c r="J4454" t="s">
        <v>23</v>
      </c>
      <c r="K4454" s="3">
        <v>18361.23</v>
      </c>
      <c r="L4454" t="b">
        <f>TablaDatos[[#This Row],[FechaAlta]] &lt; TablaDatos[[#This Row],[FechaIngreso]]</f>
        <v>0</v>
      </c>
      <c r="M4454">
        <f>_xlfn.XLOOKUP(TablaDatos[[#This Row],[PacienteID]],'Datos_Ejemplo.csv'!A:A,'Datos_Ejemplo.csv'!I:I)</f>
        <v>0</v>
      </c>
      <c r="N4454">
        <f>ABS(TablaDatos[[#This Row],[DiasOriginal]])</f>
        <v>0</v>
      </c>
      <c r="O4454" s="1">
        <f>TablaDatos[[#This Row],[FechaIngreso]]+TablaDatos[[#This Row],[DiasNuevo]]</f>
        <v>45114</v>
      </c>
    </row>
    <row r="4455" spans="1:15">
      <c r="A4455">
        <v>4454</v>
      </c>
      <c r="B4455" t="s">
        <v>52</v>
      </c>
      <c r="C4455" s="1">
        <v>36526</v>
      </c>
      <c r="D4455">
        <v>26</v>
      </c>
      <c r="E4455" s="4" t="s">
        <v>15</v>
      </c>
      <c r="F4455" t="s">
        <v>21</v>
      </c>
      <c r="G4455" s="1">
        <v>45543</v>
      </c>
      <c r="H4455" s="1">
        <f>TablaDatos[[#This Row],[FechaIngreso]]+TablaDatos[[#This Row],[DiasNuevo]]</f>
        <v>45571</v>
      </c>
      <c r="I4455">
        <v>28</v>
      </c>
      <c r="J4455" t="s">
        <v>23</v>
      </c>
      <c r="K4455" s="3">
        <v>13340.08</v>
      </c>
      <c r="L4455" t="b">
        <f>TablaDatos[[#This Row],[FechaAlta]] &lt; TablaDatos[[#This Row],[FechaIngreso]]</f>
        <v>0</v>
      </c>
      <c r="M4455">
        <f>_xlfn.XLOOKUP(TablaDatos[[#This Row],[PacienteID]],'Datos_Ejemplo.csv'!A:A,'Datos_Ejemplo.csv'!I:I)</f>
        <v>28</v>
      </c>
      <c r="N4455">
        <f>ABS(TablaDatos[[#This Row],[DiasOriginal]])</f>
        <v>28</v>
      </c>
      <c r="O4455" s="1">
        <f>TablaDatos[[#This Row],[FechaIngreso]]+TablaDatos[[#This Row],[DiasNuevo]]</f>
        <v>45571</v>
      </c>
    </row>
    <row r="4456" spans="1:15">
      <c r="A4456">
        <v>4455</v>
      </c>
      <c r="B4456" t="s">
        <v>335</v>
      </c>
      <c r="C4456" s="1">
        <v>42005</v>
      </c>
      <c r="D4456">
        <v>11</v>
      </c>
      <c r="E4456" s="4" t="s">
        <v>15</v>
      </c>
      <c r="F4456" t="s">
        <v>32</v>
      </c>
      <c r="G4456" s="1">
        <v>45550</v>
      </c>
      <c r="H4456" s="1">
        <f>TablaDatos[[#This Row],[FechaIngreso]]+TablaDatos[[#This Row],[DiasNuevo]]</f>
        <v>45557</v>
      </c>
      <c r="I4456">
        <v>7</v>
      </c>
      <c r="J4456" t="s">
        <v>23</v>
      </c>
      <c r="K4456" s="3">
        <v>4865.72</v>
      </c>
      <c r="L4456" t="b">
        <f>TablaDatos[[#This Row],[FechaAlta]] &lt; TablaDatos[[#This Row],[FechaIngreso]]</f>
        <v>0</v>
      </c>
      <c r="M4456">
        <f>_xlfn.XLOOKUP(TablaDatos[[#This Row],[PacienteID]],'Datos_Ejemplo.csv'!A:A,'Datos_Ejemplo.csv'!I:I)</f>
        <v>7</v>
      </c>
      <c r="N4456">
        <f>ABS(TablaDatos[[#This Row],[DiasOriginal]])</f>
        <v>7</v>
      </c>
      <c r="O4456" s="1">
        <f>TablaDatos[[#This Row],[FechaIngreso]]+TablaDatos[[#This Row],[DiasNuevo]]</f>
        <v>45557</v>
      </c>
    </row>
    <row r="4457" spans="1:15">
      <c r="A4457">
        <v>4456</v>
      </c>
      <c r="B4457" t="s">
        <v>241</v>
      </c>
      <c r="C4457" s="1">
        <v>40178</v>
      </c>
      <c r="D4457">
        <v>16</v>
      </c>
      <c r="E4457" s="4" t="s">
        <v>12</v>
      </c>
      <c r="F4457" t="s">
        <v>201</v>
      </c>
      <c r="G4457" s="1">
        <v>45400</v>
      </c>
      <c r="H4457" s="1">
        <f>TablaDatos[[#This Row],[FechaIngreso]]+TablaDatos[[#This Row],[DiasNuevo]]</f>
        <v>45435</v>
      </c>
      <c r="I4457">
        <v>35</v>
      </c>
      <c r="J4457" t="s">
        <v>19</v>
      </c>
      <c r="K4457" s="3">
        <v>12170.14</v>
      </c>
      <c r="L4457" t="b">
        <f>TablaDatos[[#This Row],[FechaAlta]] &lt; TablaDatos[[#This Row],[FechaIngreso]]</f>
        <v>0</v>
      </c>
      <c r="M4457">
        <f>_xlfn.XLOOKUP(TablaDatos[[#This Row],[PacienteID]],'Datos_Ejemplo.csv'!A:A,'Datos_Ejemplo.csv'!I:I)</f>
        <v>35</v>
      </c>
      <c r="N4457">
        <f>ABS(TablaDatos[[#This Row],[DiasOriginal]])</f>
        <v>35</v>
      </c>
      <c r="O4457" s="1">
        <f>TablaDatos[[#This Row],[FechaIngreso]]+TablaDatos[[#This Row],[DiasNuevo]]</f>
        <v>45435</v>
      </c>
    </row>
    <row r="4458" spans="1:15">
      <c r="A4458">
        <v>4457</v>
      </c>
      <c r="B4458" t="s">
        <v>277</v>
      </c>
      <c r="C4458" s="1">
        <v>44196</v>
      </c>
      <c r="D4458">
        <v>5</v>
      </c>
      <c r="E4458" s="4" t="s">
        <v>15</v>
      </c>
      <c r="F4458" t="s">
        <v>32</v>
      </c>
      <c r="G4458" s="1">
        <v>45433</v>
      </c>
      <c r="H4458" s="1">
        <f>TablaDatos[[#This Row],[FechaIngreso]]+TablaDatos[[#This Row],[DiasNuevo]]</f>
        <v>45452</v>
      </c>
      <c r="I4458">
        <v>19</v>
      </c>
      <c r="J4458" t="s">
        <v>23</v>
      </c>
      <c r="K4458" s="3">
        <v>8040.93</v>
      </c>
      <c r="L4458" t="b">
        <f>TablaDatos[[#This Row],[FechaAlta]] &lt; TablaDatos[[#This Row],[FechaIngreso]]</f>
        <v>0</v>
      </c>
      <c r="M4458">
        <f>_xlfn.XLOOKUP(TablaDatos[[#This Row],[PacienteID]],'Datos_Ejemplo.csv'!A:A,'Datos_Ejemplo.csv'!I:I)</f>
        <v>19</v>
      </c>
      <c r="N4458">
        <f>ABS(TablaDatos[[#This Row],[DiasOriginal]])</f>
        <v>19</v>
      </c>
      <c r="O4458" s="1">
        <f>TablaDatos[[#This Row],[FechaIngreso]]+TablaDatos[[#This Row],[DiasNuevo]]</f>
        <v>45452</v>
      </c>
    </row>
    <row r="4459" spans="1:15">
      <c r="A4459">
        <v>4458</v>
      </c>
      <c r="B4459" t="s">
        <v>300</v>
      </c>
      <c r="C4459" s="1">
        <v>44561</v>
      </c>
      <c r="D4459">
        <v>4</v>
      </c>
      <c r="E4459" s="4" t="s">
        <v>15</v>
      </c>
      <c r="F4459" t="s">
        <v>261</v>
      </c>
      <c r="G4459" s="1">
        <v>45059</v>
      </c>
      <c r="H4459" s="1">
        <f>TablaDatos[[#This Row],[FechaIngreso]]+TablaDatos[[#This Row],[DiasNuevo]]</f>
        <v>45070</v>
      </c>
      <c r="I4459">
        <v>11</v>
      </c>
      <c r="J4459" t="s">
        <v>19</v>
      </c>
      <c r="K4459" s="3">
        <v>12670.53</v>
      </c>
      <c r="L4459" t="b">
        <f>TablaDatos[[#This Row],[FechaAlta]] &lt; TablaDatos[[#This Row],[FechaIngreso]]</f>
        <v>0</v>
      </c>
      <c r="M4459">
        <f>_xlfn.XLOOKUP(TablaDatos[[#This Row],[PacienteID]],'Datos_Ejemplo.csv'!A:A,'Datos_Ejemplo.csv'!I:I)</f>
        <v>11</v>
      </c>
      <c r="N4459">
        <f>ABS(TablaDatos[[#This Row],[DiasOriginal]])</f>
        <v>11</v>
      </c>
      <c r="O4459" s="1">
        <f>TablaDatos[[#This Row],[FechaIngreso]]+TablaDatos[[#This Row],[DiasNuevo]]</f>
        <v>45070</v>
      </c>
    </row>
    <row r="4460" spans="1:15">
      <c r="A4460">
        <v>4459</v>
      </c>
      <c r="B4460" t="s">
        <v>351</v>
      </c>
      <c r="C4460" s="1">
        <v>25568</v>
      </c>
      <c r="D4460">
        <v>56</v>
      </c>
      <c r="E4460" s="4" t="s">
        <v>15</v>
      </c>
      <c r="F4460" t="s">
        <v>32</v>
      </c>
      <c r="G4460" s="1">
        <v>45197</v>
      </c>
      <c r="H4460" s="1">
        <f>TablaDatos[[#This Row],[FechaIngreso]]+TablaDatos[[#This Row],[DiasNuevo]]</f>
        <v>45203</v>
      </c>
      <c r="I4460">
        <v>6</v>
      </c>
      <c r="J4460" t="s">
        <v>23</v>
      </c>
      <c r="K4460" s="3">
        <v>9424.81</v>
      </c>
      <c r="L4460" t="b">
        <f>TablaDatos[[#This Row],[FechaAlta]] &lt; TablaDatos[[#This Row],[FechaIngreso]]</f>
        <v>0</v>
      </c>
      <c r="M4460">
        <f>_xlfn.XLOOKUP(TablaDatos[[#This Row],[PacienteID]],'Datos_Ejemplo.csv'!A:A,'Datos_Ejemplo.csv'!I:I)</f>
        <v>6</v>
      </c>
      <c r="N4460">
        <f>ABS(TablaDatos[[#This Row],[DiasOriginal]])</f>
        <v>6</v>
      </c>
      <c r="O4460" s="1">
        <f>TablaDatos[[#This Row],[FechaIngreso]]+TablaDatos[[#This Row],[DiasNuevo]]</f>
        <v>45203</v>
      </c>
    </row>
    <row r="4461" spans="1:15">
      <c r="A4461">
        <v>4460</v>
      </c>
      <c r="B4461" t="s">
        <v>283</v>
      </c>
      <c r="C4461" s="1">
        <v>36161</v>
      </c>
      <c r="D4461">
        <v>27</v>
      </c>
      <c r="E4461" s="4" t="s">
        <v>15</v>
      </c>
      <c r="F4461" t="s">
        <v>295</v>
      </c>
      <c r="G4461" s="1">
        <v>45548</v>
      </c>
      <c r="H4461" s="1">
        <f>TablaDatos[[#This Row],[FechaIngreso]]+TablaDatos[[#This Row],[DiasNuevo]]</f>
        <v>45563</v>
      </c>
      <c r="I4461">
        <v>15</v>
      </c>
      <c r="J4461" t="s">
        <v>23</v>
      </c>
      <c r="K4461" s="3">
        <v>9657.99</v>
      </c>
      <c r="L4461" t="b">
        <f>TablaDatos[[#This Row],[FechaAlta]] &lt; TablaDatos[[#This Row],[FechaIngreso]]</f>
        <v>0</v>
      </c>
      <c r="M4461">
        <f>_xlfn.XLOOKUP(TablaDatos[[#This Row],[PacienteID]],'Datos_Ejemplo.csv'!A:A,'Datos_Ejemplo.csv'!I:I)</f>
        <v>15</v>
      </c>
      <c r="N4461">
        <f>ABS(TablaDatos[[#This Row],[DiasOriginal]])</f>
        <v>15</v>
      </c>
      <c r="O4461" s="1">
        <f>TablaDatos[[#This Row],[FechaIngreso]]+TablaDatos[[#This Row],[DiasNuevo]]</f>
        <v>45563</v>
      </c>
    </row>
    <row r="4462" spans="1:15">
      <c r="A4462">
        <v>4461</v>
      </c>
      <c r="B4462" t="s">
        <v>102</v>
      </c>
      <c r="C4462" s="1">
        <v>17898</v>
      </c>
      <c r="D4462">
        <v>77</v>
      </c>
      <c r="E4462" s="4" t="s">
        <v>12</v>
      </c>
      <c r="F4462" t="s">
        <v>32</v>
      </c>
      <c r="G4462" s="1">
        <v>44999</v>
      </c>
      <c r="H4462" s="1">
        <f>TablaDatos[[#This Row],[FechaIngreso]]+TablaDatos[[#This Row],[DiasNuevo]]</f>
        <v>45004</v>
      </c>
      <c r="I4462">
        <v>5</v>
      </c>
      <c r="J4462" t="s">
        <v>23</v>
      </c>
      <c r="K4462" s="3">
        <v>14691.23</v>
      </c>
      <c r="L4462" t="b">
        <f>TablaDatos[[#This Row],[FechaAlta]] &lt; TablaDatos[[#This Row],[FechaIngreso]]</f>
        <v>0</v>
      </c>
      <c r="M4462">
        <f>_xlfn.XLOOKUP(TablaDatos[[#This Row],[PacienteID]],'Datos_Ejemplo.csv'!A:A,'Datos_Ejemplo.csv'!I:I)</f>
        <v>5</v>
      </c>
      <c r="N4462">
        <f>ABS(TablaDatos[[#This Row],[DiasOriginal]])</f>
        <v>5</v>
      </c>
      <c r="O4462" s="1">
        <f>TablaDatos[[#This Row],[FechaIngreso]]+TablaDatos[[#This Row],[DiasNuevo]]</f>
        <v>45004</v>
      </c>
    </row>
    <row r="4463" spans="1:15">
      <c r="A4463">
        <v>4462</v>
      </c>
      <c r="B4463" t="s">
        <v>239</v>
      </c>
      <c r="C4463" s="1">
        <v>21185</v>
      </c>
      <c r="D4463">
        <v>68</v>
      </c>
      <c r="E4463" s="4" t="s">
        <v>12</v>
      </c>
      <c r="F4463" t="s">
        <v>32</v>
      </c>
      <c r="G4463" s="1">
        <v>45362</v>
      </c>
      <c r="H4463" s="1">
        <f>TablaDatos[[#This Row],[FechaIngreso]]+TablaDatos[[#This Row],[DiasNuevo]]</f>
        <v>45397</v>
      </c>
      <c r="I4463">
        <v>35</v>
      </c>
      <c r="J4463" t="s">
        <v>25</v>
      </c>
      <c r="K4463" s="3">
        <v>12235.89</v>
      </c>
      <c r="L4463" t="b">
        <f>TablaDatos[[#This Row],[FechaAlta]] &lt; TablaDatos[[#This Row],[FechaIngreso]]</f>
        <v>0</v>
      </c>
      <c r="M4463">
        <f>_xlfn.XLOOKUP(TablaDatos[[#This Row],[PacienteID]],'Datos_Ejemplo.csv'!A:A,'Datos_Ejemplo.csv'!I:I)</f>
        <v>35</v>
      </c>
      <c r="N4463">
        <f>ABS(TablaDatos[[#This Row],[DiasOriginal]])</f>
        <v>35</v>
      </c>
      <c r="O4463" s="1">
        <f>TablaDatos[[#This Row],[FechaIngreso]]+TablaDatos[[#This Row],[DiasNuevo]]</f>
        <v>45397</v>
      </c>
    </row>
    <row r="4464" spans="1:15">
      <c r="A4464">
        <v>4463</v>
      </c>
      <c r="B4464" t="s">
        <v>245</v>
      </c>
      <c r="C4464" s="1">
        <v>24838</v>
      </c>
      <c r="D4464">
        <v>58</v>
      </c>
      <c r="E4464" s="4" t="s">
        <v>12</v>
      </c>
      <c r="F4464" t="s">
        <v>201</v>
      </c>
      <c r="G4464" s="1">
        <v>45219</v>
      </c>
      <c r="H4464" s="1">
        <f>TablaDatos[[#This Row],[FechaIngreso]]+TablaDatos[[#This Row],[DiasNuevo]]</f>
        <v>45231</v>
      </c>
      <c r="I4464">
        <v>12</v>
      </c>
      <c r="J4464" t="s">
        <v>23</v>
      </c>
      <c r="K4464" s="3">
        <v>1507.05</v>
      </c>
      <c r="L4464" t="b">
        <f>TablaDatos[[#This Row],[FechaAlta]] &lt; TablaDatos[[#This Row],[FechaIngreso]]</f>
        <v>0</v>
      </c>
      <c r="M4464">
        <f>_xlfn.XLOOKUP(TablaDatos[[#This Row],[PacienteID]],'Datos_Ejemplo.csv'!A:A,'Datos_Ejemplo.csv'!I:I)</f>
        <v>12</v>
      </c>
      <c r="N4464">
        <f>ABS(TablaDatos[[#This Row],[DiasOriginal]])</f>
        <v>12</v>
      </c>
      <c r="O4464" s="1">
        <f>TablaDatos[[#This Row],[FechaIngreso]]+TablaDatos[[#This Row],[DiasNuevo]]</f>
        <v>45231</v>
      </c>
    </row>
    <row r="4465" spans="1:15">
      <c r="A4465">
        <v>4464</v>
      </c>
      <c r="B4465" t="s">
        <v>49</v>
      </c>
      <c r="C4465" s="1">
        <v>34334</v>
      </c>
      <c r="D4465">
        <v>32</v>
      </c>
      <c r="E4465" s="4" t="s">
        <v>12</v>
      </c>
      <c r="F4465" t="s">
        <v>21</v>
      </c>
      <c r="G4465" s="1">
        <v>45581</v>
      </c>
      <c r="H4465" s="1">
        <f>TablaDatos[[#This Row],[FechaIngreso]]+TablaDatos[[#This Row],[DiasNuevo]]</f>
        <v>45593</v>
      </c>
      <c r="I4465">
        <v>12</v>
      </c>
      <c r="J4465" t="s">
        <v>25</v>
      </c>
      <c r="K4465" s="3">
        <v>1214.01</v>
      </c>
      <c r="L4465" t="b">
        <f>TablaDatos[[#This Row],[FechaAlta]] &lt; TablaDatos[[#This Row],[FechaIngreso]]</f>
        <v>0</v>
      </c>
      <c r="M4465">
        <f>_xlfn.XLOOKUP(TablaDatos[[#This Row],[PacienteID]],'Datos_Ejemplo.csv'!A:A,'Datos_Ejemplo.csv'!I:I)</f>
        <v>12</v>
      </c>
      <c r="N4465">
        <f>ABS(TablaDatos[[#This Row],[DiasOriginal]])</f>
        <v>12</v>
      </c>
      <c r="O4465" s="1">
        <f>TablaDatos[[#This Row],[FechaIngreso]]+TablaDatos[[#This Row],[DiasNuevo]]</f>
        <v>45593</v>
      </c>
    </row>
    <row r="4466" spans="1:15">
      <c r="A4466">
        <v>4465</v>
      </c>
      <c r="B4466" t="s">
        <v>277</v>
      </c>
      <c r="C4466" s="1">
        <v>23742</v>
      </c>
      <c r="D4466">
        <v>61</v>
      </c>
      <c r="E4466" s="4" t="s">
        <v>15</v>
      </c>
      <c r="F4466" t="s">
        <v>18</v>
      </c>
      <c r="G4466" s="1">
        <v>45363</v>
      </c>
      <c r="H4466" s="1">
        <f>TablaDatos[[#This Row],[FechaIngreso]]+TablaDatos[[#This Row],[DiasNuevo]]</f>
        <v>45366</v>
      </c>
      <c r="I4466">
        <v>3</v>
      </c>
      <c r="J4466" t="s">
        <v>25</v>
      </c>
      <c r="K4466" s="3">
        <v>6030.69</v>
      </c>
      <c r="L4466" t="b">
        <f>TablaDatos[[#This Row],[FechaAlta]] &lt; TablaDatos[[#This Row],[FechaIngreso]]</f>
        <v>0</v>
      </c>
      <c r="M4466">
        <f>_xlfn.XLOOKUP(TablaDatos[[#This Row],[PacienteID]],'Datos_Ejemplo.csv'!A:A,'Datos_Ejemplo.csv'!I:I)</f>
        <v>3</v>
      </c>
      <c r="N4466">
        <f>ABS(TablaDatos[[#This Row],[DiasOriginal]])</f>
        <v>3</v>
      </c>
      <c r="O4466" s="1">
        <f>TablaDatos[[#This Row],[FechaIngreso]]+TablaDatos[[#This Row],[DiasNuevo]]</f>
        <v>45366</v>
      </c>
    </row>
    <row r="4467" spans="1:15">
      <c r="A4467">
        <v>4466</v>
      </c>
      <c r="B4467" t="s">
        <v>299</v>
      </c>
      <c r="C4467" s="1">
        <v>28125</v>
      </c>
      <c r="D4467">
        <v>49</v>
      </c>
      <c r="E4467" s="4" t="s">
        <v>15</v>
      </c>
      <c r="F4467" t="s">
        <v>13</v>
      </c>
      <c r="G4467" s="1">
        <v>45593</v>
      </c>
      <c r="H4467" s="1">
        <f>TablaDatos[[#This Row],[FechaIngreso]]+TablaDatos[[#This Row],[DiasNuevo]]</f>
        <v>45602</v>
      </c>
      <c r="I4467">
        <v>9</v>
      </c>
      <c r="J4467" t="s">
        <v>25</v>
      </c>
      <c r="K4467" s="3">
        <v>8547.94</v>
      </c>
      <c r="L4467" t="b">
        <f>TablaDatos[[#This Row],[FechaAlta]] &lt; TablaDatos[[#This Row],[FechaIngreso]]</f>
        <v>0</v>
      </c>
      <c r="M4467">
        <f>_xlfn.XLOOKUP(TablaDatos[[#This Row],[PacienteID]],'Datos_Ejemplo.csv'!A:A,'Datos_Ejemplo.csv'!I:I)</f>
        <v>9</v>
      </c>
      <c r="N4467">
        <f>ABS(TablaDatos[[#This Row],[DiasOriginal]])</f>
        <v>9</v>
      </c>
      <c r="O4467" s="1">
        <f>TablaDatos[[#This Row],[FechaIngreso]]+TablaDatos[[#This Row],[DiasNuevo]]</f>
        <v>45602</v>
      </c>
    </row>
    <row r="4468" spans="1:15">
      <c r="A4468">
        <v>4467</v>
      </c>
      <c r="B4468" t="s">
        <v>367</v>
      </c>
      <c r="C4468" s="1">
        <v>39448</v>
      </c>
      <c r="D4468">
        <v>18</v>
      </c>
      <c r="E4468" s="4" t="s">
        <v>12</v>
      </c>
      <c r="F4468" t="s">
        <v>21</v>
      </c>
      <c r="G4468" s="1">
        <v>45587</v>
      </c>
      <c r="H4468" s="1">
        <f>TablaDatos[[#This Row],[FechaIngreso]]+TablaDatos[[#This Row],[DiasNuevo]]</f>
        <v>45626</v>
      </c>
      <c r="I4468">
        <v>39</v>
      </c>
      <c r="J4468" t="s">
        <v>25</v>
      </c>
      <c r="K4468" s="3">
        <v>5431.97</v>
      </c>
      <c r="L4468" t="b">
        <f>TablaDatos[[#This Row],[FechaAlta]] &lt; TablaDatos[[#This Row],[FechaIngreso]]</f>
        <v>0</v>
      </c>
      <c r="M4468">
        <f>_xlfn.XLOOKUP(TablaDatos[[#This Row],[PacienteID]],'Datos_Ejemplo.csv'!A:A,'Datos_Ejemplo.csv'!I:I)</f>
        <v>39</v>
      </c>
      <c r="N4468">
        <f>ABS(TablaDatos[[#This Row],[DiasOriginal]])</f>
        <v>39</v>
      </c>
      <c r="O4468" s="1">
        <f>TablaDatos[[#This Row],[FechaIngreso]]+TablaDatos[[#This Row],[DiasNuevo]]</f>
        <v>45626</v>
      </c>
    </row>
    <row r="4469" spans="1:15">
      <c r="A4469">
        <v>4468</v>
      </c>
      <c r="B4469" t="s">
        <v>259</v>
      </c>
      <c r="C4469" s="1">
        <v>14976</v>
      </c>
      <c r="D4469">
        <v>85</v>
      </c>
      <c r="E4469" s="4" t="s">
        <v>12</v>
      </c>
      <c r="F4469" t="s">
        <v>21</v>
      </c>
      <c r="G4469" s="1">
        <v>44986</v>
      </c>
      <c r="H4469" s="1">
        <f>TablaDatos[[#This Row],[FechaIngreso]]+TablaDatos[[#This Row],[DiasNuevo]]</f>
        <v>45002</v>
      </c>
      <c r="I4469">
        <v>16</v>
      </c>
      <c r="J4469" t="s">
        <v>19</v>
      </c>
      <c r="K4469" s="3">
        <v>12994.34</v>
      </c>
      <c r="L4469" t="b">
        <f>TablaDatos[[#This Row],[FechaAlta]] &lt; TablaDatos[[#This Row],[FechaIngreso]]</f>
        <v>0</v>
      </c>
      <c r="M4469">
        <f>_xlfn.XLOOKUP(TablaDatos[[#This Row],[PacienteID]],'Datos_Ejemplo.csv'!A:A,'Datos_Ejemplo.csv'!I:I)</f>
        <v>16</v>
      </c>
      <c r="N4469">
        <f>ABS(TablaDatos[[#This Row],[DiasOriginal]])</f>
        <v>16</v>
      </c>
      <c r="O4469" s="1">
        <f>TablaDatos[[#This Row],[FechaIngreso]]+TablaDatos[[#This Row],[DiasNuevo]]</f>
        <v>45002</v>
      </c>
    </row>
    <row r="4470" spans="1:15">
      <c r="A4470">
        <v>4469</v>
      </c>
      <c r="B4470" t="s">
        <v>52</v>
      </c>
      <c r="C4470" s="1">
        <v>21185</v>
      </c>
      <c r="D4470">
        <v>68</v>
      </c>
      <c r="E4470" s="4" t="s">
        <v>15</v>
      </c>
      <c r="F4470" t="s">
        <v>21</v>
      </c>
      <c r="G4470" s="1">
        <v>45524</v>
      </c>
      <c r="H4470" s="1">
        <f>TablaDatos[[#This Row],[FechaIngreso]]+TablaDatos[[#This Row],[DiasNuevo]]</f>
        <v>45561</v>
      </c>
      <c r="I4470">
        <v>37</v>
      </c>
      <c r="J4470" t="s">
        <v>23</v>
      </c>
      <c r="K4470" s="3">
        <v>3821.67</v>
      </c>
      <c r="L4470" t="b">
        <f>TablaDatos[[#This Row],[FechaAlta]] &lt; TablaDatos[[#This Row],[FechaIngreso]]</f>
        <v>0</v>
      </c>
      <c r="M4470">
        <f>_xlfn.XLOOKUP(TablaDatos[[#This Row],[PacienteID]],'Datos_Ejemplo.csv'!A:A,'Datos_Ejemplo.csv'!I:I)</f>
        <v>37</v>
      </c>
      <c r="N4470">
        <f>ABS(TablaDatos[[#This Row],[DiasOriginal]])</f>
        <v>37</v>
      </c>
      <c r="O4470" s="1">
        <f>TablaDatos[[#This Row],[FechaIngreso]]+TablaDatos[[#This Row],[DiasNuevo]]</f>
        <v>45561</v>
      </c>
    </row>
    <row r="4471" spans="1:15">
      <c r="A4471">
        <v>4470</v>
      </c>
      <c r="B4471" t="s">
        <v>341</v>
      </c>
      <c r="C4471" s="1">
        <v>22281</v>
      </c>
      <c r="D4471">
        <v>65</v>
      </c>
      <c r="E4471" s="4" t="s">
        <v>15</v>
      </c>
      <c r="F4471" t="s">
        <v>13</v>
      </c>
      <c r="G4471" s="1">
        <v>45630</v>
      </c>
      <c r="H4471" s="1">
        <f>TablaDatos[[#This Row],[FechaIngreso]]+TablaDatos[[#This Row],[DiasNuevo]]</f>
        <v>45632</v>
      </c>
      <c r="I4471">
        <v>2</v>
      </c>
      <c r="J4471" t="s">
        <v>25</v>
      </c>
      <c r="K4471" s="3">
        <v>14053.24</v>
      </c>
      <c r="L4471" t="b">
        <f>TablaDatos[[#This Row],[FechaAlta]] &lt; TablaDatos[[#This Row],[FechaIngreso]]</f>
        <v>0</v>
      </c>
      <c r="M4471">
        <f>_xlfn.XLOOKUP(TablaDatos[[#This Row],[PacienteID]],'Datos_Ejemplo.csv'!A:A,'Datos_Ejemplo.csv'!I:I)</f>
        <v>2</v>
      </c>
      <c r="N4471">
        <f>ABS(TablaDatos[[#This Row],[DiasOriginal]])</f>
        <v>2</v>
      </c>
      <c r="O4471" s="1">
        <f>TablaDatos[[#This Row],[FechaIngreso]]+TablaDatos[[#This Row],[DiasNuevo]]</f>
        <v>45632</v>
      </c>
    </row>
    <row r="4472" spans="1:15">
      <c r="A4472">
        <v>4471</v>
      </c>
      <c r="B4472" t="s">
        <v>286</v>
      </c>
      <c r="C4472" s="1">
        <v>12054</v>
      </c>
      <c r="D4472">
        <v>93</v>
      </c>
      <c r="E4472" s="4" t="s">
        <v>12</v>
      </c>
      <c r="F4472" t="s">
        <v>261</v>
      </c>
      <c r="G4472" s="1">
        <v>45253</v>
      </c>
      <c r="H4472" s="1">
        <f>TablaDatos[[#This Row],[FechaIngreso]]+TablaDatos[[#This Row],[DiasNuevo]]</f>
        <v>45277</v>
      </c>
      <c r="I4472">
        <v>24</v>
      </c>
      <c r="J4472" t="s">
        <v>19</v>
      </c>
      <c r="K4472" s="3">
        <v>15440.33</v>
      </c>
      <c r="L4472" t="b">
        <f>TablaDatos[[#This Row],[FechaAlta]] &lt; TablaDatos[[#This Row],[FechaIngreso]]</f>
        <v>0</v>
      </c>
      <c r="M4472">
        <f>_xlfn.XLOOKUP(TablaDatos[[#This Row],[PacienteID]],'Datos_Ejemplo.csv'!A:A,'Datos_Ejemplo.csv'!I:I)</f>
        <v>24</v>
      </c>
      <c r="N4472">
        <f>ABS(TablaDatos[[#This Row],[DiasOriginal]])</f>
        <v>24</v>
      </c>
      <c r="O4472" s="1">
        <f>TablaDatos[[#This Row],[FechaIngreso]]+TablaDatos[[#This Row],[DiasNuevo]]</f>
        <v>45277</v>
      </c>
    </row>
    <row r="4473" spans="1:15">
      <c r="A4473">
        <v>4472</v>
      </c>
      <c r="B4473" t="s">
        <v>283</v>
      </c>
      <c r="C4473" s="1">
        <v>29221</v>
      </c>
      <c r="D4473">
        <v>46</v>
      </c>
      <c r="E4473" s="4" t="s">
        <v>12</v>
      </c>
      <c r="F4473" t="s">
        <v>21</v>
      </c>
      <c r="G4473" s="1">
        <v>45108</v>
      </c>
      <c r="H4473" s="1">
        <f>TablaDatos[[#This Row],[FechaIngreso]]+TablaDatos[[#This Row],[DiasNuevo]]</f>
        <v>45115</v>
      </c>
      <c r="I4473">
        <v>7</v>
      </c>
      <c r="J4473" t="s">
        <v>23</v>
      </c>
      <c r="K4473" s="3">
        <v>2398.8200000000002</v>
      </c>
      <c r="L4473" t="b">
        <f>TablaDatos[[#This Row],[FechaAlta]] &lt; TablaDatos[[#This Row],[FechaIngreso]]</f>
        <v>0</v>
      </c>
      <c r="M4473">
        <f>_xlfn.XLOOKUP(TablaDatos[[#This Row],[PacienteID]],'Datos_Ejemplo.csv'!A:A,'Datos_Ejemplo.csv'!I:I)</f>
        <v>7</v>
      </c>
      <c r="N4473">
        <f>ABS(TablaDatos[[#This Row],[DiasOriginal]])</f>
        <v>7</v>
      </c>
      <c r="O4473" s="1">
        <f>TablaDatos[[#This Row],[FechaIngreso]]+TablaDatos[[#This Row],[DiasNuevo]]</f>
        <v>45115</v>
      </c>
    </row>
    <row r="4474" spans="1:15">
      <c r="A4474">
        <v>4473</v>
      </c>
      <c r="B4474" t="s">
        <v>276</v>
      </c>
      <c r="C4474" s="1">
        <v>32143</v>
      </c>
      <c r="D4474">
        <v>38</v>
      </c>
      <c r="E4474" s="4" t="s">
        <v>12</v>
      </c>
      <c r="F4474" t="s">
        <v>18</v>
      </c>
      <c r="G4474" s="1">
        <v>45360</v>
      </c>
      <c r="H4474" s="1">
        <f>TablaDatos[[#This Row],[FechaIngreso]]+TablaDatos[[#This Row],[DiasNuevo]]</f>
        <v>45371</v>
      </c>
      <c r="I4474">
        <v>11</v>
      </c>
      <c r="J4474" t="s">
        <v>25</v>
      </c>
      <c r="K4474" s="3">
        <v>12981.21</v>
      </c>
      <c r="L4474" t="b">
        <f>TablaDatos[[#This Row],[FechaAlta]] &lt; TablaDatos[[#This Row],[FechaIngreso]]</f>
        <v>0</v>
      </c>
      <c r="M4474">
        <f>_xlfn.XLOOKUP(TablaDatos[[#This Row],[PacienteID]],'Datos_Ejemplo.csv'!A:A,'Datos_Ejemplo.csv'!I:I)</f>
        <v>11</v>
      </c>
      <c r="N4474">
        <f>ABS(TablaDatos[[#This Row],[DiasOriginal]])</f>
        <v>11</v>
      </c>
      <c r="O4474" s="1">
        <f>TablaDatos[[#This Row],[FechaIngreso]]+TablaDatos[[#This Row],[DiasNuevo]]</f>
        <v>45371</v>
      </c>
    </row>
    <row r="4475" spans="1:15">
      <c r="A4475">
        <v>4474</v>
      </c>
      <c r="B4475" t="s">
        <v>274</v>
      </c>
      <c r="C4475" s="1">
        <v>21551</v>
      </c>
      <c r="D4475">
        <v>67</v>
      </c>
      <c r="E4475" s="4" t="s">
        <v>15</v>
      </c>
      <c r="F4475" t="s">
        <v>261</v>
      </c>
      <c r="G4475" s="1">
        <v>45445</v>
      </c>
      <c r="H4475" s="1">
        <f>TablaDatos[[#This Row],[FechaIngreso]]+TablaDatos[[#This Row],[DiasNuevo]]</f>
        <v>45476</v>
      </c>
      <c r="I4475">
        <v>31</v>
      </c>
      <c r="J4475" t="s">
        <v>25</v>
      </c>
      <c r="K4475" s="3">
        <v>19224.86</v>
      </c>
      <c r="L4475" t="b">
        <f>TablaDatos[[#This Row],[FechaAlta]] &lt; TablaDatos[[#This Row],[FechaIngreso]]</f>
        <v>0</v>
      </c>
      <c r="M4475">
        <f>_xlfn.XLOOKUP(TablaDatos[[#This Row],[PacienteID]],'Datos_Ejemplo.csv'!A:A,'Datos_Ejemplo.csv'!I:I)</f>
        <v>31</v>
      </c>
      <c r="N4475">
        <f>ABS(TablaDatos[[#This Row],[DiasOriginal]])</f>
        <v>31</v>
      </c>
      <c r="O4475" s="1">
        <f>TablaDatos[[#This Row],[FechaIngreso]]+TablaDatos[[#This Row],[DiasNuevo]]</f>
        <v>45476</v>
      </c>
    </row>
    <row r="4476" spans="1:15">
      <c r="A4476">
        <v>4475</v>
      </c>
      <c r="B4476" t="s">
        <v>51</v>
      </c>
      <c r="C4476" s="1">
        <v>34334</v>
      </c>
      <c r="D4476">
        <f ca="1">DATEDIF(TablaDatos[[#This Row],[FechaNacimiento]],TODAY(),"Y")</f>
        <v>32</v>
      </c>
      <c r="E4476" s="4" t="s">
        <v>12</v>
      </c>
      <c r="F4476" t="s">
        <v>32</v>
      </c>
      <c r="G4476" s="1">
        <v>45564</v>
      </c>
      <c r="H4476" s="1">
        <f>TablaDatos[[#This Row],[FechaIngreso]]+TablaDatos[[#This Row],[DiasNuevo]]</f>
        <v>45576</v>
      </c>
      <c r="I4476">
        <v>12</v>
      </c>
      <c r="J4476" t="s">
        <v>19</v>
      </c>
      <c r="K4476" s="3">
        <v>3775.76</v>
      </c>
      <c r="L4476" t="b">
        <f>TablaDatos[[#This Row],[FechaAlta]] &lt; TablaDatos[[#This Row],[FechaIngreso]]</f>
        <v>0</v>
      </c>
      <c r="M4476">
        <f>_xlfn.XLOOKUP(TablaDatos[[#This Row],[PacienteID]],'Datos_Ejemplo.csv'!A:A,'Datos_Ejemplo.csv'!I:I)</f>
        <v>12</v>
      </c>
      <c r="N4476">
        <f>ABS(TablaDatos[[#This Row],[DiasOriginal]])</f>
        <v>12</v>
      </c>
      <c r="O4476" s="1">
        <f>TablaDatos[[#This Row],[FechaIngreso]]+TablaDatos[[#This Row],[DiasNuevo]]</f>
        <v>45576</v>
      </c>
    </row>
    <row r="4477" spans="1:15">
      <c r="A4477">
        <v>4476</v>
      </c>
      <c r="B4477" t="s">
        <v>344</v>
      </c>
      <c r="C4477" s="1">
        <v>41639</v>
      </c>
      <c r="D4477">
        <v>12</v>
      </c>
      <c r="E4477" s="4" t="s">
        <v>15</v>
      </c>
      <c r="F4477" t="s">
        <v>18</v>
      </c>
      <c r="G4477" s="1">
        <v>45009</v>
      </c>
      <c r="H4477" s="1">
        <f>TablaDatos[[#This Row],[FechaIngreso]]+TablaDatos[[#This Row],[DiasNuevo]]</f>
        <v>45035</v>
      </c>
      <c r="I4477">
        <v>26</v>
      </c>
      <c r="J4477" t="s">
        <v>23</v>
      </c>
      <c r="K4477" s="3">
        <v>18176.990000000002</v>
      </c>
      <c r="L4477" t="b">
        <f>TablaDatos[[#This Row],[FechaAlta]] &lt; TablaDatos[[#This Row],[FechaIngreso]]</f>
        <v>0</v>
      </c>
      <c r="M4477">
        <f>_xlfn.XLOOKUP(TablaDatos[[#This Row],[PacienteID]],'Datos_Ejemplo.csv'!A:A,'Datos_Ejemplo.csv'!I:I)</f>
        <v>26</v>
      </c>
      <c r="N4477">
        <f>ABS(TablaDatos[[#This Row],[DiasOriginal]])</f>
        <v>26</v>
      </c>
      <c r="O4477" s="1">
        <f>TablaDatos[[#This Row],[FechaIngreso]]+TablaDatos[[#This Row],[DiasNuevo]]</f>
        <v>45035</v>
      </c>
    </row>
    <row r="4478" spans="1:15">
      <c r="A4478">
        <v>4477</v>
      </c>
      <c r="B4478" t="s">
        <v>288</v>
      </c>
      <c r="C4478" s="1">
        <v>15707</v>
      </c>
      <c r="D4478">
        <v>83</v>
      </c>
      <c r="E4478" s="4" t="s">
        <v>15</v>
      </c>
      <c r="F4478" t="s">
        <v>201</v>
      </c>
      <c r="G4478" s="1">
        <v>44954</v>
      </c>
      <c r="H4478" s="1">
        <f>TablaDatos[[#This Row],[FechaIngreso]]+TablaDatos[[#This Row],[DiasNuevo]]</f>
        <v>44977</v>
      </c>
      <c r="I4478">
        <v>23</v>
      </c>
      <c r="J4478" t="s">
        <v>23</v>
      </c>
      <c r="K4478" s="3">
        <v>12081.56</v>
      </c>
      <c r="L4478" t="b">
        <f>TablaDatos[[#This Row],[FechaAlta]] &lt; TablaDatos[[#This Row],[FechaIngreso]]</f>
        <v>0</v>
      </c>
      <c r="M4478">
        <f>_xlfn.XLOOKUP(TablaDatos[[#This Row],[PacienteID]],'Datos_Ejemplo.csv'!A:A,'Datos_Ejemplo.csv'!I:I)</f>
        <v>23</v>
      </c>
      <c r="N4478">
        <f>ABS(TablaDatos[[#This Row],[DiasOriginal]])</f>
        <v>23</v>
      </c>
      <c r="O4478" s="1">
        <f>TablaDatos[[#This Row],[FechaIngreso]]+TablaDatos[[#This Row],[DiasNuevo]]</f>
        <v>44977</v>
      </c>
    </row>
    <row r="4479" spans="1:15">
      <c r="A4479">
        <v>4478</v>
      </c>
      <c r="B4479" t="s">
        <v>351</v>
      </c>
      <c r="C4479" s="1">
        <v>26664</v>
      </c>
      <c r="D4479">
        <v>53</v>
      </c>
      <c r="E4479" s="4" t="s">
        <v>12</v>
      </c>
      <c r="F4479" t="s">
        <v>261</v>
      </c>
      <c r="G4479" s="1">
        <v>45192</v>
      </c>
      <c r="H4479" s="1">
        <f>TablaDatos[[#This Row],[FechaIngreso]]+TablaDatos[[#This Row],[DiasNuevo]]</f>
        <v>45216</v>
      </c>
      <c r="I4479">
        <v>24</v>
      </c>
      <c r="J4479" t="s">
        <v>19</v>
      </c>
      <c r="K4479" s="3">
        <v>11777.99</v>
      </c>
      <c r="L4479" t="b">
        <f>TablaDatos[[#This Row],[FechaAlta]] &lt; TablaDatos[[#This Row],[FechaIngreso]]</f>
        <v>0</v>
      </c>
      <c r="M4479">
        <f>_xlfn.XLOOKUP(TablaDatos[[#This Row],[PacienteID]],'Datos_Ejemplo.csv'!A:A,'Datos_Ejemplo.csv'!I:I)</f>
        <v>24</v>
      </c>
      <c r="N4479">
        <f>ABS(TablaDatos[[#This Row],[DiasOriginal]])</f>
        <v>24</v>
      </c>
      <c r="O4479" s="1">
        <f>TablaDatos[[#This Row],[FechaIngreso]]+TablaDatos[[#This Row],[DiasNuevo]]</f>
        <v>45216</v>
      </c>
    </row>
    <row r="4480" spans="1:15">
      <c r="A4480">
        <v>4479</v>
      </c>
      <c r="B4480" t="s">
        <v>342</v>
      </c>
      <c r="C4480" s="1">
        <v>43831</v>
      </c>
      <c r="D4480">
        <v>6</v>
      </c>
      <c r="E4480" s="4" t="s">
        <v>15</v>
      </c>
      <c r="F4480" t="s">
        <v>32</v>
      </c>
      <c r="G4480" s="1">
        <v>45209</v>
      </c>
      <c r="H4480" s="1">
        <f>TablaDatos[[#This Row],[FechaIngreso]]+TablaDatos[[#This Row],[DiasNuevo]]</f>
        <v>45209</v>
      </c>
      <c r="I4480">
        <v>0</v>
      </c>
      <c r="J4480" t="s">
        <v>25</v>
      </c>
      <c r="K4480" s="3">
        <v>943.65</v>
      </c>
      <c r="L4480" t="b">
        <f>TablaDatos[[#This Row],[FechaAlta]] &lt; TablaDatos[[#This Row],[FechaIngreso]]</f>
        <v>0</v>
      </c>
      <c r="M4480">
        <f>_xlfn.XLOOKUP(TablaDatos[[#This Row],[PacienteID]],'Datos_Ejemplo.csv'!A:A,'Datos_Ejemplo.csv'!I:I)</f>
        <v>0</v>
      </c>
      <c r="N4480">
        <f>ABS(TablaDatos[[#This Row],[DiasOriginal]])</f>
        <v>0</v>
      </c>
      <c r="O4480" s="1">
        <f>TablaDatos[[#This Row],[FechaIngreso]]+TablaDatos[[#This Row],[DiasNuevo]]</f>
        <v>45209</v>
      </c>
    </row>
    <row r="4481" spans="1:15">
      <c r="A4481">
        <v>4480</v>
      </c>
      <c r="B4481" t="s">
        <v>289</v>
      </c>
      <c r="C4481" s="1">
        <v>17533</v>
      </c>
      <c r="D4481">
        <v>78</v>
      </c>
      <c r="E4481" s="4" t="s">
        <v>15</v>
      </c>
      <c r="F4481" t="s">
        <v>32</v>
      </c>
      <c r="G4481" s="1">
        <v>45323</v>
      </c>
      <c r="H4481" s="1">
        <f>TablaDatos[[#This Row],[FechaIngreso]]+TablaDatos[[#This Row],[DiasNuevo]]</f>
        <v>45323</v>
      </c>
      <c r="I4481">
        <v>0</v>
      </c>
      <c r="J4481" t="s">
        <v>23</v>
      </c>
      <c r="K4481" s="3">
        <v>14940.84</v>
      </c>
      <c r="L4481" t="b">
        <f>TablaDatos[[#This Row],[FechaAlta]] &lt; TablaDatos[[#This Row],[FechaIngreso]]</f>
        <v>0</v>
      </c>
      <c r="M4481">
        <f>_xlfn.XLOOKUP(TablaDatos[[#This Row],[PacienteID]],'Datos_Ejemplo.csv'!A:A,'Datos_Ejemplo.csv'!I:I)</f>
        <v>0</v>
      </c>
      <c r="N4481">
        <f>ABS(TablaDatos[[#This Row],[DiasOriginal]])</f>
        <v>0</v>
      </c>
      <c r="O4481" s="1">
        <f>TablaDatos[[#This Row],[FechaIngreso]]+TablaDatos[[#This Row],[DiasNuevo]]</f>
        <v>45323</v>
      </c>
    </row>
    <row r="4482" spans="1:15">
      <c r="A4482">
        <v>4481</v>
      </c>
      <c r="B4482" t="s">
        <v>262</v>
      </c>
      <c r="C4482" s="1">
        <v>14611</v>
      </c>
      <c r="D4482">
        <v>86</v>
      </c>
      <c r="E4482" s="4" t="s">
        <v>197</v>
      </c>
      <c r="F4482" t="s">
        <v>21</v>
      </c>
      <c r="G4482" s="1">
        <v>45626</v>
      </c>
      <c r="H4482" s="1">
        <f>TablaDatos[[#This Row],[FechaIngreso]]+TablaDatos[[#This Row],[DiasNuevo]]</f>
        <v>45658</v>
      </c>
      <c r="I4482">
        <v>32</v>
      </c>
      <c r="J4482" t="s">
        <v>19</v>
      </c>
      <c r="K4482" s="3">
        <v>9513.2900000000009</v>
      </c>
      <c r="L4482" t="b">
        <f>TablaDatos[[#This Row],[FechaAlta]] &lt; TablaDatos[[#This Row],[FechaIngreso]]</f>
        <v>0</v>
      </c>
      <c r="M4482">
        <f>_xlfn.XLOOKUP(TablaDatos[[#This Row],[PacienteID]],'Datos_Ejemplo.csv'!A:A,'Datos_Ejemplo.csv'!I:I)</f>
        <v>32</v>
      </c>
      <c r="N4482">
        <f>ABS(TablaDatos[[#This Row],[DiasOriginal]])</f>
        <v>32</v>
      </c>
      <c r="O4482" s="1">
        <f>TablaDatos[[#This Row],[FechaIngreso]]+TablaDatos[[#This Row],[DiasNuevo]]</f>
        <v>45658</v>
      </c>
    </row>
    <row r="4483" spans="1:15">
      <c r="A4483">
        <v>4482</v>
      </c>
      <c r="B4483" t="s">
        <v>340</v>
      </c>
      <c r="C4483" s="1">
        <v>41274</v>
      </c>
      <c r="D4483">
        <v>13</v>
      </c>
      <c r="E4483" s="4" t="s">
        <v>12</v>
      </c>
      <c r="F4483" t="s">
        <v>21</v>
      </c>
      <c r="G4483" s="1">
        <v>45309</v>
      </c>
      <c r="H4483" s="1">
        <f>TablaDatos[[#This Row],[FechaIngreso]]+TablaDatos[[#This Row],[DiasNuevo]]</f>
        <v>45341</v>
      </c>
      <c r="I4483">
        <v>32</v>
      </c>
      <c r="J4483" t="s">
        <v>23</v>
      </c>
      <c r="K4483" s="3">
        <v>14395.61</v>
      </c>
      <c r="L4483" t="b">
        <f>TablaDatos[[#This Row],[FechaAlta]] &lt; TablaDatos[[#This Row],[FechaIngreso]]</f>
        <v>0</v>
      </c>
      <c r="M4483">
        <f>_xlfn.XLOOKUP(TablaDatos[[#This Row],[PacienteID]],'Datos_Ejemplo.csv'!A:A,'Datos_Ejemplo.csv'!I:I)</f>
        <v>32</v>
      </c>
      <c r="N4483">
        <f>ABS(TablaDatos[[#This Row],[DiasOriginal]])</f>
        <v>32</v>
      </c>
      <c r="O4483" s="1">
        <f>TablaDatos[[#This Row],[FechaIngreso]]+TablaDatos[[#This Row],[DiasNuevo]]</f>
        <v>45341</v>
      </c>
    </row>
    <row r="4484" spans="1:15">
      <c r="A4484">
        <v>4483</v>
      </c>
      <c r="B4484" t="s">
        <v>309</v>
      </c>
      <c r="C4484" s="1">
        <v>14611</v>
      </c>
      <c r="D4484">
        <v>86</v>
      </c>
      <c r="E4484" s="4" t="s">
        <v>12</v>
      </c>
      <c r="F4484" t="s">
        <v>13</v>
      </c>
      <c r="G4484" s="1">
        <v>45507</v>
      </c>
      <c r="H4484" s="1">
        <f>TablaDatos[[#This Row],[FechaIngreso]]+TablaDatos[[#This Row],[DiasNuevo]]</f>
        <v>45510</v>
      </c>
      <c r="I4484">
        <v>3</v>
      </c>
      <c r="J4484" t="s">
        <v>25</v>
      </c>
      <c r="K4484" s="3">
        <v>16164.54</v>
      </c>
      <c r="L4484" t="b">
        <f>TablaDatos[[#This Row],[FechaAlta]] &lt; TablaDatos[[#This Row],[FechaIngreso]]</f>
        <v>0</v>
      </c>
      <c r="M4484">
        <f>_xlfn.XLOOKUP(TablaDatos[[#This Row],[PacienteID]],'Datos_Ejemplo.csv'!A:A,'Datos_Ejemplo.csv'!I:I)</f>
        <v>3</v>
      </c>
      <c r="N4484">
        <f>ABS(TablaDatos[[#This Row],[DiasOriginal]])</f>
        <v>3</v>
      </c>
      <c r="O4484" s="1">
        <f>TablaDatos[[#This Row],[FechaIngreso]]+TablaDatos[[#This Row],[DiasNuevo]]</f>
        <v>45510</v>
      </c>
    </row>
    <row r="4485" spans="1:15">
      <c r="A4485">
        <v>4484</v>
      </c>
      <c r="B4485" t="s">
        <v>336</v>
      </c>
      <c r="C4485" s="1">
        <v>39448</v>
      </c>
      <c r="D4485">
        <v>18</v>
      </c>
      <c r="E4485" s="4" t="s">
        <v>15</v>
      </c>
      <c r="F4485" t="s">
        <v>295</v>
      </c>
      <c r="G4485" s="1">
        <v>45245</v>
      </c>
      <c r="H4485" s="1">
        <f>TablaDatos[[#This Row],[FechaIngreso]]+TablaDatos[[#This Row],[DiasNuevo]]</f>
        <v>45256</v>
      </c>
      <c r="I4485">
        <v>11</v>
      </c>
      <c r="J4485" t="s">
        <v>25</v>
      </c>
      <c r="K4485" s="3">
        <v>10428.31</v>
      </c>
      <c r="L4485" t="b">
        <f>TablaDatos[[#This Row],[FechaAlta]] &lt; TablaDatos[[#This Row],[FechaIngreso]]</f>
        <v>0</v>
      </c>
      <c r="M4485">
        <f>_xlfn.XLOOKUP(TablaDatos[[#This Row],[PacienteID]],'Datos_Ejemplo.csv'!A:A,'Datos_Ejemplo.csv'!I:I)</f>
        <v>11</v>
      </c>
      <c r="N4485">
        <f>ABS(TablaDatos[[#This Row],[DiasOriginal]])</f>
        <v>11</v>
      </c>
      <c r="O4485" s="1">
        <f>TablaDatos[[#This Row],[FechaIngreso]]+TablaDatos[[#This Row],[DiasNuevo]]</f>
        <v>45256</v>
      </c>
    </row>
    <row r="4486" spans="1:15">
      <c r="A4486">
        <v>4485</v>
      </c>
      <c r="B4486" t="s">
        <v>146</v>
      </c>
      <c r="C4486" s="1">
        <v>26664</v>
      </c>
      <c r="D4486">
        <v>53</v>
      </c>
      <c r="E4486" s="4" t="s">
        <v>15</v>
      </c>
      <c r="F4486" t="s">
        <v>18</v>
      </c>
      <c r="G4486" s="1">
        <v>45537</v>
      </c>
      <c r="H4486" s="1">
        <f>TablaDatos[[#This Row],[FechaIngreso]]+TablaDatos[[#This Row],[DiasNuevo]]</f>
        <v>45560</v>
      </c>
      <c r="I4486">
        <v>23</v>
      </c>
      <c r="J4486" t="s">
        <v>23</v>
      </c>
      <c r="K4486" s="3">
        <v>5199.25</v>
      </c>
      <c r="L4486" t="b">
        <f>TablaDatos[[#This Row],[FechaAlta]] &lt; TablaDatos[[#This Row],[FechaIngreso]]</f>
        <v>0</v>
      </c>
      <c r="M4486">
        <f>_xlfn.XLOOKUP(TablaDatos[[#This Row],[PacienteID]],'Datos_Ejemplo.csv'!A:A,'Datos_Ejemplo.csv'!I:I)</f>
        <v>23</v>
      </c>
      <c r="N4486">
        <f>ABS(TablaDatos[[#This Row],[DiasOriginal]])</f>
        <v>23</v>
      </c>
      <c r="O4486" s="1">
        <f>TablaDatos[[#This Row],[FechaIngreso]]+TablaDatos[[#This Row],[DiasNuevo]]</f>
        <v>45560</v>
      </c>
    </row>
    <row r="4487" spans="1:15">
      <c r="A4487">
        <v>4486</v>
      </c>
      <c r="B4487" t="s">
        <v>264</v>
      </c>
      <c r="C4487" s="1">
        <v>12419</v>
      </c>
      <c r="D4487">
        <v>92</v>
      </c>
      <c r="E4487" s="4" t="s">
        <v>12</v>
      </c>
      <c r="F4487" t="s">
        <v>13</v>
      </c>
      <c r="G4487" s="1">
        <v>45119</v>
      </c>
      <c r="H4487" s="1">
        <f>TablaDatos[[#This Row],[FechaIngreso]]+TablaDatos[[#This Row],[DiasNuevo]]</f>
        <v>45119</v>
      </c>
      <c r="I4487">
        <v>0</v>
      </c>
      <c r="J4487" t="s">
        <v>25</v>
      </c>
      <c r="K4487" s="3">
        <v>2745.61</v>
      </c>
      <c r="L4487" t="b">
        <f>TablaDatos[[#This Row],[FechaAlta]] &lt; TablaDatos[[#This Row],[FechaIngreso]]</f>
        <v>0</v>
      </c>
      <c r="M4487">
        <f>_xlfn.XLOOKUP(TablaDatos[[#This Row],[PacienteID]],'Datos_Ejemplo.csv'!A:A,'Datos_Ejemplo.csv'!I:I)</f>
        <v>0</v>
      </c>
      <c r="N4487">
        <f>ABS(TablaDatos[[#This Row],[DiasOriginal]])</f>
        <v>0</v>
      </c>
      <c r="O4487" s="1">
        <f>TablaDatos[[#This Row],[FechaIngreso]]+TablaDatos[[#This Row],[DiasNuevo]]</f>
        <v>45119</v>
      </c>
    </row>
    <row r="4488" spans="1:15">
      <c r="A4488">
        <v>4487</v>
      </c>
      <c r="B4488" t="s">
        <v>333</v>
      </c>
      <c r="C4488" s="1">
        <v>39083</v>
      </c>
      <c r="D4488">
        <v>19</v>
      </c>
      <c r="E4488" s="4" t="s">
        <v>12</v>
      </c>
      <c r="F4488" t="s">
        <v>13</v>
      </c>
      <c r="G4488" s="1">
        <v>45153</v>
      </c>
      <c r="H4488" s="1">
        <f>TablaDatos[[#This Row],[FechaIngreso]]+TablaDatos[[#This Row],[DiasNuevo]]</f>
        <v>45183</v>
      </c>
      <c r="I4488">
        <v>30</v>
      </c>
      <c r="J4488" t="s">
        <v>23</v>
      </c>
      <c r="K4488" s="3">
        <v>3126.11</v>
      </c>
      <c r="L4488" t="b">
        <f>TablaDatos[[#This Row],[FechaAlta]] &lt; TablaDatos[[#This Row],[FechaIngreso]]</f>
        <v>0</v>
      </c>
      <c r="M4488">
        <f>_xlfn.XLOOKUP(TablaDatos[[#This Row],[PacienteID]],'Datos_Ejemplo.csv'!A:A,'Datos_Ejemplo.csv'!I:I)</f>
        <v>30</v>
      </c>
      <c r="N4488">
        <f>ABS(TablaDatos[[#This Row],[DiasOriginal]])</f>
        <v>30</v>
      </c>
      <c r="O4488" s="1">
        <f>TablaDatos[[#This Row],[FechaIngreso]]+TablaDatos[[#This Row],[DiasNuevo]]</f>
        <v>45183</v>
      </c>
    </row>
    <row r="4489" spans="1:15">
      <c r="A4489">
        <v>4488</v>
      </c>
      <c r="B4489" t="s">
        <v>49</v>
      </c>
      <c r="C4489" s="1">
        <v>35795</v>
      </c>
      <c r="D4489">
        <v>28</v>
      </c>
      <c r="E4489" s="4" t="s">
        <v>12</v>
      </c>
      <c r="F4489" t="s">
        <v>18</v>
      </c>
      <c r="G4489" s="1">
        <v>45377</v>
      </c>
      <c r="H4489" s="1">
        <f>TablaDatos[[#This Row],[FechaIngreso]]+TablaDatos[[#This Row],[DiasNuevo]]</f>
        <v>45416</v>
      </c>
      <c r="I4489">
        <v>39</v>
      </c>
      <c r="J4489" t="s">
        <v>23</v>
      </c>
      <c r="K4489" s="3">
        <v>17325.39</v>
      </c>
      <c r="L4489" t="b">
        <f>TablaDatos[[#This Row],[FechaAlta]] &lt; TablaDatos[[#This Row],[FechaIngreso]]</f>
        <v>0</v>
      </c>
      <c r="M4489">
        <f>_xlfn.XLOOKUP(TablaDatos[[#This Row],[PacienteID]],'Datos_Ejemplo.csv'!A:A,'Datos_Ejemplo.csv'!I:I)</f>
        <v>39</v>
      </c>
      <c r="N4489">
        <f>ABS(TablaDatos[[#This Row],[DiasOriginal]])</f>
        <v>39</v>
      </c>
      <c r="O4489" s="1">
        <f>TablaDatos[[#This Row],[FechaIngreso]]+TablaDatos[[#This Row],[DiasNuevo]]</f>
        <v>45416</v>
      </c>
    </row>
    <row r="4490" spans="1:15">
      <c r="A4490">
        <v>4489</v>
      </c>
      <c r="B4490" t="s">
        <v>329</v>
      </c>
      <c r="C4490" s="1">
        <v>37622</v>
      </c>
      <c r="D4490">
        <v>23</v>
      </c>
      <c r="E4490" s="4" t="s">
        <v>15</v>
      </c>
      <c r="F4490" t="s">
        <v>261</v>
      </c>
      <c r="G4490" s="1">
        <v>45108</v>
      </c>
      <c r="H4490" s="1">
        <f>TablaDatos[[#This Row],[FechaIngreso]]+TablaDatos[[#This Row],[DiasNuevo]]</f>
        <v>45118</v>
      </c>
      <c r="I4490">
        <v>10</v>
      </c>
      <c r="J4490" t="s">
        <v>25</v>
      </c>
      <c r="K4490" s="3">
        <v>2383.92</v>
      </c>
      <c r="L4490" t="b">
        <f>TablaDatos[[#This Row],[FechaAlta]] &lt; TablaDatos[[#This Row],[FechaIngreso]]</f>
        <v>0</v>
      </c>
      <c r="M4490">
        <f>_xlfn.XLOOKUP(TablaDatos[[#This Row],[PacienteID]],'Datos_Ejemplo.csv'!A:A,'Datos_Ejemplo.csv'!I:I)</f>
        <v>10</v>
      </c>
      <c r="N4490">
        <f>ABS(TablaDatos[[#This Row],[DiasOriginal]])</f>
        <v>10</v>
      </c>
      <c r="O4490" s="1">
        <f>TablaDatos[[#This Row],[FechaIngreso]]+TablaDatos[[#This Row],[DiasNuevo]]</f>
        <v>45118</v>
      </c>
    </row>
    <row r="4491" spans="1:15">
      <c r="A4491">
        <v>4490</v>
      </c>
      <c r="B4491" t="s">
        <v>250</v>
      </c>
      <c r="C4491" s="1">
        <v>16437</v>
      </c>
      <c r="D4491">
        <v>81</v>
      </c>
      <c r="E4491" s="4" t="s">
        <v>15</v>
      </c>
      <c r="F4491" t="s">
        <v>201</v>
      </c>
      <c r="G4491" s="1">
        <v>45253</v>
      </c>
      <c r="H4491" s="1">
        <f>TablaDatos[[#This Row],[FechaIngreso]]+TablaDatos[[#This Row],[DiasNuevo]]</f>
        <v>45279</v>
      </c>
      <c r="I4491">
        <v>26</v>
      </c>
      <c r="J4491" t="s">
        <v>23</v>
      </c>
      <c r="K4491" s="3">
        <v>7632.35</v>
      </c>
      <c r="L4491" t="b">
        <f>TablaDatos[[#This Row],[FechaAlta]] &lt; TablaDatos[[#This Row],[FechaIngreso]]</f>
        <v>0</v>
      </c>
      <c r="M4491">
        <f>_xlfn.XLOOKUP(TablaDatos[[#This Row],[PacienteID]],'Datos_Ejemplo.csv'!A:A,'Datos_Ejemplo.csv'!I:I)</f>
        <v>26</v>
      </c>
      <c r="N4491">
        <f>ABS(TablaDatos[[#This Row],[DiasOriginal]])</f>
        <v>26</v>
      </c>
      <c r="O4491" s="1">
        <f>TablaDatos[[#This Row],[FechaIngreso]]+TablaDatos[[#This Row],[DiasNuevo]]</f>
        <v>45279</v>
      </c>
    </row>
    <row r="4492" spans="1:15">
      <c r="A4492">
        <v>4491</v>
      </c>
      <c r="B4492" t="s">
        <v>368</v>
      </c>
      <c r="C4492" s="1">
        <v>23377</v>
      </c>
      <c r="D4492">
        <v>62</v>
      </c>
      <c r="E4492" s="4" t="s">
        <v>197</v>
      </c>
      <c r="F4492" t="s">
        <v>18</v>
      </c>
      <c r="G4492" s="1">
        <v>45531</v>
      </c>
      <c r="H4492" s="1">
        <f>TablaDatos[[#This Row],[FechaIngreso]]+TablaDatos[[#This Row],[DiasNuevo]]</f>
        <v>45537</v>
      </c>
      <c r="I4492">
        <v>6</v>
      </c>
      <c r="J4492" t="s">
        <v>25</v>
      </c>
      <c r="K4492" s="3">
        <v>6618.92</v>
      </c>
      <c r="L4492" t="b">
        <f>TablaDatos[[#This Row],[FechaAlta]] &lt; TablaDatos[[#This Row],[FechaIngreso]]</f>
        <v>0</v>
      </c>
      <c r="M4492">
        <f>_xlfn.XLOOKUP(TablaDatos[[#This Row],[PacienteID]],'Datos_Ejemplo.csv'!A:A,'Datos_Ejemplo.csv'!I:I)</f>
        <v>6</v>
      </c>
      <c r="N4492">
        <f>ABS(TablaDatos[[#This Row],[DiasOriginal]])</f>
        <v>6</v>
      </c>
      <c r="O4492" s="1">
        <f>TablaDatos[[#This Row],[FechaIngreso]]+TablaDatos[[#This Row],[DiasNuevo]]</f>
        <v>45537</v>
      </c>
    </row>
    <row r="4493" spans="1:15">
      <c r="A4493">
        <v>4492</v>
      </c>
      <c r="B4493" t="s">
        <v>279</v>
      </c>
      <c r="C4493" s="1">
        <v>19359</v>
      </c>
      <c r="D4493">
        <v>73</v>
      </c>
      <c r="E4493" s="4" t="s">
        <v>12</v>
      </c>
      <c r="F4493" t="s">
        <v>32</v>
      </c>
      <c r="G4493" s="1">
        <v>45581</v>
      </c>
      <c r="H4493" s="1">
        <f>TablaDatos[[#This Row],[FechaIngreso]]+TablaDatos[[#This Row],[DiasNuevo]]</f>
        <v>45610</v>
      </c>
      <c r="I4493">
        <v>29</v>
      </c>
      <c r="J4493" t="s">
        <v>23</v>
      </c>
      <c r="K4493" s="3">
        <v>17295.66</v>
      </c>
      <c r="L4493" t="b">
        <f>TablaDatos[[#This Row],[FechaAlta]] &lt; TablaDatos[[#This Row],[FechaIngreso]]</f>
        <v>0</v>
      </c>
      <c r="M4493">
        <f>_xlfn.XLOOKUP(TablaDatos[[#This Row],[PacienteID]],'Datos_Ejemplo.csv'!A:A,'Datos_Ejemplo.csv'!I:I)</f>
        <v>29</v>
      </c>
      <c r="N4493">
        <f>ABS(TablaDatos[[#This Row],[DiasOriginal]])</f>
        <v>29</v>
      </c>
      <c r="O4493" s="1">
        <f>TablaDatos[[#This Row],[FechaIngreso]]+TablaDatos[[#This Row],[DiasNuevo]]</f>
        <v>45610</v>
      </c>
    </row>
    <row r="4494" spans="1:15">
      <c r="A4494">
        <v>4493</v>
      </c>
      <c r="B4494" t="s">
        <v>258</v>
      </c>
      <c r="C4494" s="1">
        <v>25568</v>
      </c>
      <c r="D4494">
        <v>56</v>
      </c>
      <c r="E4494" s="4" t="s">
        <v>15</v>
      </c>
      <c r="F4494" t="s">
        <v>201</v>
      </c>
      <c r="G4494" s="1">
        <v>45129</v>
      </c>
      <c r="H4494" s="1">
        <f>TablaDatos[[#This Row],[FechaIngreso]]+TablaDatos[[#This Row],[DiasNuevo]]</f>
        <v>45148</v>
      </c>
      <c r="I4494">
        <v>19</v>
      </c>
      <c r="J4494" t="s">
        <v>23</v>
      </c>
      <c r="K4494" s="3">
        <v>9501.64</v>
      </c>
      <c r="L4494" t="b">
        <f>TablaDatos[[#This Row],[FechaAlta]] &lt; TablaDatos[[#This Row],[FechaIngreso]]</f>
        <v>0</v>
      </c>
      <c r="M4494">
        <f>_xlfn.XLOOKUP(TablaDatos[[#This Row],[PacienteID]],'Datos_Ejemplo.csv'!A:A,'Datos_Ejemplo.csv'!I:I)</f>
        <v>19</v>
      </c>
      <c r="N4494">
        <f>ABS(TablaDatos[[#This Row],[DiasOriginal]])</f>
        <v>19</v>
      </c>
      <c r="O4494" s="1">
        <f>TablaDatos[[#This Row],[FechaIngreso]]+TablaDatos[[#This Row],[DiasNuevo]]</f>
        <v>45148</v>
      </c>
    </row>
    <row r="4495" spans="1:15">
      <c r="A4495">
        <v>4494</v>
      </c>
      <c r="B4495" t="s">
        <v>258</v>
      </c>
      <c r="C4495" s="1">
        <v>43466</v>
      </c>
      <c r="D4495">
        <v>7</v>
      </c>
      <c r="E4495" s="4" t="s">
        <v>15</v>
      </c>
      <c r="F4495" t="s">
        <v>295</v>
      </c>
      <c r="G4495" s="1">
        <v>45328</v>
      </c>
      <c r="H4495" s="1">
        <f>TablaDatos[[#This Row],[FechaIngreso]]+TablaDatos[[#This Row],[DiasNuevo]]</f>
        <v>45347</v>
      </c>
      <c r="I4495">
        <v>19</v>
      </c>
      <c r="J4495" t="s">
        <v>25</v>
      </c>
      <c r="K4495" s="3">
        <v>19928.57</v>
      </c>
      <c r="L4495" t="b">
        <f>TablaDatos[[#This Row],[FechaAlta]] &lt; TablaDatos[[#This Row],[FechaIngreso]]</f>
        <v>0</v>
      </c>
      <c r="M4495">
        <f>_xlfn.XLOOKUP(TablaDatos[[#This Row],[PacienteID]],'Datos_Ejemplo.csv'!A:A,'Datos_Ejemplo.csv'!I:I)</f>
        <v>19</v>
      </c>
      <c r="N4495">
        <f>ABS(TablaDatos[[#This Row],[DiasOriginal]])</f>
        <v>19</v>
      </c>
      <c r="O4495" s="1">
        <f>TablaDatos[[#This Row],[FechaIngreso]]+TablaDatos[[#This Row],[DiasNuevo]]</f>
        <v>45347</v>
      </c>
    </row>
    <row r="4496" spans="1:15">
      <c r="A4496">
        <v>4495</v>
      </c>
      <c r="B4496" t="s">
        <v>254</v>
      </c>
      <c r="C4496" s="1">
        <v>13515</v>
      </c>
      <c r="D4496">
        <v>89</v>
      </c>
      <c r="E4496" s="4" t="s">
        <v>12</v>
      </c>
      <c r="F4496" t="s">
        <v>261</v>
      </c>
      <c r="G4496" s="1">
        <v>45570</v>
      </c>
      <c r="H4496" s="1">
        <f>TablaDatos[[#This Row],[FechaIngreso]]+TablaDatos[[#This Row],[DiasNuevo]]</f>
        <v>45601</v>
      </c>
      <c r="I4496">
        <v>31</v>
      </c>
      <c r="J4496" t="s">
        <v>23</v>
      </c>
      <c r="K4496" s="3">
        <v>14714.8</v>
      </c>
      <c r="L4496" t="b">
        <f>TablaDatos[[#This Row],[FechaAlta]] &lt; TablaDatos[[#This Row],[FechaIngreso]]</f>
        <v>0</v>
      </c>
      <c r="M4496">
        <f>_xlfn.XLOOKUP(TablaDatos[[#This Row],[PacienteID]],'Datos_Ejemplo.csv'!A:A,'Datos_Ejemplo.csv'!I:I)</f>
        <v>31</v>
      </c>
      <c r="N4496">
        <f>ABS(TablaDatos[[#This Row],[DiasOriginal]])</f>
        <v>31</v>
      </c>
      <c r="O4496" s="1">
        <f>TablaDatos[[#This Row],[FechaIngreso]]+TablaDatos[[#This Row],[DiasNuevo]]</f>
        <v>45601</v>
      </c>
    </row>
    <row r="4497" spans="1:15">
      <c r="A4497">
        <v>4496</v>
      </c>
      <c r="B4497" t="s">
        <v>61</v>
      </c>
      <c r="C4497" s="1">
        <v>23742</v>
      </c>
      <c r="D4497">
        <v>61</v>
      </c>
      <c r="E4497" s="4" t="s">
        <v>15</v>
      </c>
      <c r="F4497" t="s">
        <v>21</v>
      </c>
      <c r="G4497" s="1">
        <v>45398</v>
      </c>
      <c r="H4497" s="1">
        <f>TablaDatos[[#This Row],[FechaIngreso]]+TablaDatos[[#This Row],[DiasNuevo]]</f>
        <v>45405</v>
      </c>
      <c r="I4497">
        <v>7</v>
      </c>
      <c r="J4497" t="s">
        <v>19</v>
      </c>
      <c r="K4497" s="3">
        <v>17003.560000000001</v>
      </c>
      <c r="L4497" t="b">
        <f>TablaDatos[[#This Row],[FechaAlta]] &lt; TablaDatos[[#This Row],[FechaIngreso]]</f>
        <v>0</v>
      </c>
      <c r="M4497">
        <f>_xlfn.XLOOKUP(TablaDatos[[#This Row],[PacienteID]],'Datos_Ejemplo.csv'!A:A,'Datos_Ejemplo.csv'!I:I)</f>
        <v>7</v>
      </c>
      <c r="N4497">
        <f>ABS(TablaDatos[[#This Row],[DiasOriginal]])</f>
        <v>7</v>
      </c>
      <c r="O4497" s="1">
        <f>TablaDatos[[#This Row],[FechaIngreso]]+TablaDatos[[#This Row],[DiasNuevo]]</f>
        <v>45405</v>
      </c>
    </row>
    <row r="4498" spans="1:15">
      <c r="A4498">
        <v>4497</v>
      </c>
      <c r="B4498" t="s">
        <v>271</v>
      </c>
      <c r="C4498" s="1">
        <v>35795</v>
      </c>
      <c r="D4498">
        <v>28</v>
      </c>
      <c r="E4498" s="4" t="s">
        <v>15</v>
      </c>
      <c r="F4498" t="s">
        <v>295</v>
      </c>
      <c r="G4498" s="1">
        <v>45572</v>
      </c>
      <c r="H4498" s="1">
        <f>TablaDatos[[#This Row],[FechaIngreso]]+TablaDatos[[#This Row],[DiasNuevo]]</f>
        <v>45594</v>
      </c>
      <c r="I4498">
        <v>22</v>
      </c>
      <c r="J4498" t="s">
        <v>25</v>
      </c>
      <c r="K4498" s="3">
        <v>1883.31</v>
      </c>
      <c r="L4498" t="b">
        <f>TablaDatos[[#This Row],[FechaAlta]] &lt; TablaDatos[[#This Row],[FechaIngreso]]</f>
        <v>0</v>
      </c>
      <c r="M4498">
        <f>_xlfn.XLOOKUP(TablaDatos[[#This Row],[PacienteID]],'Datos_Ejemplo.csv'!A:A,'Datos_Ejemplo.csv'!I:I)</f>
        <v>22</v>
      </c>
      <c r="N4498">
        <f>ABS(TablaDatos[[#This Row],[DiasOriginal]])</f>
        <v>22</v>
      </c>
      <c r="O4498" s="1">
        <f>TablaDatos[[#This Row],[FechaIngreso]]+TablaDatos[[#This Row],[DiasNuevo]]</f>
        <v>45594</v>
      </c>
    </row>
    <row r="4499" spans="1:15">
      <c r="A4499">
        <v>4498</v>
      </c>
      <c r="B4499" t="s">
        <v>281</v>
      </c>
      <c r="C4499" s="1">
        <v>19359</v>
      </c>
      <c r="D4499">
        <v>73</v>
      </c>
      <c r="E4499" s="4" t="s">
        <v>15</v>
      </c>
      <c r="F4499" t="s">
        <v>295</v>
      </c>
      <c r="G4499" s="1">
        <v>45105</v>
      </c>
      <c r="H4499" s="1">
        <f>TablaDatos[[#This Row],[FechaIngreso]]+TablaDatos[[#This Row],[DiasNuevo]]</f>
        <v>45114</v>
      </c>
      <c r="I4499">
        <v>9</v>
      </c>
      <c r="J4499" t="s">
        <v>23</v>
      </c>
      <c r="K4499" s="3">
        <v>4987.3599999999997</v>
      </c>
      <c r="L4499" t="b">
        <f>TablaDatos[[#This Row],[FechaAlta]] &lt; TablaDatos[[#This Row],[FechaIngreso]]</f>
        <v>0</v>
      </c>
      <c r="M4499">
        <f>_xlfn.XLOOKUP(TablaDatos[[#This Row],[PacienteID]],'Datos_Ejemplo.csv'!A:A,'Datos_Ejemplo.csv'!I:I)</f>
        <v>9</v>
      </c>
      <c r="N4499">
        <f>ABS(TablaDatos[[#This Row],[DiasOriginal]])</f>
        <v>9</v>
      </c>
      <c r="O4499" s="1">
        <f>TablaDatos[[#This Row],[FechaIngreso]]+TablaDatos[[#This Row],[DiasNuevo]]</f>
        <v>45114</v>
      </c>
    </row>
    <row r="4500" spans="1:15">
      <c r="A4500">
        <v>4499</v>
      </c>
      <c r="B4500" t="s">
        <v>262</v>
      </c>
      <c r="C4500" s="1">
        <v>40178</v>
      </c>
      <c r="D4500">
        <v>16</v>
      </c>
      <c r="E4500" s="4" t="s">
        <v>12</v>
      </c>
      <c r="F4500" t="s">
        <v>21</v>
      </c>
      <c r="G4500" s="1">
        <v>45624</v>
      </c>
      <c r="H4500" s="1">
        <f>TablaDatos[[#This Row],[FechaIngreso]]+TablaDatos[[#This Row],[DiasNuevo]]</f>
        <v>45624</v>
      </c>
      <c r="I4500">
        <v>0</v>
      </c>
      <c r="J4500" t="s">
        <v>19</v>
      </c>
      <c r="K4500" s="3">
        <v>2622.47</v>
      </c>
      <c r="L4500" t="b">
        <f>TablaDatos[[#This Row],[FechaAlta]] &lt; TablaDatos[[#This Row],[FechaIngreso]]</f>
        <v>0</v>
      </c>
      <c r="M4500">
        <f>_xlfn.XLOOKUP(TablaDatos[[#This Row],[PacienteID]],'Datos_Ejemplo.csv'!A:A,'Datos_Ejemplo.csv'!I:I)</f>
        <v>0</v>
      </c>
      <c r="N4500">
        <f>ABS(TablaDatos[[#This Row],[DiasOriginal]])</f>
        <v>0</v>
      </c>
      <c r="O4500" s="1">
        <f>TablaDatos[[#This Row],[FechaIngreso]]+TablaDatos[[#This Row],[DiasNuevo]]</f>
        <v>45624</v>
      </c>
    </row>
    <row r="4501" spans="1:15">
      <c r="A4501">
        <v>4500</v>
      </c>
      <c r="B4501" t="s">
        <v>328</v>
      </c>
      <c r="C4501" s="1">
        <v>22281</v>
      </c>
      <c r="D4501">
        <v>65</v>
      </c>
      <c r="E4501" s="4" t="s">
        <v>15</v>
      </c>
      <c r="F4501" t="s">
        <v>295</v>
      </c>
      <c r="G4501" s="1">
        <v>44944</v>
      </c>
      <c r="H4501" s="1">
        <f>TablaDatos[[#This Row],[FechaIngreso]]+TablaDatos[[#This Row],[DiasNuevo]]</f>
        <v>44960</v>
      </c>
      <c r="I4501">
        <v>16</v>
      </c>
      <c r="J4501" t="s">
        <v>23</v>
      </c>
      <c r="K4501" s="3">
        <v>9218.7999999999993</v>
      </c>
      <c r="L4501" t="b">
        <f>TablaDatos[[#This Row],[FechaAlta]] &lt; TablaDatos[[#This Row],[FechaIngreso]]</f>
        <v>0</v>
      </c>
      <c r="M4501">
        <f>_xlfn.XLOOKUP(TablaDatos[[#This Row],[PacienteID]],'Datos_Ejemplo.csv'!A:A,'Datos_Ejemplo.csv'!I:I)</f>
        <v>16</v>
      </c>
      <c r="N4501">
        <f>ABS(TablaDatos[[#This Row],[DiasOriginal]])</f>
        <v>16</v>
      </c>
      <c r="O4501" s="1">
        <f>TablaDatos[[#This Row],[FechaIngreso]]+TablaDatos[[#This Row],[DiasNuevo]]</f>
        <v>44960</v>
      </c>
    </row>
    <row r="4502" spans="1:15">
      <c r="A4502">
        <v>4501</v>
      </c>
      <c r="B4502" t="s">
        <v>303</v>
      </c>
      <c r="C4502" s="1">
        <v>44196</v>
      </c>
      <c r="D4502">
        <v>5</v>
      </c>
      <c r="E4502" s="4" t="s">
        <v>197</v>
      </c>
      <c r="F4502" t="s">
        <v>261</v>
      </c>
      <c r="G4502" s="1">
        <v>45389</v>
      </c>
      <c r="H4502" s="1">
        <f>TablaDatos[[#This Row],[FechaIngreso]]+TablaDatos[[#This Row],[DiasNuevo]]</f>
        <v>45419</v>
      </c>
      <c r="I4502">
        <v>30</v>
      </c>
      <c r="J4502" t="s">
        <v>25</v>
      </c>
      <c r="K4502" s="3">
        <v>14337.58</v>
      </c>
      <c r="L4502" t="b">
        <f>TablaDatos[[#This Row],[FechaAlta]] &lt; TablaDatos[[#This Row],[FechaIngreso]]</f>
        <v>0</v>
      </c>
      <c r="M4502">
        <f>_xlfn.XLOOKUP(TablaDatos[[#This Row],[PacienteID]],'Datos_Ejemplo.csv'!A:A,'Datos_Ejemplo.csv'!I:I)</f>
        <v>30</v>
      </c>
      <c r="N4502">
        <f>ABS(TablaDatos[[#This Row],[DiasOriginal]])</f>
        <v>30</v>
      </c>
      <c r="O4502" s="1">
        <f>TablaDatos[[#This Row],[FechaIngreso]]+TablaDatos[[#This Row],[DiasNuevo]]</f>
        <v>45419</v>
      </c>
    </row>
    <row r="4503" spans="1:15">
      <c r="A4503">
        <v>4502</v>
      </c>
      <c r="B4503" t="s">
        <v>259</v>
      </c>
      <c r="C4503" s="1">
        <v>25203</v>
      </c>
      <c r="D4503">
        <v>57</v>
      </c>
      <c r="E4503" s="4" t="s">
        <v>15</v>
      </c>
      <c r="F4503" t="s">
        <v>261</v>
      </c>
      <c r="G4503" s="1">
        <v>45535</v>
      </c>
      <c r="H4503" s="1">
        <f>TablaDatos[[#This Row],[FechaIngreso]]+TablaDatos[[#This Row],[DiasNuevo]]</f>
        <v>45558</v>
      </c>
      <c r="I4503">
        <v>23</v>
      </c>
      <c r="J4503" t="s">
        <v>23</v>
      </c>
      <c r="K4503" s="3">
        <v>3298.18</v>
      </c>
      <c r="L4503" t="b">
        <f>TablaDatos[[#This Row],[FechaAlta]] &lt; TablaDatos[[#This Row],[FechaIngreso]]</f>
        <v>0</v>
      </c>
      <c r="M4503">
        <f>_xlfn.XLOOKUP(TablaDatos[[#This Row],[PacienteID]],'Datos_Ejemplo.csv'!A:A,'Datos_Ejemplo.csv'!I:I)</f>
        <v>23</v>
      </c>
      <c r="N4503">
        <f>ABS(TablaDatos[[#This Row],[DiasOriginal]])</f>
        <v>23</v>
      </c>
      <c r="O4503" s="1">
        <f>TablaDatos[[#This Row],[FechaIngreso]]+TablaDatos[[#This Row],[DiasNuevo]]</f>
        <v>45558</v>
      </c>
    </row>
    <row r="4504" spans="1:15">
      <c r="A4504">
        <v>4503</v>
      </c>
      <c r="B4504" t="s">
        <v>114</v>
      </c>
      <c r="C4504" s="1">
        <v>21185</v>
      </c>
      <c r="D4504">
        <v>68</v>
      </c>
      <c r="E4504" s="4" t="s">
        <v>12</v>
      </c>
      <c r="F4504" t="s">
        <v>261</v>
      </c>
      <c r="G4504" s="1">
        <v>45472</v>
      </c>
      <c r="H4504" s="1">
        <f>TablaDatos[[#This Row],[FechaIngreso]]+TablaDatos[[#This Row],[DiasNuevo]]</f>
        <v>45482</v>
      </c>
      <c r="I4504">
        <v>10</v>
      </c>
      <c r="J4504" t="s">
        <v>23</v>
      </c>
      <c r="K4504" s="3">
        <v>2516.39</v>
      </c>
      <c r="L4504" t="b">
        <f>TablaDatos[[#This Row],[FechaAlta]] &lt; TablaDatos[[#This Row],[FechaIngreso]]</f>
        <v>0</v>
      </c>
      <c r="M4504">
        <f>_xlfn.XLOOKUP(TablaDatos[[#This Row],[PacienteID]],'Datos_Ejemplo.csv'!A:A,'Datos_Ejemplo.csv'!I:I)</f>
        <v>10</v>
      </c>
      <c r="N4504">
        <f>ABS(TablaDatos[[#This Row],[DiasOriginal]])</f>
        <v>10</v>
      </c>
      <c r="O4504" s="1">
        <f>TablaDatos[[#This Row],[FechaIngreso]]+TablaDatos[[#This Row],[DiasNuevo]]</f>
        <v>45482</v>
      </c>
    </row>
    <row r="4505" spans="1:15">
      <c r="A4505">
        <v>4504</v>
      </c>
      <c r="B4505" t="s">
        <v>288</v>
      </c>
      <c r="C4505" s="1">
        <v>36161</v>
      </c>
      <c r="D4505">
        <v>27</v>
      </c>
      <c r="E4505" s="4" t="s">
        <v>15</v>
      </c>
      <c r="F4505" t="s">
        <v>13</v>
      </c>
      <c r="G4505" s="1">
        <v>45329</v>
      </c>
      <c r="H4505" s="1">
        <f>TablaDatos[[#This Row],[FechaIngreso]]+TablaDatos[[#This Row],[DiasNuevo]]</f>
        <v>45333</v>
      </c>
      <c r="I4505">
        <v>4</v>
      </c>
      <c r="J4505" t="s">
        <v>25</v>
      </c>
      <c r="K4505" s="3">
        <v>12253.64</v>
      </c>
      <c r="L4505" t="b">
        <f>TablaDatos[[#This Row],[FechaAlta]] &lt; TablaDatos[[#This Row],[FechaIngreso]]</f>
        <v>0</v>
      </c>
      <c r="M4505">
        <f>_xlfn.XLOOKUP(TablaDatos[[#This Row],[PacienteID]],'Datos_Ejemplo.csv'!A:A,'Datos_Ejemplo.csv'!I:I)</f>
        <v>4</v>
      </c>
      <c r="N4505">
        <f>ABS(TablaDatos[[#This Row],[DiasOriginal]])</f>
        <v>4</v>
      </c>
      <c r="O4505" s="1">
        <f>TablaDatos[[#This Row],[FechaIngreso]]+TablaDatos[[#This Row],[DiasNuevo]]</f>
        <v>45333</v>
      </c>
    </row>
    <row r="4506" spans="1:15">
      <c r="A4506">
        <v>4505</v>
      </c>
      <c r="B4506" t="s">
        <v>39</v>
      </c>
      <c r="C4506" s="1">
        <v>23742</v>
      </c>
      <c r="D4506">
        <v>61</v>
      </c>
      <c r="E4506" s="4" t="s">
        <v>12</v>
      </c>
      <c r="F4506" t="s">
        <v>13</v>
      </c>
      <c r="G4506" s="1">
        <v>45319</v>
      </c>
      <c r="H4506" s="1">
        <f>TablaDatos[[#This Row],[FechaIngreso]]+TablaDatos[[#This Row],[DiasNuevo]]</f>
        <v>45350</v>
      </c>
      <c r="I4506">
        <v>31</v>
      </c>
      <c r="J4506" t="s">
        <v>23</v>
      </c>
      <c r="K4506" s="3">
        <v>4529.29</v>
      </c>
      <c r="L4506" t="b">
        <f>TablaDatos[[#This Row],[FechaAlta]] &lt; TablaDatos[[#This Row],[FechaIngreso]]</f>
        <v>0</v>
      </c>
      <c r="M4506">
        <f>_xlfn.XLOOKUP(TablaDatos[[#This Row],[PacienteID]],'Datos_Ejemplo.csv'!A:A,'Datos_Ejemplo.csv'!I:I)</f>
        <v>31</v>
      </c>
      <c r="N4506">
        <f>ABS(TablaDatos[[#This Row],[DiasOriginal]])</f>
        <v>31</v>
      </c>
      <c r="O4506" s="1">
        <f>TablaDatos[[#This Row],[FechaIngreso]]+TablaDatos[[#This Row],[DiasNuevo]]</f>
        <v>45350</v>
      </c>
    </row>
    <row r="4507" spans="1:15">
      <c r="A4507">
        <v>4506</v>
      </c>
      <c r="B4507" t="s">
        <v>304</v>
      </c>
      <c r="C4507" s="1">
        <v>31412</v>
      </c>
      <c r="D4507">
        <v>40</v>
      </c>
      <c r="E4507" s="4" t="s">
        <v>197</v>
      </c>
      <c r="F4507" t="s">
        <v>261</v>
      </c>
      <c r="G4507" s="1">
        <v>45226</v>
      </c>
      <c r="H4507" s="1">
        <f>TablaDatos[[#This Row],[FechaIngreso]]+TablaDatos[[#This Row],[DiasNuevo]]</f>
        <v>45245</v>
      </c>
      <c r="I4507">
        <v>19</v>
      </c>
      <c r="J4507" t="s">
        <v>19</v>
      </c>
      <c r="K4507" s="3">
        <v>9534.43</v>
      </c>
      <c r="L4507" t="b">
        <f>TablaDatos[[#This Row],[FechaAlta]] &lt; TablaDatos[[#This Row],[FechaIngreso]]</f>
        <v>0</v>
      </c>
      <c r="M4507">
        <f>_xlfn.XLOOKUP(TablaDatos[[#This Row],[PacienteID]],'Datos_Ejemplo.csv'!A:A,'Datos_Ejemplo.csv'!I:I)</f>
        <v>19</v>
      </c>
      <c r="N4507">
        <f>ABS(TablaDatos[[#This Row],[DiasOriginal]])</f>
        <v>19</v>
      </c>
      <c r="O4507" s="1">
        <f>TablaDatos[[#This Row],[FechaIngreso]]+TablaDatos[[#This Row],[DiasNuevo]]</f>
        <v>45245</v>
      </c>
    </row>
    <row r="4508" spans="1:15">
      <c r="A4508">
        <v>4507</v>
      </c>
      <c r="B4508" t="s">
        <v>306</v>
      </c>
      <c r="C4508" s="1">
        <v>21185</v>
      </c>
      <c r="D4508">
        <v>68</v>
      </c>
      <c r="E4508" s="4" t="s">
        <v>12</v>
      </c>
      <c r="F4508" t="s">
        <v>21</v>
      </c>
      <c r="G4508" s="1">
        <v>45277</v>
      </c>
      <c r="H4508" s="1">
        <f>TablaDatos[[#This Row],[FechaIngreso]]+TablaDatos[[#This Row],[DiasNuevo]]</f>
        <v>45294</v>
      </c>
      <c r="I4508">
        <v>17</v>
      </c>
      <c r="J4508" t="s">
        <v>23</v>
      </c>
      <c r="K4508" s="3">
        <v>927.47</v>
      </c>
      <c r="L4508" t="b">
        <f>TablaDatos[[#This Row],[FechaAlta]] &lt; TablaDatos[[#This Row],[FechaIngreso]]</f>
        <v>0</v>
      </c>
      <c r="M4508">
        <f>_xlfn.XLOOKUP(TablaDatos[[#This Row],[PacienteID]],'Datos_Ejemplo.csv'!A:A,'Datos_Ejemplo.csv'!I:I)</f>
        <v>17</v>
      </c>
      <c r="N4508">
        <f>ABS(TablaDatos[[#This Row],[DiasOriginal]])</f>
        <v>17</v>
      </c>
      <c r="O4508" s="1">
        <f>TablaDatos[[#This Row],[FechaIngreso]]+TablaDatos[[#This Row],[DiasNuevo]]</f>
        <v>45294</v>
      </c>
    </row>
    <row r="4509" spans="1:15">
      <c r="A4509">
        <v>4508</v>
      </c>
      <c r="B4509" t="s">
        <v>343</v>
      </c>
      <c r="C4509" s="1">
        <v>16437</v>
      </c>
      <c r="D4509">
        <v>81</v>
      </c>
      <c r="E4509" s="4" t="s">
        <v>12</v>
      </c>
      <c r="F4509" t="s">
        <v>21</v>
      </c>
      <c r="G4509" s="1">
        <v>45113</v>
      </c>
      <c r="H4509" s="1">
        <f>TablaDatos[[#This Row],[FechaIngreso]]+TablaDatos[[#This Row],[DiasNuevo]]</f>
        <v>45133</v>
      </c>
      <c r="I4509">
        <v>20</v>
      </c>
      <c r="J4509" t="s">
        <v>19</v>
      </c>
      <c r="K4509" s="3">
        <v>13580.32</v>
      </c>
      <c r="L4509" t="b">
        <f>TablaDatos[[#This Row],[FechaAlta]] &lt; TablaDatos[[#This Row],[FechaIngreso]]</f>
        <v>0</v>
      </c>
      <c r="M4509">
        <f>_xlfn.XLOOKUP(TablaDatos[[#This Row],[PacienteID]],'Datos_Ejemplo.csv'!A:A,'Datos_Ejemplo.csv'!I:I)</f>
        <v>20</v>
      </c>
      <c r="N4509">
        <f>ABS(TablaDatos[[#This Row],[DiasOriginal]])</f>
        <v>20</v>
      </c>
      <c r="O4509" s="1">
        <f>TablaDatos[[#This Row],[FechaIngreso]]+TablaDatos[[#This Row],[DiasNuevo]]</f>
        <v>45133</v>
      </c>
    </row>
    <row r="4510" spans="1:15">
      <c r="A4510">
        <v>4509</v>
      </c>
      <c r="B4510" t="s">
        <v>67</v>
      </c>
      <c r="C4510" s="1">
        <v>13515</v>
      </c>
      <c r="D4510">
        <v>89</v>
      </c>
      <c r="E4510" s="4" t="s">
        <v>12</v>
      </c>
      <c r="F4510" t="s">
        <v>18</v>
      </c>
      <c r="G4510" s="1">
        <v>45273</v>
      </c>
      <c r="H4510" s="1">
        <f>TablaDatos[[#This Row],[FechaIngreso]]+TablaDatos[[#This Row],[DiasNuevo]]</f>
        <v>45284</v>
      </c>
      <c r="I4510">
        <v>11</v>
      </c>
      <c r="J4510" t="s">
        <v>19</v>
      </c>
      <c r="K4510" s="3">
        <v>10780.46</v>
      </c>
      <c r="L4510" t="b">
        <f>TablaDatos[[#This Row],[FechaAlta]] &lt; TablaDatos[[#This Row],[FechaIngreso]]</f>
        <v>0</v>
      </c>
      <c r="M4510">
        <f>_xlfn.XLOOKUP(TablaDatos[[#This Row],[PacienteID]],'Datos_Ejemplo.csv'!A:A,'Datos_Ejemplo.csv'!I:I)</f>
        <v>11</v>
      </c>
      <c r="N4510">
        <f>ABS(TablaDatos[[#This Row],[DiasOriginal]])</f>
        <v>11</v>
      </c>
      <c r="O4510" s="1">
        <f>TablaDatos[[#This Row],[FechaIngreso]]+TablaDatos[[#This Row],[DiasNuevo]]</f>
        <v>45284</v>
      </c>
    </row>
    <row r="4511" spans="1:15">
      <c r="A4511">
        <v>4510</v>
      </c>
      <c r="B4511" t="s">
        <v>340</v>
      </c>
      <c r="C4511" s="1">
        <v>15707</v>
      </c>
      <c r="D4511">
        <v>83</v>
      </c>
      <c r="E4511" s="4" t="s">
        <v>12</v>
      </c>
      <c r="F4511" t="s">
        <v>18</v>
      </c>
      <c r="G4511" s="1">
        <v>45549</v>
      </c>
      <c r="H4511" s="1">
        <f>TablaDatos[[#This Row],[FechaIngreso]]+TablaDatos[[#This Row],[DiasNuevo]]</f>
        <v>45576</v>
      </c>
      <c r="I4511">
        <v>27</v>
      </c>
      <c r="J4511" t="s">
        <v>25</v>
      </c>
      <c r="K4511" s="3">
        <v>12913.2</v>
      </c>
      <c r="L4511" t="b">
        <f>TablaDatos[[#This Row],[FechaAlta]] &lt; TablaDatos[[#This Row],[FechaIngreso]]</f>
        <v>0</v>
      </c>
      <c r="M4511">
        <f>_xlfn.XLOOKUP(TablaDatos[[#This Row],[PacienteID]],'Datos_Ejemplo.csv'!A:A,'Datos_Ejemplo.csv'!I:I)</f>
        <v>27</v>
      </c>
      <c r="N4511">
        <f>ABS(TablaDatos[[#This Row],[DiasOriginal]])</f>
        <v>27</v>
      </c>
      <c r="O4511" s="1">
        <f>TablaDatos[[#This Row],[FechaIngreso]]+TablaDatos[[#This Row],[DiasNuevo]]</f>
        <v>45576</v>
      </c>
    </row>
    <row r="4512" spans="1:15">
      <c r="A4512">
        <v>4511</v>
      </c>
      <c r="B4512" t="s">
        <v>329</v>
      </c>
      <c r="C4512" s="1">
        <v>31412</v>
      </c>
      <c r="D4512">
        <v>40</v>
      </c>
      <c r="E4512" s="4" t="s">
        <v>12</v>
      </c>
      <c r="F4512" t="s">
        <v>261</v>
      </c>
      <c r="G4512" s="1">
        <v>45335</v>
      </c>
      <c r="H4512" s="1">
        <f>TablaDatos[[#This Row],[FechaIngreso]]+TablaDatos[[#This Row],[DiasNuevo]]</f>
        <v>45355</v>
      </c>
      <c r="I4512">
        <v>20</v>
      </c>
      <c r="J4512" t="s">
        <v>23</v>
      </c>
      <c r="K4512" s="3">
        <v>5435.67</v>
      </c>
      <c r="L4512" t="b">
        <f>TablaDatos[[#This Row],[FechaAlta]] &lt; TablaDatos[[#This Row],[FechaIngreso]]</f>
        <v>0</v>
      </c>
      <c r="M4512">
        <f>_xlfn.XLOOKUP(TablaDatos[[#This Row],[PacienteID]],'Datos_Ejemplo.csv'!A:A,'Datos_Ejemplo.csv'!I:I)</f>
        <v>20</v>
      </c>
      <c r="N4512">
        <f>ABS(TablaDatos[[#This Row],[DiasOriginal]])</f>
        <v>20</v>
      </c>
      <c r="O4512" s="1">
        <f>TablaDatos[[#This Row],[FechaIngreso]]+TablaDatos[[#This Row],[DiasNuevo]]</f>
        <v>45355</v>
      </c>
    </row>
    <row r="4513" spans="1:15">
      <c r="A4513">
        <v>4512</v>
      </c>
      <c r="B4513" t="s">
        <v>368</v>
      </c>
      <c r="C4513" s="1">
        <v>28490</v>
      </c>
      <c r="D4513">
        <v>48</v>
      </c>
      <c r="E4513" s="4" t="s">
        <v>197</v>
      </c>
      <c r="F4513" t="s">
        <v>201</v>
      </c>
      <c r="G4513" s="1">
        <v>44997</v>
      </c>
      <c r="H4513" s="1">
        <f>TablaDatos[[#This Row],[FechaIngreso]]+TablaDatos[[#This Row],[DiasNuevo]]</f>
        <v>45013</v>
      </c>
      <c r="I4513">
        <v>16</v>
      </c>
      <c r="J4513" t="s">
        <v>19</v>
      </c>
      <c r="K4513" s="3">
        <v>5499.92</v>
      </c>
      <c r="L4513" t="b">
        <f>TablaDatos[[#This Row],[FechaAlta]] &lt; TablaDatos[[#This Row],[FechaIngreso]]</f>
        <v>0</v>
      </c>
      <c r="M4513">
        <f>_xlfn.XLOOKUP(TablaDatos[[#This Row],[PacienteID]],'Datos_Ejemplo.csv'!A:A,'Datos_Ejemplo.csv'!I:I)</f>
        <v>16</v>
      </c>
      <c r="N4513">
        <f>ABS(TablaDatos[[#This Row],[DiasOriginal]])</f>
        <v>16</v>
      </c>
      <c r="O4513" s="1">
        <f>TablaDatos[[#This Row],[FechaIngreso]]+TablaDatos[[#This Row],[DiasNuevo]]</f>
        <v>45013</v>
      </c>
    </row>
    <row r="4514" spans="1:15">
      <c r="A4514">
        <v>4513</v>
      </c>
      <c r="B4514" t="s">
        <v>234</v>
      </c>
      <c r="C4514" s="1">
        <v>13150</v>
      </c>
      <c r="D4514">
        <v>90</v>
      </c>
      <c r="E4514" s="4" t="s">
        <v>15</v>
      </c>
      <c r="F4514" t="s">
        <v>295</v>
      </c>
      <c r="G4514" s="1">
        <v>45253</v>
      </c>
      <c r="H4514" s="1">
        <f>TablaDatos[[#This Row],[FechaIngreso]]+TablaDatos[[#This Row],[DiasNuevo]]</f>
        <v>45289</v>
      </c>
      <c r="I4514">
        <v>36</v>
      </c>
      <c r="J4514" t="s">
        <v>23</v>
      </c>
      <c r="K4514" s="3">
        <v>16007.35</v>
      </c>
      <c r="L4514" t="b">
        <f>TablaDatos[[#This Row],[FechaAlta]] &lt; TablaDatos[[#This Row],[FechaIngreso]]</f>
        <v>0</v>
      </c>
      <c r="M4514">
        <f>_xlfn.XLOOKUP(TablaDatos[[#This Row],[PacienteID]],'Datos_Ejemplo.csv'!A:A,'Datos_Ejemplo.csv'!I:I)</f>
        <v>36</v>
      </c>
      <c r="N4514">
        <f>ABS(TablaDatos[[#This Row],[DiasOriginal]])</f>
        <v>36</v>
      </c>
      <c r="O4514" s="1">
        <f>TablaDatos[[#This Row],[FechaIngreso]]+TablaDatos[[#This Row],[DiasNuevo]]</f>
        <v>45289</v>
      </c>
    </row>
    <row r="4515" spans="1:15">
      <c r="A4515">
        <v>4514</v>
      </c>
      <c r="B4515" t="s">
        <v>331</v>
      </c>
      <c r="C4515" s="1">
        <v>28490</v>
      </c>
      <c r="D4515">
        <v>48</v>
      </c>
      <c r="E4515" s="4" t="s">
        <v>197</v>
      </c>
      <c r="F4515" t="s">
        <v>295</v>
      </c>
      <c r="G4515" s="1">
        <v>45138</v>
      </c>
      <c r="H4515" s="1">
        <f>TablaDatos[[#This Row],[FechaIngreso]]+TablaDatos[[#This Row],[DiasNuevo]]</f>
        <v>45176</v>
      </c>
      <c r="I4515">
        <v>38</v>
      </c>
      <c r="J4515" t="s">
        <v>19</v>
      </c>
      <c r="K4515" s="3">
        <v>14343.1</v>
      </c>
      <c r="L4515" t="b">
        <f>TablaDatos[[#This Row],[FechaAlta]] &lt; TablaDatos[[#This Row],[FechaIngreso]]</f>
        <v>0</v>
      </c>
      <c r="M4515">
        <f>_xlfn.XLOOKUP(TablaDatos[[#This Row],[PacienteID]],'Datos_Ejemplo.csv'!A:A,'Datos_Ejemplo.csv'!I:I)</f>
        <v>38</v>
      </c>
      <c r="N4515">
        <f>ABS(TablaDatos[[#This Row],[DiasOriginal]])</f>
        <v>38</v>
      </c>
      <c r="O4515" s="1">
        <f>TablaDatos[[#This Row],[FechaIngreso]]+TablaDatos[[#This Row],[DiasNuevo]]</f>
        <v>45176</v>
      </c>
    </row>
    <row r="4516" spans="1:15">
      <c r="A4516">
        <v>4515</v>
      </c>
      <c r="B4516" t="s">
        <v>344</v>
      </c>
      <c r="C4516" s="1">
        <v>18629</v>
      </c>
      <c r="D4516">
        <v>75</v>
      </c>
      <c r="E4516" s="4" t="s">
        <v>15</v>
      </c>
      <c r="F4516" t="s">
        <v>21</v>
      </c>
      <c r="G4516" s="1">
        <v>45235</v>
      </c>
      <c r="H4516" s="1">
        <f>TablaDatos[[#This Row],[FechaIngreso]]+TablaDatos[[#This Row],[DiasNuevo]]</f>
        <v>45268</v>
      </c>
      <c r="I4516">
        <v>33</v>
      </c>
      <c r="J4516" t="s">
        <v>23</v>
      </c>
      <c r="K4516" s="3">
        <v>11552.55</v>
      </c>
      <c r="L4516" t="b">
        <f>TablaDatos[[#This Row],[FechaAlta]] &lt; TablaDatos[[#This Row],[FechaIngreso]]</f>
        <v>0</v>
      </c>
      <c r="M4516">
        <f>_xlfn.XLOOKUP(TablaDatos[[#This Row],[PacienteID]],'Datos_Ejemplo.csv'!A:A,'Datos_Ejemplo.csv'!I:I)</f>
        <v>33</v>
      </c>
      <c r="N4516">
        <f>ABS(TablaDatos[[#This Row],[DiasOriginal]])</f>
        <v>33</v>
      </c>
      <c r="O4516" s="1">
        <f>TablaDatos[[#This Row],[FechaIngreso]]+TablaDatos[[#This Row],[DiasNuevo]]</f>
        <v>45268</v>
      </c>
    </row>
    <row r="4517" spans="1:15">
      <c r="A4517">
        <v>4516</v>
      </c>
      <c r="B4517" t="s">
        <v>294</v>
      </c>
      <c r="C4517" s="1">
        <v>20455</v>
      </c>
      <c r="D4517">
        <v>70</v>
      </c>
      <c r="E4517" s="4" t="s">
        <v>15</v>
      </c>
      <c r="F4517" t="s">
        <v>201</v>
      </c>
      <c r="G4517" s="1">
        <v>45034</v>
      </c>
      <c r="H4517" s="1">
        <f>TablaDatos[[#This Row],[FechaIngreso]]+TablaDatos[[#This Row],[DiasNuevo]]</f>
        <v>45037</v>
      </c>
      <c r="I4517">
        <v>3</v>
      </c>
      <c r="J4517" t="s">
        <v>25</v>
      </c>
      <c r="K4517" s="3">
        <v>12525.68</v>
      </c>
      <c r="L4517" t="b">
        <f>TablaDatos[[#This Row],[FechaAlta]] &lt; TablaDatos[[#This Row],[FechaIngreso]]</f>
        <v>0</v>
      </c>
      <c r="M4517">
        <f>_xlfn.XLOOKUP(TablaDatos[[#This Row],[PacienteID]],'Datos_Ejemplo.csv'!A:A,'Datos_Ejemplo.csv'!I:I)</f>
        <v>3</v>
      </c>
      <c r="N4517">
        <f>ABS(TablaDatos[[#This Row],[DiasOriginal]])</f>
        <v>3</v>
      </c>
      <c r="O4517" s="1">
        <f>TablaDatos[[#This Row],[FechaIngreso]]+TablaDatos[[#This Row],[DiasNuevo]]</f>
        <v>45037</v>
      </c>
    </row>
    <row r="4518" spans="1:15">
      <c r="A4518">
        <v>4517</v>
      </c>
      <c r="B4518" t="s">
        <v>114</v>
      </c>
      <c r="C4518" s="1">
        <v>45292</v>
      </c>
      <c r="D4518">
        <f ca="1">DATEDIF(TablaDatos[[#This Row],[FechaNacimiento]],TODAY(),"Y")</f>
        <v>2</v>
      </c>
      <c r="E4518" s="4" t="s">
        <v>15</v>
      </c>
      <c r="F4518" t="s">
        <v>295</v>
      </c>
      <c r="G4518" s="1">
        <v>45103</v>
      </c>
      <c r="H4518" s="1">
        <f>TablaDatos[[#This Row],[FechaIngreso]]+TablaDatos[[#This Row],[DiasNuevo]]</f>
        <v>45123</v>
      </c>
      <c r="I4518">
        <v>20</v>
      </c>
      <c r="J4518" t="s">
        <v>25</v>
      </c>
      <c r="K4518" s="3">
        <v>1790.29</v>
      </c>
      <c r="L4518" t="b">
        <f>TablaDatos[[#This Row],[FechaAlta]] &lt; TablaDatos[[#This Row],[FechaIngreso]]</f>
        <v>0</v>
      </c>
      <c r="M4518">
        <f>_xlfn.XLOOKUP(TablaDatos[[#This Row],[PacienteID]],'Datos_Ejemplo.csv'!A:A,'Datos_Ejemplo.csv'!I:I)</f>
        <v>20</v>
      </c>
      <c r="N4518">
        <f>ABS(TablaDatos[[#This Row],[DiasOriginal]])</f>
        <v>20</v>
      </c>
      <c r="O4518" s="1">
        <f>TablaDatos[[#This Row],[FechaIngreso]]+TablaDatos[[#This Row],[DiasNuevo]]</f>
        <v>45123</v>
      </c>
    </row>
    <row r="4519" spans="1:15">
      <c r="A4519">
        <v>4518</v>
      </c>
      <c r="B4519" t="s">
        <v>363</v>
      </c>
      <c r="C4519" s="1">
        <v>42735</v>
      </c>
      <c r="D4519">
        <v>9</v>
      </c>
      <c r="E4519" s="4" t="s">
        <v>15</v>
      </c>
      <c r="F4519" t="s">
        <v>32</v>
      </c>
      <c r="G4519" s="1">
        <v>45353</v>
      </c>
      <c r="H4519" s="1">
        <f>TablaDatos[[#This Row],[FechaIngreso]]+TablaDatos[[#This Row],[DiasNuevo]]</f>
        <v>45360</v>
      </c>
      <c r="I4519">
        <v>7</v>
      </c>
      <c r="J4519" t="s">
        <v>25</v>
      </c>
      <c r="K4519" s="3">
        <v>17109.04</v>
      </c>
      <c r="L4519" t="b">
        <f>TablaDatos[[#This Row],[FechaAlta]] &lt; TablaDatos[[#This Row],[FechaIngreso]]</f>
        <v>0</v>
      </c>
      <c r="M4519">
        <f>_xlfn.XLOOKUP(TablaDatos[[#This Row],[PacienteID]],'Datos_Ejemplo.csv'!A:A,'Datos_Ejemplo.csv'!I:I)</f>
        <v>7</v>
      </c>
      <c r="N4519">
        <f>ABS(TablaDatos[[#This Row],[DiasOriginal]])</f>
        <v>7</v>
      </c>
      <c r="O4519" s="1">
        <f>TablaDatos[[#This Row],[FechaIngreso]]+TablaDatos[[#This Row],[DiasNuevo]]</f>
        <v>45360</v>
      </c>
    </row>
    <row r="4520" spans="1:15">
      <c r="A4520">
        <v>4519</v>
      </c>
      <c r="B4520" t="s">
        <v>368</v>
      </c>
      <c r="C4520" s="1">
        <v>13880</v>
      </c>
      <c r="D4520">
        <v>88</v>
      </c>
      <c r="E4520" s="4" t="s">
        <v>12</v>
      </c>
      <c r="F4520" t="s">
        <v>13</v>
      </c>
      <c r="G4520" s="1">
        <v>45457</v>
      </c>
      <c r="H4520" s="1">
        <f>TablaDatos[[#This Row],[FechaIngreso]]+TablaDatos[[#This Row],[DiasNuevo]]</f>
        <v>45489</v>
      </c>
      <c r="I4520">
        <v>32</v>
      </c>
      <c r="J4520" t="s">
        <v>19</v>
      </c>
      <c r="K4520" s="3">
        <v>15375.13</v>
      </c>
      <c r="L4520" t="b">
        <f>TablaDatos[[#This Row],[FechaAlta]] &lt; TablaDatos[[#This Row],[FechaIngreso]]</f>
        <v>0</v>
      </c>
      <c r="M4520">
        <f>_xlfn.XLOOKUP(TablaDatos[[#This Row],[PacienteID]],'Datos_Ejemplo.csv'!A:A,'Datos_Ejemplo.csv'!I:I)</f>
        <v>32</v>
      </c>
      <c r="N4520">
        <f>ABS(TablaDatos[[#This Row],[DiasOriginal]])</f>
        <v>32</v>
      </c>
      <c r="O4520" s="1">
        <f>TablaDatos[[#This Row],[FechaIngreso]]+TablaDatos[[#This Row],[DiasNuevo]]</f>
        <v>45489</v>
      </c>
    </row>
    <row r="4521" spans="1:15">
      <c r="A4521">
        <v>4520</v>
      </c>
      <c r="B4521" t="s">
        <v>308</v>
      </c>
      <c r="C4521" s="1">
        <v>33604</v>
      </c>
      <c r="D4521">
        <v>34</v>
      </c>
      <c r="E4521" s="4" t="s">
        <v>12</v>
      </c>
      <c r="F4521" t="s">
        <v>295</v>
      </c>
      <c r="G4521" s="1">
        <v>45344</v>
      </c>
      <c r="H4521" s="1">
        <f>TablaDatos[[#This Row],[FechaIngreso]]+TablaDatos[[#This Row],[DiasNuevo]]</f>
        <v>45362</v>
      </c>
      <c r="I4521">
        <v>18</v>
      </c>
      <c r="J4521" t="s">
        <v>23</v>
      </c>
      <c r="K4521" s="3">
        <v>11768.88</v>
      </c>
      <c r="L4521" t="b">
        <f>TablaDatos[[#This Row],[FechaAlta]] &lt; TablaDatos[[#This Row],[FechaIngreso]]</f>
        <v>0</v>
      </c>
      <c r="M4521">
        <f>_xlfn.XLOOKUP(TablaDatos[[#This Row],[PacienteID]],'Datos_Ejemplo.csv'!A:A,'Datos_Ejemplo.csv'!I:I)</f>
        <v>18</v>
      </c>
      <c r="N4521">
        <f>ABS(TablaDatos[[#This Row],[DiasOriginal]])</f>
        <v>18</v>
      </c>
      <c r="O4521" s="1">
        <f>TablaDatos[[#This Row],[FechaIngreso]]+TablaDatos[[#This Row],[DiasNuevo]]</f>
        <v>45362</v>
      </c>
    </row>
    <row r="4522" spans="1:15">
      <c r="A4522">
        <v>4521</v>
      </c>
      <c r="B4522" t="s">
        <v>241</v>
      </c>
      <c r="C4522" s="1">
        <f ca="1">DATE(YEAR(TODAY())-TablaDatos[[#This Row],[Edad]],1,1)</f>
        <v>0</v>
      </c>
      <c r="D4522">
        <f ca="1">DATEDIF(TablaDatos[[#This Row],[FechaNacimiento]],TODAY(),"Y")</f>
        <v>126</v>
      </c>
      <c r="E4522" s="4" t="s">
        <v>12</v>
      </c>
      <c r="F4522" t="s">
        <v>295</v>
      </c>
      <c r="G4522" s="1">
        <v>45174</v>
      </c>
      <c r="H4522" s="1">
        <f>TablaDatos[[#This Row],[FechaIngreso]]+TablaDatos[[#This Row],[DiasNuevo]]</f>
        <v>45203</v>
      </c>
      <c r="I4522">
        <v>29</v>
      </c>
      <c r="J4522" t="s">
        <v>19</v>
      </c>
      <c r="K4522" s="3">
        <v>18363.759999999998</v>
      </c>
      <c r="L4522" t="b">
        <f>TablaDatos[[#This Row],[FechaAlta]] &lt; TablaDatos[[#This Row],[FechaIngreso]]</f>
        <v>0</v>
      </c>
      <c r="M4522">
        <f>_xlfn.XLOOKUP(TablaDatos[[#This Row],[PacienteID]],'Datos_Ejemplo.csv'!A:A,'Datos_Ejemplo.csv'!I:I)</f>
        <v>29</v>
      </c>
      <c r="N4522">
        <f>ABS(TablaDatos[[#This Row],[DiasOriginal]])</f>
        <v>29</v>
      </c>
      <c r="O4522" s="1">
        <f>TablaDatos[[#This Row],[FechaIngreso]]+TablaDatos[[#This Row],[DiasNuevo]]</f>
        <v>45203</v>
      </c>
    </row>
    <row r="4523" spans="1:15">
      <c r="A4523">
        <v>4522</v>
      </c>
      <c r="B4523" t="s">
        <v>331</v>
      </c>
      <c r="C4523" s="1">
        <v>45657</v>
      </c>
      <c r="D4523">
        <v>1</v>
      </c>
      <c r="E4523" s="4" t="s">
        <v>12</v>
      </c>
      <c r="F4523" t="s">
        <v>18</v>
      </c>
      <c r="G4523" s="1">
        <v>45135</v>
      </c>
      <c r="H4523" s="1">
        <f>TablaDatos[[#This Row],[FechaIngreso]]+TablaDatos[[#This Row],[DiasNuevo]]</f>
        <v>45162</v>
      </c>
      <c r="I4523">
        <v>27</v>
      </c>
      <c r="J4523" t="s">
        <v>25</v>
      </c>
      <c r="K4523" s="3">
        <v>3289.62</v>
      </c>
      <c r="L4523" t="b">
        <f>TablaDatos[[#This Row],[FechaAlta]] &lt; TablaDatos[[#This Row],[FechaIngreso]]</f>
        <v>0</v>
      </c>
      <c r="M4523">
        <f>_xlfn.XLOOKUP(TablaDatos[[#This Row],[PacienteID]],'Datos_Ejemplo.csv'!A:A,'Datos_Ejemplo.csv'!I:I)</f>
        <v>27</v>
      </c>
      <c r="N4523">
        <f>ABS(TablaDatos[[#This Row],[DiasOriginal]])</f>
        <v>27</v>
      </c>
      <c r="O4523" s="1">
        <f>TablaDatos[[#This Row],[FechaIngreso]]+TablaDatos[[#This Row],[DiasNuevo]]</f>
        <v>45162</v>
      </c>
    </row>
    <row r="4524" spans="1:15">
      <c r="A4524">
        <v>4523</v>
      </c>
      <c r="B4524" t="s">
        <v>243</v>
      </c>
      <c r="C4524" s="1">
        <v>37622</v>
      </c>
      <c r="D4524">
        <v>23</v>
      </c>
      <c r="E4524" s="4" t="s">
        <v>12</v>
      </c>
      <c r="F4524" t="s">
        <v>32</v>
      </c>
      <c r="G4524" s="1">
        <v>45142</v>
      </c>
      <c r="H4524" s="1">
        <f>TablaDatos[[#This Row],[FechaIngreso]]+TablaDatos[[#This Row],[DiasNuevo]]</f>
        <v>45172</v>
      </c>
      <c r="I4524">
        <v>30</v>
      </c>
      <c r="J4524" t="s">
        <v>19</v>
      </c>
      <c r="K4524" s="3">
        <v>13701.81</v>
      </c>
      <c r="L4524" t="b">
        <f>TablaDatos[[#This Row],[FechaAlta]] &lt; TablaDatos[[#This Row],[FechaIngreso]]</f>
        <v>0</v>
      </c>
      <c r="M4524">
        <f>_xlfn.XLOOKUP(TablaDatos[[#This Row],[PacienteID]],'Datos_Ejemplo.csv'!A:A,'Datos_Ejemplo.csv'!I:I)</f>
        <v>30</v>
      </c>
      <c r="N4524">
        <f>ABS(TablaDatos[[#This Row],[DiasOriginal]])</f>
        <v>30</v>
      </c>
      <c r="O4524" s="1">
        <f>TablaDatos[[#This Row],[FechaIngreso]]+TablaDatos[[#This Row],[DiasNuevo]]</f>
        <v>45172</v>
      </c>
    </row>
    <row r="4525" spans="1:15">
      <c r="A4525">
        <v>4524</v>
      </c>
      <c r="B4525" t="s">
        <v>39</v>
      </c>
      <c r="C4525" s="1">
        <v>19359</v>
      </c>
      <c r="D4525">
        <v>73</v>
      </c>
      <c r="E4525" s="4" t="s">
        <v>12</v>
      </c>
      <c r="F4525" t="s">
        <v>295</v>
      </c>
      <c r="G4525" s="1">
        <v>45639</v>
      </c>
      <c r="H4525" s="1">
        <f>TablaDatos[[#This Row],[FechaIngreso]]+TablaDatos[[#This Row],[DiasNuevo]]</f>
        <v>45642</v>
      </c>
      <c r="I4525">
        <v>3</v>
      </c>
      <c r="J4525" t="s">
        <v>25</v>
      </c>
      <c r="K4525" s="3">
        <v>19255.93</v>
      </c>
      <c r="L4525" t="b">
        <f>TablaDatos[[#This Row],[FechaAlta]] &lt; TablaDatos[[#This Row],[FechaIngreso]]</f>
        <v>0</v>
      </c>
      <c r="M4525">
        <f>_xlfn.XLOOKUP(TablaDatos[[#This Row],[PacienteID]],'Datos_Ejemplo.csv'!A:A,'Datos_Ejemplo.csv'!I:I)</f>
        <v>3</v>
      </c>
      <c r="N4525">
        <f>ABS(TablaDatos[[#This Row],[DiasOriginal]])</f>
        <v>3</v>
      </c>
      <c r="O4525" s="1">
        <f>TablaDatos[[#This Row],[FechaIngreso]]+TablaDatos[[#This Row],[DiasNuevo]]</f>
        <v>45642</v>
      </c>
    </row>
    <row r="4526" spans="1:15">
      <c r="A4526">
        <v>4525</v>
      </c>
      <c r="B4526" t="s">
        <v>357</v>
      </c>
      <c r="C4526" s="1">
        <v>32508</v>
      </c>
      <c r="D4526">
        <v>37</v>
      </c>
      <c r="E4526" s="4" t="s">
        <v>15</v>
      </c>
      <c r="F4526" t="s">
        <v>13</v>
      </c>
      <c r="G4526" s="1">
        <v>45364</v>
      </c>
      <c r="H4526" s="1">
        <f>TablaDatos[[#This Row],[FechaIngreso]]+TablaDatos[[#This Row],[DiasNuevo]]</f>
        <v>45366</v>
      </c>
      <c r="I4526">
        <v>2</v>
      </c>
      <c r="J4526" t="s">
        <v>23</v>
      </c>
      <c r="K4526" s="3">
        <v>6131.18</v>
      </c>
      <c r="L4526" t="b">
        <f>TablaDatos[[#This Row],[FechaAlta]] &lt; TablaDatos[[#This Row],[FechaIngreso]]</f>
        <v>0</v>
      </c>
      <c r="M4526">
        <f>_xlfn.XLOOKUP(TablaDatos[[#This Row],[PacienteID]],'Datos_Ejemplo.csv'!A:A,'Datos_Ejemplo.csv'!I:I)</f>
        <v>2</v>
      </c>
      <c r="N4526">
        <f>ABS(TablaDatos[[#This Row],[DiasOriginal]])</f>
        <v>2</v>
      </c>
      <c r="O4526" s="1">
        <f>TablaDatos[[#This Row],[FechaIngreso]]+TablaDatos[[#This Row],[DiasNuevo]]</f>
        <v>45366</v>
      </c>
    </row>
    <row r="4527" spans="1:15">
      <c r="A4527">
        <v>4526</v>
      </c>
      <c r="B4527" t="s">
        <v>251</v>
      </c>
      <c r="C4527" s="1">
        <v>38352</v>
      </c>
      <c r="D4527">
        <v>21</v>
      </c>
      <c r="E4527" s="4" t="s">
        <v>12</v>
      </c>
      <c r="F4527" t="s">
        <v>295</v>
      </c>
      <c r="G4527" s="1">
        <v>45544</v>
      </c>
      <c r="H4527" s="1">
        <f>TablaDatos[[#This Row],[FechaIngreso]]+TablaDatos[[#This Row],[DiasNuevo]]</f>
        <v>45556</v>
      </c>
      <c r="I4527">
        <v>12</v>
      </c>
      <c r="J4527" t="s">
        <v>19</v>
      </c>
      <c r="K4527" s="3">
        <v>207.38</v>
      </c>
      <c r="L4527" t="b">
        <f>TablaDatos[[#This Row],[FechaAlta]] &lt; TablaDatos[[#This Row],[FechaIngreso]]</f>
        <v>0</v>
      </c>
      <c r="M4527">
        <f>_xlfn.XLOOKUP(TablaDatos[[#This Row],[PacienteID]],'Datos_Ejemplo.csv'!A:A,'Datos_Ejemplo.csv'!I:I)</f>
        <v>12</v>
      </c>
      <c r="N4527">
        <f>ABS(TablaDatos[[#This Row],[DiasOriginal]])</f>
        <v>12</v>
      </c>
      <c r="O4527" s="1">
        <f>TablaDatos[[#This Row],[FechaIngreso]]+TablaDatos[[#This Row],[DiasNuevo]]</f>
        <v>45556</v>
      </c>
    </row>
    <row r="4528" spans="1:15">
      <c r="A4528">
        <v>4527</v>
      </c>
      <c r="B4528" t="s">
        <v>310</v>
      </c>
      <c r="C4528" s="1">
        <v>36891</v>
      </c>
      <c r="D4528">
        <v>25</v>
      </c>
      <c r="E4528" s="4" t="s">
        <v>12</v>
      </c>
      <c r="F4528" t="s">
        <v>21</v>
      </c>
      <c r="G4528" s="1">
        <v>45237</v>
      </c>
      <c r="H4528" s="1">
        <f>TablaDatos[[#This Row],[FechaIngreso]]+TablaDatos[[#This Row],[DiasNuevo]]</f>
        <v>45259</v>
      </c>
      <c r="I4528">
        <v>22</v>
      </c>
      <c r="J4528" t="s">
        <v>23</v>
      </c>
      <c r="K4528" s="3">
        <v>14670.84</v>
      </c>
      <c r="L4528" t="b">
        <f>TablaDatos[[#This Row],[FechaAlta]] &lt; TablaDatos[[#This Row],[FechaIngreso]]</f>
        <v>0</v>
      </c>
      <c r="M4528">
        <f>_xlfn.XLOOKUP(TablaDatos[[#This Row],[PacienteID]],'Datos_Ejemplo.csv'!A:A,'Datos_Ejemplo.csv'!I:I)</f>
        <v>22</v>
      </c>
      <c r="N4528">
        <f>ABS(TablaDatos[[#This Row],[DiasOriginal]])</f>
        <v>22</v>
      </c>
      <c r="O4528" s="1">
        <f>TablaDatos[[#This Row],[FechaIngreso]]+TablaDatos[[#This Row],[DiasNuevo]]</f>
        <v>45259</v>
      </c>
    </row>
    <row r="4529" spans="1:15">
      <c r="A4529">
        <v>4528</v>
      </c>
      <c r="B4529" t="s">
        <v>161</v>
      </c>
      <c r="C4529" s="1">
        <v>30682</v>
      </c>
      <c r="D4529">
        <v>42</v>
      </c>
      <c r="E4529" s="4" t="s">
        <v>12</v>
      </c>
      <c r="F4529" t="s">
        <v>32</v>
      </c>
      <c r="G4529" s="1">
        <v>45309</v>
      </c>
      <c r="H4529" s="1">
        <f>TablaDatos[[#This Row],[FechaIngreso]]+TablaDatos[[#This Row],[DiasNuevo]]</f>
        <v>45319</v>
      </c>
      <c r="I4529">
        <v>10</v>
      </c>
      <c r="J4529" t="s">
        <v>19</v>
      </c>
      <c r="K4529" s="3">
        <v>40.299999999999997</v>
      </c>
      <c r="L4529" t="b">
        <f>TablaDatos[[#This Row],[FechaAlta]] &lt; TablaDatos[[#This Row],[FechaIngreso]]</f>
        <v>0</v>
      </c>
      <c r="M4529">
        <f>_xlfn.XLOOKUP(TablaDatos[[#This Row],[PacienteID]],'Datos_Ejemplo.csv'!A:A,'Datos_Ejemplo.csv'!I:I)</f>
        <v>10</v>
      </c>
      <c r="N4529">
        <f>ABS(TablaDatos[[#This Row],[DiasOriginal]])</f>
        <v>10</v>
      </c>
      <c r="O4529" s="1">
        <f>TablaDatos[[#This Row],[FechaIngreso]]+TablaDatos[[#This Row],[DiasNuevo]]</f>
        <v>45319</v>
      </c>
    </row>
    <row r="4530" spans="1:15">
      <c r="A4530">
        <v>4529</v>
      </c>
      <c r="B4530" t="s">
        <v>368</v>
      </c>
      <c r="C4530" s="1">
        <v>26299</v>
      </c>
      <c r="D4530">
        <v>54</v>
      </c>
      <c r="E4530" s="4" t="s">
        <v>12</v>
      </c>
      <c r="F4530" t="s">
        <v>295</v>
      </c>
      <c r="G4530" s="1">
        <v>45197</v>
      </c>
      <c r="H4530" s="1">
        <f>TablaDatos[[#This Row],[FechaIngreso]]+TablaDatos[[#This Row],[DiasNuevo]]</f>
        <v>45200</v>
      </c>
      <c r="I4530">
        <v>3</v>
      </c>
      <c r="J4530" t="s">
        <v>25</v>
      </c>
      <c r="K4530" s="3">
        <v>17437.93</v>
      </c>
      <c r="L4530" t="b">
        <f>TablaDatos[[#This Row],[FechaAlta]] &lt; TablaDatos[[#This Row],[FechaIngreso]]</f>
        <v>0</v>
      </c>
      <c r="M4530">
        <f>_xlfn.XLOOKUP(TablaDatos[[#This Row],[PacienteID]],'Datos_Ejemplo.csv'!A:A,'Datos_Ejemplo.csv'!I:I)</f>
        <v>3</v>
      </c>
      <c r="N4530">
        <f>ABS(TablaDatos[[#This Row],[DiasOriginal]])</f>
        <v>3</v>
      </c>
      <c r="O4530" s="1">
        <f>TablaDatos[[#This Row],[FechaIngreso]]+TablaDatos[[#This Row],[DiasNuevo]]</f>
        <v>45200</v>
      </c>
    </row>
    <row r="4531" spans="1:15">
      <c r="A4531">
        <v>4530</v>
      </c>
      <c r="B4531" t="s">
        <v>309</v>
      </c>
      <c r="C4531" s="1">
        <v>32143</v>
      </c>
      <c r="D4531">
        <v>38</v>
      </c>
      <c r="E4531" s="4" t="s">
        <v>12</v>
      </c>
      <c r="F4531" t="s">
        <v>201</v>
      </c>
      <c r="G4531" s="1">
        <v>45047</v>
      </c>
      <c r="H4531" s="1">
        <f>TablaDatos[[#This Row],[FechaIngreso]]+TablaDatos[[#This Row],[DiasNuevo]]</f>
        <v>45081</v>
      </c>
      <c r="I4531">
        <v>34</v>
      </c>
      <c r="J4531" t="s">
        <v>23</v>
      </c>
      <c r="K4531" s="3">
        <v>1031.6600000000001</v>
      </c>
      <c r="L4531" t="b">
        <f>TablaDatos[[#This Row],[FechaAlta]] &lt; TablaDatos[[#This Row],[FechaIngreso]]</f>
        <v>0</v>
      </c>
      <c r="M4531">
        <f>_xlfn.XLOOKUP(TablaDatos[[#This Row],[PacienteID]],'Datos_Ejemplo.csv'!A:A,'Datos_Ejemplo.csv'!I:I)</f>
        <v>34</v>
      </c>
      <c r="N4531">
        <f>ABS(TablaDatos[[#This Row],[DiasOriginal]])</f>
        <v>34</v>
      </c>
      <c r="O4531" s="1">
        <f>TablaDatos[[#This Row],[FechaIngreso]]+TablaDatos[[#This Row],[DiasNuevo]]</f>
        <v>45081</v>
      </c>
    </row>
    <row r="4532" spans="1:15">
      <c r="A4532">
        <v>4531</v>
      </c>
      <c r="B4532" t="s">
        <v>116</v>
      </c>
      <c r="C4532" s="1">
        <v>13150</v>
      </c>
      <c r="D4532">
        <v>90</v>
      </c>
      <c r="E4532" s="4" t="s">
        <v>15</v>
      </c>
      <c r="F4532" t="s">
        <v>32</v>
      </c>
      <c r="G4532" s="1">
        <v>45333</v>
      </c>
      <c r="H4532" s="1">
        <f>TablaDatos[[#This Row],[FechaIngreso]]+TablaDatos[[#This Row],[DiasNuevo]]</f>
        <v>45334</v>
      </c>
      <c r="I4532">
        <v>1</v>
      </c>
      <c r="J4532" t="s">
        <v>19</v>
      </c>
      <c r="K4532" s="3">
        <v>13020.57</v>
      </c>
      <c r="L4532" t="b">
        <f>TablaDatos[[#This Row],[FechaAlta]] &lt; TablaDatos[[#This Row],[FechaIngreso]]</f>
        <v>0</v>
      </c>
      <c r="M4532">
        <f>_xlfn.XLOOKUP(TablaDatos[[#This Row],[PacienteID]],'Datos_Ejemplo.csv'!A:A,'Datos_Ejemplo.csv'!I:I)</f>
        <v>-1</v>
      </c>
      <c r="N4532">
        <f>ABS(TablaDatos[[#This Row],[DiasOriginal]])</f>
        <v>1</v>
      </c>
      <c r="O4532" s="1">
        <f>TablaDatos[[#This Row],[FechaIngreso]]+TablaDatos[[#This Row],[DiasNuevo]]</f>
        <v>45334</v>
      </c>
    </row>
    <row r="4533" spans="1:15">
      <c r="A4533">
        <v>4532</v>
      </c>
      <c r="B4533" t="s">
        <v>254</v>
      </c>
      <c r="C4533" s="1">
        <v>35795</v>
      </c>
      <c r="D4533">
        <f ca="1">DATEDIF(TablaDatos[[#This Row],[FechaNacimiento]],TODAY(),"Y")</f>
        <v>28</v>
      </c>
      <c r="E4533" s="4" t="s">
        <v>15</v>
      </c>
      <c r="F4533" t="s">
        <v>295</v>
      </c>
      <c r="G4533" s="1">
        <v>45171</v>
      </c>
      <c r="H4533" s="1">
        <f>TablaDatos[[#This Row],[FechaIngreso]]+TablaDatos[[#This Row],[DiasNuevo]]</f>
        <v>45185</v>
      </c>
      <c r="I4533">
        <v>14</v>
      </c>
      <c r="J4533" t="s">
        <v>25</v>
      </c>
      <c r="K4533" s="3">
        <v>7481.4</v>
      </c>
      <c r="L4533" t="b">
        <f>TablaDatos[[#This Row],[FechaAlta]] &lt; TablaDatos[[#This Row],[FechaIngreso]]</f>
        <v>0</v>
      </c>
      <c r="M4533">
        <f>_xlfn.XLOOKUP(TablaDatos[[#This Row],[PacienteID]],'Datos_Ejemplo.csv'!A:A,'Datos_Ejemplo.csv'!I:I)</f>
        <v>14</v>
      </c>
      <c r="N4533">
        <f>ABS(TablaDatos[[#This Row],[DiasOriginal]])</f>
        <v>14</v>
      </c>
      <c r="O4533" s="1">
        <f>TablaDatos[[#This Row],[FechaIngreso]]+TablaDatos[[#This Row],[DiasNuevo]]</f>
        <v>45185</v>
      </c>
    </row>
    <row r="4534" spans="1:15">
      <c r="A4534">
        <v>4533</v>
      </c>
      <c r="B4534" t="s">
        <v>347</v>
      </c>
      <c r="C4534" s="1">
        <v>39083</v>
      </c>
      <c r="D4534">
        <v>19</v>
      </c>
      <c r="E4534" s="4" t="s">
        <v>12</v>
      </c>
      <c r="F4534" t="s">
        <v>13</v>
      </c>
      <c r="G4534" s="1">
        <v>44992</v>
      </c>
      <c r="H4534" s="1">
        <f>TablaDatos[[#This Row],[FechaIngreso]]+TablaDatos[[#This Row],[DiasNuevo]]</f>
        <v>45013</v>
      </c>
      <c r="I4534">
        <v>21</v>
      </c>
      <c r="J4534" t="s">
        <v>19</v>
      </c>
      <c r="K4534" s="3">
        <v>3987.15</v>
      </c>
      <c r="L4534" t="b">
        <f>TablaDatos[[#This Row],[FechaAlta]] &lt; TablaDatos[[#This Row],[FechaIngreso]]</f>
        <v>0</v>
      </c>
      <c r="M4534">
        <f>_xlfn.XLOOKUP(TablaDatos[[#This Row],[PacienteID]],'Datos_Ejemplo.csv'!A:A,'Datos_Ejemplo.csv'!I:I)</f>
        <v>21</v>
      </c>
      <c r="N4534">
        <f>ABS(TablaDatos[[#This Row],[DiasOriginal]])</f>
        <v>21</v>
      </c>
      <c r="O4534" s="1">
        <f>TablaDatos[[#This Row],[FechaIngreso]]+TablaDatos[[#This Row],[DiasNuevo]]</f>
        <v>45013</v>
      </c>
    </row>
    <row r="4535" spans="1:15">
      <c r="A4535">
        <v>4534</v>
      </c>
      <c r="B4535" t="s">
        <v>367</v>
      </c>
      <c r="C4535" s="1">
        <v>13150</v>
      </c>
      <c r="D4535">
        <v>90</v>
      </c>
      <c r="E4535" s="4" t="s">
        <v>12</v>
      </c>
      <c r="F4535" t="s">
        <v>13</v>
      </c>
      <c r="G4535" s="1">
        <v>45154</v>
      </c>
      <c r="H4535" s="1">
        <f>TablaDatos[[#This Row],[FechaIngreso]]+TablaDatos[[#This Row],[DiasNuevo]]</f>
        <v>45163</v>
      </c>
      <c r="I4535">
        <v>9</v>
      </c>
      <c r="J4535" t="s">
        <v>23</v>
      </c>
      <c r="K4535" s="3">
        <v>17954.990000000002</v>
      </c>
      <c r="L4535" t="b">
        <f>TablaDatos[[#This Row],[FechaAlta]] &lt; TablaDatos[[#This Row],[FechaIngreso]]</f>
        <v>0</v>
      </c>
      <c r="M4535">
        <f>_xlfn.XLOOKUP(TablaDatos[[#This Row],[PacienteID]],'Datos_Ejemplo.csv'!A:A,'Datos_Ejemplo.csv'!I:I)</f>
        <v>9</v>
      </c>
      <c r="N4535">
        <f>ABS(TablaDatos[[#This Row],[DiasOriginal]])</f>
        <v>9</v>
      </c>
      <c r="O4535" s="1">
        <f>TablaDatos[[#This Row],[FechaIngreso]]+TablaDatos[[#This Row],[DiasNuevo]]</f>
        <v>45163</v>
      </c>
    </row>
    <row r="4536" spans="1:15">
      <c r="A4536">
        <v>4535</v>
      </c>
      <c r="B4536" t="s">
        <v>279</v>
      </c>
      <c r="C4536" s="1">
        <v>31412</v>
      </c>
      <c r="D4536">
        <v>40</v>
      </c>
      <c r="E4536" s="4" t="s">
        <v>12</v>
      </c>
      <c r="F4536" t="s">
        <v>32</v>
      </c>
      <c r="G4536" s="1">
        <v>45063</v>
      </c>
      <c r="H4536" s="1">
        <f>TablaDatos[[#This Row],[FechaIngreso]]+TablaDatos[[#This Row],[DiasNuevo]]</f>
        <v>45074</v>
      </c>
      <c r="I4536">
        <v>11</v>
      </c>
      <c r="J4536" t="s">
        <v>19</v>
      </c>
      <c r="K4536" s="3">
        <v>14899.54</v>
      </c>
      <c r="L4536" t="b">
        <f>TablaDatos[[#This Row],[FechaAlta]] &lt; TablaDatos[[#This Row],[FechaIngreso]]</f>
        <v>0</v>
      </c>
      <c r="M4536">
        <f>_xlfn.XLOOKUP(TablaDatos[[#This Row],[PacienteID]],'Datos_Ejemplo.csv'!A:A,'Datos_Ejemplo.csv'!I:I)</f>
        <v>11</v>
      </c>
      <c r="N4536">
        <f>ABS(TablaDatos[[#This Row],[DiasOriginal]])</f>
        <v>11</v>
      </c>
      <c r="O4536" s="1">
        <f>TablaDatos[[#This Row],[FechaIngreso]]+TablaDatos[[#This Row],[DiasNuevo]]</f>
        <v>45074</v>
      </c>
    </row>
    <row r="4537" spans="1:15">
      <c r="A4537">
        <v>4536</v>
      </c>
      <c r="B4537" t="s">
        <v>335</v>
      </c>
      <c r="C4537" s="1">
        <v>26664</v>
      </c>
      <c r="D4537">
        <v>53</v>
      </c>
      <c r="E4537" s="4" t="s">
        <v>15</v>
      </c>
      <c r="F4537" t="s">
        <v>261</v>
      </c>
      <c r="G4537" s="1">
        <v>45120</v>
      </c>
      <c r="H4537" s="1">
        <f>TablaDatos[[#This Row],[FechaIngreso]]+TablaDatos[[#This Row],[DiasNuevo]]</f>
        <v>45124</v>
      </c>
      <c r="I4537">
        <v>4</v>
      </c>
      <c r="J4537" t="s">
        <v>19</v>
      </c>
      <c r="K4537" s="3">
        <v>6742.86</v>
      </c>
      <c r="L4537" t="b">
        <f>TablaDatos[[#This Row],[FechaAlta]] &lt; TablaDatos[[#This Row],[FechaIngreso]]</f>
        <v>0</v>
      </c>
      <c r="M4537">
        <f>_xlfn.XLOOKUP(TablaDatos[[#This Row],[PacienteID]],'Datos_Ejemplo.csv'!A:A,'Datos_Ejemplo.csv'!I:I)</f>
        <v>4</v>
      </c>
      <c r="N4537">
        <f>ABS(TablaDatos[[#This Row],[DiasOriginal]])</f>
        <v>4</v>
      </c>
      <c r="O4537" s="1">
        <f>TablaDatos[[#This Row],[FechaIngreso]]+TablaDatos[[#This Row],[DiasNuevo]]</f>
        <v>45124</v>
      </c>
    </row>
    <row r="4538" spans="1:15">
      <c r="A4538">
        <v>4537</v>
      </c>
      <c r="B4538" t="s">
        <v>330</v>
      </c>
      <c r="C4538" s="1">
        <v>39083</v>
      </c>
      <c r="D4538">
        <v>19</v>
      </c>
      <c r="E4538" s="4" t="s">
        <v>15</v>
      </c>
      <c r="F4538" t="s">
        <v>18</v>
      </c>
      <c r="G4538" s="1">
        <v>45632</v>
      </c>
      <c r="H4538" s="1">
        <f>TablaDatos[[#This Row],[FechaIngreso]]+TablaDatos[[#This Row],[DiasNuevo]]</f>
        <v>45655</v>
      </c>
      <c r="I4538">
        <v>23</v>
      </c>
      <c r="J4538" t="s">
        <v>23</v>
      </c>
      <c r="K4538" s="3">
        <v>5611.48</v>
      </c>
      <c r="L4538" t="b">
        <f>TablaDatos[[#This Row],[FechaAlta]] &lt; TablaDatos[[#This Row],[FechaIngreso]]</f>
        <v>0</v>
      </c>
      <c r="M4538">
        <f>_xlfn.XLOOKUP(TablaDatos[[#This Row],[PacienteID]],'Datos_Ejemplo.csv'!A:A,'Datos_Ejemplo.csv'!I:I)</f>
        <v>23</v>
      </c>
      <c r="N4538">
        <f>ABS(TablaDatos[[#This Row],[DiasOriginal]])</f>
        <v>23</v>
      </c>
      <c r="O4538" s="1">
        <f>TablaDatos[[#This Row],[FechaIngreso]]+TablaDatos[[#This Row],[DiasNuevo]]</f>
        <v>45655</v>
      </c>
    </row>
    <row r="4539" spans="1:15">
      <c r="A4539">
        <v>4538</v>
      </c>
      <c r="B4539" t="s">
        <v>240</v>
      </c>
      <c r="C4539" s="1">
        <v>39448</v>
      </c>
      <c r="D4539">
        <v>18</v>
      </c>
      <c r="E4539" s="4" t="s">
        <v>12</v>
      </c>
      <c r="F4539" t="s">
        <v>18</v>
      </c>
      <c r="G4539" s="1">
        <v>45584</v>
      </c>
      <c r="H4539" s="1">
        <f>TablaDatos[[#This Row],[FechaIngreso]]+TablaDatos[[#This Row],[DiasNuevo]]</f>
        <v>45613</v>
      </c>
      <c r="I4539">
        <v>29</v>
      </c>
      <c r="J4539" t="s">
        <v>25</v>
      </c>
      <c r="K4539" s="3">
        <v>14693.85</v>
      </c>
      <c r="L4539" t="b">
        <f>TablaDatos[[#This Row],[FechaAlta]] &lt; TablaDatos[[#This Row],[FechaIngreso]]</f>
        <v>0</v>
      </c>
      <c r="M4539">
        <f>_xlfn.XLOOKUP(TablaDatos[[#This Row],[PacienteID]],'Datos_Ejemplo.csv'!A:A,'Datos_Ejemplo.csv'!I:I)</f>
        <v>29</v>
      </c>
      <c r="N4539">
        <f>ABS(TablaDatos[[#This Row],[DiasOriginal]])</f>
        <v>29</v>
      </c>
      <c r="O4539" s="1">
        <f>TablaDatos[[#This Row],[FechaIngreso]]+TablaDatos[[#This Row],[DiasNuevo]]</f>
        <v>45613</v>
      </c>
    </row>
    <row r="4540" spans="1:15">
      <c r="A4540">
        <v>4539</v>
      </c>
      <c r="B4540" t="s">
        <v>337</v>
      </c>
      <c r="C4540" s="1">
        <v>15707</v>
      </c>
      <c r="D4540">
        <v>83</v>
      </c>
      <c r="E4540" s="4" t="s">
        <v>15</v>
      </c>
      <c r="F4540" t="s">
        <v>21</v>
      </c>
      <c r="G4540" s="1">
        <v>45583</v>
      </c>
      <c r="H4540" s="1">
        <f>TablaDatos[[#This Row],[FechaIngreso]]+TablaDatos[[#This Row],[DiasNuevo]]</f>
        <v>45609</v>
      </c>
      <c r="I4540">
        <v>26</v>
      </c>
      <c r="J4540" t="s">
        <v>19</v>
      </c>
      <c r="K4540" s="3">
        <v>16715.07</v>
      </c>
      <c r="L4540" t="b">
        <f>TablaDatos[[#This Row],[FechaAlta]] &lt; TablaDatos[[#This Row],[FechaIngreso]]</f>
        <v>0</v>
      </c>
      <c r="M4540">
        <f>_xlfn.XLOOKUP(TablaDatos[[#This Row],[PacienteID]],'Datos_Ejemplo.csv'!A:A,'Datos_Ejemplo.csv'!I:I)</f>
        <v>26</v>
      </c>
      <c r="N4540">
        <f>ABS(TablaDatos[[#This Row],[DiasOriginal]])</f>
        <v>26</v>
      </c>
      <c r="O4540" s="1">
        <f>TablaDatos[[#This Row],[FechaIngreso]]+TablaDatos[[#This Row],[DiasNuevo]]</f>
        <v>45609</v>
      </c>
    </row>
    <row r="4541" spans="1:15">
      <c r="A4541">
        <v>4540</v>
      </c>
      <c r="B4541" t="s">
        <v>271</v>
      </c>
      <c r="C4541" s="1">
        <v>22281</v>
      </c>
      <c r="D4541">
        <v>65</v>
      </c>
      <c r="E4541" s="4" t="s">
        <v>12</v>
      </c>
      <c r="F4541" t="s">
        <v>261</v>
      </c>
      <c r="G4541" s="1">
        <v>45415</v>
      </c>
      <c r="H4541" s="1">
        <f>TablaDatos[[#This Row],[FechaIngreso]]+TablaDatos[[#This Row],[DiasNuevo]]</f>
        <v>45451</v>
      </c>
      <c r="I4541">
        <v>36</v>
      </c>
      <c r="J4541" t="s">
        <v>19</v>
      </c>
      <c r="K4541" s="3">
        <v>14288.59</v>
      </c>
      <c r="L4541" t="b">
        <f>TablaDatos[[#This Row],[FechaAlta]] &lt; TablaDatos[[#This Row],[FechaIngreso]]</f>
        <v>0</v>
      </c>
      <c r="M4541">
        <f>_xlfn.XLOOKUP(TablaDatos[[#This Row],[PacienteID]],'Datos_Ejemplo.csv'!A:A,'Datos_Ejemplo.csv'!I:I)</f>
        <v>36</v>
      </c>
      <c r="N4541">
        <f>ABS(TablaDatos[[#This Row],[DiasOriginal]])</f>
        <v>36</v>
      </c>
      <c r="O4541" s="1">
        <f>TablaDatos[[#This Row],[FechaIngreso]]+TablaDatos[[#This Row],[DiasNuevo]]</f>
        <v>45451</v>
      </c>
    </row>
    <row r="4542" spans="1:15">
      <c r="A4542">
        <v>4541</v>
      </c>
      <c r="B4542" t="s">
        <v>152</v>
      </c>
      <c r="C4542" s="1">
        <v>35430</v>
      </c>
      <c r="D4542">
        <v>29</v>
      </c>
      <c r="E4542" s="4" t="s">
        <v>15</v>
      </c>
      <c r="F4542" t="s">
        <v>18</v>
      </c>
      <c r="G4542" s="1">
        <v>45510</v>
      </c>
      <c r="H4542" s="1">
        <f>TablaDatos[[#This Row],[FechaIngreso]]+TablaDatos[[#This Row],[DiasNuevo]]</f>
        <v>45516</v>
      </c>
      <c r="I4542">
        <v>6</v>
      </c>
      <c r="J4542" t="s">
        <v>23</v>
      </c>
      <c r="K4542" s="3">
        <v>12763.78</v>
      </c>
      <c r="L4542" t="b">
        <f>TablaDatos[[#This Row],[FechaAlta]] &lt; TablaDatos[[#This Row],[FechaIngreso]]</f>
        <v>0</v>
      </c>
      <c r="M4542">
        <f>_xlfn.XLOOKUP(TablaDatos[[#This Row],[PacienteID]],'Datos_Ejemplo.csv'!A:A,'Datos_Ejemplo.csv'!I:I)</f>
        <v>6</v>
      </c>
      <c r="N4542">
        <f>ABS(TablaDatos[[#This Row],[DiasOriginal]])</f>
        <v>6</v>
      </c>
      <c r="O4542" s="1">
        <f>TablaDatos[[#This Row],[FechaIngreso]]+TablaDatos[[#This Row],[DiasNuevo]]</f>
        <v>45516</v>
      </c>
    </row>
    <row r="4543" spans="1:15">
      <c r="A4543">
        <v>4542</v>
      </c>
      <c r="B4543" t="s">
        <v>263</v>
      </c>
      <c r="C4543" s="1">
        <f ca="1">DATE(YEAR(TODAY())-TablaDatos[[#This Row],[Edad]],1,1)</f>
        <v>27030</v>
      </c>
      <c r="D4543">
        <v>52</v>
      </c>
      <c r="E4543" s="4" t="s">
        <v>15</v>
      </c>
      <c r="F4543" t="s">
        <v>32</v>
      </c>
      <c r="G4543" s="1">
        <v>45280</v>
      </c>
      <c r="H4543" s="1">
        <f>TablaDatos[[#This Row],[FechaIngreso]]+TablaDatos[[#This Row],[DiasNuevo]]</f>
        <v>45291</v>
      </c>
      <c r="I4543">
        <v>11</v>
      </c>
      <c r="J4543" t="s">
        <v>23</v>
      </c>
      <c r="K4543" s="3">
        <v>4481.29</v>
      </c>
      <c r="L4543" t="b">
        <f>TablaDatos[[#This Row],[FechaAlta]] &lt; TablaDatos[[#This Row],[FechaIngreso]]</f>
        <v>0</v>
      </c>
      <c r="M4543">
        <f>_xlfn.XLOOKUP(TablaDatos[[#This Row],[PacienteID]],'Datos_Ejemplo.csv'!A:A,'Datos_Ejemplo.csv'!I:I)</f>
        <v>11</v>
      </c>
      <c r="N4543">
        <f>ABS(TablaDatos[[#This Row],[DiasOriginal]])</f>
        <v>11</v>
      </c>
      <c r="O4543" s="1">
        <f>TablaDatos[[#This Row],[FechaIngreso]]+TablaDatos[[#This Row],[DiasNuevo]]</f>
        <v>45291</v>
      </c>
    </row>
    <row r="4544" spans="1:15">
      <c r="A4544">
        <v>4543</v>
      </c>
      <c r="B4544" t="s">
        <v>353</v>
      </c>
      <c r="C4544" s="1">
        <v>33969</v>
      </c>
      <c r="D4544">
        <f ca="1">DATEDIF(TablaDatos[[#This Row],[FechaNacimiento]],TODAY(),"Y")</f>
        <v>33</v>
      </c>
      <c r="E4544" s="4" t="s">
        <v>12</v>
      </c>
      <c r="F4544" t="s">
        <v>18</v>
      </c>
      <c r="G4544" s="1">
        <v>45630</v>
      </c>
      <c r="H4544" s="1">
        <f>TablaDatos[[#This Row],[FechaIngreso]]+TablaDatos[[#This Row],[DiasNuevo]]</f>
        <v>45644</v>
      </c>
      <c r="I4544">
        <v>14</v>
      </c>
      <c r="J4544" t="s">
        <v>25</v>
      </c>
      <c r="K4544" s="3">
        <v>17041.36</v>
      </c>
      <c r="L4544" t="b">
        <f>TablaDatos[[#This Row],[FechaAlta]] &lt; TablaDatos[[#This Row],[FechaIngreso]]</f>
        <v>0</v>
      </c>
      <c r="M4544">
        <f>_xlfn.XLOOKUP(TablaDatos[[#This Row],[PacienteID]],'Datos_Ejemplo.csv'!A:A,'Datos_Ejemplo.csv'!I:I)</f>
        <v>14</v>
      </c>
      <c r="N4544">
        <f>ABS(TablaDatos[[#This Row],[DiasOriginal]])</f>
        <v>14</v>
      </c>
      <c r="O4544" s="1">
        <f>TablaDatos[[#This Row],[FechaIngreso]]+TablaDatos[[#This Row],[DiasNuevo]]</f>
        <v>45644</v>
      </c>
    </row>
    <row r="4545" spans="1:15">
      <c r="A4545">
        <v>4544</v>
      </c>
      <c r="B4545" t="s">
        <v>102</v>
      </c>
      <c r="C4545" s="1">
        <v>38352</v>
      </c>
      <c r="D4545">
        <v>21</v>
      </c>
      <c r="E4545" s="4" t="s">
        <v>15</v>
      </c>
      <c r="F4545" t="s">
        <v>21</v>
      </c>
      <c r="G4545" s="1">
        <v>45482</v>
      </c>
      <c r="H4545" s="1">
        <f>TablaDatos[[#This Row],[FechaIngreso]]+TablaDatos[[#This Row],[DiasNuevo]]</f>
        <v>45504</v>
      </c>
      <c r="I4545">
        <v>22</v>
      </c>
      <c r="J4545" t="s">
        <v>23</v>
      </c>
      <c r="K4545" s="3">
        <v>14968.21</v>
      </c>
      <c r="L4545" t="b">
        <f>TablaDatos[[#This Row],[FechaAlta]] &lt; TablaDatos[[#This Row],[FechaIngreso]]</f>
        <v>0</v>
      </c>
      <c r="M4545">
        <f>_xlfn.XLOOKUP(TablaDatos[[#This Row],[PacienteID]],'Datos_Ejemplo.csv'!A:A,'Datos_Ejemplo.csv'!I:I)</f>
        <v>22</v>
      </c>
      <c r="N4545">
        <f>ABS(TablaDatos[[#This Row],[DiasOriginal]])</f>
        <v>22</v>
      </c>
      <c r="O4545" s="1">
        <f>TablaDatos[[#This Row],[FechaIngreso]]+TablaDatos[[#This Row],[DiasNuevo]]</f>
        <v>45504</v>
      </c>
    </row>
    <row r="4546" spans="1:15">
      <c r="A4546">
        <v>4545</v>
      </c>
      <c r="B4546" t="s">
        <v>347</v>
      </c>
      <c r="C4546" s="1">
        <v>21916</v>
      </c>
      <c r="D4546">
        <v>66</v>
      </c>
      <c r="E4546" s="4" t="s">
        <v>12</v>
      </c>
      <c r="F4546" t="s">
        <v>295</v>
      </c>
      <c r="G4546" s="1">
        <v>45083</v>
      </c>
      <c r="H4546" s="1">
        <f>TablaDatos[[#This Row],[FechaIngreso]]+TablaDatos[[#This Row],[DiasNuevo]]</f>
        <v>45110</v>
      </c>
      <c r="I4546">
        <v>27</v>
      </c>
      <c r="J4546" t="s">
        <v>25</v>
      </c>
      <c r="K4546" s="3">
        <v>10297.209999999999</v>
      </c>
      <c r="L4546" t="b">
        <f>TablaDatos[[#This Row],[FechaAlta]] &lt; TablaDatos[[#This Row],[FechaIngreso]]</f>
        <v>0</v>
      </c>
      <c r="M4546">
        <f>_xlfn.XLOOKUP(TablaDatos[[#This Row],[PacienteID]],'Datos_Ejemplo.csv'!A:A,'Datos_Ejemplo.csv'!I:I)</f>
        <v>27</v>
      </c>
      <c r="N4546">
        <f>ABS(TablaDatos[[#This Row],[DiasOriginal]])</f>
        <v>27</v>
      </c>
      <c r="O4546" s="1">
        <f>TablaDatos[[#This Row],[FechaIngreso]]+TablaDatos[[#This Row],[DiasNuevo]]</f>
        <v>45110</v>
      </c>
    </row>
    <row r="4547" spans="1:15">
      <c r="A4547">
        <v>4546</v>
      </c>
      <c r="B4547" t="s">
        <v>262</v>
      </c>
      <c r="C4547" s="1">
        <v>44196</v>
      </c>
      <c r="D4547">
        <v>5</v>
      </c>
      <c r="E4547" s="4" t="s">
        <v>12</v>
      </c>
      <c r="F4547" t="s">
        <v>18</v>
      </c>
      <c r="G4547" s="1">
        <v>45402</v>
      </c>
      <c r="H4547" s="1">
        <f>TablaDatos[[#This Row],[FechaIngreso]]+TablaDatos[[#This Row],[DiasNuevo]]</f>
        <v>45428</v>
      </c>
      <c r="I4547">
        <v>26</v>
      </c>
      <c r="J4547" t="s">
        <v>25</v>
      </c>
      <c r="K4547" s="3">
        <v>10182.91</v>
      </c>
      <c r="L4547" t="b">
        <f>TablaDatos[[#This Row],[FechaAlta]] &lt; TablaDatos[[#This Row],[FechaIngreso]]</f>
        <v>0</v>
      </c>
      <c r="M4547">
        <f>_xlfn.XLOOKUP(TablaDatos[[#This Row],[PacienteID]],'Datos_Ejemplo.csv'!A:A,'Datos_Ejemplo.csv'!I:I)</f>
        <v>26</v>
      </c>
      <c r="N4547">
        <f>ABS(TablaDatos[[#This Row],[DiasOriginal]])</f>
        <v>26</v>
      </c>
      <c r="O4547" s="1">
        <f>TablaDatos[[#This Row],[FechaIngreso]]+TablaDatos[[#This Row],[DiasNuevo]]</f>
        <v>45428</v>
      </c>
    </row>
    <row r="4548" spans="1:15">
      <c r="A4548">
        <v>4547</v>
      </c>
      <c r="B4548" t="s">
        <v>259</v>
      </c>
      <c r="C4548" s="1">
        <v>17533</v>
      </c>
      <c r="D4548">
        <v>78</v>
      </c>
      <c r="E4548" s="4" t="s">
        <v>15</v>
      </c>
      <c r="F4548" t="s">
        <v>32</v>
      </c>
      <c r="G4548" s="1">
        <v>44942</v>
      </c>
      <c r="H4548" s="1">
        <f>TablaDatos[[#This Row],[FechaIngreso]]+TablaDatos[[#This Row],[DiasNuevo]]</f>
        <v>44968</v>
      </c>
      <c r="I4548">
        <v>26</v>
      </c>
      <c r="J4548" t="s">
        <v>25</v>
      </c>
      <c r="K4548" s="3">
        <v>11340.38</v>
      </c>
      <c r="L4548" t="b">
        <f>TablaDatos[[#This Row],[FechaAlta]] &lt; TablaDatos[[#This Row],[FechaIngreso]]</f>
        <v>0</v>
      </c>
      <c r="M4548">
        <f>_xlfn.XLOOKUP(TablaDatos[[#This Row],[PacienteID]],'Datos_Ejemplo.csv'!A:A,'Datos_Ejemplo.csv'!I:I)</f>
        <v>26</v>
      </c>
      <c r="N4548">
        <f>ABS(TablaDatos[[#This Row],[DiasOriginal]])</f>
        <v>26</v>
      </c>
      <c r="O4548" s="1">
        <f>TablaDatos[[#This Row],[FechaIngreso]]+TablaDatos[[#This Row],[DiasNuevo]]</f>
        <v>44968</v>
      </c>
    </row>
    <row r="4549" spans="1:15">
      <c r="A4549">
        <v>4548</v>
      </c>
      <c r="B4549" t="s">
        <v>291</v>
      </c>
      <c r="C4549" s="1">
        <v>36526</v>
      </c>
      <c r="D4549">
        <v>26</v>
      </c>
      <c r="E4549" s="4" t="s">
        <v>12</v>
      </c>
      <c r="F4549" t="s">
        <v>32</v>
      </c>
      <c r="G4549" s="1">
        <v>45004</v>
      </c>
      <c r="H4549" s="1">
        <f>TablaDatos[[#This Row],[FechaIngreso]]+TablaDatos[[#This Row],[DiasNuevo]]</f>
        <v>45019</v>
      </c>
      <c r="I4549">
        <v>15</v>
      </c>
      <c r="J4549" t="s">
        <v>19</v>
      </c>
      <c r="K4549" s="3">
        <v>16548.36</v>
      </c>
      <c r="L4549" t="b">
        <f>TablaDatos[[#This Row],[FechaAlta]] &lt; TablaDatos[[#This Row],[FechaIngreso]]</f>
        <v>0</v>
      </c>
      <c r="M4549">
        <f>_xlfn.XLOOKUP(TablaDatos[[#This Row],[PacienteID]],'Datos_Ejemplo.csv'!A:A,'Datos_Ejemplo.csv'!I:I)</f>
        <v>15</v>
      </c>
      <c r="N4549">
        <f>ABS(TablaDatos[[#This Row],[DiasOriginal]])</f>
        <v>15</v>
      </c>
      <c r="O4549" s="1">
        <f>TablaDatos[[#This Row],[FechaIngreso]]+TablaDatos[[#This Row],[DiasNuevo]]</f>
        <v>45019</v>
      </c>
    </row>
    <row r="4550" spans="1:15">
      <c r="A4550">
        <v>4549</v>
      </c>
      <c r="B4550" t="s">
        <v>292</v>
      </c>
      <c r="C4550" s="1">
        <v>42735</v>
      </c>
      <c r="D4550">
        <v>9</v>
      </c>
      <c r="E4550" s="4" t="s">
        <v>12</v>
      </c>
      <c r="F4550" t="s">
        <v>21</v>
      </c>
      <c r="G4550" s="1">
        <v>44978</v>
      </c>
      <c r="H4550" s="1">
        <f>TablaDatos[[#This Row],[FechaIngreso]]+TablaDatos[[#This Row],[DiasNuevo]]</f>
        <v>45006</v>
      </c>
      <c r="I4550">
        <v>28</v>
      </c>
      <c r="J4550" t="s">
        <v>19</v>
      </c>
      <c r="K4550" s="3">
        <v>14819.42</v>
      </c>
      <c r="L4550" t="b">
        <f>TablaDatos[[#This Row],[FechaAlta]] &lt; TablaDatos[[#This Row],[FechaIngreso]]</f>
        <v>0</v>
      </c>
      <c r="M4550">
        <f>_xlfn.XLOOKUP(TablaDatos[[#This Row],[PacienteID]],'Datos_Ejemplo.csv'!A:A,'Datos_Ejemplo.csv'!I:I)</f>
        <v>28</v>
      </c>
      <c r="N4550">
        <f>ABS(TablaDatos[[#This Row],[DiasOriginal]])</f>
        <v>28</v>
      </c>
      <c r="O4550" s="1">
        <f>TablaDatos[[#This Row],[FechaIngreso]]+TablaDatos[[#This Row],[DiasNuevo]]</f>
        <v>45006</v>
      </c>
    </row>
    <row r="4551" spans="1:15">
      <c r="A4551">
        <v>4550</v>
      </c>
      <c r="B4551" t="s">
        <v>297</v>
      </c>
      <c r="C4551" s="1">
        <v>19724</v>
      </c>
      <c r="D4551">
        <v>72</v>
      </c>
      <c r="E4551" s="4" t="s">
        <v>15</v>
      </c>
      <c r="F4551" t="s">
        <v>201</v>
      </c>
      <c r="G4551" s="1">
        <v>45440</v>
      </c>
      <c r="H4551" s="1">
        <f>TablaDatos[[#This Row],[FechaIngreso]]+TablaDatos[[#This Row],[DiasNuevo]]</f>
        <v>45456</v>
      </c>
      <c r="I4551">
        <v>16</v>
      </c>
      <c r="J4551" t="s">
        <v>25</v>
      </c>
      <c r="K4551" s="3">
        <v>17110.52</v>
      </c>
      <c r="L4551" t="b">
        <f>TablaDatos[[#This Row],[FechaAlta]] &lt; TablaDatos[[#This Row],[FechaIngreso]]</f>
        <v>0</v>
      </c>
      <c r="M4551">
        <f>_xlfn.XLOOKUP(TablaDatos[[#This Row],[PacienteID]],'Datos_Ejemplo.csv'!A:A,'Datos_Ejemplo.csv'!I:I)</f>
        <v>16</v>
      </c>
      <c r="N4551">
        <f>ABS(TablaDatos[[#This Row],[DiasOriginal]])</f>
        <v>16</v>
      </c>
      <c r="O4551" s="1">
        <f>TablaDatos[[#This Row],[FechaIngreso]]+TablaDatos[[#This Row],[DiasNuevo]]</f>
        <v>45456</v>
      </c>
    </row>
    <row r="4552" spans="1:15">
      <c r="A4552">
        <v>4551</v>
      </c>
      <c r="B4552" t="s">
        <v>301</v>
      </c>
      <c r="C4552" s="1">
        <v>28856</v>
      </c>
      <c r="D4552">
        <v>47</v>
      </c>
      <c r="E4552" s="4" t="s">
        <v>15</v>
      </c>
      <c r="F4552" t="s">
        <v>21</v>
      </c>
      <c r="G4552" s="1">
        <v>45430</v>
      </c>
      <c r="H4552" s="1">
        <f>TablaDatos[[#This Row],[FechaIngreso]]+TablaDatos[[#This Row],[DiasNuevo]]</f>
        <v>45444</v>
      </c>
      <c r="I4552">
        <v>14</v>
      </c>
      <c r="J4552" t="s">
        <v>25</v>
      </c>
      <c r="K4552" s="3">
        <v>10096.379999999999</v>
      </c>
      <c r="L4552" t="b">
        <f>TablaDatos[[#This Row],[FechaAlta]] &lt; TablaDatos[[#This Row],[FechaIngreso]]</f>
        <v>0</v>
      </c>
      <c r="M4552">
        <f>_xlfn.XLOOKUP(TablaDatos[[#This Row],[PacienteID]],'Datos_Ejemplo.csv'!A:A,'Datos_Ejemplo.csv'!I:I)</f>
        <v>14</v>
      </c>
      <c r="N4552">
        <f>ABS(TablaDatos[[#This Row],[DiasOriginal]])</f>
        <v>14</v>
      </c>
      <c r="O4552" s="1">
        <f>TablaDatos[[#This Row],[FechaIngreso]]+TablaDatos[[#This Row],[DiasNuevo]]</f>
        <v>45444</v>
      </c>
    </row>
    <row r="4553" spans="1:15">
      <c r="A4553">
        <v>4552</v>
      </c>
      <c r="B4553" t="s">
        <v>348</v>
      </c>
      <c r="C4553" s="1">
        <v>20820</v>
      </c>
      <c r="D4553">
        <v>69</v>
      </c>
      <c r="E4553" s="4" t="s">
        <v>15</v>
      </c>
      <c r="F4553" t="s">
        <v>201</v>
      </c>
      <c r="G4553" s="1">
        <v>44987</v>
      </c>
      <c r="H4553" s="1">
        <f>TablaDatos[[#This Row],[FechaIngreso]]+TablaDatos[[#This Row],[DiasNuevo]]</f>
        <v>44990</v>
      </c>
      <c r="I4553">
        <v>3</v>
      </c>
      <c r="J4553" t="s">
        <v>23</v>
      </c>
      <c r="K4553" s="3">
        <v>12455.45</v>
      </c>
      <c r="L4553" t="b">
        <f>TablaDatos[[#This Row],[FechaAlta]] &lt; TablaDatos[[#This Row],[FechaIngreso]]</f>
        <v>0</v>
      </c>
      <c r="M4553">
        <f>_xlfn.XLOOKUP(TablaDatos[[#This Row],[PacienteID]],'Datos_Ejemplo.csv'!A:A,'Datos_Ejemplo.csv'!I:I)</f>
        <v>3</v>
      </c>
      <c r="N4553">
        <f>ABS(TablaDatos[[#This Row],[DiasOriginal]])</f>
        <v>3</v>
      </c>
      <c r="O4553" s="1">
        <f>TablaDatos[[#This Row],[FechaIngreso]]+TablaDatos[[#This Row],[DiasNuevo]]</f>
        <v>44990</v>
      </c>
    </row>
    <row r="4554" spans="1:15">
      <c r="A4554">
        <v>4553</v>
      </c>
      <c r="B4554" t="s">
        <v>327</v>
      </c>
      <c r="C4554" s="1">
        <v>24838</v>
      </c>
      <c r="D4554">
        <v>58</v>
      </c>
      <c r="E4554" s="4" t="s">
        <v>12</v>
      </c>
      <c r="F4554" t="s">
        <v>13</v>
      </c>
      <c r="G4554" s="1">
        <v>45058</v>
      </c>
      <c r="H4554" s="1">
        <f>TablaDatos[[#This Row],[FechaIngreso]]+TablaDatos[[#This Row],[DiasNuevo]]</f>
        <v>45067</v>
      </c>
      <c r="I4554">
        <v>9</v>
      </c>
      <c r="J4554" t="s">
        <v>23</v>
      </c>
      <c r="K4554" s="3">
        <v>17076.89</v>
      </c>
      <c r="L4554" t="b">
        <f>TablaDatos[[#This Row],[FechaAlta]] &lt; TablaDatos[[#This Row],[FechaIngreso]]</f>
        <v>0</v>
      </c>
      <c r="M4554">
        <f>_xlfn.XLOOKUP(TablaDatos[[#This Row],[PacienteID]],'Datos_Ejemplo.csv'!A:A,'Datos_Ejemplo.csv'!I:I)</f>
        <v>9</v>
      </c>
      <c r="N4554">
        <f>ABS(TablaDatos[[#This Row],[DiasOriginal]])</f>
        <v>9</v>
      </c>
      <c r="O4554" s="1">
        <f>TablaDatos[[#This Row],[FechaIngreso]]+TablaDatos[[#This Row],[DiasNuevo]]</f>
        <v>45067</v>
      </c>
    </row>
    <row r="4555" spans="1:15">
      <c r="A4555">
        <v>4554</v>
      </c>
      <c r="B4555" t="s">
        <v>339</v>
      </c>
      <c r="C4555" s="1">
        <v>24838</v>
      </c>
      <c r="D4555">
        <v>58</v>
      </c>
      <c r="E4555" s="4" t="s">
        <v>12</v>
      </c>
      <c r="F4555" t="s">
        <v>13</v>
      </c>
      <c r="G4555" s="1">
        <v>45308</v>
      </c>
      <c r="H4555" s="1">
        <f>TablaDatos[[#This Row],[FechaIngreso]]+TablaDatos[[#This Row],[DiasNuevo]]</f>
        <v>45343</v>
      </c>
      <c r="I4555">
        <v>35</v>
      </c>
      <c r="J4555" t="s">
        <v>25</v>
      </c>
      <c r="K4555" s="3">
        <v>4569.63</v>
      </c>
      <c r="L4555" t="b">
        <f>TablaDatos[[#This Row],[FechaAlta]] &lt; TablaDatos[[#This Row],[FechaIngreso]]</f>
        <v>0</v>
      </c>
      <c r="M4555">
        <f>_xlfn.XLOOKUP(TablaDatos[[#This Row],[PacienteID]],'Datos_Ejemplo.csv'!A:A,'Datos_Ejemplo.csv'!I:I)</f>
        <v>35</v>
      </c>
      <c r="N4555">
        <f>ABS(TablaDatos[[#This Row],[DiasOriginal]])</f>
        <v>35</v>
      </c>
      <c r="O4555" s="1">
        <f>TablaDatos[[#This Row],[FechaIngreso]]+TablaDatos[[#This Row],[DiasNuevo]]</f>
        <v>45343</v>
      </c>
    </row>
    <row r="4556" spans="1:15">
      <c r="A4556">
        <v>4555</v>
      </c>
      <c r="B4556" t="s">
        <v>286</v>
      </c>
      <c r="C4556" s="1">
        <f ca="1">DATE(YEAR(TODAY())-TablaDatos[[#This Row],[Edad]],1,1)</f>
        <v>45658</v>
      </c>
      <c r="D4556">
        <v>1</v>
      </c>
      <c r="E4556" s="4" t="s">
        <v>12</v>
      </c>
      <c r="F4556" t="s">
        <v>13</v>
      </c>
      <c r="G4556" s="1">
        <v>45490</v>
      </c>
      <c r="H4556" s="1">
        <f>TablaDatos[[#This Row],[FechaIngreso]]+TablaDatos[[#This Row],[DiasNuevo]]</f>
        <v>45490</v>
      </c>
      <c r="I4556">
        <v>0</v>
      </c>
      <c r="J4556" t="s">
        <v>23</v>
      </c>
      <c r="K4556" s="3">
        <v>8824.82</v>
      </c>
      <c r="L4556" t="b">
        <f>TablaDatos[[#This Row],[FechaAlta]] &lt; TablaDatos[[#This Row],[FechaIngreso]]</f>
        <v>0</v>
      </c>
      <c r="M4556">
        <f>_xlfn.XLOOKUP(TablaDatos[[#This Row],[PacienteID]],'Datos_Ejemplo.csv'!A:A,'Datos_Ejemplo.csv'!I:I)</f>
        <v>0</v>
      </c>
      <c r="N4556">
        <f>ABS(TablaDatos[[#This Row],[DiasOriginal]])</f>
        <v>0</v>
      </c>
      <c r="O4556" s="1">
        <f>TablaDatos[[#This Row],[FechaIngreso]]+TablaDatos[[#This Row],[DiasNuevo]]</f>
        <v>45490</v>
      </c>
    </row>
    <row r="4557" spans="1:15">
      <c r="A4557">
        <v>4556</v>
      </c>
      <c r="B4557" t="s">
        <v>361</v>
      </c>
      <c r="C4557" s="1">
        <v>35795</v>
      </c>
      <c r="D4557">
        <v>28</v>
      </c>
      <c r="E4557" s="4" t="s">
        <v>12</v>
      </c>
      <c r="F4557" t="s">
        <v>201</v>
      </c>
      <c r="G4557" s="1">
        <v>45618</v>
      </c>
      <c r="H4557" s="1">
        <f>TablaDatos[[#This Row],[FechaIngreso]]+TablaDatos[[#This Row],[DiasNuevo]]</f>
        <v>45650</v>
      </c>
      <c r="I4557">
        <v>32</v>
      </c>
      <c r="J4557" t="s">
        <v>25</v>
      </c>
      <c r="K4557" s="3">
        <v>12375.11</v>
      </c>
      <c r="L4557" t="b">
        <f>TablaDatos[[#This Row],[FechaAlta]] &lt; TablaDatos[[#This Row],[FechaIngreso]]</f>
        <v>0</v>
      </c>
      <c r="M4557">
        <f>_xlfn.XLOOKUP(TablaDatos[[#This Row],[PacienteID]],'Datos_Ejemplo.csv'!A:A,'Datos_Ejemplo.csv'!I:I)</f>
        <v>32</v>
      </c>
      <c r="N4557">
        <f>ABS(TablaDatos[[#This Row],[DiasOriginal]])</f>
        <v>32</v>
      </c>
      <c r="O4557" s="1">
        <f>TablaDatos[[#This Row],[FechaIngreso]]+TablaDatos[[#This Row],[DiasNuevo]]</f>
        <v>45650</v>
      </c>
    </row>
    <row r="4558" spans="1:15">
      <c r="A4558">
        <v>4557</v>
      </c>
      <c r="B4558" t="s">
        <v>275</v>
      </c>
      <c r="C4558" s="1">
        <v>21551</v>
      </c>
      <c r="D4558">
        <v>67</v>
      </c>
      <c r="E4558" s="4" t="s">
        <v>12</v>
      </c>
      <c r="F4558" t="s">
        <v>295</v>
      </c>
      <c r="G4558" s="1">
        <v>45469</v>
      </c>
      <c r="H4558" s="1">
        <f>TablaDatos[[#This Row],[FechaIngreso]]+TablaDatos[[#This Row],[DiasNuevo]]</f>
        <v>45499</v>
      </c>
      <c r="I4558">
        <v>30</v>
      </c>
      <c r="J4558" t="s">
        <v>23</v>
      </c>
      <c r="K4558" s="3">
        <v>18294.439999999999</v>
      </c>
      <c r="L4558" t="b">
        <f>TablaDatos[[#This Row],[FechaAlta]] &lt; TablaDatos[[#This Row],[FechaIngreso]]</f>
        <v>0</v>
      </c>
      <c r="M4558">
        <f>_xlfn.XLOOKUP(TablaDatos[[#This Row],[PacienteID]],'Datos_Ejemplo.csv'!A:A,'Datos_Ejemplo.csv'!I:I)</f>
        <v>30</v>
      </c>
      <c r="N4558">
        <f>ABS(TablaDatos[[#This Row],[DiasOriginal]])</f>
        <v>30</v>
      </c>
      <c r="O4558" s="1">
        <f>TablaDatos[[#This Row],[FechaIngreso]]+TablaDatos[[#This Row],[DiasNuevo]]</f>
        <v>45499</v>
      </c>
    </row>
    <row r="4559" spans="1:15">
      <c r="A4559">
        <v>4558</v>
      </c>
      <c r="B4559" t="s">
        <v>335</v>
      </c>
      <c r="C4559" s="1">
        <v>22646</v>
      </c>
      <c r="D4559">
        <f ca="1">DATEDIF(TablaDatos[[#This Row],[FechaNacimiento]],TODAY(),"Y")</f>
        <v>64</v>
      </c>
      <c r="E4559" s="4" t="s">
        <v>12</v>
      </c>
      <c r="F4559" t="s">
        <v>32</v>
      </c>
      <c r="G4559" s="1">
        <v>45336</v>
      </c>
      <c r="H4559" s="1">
        <f>TablaDatos[[#This Row],[FechaIngreso]]+TablaDatos[[#This Row],[DiasNuevo]]</f>
        <v>45362</v>
      </c>
      <c r="I4559">
        <v>26</v>
      </c>
      <c r="J4559" t="s">
        <v>25</v>
      </c>
      <c r="K4559" s="3">
        <v>218.3</v>
      </c>
      <c r="L4559" t="b">
        <f>TablaDatos[[#This Row],[FechaAlta]] &lt; TablaDatos[[#This Row],[FechaIngreso]]</f>
        <v>0</v>
      </c>
      <c r="M4559">
        <f>_xlfn.XLOOKUP(TablaDatos[[#This Row],[PacienteID]],'Datos_Ejemplo.csv'!A:A,'Datos_Ejemplo.csv'!I:I)</f>
        <v>26</v>
      </c>
      <c r="N4559">
        <f>ABS(TablaDatos[[#This Row],[DiasOriginal]])</f>
        <v>26</v>
      </c>
      <c r="O4559" s="1">
        <f>TablaDatos[[#This Row],[FechaIngreso]]+TablaDatos[[#This Row],[DiasNuevo]]</f>
        <v>45362</v>
      </c>
    </row>
    <row r="4560" spans="1:15">
      <c r="A4560">
        <v>4559</v>
      </c>
      <c r="B4560" t="s">
        <v>348</v>
      </c>
      <c r="C4560" s="1">
        <v>16072</v>
      </c>
      <c r="D4560">
        <v>82</v>
      </c>
      <c r="E4560" s="4" t="s">
        <v>12</v>
      </c>
      <c r="F4560" t="s">
        <v>13</v>
      </c>
      <c r="G4560" s="1">
        <v>45081</v>
      </c>
      <c r="H4560" s="1">
        <f>TablaDatos[[#This Row],[FechaIngreso]]+TablaDatos[[#This Row],[DiasNuevo]]</f>
        <v>45081</v>
      </c>
      <c r="I4560">
        <v>0</v>
      </c>
      <c r="J4560" t="s">
        <v>23</v>
      </c>
      <c r="K4560" s="3">
        <v>4172.72</v>
      </c>
      <c r="L4560" t="b">
        <f>TablaDatos[[#This Row],[FechaAlta]] &lt; TablaDatos[[#This Row],[FechaIngreso]]</f>
        <v>0</v>
      </c>
      <c r="M4560">
        <f>_xlfn.XLOOKUP(TablaDatos[[#This Row],[PacienteID]],'Datos_Ejemplo.csv'!A:A,'Datos_Ejemplo.csv'!I:I)</f>
        <v>0</v>
      </c>
      <c r="N4560">
        <f>ABS(TablaDatos[[#This Row],[DiasOriginal]])</f>
        <v>0</v>
      </c>
      <c r="O4560" s="1">
        <f>TablaDatos[[#This Row],[FechaIngreso]]+TablaDatos[[#This Row],[DiasNuevo]]</f>
        <v>45081</v>
      </c>
    </row>
    <row r="4561" spans="1:15">
      <c r="A4561">
        <v>4560</v>
      </c>
      <c r="B4561" t="s">
        <v>313</v>
      </c>
      <c r="C4561" s="1">
        <v>36891</v>
      </c>
      <c r="D4561">
        <v>25</v>
      </c>
      <c r="E4561" s="4" t="s">
        <v>15</v>
      </c>
      <c r="F4561" t="s">
        <v>32</v>
      </c>
      <c r="G4561" s="1">
        <v>45559</v>
      </c>
      <c r="H4561" s="1">
        <f>TablaDatos[[#This Row],[FechaIngreso]]+TablaDatos[[#This Row],[DiasNuevo]]</f>
        <v>45561</v>
      </c>
      <c r="I4561">
        <v>2</v>
      </c>
      <c r="J4561" t="s">
        <v>19</v>
      </c>
      <c r="K4561" s="3">
        <v>4612.46</v>
      </c>
      <c r="L4561" t="b">
        <f>TablaDatos[[#This Row],[FechaAlta]] &lt; TablaDatos[[#This Row],[FechaIngreso]]</f>
        <v>0</v>
      </c>
      <c r="M4561">
        <f>_xlfn.XLOOKUP(TablaDatos[[#This Row],[PacienteID]],'Datos_Ejemplo.csv'!A:A,'Datos_Ejemplo.csv'!I:I)</f>
        <v>2</v>
      </c>
      <c r="N4561">
        <f>ABS(TablaDatos[[#This Row],[DiasOriginal]])</f>
        <v>2</v>
      </c>
      <c r="O4561" s="1">
        <f>TablaDatos[[#This Row],[FechaIngreso]]+TablaDatos[[#This Row],[DiasNuevo]]</f>
        <v>45561</v>
      </c>
    </row>
    <row r="4562" spans="1:15">
      <c r="A4562">
        <v>4561</v>
      </c>
      <c r="B4562" t="s">
        <v>255</v>
      </c>
      <c r="C4562" s="1">
        <v>13880</v>
      </c>
      <c r="D4562">
        <v>88</v>
      </c>
      <c r="E4562" s="4" t="s">
        <v>12</v>
      </c>
      <c r="F4562" t="s">
        <v>21</v>
      </c>
      <c r="G4562" s="1">
        <v>44977</v>
      </c>
      <c r="H4562" s="1">
        <f>TablaDatos[[#This Row],[FechaIngreso]]+TablaDatos[[#This Row],[DiasNuevo]]</f>
        <v>44988</v>
      </c>
      <c r="I4562">
        <v>11</v>
      </c>
      <c r="J4562" t="s">
        <v>23</v>
      </c>
      <c r="K4562" s="3">
        <v>6464.91</v>
      </c>
      <c r="L4562" t="b">
        <f>TablaDatos[[#This Row],[FechaAlta]] &lt; TablaDatos[[#This Row],[FechaIngreso]]</f>
        <v>0</v>
      </c>
      <c r="M4562">
        <f>_xlfn.XLOOKUP(TablaDatos[[#This Row],[PacienteID]],'Datos_Ejemplo.csv'!A:A,'Datos_Ejemplo.csv'!I:I)</f>
        <v>11</v>
      </c>
      <c r="N4562">
        <f>ABS(TablaDatos[[#This Row],[DiasOriginal]])</f>
        <v>11</v>
      </c>
      <c r="O4562" s="1">
        <f>TablaDatos[[#This Row],[FechaIngreso]]+TablaDatos[[#This Row],[DiasNuevo]]</f>
        <v>44988</v>
      </c>
    </row>
    <row r="4563" spans="1:15">
      <c r="A4563">
        <v>4562</v>
      </c>
      <c r="B4563" t="s">
        <v>237</v>
      </c>
      <c r="C4563" s="1">
        <v>42735</v>
      </c>
      <c r="D4563">
        <v>9</v>
      </c>
      <c r="E4563" s="4" t="s">
        <v>12</v>
      </c>
      <c r="F4563" t="s">
        <v>295</v>
      </c>
      <c r="G4563" s="1">
        <v>45021</v>
      </c>
      <c r="H4563" s="1">
        <f>TablaDatos[[#This Row],[FechaIngreso]]+TablaDatos[[#This Row],[DiasNuevo]]</f>
        <v>45054</v>
      </c>
      <c r="I4563">
        <v>33</v>
      </c>
      <c r="J4563" t="s">
        <v>25</v>
      </c>
      <c r="K4563" s="3">
        <v>5563.91</v>
      </c>
      <c r="L4563" t="b">
        <f>TablaDatos[[#This Row],[FechaAlta]] &lt; TablaDatos[[#This Row],[FechaIngreso]]</f>
        <v>0</v>
      </c>
      <c r="M4563">
        <f>_xlfn.XLOOKUP(TablaDatos[[#This Row],[PacienteID]],'Datos_Ejemplo.csv'!A:A,'Datos_Ejemplo.csv'!I:I)</f>
        <v>33</v>
      </c>
      <c r="N4563">
        <f>ABS(TablaDatos[[#This Row],[DiasOriginal]])</f>
        <v>33</v>
      </c>
      <c r="O4563" s="1">
        <f>TablaDatos[[#This Row],[FechaIngreso]]+TablaDatos[[#This Row],[DiasNuevo]]</f>
        <v>45054</v>
      </c>
    </row>
    <row r="4564" spans="1:15">
      <c r="A4564">
        <v>4563</v>
      </c>
      <c r="B4564" t="s">
        <v>342</v>
      </c>
      <c r="C4564" s="1">
        <v>27029</v>
      </c>
      <c r="D4564">
        <v>52</v>
      </c>
      <c r="E4564" s="4" t="s">
        <v>12</v>
      </c>
      <c r="F4564" t="s">
        <v>21</v>
      </c>
      <c r="G4564" s="1">
        <v>45614</v>
      </c>
      <c r="H4564" s="1">
        <f>TablaDatos[[#This Row],[FechaIngreso]]+TablaDatos[[#This Row],[DiasNuevo]]</f>
        <v>45639</v>
      </c>
      <c r="I4564">
        <v>25</v>
      </c>
      <c r="J4564" t="s">
        <v>23</v>
      </c>
      <c r="K4564" s="3">
        <v>11761.79</v>
      </c>
      <c r="L4564" t="b">
        <f>TablaDatos[[#This Row],[FechaAlta]] &lt; TablaDatos[[#This Row],[FechaIngreso]]</f>
        <v>0</v>
      </c>
      <c r="M4564">
        <f>_xlfn.XLOOKUP(TablaDatos[[#This Row],[PacienteID]],'Datos_Ejemplo.csv'!A:A,'Datos_Ejemplo.csv'!I:I)</f>
        <v>25</v>
      </c>
      <c r="N4564">
        <f>ABS(TablaDatos[[#This Row],[DiasOriginal]])</f>
        <v>25</v>
      </c>
      <c r="O4564" s="1">
        <f>TablaDatos[[#This Row],[FechaIngreso]]+TablaDatos[[#This Row],[DiasNuevo]]</f>
        <v>45639</v>
      </c>
    </row>
    <row r="4565" spans="1:15">
      <c r="A4565">
        <v>4564</v>
      </c>
      <c r="B4565" t="s">
        <v>299</v>
      </c>
      <c r="C4565" s="1">
        <v>17533</v>
      </c>
      <c r="D4565">
        <v>78</v>
      </c>
      <c r="E4565" s="4" t="s">
        <v>12</v>
      </c>
      <c r="F4565" t="s">
        <v>32</v>
      </c>
      <c r="G4565" s="1">
        <v>45449</v>
      </c>
      <c r="H4565" s="1">
        <f>TablaDatos[[#This Row],[FechaIngreso]]+TablaDatos[[#This Row],[DiasNuevo]]</f>
        <v>45487</v>
      </c>
      <c r="I4565">
        <v>38</v>
      </c>
      <c r="J4565" t="s">
        <v>19</v>
      </c>
      <c r="K4565" s="3">
        <v>17700.97</v>
      </c>
      <c r="L4565" t="b">
        <f>TablaDatos[[#This Row],[FechaAlta]] &lt; TablaDatos[[#This Row],[FechaIngreso]]</f>
        <v>0</v>
      </c>
      <c r="M4565">
        <f>_xlfn.XLOOKUP(TablaDatos[[#This Row],[PacienteID]],'Datos_Ejemplo.csv'!A:A,'Datos_Ejemplo.csv'!I:I)</f>
        <v>38</v>
      </c>
      <c r="N4565">
        <f>ABS(TablaDatos[[#This Row],[DiasOriginal]])</f>
        <v>38</v>
      </c>
      <c r="O4565" s="1">
        <f>TablaDatos[[#This Row],[FechaIngreso]]+TablaDatos[[#This Row],[DiasNuevo]]</f>
        <v>45487</v>
      </c>
    </row>
    <row r="4566" spans="1:15">
      <c r="A4566">
        <v>4565</v>
      </c>
      <c r="B4566" t="s">
        <v>329</v>
      </c>
      <c r="C4566" s="1">
        <v>24838</v>
      </c>
      <c r="D4566">
        <v>58</v>
      </c>
      <c r="E4566" s="4" t="s">
        <v>15</v>
      </c>
      <c r="F4566" t="s">
        <v>261</v>
      </c>
      <c r="G4566" s="1">
        <v>45450</v>
      </c>
      <c r="H4566" s="1">
        <f>TablaDatos[[#This Row],[FechaIngreso]]+TablaDatos[[#This Row],[DiasNuevo]]</f>
        <v>45479</v>
      </c>
      <c r="I4566">
        <v>29</v>
      </c>
      <c r="J4566" t="s">
        <v>23</v>
      </c>
      <c r="K4566" s="3">
        <v>12703.25</v>
      </c>
      <c r="L4566" t="b">
        <f>TablaDatos[[#This Row],[FechaAlta]] &lt; TablaDatos[[#This Row],[FechaIngreso]]</f>
        <v>0</v>
      </c>
      <c r="M4566">
        <f>_xlfn.XLOOKUP(TablaDatos[[#This Row],[PacienteID]],'Datos_Ejemplo.csv'!A:A,'Datos_Ejemplo.csv'!I:I)</f>
        <v>29</v>
      </c>
      <c r="N4566">
        <f>ABS(TablaDatos[[#This Row],[DiasOriginal]])</f>
        <v>29</v>
      </c>
      <c r="O4566" s="1">
        <f>TablaDatos[[#This Row],[FechaIngreso]]+TablaDatos[[#This Row],[DiasNuevo]]</f>
        <v>45479</v>
      </c>
    </row>
    <row r="4567" spans="1:15">
      <c r="A4567">
        <v>4566</v>
      </c>
      <c r="B4567" t="s">
        <v>267</v>
      </c>
      <c r="C4567" s="1">
        <f ca="1">DATE(YEAR(TODAY())-TablaDatos[[#This Row],[Edad]],1,1)</f>
        <v>38353</v>
      </c>
      <c r="D4567">
        <v>21</v>
      </c>
      <c r="E4567" s="4" t="s">
        <v>12</v>
      </c>
      <c r="F4567" t="s">
        <v>201</v>
      </c>
      <c r="G4567" s="1">
        <v>45281</v>
      </c>
      <c r="H4567" s="1">
        <f>TablaDatos[[#This Row],[FechaIngreso]]+TablaDatos[[#This Row],[DiasNuevo]]</f>
        <v>45296</v>
      </c>
      <c r="I4567">
        <v>15</v>
      </c>
      <c r="J4567" t="s">
        <v>25</v>
      </c>
      <c r="K4567" s="3">
        <v>4754.68</v>
      </c>
      <c r="L4567" t="b">
        <f>TablaDatos[[#This Row],[FechaAlta]] &lt; TablaDatos[[#This Row],[FechaIngreso]]</f>
        <v>0</v>
      </c>
      <c r="M4567">
        <f>_xlfn.XLOOKUP(TablaDatos[[#This Row],[PacienteID]],'Datos_Ejemplo.csv'!A:A,'Datos_Ejemplo.csv'!I:I)</f>
        <v>15</v>
      </c>
      <c r="N4567">
        <f>ABS(TablaDatos[[#This Row],[DiasOriginal]])</f>
        <v>15</v>
      </c>
      <c r="O4567" s="1">
        <f>TablaDatos[[#This Row],[FechaIngreso]]+TablaDatos[[#This Row],[DiasNuevo]]</f>
        <v>45296</v>
      </c>
    </row>
    <row r="4568" spans="1:15">
      <c r="A4568">
        <v>4567</v>
      </c>
      <c r="B4568" t="s">
        <v>360</v>
      </c>
      <c r="C4568" s="1">
        <v>27760</v>
      </c>
      <c r="D4568">
        <v>50</v>
      </c>
      <c r="E4568" s="4" t="s">
        <v>15</v>
      </c>
      <c r="F4568" t="s">
        <v>261</v>
      </c>
      <c r="G4568" s="1">
        <v>44971</v>
      </c>
      <c r="H4568" s="1">
        <f>TablaDatos[[#This Row],[FechaIngreso]]+TablaDatos[[#This Row],[DiasNuevo]]</f>
        <v>45010</v>
      </c>
      <c r="I4568">
        <v>39</v>
      </c>
      <c r="J4568" t="s">
        <v>19</v>
      </c>
      <c r="K4568" s="3">
        <v>17261.43</v>
      </c>
      <c r="L4568" t="b">
        <f>TablaDatos[[#This Row],[FechaAlta]] &lt; TablaDatos[[#This Row],[FechaIngreso]]</f>
        <v>0</v>
      </c>
      <c r="M4568">
        <f>_xlfn.XLOOKUP(TablaDatos[[#This Row],[PacienteID]],'Datos_Ejemplo.csv'!A:A,'Datos_Ejemplo.csv'!I:I)</f>
        <v>39</v>
      </c>
      <c r="N4568">
        <f>ABS(TablaDatos[[#This Row],[DiasOriginal]])</f>
        <v>39</v>
      </c>
      <c r="O4568" s="1">
        <f>TablaDatos[[#This Row],[FechaIngreso]]+TablaDatos[[#This Row],[DiasNuevo]]</f>
        <v>45010</v>
      </c>
    </row>
    <row r="4569" spans="1:15">
      <c r="A4569">
        <v>4568</v>
      </c>
      <c r="B4569" t="s">
        <v>259</v>
      </c>
      <c r="C4569" s="1">
        <v>28856</v>
      </c>
      <c r="D4569">
        <v>47</v>
      </c>
      <c r="E4569" s="4" t="s">
        <v>12</v>
      </c>
      <c r="F4569" t="s">
        <v>13</v>
      </c>
      <c r="G4569" s="1">
        <v>45131</v>
      </c>
      <c r="H4569" s="1">
        <f>TablaDatos[[#This Row],[FechaIngreso]]+TablaDatos[[#This Row],[DiasNuevo]]</f>
        <v>45168</v>
      </c>
      <c r="I4569">
        <v>37</v>
      </c>
      <c r="J4569" t="s">
        <v>23</v>
      </c>
      <c r="K4569" s="3">
        <v>12604.12</v>
      </c>
      <c r="L4569" t="b">
        <f>TablaDatos[[#This Row],[FechaAlta]] &lt; TablaDatos[[#This Row],[FechaIngreso]]</f>
        <v>0</v>
      </c>
      <c r="M4569">
        <f>_xlfn.XLOOKUP(TablaDatos[[#This Row],[PacienteID]],'Datos_Ejemplo.csv'!A:A,'Datos_Ejemplo.csv'!I:I)</f>
        <v>37</v>
      </c>
      <c r="N4569">
        <f>ABS(TablaDatos[[#This Row],[DiasOriginal]])</f>
        <v>37</v>
      </c>
      <c r="O4569" s="1">
        <f>TablaDatos[[#This Row],[FechaIngreso]]+TablaDatos[[#This Row],[DiasNuevo]]</f>
        <v>45168</v>
      </c>
    </row>
    <row r="4570" spans="1:15">
      <c r="A4570">
        <v>4569</v>
      </c>
      <c r="B4570" t="s">
        <v>309</v>
      </c>
      <c r="C4570" s="1">
        <v>38717</v>
      </c>
      <c r="D4570">
        <v>20</v>
      </c>
      <c r="E4570" s="4" t="s">
        <v>15</v>
      </c>
      <c r="F4570" t="s">
        <v>261</v>
      </c>
      <c r="G4570" s="1">
        <v>45357</v>
      </c>
      <c r="H4570" s="1">
        <f>TablaDatos[[#This Row],[FechaIngreso]]+TablaDatos[[#This Row],[DiasNuevo]]</f>
        <v>45367</v>
      </c>
      <c r="I4570">
        <v>10</v>
      </c>
      <c r="J4570" t="s">
        <v>25</v>
      </c>
      <c r="K4570" s="3">
        <v>4301.1400000000003</v>
      </c>
      <c r="L4570" t="b">
        <f>TablaDatos[[#This Row],[FechaAlta]] &lt; TablaDatos[[#This Row],[FechaIngreso]]</f>
        <v>0</v>
      </c>
      <c r="M4570">
        <f>_xlfn.XLOOKUP(TablaDatos[[#This Row],[PacienteID]],'Datos_Ejemplo.csv'!A:A,'Datos_Ejemplo.csv'!I:I)</f>
        <v>10</v>
      </c>
      <c r="N4570">
        <f>ABS(TablaDatos[[#This Row],[DiasOriginal]])</f>
        <v>10</v>
      </c>
      <c r="O4570" s="1">
        <f>TablaDatos[[#This Row],[FechaIngreso]]+TablaDatos[[#This Row],[DiasNuevo]]</f>
        <v>45367</v>
      </c>
    </row>
    <row r="4571" spans="1:15">
      <c r="A4571">
        <v>4570</v>
      </c>
      <c r="B4571" t="s">
        <v>363</v>
      </c>
      <c r="C4571" s="1">
        <v>38352</v>
      </c>
      <c r="D4571">
        <v>21</v>
      </c>
      <c r="E4571" s="4" t="s">
        <v>12</v>
      </c>
      <c r="F4571" t="s">
        <v>21</v>
      </c>
      <c r="G4571" s="1">
        <v>45182</v>
      </c>
      <c r="H4571" s="1">
        <f>TablaDatos[[#This Row],[FechaIngreso]]+TablaDatos[[#This Row],[DiasNuevo]]</f>
        <v>45183</v>
      </c>
      <c r="I4571">
        <v>1</v>
      </c>
      <c r="J4571" t="s">
        <v>23</v>
      </c>
      <c r="K4571" s="3">
        <v>7169.5</v>
      </c>
      <c r="L4571" t="b">
        <f>TablaDatos[[#This Row],[FechaAlta]] &lt; TablaDatos[[#This Row],[FechaIngreso]]</f>
        <v>0</v>
      </c>
      <c r="M4571">
        <f>_xlfn.XLOOKUP(TablaDatos[[#This Row],[PacienteID]],'Datos_Ejemplo.csv'!A:A,'Datos_Ejemplo.csv'!I:I)</f>
        <v>-1</v>
      </c>
      <c r="N4571">
        <f>ABS(TablaDatos[[#This Row],[DiasOriginal]])</f>
        <v>1</v>
      </c>
      <c r="O4571" s="1">
        <f>TablaDatos[[#This Row],[FechaIngreso]]+TablaDatos[[#This Row],[DiasNuevo]]</f>
        <v>45183</v>
      </c>
    </row>
    <row r="4572" spans="1:15">
      <c r="A4572">
        <v>4571</v>
      </c>
      <c r="B4572" t="s">
        <v>329</v>
      </c>
      <c r="C4572" s="1">
        <v>35430</v>
      </c>
      <c r="D4572">
        <v>29</v>
      </c>
      <c r="E4572" s="4" t="s">
        <v>12</v>
      </c>
      <c r="F4572" t="s">
        <v>201</v>
      </c>
      <c r="G4572" s="1">
        <v>45174</v>
      </c>
      <c r="H4572" s="1">
        <f>TablaDatos[[#This Row],[FechaIngreso]]+TablaDatos[[#This Row],[DiasNuevo]]</f>
        <v>45196</v>
      </c>
      <c r="I4572">
        <v>22</v>
      </c>
      <c r="J4572" t="s">
        <v>23</v>
      </c>
      <c r="K4572" s="3">
        <v>15778.29</v>
      </c>
      <c r="L4572" t="b">
        <f>TablaDatos[[#This Row],[FechaAlta]] &lt; TablaDatos[[#This Row],[FechaIngreso]]</f>
        <v>0</v>
      </c>
      <c r="M4572">
        <f>_xlfn.XLOOKUP(TablaDatos[[#This Row],[PacienteID]],'Datos_Ejemplo.csv'!A:A,'Datos_Ejemplo.csv'!I:I)</f>
        <v>22</v>
      </c>
      <c r="N4572">
        <f>ABS(TablaDatos[[#This Row],[DiasOriginal]])</f>
        <v>22</v>
      </c>
      <c r="O4572" s="1">
        <f>TablaDatos[[#This Row],[FechaIngreso]]+TablaDatos[[#This Row],[DiasNuevo]]</f>
        <v>45196</v>
      </c>
    </row>
    <row r="4573" spans="1:15">
      <c r="A4573">
        <v>4572</v>
      </c>
      <c r="B4573" t="s">
        <v>294</v>
      </c>
      <c r="C4573" s="1">
        <v>37256</v>
      </c>
      <c r="D4573">
        <v>24</v>
      </c>
      <c r="E4573" s="4" t="s">
        <v>12</v>
      </c>
      <c r="F4573" t="s">
        <v>261</v>
      </c>
      <c r="G4573" s="1">
        <v>45459</v>
      </c>
      <c r="H4573" s="1">
        <f>TablaDatos[[#This Row],[FechaIngreso]]+TablaDatos[[#This Row],[DiasNuevo]]</f>
        <v>45476</v>
      </c>
      <c r="I4573">
        <v>17</v>
      </c>
      <c r="J4573" t="s">
        <v>23</v>
      </c>
      <c r="K4573" s="3">
        <v>14752.52</v>
      </c>
      <c r="L4573" t="b">
        <f>TablaDatos[[#This Row],[FechaAlta]] &lt; TablaDatos[[#This Row],[FechaIngreso]]</f>
        <v>0</v>
      </c>
      <c r="M4573">
        <f>_xlfn.XLOOKUP(TablaDatos[[#This Row],[PacienteID]],'Datos_Ejemplo.csv'!A:A,'Datos_Ejemplo.csv'!I:I)</f>
        <v>17</v>
      </c>
      <c r="N4573">
        <f>ABS(TablaDatos[[#This Row],[DiasOriginal]])</f>
        <v>17</v>
      </c>
      <c r="O4573" s="1">
        <f>TablaDatos[[#This Row],[FechaIngreso]]+TablaDatos[[#This Row],[DiasNuevo]]</f>
        <v>45476</v>
      </c>
    </row>
    <row r="4574" spans="1:15">
      <c r="A4574">
        <v>4573</v>
      </c>
      <c r="B4574" t="s">
        <v>283</v>
      </c>
      <c r="C4574" s="1">
        <v>36161</v>
      </c>
      <c r="D4574">
        <v>27</v>
      </c>
      <c r="E4574" s="4" t="s">
        <v>15</v>
      </c>
      <c r="F4574" t="s">
        <v>18</v>
      </c>
      <c r="G4574" s="1">
        <v>44967</v>
      </c>
      <c r="H4574" s="1">
        <f>TablaDatos[[#This Row],[FechaIngreso]]+TablaDatos[[#This Row],[DiasNuevo]]</f>
        <v>44971</v>
      </c>
      <c r="I4574">
        <v>4</v>
      </c>
      <c r="J4574" t="s">
        <v>25</v>
      </c>
      <c r="K4574" s="3">
        <v>11489.31</v>
      </c>
      <c r="L4574" t="b">
        <f>TablaDatos[[#This Row],[FechaAlta]] &lt; TablaDatos[[#This Row],[FechaIngreso]]</f>
        <v>0</v>
      </c>
      <c r="M4574">
        <f>_xlfn.XLOOKUP(TablaDatos[[#This Row],[PacienteID]],'Datos_Ejemplo.csv'!A:A,'Datos_Ejemplo.csv'!I:I)</f>
        <v>4</v>
      </c>
      <c r="N4574">
        <f>ABS(TablaDatos[[#This Row],[DiasOriginal]])</f>
        <v>4</v>
      </c>
      <c r="O4574" s="1">
        <f>TablaDatos[[#This Row],[FechaIngreso]]+TablaDatos[[#This Row],[DiasNuevo]]</f>
        <v>44971</v>
      </c>
    </row>
    <row r="4575" spans="1:15">
      <c r="A4575">
        <v>4574</v>
      </c>
      <c r="B4575" t="s">
        <v>233</v>
      </c>
      <c r="C4575" s="1">
        <v>22646</v>
      </c>
      <c r="D4575">
        <v>64</v>
      </c>
      <c r="E4575" s="4" t="s">
        <v>197</v>
      </c>
      <c r="F4575" t="s">
        <v>295</v>
      </c>
      <c r="G4575" s="1">
        <v>45385</v>
      </c>
      <c r="H4575" s="1">
        <f>TablaDatos[[#This Row],[FechaIngreso]]+TablaDatos[[#This Row],[DiasNuevo]]</f>
        <v>45393</v>
      </c>
      <c r="I4575">
        <v>8</v>
      </c>
      <c r="J4575" t="s">
        <v>23</v>
      </c>
      <c r="K4575" s="3">
        <v>2809.83</v>
      </c>
      <c r="L4575" t="b">
        <f>TablaDatos[[#This Row],[FechaAlta]] &lt; TablaDatos[[#This Row],[FechaIngreso]]</f>
        <v>0</v>
      </c>
      <c r="M4575">
        <f>_xlfn.XLOOKUP(TablaDatos[[#This Row],[PacienteID]],'Datos_Ejemplo.csv'!A:A,'Datos_Ejemplo.csv'!I:I)</f>
        <v>8</v>
      </c>
      <c r="N4575">
        <f>ABS(TablaDatos[[#This Row],[DiasOriginal]])</f>
        <v>8</v>
      </c>
      <c r="O4575" s="1">
        <f>TablaDatos[[#This Row],[FechaIngreso]]+TablaDatos[[#This Row],[DiasNuevo]]</f>
        <v>45393</v>
      </c>
    </row>
    <row r="4576" spans="1:15">
      <c r="A4576">
        <v>4575</v>
      </c>
      <c r="B4576" t="s">
        <v>105</v>
      </c>
      <c r="C4576" s="1">
        <v>29951</v>
      </c>
      <c r="D4576">
        <f ca="1">DATEDIF(TablaDatos[[#This Row],[FechaNacimiento]],TODAY(),"Y")</f>
        <v>44</v>
      </c>
      <c r="E4576" s="4" t="s">
        <v>12</v>
      </c>
      <c r="F4576" t="s">
        <v>32</v>
      </c>
      <c r="G4576" s="1">
        <v>45203</v>
      </c>
      <c r="H4576" s="1">
        <f>TablaDatos[[#This Row],[FechaIngreso]]+TablaDatos[[#This Row],[DiasNuevo]]</f>
        <v>45205</v>
      </c>
      <c r="I4576">
        <v>2</v>
      </c>
      <c r="J4576" t="s">
        <v>25</v>
      </c>
      <c r="K4576" s="3">
        <v>16046.11</v>
      </c>
      <c r="L4576" t="b">
        <f>TablaDatos[[#This Row],[FechaAlta]] &lt; TablaDatos[[#This Row],[FechaIngreso]]</f>
        <v>0</v>
      </c>
      <c r="M4576">
        <f>_xlfn.XLOOKUP(TablaDatos[[#This Row],[PacienteID]],'Datos_Ejemplo.csv'!A:A,'Datos_Ejemplo.csv'!I:I)</f>
        <v>2</v>
      </c>
      <c r="N4576">
        <f>ABS(TablaDatos[[#This Row],[DiasOriginal]])</f>
        <v>2</v>
      </c>
      <c r="O4576" s="1">
        <f>TablaDatos[[#This Row],[FechaIngreso]]+TablaDatos[[#This Row],[DiasNuevo]]</f>
        <v>45205</v>
      </c>
    </row>
    <row r="4577" spans="1:15">
      <c r="A4577">
        <v>4576</v>
      </c>
      <c r="B4577" t="s">
        <v>360</v>
      </c>
      <c r="C4577" s="1">
        <v>21551</v>
      </c>
      <c r="D4577">
        <v>67</v>
      </c>
      <c r="E4577" s="4" t="s">
        <v>12</v>
      </c>
      <c r="F4577" t="s">
        <v>201</v>
      </c>
      <c r="G4577" s="1">
        <v>45121</v>
      </c>
      <c r="H4577" s="1">
        <f>TablaDatos[[#This Row],[FechaIngreso]]+TablaDatos[[#This Row],[DiasNuevo]]</f>
        <v>45147</v>
      </c>
      <c r="I4577">
        <v>26</v>
      </c>
      <c r="J4577" t="s">
        <v>23</v>
      </c>
      <c r="K4577" s="3">
        <v>6081.6</v>
      </c>
      <c r="L4577" t="b">
        <f>TablaDatos[[#This Row],[FechaAlta]] &lt; TablaDatos[[#This Row],[FechaIngreso]]</f>
        <v>0</v>
      </c>
      <c r="M4577">
        <f>_xlfn.XLOOKUP(TablaDatos[[#This Row],[PacienteID]],'Datos_Ejemplo.csv'!A:A,'Datos_Ejemplo.csv'!I:I)</f>
        <v>26</v>
      </c>
      <c r="N4577">
        <f>ABS(TablaDatos[[#This Row],[DiasOriginal]])</f>
        <v>26</v>
      </c>
      <c r="O4577" s="1">
        <f>TablaDatos[[#This Row],[FechaIngreso]]+TablaDatos[[#This Row],[DiasNuevo]]</f>
        <v>45147</v>
      </c>
    </row>
    <row r="4578" spans="1:15">
      <c r="A4578">
        <v>4577</v>
      </c>
      <c r="B4578" t="s">
        <v>103</v>
      </c>
      <c r="C4578" s="1">
        <v>43831</v>
      </c>
      <c r="D4578">
        <v>6</v>
      </c>
      <c r="E4578" s="4" t="s">
        <v>15</v>
      </c>
      <c r="F4578" t="s">
        <v>13</v>
      </c>
      <c r="G4578" s="1">
        <v>44997</v>
      </c>
      <c r="H4578" s="1">
        <f>TablaDatos[[#This Row],[FechaIngreso]]+TablaDatos[[#This Row],[DiasNuevo]]</f>
        <v>45012</v>
      </c>
      <c r="I4578">
        <v>15</v>
      </c>
      <c r="J4578" t="s">
        <v>19</v>
      </c>
      <c r="K4578" s="3">
        <v>15409.12</v>
      </c>
      <c r="L4578" t="b">
        <f>TablaDatos[[#This Row],[FechaAlta]] &lt; TablaDatos[[#This Row],[FechaIngreso]]</f>
        <v>0</v>
      </c>
      <c r="M4578">
        <f>_xlfn.XLOOKUP(TablaDatos[[#This Row],[PacienteID]],'Datos_Ejemplo.csv'!A:A,'Datos_Ejemplo.csv'!I:I)</f>
        <v>15</v>
      </c>
      <c r="N4578">
        <f>ABS(TablaDatos[[#This Row],[DiasOriginal]])</f>
        <v>15</v>
      </c>
      <c r="O4578" s="1">
        <f>TablaDatos[[#This Row],[FechaIngreso]]+TablaDatos[[#This Row],[DiasNuevo]]</f>
        <v>45012</v>
      </c>
    </row>
    <row r="4579" spans="1:15">
      <c r="A4579">
        <v>4578</v>
      </c>
      <c r="B4579" t="s">
        <v>302</v>
      </c>
      <c r="C4579" s="1">
        <v>28490</v>
      </c>
      <c r="D4579">
        <v>48</v>
      </c>
      <c r="E4579" s="4" t="s">
        <v>12</v>
      </c>
      <c r="F4579" t="s">
        <v>21</v>
      </c>
      <c r="G4579" s="1">
        <v>45196</v>
      </c>
      <c r="H4579" s="1">
        <f>TablaDatos[[#This Row],[FechaIngreso]]+TablaDatos[[#This Row],[DiasNuevo]]</f>
        <v>45201</v>
      </c>
      <c r="I4579">
        <v>5</v>
      </c>
      <c r="J4579" t="s">
        <v>25</v>
      </c>
      <c r="K4579" s="3">
        <v>12916.08</v>
      </c>
      <c r="L4579" t="b">
        <f>TablaDatos[[#This Row],[FechaAlta]] &lt; TablaDatos[[#This Row],[FechaIngreso]]</f>
        <v>0</v>
      </c>
      <c r="M4579">
        <f>_xlfn.XLOOKUP(TablaDatos[[#This Row],[PacienteID]],'Datos_Ejemplo.csv'!A:A,'Datos_Ejemplo.csv'!I:I)</f>
        <v>5</v>
      </c>
      <c r="N4579">
        <f>ABS(TablaDatos[[#This Row],[DiasOriginal]])</f>
        <v>5</v>
      </c>
      <c r="O4579" s="1">
        <f>TablaDatos[[#This Row],[FechaIngreso]]+TablaDatos[[#This Row],[DiasNuevo]]</f>
        <v>45201</v>
      </c>
    </row>
    <row r="4580" spans="1:15">
      <c r="A4580">
        <v>4579</v>
      </c>
      <c r="B4580" t="s">
        <v>111</v>
      </c>
      <c r="C4580" s="1">
        <v>43100</v>
      </c>
      <c r="D4580">
        <v>8</v>
      </c>
      <c r="E4580" s="4" t="s">
        <v>15</v>
      </c>
      <c r="F4580" t="s">
        <v>295</v>
      </c>
      <c r="G4580" s="1">
        <v>45261</v>
      </c>
      <c r="H4580" s="1">
        <f>TablaDatos[[#This Row],[FechaIngreso]]+TablaDatos[[#This Row],[DiasNuevo]]</f>
        <v>45285</v>
      </c>
      <c r="I4580">
        <v>24</v>
      </c>
      <c r="J4580" t="s">
        <v>25</v>
      </c>
      <c r="K4580" s="3">
        <v>5209.82</v>
      </c>
      <c r="L4580" t="b">
        <f>TablaDatos[[#This Row],[FechaAlta]] &lt; TablaDatos[[#This Row],[FechaIngreso]]</f>
        <v>0</v>
      </c>
      <c r="M4580">
        <f>_xlfn.XLOOKUP(TablaDatos[[#This Row],[PacienteID]],'Datos_Ejemplo.csv'!A:A,'Datos_Ejemplo.csv'!I:I)</f>
        <v>24</v>
      </c>
      <c r="N4580">
        <f>ABS(TablaDatos[[#This Row],[DiasOriginal]])</f>
        <v>24</v>
      </c>
      <c r="O4580" s="1">
        <f>TablaDatos[[#This Row],[FechaIngreso]]+TablaDatos[[#This Row],[DiasNuevo]]</f>
        <v>45285</v>
      </c>
    </row>
    <row r="4581" spans="1:15">
      <c r="A4581">
        <v>4580</v>
      </c>
      <c r="B4581" t="s">
        <v>294</v>
      </c>
      <c r="C4581" s="1">
        <v>33239</v>
      </c>
      <c r="D4581">
        <f ca="1">DATEDIF(TablaDatos[[#This Row],[FechaNacimiento]],TODAY(),"Y")</f>
        <v>35</v>
      </c>
      <c r="E4581" s="4" t="s">
        <v>12</v>
      </c>
      <c r="F4581" t="s">
        <v>13</v>
      </c>
      <c r="G4581" s="1">
        <v>45511</v>
      </c>
      <c r="H4581" s="1">
        <f>TablaDatos[[#This Row],[FechaIngreso]]+TablaDatos[[#This Row],[DiasNuevo]]</f>
        <v>45550</v>
      </c>
      <c r="I4581">
        <v>39</v>
      </c>
      <c r="J4581" t="s">
        <v>23</v>
      </c>
      <c r="K4581" s="3">
        <v>4168.62</v>
      </c>
      <c r="L4581" t="b">
        <f>TablaDatos[[#This Row],[FechaAlta]] &lt; TablaDatos[[#This Row],[FechaIngreso]]</f>
        <v>0</v>
      </c>
      <c r="M4581">
        <f>_xlfn.XLOOKUP(TablaDatos[[#This Row],[PacienteID]],'Datos_Ejemplo.csv'!A:A,'Datos_Ejemplo.csv'!I:I)</f>
        <v>39</v>
      </c>
      <c r="N4581">
        <f>ABS(TablaDatos[[#This Row],[DiasOriginal]])</f>
        <v>39</v>
      </c>
      <c r="O4581" s="1">
        <f>TablaDatos[[#This Row],[FechaIngreso]]+TablaDatos[[#This Row],[DiasNuevo]]</f>
        <v>45550</v>
      </c>
    </row>
    <row r="4582" spans="1:15">
      <c r="A4582">
        <v>4581</v>
      </c>
      <c r="B4582" t="s">
        <v>356</v>
      </c>
      <c r="C4582" s="1">
        <v>16072</v>
      </c>
      <c r="D4582">
        <v>82</v>
      </c>
      <c r="E4582" s="4" t="s">
        <v>15</v>
      </c>
      <c r="F4582" t="s">
        <v>21</v>
      </c>
      <c r="G4582" s="1">
        <v>45234</v>
      </c>
      <c r="H4582" s="1">
        <f>TablaDatos[[#This Row],[FechaIngreso]]+TablaDatos[[#This Row],[DiasNuevo]]</f>
        <v>45235</v>
      </c>
      <c r="I4582">
        <v>1</v>
      </c>
      <c r="J4582" t="s">
        <v>25</v>
      </c>
      <c r="K4582" s="3">
        <v>2531.29</v>
      </c>
      <c r="L4582" t="b">
        <f>TablaDatos[[#This Row],[FechaAlta]] &lt; TablaDatos[[#This Row],[FechaIngreso]]</f>
        <v>0</v>
      </c>
      <c r="M4582">
        <f>_xlfn.XLOOKUP(TablaDatos[[#This Row],[PacienteID]],'Datos_Ejemplo.csv'!A:A,'Datos_Ejemplo.csv'!I:I)</f>
        <v>-1</v>
      </c>
      <c r="N4582">
        <f>ABS(TablaDatos[[#This Row],[DiasOriginal]])</f>
        <v>1</v>
      </c>
      <c r="O4582" s="1">
        <f>TablaDatos[[#This Row],[FechaIngreso]]+TablaDatos[[#This Row],[DiasNuevo]]</f>
        <v>45235</v>
      </c>
    </row>
    <row r="4583" spans="1:15">
      <c r="A4583">
        <v>4582</v>
      </c>
      <c r="B4583" t="s">
        <v>251</v>
      </c>
      <c r="C4583" s="1">
        <v>46022</v>
      </c>
      <c r="D4583">
        <v>0</v>
      </c>
      <c r="E4583" s="4" t="s">
        <v>12</v>
      </c>
      <c r="F4583" t="s">
        <v>261</v>
      </c>
      <c r="G4583" s="1">
        <v>45353</v>
      </c>
      <c r="H4583" s="1">
        <f>TablaDatos[[#This Row],[FechaIngreso]]+TablaDatos[[#This Row],[DiasNuevo]]</f>
        <v>45385</v>
      </c>
      <c r="I4583">
        <v>32</v>
      </c>
      <c r="J4583" t="s">
        <v>19</v>
      </c>
      <c r="K4583" s="3">
        <v>4763.12</v>
      </c>
      <c r="L4583" t="b">
        <f>TablaDatos[[#This Row],[FechaAlta]] &lt; TablaDatos[[#This Row],[FechaIngreso]]</f>
        <v>0</v>
      </c>
      <c r="M4583">
        <f>_xlfn.XLOOKUP(TablaDatos[[#This Row],[PacienteID]],'Datos_Ejemplo.csv'!A:A,'Datos_Ejemplo.csv'!I:I)</f>
        <v>32</v>
      </c>
      <c r="N4583">
        <f>ABS(TablaDatos[[#This Row],[DiasOriginal]])</f>
        <v>32</v>
      </c>
      <c r="O4583" s="1">
        <f>TablaDatos[[#This Row],[FechaIngreso]]+TablaDatos[[#This Row],[DiasNuevo]]</f>
        <v>45385</v>
      </c>
    </row>
    <row r="4584" spans="1:15">
      <c r="A4584">
        <v>4583</v>
      </c>
      <c r="B4584" t="s">
        <v>52</v>
      </c>
      <c r="C4584" s="1">
        <v>42735</v>
      </c>
      <c r="D4584">
        <v>9</v>
      </c>
      <c r="E4584" s="4" t="s">
        <v>12</v>
      </c>
      <c r="F4584" t="s">
        <v>201</v>
      </c>
      <c r="G4584" s="1">
        <v>45125</v>
      </c>
      <c r="H4584" s="1">
        <f>TablaDatos[[#This Row],[FechaIngreso]]+TablaDatos[[#This Row],[DiasNuevo]]</f>
        <v>45148</v>
      </c>
      <c r="I4584">
        <v>23</v>
      </c>
      <c r="J4584" t="s">
        <v>23</v>
      </c>
      <c r="K4584" s="3">
        <v>3072.36</v>
      </c>
      <c r="L4584" t="b">
        <f>TablaDatos[[#This Row],[FechaAlta]] &lt; TablaDatos[[#This Row],[FechaIngreso]]</f>
        <v>0</v>
      </c>
      <c r="M4584">
        <f>_xlfn.XLOOKUP(TablaDatos[[#This Row],[PacienteID]],'Datos_Ejemplo.csv'!A:A,'Datos_Ejemplo.csv'!I:I)</f>
        <v>23</v>
      </c>
      <c r="N4584">
        <f>ABS(TablaDatos[[#This Row],[DiasOriginal]])</f>
        <v>23</v>
      </c>
      <c r="O4584" s="1">
        <f>TablaDatos[[#This Row],[FechaIngreso]]+TablaDatos[[#This Row],[DiasNuevo]]</f>
        <v>45148</v>
      </c>
    </row>
    <row r="4585" spans="1:15">
      <c r="A4585">
        <v>4584</v>
      </c>
      <c r="B4585" t="s">
        <v>151</v>
      </c>
      <c r="C4585" s="1">
        <v>33239</v>
      </c>
      <c r="D4585">
        <v>35</v>
      </c>
      <c r="E4585" s="4" t="s">
        <v>15</v>
      </c>
      <c r="F4585" t="s">
        <v>32</v>
      </c>
      <c r="G4585" s="1">
        <v>45002</v>
      </c>
      <c r="H4585" s="1">
        <f>TablaDatos[[#This Row],[FechaIngreso]]+TablaDatos[[#This Row],[DiasNuevo]]</f>
        <v>45022</v>
      </c>
      <c r="I4585">
        <v>20</v>
      </c>
      <c r="J4585" t="s">
        <v>23</v>
      </c>
      <c r="K4585" s="3">
        <v>12302.73</v>
      </c>
      <c r="L4585" t="b">
        <f>TablaDatos[[#This Row],[FechaAlta]] &lt; TablaDatos[[#This Row],[FechaIngreso]]</f>
        <v>0</v>
      </c>
      <c r="M4585">
        <f>_xlfn.XLOOKUP(TablaDatos[[#This Row],[PacienteID]],'Datos_Ejemplo.csv'!A:A,'Datos_Ejemplo.csv'!I:I)</f>
        <v>20</v>
      </c>
      <c r="N4585">
        <f>ABS(TablaDatos[[#This Row],[DiasOriginal]])</f>
        <v>20</v>
      </c>
      <c r="O4585" s="1">
        <f>TablaDatos[[#This Row],[FechaIngreso]]+TablaDatos[[#This Row],[DiasNuevo]]</f>
        <v>45022</v>
      </c>
    </row>
    <row r="4586" spans="1:15">
      <c r="A4586">
        <v>4585</v>
      </c>
      <c r="B4586" t="s">
        <v>271</v>
      </c>
      <c r="C4586" s="1">
        <v>19724</v>
      </c>
      <c r="D4586">
        <v>72</v>
      </c>
      <c r="E4586" s="4" t="s">
        <v>12</v>
      </c>
      <c r="F4586" t="s">
        <v>201</v>
      </c>
      <c r="G4586" s="1">
        <v>45584</v>
      </c>
      <c r="H4586" s="1">
        <f>TablaDatos[[#This Row],[FechaIngreso]]+TablaDatos[[#This Row],[DiasNuevo]]</f>
        <v>45586</v>
      </c>
      <c r="I4586">
        <v>2</v>
      </c>
      <c r="J4586" t="s">
        <v>23</v>
      </c>
      <c r="K4586" s="3">
        <v>11935.54</v>
      </c>
      <c r="L4586" t="b">
        <f>TablaDatos[[#This Row],[FechaAlta]] &lt; TablaDatos[[#This Row],[FechaIngreso]]</f>
        <v>0</v>
      </c>
      <c r="M4586">
        <f>_xlfn.XLOOKUP(TablaDatos[[#This Row],[PacienteID]],'Datos_Ejemplo.csv'!A:A,'Datos_Ejemplo.csv'!I:I)</f>
        <v>2</v>
      </c>
      <c r="N4586">
        <f>ABS(TablaDatos[[#This Row],[DiasOriginal]])</f>
        <v>2</v>
      </c>
      <c r="O4586" s="1">
        <f>TablaDatos[[#This Row],[FechaIngreso]]+TablaDatos[[#This Row],[DiasNuevo]]</f>
        <v>45586</v>
      </c>
    </row>
    <row r="4587" spans="1:15">
      <c r="A4587">
        <v>4586</v>
      </c>
      <c r="B4587" t="s">
        <v>356</v>
      </c>
      <c r="C4587" s="1">
        <v>29586</v>
      </c>
      <c r="D4587">
        <v>45</v>
      </c>
      <c r="E4587" s="4" t="s">
        <v>12</v>
      </c>
      <c r="F4587" t="s">
        <v>18</v>
      </c>
      <c r="G4587" s="1">
        <v>45451</v>
      </c>
      <c r="H4587" s="1">
        <f>TablaDatos[[#This Row],[FechaIngreso]]+TablaDatos[[#This Row],[DiasNuevo]]</f>
        <v>45464</v>
      </c>
      <c r="I4587">
        <v>13</v>
      </c>
      <c r="J4587" t="s">
        <v>19</v>
      </c>
      <c r="K4587" s="3">
        <v>11682.06</v>
      </c>
      <c r="L4587" t="b">
        <f>TablaDatos[[#This Row],[FechaAlta]] &lt; TablaDatos[[#This Row],[FechaIngreso]]</f>
        <v>0</v>
      </c>
      <c r="M4587">
        <f>_xlfn.XLOOKUP(TablaDatos[[#This Row],[PacienteID]],'Datos_Ejemplo.csv'!A:A,'Datos_Ejemplo.csv'!I:I)</f>
        <v>13</v>
      </c>
      <c r="N4587">
        <f>ABS(TablaDatos[[#This Row],[DiasOriginal]])</f>
        <v>13</v>
      </c>
      <c r="O4587" s="1">
        <f>TablaDatos[[#This Row],[FechaIngreso]]+TablaDatos[[#This Row],[DiasNuevo]]</f>
        <v>45464</v>
      </c>
    </row>
    <row r="4588" spans="1:15">
      <c r="A4588">
        <v>4587</v>
      </c>
      <c r="B4588" t="s">
        <v>276</v>
      </c>
      <c r="C4588" s="1">
        <v>34700</v>
      </c>
      <c r="D4588">
        <v>31</v>
      </c>
      <c r="E4588" s="4" t="s">
        <v>15</v>
      </c>
      <c r="F4588" t="s">
        <v>18</v>
      </c>
      <c r="G4588" s="1">
        <v>45567</v>
      </c>
      <c r="H4588" s="1">
        <f>TablaDatos[[#This Row],[FechaIngreso]]+TablaDatos[[#This Row],[DiasNuevo]]</f>
        <v>45606</v>
      </c>
      <c r="I4588">
        <v>39</v>
      </c>
      <c r="J4588" t="s">
        <v>19</v>
      </c>
      <c r="K4588" s="3">
        <v>12801.99</v>
      </c>
      <c r="L4588" t="b">
        <f>TablaDatos[[#This Row],[FechaAlta]] &lt; TablaDatos[[#This Row],[FechaIngreso]]</f>
        <v>0</v>
      </c>
      <c r="M4588">
        <f>_xlfn.XLOOKUP(TablaDatos[[#This Row],[PacienteID]],'Datos_Ejemplo.csv'!A:A,'Datos_Ejemplo.csv'!I:I)</f>
        <v>39</v>
      </c>
      <c r="N4588">
        <f>ABS(TablaDatos[[#This Row],[DiasOriginal]])</f>
        <v>39</v>
      </c>
      <c r="O4588" s="1">
        <f>TablaDatos[[#This Row],[FechaIngreso]]+TablaDatos[[#This Row],[DiasNuevo]]</f>
        <v>45606</v>
      </c>
    </row>
    <row r="4589" spans="1:15">
      <c r="A4589">
        <v>4588</v>
      </c>
      <c r="B4589" t="s">
        <v>303</v>
      </c>
      <c r="C4589" s="1">
        <v>34700</v>
      </c>
      <c r="D4589">
        <v>31</v>
      </c>
      <c r="E4589" s="4" t="s">
        <v>12</v>
      </c>
      <c r="F4589" t="s">
        <v>201</v>
      </c>
      <c r="G4589" s="1">
        <v>45156</v>
      </c>
      <c r="H4589" s="1">
        <f>TablaDatos[[#This Row],[FechaIngreso]]+TablaDatos[[#This Row],[DiasNuevo]]</f>
        <v>45164</v>
      </c>
      <c r="I4589">
        <v>8</v>
      </c>
      <c r="J4589" t="s">
        <v>25</v>
      </c>
      <c r="K4589" s="3">
        <v>16277.17</v>
      </c>
      <c r="L4589" t="b">
        <f>TablaDatos[[#This Row],[FechaAlta]] &lt; TablaDatos[[#This Row],[FechaIngreso]]</f>
        <v>0</v>
      </c>
      <c r="M4589">
        <f>_xlfn.XLOOKUP(TablaDatos[[#This Row],[PacienteID]],'Datos_Ejemplo.csv'!A:A,'Datos_Ejemplo.csv'!I:I)</f>
        <v>8</v>
      </c>
      <c r="N4589">
        <f>ABS(TablaDatos[[#This Row],[DiasOriginal]])</f>
        <v>8</v>
      </c>
      <c r="O4589" s="1">
        <f>TablaDatos[[#This Row],[FechaIngreso]]+TablaDatos[[#This Row],[DiasNuevo]]</f>
        <v>45164</v>
      </c>
    </row>
    <row r="4590" spans="1:15">
      <c r="A4590">
        <v>4589</v>
      </c>
      <c r="B4590" t="s">
        <v>339</v>
      </c>
      <c r="C4590" s="1">
        <v>44196</v>
      </c>
      <c r="D4590">
        <v>5</v>
      </c>
      <c r="E4590" s="4" t="s">
        <v>15</v>
      </c>
      <c r="F4590" t="s">
        <v>261</v>
      </c>
      <c r="G4590" s="1">
        <v>45011</v>
      </c>
      <c r="H4590" s="1">
        <f>TablaDatos[[#This Row],[FechaIngreso]]+TablaDatos[[#This Row],[DiasNuevo]]</f>
        <v>45027</v>
      </c>
      <c r="I4590">
        <v>16</v>
      </c>
      <c r="J4590" t="s">
        <v>23</v>
      </c>
      <c r="K4590" s="3">
        <v>18262.41</v>
      </c>
      <c r="L4590" t="b">
        <f>TablaDatos[[#This Row],[FechaAlta]] &lt; TablaDatos[[#This Row],[FechaIngreso]]</f>
        <v>0</v>
      </c>
      <c r="M4590">
        <f>_xlfn.XLOOKUP(TablaDatos[[#This Row],[PacienteID]],'Datos_Ejemplo.csv'!A:A,'Datos_Ejemplo.csv'!I:I)</f>
        <v>16</v>
      </c>
      <c r="N4590">
        <f>ABS(TablaDatos[[#This Row],[DiasOriginal]])</f>
        <v>16</v>
      </c>
      <c r="O4590" s="1">
        <f>TablaDatos[[#This Row],[FechaIngreso]]+TablaDatos[[#This Row],[DiasNuevo]]</f>
        <v>45027</v>
      </c>
    </row>
    <row r="4591" spans="1:15">
      <c r="A4591">
        <v>4590</v>
      </c>
      <c r="B4591" t="s">
        <v>341</v>
      </c>
      <c r="C4591" s="1">
        <v>28856</v>
      </c>
      <c r="D4591">
        <v>47</v>
      </c>
      <c r="E4591" s="4" t="s">
        <v>15</v>
      </c>
      <c r="F4591" t="s">
        <v>32</v>
      </c>
      <c r="G4591" s="1">
        <v>45088</v>
      </c>
      <c r="H4591" s="1">
        <f>TablaDatos[[#This Row],[FechaIngreso]]+TablaDatos[[#This Row],[DiasNuevo]]</f>
        <v>45101</v>
      </c>
      <c r="I4591">
        <v>13</v>
      </c>
      <c r="J4591" t="s">
        <v>19</v>
      </c>
      <c r="K4591" s="3">
        <v>4530.55</v>
      </c>
      <c r="L4591" t="b">
        <f>TablaDatos[[#This Row],[FechaAlta]] &lt; TablaDatos[[#This Row],[FechaIngreso]]</f>
        <v>0</v>
      </c>
      <c r="M4591">
        <f>_xlfn.XLOOKUP(TablaDatos[[#This Row],[PacienteID]],'Datos_Ejemplo.csv'!A:A,'Datos_Ejemplo.csv'!I:I)</f>
        <v>13</v>
      </c>
      <c r="N4591">
        <f>ABS(TablaDatos[[#This Row],[DiasOriginal]])</f>
        <v>13</v>
      </c>
      <c r="O4591" s="1">
        <f>TablaDatos[[#This Row],[FechaIngreso]]+TablaDatos[[#This Row],[DiasNuevo]]</f>
        <v>45101</v>
      </c>
    </row>
    <row r="4592" spans="1:15">
      <c r="A4592">
        <v>4591</v>
      </c>
      <c r="B4592" t="s">
        <v>249</v>
      </c>
      <c r="C4592" s="1">
        <v>32508</v>
      </c>
      <c r="D4592">
        <v>37</v>
      </c>
      <c r="E4592" s="4" t="s">
        <v>15</v>
      </c>
      <c r="F4592" t="s">
        <v>295</v>
      </c>
      <c r="G4592" s="1">
        <v>45323</v>
      </c>
      <c r="H4592" s="1">
        <f>TablaDatos[[#This Row],[FechaIngreso]]+TablaDatos[[#This Row],[DiasNuevo]]</f>
        <v>45352</v>
      </c>
      <c r="I4592">
        <v>29</v>
      </c>
      <c r="J4592" t="s">
        <v>23</v>
      </c>
      <c r="K4592" s="3">
        <v>11714.27</v>
      </c>
      <c r="L4592" t="b">
        <f>TablaDatos[[#This Row],[FechaAlta]] &lt; TablaDatos[[#This Row],[FechaIngreso]]</f>
        <v>0</v>
      </c>
      <c r="M4592">
        <f>_xlfn.XLOOKUP(TablaDatos[[#This Row],[PacienteID]],'Datos_Ejemplo.csv'!A:A,'Datos_Ejemplo.csv'!I:I)</f>
        <v>29</v>
      </c>
      <c r="N4592">
        <f>ABS(TablaDatos[[#This Row],[DiasOriginal]])</f>
        <v>29</v>
      </c>
      <c r="O4592" s="1">
        <f>TablaDatos[[#This Row],[FechaIngreso]]+TablaDatos[[#This Row],[DiasNuevo]]</f>
        <v>45352</v>
      </c>
    </row>
    <row r="4593" spans="1:15">
      <c r="A4593">
        <v>4592</v>
      </c>
      <c r="B4593" t="s">
        <v>244</v>
      </c>
      <c r="C4593" s="1">
        <v>40178</v>
      </c>
      <c r="D4593">
        <v>16</v>
      </c>
      <c r="E4593" s="4" t="s">
        <v>12</v>
      </c>
      <c r="F4593" t="s">
        <v>32</v>
      </c>
      <c r="G4593" s="1">
        <v>45297</v>
      </c>
      <c r="H4593" s="1">
        <f>TablaDatos[[#This Row],[FechaIngreso]]+TablaDatos[[#This Row],[DiasNuevo]]</f>
        <v>45306</v>
      </c>
      <c r="I4593">
        <v>9</v>
      </c>
      <c r="J4593" t="s">
        <v>25</v>
      </c>
      <c r="K4593" s="3">
        <v>1474.56</v>
      </c>
      <c r="L4593" t="b">
        <f>TablaDatos[[#This Row],[FechaAlta]] &lt; TablaDatos[[#This Row],[FechaIngreso]]</f>
        <v>0</v>
      </c>
      <c r="M4593">
        <f>_xlfn.XLOOKUP(TablaDatos[[#This Row],[PacienteID]],'Datos_Ejemplo.csv'!A:A,'Datos_Ejemplo.csv'!I:I)</f>
        <v>9</v>
      </c>
      <c r="N4593">
        <f>ABS(TablaDatos[[#This Row],[DiasOriginal]])</f>
        <v>9</v>
      </c>
      <c r="O4593" s="1">
        <f>TablaDatos[[#This Row],[FechaIngreso]]+TablaDatos[[#This Row],[DiasNuevo]]</f>
        <v>45306</v>
      </c>
    </row>
    <row r="4594" spans="1:15">
      <c r="A4594">
        <v>4593</v>
      </c>
      <c r="B4594" t="s">
        <v>260</v>
      </c>
      <c r="C4594" s="1">
        <v>19359</v>
      </c>
      <c r="D4594">
        <v>73</v>
      </c>
      <c r="E4594" s="4" t="s">
        <v>15</v>
      </c>
      <c r="F4594" t="s">
        <v>261</v>
      </c>
      <c r="G4594" s="1">
        <v>45489</v>
      </c>
      <c r="H4594" s="1">
        <f>TablaDatos[[#This Row],[FechaIngreso]]+TablaDatos[[#This Row],[DiasNuevo]]</f>
        <v>45490</v>
      </c>
      <c r="I4594">
        <v>1</v>
      </c>
      <c r="J4594" t="s">
        <v>19</v>
      </c>
      <c r="K4594" s="3">
        <v>2314.86</v>
      </c>
      <c r="L4594" t="b">
        <f>TablaDatos[[#This Row],[FechaAlta]] &lt; TablaDatos[[#This Row],[FechaIngreso]]</f>
        <v>0</v>
      </c>
      <c r="M4594">
        <f>_xlfn.XLOOKUP(TablaDatos[[#This Row],[PacienteID]],'Datos_Ejemplo.csv'!A:A,'Datos_Ejemplo.csv'!I:I)</f>
        <v>-1</v>
      </c>
      <c r="N4594">
        <f>ABS(TablaDatos[[#This Row],[DiasOriginal]])</f>
        <v>1</v>
      </c>
      <c r="O4594" s="1">
        <f>TablaDatos[[#This Row],[FechaIngreso]]+TablaDatos[[#This Row],[DiasNuevo]]</f>
        <v>45490</v>
      </c>
    </row>
    <row r="4595" spans="1:15">
      <c r="A4595">
        <v>4594</v>
      </c>
      <c r="B4595" t="s">
        <v>311</v>
      </c>
      <c r="C4595" s="1">
        <v>36526</v>
      </c>
      <c r="D4595">
        <v>26</v>
      </c>
      <c r="E4595" s="4" t="s">
        <v>12</v>
      </c>
      <c r="F4595" t="s">
        <v>21</v>
      </c>
      <c r="G4595" s="1">
        <v>45141</v>
      </c>
      <c r="H4595" s="1">
        <f>TablaDatos[[#This Row],[FechaIngreso]]+TablaDatos[[#This Row],[DiasNuevo]]</f>
        <v>45160</v>
      </c>
      <c r="I4595">
        <v>19</v>
      </c>
      <c r="J4595" t="s">
        <v>19</v>
      </c>
      <c r="K4595" s="3">
        <v>13052.22</v>
      </c>
      <c r="L4595" t="b">
        <f>TablaDatos[[#This Row],[FechaAlta]] &lt; TablaDatos[[#This Row],[FechaIngreso]]</f>
        <v>0</v>
      </c>
      <c r="M4595">
        <f>_xlfn.XLOOKUP(TablaDatos[[#This Row],[PacienteID]],'Datos_Ejemplo.csv'!A:A,'Datos_Ejemplo.csv'!I:I)</f>
        <v>19</v>
      </c>
      <c r="N4595">
        <f>ABS(TablaDatos[[#This Row],[DiasOriginal]])</f>
        <v>19</v>
      </c>
      <c r="O4595" s="1">
        <f>TablaDatos[[#This Row],[FechaIngreso]]+TablaDatos[[#This Row],[DiasNuevo]]</f>
        <v>45160</v>
      </c>
    </row>
    <row r="4596" spans="1:15">
      <c r="A4596">
        <v>4595</v>
      </c>
      <c r="B4596" t="s">
        <v>300</v>
      </c>
      <c r="C4596" s="1">
        <v>26664</v>
      </c>
      <c r="D4596">
        <v>53</v>
      </c>
      <c r="E4596" s="4" t="s">
        <v>12</v>
      </c>
      <c r="F4596" t="s">
        <v>201</v>
      </c>
      <c r="G4596" s="1">
        <v>44927</v>
      </c>
      <c r="H4596" s="1">
        <f>TablaDatos[[#This Row],[FechaIngreso]]+TablaDatos[[#This Row],[DiasNuevo]]</f>
        <v>44950</v>
      </c>
      <c r="I4596">
        <v>23</v>
      </c>
      <c r="J4596" t="s">
        <v>19</v>
      </c>
      <c r="K4596" s="3">
        <v>9680.27</v>
      </c>
      <c r="L4596" t="b">
        <f>TablaDatos[[#This Row],[FechaAlta]] &lt; TablaDatos[[#This Row],[FechaIngreso]]</f>
        <v>0</v>
      </c>
      <c r="M4596">
        <f>_xlfn.XLOOKUP(TablaDatos[[#This Row],[PacienteID]],'Datos_Ejemplo.csv'!A:A,'Datos_Ejemplo.csv'!I:I)</f>
        <v>23</v>
      </c>
      <c r="N4596">
        <f>ABS(TablaDatos[[#This Row],[DiasOriginal]])</f>
        <v>23</v>
      </c>
      <c r="O4596" s="1">
        <f>TablaDatos[[#This Row],[FechaIngreso]]+TablaDatos[[#This Row],[DiasNuevo]]</f>
        <v>44950</v>
      </c>
    </row>
    <row r="4597" spans="1:15">
      <c r="A4597">
        <v>4596</v>
      </c>
      <c r="B4597" t="s">
        <v>252</v>
      </c>
      <c r="C4597" s="1">
        <v>28125</v>
      </c>
      <c r="D4597">
        <v>49</v>
      </c>
      <c r="E4597" s="4" t="s">
        <v>15</v>
      </c>
      <c r="F4597" t="s">
        <v>201</v>
      </c>
      <c r="G4597" s="1">
        <v>45303</v>
      </c>
      <c r="H4597" s="1">
        <f>TablaDatos[[#This Row],[FechaIngreso]]+TablaDatos[[#This Row],[DiasNuevo]]</f>
        <v>45333</v>
      </c>
      <c r="I4597">
        <v>30</v>
      </c>
      <c r="J4597" t="s">
        <v>25</v>
      </c>
      <c r="K4597" s="3">
        <v>15142.47</v>
      </c>
      <c r="L4597" t="b">
        <f>TablaDatos[[#This Row],[FechaAlta]] &lt; TablaDatos[[#This Row],[FechaIngreso]]</f>
        <v>0</v>
      </c>
      <c r="M4597">
        <f>_xlfn.XLOOKUP(TablaDatos[[#This Row],[PacienteID]],'Datos_Ejemplo.csv'!A:A,'Datos_Ejemplo.csv'!I:I)</f>
        <v>30</v>
      </c>
      <c r="N4597">
        <f>ABS(TablaDatos[[#This Row],[DiasOriginal]])</f>
        <v>30</v>
      </c>
      <c r="O4597" s="1">
        <f>TablaDatos[[#This Row],[FechaIngreso]]+TablaDatos[[#This Row],[DiasNuevo]]</f>
        <v>45333</v>
      </c>
    </row>
    <row r="4598" spans="1:15">
      <c r="A4598">
        <v>4597</v>
      </c>
      <c r="B4598" t="s">
        <v>305</v>
      </c>
      <c r="C4598" s="1">
        <v>33604</v>
      </c>
      <c r="D4598">
        <v>34</v>
      </c>
      <c r="E4598" s="4" t="s">
        <v>12</v>
      </c>
      <c r="F4598" t="s">
        <v>201</v>
      </c>
      <c r="G4598" s="1">
        <v>45338</v>
      </c>
      <c r="H4598" s="1">
        <f>TablaDatos[[#This Row],[FechaIngreso]]+TablaDatos[[#This Row],[DiasNuevo]]</f>
        <v>45359</v>
      </c>
      <c r="I4598">
        <v>21</v>
      </c>
      <c r="J4598" t="s">
        <v>19</v>
      </c>
      <c r="K4598" s="3">
        <v>8456.1200000000008</v>
      </c>
      <c r="L4598" t="b">
        <f>TablaDatos[[#This Row],[FechaAlta]] &lt; TablaDatos[[#This Row],[FechaIngreso]]</f>
        <v>0</v>
      </c>
      <c r="M4598">
        <f>_xlfn.XLOOKUP(TablaDatos[[#This Row],[PacienteID]],'Datos_Ejemplo.csv'!A:A,'Datos_Ejemplo.csv'!I:I)</f>
        <v>21</v>
      </c>
      <c r="N4598">
        <f>ABS(TablaDatos[[#This Row],[DiasOriginal]])</f>
        <v>21</v>
      </c>
      <c r="O4598" s="1">
        <f>TablaDatos[[#This Row],[FechaIngreso]]+TablaDatos[[#This Row],[DiasNuevo]]</f>
        <v>45359</v>
      </c>
    </row>
    <row r="4599" spans="1:15">
      <c r="A4599">
        <v>4598</v>
      </c>
      <c r="B4599" t="s">
        <v>164</v>
      </c>
      <c r="C4599" s="1">
        <v>15341</v>
      </c>
      <c r="D4599">
        <f ca="1">DATEDIF(TablaDatos[[#This Row],[FechaNacimiento]],TODAY(),"Y")</f>
        <v>84</v>
      </c>
      <c r="E4599" s="4" t="s">
        <v>15</v>
      </c>
      <c r="F4599" t="s">
        <v>201</v>
      </c>
      <c r="G4599" s="1">
        <v>45561</v>
      </c>
      <c r="H4599" s="1">
        <f>TablaDatos[[#This Row],[FechaIngreso]]+TablaDatos[[#This Row],[DiasNuevo]]</f>
        <v>45563</v>
      </c>
      <c r="I4599">
        <v>2</v>
      </c>
      <c r="J4599" t="s">
        <v>19</v>
      </c>
      <c r="K4599" s="3">
        <v>2464.73</v>
      </c>
      <c r="L4599" t="b">
        <f>TablaDatos[[#This Row],[FechaAlta]] &lt; TablaDatos[[#This Row],[FechaIngreso]]</f>
        <v>0</v>
      </c>
      <c r="M4599">
        <f>_xlfn.XLOOKUP(TablaDatos[[#This Row],[PacienteID]],'Datos_Ejemplo.csv'!A:A,'Datos_Ejemplo.csv'!I:I)</f>
        <v>2</v>
      </c>
      <c r="N4599">
        <f>ABS(TablaDatos[[#This Row],[DiasOriginal]])</f>
        <v>2</v>
      </c>
      <c r="O4599" s="1">
        <f>TablaDatos[[#This Row],[FechaIngreso]]+TablaDatos[[#This Row],[DiasNuevo]]</f>
        <v>45563</v>
      </c>
    </row>
    <row r="4600" spans="1:15">
      <c r="A4600">
        <v>4599</v>
      </c>
      <c r="B4600" t="s">
        <v>306</v>
      </c>
      <c r="C4600" s="1">
        <v>37256</v>
      </c>
      <c r="D4600">
        <v>24</v>
      </c>
      <c r="E4600" s="4" t="s">
        <v>12</v>
      </c>
      <c r="F4600" t="s">
        <v>295</v>
      </c>
      <c r="G4600" s="1">
        <v>45126</v>
      </c>
      <c r="H4600" s="1">
        <f>TablaDatos[[#This Row],[FechaIngreso]]+TablaDatos[[#This Row],[DiasNuevo]]</f>
        <v>45144</v>
      </c>
      <c r="I4600">
        <v>18</v>
      </c>
      <c r="J4600" t="s">
        <v>23</v>
      </c>
      <c r="K4600" s="3">
        <v>17428.28</v>
      </c>
      <c r="L4600" t="b">
        <f>TablaDatos[[#This Row],[FechaAlta]] &lt; TablaDatos[[#This Row],[FechaIngreso]]</f>
        <v>0</v>
      </c>
      <c r="M4600">
        <f>_xlfn.XLOOKUP(TablaDatos[[#This Row],[PacienteID]],'Datos_Ejemplo.csv'!A:A,'Datos_Ejemplo.csv'!I:I)</f>
        <v>18</v>
      </c>
      <c r="N4600">
        <f>ABS(TablaDatos[[#This Row],[DiasOriginal]])</f>
        <v>18</v>
      </c>
      <c r="O4600" s="1">
        <f>TablaDatos[[#This Row],[FechaIngreso]]+TablaDatos[[#This Row],[DiasNuevo]]</f>
        <v>45144</v>
      </c>
    </row>
    <row r="4601" spans="1:15">
      <c r="A4601">
        <v>4600</v>
      </c>
      <c r="B4601" t="s">
        <v>105</v>
      </c>
      <c r="C4601" s="1">
        <v>36161</v>
      </c>
      <c r="D4601">
        <v>27</v>
      </c>
      <c r="E4601" s="4" t="s">
        <v>15</v>
      </c>
      <c r="F4601" t="s">
        <v>18</v>
      </c>
      <c r="G4601" s="1">
        <v>45109</v>
      </c>
      <c r="H4601" s="1">
        <f>TablaDatos[[#This Row],[FechaIngreso]]+TablaDatos[[#This Row],[DiasNuevo]]</f>
        <v>45124</v>
      </c>
      <c r="I4601">
        <v>15</v>
      </c>
      <c r="J4601" t="s">
        <v>23</v>
      </c>
      <c r="K4601" s="3">
        <v>1566.06</v>
      </c>
      <c r="L4601" t="b">
        <f>TablaDatos[[#This Row],[FechaAlta]] &lt; TablaDatos[[#This Row],[FechaIngreso]]</f>
        <v>0</v>
      </c>
      <c r="M4601">
        <f>_xlfn.XLOOKUP(TablaDatos[[#This Row],[PacienteID]],'Datos_Ejemplo.csv'!A:A,'Datos_Ejemplo.csv'!I:I)</f>
        <v>15</v>
      </c>
      <c r="N4601">
        <f>ABS(TablaDatos[[#This Row],[DiasOriginal]])</f>
        <v>15</v>
      </c>
      <c r="O4601" s="1">
        <f>TablaDatos[[#This Row],[FechaIngreso]]+TablaDatos[[#This Row],[DiasNuevo]]</f>
        <v>45124</v>
      </c>
    </row>
    <row r="4602" spans="1:15">
      <c r="A4602">
        <v>4601</v>
      </c>
      <c r="B4602" t="s">
        <v>301</v>
      </c>
      <c r="C4602" s="1">
        <v>40909</v>
      </c>
      <c r="D4602">
        <v>14</v>
      </c>
      <c r="E4602" s="4" t="s">
        <v>15</v>
      </c>
      <c r="F4602" t="s">
        <v>261</v>
      </c>
      <c r="G4602" s="1">
        <v>45336</v>
      </c>
      <c r="H4602" s="1">
        <f>TablaDatos[[#This Row],[FechaIngreso]]+TablaDatos[[#This Row],[DiasNuevo]]</f>
        <v>45372</v>
      </c>
      <c r="I4602">
        <v>36</v>
      </c>
      <c r="J4602" t="s">
        <v>23</v>
      </c>
      <c r="K4602" s="3">
        <v>3698.19</v>
      </c>
      <c r="L4602" t="b">
        <f>TablaDatos[[#This Row],[FechaAlta]] &lt; TablaDatos[[#This Row],[FechaIngreso]]</f>
        <v>0</v>
      </c>
      <c r="M4602">
        <f>_xlfn.XLOOKUP(TablaDatos[[#This Row],[PacienteID]],'Datos_Ejemplo.csv'!A:A,'Datos_Ejemplo.csv'!I:I)</f>
        <v>36</v>
      </c>
      <c r="N4602">
        <f>ABS(TablaDatos[[#This Row],[DiasOriginal]])</f>
        <v>36</v>
      </c>
      <c r="O4602" s="1">
        <f>TablaDatos[[#This Row],[FechaIngreso]]+TablaDatos[[#This Row],[DiasNuevo]]</f>
        <v>45372</v>
      </c>
    </row>
    <row r="4603" spans="1:15">
      <c r="A4603">
        <v>4602</v>
      </c>
      <c r="B4603" t="s">
        <v>330</v>
      </c>
      <c r="C4603" s="1">
        <v>44927</v>
      </c>
      <c r="D4603">
        <v>3</v>
      </c>
      <c r="E4603" s="4" t="s">
        <v>12</v>
      </c>
      <c r="F4603" t="s">
        <v>21</v>
      </c>
      <c r="G4603" s="1">
        <v>45324</v>
      </c>
      <c r="H4603" s="1">
        <f>TablaDatos[[#This Row],[FechaIngreso]]+TablaDatos[[#This Row],[DiasNuevo]]</f>
        <v>45326</v>
      </c>
      <c r="I4603">
        <v>2</v>
      </c>
      <c r="J4603" t="s">
        <v>19</v>
      </c>
      <c r="K4603" s="3">
        <v>5467.24</v>
      </c>
      <c r="L4603" t="b">
        <f>TablaDatos[[#This Row],[FechaAlta]] &lt; TablaDatos[[#This Row],[FechaIngreso]]</f>
        <v>0</v>
      </c>
      <c r="M4603">
        <f>_xlfn.XLOOKUP(TablaDatos[[#This Row],[PacienteID]],'Datos_Ejemplo.csv'!A:A,'Datos_Ejemplo.csv'!I:I)</f>
        <v>2</v>
      </c>
      <c r="N4603">
        <f>ABS(TablaDatos[[#This Row],[DiasOriginal]])</f>
        <v>2</v>
      </c>
      <c r="O4603" s="1">
        <f>TablaDatos[[#This Row],[FechaIngreso]]+TablaDatos[[#This Row],[DiasNuevo]]</f>
        <v>45326</v>
      </c>
    </row>
    <row r="4604" spans="1:15">
      <c r="A4604">
        <v>4603</v>
      </c>
      <c r="B4604" t="s">
        <v>265</v>
      </c>
      <c r="C4604" s="1">
        <v>12419</v>
      </c>
      <c r="D4604">
        <v>92</v>
      </c>
      <c r="E4604" s="4" t="s">
        <v>12</v>
      </c>
      <c r="F4604" t="s">
        <v>261</v>
      </c>
      <c r="G4604" s="1">
        <v>45142</v>
      </c>
      <c r="H4604" s="1">
        <f>TablaDatos[[#This Row],[FechaIngreso]]+TablaDatos[[#This Row],[DiasNuevo]]</f>
        <v>45147</v>
      </c>
      <c r="I4604">
        <v>5</v>
      </c>
      <c r="J4604" t="s">
        <v>23</v>
      </c>
      <c r="K4604" s="3">
        <v>19905.14</v>
      </c>
      <c r="L4604" t="b">
        <f>TablaDatos[[#This Row],[FechaAlta]] &lt; TablaDatos[[#This Row],[FechaIngreso]]</f>
        <v>0</v>
      </c>
      <c r="M4604">
        <f>_xlfn.XLOOKUP(TablaDatos[[#This Row],[PacienteID]],'Datos_Ejemplo.csv'!A:A,'Datos_Ejemplo.csv'!I:I)</f>
        <v>5</v>
      </c>
      <c r="N4604">
        <f>ABS(TablaDatos[[#This Row],[DiasOriginal]])</f>
        <v>5</v>
      </c>
      <c r="O4604" s="1">
        <f>TablaDatos[[#This Row],[FechaIngreso]]+TablaDatos[[#This Row],[DiasNuevo]]</f>
        <v>45147</v>
      </c>
    </row>
    <row r="4605" spans="1:15">
      <c r="A4605">
        <v>4604</v>
      </c>
      <c r="B4605" t="s">
        <v>164</v>
      </c>
      <c r="C4605" s="1">
        <v>19724</v>
      </c>
      <c r="D4605">
        <v>72</v>
      </c>
      <c r="E4605" s="4" t="s">
        <v>15</v>
      </c>
      <c r="F4605" t="s">
        <v>13</v>
      </c>
      <c r="G4605" s="1">
        <v>45275</v>
      </c>
      <c r="H4605" s="1">
        <f>TablaDatos[[#This Row],[FechaIngreso]]+TablaDatos[[#This Row],[DiasNuevo]]</f>
        <v>45293</v>
      </c>
      <c r="I4605">
        <v>18</v>
      </c>
      <c r="J4605" t="s">
        <v>23</v>
      </c>
      <c r="K4605" s="3">
        <v>8278.8799999999992</v>
      </c>
      <c r="L4605" t="b">
        <f>TablaDatos[[#This Row],[FechaAlta]] &lt; TablaDatos[[#This Row],[FechaIngreso]]</f>
        <v>0</v>
      </c>
      <c r="M4605">
        <f>_xlfn.XLOOKUP(TablaDatos[[#This Row],[PacienteID]],'Datos_Ejemplo.csv'!A:A,'Datos_Ejemplo.csv'!I:I)</f>
        <v>18</v>
      </c>
      <c r="N4605">
        <f>ABS(TablaDatos[[#This Row],[DiasOriginal]])</f>
        <v>18</v>
      </c>
      <c r="O4605" s="1">
        <f>TablaDatos[[#This Row],[FechaIngreso]]+TablaDatos[[#This Row],[DiasNuevo]]</f>
        <v>45293</v>
      </c>
    </row>
    <row r="4606" spans="1:15">
      <c r="A4606">
        <v>4605</v>
      </c>
      <c r="B4606" t="s">
        <v>61</v>
      </c>
      <c r="C4606" s="1">
        <v>36526</v>
      </c>
      <c r="D4606">
        <v>26</v>
      </c>
      <c r="E4606" s="4" t="s">
        <v>12</v>
      </c>
      <c r="F4606" t="s">
        <v>13</v>
      </c>
      <c r="G4606" s="1">
        <v>45506</v>
      </c>
      <c r="H4606" s="1">
        <f>TablaDatos[[#This Row],[FechaIngreso]]+TablaDatos[[#This Row],[DiasNuevo]]</f>
        <v>45508</v>
      </c>
      <c r="I4606">
        <v>2</v>
      </c>
      <c r="J4606" t="s">
        <v>23</v>
      </c>
      <c r="K4606" s="3">
        <v>9984.34</v>
      </c>
      <c r="L4606" t="b">
        <f>TablaDatos[[#This Row],[FechaAlta]] &lt; TablaDatos[[#This Row],[FechaIngreso]]</f>
        <v>0</v>
      </c>
      <c r="M4606">
        <f>_xlfn.XLOOKUP(TablaDatos[[#This Row],[PacienteID]],'Datos_Ejemplo.csv'!A:A,'Datos_Ejemplo.csv'!I:I)</f>
        <v>2</v>
      </c>
      <c r="N4606">
        <f>ABS(TablaDatos[[#This Row],[DiasOriginal]])</f>
        <v>2</v>
      </c>
      <c r="O4606" s="1">
        <f>TablaDatos[[#This Row],[FechaIngreso]]+TablaDatos[[#This Row],[DiasNuevo]]</f>
        <v>45508</v>
      </c>
    </row>
    <row r="4607" spans="1:15">
      <c r="A4607">
        <v>4606</v>
      </c>
      <c r="B4607" t="s">
        <v>305</v>
      </c>
      <c r="C4607" s="1">
        <v>36891</v>
      </c>
      <c r="D4607">
        <v>25</v>
      </c>
      <c r="E4607" s="4" t="s">
        <v>15</v>
      </c>
      <c r="F4607" t="s">
        <v>13</v>
      </c>
      <c r="G4607" s="1">
        <v>45520</v>
      </c>
      <c r="H4607" s="1">
        <f>TablaDatos[[#This Row],[FechaIngreso]]+TablaDatos[[#This Row],[DiasNuevo]]</f>
        <v>45530</v>
      </c>
      <c r="I4607">
        <v>10</v>
      </c>
      <c r="J4607" t="s">
        <v>23</v>
      </c>
      <c r="K4607" s="3">
        <v>15370.9</v>
      </c>
      <c r="L4607" t="b">
        <f>TablaDatos[[#This Row],[FechaAlta]] &lt; TablaDatos[[#This Row],[FechaIngreso]]</f>
        <v>0</v>
      </c>
      <c r="M4607">
        <f>_xlfn.XLOOKUP(TablaDatos[[#This Row],[PacienteID]],'Datos_Ejemplo.csv'!A:A,'Datos_Ejemplo.csv'!I:I)</f>
        <v>10</v>
      </c>
      <c r="N4607">
        <f>ABS(TablaDatos[[#This Row],[DiasOriginal]])</f>
        <v>10</v>
      </c>
      <c r="O4607" s="1">
        <f>TablaDatos[[#This Row],[FechaIngreso]]+TablaDatos[[#This Row],[DiasNuevo]]</f>
        <v>45530</v>
      </c>
    </row>
    <row r="4608" spans="1:15">
      <c r="A4608">
        <v>4607</v>
      </c>
      <c r="B4608" t="s">
        <v>330</v>
      </c>
      <c r="C4608" s="1">
        <v>39448</v>
      </c>
      <c r="D4608">
        <v>18</v>
      </c>
      <c r="E4608" s="4" t="s">
        <v>12</v>
      </c>
      <c r="F4608" t="s">
        <v>18</v>
      </c>
      <c r="G4608" s="1">
        <v>45580</v>
      </c>
      <c r="H4608" s="1">
        <f>TablaDatos[[#This Row],[FechaIngreso]]+TablaDatos[[#This Row],[DiasNuevo]]</f>
        <v>45596</v>
      </c>
      <c r="I4608">
        <v>16</v>
      </c>
      <c r="J4608" t="s">
        <v>19</v>
      </c>
      <c r="K4608" s="3">
        <v>12691.95</v>
      </c>
      <c r="L4608" t="b">
        <f>TablaDatos[[#This Row],[FechaAlta]] &lt; TablaDatos[[#This Row],[FechaIngreso]]</f>
        <v>0</v>
      </c>
      <c r="M4608">
        <f>_xlfn.XLOOKUP(TablaDatos[[#This Row],[PacienteID]],'Datos_Ejemplo.csv'!A:A,'Datos_Ejemplo.csv'!I:I)</f>
        <v>16</v>
      </c>
      <c r="N4608">
        <f>ABS(TablaDatos[[#This Row],[DiasOriginal]])</f>
        <v>16</v>
      </c>
      <c r="O4608" s="1">
        <f>TablaDatos[[#This Row],[FechaIngreso]]+TablaDatos[[#This Row],[DiasNuevo]]</f>
        <v>45596</v>
      </c>
    </row>
    <row r="4609" spans="1:15">
      <c r="A4609">
        <v>4608</v>
      </c>
      <c r="B4609" t="s">
        <v>313</v>
      </c>
      <c r="C4609" s="1">
        <f ca="1">DATE(YEAR(TODAY())-TablaDatos[[#This Row],[Edad]],1,1)</f>
        <v>12785</v>
      </c>
      <c r="D4609">
        <v>91</v>
      </c>
      <c r="E4609" s="4" t="s">
        <v>12</v>
      </c>
      <c r="F4609" t="s">
        <v>32</v>
      </c>
      <c r="G4609" s="1">
        <v>44967</v>
      </c>
      <c r="H4609" s="1">
        <f>TablaDatos[[#This Row],[FechaIngreso]]+TablaDatos[[#This Row],[DiasNuevo]]</f>
        <v>44993</v>
      </c>
      <c r="I4609">
        <v>26</v>
      </c>
      <c r="J4609" t="s">
        <v>23</v>
      </c>
      <c r="K4609" s="3">
        <v>16812.560000000001</v>
      </c>
      <c r="L4609" t="b">
        <f>TablaDatos[[#This Row],[FechaAlta]] &lt; TablaDatos[[#This Row],[FechaIngreso]]</f>
        <v>0</v>
      </c>
      <c r="M4609">
        <f>_xlfn.XLOOKUP(TablaDatos[[#This Row],[PacienteID]],'Datos_Ejemplo.csv'!A:A,'Datos_Ejemplo.csv'!I:I)</f>
        <v>26</v>
      </c>
      <c r="N4609">
        <f>ABS(TablaDatos[[#This Row],[DiasOriginal]])</f>
        <v>26</v>
      </c>
      <c r="O4609" s="1">
        <f>TablaDatos[[#This Row],[FechaIngreso]]+TablaDatos[[#This Row],[DiasNuevo]]</f>
        <v>44993</v>
      </c>
    </row>
    <row r="4610" spans="1:15">
      <c r="A4610">
        <v>4609</v>
      </c>
      <c r="B4610" t="s">
        <v>286</v>
      </c>
      <c r="C4610" s="1">
        <v>40178</v>
      </c>
      <c r="D4610">
        <v>16</v>
      </c>
      <c r="E4610" s="4" t="s">
        <v>15</v>
      </c>
      <c r="F4610" t="s">
        <v>295</v>
      </c>
      <c r="G4610" s="1">
        <v>44929</v>
      </c>
      <c r="H4610" s="1">
        <f>TablaDatos[[#This Row],[FechaIngreso]]+TablaDatos[[#This Row],[DiasNuevo]]</f>
        <v>44930</v>
      </c>
      <c r="I4610">
        <v>1</v>
      </c>
      <c r="J4610" t="s">
        <v>23</v>
      </c>
      <c r="K4610" s="3">
        <v>9677.31</v>
      </c>
      <c r="L4610" t="b">
        <f>TablaDatos[[#This Row],[FechaAlta]] &lt; TablaDatos[[#This Row],[FechaIngreso]]</f>
        <v>0</v>
      </c>
      <c r="M4610">
        <f>_xlfn.XLOOKUP(TablaDatos[[#This Row],[PacienteID]],'Datos_Ejemplo.csv'!A:A,'Datos_Ejemplo.csv'!I:I)</f>
        <v>-1</v>
      </c>
      <c r="N4610">
        <f>ABS(TablaDatos[[#This Row],[DiasOriginal]])</f>
        <v>1</v>
      </c>
      <c r="O4610" s="1">
        <f>TablaDatos[[#This Row],[FechaIngreso]]+TablaDatos[[#This Row],[DiasNuevo]]</f>
        <v>44930</v>
      </c>
    </row>
    <row r="4611" spans="1:15">
      <c r="A4611">
        <v>4610</v>
      </c>
      <c r="B4611" t="s">
        <v>284</v>
      </c>
      <c r="C4611" s="1">
        <v>30682</v>
      </c>
      <c r="D4611">
        <v>42</v>
      </c>
      <c r="E4611" s="4" t="s">
        <v>15</v>
      </c>
      <c r="F4611" t="s">
        <v>201</v>
      </c>
      <c r="G4611" s="1">
        <v>45020</v>
      </c>
      <c r="H4611" s="1">
        <f>TablaDatos[[#This Row],[FechaIngreso]]+TablaDatos[[#This Row],[DiasNuevo]]</f>
        <v>45054</v>
      </c>
      <c r="I4611">
        <v>34</v>
      </c>
      <c r="J4611" t="s">
        <v>19</v>
      </c>
      <c r="K4611" s="3">
        <v>19440.77</v>
      </c>
      <c r="L4611" t="b">
        <f>TablaDatos[[#This Row],[FechaAlta]] &lt; TablaDatos[[#This Row],[FechaIngreso]]</f>
        <v>0</v>
      </c>
      <c r="M4611">
        <f>_xlfn.XLOOKUP(TablaDatos[[#This Row],[PacienteID]],'Datos_Ejemplo.csv'!A:A,'Datos_Ejemplo.csv'!I:I)</f>
        <v>34</v>
      </c>
      <c r="N4611">
        <f>ABS(TablaDatos[[#This Row],[DiasOriginal]])</f>
        <v>34</v>
      </c>
      <c r="O4611" s="1">
        <f>TablaDatos[[#This Row],[FechaIngreso]]+TablaDatos[[#This Row],[DiasNuevo]]</f>
        <v>45054</v>
      </c>
    </row>
    <row r="4612" spans="1:15">
      <c r="A4612">
        <v>4611</v>
      </c>
      <c r="B4612" t="s">
        <v>238</v>
      </c>
      <c r="C4612" s="1">
        <v>31412</v>
      </c>
      <c r="D4612">
        <v>40</v>
      </c>
      <c r="E4612" s="4" t="s">
        <v>15</v>
      </c>
      <c r="F4612" t="s">
        <v>18</v>
      </c>
      <c r="G4612" s="1">
        <v>44985</v>
      </c>
      <c r="H4612" s="1">
        <f>TablaDatos[[#This Row],[FechaIngreso]]+TablaDatos[[#This Row],[DiasNuevo]]</f>
        <v>45008</v>
      </c>
      <c r="I4612">
        <v>23</v>
      </c>
      <c r="J4612" t="s">
        <v>23</v>
      </c>
      <c r="K4612" s="3">
        <v>15915.93</v>
      </c>
      <c r="L4612" t="b">
        <f>TablaDatos[[#This Row],[FechaAlta]] &lt; TablaDatos[[#This Row],[FechaIngreso]]</f>
        <v>0</v>
      </c>
      <c r="M4612">
        <f>_xlfn.XLOOKUP(TablaDatos[[#This Row],[PacienteID]],'Datos_Ejemplo.csv'!A:A,'Datos_Ejemplo.csv'!I:I)</f>
        <v>23</v>
      </c>
      <c r="N4612">
        <f>ABS(TablaDatos[[#This Row],[DiasOriginal]])</f>
        <v>23</v>
      </c>
      <c r="O4612" s="1">
        <f>TablaDatos[[#This Row],[FechaIngreso]]+TablaDatos[[#This Row],[DiasNuevo]]</f>
        <v>45008</v>
      </c>
    </row>
    <row r="4613" spans="1:15">
      <c r="A4613">
        <v>4612</v>
      </c>
      <c r="B4613" t="s">
        <v>249</v>
      </c>
      <c r="C4613" s="1">
        <v>31047</v>
      </c>
      <c r="D4613">
        <v>41</v>
      </c>
      <c r="E4613" s="4" t="s">
        <v>15</v>
      </c>
      <c r="F4613" t="s">
        <v>21</v>
      </c>
      <c r="G4613" s="1">
        <v>45333</v>
      </c>
      <c r="H4613" s="1">
        <f>TablaDatos[[#This Row],[FechaIngreso]]+TablaDatos[[#This Row],[DiasNuevo]]</f>
        <v>45359</v>
      </c>
      <c r="I4613">
        <v>26</v>
      </c>
      <c r="J4613" t="s">
        <v>23</v>
      </c>
      <c r="K4613" s="3">
        <v>7967.44</v>
      </c>
      <c r="L4613" t="b">
        <f>TablaDatos[[#This Row],[FechaAlta]] &lt; TablaDatos[[#This Row],[FechaIngreso]]</f>
        <v>0</v>
      </c>
      <c r="M4613">
        <f>_xlfn.XLOOKUP(TablaDatos[[#This Row],[PacienteID]],'Datos_Ejemplo.csv'!A:A,'Datos_Ejemplo.csv'!I:I)</f>
        <v>26</v>
      </c>
      <c r="N4613">
        <f>ABS(TablaDatos[[#This Row],[DiasOriginal]])</f>
        <v>26</v>
      </c>
      <c r="O4613" s="1">
        <f>TablaDatos[[#This Row],[FechaIngreso]]+TablaDatos[[#This Row],[DiasNuevo]]</f>
        <v>45359</v>
      </c>
    </row>
    <row r="4614" spans="1:15">
      <c r="A4614">
        <v>4613</v>
      </c>
      <c r="B4614" t="s">
        <v>284</v>
      </c>
      <c r="C4614" s="1">
        <v>28125</v>
      </c>
      <c r="D4614">
        <v>49</v>
      </c>
      <c r="E4614" s="4" t="s">
        <v>15</v>
      </c>
      <c r="F4614" t="s">
        <v>21</v>
      </c>
      <c r="G4614" s="1">
        <v>44944</v>
      </c>
      <c r="H4614" s="1">
        <f>TablaDatos[[#This Row],[FechaIngreso]]+TablaDatos[[#This Row],[DiasNuevo]]</f>
        <v>44946</v>
      </c>
      <c r="I4614">
        <v>2</v>
      </c>
      <c r="J4614" t="s">
        <v>19</v>
      </c>
      <c r="K4614" s="3">
        <v>7563.56</v>
      </c>
      <c r="L4614" t="b">
        <f>TablaDatos[[#This Row],[FechaAlta]] &lt; TablaDatos[[#This Row],[FechaIngreso]]</f>
        <v>0</v>
      </c>
      <c r="M4614">
        <f>_xlfn.XLOOKUP(TablaDatos[[#This Row],[PacienteID]],'Datos_Ejemplo.csv'!A:A,'Datos_Ejemplo.csv'!I:I)</f>
        <v>2</v>
      </c>
      <c r="N4614">
        <f>ABS(TablaDatos[[#This Row],[DiasOriginal]])</f>
        <v>2</v>
      </c>
      <c r="O4614" s="1">
        <f>TablaDatos[[#This Row],[FechaIngreso]]+TablaDatos[[#This Row],[DiasNuevo]]</f>
        <v>44946</v>
      </c>
    </row>
    <row r="4615" spans="1:15">
      <c r="A4615">
        <v>4614</v>
      </c>
      <c r="B4615" t="s">
        <v>164</v>
      </c>
      <c r="C4615" s="1">
        <v>15707</v>
      </c>
      <c r="D4615">
        <v>83</v>
      </c>
      <c r="E4615" s="4" t="s">
        <v>12</v>
      </c>
      <c r="F4615" t="s">
        <v>13</v>
      </c>
      <c r="G4615" s="1">
        <v>45420</v>
      </c>
      <c r="H4615" s="1">
        <f>TablaDatos[[#This Row],[FechaIngreso]]+TablaDatos[[#This Row],[DiasNuevo]]</f>
        <v>45449</v>
      </c>
      <c r="I4615">
        <v>29</v>
      </c>
      <c r="J4615" t="s">
        <v>23</v>
      </c>
      <c r="K4615" s="3">
        <v>18582.77</v>
      </c>
      <c r="L4615" t="b">
        <f>TablaDatos[[#This Row],[FechaAlta]] &lt; TablaDatos[[#This Row],[FechaIngreso]]</f>
        <v>0</v>
      </c>
      <c r="M4615">
        <f>_xlfn.XLOOKUP(TablaDatos[[#This Row],[PacienteID]],'Datos_Ejemplo.csv'!A:A,'Datos_Ejemplo.csv'!I:I)</f>
        <v>29</v>
      </c>
      <c r="N4615">
        <f>ABS(TablaDatos[[#This Row],[DiasOriginal]])</f>
        <v>29</v>
      </c>
      <c r="O4615" s="1">
        <f>TablaDatos[[#This Row],[FechaIngreso]]+TablaDatos[[#This Row],[DiasNuevo]]</f>
        <v>45449</v>
      </c>
    </row>
    <row r="4616" spans="1:15">
      <c r="A4616">
        <v>4615</v>
      </c>
      <c r="B4616" t="s">
        <v>146</v>
      </c>
      <c r="C4616" s="1">
        <v>31778</v>
      </c>
      <c r="D4616">
        <v>39</v>
      </c>
      <c r="E4616" s="4" t="s">
        <v>197</v>
      </c>
      <c r="F4616" t="s">
        <v>295</v>
      </c>
      <c r="G4616" s="1">
        <v>45434</v>
      </c>
      <c r="H4616" s="1">
        <f>TablaDatos[[#This Row],[FechaIngreso]]+TablaDatos[[#This Row],[DiasNuevo]]</f>
        <v>45469</v>
      </c>
      <c r="I4616">
        <v>35</v>
      </c>
      <c r="J4616" t="s">
        <v>23</v>
      </c>
      <c r="K4616" s="3">
        <v>13656.75</v>
      </c>
      <c r="L4616" t="b">
        <f>TablaDatos[[#This Row],[FechaAlta]] &lt; TablaDatos[[#This Row],[FechaIngreso]]</f>
        <v>0</v>
      </c>
      <c r="M4616">
        <f>_xlfn.XLOOKUP(TablaDatos[[#This Row],[PacienteID]],'Datos_Ejemplo.csv'!A:A,'Datos_Ejemplo.csv'!I:I)</f>
        <v>35</v>
      </c>
      <c r="N4616">
        <f>ABS(TablaDatos[[#This Row],[DiasOriginal]])</f>
        <v>35</v>
      </c>
      <c r="O4616" s="1">
        <f>TablaDatos[[#This Row],[FechaIngreso]]+TablaDatos[[#This Row],[DiasNuevo]]</f>
        <v>45469</v>
      </c>
    </row>
    <row r="4617" spans="1:15">
      <c r="A4617">
        <v>4616</v>
      </c>
      <c r="B4617" t="s">
        <v>351</v>
      </c>
      <c r="C4617" s="1">
        <v>32143</v>
      </c>
      <c r="D4617">
        <v>38</v>
      </c>
      <c r="E4617" s="4" t="s">
        <v>15</v>
      </c>
      <c r="F4617" t="s">
        <v>13</v>
      </c>
      <c r="G4617" s="1">
        <v>45512</v>
      </c>
      <c r="H4617" s="1">
        <f>TablaDatos[[#This Row],[FechaIngreso]]+TablaDatos[[#This Row],[DiasNuevo]]</f>
        <v>45513</v>
      </c>
      <c r="I4617">
        <v>1</v>
      </c>
      <c r="J4617" t="s">
        <v>23</v>
      </c>
      <c r="K4617" s="3">
        <v>12390.82</v>
      </c>
      <c r="L4617" t="b">
        <f>TablaDatos[[#This Row],[FechaAlta]] &lt; TablaDatos[[#This Row],[FechaIngreso]]</f>
        <v>0</v>
      </c>
      <c r="M4617">
        <f>_xlfn.XLOOKUP(TablaDatos[[#This Row],[PacienteID]],'Datos_Ejemplo.csv'!A:A,'Datos_Ejemplo.csv'!I:I)</f>
        <v>-1</v>
      </c>
      <c r="N4617">
        <f>ABS(TablaDatos[[#This Row],[DiasOriginal]])</f>
        <v>1</v>
      </c>
      <c r="O4617" s="1">
        <f>TablaDatos[[#This Row],[FechaIngreso]]+TablaDatos[[#This Row],[DiasNuevo]]</f>
        <v>45513</v>
      </c>
    </row>
    <row r="4618" spans="1:15">
      <c r="A4618">
        <v>4617</v>
      </c>
      <c r="B4618" t="s">
        <v>272</v>
      </c>
      <c r="C4618" s="1">
        <v>37987</v>
      </c>
      <c r="D4618">
        <v>22</v>
      </c>
      <c r="E4618" s="4" t="s">
        <v>12</v>
      </c>
      <c r="F4618" t="s">
        <v>21</v>
      </c>
      <c r="G4618" s="1">
        <v>45258</v>
      </c>
      <c r="H4618" s="1">
        <f>TablaDatos[[#This Row],[FechaIngreso]]+TablaDatos[[#This Row],[DiasNuevo]]</f>
        <v>45260</v>
      </c>
      <c r="I4618">
        <v>2</v>
      </c>
      <c r="J4618" t="s">
        <v>23</v>
      </c>
      <c r="K4618" s="3">
        <v>15132.4</v>
      </c>
      <c r="L4618" t="b">
        <f>TablaDatos[[#This Row],[FechaAlta]] &lt; TablaDatos[[#This Row],[FechaIngreso]]</f>
        <v>0</v>
      </c>
      <c r="M4618">
        <f>_xlfn.XLOOKUP(TablaDatos[[#This Row],[PacienteID]],'Datos_Ejemplo.csv'!A:A,'Datos_Ejemplo.csv'!I:I)</f>
        <v>2</v>
      </c>
      <c r="N4618">
        <f>ABS(TablaDatos[[#This Row],[DiasOriginal]])</f>
        <v>2</v>
      </c>
      <c r="O4618" s="1">
        <f>TablaDatos[[#This Row],[FechaIngreso]]+TablaDatos[[#This Row],[DiasNuevo]]</f>
        <v>45260</v>
      </c>
    </row>
    <row r="4619" spans="1:15">
      <c r="A4619">
        <v>4618</v>
      </c>
      <c r="B4619" t="s">
        <v>357</v>
      </c>
      <c r="C4619" s="1">
        <v>27395</v>
      </c>
      <c r="D4619">
        <v>51</v>
      </c>
      <c r="E4619" s="4" t="s">
        <v>12</v>
      </c>
      <c r="F4619" t="s">
        <v>21</v>
      </c>
      <c r="G4619" s="1">
        <v>45095</v>
      </c>
      <c r="H4619" s="1">
        <f>TablaDatos[[#This Row],[FechaIngreso]]+TablaDatos[[#This Row],[DiasNuevo]]</f>
        <v>45125</v>
      </c>
      <c r="I4619">
        <v>30</v>
      </c>
      <c r="J4619" t="s">
        <v>19</v>
      </c>
      <c r="K4619" s="3">
        <v>11172.76</v>
      </c>
      <c r="L4619" t="b">
        <f>TablaDatos[[#This Row],[FechaAlta]] &lt; TablaDatos[[#This Row],[FechaIngreso]]</f>
        <v>0</v>
      </c>
      <c r="M4619">
        <f>_xlfn.XLOOKUP(TablaDatos[[#This Row],[PacienteID]],'Datos_Ejemplo.csv'!A:A,'Datos_Ejemplo.csv'!I:I)</f>
        <v>30</v>
      </c>
      <c r="N4619">
        <f>ABS(TablaDatos[[#This Row],[DiasOriginal]])</f>
        <v>30</v>
      </c>
      <c r="O4619" s="1">
        <f>TablaDatos[[#This Row],[FechaIngreso]]+TablaDatos[[#This Row],[DiasNuevo]]</f>
        <v>45125</v>
      </c>
    </row>
    <row r="4620" spans="1:15">
      <c r="A4620">
        <v>4619</v>
      </c>
      <c r="B4620" t="s">
        <v>296</v>
      </c>
      <c r="C4620" s="1">
        <v>29221</v>
      </c>
      <c r="D4620">
        <v>46</v>
      </c>
      <c r="E4620" s="4" t="s">
        <v>12</v>
      </c>
      <c r="F4620" t="s">
        <v>201</v>
      </c>
      <c r="G4620" s="1">
        <v>45598</v>
      </c>
      <c r="H4620" s="1">
        <f>TablaDatos[[#This Row],[FechaIngreso]]+TablaDatos[[#This Row],[DiasNuevo]]</f>
        <v>45630</v>
      </c>
      <c r="I4620">
        <v>32</v>
      </c>
      <c r="J4620" t="s">
        <v>25</v>
      </c>
      <c r="K4620" s="3">
        <v>3099.25</v>
      </c>
      <c r="L4620" t="b">
        <f>TablaDatos[[#This Row],[FechaAlta]] &lt; TablaDatos[[#This Row],[FechaIngreso]]</f>
        <v>0</v>
      </c>
      <c r="M4620">
        <f>_xlfn.XLOOKUP(TablaDatos[[#This Row],[PacienteID]],'Datos_Ejemplo.csv'!A:A,'Datos_Ejemplo.csv'!I:I)</f>
        <v>32</v>
      </c>
      <c r="N4620">
        <f>ABS(TablaDatos[[#This Row],[DiasOriginal]])</f>
        <v>32</v>
      </c>
      <c r="O4620" s="1">
        <f>TablaDatos[[#This Row],[FechaIngreso]]+TablaDatos[[#This Row],[DiasNuevo]]</f>
        <v>45630</v>
      </c>
    </row>
    <row r="4621" spans="1:15">
      <c r="A4621">
        <v>4620</v>
      </c>
      <c r="B4621" t="s">
        <v>326</v>
      </c>
      <c r="C4621" s="1">
        <v>23377</v>
      </c>
      <c r="D4621">
        <v>62</v>
      </c>
      <c r="E4621" s="4" t="s">
        <v>12</v>
      </c>
      <c r="F4621" t="s">
        <v>32</v>
      </c>
      <c r="G4621" s="1">
        <v>45607</v>
      </c>
      <c r="H4621" s="1">
        <f>TablaDatos[[#This Row],[FechaIngreso]]+TablaDatos[[#This Row],[DiasNuevo]]</f>
        <v>45623</v>
      </c>
      <c r="I4621">
        <v>16</v>
      </c>
      <c r="J4621" t="s">
        <v>23</v>
      </c>
      <c r="K4621" s="3">
        <v>6316.23</v>
      </c>
      <c r="L4621" t="b">
        <f>TablaDatos[[#This Row],[FechaAlta]] &lt; TablaDatos[[#This Row],[FechaIngreso]]</f>
        <v>0</v>
      </c>
      <c r="M4621">
        <f>_xlfn.XLOOKUP(TablaDatos[[#This Row],[PacienteID]],'Datos_Ejemplo.csv'!A:A,'Datos_Ejemplo.csv'!I:I)</f>
        <v>16</v>
      </c>
      <c r="N4621">
        <f>ABS(TablaDatos[[#This Row],[DiasOriginal]])</f>
        <v>16</v>
      </c>
      <c r="O4621" s="1">
        <f>TablaDatos[[#This Row],[FechaIngreso]]+TablaDatos[[#This Row],[DiasNuevo]]</f>
        <v>45623</v>
      </c>
    </row>
    <row r="4622" spans="1:15">
      <c r="A4622">
        <v>4621</v>
      </c>
      <c r="B4622" t="s">
        <v>236</v>
      </c>
      <c r="C4622" s="1">
        <v>21185</v>
      </c>
      <c r="D4622">
        <v>68</v>
      </c>
      <c r="E4622" s="4" t="s">
        <v>12</v>
      </c>
      <c r="F4622" t="s">
        <v>201</v>
      </c>
      <c r="G4622" s="1">
        <v>45132</v>
      </c>
      <c r="H4622" s="1">
        <f>TablaDatos[[#This Row],[FechaIngreso]]+TablaDatos[[#This Row],[DiasNuevo]]</f>
        <v>45144</v>
      </c>
      <c r="I4622">
        <v>12</v>
      </c>
      <c r="J4622" t="s">
        <v>23</v>
      </c>
      <c r="K4622" s="3">
        <v>11114.69</v>
      </c>
      <c r="L4622" t="b">
        <f>TablaDatos[[#This Row],[FechaAlta]] &lt; TablaDatos[[#This Row],[FechaIngreso]]</f>
        <v>0</v>
      </c>
      <c r="M4622">
        <f>_xlfn.XLOOKUP(TablaDatos[[#This Row],[PacienteID]],'Datos_Ejemplo.csv'!A:A,'Datos_Ejemplo.csv'!I:I)</f>
        <v>12</v>
      </c>
      <c r="N4622">
        <f>ABS(TablaDatos[[#This Row],[DiasOriginal]])</f>
        <v>12</v>
      </c>
      <c r="O4622" s="1">
        <f>TablaDatos[[#This Row],[FechaIngreso]]+TablaDatos[[#This Row],[DiasNuevo]]</f>
        <v>45144</v>
      </c>
    </row>
    <row r="4623" spans="1:15">
      <c r="A4623">
        <v>4622</v>
      </c>
      <c r="B4623" t="s">
        <v>233</v>
      </c>
      <c r="C4623" s="1">
        <v>30682</v>
      </c>
      <c r="D4623">
        <v>42</v>
      </c>
      <c r="E4623" s="4" t="s">
        <v>15</v>
      </c>
      <c r="F4623" t="s">
        <v>32</v>
      </c>
      <c r="G4623" s="1">
        <v>45447</v>
      </c>
      <c r="H4623" s="1">
        <f>TablaDatos[[#This Row],[FechaIngreso]]+TablaDatos[[#This Row],[DiasNuevo]]</f>
        <v>45479</v>
      </c>
      <c r="I4623">
        <v>32</v>
      </c>
      <c r="J4623" t="s">
        <v>23</v>
      </c>
      <c r="K4623" s="3">
        <v>265.17</v>
      </c>
      <c r="L4623" t="b">
        <f>TablaDatos[[#This Row],[FechaAlta]] &lt; TablaDatos[[#This Row],[FechaIngreso]]</f>
        <v>0</v>
      </c>
      <c r="M4623">
        <f>_xlfn.XLOOKUP(TablaDatos[[#This Row],[PacienteID]],'Datos_Ejemplo.csv'!A:A,'Datos_Ejemplo.csv'!I:I)</f>
        <v>32</v>
      </c>
      <c r="N4623">
        <f>ABS(TablaDatos[[#This Row],[DiasOriginal]])</f>
        <v>32</v>
      </c>
      <c r="O4623" s="1">
        <f>TablaDatos[[#This Row],[FechaIngreso]]+TablaDatos[[#This Row],[DiasNuevo]]</f>
        <v>45479</v>
      </c>
    </row>
    <row r="4624" spans="1:15">
      <c r="A4624">
        <v>4623</v>
      </c>
      <c r="B4624" t="s">
        <v>231</v>
      </c>
      <c r="C4624" s="1">
        <v>28856</v>
      </c>
      <c r="D4624">
        <v>47</v>
      </c>
      <c r="E4624" s="4" t="s">
        <v>15</v>
      </c>
      <c r="F4624" t="s">
        <v>201</v>
      </c>
      <c r="G4624" s="1">
        <v>45431</v>
      </c>
      <c r="H4624" s="1">
        <f>TablaDatos[[#This Row],[FechaIngreso]]+TablaDatos[[#This Row],[DiasNuevo]]</f>
        <v>45436</v>
      </c>
      <c r="I4624">
        <v>5</v>
      </c>
      <c r="J4624" t="s">
        <v>23</v>
      </c>
      <c r="K4624" s="3">
        <v>8690.75</v>
      </c>
      <c r="L4624" t="b">
        <f>TablaDatos[[#This Row],[FechaAlta]] &lt; TablaDatos[[#This Row],[FechaIngreso]]</f>
        <v>0</v>
      </c>
      <c r="M4624">
        <f>_xlfn.XLOOKUP(TablaDatos[[#This Row],[PacienteID]],'Datos_Ejemplo.csv'!A:A,'Datos_Ejemplo.csv'!I:I)</f>
        <v>5</v>
      </c>
      <c r="N4624">
        <f>ABS(TablaDatos[[#This Row],[DiasOriginal]])</f>
        <v>5</v>
      </c>
      <c r="O4624" s="1">
        <f>TablaDatos[[#This Row],[FechaIngreso]]+TablaDatos[[#This Row],[DiasNuevo]]</f>
        <v>45436</v>
      </c>
    </row>
    <row r="4625" spans="1:15">
      <c r="A4625">
        <v>4624</v>
      </c>
      <c r="B4625" t="s">
        <v>241</v>
      </c>
      <c r="C4625" s="1">
        <v>33969</v>
      </c>
      <c r="D4625">
        <v>33</v>
      </c>
      <c r="E4625" s="4" t="s">
        <v>15</v>
      </c>
      <c r="F4625" t="s">
        <v>32</v>
      </c>
      <c r="G4625" s="1">
        <v>45272</v>
      </c>
      <c r="H4625" s="1">
        <f>TablaDatos[[#This Row],[FechaIngreso]]+TablaDatos[[#This Row],[DiasNuevo]]</f>
        <v>45274</v>
      </c>
      <c r="I4625">
        <v>2</v>
      </c>
      <c r="J4625" t="s">
        <v>23</v>
      </c>
      <c r="K4625" s="3">
        <v>15091.64</v>
      </c>
      <c r="L4625" t="b">
        <f>TablaDatos[[#This Row],[FechaAlta]] &lt; TablaDatos[[#This Row],[FechaIngreso]]</f>
        <v>0</v>
      </c>
      <c r="M4625">
        <f>_xlfn.XLOOKUP(TablaDatos[[#This Row],[PacienteID]],'Datos_Ejemplo.csv'!A:A,'Datos_Ejemplo.csv'!I:I)</f>
        <v>-2</v>
      </c>
      <c r="N4625">
        <f>ABS(TablaDatos[[#This Row],[DiasOriginal]])</f>
        <v>2</v>
      </c>
      <c r="O4625" s="1">
        <f>TablaDatos[[#This Row],[FechaIngreso]]+TablaDatos[[#This Row],[DiasNuevo]]</f>
        <v>45274</v>
      </c>
    </row>
    <row r="4626" spans="1:15">
      <c r="A4626">
        <v>4625</v>
      </c>
      <c r="B4626" t="s">
        <v>51</v>
      </c>
      <c r="C4626" s="1">
        <v>31778</v>
      </c>
      <c r="D4626">
        <v>39</v>
      </c>
      <c r="E4626" s="4" t="s">
        <v>15</v>
      </c>
      <c r="F4626" t="s">
        <v>13</v>
      </c>
      <c r="G4626" s="1">
        <v>45230</v>
      </c>
      <c r="H4626" s="1">
        <f>TablaDatos[[#This Row],[FechaIngreso]]+TablaDatos[[#This Row],[DiasNuevo]]</f>
        <v>45265</v>
      </c>
      <c r="I4626">
        <v>35</v>
      </c>
      <c r="J4626" t="s">
        <v>25</v>
      </c>
      <c r="K4626" s="3">
        <v>3201.1</v>
      </c>
      <c r="L4626" t="b">
        <f>TablaDatos[[#This Row],[FechaAlta]] &lt; TablaDatos[[#This Row],[FechaIngreso]]</f>
        <v>0</v>
      </c>
      <c r="M4626">
        <f>_xlfn.XLOOKUP(TablaDatos[[#This Row],[PacienteID]],'Datos_Ejemplo.csv'!A:A,'Datos_Ejemplo.csv'!I:I)</f>
        <v>35</v>
      </c>
      <c r="N4626">
        <f>ABS(TablaDatos[[#This Row],[DiasOriginal]])</f>
        <v>35</v>
      </c>
      <c r="O4626" s="1">
        <f>TablaDatos[[#This Row],[FechaIngreso]]+TablaDatos[[#This Row],[DiasNuevo]]</f>
        <v>45265</v>
      </c>
    </row>
    <row r="4627" spans="1:15">
      <c r="A4627">
        <v>4626</v>
      </c>
      <c r="B4627" t="s">
        <v>355</v>
      </c>
      <c r="C4627" s="1">
        <v>18994</v>
      </c>
      <c r="D4627">
        <v>74</v>
      </c>
      <c r="E4627" s="4" t="s">
        <v>15</v>
      </c>
      <c r="F4627" t="s">
        <v>261</v>
      </c>
      <c r="G4627" s="1">
        <v>45041</v>
      </c>
      <c r="H4627" s="1">
        <f>TablaDatos[[#This Row],[FechaIngreso]]+TablaDatos[[#This Row],[DiasNuevo]]</f>
        <v>45060</v>
      </c>
      <c r="I4627">
        <v>19</v>
      </c>
      <c r="J4627" t="s">
        <v>19</v>
      </c>
      <c r="K4627" s="3">
        <v>1197.6300000000001</v>
      </c>
      <c r="L4627" t="b">
        <f>TablaDatos[[#This Row],[FechaAlta]] &lt; TablaDatos[[#This Row],[FechaIngreso]]</f>
        <v>0</v>
      </c>
      <c r="M4627">
        <f>_xlfn.XLOOKUP(TablaDatos[[#This Row],[PacienteID]],'Datos_Ejemplo.csv'!A:A,'Datos_Ejemplo.csv'!I:I)</f>
        <v>19</v>
      </c>
      <c r="N4627">
        <f>ABS(TablaDatos[[#This Row],[DiasOriginal]])</f>
        <v>19</v>
      </c>
      <c r="O4627" s="1">
        <f>TablaDatos[[#This Row],[FechaIngreso]]+TablaDatos[[#This Row],[DiasNuevo]]</f>
        <v>45060</v>
      </c>
    </row>
    <row r="4628" spans="1:15">
      <c r="A4628">
        <v>4627</v>
      </c>
      <c r="B4628" t="s">
        <v>361</v>
      </c>
      <c r="C4628" s="1">
        <v>24107</v>
      </c>
      <c r="D4628">
        <v>60</v>
      </c>
      <c r="E4628" s="4" t="s">
        <v>12</v>
      </c>
      <c r="F4628" t="s">
        <v>295</v>
      </c>
      <c r="G4628" s="1">
        <v>45590</v>
      </c>
      <c r="H4628" s="1">
        <f>TablaDatos[[#This Row],[FechaIngreso]]+TablaDatos[[#This Row],[DiasNuevo]]</f>
        <v>45604</v>
      </c>
      <c r="I4628">
        <v>14</v>
      </c>
      <c r="J4628" t="s">
        <v>25</v>
      </c>
      <c r="K4628" s="3">
        <v>16704.189999999999</v>
      </c>
      <c r="L4628" t="b">
        <f>TablaDatos[[#This Row],[FechaAlta]] &lt; TablaDatos[[#This Row],[FechaIngreso]]</f>
        <v>0</v>
      </c>
      <c r="M4628">
        <f>_xlfn.XLOOKUP(TablaDatos[[#This Row],[PacienteID]],'Datos_Ejemplo.csv'!A:A,'Datos_Ejemplo.csv'!I:I)</f>
        <v>14</v>
      </c>
      <c r="N4628">
        <f>ABS(TablaDatos[[#This Row],[DiasOriginal]])</f>
        <v>14</v>
      </c>
      <c r="O4628" s="1">
        <f>TablaDatos[[#This Row],[FechaIngreso]]+TablaDatos[[#This Row],[DiasNuevo]]</f>
        <v>45604</v>
      </c>
    </row>
    <row r="4629" spans="1:15">
      <c r="A4629">
        <v>4628</v>
      </c>
      <c r="B4629" t="s">
        <v>329</v>
      </c>
      <c r="C4629" s="1">
        <v>28125</v>
      </c>
      <c r="D4629">
        <v>49</v>
      </c>
      <c r="E4629" s="4" t="s">
        <v>15</v>
      </c>
      <c r="F4629" t="s">
        <v>32</v>
      </c>
      <c r="G4629" s="1">
        <v>45013</v>
      </c>
      <c r="H4629" s="1">
        <f>TablaDatos[[#This Row],[FechaIngreso]]+TablaDatos[[#This Row],[DiasNuevo]]</f>
        <v>45026</v>
      </c>
      <c r="I4629">
        <v>13</v>
      </c>
      <c r="J4629" t="s">
        <v>19</v>
      </c>
      <c r="K4629" s="3">
        <v>12307.2</v>
      </c>
      <c r="L4629" t="b">
        <f>TablaDatos[[#This Row],[FechaAlta]] &lt; TablaDatos[[#This Row],[FechaIngreso]]</f>
        <v>0</v>
      </c>
      <c r="M4629">
        <f>_xlfn.XLOOKUP(TablaDatos[[#This Row],[PacienteID]],'Datos_Ejemplo.csv'!A:A,'Datos_Ejemplo.csv'!I:I)</f>
        <v>13</v>
      </c>
      <c r="N4629">
        <f>ABS(TablaDatos[[#This Row],[DiasOriginal]])</f>
        <v>13</v>
      </c>
      <c r="O4629" s="1">
        <f>TablaDatos[[#This Row],[FechaIngreso]]+TablaDatos[[#This Row],[DiasNuevo]]</f>
        <v>45026</v>
      </c>
    </row>
    <row r="4630" spans="1:15">
      <c r="A4630">
        <v>4629</v>
      </c>
      <c r="B4630" t="s">
        <v>269</v>
      </c>
      <c r="C4630" s="1">
        <v>21916</v>
      </c>
      <c r="D4630">
        <v>66</v>
      </c>
      <c r="E4630" s="4" t="s">
        <v>12</v>
      </c>
      <c r="F4630" t="s">
        <v>18</v>
      </c>
      <c r="G4630" s="1">
        <v>45021</v>
      </c>
      <c r="H4630" s="1">
        <f>TablaDatos[[#This Row],[FechaIngreso]]+TablaDatos[[#This Row],[DiasNuevo]]</f>
        <v>45023</v>
      </c>
      <c r="I4630">
        <v>2</v>
      </c>
      <c r="J4630" t="s">
        <v>25</v>
      </c>
      <c r="K4630" s="3">
        <v>3449.24</v>
      </c>
      <c r="L4630" t="b">
        <f>TablaDatos[[#This Row],[FechaAlta]] &lt; TablaDatos[[#This Row],[FechaIngreso]]</f>
        <v>0</v>
      </c>
      <c r="M4630">
        <f>_xlfn.XLOOKUP(TablaDatos[[#This Row],[PacienteID]],'Datos_Ejemplo.csv'!A:A,'Datos_Ejemplo.csv'!I:I)</f>
        <v>-2</v>
      </c>
      <c r="N4630">
        <f>ABS(TablaDatos[[#This Row],[DiasOriginal]])</f>
        <v>2</v>
      </c>
      <c r="O4630" s="1">
        <f>TablaDatos[[#This Row],[FechaIngreso]]+TablaDatos[[#This Row],[DiasNuevo]]</f>
        <v>45023</v>
      </c>
    </row>
    <row r="4631" spans="1:15">
      <c r="A4631">
        <v>4630</v>
      </c>
      <c r="B4631" t="s">
        <v>164</v>
      </c>
      <c r="C4631" s="1">
        <v>23742</v>
      </c>
      <c r="D4631">
        <v>61</v>
      </c>
      <c r="E4631" s="4" t="s">
        <v>15</v>
      </c>
      <c r="F4631" t="s">
        <v>32</v>
      </c>
      <c r="G4631" s="1">
        <v>45354</v>
      </c>
      <c r="H4631" s="1">
        <f>TablaDatos[[#This Row],[FechaIngreso]]+TablaDatos[[#This Row],[DiasNuevo]]</f>
        <v>45354</v>
      </c>
      <c r="I4631">
        <v>0</v>
      </c>
      <c r="J4631" t="s">
        <v>19</v>
      </c>
      <c r="K4631" s="3">
        <v>16106.73</v>
      </c>
      <c r="L4631" t="b">
        <f>TablaDatos[[#This Row],[FechaAlta]] &lt; TablaDatos[[#This Row],[FechaIngreso]]</f>
        <v>0</v>
      </c>
      <c r="M4631">
        <f>_xlfn.XLOOKUP(TablaDatos[[#This Row],[PacienteID]],'Datos_Ejemplo.csv'!A:A,'Datos_Ejemplo.csv'!I:I)</f>
        <v>0</v>
      </c>
      <c r="N4631">
        <f>ABS(TablaDatos[[#This Row],[DiasOriginal]])</f>
        <v>0</v>
      </c>
      <c r="O4631" s="1">
        <f>TablaDatos[[#This Row],[FechaIngreso]]+TablaDatos[[#This Row],[DiasNuevo]]</f>
        <v>45354</v>
      </c>
    </row>
    <row r="4632" spans="1:15">
      <c r="A4632">
        <v>4631</v>
      </c>
      <c r="B4632" t="s">
        <v>105</v>
      </c>
      <c r="C4632" s="1">
        <v>25203</v>
      </c>
      <c r="D4632">
        <v>57</v>
      </c>
      <c r="E4632" s="4" t="s">
        <v>12</v>
      </c>
      <c r="F4632" t="s">
        <v>13</v>
      </c>
      <c r="G4632" s="1">
        <v>45624</v>
      </c>
      <c r="H4632" s="1">
        <f>TablaDatos[[#This Row],[FechaIngreso]]+TablaDatos[[#This Row],[DiasNuevo]]</f>
        <v>45627</v>
      </c>
      <c r="I4632">
        <v>3</v>
      </c>
      <c r="J4632" t="s">
        <v>23</v>
      </c>
      <c r="K4632" s="3">
        <v>13128.4</v>
      </c>
      <c r="L4632" t="b">
        <f>TablaDatos[[#This Row],[FechaAlta]] &lt; TablaDatos[[#This Row],[FechaIngreso]]</f>
        <v>0</v>
      </c>
      <c r="M4632">
        <f>_xlfn.XLOOKUP(TablaDatos[[#This Row],[PacienteID]],'Datos_Ejemplo.csv'!A:A,'Datos_Ejemplo.csv'!I:I)</f>
        <v>3</v>
      </c>
      <c r="N4632">
        <f>ABS(TablaDatos[[#This Row],[DiasOriginal]])</f>
        <v>3</v>
      </c>
      <c r="O4632" s="1">
        <f>TablaDatos[[#This Row],[FechaIngreso]]+TablaDatos[[#This Row],[DiasNuevo]]</f>
        <v>45627</v>
      </c>
    </row>
    <row r="4633" spans="1:15">
      <c r="A4633">
        <v>4632</v>
      </c>
      <c r="B4633" t="s">
        <v>122</v>
      </c>
      <c r="C4633" s="1">
        <v>34334</v>
      </c>
      <c r="D4633">
        <v>32</v>
      </c>
      <c r="E4633" s="4" t="s">
        <v>12</v>
      </c>
      <c r="F4633" t="s">
        <v>295</v>
      </c>
      <c r="G4633" s="1">
        <v>45376</v>
      </c>
      <c r="H4633" s="1">
        <f>TablaDatos[[#This Row],[FechaIngreso]]+TablaDatos[[#This Row],[DiasNuevo]]</f>
        <v>45376</v>
      </c>
      <c r="I4633">
        <v>0</v>
      </c>
      <c r="J4633" t="s">
        <v>23</v>
      </c>
      <c r="K4633" s="3">
        <v>6615.8</v>
      </c>
      <c r="L4633" t="b">
        <f>TablaDatos[[#This Row],[FechaAlta]] &lt; TablaDatos[[#This Row],[FechaIngreso]]</f>
        <v>0</v>
      </c>
      <c r="M4633">
        <f>_xlfn.XLOOKUP(TablaDatos[[#This Row],[PacienteID]],'Datos_Ejemplo.csv'!A:A,'Datos_Ejemplo.csv'!I:I)</f>
        <v>0</v>
      </c>
      <c r="N4633">
        <f>ABS(TablaDatos[[#This Row],[DiasOriginal]])</f>
        <v>0</v>
      </c>
      <c r="O4633" s="1">
        <f>TablaDatos[[#This Row],[FechaIngreso]]+TablaDatos[[#This Row],[DiasNuevo]]</f>
        <v>45376</v>
      </c>
    </row>
    <row r="4634" spans="1:15">
      <c r="A4634">
        <v>4633</v>
      </c>
      <c r="B4634" t="s">
        <v>276</v>
      </c>
      <c r="C4634" s="1">
        <v>18994</v>
      </c>
      <c r="D4634">
        <v>74</v>
      </c>
      <c r="E4634" s="4" t="s">
        <v>15</v>
      </c>
      <c r="F4634" t="s">
        <v>32</v>
      </c>
      <c r="G4634" s="1">
        <v>45552</v>
      </c>
      <c r="H4634" s="1">
        <f>TablaDatos[[#This Row],[FechaIngreso]]+TablaDatos[[#This Row],[DiasNuevo]]</f>
        <v>45579</v>
      </c>
      <c r="I4634">
        <v>27</v>
      </c>
      <c r="J4634" t="s">
        <v>19</v>
      </c>
      <c r="K4634" s="3">
        <v>7461.55</v>
      </c>
      <c r="L4634" t="b">
        <f>TablaDatos[[#This Row],[FechaAlta]] &lt; TablaDatos[[#This Row],[FechaIngreso]]</f>
        <v>0</v>
      </c>
      <c r="M4634">
        <f>_xlfn.XLOOKUP(TablaDatos[[#This Row],[PacienteID]],'Datos_Ejemplo.csv'!A:A,'Datos_Ejemplo.csv'!I:I)</f>
        <v>27</v>
      </c>
      <c r="N4634">
        <f>ABS(TablaDatos[[#This Row],[DiasOriginal]])</f>
        <v>27</v>
      </c>
      <c r="O4634" s="1">
        <f>TablaDatos[[#This Row],[FechaIngreso]]+TablaDatos[[#This Row],[DiasNuevo]]</f>
        <v>45579</v>
      </c>
    </row>
    <row r="4635" spans="1:15">
      <c r="A4635">
        <v>4634</v>
      </c>
      <c r="B4635" t="s">
        <v>325</v>
      </c>
      <c r="C4635" s="1">
        <v>40544</v>
      </c>
      <c r="D4635">
        <v>15</v>
      </c>
      <c r="E4635" s="4" t="s">
        <v>15</v>
      </c>
      <c r="F4635" t="s">
        <v>201</v>
      </c>
      <c r="G4635" s="1">
        <v>45467</v>
      </c>
      <c r="H4635" s="1">
        <f>TablaDatos[[#This Row],[FechaIngreso]]+TablaDatos[[#This Row],[DiasNuevo]]</f>
        <v>45475</v>
      </c>
      <c r="I4635">
        <v>8</v>
      </c>
      <c r="J4635" t="s">
        <v>19</v>
      </c>
      <c r="K4635" s="3">
        <v>3033.35</v>
      </c>
      <c r="L4635" t="b">
        <f>TablaDatos[[#This Row],[FechaAlta]] &lt; TablaDatos[[#This Row],[FechaIngreso]]</f>
        <v>0</v>
      </c>
      <c r="M4635">
        <f>_xlfn.XLOOKUP(TablaDatos[[#This Row],[PacienteID]],'Datos_Ejemplo.csv'!A:A,'Datos_Ejemplo.csv'!I:I)</f>
        <v>8</v>
      </c>
      <c r="N4635">
        <f>ABS(TablaDatos[[#This Row],[DiasOriginal]])</f>
        <v>8</v>
      </c>
      <c r="O4635" s="1">
        <f>TablaDatos[[#This Row],[FechaIngreso]]+TablaDatos[[#This Row],[DiasNuevo]]</f>
        <v>45475</v>
      </c>
    </row>
    <row r="4636" spans="1:15">
      <c r="A4636">
        <v>4635</v>
      </c>
      <c r="B4636" t="s">
        <v>344</v>
      </c>
      <c r="C4636" s="1">
        <v>16437</v>
      </c>
      <c r="D4636">
        <v>81</v>
      </c>
      <c r="E4636" s="4" t="s">
        <v>12</v>
      </c>
      <c r="F4636" t="s">
        <v>295</v>
      </c>
      <c r="G4636" s="1">
        <v>45641</v>
      </c>
      <c r="H4636" s="1">
        <f>TablaDatos[[#This Row],[FechaIngreso]]+TablaDatos[[#This Row],[DiasNuevo]]</f>
        <v>45665</v>
      </c>
      <c r="I4636">
        <v>24</v>
      </c>
      <c r="J4636" t="s">
        <v>23</v>
      </c>
      <c r="K4636" s="3">
        <v>16688.64</v>
      </c>
      <c r="L4636" t="b">
        <f>TablaDatos[[#This Row],[FechaAlta]] &lt; TablaDatos[[#This Row],[FechaIngreso]]</f>
        <v>0</v>
      </c>
      <c r="M4636">
        <f>_xlfn.XLOOKUP(TablaDatos[[#This Row],[PacienteID]],'Datos_Ejemplo.csv'!A:A,'Datos_Ejemplo.csv'!I:I)</f>
        <v>24</v>
      </c>
      <c r="N4636">
        <f>ABS(TablaDatos[[#This Row],[DiasOriginal]])</f>
        <v>24</v>
      </c>
      <c r="O4636" s="1">
        <f>TablaDatos[[#This Row],[FechaIngreso]]+TablaDatos[[#This Row],[DiasNuevo]]</f>
        <v>45665</v>
      </c>
    </row>
    <row r="4637" spans="1:15">
      <c r="A4637">
        <v>4636</v>
      </c>
      <c r="B4637" t="s">
        <v>114</v>
      </c>
      <c r="C4637" s="1">
        <v>12054</v>
      </c>
      <c r="D4637">
        <v>93</v>
      </c>
      <c r="E4637" s="4" t="s">
        <v>15</v>
      </c>
      <c r="F4637" t="s">
        <v>18</v>
      </c>
      <c r="G4637" s="1">
        <v>44928</v>
      </c>
      <c r="H4637" s="1">
        <f>TablaDatos[[#This Row],[FechaIngreso]]+TablaDatos[[#This Row],[DiasNuevo]]</f>
        <v>44947</v>
      </c>
      <c r="I4637">
        <v>19</v>
      </c>
      <c r="J4637" t="s">
        <v>23</v>
      </c>
      <c r="K4637" s="3">
        <v>10131.030000000001</v>
      </c>
      <c r="L4637" t="b">
        <f>TablaDatos[[#This Row],[FechaAlta]] &lt; TablaDatos[[#This Row],[FechaIngreso]]</f>
        <v>0</v>
      </c>
      <c r="M4637">
        <f>_xlfn.XLOOKUP(TablaDatos[[#This Row],[PacienteID]],'Datos_Ejemplo.csv'!A:A,'Datos_Ejemplo.csv'!I:I)</f>
        <v>19</v>
      </c>
      <c r="N4637">
        <f>ABS(TablaDatos[[#This Row],[DiasOriginal]])</f>
        <v>19</v>
      </c>
      <c r="O4637" s="1">
        <f>TablaDatos[[#This Row],[FechaIngreso]]+TablaDatos[[#This Row],[DiasNuevo]]</f>
        <v>44947</v>
      </c>
    </row>
    <row r="4638" spans="1:15">
      <c r="A4638">
        <v>4637</v>
      </c>
      <c r="B4638" t="s">
        <v>306</v>
      </c>
      <c r="C4638" s="1">
        <v>28856</v>
      </c>
      <c r="D4638">
        <v>47</v>
      </c>
      <c r="E4638" s="4" t="s">
        <v>15</v>
      </c>
      <c r="F4638" t="s">
        <v>21</v>
      </c>
      <c r="G4638" s="1">
        <v>45004</v>
      </c>
      <c r="H4638" s="1">
        <f>TablaDatos[[#This Row],[FechaIngreso]]+TablaDatos[[#This Row],[DiasNuevo]]</f>
        <v>45007</v>
      </c>
      <c r="I4638">
        <v>3</v>
      </c>
      <c r="J4638" t="s">
        <v>23</v>
      </c>
      <c r="K4638" s="3">
        <v>11096.08</v>
      </c>
      <c r="L4638" t="b">
        <f>TablaDatos[[#This Row],[FechaAlta]] &lt; TablaDatos[[#This Row],[FechaIngreso]]</f>
        <v>0</v>
      </c>
      <c r="M4638">
        <f>_xlfn.XLOOKUP(TablaDatos[[#This Row],[PacienteID]],'Datos_Ejemplo.csv'!A:A,'Datos_Ejemplo.csv'!I:I)</f>
        <v>3</v>
      </c>
      <c r="N4638">
        <f>ABS(TablaDatos[[#This Row],[DiasOriginal]])</f>
        <v>3</v>
      </c>
      <c r="O4638" s="1">
        <f>TablaDatos[[#This Row],[FechaIngreso]]+TablaDatos[[#This Row],[DiasNuevo]]</f>
        <v>45007</v>
      </c>
    </row>
    <row r="4639" spans="1:15">
      <c r="A4639">
        <v>4638</v>
      </c>
      <c r="B4639" t="s">
        <v>282</v>
      </c>
      <c r="C4639" s="1">
        <v>42735</v>
      </c>
      <c r="D4639">
        <v>9</v>
      </c>
      <c r="E4639" s="4" t="s">
        <v>15</v>
      </c>
      <c r="F4639" t="s">
        <v>201</v>
      </c>
      <c r="G4639" s="1">
        <v>45250</v>
      </c>
      <c r="H4639" s="1">
        <f>TablaDatos[[#This Row],[FechaIngreso]]+TablaDatos[[#This Row],[DiasNuevo]]</f>
        <v>45285</v>
      </c>
      <c r="I4639">
        <v>35</v>
      </c>
      <c r="J4639" t="s">
        <v>19</v>
      </c>
      <c r="K4639" s="3">
        <v>17658.189999999999</v>
      </c>
      <c r="L4639" t="b">
        <f>TablaDatos[[#This Row],[FechaAlta]] &lt; TablaDatos[[#This Row],[FechaIngreso]]</f>
        <v>0</v>
      </c>
      <c r="M4639">
        <f>_xlfn.XLOOKUP(TablaDatos[[#This Row],[PacienteID]],'Datos_Ejemplo.csv'!A:A,'Datos_Ejemplo.csv'!I:I)</f>
        <v>35</v>
      </c>
      <c r="N4639">
        <f>ABS(TablaDatos[[#This Row],[DiasOriginal]])</f>
        <v>35</v>
      </c>
      <c r="O4639" s="1">
        <f>TablaDatos[[#This Row],[FechaIngreso]]+TablaDatos[[#This Row],[DiasNuevo]]</f>
        <v>45285</v>
      </c>
    </row>
    <row r="4640" spans="1:15">
      <c r="A4640">
        <v>4639</v>
      </c>
      <c r="B4640" t="s">
        <v>116</v>
      </c>
      <c r="C4640" s="1">
        <v>16437</v>
      </c>
      <c r="D4640">
        <v>81</v>
      </c>
      <c r="E4640" s="4" t="s">
        <v>12</v>
      </c>
      <c r="F4640" t="s">
        <v>295</v>
      </c>
      <c r="G4640" s="1">
        <v>45024</v>
      </c>
      <c r="H4640" s="1">
        <f>TablaDatos[[#This Row],[FechaIngreso]]+TablaDatos[[#This Row],[DiasNuevo]]</f>
        <v>45062</v>
      </c>
      <c r="I4640">
        <v>38</v>
      </c>
      <c r="J4640" t="s">
        <v>19</v>
      </c>
      <c r="K4640" s="3">
        <v>218.2</v>
      </c>
      <c r="L4640" t="b">
        <f>TablaDatos[[#This Row],[FechaAlta]] &lt; TablaDatos[[#This Row],[FechaIngreso]]</f>
        <v>0</v>
      </c>
      <c r="M4640">
        <f>_xlfn.XLOOKUP(TablaDatos[[#This Row],[PacienteID]],'Datos_Ejemplo.csv'!A:A,'Datos_Ejemplo.csv'!I:I)</f>
        <v>38</v>
      </c>
      <c r="N4640">
        <f>ABS(TablaDatos[[#This Row],[DiasOriginal]])</f>
        <v>38</v>
      </c>
      <c r="O4640" s="1">
        <f>TablaDatos[[#This Row],[FechaIngreso]]+TablaDatos[[#This Row],[DiasNuevo]]</f>
        <v>45062</v>
      </c>
    </row>
    <row r="4641" spans="1:15">
      <c r="A4641">
        <v>4640</v>
      </c>
      <c r="B4641" t="s">
        <v>111</v>
      </c>
      <c r="C4641" s="1">
        <v>32508</v>
      </c>
      <c r="D4641">
        <v>37</v>
      </c>
      <c r="E4641" s="4" t="s">
        <v>12</v>
      </c>
      <c r="F4641" t="s">
        <v>261</v>
      </c>
      <c r="G4641" s="1">
        <v>45555</v>
      </c>
      <c r="H4641" s="1">
        <f>TablaDatos[[#This Row],[FechaIngreso]]+TablaDatos[[#This Row],[DiasNuevo]]</f>
        <v>45583</v>
      </c>
      <c r="I4641">
        <v>28</v>
      </c>
      <c r="J4641" t="s">
        <v>23</v>
      </c>
      <c r="K4641" s="3">
        <v>1245.1500000000001</v>
      </c>
      <c r="L4641" t="b">
        <f>TablaDatos[[#This Row],[FechaAlta]] &lt; TablaDatos[[#This Row],[FechaIngreso]]</f>
        <v>0</v>
      </c>
      <c r="M4641">
        <f>_xlfn.XLOOKUP(TablaDatos[[#This Row],[PacienteID]],'Datos_Ejemplo.csv'!A:A,'Datos_Ejemplo.csv'!I:I)</f>
        <v>28</v>
      </c>
      <c r="N4641">
        <f>ABS(TablaDatos[[#This Row],[DiasOriginal]])</f>
        <v>28</v>
      </c>
      <c r="O4641" s="1">
        <f>TablaDatos[[#This Row],[FechaIngreso]]+TablaDatos[[#This Row],[DiasNuevo]]</f>
        <v>45583</v>
      </c>
    </row>
    <row r="4642" spans="1:15">
      <c r="A4642">
        <v>4641</v>
      </c>
      <c r="B4642" t="s">
        <v>330</v>
      </c>
      <c r="C4642" s="1">
        <v>39448</v>
      </c>
      <c r="D4642">
        <v>18</v>
      </c>
      <c r="E4642" s="4" t="s">
        <v>12</v>
      </c>
      <c r="F4642" t="s">
        <v>32</v>
      </c>
      <c r="G4642" s="1">
        <v>45036</v>
      </c>
      <c r="H4642" s="1">
        <f>TablaDatos[[#This Row],[FechaIngreso]]+TablaDatos[[#This Row],[DiasNuevo]]</f>
        <v>45039</v>
      </c>
      <c r="I4642">
        <v>3</v>
      </c>
      <c r="J4642" t="s">
        <v>25</v>
      </c>
      <c r="K4642" s="3">
        <v>3147.74</v>
      </c>
      <c r="L4642" t="b">
        <f>TablaDatos[[#This Row],[FechaAlta]] &lt; TablaDatos[[#This Row],[FechaIngreso]]</f>
        <v>0</v>
      </c>
      <c r="M4642">
        <f>_xlfn.XLOOKUP(TablaDatos[[#This Row],[PacienteID]],'Datos_Ejemplo.csv'!A:A,'Datos_Ejemplo.csv'!I:I)</f>
        <v>3</v>
      </c>
      <c r="N4642">
        <f>ABS(TablaDatos[[#This Row],[DiasOriginal]])</f>
        <v>3</v>
      </c>
      <c r="O4642" s="1">
        <f>TablaDatos[[#This Row],[FechaIngreso]]+TablaDatos[[#This Row],[DiasNuevo]]</f>
        <v>45039</v>
      </c>
    </row>
    <row r="4643" spans="1:15">
      <c r="A4643">
        <v>4642</v>
      </c>
      <c r="B4643" t="s">
        <v>245</v>
      </c>
      <c r="C4643" s="1">
        <v>33239</v>
      </c>
      <c r="D4643">
        <v>35</v>
      </c>
      <c r="E4643" s="4" t="s">
        <v>12</v>
      </c>
      <c r="F4643" t="s">
        <v>201</v>
      </c>
      <c r="G4643" s="1">
        <v>45605</v>
      </c>
      <c r="H4643" s="1">
        <f>TablaDatos[[#This Row],[FechaIngreso]]+TablaDatos[[#This Row],[DiasNuevo]]</f>
        <v>45622</v>
      </c>
      <c r="I4643">
        <v>17</v>
      </c>
      <c r="J4643" t="s">
        <v>23</v>
      </c>
      <c r="K4643" s="3">
        <v>503.76</v>
      </c>
      <c r="L4643" t="b">
        <f>TablaDatos[[#This Row],[FechaAlta]] &lt; TablaDatos[[#This Row],[FechaIngreso]]</f>
        <v>0</v>
      </c>
      <c r="M4643">
        <f>_xlfn.XLOOKUP(TablaDatos[[#This Row],[PacienteID]],'Datos_Ejemplo.csv'!A:A,'Datos_Ejemplo.csv'!I:I)</f>
        <v>17</v>
      </c>
      <c r="N4643">
        <f>ABS(TablaDatos[[#This Row],[DiasOriginal]])</f>
        <v>17</v>
      </c>
      <c r="O4643" s="1">
        <f>TablaDatos[[#This Row],[FechaIngreso]]+TablaDatos[[#This Row],[DiasNuevo]]</f>
        <v>45622</v>
      </c>
    </row>
    <row r="4644" spans="1:15">
      <c r="A4644">
        <v>4643</v>
      </c>
      <c r="B4644" t="s">
        <v>279</v>
      </c>
      <c r="C4644" s="1">
        <v>24838</v>
      </c>
      <c r="D4644">
        <f ca="1">DATEDIF(TablaDatos[[#This Row],[FechaNacimiento]],TODAY(),"Y")</f>
        <v>58</v>
      </c>
      <c r="E4644" s="4" t="s">
        <v>12</v>
      </c>
      <c r="F4644" t="s">
        <v>13</v>
      </c>
      <c r="G4644" s="1">
        <v>45383</v>
      </c>
      <c r="H4644" s="1">
        <f>TablaDatos[[#This Row],[FechaIngreso]]+TablaDatos[[#This Row],[DiasNuevo]]</f>
        <v>45421</v>
      </c>
      <c r="I4644">
        <v>38</v>
      </c>
      <c r="J4644" t="s">
        <v>19</v>
      </c>
      <c r="K4644" s="3">
        <v>13128.94</v>
      </c>
      <c r="L4644" t="b">
        <f>TablaDatos[[#This Row],[FechaAlta]] &lt; TablaDatos[[#This Row],[FechaIngreso]]</f>
        <v>0</v>
      </c>
      <c r="M4644">
        <f>_xlfn.XLOOKUP(TablaDatos[[#This Row],[PacienteID]],'Datos_Ejemplo.csv'!A:A,'Datos_Ejemplo.csv'!I:I)</f>
        <v>38</v>
      </c>
      <c r="N4644">
        <f>ABS(TablaDatos[[#This Row],[DiasOriginal]])</f>
        <v>38</v>
      </c>
      <c r="O4644" s="1">
        <f>TablaDatos[[#This Row],[FechaIngreso]]+TablaDatos[[#This Row],[DiasNuevo]]</f>
        <v>45421</v>
      </c>
    </row>
    <row r="4645" spans="1:15">
      <c r="A4645">
        <v>4644</v>
      </c>
      <c r="B4645" t="s">
        <v>251</v>
      </c>
      <c r="C4645" s="1">
        <v>23377</v>
      </c>
      <c r="D4645">
        <v>62</v>
      </c>
      <c r="E4645" s="4" t="s">
        <v>12</v>
      </c>
      <c r="F4645" t="s">
        <v>261</v>
      </c>
      <c r="G4645" s="1">
        <v>45414</v>
      </c>
      <c r="H4645" s="1">
        <f>TablaDatos[[#This Row],[FechaIngreso]]+TablaDatos[[#This Row],[DiasNuevo]]</f>
        <v>45422</v>
      </c>
      <c r="I4645">
        <v>8</v>
      </c>
      <c r="J4645" t="s">
        <v>19</v>
      </c>
      <c r="K4645" s="3">
        <v>12640.98</v>
      </c>
      <c r="L4645" t="b">
        <f>TablaDatos[[#This Row],[FechaAlta]] &lt; TablaDatos[[#This Row],[FechaIngreso]]</f>
        <v>0</v>
      </c>
      <c r="M4645">
        <f>_xlfn.XLOOKUP(TablaDatos[[#This Row],[PacienteID]],'Datos_Ejemplo.csv'!A:A,'Datos_Ejemplo.csv'!I:I)</f>
        <v>8</v>
      </c>
      <c r="N4645">
        <f>ABS(TablaDatos[[#This Row],[DiasOriginal]])</f>
        <v>8</v>
      </c>
      <c r="O4645" s="1">
        <f>TablaDatos[[#This Row],[FechaIngreso]]+TablaDatos[[#This Row],[DiasNuevo]]</f>
        <v>45422</v>
      </c>
    </row>
    <row r="4646" spans="1:15">
      <c r="A4646">
        <v>4645</v>
      </c>
      <c r="B4646" t="s">
        <v>284</v>
      </c>
      <c r="C4646" s="1">
        <v>18263</v>
      </c>
      <c r="D4646">
        <v>76</v>
      </c>
      <c r="E4646" s="4" t="s">
        <v>197</v>
      </c>
      <c r="F4646" t="s">
        <v>261</v>
      </c>
      <c r="G4646" s="1">
        <v>45297</v>
      </c>
      <c r="H4646" s="1">
        <f>TablaDatos[[#This Row],[FechaIngreso]]+TablaDatos[[#This Row],[DiasNuevo]]</f>
        <v>45298</v>
      </c>
      <c r="I4646">
        <v>1</v>
      </c>
      <c r="J4646" t="s">
        <v>19</v>
      </c>
      <c r="K4646" s="3">
        <v>4137.12</v>
      </c>
      <c r="L4646" t="b">
        <f>TablaDatos[[#This Row],[FechaAlta]] &lt; TablaDatos[[#This Row],[FechaIngreso]]</f>
        <v>0</v>
      </c>
      <c r="M4646">
        <f>_xlfn.XLOOKUP(TablaDatos[[#This Row],[PacienteID]],'Datos_Ejemplo.csv'!A:A,'Datos_Ejemplo.csv'!I:I)</f>
        <v>-1</v>
      </c>
      <c r="N4646">
        <f>ABS(TablaDatos[[#This Row],[DiasOriginal]])</f>
        <v>1</v>
      </c>
      <c r="O4646" s="1">
        <f>TablaDatos[[#This Row],[FechaIngreso]]+TablaDatos[[#This Row],[DiasNuevo]]</f>
        <v>45298</v>
      </c>
    </row>
    <row r="4647" spans="1:15">
      <c r="A4647">
        <v>4646</v>
      </c>
      <c r="B4647" t="s">
        <v>237</v>
      </c>
      <c r="C4647" s="1">
        <v>29586</v>
      </c>
      <c r="D4647">
        <v>45</v>
      </c>
      <c r="E4647" s="4" t="s">
        <v>15</v>
      </c>
      <c r="F4647" t="s">
        <v>13</v>
      </c>
      <c r="G4647" s="1">
        <v>45263</v>
      </c>
      <c r="H4647" s="1">
        <f>TablaDatos[[#This Row],[FechaIngreso]]+TablaDatos[[#This Row],[DiasNuevo]]</f>
        <v>45291</v>
      </c>
      <c r="I4647">
        <v>28</v>
      </c>
      <c r="J4647" t="s">
        <v>23</v>
      </c>
      <c r="K4647" s="3">
        <v>2903.07</v>
      </c>
      <c r="L4647" t="b">
        <f>TablaDatos[[#This Row],[FechaAlta]] &lt; TablaDatos[[#This Row],[FechaIngreso]]</f>
        <v>0</v>
      </c>
      <c r="M4647">
        <f>_xlfn.XLOOKUP(TablaDatos[[#This Row],[PacienteID]],'Datos_Ejemplo.csv'!A:A,'Datos_Ejemplo.csv'!I:I)</f>
        <v>28</v>
      </c>
      <c r="N4647">
        <f>ABS(TablaDatos[[#This Row],[DiasOriginal]])</f>
        <v>28</v>
      </c>
      <c r="O4647" s="1">
        <f>TablaDatos[[#This Row],[FechaIngreso]]+TablaDatos[[#This Row],[DiasNuevo]]</f>
        <v>45291</v>
      </c>
    </row>
    <row r="4648" spans="1:15">
      <c r="A4648">
        <v>4647</v>
      </c>
      <c r="B4648" t="s">
        <v>55</v>
      </c>
      <c r="C4648" s="1">
        <v>45292</v>
      </c>
      <c r="D4648">
        <f ca="1">DATEDIF(TablaDatos[[#This Row],[FechaNacimiento]],TODAY(),"Y")</f>
        <v>2</v>
      </c>
      <c r="E4648" s="4" t="s">
        <v>15</v>
      </c>
      <c r="F4648" t="s">
        <v>13</v>
      </c>
      <c r="G4648" s="1">
        <v>45525</v>
      </c>
      <c r="H4648" s="1">
        <f>TablaDatos[[#This Row],[FechaIngreso]]+TablaDatos[[#This Row],[DiasNuevo]]</f>
        <v>45560</v>
      </c>
      <c r="I4648">
        <v>35</v>
      </c>
      <c r="J4648" t="s">
        <v>23</v>
      </c>
      <c r="K4648" s="3">
        <v>2828.26</v>
      </c>
      <c r="L4648" t="b">
        <f>TablaDatos[[#This Row],[FechaAlta]] &lt; TablaDatos[[#This Row],[FechaIngreso]]</f>
        <v>0</v>
      </c>
      <c r="M4648">
        <f>_xlfn.XLOOKUP(TablaDatos[[#This Row],[PacienteID]],'Datos_Ejemplo.csv'!A:A,'Datos_Ejemplo.csv'!I:I)</f>
        <v>35</v>
      </c>
      <c r="N4648">
        <f>ABS(TablaDatos[[#This Row],[DiasOriginal]])</f>
        <v>35</v>
      </c>
      <c r="O4648" s="1">
        <f>TablaDatos[[#This Row],[FechaIngreso]]+TablaDatos[[#This Row],[DiasNuevo]]</f>
        <v>45560</v>
      </c>
    </row>
    <row r="4649" spans="1:15">
      <c r="A4649">
        <v>4648</v>
      </c>
      <c r="B4649" t="s">
        <v>336</v>
      </c>
      <c r="C4649" s="1">
        <v>19359</v>
      </c>
      <c r="D4649">
        <v>73</v>
      </c>
      <c r="E4649" s="4" t="s">
        <v>12</v>
      </c>
      <c r="F4649" t="s">
        <v>13</v>
      </c>
      <c r="G4649" s="1">
        <v>44948</v>
      </c>
      <c r="H4649" s="1">
        <f>TablaDatos[[#This Row],[FechaIngreso]]+TablaDatos[[#This Row],[DiasNuevo]]</f>
        <v>44971</v>
      </c>
      <c r="I4649">
        <v>23</v>
      </c>
      <c r="J4649" t="s">
        <v>23</v>
      </c>
      <c r="K4649" s="3">
        <v>19060.150000000001</v>
      </c>
      <c r="L4649" t="b">
        <f>TablaDatos[[#This Row],[FechaAlta]] &lt; TablaDatos[[#This Row],[FechaIngreso]]</f>
        <v>0</v>
      </c>
      <c r="M4649">
        <f>_xlfn.XLOOKUP(TablaDatos[[#This Row],[PacienteID]],'Datos_Ejemplo.csv'!A:A,'Datos_Ejemplo.csv'!I:I)</f>
        <v>23</v>
      </c>
      <c r="N4649">
        <f>ABS(TablaDatos[[#This Row],[DiasOriginal]])</f>
        <v>23</v>
      </c>
      <c r="O4649" s="1">
        <f>TablaDatos[[#This Row],[FechaIngreso]]+TablaDatos[[#This Row],[DiasNuevo]]</f>
        <v>44971</v>
      </c>
    </row>
    <row r="4650" spans="1:15">
      <c r="A4650">
        <v>4649</v>
      </c>
      <c r="B4650" t="s">
        <v>339</v>
      </c>
      <c r="C4650" s="1">
        <v>22646</v>
      </c>
      <c r="D4650">
        <v>64</v>
      </c>
      <c r="E4650" s="4" t="s">
        <v>12</v>
      </c>
      <c r="F4650" t="s">
        <v>261</v>
      </c>
      <c r="G4650" s="1">
        <v>45648</v>
      </c>
      <c r="H4650" s="1">
        <f>TablaDatos[[#This Row],[FechaIngreso]]+TablaDatos[[#This Row],[DiasNuevo]]</f>
        <v>45672</v>
      </c>
      <c r="I4650">
        <v>24</v>
      </c>
      <c r="J4650" t="s">
        <v>23</v>
      </c>
      <c r="K4650" s="3">
        <v>13839.44</v>
      </c>
      <c r="L4650" t="b">
        <f>TablaDatos[[#This Row],[FechaAlta]] &lt; TablaDatos[[#This Row],[FechaIngreso]]</f>
        <v>0</v>
      </c>
      <c r="M4650">
        <f>_xlfn.XLOOKUP(TablaDatos[[#This Row],[PacienteID]],'Datos_Ejemplo.csv'!A:A,'Datos_Ejemplo.csv'!I:I)</f>
        <v>24</v>
      </c>
      <c r="N4650">
        <f>ABS(TablaDatos[[#This Row],[DiasOriginal]])</f>
        <v>24</v>
      </c>
      <c r="O4650" s="1">
        <f>TablaDatos[[#This Row],[FechaIngreso]]+TablaDatos[[#This Row],[DiasNuevo]]</f>
        <v>45672</v>
      </c>
    </row>
    <row r="4651" spans="1:15">
      <c r="A4651">
        <v>4650</v>
      </c>
      <c r="B4651" t="s">
        <v>270</v>
      </c>
      <c r="C4651" s="1">
        <v>13150</v>
      </c>
      <c r="D4651">
        <f ca="1">DATEDIF(TablaDatos[[#This Row],[FechaNacimiento]],TODAY(),"Y")</f>
        <v>90</v>
      </c>
      <c r="E4651" s="4" t="s">
        <v>15</v>
      </c>
      <c r="F4651" t="s">
        <v>295</v>
      </c>
      <c r="G4651" s="1">
        <v>45231</v>
      </c>
      <c r="H4651" s="1">
        <f>TablaDatos[[#This Row],[FechaIngreso]]+TablaDatos[[#This Row],[DiasNuevo]]</f>
        <v>45259</v>
      </c>
      <c r="I4651">
        <v>28</v>
      </c>
      <c r="J4651" t="s">
        <v>23</v>
      </c>
      <c r="K4651" s="3">
        <v>11667.12</v>
      </c>
      <c r="L4651" t="b">
        <f>TablaDatos[[#This Row],[FechaAlta]] &lt; TablaDatos[[#This Row],[FechaIngreso]]</f>
        <v>0</v>
      </c>
      <c r="M4651">
        <f>_xlfn.XLOOKUP(TablaDatos[[#This Row],[PacienteID]],'Datos_Ejemplo.csv'!A:A,'Datos_Ejemplo.csv'!I:I)</f>
        <v>28</v>
      </c>
      <c r="N4651">
        <f>ABS(TablaDatos[[#This Row],[DiasOriginal]])</f>
        <v>28</v>
      </c>
      <c r="O4651" s="1">
        <f>TablaDatos[[#This Row],[FechaIngreso]]+TablaDatos[[#This Row],[DiasNuevo]]</f>
        <v>45259</v>
      </c>
    </row>
    <row r="4652" spans="1:15">
      <c r="A4652">
        <v>4651</v>
      </c>
      <c r="B4652" t="s">
        <v>357</v>
      </c>
      <c r="C4652" s="1">
        <v>43466</v>
      </c>
      <c r="D4652">
        <v>7</v>
      </c>
      <c r="E4652" s="4" t="s">
        <v>15</v>
      </c>
      <c r="F4652" t="s">
        <v>13</v>
      </c>
      <c r="G4652" s="1">
        <v>45198</v>
      </c>
      <c r="H4652" s="1">
        <f>TablaDatos[[#This Row],[FechaIngreso]]+TablaDatos[[#This Row],[DiasNuevo]]</f>
        <v>45219</v>
      </c>
      <c r="I4652">
        <v>21</v>
      </c>
      <c r="J4652" t="s">
        <v>25</v>
      </c>
      <c r="K4652" s="3">
        <v>6381.99</v>
      </c>
      <c r="L4652" t="b">
        <f>TablaDatos[[#This Row],[FechaAlta]] &lt; TablaDatos[[#This Row],[FechaIngreso]]</f>
        <v>0</v>
      </c>
      <c r="M4652">
        <f>_xlfn.XLOOKUP(TablaDatos[[#This Row],[PacienteID]],'Datos_Ejemplo.csv'!A:A,'Datos_Ejemplo.csv'!I:I)</f>
        <v>21</v>
      </c>
      <c r="N4652">
        <f>ABS(TablaDatos[[#This Row],[DiasOriginal]])</f>
        <v>21</v>
      </c>
      <c r="O4652" s="1">
        <f>TablaDatos[[#This Row],[FechaIngreso]]+TablaDatos[[#This Row],[DiasNuevo]]</f>
        <v>45219</v>
      </c>
    </row>
    <row r="4653" spans="1:15">
      <c r="A4653">
        <v>4652</v>
      </c>
      <c r="B4653" t="s">
        <v>264</v>
      </c>
      <c r="C4653" s="1">
        <v>27760</v>
      </c>
      <c r="D4653">
        <v>50</v>
      </c>
      <c r="E4653" s="4" t="s">
        <v>12</v>
      </c>
      <c r="F4653" t="s">
        <v>21</v>
      </c>
      <c r="G4653" s="1">
        <v>45416</v>
      </c>
      <c r="H4653" s="1">
        <f>TablaDatos[[#This Row],[FechaIngreso]]+TablaDatos[[#This Row],[DiasNuevo]]</f>
        <v>45426</v>
      </c>
      <c r="I4653">
        <v>10</v>
      </c>
      <c r="J4653" t="s">
        <v>19</v>
      </c>
      <c r="K4653" s="3">
        <v>8604.17</v>
      </c>
      <c r="L4653" t="b">
        <f>TablaDatos[[#This Row],[FechaAlta]] &lt; TablaDatos[[#This Row],[FechaIngreso]]</f>
        <v>0</v>
      </c>
      <c r="M4653">
        <f>_xlfn.XLOOKUP(TablaDatos[[#This Row],[PacienteID]],'Datos_Ejemplo.csv'!A:A,'Datos_Ejemplo.csv'!I:I)</f>
        <v>10</v>
      </c>
      <c r="N4653">
        <f>ABS(TablaDatos[[#This Row],[DiasOriginal]])</f>
        <v>10</v>
      </c>
      <c r="O4653" s="1">
        <f>TablaDatos[[#This Row],[FechaIngreso]]+TablaDatos[[#This Row],[DiasNuevo]]</f>
        <v>45426</v>
      </c>
    </row>
    <row r="4654" spans="1:15">
      <c r="A4654">
        <v>4653</v>
      </c>
      <c r="B4654" t="s">
        <v>246</v>
      </c>
      <c r="C4654" s="1">
        <v>16802</v>
      </c>
      <c r="D4654">
        <v>80</v>
      </c>
      <c r="E4654" s="4" t="s">
        <v>12</v>
      </c>
      <c r="F4654" t="s">
        <v>261</v>
      </c>
      <c r="G4654" s="1">
        <v>45372</v>
      </c>
      <c r="H4654" s="1">
        <f>TablaDatos[[#This Row],[FechaIngreso]]+TablaDatos[[#This Row],[DiasNuevo]]</f>
        <v>45394</v>
      </c>
      <c r="I4654">
        <v>22</v>
      </c>
      <c r="J4654" t="s">
        <v>19</v>
      </c>
      <c r="K4654" s="3">
        <v>1697.06</v>
      </c>
      <c r="L4654" t="b">
        <f>TablaDatos[[#This Row],[FechaAlta]] &lt; TablaDatos[[#This Row],[FechaIngreso]]</f>
        <v>0</v>
      </c>
      <c r="M4654">
        <f>_xlfn.XLOOKUP(TablaDatos[[#This Row],[PacienteID]],'Datos_Ejemplo.csv'!A:A,'Datos_Ejemplo.csv'!I:I)</f>
        <v>22</v>
      </c>
      <c r="N4654">
        <f>ABS(TablaDatos[[#This Row],[DiasOriginal]])</f>
        <v>22</v>
      </c>
      <c r="O4654" s="1">
        <f>TablaDatos[[#This Row],[FechaIngreso]]+TablaDatos[[#This Row],[DiasNuevo]]</f>
        <v>45394</v>
      </c>
    </row>
    <row r="4655" spans="1:15">
      <c r="A4655">
        <v>4654</v>
      </c>
      <c r="B4655" t="s">
        <v>309</v>
      </c>
      <c r="C4655" s="1">
        <v>19724</v>
      </c>
      <c r="D4655">
        <v>72</v>
      </c>
      <c r="E4655" s="4" t="s">
        <v>15</v>
      </c>
      <c r="F4655" t="s">
        <v>261</v>
      </c>
      <c r="G4655" s="1">
        <v>45204</v>
      </c>
      <c r="H4655" s="1">
        <f>TablaDatos[[#This Row],[FechaIngreso]]+TablaDatos[[#This Row],[DiasNuevo]]</f>
        <v>45238</v>
      </c>
      <c r="I4655">
        <v>34</v>
      </c>
      <c r="J4655" t="s">
        <v>23</v>
      </c>
      <c r="K4655" s="3">
        <v>19962.849999999999</v>
      </c>
      <c r="L4655" t="b">
        <f>TablaDatos[[#This Row],[FechaAlta]] &lt; TablaDatos[[#This Row],[FechaIngreso]]</f>
        <v>0</v>
      </c>
      <c r="M4655">
        <f>_xlfn.XLOOKUP(TablaDatos[[#This Row],[PacienteID]],'Datos_Ejemplo.csv'!A:A,'Datos_Ejemplo.csv'!I:I)</f>
        <v>34</v>
      </c>
      <c r="N4655">
        <f>ABS(TablaDatos[[#This Row],[DiasOriginal]])</f>
        <v>34</v>
      </c>
      <c r="O4655" s="1">
        <f>TablaDatos[[#This Row],[FechaIngreso]]+TablaDatos[[#This Row],[DiasNuevo]]</f>
        <v>45238</v>
      </c>
    </row>
    <row r="4656" spans="1:15">
      <c r="A4656">
        <v>4655</v>
      </c>
      <c r="B4656" t="s">
        <v>245</v>
      </c>
      <c r="C4656" s="1">
        <f ca="1">DATE(YEAR(TODAY())-TablaDatos[[#This Row],[Edad]],1,1)</f>
        <v>44197</v>
      </c>
      <c r="D4656">
        <v>5</v>
      </c>
      <c r="E4656" s="4" t="s">
        <v>12</v>
      </c>
      <c r="F4656" t="s">
        <v>261</v>
      </c>
      <c r="G4656" s="1">
        <v>45577</v>
      </c>
      <c r="H4656" s="1">
        <f>TablaDatos[[#This Row],[FechaIngreso]]+TablaDatos[[#This Row],[DiasNuevo]]</f>
        <v>45615</v>
      </c>
      <c r="I4656">
        <v>38</v>
      </c>
      <c r="J4656" t="s">
        <v>19</v>
      </c>
      <c r="K4656" s="3">
        <v>15077.22</v>
      </c>
      <c r="L4656" t="b">
        <f>TablaDatos[[#This Row],[FechaAlta]] &lt; TablaDatos[[#This Row],[FechaIngreso]]</f>
        <v>0</v>
      </c>
      <c r="M4656">
        <f>_xlfn.XLOOKUP(TablaDatos[[#This Row],[PacienteID]],'Datos_Ejemplo.csv'!A:A,'Datos_Ejemplo.csv'!I:I)</f>
        <v>38</v>
      </c>
      <c r="N4656">
        <f>ABS(TablaDatos[[#This Row],[DiasOriginal]])</f>
        <v>38</v>
      </c>
      <c r="O4656" s="1">
        <f>TablaDatos[[#This Row],[FechaIngreso]]+TablaDatos[[#This Row],[DiasNuevo]]</f>
        <v>45615</v>
      </c>
    </row>
    <row r="4657" spans="1:15">
      <c r="A4657">
        <v>4656</v>
      </c>
      <c r="B4657" t="s">
        <v>267</v>
      </c>
      <c r="C4657" s="1">
        <v>13880</v>
      </c>
      <c r="D4657">
        <v>88</v>
      </c>
      <c r="E4657" s="4" t="s">
        <v>12</v>
      </c>
      <c r="F4657" t="s">
        <v>18</v>
      </c>
      <c r="G4657" s="1">
        <v>45303</v>
      </c>
      <c r="H4657" s="1">
        <f>TablaDatos[[#This Row],[FechaIngreso]]+TablaDatos[[#This Row],[DiasNuevo]]</f>
        <v>45325</v>
      </c>
      <c r="I4657">
        <v>22</v>
      </c>
      <c r="J4657" t="s">
        <v>23</v>
      </c>
      <c r="K4657" s="3">
        <v>12391.21</v>
      </c>
      <c r="L4657" t="b">
        <f>TablaDatos[[#This Row],[FechaAlta]] &lt; TablaDatos[[#This Row],[FechaIngreso]]</f>
        <v>0</v>
      </c>
      <c r="M4657">
        <f>_xlfn.XLOOKUP(TablaDatos[[#This Row],[PacienteID]],'Datos_Ejemplo.csv'!A:A,'Datos_Ejemplo.csv'!I:I)</f>
        <v>22</v>
      </c>
      <c r="N4657">
        <f>ABS(TablaDatos[[#This Row],[DiasOriginal]])</f>
        <v>22</v>
      </c>
      <c r="O4657" s="1">
        <f>TablaDatos[[#This Row],[FechaIngreso]]+TablaDatos[[#This Row],[DiasNuevo]]</f>
        <v>45325</v>
      </c>
    </row>
    <row r="4658" spans="1:15">
      <c r="A4658">
        <v>4657</v>
      </c>
      <c r="B4658" t="s">
        <v>300</v>
      </c>
      <c r="C4658" s="1">
        <v>32143</v>
      </c>
      <c r="D4658">
        <v>38</v>
      </c>
      <c r="E4658" s="4" t="s">
        <v>12</v>
      </c>
      <c r="F4658" t="s">
        <v>295</v>
      </c>
      <c r="G4658" s="1">
        <v>45158</v>
      </c>
      <c r="H4658" s="1">
        <f>TablaDatos[[#This Row],[FechaIngreso]]+TablaDatos[[#This Row],[DiasNuevo]]</f>
        <v>45184</v>
      </c>
      <c r="I4658">
        <v>26</v>
      </c>
      <c r="J4658" t="s">
        <v>25</v>
      </c>
      <c r="K4658" s="3">
        <v>11714.12</v>
      </c>
      <c r="L4658" t="b">
        <f>TablaDatos[[#This Row],[FechaAlta]] &lt; TablaDatos[[#This Row],[FechaIngreso]]</f>
        <v>0</v>
      </c>
      <c r="M4658">
        <f>_xlfn.XLOOKUP(TablaDatos[[#This Row],[PacienteID]],'Datos_Ejemplo.csv'!A:A,'Datos_Ejemplo.csv'!I:I)</f>
        <v>26</v>
      </c>
      <c r="N4658">
        <f>ABS(TablaDatos[[#This Row],[DiasOriginal]])</f>
        <v>26</v>
      </c>
      <c r="O4658" s="1">
        <f>TablaDatos[[#This Row],[FechaIngreso]]+TablaDatos[[#This Row],[DiasNuevo]]</f>
        <v>45184</v>
      </c>
    </row>
    <row r="4659" spans="1:15">
      <c r="A4659">
        <v>4658</v>
      </c>
      <c r="B4659" t="s">
        <v>275</v>
      </c>
      <c r="C4659" s="1">
        <v>24473</v>
      </c>
      <c r="D4659">
        <v>59</v>
      </c>
      <c r="E4659" s="4" t="s">
        <v>15</v>
      </c>
      <c r="F4659" t="s">
        <v>295</v>
      </c>
      <c r="G4659" s="1">
        <v>45518</v>
      </c>
      <c r="H4659" s="1">
        <f>TablaDatos[[#This Row],[FechaIngreso]]+TablaDatos[[#This Row],[DiasNuevo]]</f>
        <v>45546</v>
      </c>
      <c r="I4659">
        <v>28</v>
      </c>
      <c r="J4659" t="s">
        <v>23</v>
      </c>
      <c r="K4659" s="3">
        <v>10036.719999999999</v>
      </c>
      <c r="L4659" t="b">
        <f>TablaDatos[[#This Row],[FechaAlta]] &lt; TablaDatos[[#This Row],[FechaIngreso]]</f>
        <v>0</v>
      </c>
      <c r="M4659">
        <f>_xlfn.XLOOKUP(TablaDatos[[#This Row],[PacienteID]],'Datos_Ejemplo.csv'!A:A,'Datos_Ejemplo.csv'!I:I)</f>
        <v>28</v>
      </c>
      <c r="N4659">
        <f>ABS(TablaDatos[[#This Row],[DiasOriginal]])</f>
        <v>28</v>
      </c>
      <c r="O4659" s="1">
        <f>TablaDatos[[#This Row],[FechaIngreso]]+TablaDatos[[#This Row],[DiasNuevo]]</f>
        <v>45546</v>
      </c>
    </row>
    <row r="4660" spans="1:15">
      <c r="A4660">
        <v>4659</v>
      </c>
      <c r="B4660" t="s">
        <v>349</v>
      </c>
      <c r="C4660" s="1">
        <v>36161</v>
      </c>
      <c r="D4660">
        <v>27</v>
      </c>
      <c r="E4660" s="4" t="s">
        <v>15</v>
      </c>
      <c r="F4660" t="s">
        <v>13</v>
      </c>
      <c r="G4660" s="1">
        <v>45352</v>
      </c>
      <c r="H4660" s="1">
        <f>TablaDatos[[#This Row],[FechaIngreso]]+TablaDatos[[#This Row],[DiasNuevo]]</f>
        <v>45388</v>
      </c>
      <c r="I4660">
        <v>36</v>
      </c>
      <c r="J4660" t="s">
        <v>23</v>
      </c>
      <c r="K4660" s="3">
        <v>5074.29</v>
      </c>
      <c r="L4660" t="b">
        <f>TablaDatos[[#This Row],[FechaAlta]] &lt; TablaDatos[[#This Row],[FechaIngreso]]</f>
        <v>0</v>
      </c>
      <c r="M4660">
        <f>_xlfn.XLOOKUP(TablaDatos[[#This Row],[PacienteID]],'Datos_Ejemplo.csv'!A:A,'Datos_Ejemplo.csv'!I:I)</f>
        <v>36</v>
      </c>
      <c r="N4660">
        <f>ABS(TablaDatos[[#This Row],[DiasOriginal]])</f>
        <v>36</v>
      </c>
      <c r="O4660" s="1">
        <f>TablaDatos[[#This Row],[FechaIngreso]]+TablaDatos[[#This Row],[DiasNuevo]]</f>
        <v>45388</v>
      </c>
    </row>
    <row r="4661" spans="1:15">
      <c r="A4661">
        <v>4660</v>
      </c>
      <c r="B4661" t="s">
        <v>352</v>
      </c>
      <c r="C4661" s="1">
        <v>26664</v>
      </c>
      <c r="D4661">
        <v>53</v>
      </c>
      <c r="E4661" s="4" t="s">
        <v>15</v>
      </c>
      <c r="F4661" t="s">
        <v>261</v>
      </c>
      <c r="G4661" s="1">
        <v>44981</v>
      </c>
      <c r="H4661" s="1">
        <f>TablaDatos[[#This Row],[FechaIngreso]]+TablaDatos[[#This Row],[DiasNuevo]]</f>
        <v>44982</v>
      </c>
      <c r="I4661">
        <v>1</v>
      </c>
      <c r="J4661" t="s">
        <v>23</v>
      </c>
      <c r="K4661" s="3">
        <v>4450.45</v>
      </c>
      <c r="L4661" t="b">
        <f>TablaDatos[[#This Row],[FechaAlta]] &lt; TablaDatos[[#This Row],[FechaIngreso]]</f>
        <v>0</v>
      </c>
      <c r="M4661">
        <f>_xlfn.XLOOKUP(TablaDatos[[#This Row],[PacienteID]],'Datos_Ejemplo.csv'!A:A,'Datos_Ejemplo.csv'!I:I)</f>
        <v>-1</v>
      </c>
      <c r="N4661">
        <f>ABS(TablaDatos[[#This Row],[DiasOriginal]])</f>
        <v>1</v>
      </c>
      <c r="O4661" s="1">
        <f>TablaDatos[[#This Row],[FechaIngreso]]+TablaDatos[[#This Row],[DiasNuevo]]</f>
        <v>44982</v>
      </c>
    </row>
    <row r="4662" spans="1:15">
      <c r="A4662">
        <v>4661</v>
      </c>
      <c r="B4662" t="s">
        <v>249</v>
      </c>
      <c r="C4662" s="1">
        <v>32873</v>
      </c>
      <c r="D4662">
        <v>36</v>
      </c>
      <c r="E4662" s="4" t="s">
        <v>15</v>
      </c>
      <c r="F4662" t="s">
        <v>201</v>
      </c>
      <c r="G4662" s="1">
        <v>45367</v>
      </c>
      <c r="H4662" s="1">
        <f>TablaDatos[[#This Row],[FechaIngreso]]+TablaDatos[[#This Row],[DiasNuevo]]</f>
        <v>45376</v>
      </c>
      <c r="I4662">
        <v>9</v>
      </c>
      <c r="J4662" t="s">
        <v>19</v>
      </c>
      <c r="K4662" s="3">
        <v>10945.6</v>
      </c>
      <c r="L4662" t="b">
        <f>TablaDatos[[#This Row],[FechaAlta]] &lt; TablaDatos[[#This Row],[FechaIngreso]]</f>
        <v>0</v>
      </c>
      <c r="M4662">
        <f>_xlfn.XLOOKUP(TablaDatos[[#This Row],[PacienteID]],'Datos_Ejemplo.csv'!A:A,'Datos_Ejemplo.csv'!I:I)</f>
        <v>9</v>
      </c>
      <c r="N4662">
        <f>ABS(TablaDatos[[#This Row],[DiasOriginal]])</f>
        <v>9</v>
      </c>
      <c r="O4662" s="1">
        <f>TablaDatos[[#This Row],[FechaIngreso]]+TablaDatos[[#This Row],[DiasNuevo]]</f>
        <v>45376</v>
      </c>
    </row>
    <row r="4663" spans="1:15">
      <c r="A4663">
        <v>4662</v>
      </c>
      <c r="B4663" t="s">
        <v>232</v>
      </c>
      <c r="C4663" s="1">
        <v>43100</v>
      </c>
      <c r="D4663">
        <v>8</v>
      </c>
      <c r="E4663" s="4" t="s">
        <v>12</v>
      </c>
      <c r="F4663" t="s">
        <v>261</v>
      </c>
      <c r="G4663" s="1">
        <v>44960</v>
      </c>
      <c r="H4663" s="1">
        <f>TablaDatos[[#This Row],[FechaIngreso]]+TablaDatos[[#This Row],[DiasNuevo]]</f>
        <v>44962</v>
      </c>
      <c r="I4663">
        <v>2</v>
      </c>
      <c r="J4663" t="s">
        <v>23</v>
      </c>
      <c r="K4663" s="3">
        <v>1311.04</v>
      </c>
      <c r="L4663" t="b">
        <f>TablaDatos[[#This Row],[FechaAlta]] &lt; TablaDatos[[#This Row],[FechaIngreso]]</f>
        <v>0</v>
      </c>
      <c r="M4663">
        <f>_xlfn.XLOOKUP(TablaDatos[[#This Row],[PacienteID]],'Datos_Ejemplo.csv'!A:A,'Datos_Ejemplo.csv'!I:I)</f>
        <v>2</v>
      </c>
      <c r="N4663">
        <f>ABS(TablaDatos[[#This Row],[DiasOriginal]])</f>
        <v>2</v>
      </c>
      <c r="O4663" s="1">
        <f>TablaDatos[[#This Row],[FechaIngreso]]+TablaDatos[[#This Row],[DiasNuevo]]</f>
        <v>44962</v>
      </c>
    </row>
    <row r="4664" spans="1:15">
      <c r="A4664">
        <v>4663</v>
      </c>
      <c r="B4664" t="s">
        <v>268</v>
      </c>
      <c r="C4664" s="1">
        <f ca="1">DATE(YEAR(TODAY())-TablaDatos[[#This Row],[Edad]],1,1)</f>
        <v>16438</v>
      </c>
      <c r="D4664">
        <v>81</v>
      </c>
      <c r="E4664" s="4" t="s">
        <v>15</v>
      </c>
      <c r="F4664" t="s">
        <v>13</v>
      </c>
      <c r="G4664" s="1">
        <v>45255</v>
      </c>
      <c r="H4664" s="1">
        <f>TablaDatos[[#This Row],[FechaIngreso]]+TablaDatos[[#This Row],[DiasNuevo]]</f>
        <v>45279</v>
      </c>
      <c r="I4664">
        <v>24</v>
      </c>
      <c r="J4664" t="s">
        <v>23</v>
      </c>
      <c r="K4664" s="3">
        <v>1396.86</v>
      </c>
      <c r="L4664" t="b">
        <f>TablaDatos[[#This Row],[FechaAlta]] &lt; TablaDatos[[#This Row],[FechaIngreso]]</f>
        <v>0</v>
      </c>
      <c r="M4664">
        <f>_xlfn.XLOOKUP(TablaDatos[[#This Row],[PacienteID]],'Datos_Ejemplo.csv'!A:A,'Datos_Ejemplo.csv'!I:I)</f>
        <v>24</v>
      </c>
      <c r="N4664">
        <f>ABS(TablaDatos[[#This Row],[DiasOriginal]])</f>
        <v>24</v>
      </c>
      <c r="O4664" s="1">
        <f>TablaDatos[[#This Row],[FechaIngreso]]+TablaDatos[[#This Row],[DiasNuevo]]</f>
        <v>45279</v>
      </c>
    </row>
    <row r="4665" spans="1:15">
      <c r="A4665">
        <v>4664</v>
      </c>
      <c r="B4665" t="s">
        <v>241</v>
      </c>
      <c r="C4665" s="1">
        <v>25934</v>
      </c>
      <c r="D4665">
        <v>55</v>
      </c>
      <c r="E4665" s="4" t="s">
        <v>197</v>
      </c>
      <c r="F4665" t="s">
        <v>295</v>
      </c>
      <c r="G4665" s="1">
        <v>45380</v>
      </c>
      <c r="H4665" s="1">
        <f>TablaDatos[[#This Row],[FechaIngreso]]+TablaDatos[[#This Row],[DiasNuevo]]</f>
        <v>45411</v>
      </c>
      <c r="I4665">
        <v>31</v>
      </c>
      <c r="J4665" t="s">
        <v>23</v>
      </c>
      <c r="K4665" s="3">
        <v>11172.35</v>
      </c>
      <c r="L4665" t="b">
        <f>TablaDatos[[#This Row],[FechaAlta]] &lt; TablaDatos[[#This Row],[FechaIngreso]]</f>
        <v>0</v>
      </c>
      <c r="M4665">
        <f>_xlfn.XLOOKUP(TablaDatos[[#This Row],[PacienteID]],'Datos_Ejemplo.csv'!A:A,'Datos_Ejemplo.csv'!I:I)</f>
        <v>31</v>
      </c>
      <c r="N4665">
        <f>ABS(TablaDatos[[#This Row],[DiasOriginal]])</f>
        <v>31</v>
      </c>
      <c r="O4665" s="1">
        <f>TablaDatos[[#This Row],[FechaIngreso]]+TablaDatos[[#This Row],[DiasNuevo]]</f>
        <v>45411</v>
      </c>
    </row>
    <row r="4666" spans="1:15">
      <c r="A4666">
        <v>4665</v>
      </c>
      <c r="B4666" t="s">
        <v>230</v>
      </c>
      <c r="C4666" s="1">
        <v>24838</v>
      </c>
      <c r="D4666">
        <v>58</v>
      </c>
      <c r="E4666" s="4" t="s">
        <v>15</v>
      </c>
      <c r="F4666" t="s">
        <v>13</v>
      </c>
      <c r="G4666" s="1">
        <v>45314</v>
      </c>
      <c r="H4666" s="1">
        <f>TablaDatos[[#This Row],[FechaIngreso]]+TablaDatos[[#This Row],[DiasNuevo]]</f>
        <v>45325</v>
      </c>
      <c r="I4666">
        <v>11</v>
      </c>
      <c r="J4666" t="s">
        <v>23</v>
      </c>
      <c r="K4666" s="3">
        <v>18388.22</v>
      </c>
      <c r="L4666" t="b">
        <f>TablaDatos[[#This Row],[FechaAlta]] &lt; TablaDatos[[#This Row],[FechaIngreso]]</f>
        <v>0</v>
      </c>
      <c r="M4666">
        <f>_xlfn.XLOOKUP(TablaDatos[[#This Row],[PacienteID]],'Datos_Ejemplo.csv'!A:A,'Datos_Ejemplo.csv'!I:I)</f>
        <v>11</v>
      </c>
      <c r="N4666">
        <f>ABS(TablaDatos[[#This Row],[DiasOriginal]])</f>
        <v>11</v>
      </c>
      <c r="O4666" s="1">
        <f>TablaDatos[[#This Row],[FechaIngreso]]+TablaDatos[[#This Row],[DiasNuevo]]</f>
        <v>45325</v>
      </c>
    </row>
    <row r="4667" spans="1:15">
      <c r="A4667">
        <v>4666</v>
      </c>
      <c r="B4667" t="s">
        <v>363</v>
      </c>
      <c r="C4667" s="1">
        <v>15341</v>
      </c>
      <c r="D4667">
        <v>84</v>
      </c>
      <c r="E4667" s="4" t="s">
        <v>15</v>
      </c>
      <c r="F4667" t="s">
        <v>13</v>
      </c>
      <c r="G4667" s="1">
        <v>45356</v>
      </c>
      <c r="H4667" s="1">
        <f>TablaDatos[[#This Row],[FechaIngreso]]+TablaDatos[[#This Row],[DiasNuevo]]</f>
        <v>45360</v>
      </c>
      <c r="I4667">
        <v>4</v>
      </c>
      <c r="J4667" t="s">
        <v>23</v>
      </c>
      <c r="K4667" s="3">
        <v>18276.86</v>
      </c>
      <c r="L4667" t="b">
        <f>TablaDatos[[#This Row],[FechaAlta]] &lt; TablaDatos[[#This Row],[FechaIngreso]]</f>
        <v>0</v>
      </c>
      <c r="M4667">
        <f>_xlfn.XLOOKUP(TablaDatos[[#This Row],[PacienteID]],'Datos_Ejemplo.csv'!A:A,'Datos_Ejemplo.csv'!I:I)</f>
        <v>4</v>
      </c>
      <c r="N4667">
        <f>ABS(TablaDatos[[#This Row],[DiasOriginal]])</f>
        <v>4</v>
      </c>
      <c r="O4667" s="1">
        <f>TablaDatos[[#This Row],[FechaIngreso]]+TablaDatos[[#This Row],[DiasNuevo]]</f>
        <v>45360</v>
      </c>
    </row>
    <row r="4668" spans="1:15">
      <c r="A4668">
        <v>4667</v>
      </c>
      <c r="B4668" t="s">
        <v>343</v>
      </c>
      <c r="C4668" s="1">
        <v>45657</v>
      </c>
      <c r="D4668">
        <v>1</v>
      </c>
      <c r="E4668" s="4" t="s">
        <v>12</v>
      </c>
      <c r="F4668" t="s">
        <v>13</v>
      </c>
      <c r="G4668" s="1">
        <v>45402</v>
      </c>
      <c r="H4668" s="1">
        <f>TablaDatos[[#This Row],[FechaIngreso]]+TablaDatos[[#This Row],[DiasNuevo]]</f>
        <v>45436</v>
      </c>
      <c r="I4668">
        <v>34</v>
      </c>
      <c r="J4668" t="s">
        <v>23</v>
      </c>
      <c r="K4668" s="3">
        <v>117.65</v>
      </c>
      <c r="L4668" t="b">
        <f>TablaDatos[[#This Row],[FechaAlta]] &lt; TablaDatos[[#This Row],[FechaIngreso]]</f>
        <v>0</v>
      </c>
      <c r="M4668">
        <f>_xlfn.XLOOKUP(TablaDatos[[#This Row],[PacienteID]],'Datos_Ejemplo.csv'!A:A,'Datos_Ejemplo.csv'!I:I)</f>
        <v>34</v>
      </c>
      <c r="N4668">
        <f>ABS(TablaDatos[[#This Row],[DiasOriginal]])</f>
        <v>34</v>
      </c>
      <c r="O4668" s="1">
        <f>TablaDatos[[#This Row],[FechaIngreso]]+TablaDatos[[#This Row],[DiasNuevo]]</f>
        <v>45436</v>
      </c>
    </row>
    <row r="4669" spans="1:15">
      <c r="A4669">
        <v>4668</v>
      </c>
      <c r="B4669" t="s">
        <v>361</v>
      </c>
      <c r="C4669" s="1">
        <v>24107</v>
      </c>
      <c r="D4669">
        <v>60</v>
      </c>
      <c r="E4669" s="4" t="s">
        <v>12</v>
      </c>
      <c r="F4669" t="s">
        <v>13</v>
      </c>
      <c r="G4669" s="1">
        <v>45051</v>
      </c>
      <c r="H4669" s="1">
        <f>TablaDatos[[#This Row],[FechaIngreso]]+TablaDatos[[#This Row],[DiasNuevo]]</f>
        <v>45084</v>
      </c>
      <c r="I4669">
        <v>33</v>
      </c>
      <c r="J4669" t="s">
        <v>25</v>
      </c>
      <c r="K4669" s="3">
        <v>2058.62</v>
      </c>
      <c r="L4669" t="b">
        <f>TablaDatos[[#This Row],[FechaAlta]] &lt; TablaDatos[[#This Row],[FechaIngreso]]</f>
        <v>0</v>
      </c>
      <c r="M4669">
        <f>_xlfn.XLOOKUP(TablaDatos[[#This Row],[PacienteID]],'Datos_Ejemplo.csv'!A:A,'Datos_Ejemplo.csv'!I:I)</f>
        <v>33</v>
      </c>
      <c r="N4669">
        <f>ABS(TablaDatos[[#This Row],[DiasOriginal]])</f>
        <v>33</v>
      </c>
      <c r="O4669" s="1">
        <f>TablaDatos[[#This Row],[FechaIngreso]]+TablaDatos[[#This Row],[DiasNuevo]]</f>
        <v>45084</v>
      </c>
    </row>
    <row r="4670" spans="1:15">
      <c r="A4670">
        <v>4669</v>
      </c>
      <c r="B4670" t="s">
        <v>279</v>
      </c>
      <c r="C4670" s="1">
        <v>25203</v>
      </c>
      <c r="D4670">
        <f ca="1">DATEDIF(TablaDatos[[#This Row],[FechaNacimiento]],TODAY(),"Y")</f>
        <v>57</v>
      </c>
      <c r="E4670" s="4" t="s">
        <v>15</v>
      </c>
      <c r="F4670" t="s">
        <v>13</v>
      </c>
      <c r="G4670" s="1">
        <v>45449</v>
      </c>
      <c r="H4670" s="1">
        <f>TablaDatos[[#This Row],[FechaIngreso]]+TablaDatos[[#This Row],[DiasNuevo]]</f>
        <v>45456</v>
      </c>
      <c r="I4670">
        <v>7</v>
      </c>
      <c r="J4670" t="s">
        <v>23</v>
      </c>
      <c r="K4670" s="3">
        <v>11619.86</v>
      </c>
      <c r="L4670" t="b">
        <f>TablaDatos[[#This Row],[FechaAlta]] &lt; TablaDatos[[#This Row],[FechaIngreso]]</f>
        <v>0</v>
      </c>
      <c r="M4670">
        <f>_xlfn.XLOOKUP(TablaDatos[[#This Row],[PacienteID]],'Datos_Ejemplo.csv'!A:A,'Datos_Ejemplo.csv'!I:I)</f>
        <v>7</v>
      </c>
      <c r="N4670">
        <f>ABS(TablaDatos[[#This Row],[DiasOriginal]])</f>
        <v>7</v>
      </c>
      <c r="O4670" s="1">
        <f>TablaDatos[[#This Row],[FechaIngreso]]+TablaDatos[[#This Row],[DiasNuevo]]</f>
        <v>45456</v>
      </c>
    </row>
    <row r="4671" spans="1:15">
      <c r="A4671">
        <v>4670</v>
      </c>
      <c r="B4671" t="s">
        <v>274</v>
      </c>
      <c r="C4671" s="1">
        <v>24473</v>
      </c>
      <c r="D4671">
        <v>59</v>
      </c>
      <c r="E4671" s="4" t="s">
        <v>12</v>
      </c>
      <c r="F4671" t="s">
        <v>32</v>
      </c>
      <c r="G4671" s="1">
        <v>45408</v>
      </c>
      <c r="H4671" s="1">
        <f>TablaDatos[[#This Row],[FechaIngreso]]+TablaDatos[[#This Row],[DiasNuevo]]</f>
        <v>45434</v>
      </c>
      <c r="I4671">
        <v>26</v>
      </c>
      <c r="J4671" t="s">
        <v>23</v>
      </c>
      <c r="K4671" s="3">
        <v>16954.36</v>
      </c>
      <c r="L4671" t="b">
        <f>TablaDatos[[#This Row],[FechaAlta]] &lt; TablaDatos[[#This Row],[FechaIngreso]]</f>
        <v>0</v>
      </c>
      <c r="M4671">
        <f>_xlfn.XLOOKUP(TablaDatos[[#This Row],[PacienteID]],'Datos_Ejemplo.csv'!A:A,'Datos_Ejemplo.csv'!I:I)</f>
        <v>26</v>
      </c>
      <c r="N4671">
        <f>ABS(TablaDatos[[#This Row],[DiasOriginal]])</f>
        <v>26</v>
      </c>
      <c r="O4671" s="1">
        <f>TablaDatos[[#This Row],[FechaIngreso]]+TablaDatos[[#This Row],[DiasNuevo]]</f>
        <v>45434</v>
      </c>
    </row>
    <row r="4672" spans="1:15">
      <c r="A4672">
        <v>4671</v>
      </c>
      <c r="B4672" t="s">
        <v>286</v>
      </c>
      <c r="C4672" s="1">
        <v>31778</v>
      </c>
      <c r="D4672">
        <v>39</v>
      </c>
      <c r="E4672" s="4" t="s">
        <v>12</v>
      </c>
      <c r="F4672" t="s">
        <v>32</v>
      </c>
      <c r="G4672" s="1">
        <v>45243</v>
      </c>
      <c r="H4672" s="1">
        <f>TablaDatos[[#This Row],[FechaIngreso]]+TablaDatos[[#This Row],[DiasNuevo]]</f>
        <v>45256</v>
      </c>
      <c r="I4672">
        <v>13</v>
      </c>
      <c r="J4672" t="s">
        <v>23</v>
      </c>
      <c r="K4672" s="3">
        <v>19084.43</v>
      </c>
      <c r="L4672" t="b">
        <f>TablaDatos[[#This Row],[FechaAlta]] &lt; TablaDatos[[#This Row],[FechaIngreso]]</f>
        <v>0</v>
      </c>
      <c r="M4672">
        <f>_xlfn.XLOOKUP(TablaDatos[[#This Row],[PacienteID]],'Datos_Ejemplo.csv'!A:A,'Datos_Ejemplo.csv'!I:I)</f>
        <v>13</v>
      </c>
      <c r="N4672">
        <f>ABS(TablaDatos[[#This Row],[DiasOriginal]])</f>
        <v>13</v>
      </c>
      <c r="O4672" s="1">
        <f>TablaDatos[[#This Row],[FechaIngreso]]+TablaDatos[[#This Row],[DiasNuevo]]</f>
        <v>45256</v>
      </c>
    </row>
    <row r="4673" spans="1:15">
      <c r="A4673">
        <v>4672</v>
      </c>
      <c r="B4673" t="s">
        <v>280</v>
      </c>
      <c r="C4673" s="1">
        <v>33239</v>
      </c>
      <c r="D4673">
        <v>35</v>
      </c>
      <c r="E4673" s="4" t="s">
        <v>12</v>
      </c>
      <c r="F4673" t="s">
        <v>261</v>
      </c>
      <c r="G4673" s="1">
        <v>45048</v>
      </c>
      <c r="H4673" s="1">
        <f>TablaDatos[[#This Row],[FechaIngreso]]+TablaDatos[[#This Row],[DiasNuevo]]</f>
        <v>45083</v>
      </c>
      <c r="I4673">
        <v>35</v>
      </c>
      <c r="J4673" t="s">
        <v>19</v>
      </c>
      <c r="K4673" s="3">
        <v>17197.7</v>
      </c>
      <c r="L4673" t="b">
        <f>TablaDatos[[#This Row],[FechaAlta]] &lt; TablaDatos[[#This Row],[FechaIngreso]]</f>
        <v>0</v>
      </c>
      <c r="M4673">
        <f>_xlfn.XLOOKUP(TablaDatos[[#This Row],[PacienteID]],'Datos_Ejemplo.csv'!A:A,'Datos_Ejemplo.csv'!I:I)</f>
        <v>35</v>
      </c>
      <c r="N4673">
        <f>ABS(TablaDatos[[#This Row],[DiasOriginal]])</f>
        <v>35</v>
      </c>
      <c r="O4673" s="1">
        <f>TablaDatos[[#This Row],[FechaIngreso]]+TablaDatos[[#This Row],[DiasNuevo]]</f>
        <v>45083</v>
      </c>
    </row>
    <row r="4674" spans="1:15">
      <c r="A4674">
        <v>4673</v>
      </c>
      <c r="B4674" t="s">
        <v>279</v>
      </c>
      <c r="C4674" s="1">
        <v>32873</v>
      </c>
      <c r="D4674">
        <v>36</v>
      </c>
      <c r="E4674" s="4" t="s">
        <v>12</v>
      </c>
      <c r="F4674" t="s">
        <v>261</v>
      </c>
      <c r="G4674" s="1">
        <v>45473</v>
      </c>
      <c r="H4674" s="1">
        <f>TablaDatos[[#This Row],[FechaIngreso]]+TablaDatos[[#This Row],[DiasNuevo]]</f>
        <v>45491</v>
      </c>
      <c r="I4674">
        <v>18</v>
      </c>
      <c r="J4674" t="s">
        <v>25</v>
      </c>
      <c r="K4674" s="3">
        <v>13520.02</v>
      </c>
      <c r="L4674" t="b">
        <f>TablaDatos[[#This Row],[FechaAlta]] &lt; TablaDatos[[#This Row],[FechaIngreso]]</f>
        <v>0</v>
      </c>
      <c r="M4674">
        <f>_xlfn.XLOOKUP(TablaDatos[[#This Row],[PacienteID]],'Datos_Ejemplo.csv'!A:A,'Datos_Ejemplo.csv'!I:I)</f>
        <v>18</v>
      </c>
      <c r="N4674">
        <f>ABS(TablaDatos[[#This Row],[DiasOriginal]])</f>
        <v>18</v>
      </c>
      <c r="O4674" s="1">
        <f>TablaDatos[[#This Row],[FechaIngreso]]+TablaDatos[[#This Row],[DiasNuevo]]</f>
        <v>45491</v>
      </c>
    </row>
    <row r="4675" spans="1:15">
      <c r="A4675">
        <v>4674</v>
      </c>
      <c r="B4675" t="s">
        <v>230</v>
      </c>
      <c r="C4675" s="1">
        <v>17533</v>
      </c>
      <c r="D4675">
        <v>78</v>
      </c>
      <c r="E4675" s="4" t="s">
        <v>15</v>
      </c>
      <c r="F4675" t="s">
        <v>201</v>
      </c>
      <c r="G4675" s="1">
        <v>45507</v>
      </c>
      <c r="H4675" s="1">
        <f>TablaDatos[[#This Row],[FechaIngreso]]+TablaDatos[[#This Row],[DiasNuevo]]</f>
        <v>45542</v>
      </c>
      <c r="I4675">
        <v>35</v>
      </c>
      <c r="J4675" t="s">
        <v>23</v>
      </c>
      <c r="K4675" s="3">
        <v>3930.55</v>
      </c>
      <c r="L4675" t="b">
        <f>TablaDatos[[#This Row],[FechaAlta]] &lt; TablaDatos[[#This Row],[FechaIngreso]]</f>
        <v>0</v>
      </c>
      <c r="M4675">
        <f>_xlfn.XLOOKUP(TablaDatos[[#This Row],[PacienteID]],'Datos_Ejemplo.csv'!A:A,'Datos_Ejemplo.csv'!I:I)</f>
        <v>35</v>
      </c>
      <c r="N4675">
        <f>ABS(TablaDatos[[#This Row],[DiasOriginal]])</f>
        <v>35</v>
      </c>
      <c r="O4675" s="1">
        <f>TablaDatos[[#This Row],[FechaIngreso]]+TablaDatos[[#This Row],[DiasNuevo]]</f>
        <v>45542</v>
      </c>
    </row>
    <row r="4676" spans="1:15">
      <c r="A4676">
        <v>4675</v>
      </c>
      <c r="B4676" t="s">
        <v>39</v>
      </c>
      <c r="C4676" s="1">
        <v>12785</v>
      </c>
      <c r="D4676">
        <v>91</v>
      </c>
      <c r="E4676" s="4" t="s">
        <v>12</v>
      </c>
      <c r="F4676" t="s">
        <v>201</v>
      </c>
      <c r="G4676" s="1">
        <v>45239</v>
      </c>
      <c r="H4676" s="1">
        <f>TablaDatos[[#This Row],[FechaIngreso]]+TablaDatos[[#This Row],[DiasNuevo]]</f>
        <v>45277</v>
      </c>
      <c r="I4676">
        <v>38</v>
      </c>
      <c r="J4676" t="s">
        <v>19</v>
      </c>
      <c r="K4676" s="3">
        <v>1359.69</v>
      </c>
      <c r="L4676" t="b">
        <f>TablaDatos[[#This Row],[FechaAlta]] &lt; TablaDatos[[#This Row],[FechaIngreso]]</f>
        <v>0</v>
      </c>
      <c r="M4676">
        <f>_xlfn.XLOOKUP(TablaDatos[[#This Row],[PacienteID]],'Datos_Ejemplo.csv'!A:A,'Datos_Ejemplo.csv'!I:I)</f>
        <v>38</v>
      </c>
      <c r="N4676">
        <f>ABS(TablaDatos[[#This Row],[DiasOriginal]])</f>
        <v>38</v>
      </c>
      <c r="O4676" s="1">
        <f>TablaDatos[[#This Row],[FechaIngreso]]+TablaDatos[[#This Row],[DiasNuevo]]</f>
        <v>45277</v>
      </c>
    </row>
    <row r="4677" spans="1:15">
      <c r="A4677">
        <v>4676</v>
      </c>
      <c r="B4677" t="s">
        <v>265</v>
      </c>
      <c r="C4677" s="1">
        <v>39813</v>
      </c>
      <c r="D4677">
        <v>17</v>
      </c>
      <c r="E4677" s="4" t="s">
        <v>12</v>
      </c>
      <c r="F4677" t="s">
        <v>32</v>
      </c>
      <c r="G4677" s="1">
        <v>45413</v>
      </c>
      <c r="H4677" s="1">
        <f>TablaDatos[[#This Row],[FechaIngreso]]+TablaDatos[[#This Row],[DiasNuevo]]</f>
        <v>45443</v>
      </c>
      <c r="I4677">
        <v>30</v>
      </c>
      <c r="J4677" t="s">
        <v>23</v>
      </c>
      <c r="K4677" s="3">
        <v>855.07</v>
      </c>
      <c r="L4677" t="b">
        <f>TablaDatos[[#This Row],[FechaAlta]] &lt; TablaDatos[[#This Row],[FechaIngreso]]</f>
        <v>0</v>
      </c>
      <c r="M4677">
        <f>_xlfn.XLOOKUP(TablaDatos[[#This Row],[PacienteID]],'Datos_Ejemplo.csv'!A:A,'Datos_Ejemplo.csv'!I:I)</f>
        <v>30</v>
      </c>
      <c r="N4677">
        <f>ABS(TablaDatos[[#This Row],[DiasOriginal]])</f>
        <v>30</v>
      </c>
      <c r="O4677" s="1">
        <f>TablaDatos[[#This Row],[FechaIngreso]]+TablaDatos[[#This Row],[DiasNuevo]]</f>
        <v>45443</v>
      </c>
    </row>
    <row r="4678" spans="1:15">
      <c r="A4678">
        <v>4677</v>
      </c>
      <c r="B4678" t="s">
        <v>102</v>
      </c>
      <c r="C4678" s="1">
        <v>23377</v>
      </c>
      <c r="D4678">
        <v>62</v>
      </c>
      <c r="E4678" s="4" t="s">
        <v>15</v>
      </c>
      <c r="F4678" t="s">
        <v>295</v>
      </c>
      <c r="G4678" s="1">
        <v>45577</v>
      </c>
      <c r="H4678" s="1">
        <f>TablaDatos[[#This Row],[FechaIngreso]]+TablaDatos[[#This Row],[DiasNuevo]]</f>
        <v>45603</v>
      </c>
      <c r="I4678">
        <v>26</v>
      </c>
      <c r="J4678" t="s">
        <v>23</v>
      </c>
      <c r="K4678" s="3">
        <v>12202.74</v>
      </c>
      <c r="L4678" t="b">
        <f>TablaDatos[[#This Row],[FechaAlta]] &lt; TablaDatos[[#This Row],[FechaIngreso]]</f>
        <v>0</v>
      </c>
      <c r="M4678">
        <f>_xlfn.XLOOKUP(TablaDatos[[#This Row],[PacienteID]],'Datos_Ejemplo.csv'!A:A,'Datos_Ejemplo.csv'!I:I)</f>
        <v>26</v>
      </c>
      <c r="N4678">
        <f>ABS(TablaDatos[[#This Row],[DiasOriginal]])</f>
        <v>26</v>
      </c>
      <c r="O4678" s="1">
        <f>TablaDatos[[#This Row],[FechaIngreso]]+TablaDatos[[#This Row],[DiasNuevo]]</f>
        <v>45603</v>
      </c>
    </row>
    <row r="4679" spans="1:15">
      <c r="A4679">
        <v>4678</v>
      </c>
      <c r="B4679" t="s">
        <v>49</v>
      </c>
      <c r="C4679" s="1">
        <v>38352</v>
      </c>
      <c r="D4679">
        <v>21</v>
      </c>
      <c r="E4679" s="4" t="s">
        <v>15</v>
      </c>
      <c r="F4679" t="s">
        <v>18</v>
      </c>
      <c r="G4679" s="1">
        <v>44938</v>
      </c>
      <c r="H4679" s="1">
        <f>TablaDatos[[#This Row],[FechaIngreso]]+TablaDatos[[#This Row],[DiasNuevo]]</f>
        <v>44952</v>
      </c>
      <c r="I4679">
        <v>14</v>
      </c>
      <c r="J4679" t="s">
        <v>25</v>
      </c>
      <c r="K4679" s="3">
        <v>627.39</v>
      </c>
      <c r="L4679" t="b">
        <f>TablaDatos[[#This Row],[FechaAlta]] &lt; TablaDatos[[#This Row],[FechaIngreso]]</f>
        <v>0</v>
      </c>
      <c r="M4679">
        <f>_xlfn.XLOOKUP(TablaDatos[[#This Row],[PacienteID]],'Datos_Ejemplo.csv'!A:A,'Datos_Ejemplo.csv'!I:I)</f>
        <v>14</v>
      </c>
      <c r="N4679">
        <f>ABS(TablaDatos[[#This Row],[DiasOriginal]])</f>
        <v>14</v>
      </c>
      <c r="O4679" s="1">
        <f>TablaDatos[[#This Row],[FechaIngreso]]+TablaDatos[[#This Row],[DiasNuevo]]</f>
        <v>44952</v>
      </c>
    </row>
    <row r="4680" spans="1:15">
      <c r="A4680">
        <v>4679</v>
      </c>
      <c r="B4680" t="s">
        <v>279</v>
      </c>
      <c r="C4680" s="1">
        <v>42370</v>
      </c>
      <c r="D4680">
        <v>10</v>
      </c>
      <c r="E4680" s="4" t="s">
        <v>12</v>
      </c>
      <c r="F4680" t="s">
        <v>295</v>
      </c>
      <c r="G4680" s="1">
        <v>45051</v>
      </c>
      <c r="H4680" s="1">
        <f>TablaDatos[[#This Row],[FechaIngreso]]+TablaDatos[[#This Row],[DiasNuevo]]</f>
        <v>45061</v>
      </c>
      <c r="I4680">
        <v>10</v>
      </c>
      <c r="J4680" t="s">
        <v>25</v>
      </c>
      <c r="K4680" s="3">
        <v>14758.72</v>
      </c>
      <c r="L4680" t="b">
        <f>TablaDatos[[#This Row],[FechaAlta]] &lt; TablaDatos[[#This Row],[FechaIngreso]]</f>
        <v>0</v>
      </c>
      <c r="M4680">
        <f>_xlfn.XLOOKUP(TablaDatos[[#This Row],[PacienteID]],'Datos_Ejemplo.csv'!A:A,'Datos_Ejemplo.csv'!I:I)</f>
        <v>10</v>
      </c>
      <c r="N4680">
        <f>ABS(TablaDatos[[#This Row],[DiasOriginal]])</f>
        <v>10</v>
      </c>
      <c r="O4680" s="1">
        <f>TablaDatos[[#This Row],[FechaIngreso]]+TablaDatos[[#This Row],[DiasNuevo]]</f>
        <v>45061</v>
      </c>
    </row>
    <row r="4681" spans="1:15">
      <c r="A4681">
        <v>4680</v>
      </c>
      <c r="B4681" t="s">
        <v>349</v>
      </c>
      <c r="C4681" s="1">
        <v>25203</v>
      </c>
      <c r="D4681">
        <v>57</v>
      </c>
      <c r="E4681" s="4" t="s">
        <v>15</v>
      </c>
      <c r="F4681" t="s">
        <v>201</v>
      </c>
      <c r="G4681" s="1">
        <v>45585</v>
      </c>
      <c r="H4681" s="1">
        <f>TablaDatos[[#This Row],[FechaIngreso]]+TablaDatos[[#This Row],[DiasNuevo]]</f>
        <v>45588</v>
      </c>
      <c r="I4681">
        <v>3</v>
      </c>
      <c r="J4681" t="s">
        <v>25</v>
      </c>
      <c r="K4681" s="3">
        <v>14220.66</v>
      </c>
      <c r="L4681" t="b">
        <f>TablaDatos[[#This Row],[FechaAlta]] &lt; TablaDatos[[#This Row],[FechaIngreso]]</f>
        <v>0</v>
      </c>
      <c r="M4681">
        <f>_xlfn.XLOOKUP(TablaDatos[[#This Row],[PacienteID]],'Datos_Ejemplo.csv'!A:A,'Datos_Ejemplo.csv'!I:I)</f>
        <v>3</v>
      </c>
      <c r="N4681">
        <f>ABS(TablaDatos[[#This Row],[DiasOriginal]])</f>
        <v>3</v>
      </c>
      <c r="O4681" s="1">
        <f>TablaDatos[[#This Row],[FechaIngreso]]+TablaDatos[[#This Row],[DiasNuevo]]</f>
        <v>45588</v>
      </c>
    </row>
    <row r="4682" spans="1:15">
      <c r="A4682">
        <v>4681</v>
      </c>
      <c r="B4682" t="s">
        <v>281</v>
      </c>
      <c r="C4682" s="1">
        <v>25568</v>
      </c>
      <c r="D4682">
        <v>56</v>
      </c>
      <c r="E4682" s="4" t="s">
        <v>15</v>
      </c>
      <c r="F4682" t="s">
        <v>261</v>
      </c>
      <c r="G4682" s="1">
        <v>45003</v>
      </c>
      <c r="H4682" s="1">
        <f>TablaDatos[[#This Row],[FechaIngreso]]+TablaDatos[[#This Row],[DiasNuevo]]</f>
        <v>45004</v>
      </c>
      <c r="I4682">
        <v>1</v>
      </c>
      <c r="J4682" t="s">
        <v>25</v>
      </c>
      <c r="K4682" s="3">
        <v>1500.18</v>
      </c>
      <c r="L4682" t="b">
        <f>TablaDatos[[#This Row],[FechaAlta]] &lt; TablaDatos[[#This Row],[FechaIngreso]]</f>
        <v>0</v>
      </c>
      <c r="M4682">
        <f>_xlfn.XLOOKUP(TablaDatos[[#This Row],[PacienteID]],'Datos_Ejemplo.csv'!A:A,'Datos_Ejemplo.csv'!I:I)</f>
        <v>-1</v>
      </c>
      <c r="N4682">
        <f>ABS(TablaDatos[[#This Row],[DiasOriginal]])</f>
        <v>1</v>
      </c>
      <c r="O4682" s="1">
        <f>TablaDatos[[#This Row],[FechaIngreso]]+TablaDatos[[#This Row],[DiasNuevo]]</f>
        <v>45004</v>
      </c>
    </row>
    <row r="4683" spans="1:15">
      <c r="A4683">
        <v>4682</v>
      </c>
      <c r="B4683" t="s">
        <v>103</v>
      </c>
      <c r="C4683" s="1">
        <v>18263</v>
      </c>
      <c r="D4683">
        <v>76</v>
      </c>
      <c r="E4683" s="4" t="s">
        <v>197</v>
      </c>
      <c r="F4683" t="s">
        <v>32</v>
      </c>
      <c r="G4683" s="1">
        <v>45506</v>
      </c>
      <c r="H4683" s="1">
        <f>TablaDatos[[#This Row],[FechaIngreso]]+TablaDatos[[#This Row],[DiasNuevo]]</f>
        <v>45511</v>
      </c>
      <c r="I4683">
        <v>5</v>
      </c>
      <c r="J4683" t="s">
        <v>19</v>
      </c>
      <c r="K4683" s="3">
        <v>18123.11</v>
      </c>
      <c r="L4683" t="b">
        <f>TablaDatos[[#This Row],[FechaAlta]] &lt; TablaDatos[[#This Row],[FechaIngreso]]</f>
        <v>0</v>
      </c>
      <c r="M4683">
        <f>_xlfn.XLOOKUP(TablaDatos[[#This Row],[PacienteID]],'Datos_Ejemplo.csv'!A:A,'Datos_Ejemplo.csv'!I:I)</f>
        <v>5</v>
      </c>
      <c r="N4683">
        <f>ABS(TablaDatos[[#This Row],[DiasOriginal]])</f>
        <v>5</v>
      </c>
      <c r="O4683" s="1">
        <f>TablaDatos[[#This Row],[FechaIngreso]]+TablaDatos[[#This Row],[DiasNuevo]]</f>
        <v>45511</v>
      </c>
    </row>
    <row r="4684" spans="1:15">
      <c r="A4684">
        <v>4683</v>
      </c>
      <c r="B4684" t="s">
        <v>305</v>
      </c>
      <c r="C4684" s="1">
        <v>44927</v>
      </c>
      <c r="D4684">
        <v>3</v>
      </c>
      <c r="E4684" s="4" t="s">
        <v>15</v>
      </c>
      <c r="F4684" t="s">
        <v>295</v>
      </c>
      <c r="G4684" s="1">
        <v>45644</v>
      </c>
      <c r="H4684" s="1">
        <f>TablaDatos[[#This Row],[FechaIngreso]]+TablaDatos[[#This Row],[DiasNuevo]]</f>
        <v>45673</v>
      </c>
      <c r="I4684">
        <v>29</v>
      </c>
      <c r="J4684" t="s">
        <v>23</v>
      </c>
      <c r="K4684" s="3">
        <v>10390.780000000001</v>
      </c>
      <c r="L4684" t="b">
        <f>TablaDatos[[#This Row],[FechaAlta]] &lt; TablaDatos[[#This Row],[FechaIngreso]]</f>
        <v>0</v>
      </c>
      <c r="M4684">
        <f>_xlfn.XLOOKUP(TablaDatos[[#This Row],[PacienteID]],'Datos_Ejemplo.csv'!A:A,'Datos_Ejemplo.csv'!I:I)</f>
        <v>29</v>
      </c>
      <c r="N4684">
        <f>ABS(TablaDatos[[#This Row],[DiasOriginal]])</f>
        <v>29</v>
      </c>
      <c r="O4684" s="1">
        <f>TablaDatos[[#This Row],[FechaIngreso]]+TablaDatos[[#This Row],[DiasNuevo]]</f>
        <v>45673</v>
      </c>
    </row>
    <row r="4685" spans="1:15">
      <c r="A4685">
        <v>4684</v>
      </c>
      <c r="B4685" t="s">
        <v>358</v>
      </c>
      <c r="C4685" s="1">
        <v>14976</v>
      </c>
      <c r="D4685">
        <v>85</v>
      </c>
      <c r="E4685" s="4" t="s">
        <v>15</v>
      </c>
      <c r="F4685" t="s">
        <v>18</v>
      </c>
      <c r="G4685" s="1">
        <v>45162</v>
      </c>
      <c r="H4685" s="1">
        <f>TablaDatos[[#This Row],[FechaIngreso]]+TablaDatos[[#This Row],[DiasNuevo]]</f>
        <v>45195</v>
      </c>
      <c r="I4685">
        <v>33</v>
      </c>
      <c r="J4685" t="s">
        <v>23</v>
      </c>
      <c r="K4685" s="3">
        <v>18079.22</v>
      </c>
      <c r="L4685" t="b">
        <f>TablaDatos[[#This Row],[FechaAlta]] &lt; TablaDatos[[#This Row],[FechaIngreso]]</f>
        <v>0</v>
      </c>
      <c r="M4685">
        <f>_xlfn.XLOOKUP(TablaDatos[[#This Row],[PacienteID]],'Datos_Ejemplo.csv'!A:A,'Datos_Ejemplo.csv'!I:I)</f>
        <v>33</v>
      </c>
      <c r="N4685">
        <f>ABS(TablaDatos[[#This Row],[DiasOriginal]])</f>
        <v>33</v>
      </c>
      <c r="O4685" s="1">
        <f>TablaDatos[[#This Row],[FechaIngreso]]+TablaDatos[[#This Row],[DiasNuevo]]</f>
        <v>45195</v>
      </c>
    </row>
    <row r="4686" spans="1:15">
      <c r="A4686">
        <v>4685</v>
      </c>
      <c r="B4686" t="s">
        <v>289</v>
      </c>
      <c r="C4686" s="1">
        <v>43831</v>
      </c>
      <c r="D4686">
        <v>6</v>
      </c>
      <c r="E4686" s="4" t="s">
        <v>12</v>
      </c>
      <c r="F4686" t="s">
        <v>13</v>
      </c>
      <c r="G4686" s="1">
        <v>45497</v>
      </c>
      <c r="H4686" s="1">
        <f>TablaDatos[[#This Row],[FechaIngreso]]+TablaDatos[[#This Row],[DiasNuevo]]</f>
        <v>45503</v>
      </c>
      <c r="I4686">
        <v>6</v>
      </c>
      <c r="J4686" t="s">
        <v>25</v>
      </c>
      <c r="K4686" s="3">
        <v>18022.36</v>
      </c>
      <c r="L4686" t="b">
        <f>TablaDatos[[#This Row],[FechaAlta]] &lt; TablaDatos[[#This Row],[FechaIngreso]]</f>
        <v>0</v>
      </c>
      <c r="M4686">
        <f>_xlfn.XLOOKUP(TablaDatos[[#This Row],[PacienteID]],'Datos_Ejemplo.csv'!A:A,'Datos_Ejemplo.csv'!I:I)</f>
        <v>6</v>
      </c>
      <c r="N4686">
        <f>ABS(TablaDatos[[#This Row],[DiasOriginal]])</f>
        <v>6</v>
      </c>
      <c r="O4686" s="1">
        <f>TablaDatos[[#This Row],[FechaIngreso]]+TablaDatos[[#This Row],[DiasNuevo]]</f>
        <v>45503</v>
      </c>
    </row>
    <row r="4687" spans="1:15">
      <c r="A4687">
        <v>4686</v>
      </c>
      <c r="B4687" t="s">
        <v>255</v>
      </c>
      <c r="C4687" s="1">
        <v>24107</v>
      </c>
      <c r="D4687">
        <v>60</v>
      </c>
      <c r="E4687" s="4" t="s">
        <v>12</v>
      </c>
      <c r="F4687" t="s">
        <v>21</v>
      </c>
      <c r="G4687" s="1">
        <v>45180</v>
      </c>
      <c r="H4687" s="1">
        <f>TablaDatos[[#This Row],[FechaIngreso]]+TablaDatos[[#This Row],[DiasNuevo]]</f>
        <v>45200</v>
      </c>
      <c r="I4687">
        <v>20</v>
      </c>
      <c r="J4687" t="s">
        <v>23</v>
      </c>
      <c r="K4687" s="3">
        <v>3860.38</v>
      </c>
      <c r="L4687" t="b">
        <f>TablaDatos[[#This Row],[FechaAlta]] &lt; TablaDatos[[#This Row],[FechaIngreso]]</f>
        <v>0</v>
      </c>
      <c r="M4687">
        <f>_xlfn.XLOOKUP(TablaDatos[[#This Row],[PacienteID]],'Datos_Ejemplo.csv'!A:A,'Datos_Ejemplo.csv'!I:I)</f>
        <v>20</v>
      </c>
      <c r="N4687">
        <f>ABS(TablaDatos[[#This Row],[DiasOriginal]])</f>
        <v>20</v>
      </c>
      <c r="O4687" s="1">
        <f>TablaDatos[[#This Row],[FechaIngreso]]+TablaDatos[[#This Row],[DiasNuevo]]</f>
        <v>45200</v>
      </c>
    </row>
    <row r="4688" spans="1:15">
      <c r="A4688">
        <v>4687</v>
      </c>
      <c r="B4688" t="s">
        <v>164</v>
      </c>
      <c r="C4688" s="1">
        <v>26664</v>
      </c>
      <c r="D4688">
        <v>53</v>
      </c>
      <c r="E4688" s="4" t="s">
        <v>15</v>
      </c>
      <c r="F4688" t="s">
        <v>32</v>
      </c>
      <c r="G4688" s="1">
        <v>45332</v>
      </c>
      <c r="H4688" s="1">
        <f>TablaDatos[[#This Row],[FechaIngreso]]+TablaDatos[[#This Row],[DiasNuevo]]</f>
        <v>45336</v>
      </c>
      <c r="I4688">
        <v>4</v>
      </c>
      <c r="J4688" t="s">
        <v>19</v>
      </c>
      <c r="K4688" s="3">
        <v>7549.61</v>
      </c>
      <c r="L4688" t="b">
        <f>TablaDatos[[#This Row],[FechaAlta]] &lt; TablaDatos[[#This Row],[FechaIngreso]]</f>
        <v>0</v>
      </c>
      <c r="M4688">
        <f>_xlfn.XLOOKUP(TablaDatos[[#This Row],[PacienteID]],'Datos_Ejemplo.csv'!A:A,'Datos_Ejemplo.csv'!I:I)</f>
        <v>4</v>
      </c>
      <c r="N4688">
        <f>ABS(TablaDatos[[#This Row],[DiasOriginal]])</f>
        <v>4</v>
      </c>
      <c r="O4688" s="1">
        <f>TablaDatos[[#This Row],[FechaIngreso]]+TablaDatos[[#This Row],[DiasNuevo]]</f>
        <v>45336</v>
      </c>
    </row>
    <row r="4689" spans="1:15">
      <c r="A4689">
        <v>4688</v>
      </c>
      <c r="B4689" t="s">
        <v>257</v>
      </c>
      <c r="C4689" s="1">
        <v>14246</v>
      </c>
      <c r="D4689">
        <v>87</v>
      </c>
      <c r="E4689" s="4" t="s">
        <v>12</v>
      </c>
      <c r="F4689" t="s">
        <v>32</v>
      </c>
      <c r="G4689" s="1">
        <v>45169</v>
      </c>
      <c r="H4689" s="1">
        <f>TablaDatos[[#This Row],[FechaIngreso]]+TablaDatos[[#This Row],[DiasNuevo]]</f>
        <v>45197</v>
      </c>
      <c r="I4689">
        <v>28</v>
      </c>
      <c r="J4689" t="s">
        <v>25</v>
      </c>
      <c r="K4689" s="3">
        <v>2605.9899999999998</v>
      </c>
      <c r="L4689" t="b">
        <f>TablaDatos[[#This Row],[FechaAlta]] &lt; TablaDatos[[#This Row],[FechaIngreso]]</f>
        <v>0</v>
      </c>
      <c r="M4689">
        <f>_xlfn.XLOOKUP(TablaDatos[[#This Row],[PacienteID]],'Datos_Ejemplo.csv'!A:A,'Datos_Ejemplo.csv'!I:I)</f>
        <v>28</v>
      </c>
      <c r="N4689">
        <f>ABS(TablaDatos[[#This Row],[DiasOriginal]])</f>
        <v>28</v>
      </c>
      <c r="O4689" s="1">
        <f>TablaDatos[[#This Row],[FechaIngreso]]+TablaDatos[[#This Row],[DiasNuevo]]</f>
        <v>45197</v>
      </c>
    </row>
    <row r="4690" spans="1:15">
      <c r="A4690">
        <v>4689</v>
      </c>
      <c r="B4690" t="s">
        <v>234</v>
      </c>
      <c r="C4690" s="1">
        <v>21551</v>
      </c>
      <c r="D4690">
        <v>67</v>
      </c>
      <c r="E4690" s="4" t="s">
        <v>12</v>
      </c>
      <c r="F4690" t="s">
        <v>18</v>
      </c>
      <c r="G4690" s="1">
        <v>45387</v>
      </c>
      <c r="H4690" s="1">
        <f>TablaDatos[[#This Row],[FechaIngreso]]+TablaDatos[[#This Row],[DiasNuevo]]</f>
        <v>45405</v>
      </c>
      <c r="I4690">
        <v>18</v>
      </c>
      <c r="J4690" t="s">
        <v>23</v>
      </c>
      <c r="K4690" s="3">
        <v>15477.06</v>
      </c>
      <c r="L4690" t="b">
        <f>TablaDatos[[#This Row],[FechaAlta]] &lt; TablaDatos[[#This Row],[FechaIngreso]]</f>
        <v>0</v>
      </c>
      <c r="M4690">
        <f>_xlfn.XLOOKUP(TablaDatos[[#This Row],[PacienteID]],'Datos_Ejemplo.csv'!A:A,'Datos_Ejemplo.csv'!I:I)</f>
        <v>18</v>
      </c>
      <c r="N4690">
        <f>ABS(TablaDatos[[#This Row],[DiasOriginal]])</f>
        <v>18</v>
      </c>
      <c r="O4690" s="1">
        <f>TablaDatos[[#This Row],[FechaIngreso]]+TablaDatos[[#This Row],[DiasNuevo]]</f>
        <v>45405</v>
      </c>
    </row>
    <row r="4691" spans="1:15">
      <c r="A4691">
        <v>4690</v>
      </c>
      <c r="B4691" t="s">
        <v>356</v>
      </c>
      <c r="C4691" s="1">
        <v>12785</v>
      </c>
      <c r="D4691">
        <v>91</v>
      </c>
      <c r="E4691" s="4" t="s">
        <v>12</v>
      </c>
      <c r="F4691" t="s">
        <v>13</v>
      </c>
      <c r="G4691" s="1">
        <v>45203</v>
      </c>
      <c r="H4691" s="1">
        <f>TablaDatos[[#This Row],[FechaIngreso]]+TablaDatos[[#This Row],[DiasNuevo]]</f>
        <v>45205</v>
      </c>
      <c r="I4691">
        <v>2</v>
      </c>
      <c r="J4691" t="s">
        <v>23</v>
      </c>
      <c r="K4691" s="3">
        <v>10032.91</v>
      </c>
      <c r="L4691" t="b">
        <f>TablaDatos[[#This Row],[FechaAlta]] &lt; TablaDatos[[#This Row],[FechaIngreso]]</f>
        <v>0</v>
      </c>
      <c r="M4691">
        <f>_xlfn.XLOOKUP(TablaDatos[[#This Row],[PacienteID]],'Datos_Ejemplo.csv'!A:A,'Datos_Ejemplo.csv'!I:I)</f>
        <v>-2</v>
      </c>
      <c r="N4691">
        <f>ABS(TablaDatos[[#This Row],[DiasOriginal]])</f>
        <v>2</v>
      </c>
      <c r="O4691" s="1">
        <f>TablaDatos[[#This Row],[FechaIngreso]]+TablaDatos[[#This Row],[DiasNuevo]]</f>
        <v>45205</v>
      </c>
    </row>
    <row r="4692" spans="1:15">
      <c r="A4692">
        <v>4691</v>
      </c>
      <c r="B4692" t="s">
        <v>246</v>
      </c>
      <c r="C4692" s="1">
        <v>17533</v>
      </c>
      <c r="D4692">
        <v>78</v>
      </c>
      <c r="E4692" s="4" t="s">
        <v>15</v>
      </c>
      <c r="F4692" t="s">
        <v>13</v>
      </c>
      <c r="G4692" s="1">
        <v>45395</v>
      </c>
      <c r="H4692" s="1">
        <f>TablaDatos[[#This Row],[FechaIngreso]]+TablaDatos[[#This Row],[DiasNuevo]]</f>
        <v>45396</v>
      </c>
      <c r="I4692">
        <v>1</v>
      </c>
      <c r="J4692" t="s">
        <v>25</v>
      </c>
      <c r="K4692" s="3">
        <v>18569.03</v>
      </c>
      <c r="L4692" t="b">
        <f>TablaDatos[[#This Row],[FechaAlta]] &lt; TablaDatos[[#This Row],[FechaIngreso]]</f>
        <v>0</v>
      </c>
      <c r="M4692">
        <f>_xlfn.XLOOKUP(TablaDatos[[#This Row],[PacienteID]],'Datos_Ejemplo.csv'!A:A,'Datos_Ejemplo.csv'!I:I)</f>
        <v>-1</v>
      </c>
      <c r="N4692">
        <f>ABS(TablaDatos[[#This Row],[DiasOriginal]])</f>
        <v>1</v>
      </c>
      <c r="O4692" s="1">
        <f>TablaDatos[[#This Row],[FechaIngreso]]+TablaDatos[[#This Row],[DiasNuevo]]</f>
        <v>45396</v>
      </c>
    </row>
    <row r="4693" spans="1:15">
      <c r="A4693">
        <v>4692</v>
      </c>
      <c r="B4693" t="s">
        <v>356</v>
      </c>
      <c r="C4693" s="1">
        <v>46022</v>
      </c>
      <c r="D4693">
        <v>0</v>
      </c>
      <c r="E4693" s="4" t="s">
        <v>15</v>
      </c>
      <c r="F4693" t="s">
        <v>21</v>
      </c>
      <c r="G4693" s="1">
        <v>45146</v>
      </c>
      <c r="H4693" s="1">
        <f>TablaDatos[[#This Row],[FechaIngreso]]+TablaDatos[[#This Row],[DiasNuevo]]</f>
        <v>45183</v>
      </c>
      <c r="I4693">
        <v>37</v>
      </c>
      <c r="J4693" t="s">
        <v>23</v>
      </c>
      <c r="K4693" s="3">
        <v>4085.13</v>
      </c>
      <c r="L4693" t="b">
        <f>TablaDatos[[#This Row],[FechaAlta]] &lt; TablaDatos[[#This Row],[FechaIngreso]]</f>
        <v>0</v>
      </c>
      <c r="M4693">
        <f>_xlfn.XLOOKUP(TablaDatos[[#This Row],[PacienteID]],'Datos_Ejemplo.csv'!A:A,'Datos_Ejemplo.csv'!I:I)</f>
        <v>37</v>
      </c>
      <c r="N4693">
        <f>ABS(TablaDatos[[#This Row],[DiasOriginal]])</f>
        <v>37</v>
      </c>
      <c r="O4693" s="1">
        <f>TablaDatos[[#This Row],[FechaIngreso]]+TablaDatos[[#This Row],[DiasNuevo]]</f>
        <v>45183</v>
      </c>
    </row>
    <row r="4694" spans="1:15">
      <c r="A4694">
        <v>4693</v>
      </c>
      <c r="B4694" t="s">
        <v>51</v>
      </c>
      <c r="C4694" s="1">
        <v>26299</v>
      </c>
      <c r="D4694">
        <v>54</v>
      </c>
      <c r="E4694" s="4" t="s">
        <v>15</v>
      </c>
      <c r="F4694" t="s">
        <v>13</v>
      </c>
      <c r="G4694" s="1">
        <v>45151</v>
      </c>
      <c r="H4694" s="1">
        <f>TablaDatos[[#This Row],[FechaIngreso]]+TablaDatos[[#This Row],[DiasNuevo]]</f>
        <v>45159</v>
      </c>
      <c r="I4694">
        <v>8</v>
      </c>
      <c r="J4694" t="s">
        <v>23</v>
      </c>
      <c r="K4694" s="3">
        <v>13736.19</v>
      </c>
      <c r="L4694" t="b">
        <f>TablaDatos[[#This Row],[FechaAlta]] &lt; TablaDatos[[#This Row],[FechaIngreso]]</f>
        <v>0</v>
      </c>
      <c r="M4694">
        <f>_xlfn.XLOOKUP(TablaDatos[[#This Row],[PacienteID]],'Datos_Ejemplo.csv'!A:A,'Datos_Ejemplo.csv'!I:I)</f>
        <v>8</v>
      </c>
      <c r="N4694">
        <f>ABS(TablaDatos[[#This Row],[DiasOriginal]])</f>
        <v>8</v>
      </c>
      <c r="O4694" s="1">
        <f>TablaDatos[[#This Row],[FechaIngreso]]+TablaDatos[[#This Row],[DiasNuevo]]</f>
        <v>45159</v>
      </c>
    </row>
    <row r="4695" spans="1:15">
      <c r="A4695">
        <v>4694</v>
      </c>
      <c r="B4695" t="s">
        <v>335</v>
      </c>
      <c r="C4695" s="1">
        <v>45292</v>
      </c>
      <c r="D4695">
        <v>2</v>
      </c>
      <c r="E4695" s="4" t="s">
        <v>12</v>
      </c>
      <c r="F4695" t="s">
        <v>18</v>
      </c>
      <c r="G4695" s="1">
        <v>45027</v>
      </c>
      <c r="H4695" s="1">
        <f>TablaDatos[[#This Row],[FechaIngreso]]+TablaDatos[[#This Row],[DiasNuevo]]</f>
        <v>45061</v>
      </c>
      <c r="I4695">
        <v>34</v>
      </c>
      <c r="J4695" t="s">
        <v>23</v>
      </c>
      <c r="K4695" s="3">
        <v>19783.66</v>
      </c>
      <c r="L4695" t="b">
        <f>TablaDatos[[#This Row],[FechaAlta]] &lt; TablaDatos[[#This Row],[FechaIngreso]]</f>
        <v>0</v>
      </c>
      <c r="M4695">
        <f>_xlfn.XLOOKUP(TablaDatos[[#This Row],[PacienteID]],'Datos_Ejemplo.csv'!A:A,'Datos_Ejemplo.csv'!I:I)</f>
        <v>34</v>
      </c>
      <c r="N4695">
        <f>ABS(TablaDatos[[#This Row],[DiasOriginal]])</f>
        <v>34</v>
      </c>
      <c r="O4695" s="1">
        <f>TablaDatos[[#This Row],[FechaIngreso]]+TablaDatos[[#This Row],[DiasNuevo]]</f>
        <v>45061</v>
      </c>
    </row>
    <row r="4696" spans="1:15">
      <c r="A4696">
        <v>4695</v>
      </c>
      <c r="B4696" t="s">
        <v>242</v>
      </c>
      <c r="C4696" s="1">
        <v>17898</v>
      </c>
      <c r="D4696">
        <v>77</v>
      </c>
      <c r="E4696" s="4" t="s">
        <v>12</v>
      </c>
      <c r="F4696" t="s">
        <v>261</v>
      </c>
      <c r="G4696" s="1">
        <v>45560</v>
      </c>
      <c r="H4696" s="1">
        <f>TablaDatos[[#This Row],[FechaIngreso]]+TablaDatos[[#This Row],[DiasNuevo]]</f>
        <v>45575</v>
      </c>
      <c r="I4696">
        <v>15</v>
      </c>
      <c r="J4696" t="s">
        <v>19</v>
      </c>
      <c r="K4696" s="3">
        <v>13274.16</v>
      </c>
      <c r="L4696" t="b">
        <f>TablaDatos[[#This Row],[FechaAlta]] &lt; TablaDatos[[#This Row],[FechaIngreso]]</f>
        <v>0</v>
      </c>
      <c r="M4696">
        <f>_xlfn.XLOOKUP(TablaDatos[[#This Row],[PacienteID]],'Datos_Ejemplo.csv'!A:A,'Datos_Ejemplo.csv'!I:I)</f>
        <v>15</v>
      </c>
      <c r="N4696">
        <f>ABS(TablaDatos[[#This Row],[DiasOriginal]])</f>
        <v>15</v>
      </c>
      <c r="O4696" s="1">
        <f>TablaDatos[[#This Row],[FechaIngreso]]+TablaDatos[[#This Row],[DiasNuevo]]</f>
        <v>45575</v>
      </c>
    </row>
    <row r="4697" spans="1:15">
      <c r="A4697">
        <v>4696</v>
      </c>
      <c r="B4697" t="s">
        <v>344</v>
      </c>
      <c r="C4697" s="1">
        <v>32508</v>
      </c>
      <c r="D4697">
        <v>37</v>
      </c>
      <c r="E4697" s="4" t="s">
        <v>12</v>
      </c>
      <c r="F4697" t="s">
        <v>13</v>
      </c>
      <c r="G4697" s="1">
        <v>45656</v>
      </c>
      <c r="H4697" s="1">
        <f>TablaDatos[[#This Row],[FechaIngreso]]+TablaDatos[[#This Row],[DiasNuevo]]</f>
        <v>45677</v>
      </c>
      <c r="I4697">
        <v>21</v>
      </c>
      <c r="J4697" t="s">
        <v>25</v>
      </c>
      <c r="K4697" s="3">
        <v>1282.3599999999999</v>
      </c>
      <c r="L4697" t="b">
        <f>TablaDatos[[#This Row],[FechaAlta]] &lt; TablaDatos[[#This Row],[FechaIngreso]]</f>
        <v>0</v>
      </c>
      <c r="M4697">
        <f>_xlfn.XLOOKUP(TablaDatos[[#This Row],[PacienteID]],'Datos_Ejemplo.csv'!A:A,'Datos_Ejemplo.csv'!I:I)</f>
        <v>21</v>
      </c>
      <c r="N4697">
        <f>ABS(TablaDatos[[#This Row],[DiasOriginal]])</f>
        <v>21</v>
      </c>
      <c r="O4697" s="1">
        <f>TablaDatos[[#This Row],[FechaIngreso]]+TablaDatos[[#This Row],[DiasNuevo]]</f>
        <v>45677</v>
      </c>
    </row>
    <row r="4698" spans="1:15">
      <c r="A4698">
        <v>4697</v>
      </c>
      <c r="B4698" t="s">
        <v>304</v>
      </c>
      <c r="C4698" s="1">
        <v>46022</v>
      </c>
      <c r="D4698">
        <v>0</v>
      </c>
      <c r="E4698" s="4" t="s">
        <v>12</v>
      </c>
      <c r="F4698" t="s">
        <v>261</v>
      </c>
      <c r="G4698" s="1">
        <v>45433</v>
      </c>
      <c r="H4698" s="1">
        <f>TablaDatos[[#This Row],[FechaIngreso]]+TablaDatos[[#This Row],[DiasNuevo]]</f>
        <v>45449</v>
      </c>
      <c r="I4698">
        <v>16</v>
      </c>
      <c r="J4698" t="s">
        <v>25</v>
      </c>
      <c r="K4698" s="3">
        <v>11727.33</v>
      </c>
      <c r="L4698" t="b">
        <f>TablaDatos[[#This Row],[FechaAlta]] &lt; TablaDatos[[#This Row],[FechaIngreso]]</f>
        <v>0</v>
      </c>
      <c r="M4698">
        <f>_xlfn.XLOOKUP(TablaDatos[[#This Row],[PacienteID]],'Datos_Ejemplo.csv'!A:A,'Datos_Ejemplo.csv'!I:I)</f>
        <v>16</v>
      </c>
      <c r="N4698">
        <f>ABS(TablaDatos[[#This Row],[DiasOriginal]])</f>
        <v>16</v>
      </c>
      <c r="O4698" s="1">
        <f>TablaDatos[[#This Row],[FechaIngreso]]+TablaDatos[[#This Row],[DiasNuevo]]</f>
        <v>45449</v>
      </c>
    </row>
    <row r="4699" spans="1:15">
      <c r="A4699">
        <v>4698</v>
      </c>
      <c r="B4699" t="s">
        <v>342</v>
      </c>
      <c r="C4699" s="1">
        <v>32508</v>
      </c>
      <c r="D4699">
        <v>37</v>
      </c>
      <c r="E4699" s="4" t="s">
        <v>12</v>
      </c>
      <c r="F4699" t="s">
        <v>201</v>
      </c>
      <c r="G4699" s="1">
        <v>45513</v>
      </c>
      <c r="H4699" s="1">
        <f>TablaDatos[[#This Row],[FechaIngreso]]+TablaDatos[[#This Row],[DiasNuevo]]</f>
        <v>45515</v>
      </c>
      <c r="I4699">
        <v>2</v>
      </c>
      <c r="J4699" t="s">
        <v>23</v>
      </c>
      <c r="K4699" s="3">
        <v>3514.84</v>
      </c>
      <c r="L4699" t="b">
        <f>TablaDatos[[#This Row],[FechaAlta]] &lt; TablaDatos[[#This Row],[FechaIngreso]]</f>
        <v>0</v>
      </c>
      <c r="M4699">
        <f>_xlfn.XLOOKUP(TablaDatos[[#This Row],[PacienteID]],'Datos_Ejemplo.csv'!A:A,'Datos_Ejemplo.csv'!I:I)</f>
        <v>2</v>
      </c>
      <c r="N4699">
        <f>ABS(TablaDatos[[#This Row],[DiasOriginal]])</f>
        <v>2</v>
      </c>
      <c r="O4699" s="1">
        <f>TablaDatos[[#This Row],[FechaIngreso]]+TablaDatos[[#This Row],[DiasNuevo]]</f>
        <v>45515</v>
      </c>
    </row>
    <row r="4700" spans="1:15">
      <c r="A4700">
        <v>4699</v>
      </c>
      <c r="B4700" t="s">
        <v>257</v>
      </c>
      <c r="C4700" s="1">
        <v>15341</v>
      </c>
      <c r="D4700">
        <v>84</v>
      </c>
      <c r="E4700" s="4" t="s">
        <v>15</v>
      </c>
      <c r="F4700" t="s">
        <v>201</v>
      </c>
      <c r="G4700" s="1">
        <v>45257</v>
      </c>
      <c r="H4700" s="1">
        <f>TablaDatos[[#This Row],[FechaIngreso]]+TablaDatos[[#This Row],[DiasNuevo]]</f>
        <v>45283</v>
      </c>
      <c r="I4700">
        <v>26</v>
      </c>
      <c r="J4700" t="s">
        <v>23</v>
      </c>
      <c r="K4700" s="3">
        <v>513.11</v>
      </c>
      <c r="L4700" t="b">
        <f>TablaDatos[[#This Row],[FechaAlta]] &lt; TablaDatos[[#This Row],[FechaIngreso]]</f>
        <v>0</v>
      </c>
      <c r="M4700">
        <f>_xlfn.XLOOKUP(TablaDatos[[#This Row],[PacienteID]],'Datos_Ejemplo.csv'!A:A,'Datos_Ejemplo.csv'!I:I)</f>
        <v>26</v>
      </c>
      <c r="N4700">
        <f>ABS(TablaDatos[[#This Row],[DiasOriginal]])</f>
        <v>26</v>
      </c>
      <c r="O4700" s="1">
        <f>TablaDatos[[#This Row],[FechaIngreso]]+TablaDatos[[#This Row],[DiasNuevo]]</f>
        <v>45283</v>
      </c>
    </row>
    <row r="4701" spans="1:15">
      <c r="A4701">
        <v>4700</v>
      </c>
      <c r="B4701" t="s">
        <v>136</v>
      </c>
      <c r="C4701" s="1">
        <v>35795</v>
      </c>
      <c r="D4701">
        <v>28</v>
      </c>
      <c r="E4701" s="4" t="s">
        <v>12</v>
      </c>
      <c r="F4701" t="s">
        <v>261</v>
      </c>
      <c r="G4701" s="1">
        <v>45163</v>
      </c>
      <c r="H4701" s="1">
        <f>TablaDatos[[#This Row],[FechaIngreso]]+TablaDatos[[#This Row],[DiasNuevo]]</f>
        <v>45199</v>
      </c>
      <c r="I4701">
        <v>36</v>
      </c>
      <c r="J4701" t="s">
        <v>25</v>
      </c>
      <c r="K4701" s="3">
        <v>6632.71</v>
      </c>
      <c r="L4701" t="b">
        <f>TablaDatos[[#This Row],[FechaAlta]] &lt; TablaDatos[[#This Row],[FechaIngreso]]</f>
        <v>0</v>
      </c>
      <c r="M4701">
        <f>_xlfn.XLOOKUP(TablaDatos[[#This Row],[PacienteID]],'Datos_Ejemplo.csv'!A:A,'Datos_Ejemplo.csv'!I:I)</f>
        <v>36</v>
      </c>
      <c r="N4701">
        <f>ABS(TablaDatos[[#This Row],[DiasOriginal]])</f>
        <v>36</v>
      </c>
      <c r="O4701" s="1">
        <f>TablaDatos[[#This Row],[FechaIngreso]]+TablaDatos[[#This Row],[DiasNuevo]]</f>
        <v>45199</v>
      </c>
    </row>
    <row r="4702" spans="1:15">
      <c r="A4702">
        <v>4701</v>
      </c>
      <c r="B4702" t="s">
        <v>294</v>
      </c>
      <c r="C4702" s="1">
        <v>44561</v>
      </c>
      <c r="D4702">
        <v>4</v>
      </c>
      <c r="E4702" s="4" t="s">
        <v>12</v>
      </c>
      <c r="F4702" t="s">
        <v>18</v>
      </c>
      <c r="G4702" s="1">
        <v>45265</v>
      </c>
      <c r="H4702" s="1">
        <f>TablaDatos[[#This Row],[FechaIngreso]]+TablaDatos[[#This Row],[DiasNuevo]]</f>
        <v>45266</v>
      </c>
      <c r="I4702">
        <v>1</v>
      </c>
      <c r="J4702" t="s">
        <v>23</v>
      </c>
      <c r="K4702" s="3">
        <v>5248.69</v>
      </c>
      <c r="L4702" t="b">
        <f>TablaDatos[[#This Row],[FechaAlta]] &lt; TablaDatos[[#This Row],[FechaIngreso]]</f>
        <v>0</v>
      </c>
      <c r="M4702">
        <f>_xlfn.XLOOKUP(TablaDatos[[#This Row],[PacienteID]],'Datos_Ejemplo.csv'!A:A,'Datos_Ejemplo.csv'!I:I)</f>
        <v>-1</v>
      </c>
      <c r="N4702">
        <f>ABS(TablaDatos[[#This Row],[DiasOriginal]])</f>
        <v>1</v>
      </c>
      <c r="O4702" s="1">
        <f>TablaDatos[[#This Row],[FechaIngreso]]+TablaDatos[[#This Row],[DiasNuevo]]</f>
        <v>45266</v>
      </c>
    </row>
    <row r="4703" spans="1:15">
      <c r="A4703">
        <v>4702</v>
      </c>
      <c r="B4703" t="s">
        <v>277</v>
      </c>
      <c r="C4703" s="1">
        <v>19359</v>
      </c>
      <c r="D4703">
        <v>73</v>
      </c>
      <c r="E4703" s="4" t="s">
        <v>12</v>
      </c>
      <c r="F4703" t="s">
        <v>32</v>
      </c>
      <c r="G4703" s="1">
        <v>45432</v>
      </c>
      <c r="H4703" s="1">
        <f>TablaDatos[[#This Row],[FechaIngreso]]+TablaDatos[[#This Row],[DiasNuevo]]</f>
        <v>45446</v>
      </c>
      <c r="I4703">
        <v>14</v>
      </c>
      <c r="J4703" t="s">
        <v>19</v>
      </c>
      <c r="K4703" s="3">
        <v>15754.3</v>
      </c>
      <c r="L4703" t="b">
        <f>TablaDatos[[#This Row],[FechaAlta]] &lt; TablaDatos[[#This Row],[FechaIngreso]]</f>
        <v>0</v>
      </c>
      <c r="M4703">
        <f>_xlfn.XLOOKUP(TablaDatos[[#This Row],[PacienteID]],'Datos_Ejemplo.csv'!A:A,'Datos_Ejemplo.csv'!I:I)</f>
        <v>14</v>
      </c>
      <c r="N4703">
        <f>ABS(TablaDatos[[#This Row],[DiasOriginal]])</f>
        <v>14</v>
      </c>
      <c r="O4703" s="1">
        <f>TablaDatos[[#This Row],[FechaIngreso]]+TablaDatos[[#This Row],[DiasNuevo]]</f>
        <v>45446</v>
      </c>
    </row>
    <row r="4704" spans="1:15">
      <c r="A4704">
        <v>4703</v>
      </c>
      <c r="B4704" t="s">
        <v>161</v>
      </c>
      <c r="C4704" s="1">
        <v>12785</v>
      </c>
      <c r="D4704">
        <v>91</v>
      </c>
      <c r="E4704" s="4" t="s">
        <v>15</v>
      </c>
      <c r="F4704" t="s">
        <v>32</v>
      </c>
      <c r="G4704" s="1">
        <v>45091</v>
      </c>
      <c r="H4704" s="1">
        <f>TablaDatos[[#This Row],[FechaIngreso]]+TablaDatos[[#This Row],[DiasNuevo]]</f>
        <v>45099</v>
      </c>
      <c r="I4704">
        <v>8</v>
      </c>
      <c r="J4704" t="s">
        <v>25</v>
      </c>
      <c r="K4704" s="3">
        <v>7410.98</v>
      </c>
      <c r="L4704" t="b">
        <f>TablaDatos[[#This Row],[FechaAlta]] &lt; TablaDatos[[#This Row],[FechaIngreso]]</f>
        <v>0</v>
      </c>
      <c r="M4704">
        <f>_xlfn.XLOOKUP(TablaDatos[[#This Row],[PacienteID]],'Datos_Ejemplo.csv'!A:A,'Datos_Ejemplo.csv'!I:I)</f>
        <v>8</v>
      </c>
      <c r="N4704">
        <f>ABS(TablaDatos[[#This Row],[DiasOriginal]])</f>
        <v>8</v>
      </c>
      <c r="O4704" s="1">
        <f>TablaDatos[[#This Row],[FechaIngreso]]+TablaDatos[[#This Row],[DiasNuevo]]</f>
        <v>45099</v>
      </c>
    </row>
    <row r="4705" spans="1:15">
      <c r="A4705">
        <v>4704</v>
      </c>
      <c r="B4705" t="s">
        <v>268</v>
      </c>
      <c r="C4705" s="1">
        <v>38717</v>
      </c>
      <c r="D4705">
        <v>20</v>
      </c>
      <c r="E4705" s="4" t="s">
        <v>12</v>
      </c>
      <c r="F4705" t="s">
        <v>32</v>
      </c>
      <c r="G4705" s="1">
        <v>45595</v>
      </c>
      <c r="H4705" s="1">
        <f>TablaDatos[[#This Row],[FechaIngreso]]+TablaDatos[[#This Row],[DiasNuevo]]</f>
        <v>45629</v>
      </c>
      <c r="I4705">
        <v>34</v>
      </c>
      <c r="J4705" t="s">
        <v>23</v>
      </c>
      <c r="K4705" s="3">
        <v>14632.47</v>
      </c>
      <c r="L4705" t="b">
        <f>TablaDatos[[#This Row],[FechaAlta]] &lt; TablaDatos[[#This Row],[FechaIngreso]]</f>
        <v>0</v>
      </c>
      <c r="M4705">
        <f>_xlfn.XLOOKUP(TablaDatos[[#This Row],[PacienteID]],'Datos_Ejemplo.csv'!A:A,'Datos_Ejemplo.csv'!I:I)</f>
        <v>34</v>
      </c>
      <c r="N4705">
        <f>ABS(TablaDatos[[#This Row],[DiasOriginal]])</f>
        <v>34</v>
      </c>
      <c r="O4705" s="1">
        <f>TablaDatos[[#This Row],[FechaIngreso]]+TablaDatos[[#This Row],[DiasNuevo]]</f>
        <v>45629</v>
      </c>
    </row>
    <row r="4706" spans="1:15">
      <c r="A4706">
        <v>4705</v>
      </c>
      <c r="B4706" t="s">
        <v>61</v>
      </c>
      <c r="C4706" s="1">
        <v>20455</v>
      </c>
      <c r="D4706">
        <v>70</v>
      </c>
      <c r="E4706" s="4" t="s">
        <v>15</v>
      </c>
      <c r="F4706" t="s">
        <v>295</v>
      </c>
      <c r="G4706" s="1">
        <v>45649</v>
      </c>
      <c r="H4706" s="1">
        <f>TablaDatos[[#This Row],[FechaIngreso]]+TablaDatos[[#This Row],[DiasNuevo]]</f>
        <v>45659</v>
      </c>
      <c r="I4706">
        <v>10</v>
      </c>
      <c r="J4706" t="s">
        <v>23</v>
      </c>
      <c r="K4706" s="3">
        <v>226.4</v>
      </c>
      <c r="L4706" t="b">
        <f>TablaDatos[[#This Row],[FechaAlta]] &lt; TablaDatos[[#This Row],[FechaIngreso]]</f>
        <v>0</v>
      </c>
      <c r="M4706">
        <f>_xlfn.XLOOKUP(TablaDatos[[#This Row],[PacienteID]],'Datos_Ejemplo.csv'!A:A,'Datos_Ejemplo.csv'!I:I)</f>
        <v>10</v>
      </c>
      <c r="N4706">
        <f>ABS(TablaDatos[[#This Row],[DiasOriginal]])</f>
        <v>10</v>
      </c>
      <c r="O4706" s="1">
        <f>TablaDatos[[#This Row],[FechaIngreso]]+TablaDatos[[#This Row],[DiasNuevo]]</f>
        <v>45659</v>
      </c>
    </row>
    <row r="4707" spans="1:15">
      <c r="A4707">
        <v>4706</v>
      </c>
      <c r="B4707" t="s">
        <v>330</v>
      </c>
      <c r="C4707" s="1">
        <v>21916</v>
      </c>
      <c r="D4707">
        <v>66</v>
      </c>
      <c r="E4707" s="4" t="s">
        <v>15</v>
      </c>
      <c r="F4707" t="s">
        <v>32</v>
      </c>
      <c r="G4707" s="1">
        <v>45654</v>
      </c>
      <c r="H4707" s="1">
        <f>TablaDatos[[#This Row],[FechaIngreso]]+TablaDatos[[#This Row],[DiasNuevo]]</f>
        <v>45680</v>
      </c>
      <c r="I4707">
        <v>26</v>
      </c>
      <c r="J4707" t="s">
        <v>25</v>
      </c>
      <c r="K4707" s="3">
        <v>197.72</v>
      </c>
      <c r="L4707" t="b">
        <f>TablaDatos[[#This Row],[FechaAlta]] &lt; TablaDatos[[#This Row],[FechaIngreso]]</f>
        <v>0</v>
      </c>
      <c r="M4707">
        <f>_xlfn.XLOOKUP(TablaDatos[[#This Row],[PacienteID]],'Datos_Ejemplo.csv'!A:A,'Datos_Ejemplo.csv'!I:I)</f>
        <v>26</v>
      </c>
      <c r="N4707">
        <f>ABS(TablaDatos[[#This Row],[DiasOriginal]])</f>
        <v>26</v>
      </c>
      <c r="O4707" s="1">
        <f>TablaDatos[[#This Row],[FechaIngreso]]+TablaDatos[[#This Row],[DiasNuevo]]</f>
        <v>45680</v>
      </c>
    </row>
    <row r="4708" spans="1:15">
      <c r="A4708">
        <v>4707</v>
      </c>
      <c r="B4708" t="s">
        <v>264</v>
      </c>
      <c r="C4708" s="1">
        <v>29221</v>
      </c>
      <c r="D4708">
        <v>46</v>
      </c>
      <c r="E4708" s="4" t="s">
        <v>12</v>
      </c>
      <c r="F4708" t="s">
        <v>18</v>
      </c>
      <c r="G4708" s="1">
        <v>45144</v>
      </c>
      <c r="H4708" s="1">
        <f>TablaDatos[[#This Row],[FechaIngreso]]+TablaDatos[[#This Row],[DiasNuevo]]</f>
        <v>45173</v>
      </c>
      <c r="I4708">
        <v>29</v>
      </c>
      <c r="J4708" t="s">
        <v>25</v>
      </c>
      <c r="K4708" s="3">
        <v>489.2</v>
      </c>
      <c r="L4708" t="b">
        <f>TablaDatos[[#This Row],[FechaAlta]] &lt; TablaDatos[[#This Row],[FechaIngreso]]</f>
        <v>0</v>
      </c>
      <c r="M4708">
        <f>_xlfn.XLOOKUP(TablaDatos[[#This Row],[PacienteID]],'Datos_Ejemplo.csv'!A:A,'Datos_Ejemplo.csv'!I:I)</f>
        <v>29</v>
      </c>
      <c r="N4708">
        <f>ABS(TablaDatos[[#This Row],[DiasOriginal]])</f>
        <v>29</v>
      </c>
      <c r="O4708" s="1">
        <f>TablaDatos[[#This Row],[FechaIngreso]]+TablaDatos[[#This Row],[DiasNuevo]]</f>
        <v>45173</v>
      </c>
    </row>
    <row r="4709" spans="1:15">
      <c r="A4709">
        <v>4708</v>
      </c>
      <c r="B4709" t="s">
        <v>296</v>
      </c>
      <c r="C4709" s="1">
        <v>15707</v>
      </c>
      <c r="D4709">
        <v>83</v>
      </c>
      <c r="E4709" s="4" t="s">
        <v>12</v>
      </c>
      <c r="F4709" t="s">
        <v>21</v>
      </c>
      <c r="G4709" s="1">
        <v>45302</v>
      </c>
      <c r="H4709" s="1">
        <f>TablaDatos[[#This Row],[FechaIngreso]]+TablaDatos[[#This Row],[DiasNuevo]]</f>
        <v>45339</v>
      </c>
      <c r="I4709">
        <v>37</v>
      </c>
      <c r="J4709" t="s">
        <v>19</v>
      </c>
      <c r="K4709" s="3">
        <v>4309.1000000000004</v>
      </c>
      <c r="L4709" t="b">
        <f>TablaDatos[[#This Row],[FechaAlta]] &lt; TablaDatos[[#This Row],[FechaIngreso]]</f>
        <v>0</v>
      </c>
      <c r="M4709">
        <f>_xlfn.XLOOKUP(TablaDatos[[#This Row],[PacienteID]],'Datos_Ejemplo.csv'!A:A,'Datos_Ejemplo.csv'!I:I)</f>
        <v>37</v>
      </c>
      <c r="N4709">
        <f>ABS(TablaDatos[[#This Row],[DiasOriginal]])</f>
        <v>37</v>
      </c>
      <c r="O4709" s="1">
        <f>TablaDatos[[#This Row],[FechaIngreso]]+TablaDatos[[#This Row],[DiasNuevo]]</f>
        <v>45339</v>
      </c>
    </row>
    <row r="4710" spans="1:15">
      <c r="A4710">
        <v>4709</v>
      </c>
      <c r="B4710" t="s">
        <v>351</v>
      </c>
      <c r="C4710" s="1">
        <v>16072</v>
      </c>
      <c r="D4710">
        <v>82</v>
      </c>
      <c r="E4710" s="4" t="s">
        <v>15</v>
      </c>
      <c r="F4710" t="s">
        <v>201</v>
      </c>
      <c r="G4710" s="1">
        <v>44938</v>
      </c>
      <c r="H4710" s="1">
        <f>TablaDatos[[#This Row],[FechaIngreso]]+TablaDatos[[#This Row],[DiasNuevo]]</f>
        <v>44943</v>
      </c>
      <c r="I4710">
        <v>5</v>
      </c>
      <c r="J4710" t="s">
        <v>23</v>
      </c>
      <c r="K4710" s="3">
        <v>7417.15</v>
      </c>
      <c r="L4710" t="b">
        <f>TablaDatos[[#This Row],[FechaAlta]] &lt; TablaDatos[[#This Row],[FechaIngreso]]</f>
        <v>0</v>
      </c>
      <c r="M4710">
        <f>_xlfn.XLOOKUP(TablaDatos[[#This Row],[PacienteID]],'Datos_Ejemplo.csv'!A:A,'Datos_Ejemplo.csv'!I:I)</f>
        <v>5</v>
      </c>
      <c r="N4710">
        <f>ABS(TablaDatos[[#This Row],[DiasOriginal]])</f>
        <v>5</v>
      </c>
      <c r="O4710" s="1">
        <f>TablaDatos[[#This Row],[FechaIngreso]]+TablaDatos[[#This Row],[DiasNuevo]]</f>
        <v>44943</v>
      </c>
    </row>
    <row r="4711" spans="1:15">
      <c r="A4711">
        <v>4710</v>
      </c>
      <c r="B4711" t="s">
        <v>349</v>
      </c>
      <c r="C4711" s="1">
        <v>33604</v>
      </c>
      <c r="D4711">
        <v>34</v>
      </c>
      <c r="E4711" s="4" t="s">
        <v>12</v>
      </c>
      <c r="F4711" t="s">
        <v>13</v>
      </c>
      <c r="G4711" s="1">
        <v>45358</v>
      </c>
      <c r="H4711" s="1">
        <f>TablaDatos[[#This Row],[FechaIngreso]]+TablaDatos[[#This Row],[DiasNuevo]]</f>
        <v>45365</v>
      </c>
      <c r="I4711">
        <v>7</v>
      </c>
      <c r="J4711" t="s">
        <v>23</v>
      </c>
      <c r="K4711" s="3">
        <v>12117.7</v>
      </c>
      <c r="L4711" t="b">
        <f>TablaDatos[[#This Row],[FechaAlta]] &lt; TablaDatos[[#This Row],[FechaIngreso]]</f>
        <v>0</v>
      </c>
      <c r="M4711">
        <f>_xlfn.XLOOKUP(TablaDatos[[#This Row],[PacienteID]],'Datos_Ejemplo.csv'!A:A,'Datos_Ejemplo.csv'!I:I)</f>
        <v>7</v>
      </c>
      <c r="N4711">
        <f>ABS(TablaDatos[[#This Row],[DiasOriginal]])</f>
        <v>7</v>
      </c>
      <c r="O4711" s="1">
        <f>TablaDatos[[#This Row],[FechaIngreso]]+TablaDatos[[#This Row],[DiasNuevo]]</f>
        <v>45365</v>
      </c>
    </row>
    <row r="4712" spans="1:15">
      <c r="A4712">
        <v>4711</v>
      </c>
      <c r="B4712" t="s">
        <v>232</v>
      </c>
      <c r="C4712" s="1">
        <v>21551</v>
      </c>
      <c r="D4712">
        <v>67</v>
      </c>
      <c r="E4712" s="4" t="s">
        <v>15</v>
      </c>
      <c r="F4712" t="s">
        <v>32</v>
      </c>
      <c r="G4712" s="1">
        <v>45009</v>
      </c>
      <c r="H4712" s="1">
        <f>TablaDatos[[#This Row],[FechaIngreso]]+TablaDatos[[#This Row],[DiasNuevo]]</f>
        <v>45031</v>
      </c>
      <c r="I4712">
        <v>22</v>
      </c>
      <c r="J4712" t="s">
        <v>19</v>
      </c>
      <c r="K4712" s="3">
        <v>19716.87</v>
      </c>
      <c r="L4712" t="b">
        <f>TablaDatos[[#This Row],[FechaAlta]] &lt; TablaDatos[[#This Row],[FechaIngreso]]</f>
        <v>0</v>
      </c>
      <c r="M4712">
        <f>_xlfn.XLOOKUP(TablaDatos[[#This Row],[PacienteID]],'Datos_Ejemplo.csv'!A:A,'Datos_Ejemplo.csv'!I:I)</f>
        <v>22</v>
      </c>
      <c r="N4712">
        <f>ABS(TablaDatos[[#This Row],[DiasOriginal]])</f>
        <v>22</v>
      </c>
      <c r="O4712" s="1">
        <f>TablaDatos[[#This Row],[FechaIngreso]]+TablaDatos[[#This Row],[DiasNuevo]]</f>
        <v>45031</v>
      </c>
    </row>
    <row r="4713" spans="1:15">
      <c r="A4713">
        <v>4712</v>
      </c>
      <c r="B4713" t="s">
        <v>312</v>
      </c>
      <c r="C4713" s="1">
        <v>21185</v>
      </c>
      <c r="D4713">
        <v>68</v>
      </c>
      <c r="E4713" s="4" t="s">
        <v>15</v>
      </c>
      <c r="F4713" t="s">
        <v>295</v>
      </c>
      <c r="G4713" s="1">
        <v>45357</v>
      </c>
      <c r="H4713" s="1">
        <f>TablaDatos[[#This Row],[FechaIngreso]]+TablaDatos[[#This Row],[DiasNuevo]]</f>
        <v>45365</v>
      </c>
      <c r="I4713">
        <v>8</v>
      </c>
      <c r="J4713" t="s">
        <v>19</v>
      </c>
      <c r="K4713" s="3">
        <v>7023.63</v>
      </c>
      <c r="L4713" t="b">
        <f>TablaDatos[[#This Row],[FechaAlta]] &lt; TablaDatos[[#This Row],[FechaIngreso]]</f>
        <v>0</v>
      </c>
      <c r="M4713">
        <f>_xlfn.XLOOKUP(TablaDatos[[#This Row],[PacienteID]],'Datos_Ejemplo.csv'!A:A,'Datos_Ejemplo.csv'!I:I)</f>
        <v>8</v>
      </c>
      <c r="N4713">
        <f>ABS(TablaDatos[[#This Row],[DiasOriginal]])</f>
        <v>8</v>
      </c>
      <c r="O4713" s="1">
        <f>TablaDatos[[#This Row],[FechaIngreso]]+TablaDatos[[#This Row],[DiasNuevo]]</f>
        <v>45365</v>
      </c>
    </row>
    <row r="4714" spans="1:15">
      <c r="A4714">
        <v>4713</v>
      </c>
      <c r="B4714" t="s">
        <v>260</v>
      </c>
      <c r="C4714" s="1">
        <v>46022</v>
      </c>
      <c r="D4714">
        <v>0</v>
      </c>
      <c r="E4714" s="4" t="s">
        <v>15</v>
      </c>
      <c r="F4714" t="s">
        <v>201</v>
      </c>
      <c r="G4714" s="1">
        <v>45551</v>
      </c>
      <c r="H4714" s="1">
        <f>TablaDatos[[#This Row],[FechaIngreso]]+TablaDatos[[#This Row],[DiasNuevo]]</f>
        <v>45576</v>
      </c>
      <c r="I4714">
        <v>25</v>
      </c>
      <c r="J4714" t="s">
        <v>19</v>
      </c>
      <c r="K4714" s="3">
        <v>1018.74</v>
      </c>
      <c r="L4714" t="b">
        <f>TablaDatos[[#This Row],[FechaAlta]] &lt; TablaDatos[[#This Row],[FechaIngreso]]</f>
        <v>0</v>
      </c>
      <c r="M4714">
        <f>_xlfn.XLOOKUP(TablaDatos[[#This Row],[PacienteID]],'Datos_Ejemplo.csv'!A:A,'Datos_Ejemplo.csv'!I:I)</f>
        <v>25</v>
      </c>
      <c r="N4714">
        <f>ABS(TablaDatos[[#This Row],[DiasOriginal]])</f>
        <v>25</v>
      </c>
      <c r="O4714" s="1">
        <f>TablaDatos[[#This Row],[FechaIngreso]]+TablaDatos[[#This Row],[DiasNuevo]]</f>
        <v>45576</v>
      </c>
    </row>
    <row r="4715" spans="1:15">
      <c r="A4715">
        <v>4714</v>
      </c>
      <c r="B4715" t="s">
        <v>330</v>
      </c>
      <c r="C4715" s="1">
        <v>21551</v>
      </c>
      <c r="D4715">
        <v>67</v>
      </c>
      <c r="E4715" s="4" t="s">
        <v>12</v>
      </c>
      <c r="F4715" t="s">
        <v>201</v>
      </c>
      <c r="G4715" s="1">
        <v>45404</v>
      </c>
      <c r="H4715" s="1">
        <f>TablaDatos[[#This Row],[FechaIngreso]]+TablaDatos[[#This Row],[DiasNuevo]]</f>
        <v>45434</v>
      </c>
      <c r="I4715">
        <v>30</v>
      </c>
      <c r="J4715" t="s">
        <v>23</v>
      </c>
      <c r="K4715" s="3">
        <v>3817.49</v>
      </c>
      <c r="L4715" t="b">
        <f>TablaDatos[[#This Row],[FechaAlta]] &lt; TablaDatos[[#This Row],[FechaIngreso]]</f>
        <v>0</v>
      </c>
      <c r="M4715">
        <f>_xlfn.XLOOKUP(TablaDatos[[#This Row],[PacienteID]],'Datos_Ejemplo.csv'!A:A,'Datos_Ejemplo.csv'!I:I)</f>
        <v>30</v>
      </c>
      <c r="N4715">
        <f>ABS(TablaDatos[[#This Row],[DiasOriginal]])</f>
        <v>30</v>
      </c>
      <c r="O4715" s="1">
        <f>TablaDatos[[#This Row],[FechaIngreso]]+TablaDatos[[#This Row],[DiasNuevo]]</f>
        <v>45434</v>
      </c>
    </row>
    <row r="4716" spans="1:15">
      <c r="A4716">
        <v>4715</v>
      </c>
      <c r="B4716" t="s">
        <v>338</v>
      </c>
      <c r="C4716" s="1">
        <v>42005</v>
      </c>
      <c r="D4716">
        <v>11</v>
      </c>
      <c r="E4716" s="4" t="s">
        <v>197</v>
      </c>
      <c r="F4716" t="s">
        <v>261</v>
      </c>
      <c r="G4716" s="1">
        <v>45633</v>
      </c>
      <c r="H4716" s="1">
        <f>TablaDatos[[#This Row],[FechaIngreso]]+TablaDatos[[#This Row],[DiasNuevo]]</f>
        <v>45669</v>
      </c>
      <c r="I4716">
        <v>36</v>
      </c>
      <c r="J4716" t="s">
        <v>23</v>
      </c>
      <c r="K4716" s="3">
        <v>17946.82</v>
      </c>
      <c r="L4716" t="b">
        <f>TablaDatos[[#This Row],[FechaAlta]] &lt; TablaDatos[[#This Row],[FechaIngreso]]</f>
        <v>0</v>
      </c>
      <c r="M4716">
        <f>_xlfn.XLOOKUP(TablaDatos[[#This Row],[PacienteID]],'Datos_Ejemplo.csv'!A:A,'Datos_Ejemplo.csv'!I:I)</f>
        <v>36</v>
      </c>
      <c r="N4716">
        <f>ABS(TablaDatos[[#This Row],[DiasOriginal]])</f>
        <v>36</v>
      </c>
      <c r="O4716" s="1">
        <f>TablaDatos[[#This Row],[FechaIngreso]]+TablaDatos[[#This Row],[DiasNuevo]]</f>
        <v>45669</v>
      </c>
    </row>
    <row r="4717" spans="1:15">
      <c r="A4717">
        <v>4716</v>
      </c>
      <c r="B4717" t="s">
        <v>312</v>
      </c>
      <c r="C4717" s="1">
        <v>24473</v>
      </c>
      <c r="D4717">
        <v>59</v>
      </c>
      <c r="E4717" s="4" t="s">
        <v>12</v>
      </c>
      <c r="F4717" t="s">
        <v>295</v>
      </c>
      <c r="G4717" s="1">
        <v>45295</v>
      </c>
      <c r="H4717" s="1">
        <f>TablaDatos[[#This Row],[FechaIngreso]]+TablaDatos[[#This Row],[DiasNuevo]]</f>
        <v>45318</v>
      </c>
      <c r="I4717">
        <v>23</v>
      </c>
      <c r="J4717" t="s">
        <v>25</v>
      </c>
      <c r="K4717" s="3">
        <v>13957.52</v>
      </c>
      <c r="L4717" t="b">
        <f>TablaDatos[[#This Row],[FechaAlta]] &lt; TablaDatos[[#This Row],[FechaIngreso]]</f>
        <v>0</v>
      </c>
      <c r="M4717">
        <f>_xlfn.XLOOKUP(TablaDatos[[#This Row],[PacienteID]],'Datos_Ejemplo.csv'!A:A,'Datos_Ejemplo.csv'!I:I)</f>
        <v>23</v>
      </c>
      <c r="N4717">
        <f>ABS(TablaDatos[[#This Row],[DiasOriginal]])</f>
        <v>23</v>
      </c>
      <c r="O4717" s="1">
        <f>TablaDatos[[#This Row],[FechaIngreso]]+TablaDatos[[#This Row],[DiasNuevo]]</f>
        <v>45318</v>
      </c>
    </row>
    <row r="4718" spans="1:15">
      <c r="A4718">
        <v>4717</v>
      </c>
      <c r="B4718" t="s">
        <v>325</v>
      </c>
      <c r="C4718" s="1">
        <v>36526</v>
      </c>
      <c r="D4718">
        <v>26</v>
      </c>
      <c r="E4718" s="4" t="s">
        <v>12</v>
      </c>
      <c r="F4718" t="s">
        <v>18</v>
      </c>
      <c r="G4718" s="1">
        <v>45579</v>
      </c>
      <c r="H4718" s="1">
        <f>TablaDatos[[#This Row],[FechaIngreso]]+TablaDatos[[#This Row],[DiasNuevo]]</f>
        <v>45584</v>
      </c>
      <c r="I4718">
        <v>5</v>
      </c>
      <c r="J4718" t="s">
        <v>23</v>
      </c>
      <c r="K4718" s="3">
        <v>15783.04</v>
      </c>
      <c r="L4718" t="b">
        <f>TablaDatos[[#This Row],[FechaAlta]] &lt; TablaDatos[[#This Row],[FechaIngreso]]</f>
        <v>0</v>
      </c>
      <c r="M4718">
        <f>_xlfn.XLOOKUP(TablaDatos[[#This Row],[PacienteID]],'Datos_Ejemplo.csv'!A:A,'Datos_Ejemplo.csv'!I:I)</f>
        <v>5</v>
      </c>
      <c r="N4718">
        <f>ABS(TablaDatos[[#This Row],[DiasOriginal]])</f>
        <v>5</v>
      </c>
      <c r="O4718" s="1">
        <f>TablaDatos[[#This Row],[FechaIngreso]]+TablaDatos[[#This Row],[DiasNuevo]]</f>
        <v>45584</v>
      </c>
    </row>
    <row r="4719" spans="1:15">
      <c r="A4719">
        <v>4718</v>
      </c>
      <c r="B4719" t="s">
        <v>250</v>
      </c>
      <c r="C4719" s="1">
        <v>25934</v>
      </c>
      <c r="D4719">
        <v>55</v>
      </c>
      <c r="E4719" s="4" t="s">
        <v>15</v>
      </c>
      <c r="F4719" t="s">
        <v>21</v>
      </c>
      <c r="G4719" s="1">
        <v>45562</v>
      </c>
      <c r="H4719" s="1">
        <f>TablaDatos[[#This Row],[FechaIngreso]]+TablaDatos[[#This Row],[DiasNuevo]]</f>
        <v>45597</v>
      </c>
      <c r="I4719">
        <v>35</v>
      </c>
      <c r="J4719" t="s">
        <v>19</v>
      </c>
      <c r="K4719" s="3">
        <v>2395.7800000000002</v>
      </c>
      <c r="L4719" t="b">
        <f>TablaDatos[[#This Row],[FechaAlta]] &lt; TablaDatos[[#This Row],[FechaIngreso]]</f>
        <v>0</v>
      </c>
      <c r="M4719">
        <f>_xlfn.XLOOKUP(TablaDatos[[#This Row],[PacienteID]],'Datos_Ejemplo.csv'!A:A,'Datos_Ejemplo.csv'!I:I)</f>
        <v>35</v>
      </c>
      <c r="N4719">
        <f>ABS(TablaDatos[[#This Row],[DiasOriginal]])</f>
        <v>35</v>
      </c>
      <c r="O4719" s="1">
        <f>TablaDatos[[#This Row],[FechaIngreso]]+TablaDatos[[#This Row],[DiasNuevo]]</f>
        <v>45597</v>
      </c>
    </row>
    <row r="4720" spans="1:15">
      <c r="A4720">
        <v>4719</v>
      </c>
      <c r="B4720" t="s">
        <v>164</v>
      </c>
      <c r="C4720" s="1">
        <v>37987</v>
      </c>
      <c r="D4720">
        <v>22</v>
      </c>
      <c r="E4720" s="4" t="s">
        <v>15</v>
      </c>
      <c r="F4720" t="s">
        <v>32</v>
      </c>
      <c r="G4720" s="1">
        <v>45067</v>
      </c>
      <c r="H4720" s="1">
        <f>TablaDatos[[#This Row],[FechaIngreso]]+TablaDatos[[#This Row],[DiasNuevo]]</f>
        <v>45090</v>
      </c>
      <c r="I4720">
        <v>23</v>
      </c>
      <c r="J4720" t="s">
        <v>23</v>
      </c>
      <c r="K4720" s="3">
        <v>2613.2399999999998</v>
      </c>
      <c r="L4720" t="b">
        <f>TablaDatos[[#This Row],[FechaAlta]] &lt; TablaDatos[[#This Row],[FechaIngreso]]</f>
        <v>0</v>
      </c>
      <c r="M4720">
        <f>_xlfn.XLOOKUP(TablaDatos[[#This Row],[PacienteID]],'Datos_Ejemplo.csv'!A:A,'Datos_Ejemplo.csv'!I:I)</f>
        <v>23</v>
      </c>
      <c r="N4720">
        <f>ABS(TablaDatos[[#This Row],[DiasOriginal]])</f>
        <v>23</v>
      </c>
      <c r="O4720" s="1">
        <f>TablaDatos[[#This Row],[FechaIngreso]]+TablaDatos[[#This Row],[DiasNuevo]]</f>
        <v>45090</v>
      </c>
    </row>
    <row r="4721" spans="1:15">
      <c r="A4721">
        <v>4720</v>
      </c>
      <c r="B4721" t="s">
        <v>366</v>
      </c>
      <c r="C4721" s="1">
        <v>37256</v>
      </c>
      <c r="D4721">
        <v>24</v>
      </c>
      <c r="E4721" s="4" t="s">
        <v>12</v>
      </c>
      <c r="F4721" t="s">
        <v>32</v>
      </c>
      <c r="G4721" s="1">
        <v>45646</v>
      </c>
      <c r="H4721" s="1">
        <f>TablaDatos[[#This Row],[FechaIngreso]]+TablaDatos[[#This Row],[DiasNuevo]]</f>
        <v>45675</v>
      </c>
      <c r="I4721">
        <v>29</v>
      </c>
      <c r="J4721" t="s">
        <v>23</v>
      </c>
      <c r="K4721" s="3">
        <v>2156.14</v>
      </c>
      <c r="L4721" t="b">
        <f>TablaDatos[[#This Row],[FechaAlta]] &lt; TablaDatos[[#This Row],[FechaIngreso]]</f>
        <v>0</v>
      </c>
      <c r="M4721">
        <f>_xlfn.XLOOKUP(TablaDatos[[#This Row],[PacienteID]],'Datos_Ejemplo.csv'!A:A,'Datos_Ejemplo.csv'!I:I)</f>
        <v>29</v>
      </c>
      <c r="N4721">
        <f>ABS(TablaDatos[[#This Row],[DiasOriginal]])</f>
        <v>29</v>
      </c>
      <c r="O4721" s="1">
        <f>TablaDatos[[#This Row],[FechaIngreso]]+TablaDatos[[#This Row],[DiasNuevo]]</f>
        <v>45675</v>
      </c>
    </row>
    <row r="4722" spans="1:15">
      <c r="A4722">
        <v>4721</v>
      </c>
      <c r="B4722" t="s">
        <v>258</v>
      </c>
      <c r="C4722" s="1">
        <v>38717</v>
      </c>
      <c r="D4722">
        <v>20</v>
      </c>
      <c r="E4722" s="4" t="s">
        <v>15</v>
      </c>
      <c r="F4722" t="s">
        <v>295</v>
      </c>
      <c r="G4722" s="1">
        <v>45553</v>
      </c>
      <c r="H4722" s="1">
        <f>TablaDatos[[#This Row],[FechaIngreso]]+TablaDatos[[#This Row],[DiasNuevo]]</f>
        <v>45578</v>
      </c>
      <c r="I4722">
        <v>25</v>
      </c>
      <c r="J4722" t="s">
        <v>25</v>
      </c>
      <c r="K4722" s="3">
        <v>17129.099999999999</v>
      </c>
      <c r="L4722" t="b">
        <f>TablaDatos[[#This Row],[FechaAlta]] &lt; TablaDatos[[#This Row],[FechaIngreso]]</f>
        <v>0</v>
      </c>
      <c r="M4722">
        <f>_xlfn.XLOOKUP(TablaDatos[[#This Row],[PacienteID]],'Datos_Ejemplo.csv'!A:A,'Datos_Ejemplo.csv'!I:I)</f>
        <v>25</v>
      </c>
      <c r="N4722">
        <f>ABS(TablaDatos[[#This Row],[DiasOriginal]])</f>
        <v>25</v>
      </c>
      <c r="O4722" s="1">
        <f>TablaDatos[[#This Row],[FechaIngreso]]+TablaDatos[[#This Row],[DiasNuevo]]</f>
        <v>45578</v>
      </c>
    </row>
    <row r="4723" spans="1:15">
      <c r="A4723">
        <v>4722</v>
      </c>
      <c r="B4723" t="s">
        <v>329</v>
      </c>
      <c r="C4723" s="1">
        <v>24107</v>
      </c>
      <c r="D4723">
        <v>60</v>
      </c>
      <c r="E4723" s="4" t="s">
        <v>12</v>
      </c>
      <c r="F4723" t="s">
        <v>18</v>
      </c>
      <c r="G4723" s="1">
        <v>45644</v>
      </c>
      <c r="H4723" s="1">
        <f>TablaDatos[[#This Row],[FechaIngreso]]+TablaDatos[[#This Row],[DiasNuevo]]</f>
        <v>45648</v>
      </c>
      <c r="I4723">
        <v>4</v>
      </c>
      <c r="J4723" t="s">
        <v>19</v>
      </c>
      <c r="K4723" s="3">
        <v>4120.3500000000004</v>
      </c>
      <c r="L4723" t="b">
        <f>TablaDatos[[#This Row],[FechaAlta]] &lt; TablaDatos[[#This Row],[FechaIngreso]]</f>
        <v>0</v>
      </c>
      <c r="M4723">
        <f>_xlfn.XLOOKUP(TablaDatos[[#This Row],[PacienteID]],'Datos_Ejemplo.csv'!A:A,'Datos_Ejemplo.csv'!I:I)</f>
        <v>4</v>
      </c>
      <c r="N4723">
        <f>ABS(TablaDatos[[#This Row],[DiasOriginal]])</f>
        <v>4</v>
      </c>
      <c r="O4723" s="1">
        <f>TablaDatos[[#This Row],[FechaIngreso]]+TablaDatos[[#This Row],[DiasNuevo]]</f>
        <v>45648</v>
      </c>
    </row>
    <row r="4724" spans="1:15">
      <c r="A4724">
        <v>4723</v>
      </c>
      <c r="B4724" t="s">
        <v>102</v>
      </c>
      <c r="C4724" s="1">
        <v>23377</v>
      </c>
      <c r="D4724">
        <v>62</v>
      </c>
      <c r="E4724" s="4" t="s">
        <v>12</v>
      </c>
      <c r="F4724" t="s">
        <v>295</v>
      </c>
      <c r="G4724" s="1">
        <v>45382</v>
      </c>
      <c r="H4724" s="1">
        <f>TablaDatos[[#This Row],[FechaIngreso]]+TablaDatos[[#This Row],[DiasNuevo]]</f>
        <v>45414</v>
      </c>
      <c r="I4724">
        <v>32</v>
      </c>
      <c r="J4724" t="s">
        <v>25</v>
      </c>
      <c r="K4724" s="3">
        <v>12827.35</v>
      </c>
      <c r="L4724" t="b">
        <f>TablaDatos[[#This Row],[FechaAlta]] &lt; TablaDatos[[#This Row],[FechaIngreso]]</f>
        <v>0</v>
      </c>
      <c r="M4724">
        <f>_xlfn.XLOOKUP(TablaDatos[[#This Row],[PacienteID]],'Datos_Ejemplo.csv'!A:A,'Datos_Ejemplo.csv'!I:I)</f>
        <v>32</v>
      </c>
      <c r="N4724">
        <f>ABS(TablaDatos[[#This Row],[DiasOriginal]])</f>
        <v>32</v>
      </c>
      <c r="O4724" s="1">
        <f>TablaDatos[[#This Row],[FechaIngreso]]+TablaDatos[[#This Row],[DiasNuevo]]</f>
        <v>45414</v>
      </c>
    </row>
    <row r="4725" spans="1:15">
      <c r="A4725">
        <v>4724</v>
      </c>
      <c r="B4725" t="s">
        <v>296</v>
      </c>
      <c r="C4725" s="1">
        <v>27395</v>
      </c>
      <c r="D4725">
        <v>51</v>
      </c>
      <c r="E4725" s="4" t="s">
        <v>197</v>
      </c>
      <c r="F4725" t="s">
        <v>295</v>
      </c>
      <c r="G4725" s="1">
        <v>45428</v>
      </c>
      <c r="H4725" s="1">
        <f>TablaDatos[[#This Row],[FechaIngreso]]+TablaDatos[[#This Row],[DiasNuevo]]</f>
        <v>45429</v>
      </c>
      <c r="I4725">
        <v>1</v>
      </c>
      <c r="J4725" t="s">
        <v>23</v>
      </c>
      <c r="K4725" s="3">
        <v>10274.94</v>
      </c>
      <c r="L4725" t="b">
        <f>TablaDatos[[#This Row],[FechaAlta]] &lt; TablaDatos[[#This Row],[FechaIngreso]]</f>
        <v>0</v>
      </c>
      <c r="M4725">
        <f>_xlfn.XLOOKUP(TablaDatos[[#This Row],[PacienteID]],'Datos_Ejemplo.csv'!A:A,'Datos_Ejemplo.csv'!I:I)</f>
        <v>-1</v>
      </c>
      <c r="N4725">
        <f>ABS(TablaDatos[[#This Row],[DiasOriginal]])</f>
        <v>1</v>
      </c>
      <c r="O4725" s="1">
        <f>TablaDatos[[#This Row],[FechaIngreso]]+TablaDatos[[#This Row],[DiasNuevo]]</f>
        <v>45429</v>
      </c>
    </row>
    <row r="4726" spans="1:15">
      <c r="A4726">
        <v>4725</v>
      </c>
      <c r="B4726" t="s">
        <v>237</v>
      </c>
      <c r="C4726" s="1">
        <v>14246</v>
      </c>
      <c r="D4726">
        <v>87</v>
      </c>
      <c r="E4726" s="4" t="s">
        <v>15</v>
      </c>
      <c r="F4726" t="s">
        <v>21</v>
      </c>
      <c r="G4726" s="1">
        <v>45329</v>
      </c>
      <c r="H4726" s="1">
        <f>TablaDatos[[#This Row],[FechaIngreso]]+TablaDatos[[#This Row],[DiasNuevo]]</f>
        <v>45348</v>
      </c>
      <c r="I4726">
        <v>19</v>
      </c>
      <c r="J4726" t="s">
        <v>25</v>
      </c>
      <c r="K4726" s="3">
        <v>10842.24</v>
      </c>
      <c r="L4726" t="b">
        <f>TablaDatos[[#This Row],[FechaAlta]] &lt; TablaDatos[[#This Row],[FechaIngreso]]</f>
        <v>0</v>
      </c>
      <c r="M4726">
        <f>_xlfn.XLOOKUP(TablaDatos[[#This Row],[PacienteID]],'Datos_Ejemplo.csv'!A:A,'Datos_Ejemplo.csv'!I:I)</f>
        <v>19</v>
      </c>
      <c r="N4726">
        <f>ABS(TablaDatos[[#This Row],[DiasOriginal]])</f>
        <v>19</v>
      </c>
      <c r="O4726" s="1">
        <f>TablaDatos[[#This Row],[FechaIngreso]]+TablaDatos[[#This Row],[DiasNuevo]]</f>
        <v>45348</v>
      </c>
    </row>
    <row r="4727" spans="1:15">
      <c r="A4727">
        <v>4726</v>
      </c>
      <c r="B4727" t="s">
        <v>352</v>
      </c>
      <c r="C4727" s="1">
        <v>37256</v>
      </c>
      <c r="D4727">
        <v>24</v>
      </c>
      <c r="E4727" s="4" t="s">
        <v>12</v>
      </c>
      <c r="F4727" t="s">
        <v>18</v>
      </c>
      <c r="G4727" s="1">
        <v>45214</v>
      </c>
      <c r="H4727" s="1">
        <f>TablaDatos[[#This Row],[FechaIngreso]]+TablaDatos[[#This Row],[DiasNuevo]]</f>
        <v>45233</v>
      </c>
      <c r="I4727">
        <v>19</v>
      </c>
      <c r="J4727" t="s">
        <v>25</v>
      </c>
      <c r="K4727" s="3">
        <v>3828.25</v>
      </c>
      <c r="L4727" t="b">
        <f>TablaDatos[[#This Row],[FechaAlta]] &lt; TablaDatos[[#This Row],[FechaIngreso]]</f>
        <v>0</v>
      </c>
      <c r="M4727">
        <f>_xlfn.XLOOKUP(TablaDatos[[#This Row],[PacienteID]],'Datos_Ejemplo.csv'!A:A,'Datos_Ejemplo.csv'!I:I)</f>
        <v>19</v>
      </c>
      <c r="N4727">
        <f>ABS(TablaDatos[[#This Row],[DiasOriginal]])</f>
        <v>19</v>
      </c>
      <c r="O4727" s="1">
        <f>TablaDatos[[#This Row],[FechaIngreso]]+TablaDatos[[#This Row],[DiasNuevo]]</f>
        <v>45233</v>
      </c>
    </row>
    <row r="4728" spans="1:15">
      <c r="A4728">
        <v>4727</v>
      </c>
      <c r="B4728" t="s">
        <v>276</v>
      </c>
      <c r="C4728" s="1">
        <v>26299</v>
      </c>
      <c r="D4728">
        <v>54</v>
      </c>
      <c r="E4728" s="4" t="s">
        <v>12</v>
      </c>
      <c r="F4728" t="s">
        <v>21</v>
      </c>
      <c r="G4728" s="1">
        <v>45281</v>
      </c>
      <c r="H4728" s="1">
        <f>TablaDatos[[#This Row],[FechaIngreso]]+TablaDatos[[#This Row],[DiasNuevo]]</f>
        <v>45281</v>
      </c>
      <c r="I4728">
        <v>0</v>
      </c>
      <c r="J4728" t="s">
        <v>23</v>
      </c>
      <c r="K4728" s="3">
        <v>12668.45</v>
      </c>
      <c r="L4728" t="b">
        <f>TablaDatos[[#This Row],[FechaAlta]] &lt; TablaDatos[[#This Row],[FechaIngreso]]</f>
        <v>0</v>
      </c>
      <c r="M4728">
        <f>_xlfn.XLOOKUP(TablaDatos[[#This Row],[PacienteID]],'Datos_Ejemplo.csv'!A:A,'Datos_Ejemplo.csv'!I:I)</f>
        <v>0</v>
      </c>
      <c r="N4728">
        <f>ABS(TablaDatos[[#This Row],[DiasOriginal]])</f>
        <v>0</v>
      </c>
      <c r="O4728" s="1">
        <f>TablaDatos[[#This Row],[FechaIngreso]]+TablaDatos[[#This Row],[DiasNuevo]]</f>
        <v>45281</v>
      </c>
    </row>
    <row r="4729" spans="1:15">
      <c r="A4729">
        <v>4728</v>
      </c>
      <c r="B4729" t="s">
        <v>136</v>
      </c>
      <c r="C4729" s="1">
        <v>29586</v>
      </c>
      <c r="D4729">
        <v>45</v>
      </c>
      <c r="E4729" s="4" t="s">
        <v>15</v>
      </c>
      <c r="F4729" t="s">
        <v>18</v>
      </c>
      <c r="G4729" s="1">
        <v>45269</v>
      </c>
      <c r="H4729" s="1">
        <f>TablaDatos[[#This Row],[FechaIngreso]]+TablaDatos[[#This Row],[DiasNuevo]]</f>
        <v>45274</v>
      </c>
      <c r="I4729">
        <v>5</v>
      </c>
      <c r="J4729" t="s">
        <v>25</v>
      </c>
      <c r="K4729" s="3">
        <v>766.32</v>
      </c>
      <c r="L4729" t="b">
        <f>TablaDatos[[#This Row],[FechaAlta]] &lt; TablaDatos[[#This Row],[FechaIngreso]]</f>
        <v>0</v>
      </c>
      <c r="M4729">
        <f>_xlfn.XLOOKUP(TablaDatos[[#This Row],[PacienteID]],'Datos_Ejemplo.csv'!A:A,'Datos_Ejemplo.csv'!I:I)</f>
        <v>5</v>
      </c>
      <c r="N4729">
        <f>ABS(TablaDatos[[#This Row],[DiasOriginal]])</f>
        <v>5</v>
      </c>
      <c r="O4729" s="1">
        <f>TablaDatos[[#This Row],[FechaIngreso]]+TablaDatos[[#This Row],[DiasNuevo]]</f>
        <v>45274</v>
      </c>
    </row>
    <row r="4730" spans="1:15">
      <c r="A4730">
        <v>4729</v>
      </c>
      <c r="B4730" t="s">
        <v>162</v>
      </c>
      <c r="C4730" s="1">
        <v>34700</v>
      </c>
      <c r="D4730">
        <v>31</v>
      </c>
      <c r="E4730" s="4" t="s">
        <v>12</v>
      </c>
      <c r="F4730" t="s">
        <v>32</v>
      </c>
      <c r="G4730" s="1">
        <v>45075</v>
      </c>
      <c r="H4730" s="1">
        <f>TablaDatos[[#This Row],[FechaIngreso]]+TablaDatos[[#This Row],[DiasNuevo]]</f>
        <v>45076</v>
      </c>
      <c r="I4730">
        <v>1</v>
      </c>
      <c r="J4730" t="s">
        <v>23</v>
      </c>
      <c r="K4730" s="3">
        <v>19868.79</v>
      </c>
      <c r="L4730" t="b">
        <f>TablaDatos[[#This Row],[FechaAlta]] &lt; TablaDatos[[#This Row],[FechaIngreso]]</f>
        <v>0</v>
      </c>
      <c r="M4730">
        <f>_xlfn.XLOOKUP(TablaDatos[[#This Row],[PacienteID]],'Datos_Ejemplo.csv'!A:A,'Datos_Ejemplo.csv'!I:I)</f>
        <v>1</v>
      </c>
      <c r="N4730">
        <f>ABS(TablaDatos[[#This Row],[DiasOriginal]])</f>
        <v>1</v>
      </c>
      <c r="O4730" s="1">
        <f>TablaDatos[[#This Row],[FechaIngreso]]+TablaDatos[[#This Row],[DiasNuevo]]</f>
        <v>45076</v>
      </c>
    </row>
    <row r="4731" spans="1:15">
      <c r="A4731">
        <v>4730</v>
      </c>
      <c r="B4731" t="s">
        <v>285</v>
      </c>
      <c r="C4731" s="1">
        <v>26299</v>
      </c>
      <c r="D4731">
        <v>54</v>
      </c>
      <c r="E4731" s="4" t="s">
        <v>15</v>
      </c>
      <c r="F4731" t="s">
        <v>13</v>
      </c>
      <c r="G4731" s="1">
        <v>45136</v>
      </c>
      <c r="H4731" s="1">
        <f>TablaDatos[[#This Row],[FechaIngreso]]+TablaDatos[[#This Row],[DiasNuevo]]</f>
        <v>45148</v>
      </c>
      <c r="I4731">
        <v>12</v>
      </c>
      <c r="J4731" t="s">
        <v>19</v>
      </c>
      <c r="K4731" s="3">
        <v>437.85</v>
      </c>
      <c r="L4731" t="b">
        <f>TablaDatos[[#This Row],[FechaAlta]] &lt; TablaDatos[[#This Row],[FechaIngreso]]</f>
        <v>0</v>
      </c>
      <c r="M4731">
        <f>_xlfn.XLOOKUP(TablaDatos[[#This Row],[PacienteID]],'Datos_Ejemplo.csv'!A:A,'Datos_Ejemplo.csv'!I:I)</f>
        <v>12</v>
      </c>
      <c r="N4731">
        <f>ABS(TablaDatos[[#This Row],[DiasOriginal]])</f>
        <v>12</v>
      </c>
      <c r="O4731" s="1">
        <f>TablaDatos[[#This Row],[FechaIngreso]]+TablaDatos[[#This Row],[DiasNuevo]]</f>
        <v>45148</v>
      </c>
    </row>
    <row r="4732" spans="1:15">
      <c r="A4732">
        <v>4731</v>
      </c>
      <c r="B4732" t="s">
        <v>348</v>
      </c>
      <c r="C4732" s="1">
        <v>44561</v>
      </c>
      <c r="D4732">
        <v>4</v>
      </c>
      <c r="E4732" s="4" t="s">
        <v>15</v>
      </c>
      <c r="F4732" t="s">
        <v>261</v>
      </c>
      <c r="G4732" s="1">
        <v>45038</v>
      </c>
      <c r="H4732" s="1">
        <f>TablaDatos[[#This Row],[FechaIngreso]]+TablaDatos[[#This Row],[DiasNuevo]]</f>
        <v>45074</v>
      </c>
      <c r="I4732">
        <v>36</v>
      </c>
      <c r="J4732" t="s">
        <v>25</v>
      </c>
      <c r="K4732" s="3">
        <v>908.15</v>
      </c>
      <c r="L4732" t="b">
        <f>TablaDatos[[#This Row],[FechaAlta]] &lt; TablaDatos[[#This Row],[FechaIngreso]]</f>
        <v>0</v>
      </c>
      <c r="M4732">
        <f>_xlfn.XLOOKUP(TablaDatos[[#This Row],[PacienteID]],'Datos_Ejemplo.csv'!A:A,'Datos_Ejemplo.csv'!I:I)</f>
        <v>36</v>
      </c>
      <c r="N4732">
        <f>ABS(TablaDatos[[#This Row],[DiasOriginal]])</f>
        <v>36</v>
      </c>
      <c r="O4732" s="1">
        <f>TablaDatos[[#This Row],[FechaIngreso]]+TablaDatos[[#This Row],[DiasNuevo]]</f>
        <v>45074</v>
      </c>
    </row>
    <row r="4733" spans="1:15">
      <c r="A4733">
        <v>4732</v>
      </c>
      <c r="B4733" t="s">
        <v>244</v>
      </c>
      <c r="C4733" s="1">
        <v>33239</v>
      </c>
      <c r="D4733">
        <v>35</v>
      </c>
      <c r="E4733" s="4" t="s">
        <v>15</v>
      </c>
      <c r="F4733" t="s">
        <v>13</v>
      </c>
      <c r="G4733" s="1">
        <v>45580</v>
      </c>
      <c r="H4733" s="1">
        <f>TablaDatos[[#This Row],[FechaIngreso]]+TablaDatos[[#This Row],[DiasNuevo]]</f>
        <v>45589</v>
      </c>
      <c r="I4733">
        <v>9</v>
      </c>
      <c r="J4733" t="s">
        <v>23</v>
      </c>
      <c r="K4733" s="3">
        <v>6425.41</v>
      </c>
      <c r="L4733" t="b">
        <f>TablaDatos[[#This Row],[FechaAlta]] &lt; TablaDatos[[#This Row],[FechaIngreso]]</f>
        <v>0</v>
      </c>
      <c r="M4733">
        <f>_xlfn.XLOOKUP(TablaDatos[[#This Row],[PacienteID]],'Datos_Ejemplo.csv'!A:A,'Datos_Ejemplo.csv'!I:I)</f>
        <v>9</v>
      </c>
      <c r="N4733">
        <f>ABS(TablaDatos[[#This Row],[DiasOriginal]])</f>
        <v>9</v>
      </c>
      <c r="O4733" s="1">
        <f>TablaDatos[[#This Row],[FechaIngreso]]+TablaDatos[[#This Row],[DiasNuevo]]</f>
        <v>45589</v>
      </c>
    </row>
    <row r="4734" spans="1:15">
      <c r="A4734">
        <v>4733</v>
      </c>
      <c r="B4734" t="s">
        <v>122</v>
      </c>
      <c r="C4734" s="1">
        <v>28490</v>
      </c>
      <c r="D4734">
        <v>48</v>
      </c>
      <c r="E4734" s="4" t="s">
        <v>15</v>
      </c>
      <c r="F4734" t="s">
        <v>201</v>
      </c>
      <c r="G4734" s="1">
        <v>45462</v>
      </c>
      <c r="H4734" s="1">
        <f>TablaDatos[[#This Row],[FechaIngreso]]+TablaDatos[[#This Row],[DiasNuevo]]</f>
        <v>45488</v>
      </c>
      <c r="I4734">
        <v>26</v>
      </c>
      <c r="J4734" t="s">
        <v>23</v>
      </c>
      <c r="K4734" s="3">
        <v>16615.669999999998</v>
      </c>
      <c r="L4734" t="b">
        <f>TablaDatos[[#This Row],[FechaAlta]] &lt; TablaDatos[[#This Row],[FechaIngreso]]</f>
        <v>0</v>
      </c>
      <c r="M4734">
        <f>_xlfn.XLOOKUP(TablaDatos[[#This Row],[PacienteID]],'Datos_Ejemplo.csv'!A:A,'Datos_Ejemplo.csv'!I:I)</f>
        <v>26</v>
      </c>
      <c r="N4734">
        <f>ABS(TablaDatos[[#This Row],[DiasOriginal]])</f>
        <v>26</v>
      </c>
      <c r="O4734" s="1">
        <f>TablaDatos[[#This Row],[FechaIngreso]]+TablaDatos[[#This Row],[DiasNuevo]]</f>
        <v>45488</v>
      </c>
    </row>
    <row r="4735" spans="1:15">
      <c r="A4735">
        <v>4734</v>
      </c>
      <c r="B4735" t="s">
        <v>326</v>
      </c>
      <c r="C4735" s="1">
        <v>25203</v>
      </c>
      <c r="D4735">
        <v>57</v>
      </c>
      <c r="E4735" s="4" t="s">
        <v>12</v>
      </c>
      <c r="F4735" t="s">
        <v>18</v>
      </c>
      <c r="G4735" s="1">
        <v>44975</v>
      </c>
      <c r="H4735" s="1">
        <f>TablaDatos[[#This Row],[FechaIngreso]]+TablaDatos[[#This Row],[DiasNuevo]]</f>
        <v>44981</v>
      </c>
      <c r="I4735">
        <v>6</v>
      </c>
      <c r="J4735" t="s">
        <v>19</v>
      </c>
      <c r="K4735" s="3">
        <v>5069.5</v>
      </c>
      <c r="L4735" t="b">
        <f>TablaDatos[[#This Row],[FechaAlta]] &lt; TablaDatos[[#This Row],[FechaIngreso]]</f>
        <v>0</v>
      </c>
      <c r="M4735">
        <f>_xlfn.XLOOKUP(TablaDatos[[#This Row],[PacienteID]],'Datos_Ejemplo.csv'!A:A,'Datos_Ejemplo.csv'!I:I)</f>
        <v>6</v>
      </c>
      <c r="N4735">
        <f>ABS(TablaDatos[[#This Row],[DiasOriginal]])</f>
        <v>6</v>
      </c>
      <c r="O4735" s="1">
        <f>TablaDatos[[#This Row],[FechaIngreso]]+TablaDatos[[#This Row],[DiasNuevo]]</f>
        <v>44981</v>
      </c>
    </row>
    <row r="4736" spans="1:15">
      <c r="A4736">
        <v>4735</v>
      </c>
      <c r="B4736" t="s">
        <v>293</v>
      </c>
      <c r="C4736" s="1">
        <v>32143</v>
      </c>
      <c r="D4736">
        <v>38</v>
      </c>
      <c r="E4736" s="4" t="s">
        <v>15</v>
      </c>
      <c r="F4736" t="s">
        <v>13</v>
      </c>
      <c r="G4736" s="1">
        <v>45257</v>
      </c>
      <c r="H4736" s="1">
        <f>TablaDatos[[#This Row],[FechaIngreso]]+TablaDatos[[#This Row],[DiasNuevo]]</f>
        <v>45296</v>
      </c>
      <c r="I4736">
        <v>39</v>
      </c>
      <c r="J4736" t="s">
        <v>23</v>
      </c>
      <c r="K4736" s="3">
        <v>9385.89</v>
      </c>
      <c r="L4736" t="b">
        <f>TablaDatos[[#This Row],[FechaAlta]] &lt; TablaDatos[[#This Row],[FechaIngreso]]</f>
        <v>0</v>
      </c>
      <c r="M4736">
        <f>_xlfn.XLOOKUP(TablaDatos[[#This Row],[PacienteID]],'Datos_Ejemplo.csv'!A:A,'Datos_Ejemplo.csv'!I:I)</f>
        <v>39</v>
      </c>
      <c r="N4736">
        <f>ABS(TablaDatos[[#This Row],[DiasOriginal]])</f>
        <v>39</v>
      </c>
      <c r="O4736" s="1">
        <f>TablaDatos[[#This Row],[FechaIngreso]]+TablaDatos[[#This Row],[DiasNuevo]]</f>
        <v>45296</v>
      </c>
    </row>
    <row r="4737" spans="1:15">
      <c r="A4737">
        <v>4736</v>
      </c>
      <c r="B4737" t="s">
        <v>277</v>
      </c>
      <c r="C4737" s="1">
        <v>17168</v>
      </c>
      <c r="D4737">
        <v>79</v>
      </c>
      <c r="E4737" s="4" t="s">
        <v>15</v>
      </c>
      <c r="F4737" t="s">
        <v>295</v>
      </c>
      <c r="G4737" s="1">
        <v>45291</v>
      </c>
      <c r="H4737" s="1">
        <f>TablaDatos[[#This Row],[FechaIngreso]]+TablaDatos[[#This Row],[DiasNuevo]]</f>
        <v>45328</v>
      </c>
      <c r="I4737">
        <v>37</v>
      </c>
      <c r="J4737" t="s">
        <v>23</v>
      </c>
      <c r="K4737" s="3">
        <v>261.33999999999997</v>
      </c>
      <c r="L4737" t="b">
        <f>TablaDatos[[#This Row],[FechaAlta]] &lt; TablaDatos[[#This Row],[FechaIngreso]]</f>
        <v>0</v>
      </c>
      <c r="M4737">
        <f>_xlfn.XLOOKUP(TablaDatos[[#This Row],[PacienteID]],'Datos_Ejemplo.csv'!A:A,'Datos_Ejemplo.csv'!I:I)</f>
        <v>37</v>
      </c>
      <c r="N4737">
        <f>ABS(TablaDatos[[#This Row],[DiasOriginal]])</f>
        <v>37</v>
      </c>
      <c r="O4737" s="1">
        <f>TablaDatos[[#This Row],[FechaIngreso]]+TablaDatos[[#This Row],[DiasNuevo]]</f>
        <v>45328</v>
      </c>
    </row>
    <row r="4738" spans="1:15">
      <c r="A4738">
        <v>4737</v>
      </c>
      <c r="B4738" t="s">
        <v>265</v>
      </c>
      <c r="C4738" s="1">
        <v>15341</v>
      </c>
      <c r="D4738">
        <v>84</v>
      </c>
      <c r="E4738" s="4" t="s">
        <v>15</v>
      </c>
      <c r="F4738" t="s">
        <v>32</v>
      </c>
      <c r="G4738" s="1">
        <v>44937</v>
      </c>
      <c r="H4738" s="1">
        <f>TablaDatos[[#This Row],[FechaIngreso]]+TablaDatos[[#This Row],[DiasNuevo]]</f>
        <v>44954</v>
      </c>
      <c r="I4738">
        <v>17</v>
      </c>
      <c r="J4738" t="s">
        <v>25</v>
      </c>
      <c r="K4738" s="3">
        <v>1485.47</v>
      </c>
      <c r="L4738" t="b">
        <f>TablaDatos[[#This Row],[FechaAlta]] &lt; TablaDatos[[#This Row],[FechaIngreso]]</f>
        <v>0</v>
      </c>
      <c r="M4738">
        <f>_xlfn.XLOOKUP(TablaDatos[[#This Row],[PacienteID]],'Datos_Ejemplo.csv'!A:A,'Datos_Ejemplo.csv'!I:I)</f>
        <v>17</v>
      </c>
      <c r="N4738">
        <f>ABS(TablaDatos[[#This Row],[DiasOriginal]])</f>
        <v>17</v>
      </c>
      <c r="O4738" s="1">
        <f>TablaDatos[[#This Row],[FechaIngreso]]+TablaDatos[[#This Row],[DiasNuevo]]</f>
        <v>44954</v>
      </c>
    </row>
    <row r="4739" spans="1:15">
      <c r="A4739">
        <v>4738</v>
      </c>
      <c r="B4739" t="s">
        <v>272</v>
      </c>
      <c r="C4739" s="1">
        <v>24107</v>
      </c>
      <c r="D4739">
        <v>60</v>
      </c>
      <c r="E4739" s="4" t="s">
        <v>15</v>
      </c>
      <c r="F4739" t="s">
        <v>261</v>
      </c>
      <c r="G4739" s="1">
        <v>45114</v>
      </c>
      <c r="H4739" s="1">
        <f>TablaDatos[[#This Row],[FechaIngreso]]+TablaDatos[[#This Row],[DiasNuevo]]</f>
        <v>45145</v>
      </c>
      <c r="I4739">
        <v>31</v>
      </c>
      <c r="J4739" t="s">
        <v>25</v>
      </c>
      <c r="K4739" s="3">
        <v>12120.12</v>
      </c>
      <c r="L4739" t="b">
        <f>TablaDatos[[#This Row],[FechaAlta]] &lt; TablaDatos[[#This Row],[FechaIngreso]]</f>
        <v>0</v>
      </c>
      <c r="M4739">
        <f>_xlfn.XLOOKUP(TablaDatos[[#This Row],[PacienteID]],'Datos_Ejemplo.csv'!A:A,'Datos_Ejemplo.csv'!I:I)</f>
        <v>31</v>
      </c>
      <c r="N4739">
        <f>ABS(TablaDatos[[#This Row],[DiasOriginal]])</f>
        <v>31</v>
      </c>
      <c r="O4739" s="1">
        <f>TablaDatos[[#This Row],[FechaIngreso]]+TablaDatos[[#This Row],[DiasNuevo]]</f>
        <v>45145</v>
      </c>
    </row>
    <row r="4740" spans="1:15">
      <c r="A4740">
        <v>4739</v>
      </c>
      <c r="B4740" t="s">
        <v>344</v>
      </c>
      <c r="C4740" s="1">
        <v>43100</v>
      </c>
      <c r="D4740">
        <v>8</v>
      </c>
      <c r="E4740" s="4" t="s">
        <v>15</v>
      </c>
      <c r="F4740" t="s">
        <v>261</v>
      </c>
      <c r="G4740" s="1">
        <v>45435</v>
      </c>
      <c r="H4740" s="1">
        <f>TablaDatos[[#This Row],[FechaIngreso]]+TablaDatos[[#This Row],[DiasNuevo]]</f>
        <v>45458</v>
      </c>
      <c r="I4740">
        <v>23</v>
      </c>
      <c r="J4740" t="s">
        <v>23</v>
      </c>
      <c r="K4740" s="3">
        <v>3806.61</v>
      </c>
      <c r="L4740" t="b">
        <f>TablaDatos[[#This Row],[FechaAlta]] &lt; TablaDatos[[#This Row],[FechaIngreso]]</f>
        <v>0</v>
      </c>
      <c r="M4740">
        <f>_xlfn.XLOOKUP(TablaDatos[[#This Row],[PacienteID]],'Datos_Ejemplo.csv'!A:A,'Datos_Ejemplo.csv'!I:I)</f>
        <v>23</v>
      </c>
      <c r="N4740">
        <f>ABS(TablaDatos[[#This Row],[DiasOriginal]])</f>
        <v>23</v>
      </c>
      <c r="O4740" s="1">
        <f>TablaDatos[[#This Row],[FechaIngreso]]+TablaDatos[[#This Row],[DiasNuevo]]</f>
        <v>45458</v>
      </c>
    </row>
    <row r="4741" spans="1:15">
      <c r="A4741">
        <v>4740</v>
      </c>
      <c r="B4741" t="s">
        <v>337</v>
      </c>
      <c r="C4741" s="1">
        <v>44196</v>
      </c>
      <c r="D4741">
        <v>5</v>
      </c>
      <c r="E4741" s="4" t="s">
        <v>15</v>
      </c>
      <c r="F4741" t="s">
        <v>201</v>
      </c>
      <c r="G4741" s="1">
        <v>45506</v>
      </c>
      <c r="H4741" s="1">
        <f>TablaDatos[[#This Row],[FechaIngreso]]+TablaDatos[[#This Row],[DiasNuevo]]</f>
        <v>45524</v>
      </c>
      <c r="I4741">
        <v>18</v>
      </c>
      <c r="J4741" t="s">
        <v>23</v>
      </c>
      <c r="K4741" s="3">
        <v>13854.52</v>
      </c>
      <c r="L4741" t="b">
        <f>TablaDatos[[#This Row],[FechaAlta]] &lt; TablaDatos[[#This Row],[FechaIngreso]]</f>
        <v>0</v>
      </c>
      <c r="M4741">
        <f>_xlfn.XLOOKUP(TablaDatos[[#This Row],[PacienteID]],'Datos_Ejemplo.csv'!A:A,'Datos_Ejemplo.csv'!I:I)</f>
        <v>18</v>
      </c>
      <c r="N4741">
        <f>ABS(TablaDatos[[#This Row],[DiasOriginal]])</f>
        <v>18</v>
      </c>
      <c r="O4741" s="1">
        <f>TablaDatos[[#This Row],[FechaIngreso]]+TablaDatos[[#This Row],[DiasNuevo]]</f>
        <v>45524</v>
      </c>
    </row>
    <row r="4742" spans="1:15">
      <c r="A4742">
        <v>4741</v>
      </c>
      <c r="B4742" t="s">
        <v>347</v>
      </c>
      <c r="C4742" s="1">
        <v>33604</v>
      </c>
      <c r="D4742">
        <v>34</v>
      </c>
      <c r="E4742" s="4" t="s">
        <v>12</v>
      </c>
      <c r="F4742" t="s">
        <v>261</v>
      </c>
      <c r="G4742" s="1">
        <v>45371</v>
      </c>
      <c r="H4742" s="1">
        <f>TablaDatos[[#This Row],[FechaIngreso]]+TablaDatos[[#This Row],[DiasNuevo]]</f>
        <v>45391</v>
      </c>
      <c r="I4742">
        <v>20</v>
      </c>
      <c r="J4742" t="s">
        <v>23</v>
      </c>
      <c r="K4742" s="3">
        <v>15686.36</v>
      </c>
      <c r="L4742" t="b">
        <f>TablaDatos[[#This Row],[FechaAlta]] &lt; TablaDatos[[#This Row],[FechaIngreso]]</f>
        <v>0</v>
      </c>
      <c r="M4742">
        <f>_xlfn.XLOOKUP(TablaDatos[[#This Row],[PacienteID]],'Datos_Ejemplo.csv'!A:A,'Datos_Ejemplo.csv'!I:I)</f>
        <v>20</v>
      </c>
      <c r="N4742">
        <f>ABS(TablaDatos[[#This Row],[DiasOriginal]])</f>
        <v>20</v>
      </c>
      <c r="O4742" s="1">
        <f>TablaDatos[[#This Row],[FechaIngreso]]+TablaDatos[[#This Row],[DiasNuevo]]</f>
        <v>45391</v>
      </c>
    </row>
    <row r="4743" spans="1:15">
      <c r="A4743">
        <v>4742</v>
      </c>
      <c r="B4743" t="s">
        <v>248</v>
      </c>
      <c r="C4743" s="1">
        <v>32143</v>
      </c>
      <c r="D4743">
        <v>38</v>
      </c>
      <c r="E4743" s="4" t="s">
        <v>12</v>
      </c>
      <c r="F4743" t="s">
        <v>32</v>
      </c>
      <c r="G4743" s="1">
        <v>45016</v>
      </c>
      <c r="H4743" s="1">
        <f>TablaDatos[[#This Row],[FechaIngreso]]+TablaDatos[[#This Row],[DiasNuevo]]</f>
        <v>45031</v>
      </c>
      <c r="I4743">
        <v>15</v>
      </c>
      <c r="J4743" t="s">
        <v>23</v>
      </c>
      <c r="K4743" s="3">
        <v>16991.72</v>
      </c>
      <c r="L4743" t="b">
        <f>TablaDatos[[#This Row],[FechaAlta]] &lt; TablaDatos[[#This Row],[FechaIngreso]]</f>
        <v>0</v>
      </c>
      <c r="M4743">
        <f>_xlfn.XLOOKUP(TablaDatos[[#This Row],[PacienteID]],'Datos_Ejemplo.csv'!A:A,'Datos_Ejemplo.csv'!I:I)</f>
        <v>15</v>
      </c>
      <c r="N4743">
        <f>ABS(TablaDatos[[#This Row],[DiasOriginal]])</f>
        <v>15</v>
      </c>
      <c r="O4743" s="1">
        <f>TablaDatos[[#This Row],[FechaIngreso]]+TablaDatos[[#This Row],[DiasNuevo]]</f>
        <v>45031</v>
      </c>
    </row>
    <row r="4744" spans="1:15">
      <c r="A4744">
        <v>4743</v>
      </c>
      <c r="B4744" t="s">
        <v>307</v>
      </c>
      <c r="C4744" s="1">
        <v>38352</v>
      </c>
      <c r="D4744">
        <v>21</v>
      </c>
      <c r="E4744" s="4" t="s">
        <v>12</v>
      </c>
      <c r="F4744" t="s">
        <v>13</v>
      </c>
      <c r="G4744" s="1">
        <v>45548</v>
      </c>
      <c r="H4744" s="1">
        <f>TablaDatos[[#This Row],[FechaIngreso]]+TablaDatos[[#This Row],[DiasNuevo]]</f>
        <v>45569</v>
      </c>
      <c r="I4744">
        <v>21</v>
      </c>
      <c r="J4744" t="s">
        <v>23</v>
      </c>
      <c r="K4744" s="3">
        <v>2589.37</v>
      </c>
      <c r="L4744" t="b">
        <f>TablaDatos[[#This Row],[FechaAlta]] &lt; TablaDatos[[#This Row],[FechaIngreso]]</f>
        <v>0</v>
      </c>
      <c r="M4744">
        <f>_xlfn.XLOOKUP(TablaDatos[[#This Row],[PacienteID]],'Datos_Ejemplo.csv'!A:A,'Datos_Ejemplo.csv'!I:I)</f>
        <v>21</v>
      </c>
      <c r="N4744">
        <f>ABS(TablaDatos[[#This Row],[DiasOriginal]])</f>
        <v>21</v>
      </c>
      <c r="O4744" s="1">
        <f>TablaDatos[[#This Row],[FechaIngreso]]+TablaDatos[[#This Row],[DiasNuevo]]</f>
        <v>45569</v>
      </c>
    </row>
    <row r="4745" spans="1:15">
      <c r="A4745">
        <v>4744</v>
      </c>
      <c r="B4745" t="s">
        <v>130</v>
      </c>
      <c r="C4745" s="1">
        <v>31412</v>
      </c>
      <c r="D4745">
        <v>40</v>
      </c>
      <c r="E4745" s="4" t="s">
        <v>12</v>
      </c>
      <c r="F4745" t="s">
        <v>261</v>
      </c>
      <c r="G4745" s="1">
        <v>45602</v>
      </c>
      <c r="H4745" s="1">
        <f>TablaDatos[[#This Row],[FechaIngreso]]+TablaDatos[[#This Row],[DiasNuevo]]</f>
        <v>45641</v>
      </c>
      <c r="I4745">
        <v>39</v>
      </c>
      <c r="J4745" t="s">
        <v>19</v>
      </c>
      <c r="K4745" s="3">
        <v>9055.7199999999993</v>
      </c>
      <c r="L4745" t="b">
        <f>TablaDatos[[#This Row],[FechaAlta]] &lt; TablaDatos[[#This Row],[FechaIngreso]]</f>
        <v>0</v>
      </c>
      <c r="M4745">
        <f>_xlfn.XLOOKUP(TablaDatos[[#This Row],[PacienteID]],'Datos_Ejemplo.csv'!A:A,'Datos_Ejemplo.csv'!I:I)</f>
        <v>39</v>
      </c>
      <c r="N4745">
        <f>ABS(TablaDatos[[#This Row],[DiasOriginal]])</f>
        <v>39</v>
      </c>
      <c r="O4745" s="1">
        <f>TablaDatos[[#This Row],[FechaIngreso]]+TablaDatos[[#This Row],[DiasNuevo]]</f>
        <v>45641</v>
      </c>
    </row>
    <row r="4746" spans="1:15">
      <c r="A4746">
        <v>4745</v>
      </c>
      <c r="B4746" t="s">
        <v>105</v>
      </c>
      <c r="C4746" s="1">
        <v>44561</v>
      </c>
      <c r="D4746">
        <v>4</v>
      </c>
      <c r="E4746" s="4" t="s">
        <v>15</v>
      </c>
      <c r="F4746" t="s">
        <v>261</v>
      </c>
      <c r="G4746" s="1">
        <v>45374</v>
      </c>
      <c r="H4746" s="1">
        <f>TablaDatos[[#This Row],[FechaIngreso]]+TablaDatos[[#This Row],[DiasNuevo]]</f>
        <v>45400</v>
      </c>
      <c r="I4746">
        <v>26</v>
      </c>
      <c r="J4746" t="s">
        <v>19</v>
      </c>
      <c r="K4746" s="3">
        <v>18936.34</v>
      </c>
      <c r="L4746" t="b">
        <f>TablaDatos[[#This Row],[FechaAlta]] &lt; TablaDatos[[#This Row],[FechaIngreso]]</f>
        <v>0</v>
      </c>
      <c r="M4746">
        <f>_xlfn.XLOOKUP(TablaDatos[[#This Row],[PacienteID]],'Datos_Ejemplo.csv'!A:A,'Datos_Ejemplo.csv'!I:I)</f>
        <v>26</v>
      </c>
      <c r="N4746">
        <f>ABS(TablaDatos[[#This Row],[DiasOriginal]])</f>
        <v>26</v>
      </c>
      <c r="O4746" s="1">
        <f>TablaDatos[[#This Row],[FechaIngreso]]+TablaDatos[[#This Row],[DiasNuevo]]</f>
        <v>45400</v>
      </c>
    </row>
    <row r="4747" spans="1:15">
      <c r="A4747">
        <v>4746</v>
      </c>
      <c r="B4747" t="s">
        <v>258</v>
      </c>
      <c r="C4747" s="1">
        <f ca="1">DATE(YEAR(TODAY())-TablaDatos[[#This Row],[Edad]],1,1)</f>
        <v>31048</v>
      </c>
      <c r="D4747">
        <v>41</v>
      </c>
      <c r="E4747" s="4" t="s">
        <v>12</v>
      </c>
      <c r="F4747" t="s">
        <v>18</v>
      </c>
      <c r="G4747" s="1">
        <v>45644</v>
      </c>
      <c r="H4747" s="1">
        <f>TablaDatos[[#This Row],[FechaIngreso]]+TablaDatos[[#This Row],[DiasNuevo]]</f>
        <v>45679</v>
      </c>
      <c r="I4747">
        <v>35</v>
      </c>
      <c r="J4747" t="s">
        <v>23</v>
      </c>
      <c r="K4747" s="3">
        <v>15418.88</v>
      </c>
      <c r="L4747" t="b">
        <f>TablaDatos[[#This Row],[FechaAlta]] &lt; TablaDatos[[#This Row],[FechaIngreso]]</f>
        <v>0</v>
      </c>
      <c r="M4747">
        <f>_xlfn.XLOOKUP(TablaDatos[[#This Row],[PacienteID]],'Datos_Ejemplo.csv'!A:A,'Datos_Ejemplo.csv'!I:I)</f>
        <v>35</v>
      </c>
      <c r="N4747">
        <f>ABS(TablaDatos[[#This Row],[DiasOriginal]])</f>
        <v>35</v>
      </c>
      <c r="O4747" s="1">
        <f>TablaDatos[[#This Row],[FechaIngreso]]+TablaDatos[[#This Row],[DiasNuevo]]</f>
        <v>45679</v>
      </c>
    </row>
    <row r="4748" spans="1:15">
      <c r="A4748">
        <v>4747</v>
      </c>
      <c r="B4748" t="s">
        <v>338</v>
      </c>
      <c r="C4748" s="1">
        <v>14611</v>
      </c>
      <c r="D4748">
        <v>86</v>
      </c>
      <c r="E4748" s="4" t="s">
        <v>12</v>
      </c>
      <c r="F4748" t="s">
        <v>295</v>
      </c>
      <c r="G4748" s="1">
        <v>44958</v>
      </c>
      <c r="H4748" s="1">
        <f>TablaDatos[[#This Row],[FechaIngreso]]+TablaDatos[[#This Row],[DiasNuevo]]</f>
        <v>44993</v>
      </c>
      <c r="I4748">
        <v>35</v>
      </c>
      <c r="J4748" t="s">
        <v>25</v>
      </c>
      <c r="K4748" s="3">
        <v>2250.9</v>
      </c>
      <c r="L4748" t="b">
        <f>TablaDatos[[#This Row],[FechaAlta]] &lt; TablaDatos[[#This Row],[FechaIngreso]]</f>
        <v>0</v>
      </c>
      <c r="M4748">
        <f>_xlfn.XLOOKUP(TablaDatos[[#This Row],[PacienteID]],'Datos_Ejemplo.csv'!A:A,'Datos_Ejemplo.csv'!I:I)</f>
        <v>35</v>
      </c>
      <c r="N4748">
        <f>ABS(TablaDatos[[#This Row],[DiasOriginal]])</f>
        <v>35</v>
      </c>
      <c r="O4748" s="1">
        <f>TablaDatos[[#This Row],[FechaIngreso]]+TablaDatos[[#This Row],[DiasNuevo]]</f>
        <v>44993</v>
      </c>
    </row>
    <row r="4749" spans="1:15">
      <c r="A4749">
        <v>4748</v>
      </c>
      <c r="B4749" t="s">
        <v>364</v>
      </c>
      <c r="C4749" s="1">
        <v>16802</v>
      </c>
      <c r="D4749">
        <v>80</v>
      </c>
      <c r="E4749" s="4" t="s">
        <v>15</v>
      </c>
      <c r="F4749" t="s">
        <v>18</v>
      </c>
      <c r="G4749" s="1">
        <v>45253</v>
      </c>
      <c r="H4749" s="1">
        <f>TablaDatos[[#This Row],[FechaIngreso]]+TablaDatos[[#This Row],[DiasNuevo]]</f>
        <v>45263</v>
      </c>
      <c r="I4749">
        <v>10</v>
      </c>
      <c r="J4749" t="s">
        <v>23</v>
      </c>
      <c r="K4749" s="3">
        <v>10000.25</v>
      </c>
      <c r="L4749" t="b">
        <f>TablaDatos[[#This Row],[FechaAlta]] &lt; TablaDatos[[#This Row],[FechaIngreso]]</f>
        <v>0</v>
      </c>
      <c r="M4749">
        <f>_xlfn.XLOOKUP(TablaDatos[[#This Row],[PacienteID]],'Datos_Ejemplo.csv'!A:A,'Datos_Ejemplo.csv'!I:I)</f>
        <v>10</v>
      </c>
      <c r="N4749">
        <f>ABS(TablaDatos[[#This Row],[DiasOriginal]])</f>
        <v>10</v>
      </c>
      <c r="O4749" s="1">
        <f>TablaDatos[[#This Row],[FechaIngreso]]+TablaDatos[[#This Row],[DiasNuevo]]</f>
        <v>45263</v>
      </c>
    </row>
    <row r="4750" spans="1:15">
      <c r="A4750">
        <v>4749</v>
      </c>
      <c r="B4750" t="s">
        <v>268</v>
      </c>
      <c r="C4750" s="1">
        <v>18629</v>
      </c>
      <c r="D4750">
        <v>75</v>
      </c>
      <c r="E4750" s="4" t="s">
        <v>12</v>
      </c>
      <c r="F4750" t="s">
        <v>13</v>
      </c>
      <c r="G4750" s="1">
        <v>45000</v>
      </c>
      <c r="H4750" s="1">
        <f>TablaDatos[[#This Row],[FechaIngreso]]+TablaDatos[[#This Row],[DiasNuevo]]</f>
        <v>45029</v>
      </c>
      <c r="I4750">
        <v>29</v>
      </c>
      <c r="J4750" t="s">
        <v>23</v>
      </c>
      <c r="K4750" s="3">
        <v>18439.849999999999</v>
      </c>
      <c r="L4750" t="b">
        <f>TablaDatos[[#This Row],[FechaAlta]] &lt; TablaDatos[[#This Row],[FechaIngreso]]</f>
        <v>0</v>
      </c>
      <c r="M4750">
        <f>_xlfn.XLOOKUP(TablaDatos[[#This Row],[PacienteID]],'Datos_Ejemplo.csv'!A:A,'Datos_Ejemplo.csv'!I:I)</f>
        <v>29</v>
      </c>
      <c r="N4750">
        <f>ABS(TablaDatos[[#This Row],[DiasOriginal]])</f>
        <v>29</v>
      </c>
      <c r="O4750" s="1">
        <f>TablaDatos[[#This Row],[FechaIngreso]]+TablaDatos[[#This Row],[DiasNuevo]]</f>
        <v>45029</v>
      </c>
    </row>
    <row r="4751" spans="1:15">
      <c r="A4751">
        <v>4750</v>
      </c>
      <c r="B4751" t="s">
        <v>349</v>
      </c>
      <c r="C4751" s="1">
        <v>14611</v>
      </c>
      <c r="D4751">
        <v>86</v>
      </c>
      <c r="E4751" s="4" t="s">
        <v>15</v>
      </c>
      <c r="F4751" t="s">
        <v>32</v>
      </c>
      <c r="G4751" s="1">
        <v>45177</v>
      </c>
      <c r="H4751" s="1">
        <f>TablaDatos[[#This Row],[FechaIngreso]]+TablaDatos[[#This Row],[DiasNuevo]]</f>
        <v>45193</v>
      </c>
      <c r="I4751">
        <v>16</v>
      </c>
      <c r="J4751" t="s">
        <v>23</v>
      </c>
      <c r="K4751" s="3">
        <v>8744.7800000000007</v>
      </c>
      <c r="L4751" t="b">
        <f>TablaDatos[[#This Row],[FechaAlta]] &lt; TablaDatos[[#This Row],[FechaIngreso]]</f>
        <v>0</v>
      </c>
      <c r="M4751">
        <f>_xlfn.XLOOKUP(TablaDatos[[#This Row],[PacienteID]],'Datos_Ejemplo.csv'!A:A,'Datos_Ejemplo.csv'!I:I)</f>
        <v>16</v>
      </c>
      <c r="N4751">
        <f>ABS(TablaDatos[[#This Row],[DiasOriginal]])</f>
        <v>16</v>
      </c>
      <c r="O4751" s="1">
        <f>TablaDatos[[#This Row],[FechaIngreso]]+TablaDatos[[#This Row],[DiasNuevo]]</f>
        <v>45193</v>
      </c>
    </row>
    <row r="4752" spans="1:15">
      <c r="A4752">
        <v>4751</v>
      </c>
      <c r="B4752" t="s">
        <v>231</v>
      </c>
      <c r="C4752" s="1">
        <v>17168</v>
      </c>
      <c r="D4752">
        <v>79</v>
      </c>
      <c r="E4752" s="4" t="s">
        <v>15</v>
      </c>
      <c r="F4752" t="s">
        <v>32</v>
      </c>
      <c r="G4752" s="1">
        <v>45376</v>
      </c>
      <c r="H4752" s="1">
        <f>TablaDatos[[#This Row],[FechaIngreso]]+TablaDatos[[#This Row],[DiasNuevo]]</f>
        <v>45390</v>
      </c>
      <c r="I4752">
        <v>14</v>
      </c>
      <c r="J4752" t="s">
        <v>25</v>
      </c>
      <c r="K4752" s="3">
        <v>16732.09</v>
      </c>
      <c r="L4752" t="b">
        <f>TablaDatos[[#This Row],[FechaAlta]] &lt; TablaDatos[[#This Row],[FechaIngreso]]</f>
        <v>0</v>
      </c>
      <c r="M4752">
        <f>_xlfn.XLOOKUP(TablaDatos[[#This Row],[PacienteID]],'Datos_Ejemplo.csv'!A:A,'Datos_Ejemplo.csv'!I:I)</f>
        <v>14</v>
      </c>
      <c r="N4752">
        <f>ABS(TablaDatos[[#This Row],[DiasOriginal]])</f>
        <v>14</v>
      </c>
      <c r="O4752" s="1">
        <f>TablaDatos[[#This Row],[FechaIngreso]]+TablaDatos[[#This Row],[DiasNuevo]]</f>
        <v>45390</v>
      </c>
    </row>
    <row r="4753" spans="1:15">
      <c r="A4753">
        <v>4752</v>
      </c>
      <c r="B4753" t="s">
        <v>277</v>
      </c>
      <c r="C4753" s="1">
        <v>21916</v>
      </c>
      <c r="D4753">
        <v>66</v>
      </c>
      <c r="E4753" s="4" t="s">
        <v>12</v>
      </c>
      <c r="F4753" t="s">
        <v>18</v>
      </c>
      <c r="G4753" s="1">
        <v>45281</v>
      </c>
      <c r="H4753" s="1">
        <f>TablaDatos[[#This Row],[FechaIngreso]]+TablaDatos[[#This Row],[DiasNuevo]]</f>
        <v>45282</v>
      </c>
      <c r="I4753">
        <v>1</v>
      </c>
      <c r="J4753" t="s">
        <v>23</v>
      </c>
      <c r="K4753" s="3">
        <v>9866.4599999999991</v>
      </c>
      <c r="L4753" t="b">
        <f>TablaDatos[[#This Row],[FechaAlta]] &lt; TablaDatos[[#This Row],[FechaIngreso]]</f>
        <v>0</v>
      </c>
      <c r="M4753">
        <f>_xlfn.XLOOKUP(TablaDatos[[#This Row],[PacienteID]],'Datos_Ejemplo.csv'!A:A,'Datos_Ejemplo.csv'!I:I)</f>
        <v>-1</v>
      </c>
      <c r="N4753">
        <f>ABS(TablaDatos[[#This Row],[DiasOriginal]])</f>
        <v>1</v>
      </c>
      <c r="O4753" s="1">
        <f>TablaDatos[[#This Row],[FechaIngreso]]+TablaDatos[[#This Row],[DiasNuevo]]</f>
        <v>45282</v>
      </c>
    </row>
    <row r="4754" spans="1:15">
      <c r="A4754">
        <v>4753</v>
      </c>
      <c r="B4754" t="s">
        <v>332</v>
      </c>
      <c r="C4754" s="1">
        <v>35430</v>
      </c>
      <c r="D4754">
        <v>29</v>
      </c>
      <c r="E4754" s="4" t="s">
        <v>15</v>
      </c>
      <c r="F4754" t="s">
        <v>21</v>
      </c>
      <c r="G4754" s="1">
        <v>45459</v>
      </c>
      <c r="H4754" s="1">
        <f>TablaDatos[[#This Row],[FechaIngreso]]+TablaDatos[[#This Row],[DiasNuevo]]</f>
        <v>45474</v>
      </c>
      <c r="I4754">
        <v>15</v>
      </c>
      <c r="J4754" t="s">
        <v>25</v>
      </c>
      <c r="K4754" s="3">
        <v>2046.91</v>
      </c>
      <c r="L4754" t="b">
        <f>TablaDatos[[#This Row],[FechaAlta]] &lt; TablaDatos[[#This Row],[FechaIngreso]]</f>
        <v>0</v>
      </c>
      <c r="M4754">
        <f>_xlfn.XLOOKUP(TablaDatos[[#This Row],[PacienteID]],'Datos_Ejemplo.csv'!A:A,'Datos_Ejemplo.csv'!I:I)</f>
        <v>15</v>
      </c>
      <c r="N4754">
        <f>ABS(TablaDatos[[#This Row],[DiasOriginal]])</f>
        <v>15</v>
      </c>
      <c r="O4754" s="1">
        <f>TablaDatos[[#This Row],[FechaIngreso]]+TablaDatos[[#This Row],[DiasNuevo]]</f>
        <v>45474</v>
      </c>
    </row>
    <row r="4755" spans="1:15">
      <c r="A4755">
        <v>4754</v>
      </c>
      <c r="B4755" t="s">
        <v>152</v>
      </c>
      <c r="C4755" s="1">
        <v>25568</v>
      </c>
      <c r="D4755">
        <v>56</v>
      </c>
      <c r="E4755" s="4" t="s">
        <v>15</v>
      </c>
      <c r="F4755" t="s">
        <v>18</v>
      </c>
      <c r="G4755" s="1">
        <v>45222</v>
      </c>
      <c r="H4755" s="1">
        <f>TablaDatos[[#This Row],[FechaIngreso]]+TablaDatos[[#This Row],[DiasNuevo]]</f>
        <v>45258</v>
      </c>
      <c r="I4755">
        <v>36</v>
      </c>
      <c r="J4755" t="s">
        <v>23</v>
      </c>
      <c r="K4755" s="3">
        <v>2871.88</v>
      </c>
      <c r="L4755" t="b">
        <f>TablaDatos[[#This Row],[FechaAlta]] &lt; TablaDatos[[#This Row],[FechaIngreso]]</f>
        <v>0</v>
      </c>
      <c r="M4755">
        <f>_xlfn.XLOOKUP(TablaDatos[[#This Row],[PacienteID]],'Datos_Ejemplo.csv'!A:A,'Datos_Ejemplo.csv'!I:I)</f>
        <v>36</v>
      </c>
      <c r="N4755">
        <f>ABS(TablaDatos[[#This Row],[DiasOriginal]])</f>
        <v>36</v>
      </c>
      <c r="O4755" s="1">
        <f>TablaDatos[[#This Row],[FechaIngreso]]+TablaDatos[[#This Row],[DiasNuevo]]</f>
        <v>45258</v>
      </c>
    </row>
    <row r="4756" spans="1:15">
      <c r="A4756">
        <v>4755</v>
      </c>
      <c r="B4756" t="s">
        <v>357</v>
      </c>
      <c r="C4756" s="1">
        <v>14976</v>
      </c>
      <c r="D4756">
        <v>85</v>
      </c>
      <c r="E4756" s="4" t="s">
        <v>15</v>
      </c>
      <c r="F4756" t="s">
        <v>21</v>
      </c>
      <c r="G4756" s="1">
        <v>45224</v>
      </c>
      <c r="H4756" s="1">
        <f>TablaDatos[[#This Row],[FechaIngreso]]+TablaDatos[[#This Row],[DiasNuevo]]</f>
        <v>45248</v>
      </c>
      <c r="I4756">
        <v>24</v>
      </c>
      <c r="J4756" t="s">
        <v>25</v>
      </c>
      <c r="K4756" s="3">
        <v>838.18</v>
      </c>
      <c r="L4756" t="b">
        <f>TablaDatos[[#This Row],[FechaAlta]] &lt; TablaDatos[[#This Row],[FechaIngreso]]</f>
        <v>0</v>
      </c>
      <c r="M4756">
        <f>_xlfn.XLOOKUP(TablaDatos[[#This Row],[PacienteID]],'Datos_Ejemplo.csv'!A:A,'Datos_Ejemplo.csv'!I:I)</f>
        <v>24</v>
      </c>
      <c r="N4756">
        <f>ABS(TablaDatos[[#This Row],[DiasOriginal]])</f>
        <v>24</v>
      </c>
      <c r="O4756" s="1">
        <f>TablaDatos[[#This Row],[FechaIngreso]]+TablaDatos[[#This Row],[DiasNuevo]]</f>
        <v>45248</v>
      </c>
    </row>
    <row r="4757" spans="1:15">
      <c r="A4757">
        <v>4756</v>
      </c>
      <c r="B4757" t="s">
        <v>278</v>
      </c>
      <c r="C4757" s="1">
        <v>19724</v>
      </c>
      <c r="D4757">
        <v>72</v>
      </c>
      <c r="E4757" s="4" t="s">
        <v>15</v>
      </c>
      <c r="F4757" t="s">
        <v>201</v>
      </c>
      <c r="G4757" s="1">
        <v>45254</v>
      </c>
      <c r="H4757" s="1">
        <f>TablaDatos[[#This Row],[FechaIngreso]]+TablaDatos[[#This Row],[DiasNuevo]]</f>
        <v>45265</v>
      </c>
      <c r="I4757">
        <v>11</v>
      </c>
      <c r="J4757" t="s">
        <v>25</v>
      </c>
      <c r="K4757" s="3">
        <v>3825.83</v>
      </c>
      <c r="L4757" t="b">
        <f>TablaDatos[[#This Row],[FechaAlta]] &lt; TablaDatos[[#This Row],[FechaIngreso]]</f>
        <v>0</v>
      </c>
      <c r="M4757">
        <f>_xlfn.XLOOKUP(TablaDatos[[#This Row],[PacienteID]],'Datos_Ejemplo.csv'!A:A,'Datos_Ejemplo.csv'!I:I)</f>
        <v>11</v>
      </c>
      <c r="N4757">
        <f>ABS(TablaDatos[[#This Row],[DiasOriginal]])</f>
        <v>11</v>
      </c>
      <c r="O4757" s="1">
        <f>TablaDatos[[#This Row],[FechaIngreso]]+TablaDatos[[#This Row],[DiasNuevo]]</f>
        <v>45265</v>
      </c>
    </row>
    <row r="4758" spans="1:15">
      <c r="A4758">
        <v>4757</v>
      </c>
      <c r="B4758" t="s">
        <v>278</v>
      </c>
      <c r="C4758" s="1">
        <v>35795</v>
      </c>
      <c r="D4758">
        <v>28</v>
      </c>
      <c r="E4758" s="4" t="s">
        <v>15</v>
      </c>
      <c r="F4758" t="s">
        <v>18</v>
      </c>
      <c r="G4758" s="1">
        <v>45228</v>
      </c>
      <c r="H4758" s="1">
        <f>TablaDatos[[#This Row],[FechaIngreso]]+TablaDatos[[#This Row],[DiasNuevo]]</f>
        <v>45240</v>
      </c>
      <c r="I4758">
        <v>12</v>
      </c>
      <c r="J4758" t="s">
        <v>25</v>
      </c>
      <c r="K4758" s="3">
        <v>17861.64</v>
      </c>
      <c r="L4758" t="b">
        <f>TablaDatos[[#This Row],[FechaAlta]] &lt; TablaDatos[[#This Row],[FechaIngreso]]</f>
        <v>0</v>
      </c>
      <c r="M4758">
        <f>_xlfn.XLOOKUP(TablaDatos[[#This Row],[PacienteID]],'Datos_Ejemplo.csv'!A:A,'Datos_Ejemplo.csv'!I:I)</f>
        <v>12</v>
      </c>
      <c r="N4758">
        <f>ABS(TablaDatos[[#This Row],[DiasOriginal]])</f>
        <v>12</v>
      </c>
      <c r="O4758" s="1">
        <f>TablaDatos[[#This Row],[FechaIngreso]]+TablaDatos[[#This Row],[DiasNuevo]]</f>
        <v>45240</v>
      </c>
    </row>
    <row r="4759" spans="1:15">
      <c r="A4759">
        <v>4758</v>
      </c>
      <c r="B4759" t="s">
        <v>302</v>
      </c>
      <c r="C4759" s="1">
        <v>32873</v>
      </c>
      <c r="D4759">
        <v>36</v>
      </c>
      <c r="E4759" s="4" t="s">
        <v>12</v>
      </c>
      <c r="F4759" t="s">
        <v>21</v>
      </c>
      <c r="G4759" s="1">
        <v>45438</v>
      </c>
      <c r="H4759" s="1">
        <f>TablaDatos[[#This Row],[FechaIngreso]]+TablaDatos[[#This Row],[DiasNuevo]]</f>
        <v>45443</v>
      </c>
      <c r="I4759">
        <v>5</v>
      </c>
      <c r="J4759" t="s">
        <v>25</v>
      </c>
      <c r="K4759" s="3">
        <v>12968.98</v>
      </c>
      <c r="L4759" t="b">
        <f>TablaDatos[[#This Row],[FechaAlta]] &lt; TablaDatos[[#This Row],[FechaIngreso]]</f>
        <v>0</v>
      </c>
      <c r="M4759">
        <f>_xlfn.XLOOKUP(TablaDatos[[#This Row],[PacienteID]],'Datos_Ejemplo.csv'!A:A,'Datos_Ejemplo.csv'!I:I)</f>
        <v>5</v>
      </c>
      <c r="N4759">
        <f>ABS(TablaDatos[[#This Row],[DiasOriginal]])</f>
        <v>5</v>
      </c>
      <c r="O4759" s="1">
        <f>TablaDatos[[#This Row],[FechaIngreso]]+TablaDatos[[#This Row],[DiasNuevo]]</f>
        <v>45443</v>
      </c>
    </row>
    <row r="4760" spans="1:15">
      <c r="A4760">
        <v>4759</v>
      </c>
      <c r="B4760" t="s">
        <v>243</v>
      </c>
      <c r="C4760" s="1">
        <v>14611</v>
      </c>
      <c r="D4760">
        <v>86</v>
      </c>
      <c r="E4760" s="4" t="s">
        <v>12</v>
      </c>
      <c r="F4760" t="s">
        <v>21</v>
      </c>
      <c r="G4760" s="1">
        <v>45264</v>
      </c>
      <c r="H4760" s="1">
        <f>TablaDatos[[#This Row],[FechaIngreso]]+TablaDatos[[#This Row],[DiasNuevo]]</f>
        <v>45270</v>
      </c>
      <c r="I4760">
        <v>6</v>
      </c>
      <c r="J4760" t="s">
        <v>25</v>
      </c>
      <c r="K4760" s="3">
        <v>14751.02</v>
      </c>
      <c r="L4760" t="b">
        <f>TablaDatos[[#This Row],[FechaAlta]] &lt; TablaDatos[[#This Row],[FechaIngreso]]</f>
        <v>0</v>
      </c>
      <c r="M4760">
        <f>_xlfn.XLOOKUP(TablaDatos[[#This Row],[PacienteID]],'Datos_Ejemplo.csv'!A:A,'Datos_Ejemplo.csv'!I:I)</f>
        <v>6</v>
      </c>
      <c r="N4760">
        <f>ABS(TablaDatos[[#This Row],[DiasOriginal]])</f>
        <v>6</v>
      </c>
      <c r="O4760" s="1">
        <f>TablaDatos[[#This Row],[FechaIngreso]]+TablaDatos[[#This Row],[DiasNuevo]]</f>
        <v>45270</v>
      </c>
    </row>
    <row r="4761" spans="1:15">
      <c r="A4761">
        <v>4760</v>
      </c>
      <c r="B4761" t="s">
        <v>240</v>
      </c>
      <c r="C4761" s="1">
        <v>41639</v>
      </c>
      <c r="D4761">
        <v>12</v>
      </c>
      <c r="E4761" s="4" t="s">
        <v>12</v>
      </c>
      <c r="F4761" t="s">
        <v>261</v>
      </c>
      <c r="G4761" s="1">
        <v>45511</v>
      </c>
      <c r="H4761" s="1">
        <f>TablaDatos[[#This Row],[FechaIngreso]]+TablaDatos[[#This Row],[DiasNuevo]]</f>
        <v>45529</v>
      </c>
      <c r="I4761">
        <v>18</v>
      </c>
      <c r="J4761" t="s">
        <v>19</v>
      </c>
      <c r="K4761" s="3">
        <v>12395.4</v>
      </c>
      <c r="L4761" t="b">
        <f>TablaDatos[[#This Row],[FechaAlta]] &lt; TablaDatos[[#This Row],[FechaIngreso]]</f>
        <v>0</v>
      </c>
      <c r="M4761">
        <f>_xlfn.XLOOKUP(TablaDatos[[#This Row],[PacienteID]],'Datos_Ejemplo.csv'!A:A,'Datos_Ejemplo.csv'!I:I)</f>
        <v>18</v>
      </c>
      <c r="N4761">
        <f>ABS(TablaDatos[[#This Row],[DiasOriginal]])</f>
        <v>18</v>
      </c>
      <c r="O4761" s="1">
        <f>TablaDatos[[#This Row],[FechaIngreso]]+TablaDatos[[#This Row],[DiasNuevo]]</f>
        <v>45529</v>
      </c>
    </row>
    <row r="4762" spans="1:15">
      <c r="A4762">
        <v>4761</v>
      </c>
      <c r="B4762" t="s">
        <v>368</v>
      </c>
      <c r="C4762" s="1">
        <v>34700</v>
      </c>
      <c r="D4762">
        <v>31</v>
      </c>
      <c r="E4762" s="4" t="s">
        <v>15</v>
      </c>
      <c r="F4762" t="s">
        <v>201</v>
      </c>
      <c r="G4762" s="1">
        <v>45300</v>
      </c>
      <c r="H4762" s="1">
        <f>TablaDatos[[#This Row],[FechaIngreso]]+TablaDatos[[#This Row],[DiasNuevo]]</f>
        <v>45332</v>
      </c>
      <c r="I4762">
        <v>32</v>
      </c>
      <c r="J4762" t="s">
        <v>23</v>
      </c>
      <c r="K4762" s="3">
        <v>7669.44</v>
      </c>
      <c r="L4762" t="b">
        <f>TablaDatos[[#This Row],[FechaAlta]] &lt; TablaDatos[[#This Row],[FechaIngreso]]</f>
        <v>0</v>
      </c>
      <c r="M4762">
        <f>_xlfn.XLOOKUP(TablaDatos[[#This Row],[PacienteID]],'Datos_Ejemplo.csv'!A:A,'Datos_Ejemplo.csv'!I:I)</f>
        <v>32</v>
      </c>
      <c r="N4762">
        <f>ABS(TablaDatos[[#This Row],[DiasOriginal]])</f>
        <v>32</v>
      </c>
      <c r="O4762" s="1">
        <f>TablaDatos[[#This Row],[FechaIngreso]]+TablaDatos[[#This Row],[DiasNuevo]]</f>
        <v>45332</v>
      </c>
    </row>
    <row r="4763" spans="1:15">
      <c r="A4763">
        <v>4762</v>
      </c>
      <c r="B4763" t="s">
        <v>271</v>
      </c>
      <c r="C4763" s="1">
        <v>29586</v>
      </c>
      <c r="D4763">
        <v>45</v>
      </c>
      <c r="E4763" s="4" t="s">
        <v>197</v>
      </c>
      <c r="F4763" t="s">
        <v>261</v>
      </c>
      <c r="G4763" s="1">
        <v>45479</v>
      </c>
      <c r="H4763" s="1">
        <f>TablaDatos[[#This Row],[FechaIngreso]]+TablaDatos[[#This Row],[DiasNuevo]]</f>
        <v>45490</v>
      </c>
      <c r="I4763">
        <v>11</v>
      </c>
      <c r="J4763" t="s">
        <v>23</v>
      </c>
      <c r="K4763" s="3">
        <v>4258.91</v>
      </c>
      <c r="L4763" t="b">
        <f>TablaDatos[[#This Row],[FechaAlta]] &lt; TablaDatos[[#This Row],[FechaIngreso]]</f>
        <v>0</v>
      </c>
      <c r="M4763">
        <f>_xlfn.XLOOKUP(TablaDatos[[#This Row],[PacienteID]],'Datos_Ejemplo.csv'!A:A,'Datos_Ejemplo.csv'!I:I)</f>
        <v>11</v>
      </c>
      <c r="N4763">
        <f>ABS(TablaDatos[[#This Row],[DiasOriginal]])</f>
        <v>11</v>
      </c>
      <c r="O4763" s="1">
        <f>TablaDatos[[#This Row],[FechaIngreso]]+TablaDatos[[#This Row],[DiasNuevo]]</f>
        <v>45490</v>
      </c>
    </row>
    <row r="4764" spans="1:15">
      <c r="A4764">
        <v>4763</v>
      </c>
      <c r="B4764" t="s">
        <v>366</v>
      </c>
      <c r="C4764" s="1">
        <v>37987</v>
      </c>
      <c r="D4764">
        <v>22</v>
      </c>
      <c r="E4764" s="4" t="s">
        <v>12</v>
      </c>
      <c r="F4764" t="s">
        <v>21</v>
      </c>
      <c r="G4764" s="1">
        <v>45020</v>
      </c>
      <c r="H4764" s="1">
        <f>TablaDatos[[#This Row],[FechaIngreso]]+TablaDatos[[#This Row],[DiasNuevo]]</f>
        <v>45044</v>
      </c>
      <c r="I4764">
        <v>24</v>
      </c>
      <c r="J4764" t="s">
        <v>25</v>
      </c>
      <c r="K4764" s="3">
        <v>18504.849999999999</v>
      </c>
      <c r="L4764" t="b">
        <f>TablaDatos[[#This Row],[FechaAlta]] &lt; TablaDatos[[#This Row],[FechaIngreso]]</f>
        <v>0</v>
      </c>
      <c r="M4764">
        <f>_xlfn.XLOOKUP(TablaDatos[[#This Row],[PacienteID]],'Datos_Ejemplo.csv'!A:A,'Datos_Ejemplo.csv'!I:I)</f>
        <v>24</v>
      </c>
      <c r="N4764">
        <f>ABS(TablaDatos[[#This Row],[DiasOriginal]])</f>
        <v>24</v>
      </c>
      <c r="O4764" s="1">
        <f>TablaDatos[[#This Row],[FechaIngreso]]+TablaDatos[[#This Row],[DiasNuevo]]</f>
        <v>45044</v>
      </c>
    </row>
    <row r="4765" spans="1:15">
      <c r="A4765">
        <v>4764</v>
      </c>
      <c r="B4765" t="s">
        <v>310</v>
      </c>
      <c r="C4765" s="1">
        <v>29951</v>
      </c>
      <c r="D4765">
        <v>44</v>
      </c>
      <c r="E4765" s="4" t="s">
        <v>15</v>
      </c>
      <c r="F4765" t="s">
        <v>21</v>
      </c>
      <c r="G4765" s="1">
        <v>45058</v>
      </c>
      <c r="H4765" s="1">
        <f>TablaDatos[[#This Row],[FechaIngreso]]+TablaDatos[[#This Row],[DiasNuevo]]</f>
        <v>45063</v>
      </c>
      <c r="I4765">
        <v>5</v>
      </c>
      <c r="J4765" t="s">
        <v>23</v>
      </c>
      <c r="K4765" s="3">
        <v>10248.08</v>
      </c>
      <c r="L4765" t="b">
        <f>TablaDatos[[#This Row],[FechaAlta]] &lt; TablaDatos[[#This Row],[FechaIngreso]]</f>
        <v>0</v>
      </c>
      <c r="M4765">
        <f>_xlfn.XLOOKUP(TablaDatos[[#This Row],[PacienteID]],'Datos_Ejemplo.csv'!A:A,'Datos_Ejemplo.csv'!I:I)</f>
        <v>5</v>
      </c>
      <c r="N4765">
        <f>ABS(TablaDatos[[#This Row],[DiasOriginal]])</f>
        <v>5</v>
      </c>
      <c r="O4765" s="1">
        <f>TablaDatos[[#This Row],[FechaIngreso]]+TablaDatos[[#This Row],[DiasNuevo]]</f>
        <v>45063</v>
      </c>
    </row>
    <row r="4766" spans="1:15">
      <c r="A4766">
        <v>4765</v>
      </c>
      <c r="B4766" t="s">
        <v>357</v>
      </c>
      <c r="C4766" s="1">
        <v>40178</v>
      </c>
      <c r="D4766">
        <v>16</v>
      </c>
      <c r="E4766" s="4" t="s">
        <v>12</v>
      </c>
      <c r="F4766" t="s">
        <v>295</v>
      </c>
      <c r="G4766" s="1">
        <v>45537</v>
      </c>
      <c r="H4766" s="1">
        <f>TablaDatos[[#This Row],[FechaIngreso]]+TablaDatos[[#This Row],[DiasNuevo]]</f>
        <v>45569</v>
      </c>
      <c r="I4766">
        <v>32</v>
      </c>
      <c r="J4766" t="s">
        <v>25</v>
      </c>
      <c r="K4766" s="3">
        <v>9570.11</v>
      </c>
      <c r="L4766" t="b">
        <f>TablaDatos[[#This Row],[FechaAlta]] &lt; TablaDatos[[#This Row],[FechaIngreso]]</f>
        <v>0</v>
      </c>
      <c r="M4766">
        <f>_xlfn.XLOOKUP(TablaDatos[[#This Row],[PacienteID]],'Datos_Ejemplo.csv'!A:A,'Datos_Ejemplo.csv'!I:I)</f>
        <v>32</v>
      </c>
      <c r="N4766">
        <f>ABS(TablaDatos[[#This Row],[DiasOriginal]])</f>
        <v>32</v>
      </c>
      <c r="O4766" s="1">
        <f>TablaDatos[[#This Row],[FechaIngreso]]+TablaDatos[[#This Row],[DiasNuevo]]</f>
        <v>45569</v>
      </c>
    </row>
    <row r="4767" spans="1:15">
      <c r="A4767">
        <v>4766</v>
      </c>
      <c r="B4767" t="s">
        <v>243</v>
      </c>
      <c r="C4767" s="1">
        <v>15341</v>
      </c>
      <c r="D4767">
        <v>84</v>
      </c>
      <c r="E4767" s="4" t="s">
        <v>12</v>
      </c>
      <c r="F4767" t="s">
        <v>21</v>
      </c>
      <c r="G4767" s="1">
        <v>44979</v>
      </c>
      <c r="H4767" s="1">
        <f>TablaDatos[[#This Row],[FechaIngreso]]+TablaDatos[[#This Row],[DiasNuevo]]</f>
        <v>44994</v>
      </c>
      <c r="I4767">
        <v>15</v>
      </c>
      <c r="J4767" t="s">
        <v>23</v>
      </c>
      <c r="K4767" s="3">
        <v>19921.689999999999</v>
      </c>
      <c r="L4767" t="b">
        <f>TablaDatos[[#This Row],[FechaAlta]] &lt; TablaDatos[[#This Row],[FechaIngreso]]</f>
        <v>0</v>
      </c>
      <c r="M4767">
        <f>_xlfn.XLOOKUP(TablaDatos[[#This Row],[PacienteID]],'Datos_Ejemplo.csv'!A:A,'Datos_Ejemplo.csv'!I:I)</f>
        <v>15</v>
      </c>
      <c r="N4767">
        <f>ABS(TablaDatos[[#This Row],[DiasOriginal]])</f>
        <v>15</v>
      </c>
      <c r="O4767" s="1">
        <f>TablaDatos[[#This Row],[FechaIngreso]]+TablaDatos[[#This Row],[DiasNuevo]]</f>
        <v>44994</v>
      </c>
    </row>
    <row r="4768" spans="1:15">
      <c r="A4768">
        <v>4767</v>
      </c>
      <c r="B4768" t="s">
        <v>345</v>
      </c>
      <c r="C4768" s="1">
        <v>22281</v>
      </c>
      <c r="D4768">
        <v>65</v>
      </c>
      <c r="E4768" s="4" t="s">
        <v>12</v>
      </c>
      <c r="F4768" t="s">
        <v>261</v>
      </c>
      <c r="G4768" s="1">
        <v>45422</v>
      </c>
      <c r="H4768" s="1">
        <f>TablaDatos[[#This Row],[FechaIngreso]]+TablaDatos[[#This Row],[DiasNuevo]]</f>
        <v>45433</v>
      </c>
      <c r="I4768">
        <v>11</v>
      </c>
      <c r="J4768" t="s">
        <v>19</v>
      </c>
      <c r="K4768" s="3">
        <v>7616.99</v>
      </c>
      <c r="L4768" t="b">
        <f>TablaDatos[[#This Row],[FechaAlta]] &lt; TablaDatos[[#This Row],[FechaIngreso]]</f>
        <v>0</v>
      </c>
      <c r="M4768">
        <f>_xlfn.XLOOKUP(TablaDatos[[#This Row],[PacienteID]],'Datos_Ejemplo.csv'!A:A,'Datos_Ejemplo.csv'!I:I)</f>
        <v>11</v>
      </c>
      <c r="N4768">
        <f>ABS(TablaDatos[[#This Row],[DiasOriginal]])</f>
        <v>11</v>
      </c>
      <c r="O4768" s="1">
        <f>TablaDatos[[#This Row],[FechaIngreso]]+TablaDatos[[#This Row],[DiasNuevo]]</f>
        <v>45433</v>
      </c>
    </row>
    <row r="4769" spans="1:15">
      <c r="A4769">
        <v>4768</v>
      </c>
      <c r="B4769" t="s">
        <v>365</v>
      </c>
      <c r="C4769" s="1">
        <v>44196</v>
      </c>
      <c r="D4769">
        <v>5</v>
      </c>
      <c r="E4769" s="4" t="s">
        <v>15</v>
      </c>
      <c r="F4769" t="s">
        <v>21</v>
      </c>
      <c r="G4769" s="1">
        <v>45155</v>
      </c>
      <c r="H4769" s="1">
        <f>TablaDatos[[#This Row],[FechaIngreso]]+TablaDatos[[#This Row],[DiasNuevo]]</f>
        <v>45160</v>
      </c>
      <c r="I4769">
        <v>5</v>
      </c>
      <c r="J4769" t="s">
        <v>23</v>
      </c>
      <c r="K4769" s="3">
        <v>17067.919999999998</v>
      </c>
      <c r="L4769" t="b">
        <f>TablaDatos[[#This Row],[FechaAlta]] &lt; TablaDatos[[#This Row],[FechaIngreso]]</f>
        <v>0</v>
      </c>
      <c r="M4769">
        <f>_xlfn.XLOOKUP(TablaDatos[[#This Row],[PacienteID]],'Datos_Ejemplo.csv'!A:A,'Datos_Ejemplo.csv'!I:I)</f>
        <v>5</v>
      </c>
      <c r="N4769">
        <f>ABS(TablaDatos[[#This Row],[DiasOriginal]])</f>
        <v>5</v>
      </c>
      <c r="O4769" s="1">
        <f>TablaDatos[[#This Row],[FechaIngreso]]+TablaDatos[[#This Row],[DiasNuevo]]</f>
        <v>45160</v>
      </c>
    </row>
    <row r="4770" spans="1:15">
      <c r="A4770">
        <v>4769</v>
      </c>
      <c r="B4770" t="s">
        <v>336</v>
      </c>
      <c r="C4770" s="1">
        <v>39813</v>
      </c>
      <c r="D4770">
        <v>17</v>
      </c>
      <c r="E4770" s="4" t="s">
        <v>15</v>
      </c>
      <c r="F4770" t="s">
        <v>32</v>
      </c>
      <c r="G4770" s="1">
        <v>45566</v>
      </c>
      <c r="H4770" s="1">
        <f>TablaDatos[[#This Row],[FechaIngreso]]+TablaDatos[[#This Row],[DiasNuevo]]</f>
        <v>45571</v>
      </c>
      <c r="I4770">
        <v>5</v>
      </c>
      <c r="J4770" t="s">
        <v>23</v>
      </c>
      <c r="K4770" s="3">
        <v>17233.12</v>
      </c>
      <c r="L4770" t="b">
        <f>TablaDatos[[#This Row],[FechaAlta]] &lt; TablaDatos[[#This Row],[FechaIngreso]]</f>
        <v>0</v>
      </c>
      <c r="M4770">
        <f>_xlfn.XLOOKUP(TablaDatos[[#This Row],[PacienteID]],'Datos_Ejemplo.csv'!A:A,'Datos_Ejemplo.csv'!I:I)</f>
        <v>5</v>
      </c>
      <c r="N4770">
        <f>ABS(TablaDatos[[#This Row],[DiasOriginal]])</f>
        <v>5</v>
      </c>
      <c r="O4770" s="1">
        <f>TablaDatos[[#This Row],[FechaIngreso]]+TablaDatos[[#This Row],[DiasNuevo]]</f>
        <v>45571</v>
      </c>
    </row>
    <row r="4771" spans="1:15">
      <c r="A4771">
        <v>4770</v>
      </c>
      <c r="B4771" t="s">
        <v>339</v>
      </c>
      <c r="C4771" s="1">
        <v>12054</v>
      </c>
      <c r="D4771">
        <v>93</v>
      </c>
      <c r="E4771" s="4" t="s">
        <v>12</v>
      </c>
      <c r="F4771" t="s">
        <v>295</v>
      </c>
      <c r="G4771" s="1">
        <v>45138</v>
      </c>
      <c r="H4771" s="1">
        <f>TablaDatos[[#This Row],[FechaIngreso]]+TablaDatos[[#This Row],[DiasNuevo]]</f>
        <v>45172</v>
      </c>
      <c r="I4771">
        <v>34</v>
      </c>
      <c r="J4771" t="s">
        <v>25</v>
      </c>
      <c r="K4771" s="3">
        <v>4576.67</v>
      </c>
      <c r="L4771" t="b">
        <f>TablaDatos[[#This Row],[FechaAlta]] &lt; TablaDatos[[#This Row],[FechaIngreso]]</f>
        <v>0</v>
      </c>
      <c r="M4771">
        <f>_xlfn.XLOOKUP(TablaDatos[[#This Row],[PacienteID]],'Datos_Ejemplo.csv'!A:A,'Datos_Ejemplo.csv'!I:I)</f>
        <v>34</v>
      </c>
      <c r="N4771">
        <f>ABS(TablaDatos[[#This Row],[DiasOriginal]])</f>
        <v>34</v>
      </c>
      <c r="O4771" s="1">
        <f>TablaDatos[[#This Row],[FechaIngreso]]+TablaDatos[[#This Row],[DiasNuevo]]</f>
        <v>45172</v>
      </c>
    </row>
    <row r="4772" spans="1:15">
      <c r="A4772">
        <v>4771</v>
      </c>
      <c r="B4772" t="s">
        <v>293</v>
      </c>
      <c r="C4772" s="1">
        <v>38352</v>
      </c>
      <c r="D4772">
        <v>21</v>
      </c>
      <c r="E4772" s="4" t="s">
        <v>12</v>
      </c>
      <c r="F4772" t="s">
        <v>21</v>
      </c>
      <c r="G4772" s="1">
        <v>45430</v>
      </c>
      <c r="H4772" s="1">
        <f>TablaDatos[[#This Row],[FechaIngreso]]+TablaDatos[[#This Row],[DiasNuevo]]</f>
        <v>45431</v>
      </c>
      <c r="I4772">
        <v>1</v>
      </c>
      <c r="J4772" t="s">
        <v>23</v>
      </c>
      <c r="K4772" s="3">
        <v>1806.28</v>
      </c>
      <c r="L4772" t="b">
        <f>TablaDatos[[#This Row],[FechaAlta]] &lt; TablaDatos[[#This Row],[FechaIngreso]]</f>
        <v>0</v>
      </c>
      <c r="M4772">
        <f>_xlfn.XLOOKUP(TablaDatos[[#This Row],[PacienteID]],'Datos_Ejemplo.csv'!A:A,'Datos_Ejemplo.csv'!I:I)</f>
        <v>-1</v>
      </c>
      <c r="N4772">
        <f>ABS(TablaDatos[[#This Row],[DiasOriginal]])</f>
        <v>1</v>
      </c>
      <c r="O4772" s="1">
        <f>TablaDatos[[#This Row],[FechaIngreso]]+TablaDatos[[#This Row],[DiasNuevo]]</f>
        <v>45431</v>
      </c>
    </row>
    <row r="4773" spans="1:15">
      <c r="A4773">
        <v>4772</v>
      </c>
      <c r="B4773" t="s">
        <v>290</v>
      </c>
      <c r="C4773" s="1">
        <v>34334</v>
      </c>
      <c r="D4773">
        <v>32</v>
      </c>
      <c r="E4773" s="4" t="s">
        <v>12</v>
      </c>
      <c r="F4773" t="s">
        <v>261</v>
      </c>
      <c r="G4773" s="1">
        <v>45421</v>
      </c>
      <c r="H4773" s="1">
        <f>TablaDatos[[#This Row],[FechaIngreso]]+TablaDatos[[#This Row],[DiasNuevo]]</f>
        <v>45435</v>
      </c>
      <c r="I4773">
        <v>14</v>
      </c>
      <c r="J4773" t="s">
        <v>19</v>
      </c>
      <c r="K4773" s="3">
        <v>19509.96</v>
      </c>
      <c r="L4773" t="b">
        <f>TablaDatos[[#This Row],[FechaAlta]] &lt; TablaDatos[[#This Row],[FechaIngreso]]</f>
        <v>0</v>
      </c>
      <c r="M4773">
        <f>_xlfn.XLOOKUP(TablaDatos[[#This Row],[PacienteID]],'Datos_Ejemplo.csv'!A:A,'Datos_Ejemplo.csv'!I:I)</f>
        <v>14</v>
      </c>
      <c r="N4773">
        <f>ABS(TablaDatos[[#This Row],[DiasOriginal]])</f>
        <v>14</v>
      </c>
      <c r="O4773" s="1">
        <f>TablaDatos[[#This Row],[FechaIngreso]]+TablaDatos[[#This Row],[DiasNuevo]]</f>
        <v>45435</v>
      </c>
    </row>
    <row r="4774" spans="1:15">
      <c r="A4774">
        <v>4773</v>
      </c>
      <c r="B4774" t="s">
        <v>130</v>
      </c>
      <c r="C4774" s="1">
        <v>35430</v>
      </c>
      <c r="D4774">
        <v>29</v>
      </c>
      <c r="E4774" s="4" t="s">
        <v>12</v>
      </c>
      <c r="F4774" t="s">
        <v>261</v>
      </c>
      <c r="G4774" s="1">
        <v>45597</v>
      </c>
      <c r="H4774" s="1">
        <f>TablaDatos[[#This Row],[FechaIngreso]]+TablaDatos[[#This Row],[DiasNuevo]]</f>
        <v>45607</v>
      </c>
      <c r="I4774">
        <v>10</v>
      </c>
      <c r="J4774" t="s">
        <v>23</v>
      </c>
      <c r="K4774" s="3">
        <v>8460.5300000000007</v>
      </c>
      <c r="L4774" t="b">
        <f>TablaDatos[[#This Row],[FechaAlta]] &lt; TablaDatos[[#This Row],[FechaIngreso]]</f>
        <v>0</v>
      </c>
      <c r="M4774">
        <f>_xlfn.XLOOKUP(TablaDatos[[#This Row],[PacienteID]],'Datos_Ejemplo.csv'!A:A,'Datos_Ejemplo.csv'!I:I)</f>
        <v>10</v>
      </c>
      <c r="N4774">
        <f>ABS(TablaDatos[[#This Row],[DiasOriginal]])</f>
        <v>10</v>
      </c>
      <c r="O4774" s="1">
        <f>TablaDatos[[#This Row],[FechaIngreso]]+TablaDatos[[#This Row],[DiasNuevo]]</f>
        <v>45607</v>
      </c>
    </row>
    <row r="4775" spans="1:15">
      <c r="A4775">
        <v>4774</v>
      </c>
      <c r="B4775" t="s">
        <v>305</v>
      </c>
      <c r="C4775" s="1">
        <v>16802</v>
      </c>
      <c r="D4775">
        <v>80</v>
      </c>
      <c r="E4775" s="4" t="s">
        <v>12</v>
      </c>
      <c r="F4775" t="s">
        <v>13</v>
      </c>
      <c r="G4775" s="1">
        <v>45159</v>
      </c>
      <c r="H4775" s="1">
        <f>TablaDatos[[#This Row],[FechaIngreso]]+TablaDatos[[#This Row],[DiasNuevo]]</f>
        <v>45170</v>
      </c>
      <c r="I4775">
        <v>11</v>
      </c>
      <c r="J4775" t="s">
        <v>19</v>
      </c>
      <c r="K4775" s="3">
        <v>-55.37</v>
      </c>
      <c r="L4775" t="b">
        <f>TablaDatos[[#This Row],[FechaAlta]] &lt; TablaDatos[[#This Row],[FechaIngreso]]</f>
        <v>0</v>
      </c>
      <c r="M4775">
        <f>_xlfn.XLOOKUP(TablaDatos[[#This Row],[PacienteID]],'Datos_Ejemplo.csv'!A:A,'Datos_Ejemplo.csv'!I:I)</f>
        <v>11</v>
      </c>
      <c r="N4775">
        <f>ABS(TablaDatos[[#This Row],[DiasOriginal]])</f>
        <v>11</v>
      </c>
      <c r="O4775" s="1">
        <f>TablaDatos[[#This Row],[FechaIngreso]]+TablaDatos[[#This Row],[DiasNuevo]]</f>
        <v>45170</v>
      </c>
    </row>
    <row r="4776" spans="1:15">
      <c r="A4776">
        <v>4775</v>
      </c>
      <c r="B4776" t="s">
        <v>114</v>
      </c>
      <c r="C4776" s="1">
        <v>34700</v>
      </c>
      <c r="D4776">
        <v>31</v>
      </c>
      <c r="E4776" s="4" t="s">
        <v>15</v>
      </c>
      <c r="F4776" t="s">
        <v>261</v>
      </c>
      <c r="G4776" s="1">
        <v>44997</v>
      </c>
      <c r="H4776" s="1">
        <f>TablaDatos[[#This Row],[FechaIngreso]]+TablaDatos[[#This Row],[DiasNuevo]]</f>
        <v>45035</v>
      </c>
      <c r="I4776">
        <v>38</v>
      </c>
      <c r="J4776" t="s">
        <v>19</v>
      </c>
      <c r="K4776" s="3">
        <v>9930.26</v>
      </c>
      <c r="L4776" t="b">
        <f>TablaDatos[[#This Row],[FechaAlta]] &lt; TablaDatos[[#This Row],[FechaIngreso]]</f>
        <v>0</v>
      </c>
      <c r="M4776">
        <f>_xlfn.XLOOKUP(TablaDatos[[#This Row],[PacienteID]],'Datos_Ejemplo.csv'!A:A,'Datos_Ejemplo.csv'!I:I)</f>
        <v>38</v>
      </c>
      <c r="N4776">
        <f>ABS(TablaDatos[[#This Row],[DiasOriginal]])</f>
        <v>38</v>
      </c>
      <c r="O4776" s="1">
        <f>TablaDatos[[#This Row],[FechaIngreso]]+TablaDatos[[#This Row],[DiasNuevo]]</f>
        <v>45035</v>
      </c>
    </row>
    <row r="4777" spans="1:15">
      <c r="A4777">
        <v>4776</v>
      </c>
      <c r="B4777" t="s">
        <v>360</v>
      </c>
      <c r="C4777" s="1">
        <v>31047</v>
      </c>
      <c r="D4777">
        <f ca="1">DATEDIF(TablaDatos[[#This Row],[FechaNacimiento]],TODAY(),"Y")</f>
        <v>41</v>
      </c>
      <c r="E4777" s="4" t="s">
        <v>12</v>
      </c>
      <c r="F4777" t="s">
        <v>295</v>
      </c>
      <c r="G4777" s="1">
        <v>45643</v>
      </c>
      <c r="H4777" s="1">
        <f>TablaDatos[[#This Row],[FechaIngreso]]+TablaDatos[[#This Row],[DiasNuevo]]</f>
        <v>45681</v>
      </c>
      <c r="I4777">
        <v>38</v>
      </c>
      <c r="J4777" t="s">
        <v>25</v>
      </c>
      <c r="K4777" s="3">
        <v>12347.94</v>
      </c>
      <c r="L4777" t="b">
        <f>TablaDatos[[#This Row],[FechaAlta]] &lt; TablaDatos[[#This Row],[FechaIngreso]]</f>
        <v>0</v>
      </c>
      <c r="M4777">
        <f>_xlfn.XLOOKUP(TablaDatos[[#This Row],[PacienteID]],'Datos_Ejemplo.csv'!A:A,'Datos_Ejemplo.csv'!I:I)</f>
        <v>38</v>
      </c>
      <c r="N4777">
        <f>ABS(TablaDatos[[#This Row],[DiasOriginal]])</f>
        <v>38</v>
      </c>
      <c r="O4777" s="1">
        <f>TablaDatos[[#This Row],[FechaIngreso]]+TablaDatos[[#This Row],[DiasNuevo]]</f>
        <v>45681</v>
      </c>
    </row>
    <row r="4778" spans="1:15">
      <c r="A4778">
        <v>4777</v>
      </c>
      <c r="B4778" t="s">
        <v>136</v>
      </c>
      <c r="C4778" s="1">
        <v>17898</v>
      </c>
      <c r="D4778">
        <v>77</v>
      </c>
      <c r="E4778" s="4" t="s">
        <v>15</v>
      </c>
      <c r="F4778" t="s">
        <v>261</v>
      </c>
      <c r="G4778" s="1">
        <v>45115</v>
      </c>
      <c r="H4778" s="1">
        <f>TablaDatos[[#This Row],[FechaIngreso]]+TablaDatos[[#This Row],[DiasNuevo]]</f>
        <v>45121</v>
      </c>
      <c r="I4778">
        <v>6</v>
      </c>
      <c r="J4778" t="s">
        <v>19</v>
      </c>
      <c r="K4778" s="3">
        <v>15499.37</v>
      </c>
      <c r="L4778" t="b">
        <f>TablaDatos[[#This Row],[FechaAlta]] &lt; TablaDatos[[#This Row],[FechaIngreso]]</f>
        <v>0</v>
      </c>
      <c r="M4778">
        <f>_xlfn.XLOOKUP(TablaDatos[[#This Row],[PacienteID]],'Datos_Ejemplo.csv'!A:A,'Datos_Ejemplo.csv'!I:I)</f>
        <v>6</v>
      </c>
      <c r="N4778">
        <f>ABS(TablaDatos[[#This Row],[DiasOriginal]])</f>
        <v>6</v>
      </c>
      <c r="O4778" s="1">
        <f>TablaDatos[[#This Row],[FechaIngreso]]+TablaDatos[[#This Row],[DiasNuevo]]</f>
        <v>45121</v>
      </c>
    </row>
    <row r="4779" spans="1:15">
      <c r="A4779">
        <v>4778</v>
      </c>
      <c r="B4779" t="s">
        <v>292</v>
      </c>
      <c r="C4779" s="1">
        <v>42735</v>
      </c>
      <c r="D4779">
        <v>9</v>
      </c>
      <c r="E4779" s="4" t="s">
        <v>12</v>
      </c>
      <c r="F4779" t="s">
        <v>32</v>
      </c>
      <c r="G4779" s="1">
        <v>45589</v>
      </c>
      <c r="H4779" s="1">
        <f>TablaDatos[[#This Row],[FechaIngreso]]+TablaDatos[[#This Row],[DiasNuevo]]</f>
        <v>45613</v>
      </c>
      <c r="I4779">
        <v>24</v>
      </c>
      <c r="J4779" t="s">
        <v>23</v>
      </c>
      <c r="K4779" s="3">
        <v>18853.14</v>
      </c>
      <c r="L4779" t="b">
        <f>TablaDatos[[#This Row],[FechaAlta]] &lt; TablaDatos[[#This Row],[FechaIngreso]]</f>
        <v>0</v>
      </c>
      <c r="M4779">
        <f>_xlfn.XLOOKUP(TablaDatos[[#This Row],[PacienteID]],'Datos_Ejemplo.csv'!A:A,'Datos_Ejemplo.csv'!I:I)</f>
        <v>24</v>
      </c>
      <c r="N4779">
        <f>ABS(TablaDatos[[#This Row],[DiasOriginal]])</f>
        <v>24</v>
      </c>
      <c r="O4779" s="1">
        <f>TablaDatos[[#This Row],[FechaIngreso]]+TablaDatos[[#This Row],[DiasNuevo]]</f>
        <v>45613</v>
      </c>
    </row>
    <row r="4780" spans="1:15">
      <c r="A4780">
        <v>4779</v>
      </c>
      <c r="B4780" t="s">
        <v>243</v>
      </c>
      <c r="C4780" s="1">
        <v>33239</v>
      </c>
      <c r="D4780">
        <v>35</v>
      </c>
      <c r="E4780" s="4" t="s">
        <v>12</v>
      </c>
      <c r="F4780" t="s">
        <v>18</v>
      </c>
      <c r="G4780" s="1">
        <v>44934</v>
      </c>
      <c r="H4780" s="1">
        <f>TablaDatos[[#This Row],[FechaIngreso]]+TablaDatos[[#This Row],[DiasNuevo]]</f>
        <v>44951</v>
      </c>
      <c r="I4780">
        <v>17</v>
      </c>
      <c r="J4780" t="s">
        <v>25</v>
      </c>
      <c r="K4780" s="3">
        <v>18294.93</v>
      </c>
      <c r="L4780" t="b">
        <f>TablaDatos[[#This Row],[FechaAlta]] &lt; TablaDatos[[#This Row],[FechaIngreso]]</f>
        <v>0</v>
      </c>
      <c r="M4780">
        <f>_xlfn.XLOOKUP(TablaDatos[[#This Row],[PacienteID]],'Datos_Ejemplo.csv'!A:A,'Datos_Ejemplo.csv'!I:I)</f>
        <v>17</v>
      </c>
      <c r="N4780">
        <f>ABS(TablaDatos[[#This Row],[DiasOriginal]])</f>
        <v>17</v>
      </c>
      <c r="O4780" s="1">
        <f>TablaDatos[[#This Row],[FechaIngreso]]+TablaDatos[[#This Row],[DiasNuevo]]</f>
        <v>44951</v>
      </c>
    </row>
    <row r="4781" spans="1:15">
      <c r="A4781">
        <v>4780</v>
      </c>
      <c r="B4781" t="s">
        <v>334</v>
      </c>
      <c r="C4781" s="1">
        <v>33969</v>
      </c>
      <c r="D4781">
        <v>33</v>
      </c>
      <c r="E4781" s="4" t="s">
        <v>15</v>
      </c>
      <c r="F4781" t="s">
        <v>32</v>
      </c>
      <c r="G4781" s="1">
        <v>45258</v>
      </c>
      <c r="H4781" s="1">
        <f>TablaDatos[[#This Row],[FechaIngreso]]+TablaDatos[[#This Row],[DiasNuevo]]</f>
        <v>45293</v>
      </c>
      <c r="I4781">
        <v>35</v>
      </c>
      <c r="J4781" t="s">
        <v>19</v>
      </c>
      <c r="K4781" s="3">
        <v>18796.73</v>
      </c>
      <c r="L4781" t="b">
        <f>TablaDatos[[#This Row],[FechaAlta]] &lt; TablaDatos[[#This Row],[FechaIngreso]]</f>
        <v>0</v>
      </c>
      <c r="M4781">
        <f>_xlfn.XLOOKUP(TablaDatos[[#This Row],[PacienteID]],'Datos_Ejemplo.csv'!A:A,'Datos_Ejemplo.csv'!I:I)</f>
        <v>35</v>
      </c>
      <c r="N4781">
        <f>ABS(TablaDatos[[#This Row],[DiasOriginal]])</f>
        <v>35</v>
      </c>
      <c r="O4781" s="1">
        <f>TablaDatos[[#This Row],[FechaIngreso]]+TablaDatos[[#This Row],[DiasNuevo]]</f>
        <v>45293</v>
      </c>
    </row>
    <row r="4782" spans="1:15">
      <c r="A4782">
        <v>4781</v>
      </c>
      <c r="B4782" t="s">
        <v>350</v>
      </c>
      <c r="C4782" s="1">
        <v>19724</v>
      </c>
      <c r="D4782">
        <v>72</v>
      </c>
      <c r="E4782" s="4" t="s">
        <v>12</v>
      </c>
      <c r="F4782" t="s">
        <v>201</v>
      </c>
      <c r="G4782" s="1">
        <v>45538</v>
      </c>
      <c r="H4782" s="1">
        <f>TablaDatos[[#This Row],[FechaIngreso]]+TablaDatos[[#This Row],[DiasNuevo]]</f>
        <v>45547</v>
      </c>
      <c r="I4782">
        <v>9</v>
      </c>
      <c r="J4782" t="s">
        <v>19</v>
      </c>
      <c r="K4782" s="3">
        <v>545.72</v>
      </c>
      <c r="L4782" t="b">
        <f>TablaDatos[[#This Row],[FechaAlta]] &lt; TablaDatos[[#This Row],[FechaIngreso]]</f>
        <v>0</v>
      </c>
      <c r="M4782">
        <f>_xlfn.XLOOKUP(TablaDatos[[#This Row],[PacienteID]],'Datos_Ejemplo.csv'!A:A,'Datos_Ejemplo.csv'!I:I)</f>
        <v>9</v>
      </c>
      <c r="N4782">
        <f>ABS(TablaDatos[[#This Row],[DiasOriginal]])</f>
        <v>9</v>
      </c>
      <c r="O4782" s="1">
        <f>TablaDatos[[#This Row],[FechaIngreso]]+TablaDatos[[#This Row],[DiasNuevo]]</f>
        <v>45547</v>
      </c>
    </row>
    <row r="4783" spans="1:15">
      <c r="A4783">
        <v>4782</v>
      </c>
      <c r="B4783" t="s">
        <v>304</v>
      </c>
      <c r="C4783" s="1">
        <v>36161</v>
      </c>
      <c r="D4783">
        <v>27</v>
      </c>
      <c r="E4783" s="4" t="s">
        <v>15</v>
      </c>
      <c r="F4783" t="s">
        <v>32</v>
      </c>
      <c r="G4783" s="1">
        <v>44942</v>
      </c>
      <c r="H4783" s="1">
        <f>TablaDatos[[#This Row],[FechaIngreso]]+TablaDatos[[#This Row],[DiasNuevo]]</f>
        <v>44981</v>
      </c>
      <c r="I4783">
        <v>39</v>
      </c>
      <c r="J4783" t="s">
        <v>23</v>
      </c>
      <c r="K4783" s="3">
        <v>14206.66</v>
      </c>
      <c r="L4783" t="b">
        <f>TablaDatos[[#This Row],[FechaAlta]] &lt; TablaDatos[[#This Row],[FechaIngreso]]</f>
        <v>0</v>
      </c>
      <c r="M4783">
        <f>_xlfn.XLOOKUP(TablaDatos[[#This Row],[PacienteID]],'Datos_Ejemplo.csv'!A:A,'Datos_Ejemplo.csv'!I:I)</f>
        <v>39</v>
      </c>
      <c r="N4783">
        <f>ABS(TablaDatos[[#This Row],[DiasOriginal]])</f>
        <v>39</v>
      </c>
      <c r="O4783" s="1">
        <f>TablaDatos[[#This Row],[FechaIngreso]]+TablaDatos[[#This Row],[DiasNuevo]]</f>
        <v>44981</v>
      </c>
    </row>
    <row r="4784" spans="1:15">
      <c r="A4784">
        <v>4783</v>
      </c>
      <c r="B4784" t="s">
        <v>114</v>
      </c>
      <c r="C4784" s="1">
        <v>42370</v>
      </c>
      <c r="D4784">
        <v>10</v>
      </c>
      <c r="E4784" s="4" t="s">
        <v>15</v>
      </c>
      <c r="F4784" t="s">
        <v>295</v>
      </c>
      <c r="G4784" s="1">
        <v>45592</v>
      </c>
      <c r="H4784" s="1">
        <f>TablaDatos[[#This Row],[FechaIngreso]]+TablaDatos[[#This Row],[DiasNuevo]]</f>
        <v>45611</v>
      </c>
      <c r="I4784">
        <v>19</v>
      </c>
      <c r="J4784" t="s">
        <v>25</v>
      </c>
      <c r="K4784" s="3">
        <v>4439.75</v>
      </c>
      <c r="L4784" t="b">
        <f>TablaDatos[[#This Row],[FechaAlta]] &lt; TablaDatos[[#This Row],[FechaIngreso]]</f>
        <v>0</v>
      </c>
      <c r="M4784">
        <f>_xlfn.XLOOKUP(TablaDatos[[#This Row],[PacienteID]],'Datos_Ejemplo.csv'!A:A,'Datos_Ejemplo.csv'!I:I)</f>
        <v>19</v>
      </c>
      <c r="N4784">
        <f>ABS(TablaDatos[[#This Row],[DiasOriginal]])</f>
        <v>19</v>
      </c>
      <c r="O4784" s="1">
        <f>TablaDatos[[#This Row],[FechaIngreso]]+TablaDatos[[#This Row],[DiasNuevo]]</f>
        <v>45611</v>
      </c>
    </row>
    <row r="4785" spans="1:15">
      <c r="A4785">
        <v>4784</v>
      </c>
      <c r="B4785" t="s">
        <v>294</v>
      </c>
      <c r="C4785" s="1">
        <v>17898</v>
      </c>
      <c r="D4785">
        <v>77</v>
      </c>
      <c r="E4785" s="4" t="s">
        <v>15</v>
      </c>
      <c r="F4785" t="s">
        <v>295</v>
      </c>
      <c r="G4785" s="1">
        <v>45595</v>
      </c>
      <c r="H4785" s="1">
        <f>TablaDatos[[#This Row],[FechaIngreso]]+TablaDatos[[#This Row],[DiasNuevo]]</f>
        <v>45629</v>
      </c>
      <c r="I4785">
        <v>34</v>
      </c>
      <c r="J4785" t="s">
        <v>23</v>
      </c>
      <c r="K4785" s="3">
        <v>3669.81</v>
      </c>
      <c r="L4785" t="b">
        <f>TablaDatos[[#This Row],[FechaAlta]] &lt; TablaDatos[[#This Row],[FechaIngreso]]</f>
        <v>0</v>
      </c>
      <c r="M4785">
        <f>_xlfn.XLOOKUP(TablaDatos[[#This Row],[PacienteID]],'Datos_Ejemplo.csv'!A:A,'Datos_Ejemplo.csv'!I:I)</f>
        <v>34</v>
      </c>
      <c r="N4785">
        <f>ABS(TablaDatos[[#This Row],[DiasOriginal]])</f>
        <v>34</v>
      </c>
      <c r="O4785" s="1">
        <f>TablaDatos[[#This Row],[FechaIngreso]]+TablaDatos[[#This Row],[DiasNuevo]]</f>
        <v>45629</v>
      </c>
    </row>
    <row r="4786" spans="1:15">
      <c r="A4786">
        <v>4785</v>
      </c>
      <c r="B4786" t="s">
        <v>255</v>
      </c>
      <c r="C4786" s="1">
        <v>32143</v>
      </c>
      <c r="D4786">
        <v>38</v>
      </c>
      <c r="E4786" s="4" t="s">
        <v>15</v>
      </c>
      <c r="F4786" t="s">
        <v>13</v>
      </c>
      <c r="G4786" s="1">
        <v>45019</v>
      </c>
      <c r="H4786" s="1">
        <f>TablaDatos[[#This Row],[FechaIngreso]]+TablaDatos[[#This Row],[DiasNuevo]]</f>
        <v>45055</v>
      </c>
      <c r="I4786">
        <v>36</v>
      </c>
      <c r="J4786" t="s">
        <v>19</v>
      </c>
      <c r="K4786" s="3">
        <v>15986.4</v>
      </c>
      <c r="L4786" t="b">
        <f>TablaDatos[[#This Row],[FechaAlta]] &lt; TablaDatos[[#This Row],[FechaIngreso]]</f>
        <v>0</v>
      </c>
      <c r="M4786">
        <f>_xlfn.XLOOKUP(TablaDatos[[#This Row],[PacienteID]],'Datos_Ejemplo.csv'!A:A,'Datos_Ejemplo.csv'!I:I)</f>
        <v>36</v>
      </c>
      <c r="N4786">
        <f>ABS(TablaDatos[[#This Row],[DiasOriginal]])</f>
        <v>36</v>
      </c>
      <c r="O4786" s="1">
        <f>TablaDatos[[#This Row],[FechaIngreso]]+TablaDatos[[#This Row],[DiasNuevo]]</f>
        <v>45055</v>
      </c>
    </row>
    <row r="4787" spans="1:15">
      <c r="A4787">
        <v>4786</v>
      </c>
      <c r="B4787" t="s">
        <v>130</v>
      </c>
      <c r="C4787" s="1">
        <v>29221</v>
      </c>
      <c r="D4787">
        <v>46</v>
      </c>
      <c r="E4787" s="4" t="s">
        <v>15</v>
      </c>
      <c r="F4787" t="s">
        <v>261</v>
      </c>
      <c r="G4787" s="1">
        <v>45188</v>
      </c>
      <c r="H4787" s="1">
        <f>TablaDatos[[#This Row],[FechaIngreso]]+TablaDatos[[#This Row],[DiasNuevo]]</f>
        <v>45216</v>
      </c>
      <c r="I4787">
        <v>28</v>
      </c>
      <c r="J4787" t="s">
        <v>23</v>
      </c>
      <c r="K4787" s="3">
        <v>8284.31</v>
      </c>
      <c r="L4787" t="b">
        <f>TablaDatos[[#This Row],[FechaAlta]] &lt; TablaDatos[[#This Row],[FechaIngreso]]</f>
        <v>0</v>
      </c>
      <c r="M4787">
        <f>_xlfn.XLOOKUP(TablaDatos[[#This Row],[PacienteID]],'Datos_Ejemplo.csv'!A:A,'Datos_Ejemplo.csv'!I:I)</f>
        <v>28</v>
      </c>
      <c r="N4787">
        <f>ABS(TablaDatos[[#This Row],[DiasOriginal]])</f>
        <v>28</v>
      </c>
      <c r="O4787" s="1">
        <f>TablaDatos[[#This Row],[FechaIngreso]]+TablaDatos[[#This Row],[DiasNuevo]]</f>
        <v>45216</v>
      </c>
    </row>
    <row r="4788" spans="1:15">
      <c r="A4788">
        <v>4787</v>
      </c>
      <c r="B4788" t="s">
        <v>352</v>
      </c>
      <c r="C4788" s="1">
        <v>39448</v>
      </c>
      <c r="D4788">
        <v>18</v>
      </c>
      <c r="E4788" s="4" t="s">
        <v>15</v>
      </c>
      <c r="F4788" t="s">
        <v>13</v>
      </c>
      <c r="G4788" s="1">
        <v>45475</v>
      </c>
      <c r="H4788" s="1">
        <f>TablaDatos[[#This Row],[FechaIngreso]]+TablaDatos[[#This Row],[DiasNuevo]]</f>
        <v>45485</v>
      </c>
      <c r="I4788">
        <v>10</v>
      </c>
      <c r="J4788" t="s">
        <v>23</v>
      </c>
      <c r="K4788" s="3">
        <v>18323.66</v>
      </c>
      <c r="L4788" t="b">
        <f>TablaDatos[[#This Row],[FechaAlta]] &lt; TablaDatos[[#This Row],[FechaIngreso]]</f>
        <v>0</v>
      </c>
      <c r="M4788">
        <f>_xlfn.XLOOKUP(TablaDatos[[#This Row],[PacienteID]],'Datos_Ejemplo.csv'!A:A,'Datos_Ejemplo.csv'!I:I)</f>
        <v>10</v>
      </c>
      <c r="N4788">
        <f>ABS(TablaDatos[[#This Row],[DiasOriginal]])</f>
        <v>10</v>
      </c>
      <c r="O4788" s="1">
        <f>TablaDatos[[#This Row],[FechaIngreso]]+TablaDatos[[#This Row],[DiasNuevo]]</f>
        <v>45485</v>
      </c>
    </row>
    <row r="4789" spans="1:15">
      <c r="A4789">
        <v>4788</v>
      </c>
      <c r="B4789" t="s">
        <v>254</v>
      </c>
      <c r="C4789" s="1">
        <v>40909</v>
      </c>
      <c r="D4789">
        <v>14</v>
      </c>
      <c r="E4789" s="4" t="s">
        <v>12</v>
      </c>
      <c r="F4789" t="s">
        <v>295</v>
      </c>
      <c r="G4789" s="1">
        <v>45087</v>
      </c>
      <c r="H4789" s="1">
        <f>TablaDatos[[#This Row],[FechaIngreso]]+TablaDatos[[#This Row],[DiasNuevo]]</f>
        <v>45089</v>
      </c>
      <c r="I4789">
        <v>2</v>
      </c>
      <c r="J4789" t="s">
        <v>23</v>
      </c>
      <c r="K4789" s="3">
        <v>752.95</v>
      </c>
      <c r="L4789" t="b">
        <f>TablaDatos[[#This Row],[FechaAlta]] &lt; TablaDatos[[#This Row],[FechaIngreso]]</f>
        <v>0</v>
      </c>
      <c r="M4789">
        <f>_xlfn.XLOOKUP(TablaDatos[[#This Row],[PacienteID]],'Datos_Ejemplo.csv'!A:A,'Datos_Ejemplo.csv'!I:I)</f>
        <v>-2</v>
      </c>
      <c r="N4789">
        <f>ABS(TablaDatos[[#This Row],[DiasOriginal]])</f>
        <v>2</v>
      </c>
      <c r="O4789" s="1">
        <f>TablaDatos[[#This Row],[FechaIngreso]]+TablaDatos[[#This Row],[DiasNuevo]]</f>
        <v>45089</v>
      </c>
    </row>
    <row r="4790" spans="1:15">
      <c r="A4790">
        <v>4789</v>
      </c>
      <c r="B4790" t="s">
        <v>151</v>
      </c>
      <c r="C4790" s="1">
        <v>36161</v>
      </c>
      <c r="D4790">
        <f ca="1">DATEDIF(TablaDatos[[#This Row],[FechaNacimiento]],TODAY(),"Y")</f>
        <v>27</v>
      </c>
      <c r="E4790" s="4" t="s">
        <v>12</v>
      </c>
      <c r="F4790" t="s">
        <v>261</v>
      </c>
      <c r="G4790" s="1">
        <v>45277</v>
      </c>
      <c r="H4790" s="1">
        <f>TablaDatos[[#This Row],[FechaIngreso]]+TablaDatos[[#This Row],[DiasNuevo]]</f>
        <v>45312</v>
      </c>
      <c r="I4790">
        <v>35</v>
      </c>
      <c r="J4790" t="s">
        <v>19</v>
      </c>
      <c r="K4790" s="3">
        <v>16023.83</v>
      </c>
      <c r="L4790" t="b">
        <f>TablaDatos[[#This Row],[FechaAlta]] &lt; TablaDatos[[#This Row],[FechaIngreso]]</f>
        <v>0</v>
      </c>
      <c r="M4790">
        <f>_xlfn.XLOOKUP(TablaDatos[[#This Row],[PacienteID]],'Datos_Ejemplo.csv'!A:A,'Datos_Ejemplo.csv'!I:I)</f>
        <v>35</v>
      </c>
      <c r="N4790">
        <f>ABS(TablaDatos[[#This Row],[DiasOriginal]])</f>
        <v>35</v>
      </c>
      <c r="O4790" s="1">
        <f>TablaDatos[[#This Row],[FechaIngreso]]+TablaDatos[[#This Row],[DiasNuevo]]</f>
        <v>45312</v>
      </c>
    </row>
    <row r="4791" spans="1:15">
      <c r="A4791">
        <v>4790</v>
      </c>
      <c r="B4791" t="s">
        <v>248</v>
      </c>
      <c r="C4791" s="1">
        <v>37622</v>
      </c>
      <c r="D4791">
        <v>23</v>
      </c>
      <c r="E4791" s="4" t="s">
        <v>12</v>
      </c>
      <c r="F4791" t="s">
        <v>295</v>
      </c>
      <c r="G4791" s="1">
        <v>45100</v>
      </c>
      <c r="H4791" s="1">
        <f>TablaDatos[[#This Row],[FechaIngreso]]+TablaDatos[[#This Row],[DiasNuevo]]</f>
        <v>45137</v>
      </c>
      <c r="I4791">
        <v>37</v>
      </c>
      <c r="J4791" t="s">
        <v>23</v>
      </c>
      <c r="K4791" s="3">
        <v>2650.37</v>
      </c>
      <c r="L4791" t="b">
        <f>TablaDatos[[#This Row],[FechaAlta]] &lt; TablaDatos[[#This Row],[FechaIngreso]]</f>
        <v>0</v>
      </c>
      <c r="M4791">
        <f>_xlfn.XLOOKUP(TablaDatos[[#This Row],[PacienteID]],'Datos_Ejemplo.csv'!A:A,'Datos_Ejemplo.csv'!I:I)</f>
        <v>37</v>
      </c>
      <c r="N4791">
        <f>ABS(TablaDatos[[#This Row],[DiasOriginal]])</f>
        <v>37</v>
      </c>
      <c r="O4791" s="1">
        <f>TablaDatos[[#This Row],[FechaIngreso]]+TablaDatos[[#This Row],[DiasNuevo]]</f>
        <v>45137</v>
      </c>
    </row>
    <row r="4792" spans="1:15">
      <c r="A4792">
        <v>4791</v>
      </c>
      <c r="B4792" t="s">
        <v>304</v>
      </c>
      <c r="C4792" s="1">
        <v>20090</v>
      </c>
      <c r="D4792">
        <v>71</v>
      </c>
      <c r="E4792" s="4" t="s">
        <v>15</v>
      </c>
      <c r="F4792" t="s">
        <v>295</v>
      </c>
      <c r="G4792" s="1">
        <v>45243</v>
      </c>
      <c r="H4792" s="1">
        <f>TablaDatos[[#This Row],[FechaIngreso]]+TablaDatos[[#This Row],[DiasNuevo]]</f>
        <v>45249</v>
      </c>
      <c r="I4792">
        <v>6</v>
      </c>
      <c r="J4792" t="s">
        <v>23</v>
      </c>
      <c r="K4792" s="3">
        <v>3449.2</v>
      </c>
      <c r="L4792" t="b">
        <f>TablaDatos[[#This Row],[FechaAlta]] &lt; TablaDatos[[#This Row],[FechaIngreso]]</f>
        <v>0</v>
      </c>
      <c r="M4792">
        <f>_xlfn.XLOOKUP(TablaDatos[[#This Row],[PacienteID]],'Datos_Ejemplo.csv'!A:A,'Datos_Ejemplo.csv'!I:I)</f>
        <v>6</v>
      </c>
      <c r="N4792">
        <f>ABS(TablaDatos[[#This Row],[DiasOriginal]])</f>
        <v>6</v>
      </c>
      <c r="O4792" s="1">
        <f>TablaDatos[[#This Row],[FechaIngreso]]+TablaDatos[[#This Row],[DiasNuevo]]</f>
        <v>45249</v>
      </c>
    </row>
    <row r="4793" spans="1:15">
      <c r="A4793">
        <v>4792</v>
      </c>
      <c r="B4793" t="s">
        <v>151</v>
      </c>
      <c r="C4793" s="1">
        <v>43100</v>
      </c>
      <c r="D4793">
        <v>8</v>
      </c>
      <c r="E4793" s="4" t="s">
        <v>12</v>
      </c>
      <c r="F4793" t="s">
        <v>18</v>
      </c>
      <c r="G4793" s="1">
        <v>44944</v>
      </c>
      <c r="H4793" s="1">
        <f>TablaDatos[[#This Row],[FechaIngreso]]+TablaDatos[[#This Row],[DiasNuevo]]</f>
        <v>44980</v>
      </c>
      <c r="I4793">
        <v>36</v>
      </c>
      <c r="J4793" t="s">
        <v>25</v>
      </c>
      <c r="K4793" s="3">
        <v>9494.77</v>
      </c>
      <c r="L4793" t="b">
        <f>TablaDatos[[#This Row],[FechaAlta]] &lt; TablaDatos[[#This Row],[FechaIngreso]]</f>
        <v>0</v>
      </c>
      <c r="M4793">
        <f>_xlfn.XLOOKUP(TablaDatos[[#This Row],[PacienteID]],'Datos_Ejemplo.csv'!A:A,'Datos_Ejemplo.csv'!I:I)</f>
        <v>36</v>
      </c>
      <c r="N4793">
        <f>ABS(TablaDatos[[#This Row],[DiasOriginal]])</f>
        <v>36</v>
      </c>
      <c r="O4793" s="1">
        <f>TablaDatos[[#This Row],[FechaIngreso]]+TablaDatos[[#This Row],[DiasNuevo]]</f>
        <v>44980</v>
      </c>
    </row>
    <row r="4794" spans="1:15">
      <c r="A4794">
        <v>4793</v>
      </c>
      <c r="B4794" t="s">
        <v>136</v>
      </c>
      <c r="C4794" s="1">
        <v>29221</v>
      </c>
      <c r="D4794">
        <v>46</v>
      </c>
      <c r="E4794" s="4" t="s">
        <v>12</v>
      </c>
      <c r="F4794" t="s">
        <v>32</v>
      </c>
      <c r="G4794" s="1">
        <v>45412</v>
      </c>
      <c r="H4794" s="1">
        <f>TablaDatos[[#This Row],[FechaIngreso]]+TablaDatos[[#This Row],[DiasNuevo]]</f>
        <v>45419</v>
      </c>
      <c r="I4794">
        <v>7</v>
      </c>
      <c r="J4794" t="s">
        <v>23</v>
      </c>
      <c r="K4794" s="3">
        <v>7851.36</v>
      </c>
      <c r="L4794" t="b">
        <f>TablaDatos[[#This Row],[FechaAlta]] &lt; TablaDatos[[#This Row],[FechaIngreso]]</f>
        <v>0</v>
      </c>
      <c r="M4794">
        <f>_xlfn.XLOOKUP(TablaDatos[[#This Row],[PacienteID]],'Datos_Ejemplo.csv'!A:A,'Datos_Ejemplo.csv'!I:I)</f>
        <v>7</v>
      </c>
      <c r="N4794">
        <f>ABS(TablaDatos[[#This Row],[DiasOriginal]])</f>
        <v>7</v>
      </c>
      <c r="O4794" s="1">
        <f>TablaDatos[[#This Row],[FechaIngreso]]+TablaDatos[[#This Row],[DiasNuevo]]</f>
        <v>45419</v>
      </c>
    </row>
    <row r="4795" spans="1:15">
      <c r="A4795">
        <v>4794</v>
      </c>
      <c r="B4795" t="s">
        <v>349</v>
      </c>
      <c r="C4795" s="1">
        <v>34334</v>
      </c>
      <c r="D4795">
        <v>32</v>
      </c>
      <c r="E4795" s="4" t="s">
        <v>15</v>
      </c>
      <c r="F4795" t="s">
        <v>13</v>
      </c>
      <c r="G4795" s="1">
        <v>45293</v>
      </c>
      <c r="H4795" s="1">
        <f>TablaDatos[[#This Row],[FechaIngreso]]+TablaDatos[[#This Row],[DiasNuevo]]</f>
        <v>45319</v>
      </c>
      <c r="I4795">
        <v>26</v>
      </c>
      <c r="J4795" t="s">
        <v>23</v>
      </c>
      <c r="K4795" s="3">
        <v>9672.06</v>
      </c>
      <c r="L4795" t="b">
        <f>TablaDatos[[#This Row],[FechaAlta]] &lt; TablaDatos[[#This Row],[FechaIngreso]]</f>
        <v>0</v>
      </c>
      <c r="M4795">
        <f>_xlfn.XLOOKUP(TablaDatos[[#This Row],[PacienteID]],'Datos_Ejemplo.csv'!A:A,'Datos_Ejemplo.csv'!I:I)</f>
        <v>26</v>
      </c>
      <c r="N4795">
        <f>ABS(TablaDatos[[#This Row],[DiasOriginal]])</f>
        <v>26</v>
      </c>
      <c r="O4795" s="1">
        <f>TablaDatos[[#This Row],[FechaIngreso]]+TablaDatos[[#This Row],[DiasNuevo]]</f>
        <v>45319</v>
      </c>
    </row>
    <row r="4796" spans="1:15">
      <c r="A4796">
        <v>4795</v>
      </c>
      <c r="B4796" t="s">
        <v>341</v>
      </c>
      <c r="C4796" s="1">
        <v>23742</v>
      </c>
      <c r="D4796">
        <v>61</v>
      </c>
      <c r="E4796" s="4" t="s">
        <v>12</v>
      </c>
      <c r="F4796" t="s">
        <v>13</v>
      </c>
      <c r="G4796" s="1">
        <v>45277</v>
      </c>
      <c r="H4796" s="1">
        <f>TablaDatos[[#This Row],[FechaIngreso]]+TablaDatos[[#This Row],[DiasNuevo]]</f>
        <v>45314</v>
      </c>
      <c r="I4796">
        <v>37</v>
      </c>
      <c r="J4796" t="s">
        <v>25</v>
      </c>
      <c r="K4796" s="3">
        <v>18794.53</v>
      </c>
      <c r="L4796" t="b">
        <f>TablaDatos[[#This Row],[FechaAlta]] &lt; TablaDatos[[#This Row],[FechaIngreso]]</f>
        <v>0</v>
      </c>
      <c r="M4796">
        <f>_xlfn.XLOOKUP(TablaDatos[[#This Row],[PacienteID]],'Datos_Ejemplo.csv'!A:A,'Datos_Ejemplo.csv'!I:I)</f>
        <v>37</v>
      </c>
      <c r="N4796">
        <f>ABS(TablaDatos[[#This Row],[DiasOriginal]])</f>
        <v>37</v>
      </c>
      <c r="O4796" s="1">
        <f>TablaDatos[[#This Row],[FechaIngreso]]+TablaDatos[[#This Row],[DiasNuevo]]</f>
        <v>45314</v>
      </c>
    </row>
    <row r="4797" spans="1:15">
      <c r="A4797">
        <v>4796</v>
      </c>
      <c r="B4797" t="s">
        <v>305</v>
      </c>
      <c r="C4797" s="1">
        <v>39448</v>
      </c>
      <c r="D4797">
        <v>18</v>
      </c>
      <c r="E4797" s="4" t="s">
        <v>15</v>
      </c>
      <c r="F4797" t="s">
        <v>21</v>
      </c>
      <c r="G4797" s="1">
        <v>45454</v>
      </c>
      <c r="H4797" s="1">
        <f>TablaDatos[[#This Row],[FechaIngreso]]+TablaDatos[[#This Row],[DiasNuevo]]</f>
        <v>45481</v>
      </c>
      <c r="I4797">
        <v>27</v>
      </c>
      <c r="J4797" t="s">
        <v>23</v>
      </c>
      <c r="K4797" s="3">
        <v>13113.52</v>
      </c>
      <c r="L4797" t="b">
        <f>TablaDatos[[#This Row],[FechaAlta]] &lt; TablaDatos[[#This Row],[FechaIngreso]]</f>
        <v>0</v>
      </c>
      <c r="M4797">
        <f>_xlfn.XLOOKUP(TablaDatos[[#This Row],[PacienteID]],'Datos_Ejemplo.csv'!A:A,'Datos_Ejemplo.csv'!I:I)</f>
        <v>27</v>
      </c>
      <c r="N4797">
        <f>ABS(TablaDatos[[#This Row],[DiasOriginal]])</f>
        <v>27</v>
      </c>
      <c r="O4797" s="1">
        <f>TablaDatos[[#This Row],[FechaIngreso]]+TablaDatos[[#This Row],[DiasNuevo]]</f>
        <v>45481</v>
      </c>
    </row>
    <row r="4798" spans="1:15">
      <c r="A4798">
        <v>4797</v>
      </c>
      <c r="B4798" t="s">
        <v>346</v>
      </c>
      <c r="C4798" s="1">
        <v>21916</v>
      </c>
      <c r="D4798">
        <v>66</v>
      </c>
      <c r="E4798" s="4" t="s">
        <v>12</v>
      </c>
      <c r="F4798" t="s">
        <v>201</v>
      </c>
      <c r="G4798" s="1">
        <v>45361</v>
      </c>
      <c r="H4798" s="1">
        <f>TablaDatos[[#This Row],[FechaIngreso]]+TablaDatos[[#This Row],[DiasNuevo]]</f>
        <v>45362</v>
      </c>
      <c r="I4798">
        <v>1</v>
      </c>
      <c r="J4798" t="s">
        <v>23</v>
      </c>
      <c r="K4798" s="3">
        <v>5735.22</v>
      </c>
      <c r="L4798" t="b">
        <f>TablaDatos[[#This Row],[FechaAlta]] &lt; TablaDatos[[#This Row],[FechaIngreso]]</f>
        <v>0</v>
      </c>
      <c r="M4798">
        <f>_xlfn.XLOOKUP(TablaDatos[[#This Row],[PacienteID]],'Datos_Ejemplo.csv'!A:A,'Datos_Ejemplo.csv'!I:I)</f>
        <v>-1</v>
      </c>
      <c r="N4798">
        <f>ABS(TablaDatos[[#This Row],[DiasOriginal]])</f>
        <v>1</v>
      </c>
      <c r="O4798" s="1">
        <f>TablaDatos[[#This Row],[FechaIngreso]]+TablaDatos[[#This Row],[DiasNuevo]]</f>
        <v>45362</v>
      </c>
    </row>
    <row r="4799" spans="1:15">
      <c r="A4799">
        <v>4798</v>
      </c>
      <c r="B4799" t="s">
        <v>242</v>
      </c>
      <c r="C4799" s="1">
        <v>19359</v>
      </c>
      <c r="D4799">
        <v>73</v>
      </c>
      <c r="E4799" s="4" t="s">
        <v>15</v>
      </c>
      <c r="F4799" t="s">
        <v>18</v>
      </c>
      <c r="G4799" s="1">
        <v>45196</v>
      </c>
      <c r="H4799" s="1">
        <f>TablaDatos[[#This Row],[FechaIngreso]]+TablaDatos[[#This Row],[DiasNuevo]]</f>
        <v>45211</v>
      </c>
      <c r="I4799">
        <v>15</v>
      </c>
      <c r="J4799" t="s">
        <v>23</v>
      </c>
      <c r="K4799" s="3">
        <v>3375.47</v>
      </c>
      <c r="L4799" t="b">
        <f>TablaDatos[[#This Row],[FechaAlta]] &lt; TablaDatos[[#This Row],[FechaIngreso]]</f>
        <v>0</v>
      </c>
      <c r="M4799">
        <f>_xlfn.XLOOKUP(TablaDatos[[#This Row],[PacienteID]],'Datos_Ejemplo.csv'!A:A,'Datos_Ejemplo.csv'!I:I)</f>
        <v>15</v>
      </c>
      <c r="N4799">
        <f>ABS(TablaDatos[[#This Row],[DiasOriginal]])</f>
        <v>15</v>
      </c>
      <c r="O4799" s="1">
        <f>TablaDatos[[#This Row],[FechaIngreso]]+TablaDatos[[#This Row],[DiasNuevo]]</f>
        <v>45211</v>
      </c>
    </row>
    <row r="4800" spans="1:15">
      <c r="A4800">
        <v>4799</v>
      </c>
      <c r="B4800" t="s">
        <v>299</v>
      </c>
      <c r="C4800" s="1">
        <v>31778</v>
      </c>
      <c r="D4800">
        <v>39</v>
      </c>
      <c r="E4800" s="4" t="s">
        <v>15</v>
      </c>
      <c r="F4800" t="s">
        <v>295</v>
      </c>
      <c r="G4800" s="1">
        <v>44994</v>
      </c>
      <c r="H4800" s="1">
        <f>TablaDatos[[#This Row],[FechaIngreso]]+TablaDatos[[#This Row],[DiasNuevo]]</f>
        <v>45019</v>
      </c>
      <c r="I4800">
        <v>25</v>
      </c>
      <c r="J4800" t="s">
        <v>23</v>
      </c>
      <c r="K4800" s="3">
        <v>8342.93</v>
      </c>
      <c r="L4800" t="b">
        <f>TablaDatos[[#This Row],[FechaAlta]] &lt; TablaDatos[[#This Row],[FechaIngreso]]</f>
        <v>0</v>
      </c>
      <c r="M4800">
        <f>_xlfn.XLOOKUP(TablaDatos[[#This Row],[PacienteID]],'Datos_Ejemplo.csv'!A:A,'Datos_Ejemplo.csv'!I:I)</f>
        <v>25</v>
      </c>
      <c r="N4800">
        <f>ABS(TablaDatos[[#This Row],[DiasOriginal]])</f>
        <v>25</v>
      </c>
      <c r="O4800" s="1">
        <f>TablaDatos[[#This Row],[FechaIngreso]]+TablaDatos[[#This Row],[DiasNuevo]]</f>
        <v>45019</v>
      </c>
    </row>
    <row r="4801" spans="1:15">
      <c r="A4801">
        <v>4800</v>
      </c>
      <c r="B4801" t="s">
        <v>102</v>
      </c>
      <c r="C4801" s="1">
        <v>29221</v>
      </c>
      <c r="D4801">
        <v>46</v>
      </c>
      <c r="E4801" s="4" t="s">
        <v>12</v>
      </c>
      <c r="F4801" t="s">
        <v>295</v>
      </c>
      <c r="G4801" s="1">
        <v>44956</v>
      </c>
      <c r="H4801" s="1">
        <f>TablaDatos[[#This Row],[FechaIngreso]]+TablaDatos[[#This Row],[DiasNuevo]]</f>
        <v>44985</v>
      </c>
      <c r="I4801">
        <v>29</v>
      </c>
      <c r="J4801" t="s">
        <v>25</v>
      </c>
      <c r="K4801" s="3">
        <v>8977.98</v>
      </c>
      <c r="L4801" t="b">
        <f>TablaDatos[[#This Row],[FechaAlta]] &lt; TablaDatos[[#This Row],[FechaIngreso]]</f>
        <v>0</v>
      </c>
      <c r="M4801">
        <f>_xlfn.XLOOKUP(TablaDatos[[#This Row],[PacienteID]],'Datos_Ejemplo.csv'!A:A,'Datos_Ejemplo.csv'!I:I)</f>
        <v>29</v>
      </c>
      <c r="N4801">
        <f>ABS(TablaDatos[[#This Row],[DiasOriginal]])</f>
        <v>29</v>
      </c>
      <c r="O4801" s="1">
        <f>TablaDatos[[#This Row],[FechaIngreso]]+TablaDatos[[#This Row],[DiasNuevo]]</f>
        <v>44985</v>
      </c>
    </row>
    <row r="4802" spans="1:15">
      <c r="A4802">
        <v>4801</v>
      </c>
      <c r="B4802" t="s">
        <v>279</v>
      </c>
      <c r="C4802" s="1">
        <v>22646</v>
      </c>
      <c r="D4802">
        <v>64</v>
      </c>
      <c r="E4802" s="4" t="s">
        <v>15</v>
      </c>
      <c r="F4802" t="s">
        <v>18</v>
      </c>
      <c r="G4802" s="1">
        <v>45242</v>
      </c>
      <c r="H4802" s="1">
        <f>TablaDatos[[#This Row],[FechaIngreso]]+TablaDatos[[#This Row],[DiasNuevo]]</f>
        <v>45263</v>
      </c>
      <c r="I4802">
        <v>21</v>
      </c>
      <c r="J4802" t="s">
        <v>19</v>
      </c>
      <c r="K4802" s="3">
        <v>11986.02</v>
      </c>
      <c r="L4802" t="b">
        <f>TablaDatos[[#This Row],[FechaAlta]] &lt; TablaDatos[[#This Row],[FechaIngreso]]</f>
        <v>0</v>
      </c>
      <c r="M4802">
        <f>_xlfn.XLOOKUP(TablaDatos[[#This Row],[PacienteID]],'Datos_Ejemplo.csv'!A:A,'Datos_Ejemplo.csv'!I:I)</f>
        <v>21</v>
      </c>
      <c r="N4802">
        <f>ABS(TablaDatos[[#This Row],[DiasOriginal]])</f>
        <v>21</v>
      </c>
      <c r="O4802" s="1">
        <f>TablaDatos[[#This Row],[FechaIngreso]]+TablaDatos[[#This Row],[DiasNuevo]]</f>
        <v>45263</v>
      </c>
    </row>
    <row r="4803" spans="1:15">
      <c r="A4803">
        <v>4802</v>
      </c>
      <c r="B4803" t="s">
        <v>66</v>
      </c>
      <c r="C4803" s="1">
        <f ca="1">DATE(YEAR(TODAY())-TablaDatos[[#This Row],[Edad]],1,1)</f>
        <v>35796</v>
      </c>
      <c r="D4803">
        <v>28</v>
      </c>
      <c r="E4803" s="4" t="s">
        <v>15</v>
      </c>
      <c r="F4803" t="s">
        <v>261</v>
      </c>
      <c r="G4803" s="1">
        <v>45090</v>
      </c>
      <c r="H4803" s="1">
        <f>TablaDatos[[#This Row],[FechaIngreso]]+TablaDatos[[#This Row],[DiasNuevo]]</f>
        <v>45125</v>
      </c>
      <c r="I4803">
        <v>35</v>
      </c>
      <c r="J4803" t="s">
        <v>19</v>
      </c>
      <c r="K4803" s="3">
        <v>5246.65</v>
      </c>
      <c r="L4803" t="b">
        <f>TablaDatos[[#This Row],[FechaAlta]] &lt; TablaDatos[[#This Row],[FechaIngreso]]</f>
        <v>0</v>
      </c>
      <c r="M4803">
        <f>_xlfn.XLOOKUP(TablaDatos[[#This Row],[PacienteID]],'Datos_Ejemplo.csv'!A:A,'Datos_Ejemplo.csv'!I:I)</f>
        <v>35</v>
      </c>
      <c r="N4803">
        <f>ABS(TablaDatos[[#This Row],[DiasOriginal]])</f>
        <v>35</v>
      </c>
      <c r="O4803" s="1">
        <f>TablaDatos[[#This Row],[FechaIngreso]]+TablaDatos[[#This Row],[DiasNuevo]]</f>
        <v>45125</v>
      </c>
    </row>
    <row r="4804" spans="1:15">
      <c r="A4804">
        <v>4803</v>
      </c>
      <c r="B4804" t="s">
        <v>146</v>
      </c>
      <c r="C4804" s="1">
        <v>28125</v>
      </c>
      <c r="D4804">
        <v>49</v>
      </c>
      <c r="E4804" s="4" t="s">
        <v>12</v>
      </c>
      <c r="F4804" t="s">
        <v>13</v>
      </c>
      <c r="G4804" s="1">
        <v>45246</v>
      </c>
      <c r="H4804" s="1">
        <f>TablaDatos[[#This Row],[FechaIngreso]]+TablaDatos[[#This Row],[DiasNuevo]]</f>
        <v>45257</v>
      </c>
      <c r="I4804">
        <v>11</v>
      </c>
      <c r="J4804" t="s">
        <v>19</v>
      </c>
      <c r="K4804" s="3">
        <v>15326.94</v>
      </c>
      <c r="L4804" t="b">
        <f>TablaDatos[[#This Row],[FechaAlta]] &lt; TablaDatos[[#This Row],[FechaIngreso]]</f>
        <v>0</v>
      </c>
      <c r="M4804">
        <f>_xlfn.XLOOKUP(TablaDatos[[#This Row],[PacienteID]],'Datos_Ejemplo.csv'!A:A,'Datos_Ejemplo.csv'!I:I)</f>
        <v>11</v>
      </c>
      <c r="N4804">
        <f>ABS(TablaDatos[[#This Row],[DiasOriginal]])</f>
        <v>11</v>
      </c>
      <c r="O4804" s="1">
        <f>TablaDatos[[#This Row],[FechaIngreso]]+TablaDatos[[#This Row],[DiasNuevo]]</f>
        <v>45257</v>
      </c>
    </row>
    <row r="4805" spans="1:15">
      <c r="A4805">
        <v>4804</v>
      </c>
      <c r="B4805" t="s">
        <v>116</v>
      </c>
      <c r="C4805" s="1">
        <v>41639</v>
      </c>
      <c r="D4805">
        <v>12</v>
      </c>
      <c r="E4805" s="4" t="s">
        <v>12</v>
      </c>
      <c r="F4805" t="s">
        <v>295</v>
      </c>
      <c r="G4805" s="1">
        <v>44940</v>
      </c>
      <c r="H4805" s="1">
        <f>TablaDatos[[#This Row],[FechaIngreso]]+TablaDatos[[#This Row],[DiasNuevo]]</f>
        <v>44962</v>
      </c>
      <c r="I4805">
        <v>22</v>
      </c>
      <c r="J4805" t="s">
        <v>19</v>
      </c>
      <c r="K4805" s="3">
        <v>1879.05</v>
      </c>
      <c r="L4805" t="b">
        <f>TablaDatos[[#This Row],[FechaAlta]] &lt; TablaDatos[[#This Row],[FechaIngreso]]</f>
        <v>0</v>
      </c>
      <c r="M4805">
        <f>_xlfn.XLOOKUP(TablaDatos[[#This Row],[PacienteID]],'Datos_Ejemplo.csv'!A:A,'Datos_Ejemplo.csv'!I:I)</f>
        <v>22</v>
      </c>
      <c r="N4805">
        <f>ABS(TablaDatos[[#This Row],[DiasOriginal]])</f>
        <v>22</v>
      </c>
      <c r="O4805" s="1">
        <f>TablaDatos[[#This Row],[FechaIngreso]]+TablaDatos[[#This Row],[DiasNuevo]]</f>
        <v>44962</v>
      </c>
    </row>
    <row r="4806" spans="1:15">
      <c r="A4806">
        <v>4805</v>
      </c>
      <c r="B4806" t="s">
        <v>116</v>
      </c>
      <c r="C4806" s="1">
        <v>46022</v>
      </c>
      <c r="D4806">
        <v>0</v>
      </c>
      <c r="E4806" s="4" t="s">
        <v>12</v>
      </c>
      <c r="F4806" t="s">
        <v>201</v>
      </c>
      <c r="G4806" s="1">
        <v>45205</v>
      </c>
      <c r="H4806" s="1">
        <f>TablaDatos[[#This Row],[FechaIngreso]]+TablaDatos[[#This Row],[DiasNuevo]]</f>
        <v>45227</v>
      </c>
      <c r="I4806">
        <v>22</v>
      </c>
      <c r="J4806" t="s">
        <v>23</v>
      </c>
      <c r="K4806" s="3">
        <v>11165.11</v>
      </c>
      <c r="L4806" t="b">
        <f>TablaDatos[[#This Row],[FechaAlta]] &lt; TablaDatos[[#This Row],[FechaIngreso]]</f>
        <v>0</v>
      </c>
      <c r="M4806">
        <f>_xlfn.XLOOKUP(TablaDatos[[#This Row],[PacienteID]],'Datos_Ejemplo.csv'!A:A,'Datos_Ejemplo.csv'!I:I)</f>
        <v>22</v>
      </c>
      <c r="N4806">
        <f>ABS(TablaDatos[[#This Row],[DiasOriginal]])</f>
        <v>22</v>
      </c>
      <c r="O4806" s="1">
        <f>TablaDatos[[#This Row],[FechaIngreso]]+TablaDatos[[#This Row],[DiasNuevo]]</f>
        <v>45227</v>
      </c>
    </row>
    <row r="4807" spans="1:15">
      <c r="A4807">
        <v>4806</v>
      </c>
      <c r="B4807" t="s">
        <v>237</v>
      </c>
      <c r="C4807" s="1">
        <v>33969</v>
      </c>
      <c r="D4807">
        <v>33</v>
      </c>
      <c r="E4807" s="4" t="s">
        <v>15</v>
      </c>
      <c r="F4807" t="s">
        <v>21</v>
      </c>
      <c r="G4807" s="1">
        <v>45358</v>
      </c>
      <c r="H4807" s="1">
        <f>TablaDatos[[#This Row],[FechaIngreso]]+TablaDatos[[#This Row],[DiasNuevo]]</f>
        <v>45387</v>
      </c>
      <c r="I4807">
        <v>29</v>
      </c>
      <c r="J4807" t="s">
        <v>19</v>
      </c>
      <c r="K4807" s="3">
        <v>12432.99</v>
      </c>
      <c r="L4807" t="b">
        <f>TablaDatos[[#This Row],[FechaAlta]] &lt; TablaDatos[[#This Row],[FechaIngreso]]</f>
        <v>0</v>
      </c>
      <c r="M4807">
        <f>_xlfn.XLOOKUP(TablaDatos[[#This Row],[PacienteID]],'Datos_Ejemplo.csv'!A:A,'Datos_Ejemplo.csv'!I:I)</f>
        <v>29</v>
      </c>
      <c r="N4807">
        <f>ABS(TablaDatos[[#This Row],[DiasOriginal]])</f>
        <v>29</v>
      </c>
      <c r="O4807" s="1">
        <f>TablaDatos[[#This Row],[FechaIngreso]]+TablaDatos[[#This Row],[DiasNuevo]]</f>
        <v>45387</v>
      </c>
    </row>
    <row r="4808" spans="1:15">
      <c r="A4808">
        <v>4807</v>
      </c>
      <c r="B4808" t="s">
        <v>353</v>
      </c>
      <c r="C4808" s="1">
        <v>12419</v>
      </c>
      <c r="D4808">
        <v>92</v>
      </c>
      <c r="E4808" s="4" t="s">
        <v>15</v>
      </c>
      <c r="F4808" t="s">
        <v>13</v>
      </c>
      <c r="G4808" s="1">
        <v>45594</v>
      </c>
      <c r="H4808" s="1">
        <f>TablaDatos[[#This Row],[FechaIngreso]]+TablaDatos[[#This Row],[DiasNuevo]]</f>
        <v>45618</v>
      </c>
      <c r="I4808">
        <v>24</v>
      </c>
      <c r="J4808" t="s">
        <v>23</v>
      </c>
      <c r="K4808" s="3">
        <v>4057.31</v>
      </c>
      <c r="L4808" t="b">
        <f>TablaDatos[[#This Row],[FechaAlta]] &lt; TablaDatos[[#This Row],[FechaIngreso]]</f>
        <v>0</v>
      </c>
      <c r="M4808">
        <f>_xlfn.XLOOKUP(TablaDatos[[#This Row],[PacienteID]],'Datos_Ejemplo.csv'!A:A,'Datos_Ejemplo.csv'!I:I)</f>
        <v>24</v>
      </c>
      <c r="N4808">
        <f>ABS(TablaDatos[[#This Row],[DiasOriginal]])</f>
        <v>24</v>
      </c>
      <c r="O4808" s="1">
        <f>TablaDatos[[#This Row],[FechaIngreso]]+TablaDatos[[#This Row],[DiasNuevo]]</f>
        <v>45618</v>
      </c>
    </row>
    <row r="4809" spans="1:15">
      <c r="A4809">
        <v>4808</v>
      </c>
      <c r="B4809" t="s">
        <v>367</v>
      </c>
      <c r="C4809" s="1">
        <v>28856</v>
      </c>
      <c r="D4809">
        <v>47</v>
      </c>
      <c r="E4809" s="4" t="s">
        <v>12</v>
      </c>
      <c r="F4809" t="s">
        <v>32</v>
      </c>
      <c r="G4809" s="1">
        <v>45560</v>
      </c>
      <c r="H4809" s="1">
        <f>TablaDatos[[#This Row],[FechaIngreso]]+TablaDatos[[#This Row],[DiasNuevo]]</f>
        <v>45589</v>
      </c>
      <c r="I4809">
        <v>29</v>
      </c>
      <c r="J4809" t="s">
        <v>23</v>
      </c>
      <c r="K4809" s="3">
        <v>16502.830000000002</v>
      </c>
      <c r="L4809" t="b">
        <f>TablaDatos[[#This Row],[FechaAlta]] &lt; TablaDatos[[#This Row],[FechaIngreso]]</f>
        <v>0</v>
      </c>
      <c r="M4809">
        <f>_xlfn.XLOOKUP(TablaDatos[[#This Row],[PacienteID]],'Datos_Ejemplo.csv'!A:A,'Datos_Ejemplo.csv'!I:I)</f>
        <v>29</v>
      </c>
      <c r="N4809">
        <f>ABS(TablaDatos[[#This Row],[DiasOriginal]])</f>
        <v>29</v>
      </c>
      <c r="O4809" s="1">
        <f>TablaDatos[[#This Row],[FechaIngreso]]+TablaDatos[[#This Row],[DiasNuevo]]</f>
        <v>45589</v>
      </c>
    </row>
    <row r="4810" spans="1:15">
      <c r="A4810">
        <v>4809</v>
      </c>
      <c r="B4810" t="s">
        <v>311</v>
      </c>
      <c r="C4810" s="1">
        <v>18263</v>
      </c>
      <c r="D4810">
        <v>76</v>
      </c>
      <c r="E4810" s="4" t="s">
        <v>15</v>
      </c>
      <c r="F4810" t="s">
        <v>201</v>
      </c>
      <c r="G4810" s="1">
        <v>45189</v>
      </c>
      <c r="H4810" s="1">
        <f>TablaDatos[[#This Row],[FechaIngreso]]+TablaDatos[[#This Row],[DiasNuevo]]</f>
        <v>45217</v>
      </c>
      <c r="I4810">
        <v>28</v>
      </c>
      <c r="J4810" t="s">
        <v>19</v>
      </c>
      <c r="K4810" s="3">
        <v>12270.19</v>
      </c>
      <c r="L4810" t="b">
        <f>TablaDatos[[#This Row],[FechaAlta]] &lt; TablaDatos[[#This Row],[FechaIngreso]]</f>
        <v>0</v>
      </c>
      <c r="M4810">
        <f>_xlfn.XLOOKUP(TablaDatos[[#This Row],[PacienteID]],'Datos_Ejemplo.csv'!A:A,'Datos_Ejemplo.csv'!I:I)</f>
        <v>28</v>
      </c>
      <c r="N4810">
        <f>ABS(TablaDatos[[#This Row],[DiasOriginal]])</f>
        <v>28</v>
      </c>
      <c r="O4810" s="1">
        <f>TablaDatos[[#This Row],[FechaIngreso]]+TablaDatos[[#This Row],[DiasNuevo]]</f>
        <v>45217</v>
      </c>
    </row>
    <row r="4811" spans="1:15">
      <c r="A4811">
        <v>4810</v>
      </c>
      <c r="B4811" t="s">
        <v>55</v>
      </c>
      <c r="C4811" s="1">
        <v>28856</v>
      </c>
      <c r="D4811">
        <v>47</v>
      </c>
      <c r="E4811" s="4" t="s">
        <v>15</v>
      </c>
      <c r="F4811" t="s">
        <v>18</v>
      </c>
      <c r="G4811" s="1">
        <v>45608</v>
      </c>
      <c r="H4811" s="1">
        <f>TablaDatos[[#This Row],[FechaIngreso]]+TablaDatos[[#This Row],[DiasNuevo]]</f>
        <v>45629</v>
      </c>
      <c r="I4811">
        <v>21</v>
      </c>
      <c r="J4811" t="s">
        <v>19</v>
      </c>
      <c r="K4811" s="3">
        <v>12879.02</v>
      </c>
      <c r="L4811" t="b">
        <f>TablaDatos[[#This Row],[FechaAlta]] &lt; TablaDatos[[#This Row],[FechaIngreso]]</f>
        <v>0</v>
      </c>
      <c r="M4811">
        <f>_xlfn.XLOOKUP(TablaDatos[[#This Row],[PacienteID]],'Datos_Ejemplo.csv'!A:A,'Datos_Ejemplo.csv'!I:I)</f>
        <v>21</v>
      </c>
      <c r="N4811">
        <f>ABS(TablaDatos[[#This Row],[DiasOriginal]])</f>
        <v>21</v>
      </c>
      <c r="O4811" s="1">
        <f>TablaDatos[[#This Row],[FechaIngreso]]+TablaDatos[[#This Row],[DiasNuevo]]</f>
        <v>45629</v>
      </c>
    </row>
    <row r="4812" spans="1:15">
      <c r="A4812">
        <v>4811</v>
      </c>
      <c r="B4812" t="s">
        <v>310</v>
      </c>
      <c r="C4812" s="1">
        <v>28490</v>
      </c>
      <c r="D4812">
        <v>48</v>
      </c>
      <c r="E4812" s="4" t="s">
        <v>12</v>
      </c>
      <c r="F4812" t="s">
        <v>13</v>
      </c>
      <c r="G4812" s="1">
        <v>45448</v>
      </c>
      <c r="H4812" s="1">
        <f>TablaDatos[[#This Row],[FechaIngreso]]+TablaDatos[[#This Row],[DiasNuevo]]</f>
        <v>45480</v>
      </c>
      <c r="I4812">
        <v>32</v>
      </c>
      <c r="J4812" t="s">
        <v>19</v>
      </c>
      <c r="K4812" s="3">
        <v>9904.64</v>
      </c>
      <c r="L4812" t="b">
        <f>TablaDatos[[#This Row],[FechaAlta]] &lt; TablaDatos[[#This Row],[FechaIngreso]]</f>
        <v>0</v>
      </c>
      <c r="M4812">
        <f>_xlfn.XLOOKUP(TablaDatos[[#This Row],[PacienteID]],'Datos_Ejemplo.csv'!A:A,'Datos_Ejemplo.csv'!I:I)</f>
        <v>32</v>
      </c>
      <c r="N4812">
        <f>ABS(TablaDatos[[#This Row],[DiasOriginal]])</f>
        <v>32</v>
      </c>
      <c r="O4812" s="1">
        <f>TablaDatos[[#This Row],[FechaIngreso]]+TablaDatos[[#This Row],[DiasNuevo]]</f>
        <v>45480</v>
      </c>
    </row>
    <row r="4813" spans="1:15">
      <c r="A4813">
        <v>4812</v>
      </c>
      <c r="B4813" t="s">
        <v>336</v>
      </c>
      <c r="C4813" s="1">
        <v>23012</v>
      </c>
      <c r="D4813">
        <v>63</v>
      </c>
      <c r="E4813" s="4" t="s">
        <v>15</v>
      </c>
      <c r="F4813" t="s">
        <v>32</v>
      </c>
      <c r="G4813" s="1">
        <v>45098</v>
      </c>
      <c r="H4813" s="1">
        <f>TablaDatos[[#This Row],[FechaIngreso]]+TablaDatos[[#This Row],[DiasNuevo]]</f>
        <v>45125</v>
      </c>
      <c r="I4813">
        <v>27</v>
      </c>
      <c r="J4813" t="s">
        <v>23</v>
      </c>
      <c r="K4813" s="3">
        <v>18182.84</v>
      </c>
      <c r="L4813" t="b">
        <f>TablaDatos[[#This Row],[FechaAlta]] &lt; TablaDatos[[#This Row],[FechaIngreso]]</f>
        <v>0</v>
      </c>
      <c r="M4813">
        <f>_xlfn.XLOOKUP(TablaDatos[[#This Row],[PacienteID]],'Datos_Ejemplo.csv'!A:A,'Datos_Ejemplo.csv'!I:I)</f>
        <v>27</v>
      </c>
      <c r="N4813">
        <f>ABS(TablaDatos[[#This Row],[DiasOriginal]])</f>
        <v>27</v>
      </c>
      <c r="O4813" s="1">
        <f>TablaDatos[[#This Row],[FechaIngreso]]+TablaDatos[[#This Row],[DiasNuevo]]</f>
        <v>45125</v>
      </c>
    </row>
    <row r="4814" spans="1:15">
      <c r="A4814">
        <v>4813</v>
      </c>
      <c r="B4814" t="s">
        <v>333</v>
      </c>
      <c r="C4814" s="1">
        <v>24107</v>
      </c>
      <c r="D4814">
        <v>60</v>
      </c>
      <c r="E4814" s="4" t="s">
        <v>15</v>
      </c>
      <c r="F4814" t="s">
        <v>21</v>
      </c>
      <c r="G4814" s="1">
        <v>45284</v>
      </c>
      <c r="H4814" s="1">
        <f>TablaDatos[[#This Row],[FechaIngreso]]+TablaDatos[[#This Row],[DiasNuevo]]</f>
        <v>45314</v>
      </c>
      <c r="I4814">
        <v>30</v>
      </c>
      <c r="J4814" t="s">
        <v>23</v>
      </c>
      <c r="K4814" s="3">
        <v>13847.94</v>
      </c>
      <c r="L4814" t="b">
        <f>TablaDatos[[#This Row],[FechaAlta]] &lt; TablaDatos[[#This Row],[FechaIngreso]]</f>
        <v>0</v>
      </c>
      <c r="M4814">
        <f>_xlfn.XLOOKUP(TablaDatos[[#This Row],[PacienteID]],'Datos_Ejemplo.csv'!A:A,'Datos_Ejemplo.csv'!I:I)</f>
        <v>30</v>
      </c>
      <c r="N4814">
        <f>ABS(TablaDatos[[#This Row],[DiasOriginal]])</f>
        <v>30</v>
      </c>
      <c r="O4814" s="1">
        <f>TablaDatos[[#This Row],[FechaIngreso]]+TablaDatos[[#This Row],[DiasNuevo]]</f>
        <v>45314</v>
      </c>
    </row>
    <row r="4815" spans="1:15">
      <c r="A4815">
        <v>4814</v>
      </c>
      <c r="B4815" t="s">
        <v>105</v>
      </c>
      <c r="C4815" s="1">
        <v>35795</v>
      </c>
      <c r="D4815">
        <v>28</v>
      </c>
      <c r="E4815" s="4" t="s">
        <v>15</v>
      </c>
      <c r="F4815" t="s">
        <v>261</v>
      </c>
      <c r="G4815" s="1">
        <v>44939</v>
      </c>
      <c r="H4815" s="1">
        <f>TablaDatos[[#This Row],[FechaIngreso]]+TablaDatos[[#This Row],[DiasNuevo]]</f>
        <v>44969</v>
      </c>
      <c r="I4815">
        <v>30</v>
      </c>
      <c r="J4815" t="s">
        <v>25</v>
      </c>
      <c r="K4815" s="3">
        <v>7574.89</v>
      </c>
      <c r="L4815" t="b">
        <f>TablaDatos[[#This Row],[FechaAlta]] &lt; TablaDatos[[#This Row],[FechaIngreso]]</f>
        <v>0</v>
      </c>
      <c r="M4815">
        <f>_xlfn.XLOOKUP(TablaDatos[[#This Row],[PacienteID]],'Datos_Ejemplo.csv'!A:A,'Datos_Ejemplo.csv'!I:I)</f>
        <v>30</v>
      </c>
      <c r="N4815">
        <f>ABS(TablaDatos[[#This Row],[DiasOriginal]])</f>
        <v>30</v>
      </c>
      <c r="O4815" s="1">
        <f>TablaDatos[[#This Row],[FechaIngreso]]+TablaDatos[[#This Row],[DiasNuevo]]</f>
        <v>44969</v>
      </c>
    </row>
    <row r="4816" spans="1:15">
      <c r="A4816">
        <v>4815</v>
      </c>
      <c r="B4816" t="s">
        <v>335</v>
      </c>
      <c r="C4816" s="1">
        <v>32143</v>
      </c>
      <c r="D4816">
        <f ca="1">DATEDIF(TablaDatos[[#This Row],[FechaNacimiento]],TODAY(),"Y")</f>
        <v>38</v>
      </c>
      <c r="E4816" s="4" t="s">
        <v>15</v>
      </c>
      <c r="F4816" t="s">
        <v>18</v>
      </c>
      <c r="G4816" s="1">
        <v>45651</v>
      </c>
      <c r="H4816" s="1">
        <f>TablaDatos[[#This Row],[FechaIngreso]]+TablaDatos[[#This Row],[DiasNuevo]]</f>
        <v>45675</v>
      </c>
      <c r="I4816">
        <v>24</v>
      </c>
      <c r="J4816" t="s">
        <v>23</v>
      </c>
      <c r="K4816" s="3">
        <v>4695.9799999999996</v>
      </c>
      <c r="L4816" t="b">
        <f>TablaDatos[[#This Row],[FechaAlta]] &lt; TablaDatos[[#This Row],[FechaIngreso]]</f>
        <v>0</v>
      </c>
      <c r="M4816">
        <f>_xlfn.XLOOKUP(TablaDatos[[#This Row],[PacienteID]],'Datos_Ejemplo.csv'!A:A,'Datos_Ejemplo.csv'!I:I)</f>
        <v>24</v>
      </c>
      <c r="N4816">
        <f>ABS(TablaDatos[[#This Row],[DiasOriginal]])</f>
        <v>24</v>
      </c>
      <c r="O4816" s="1">
        <f>TablaDatos[[#This Row],[FechaIngreso]]+TablaDatos[[#This Row],[DiasNuevo]]</f>
        <v>45675</v>
      </c>
    </row>
    <row r="4817" spans="1:15">
      <c r="A4817">
        <v>4816</v>
      </c>
      <c r="B4817" t="s">
        <v>254</v>
      </c>
      <c r="C4817" s="1">
        <v>14246</v>
      </c>
      <c r="D4817">
        <v>87</v>
      </c>
      <c r="E4817" s="4" t="s">
        <v>15</v>
      </c>
      <c r="F4817" t="s">
        <v>261</v>
      </c>
      <c r="G4817" s="1">
        <v>45599</v>
      </c>
      <c r="H4817" s="1">
        <f>TablaDatos[[#This Row],[FechaIngreso]]+TablaDatos[[#This Row],[DiasNuevo]]</f>
        <v>45629</v>
      </c>
      <c r="I4817">
        <v>30</v>
      </c>
      <c r="J4817" t="s">
        <v>19</v>
      </c>
      <c r="K4817" s="3">
        <v>1328.34</v>
      </c>
      <c r="L4817" t="b">
        <f>TablaDatos[[#This Row],[FechaAlta]] &lt; TablaDatos[[#This Row],[FechaIngreso]]</f>
        <v>0</v>
      </c>
      <c r="M4817">
        <f>_xlfn.XLOOKUP(TablaDatos[[#This Row],[PacienteID]],'Datos_Ejemplo.csv'!A:A,'Datos_Ejemplo.csv'!I:I)</f>
        <v>30</v>
      </c>
      <c r="N4817">
        <f>ABS(TablaDatos[[#This Row],[DiasOriginal]])</f>
        <v>30</v>
      </c>
      <c r="O4817" s="1">
        <f>TablaDatos[[#This Row],[FechaIngreso]]+TablaDatos[[#This Row],[DiasNuevo]]</f>
        <v>45629</v>
      </c>
    </row>
    <row r="4818" spans="1:15">
      <c r="A4818">
        <v>4817</v>
      </c>
      <c r="B4818" t="s">
        <v>66</v>
      </c>
      <c r="C4818" s="1">
        <v>36891</v>
      </c>
      <c r="D4818">
        <v>25</v>
      </c>
      <c r="E4818" s="4" t="s">
        <v>15</v>
      </c>
      <c r="F4818" t="s">
        <v>201</v>
      </c>
      <c r="G4818" s="1">
        <v>45158</v>
      </c>
      <c r="H4818" s="1">
        <f>TablaDatos[[#This Row],[FechaIngreso]]+TablaDatos[[#This Row],[DiasNuevo]]</f>
        <v>45188</v>
      </c>
      <c r="I4818">
        <v>30</v>
      </c>
      <c r="J4818" t="s">
        <v>23</v>
      </c>
      <c r="K4818" s="3">
        <v>3223.75</v>
      </c>
      <c r="L4818" t="b">
        <f>TablaDatos[[#This Row],[FechaAlta]] &lt; TablaDatos[[#This Row],[FechaIngreso]]</f>
        <v>0</v>
      </c>
      <c r="M4818">
        <f>_xlfn.XLOOKUP(TablaDatos[[#This Row],[PacienteID]],'Datos_Ejemplo.csv'!A:A,'Datos_Ejemplo.csv'!I:I)</f>
        <v>30</v>
      </c>
      <c r="N4818">
        <f>ABS(TablaDatos[[#This Row],[DiasOriginal]])</f>
        <v>30</v>
      </c>
      <c r="O4818" s="1">
        <f>TablaDatos[[#This Row],[FechaIngreso]]+TablaDatos[[#This Row],[DiasNuevo]]</f>
        <v>45188</v>
      </c>
    </row>
    <row r="4819" spans="1:15">
      <c r="A4819">
        <v>4818</v>
      </c>
      <c r="B4819" t="s">
        <v>272</v>
      </c>
      <c r="C4819" s="1">
        <v>40178</v>
      </c>
      <c r="D4819">
        <v>16</v>
      </c>
      <c r="E4819" s="4" t="s">
        <v>15</v>
      </c>
      <c r="F4819" t="s">
        <v>295</v>
      </c>
      <c r="G4819" s="1">
        <v>45402</v>
      </c>
      <c r="H4819" s="1">
        <f>TablaDatos[[#This Row],[FechaIngreso]]+TablaDatos[[#This Row],[DiasNuevo]]</f>
        <v>45403</v>
      </c>
      <c r="I4819">
        <v>1</v>
      </c>
      <c r="J4819" t="s">
        <v>25</v>
      </c>
      <c r="K4819" s="3">
        <v>19852.93</v>
      </c>
      <c r="L4819" t="b">
        <f>TablaDatos[[#This Row],[FechaAlta]] &lt; TablaDatos[[#This Row],[FechaIngreso]]</f>
        <v>0</v>
      </c>
      <c r="M4819">
        <f>_xlfn.XLOOKUP(TablaDatos[[#This Row],[PacienteID]],'Datos_Ejemplo.csv'!A:A,'Datos_Ejemplo.csv'!I:I)</f>
        <v>1</v>
      </c>
      <c r="N4819">
        <f>ABS(TablaDatos[[#This Row],[DiasOriginal]])</f>
        <v>1</v>
      </c>
      <c r="O4819" s="1">
        <f>TablaDatos[[#This Row],[FechaIngreso]]+TablaDatos[[#This Row],[DiasNuevo]]</f>
        <v>45403</v>
      </c>
    </row>
    <row r="4820" spans="1:15">
      <c r="A4820">
        <v>4819</v>
      </c>
      <c r="B4820" t="s">
        <v>49</v>
      </c>
      <c r="C4820" s="1">
        <v>20455</v>
      </c>
      <c r="D4820">
        <v>70</v>
      </c>
      <c r="E4820" s="4" t="s">
        <v>12</v>
      </c>
      <c r="F4820" t="s">
        <v>261</v>
      </c>
      <c r="G4820" s="1">
        <v>45397</v>
      </c>
      <c r="H4820" s="1">
        <f>TablaDatos[[#This Row],[FechaIngreso]]+TablaDatos[[#This Row],[DiasNuevo]]</f>
        <v>45424</v>
      </c>
      <c r="I4820">
        <v>27</v>
      </c>
      <c r="J4820" t="s">
        <v>23</v>
      </c>
      <c r="K4820" s="3">
        <v>8076.01</v>
      </c>
      <c r="L4820" t="b">
        <f>TablaDatos[[#This Row],[FechaAlta]] &lt; TablaDatos[[#This Row],[FechaIngreso]]</f>
        <v>0</v>
      </c>
      <c r="M4820">
        <f>_xlfn.XLOOKUP(TablaDatos[[#This Row],[PacienteID]],'Datos_Ejemplo.csv'!A:A,'Datos_Ejemplo.csv'!I:I)</f>
        <v>27</v>
      </c>
      <c r="N4820">
        <f>ABS(TablaDatos[[#This Row],[DiasOriginal]])</f>
        <v>27</v>
      </c>
      <c r="O4820" s="1">
        <f>TablaDatos[[#This Row],[FechaIngreso]]+TablaDatos[[#This Row],[DiasNuevo]]</f>
        <v>45424</v>
      </c>
    </row>
    <row r="4821" spans="1:15">
      <c r="A4821">
        <v>4820</v>
      </c>
      <c r="B4821" t="s">
        <v>294</v>
      </c>
      <c r="C4821" s="1">
        <v>41639</v>
      </c>
      <c r="D4821">
        <v>12</v>
      </c>
      <c r="E4821" s="4" t="s">
        <v>12</v>
      </c>
      <c r="F4821" t="s">
        <v>295</v>
      </c>
      <c r="G4821" s="1">
        <v>45086</v>
      </c>
      <c r="H4821" s="1">
        <f>TablaDatos[[#This Row],[FechaIngreso]]+TablaDatos[[#This Row],[DiasNuevo]]</f>
        <v>45098</v>
      </c>
      <c r="I4821">
        <v>12</v>
      </c>
      <c r="J4821" t="s">
        <v>23</v>
      </c>
      <c r="K4821" s="3">
        <v>17963.61</v>
      </c>
      <c r="L4821" t="b">
        <f>TablaDatos[[#This Row],[FechaAlta]] &lt; TablaDatos[[#This Row],[FechaIngreso]]</f>
        <v>0</v>
      </c>
      <c r="M4821">
        <f>_xlfn.XLOOKUP(TablaDatos[[#This Row],[PacienteID]],'Datos_Ejemplo.csv'!A:A,'Datos_Ejemplo.csv'!I:I)</f>
        <v>12</v>
      </c>
      <c r="N4821">
        <f>ABS(TablaDatos[[#This Row],[DiasOriginal]])</f>
        <v>12</v>
      </c>
      <c r="O4821" s="1">
        <f>TablaDatos[[#This Row],[FechaIngreso]]+TablaDatos[[#This Row],[DiasNuevo]]</f>
        <v>45098</v>
      </c>
    </row>
    <row r="4822" spans="1:15">
      <c r="A4822">
        <v>4821</v>
      </c>
      <c r="B4822" t="s">
        <v>287</v>
      </c>
      <c r="C4822" s="1">
        <v>21185</v>
      </c>
      <c r="D4822">
        <v>68</v>
      </c>
      <c r="E4822" s="4" t="s">
        <v>15</v>
      </c>
      <c r="F4822" t="s">
        <v>201</v>
      </c>
      <c r="G4822" s="1">
        <v>45565</v>
      </c>
      <c r="H4822" s="1">
        <f>TablaDatos[[#This Row],[FechaIngreso]]+TablaDatos[[#This Row],[DiasNuevo]]</f>
        <v>45591</v>
      </c>
      <c r="I4822">
        <v>26</v>
      </c>
      <c r="J4822" t="s">
        <v>23</v>
      </c>
      <c r="K4822" s="3">
        <v>3328.44</v>
      </c>
      <c r="L4822" t="b">
        <f>TablaDatos[[#This Row],[FechaAlta]] &lt; TablaDatos[[#This Row],[FechaIngreso]]</f>
        <v>0</v>
      </c>
      <c r="M4822">
        <f>_xlfn.XLOOKUP(TablaDatos[[#This Row],[PacienteID]],'Datos_Ejemplo.csv'!A:A,'Datos_Ejemplo.csv'!I:I)</f>
        <v>26</v>
      </c>
      <c r="N4822">
        <f>ABS(TablaDatos[[#This Row],[DiasOriginal]])</f>
        <v>26</v>
      </c>
      <c r="O4822" s="1">
        <f>TablaDatos[[#This Row],[FechaIngreso]]+TablaDatos[[#This Row],[DiasNuevo]]</f>
        <v>45591</v>
      </c>
    </row>
    <row r="4823" spans="1:15">
      <c r="A4823">
        <v>4822</v>
      </c>
      <c r="B4823" t="s">
        <v>259</v>
      </c>
      <c r="C4823" s="1">
        <v>36891</v>
      </c>
      <c r="D4823">
        <v>25</v>
      </c>
      <c r="E4823" s="4" t="s">
        <v>12</v>
      </c>
      <c r="F4823" t="s">
        <v>32</v>
      </c>
      <c r="G4823" s="1">
        <v>45486</v>
      </c>
      <c r="H4823" s="1">
        <f>TablaDatos[[#This Row],[FechaIngreso]]+TablaDatos[[#This Row],[DiasNuevo]]</f>
        <v>45511</v>
      </c>
      <c r="I4823">
        <v>25</v>
      </c>
      <c r="J4823" t="s">
        <v>23</v>
      </c>
      <c r="K4823" s="3">
        <v>8449.75</v>
      </c>
      <c r="L4823" t="b">
        <f>TablaDatos[[#This Row],[FechaAlta]] &lt; TablaDatos[[#This Row],[FechaIngreso]]</f>
        <v>0</v>
      </c>
      <c r="M4823">
        <f>_xlfn.XLOOKUP(TablaDatos[[#This Row],[PacienteID]],'Datos_Ejemplo.csv'!A:A,'Datos_Ejemplo.csv'!I:I)</f>
        <v>25</v>
      </c>
      <c r="N4823">
        <f>ABS(TablaDatos[[#This Row],[DiasOriginal]])</f>
        <v>25</v>
      </c>
      <c r="O4823" s="1">
        <f>TablaDatos[[#This Row],[FechaIngreso]]+TablaDatos[[#This Row],[DiasNuevo]]</f>
        <v>45511</v>
      </c>
    </row>
    <row r="4824" spans="1:15">
      <c r="A4824">
        <v>4823</v>
      </c>
      <c r="B4824" t="s">
        <v>252</v>
      </c>
      <c r="C4824" s="1">
        <f ca="1">DATE(YEAR(TODAY())-TablaDatos[[#This Row],[Edad]],1,1)</f>
        <v>28491</v>
      </c>
      <c r="D4824">
        <v>48</v>
      </c>
      <c r="E4824" s="4" t="s">
        <v>15</v>
      </c>
      <c r="F4824" t="s">
        <v>13</v>
      </c>
      <c r="G4824" s="1">
        <v>45187</v>
      </c>
      <c r="H4824" s="1">
        <f>TablaDatos[[#This Row],[FechaIngreso]]+TablaDatos[[#This Row],[DiasNuevo]]</f>
        <v>45216</v>
      </c>
      <c r="I4824">
        <v>29</v>
      </c>
      <c r="J4824" t="s">
        <v>19</v>
      </c>
      <c r="K4824" s="3">
        <v>19206.419999999998</v>
      </c>
      <c r="L4824" t="b">
        <f>TablaDatos[[#This Row],[FechaAlta]] &lt; TablaDatos[[#This Row],[FechaIngreso]]</f>
        <v>0</v>
      </c>
      <c r="M4824">
        <f>_xlfn.XLOOKUP(TablaDatos[[#This Row],[PacienteID]],'Datos_Ejemplo.csv'!A:A,'Datos_Ejemplo.csv'!I:I)</f>
        <v>29</v>
      </c>
      <c r="N4824">
        <f>ABS(TablaDatos[[#This Row],[DiasOriginal]])</f>
        <v>29</v>
      </c>
      <c r="O4824" s="1">
        <f>TablaDatos[[#This Row],[FechaIngreso]]+TablaDatos[[#This Row],[DiasNuevo]]</f>
        <v>45216</v>
      </c>
    </row>
    <row r="4825" spans="1:15">
      <c r="A4825">
        <v>4824</v>
      </c>
      <c r="B4825" t="s">
        <v>278</v>
      </c>
      <c r="C4825" s="1">
        <v>21916</v>
      </c>
      <c r="D4825">
        <v>66</v>
      </c>
      <c r="E4825" s="4" t="s">
        <v>15</v>
      </c>
      <c r="F4825" t="s">
        <v>21</v>
      </c>
      <c r="G4825" s="1">
        <v>45499</v>
      </c>
      <c r="H4825" s="1">
        <f>TablaDatos[[#This Row],[FechaIngreso]]+TablaDatos[[#This Row],[DiasNuevo]]</f>
        <v>45532</v>
      </c>
      <c r="I4825">
        <v>33</v>
      </c>
      <c r="J4825" t="s">
        <v>19</v>
      </c>
      <c r="K4825" s="3">
        <v>1731.76</v>
      </c>
      <c r="L4825" t="b">
        <f>TablaDatos[[#This Row],[FechaAlta]] &lt; TablaDatos[[#This Row],[FechaIngreso]]</f>
        <v>0</v>
      </c>
      <c r="M4825">
        <f>_xlfn.XLOOKUP(TablaDatos[[#This Row],[PacienteID]],'Datos_Ejemplo.csv'!A:A,'Datos_Ejemplo.csv'!I:I)</f>
        <v>33</v>
      </c>
      <c r="N4825">
        <f>ABS(TablaDatos[[#This Row],[DiasOriginal]])</f>
        <v>33</v>
      </c>
      <c r="O4825" s="1">
        <f>TablaDatos[[#This Row],[FechaIngreso]]+TablaDatos[[#This Row],[DiasNuevo]]</f>
        <v>45532</v>
      </c>
    </row>
    <row r="4826" spans="1:15">
      <c r="A4826">
        <v>4825</v>
      </c>
      <c r="B4826" t="s">
        <v>52</v>
      </c>
      <c r="C4826" s="1">
        <v>43831</v>
      </c>
      <c r="D4826">
        <v>6</v>
      </c>
      <c r="E4826" s="4" t="s">
        <v>15</v>
      </c>
      <c r="F4826" t="s">
        <v>32</v>
      </c>
      <c r="G4826" s="1">
        <v>45560</v>
      </c>
      <c r="H4826" s="1">
        <f>TablaDatos[[#This Row],[FechaIngreso]]+TablaDatos[[#This Row],[DiasNuevo]]</f>
        <v>45587</v>
      </c>
      <c r="I4826">
        <v>27</v>
      </c>
      <c r="J4826" t="s">
        <v>23</v>
      </c>
      <c r="K4826" s="3">
        <v>11839.08</v>
      </c>
      <c r="L4826" t="b">
        <f>TablaDatos[[#This Row],[FechaAlta]] &lt; TablaDatos[[#This Row],[FechaIngreso]]</f>
        <v>0</v>
      </c>
      <c r="M4826">
        <f>_xlfn.XLOOKUP(TablaDatos[[#This Row],[PacienteID]],'Datos_Ejemplo.csv'!A:A,'Datos_Ejemplo.csv'!I:I)</f>
        <v>27</v>
      </c>
      <c r="N4826">
        <f>ABS(TablaDatos[[#This Row],[DiasOriginal]])</f>
        <v>27</v>
      </c>
      <c r="O4826" s="1">
        <f>TablaDatos[[#This Row],[FechaIngreso]]+TablaDatos[[#This Row],[DiasNuevo]]</f>
        <v>45587</v>
      </c>
    </row>
    <row r="4827" spans="1:15">
      <c r="A4827">
        <v>4826</v>
      </c>
      <c r="B4827" t="s">
        <v>344</v>
      </c>
      <c r="C4827" s="1">
        <v>25203</v>
      </c>
      <c r="D4827">
        <v>57</v>
      </c>
      <c r="E4827" s="4" t="s">
        <v>12</v>
      </c>
      <c r="F4827" t="s">
        <v>21</v>
      </c>
      <c r="G4827" s="1">
        <v>45528</v>
      </c>
      <c r="H4827" s="1">
        <f>TablaDatos[[#This Row],[FechaIngreso]]+TablaDatos[[#This Row],[DiasNuevo]]</f>
        <v>45567</v>
      </c>
      <c r="I4827">
        <v>39</v>
      </c>
      <c r="J4827" t="s">
        <v>23</v>
      </c>
      <c r="K4827" s="3">
        <v>18375.36</v>
      </c>
      <c r="L4827" t="b">
        <f>TablaDatos[[#This Row],[FechaAlta]] &lt; TablaDatos[[#This Row],[FechaIngreso]]</f>
        <v>0</v>
      </c>
      <c r="M4827">
        <f>_xlfn.XLOOKUP(TablaDatos[[#This Row],[PacienteID]],'Datos_Ejemplo.csv'!A:A,'Datos_Ejemplo.csv'!I:I)</f>
        <v>39</v>
      </c>
      <c r="N4827">
        <f>ABS(TablaDatos[[#This Row],[DiasOriginal]])</f>
        <v>39</v>
      </c>
      <c r="O4827" s="1">
        <f>TablaDatos[[#This Row],[FechaIngreso]]+TablaDatos[[#This Row],[DiasNuevo]]</f>
        <v>45567</v>
      </c>
    </row>
    <row r="4828" spans="1:15">
      <c r="A4828">
        <v>4827</v>
      </c>
      <c r="B4828" t="s">
        <v>340</v>
      </c>
      <c r="C4828" s="1">
        <v>28490</v>
      </c>
      <c r="D4828">
        <v>48</v>
      </c>
      <c r="E4828" s="4" t="s">
        <v>12</v>
      </c>
      <c r="F4828" t="s">
        <v>261</v>
      </c>
      <c r="G4828" s="1">
        <v>45285</v>
      </c>
      <c r="H4828" s="1">
        <f>TablaDatos[[#This Row],[FechaIngreso]]+TablaDatos[[#This Row],[DiasNuevo]]</f>
        <v>45320</v>
      </c>
      <c r="I4828">
        <v>35</v>
      </c>
      <c r="J4828" t="s">
        <v>25</v>
      </c>
      <c r="K4828" s="3">
        <v>18988.64</v>
      </c>
      <c r="L4828" t="b">
        <f>TablaDatos[[#This Row],[FechaAlta]] &lt; TablaDatos[[#This Row],[FechaIngreso]]</f>
        <v>0</v>
      </c>
      <c r="M4828">
        <f>_xlfn.XLOOKUP(TablaDatos[[#This Row],[PacienteID]],'Datos_Ejemplo.csv'!A:A,'Datos_Ejemplo.csv'!I:I)</f>
        <v>35</v>
      </c>
      <c r="N4828">
        <f>ABS(TablaDatos[[#This Row],[DiasOriginal]])</f>
        <v>35</v>
      </c>
      <c r="O4828" s="1">
        <f>TablaDatos[[#This Row],[FechaIngreso]]+TablaDatos[[#This Row],[DiasNuevo]]</f>
        <v>45320</v>
      </c>
    </row>
    <row r="4829" spans="1:15">
      <c r="A4829">
        <v>4828</v>
      </c>
      <c r="B4829" t="s">
        <v>287</v>
      </c>
      <c r="C4829" s="1">
        <v>27029</v>
      </c>
      <c r="D4829">
        <v>52</v>
      </c>
      <c r="E4829" s="4" t="s">
        <v>12</v>
      </c>
      <c r="F4829" t="s">
        <v>21</v>
      </c>
      <c r="G4829" s="1">
        <v>45181</v>
      </c>
      <c r="H4829" s="1">
        <f>TablaDatos[[#This Row],[FechaIngreso]]+TablaDatos[[#This Row],[DiasNuevo]]</f>
        <v>45220</v>
      </c>
      <c r="I4829">
        <v>39</v>
      </c>
      <c r="J4829" t="s">
        <v>25</v>
      </c>
      <c r="K4829" s="3">
        <v>16904.75</v>
      </c>
      <c r="L4829" t="b">
        <f>TablaDatos[[#This Row],[FechaAlta]] &lt; TablaDatos[[#This Row],[FechaIngreso]]</f>
        <v>0</v>
      </c>
      <c r="M4829">
        <f>_xlfn.XLOOKUP(TablaDatos[[#This Row],[PacienteID]],'Datos_Ejemplo.csv'!A:A,'Datos_Ejemplo.csv'!I:I)</f>
        <v>39</v>
      </c>
      <c r="N4829">
        <f>ABS(TablaDatos[[#This Row],[DiasOriginal]])</f>
        <v>39</v>
      </c>
      <c r="O4829" s="1">
        <f>TablaDatos[[#This Row],[FechaIngreso]]+TablaDatos[[#This Row],[DiasNuevo]]</f>
        <v>45220</v>
      </c>
    </row>
    <row r="4830" spans="1:15">
      <c r="A4830">
        <v>4829</v>
      </c>
      <c r="B4830" t="s">
        <v>343</v>
      </c>
      <c r="C4830" s="1">
        <v>22646</v>
      </c>
      <c r="D4830">
        <v>64</v>
      </c>
      <c r="E4830" s="4" t="s">
        <v>15</v>
      </c>
      <c r="F4830" t="s">
        <v>261</v>
      </c>
      <c r="G4830" s="1">
        <v>45528</v>
      </c>
      <c r="H4830" s="1">
        <f>TablaDatos[[#This Row],[FechaIngreso]]+TablaDatos[[#This Row],[DiasNuevo]]</f>
        <v>45537</v>
      </c>
      <c r="I4830">
        <v>9</v>
      </c>
      <c r="J4830" t="s">
        <v>23</v>
      </c>
      <c r="K4830" s="3">
        <v>17104.28</v>
      </c>
      <c r="L4830" t="b">
        <f>TablaDatos[[#This Row],[FechaAlta]] &lt; TablaDatos[[#This Row],[FechaIngreso]]</f>
        <v>0</v>
      </c>
      <c r="M4830">
        <f>_xlfn.XLOOKUP(TablaDatos[[#This Row],[PacienteID]],'Datos_Ejemplo.csv'!A:A,'Datos_Ejemplo.csv'!I:I)</f>
        <v>9</v>
      </c>
      <c r="N4830">
        <f>ABS(TablaDatos[[#This Row],[DiasOriginal]])</f>
        <v>9</v>
      </c>
      <c r="O4830" s="1">
        <f>TablaDatos[[#This Row],[FechaIngreso]]+TablaDatos[[#This Row],[DiasNuevo]]</f>
        <v>45537</v>
      </c>
    </row>
    <row r="4831" spans="1:15">
      <c r="A4831">
        <v>4830</v>
      </c>
      <c r="B4831" t="s">
        <v>235</v>
      </c>
      <c r="C4831" s="1">
        <v>23742</v>
      </c>
      <c r="D4831">
        <v>61</v>
      </c>
      <c r="E4831" s="4" t="s">
        <v>15</v>
      </c>
      <c r="F4831" t="s">
        <v>21</v>
      </c>
      <c r="G4831" s="1">
        <v>45441</v>
      </c>
      <c r="H4831" s="1">
        <f>TablaDatos[[#This Row],[FechaIngreso]]+TablaDatos[[#This Row],[DiasNuevo]]</f>
        <v>45441</v>
      </c>
      <c r="I4831">
        <v>0</v>
      </c>
      <c r="J4831" t="s">
        <v>25</v>
      </c>
      <c r="K4831" s="3">
        <v>13008.88</v>
      </c>
      <c r="L4831" t="b">
        <f>TablaDatos[[#This Row],[FechaAlta]] &lt; TablaDatos[[#This Row],[FechaIngreso]]</f>
        <v>0</v>
      </c>
      <c r="M4831">
        <f>_xlfn.XLOOKUP(TablaDatos[[#This Row],[PacienteID]],'Datos_Ejemplo.csv'!A:A,'Datos_Ejemplo.csv'!I:I)</f>
        <v>0</v>
      </c>
      <c r="N4831">
        <f>ABS(TablaDatos[[#This Row],[DiasOriginal]])</f>
        <v>0</v>
      </c>
      <c r="O4831" s="1">
        <f>TablaDatos[[#This Row],[FechaIngreso]]+TablaDatos[[#This Row],[DiasNuevo]]</f>
        <v>45441</v>
      </c>
    </row>
    <row r="4832" spans="1:15">
      <c r="A4832">
        <v>4831</v>
      </c>
      <c r="B4832" t="s">
        <v>306</v>
      </c>
      <c r="C4832" s="1">
        <v>40178</v>
      </c>
      <c r="D4832">
        <v>16</v>
      </c>
      <c r="E4832" s="4" t="s">
        <v>12</v>
      </c>
      <c r="F4832" t="s">
        <v>18</v>
      </c>
      <c r="G4832" s="1">
        <v>45206</v>
      </c>
      <c r="H4832" s="1">
        <f>TablaDatos[[#This Row],[FechaIngreso]]+TablaDatos[[#This Row],[DiasNuevo]]</f>
        <v>45218</v>
      </c>
      <c r="I4832">
        <v>12</v>
      </c>
      <c r="J4832" t="s">
        <v>23</v>
      </c>
      <c r="K4832" s="3">
        <v>4330.5</v>
      </c>
      <c r="L4832" t="b">
        <f>TablaDatos[[#This Row],[FechaAlta]] &lt; TablaDatos[[#This Row],[FechaIngreso]]</f>
        <v>0</v>
      </c>
      <c r="M4832">
        <f>_xlfn.XLOOKUP(TablaDatos[[#This Row],[PacienteID]],'Datos_Ejemplo.csv'!A:A,'Datos_Ejemplo.csv'!I:I)</f>
        <v>12</v>
      </c>
      <c r="N4832">
        <f>ABS(TablaDatos[[#This Row],[DiasOriginal]])</f>
        <v>12</v>
      </c>
      <c r="O4832" s="1">
        <f>TablaDatos[[#This Row],[FechaIngreso]]+TablaDatos[[#This Row],[DiasNuevo]]</f>
        <v>45218</v>
      </c>
    </row>
    <row r="4833" spans="1:15">
      <c r="A4833">
        <v>4832</v>
      </c>
      <c r="B4833" t="s">
        <v>336</v>
      </c>
      <c r="C4833" s="1">
        <v>30682</v>
      </c>
      <c r="D4833">
        <v>42</v>
      </c>
      <c r="E4833" s="4" t="s">
        <v>15</v>
      </c>
      <c r="F4833" t="s">
        <v>32</v>
      </c>
      <c r="G4833" s="1">
        <v>45043</v>
      </c>
      <c r="H4833" s="1">
        <f>TablaDatos[[#This Row],[FechaIngreso]]+TablaDatos[[#This Row],[DiasNuevo]]</f>
        <v>45050</v>
      </c>
      <c r="I4833">
        <v>7</v>
      </c>
      <c r="J4833" t="s">
        <v>23</v>
      </c>
      <c r="K4833" s="3">
        <v>14586.64</v>
      </c>
      <c r="L4833" t="b">
        <f>TablaDatos[[#This Row],[FechaAlta]] &lt; TablaDatos[[#This Row],[FechaIngreso]]</f>
        <v>0</v>
      </c>
      <c r="M4833">
        <f>_xlfn.XLOOKUP(TablaDatos[[#This Row],[PacienteID]],'Datos_Ejemplo.csv'!A:A,'Datos_Ejemplo.csv'!I:I)</f>
        <v>7</v>
      </c>
      <c r="N4833">
        <f>ABS(TablaDatos[[#This Row],[DiasOriginal]])</f>
        <v>7</v>
      </c>
      <c r="O4833" s="1">
        <f>TablaDatos[[#This Row],[FechaIngreso]]+TablaDatos[[#This Row],[DiasNuevo]]</f>
        <v>45050</v>
      </c>
    </row>
    <row r="4834" spans="1:15">
      <c r="A4834">
        <v>4833</v>
      </c>
      <c r="B4834" t="s">
        <v>335</v>
      </c>
      <c r="C4834" s="1">
        <v>37256</v>
      </c>
      <c r="D4834">
        <v>24</v>
      </c>
      <c r="E4834" s="4" t="s">
        <v>12</v>
      </c>
      <c r="F4834" t="s">
        <v>18</v>
      </c>
      <c r="G4834" s="1">
        <v>45536</v>
      </c>
      <c r="H4834" s="1">
        <f>TablaDatos[[#This Row],[FechaIngreso]]+TablaDatos[[#This Row],[DiasNuevo]]</f>
        <v>45555</v>
      </c>
      <c r="I4834">
        <v>19</v>
      </c>
      <c r="J4834" t="s">
        <v>25</v>
      </c>
      <c r="K4834" s="3">
        <v>19565.53</v>
      </c>
      <c r="L4834" t="b">
        <f>TablaDatos[[#This Row],[FechaAlta]] &lt; TablaDatos[[#This Row],[FechaIngreso]]</f>
        <v>0</v>
      </c>
      <c r="M4834">
        <f>_xlfn.XLOOKUP(TablaDatos[[#This Row],[PacienteID]],'Datos_Ejemplo.csv'!A:A,'Datos_Ejemplo.csv'!I:I)</f>
        <v>19</v>
      </c>
      <c r="N4834">
        <f>ABS(TablaDatos[[#This Row],[DiasOriginal]])</f>
        <v>19</v>
      </c>
      <c r="O4834" s="1">
        <f>TablaDatos[[#This Row],[FechaIngreso]]+TablaDatos[[#This Row],[DiasNuevo]]</f>
        <v>45555</v>
      </c>
    </row>
    <row r="4835" spans="1:15">
      <c r="A4835">
        <v>4834</v>
      </c>
      <c r="B4835" t="s">
        <v>103</v>
      </c>
      <c r="C4835" s="1">
        <v>45292</v>
      </c>
      <c r="D4835">
        <v>2</v>
      </c>
      <c r="E4835" s="4" t="s">
        <v>12</v>
      </c>
      <c r="F4835" t="s">
        <v>13</v>
      </c>
      <c r="G4835" s="1">
        <v>45088</v>
      </c>
      <c r="H4835" s="1">
        <f>TablaDatos[[#This Row],[FechaIngreso]]+TablaDatos[[#This Row],[DiasNuevo]]</f>
        <v>45108</v>
      </c>
      <c r="I4835">
        <v>20</v>
      </c>
      <c r="J4835" t="s">
        <v>23</v>
      </c>
      <c r="K4835" s="3">
        <v>10471.26</v>
      </c>
      <c r="L4835" t="b">
        <f>TablaDatos[[#This Row],[FechaAlta]] &lt; TablaDatos[[#This Row],[FechaIngreso]]</f>
        <v>0</v>
      </c>
      <c r="M4835">
        <f>_xlfn.XLOOKUP(TablaDatos[[#This Row],[PacienteID]],'Datos_Ejemplo.csv'!A:A,'Datos_Ejemplo.csv'!I:I)</f>
        <v>20</v>
      </c>
      <c r="N4835">
        <f>ABS(TablaDatos[[#This Row],[DiasOriginal]])</f>
        <v>20</v>
      </c>
      <c r="O4835" s="1">
        <f>TablaDatos[[#This Row],[FechaIngreso]]+TablaDatos[[#This Row],[DiasNuevo]]</f>
        <v>45108</v>
      </c>
    </row>
    <row r="4836" spans="1:15">
      <c r="A4836">
        <v>4835</v>
      </c>
      <c r="B4836" t="s">
        <v>152</v>
      </c>
      <c r="C4836" s="1">
        <f ca="1">DATE(YEAR(TODAY())-TablaDatos[[#This Row],[Edad]],1,1)</f>
        <v>17533</v>
      </c>
      <c r="D4836">
        <v>78</v>
      </c>
      <c r="E4836" s="4" t="s">
        <v>12</v>
      </c>
      <c r="F4836" t="s">
        <v>13</v>
      </c>
      <c r="G4836" s="1">
        <v>45224</v>
      </c>
      <c r="H4836" s="1">
        <f>TablaDatos[[#This Row],[FechaIngreso]]+TablaDatos[[#This Row],[DiasNuevo]]</f>
        <v>45232</v>
      </c>
      <c r="I4836">
        <v>8</v>
      </c>
      <c r="J4836" t="s">
        <v>19</v>
      </c>
      <c r="K4836" s="3">
        <v>5140.0200000000004</v>
      </c>
      <c r="L4836" t="b">
        <f>TablaDatos[[#This Row],[FechaAlta]] &lt; TablaDatos[[#This Row],[FechaIngreso]]</f>
        <v>0</v>
      </c>
      <c r="M4836">
        <f>_xlfn.XLOOKUP(TablaDatos[[#This Row],[PacienteID]],'Datos_Ejemplo.csv'!A:A,'Datos_Ejemplo.csv'!I:I)</f>
        <v>8</v>
      </c>
      <c r="N4836">
        <f>ABS(TablaDatos[[#This Row],[DiasOriginal]])</f>
        <v>8</v>
      </c>
      <c r="O4836" s="1">
        <f>TablaDatos[[#This Row],[FechaIngreso]]+TablaDatos[[#This Row],[DiasNuevo]]</f>
        <v>45232</v>
      </c>
    </row>
    <row r="4837" spans="1:15">
      <c r="A4837">
        <v>4836</v>
      </c>
      <c r="B4837" t="s">
        <v>307</v>
      </c>
      <c r="C4837" s="1">
        <v>35795</v>
      </c>
      <c r="D4837">
        <v>28</v>
      </c>
      <c r="E4837" s="4" t="s">
        <v>12</v>
      </c>
      <c r="F4837" t="s">
        <v>295</v>
      </c>
      <c r="G4837" s="1">
        <v>45223</v>
      </c>
      <c r="H4837" s="1">
        <f>TablaDatos[[#This Row],[FechaIngreso]]+TablaDatos[[#This Row],[DiasNuevo]]</f>
        <v>45236</v>
      </c>
      <c r="I4837">
        <v>13</v>
      </c>
      <c r="J4837" t="s">
        <v>23</v>
      </c>
      <c r="K4837" s="3">
        <v>11426.77</v>
      </c>
      <c r="L4837" t="b">
        <f>TablaDatos[[#This Row],[FechaAlta]] &lt; TablaDatos[[#This Row],[FechaIngreso]]</f>
        <v>0</v>
      </c>
      <c r="M4837">
        <f>_xlfn.XLOOKUP(TablaDatos[[#This Row],[PacienteID]],'Datos_Ejemplo.csv'!A:A,'Datos_Ejemplo.csv'!I:I)</f>
        <v>13</v>
      </c>
      <c r="N4837">
        <f>ABS(TablaDatos[[#This Row],[DiasOriginal]])</f>
        <v>13</v>
      </c>
      <c r="O4837" s="1">
        <f>TablaDatos[[#This Row],[FechaIngreso]]+TablaDatos[[#This Row],[DiasNuevo]]</f>
        <v>45236</v>
      </c>
    </row>
    <row r="4838" spans="1:15">
      <c r="A4838">
        <v>4837</v>
      </c>
      <c r="B4838" t="s">
        <v>283</v>
      </c>
      <c r="C4838" s="1">
        <v>34700</v>
      </c>
      <c r="D4838">
        <v>31</v>
      </c>
      <c r="E4838" s="4" t="s">
        <v>12</v>
      </c>
      <c r="F4838" t="s">
        <v>295</v>
      </c>
      <c r="G4838" s="1">
        <v>45520</v>
      </c>
      <c r="H4838" s="1">
        <f>TablaDatos[[#This Row],[FechaIngreso]]+TablaDatos[[#This Row],[DiasNuevo]]</f>
        <v>45533</v>
      </c>
      <c r="I4838">
        <v>13</v>
      </c>
      <c r="J4838" t="s">
        <v>23</v>
      </c>
      <c r="K4838" s="3">
        <v>13781.27</v>
      </c>
      <c r="L4838" t="b">
        <f>TablaDatos[[#This Row],[FechaAlta]] &lt; TablaDatos[[#This Row],[FechaIngreso]]</f>
        <v>0</v>
      </c>
      <c r="M4838">
        <f>_xlfn.XLOOKUP(TablaDatos[[#This Row],[PacienteID]],'Datos_Ejemplo.csv'!A:A,'Datos_Ejemplo.csv'!I:I)</f>
        <v>13</v>
      </c>
      <c r="N4838">
        <f>ABS(TablaDatos[[#This Row],[DiasOriginal]])</f>
        <v>13</v>
      </c>
      <c r="O4838" s="1">
        <f>TablaDatos[[#This Row],[FechaIngreso]]+TablaDatos[[#This Row],[DiasNuevo]]</f>
        <v>45533</v>
      </c>
    </row>
    <row r="4839" spans="1:15">
      <c r="A4839">
        <v>4838</v>
      </c>
      <c r="B4839" t="s">
        <v>357</v>
      </c>
      <c r="C4839" s="1">
        <v>36891</v>
      </c>
      <c r="D4839">
        <v>25</v>
      </c>
      <c r="E4839" s="4" t="s">
        <v>12</v>
      </c>
      <c r="F4839" t="s">
        <v>295</v>
      </c>
      <c r="G4839" s="1">
        <v>45284</v>
      </c>
      <c r="H4839" s="1">
        <f>TablaDatos[[#This Row],[FechaIngreso]]+TablaDatos[[#This Row],[DiasNuevo]]</f>
        <v>45295</v>
      </c>
      <c r="I4839">
        <v>11</v>
      </c>
      <c r="J4839" t="s">
        <v>19</v>
      </c>
      <c r="K4839" s="3">
        <v>4086.43</v>
      </c>
      <c r="L4839" t="b">
        <f>TablaDatos[[#This Row],[FechaAlta]] &lt; TablaDatos[[#This Row],[FechaIngreso]]</f>
        <v>0</v>
      </c>
      <c r="M4839">
        <f>_xlfn.XLOOKUP(TablaDatos[[#This Row],[PacienteID]],'Datos_Ejemplo.csv'!A:A,'Datos_Ejemplo.csv'!I:I)</f>
        <v>11</v>
      </c>
      <c r="N4839">
        <f>ABS(TablaDatos[[#This Row],[DiasOriginal]])</f>
        <v>11</v>
      </c>
      <c r="O4839" s="1">
        <f>TablaDatos[[#This Row],[FechaIngreso]]+TablaDatos[[#This Row],[DiasNuevo]]</f>
        <v>45295</v>
      </c>
    </row>
    <row r="4840" spans="1:15">
      <c r="A4840">
        <v>4839</v>
      </c>
      <c r="B4840" t="s">
        <v>351</v>
      </c>
      <c r="C4840" s="1">
        <v>40544</v>
      </c>
      <c r="D4840">
        <v>15</v>
      </c>
      <c r="E4840" s="4" t="s">
        <v>12</v>
      </c>
      <c r="F4840" t="s">
        <v>201</v>
      </c>
      <c r="G4840" s="1">
        <v>45586</v>
      </c>
      <c r="H4840" s="1">
        <f>TablaDatos[[#This Row],[FechaIngreso]]+TablaDatos[[#This Row],[DiasNuevo]]</f>
        <v>45589</v>
      </c>
      <c r="I4840">
        <v>3</v>
      </c>
      <c r="J4840" t="s">
        <v>23</v>
      </c>
      <c r="K4840" s="3">
        <v>14355.71</v>
      </c>
      <c r="L4840" t="b">
        <f>TablaDatos[[#This Row],[FechaAlta]] &lt; TablaDatos[[#This Row],[FechaIngreso]]</f>
        <v>0</v>
      </c>
      <c r="M4840">
        <f>_xlfn.XLOOKUP(TablaDatos[[#This Row],[PacienteID]],'Datos_Ejemplo.csv'!A:A,'Datos_Ejemplo.csv'!I:I)</f>
        <v>3</v>
      </c>
      <c r="N4840">
        <f>ABS(TablaDatos[[#This Row],[DiasOriginal]])</f>
        <v>3</v>
      </c>
      <c r="O4840" s="1">
        <f>TablaDatos[[#This Row],[FechaIngreso]]+TablaDatos[[#This Row],[DiasNuevo]]</f>
        <v>45589</v>
      </c>
    </row>
    <row r="4841" spans="1:15">
      <c r="A4841">
        <v>4840</v>
      </c>
      <c r="B4841" t="s">
        <v>336</v>
      </c>
      <c r="C4841" s="1">
        <v>37256</v>
      </c>
      <c r="D4841">
        <v>24</v>
      </c>
      <c r="E4841" s="4" t="s">
        <v>15</v>
      </c>
      <c r="F4841" t="s">
        <v>13</v>
      </c>
      <c r="G4841" s="1">
        <v>45444</v>
      </c>
      <c r="H4841" s="1">
        <f>TablaDatos[[#This Row],[FechaIngreso]]+TablaDatos[[#This Row],[DiasNuevo]]</f>
        <v>45483</v>
      </c>
      <c r="I4841">
        <v>39</v>
      </c>
      <c r="J4841" t="s">
        <v>19</v>
      </c>
      <c r="K4841" s="3">
        <v>11707.4</v>
      </c>
      <c r="L4841" t="b">
        <f>TablaDatos[[#This Row],[FechaAlta]] &lt; TablaDatos[[#This Row],[FechaIngreso]]</f>
        <v>0</v>
      </c>
      <c r="M4841">
        <f>_xlfn.XLOOKUP(TablaDatos[[#This Row],[PacienteID]],'Datos_Ejemplo.csv'!A:A,'Datos_Ejemplo.csv'!I:I)</f>
        <v>39</v>
      </c>
      <c r="N4841">
        <f>ABS(TablaDatos[[#This Row],[DiasOriginal]])</f>
        <v>39</v>
      </c>
      <c r="O4841" s="1">
        <f>TablaDatos[[#This Row],[FechaIngreso]]+TablaDatos[[#This Row],[DiasNuevo]]</f>
        <v>45483</v>
      </c>
    </row>
    <row r="4842" spans="1:15">
      <c r="A4842">
        <v>4841</v>
      </c>
      <c r="B4842" t="s">
        <v>245</v>
      </c>
      <c r="C4842" s="1">
        <v>26664</v>
      </c>
      <c r="D4842">
        <v>53</v>
      </c>
      <c r="E4842" s="4" t="s">
        <v>12</v>
      </c>
      <c r="F4842" t="s">
        <v>21</v>
      </c>
      <c r="G4842" s="1">
        <v>45304</v>
      </c>
      <c r="H4842" s="1">
        <f>TablaDatos[[#This Row],[FechaIngreso]]+TablaDatos[[#This Row],[DiasNuevo]]</f>
        <v>45318</v>
      </c>
      <c r="I4842">
        <v>14</v>
      </c>
      <c r="J4842" t="s">
        <v>25</v>
      </c>
      <c r="K4842" s="3">
        <v>12208.23</v>
      </c>
      <c r="L4842" t="b">
        <f>TablaDatos[[#This Row],[FechaAlta]] &lt; TablaDatos[[#This Row],[FechaIngreso]]</f>
        <v>0</v>
      </c>
      <c r="M4842">
        <f>_xlfn.XLOOKUP(TablaDatos[[#This Row],[PacienteID]],'Datos_Ejemplo.csv'!A:A,'Datos_Ejemplo.csv'!I:I)</f>
        <v>14</v>
      </c>
      <c r="N4842">
        <f>ABS(TablaDatos[[#This Row],[DiasOriginal]])</f>
        <v>14</v>
      </c>
      <c r="O4842" s="1">
        <f>TablaDatos[[#This Row],[FechaIngreso]]+TablaDatos[[#This Row],[DiasNuevo]]</f>
        <v>45318</v>
      </c>
    </row>
    <row r="4843" spans="1:15">
      <c r="A4843">
        <v>4842</v>
      </c>
      <c r="B4843" t="s">
        <v>162</v>
      </c>
      <c r="C4843" s="1">
        <v>36161</v>
      </c>
      <c r="D4843">
        <v>27</v>
      </c>
      <c r="E4843" s="4" t="s">
        <v>15</v>
      </c>
      <c r="F4843" t="s">
        <v>261</v>
      </c>
      <c r="G4843" s="1">
        <v>45623</v>
      </c>
      <c r="H4843" s="1">
        <f>TablaDatos[[#This Row],[FechaIngreso]]+TablaDatos[[#This Row],[DiasNuevo]]</f>
        <v>45651</v>
      </c>
      <c r="I4843">
        <v>28</v>
      </c>
      <c r="J4843" t="s">
        <v>19</v>
      </c>
      <c r="K4843" s="3">
        <v>6050.36</v>
      </c>
      <c r="L4843" t="b">
        <f>TablaDatos[[#This Row],[FechaAlta]] &lt; TablaDatos[[#This Row],[FechaIngreso]]</f>
        <v>0</v>
      </c>
      <c r="M4843">
        <f>_xlfn.XLOOKUP(TablaDatos[[#This Row],[PacienteID]],'Datos_Ejemplo.csv'!A:A,'Datos_Ejemplo.csv'!I:I)</f>
        <v>28</v>
      </c>
      <c r="N4843">
        <f>ABS(TablaDatos[[#This Row],[DiasOriginal]])</f>
        <v>28</v>
      </c>
      <c r="O4843" s="1">
        <f>TablaDatos[[#This Row],[FechaIngreso]]+TablaDatos[[#This Row],[DiasNuevo]]</f>
        <v>45651</v>
      </c>
    </row>
    <row r="4844" spans="1:15">
      <c r="A4844">
        <v>4843</v>
      </c>
      <c r="B4844" t="s">
        <v>346</v>
      </c>
      <c r="C4844" s="1">
        <v>19724</v>
      </c>
      <c r="D4844">
        <v>72</v>
      </c>
      <c r="E4844" s="4" t="s">
        <v>15</v>
      </c>
      <c r="F4844" t="s">
        <v>201</v>
      </c>
      <c r="G4844" s="1">
        <v>45352</v>
      </c>
      <c r="H4844" s="1">
        <f>TablaDatos[[#This Row],[FechaIngreso]]+TablaDatos[[#This Row],[DiasNuevo]]</f>
        <v>45391</v>
      </c>
      <c r="I4844">
        <v>39</v>
      </c>
      <c r="J4844" t="s">
        <v>23</v>
      </c>
      <c r="K4844" s="3">
        <v>3020.86</v>
      </c>
      <c r="L4844" t="b">
        <f>TablaDatos[[#This Row],[FechaAlta]] &lt; TablaDatos[[#This Row],[FechaIngreso]]</f>
        <v>0</v>
      </c>
      <c r="M4844">
        <f>_xlfn.XLOOKUP(TablaDatos[[#This Row],[PacienteID]],'Datos_Ejemplo.csv'!A:A,'Datos_Ejemplo.csv'!I:I)</f>
        <v>39</v>
      </c>
      <c r="N4844">
        <f>ABS(TablaDatos[[#This Row],[DiasOriginal]])</f>
        <v>39</v>
      </c>
      <c r="O4844" s="1">
        <f>TablaDatos[[#This Row],[FechaIngreso]]+TablaDatos[[#This Row],[DiasNuevo]]</f>
        <v>45391</v>
      </c>
    </row>
    <row r="4845" spans="1:15">
      <c r="A4845">
        <v>4844</v>
      </c>
      <c r="B4845" t="s">
        <v>246</v>
      </c>
      <c r="C4845" s="1">
        <v>25934</v>
      </c>
      <c r="D4845">
        <v>55</v>
      </c>
      <c r="E4845" s="4" t="s">
        <v>15</v>
      </c>
      <c r="F4845" t="s">
        <v>21</v>
      </c>
      <c r="G4845" s="1">
        <v>45463</v>
      </c>
      <c r="H4845" s="1">
        <f>TablaDatos[[#This Row],[FechaIngreso]]+TablaDatos[[#This Row],[DiasNuevo]]</f>
        <v>45470</v>
      </c>
      <c r="I4845">
        <v>7</v>
      </c>
      <c r="J4845" t="s">
        <v>23</v>
      </c>
      <c r="K4845" s="3">
        <v>12431.34</v>
      </c>
      <c r="L4845" t="b">
        <f>TablaDatos[[#This Row],[FechaAlta]] &lt; TablaDatos[[#This Row],[FechaIngreso]]</f>
        <v>0</v>
      </c>
      <c r="M4845">
        <f>_xlfn.XLOOKUP(TablaDatos[[#This Row],[PacienteID]],'Datos_Ejemplo.csv'!A:A,'Datos_Ejemplo.csv'!I:I)</f>
        <v>7</v>
      </c>
      <c r="N4845">
        <f>ABS(TablaDatos[[#This Row],[DiasOriginal]])</f>
        <v>7</v>
      </c>
      <c r="O4845" s="1">
        <f>TablaDatos[[#This Row],[FechaIngreso]]+TablaDatos[[#This Row],[DiasNuevo]]</f>
        <v>45470</v>
      </c>
    </row>
    <row r="4846" spans="1:15">
      <c r="A4846">
        <v>4845</v>
      </c>
      <c r="B4846" t="s">
        <v>361</v>
      </c>
      <c r="C4846" s="1">
        <v>22646</v>
      </c>
      <c r="D4846">
        <v>64</v>
      </c>
      <c r="E4846" s="4" t="s">
        <v>15</v>
      </c>
      <c r="F4846" t="s">
        <v>32</v>
      </c>
      <c r="G4846" s="1">
        <v>45479</v>
      </c>
      <c r="H4846" s="1">
        <f>TablaDatos[[#This Row],[FechaIngreso]]+TablaDatos[[#This Row],[DiasNuevo]]</f>
        <v>45496</v>
      </c>
      <c r="I4846">
        <v>17</v>
      </c>
      <c r="J4846" t="s">
        <v>25</v>
      </c>
      <c r="K4846" s="3">
        <v>11683.28</v>
      </c>
      <c r="L4846" t="b">
        <f>TablaDatos[[#This Row],[FechaAlta]] &lt; TablaDatos[[#This Row],[FechaIngreso]]</f>
        <v>0</v>
      </c>
      <c r="M4846">
        <f>_xlfn.XLOOKUP(TablaDatos[[#This Row],[PacienteID]],'Datos_Ejemplo.csv'!A:A,'Datos_Ejemplo.csv'!I:I)</f>
        <v>17</v>
      </c>
      <c r="N4846">
        <f>ABS(TablaDatos[[#This Row],[DiasOriginal]])</f>
        <v>17</v>
      </c>
      <c r="O4846" s="1">
        <f>TablaDatos[[#This Row],[FechaIngreso]]+TablaDatos[[#This Row],[DiasNuevo]]</f>
        <v>45496</v>
      </c>
    </row>
    <row r="4847" spans="1:15">
      <c r="A4847">
        <v>4846</v>
      </c>
      <c r="B4847" t="s">
        <v>343</v>
      </c>
      <c r="C4847" s="1">
        <v>12419</v>
      </c>
      <c r="D4847">
        <v>92</v>
      </c>
      <c r="E4847" s="4" t="s">
        <v>12</v>
      </c>
      <c r="F4847" t="s">
        <v>13</v>
      </c>
      <c r="G4847" s="1">
        <v>45095</v>
      </c>
      <c r="H4847" s="1">
        <f>TablaDatos[[#This Row],[FechaIngreso]]+TablaDatos[[#This Row],[DiasNuevo]]</f>
        <v>45101</v>
      </c>
      <c r="I4847">
        <v>6</v>
      </c>
      <c r="J4847" t="s">
        <v>23</v>
      </c>
      <c r="K4847" s="3">
        <v>6694.04</v>
      </c>
      <c r="L4847" t="b">
        <f>TablaDatos[[#This Row],[FechaAlta]] &lt; TablaDatos[[#This Row],[FechaIngreso]]</f>
        <v>0</v>
      </c>
      <c r="M4847">
        <f>_xlfn.XLOOKUP(TablaDatos[[#This Row],[PacienteID]],'Datos_Ejemplo.csv'!A:A,'Datos_Ejemplo.csv'!I:I)</f>
        <v>6</v>
      </c>
      <c r="N4847">
        <f>ABS(TablaDatos[[#This Row],[DiasOriginal]])</f>
        <v>6</v>
      </c>
      <c r="O4847" s="1">
        <f>TablaDatos[[#This Row],[FechaIngreso]]+TablaDatos[[#This Row],[DiasNuevo]]</f>
        <v>45101</v>
      </c>
    </row>
    <row r="4848" spans="1:15">
      <c r="A4848">
        <v>4847</v>
      </c>
      <c r="B4848" t="s">
        <v>273</v>
      </c>
      <c r="C4848" s="1">
        <v>14976</v>
      </c>
      <c r="D4848">
        <v>85</v>
      </c>
      <c r="E4848" s="4" t="s">
        <v>12</v>
      </c>
      <c r="F4848" t="s">
        <v>261</v>
      </c>
      <c r="G4848" s="1">
        <v>45441</v>
      </c>
      <c r="H4848" s="1">
        <f>TablaDatos[[#This Row],[FechaIngreso]]+TablaDatos[[#This Row],[DiasNuevo]]</f>
        <v>45453</v>
      </c>
      <c r="I4848">
        <v>12</v>
      </c>
      <c r="J4848" t="s">
        <v>23</v>
      </c>
      <c r="K4848" s="3">
        <v>5847.46</v>
      </c>
      <c r="L4848" t="b">
        <f>TablaDatos[[#This Row],[FechaAlta]] &lt; TablaDatos[[#This Row],[FechaIngreso]]</f>
        <v>0</v>
      </c>
      <c r="M4848">
        <f>_xlfn.XLOOKUP(TablaDatos[[#This Row],[PacienteID]],'Datos_Ejemplo.csv'!A:A,'Datos_Ejemplo.csv'!I:I)</f>
        <v>12</v>
      </c>
      <c r="N4848">
        <f>ABS(TablaDatos[[#This Row],[DiasOriginal]])</f>
        <v>12</v>
      </c>
      <c r="O4848" s="1">
        <f>TablaDatos[[#This Row],[FechaIngreso]]+TablaDatos[[#This Row],[DiasNuevo]]</f>
        <v>45453</v>
      </c>
    </row>
    <row r="4849" spans="1:15">
      <c r="A4849">
        <v>4848</v>
      </c>
      <c r="B4849" t="s">
        <v>251</v>
      </c>
      <c r="C4849" s="1">
        <v>17168</v>
      </c>
      <c r="D4849">
        <v>79</v>
      </c>
      <c r="E4849" s="4" t="s">
        <v>15</v>
      </c>
      <c r="F4849" t="s">
        <v>261</v>
      </c>
      <c r="G4849" s="1">
        <v>45290</v>
      </c>
      <c r="H4849" s="1">
        <f>TablaDatos[[#This Row],[FechaIngreso]]+TablaDatos[[#This Row],[DiasNuevo]]</f>
        <v>45326</v>
      </c>
      <c r="I4849">
        <v>36</v>
      </c>
      <c r="J4849" t="s">
        <v>25</v>
      </c>
      <c r="K4849" s="3">
        <v>6879.61</v>
      </c>
      <c r="L4849" t="b">
        <f>TablaDatos[[#This Row],[FechaAlta]] &lt; TablaDatos[[#This Row],[FechaIngreso]]</f>
        <v>0</v>
      </c>
      <c r="M4849">
        <f>_xlfn.XLOOKUP(TablaDatos[[#This Row],[PacienteID]],'Datos_Ejemplo.csv'!A:A,'Datos_Ejemplo.csv'!I:I)</f>
        <v>36</v>
      </c>
      <c r="N4849">
        <f>ABS(TablaDatos[[#This Row],[DiasOriginal]])</f>
        <v>36</v>
      </c>
      <c r="O4849" s="1">
        <f>TablaDatos[[#This Row],[FechaIngreso]]+TablaDatos[[#This Row],[DiasNuevo]]</f>
        <v>45326</v>
      </c>
    </row>
    <row r="4850" spans="1:15">
      <c r="A4850">
        <v>4849</v>
      </c>
      <c r="B4850" t="s">
        <v>366</v>
      </c>
      <c r="C4850" s="1">
        <v>31412</v>
      </c>
      <c r="D4850">
        <v>40</v>
      </c>
      <c r="E4850" s="4" t="s">
        <v>15</v>
      </c>
      <c r="F4850" t="s">
        <v>261</v>
      </c>
      <c r="G4850" s="1">
        <v>45609</v>
      </c>
      <c r="H4850" s="1">
        <f>TablaDatos[[#This Row],[FechaIngreso]]+TablaDatos[[#This Row],[DiasNuevo]]</f>
        <v>45610</v>
      </c>
      <c r="I4850">
        <v>1</v>
      </c>
      <c r="J4850" t="s">
        <v>23</v>
      </c>
      <c r="K4850" s="3">
        <v>9746.66</v>
      </c>
      <c r="L4850" t="b">
        <f>TablaDatos[[#This Row],[FechaAlta]] &lt; TablaDatos[[#This Row],[FechaIngreso]]</f>
        <v>0</v>
      </c>
      <c r="M4850">
        <f>_xlfn.XLOOKUP(TablaDatos[[#This Row],[PacienteID]],'Datos_Ejemplo.csv'!A:A,'Datos_Ejemplo.csv'!I:I)</f>
        <v>-1</v>
      </c>
      <c r="N4850">
        <f>ABS(TablaDatos[[#This Row],[DiasOriginal]])</f>
        <v>1</v>
      </c>
      <c r="O4850" s="1">
        <f>TablaDatos[[#This Row],[FechaIngreso]]+TablaDatos[[#This Row],[DiasNuevo]]</f>
        <v>45610</v>
      </c>
    </row>
    <row r="4851" spans="1:15">
      <c r="A4851">
        <v>4850</v>
      </c>
      <c r="B4851" t="s">
        <v>250</v>
      </c>
      <c r="C4851" s="1">
        <v>27760</v>
      </c>
      <c r="D4851">
        <v>50</v>
      </c>
      <c r="E4851" s="4" t="s">
        <v>12</v>
      </c>
      <c r="F4851" t="s">
        <v>295</v>
      </c>
      <c r="G4851" s="1">
        <v>45356</v>
      </c>
      <c r="H4851" s="1">
        <f>TablaDatos[[#This Row],[FechaIngreso]]+TablaDatos[[#This Row],[DiasNuevo]]</f>
        <v>45357</v>
      </c>
      <c r="I4851">
        <v>1</v>
      </c>
      <c r="J4851" t="s">
        <v>25</v>
      </c>
      <c r="K4851" s="3">
        <v>19493.88</v>
      </c>
      <c r="L4851" t="b">
        <f>TablaDatos[[#This Row],[FechaAlta]] &lt; TablaDatos[[#This Row],[FechaIngreso]]</f>
        <v>0</v>
      </c>
      <c r="M4851">
        <f>_xlfn.XLOOKUP(TablaDatos[[#This Row],[PacienteID]],'Datos_Ejemplo.csv'!A:A,'Datos_Ejemplo.csv'!I:I)</f>
        <v>1</v>
      </c>
      <c r="N4851">
        <f>ABS(TablaDatos[[#This Row],[DiasOriginal]])</f>
        <v>1</v>
      </c>
      <c r="O4851" s="1">
        <f>TablaDatos[[#This Row],[FechaIngreso]]+TablaDatos[[#This Row],[DiasNuevo]]</f>
        <v>45357</v>
      </c>
    </row>
    <row r="4852" spans="1:15">
      <c r="A4852">
        <v>4851</v>
      </c>
      <c r="B4852" t="s">
        <v>366</v>
      </c>
      <c r="C4852" s="1">
        <v>20455</v>
      </c>
      <c r="D4852">
        <v>70</v>
      </c>
      <c r="E4852" s="4" t="s">
        <v>12</v>
      </c>
      <c r="F4852" t="s">
        <v>261</v>
      </c>
      <c r="G4852" s="1">
        <v>45495</v>
      </c>
      <c r="H4852" s="1">
        <f>TablaDatos[[#This Row],[FechaIngreso]]+TablaDatos[[#This Row],[DiasNuevo]]</f>
        <v>45516</v>
      </c>
      <c r="I4852">
        <v>21</v>
      </c>
      <c r="J4852" t="s">
        <v>23</v>
      </c>
      <c r="K4852" s="3">
        <v>15247.65</v>
      </c>
      <c r="L4852" t="b">
        <f>TablaDatos[[#This Row],[FechaAlta]] &lt; TablaDatos[[#This Row],[FechaIngreso]]</f>
        <v>0</v>
      </c>
      <c r="M4852">
        <f>_xlfn.XLOOKUP(TablaDatos[[#This Row],[PacienteID]],'Datos_Ejemplo.csv'!A:A,'Datos_Ejemplo.csv'!I:I)</f>
        <v>21</v>
      </c>
      <c r="N4852">
        <f>ABS(TablaDatos[[#This Row],[DiasOriginal]])</f>
        <v>21</v>
      </c>
      <c r="O4852" s="1">
        <f>TablaDatos[[#This Row],[FechaIngreso]]+TablaDatos[[#This Row],[DiasNuevo]]</f>
        <v>45516</v>
      </c>
    </row>
    <row r="4853" spans="1:15">
      <c r="A4853">
        <v>4852</v>
      </c>
      <c r="B4853" t="s">
        <v>331</v>
      </c>
      <c r="C4853" s="1">
        <v>17898</v>
      </c>
      <c r="D4853">
        <v>77</v>
      </c>
      <c r="E4853" s="4" t="s">
        <v>12</v>
      </c>
      <c r="F4853" t="s">
        <v>261</v>
      </c>
      <c r="G4853" s="1">
        <v>45009</v>
      </c>
      <c r="H4853" s="1">
        <f>TablaDatos[[#This Row],[FechaIngreso]]+TablaDatos[[#This Row],[DiasNuevo]]</f>
        <v>45024</v>
      </c>
      <c r="I4853">
        <v>15</v>
      </c>
      <c r="J4853" t="s">
        <v>25</v>
      </c>
      <c r="K4853" s="3">
        <v>17019.97</v>
      </c>
      <c r="L4853" t="b">
        <f>TablaDatos[[#This Row],[FechaAlta]] &lt; TablaDatos[[#This Row],[FechaIngreso]]</f>
        <v>0</v>
      </c>
      <c r="M4853">
        <f>_xlfn.XLOOKUP(TablaDatos[[#This Row],[PacienteID]],'Datos_Ejemplo.csv'!A:A,'Datos_Ejemplo.csv'!I:I)</f>
        <v>15</v>
      </c>
      <c r="N4853">
        <f>ABS(TablaDatos[[#This Row],[DiasOriginal]])</f>
        <v>15</v>
      </c>
      <c r="O4853" s="1">
        <f>TablaDatos[[#This Row],[FechaIngreso]]+TablaDatos[[#This Row],[DiasNuevo]]</f>
        <v>45024</v>
      </c>
    </row>
    <row r="4854" spans="1:15">
      <c r="A4854">
        <v>4853</v>
      </c>
      <c r="B4854" t="s">
        <v>328</v>
      </c>
      <c r="C4854" s="1">
        <v>35795</v>
      </c>
      <c r="D4854">
        <v>28</v>
      </c>
      <c r="E4854" s="4" t="s">
        <v>15</v>
      </c>
      <c r="F4854" t="s">
        <v>13</v>
      </c>
      <c r="G4854" s="1">
        <v>45256</v>
      </c>
      <c r="H4854" s="1">
        <f>TablaDatos[[#This Row],[FechaIngreso]]+TablaDatos[[#This Row],[DiasNuevo]]</f>
        <v>45264</v>
      </c>
      <c r="I4854">
        <v>8</v>
      </c>
      <c r="J4854" t="s">
        <v>23</v>
      </c>
      <c r="K4854" s="3">
        <v>10063.56</v>
      </c>
      <c r="L4854" t="b">
        <f>TablaDatos[[#This Row],[FechaAlta]] &lt; TablaDatos[[#This Row],[FechaIngreso]]</f>
        <v>0</v>
      </c>
      <c r="M4854">
        <f>_xlfn.XLOOKUP(TablaDatos[[#This Row],[PacienteID]],'Datos_Ejemplo.csv'!A:A,'Datos_Ejemplo.csv'!I:I)</f>
        <v>8</v>
      </c>
      <c r="N4854">
        <f>ABS(TablaDatos[[#This Row],[DiasOriginal]])</f>
        <v>8</v>
      </c>
      <c r="O4854" s="1">
        <f>TablaDatos[[#This Row],[FechaIngreso]]+TablaDatos[[#This Row],[DiasNuevo]]</f>
        <v>45264</v>
      </c>
    </row>
    <row r="4855" spans="1:15">
      <c r="A4855">
        <v>4854</v>
      </c>
      <c r="B4855" t="s">
        <v>146</v>
      </c>
      <c r="C4855" s="1">
        <v>16072</v>
      </c>
      <c r="D4855">
        <v>82</v>
      </c>
      <c r="E4855" s="4" t="s">
        <v>12</v>
      </c>
      <c r="F4855" t="s">
        <v>21</v>
      </c>
      <c r="G4855" s="1">
        <v>45617</v>
      </c>
      <c r="H4855" s="1">
        <f>TablaDatos[[#This Row],[FechaIngreso]]+TablaDatos[[#This Row],[DiasNuevo]]</f>
        <v>45651</v>
      </c>
      <c r="I4855">
        <v>34</v>
      </c>
      <c r="J4855" t="s">
        <v>23</v>
      </c>
      <c r="K4855" s="3">
        <v>10475.08</v>
      </c>
      <c r="L4855" t="b">
        <f>TablaDatos[[#This Row],[FechaAlta]] &lt; TablaDatos[[#This Row],[FechaIngreso]]</f>
        <v>0</v>
      </c>
      <c r="M4855">
        <f>_xlfn.XLOOKUP(TablaDatos[[#This Row],[PacienteID]],'Datos_Ejemplo.csv'!A:A,'Datos_Ejemplo.csv'!I:I)</f>
        <v>34</v>
      </c>
      <c r="N4855">
        <f>ABS(TablaDatos[[#This Row],[DiasOriginal]])</f>
        <v>34</v>
      </c>
      <c r="O4855" s="1">
        <f>TablaDatos[[#This Row],[FechaIngreso]]+TablaDatos[[#This Row],[DiasNuevo]]</f>
        <v>45651</v>
      </c>
    </row>
    <row r="4856" spans="1:15">
      <c r="A4856">
        <v>4855</v>
      </c>
      <c r="B4856" t="s">
        <v>301</v>
      </c>
      <c r="C4856" s="1">
        <v>39448</v>
      </c>
      <c r="D4856">
        <v>18</v>
      </c>
      <c r="E4856" s="4" t="s">
        <v>12</v>
      </c>
      <c r="F4856" t="s">
        <v>201</v>
      </c>
      <c r="G4856" s="1">
        <v>45059</v>
      </c>
      <c r="H4856" s="1">
        <f>TablaDatos[[#This Row],[FechaIngreso]]+TablaDatos[[#This Row],[DiasNuevo]]</f>
        <v>45082</v>
      </c>
      <c r="I4856">
        <v>23</v>
      </c>
      <c r="J4856" t="s">
        <v>19</v>
      </c>
      <c r="K4856" s="3">
        <v>4006.93</v>
      </c>
      <c r="L4856" t="b">
        <f>TablaDatos[[#This Row],[FechaAlta]] &lt; TablaDatos[[#This Row],[FechaIngreso]]</f>
        <v>0</v>
      </c>
      <c r="M4856">
        <f>_xlfn.XLOOKUP(TablaDatos[[#This Row],[PacienteID]],'Datos_Ejemplo.csv'!A:A,'Datos_Ejemplo.csv'!I:I)</f>
        <v>23</v>
      </c>
      <c r="N4856">
        <f>ABS(TablaDatos[[#This Row],[DiasOriginal]])</f>
        <v>23</v>
      </c>
      <c r="O4856" s="1">
        <f>TablaDatos[[#This Row],[FechaIngreso]]+TablaDatos[[#This Row],[DiasNuevo]]</f>
        <v>45082</v>
      </c>
    </row>
    <row r="4857" spans="1:15">
      <c r="A4857">
        <v>4856</v>
      </c>
      <c r="B4857" t="s">
        <v>341</v>
      </c>
      <c r="C4857" s="1">
        <v>22281</v>
      </c>
      <c r="D4857">
        <v>65</v>
      </c>
      <c r="E4857" s="4" t="s">
        <v>15</v>
      </c>
      <c r="F4857" t="s">
        <v>201</v>
      </c>
      <c r="G4857" s="1">
        <v>45524</v>
      </c>
      <c r="H4857" s="1">
        <f>TablaDatos[[#This Row],[FechaIngreso]]+TablaDatos[[#This Row],[DiasNuevo]]</f>
        <v>45529</v>
      </c>
      <c r="I4857">
        <v>5</v>
      </c>
      <c r="J4857" t="s">
        <v>23</v>
      </c>
      <c r="K4857" s="3">
        <v>14393.02</v>
      </c>
      <c r="L4857" t="b">
        <f>TablaDatos[[#This Row],[FechaAlta]] &lt; TablaDatos[[#This Row],[FechaIngreso]]</f>
        <v>0</v>
      </c>
      <c r="M4857">
        <f>_xlfn.XLOOKUP(TablaDatos[[#This Row],[PacienteID]],'Datos_Ejemplo.csv'!A:A,'Datos_Ejemplo.csv'!I:I)</f>
        <v>5</v>
      </c>
      <c r="N4857">
        <f>ABS(TablaDatos[[#This Row],[DiasOriginal]])</f>
        <v>5</v>
      </c>
      <c r="O4857" s="1">
        <f>TablaDatos[[#This Row],[FechaIngreso]]+TablaDatos[[#This Row],[DiasNuevo]]</f>
        <v>45529</v>
      </c>
    </row>
    <row r="4858" spans="1:15">
      <c r="A4858">
        <v>4857</v>
      </c>
      <c r="B4858" t="s">
        <v>245</v>
      </c>
      <c r="C4858" s="1">
        <v>31412</v>
      </c>
      <c r="D4858">
        <v>40</v>
      </c>
      <c r="E4858" s="4" t="s">
        <v>15</v>
      </c>
      <c r="F4858" t="s">
        <v>21</v>
      </c>
      <c r="G4858" s="1">
        <v>45383</v>
      </c>
      <c r="H4858" s="1">
        <f>TablaDatos[[#This Row],[FechaIngreso]]+TablaDatos[[#This Row],[DiasNuevo]]</f>
        <v>45402</v>
      </c>
      <c r="I4858">
        <v>19</v>
      </c>
      <c r="J4858" t="s">
        <v>25</v>
      </c>
      <c r="K4858" s="3">
        <v>8373.84</v>
      </c>
      <c r="L4858" t="b">
        <f>TablaDatos[[#This Row],[FechaAlta]] &lt; TablaDatos[[#This Row],[FechaIngreso]]</f>
        <v>0</v>
      </c>
      <c r="M4858">
        <f>_xlfn.XLOOKUP(TablaDatos[[#This Row],[PacienteID]],'Datos_Ejemplo.csv'!A:A,'Datos_Ejemplo.csv'!I:I)</f>
        <v>19</v>
      </c>
      <c r="N4858">
        <f>ABS(TablaDatos[[#This Row],[DiasOriginal]])</f>
        <v>19</v>
      </c>
      <c r="O4858" s="1">
        <f>TablaDatos[[#This Row],[FechaIngreso]]+TablaDatos[[#This Row],[DiasNuevo]]</f>
        <v>45402</v>
      </c>
    </row>
    <row r="4859" spans="1:15">
      <c r="A4859">
        <v>4858</v>
      </c>
      <c r="B4859" t="s">
        <v>300</v>
      </c>
      <c r="C4859" s="1">
        <v>29951</v>
      </c>
      <c r="D4859">
        <v>44</v>
      </c>
      <c r="E4859" s="4" t="s">
        <v>15</v>
      </c>
      <c r="F4859" t="s">
        <v>18</v>
      </c>
      <c r="G4859" s="1">
        <v>45279</v>
      </c>
      <c r="H4859" s="1">
        <f>TablaDatos[[#This Row],[FechaIngreso]]+TablaDatos[[#This Row],[DiasNuevo]]</f>
        <v>45281</v>
      </c>
      <c r="I4859">
        <v>2</v>
      </c>
      <c r="J4859" t="s">
        <v>23</v>
      </c>
      <c r="K4859" s="3">
        <v>14823.18</v>
      </c>
      <c r="L4859" t="b">
        <f>TablaDatos[[#This Row],[FechaAlta]] &lt; TablaDatos[[#This Row],[FechaIngreso]]</f>
        <v>0</v>
      </c>
      <c r="M4859">
        <f>_xlfn.XLOOKUP(TablaDatos[[#This Row],[PacienteID]],'Datos_Ejemplo.csv'!A:A,'Datos_Ejemplo.csv'!I:I)</f>
        <v>2</v>
      </c>
      <c r="N4859">
        <f>ABS(TablaDatos[[#This Row],[DiasOriginal]])</f>
        <v>2</v>
      </c>
      <c r="O4859" s="1">
        <f>TablaDatos[[#This Row],[FechaIngreso]]+TablaDatos[[#This Row],[DiasNuevo]]</f>
        <v>45281</v>
      </c>
    </row>
    <row r="4860" spans="1:15">
      <c r="A4860">
        <v>4859</v>
      </c>
      <c r="B4860" t="s">
        <v>116</v>
      </c>
      <c r="C4860" s="1">
        <v>40909</v>
      </c>
      <c r="D4860">
        <v>14</v>
      </c>
      <c r="E4860" s="4" t="s">
        <v>15</v>
      </c>
      <c r="F4860" t="s">
        <v>18</v>
      </c>
      <c r="G4860" s="1">
        <v>45270</v>
      </c>
      <c r="H4860" s="1">
        <f>TablaDatos[[#This Row],[FechaIngreso]]+TablaDatos[[#This Row],[DiasNuevo]]</f>
        <v>45271</v>
      </c>
      <c r="I4860">
        <v>1</v>
      </c>
      <c r="J4860" t="s">
        <v>23</v>
      </c>
      <c r="K4860" s="3">
        <v>8122.01</v>
      </c>
      <c r="L4860" t="b">
        <f>TablaDatos[[#This Row],[FechaAlta]] &lt; TablaDatos[[#This Row],[FechaIngreso]]</f>
        <v>0</v>
      </c>
      <c r="M4860">
        <f>_xlfn.XLOOKUP(TablaDatos[[#This Row],[PacienteID]],'Datos_Ejemplo.csv'!A:A,'Datos_Ejemplo.csv'!I:I)</f>
        <v>-1</v>
      </c>
      <c r="N4860">
        <f>ABS(TablaDatos[[#This Row],[DiasOriginal]])</f>
        <v>1</v>
      </c>
      <c r="O4860" s="1">
        <f>TablaDatos[[#This Row],[FechaIngreso]]+TablaDatos[[#This Row],[DiasNuevo]]</f>
        <v>45271</v>
      </c>
    </row>
    <row r="4861" spans="1:15">
      <c r="A4861">
        <v>4860</v>
      </c>
      <c r="B4861" t="s">
        <v>114</v>
      </c>
      <c r="C4861" s="1">
        <v>45292</v>
      </c>
      <c r="D4861">
        <v>2</v>
      </c>
      <c r="E4861" s="4" t="s">
        <v>197</v>
      </c>
      <c r="F4861" t="s">
        <v>32</v>
      </c>
      <c r="G4861" s="1">
        <v>45020</v>
      </c>
      <c r="H4861" s="1">
        <f>TablaDatos[[#This Row],[FechaIngreso]]+TablaDatos[[#This Row],[DiasNuevo]]</f>
        <v>45022</v>
      </c>
      <c r="I4861">
        <v>2</v>
      </c>
      <c r="J4861" t="s">
        <v>25</v>
      </c>
      <c r="K4861" s="3">
        <v>2081.1999999999998</v>
      </c>
      <c r="L4861" t="b">
        <f>TablaDatos[[#This Row],[FechaAlta]] &lt; TablaDatos[[#This Row],[FechaIngreso]]</f>
        <v>0</v>
      </c>
      <c r="M4861">
        <f>_xlfn.XLOOKUP(TablaDatos[[#This Row],[PacienteID]],'Datos_Ejemplo.csv'!A:A,'Datos_Ejemplo.csv'!I:I)</f>
        <v>2</v>
      </c>
      <c r="N4861">
        <f>ABS(TablaDatos[[#This Row],[DiasOriginal]])</f>
        <v>2</v>
      </c>
      <c r="O4861" s="1">
        <f>TablaDatos[[#This Row],[FechaIngreso]]+TablaDatos[[#This Row],[DiasNuevo]]</f>
        <v>45022</v>
      </c>
    </row>
    <row r="4862" spans="1:15">
      <c r="A4862">
        <v>4861</v>
      </c>
      <c r="B4862" t="s">
        <v>55</v>
      </c>
      <c r="C4862" s="1">
        <v>42370</v>
      </c>
      <c r="D4862">
        <v>10</v>
      </c>
      <c r="E4862" s="4" t="s">
        <v>15</v>
      </c>
      <c r="F4862" t="s">
        <v>13</v>
      </c>
      <c r="G4862" s="1">
        <v>45308</v>
      </c>
      <c r="H4862" s="1">
        <f>TablaDatos[[#This Row],[FechaIngreso]]+TablaDatos[[#This Row],[DiasNuevo]]</f>
        <v>45340</v>
      </c>
      <c r="I4862">
        <v>32</v>
      </c>
      <c r="J4862" t="s">
        <v>19</v>
      </c>
      <c r="K4862" s="3">
        <v>3378.38</v>
      </c>
      <c r="L4862" t="b">
        <f>TablaDatos[[#This Row],[FechaAlta]] &lt; TablaDatos[[#This Row],[FechaIngreso]]</f>
        <v>0</v>
      </c>
      <c r="M4862">
        <f>_xlfn.XLOOKUP(TablaDatos[[#This Row],[PacienteID]],'Datos_Ejemplo.csv'!A:A,'Datos_Ejemplo.csv'!I:I)</f>
        <v>32</v>
      </c>
      <c r="N4862">
        <f>ABS(TablaDatos[[#This Row],[DiasOriginal]])</f>
        <v>32</v>
      </c>
      <c r="O4862" s="1">
        <f>TablaDatos[[#This Row],[FechaIngreso]]+TablaDatos[[#This Row],[DiasNuevo]]</f>
        <v>45340</v>
      </c>
    </row>
    <row r="4863" spans="1:15">
      <c r="A4863">
        <v>4862</v>
      </c>
      <c r="B4863" t="s">
        <v>367</v>
      </c>
      <c r="C4863" s="1">
        <v>27029</v>
      </c>
      <c r="D4863">
        <v>52</v>
      </c>
      <c r="E4863" s="4" t="s">
        <v>15</v>
      </c>
      <c r="F4863" t="s">
        <v>18</v>
      </c>
      <c r="G4863" s="1">
        <v>45221</v>
      </c>
      <c r="H4863" s="1">
        <f>TablaDatos[[#This Row],[FechaIngreso]]+TablaDatos[[#This Row],[DiasNuevo]]</f>
        <v>45250</v>
      </c>
      <c r="I4863">
        <v>29</v>
      </c>
      <c r="J4863" t="s">
        <v>25</v>
      </c>
      <c r="K4863" s="3">
        <v>16212.56</v>
      </c>
      <c r="L4863" t="b">
        <f>TablaDatos[[#This Row],[FechaAlta]] &lt; TablaDatos[[#This Row],[FechaIngreso]]</f>
        <v>0</v>
      </c>
      <c r="M4863">
        <f>_xlfn.XLOOKUP(TablaDatos[[#This Row],[PacienteID]],'Datos_Ejemplo.csv'!A:A,'Datos_Ejemplo.csv'!I:I)</f>
        <v>29</v>
      </c>
      <c r="N4863">
        <f>ABS(TablaDatos[[#This Row],[DiasOriginal]])</f>
        <v>29</v>
      </c>
      <c r="O4863" s="1">
        <f>TablaDatos[[#This Row],[FechaIngreso]]+TablaDatos[[#This Row],[DiasNuevo]]</f>
        <v>45250</v>
      </c>
    </row>
    <row r="4864" spans="1:15">
      <c r="A4864">
        <v>4863</v>
      </c>
      <c r="B4864" t="s">
        <v>347</v>
      </c>
      <c r="C4864" s="1">
        <v>29586</v>
      </c>
      <c r="D4864">
        <v>45</v>
      </c>
      <c r="E4864" s="4" t="s">
        <v>15</v>
      </c>
      <c r="F4864" t="s">
        <v>18</v>
      </c>
      <c r="G4864" s="1">
        <v>45124</v>
      </c>
      <c r="H4864" s="1">
        <f>TablaDatos[[#This Row],[FechaIngreso]]+TablaDatos[[#This Row],[DiasNuevo]]</f>
        <v>45140</v>
      </c>
      <c r="I4864">
        <v>16</v>
      </c>
      <c r="J4864" t="s">
        <v>23</v>
      </c>
      <c r="K4864" s="3">
        <v>5098.1899999999996</v>
      </c>
      <c r="L4864" t="b">
        <f>TablaDatos[[#This Row],[FechaAlta]] &lt; TablaDatos[[#This Row],[FechaIngreso]]</f>
        <v>0</v>
      </c>
      <c r="M4864">
        <f>_xlfn.XLOOKUP(TablaDatos[[#This Row],[PacienteID]],'Datos_Ejemplo.csv'!A:A,'Datos_Ejemplo.csv'!I:I)</f>
        <v>16</v>
      </c>
      <c r="N4864">
        <f>ABS(TablaDatos[[#This Row],[DiasOriginal]])</f>
        <v>16</v>
      </c>
      <c r="O4864" s="1">
        <f>TablaDatos[[#This Row],[FechaIngreso]]+TablaDatos[[#This Row],[DiasNuevo]]</f>
        <v>45140</v>
      </c>
    </row>
    <row r="4865" spans="1:15">
      <c r="A4865">
        <v>4864</v>
      </c>
      <c r="B4865" t="s">
        <v>339</v>
      </c>
      <c r="C4865" s="1">
        <v>35430</v>
      </c>
      <c r="D4865">
        <v>29</v>
      </c>
      <c r="E4865" s="4" t="s">
        <v>15</v>
      </c>
      <c r="F4865" t="s">
        <v>13</v>
      </c>
      <c r="G4865" s="1">
        <v>45005</v>
      </c>
      <c r="H4865" s="1">
        <f>TablaDatos[[#This Row],[FechaIngreso]]+TablaDatos[[#This Row],[DiasNuevo]]</f>
        <v>45041</v>
      </c>
      <c r="I4865">
        <v>36</v>
      </c>
      <c r="J4865" t="s">
        <v>25</v>
      </c>
      <c r="K4865" s="3">
        <v>5213.5200000000004</v>
      </c>
      <c r="L4865" t="b">
        <f>TablaDatos[[#This Row],[FechaAlta]] &lt; TablaDatos[[#This Row],[FechaIngreso]]</f>
        <v>0</v>
      </c>
      <c r="M4865">
        <f>_xlfn.XLOOKUP(TablaDatos[[#This Row],[PacienteID]],'Datos_Ejemplo.csv'!A:A,'Datos_Ejemplo.csv'!I:I)</f>
        <v>36</v>
      </c>
      <c r="N4865">
        <f>ABS(TablaDatos[[#This Row],[DiasOriginal]])</f>
        <v>36</v>
      </c>
      <c r="O4865" s="1">
        <f>TablaDatos[[#This Row],[FechaIngreso]]+TablaDatos[[#This Row],[DiasNuevo]]</f>
        <v>45041</v>
      </c>
    </row>
    <row r="4866" spans="1:15">
      <c r="A4866">
        <v>4865</v>
      </c>
      <c r="B4866" t="s">
        <v>55</v>
      </c>
      <c r="C4866" s="1">
        <v>25568</v>
      </c>
      <c r="D4866">
        <v>56</v>
      </c>
      <c r="E4866" s="4" t="s">
        <v>12</v>
      </c>
      <c r="F4866" t="s">
        <v>21</v>
      </c>
      <c r="G4866" s="1">
        <v>45604</v>
      </c>
      <c r="H4866" s="1">
        <f>TablaDatos[[#This Row],[FechaIngreso]]+TablaDatos[[#This Row],[DiasNuevo]]</f>
        <v>45605</v>
      </c>
      <c r="I4866">
        <v>1</v>
      </c>
      <c r="J4866" t="s">
        <v>25</v>
      </c>
      <c r="K4866" s="3">
        <v>18580.3</v>
      </c>
      <c r="L4866" t="b">
        <f>TablaDatos[[#This Row],[FechaAlta]] &lt; TablaDatos[[#This Row],[FechaIngreso]]</f>
        <v>0</v>
      </c>
      <c r="M4866">
        <f>_xlfn.XLOOKUP(TablaDatos[[#This Row],[PacienteID]],'Datos_Ejemplo.csv'!A:A,'Datos_Ejemplo.csv'!I:I)</f>
        <v>1</v>
      </c>
      <c r="N4866">
        <f>ABS(TablaDatos[[#This Row],[DiasOriginal]])</f>
        <v>1</v>
      </c>
      <c r="O4866" s="1">
        <f>TablaDatos[[#This Row],[FechaIngreso]]+TablaDatos[[#This Row],[DiasNuevo]]</f>
        <v>45605</v>
      </c>
    </row>
    <row r="4867" spans="1:15">
      <c r="A4867">
        <v>4866</v>
      </c>
      <c r="B4867" t="s">
        <v>272</v>
      </c>
      <c r="C4867" s="1">
        <v>39813</v>
      </c>
      <c r="D4867">
        <v>17</v>
      </c>
      <c r="E4867" s="4" t="s">
        <v>15</v>
      </c>
      <c r="F4867" t="s">
        <v>32</v>
      </c>
      <c r="G4867" s="1">
        <v>45477</v>
      </c>
      <c r="H4867" s="1">
        <f>TablaDatos[[#This Row],[FechaIngreso]]+TablaDatos[[#This Row],[DiasNuevo]]</f>
        <v>45497</v>
      </c>
      <c r="I4867">
        <v>20</v>
      </c>
      <c r="J4867" t="s">
        <v>19</v>
      </c>
      <c r="K4867" s="3">
        <v>13118.48</v>
      </c>
      <c r="L4867" t="b">
        <f>TablaDatos[[#This Row],[FechaAlta]] &lt; TablaDatos[[#This Row],[FechaIngreso]]</f>
        <v>0</v>
      </c>
      <c r="M4867">
        <f>_xlfn.XLOOKUP(TablaDatos[[#This Row],[PacienteID]],'Datos_Ejemplo.csv'!A:A,'Datos_Ejemplo.csv'!I:I)</f>
        <v>20</v>
      </c>
      <c r="N4867">
        <f>ABS(TablaDatos[[#This Row],[DiasOriginal]])</f>
        <v>20</v>
      </c>
      <c r="O4867" s="1">
        <f>TablaDatos[[#This Row],[FechaIngreso]]+TablaDatos[[#This Row],[DiasNuevo]]</f>
        <v>45497</v>
      </c>
    </row>
    <row r="4868" spans="1:15">
      <c r="A4868">
        <v>4867</v>
      </c>
      <c r="B4868" t="s">
        <v>55</v>
      </c>
      <c r="C4868" s="1">
        <v>27760</v>
      </c>
      <c r="D4868">
        <v>50</v>
      </c>
      <c r="E4868" s="4" t="s">
        <v>12</v>
      </c>
      <c r="F4868" t="s">
        <v>32</v>
      </c>
      <c r="G4868" s="1">
        <v>45140</v>
      </c>
      <c r="H4868" s="1">
        <f>TablaDatos[[#This Row],[FechaIngreso]]+TablaDatos[[#This Row],[DiasNuevo]]</f>
        <v>45156</v>
      </c>
      <c r="I4868">
        <v>16</v>
      </c>
      <c r="J4868" t="s">
        <v>23</v>
      </c>
      <c r="K4868" s="3">
        <v>2197.58</v>
      </c>
      <c r="L4868" t="b">
        <f>TablaDatos[[#This Row],[FechaAlta]] &lt; TablaDatos[[#This Row],[FechaIngreso]]</f>
        <v>0</v>
      </c>
      <c r="M4868">
        <f>_xlfn.XLOOKUP(TablaDatos[[#This Row],[PacienteID]],'Datos_Ejemplo.csv'!A:A,'Datos_Ejemplo.csv'!I:I)</f>
        <v>16</v>
      </c>
      <c r="N4868">
        <f>ABS(TablaDatos[[#This Row],[DiasOriginal]])</f>
        <v>16</v>
      </c>
      <c r="O4868" s="1">
        <f>TablaDatos[[#This Row],[FechaIngreso]]+TablaDatos[[#This Row],[DiasNuevo]]</f>
        <v>45156</v>
      </c>
    </row>
    <row r="4869" spans="1:15">
      <c r="A4869">
        <v>4868</v>
      </c>
      <c r="B4869" t="s">
        <v>307</v>
      </c>
      <c r="C4869" s="1">
        <v>28856</v>
      </c>
      <c r="D4869">
        <v>47</v>
      </c>
      <c r="E4869" s="4" t="s">
        <v>15</v>
      </c>
      <c r="F4869" t="s">
        <v>32</v>
      </c>
      <c r="G4869" s="1">
        <v>45569</v>
      </c>
      <c r="H4869" s="1">
        <f>TablaDatos[[#This Row],[FechaIngreso]]+TablaDatos[[#This Row],[DiasNuevo]]</f>
        <v>45592</v>
      </c>
      <c r="I4869">
        <v>23</v>
      </c>
      <c r="J4869" t="s">
        <v>23</v>
      </c>
      <c r="K4869" s="3">
        <v>2786.06</v>
      </c>
      <c r="L4869" t="b">
        <f>TablaDatos[[#This Row],[FechaAlta]] &lt; TablaDatos[[#This Row],[FechaIngreso]]</f>
        <v>0</v>
      </c>
      <c r="M4869">
        <f>_xlfn.XLOOKUP(TablaDatos[[#This Row],[PacienteID]],'Datos_Ejemplo.csv'!A:A,'Datos_Ejemplo.csv'!I:I)</f>
        <v>23</v>
      </c>
      <c r="N4869">
        <f>ABS(TablaDatos[[#This Row],[DiasOriginal]])</f>
        <v>23</v>
      </c>
      <c r="O4869" s="1">
        <f>TablaDatos[[#This Row],[FechaIngreso]]+TablaDatos[[#This Row],[DiasNuevo]]</f>
        <v>45592</v>
      </c>
    </row>
    <row r="4870" spans="1:15">
      <c r="A4870">
        <v>4869</v>
      </c>
      <c r="B4870" t="s">
        <v>294</v>
      </c>
      <c r="C4870" s="1">
        <v>22281</v>
      </c>
      <c r="D4870">
        <v>65</v>
      </c>
      <c r="E4870" s="4" t="s">
        <v>12</v>
      </c>
      <c r="F4870" t="s">
        <v>18</v>
      </c>
      <c r="G4870" s="1">
        <v>45595</v>
      </c>
      <c r="H4870" s="1">
        <f>TablaDatos[[#This Row],[FechaIngreso]]+TablaDatos[[#This Row],[DiasNuevo]]</f>
        <v>45618</v>
      </c>
      <c r="I4870">
        <v>23</v>
      </c>
      <c r="J4870" t="s">
        <v>19</v>
      </c>
      <c r="K4870" s="3">
        <v>5374.59</v>
      </c>
      <c r="L4870" t="b">
        <f>TablaDatos[[#This Row],[FechaAlta]] &lt; TablaDatos[[#This Row],[FechaIngreso]]</f>
        <v>0</v>
      </c>
      <c r="M4870">
        <f>_xlfn.XLOOKUP(TablaDatos[[#This Row],[PacienteID]],'Datos_Ejemplo.csv'!A:A,'Datos_Ejemplo.csv'!I:I)</f>
        <v>23</v>
      </c>
      <c r="N4870">
        <f>ABS(TablaDatos[[#This Row],[DiasOriginal]])</f>
        <v>23</v>
      </c>
      <c r="O4870" s="1">
        <f>TablaDatos[[#This Row],[FechaIngreso]]+TablaDatos[[#This Row],[DiasNuevo]]</f>
        <v>45618</v>
      </c>
    </row>
    <row r="4871" spans="1:15">
      <c r="A4871">
        <v>4870</v>
      </c>
      <c r="B4871" t="s">
        <v>336</v>
      </c>
      <c r="C4871" s="1">
        <v>43466</v>
      </c>
      <c r="D4871">
        <v>7</v>
      </c>
      <c r="E4871" s="4" t="s">
        <v>12</v>
      </c>
      <c r="F4871" t="s">
        <v>21</v>
      </c>
      <c r="G4871" s="1">
        <v>45085</v>
      </c>
      <c r="H4871" s="1">
        <f>TablaDatos[[#This Row],[FechaIngreso]]+TablaDatos[[#This Row],[DiasNuevo]]</f>
        <v>45089</v>
      </c>
      <c r="I4871">
        <v>4</v>
      </c>
      <c r="J4871" t="s">
        <v>23</v>
      </c>
      <c r="K4871" s="3">
        <v>11839.31</v>
      </c>
      <c r="L4871" t="b">
        <f>TablaDatos[[#This Row],[FechaAlta]] &lt; TablaDatos[[#This Row],[FechaIngreso]]</f>
        <v>0</v>
      </c>
      <c r="M4871">
        <f>_xlfn.XLOOKUP(TablaDatos[[#This Row],[PacienteID]],'Datos_Ejemplo.csv'!A:A,'Datos_Ejemplo.csv'!I:I)</f>
        <v>4</v>
      </c>
      <c r="N4871">
        <f>ABS(TablaDatos[[#This Row],[DiasOriginal]])</f>
        <v>4</v>
      </c>
      <c r="O4871" s="1">
        <f>TablaDatos[[#This Row],[FechaIngreso]]+TablaDatos[[#This Row],[DiasNuevo]]</f>
        <v>45089</v>
      </c>
    </row>
    <row r="4872" spans="1:15">
      <c r="A4872">
        <v>4871</v>
      </c>
      <c r="B4872" t="s">
        <v>329</v>
      </c>
      <c r="C4872" s="1">
        <v>38352</v>
      </c>
      <c r="D4872">
        <v>21</v>
      </c>
      <c r="E4872" s="4" t="s">
        <v>12</v>
      </c>
      <c r="F4872" t="s">
        <v>32</v>
      </c>
      <c r="G4872" s="1">
        <v>45483</v>
      </c>
      <c r="H4872" s="1">
        <f>TablaDatos[[#This Row],[FechaIngreso]]+TablaDatos[[#This Row],[DiasNuevo]]</f>
        <v>45512</v>
      </c>
      <c r="I4872">
        <v>29</v>
      </c>
      <c r="J4872" t="s">
        <v>25</v>
      </c>
      <c r="K4872" s="3">
        <v>15031.79</v>
      </c>
      <c r="L4872" t="b">
        <f>TablaDatos[[#This Row],[FechaAlta]] &lt; TablaDatos[[#This Row],[FechaIngreso]]</f>
        <v>0</v>
      </c>
      <c r="M4872">
        <f>_xlfn.XLOOKUP(TablaDatos[[#This Row],[PacienteID]],'Datos_Ejemplo.csv'!A:A,'Datos_Ejemplo.csv'!I:I)</f>
        <v>29</v>
      </c>
      <c r="N4872">
        <f>ABS(TablaDatos[[#This Row],[DiasOriginal]])</f>
        <v>29</v>
      </c>
      <c r="O4872" s="1">
        <f>TablaDatos[[#This Row],[FechaIngreso]]+TablaDatos[[#This Row],[DiasNuevo]]</f>
        <v>45512</v>
      </c>
    </row>
    <row r="4873" spans="1:15">
      <c r="A4873">
        <v>4872</v>
      </c>
      <c r="B4873" t="s">
        <v>274</v>
      </c>
      <c r="C4873" s="1">
        <v>44196</v>
      </c>
      <c r="D4873">
        <v>5</v>
      </c>
      <c r="E4873" s="4" t="s">
        <v>12</v>
      </c>
      <c r="F4873" t="s">
        <v>13</v>
      </c>
      <c r="G4873" s="1">
        <v>45127</v>
      </c>
      <c r="H4873" s="1">
        <f>TablaDatos[[#This Row],[FechaIngreso]]+TablaDatos[[#This Row],[DiasNuevo]]</f>
        <v>45157</v>
      </c>
      <c r="I4873">
        <v>30</v>
      </c>
      <c r="J4873" t="s">
        <v>25</v>
      </c>
      <c r="K4873" s="3">
        <v>5417.38</v>
      </c>
      <c r="L4873" t="b">
        <f>TablaDatos[[#This Row],[FechaAlta]] &lt; TablaDatos[[#This Row],[FechaIngreso]]</f>
        <v>0</v>
      </c>
      <c r="M4873">
        <f>_xlfn.XLOOKUP(TablaDatos[[#This Row],[PacienteID]],'Datos_Ejemplo.csv'!A:A,'Datos_Ejemplo.csv'!I:I)</f>
        <v>30</v>
      </c>
      <c r="N4873">
        <f>ABS(TablaDatos[[#This Row],[DiasOriginal]])</f>
        <v>30</v>
      </c>
      <c r="O4873" s="1">
        <f>TablaDatos[[#This Row],[FechaIngreso]]+TablaDatos[[#This Row],[DiasNuevo]]</f>
        <v>45157</v>
      </c>
    </row>
    <row r="4874" spans="1:15">
      <c r="A4874">
        <v>4873</v>
      </c>
      <c r="B4874" t="s">
        <v>151</v>
      </c>
      <c r="C4874" s="1">
        <v>18629</v>
      </c>
      <c r="D4874">
        <v>75</v>
      </c>
      <c r="E4874" s="4" t="s">
        <v>12</v>
      </c>
      <c r="F4874" t="s">
        <v>32</v>
      </c>
      <c r="G4874" s="1">
        <v>44948</v>
      </c>
      <c r="H4874" s="1">
        <f>TablaDatos[[#This Row],[FechaIngreso]]+TablaDatos[[#This Row],[DiasNuevo]]</f>
        <v>44971</v>
      </c>
      <c r="I4874">
        <v>23</v>
      </c>
      <c r="J4874" t="s">
        <v>25</v>
      </c>
      <c r="K4874" s="3">
        <v>17399.900000000001</v>
      </c>
      <c r="L4874" t="b">
        <f>TablaDatos[[#This Row],[FechaAlta]] &lt; TablaDatos[[#This Row],[FechaIngreso]]</f>
        <v>0</v>
      </c>
      <c r="M4874">
        <f>_xlfn.XLOOKUP(TablaDatos[[#This Row],[PacienteID]],'Datos_Ejemplo.csv'!A:A,'Datos_Ejemplo.csv'!I:I)</f>
        <v>23</v>
      </c>
      <c r="N4874">
        <f>ABS(TablaDatos[[#This Row],[DiasOriginal]])</f>
        <v>23</v>
      </c>
      <c r="O4874" s="1">
        <f>TablaDatos[[#This Row],[FechaIngreso]]+TablaDatos[[#This Row],[DiasNuevo]]</f>
        <v>44971</v>
      </c>
    </row>
    <row r="4875" spans="1:15">
      <c r="A4875">
        <v>4874</v>
      </c>
      <c r="B4875" t="s">
        <v>363</v>
      </c>
      <c r="C4875" s="1">
        <v>25568</v>
      </c>
      <c r="D4875">
        <v>56</v>
      </c>
      <c r="E4875" s="4" t="s">
        <v>15</v>
      </c>
      <c r="F4875" t="s">
        <v>201</v>
      </c>
      <c r="G4875" s="1">
        <v>45265</v>
      </c>
      <c r="H4875" s="1">
        <f>TablaDatos[[#This Row],[FechaIngreso]]+TablaDatos[[#This Row],[DiasNuevo]]</f>
        <v>45286</v>
      </c>
      <c r="I4875">
        <v>21</v>
      </c>
      <c r="J4875" t="s">
        <v>23</v>
      </c>
      <c r="K4875" s="3">
        <v>2094.52</v>
      </c>
      <c r="L4875" t="b">
        <f>TablaDatos[[#This Row],[FechaAlta]] &lt; TablaDatos[[#This Row],[FechaIngreso]]</f>
        <v>0</v>
      </c>
      <c r="M4875">
        <f>_xlfn.XLOOKUP(TablaDatos[[#This Row],[PacienteID]],'Datos_Ejemplo.csv'!A:A,'Datos_Ejemplo.csv'!I:I)</f>
        <v>21</v>
      </c>
      <c r="N4875">
        <f>ABS(TablaDatos[[#This Row],[DiasOriginal]])</f>
        <v>21</v>
      </c>
      <c r="O4875" s="1">
        <f>TablaDatos[[#This Row],[FechaIngreso]]+TablaDatos[[#This Row],[DiasNuevo]]</f>
        <v>45286</v>
      </c>
    </row>
    <row r="4876" spans="1:15">
      <c r="A4876">
        <v>4875</v>
      </c>
      <c r="B4876" t="s">
        <v>235</v>
      </c>
      <c r="C4876" s="1">
        <v>33239</v>
      </c>
      <c r="D4876">
        <v>35</v>
      </c>
      <c r="E4876" s="4" t="s">
        <v>12</v>
      </c>
      <c r="F4876" t="s">
        <v>295</v>
      </c>
      <c r="G4876" s="1">
        <v>45168</v>
      </c>
      <c r="H4876" s="1">
        <f>TablaDatos[[#This Row],[FechaIngreso]]+TablaDatos[[#This Row],[DiasNuevo]]</f>
        <v>45188</v>
      </c>
      <c r="I4876">
        <v>20</v>
      </c>
      <c r="J4876" t="s">
        <v>23</v>
      </c>
      <c r="K4876" s="3">
        <v>4072.74</v>
      </c>
      <c r="L4876" t="b">
        <f>TablaDatos[[#This Row],[FechaAlta]] &lt; TablaDatos[[#This Row],[FechaIngreso]]</f>
        <v>0</v>
      </c>
      <c r="M4876">
        <f>_xlfn.XLOOKUP(TablaDatos[[#This Row],[PacienteID]],'Datos_Ejemplo.csv'!A:A,'Datos_Ejemplo.csv'!I:I)</f>
        <v>20</v>
      </c>
      <c r="N4876">
        <f>ABS(TablaDatos[[#This Row],[DiasOriginal]])</f>
        <v>20</v>
      </c>
      <c r="O4876" s="1">
        <f>TablaDatos[[#This Row],[FechaIngreso]]+TablaDatos[[#This Row],[DiasNuevo]]</f>
        <v>45188</v>
      </c>
    </row>
    <row r="4877" spans="1:15">
      <c r="A4877">
        <v>4876</v>
      </c>
      <c r="B4877" t="s">
        <v>333</v>
      </c>
      <c r="C4877" s="1">
        <v>17533</v>
      </c>
      <c r="D4877">
        <v>78</v>
      </c>
      <c r="E4877" s="4" t="s">
        <v>12</v>
      </c>
      <c r="F4877" t="s">
        <v>21</v>
      </c>
      <c r="G4877" s="1">
        <v>45164</v>
      </c>
      <c r="H4877" s="1">
        <f>TablaDatos[[#This Row],[FechaIngreso]]+TablaDatos[[#This Row],[DiasNuevo]]</f>
        <v>45199</v>
      </c>
      <c r="I4877">
        <v>35</v>
      </c>
      <c r="J4877" t="s">
        <v>25</v>
      </c>
      <c r="K4877" s="3">
        <v>19406.34</v>
      </c>
      <c r="L4877" t="b">
        <f>TablaDatos[[#This Row],[FechaAlta]] &lt; TablaDatos[[#This Row],[FechaIngreso]]</f>
        <v>0</v>
      </c>
      <c r="M4877">
        <f>_xlfn.XLOOKUP(TablaDatos[[#This Row],[PacienteID]],'Datos_Ejemplo.csv'!A:A,'Datos_Ejemplo.csv'!I:I)</f>
        <v>35</v>
      </c>
      <c r="N4877">
        <f>ABS(TablaDatos[[#This Row],[DiasOriginal]])</f>
        <v>35</v>
      </c>
      <c r="O4877" s="1">
        <f>TablaDatos[[#This Row],[FechaIngreso]]+TablaDatos[[#This Row],[DiasNuevo]]</f>
        <v>45199</v>
      </c>
    </row>
    <row r="4878" spans="1:15">
      <c r="A4878">
        <v>4877</v>
      </c>
      <c r="B4878" t="s">
        <v>360</v>
      </c>
      <c r="C4878" s="1">
        <v>12785</v>
      </c>
      <c r="D4878">
        <v>91</v>
      </c>
      <c r="E4878" s="4" t="s">
        <v>12</v>
      </c>
      <c r="F4878" t="s">
        <v>295</v>
      </c>
      <c r="G4878" s="1">
        <v>45075</v>
      </c>
      <c r="H4878" s="1">
        <f>TablaDatos[[#This Row],[FechaIngreso]]+TablaDatos[[#This Row],[DiasNuevo]]</f>
        <v>45098</v>
      </c>
      <c r="I4878">
        <v>23</v>
      </c>
      <c r="J4878" t="s">
        <v>23</v>
      </c>
      <c r="K4878" s="3">
        <v>2608.37</v>
      </c>
      <c r="L4878" t="b">
        <f>TablaDatos[[#This Row],[FechaAlta]] &lt; TablaDatos[[#This Row],[FechaIngreso]]</f>
        <v>0</v>
      </c>
      <c r="M4878">
        <f>_xlfn.XLOOKUP(TablaDatos[[#This Row],[PacienteID]],'Datos_Ejemplo.csv'!A:A,'Datos_Ejemplo.csv'!I:I)</f>
        <v>23</v>
      </c>
      <c r="N4878">
        <f>ABS(TablaDatos[[#This Row],[DiasOriginal]])</f>
        <v>23</v>
      </c>
      <c r="O4878" s="1">
        <f>TablaDatos[[#This Row],[FechaIngreso]]+TablaDatos[[#This Row],[DiasNuevo]]</f>
        <v>45098</v>
      </c>
    </row>
    <row r="4879" spans="1:15">
      <c r="A4879">
        <v>4878</v>
      </c>
      <c r="B4879" t="s">
        <v>280</v>
      </c>
      <c r="C4879" s="1">
        <v>25568</v>
      </c>
      <c r="D4879">
        <v>56</v>
      </c>
      <c r="E4879" s="4" t="s">
        <v>15</v>
      </c>
      <c r="F4879" t="s">
        <v>21</v>
      </c>
      <c r="G4879" s="1">
        <v>45505</v>
      </c>
      <c r="H4879" s="1">
        <f>TablaDatos[[#This Row],[FechaIngreso]]+TablaDatos[[#This Row],[DiasNuevo]]</f>
        <v>45533</v>
      </c>
      <c r="I4879">
        <v>28</v>
      </c>
      <c r="J4879" t="s">
        <v>19</v>
      </c>
      <c r="K4879" s="3">
        <v>17751.04</v>
      </c>
      <c r="L4879" t="b">
        <f>TablaDatos[[#This Row],[FechaAlta]] &lt; TablaDatos[[#This Row],[FechaIngreso]]</f>
        <v>0</v>
      </c>
      <c r="M4879">
        <f>_xlfn.XLOOKUP(TablaDatos[[#This Row],[PacienteID]],'Datos_Ejemplo.csv'!A:A,'Datos_Ejemplo.csv'!I:I)</f>
        <v>28</v>
      </c>
      <c r="N4879">
        <f>ABS(TablaDatos[[#This Row],[DiasOriginal]])</f>
        <v>28</v>
      </c>
      <c r="O4879" s="1">
        <f>TablaDatos[[#This Row],[FechaIngreso]]+TablaDatos[[#This Row],[DiasNuevo]]</f>
        <v>45533</v>
      </c>
    </row>
    <row r="4880" spans="1:15">
      <c r="A4880">
        <v>4879</v>
      </c>
      <c r="B4880" t="s">
        <v>230</v>
      </c>
      <c r="C4880" s="1">
        <f ca="1">DATE(YEAR(TODAY())-TablaDatos[[#This Row],[Edad]],1,1)</f>
        <v>28491</v>
      </c>
      <c r="D4880">
        <v>48</v>
      </c>
      <c r="E4880" s="4" t="s">
        <v>15</v>
      </c>
      <c r="F4880" t="s">
        <v>261</v>
      </c>
      <c r="G4880" s="1">
        <v>44933</v>
      </c>
      <c r="H4880" s="1">
        <f>TablaDatos[[#This Row],[FechaIngreso]]+TablaDatos[[#This Row],[DiasNuevo]]</f>
        <v>44936</v>
      </c>
      <c r="I4880">
        <v>3</v>
      </c>
      <c r="J4880" t="s">
        <v>19</v>
      </c>
      <c r="K4880" s="3">
        <v>14049.1</v>
      </c>
      <c r="L4880" t="b">
        <f>TablaDatos[[#This Row],[FechaAlta]] &lt; TablaDatos[[#This Row],[FechaIngreso]]</f>
        <v>0</v>
      </c>
      <c r="M4880">
        <f>_xlfn.XLOOKUP(TablaDatos[[#This Row],[PacienteID]],'Datos_Ejemplo.csv'!A:A,'Datos_Ejemplo.csv'!I:I)</f>
        <v>3</v>
      </c>
      <c r="N4880">
        <f>ABS(TablaDatos[[#This Row],[DiasOriginal]])</f>
        <v>3</v>
      </c>
      <c r="O4880" s="1">
        <f>TablaDatos[[#This Row],[FechaIngreso]]+TablaDatos[[#This Row],[DiasNuevo]]</f>
        <v>44936</v>
      </c>
    </row>
    <row r="4881" spans="1:15">
      <c r="A4881">
        <v>4880</v>
      </c>
      <c r="B4881" t="s">
        <v>152</v>
      </c>
      <c r="C4881" s="1">
        <f ca="1">DATE(YEAR(TODAY())-TablaDatos[[#This Row],[Edad]],1,1)</f>
        <v>29952</v>
      </c>
      <c r="D4881">
        <v>44</v>
      </c>
      <c r="E4881" s="4" t="s">
        <v>12</v>
      </c>
      <c r="F4881" t="s">
        <v>13</v>
      </c>
      <c r="G4881" s="1">
        <v>45159</v>
      </c>
      <c r="H4881" s="1">
        <f>TablaDatos[[#This Row],[FechaIngreso]]+TablaDatos[[#This Row],[DiasNuevo]]</f>
        <v>45187</v>
      </c>
      <c r="I4881">
        <v>28</v>
      </c>
      <c r="J4881" t="s">
        <v>23</v>
      </c>
      <c r="K4881" s="3">
        <v>1369.05</v>
      </c>
      <c r="L4881" t="b">
        <f>TablaDatos[[#This Row],[FechaAlta]] &lt; TablaDatos[[#This Row],[FechaIngreso]]</f>
        <v>0</v>
      </c>
      <c r="M4881">
        <f>_xlfn.XLOOKUP(TablaDatos[[#This Row],[PacienteID]],'Datos_Ejemplo.csv'!A:A,'Datos_Ejemplo.csv'!I:I)</f>
        <v>28</v>
      </c>
      <c r="N4881">
        <f>ABS(TablaDatos[[#This Row],[DiasOriginal]])</f>
        <v>28</v>
      </c>
      <c r="O4881" s="1">
        <f>TablaDatos[[#This Row],[FechaIngreso]]+TablaDatos[[#This Row],[DiasNuevo]]</f>
        <v>45187</v>
      </c>
    </row>
    <row r="4882" spans="1:15">
      <c r="A4882">
        <v>4881</v>
      </c>
      <c r="B4882" t="s">
        <v>349</v>
      </c>
      <c r="C4882" s="1">
        <v>16437</v>
      </c>
      <c r="D4882">
        <v>81</v>
      </c>
      <c r="E4882" s="4" t="s">
        <v>15</v>
      </c>
      <c r="F4882" t="s">
        <v>261</v>
      </c>
      <c r="G4882" s="1">
        <v>45505</v>
      </c>
      <c r="H4882" s="1">
        <f>TablaDatos[[#This Row],[FechaIngreso]]+TablaDatos[[#This Row],[DiasNuevo]]</f>
        <v>45542</v>
      </c>
      <c r="I4882">
        <v>37</v>
      </c>
      <c r="J4882" t="s">
        <v>25</v>
      </c>
      <c r="K4882" s="3">
        <v>9622.51</v>
      </c>
      <c r="L4882" t="b">
        <f>TablaDatos[[#This Row],[FechaAlta]] &lt; TablaDatos[[#This Row],[FechaIngreso]]</f>
        <v>0</v>
      </c>
      <c r="M4882">
        <f>_xlfn.XLOOKUP(TablaDatos[[#This Row],[PacienteID]],'Datos_Ejemplo.csv'!A:A,'Datos_Ejemplo.csv'!I:I)</f>
        <v>37</v>
      </c>
      <c r="N4882">
        <f>ABS(TablaDatos[[#This Row],[DiasOriginal]])</f>
        <v>37</v>
      </c>
      <c r="O4882" s="1">
        <f>TablaDatos[[#This Row],[FechaIngreso]]+TablaDatos[[#This Row],[DiasNuevo]]</f>
        <v>45542</v>
      </c>
    </row>
    <row r="4883" spans="1:15">
      <c r="A4883">
        <v>4882</v>
      </c>
      <c r="B4883" t="s">
        <v>360</v>
      </c>
      <c r="C4883" s="1">
        <v>22281</v>
      </c>
      <c r="D4883">
        <v>65</v>
      </c>
      <c r="E4883" s="4" t="s">
        <v>15</v>
      </c>
      <c r="F4883" t="s">
        <v>18</v>
      </c>
      <c r="G4883" s="1">
        <v>45003</v>
      </c>
      <c r="H4883" s="1">
        <f>TablaDatos[[#This Row],[FechaIngreso]]+TablaDatos[[#This Row],[DiasNuevo]]</f>
        <v>45012</v>
      </c>
      <c r="I4883">
        <v>9</v>
      </c>
      <c r="J4883" t="s">
        <v>25</v>
      </c>
      <c r="K4883" s="3">
        <v>10331.48</v>
      </c>
      <c r="L4883" t="b">
        <f>TablaDatos[[#This Row],[FechaAlta]] &lt; TablaDatos[[#This Row],[FechaIngreso]]</f>
        <v>0</v>
      </c>
      <c r="M4883">
        <f>_xlfn.XLOOKUP(TablaDatos[[#This Row],[PacienteID]],'Datos_Ejemplo.csv'!A:A,'Datos_Ejemplo.csv'!I:I)</f>
        <v>9</v>
      </c>
      <c r="N4883">
        <f>ABS(TablaDatos[[#This Row],[DiasOriginal]])</f>
        <v>9</v>
      </c>
      <c r="O4883" s="1">
        <f>TablaDatos[[#This Row],[FechaIngreso]]+TablaDatos[[#This Row],[DiasNuevo]]</f>
        <v>45012</v>
      </c>
    </row>
    <row r="4884" spans="1:15">
      <c r="A4884">
        <v>4883</v>
      </c>
      <c r="B4884" t="s">
        <v>259</v>
      </c>
      <c r="C4884" s="1">
        <v>18263</v>
      </c>
      <c r="D4884">
        <v>76</v>
      </c>
      <c r="E4884" s="4" t="s">
        <v>15</v>
      </c>
      <c r="F4884" t="s">
        <v>18</v>
      </c>
      <c r="G4884" s="1">
        <v>45415</v>
      </c>
      <c r="H4884" s="1">
        <f>TablaDatos[[#This Row],[FechaIngreso]]+TablaDatos[[#This Row],[DiasNuevo]]</f>
        <v>45429</v>
      </c>
      <c r="I4884">
        <v>14</v>
      </c>
      <c r="J4884" t="s">
        <v>25</v>
      </c>
      <c r="K4884" s="3">
        <v>18636.009999999998</v>
      </c>
      <c r="L4884" t="b">
        <f>TablaDatos[[#This Row],[FechaAlta]] &lt; TablaDatos[[#This Row],[FechaIngreso]]</f>
        <v>0</v>
      </c>
      <c r="M4884">
        <f>_xlfn.XLOOKUP(TablaDatos[[#This Row],[PacienteID]],'Datos_Ejemplo.csv'!A:A,'Datos_Ejemplo.csv'!I:I)</f>
        <v>14</v>
      </c>
      <c r="N4884">
        <f>ABS(TablaDatos[[#This Row],[DiasOriginal]])</f>
        <v>14</v>
      </c>
      <c r="O4884" s="1">
        <f>TablaDatos[[#This Row],[FechaIngreso]]+TablaDatos[[#This Row],[DiasNuevo]]</f>
        <v>45429</v>
      </c>
    </row>
    <row r="4885" spans="1:15">
      <c r="A4885">
        <v>4884</v>
      </c>
      <c r="B4885" t="s">
        <v>308</v>
      </c>
      <c r="C4885" s="1">
        <v>29951</v>
      </c>
      <c r="D4885">
        <v>44</v>
      </c>
      <c r="E4885" s="4" t="s">
        <v>12</v>
      </c>
      <c r="F4885" t="s">
        <v>261</v>
      </c>
      <c r="G4885" s="1">
        <v>45013</v>
      </c>
      <c r="H4885" s="1">
        <f>TablaDatos[[#This Row],[FechaIngreso]]+TablaDatos[[#This Row],[DiasNuevo]]</f>
        <v>45036</v>
      </c>
      <c r="I4885">
        <v>23</v>
      </c>
      <c r="J4885" t="s">
        <v>25</v>
      </c>
      <c r="K4885" s="3">
        <v>8364.2000000000007</v>
      </c>
      <c r="L4885" t="b">
        <f>TablaDatos[[#This Row],[FechaAlta]] &lt; TablaDatos[[#This Row],[FechaIngreso]]</f>
        <v>0</v>
      </c>
      <c r="M4885">
        <f>_xlfn.XLOOKUP(TablaDatos[[#This Row],[PacienteID]],'Datos_Ejemplo.csv'!A:A,'Datos_Ejemplo.csv'!I:I)</f>
        <v>23</v>
      </c>
      <c r="N4885">
        <f>ABS(TablaDatos[[#This Row],[DiasOriginal]])</f>
        <v>23</v>
      </c>
      <c r="O4885" s="1">
        <f>TablaDatos[[#This Row],[FechaIngreso]]+TablaDatos[[#This Row],[DiasNuevo]]</f>
        <v>45036</v>
      </c>
    </row>
    <row r="4886" spans="1:15">
      <c r="A4886">
        <v>4885</v>
      </c>
      <c r="B4886" t="s">
        <v>333</v>
      </c>
      <c r="C4886" s="1">
        <v>17533</v>
      </c>
      <c r="D4886">
        <v>78</v>
      </c>
      <c r="E4886" s="4" t="s">
        <v>197</v>
      </c>
      <c r="F4886" t="s">
        <v>21</v>
      </c>
      <c r="G4886" s="1">
        <v>45148</v>
      </c>
      <c r="H4886" s="1">
        <f>TablaDatos[[#This Row],[FechaIngreso]]+TablaDatos[[#This Row],[DiasNuevo]]</f>
        <v>45148</v>
      </c>
      <c r="I4886">
        <v>0</v>
      </c>
      <c r="J4886" t="s">
        <v>23</v>
      </c>
      <c r="K4886" s="3">
        <v>8879.9500000000007</v>
      </c>
      <c r="L4886" t="b">
        <f>TablaDatos[[#This Row],[FechaAlta]] &lt; TablaDatos[[#This Row],[FechaIngreso]]</f>
        <v>0</v>
      </c>
      <c r="M4886">
        <f>_xlfn.XLOOKUP(TablaDatos[[#This Row],[PacienteID]],'Datos_Ejemplo.csv'!A:A,'Datos_Ejemplo.csv'!I:I)</f>
        <v>0</v>
      </c>
      <c r="N4886">
        <f>ABS(TablaDatos[[#This Row],[DiasOriginal]])</f>
        <v>0</v>
      </c>
      <c r="O4886" s="1">
        <f>TablaDatos[[#This Row],[FechaIngreso]]+TablaDatos[[#This Row],[DiasNuevo]]</f>
        <v>45148</v>
      </c>
    </row>
    <row r="4887" spans="1:15">
      <c r="A4887">
        <v>4886</v>
      </c>
      <c r="B4887" t="s">
        <v>286</v>
      </c>
      <c r="C4887" s="1">
        <f ca="1">DATE(YEAR(TODAY())-TablaDatos[[#This Row],[Edad]],1,1)</f>
        <v>39083</v>
      </c>
      <c r="D4887">
        <v>19</v>
      </c>
      <c r="E4887" s="4" t="s">
        <v>12</v>
      </c>
      <c r="F4887" t="s">
        <v>32</v>
      </c>
      <c r="G4887" s="1">
        <v>45339</v>
      </c>
      <c r="H4887" s="1">
        <f>TablaDatos[[#This Row],[FechaIngreso]]+TablaDatos[[#This Row],[DiasNuevo]]</f>
        <v>45351</v>
      </c>
      <c r="I4887">
        <v>12</v>
      </c>
      <c r="J4887" t="s">
        <v>23</v>
      </c>
      <c r="K4887" s="3">
        <v>2160.92</v>
      </c>
      <c r="L4887" t="b">
        <f>TablaDatos[[#This Row],[FechaAlta]] &lt; TablaDatos[[#This Row],[FechaIngreso]]</f>
        <v>0</v>
      </c>
      <c r="M4887">
        <f>_xlfn.XLOOKUP(TablaDatos[[#This Row],[PacienteID]],'Datos_Ejemplo.csv'!A:A,'Datos_Ejemplo.csv'!I:I)</f>
        <v>12</v>
      </c>
      <c r="N4887">
        <f>ABS(TablaDatos[[#This Row],[DiasOriginal]])</f>
        <v>12</v>
      </c>
      <c r="O4887" s="1">
        <f>TablaDatos[[#This Row],[FechaIngreso]]+TablaDatos[[#This Row],[DiasNuevo]]</f>
        <v>45351</v>
      </c>
    </row>
    <row r="4888" spans="1:15">
      <c r="A4888">
        <v>4887</v>
      </c>
      <c r="B4888" t="s">
        <v>344</v>
      </c>
      <c r="C4888" s="1">
        <v>23012</v>
      </c>
      <c r="D4888">
        <v>63</v>
      </c>
      <c r="E4888" s="4" t="s">
        <v>15</v>
      </c>
      <c r="F4888" t="s">
        <v>295</v>
      </c>
      <c r="G4888" s="1">
        <v>45510</v>
      </c>
      <c r="H4888" s="1">
        <f>TablaDatos[[#This Row],[FechaIngreso]]+TablaDatos[[#This Row],[DiasNuevo]]</f>
        <v>45545</v>
      </c>
      <c r="I4888">
        <v>35</v>
      </c>
      <c r="J4888" t="s">
        <v>23</v>
      </c>
      <c r="K4888" s="3">
        <v>12747.37</v>
      </c>
      <c r="L4888" t="b">
        <f>TablaDatos[[#This Row],[FechaAlta]] &lt; TablaDatos[[#This Row],[FechaIngreso]]</f>
        <v>0</v>
      </c>
      <c r="M4888">
        <f>_xlfn.XLOOKUP(TablaDatos[[#This Row],[PacienteID]],'Datos_Ejemplo.csv'!A:A,'Datos_Ejemplo.csv'!I:I)</f>
        <v>35</v>
      </c>
      <c r="N4888">
        <f>ABS(TablaDatos[[#This Row],[DiasOriginal]])</f>
        <v>35</v>
      </c>
      <c r="O4888" s="1">
        <f>TablaDatos[[#This Row],[FechaIngreso]]+TablaDatos[[#This Row],[DiasNuevo]]</f>
        <v>45545</v>
      </c>
    </row>
    <row r="4889" spans="1:15">
      <c r="A4889">
        <v>4888</v>
      </c>
      <c r="B4889" t="s">
        <v>343</v>
      </c>
      <c r="C4889" s="1">
        <v>12419</v>
      </c>
      <c r="D4889">
        <v>92</v>
      </c>
      <c r="E4889" s="4" t="s">
        <v>15</v>
      </c>
      <c r="F4889" t="s">
        <v>13</v>
      </c>
      <c r="G4889" s="1">
        <v>45128</v>
      </c>
      <c r="H4889" s="1">
        <f>TablaDatos[[#This Row],[FechaIngreso]]+TablaDatos[[#This Row],[DiasNuevo]]</f>
        <v>45149</v>
      </c>
      <c r="I4889">
        <v>21</v>
      </c>
      <c r="J4889" t="s">
        <v>25</v>
      </c>
      <c r="K4889" s="3">
        <v>4139.03</v>
      </c>
      <c r="L4889" t="b">
        <f>TablaDatos[[#This Row],[FechaAlta]] &lt; TablaDatos[[#This Row],[FechaIngreso]]</f>
        <v>0</v>
      </c>
      <c r="M4889">
        <f>_xlfn.XLOOKUP(TablaDatos[[#This Row],[PacienteID]],'Datos_Ejemplo.csv'!A:A,'Datos_Ejemplo.csv'!I:I)</f>
        <v>21</v>
      </c>
      <c r="N4889">
        <f>ABS(TablaDatos[[#This Row],[DiasOriginal]])</f>
        <v>21</v>
      </c>
      <c r="O4889" s="1">
        <f>TablaDatos[[#This Row],[FechaIngreso]]+TablaDatos[[#This Row],[DiasNuevo]]</f>
        <v>45149</v>
      </c>
    </row>
    <row r="4890" spans="1:15">
      <c r="A4890">
        <v>4889</v>
      </c>
      <c r="B4890" t="s">
        <v>49</v>
      </c>
      <c r="C4890" s="1">
        <v>12419</v>
      </c>
      <c r="D4890">
        <v>92</v>
      </c>
      <c r="E4890" s="4" t="s">
        <v>15</v>
      </c>
      <c r="F4890" t="s">
        <v>32</v>
      </c>
      <c r="G4890" s="1">
        <v>45497</v>
      </c>
      <c r="H4890" s="1">
        <f>TablaDatos[[#This Row],[FechaIngreso]]+TablaDatos[[#This Row],[DiasNuevo]]</f>
        <v>45524</v>
      </c>
      <c r="I4890">
        <v>27</v>
      </c>
      <c r="J4890" t="s">
        <v>25</v>
      </c>
      <c r="K4890" s="3">
        <v>1458.42</v>
      </c>
      <c r="L4890" t="b">
        <f>TablaDatos[[#This Row],[FechaAlta]] &lt; TablaDatos[[#This Row],[FechaIngreso]]</f>
        <v>0</v>
      </c>
      <c r="M4890">
        <f>_xlfn.XLOOKUP(TablaDatos[[#This Row],[PacienteID]],'Datos_Ejemplo.csv'!A:A,'Datos_Ejemplo.csv'!I:I)</f>
        <v>27</v>
      </c>
      <c r="N4890">
        <f>ABS(TablaDatos[[#This Row],[DiasOriginal]])</f>
        <v>27</v>
      </c>
      <c r="O4890" s="1">
        <f>TablaDatos[[#This Row],[FechaIngreso]]+TablaDatos[[#This Row],[DiasNuevo]]</f>
        <v>45524</v>
      </c>
    </row>
    <row r="4891" spans="1:15">
      <c r="A4891">
        <v>4890</v>
      </c>
      <c r="B4891" t="s">
        <v>151</v>
      </c>
      <c r="C4891" s="1">
        <v>21916</v>
      </c>
      <c r="D4891">
        <v>66</v>
      </c>
      <c r="E4891" s="4" t="s">
        <v>12</v>
      </c>
      <c r="F4891" t="s">
        <v>18</v>
      </c>
      <c r="G4891" s="1">
        <v>45202</v>
      </c>
      <c r="H4891" s="1">
        <f>TablaDatos[[#This Row],[FechaIngreso]]+TablaDatos[[#This Row],[DiasNuevo]]</f>
        <v>45235</v>
      </c>
      <c r="I4891">
        <v>33</v>
      </c>
      <c r="J4891" t="s">
        <v>25</v>
      </c>
      <c r="K4891" s="3">
        <v>19938.07</v>
      </c>
      <c r="L4891" t="b">
        <f>TablaDatos[[#This Row],[FechaAlta]] &lt; TablaDatos[[#This Row],[FechaIngreso]]</f>
        <v>0</v>
      </c>
      <c r="M4891">
        <f>_xlfn.XLOOKUP(TablaDatos[[#This Row],[PacienteID]],'Datos_Ejemplo.csv'!A:A,'Datos_Ejemplo.csv'!I:I)</f>
        <v>33</v>
      </c>
      <c r="N4891">
        <f>ABS(TablaDatos[[#This Row],[DiasOriginal]])</f>
        <v>33</v>
      </c>
      <c r="O4891" s="1">
        <f>TablaDatos[[#This Row],[FechaIngreso]]+TablaDatos[[#This Row],[DiasNuevo]]</f>
        <v>45235</v>
      </c>
    </row>
    <row r="4892" spans="1:15">
      <c r="A4892">
        <v>4891</v>
      </c>
      <c r="B4892" t="s">
        <v>269</v>
      </c>
      <c r="C4892" s="1">
        <v>16072</v>
      </c>
      <c r="D4892">
        <v>82</v>
      </c>
      <c r="E4892" s="4" t="s">
        <v>12</v>
      </c>
      <c r="F4892" t="s">
        <v>32</v>
      </c>
      <c r="G4892" s="1">
        <v>45147</v>
      </c>
      <c r="H4892" s="1">
        <f>TablaDatos[[#This Row],[FechaIngreso]]+TablaDatos[[#This Row],[DiasNuevo]]</f>
        <v>45171</v>
      </c>
      <c r="I4892">
        <v>24</v>
      </c>
      <c r="J4892" t="s">
        <v>23</v>
      </c>
      <c r="K4892" s="3">
        <v>5319.56</v>
      </c>
      <c r="L4892" t="b">
        <f>TablaDatos[[#This Row],[FechaAlta]] &lt; TablaDatos[[#This Row],[FechaIngreso]]</f>
        <v>0</v>
      </c>
      <c r="M4892">
        <f>_xlfn.XLOOKUP(TablaDatos[[#This Row],[PacienteID]],'Datos_Ejemplo.csv'!A:A,'Datos_Ejemplo.csv'!I:I)</f>
        <v>24</v>
      </c>
      <c r="N4892">
        <f>ABS(TablaDatos[[#This Row],[DiasOriginal]])</f>
        <v>24</v>
      </c>
      <c r="O4892" s="1">
        <f>TablaDatos[[#This Row],[FechaIngreso]]+TablaDatos[[#This Row],[DiasNuevo]]</f>
        <v>45171</v>
      </c>
    </row>
    <row r="4893" spans="1:15">
      <c r="A4893">
        <v>4892</v>
      </c>
      <c r="B4893" t="s">
        <v>257</v>
      </c>
      <c r="C4893" s="1">
        <v>45292</v>
      </c>
      <c r="D4893">
        <v>2</v>
      </c>
      <c r="E4893" s="4" t="s">
        <v>15</v>
      </c>
      <c r="F4893" t="s">
        <v>261</v>
      </c>
      <c r="G4893" s="1">
        <v>45083</v>
      </c>
      <c r="H4893" s="1">
        <f>TablaDatos[[#This Row],[FechaIngreso]]+TablaDatos[[#This Row],[DiasNuevo]]</f>
        <v>45102</v>
      </c>
      <c r="I4893">
        <v>19</v>
      </c>
      <c r="J4893" t="s">
        <v>19</v>
      </c>
      <c r="K4893" s="3">
        <v>2735.17</v>
      </c>
      <c r="L4893" t="b">
        <f>TablaDatos[[#This Row],[FechaAlta]] &lt; TablaDatos[[#This Row],[FechaIngreso]]</f>
        <v>0</v>
      </c>
      <c r="M4893">
        <f>_xlfn.XLOOKUP(TablaDatos[[#This Row],[PacienteID]],'Datos_Ejemplo.csv'!A:A,'Datos_Ejemplo.csv'!I:I)</f>
        <v>19</v>
      </c>
      <c r="N4893">
        <f>ABS(TablaDatos[[#This Row],[DiasOriginal]])</f>
        <v>19</v>
      </c>
      <c r="O4893" s="1">
        <f>TablaDatos[[#This Row],[FechaIngreso]]+TablaDatos[[#This Row],[DiasNuevo]]</f>
        <v>45102</v>
      </c>
    </row>
    <row r="4894" spans="1:15">
      <c r="A4894">
        <v>4893</v>
      </c>
      <c r="B4894" t="s">
        <v>236</v>
      </c>
      <c r="C4894" s="1">
        <v>26664</v>
      </c>
      <c r="D4894">
        <v>53</v>
      </c>
      <c r="E4894" s="4" t="s">
        <v>12</v>
      </c>
      <c r="F4894" t="s">
        <v>261</v>
      </c>
      <c r="G4894" s="1">
        <v>45107</v>
      </c>
      <c r="H4894" s="1">
        <f>TablaDatos[[#This Row],[FechaIngreso]]+TablaDatos[[#This Row],[DiasNuevo]]</f>
        <v>45108</v>
      </c>
      <c r="I4894">
        <v>1</v>
      </c>
      <c r="J4894" t="s">
        <v>23</v>
      </c>
      <c r="K4894" s="3">
        <v>13959.76</v>
      </c>
      <c r="L4894" t="b">
        <f>TablaDatos[[#This Row],[FechaAlta]] &lt; TablaDatos[[#This Row],[FechaIngreso]]</f>
        <v>0</v>
      </c>
      <c r="M4894">
        <f>_xlfn.XLOOKUP(TablaDatos[[#This Row],[PacienteID]],'Datos_Ejemplo.csv'!A:A,'Datos_Ejemplo.csv'!I:I)</f>
        <v>-1</v>
      </c>
      <c r="N4894">
        <f>ABS(TablaDatos[[#This Row],[DiasOriginal]])</f>
        <v>1</v>
      </c>
      <c r="O4894" s="1">
        <f>TablaDatos[[#This Row],[FechaIngreso]]+TablaDatos[[#This Row],[DiasNuevo]]</f>
        <v>45108</v>
      </c>
    </row>
    <row r="4895" spans="1:15">
      <c r="A4895">
        <v>4894</v>
      </c>
      <c r="B4895" t="s">
        <v>297</v>
      </c>
      <c r="C4895" s="1">
        <v>17898</v>
      </c>
      <c r="D4895">
        <f ca="1">DATEDIF(TablaDatos[[#This Row],[FechaNacimiento]],TODAY(),"Y")</f>
        <v>77</v>
      </c>
      <c r="E4895" s="4" t="s">
        <v>12</v>
      </c>
      <c r="F4895" t="s">
        <v>201</v>
      </c>
      <c r="G4895" s="1">
        <v>45651</v>
      </c>
      <c r="H4895" s="1">
        <f>TablaDatos[[#This Row],[FechaIngreso]]+TablaDatos[[#This Row],[DiasNuevo]]</f>
        <v>45655</v>
      </c>
      <c r="I4895">
        <v>4</v>
      </c>
      <c r="J4895" t="s">
        <v>23</v>
      </c>
      <c r="K4895" s="3">
        <v>16415.810000000001</v>
      </c>
      <c r="L4895" t="b">
        <f>TablaDatos[[#This Row],[FechaAlta]] &lt; TablaDatos[[#This Row],[FechaIngreso]]</f>
        <v>0</v>
      </c>
      <c r="M4895">
        <f>_xlfn.XLOOKUP(TablaDatos[[#This Row],[PacienteID]],'Datos_Ejemplo.csv'!A:A,'Datos_Ejemplo.csv'!I:I)</f>
        <v>4</v>
      </c>
      <c r="N4895">
        <f>ABS(TablaDatos[[#This Row],[DiasOriginal]])</f>
        <v>4</v>
      </c>
      <c r="O4895" s="1">
        <f>TablaDatos[[#This Row],[FechaIngreso]]+TablaDatos[[#This Row],[DiasNuevo]]</f>
        <v>45655</v>
      </c>
    </row>
    <row r="4896" spans="1:15">
      <c r="A4896">
        <v>4895</v>
      </c>
      <c r="B4896" t="s">
        <v>245</v>
      </c>
      <c r="C4896" s="1">
        <v>23012</v>
      </c>
      <c r="D4896">
        <v>63</v>
      </c>
      <c r="E4896" s="4" t="s">
        <v>15</v>
      </c>
      <c r="F4896" t="s">
        <v>201</v>
      </c>
      <c r="G4896" s="1">
        <v>45055</v>
      </c>
      <c r="H4896" s="1">
        <f>TablaDatos[[#This Row],[FechaIngreso]]+TablaDatos[[#This Row],[DiasNuevo]]</f>
        <v>45068</v>
      </c>
      <c r="I4896">
        <v>13</v>
      </c>
      <c r="J4896" t="s">
        <v>23</v>
      </c>
      <c r="K4896" s="3">
        <v>1187.96</v>
      </c>
      <c r="L4896" t="b">
        <f>TablaDatos[[#This Row],[FechaAlta]] &lt; TablaDatos[[#This Row],[FechaIngreso]]</f>
        <v>0</v>
      </c>
      <c r="M4896">
        <f>_xlfn.XLOOKUP(TablaDatos[[#This Row],[PacienteID]],'Datos_Ejemplo.csv'!A:A,'Datos_Ejemplo.csv'!I:I)</f>
        <v>13</v>
      </c>
      <c r="N4896">
        <f>ABS(TablaDatos[[#This Row],[DiasOriginal]])</f>
        <v>13</v>
      </c>
      <c r="O4896" s="1">
        <f>TablaDatos[[#This Row],[FechaIngreso]]+TablaDatos[[#This Row],[DiasNuevo]]</f>
        <v>45068</v>
      </c>
    </row>
    <row r="4897" spans="1:15">
      <c r="A4897">
        <v>4896</v>
      </c>
      <c r="B4897" t="s">
        <v>242</v>
      </c>
      <c r="C4897" s="1">
        <v>31778</v>
      </c>
      <c r="D4897">
        <v>39</v>
      </c>
      <c r="E4897" s="4" t="s">
        <v>15</v>
      </c>
      <c r="F4897" t="s">
        <v>295</v>
      </c>
      <c r="G4897" s="1">
        <v>45169</v>
      </c>
      <c r="H4897" s="1">
        <f>TablaDatos[[#This Row],[FechaIngreso]]+TablaDatos[[#This Row],[DiasNuevo]]</f>
        <v>45190</v>
      </c>
      <c r="I4897">
        <v>21</v>
      </c>
      <c r="J4897" t="s">
        <v>23</v>
      </c>
      <c r="K4897" s="3">
        <v>2018.41</v>
      </c>
      <c r="L4897" t="b">
        <f>TablaDatos[[#This Row],[FechaAlta]] &lt; TablaDatos[[#This Row],[FechaIngreso]]</f>
        <v>0</v>
      </c>
      <c r="M4897">
        <f>_xlfn.XLOOKUP(TablaDatos[[#This Row],[PacienteID]],'Datos_Ejemplo.csv'!A:A,'Datos_Ejemplo.csv'!I:I)</f>
        <v>21</v>
      </c>
      <c r="N4897">
        <f>ABS(TablaDatos[[#This Row],[DiasOriginal]])</f>
        <v>21</v>
      </c>
      <c r="O4897" s="1">
        <f>TablaDatos[[#This Row],[FechaIngreso]]+TablaDatos[[#This Row],[DiasNuevo]]</f>
        <v>45190</v>
      </c>
    </row>
    <row r="4898" spans="1:15">
      <c r="A4898">
        <v>4897</v>
      </c>
      <c r="B4898" t="s">
        <v>368</v>
      </c>
      <c r="C4898" s="1">
        <v>24838</v>
      </c>
      <c r="D4898">
        <v>58</v>
      </c>
      <c r="E4898" s="4" t="s">
        <v>197</v>
      </c>
      <c r="F4898" t="s">
        <v>18</v>
      </c>
      <c r="G4898" s="1">
        <v>45098</v>
      </c>
      <c r="H4898" s="1">
        <f>TablaDatos[[#This Row],[FechaIngreso]]+TablaDatos[[#This Row],[DiasNuevo]]</f>
        <v>45125</v>
      </c>
      <c r="I4898">
        <v>27</v>
      </c>
      <c r="J4898" t="s">
        <v>25</v>
      </c>
      <c r="K4898" s="3">
        <v>1712.49</v>
      </c>
      <c r="L4898" t="b">
        <f>TablaDatos[[#This Row],[FechaAlta]] &lt; TablaDatos[[#This Row],[FechaIngreso]]</f>
        <v>0</v>
      </c>
      <c r="M4898">
        <f>_xlfn.XLOOKUP(TablaDatos[[#This Row],[PacienteID]],'Datos_Ejemplo.csv'!A:A,'Datos_Ejemplo.csv'!I:I)</f>
        <v>27</v>
      </c>
      <c r="N4898">
        <f>ABS(TablaDatos[[#This Row],[DiasOriginal]])</f>
        <v>27</v>
      </c>
      <c r="O4898" s="1">
        <f>TablaDatos[[#This Row],[FechaIngreso]]+TablaDatos[[#This Row],[DiasNuevo]]</f>
        <v>45125</v>
      </c>
    </row>
    <row r="4899" spans="1:15">
      <c r="A4899">
        <v>4898</v>
      </c>
      <c r="B4899" t="s">
        <v>361</v>
      </c>
      <c r="C4899" s="1">
        <v>26299</v>
      </c>
      <c r="D4899">
        <v>54</v>
      </c>
      <c r="E4899" s="4" t="s">
        <v>15</v>
      </c>
      <c r="F4899" t="s">
        <v>21</v>
      </c>
      <c r="G4899" s="1">
        <v>45429</v>
      </c>
      <c r="H4899" s="1">
        <f>TablaDatos[[#This Row],[FechaIngreso]]+TablaDatos[[#This Row],[DiasNuevo]]</f>
        <v>45431</v>
      </c>
      <c r="I4899">
        <v>2</v>
      </c>
      <c r="J4899" t="s">
        <v>23</v>
      </c>
      <c r="K4899" s="3">
        <v>843.88</v>
      </c>
      <c r="L4899" t="b">
        <f>TablaDatos[[#This Row],[FechaAlta]] &lt; TablaDatos[[#This Row],[FechaIngreso]]</f>
        <v>0</v>
      </c>
      <c r="M4899">
        <f>_xlfn.XLOOKUP(TablaDatos[[#This Row],[PacienteID]],'Datos_Ejemplo.csv'!A:A,'Datos_Ejemplo.csv'!I:I)</f>
        <v>-2</v>
      </c>
      <c r="N4899">
        <f>ABS(TablaDatos[[#This Row],[DiasOriginal]])</f>
        <v>2</v>
      </c>
      <c r="O4899" s="1">
        <f>TablaDatos[[#This Row],[FechaIngreso]]+TablaDatos[[#This Row],[DiasNuevo]]</f>
        <v>45431</v>
      </c>
    </row>
    <row r="4900" spans="1:15">
      <c r="A4900">
        <v>4899</v>
      </c>
      <c r="B4900" t="s">
        <v>360</v>
      </c>
      <c r="C4900" s="1">
        <v>23742</v>
      </c>
      <c r="D4900">
        <v>61</v>
      </c>
      <c r="E4900" s="4" t="s">
        <v>12</v>
      </c>
      <c r="F4900" t="s">
        <v>13</v>
      </c>
      <c r="G4900" s="1">
        <v>45406</v>
      </c>
      <c r="H4900" s="1">
        <f>TablaDatos[[#This Row],[FechaIngreso]]+TablaDatos[[#This Row],[DiasNuevo]]</f>
        <v>45430</v>
      </c>
      <c r="I4900">
        <v>24</v>
      </c>
      <c r="J4900" t="s">
        <v>25</v>
      </c>
      <c r="K4900" s="3">
        <v>13155.08</v>
      </c>
      <c r="L4900" t="b">
        <f>TablaDatos[[#This Row],[FechaAlta]] &lt; TablaDatos[[#This Row],[FechaIngreso]]</f>
        <v>0</v>
      </c>
      <c r="M4900">
        <f>_xlfn.XLOOKUP(TablaDatos[[#This Row],[PacienteID]],'Datos_Ejemplo.csv'!A:A,'Datos_Ejemplo.csv'!I:I)</f>
        <v>24</v>
      </c>
      <c r="N4900">
        <f>ABS(TablaDatos[[#This Row],[DiasOriginal]])</f>
        <v>24</v>
      </c>
      <c r="O4900" s="1">
        <f>TablaDatos[[#This Row],[FechaIngreso]]+TablaDatos[[#This Row],[DiasNuevo]]</f>
        <v>45430</v>
      </c>
    </row>
    <row r="4901" spans="1:15">
      <c r="A4901">
        <v>4900</v>
      </c>
      <c r="B4901" t="s">
        <v>346</v>
      </c>
      <c r="C4901" s="1">
        <v>44927</v>
      </c>
      <c r="D4901">
        <v>3</v>
      </c>
      <c r="E4901" s="4" t="s">
        <v>15</v>
      </c>
      <c r="F4901" t="s">
        <v>261</v>
      </c>
      <c r="G4901" s="1">
        <v>45196</v>
      </c>
      <c r="H4901" s="1">
        <f>TablaDatos[[#This Row],[FechaIngreso]]+TablaDatos[[#This Row],[DiasNuevo]]</f>
        <v>45202</v>
      </c>
      <c r="I4901">
        <v>6</v>
      </c>
      <c r="J4901" t="s">
        <v>19</v>
      </c>
      <c r="K4901" s="3">
        <v>11725.1</v>
      </c>
      <c r="L4901" t="b">
        <f>TablaDatos[[#This Row],[FechaAlta]] &lt; TablaDatos[[#This Row],[FechaIngreso]]</f>
        <v>0</v>
      </c>
      <c r="M4901">
        <f>_xlfn.XLOOKUP(TablaDatos[[#This Row],[PacienteID]],'Datos_Ejemplo.csv'!A:A,'Datos_Ejemplo.csv'!I:I)</f>
        <v>6</v>
      </c>
      <c r="N4901">
        <f>ABS(TablaDatos[[#This Row],[DiasOriginal]])</f>
        <v>6</v>
      </c>
      <c r="O4901" s="1">
        <f>TablaDatos[[#This Row],[FechaIngreso]]+TablaDatos[[#This Row],[DiasNuevo]]</f>
        <v>45202</v>
      </c>
    </row>
    <row r="4902" spans="1:15">
      <c r="A4902">
        <v>4901</v>
      </c>
      <c r="B4902" t="s">
        <v>49</v>
      </c>
      <c r="C4902" s="1">
        <v>24473</v>
      </c>
      <c r="D4902">
        <v>59</v>
      </c>
      <c r="E4902" s="4" t="s">
        <v>12</v>
      </c>
      <c r="F4902" t="s">
        <v>13</v>
      </c>
      <c r="G4902" s="1">
        <v>45347</v>
      </c>
      <c r="H4902" s="1">
        <f>TablaDatos[[#This Row],[FechaIngreso]]+TablaDatos[[#This Row],[DiasNuevo]]</f>
        <v>45351</v>
      </c>
      <c r="I4902">
        <v>4</v>
      </c>
      <c r="J4902" t="s">
        <v>25</v>
      </c>
      <c r="K4902" s="3">
        <v>13222.41</v>
      </c>
      <c r="L4902" t="b">
        <f>TablaDatos[[#This Row],[FechaAlta]] &lt; TablaDatos[[#This Row],[FechaIngreso]]</f>
        <v>0</v>
      </c>
      <c r="M4902">
        <f>_xlfn.XLOOKUP(TablaDatos[[#This Row],[PacienteID]],'Datos_Ejemplo.csv'!A:A,'Datos_Ejemplo.csv'!I:I)</f>
        <v>4</v>
      </c>
      <c r="N4902">
        <f>ABS(TablaDatos[[#This Row],[DiasOriginal]])</f>
        <v>4</v>
      </c>
      <c r="O4902" s="1">
        <f>TablaDatos[[#This Row],[FechaIngreso]]+TablaDatos[[#This Row],[DiasNuevo]]</f>
        <v>45351</v>
      </c>
    </row>
    <row r="4903" spans="1:15">
      <c r="A4903">
        <v>4902</v>
      </c>
      <c r="B4903" t="s">
        <v>146</v>
      </c>
      <c r="C4903" s="1">
        <v>18994</v>
      </c>
      <c r="D4903">
        <v>74</v>
      </c>
      <c r="E4903" s="4" t="s">
        <v>12</v>
      </c>
      <c r="F4903" t="s">
        <v>18</v>
      </c>
      <c r="G4903" s="1">
        <v>45089</v>
      </c>
      <c r="H4903" s="1">
        <f>TablaDatos[[#This Row],[FechaIngreso]]+TablaDatos[[#This Row],[DiasNuevo]]</f>
        <v>45091</v>
      </c>
      <c r="I4903">
        <v>2</v>
      </c>
      <c r="J4903" t="s">
        <v>25</v>
      </c>
      <c r="K4903" s="3">
        <v>10063.91</v>
      </c>
      <c r="L4903" t="b">
        <f>TablaDatos[[#This Row],[FechaAlta]] &lt; TablaDatos[[#This Row],[FechaIngreso]]</f>
        <v>0</v>
      </c>
      <c r="M4903">
        <f>_xlfn.XLOOKUP(TablaDatos[[#This Row],[PacienteID]],'Datos_Ejemplo.csv'!A:A,'Datos_Ejemplo.csv'!I:I)</f>
        <v>2</v>
      </c>
      <c r="N4903">
        <f>ABS(TablaDatos[[#This Row],[DiasOriginal]])</f>
        <v>2</v>
      </c>
      <c r="O4903" s="1">
        <f>TablaDatos[[#This Row],[FechaIngreso]]+TablaDatos[[#This Row],[DiasNuevo]]</f>
        <v>45091</v>
      </c>
    </row>
    <row r="4904" spans="1:15">
      <c r="A4904">
        <v>4903</v>
      </c>
      <c r="B4904" t="s">
        <v>116</v>
      </c>
      <c r="C4904" s="1">
        <v>11689</v>
      </c>
      <c r="D4904">
        <v>94</v>
      </c>
      <c r="E4904" s="4" t="s">
        <v>12</v>
      </c>
      <c r="F4904" t="s">
        <v>21</v>
      </c>
      <c r="G4904" s="1">
        <v>44950</v>
      </c>
      <c r="H4904" s="1">
        <f>TablaDatos[[#This Row],[FechaIngreso]]+TablaDatos[[#This Row],[DiasNuevo]]</f>
        <v>44977</v>
      </c>
      <c r="I4904">
        <v>27</v>
      </c>
      <c r="J4904" t="s">
        <v>19</v>
      </c>
      <c r="K4904" s="3">
        <v>16331.9</v>
      </c>
      <c r="L4904" t="b">
        <f>TablaDatos[[#This Row],[FechaAlta]] &lt; TablaDatos[[#This Row],[FechaIngreso]]</f>
        <v>0</v>
      </c>
      <c r="M4904">
        <f>_xlfn.XLOOKUP(TablaDatos[[#This Row],[PacienteID]],'Datos_Ejemplo.csv'!A:A,'Datos_Ejemplo.csv'!I:I)</f>
        <v>27</v>
      </c>
      <c r="N4904">
        <f>ABS(TablaDatos[[#This Row],[DiasOriginal]])</f>
        <v>27</v>
      </c>
      <c r="O4904" s="1">
        <f>TablaDatos[[#This Row],[FechaIngreso]]+TablaDatos[[#This Row],[DiasNuevo]]</f>
        <v>44977</v>
      </c>
    </row>
    <row r="4905" spans="1:15">
      <c r="A4905">
        <v>4904</v>
      </c>
      <c r="B4905" t="s">
        <v>236</v>
      </c>
      <c r="C4905" s="1">
        <v>13150</v>
      </c>
      <c r="D4905">
        <v>90</v>
      </c>
      <c r="E4905" s="4" t="s">
        <v>12</v>
      </c>
      <c r="F4905" t="s">
        <v>201</v>
      </c>
      <c r="G4905" s="1">
        <v>45423</v>
      </c>
      <c r="H4905" s="1">
        <f>TablaDatos[[#This Row],[FechaIngreso]]+TablaDatos[[#This Row],[DiasNuevo]]</f>
        <v>45462</v>
      </c>
      <c r="I4905">
        <v>39</v>
      </c>
      <c r="J4905" t="s">
        <v>25</v>
      </c>
      <c r="K4905" s="3">
        <v>10888.03</v>
      </c>
      <c r="L4905" t="b">
        <f>TablaDatos[[#This Row],[FechaAlta]] &lt; TablaDatos[[#This Row],[FechaIngreso]]</f>
        <v>0</v>
      </c>
      <c r="M4905">
        <f>_xlfn.XLOOKUP(TablaDatos[[#This Row],[PacienteID]],'Datos_Ejemplo.csv'!A:A,'Datos_Ejemplo.csv'!I:I)</f>
        <v>39</v>
      </c>
      <c r="N4905">
        <f>ABS(TablaDatos[[#This Row],[DiasOriginal]])</f>
        <v>39</v>
      </c>
      <c r="O4905" s="1">
        <f>TablaDatos[[#This Row],[FechaIngreso]]+TablaDatos[[#This Row],[DiasNuevo]]</f>
        <v>45462</v>
      </c>
    </row>
    <row r="4906" spans="1:15">
      <c r="A4906">
        <v>4905</v>
      </c>
      <c r="B4906" t="s">
        <v>116</v>
      </c>
      <c r="C4906" s="1">
        <v>35430</v>
      </c>
      <c r="D4906">
        <v>29</v>
      </c>
      <c r="E4906" s="4" t="s">
        <v>12</v>
      </c>
      <c r="F4906" t="s">
        <v>261</v>
      </c>
      <c r="G4906" s="1">
        <v>45119</v>
      </c>
      <c r="H4906" s="1">
        <f>TablaDatos[[#This Row],[FechaIngreso]]+TablaDatos[[#This Row],[DiasNuevo]]</f>
        <v>45143</v>
      </c>
      <c r="I4906">
        <v>24</v>
      </c>
      <c r="J4906" t="s">
        <v>25</v>
      </c>
      <c r="K4906" s="3">
        <v>18366.810000000001</v>
      </c>
      <c r="L4906" t="b">
        <f>TablaDatos[[#This Row],[FechaAlta]] &lt; TablaDatos[[#This Row],[FechaIngreso]]</f>
        <v>0</v>
      </c>
      <c r="M4906">
        <f>_xlfn.XLOOKUP(TablaDatos[[#This Row],[PacienteID]],'Datos_Ejemplo.csv'!A:A,'Datos_Ejemplo.csv'!I:I)</f>
        <v>24</v>
      </c>
      <c r="N4906">
        <f>ABS(TablaDatos[[#This Row],[DiasOriginal]])</f>
        <v>24</v>
      </c>
      <c r="O4906" s="1">
        <f>TablaDatos[[#This Row],[FechaIngreso]]+TablaDatos[[#This Row],[DiasNuevo]]</f>
        <v>45143</v>
      </c>
    </row>
    <row r="4907" spans="1:15">
      <c r="A4907">
        <v>4906</v>
      </c>
      <c r="B4907" t="s">
        <v>283</v>
      </c>
      <c r="C4907" s="1">
        <v>45657</v>
      </c>
      <c r="D4907">
        <v>1</v>
      </c>
      <c r="E4907" s="4" t="s">
        <v>12</v>
      </c>
      <c r="F4907" t="s">
        <v>295</v>
      </c>
      <c r="G4907" s="1">
        <v>45316</v>
      </c>
      <c r="H4907" s="1">
        <f>TablaDatos[[#This Row],[FechaIngreso]]+TablaDatos[[#This Row],[DiasNuevo]]</f>
        <v>45323</v>
      </c>
      <c r="I4907">
        <v>7</v>
      </c>
      <c r="J4907" t="s">
        <v>25</v>
      </c>
      <c r="K4907" s="3">
        <v>9661.5400000000009</v>
      </c>
      <c r="L4907" t="b">
        <f>TablaDatos[[#This Row],[FechaAlta]] &lt; TablaDatos[[#This Row],[FechaIngreso]]</f>
        <v>0</v>
      </c>
      <c r="M4907">
        <f>_xlfn.XLOOKUP(TablaDatos[[#This Row],[PacienteID]],'Datos_Ejemplo.csv'!A:A,'Datos_Ejemplo.csv'!I:I)</f>
        <v>7</v>
      </c>
      <c r="N4907">
        <f>ABS(TablaDatos[[#This Row],[DiasOriginal]])</f>
        <v>7</v>
      </c>
      <c r="O4907" s="1">
        <f>TablaDatos[[#This Row],[FechaIngreso]]+TablaDatos[[#This Row],[DiasNuevo]]</f>
        <v>45323</v>
      </c>
    </row>
    <row r="4908" spans="1:15">
      <c r="A4908">
        <v>4907</v>
      </c>
      <c r="B4908" t="s">
        <v>103</v>
      </c>
      <c r="C4908" s="1">
        <v>23742</v>
      </c>
      <c r="D4908">
        <v>61</v>
      </c>
      <c r="E4908" s="4" t="s">
        <v>15</v>
      </c>
      <c r="F4908" t="s">
        <v>13</v>
      </c>
      <c r="G4908" s="1">
        <v>45423</v>
      </c>
      <c r="H4908" s="1">
        <f>TablaDatos[[#This Row],[FechaIngreso]]+TablaDatos[[#This Row],[DiasNuevo]]</f>
        <v>45445</v>
      </c>
      <c r="I4908">
        <v>22</v>
      </c>
      <c r="J4908" t="s">
        <v>23</v>
      </c>
      <c r="K4908" s="3">
        <v>15792.24</v>
      </c>
      <c r="L4908" t="b">
        <f>TablaDatos[[#This Row],[FechaAlta]] &lt; TablaDatos[[#This Row],[FechaIngreso]]</f>
        <v>0</v>
      </c>
      <c r="M4908">
        <f>_xlfn.XLOOKUP(TablaDatos[[#This Row],[PacienteID]],'Datos_Ejemplo.csv'!A:A,'Datos_Ejemplo.csv'!I:I)</f>
        <v>22</v>
      </c>
      <c r="N4908">
        <f>ABS(TablaDatos[[#This Row],[DiasOriginal]])</f>
        <v>22</v>
      </c>
      <c r="O4908" s="1">
        <f>TablaDatos[[#This Row],[FechaIngreso]]+TablaDatos[[#This Row],[DiasNuevo]]</f>
        <v>45445</v>
      </c>
    </row>
    <row r="4909" spans="1:15">
      <c r="A4909">
        <v>4908</v>
      </c>
      <c r="B4909" t="s">
        <v>282</v>
      </c>
      <c r="C4909" s="1">
        <v>28490</v>
      </c>
      <c r="D4909">
        <v>48</v>
      </c>
      <c r="E4909" s="4" t="s">
        <v>15</v>
      </c>
      <c r="F4909" t="s">
        <v>18</v>
      </c>
      <c r="G4909" s="1">
        <v>45055</v>
      </c>
      <c r="H4909" s="1">
        <f>TablaDatos[[#This Row],[FechaIngreso]]+TablaDatos[[#This Row],[DiasNuevo]]</f>
        <v>45070</v>
      </c>
      <c r="I4909">
        <v>15</v>
      </c>
      <c r="J4909" t="s">
        <v>23</v>
      </c>
      <c r="K4909" s="3">
        <v>8087.94</v>
      </c>
      <c r="L4909" t="b">
        <f>TablaDatos[[#This Row],[FechaAlta]] &lt; TablaDatos[[#This Row],[FechaIngreso]]</f>
        <v>0</v>
      </c>
      <c r="M4909">
        <f>_xlfn.XLOOKUP(TablaDatos[[#This Row],[PacienteID]],'Datos_Ejemplo.csv'!A:A,'Datos_Ejemplo.csv'!I:I)</f>
        <v>15</v>
      </c>
      <c r="N4909">
        <f>ABS(TablaDatos[[#This Row],[DiasOriginal]])</f>
        <v>15</v>
      </c>
      <c r="O4909" s="1">
        <f>TablaDatos[[#This Row],[FechaIngreso]]+TablaDatos[[#This Row],[DiasNuevo]]</f>
        <v>45070</v>
      </c>
    </row>
    <row r="4910" spans="1:15">
      <c r="A4910">
        <v>4909</v>
      </c>
      <c r="B4910" t="s">
        <v>296</v>
      </c>
      <c r="C4910" s="1">
        <v>43100</v>
      </c>
      <c r="D4910">
        <v>8</v>
      </c>
      <c r="E4910" s="4" t="s">
        <v>12</v>
      </c>
      <c r="F4910" t="s">
        <v>13</v>
      </c>
      <c r="G4910" s="1">
        <v>45479</v>
      </c>
      <c r="H4910" s="1">
        <f>TablaDatos[[#This Row],[FechaIngreso]]+TablaDatos[[#This Row],[DiasNuevo]]</f>
        <v>45483</v>
      </c>
      <c r="I4910">
        <v>4</v>
      </c>
      <c r="J4910" t="s">
        <v>25</v>
      </c>
      <c r="K4910" s="3">
        <v>8648</v>
      </c>
      <c r="L4910" t="b">
        <f>TablaDatos[[#This Row],[FechaAlta]] &lt; TablaDatos[[#This Row],[FechaIngreso]]</f>
        <v>0</v>
      </c>
      <c r="M4910">
        <f>_xlfn.XLOOKUP(TablaDatos[[#This Row],[PacienteID]],'Datos_Ejemplo.csv'!A:A,'Datos_Ejemplo.csv'!I:I)</f>
        <v>4</v>
      </c>
      <c r="N4910">
        <f>ABS(TablaDatos[[#This Row],[DiasOriginal]])</f>
        <v>4</v>
      </c>
      <c r="O4910" s="1">
        <f>TablaDatos[[#This Row],[FechaIngreso]]+TablaDatos[[#This Row],[DiasNuevo]]</f>
        <v>45483</v>
      </c>
    </row>
    <row r="4911" spans="1:15">
      <c r="A4911">
        <v>4910</v>
      </c>
      <c r="B4911" t="s">
        <v>329</v>
      </c>
      <c r="C4911" s="1">
        <v>12785</v>
      </c>
      <c r="D4911">
        <v>91</v>
      </c>
      <c r="E4911" s="4" t="s">
        <v>12</v>
      </c>
      <c r="F4911" t="s">
        <v>201</v>
      </c>
      <c r="G4911" s="1">
        <v>45469</v>
      </c>
      <c r="H4911" s="1">
        <f>TablaDatos[[#This Row],[FechaIngreso]]+TablaDatos[[#This Row],[DiasNuevo]]</f>
        <v>45497</v>
      </c>
      <c r="I4911">
        <v>28</v>
      </c>
      <c r="J4911" t="s">
        <v>23</v>
      </c>
      <c r="K4911" s="3">
        <v>16964.740000000002</v>
      </c>
      <c r="L4911" t="b">
        <f>TablaDatos[[#This Row],[FechaAlta]] &lt; TablaDatos[[#This Row],[FechaIngreso]]</f>
        <v>0</v>
      </c>
      <c r="M4911">
        <f>_xlfn.XLOOKUP(TablaDatos[[#This Row],[PacienteID]],'Datos_Ejemplo.csv'!A:A,'Datos_Ejemplo.csv'!I:I)</f>
        <v>28</v>
      </c>
      <c r="N4911">
        <f>ABS(TablaDatos[[#This Row],[DiasOriginal]])</f>
        <v>28</v>
      </c>
      <c r="O4911" s="1">
        <f>TablaDatos[[#This Row],[FechaIngreso]]+TablaDatos[[#This Row],[DiasNuevo]]</f>
        <v>45497</v>
      </c>
    </row>
    <row r="4912" spans="1:15">
      <c r="A4912">
        <v>4911</v>
      </c>
      <c r="B4912" t="s">
        <v>363</v>
      </c>
      <c r="C4912" s="1">
        <v>35065</v>
      </c>
      <c r="D4912">
        <v>30</v>
      </c>
      <c r="E4912" s="4" t="s">
        <v>15</v>
      </c>
      <c r="F4912" t="s">
        <v>201</v>
      </c>
      <c r="G4912" s="1">
        <v>44962</v>
      </c>
      <c r="H4912" s="1">
        <f>TablaDatos[[#This Row],[FechaIngreso]]+TablaDatos[[#This Row],[DiasNuevo]]</f>
        <v>44991</v>
      </c>
      <c r="I4912">
        <v>29</v>
      </c>
      <c r="J4912" t="s">
        <v>25</v>
      </c>
      <c r="K4912" s="3">
        <v>2063.96</v>
      </c>
      <c r="L4912" t="b">
        <f>TablaDatos[[#This Row],[FechaAlta]] &lt; TablaDatos[[#This Row],[FechaIngreso]]</f>
        <v>0</v>
      </c>
      <c r="M4912">
        <f>_xlfn.XLOOKUP(TablaDatos[[#This Row],[PacienteID]],'Datos_Ejemplo.csv'!A:A,'Datos_Ejemplo.csv'!I:I)</f>
        <v>29</v>
      </c>
      <c r="N4912">
        <f>ABS(TablaDatos[[#This Row],[DiasOriginal]])</f>
        <v>29</v>
      </c>
      <c r="O4912" s="1">
        <f>TablaDatos[[#This Row],[FechaIngreso]]+TablaDatos[[#This Row],[DiasNuevo]]</f>
        <v>44991</v>
      </c>
    </row>
    <row r="4913" spans="1:15">
      <c r="A4913">
        <v>4912</v>
      </c>
      <c r="B4913" t="s">
        <v>325</v>
      </c>
      <c r="C4913" s="1">
        <v>24107</v>
      </c>
      <c r="D4913">
        <v>60</v>
      </c>
      <c r="E4913" s="4" t="s">
        <v>15</v>
      </c>
      <c r="F4913" t="s">
        <v>21</v>
      </c>
      <c r="G4913" s="1">
        <v>45383</v>
      </c>
      <c r="H4913" s="1">
        <f>TablaDatos[[#This Row],[FechaIngreso]]+TablaDatos[[#This Row],[DiasNuevo]]</f>
        <v>45391</v>
      </c>
      <c r="I4913">
        <v>8</v>
      </c>
      <c r="J4913" t="s">
        <v>23</v>
      </c>
      <c r="K4913" s="3">
        <v>11254.85</v>
      </c>
      <c r="L4913" t="b">
        <f>TablaDatos[[#This Row],[FechaAlta]] &lt; TablaDatos[[#This Row],[FechaIngreso]]</f>
        <v>0</v>
      </c>
      <c r="M4913">
        <f>_xlfn.XLOOKUP(TablaDatos[[#This Row],[PacienteID]],'Datos_Ejemplo.csv'!A:A,'Datos_Ejemplo.csv'!I:I)</f>
        <v>8</v>
      </c>
      <c r="N4913">
        <f>ABS(TablaDatos[[#This Row],[DiasOriginal]])</f>
        <v>8</v>
      </c>
      <c r="O4913" s="1">
        <f>TablaDatos[[#This Row],[FechaIngreso]]+TablaDatos[[#This Row],[DiasNuevo]]</f>
        <v>45391</v>
      </c>
    </row>
    <row r="4914" spans="1:15">
      <c r="A4914">
        <v>4913</v>
      </c>
      <c r="B4914" t="s">
        <v>339</v>
      </c>
      <c r="C4914" s="1">
        <v>17533</v>
      </c>
      <c r="D4914">
        <v>78</v>
      </c>
      <c r="E4914" s="4" t="s">
        <v>12</v>
      </c>
      <c r="F4914" t="s">
        <v>295</v>
      </c>
      <c r="G4914" s="1">
        <v>45287</v>
      </c>
      <c r="H4914" s="1">
        <f>TablaDatos[[#This Row],[FechaIngreso]]+TablaDatos[[#This Row],[DiasNuevo]]</f>
        <v>45294</v>
      </c>
      <c r="I4914">
        <v>7</v>
      </c>
      <c r="J4914" t="s">
        <v>25</v>
      </c>
      <c r="K4914" s="3">
        <v>14499.36</v>
      </c>
      <c r="L4914" t="b">
        <f>TablaDatos[[#This Row],[FechaAlta]] &lt; TablaDatos[[#This Row],[FechaIngreso]]</f>
        <v>0</v>
      </c>
      <c r="M4914">
        <f>_xlfn.XLOOKUP(TablaDatos[[#This Row],[PacienteID]],'Datos_Ejemplo.csv'!A:A,'Datos_Ejemplo.csv'!I:I)</f>
        <v>7</v>
      </c>
      <c r="N4914">
        <f>ABS(TablaDatos[[#This Row],[DiasOriginal]])</f>
        <v>7</v>
      </c>
      <c r="O4914" s="1">
        <f>TablaDatos[[#This Row],[FechaIngreso]]+TablaDatos[[#This Row],[DiasNuevo]]</f>
        <v>45294</v>
      </c>
    </row>
    <row r="4915" spans="1:15">
      <c r="A4915">
        <v>4914</v>
      </c>
      <c r="B4915" t="s">
        <v>296</v>
      </c>
      <c r="C4915" s="1">
        <v>28856</v>
      </c>
      <c r="D4915">
        <v>47</v>
      </c>
      <c r="E4915" s="4" t="s">
        <v>15</v>
      </c>
      <c r="F4915" t="s">
        <v>201</v>
      </c>
      <c r="G4915" s="1">
        <v>45141</v>
      </c>
      <c r="H4915" s="1">
        <f>TablaDatos[[#This Row],[FechaIngreso]]+TablaDatos[[#This Row],[DiasNuevo]]</f>
        <v>45160</v>
      </c>
      <c r="I4915">
        <v>19</v>
      </c>
      <c r="J4915" t="s">
        <v>23</v>
      </c>
      <c r="K4915" s="3">
        <v>14983.45</v>
      </c>
      <c r="L4915" t="b">
        <f>TablaDatos[[#This Row],[FechaAlta]] &lt; TablaDatos[[#This Row],[FechaIngreso]]</f>
        <v>0</v>
      </c>
      <c r="M4915">
        <f>_xlfn.XLOOKUP(TablaDatos[[#This Row],[PacienteID]],'Datos_Ejemplo.csv'!A:A,'Datos_Ejemplo.csv'!I:I)</f>
        <v>19</v>
      </c>
      <c r="N4915">
        <f>ABS(TablaDatos[[#This Row],[DiasOriginal]])</f>
        <v>19</v>
      </c>
      <c r="O4915" s="1">
        <f>TablaDatos[[#This Row],[FechaIngreso]]+TablaDatos[[#This Row],[DiasNuevo]]</f>
        <v>45160</v>
      </c>
    </row>
    <row r="4916" spans="1:15">
      <c r="A4916">
        <v>4915</v>
      </c>
      <c r="B4916" t="s">
        <v>303</v>
      </c>
      <c r="C4916" s="1">
        <v>37256</v>
      </c>
      <c r="D4916">
        <v>24</v>
      </c>
      <c r="E4916" s="4" t="s">
        <v>12</v>
      </c>
      <c r="F4916" t="s">
        <v>21</v>
      </c>
      <c r="G4916" s="1">
        <v>45213</v>
      </c>
      <c r="H4916" s="1">
        <f>TablaDatos[[#This Row],[FechaIngreso]]+TablaDatos[[#This Row],[DiasNuevo]]</f>
        <v>45241</v>
      </c>
      <c r="I4916">
        <v>28</v>
      </c>
      <c r="J4916" t="s">
        <v>23</v>
      </c>
      <c r="K4916" s="3">
        <v>11789.02</v>
      </c>
      <c r="L4916" t="b">
        <f>TablaDatos[[#This Row],[FechaAlta]] &lt; TablaDatos[[#This Row],[FechaIngreso]]</f>
        <v>0</v>
      </c>
      <c r="M4916">
        <f>_xlfn.XLOOKUP(TablaDatos[[#This Row],[PacienteID]],'Datos_Ejemplo.csv'!A:A,'Datos_Ejemplo.csv'!I:I)</f>
        <v>28</v>
      </c>
      <c r="N4916">
        <f>ABS(TablaDatos[[#This Row],[DiasOriginal]])</f>
        <v>28</v>
      </c>
      <c r="O4916" s="1">
        <f>TablaDatos[[#This Row],[FechaIngreso]]+TablaDatos[[#This Row],[DiasNuevo]]</f>
        <v>45241</v>
      </c>
    </row>
    <row r="4917" spans="1:15">
      <c r="A4917">
        <v>4916</v>
      </c>
      <c r="B4917" t="s">
        <v>280</v>
      </c>
      <c r="C4917" s="1">
        <v>33239</v>
      </c>
      <c r="D4917">
        <v>35</v>
      </c>
      <c r="E4917" s="4" t="s">
        <v>12</v>
      </c>
      <c r="F4917" t="s">
        <v>201</v>
      </c>
      <c r="G4917" s="1">
        <v>45295</v>
      </c>
      <c r="H4917" s="1">
        <f>TablaDatos[[#This Row],[FechaIngreso]]+TablaDatos[[#This Row],[DiasNuevo]]</f>
        <v>45333</v>
      </c>
      <c r="I4917">
        <v>38</v>
      </c>
      <c r="J4917" t="s">
        <v>23</v>
      </c>
      <c r="K4917" s="3">
        <v>8906.1</v>
      </c>
      <c r="L4917" t="b">
        <f>TablaDatos[[#This Row],[FechaAlta]] &lt; TablaDatos[[#This Row],[FechaIngreso]]</f>
        <v>0</v>
      </c>
      <c r="M4917">
        <f>_xlfn.XLOOKUP(TablaDatos[[#This Row],[PacienteID]],'Datos_Ejemplo.csv'!A:A,'Datos_Ejemplo.csv'!I:I)</f>
        <v>38</v>
      </c>
      <c r="N4917">
        <f>ABS(TablaDatos[[#This Row],[DiasOriginal]])</f>
        <v>38</v>
      </c>
      <c r="O4917" s="1">
        <f>TablaDatos[[#This Row],[FechaIngreso]]+TablaDatos[[#This Row],[DiasNuevo]]</f>
        <v>45333</v>
      </c>
    </row>
    <row r="4918" spans="1:15">
      <c r="A4918">
        <v>4917</v>
      </c>
      <c r="B4918" t="s">
        <v>263</v>
      </c>
      <c r="C4918" s="1">
        <v>43466</v>
      </c>
      <c r="D4918">
        <v>7</v>
      </c>
      <c r="E4918" s="4" t="s">
        <v>12</v>
      </c>
      <c r="F4918" t="s">
        <v>261</v>
      </c>
      <c r="G4918" s="1">
        <v>45395</v>
      </c>
      <c r="H4918" s="1">
        <f>TablaDatos[[#This Row],[FechaIngreso]]+TablaDatos[[#This Row],[DiasNuevo]]</f>
        <v>45406</v>
      </c>
      <c r="I4918">
        <v>11</v>
      </c>
      <c r="J4918" t="s">
        <v>25</v>
      </c>
      <c r="K4918" s="3">
        <v>5141.7299999999996</v>
      </c>
      <c r="L4918" t="b">
        <f>TablaDatos[[#This Row],[FechaAlta]] &lt; TablaDatos[[#This Row],[FechaIngreso]]</f>
        <v>0</v>
      </c>
      <c r="M4918">
        <f>_xlfn.XLOOKUP(TablaDatos[[#This Row],[PacienteID]],'Datos_Ejemplo.csv'!A:A,'Datos_Ejemplo.csv'!I:I)</f>
        <v>11</v>
      </c>
      <c r="N4918">
        <f>ABS(TablaDatos[[#This Row],[DiasOriginal]])</f>
        <v>11</v>
      </c>
      <c r="O4918" s="1">
        <f>TablaDatos[[#This Row],[FechaIngreso]]+TablaDatos[[#This Row],[DiasNuevo]]</f>
        <v>45406</v>
      </c>
    </row>
    <row r="4919" spans="1:15">
      <c r="A4919">
        <v>4918</v>
      </c>
      <c r="B4919" t="s">
        <v>313</v>
      </c>
      <c r="C4919" s="1">
        <v>19724</v>
      </c>
      <c r="D4919">
        <f ca="1">DATEDIF(TablaDatos[[#This Row],[FechaNacimiento]],TODAY(),"Y")</f>
        <v>72</v>
      </c>
      <c r="E4919" s="4" t="s">
        <v>15</v>
      </c>
      <c r="F4919" t="s">
        <v>32</v>
      </c>
      <c r="G4919" s="1">
        <v>45112</v>
      </c>
      <c r="H4919" s="1">
        <f>TablaDatos[[#This Row],[FechaIngreso]]+TablaDatos[[#This Row],[DiasNuevo]]</f>
        <v>45112</v>
      </c>
      <c r="I4919">
        <v>0</v>
      </c>
      <c r="J4919" t="s">
        <v>19</v>
      </c>
      <c r="K4919" s="3">
        <v>18179.47</v>
      </c>
      <c r="L4919" t="b">
        <f>TablaDatos[[#This Row],[FechaAlta]] &lt; TablaDatos[[#This Row],[FechaIngreso]]</f>
        <v>0</v>
      </c>
      <c r="M4919">
        <f>_xlfn.XLOOKUP(TablaDatos[[#This Row],[PacienteID]],'Datos_Ejemplo.csv'!A:A,'Datos_Ejemplo.csv'!I:I)</f>
        <v>0</v>
      </c>
      <c r="N4919">
        <f>ABS(TablaDatos[[#This Row],[DiasOriginal]])</f>
        <v>0</v>
      </c>
      <c r="O4919" s="1">
        <f>TablaDatos[[#This Row],[FechaIngreso]]+TablaDatos[[#This Row],[DiasNuevo]]</f>
        <v>45112</v>
      </c>
    </row>
    <row r="4920" spans="1:15">
      <c r="A4920">
        <v>4919</v>
      </c>
      <c r="B4920" t="s">
        <v>342</v>
      </c>
      <c r="C4920" s="1">
        <v>25203</v>
      </c>
      <c r="D4920">
        <v>57</v>
      </c>
      <c r="E4920" s="4" t="s">
        <v>15</v>
      </c>
      <c r="F4920" t="s">
        <v>21</v>
      </c>
      <c r="G4920" s="1">
        <v>45400</v>
      </c>
      <c r="H4920" s="1">
        <f>TablaDatos[[#This Row],[FechaIngreso]]+TablaDatos[[#This Row],[DiasNuevo]]</f>
        <v>45421</v>
      </c>
      <c r="I4920">
        <v>21</v>
      </c>
      <c r="J4920" t="s">
        <v>23</v>
      </c>
      <c r="K4920" s="3">
        <v>7332.74</v>
      </c>
      <c r="L4920" t="b">
        <f>TablaDatos[[#This Row],[FechaAlta]] &lt; TablaDatos[[#This Row],[FechaIngreso]]</f>
        <v>0</v>
      </c>
      <c r="M4920">
        <f>_xlfn.XLOOKUP(TablaDatos[[#This Row],[PacienteID]],'Datos_Ejemplo.csv'!A:A,'Datos_Ejemplo.csv'!I:I)</f>
        <v>21</v>
      </c>
      <c r="N4920">
        <f>ABS(TablaDatos[[#This Row],[DiasOriginal]])</f>
        <v>21</v>
      </c>
      <c r="O4920" s="1">
        <f>TablaDatos[[#This Row],[FechaIngreso]]+TablaDatos[[#This Row],[DiasNuevo]]</f>
        <v>45421</v>
      </c>
    </row>
    <row r="4921" spans="1:15">
      <c r="A4921">
        <v>4920</v>
      </c>
      <c r="B4921" t="s">
        <v>357</v>
      </c>
      <c r="C4921" s="1">
        <v>29951</v>
      </c>
      <c r="D4921">
        <v>44</v>
      </c>
      <c r="E4921" s="4" t="s">
        <v>15</v>
      </c>
      <c r="F4921" t="s">
        <v>21</v>
      </c>
      <c r="G4921" s="1">
        <v>44987</v>
      </c>
      <c r="H4921" s="1">
        <f>TablaDatos[[#This Row],[FechaIngreso]]+TablaDatos[[#This Row],[DiasNuevo]]</f>
        <v>44998</v>
      </c>
      <c r="I4921">
        <v>11</v>
      </c>
      <c r="J4921" t="s">
        <v>25</v>
      </c>
      <c r="K4921" s="3">
        <v>15959.74</v>
      </c>
      <c r="L4921" t="b">
        <f>TablaDatos[[#This Row],[FechaAlta]] &lt; TablaDatos[[#This Row],[FechaIngreso]]</f>
        <v>0</v>
      </c>
      <c r="M4921">
        <f>_xlfn.XLOOKUP(TablaDatos[[#This Row],[PacienteID]],'Datos_Ejemplo.csv'!A:A,'Datos_Ejemplo.csv'!I:I)</f>
        <v>11</v>
      </c>
      <c r="N4921">
        <f>ABS(TablaDatos[[#This Row],[DiasOriginal]])</f>
        <v>11</v>
      </c>
      <c r="O4921" s="1">
        <f>TablaDatos[[#This Row],[FechaIngreso]]+TablaDatos[[#This Row],[DiasNuevo]]</f>
        <v>44998</v>
      </c>
    </row>
    <row r="4922" spans="1:15">
      <c r="A4922">
        <v>4921</v>
      </c>
      <c r="B4922" t="s">
        <v>362</v>
      </c>
      <c r="C4922" s="1">
        <v>23742</v>
      </c>
      <c r="D4922">
        <v>61</v>
      </c>
      <c r="E4922" s="4" t="s">
        <v>15</v>
      </c>
      <c r="F4922" t="s">
        <v>13</v>
      </c>
      <c r="G4922" s="1">
        <v>45188</v>
      </c>
      <c r="H4922" s="1">
        <f>TablaDatos[[#This Row],[FechaIngreso]]+TablaDatos[[#This Row],[DiasNuevo]]</f>
        <v>45201</v>
      </c>
      <c r="I4922">
        <v>13</v>
      </c>
      <c r="J4922" t="s">
        <v>23</v>
      </c>
      <c r="K4922" s="3">
        <v>536.48</v>
      </c>
      <c r="L4922" t="b">
        <f>TablaDatos[[#This Row],[FechaAlta]] &lt; TablaDatos[[#This Row],[FechaIngreso]]</f>
        <v>0</v>
      </c>
      <c r="M4922">
        <f>_xlfn.XLOOKUP(TablaDatos[[#This Row],[PacienteID]],'Datos_Ejemplo.csv'!A:A,'Datos_Ejemplo.csv'!I:I)</f>
        <v>13</v>
      </c>
      <c r="N4922">
        <f>ABS(TablaDatos[[#This Row],[DiasOriginal]])</f>
        <v>13</v>
      </c>
      <c r="O4922" s="1">
        <f>TablaDatos[[#This Row],[FechaIngreso]]+TablaDatos[[#This Row],[DiasNuevo]]</f>
        <v>45201</v>
      </c>
    </row>
    <row r="4923" spans="1:15">
      <c r="A4923">
        <v>4922</v>
      </c>
      <c r="B4923" t="s">
        <v>268</v>
      </c>
      <c r="C4923" s="1">
        <v>32143</v>
      </c>
      <c r="D4923">
        <v>38</v>
      </c>
      <c r="E4923" s="4" t="s">
        <v>12</v>
      </c>
      <c r="F4923" t="s">
        <v>201</v>
      </c>
      <c r="G4923" s="1">
        <v>45037</v>
      </c>
      <c r="H4923" s="1">
        <f>TablaDatos[[#This Row],[FechaIngreso]]+TablaDatos[[#This Row],[DiasNuevo]]</f>
        <v>45062</v>
      </c>
      <c r="I4923">
        <v>25</v>
      </c>
      <c r="J4923" t="s">
        <v>25</v>
      </c>
      <c r="K4923" s="3">
        <v>4566.6000000000004</v>
      </c>
      <c r="L4923" t="b">
        <f>TablaDatos[[#This Row],[FechaAlta]] &lt; TablaDatos[[#This Row],[FechaIngreso]]</f>
        <v>0</v>
      </c>
      <c r="M4923">
        <f>_xlfn.XLOOKUP(TablaDatos[[#This Row],[PacienteID]],'Datos_Ejemplo.csv'!A:A,'Datos_Ejemplo.csv'!I:I)</f>
        <v>25</v>
      </c>
      <c r="N4923">
        <f>ABS(TablaDatos[[#This Row],[DiasOriginal]])</f>
        <v>25</v>
      </c>
      <c r="O4923" s="1">
        <f>TablaDatos[[#This Row],[FechaIngreso]]+TablaDatos[[#This Row],[DiasNuevo]]</f>
        <v>45062</v>
      </c>
    </row>
    <row r="4924" spans="1:15">
      <c r="A4924">
        <v>4923</v>
      </c>
      <c r="B4924" t="s">
        <v>285</v>
      </c>
      <c r="C4924" s="1">
        <v>25203</v>
      </c>
      <c r="D4924">
        <v>57</v>
      </c>
      <c r="E4924" s="4" t="s">
        <v>12</v>
      </c>
      <c r="F4924" t="s">
        <v>21</v>
      </c>
      <c r="G4924" s="1">
        <v>45067</v>
      </c>
      <c r="H4924" s="1">
        <f>TablaDatos[[#This Row],[FechaIngreso]]+TablaDatos[[#This Row],[DiasNuevo]]</f>
        <v>45099</v>
      </c>
      <c r="I4924">
        <v>32</v>
      </c>
      <c r="J4924" t="s">
        <v>23</v>
      </c>
      <c r="K4924" s="3">
        <v>6846.25</v>
      </c>
      <c r="L4924" t="b">
        <f>TablaDatos[[#This Row],[FechaAlta]] &lt; TablaDatos[[#This Row],[FechaIngreso]]</f>
        <v>0</v>
      </c>
      <c r="M4924">
        <f>_xlfn.XLOOKUP(TablaDatos[[#This Row],[PacienteID]],'Datos_Ejemplo.csv'!A:A,'Datos_Ejemplo.csv'!I:I)</f>
        <v>32</v>
      </c>
      <c r="N4924">
        <f>ABS(TablaDatos[[#This Row],[DiasOriginal]])</f>
        <v>32</v>
      </c>
      <c r="O4924" s="1">
        <f>TablaDatos[[#This Row],[FechaIngreso]]+TablaDatos[[#This Row],[DiasNuevo]]</f>
        <v>45099</v>
      </c>
    </row>
    <row r="4925" spans="1:15">
      <c r="A4925">
        <v>4924</v>
      </c>
      <c r="B4925" t="s">
        <v>262</v>
      </c>
      <c r="C4925" s="1">
        <v>16802</v>
      </c>
      <c r="D4925">
        <v>80</v>
      </c>
      <c r="E4925" s="4" t="s">
        <v>15</v>
      </c>
      <c r="F4925" t="s">
        <v>18</v>
      </c>
      <c r="G4925" s="1">
        <v>45461</v>
      </c>
      <c r="H4925" s="1">
        <f>TablaDatos[[#This Row],[FechaIngreso]]+TablaDatos[[#This Row],[DiasNuevo]]</f>
        <v>45498</v>
      </c>
      <c r="I4925">
        <v>37</v>
      </c>
      <c r="J4925" t="s">
        <v>25</v>
      </c>
      <c r="K4925" s="3">
        <v>13398.64</v>
      </c>
      <c r="L4925" t="b">
        <f>TablaDatos[[#This Row],[FechaAlta]] &lt; TablaDatos[[#This Row],[FechaIngreso]]</f>
        <v>0</v>
      </c>
      <c r="M4925">
        <f>_xlfn.XLOOKUP(TablaDatos[[#This Row],[PacienteID]],'Datos_Ejemplo.csv'!A:A,'Datos_Ejemplo.csv'!I:I)</f>
        <v>37</v>
      </c>
      <c r="N4925">
        <f>ABS(TablaDatos[[#This Row],[DiasOriginal]])</f>
        <v>37</v>
      </c>
      <c r="O4925" s="1">
        <f>TablaDatos[[#This Row],[FechaIngreso]]+TablaDatos[[#This Row],[DiasNuevo]]</f>
        <v>45498</v>
      </c>
    </row>
    <row r="4926" spans="1:15">
      <c r="A4926">
        <v>4925</v>
      </c>
      <c r="B4926" t="s">
        <v>298</v>
      </c>
      <c r="C4926" s="1">
        <f ca="1">DATE(YEAR(TODAY())-TablaDatos[[#This Row],[Edad]],1,1)</f>
        <v>16072</v>
      </c>
      <c r="D4926">
        <v>82</v>
      </c>
      <c r="E4926" s="4" t="s">
        <v>15</v>
      </c>
      <c r="F4926" t="s">
        <v>261</v>
      </c>
      <c r="G4926" s="1">
        <v>45005</v>
      </c>
      <c r="H4926" s="1">
        <f>TablaDatos[[#This Row],[FechaIngreso]]+TablaDatos[[#This Row],[DiasNuevo]]</f>
        <v>45006</v>
      </c>
      <c r="I4926">
        <v>1</v>
      </c>
      <c r="J4926" t="s">
        <v>23</v>
      </c>
      <c r="K4926" s="3">
        <v>6318.55</v>
      </c>
      <c r="L4926" t="b">
        <f>TablaDatos[[#This Row],[FechaAlta]] &lt; TablaDatos[[#This Row],[FechaIngreso]]</f>
        <v>0</v>
      </c>
      <c r="M4926">
        <f>_xlfn.XLOOKUP(TablaDatos[[#This Row],[PacienteID]],'Datos_Ejemplo.csv'!A:A,'Datos_Ejemplo.csv'!I:I)</f>
        <v>-1</v>
      </c>
      <c r="N4926">
        <f>ABS(TablaDatos[[#This Row],[DiasOriginal]])</f>
        <v>1</v>
      </c>
      <c r="O4926" s="1">
        <f>TablaDatos[[#This Row],[FechaIngreso]]+TablaDatos[[#This Row],[DiasNuevo]]</f>
        <v>45006</v>
      </c>
    </row>
    <row r="4927" spans="1:15">
      <c r="A4927">
        <v>4926</v>
      </c>
      <c r="B4927" t="s">
        <v>297</v>
      </c>
      <c r="C4927" s="1">
        <v>23012</v>
      </c>
      <c r="D4927">
        <v>63</v>
      </c>
      <c r="E4927" s="4" t="s">
        <v>15</v>
      </c>
      <c r="F4927" t="s">
        <v>13</v>
      </c>
      <c r="G4927" s="1">
        <v>45420</v>
      </c>
      <c r="H4927" s="1">
        <f>TablaDatos[[#This Row],[FechaIngreso]]+TablaDatos[[#This Row],[DiasNuevo]]</f>
        <v>45451</v>
      </c>
      <c r="I4927">
        <v>31</v>
      </c>
      <c r="J4927" t="s">
        <v>23</v>
      </c>
      <c r="K4927" s="3">
        <v>731.41</v>
      </c>
      <c r="L4927" t="b">
        <f>TablaDatos[[#This Row],[FechaAlta]] &lt; TablaDatos[[#This Row],[FechaIngreso]]</f>
        <v>0</v>
      </c>
      <c r="M4927">
        <f>_xlfn.XLOOKUP(TablaDatos[[#This Row],[PacienteID]],'Datos_Ejemplo.csv'!A:A,'Datos_Ejemplo.csv'!I:I)</f>
        <v>31</v>
      </c>
      <c r="N4927">
        <f>ABS(TablaDatos[[#This Row],[DiasOriginal]])</f>
        <v>31</v>
      </c>
      <c r="O4927" s="1">
        <f>TablaDatos[[#This Row],[FechaIngreso]]+TablaDatos[[#This Row],[DiasNuevo]]</f>
        <v>45451</v>
      </c>
    </row>
    <row r="4928" spans="1:15">
      <c r="A4928">
        <v>4927</v>
      </c>
      <c r="B4928" t="s">
        <v>240</v>
      </c>
      <c r="C4928" s="1">
        <v>30317</v>
      </c>
      <c r="D4928">
        <v>43</v>
      </c>
      <c r="E4928" s="4" t="s">
        <v>197</v>
      </c>
      <c r="F4928" t="s">
        <v>13</v>
      </c>
      <c r="G4928" s="1">
        <v>44957</v>
      </c>
      <c r="H4928" s="1">
        <f>TablaDatos[[#This Row],[FechaIngreso]]+TablaDatos[[#This Row],[DiasNuevo]]</f>
        <v>44972</v>
      </c>
      <c r="I4928">
        <v>15</v>
      </c>
      <c r="J4928" t="s">
        <v>19</v>
      </c>
      <c r="K4928" s="3">
        <v>3394.74</v>
      </c>
      <c r="L4928" t="b">
        <f>TablaDatos[[#This Row],[FechaAlta]] &lt; TablaDatos[[#This Row],[FechaIngreso]]</f>
        <v>0</v>
      </c>
      <c r="M4928">
        <f>_xlfn.XLOOKUP(TablaDatos[[#This Row],[PacienteID]],'Datos_Ejemplo.csv'!A:A,'Datos_Ejemplo.csv'!I:I)</f>
        <v>15</v>
      </c>
      <c r="N4928">
        <f>ABS(TablaDatos[[#This Row],[DiasOriginal]])</f>
        <v>15</v>
      </c>
      <c r="O4928" s="1">
        <f>TablaDatos[[#This Row],[FechaIngreso]]+TablaDatos[[#This Row],[DiasNuevo]]</f>
        <v>44972</v>
      </c>
    </row>
    <row r="4929" spans="1:15">
      <c r="A4929">
        <v>4928</v>
      </c>
      <c r="B4929" t="s">
        <v>253</v>
      </c>
      <c r="C4929" s="1">
        <v>35795</v>
      </c>
      <c r="D4929">
        <v>28</v>
      </c>
      <c r="E4929" s="4" t="s">
        <v>15</v>
      </c>
      <c r="F4929" t="s">
        <v>32</v>
      </c>
      <c r="G4929" s="1">
        <v>45442</v>
      </c>
      <c r="H4929" s="1">
        <f>TablaDatos[[#This Row],[FechaIngreso]]+TablaDatos[[#This Row],[DiasNuevo]]</f>
        <v>45446</v>
      </c>
      <c r="I4929">
        <v>4</v>
      </c>
      <c r="J4929" t="s">
        <v>19</v>
      </c>
      <c r="K4929" s="3">
        <v>5109.22</v>
      </c>
      <c r="L4929" t="b">
        <f>TablaDatos[[#This Row],[FechaAlta]] &lt; TablaDatos[[#This Row],[FechaIngreso]]</f>
        <v>0</v>
      </c>
      <c r="M4929">
        <f>_xlfn.XLOOKUP(TablaDatos[[#This Row],[PacienteID]],'Datos_Ejemplo.csv'!A:A,'Datos_Ejemplo.csv'!I:I)</f>
        <v>4</v>
      </c>
      <c r="N4929">
        <f>ABS(TablaDatos[[#This Row],[DiasOriginal]])</f>
        <v>4</v>
      </c>
      <c r="O4929" s="1">
        <f>TablaDatos[[#This Row],[FechaIngreso]]+TablaDatos[[#This Row],[DiasNuevo]]</f>
        <v>45446</v>
      </c>
    </row>
    <row r="4930" spans="1:15">
      <c r="A4930">
        <v>4929</v>
      </c>
      <c r="B4930" t="s">
        <v>246</v>
      </c>
      <c r="C4930" s="1">
        <v>24838</v>
      </c>
      <c r="D4930">
        <v>58</v>
      </c>
      <c r="E4930" s="4" t="s">
        <v>12</v>
      </c>
      <c r="F4930" t="s">
        <v>261</v>
      </c>
      <c r="G4930" s="1">
        <v>45435</v>
      </c>
      <c r="H4930" s="1">
        <f>TablaDatos[[#This Row],[FechaIngreso]]+TablaDatos[[#This Row],[DiasNuevo]]</f>
        <v>45470</v>
      </c>
      <c r="I4930">
        <v>35</v>
      </c>
      <c r="J4930" t="s">
        <v>23</v>
      </c>
      <c r="K4930" s="3">
        <v>3438.55</v>
      </c>
      <c r="L4930" t="b">
        <f>TablaDatos[[#This Row],[FechaAlta]] &lt; TablaDatos[[#This Row],[FechaIngreso]]</f>
        <v>0</v>
      </c>
      <c r="M4930">
        <f>_xlfn.XLOOKUP(TablaDatos[[#This Row],[PacienteID]],'Datos_Ejemplo.csv'!A:A,'Datos_Ejemplo.csv'!I:I)</f>
        <v>35</v>
      </c>
      <c r="N4930">
        <f>ABS(TablaDatos[[#This Row],[DiasOriginal]])</f>
        <v>35</v>
      </c>
      <c r="O4930" s="1">
        <f>TablaDatos[[#This Row],[FechaIngreso]]+TablaDatos[[#This Row],[DiasNuevo]]</f>
        <v>45470</v>
      </c>
    </row>
    <row r="4931" spans="1:15">
      <c r="A4931">
        <v>4930</v>
      </c>
      <c r="B4931" t="s">
        <v>345</v>
      </c>
      <c r="C4931" s="1">
        <v>20455</v>
      </c>
      <c r="D4931">
        <v>70</v>
      </c>
      <c r="E4931" s="4" t="s">
        <v>12</v>
      </c>
      <c r="F4931" t="s">
        <v>18</v>
      </c>
      <c r="G4931" s="1">
        <v>45556</v>
      </c>
      <c r="H4931" s="1">
        <f>TablaDatos[[#This Row],[FechaIngreso]]+TablaDatos[[#This Row],[DiasNuevo]]</f>
        <v>45595</v>
      </c>
      <c r="I4931">
        <v>39</v>
      </c>
      <c r="J4931" t="s">
        <v>23</v>
      </c>
      <c r="K4931" s="3">
        <v>3994.86</v>
      </c>
      <c r="L4931" t="b">
        <f>TablaDatos[[#This Row],[FechaAlta]] &lt; TablaDatos[[#This Row],[FechaIngreso]]</f>
        <v>0</v>
      </c>
      <c r="M4931">
        <f>_xlfn.XLOOKUP(TablaDatos[[#This Row],[PacienteID]],'Datos_Ejemplo.csv'!A:A,'Datos_Ejemplo.csv'!I:I)</f>
        <v>39</v>
      </c>
      <c r="N4931">
        <f>ABS(TablaDatos[[#This Row],[DiasOriginal]])</f>
        <v>39</v>
      </c>
      <c r="O4931" s="1">
        <f>TablaDatos[[#This Row],[FechaIngreso]]+TablaDatos[[#This Row],[DiasNuevo]]</f>
        <v>45595</v>
      </c>
    </row>
    <row r="4932" spans="1:15">
      <c r="A4932">
        <v>4931</v>
      </c>
      <c r="B4932" t="s">
        <v>347</v>
      </c>
      <c r="C4932" s="1">
        <v>12785</v>
      </c>
      <c r="D4932">
        <v>91</v>
      </c>
      <c r="E4932" s="4" t="s">
        <v>12</v>
      </c>
      <c r="F4932" t="s">
        <v>261</v>
      </c>
      <c r="G4932" s="1">
        <v>44992</v>
      </c>
      <c r="H4932" s="1">
        <f>TablaDatos[[#This Row],[FechaIngreso]]+TablaDatos[[#This Row],[DiasNuevo]]</f>
        <v>44996</v>
      </c>
      <c r="I4932">
        <v>4</v>
      </c>
      <c r="J4932" t="s">
        <v>25</v>
      </c>
      <c r="K4932" s="3">
        <v>15356.03</v>
      </c>
      <c r="L4932" t="b">
        <f>TablaDatos[[#This Row],[FechaAlta]] &lt; TablaDatos[[#This Row],[FechaIngreso]]</f>
        <v>0</v>
      </c>
      <c r="M4932">
        <f>_xlfn.XLOOKUP(TablaDatos[[#This Row],[PacienteID]],'Datos_Ejemplo.csv'!A:A,'Datos_Ejemplo.csv'!I:I)</f>
        <v>4</v>
      </c>
      <c r="N4932">
        <f>ABS(TablaDatos[[#This Row],[DiasOriginal]])</f>
        <v>4</v>
      </c>
      <c r="O4932" s="1">
        <f>TablaDatos[[#This Row],[FechaIngreso]]+TablaDatos[[#This Row],[DiasNuevo]]</f>
        <v>44996</v>
      </c>
    </row>
    <row r="4933" spans="1:15">
      <c r="A4933">
        <v>4932</v>
      </c>
      <c r="B4933" t="s">
        <v>250</v>
      </c>
      <c r="C4933" s="1">
        <v>43100</v>
      </c>
      <c r="D4933">
        <v>8</v>
      </c>
      <c r="E4933" s="4" t="s">
        <v>12</v>
      </c>
      <c r="F4933" t="s">
        <v>21</v>
      </c>
      <c r="G4933" s="1">
        <v>45436</v>
      </c>
      <c r="H4933" s="1">
        <f>TablaDatos[[#This Row],[FechaIngreso]]+TablaDatos[[#This Row],[DiasNuevo]]</f>
        <v>45437</v>
      </c>
      <c r="I4933">
        <v>1</v>
      </c>
      <c r="J4933" t="s">
        <v>23</v>
      </c>
      <c r="K4933" s="3">
        <v>8181.88</v>
      </c>
      <c r="L4933" t="b">
        <f>TablaDatos[[#This Row],[FechaAlta]] &lt; TablaDatos[[#This Row],[FechaIngreso]]</f>
        <v>0</v>
      </c>
      <c r="M4933">
        <f>_xlfn.XLOOKUP(TablaDatos[[#This Row],[PacienteID]],'Datos_Ejemplo.csv'!A:A,'Datos_Ejemplo.csv'!I:I)</f>
        <v>1</v>
      </c>
      <c r="N4933">
        <f>ABS(TablaDatos[[#This Row],[DiasOriginal]])</f>
        <v>1</v>
      </c>
      <c r="O4933" s="1">
        <f>TablaDatos[[#This Row],[FechaIngreso]]+TablaDatos[[#This Row],[DiasNuevo]]</f>
        <v>45437</v>
      </c>
    </row>
    <row r="4934" spans="1:15">
      <c r="A4934">
        <v>4933</v>
      </c>
      <c r="B4934" t="s">
        <v>326</v>
      </c>
      <c r="C4934" s="1">
        <v>12785</v>
      </c>
      <c r="D4934">
        <v>91</v>
      </c>
      <c r="E4934" s="4" t="s">
        <v>15</v>
      </c>
      <c r="F4934" t="s">
        <v>32</v>
      </c>
      <c r="G4934" s="1">
        <v>45297</v>
      </c>
      <c r="H4934" s="1">
        <f>TablaDatos[[#This Row],[FechaIngreso]]+TablaDatos[[#This Row],[DiasNuevo]]</f>
        <v>45310</v>
      </c>
      <c r="I4934">
        <v>13</v>
      </c>
      <c r="J4934" t="s">
        <v>23</v>
      </c>
      <c r="K4934" s="3">
        <v>8044.1</v>
      </c>
      <c r="L4934" t="b">
        <f>TablaDatos[[#This Row],[FechaAlta]] &lt; TablaDatos[[#This Row],[FechaIngreso]]</f>
        <v>0</v>
      </c>
      <c r="M4934">
        <f>_xlfn.XLOOKUP(TablaDatos[[#This Row],[PacienteID]],'Datos_Ejemplo.csv'!A:A,'Datos_Ejemplo.csv'!I:I)</f>
        <v>13</v>
      </c>
      <c r="N4934">
        <f>ABS(TablaDatos[[#This Row],[DiasOriginal]])</f>
        <v>13</v>
      </c>
      <c r="O4934" s="1">
        <f>TablaDatos[[#This Row],[FechaIngreso]]+TablaDatos[[#This Row],[DiasNuevo]]</f>
        <v>45310</v>
      </c>
    </row>
    <row r="4935" spans="1:15">
      <c r="A4935">
        <v>4934</v>
      </c>
      <c r="B4935" t="s">
        <v>333</v>
      </c>
      <c r="C4935" s="1">
        <v>44196</v>
      </c>
      <c r="D4935">
        <v>5</v>
      </c>
      <c r="E4935" s="4" t="s">
        <v>12</v>
      </c>
      <c r="F4935" t="s">
        <v>18</v>
      </c>
      <c r="G4935" s="1">
        <v>45213</v>
      </c>
      <c r="H4935" s="1">
        <f>TablaDatos[[#This Row],[FechaIngreso]]+TablaDatos[[#This Row],[DiasNuevo]]</f>
        <v>45216</v>
      </c>
      <c r="I4935">
        <v>3</v>
      </c>
      <c r="J4935" t="s">
        <v>23</v>
      </c>
      <c r="K4935" s="3">
        <v>19328.79</v>
      </c>
      <c r="L4935" t="b">
        <f>TablaDatos[[#This Row],[FechaAlta]] &lt; TablaDatos[[#This Row],[FechaIngreso]]</f>
        <v>0</v>
      </c>
      <c r="M4935">
        <f>_xlfn.XLOOKUP(TablaDatos[[#This Row],[PacienteID]],'Datos_Ejemplo.csv'!A:A,'Datos_Ejemplo.csv'!I:I)</f>
        <v>3</v>
      </c>
      <c r="N4935">
        <f>ABS(TablaDatos[[#This Row],[DiasOriginal]])</f>
        <v>3</v>
      </c>
      <c r="O4935" s="1">
        <f>TablaDatos[[#This Row],[FechaIngreso]]+TablaDatos[[#This Row],[DiasNuevo]]</f>
        <v>45216</v>
      </c>
    </row>
    <row r="4936" spans="1:15">
      <c r="A4936">
        <v>4935</v>
      </c>
      <c r="B4936" t="s">
        <v>230</v>
      </c>
      <c r="C4936" s="1">
        <v>35795</v>
      </c>
      <c r="D4936">
        <v>28</v>
      </c>
      <c r="E4936" s="4" t="s">
        <v>15</v>
      </c>
      <c r="F4936" t="s">
        <v>32</v>
      </c>
      <c r="G4936" s="1">
        <v>45102</v>
      </c>
      <c r="H4936" s="1">
        <f>TablaDatos[[#This Row],[FechaIngreso]]+TablaDatos[[#This Row],[DiasNuevo]]</f>
        <v>45119</v>
      </c>
      <c r="I4936">
        <v>17</v>
      </c>
      <c r="J4936" t="s">
        <v>25</v>
      </c>
      <c r="K4936" s="3">
        <v>8878.7099999999991</v>
      </c>
      <c r="L4936" t="b">
        <f>TablaDatos[[#This Row],[FechaAlta]] &lt; TablaDatos[[#This Row],[FechaIngreso]]</f>
        <v>0</v>
      </c>
      <c r="M4936">
        <f>_xlfn.XLOOKUP(TablaDatos[[#This Row],[PacienteID]],'Datos_Ejemplo.csv'!A:A,'Datos_Ejemplo.csv'!I:I)</f>
        <v>17</v>
      </c>
      <c r="N4936">
        <f>ABS(TablaDatos[[#This Row],[DiasOriginal]])</f>
        <v>17</v>
      </c>
      <c r="O4936" s="1">
        <f>TablaDatos[[#This Row],[FechaIngreso]]+TablaDatos[[#This Row],[DiasNuevo]]</f>
        <v>45119</v>
      </c>
    </row>
    <row r="4937" spans="1:15">
      <c r="A4937">
        <v>4936</v>
      </c>
      <c r="B4937" t="s">
        <v>302</v>
      </c>
      <c r="C4937" s="1">
        <v>25203</v>
      </c>
      <c r="D4937">
        <v>57</v>
      </c>
      <c r="E4937" s="4" t="s">
        <v>12</v>
      </c>
      <c r="F4937" t="s">
        <v>261</v>
      </c>
      <c r="G4937" s="1">
        <v>45049</v>
      </c>
      <c r="H4937" s="1">
        <f>TablaDatos[[#This Row],[FechaIngreso]]+TablaDatos[[#This Row],[DiasNuevo]]</f>
        <v>45077</v>
      </c>
      <c r="I4937">
        <v>28</v>
      </c>
      <c r="J4937" t="s">
        <v>23</v>
      </c>
      <c r="K4937" s="3">
        <v>18545.93</v>
      </c>
      <c r="L4937" t="b">
        <f>TablaDatos[[#This Row],[FechaAlta]] &lt; TablaDatos[[#This Row],[FechaIngreso]]</f>
        <v>0</v>
      </c>
      <c r="M4937">
        <f>_xlfn.XLOOKUP(TablaDatos[[#This Row],[PacienteID]],'Datos_Ejemplo.csv'!A:A,'Datos_Ejemplo.csv'!I:I)</f>
        <v>28</v>
      </c>
      <c r="N4937">
        <f>ABS(TablaDatos[[#This Row],[DiasOriginal]])</f>
        <v>28</v>
      </c>
      <c r="O4937" s="1">
        <f>TablaDatos[[#This Row],[FechaIngreso]]+TablaDatos[[#This Row],[DiasNuevo]]</f>
        <v>45077</v>
      </c>
    </row>
    <row r="4938" spans="1:15">
      <c r="A4938">
        <v>4937</v>
      </c>
      <c r="B4938" t="s">
        <v>357</v>
      </c>
      <c r="C4938" s="1">
        <v>40178</v>
      </c>
      <c r="D4938">
        <v>16</v>
      </c>
      <c r="E4938" s="4" t="s">
        <v>15</v>
      </c>
      <c r="F4938" t="s">
        <v>295</v>
      </c>
      <c r="G4938" s="1">
        <v>45157</v>
      </c>
      <c r="H4938" s="1">
        <f>TablaDatos[[#This Row],[FechaIngreso]]+TablaDatos[[#This Row],[DiasNuevo]]</f>
        <v>45173</v>
      </c>
      <c r="I4938">
        <v>16</v>
      </c>
      <c r="J4938" t="s">
        <v>25</v>
      </c>
      <c r="K4938" s="3">
        <v>5911.17</v>
      </c>
      <c r="L4938" t="b">
        <f>TablaDatos[[#This Row],[FechaAlta]] &lt; TablaDatos[[#This Row],[FechaIngreso]]</f>
        <v>0</v>
      </c>
      <c r="M4938">
        <f>_xlfn.XLOOKUP(TablaDatos[[#This Row],[PacienteID]],'Datos_Ejemplo.csv'!A:A,'Datos_Ejemplo.csv'!I:I)</f>
        <v>16</v>
      </c>
      <c r="N4938">
        <f>ABS(TablaDatos[[#This Row],[DiasOriginal]])</f>
        <v>16</v>
      </c>
      <c r="O4938" s="1">
        <f>TablaDatos[[#This Row],[FechaIngreso]]+TablaDatos[[#This Row],[DiasNuevo]]</f>
        <v>45173</v>
      </c>
    </row>
    <row r="4939" spans="1:15">
      <c r="A4939">
        <v>4938</v>
      </c>
      <c r="B4939" t="s">
        <v>245</v>
      </c>
      <c r="C4939" s="1">
        <v>40544</v>
      </c>
      <c r="D4939">
        <v>15</v>
      </c>
      <c r="E4939" s="4" t="s">
        <v>12</v>
      </c>
      <c r="F4939" t="s">
        <v>261</v>
      </c>
      <c r="G4939" s="1">
        <v>45481</v>
      </c>
      <c r="H4939" s="1">
        <f>TablaDatos[[#This Row],[FechaIngreso]]+TablaDatos[[#This Row],[DiasNuevo]]</f>
        <v>45500</v>
      </c>
      <c r="I4939">
        <v>19</v>
      </c>
      <c r="J4939" t="s">
        <v>25</v>
      </c>
      <c r="K4939" s="3">
        <v>7952.59</v>
      </c>
      <c r="L4939" t="b">
        <f>TablaDatos[[#This Row],[FechaAlta]] &lt; TablaDatos[[#This Row],[FechaIngreso]]</f>
        <v>0</v>
      </c>
      <c r="M4939">
        <f>_xlfn.XLOOKUP(TablaDatos[[#This Row],[PacienteID]],'Datos_Ejemplo.csv'!A:A,'Datos_Ejemplo.csv'!I:I)</f>
        <v>19</v>
      </c>
      <c r="N4939">
        <f>ABS(TablaDatos[[#This Row],[DiasOriginal]])</f>
        <v>19</v>
      </c>
      <c r="O4939" s="1">
        <f>TablaDatos[[#This Row],[FechaIngreso]]+TablaDatos[[#This Row],[DiasNuevo]]</f>
        <v>45500</v>
      </c>
    </row>
    <row r="4940" spans="1:15">
      <c r="A4940">
        <v>4939</v>
      </c>
      <c r="B4940" t="s">
        <v>341</v>
      </c>
      <c r="C4940" s="1">
        <v>14611</v>
      </c>
      <c r="D4940">
        <v>86</v>
      </c>
      <c r="E4940" s="4" t="s">
        <v>15</v>
      </c>
      <c r="F4940" t="s">
        <v>21</v>
      </c>
      <c r="G4940" s="1">
        <v>44930</v>
      </c>
      <c r="H4940" s="1">
        <f>TablaDatos[[#This Row],[FechaIngreso]]+TablaDatos[[#This Row],[DiasNuevo]]</f>
        <v>44948</v>
      </c>
      <c r="I4940">
        <v>18</v>
      </c>
      <c r="J4940" t="s">
        <v>19</v>
      </c>
      <c r="K4940" s="3">
        <v>7865.3</v>
      </c>
      <c r="L4940" t="b">
        <f>TablaDatos[[#This Row],[FechaAlta]] &lt; TablaDatos[[#This Row],[FechaIngreso]]</f>
        <v>0</v>
      </c>
      <c r="M4940">
        <f>_xlfn.XLOOKUP(TablaDatos[[#This Row],[PacienteID]],'Datos_Ejemplo.csv'!A:A,'Datos_Ejemplo.csv'!I:I)</f>
        <v>18</v>
      </c>
      <c r="N4940">
        <f>ABS(TablaDatos[[#This Row],[DiasOriginal]])</f>
        <v>18</v>
      </c>
      <c r="O4940" s="1">
        <f>TablaDatos[[#This Row],[FechaIngreso]]+TablaDatos[[#This Row],[DiasNuevo]]</f>
        <v>44948</v>
      </c>
    </row>
    <row r="4941" spans="1:15">
      <c r="A4941">
        <v>4940</v>
      </c>
      <c r="B4941" t="s">
        <v>304</v>
      </c>
      <c r="C4941" s="1">
        <v>11689</v>
      </c>
      <c r="D4941">
        <v>94</v>
      </c>
      <c r="E4941" s="4" t="s">
        <v>12</v>
      </c>
      <c r="F4941" t="s">
        <v>32</v>
      </c>
      <c r="G4941" s="1">
        <v>45628</v>
      </c>
      <c r="H4941" s="1">
        <f>TablaDatos[[#This Row],[FechaIngreso]]+TablaDatos[[#This Row],[DiasNuevo]]</f>
        <v>45643</v>
      </c>
      <c r="I4941">
        <v>15</v>
      </c>
      <c r="J4941" t="s">
        <v>19</v>
      </c>
      <c r="K4941" s="3">
        <v>10876.18</v>
      </c>
      <c r="L4941" t="b">
        <f>TablaDatos[[#This Row],[FechaAlta]] &lt; TablaDatos[[#This Row],[FechaIngreso]]</f>
        <v>0</v>
      </c>
      <c r="M4941">
        <f>_xlfn.XLOOKUP(TablaDatos[[#This Row],[PacienteID]],'Datos_Ejemplo.csv'!A:A,'Datos_Ejemplo.csv'!I:I)</f>
        <v>15</v>
      </c>
      <c r="N4941">
        <f>ABS(TablaDatos[[#This Row],[DiasOriginal]])</f>
        <v>15</v>
      </c>
      <c r="O4941" s="1">
        <f>TablaDatos[[#This Row],[FechaIngreso]]+TablaDatos[[#This Row],[DiasNuevo]]</f>
        <v>45643</v>
      </c>
    </row>
    <row r="4942" spans="1:15">
      <c r="A4942">
        <v>4941</v>
      </c>
      <c r="B4942" t="s">
        <v>352</v>
      </c>
      <c r="C4942" s="1">
        <v>45292</v>
      </c>
      <c r="D4942">
        <v>2</v>
      </c>
      <c r="E4942" s="4" t="s">
        <v>15</v>
      </c>
      <c r="F4942" t="s">
        <v>295</v>
      </c>
      <c r="G4942" s="1">
        <v>45338</v>
      </c>
      <c r="H4942" s="1">
        <f>TablaDatos[[#This Row],[FechaIngreso]]+TablaDatos[[#This Row],[DiasNuevo]]</f>
        <v>45367</v>
      </c>
      <c r="I4942">
        <v>29</v>
      </c>
      <c r="J4942" t="s">
        <v>23</v>
      </c>
      <c r="K4942" s="3">
        <v>11643.37</v>
      </c>
      <c r="L4942" t="b">
        <f>TablaDatos[[#This Row],[FechaAlta]] &lt; TablaDatos[[#This Row],[FechaIngreso]]</f>
        <v>0</v>
      </c>
      <c r="M4942">
        <f>_xlfn.XLOOKUP(TablaDatos[[#This Row],[PacienteID]],'Datos_Ejemplo.csv'!A:A,'Datos_Ejemplo.csv'!I:I)</f>
        <v>29</v>
      </c>
      <c r="N4942">
        <f>ABS(TablaDatos[[#This Row],[DiasOriginal]])</f>
        <v>29</v>
      </c>
      <c r="O4942" s="1">
        <f>TablaDatos[[#This Row],[FechaIngreso]]+TablaDatos[[#This Row],[DiasNuevo]]</f>
        <v>45367</v>
      </c>
    </row>
    <row r="4943" spans="1:15">
      <c r="A4943">
        <v>4942</v>
      </c>
      <c r="B4943" t="s">
        <v>90</v>
      </c>
      <c r="C4943" s="1">
        <v>38717</v>
      </c>
      <c r="D4943">
        <v>20</v>
      </c>
      <c r="E4943" s="4" t="s">
        <v>12</v>
      </c>
      <c r="F4943" t="s">
        <v>21</v>
      </c>
      <c r="G4943" s="1">
        <v>45176</v>
      </c>
      <c r="H4943" s="1">
        <f>TablaDatos[[#This Row],[FechaIngreso]]+TablaDatos[[#This Row],[DiasNuevo]]</f>
        <v>45207</v>
      </c>
      <c r="I4943">
        <v>31</v>
      </c>
      <c r="J4943" t="s">
        <v>25</v>
      </c>
      <c r="K4943" s="3">
        <v>4887.3100000000004</v>
      </c>
      <c r="L4943" t="b">
        <f>TablaDatos[[#This Row],[FechaAlta]] &lt; TablaDatos[[#This Row],[FechaIngreso]]</f>
        <v>0</v>
      </c>
      <c r="M4943">
        <f>_xlfn.XLOOKUP(TablaDatos[[#This Row],[PacienteID]],'Datos_Ejemplo.csv'!A:A,'Datos_Ejemplo.csv'!I:I)</f>
        <v>31</v>
      </c>
      <c r="N4943">
        <f>ABS(TablaDatos[[#This Row],[DiasOriginal]])</f>
        <v>31</v>
      </c>
      <c r="O4943" s="1">
        <f>TablaDatos[[#This Row],[FechaIngreso]]+TablaDatos[[#This Row],[DiasNuevo]]</f>
        <v>45207</v>
      </c>
    </row>
    <row r="4944" spans="1:15">
      <c r="A4944">
        <v>4943</v>
      </c>
      <c r="B4944" t="s">
        <v>255</v>
      </c>
      <c r="C4944" s="1">
        <v>23012</v>
      </c>
      <c r="D4944">
        <f ca="1">DATEDIF(TablaDatos[[#This Row],[FechaNacimiento]],TODAY(),"Y")</f>
        <v>63</v>
      </c>
      <c r="E4944" s="4" t="s">
        <v>12</v>
      </c>
      <c r="F4944" t="s">
        <v>32</v>
      </c>
      <c r="G4944" s="1">
        <v>45582</v>
      </c>
      <c r="H4944" s="1">
        <f>TablaDatos[[#This Row],[FechaIngreso]]+TablaDatos[[#This Row],[DiasNuevo]]</f>
        <v>45606</v>
      </c>
      <c r="I4944">
        <v>24</v>
      </c>
      <c r="J4944" t="s">
        <v>23</v>
      </c>
      <c r="K4944" s="3">
        <v>15851.04</v>
      </c>
      <c r="L4944" t="b">
        <f>TablaDatos[[#This Row],[FechaAlta]] &lt; TablaDatos[[#This Row],[FechaIngreso]]</f>
        <v>0</v>
      </c>
      <c r="M4944">
        <f>_xlfn.XLOOKUP(TablaDatos[[#This Row],[PacienteID]],'Datos_Ejemplo.csv'!A:A,'Datos_Ejemplo.csv'!I:I)</f>
        <v>24</v>
      </c>
      <c r="N4944">
        <f>ABS(TablaDatos[[#This Row],[DiasOriginal]])</f>
        <v>24</v>
      </c>
      <c r="O4944" s="1">
        <f>TablaDatos[[#This Row],[FechaIngreso]]+TablaDatos[[#This Row],[DiasNuevo]]</f>
        <v>45606</v>
      </c>
    </row>
    <row r="4945" spans="1:15">
      <c r="A4945">
        <v>4944</v>
      </c>
      <c r="B4945" t="s">
        <v>298</v>
      </c>
      <c r="C4945" s="1">
        <v>13515</v>
      </c>
      <c r="D4945">
        <v>89</v>
      </c>
      <c r="E4945" s="4" t="s">
        <v>15</v>
      </c>
      <c r="F4945" t="s">
        <v>32</v>
      </c>
      <c r="G4945" s="1">
        <v>45413</v>
      </c>
      <c r="H4945" s="1">
        <f>TablaDatos[[#This Row],[FechaIngreso]]+TablaDatos[[#This Row],[DiasNuevo]]</f>
        <v>45448</v>
      </c>
      <c r="I4945">
        <v>35</v>
      </c>
      <c r="J4945" t="s">
        <v>23</v>
      </c>
      <c r="K4945" s="3">
        <v>9880.17</v>
      </c>
      <c r="L4945" t="b">
        <f>TablaDatos[[#This Row],[FechaAlta]] &lt; TablaDatos[[#This Row],[FechaIngreso]]</f>
        <v>0</v>
      </c>
      <c r="M4945">
        <f>_xlfn.XLOOKUP(TablaDatos[[#This Row],[PacienteID]],'Datos_Ejemplo.csv'!A:A,'Datos_Ejemplo.csv'!I:I)</f>
        <v>35</v>
      </c>
      <c r="N4945">
        <f>ABS(TablaDatos[[#This Row],[DiasOriginal]])</f>
        <v>35</v>
      </c>
      <c r="O4945" s="1">
        <f>TablaDatos[[#This Row],[FechaIngreso]]+TablaDatos[[#This Row],[DiasNuevo]]</f>
        <v>45448</v>
      </c>
    </row>
    <row r="4946" spans="1:15">
      <c r="A4946">
        <v>4945</v>
      </c>
      <c r="B4946" t="s">
        <v>340</v>
      </c>
      <c r="C4946" s="1">
        <v>33239</v>
      </c>
      <c r="D4946">
        <v>35</v>
      </c>
      <c r="E4946" s="4" t="s">
        <v>12</v>
      </c>
      <c r="F4946" t="s">
        <v>261</v>
      </c>
      <c r="G4946" s="1">
        <v>45271</v>
      </c>
      <c r="H4946" s="1">
        <f>TablaDatos[[#This Row],[FechaIngreso]]+TablaDatos[[#This Row],[DiasNuevo]]</f>
        <v>45298</v>
      </c>
      <c r="I4946">
        <v>27</v>
      </c>
      <c r="J4946" t="s">
        <v>23</v>
      </c>
      <c r="K4946" s="3">
        <v>41.58</v>
      </c>
      <c r="L4946" t="b">
        <f>TablaDatos[[#This Row],[FechaAlta]] &lt; TablaDatos[[#This Row],[FechaIngreso]]</f>
        <v>0</v>
      </c>
      <c r="M4946">
        <f>_xlfn.XLOOKUP(TablaDatos[[#This Row],[PacienteID]],'Datos_Ejemplo.csv'!A:A,'Datos_Ejemplo.csv'!I:I)</f>
        <v>27</v>
      </c>
      <c r="N4946">
        <f>ABS(TablaDatos[[#This Row],[DiasOriginal]])</f>
        <v>27</v>
      </c>
      <c r="O4946" s="1">
        <f>TablaDatos[[#This Row],[FechaIngreso]]+TablaDatos[[#This Row],[DiasNuevo]]</f>
        <v>45298</v>
      </c>
    </row>
    <row r="4947" spans="1:15">
      <c r="A4947">
        <v>4946</v>
      </c>
      <c r="B4947" t="s">
        <v>254</v>
      </c>
      <c r="C4947" s="1">
        <v>14976</v>
      </c>
      <c r="D4947">
        <v>85</v>
      </c>
      <c r="E4947" s="4" t="s">
        <v>12</v>
      </c>
      <c r="F4947" t="s">
        <v>201</v>
      </c>
      <c r="G4947" s="1">
        <v>45259</v>
      </c>
      <c r="H4947" s="1">
        <f>TablaDatos[[#This Row],[FechaIngreso]]+TablaDatos[[#This Row],[DiasNuevo]]</f>
        <v>45289</v>
      </c>
      <c r="I4947">
        <v>30</v>
      </c>
      <c r="J4947" t="s">
        <v>23</v>
      </c>
      <c r="K4947" s="3">
        <v>11785.95</v>
      </c>
      <c r="L4947" t="b">
        <f>TablaDatos[[#This Row],[FechaAlta]] &lt; TablaDatos[[#This Row],[FechaIngreso]]</f>
        <v>0</v>
      </c>
      <c r="M4947">
        <f>_xlfn.XLOOKUP(TablaDatos[[#This Row],[PacienteID]],'Datos_Ejemplo.csv'!A:A,'Datos_Ejemplo.csv'!I:I)</f>
        <v>30</v>
      </c>
      <c r="N4947">
        <f>ABS(TablaDatos[[#This Row],[DiasOriginal]])</f>
        <v>30</v>
      </c>
      <c r="O4947" s="1">
        <f>TablaDatos[[#This Row],[FechaIngreso]]+TablaDatos[[#This Row],[DiasNuevo]]</f>
        <v>45289</v>
      </c>
    </row>
    <row r="4948" spans="1:15">
      <c r="A4948">
        <v>4947</v>
      </c>
      <c r="B4948" t="s">
        <v>366</v>
      </c>
      <c r="C4948" s="1">
        <v>23742</v>
      </c>
      <c r="D4948">
        <v>61</v>
      </c>
      <c r="E4948" s="4" t="s">
        <v>15</v>
      </c>
      <c r="F4948" t="s">
        <v>32</v>
      </c>
      <c r="G4948" s="1">
        <v>45379</v>
      </c>
      <c r="H4948" s="1">
        <f>TablaDatos[[#This Row],[FechaIngreso]]+TablaDatos[[#This Row],[DiasNuevo]]</f>
        <v>45403</v>
      </c>
      <c r="I4948">
        <v>24</v>
      </c>
      <c r="J4948" t="s">
        <v>19</v>
      </c>
      <c r="K4948" s="3">
        <v>15940.99</v>
      </c>
      <c r="L4948" t="b">
        <f>TablaDatos[[#This Row],[FechaAlta]] &lt; TablaDatos[[#This Row],[FechaIngreso]]</f>
        <v>0</v>
      </c>
      <c r="M4948">
        <f>_xlfn.XLOOKUP(TablaDatos[[#This Row],[PacienteID]],'Datos_Ejemplo.csv'!A:A,'Datos_Ejemplo.csv'!I:I)</f>
        <v>24</v>
      </c>
      <c r="N4948">
        <f>ABS(TablaDatos[[#This Row],[DiasOriginal]])</f>
        <v>24</v>
      </c>
      <c r="O4948" s="1">
        <f>TablaDatos[[#This Row],[FechaIngreso]]+TablaDatos[[#This Row],[DiasNuevo]]</f>
        <v>45403</v>
      </c>
    </row>
    <row r="4949" spans="1:15">
      <c r="A4949">
        <v>4948</v>
      </c>
      <c r="B4949" t="s">
        <v>243</v>
      </c>
      <c r="C4949" s="1">
        <v>31047</v>
      </c>
      <c r="D4949">
        <v>41</v>
      </c>
      <c r="E4949" s="4" t="s">
        <v>12</v>
      </c>
      <c r="F4949" t="s">
        <v>32</v>
      </c>
      <c r="G4949" s="1">
        <v>45084</v>
      </c>
      <c r="H4949" s="1">
        <f>TablaDatos[[#This Row],[FechaIngreso]]+TablaDatos[[#This Row],[DiasNuevo]]</f>
        <v>45104</v>
      </c>
      <c r="I4949">
        <v>20</v>
      </c>
      <c r="J4949" t="s">
        <v>19</v>
      </c>
      <c r="K4949" s="3">
        <v>4934.38</v>
      </c>
      <c r="L4949" t="b">
        <f>TablaDatos[[#This Row],[FechaAlta]] &lt; TablaDatos[[#This Row],[FechaIngreso]]</f>
        <v>0</v>
      </c>
      <c r="M4949">
        <f>_xlfn.XLOOKUP(TablaDatos[[#This Row],[PacienteID]],'Datos_Ejemplo.csv'!A:A,'Datos_Ejemplo.csv'!I:I)</f>
        <v>20</v>
      </c>
      <c r="N4949">
        <f>ABS(TablaDatos[[#This Row],[DiasOriginal]])</f>
        <v>20</v>
      </c>
      <c r="O4949" s="1">
        <f>TablaDatos[[#This Row],[FechaIngreso]]+TablaDatos[[#This Row],[DiasNuevo]]</f>
        <v>45104</v>
      </c>
    </row>
    <row r="4950" spans="1:15">
      <c r="A4950">
        <v>4949</v>
      </c>
      <c r="B4950" t="s">
        <v>256</v>
      </c>
      <c r="C4950" s="1">
        <v>18629</v>
      </c>
      <c r="D4950">
        <v>75</v>
      </c>
      <c r="E4950" s="4" t="s">
        <v>12</v>
      </c>
      <c r="F4950" t="s">
        <v>13</v>
      </c>
      <c r="G4950" s="1">
        <v>45503</v>
      </c>
      <c r="H4950" s="1">
        <f>TablaDatos[[#This Row],[FechaIngreso]]+TablaDatos[[#This Row],[DiasNuevo]]</f>
        <v>45519</v>
      </c>
      <c r="I4950">
        <v>16</v>
      </c>
      <c r="J4950" t="s">
        <v>23</v>
      </c>
      <c r="K4950" s="3">
        <v>661.21</v>
      </c>
      <c r="L4950" t="b">
        <f>TablaDatos[[#This Row],[FechaAlta]] &lt; TablaDatos[[#This Row],[FechaIngreso]]</f>
        <v>0</v>
      </c>
      <c r="M4950">
        <f>_xlfn.XLOOKUP(TablaDatos[[#This Row],[PacienteID]],'Datos_Ejemplo.csv'!A:A,'Datos_Ejemplo.csv'!I:I)</f>
        <v>16</v>
      </c>
      <c r="N4950">
        <f>ABS(TablaDatos[[#This Row],[DiasOriginal]])</f>
        <v>16</v>
      </c>
      <c r="O4950" s="1">
        <f>TablaDatos[[#This Row],[FechaIngreso]]+TablaDatos[[#This Row],[DiasNuevo]]</f>
        <v>45519</v>
      </c>
    </row>
    <row r="4951" spans="1:15">
      <c r="A4951">
        <v>4950</v>
      </c>
      <c r="B4951" t="s">
        <v>335</v>
      </c>
      <c r="C4951" s="1">
        <v>31047</v>
      </c>
      <c r="D4951">
        <v>41</v>
      </c>
      <c r="E4951" s="4" t="s">
        <v>12</v>
      </c>
      <c r="F4951" t="s">
        <v>201</v>
      </c>
      <c r="G4951" s="1">
        <v>45196</v>
      </c>
      <c r="H4951" s="1">
        <f>TablaDatos[[#This Row],[FechaIngreso]]+TablaDatos[[#This Row],[DiasNuevo]]</f>
        <v>45224</v>
      </c>
      <c r="I4951">
        <v>28</v>
      </c>
      <c r="J4951" t="s">
        <v>23</v>
      </c>
      <c r="K4951" s="3">
        <v>16124.29</v>
      </c>
      <c r="L4951" t="b">
        <f>TablaDatos[[#This Row],[FechaAlta]] &lt; TablaDatos[[#This Row],[FechaIngreso]]</f>
        <v>0</v>
      </c>
      <c r="M4951">
        <f>_xlfn.XLOOKUP(TablaDatos[[#This Row],[PacienteID]],'Datos_Ejemplo.csv'!A:A,'Datos_Ejemplo.csv'!I:I)</f>
        <v>28</v>
      </c>
      <c r="N4951">
        <f>ABS(TablaDatos[[#This Row],[DiasOriginal]])</f>
        <v>28</v>
      </c>
      <c r="O4951" s="1">
        <f>TablaDatos[[#This Row],[FechaIngreso]]+TablaDatos[[#This Row],[DiasNuevo]]</f>
        <v>45224</v>
      </c>
    </row>
    <row r="4952" spans="1:15">
      <c r="A4952">
        <v>4951</v>
      </c>
      <c r="B4952" t="s">
        <v>105</v>
      </c>
      <c r="C4952" s="1">
        <v>24107</v>
      </c>
      <c r="D4952">
        <v>60</v>
      </c>
      <c r="E4952" s="4" t="s">
        <v>15</v>
      </c>
      <c r="F4952" t="s">
        <v>32</v>
      </c>
      <c r="G4952" s="1">
        <v>45513</v>
      </c>
      <c r="H4952" s="1">
        <f>TablaDatos[[#This Row],[FechaIngreso]]+TablaDatos[[#This Row],[DiasNuevo]]</f>
        <v>45514</v>
      </c>
      <c r="I4952">
        <v>1</v>
      </c>
      <c r="J4952" t="s">
        <v>23</v>
      </c>
      <c r="K4952" s="3">
        <v>19523.16</v>
      </c>
      <c r="L4952" t="b">
        <f>TablaDatos[[#This Row],[FechaAlta]] &lt; TablaDatos[[#This Row],[FechaIngreso]]</f>
        <v>0</v>
      </c>
      <c r="M4952">
        <f>_xlfn.XLOOKUP(TablaDatos[[#This Row],[PacienteID]],'Datos_Ejemplo.csv'!A:A,'Datos_Ejemplo.csv'!I:I)</f>
        <v>1</v>
      </c>
      <c r="N4952">
        <f>ABS(TablaDatos[[#This Row],[DiasOriginal]])</f>
        <v>1</v>
      </c>
      <c r="O4952" s="1">
        <f>TablaDatos[[#This Row],[FechaIngreso]]+TablaDatos[[#This Row],[DiasNuevo]]</f>
        <v>45514</v>
      </c>
    </row>
    <row r="4953" spans="1:15">
      <c r="A4953">
        <v>4952</v>
      </c>
      <c r="B4953" t="s">
        <v>244</v>
      </c>
      <c r="C4953" s="1">
        <v>41639</v>
      </c>
      <c r="D4953">
        <v>12</v>
      </c>
      <c r="E4953" s="4" t="s">
        <v>15</v>
      </c>
      <c r="F4953" t="s">
        <v>261</v>
      </c>
      <c r="G4953" s="1">
        <v>45344</v>
      </c>
      <c r="H4953" s="1">
        <f>TablaDatos[[#This Row],[FechaIngreso]]+TablaDatos[[#This Row],[DiasNuevo]]</f>
        <v>45360</v>
      </c>
      <c r="I4953">
        <v>16</v>
      </c>
      <c r="J4953" t="s">
        <v>23</v>
      </c>
      <c r="K4953" s="3">
        <v>1438.93</v>
      </c>
      <c r="L4953" t="b">
        <f>TablaDatos[[#This Row],[FechaAlta]] &lt; TablaDatos[[#This Row],[FechaIngreso]]</f>
        <v>0</v>
      </c>
      <c r="M4953">
        <f>_xlfn.XLOOKUP(TablaDatos[[#This Row],[PacienteID]],'Datos_Ejemplo.csv'!A:A,'Datos_Ejemplo.csv'!I:I)</f>
        <v>16</v>
      </c>
      <c r="N4953">
        <f>ABS(TablaDatos[[#This Row],[DiasOriginal]])</f>
        <v>16</v>
      </c>
      <c r="O4953" s="1">
        <f>TablaDatos[[#This Row],[FechaIngreso]]+TablaDatos[[#This Row],[DiasNuevo]]</f>
        <v>45360</v>
      </c>
    </row>
    <row r="4954" spans="1:15">
      <c r="A4954">
        <v>4953</v>
      </c>
      <c r="B4954" t="s">
        <v>247</v>
      </c>
      <c r="C4954" s="1">
        <v>42370</v>
      </c>
      <c r="D4954">
        <v>10</v>
      </c>
      <c r="E4954" s="4" t="s">
        <v>12</v>
      </c>
      <c r="F4954" t="s">
        <v>13</v>
      </c>
      <c r="G4954" s="1">
        <v>45366</v>
      </c>
      <c r="H4954" s="1">
        <f>TablaDatos[[#This Row],[FechaIngreso]]+TablaDatos[[#This Row],[DiasNuevo]]</f>
        <v>45401</v>
      </c>
      <c r="I4954">
        <v>35</v>
      </c>
      <c r="J4954" t="s">
        <v>23</v>
      </c>
      <c r="K4954" s="3">
        <v>18754.54</v>
      </c>
      <c r="L4954" t="b">
        <f>TablaDatos[[#This Row],[FechaAlta]] &lt; TablaDatos[[#This Row],[FechaIngreso]]</f>
        <v>0</v>
      </c>
      <c r="M4954">
        <f>_xlfn.XLOOKUP(TablaDatos[[#This Row],[PacienteID]],'Datos_Ejemplo.csv'!A:A,'Datos_Ejemplo.csv'!I:I)</f>
        <v>35</v>
      </c>
      <c r="N4954">
        <f>ABS(TablaDatos[[#This Row],[DiasOriginal]])</f>
        <v>35</v>
      </c>
      <c r="O4954" s="1">
        <f>TablaDatos[[#This Row],[FechaIngreso]]+TablaDatos[[#This Row],[DiasNuevo]]</f>
        <v>45401</v>
      </c>
    </row>
    <row r="4955" spans="1:15">
      <c r="A4955">
        <v>4954</v>
      </c>
      <c r="B4955" t="s">
        <v>236</v>
      </c>
      <c r="C4955" s="1">
        <v>26664</v>
      </c>
      <c r="D4955">
        <v>53</v>
      </c>
      <c r="E4955" s="4" t="s">
        <v>15</v>
      </c>
      <c r="F4955" t="s">
        <v>13</v>
      </c>
      <c r="G4955" s="1">
        <v>44955</v>
      </c>
      <c r="H4955" s="1">
        <f>TablaDatos[[#This Row],[FechaIngreso]]+TablaDatos[[#This Row],[DiasNuevo]]</f>
        <v>44992</v>
      </c>
      <c r="I4955">
        <v>37</v>
      </c>
      <c r="J4955" t="s">
        <v>25</v>
      </c>
      <c r="K4955" s="3">
        <v>7121.42</v>
      </c>
      <c r="L4955" t="b">
        <f>TablaDatos[[#This Row],[FechaAlta]] &lt; TablaDatos[[#This Row],[FechaIngreso]]</f>
        <v>0</v>
      </c>
      <c r="M4955">
        <f>_xlfn.XLOOKUP(TablaDatos[[#This Row],[PacienteID]],'Datos_Ejemplo.csv'!A:A,'Datos_Ejemplo.csv'!I:I)</f>
        <v>37</v>
      </c>
      <c r="N4955">
        <f>ABS(TablaDatos[[#This Row],[DiasOriginal]])</f>
        <v>37</v>
      </c>
      <c r="O4955" s="1">
        <f>TablaDatos[[#This Row],[FechaIngreso]]+TablaDatos[[#This Row],[DiasNuevo]]</f>
        <v>44992</v>
      </c>
    </row>
    <row r="4956" spans="1:15">
      <c r="A4956">
        <v>4955</v>
      </c>
      <c r="B4956" t="s">
        <v>303</v>
      </c>
      <c r="C4956" s="1">
        <v>40544</v>
      </c>
      <c r="D4956">
        <v>15</v>
      </c>
      <c r="E4956" s="4" t="s">
        <v>12</v>
      </c>
      <c r="F4956" t="s">
        <v>295</v>
      </c>
      <c r="G4956" s="1">
        <v>45261</v>
      </c>
      <c r="H4956" s="1">
        <f>TablaDatos[[#This Row],[FechaIngreso]]+TablaDatos[[#This Row],[DiasNuevo]]</f>
        <v>45280</v>
      </c>
      <c r="I4956">
        <v>19</v>
      </c>
      <c r="J4956" t="s">
        <v>23</v>
      </c>
      <c r="K4956" s="3">
        <v>18822.939999999999</v>
      </c>
      <c r="L4956" t="b">
        <f>TablaDatos[[#This Row],[FechaAlta]] &lt; TablaDatos[[#This Row],[FechaIngreso]]</f>
        <v>0</v>
      </c>
      <c r="M4956">
        <f>_xlfn.XLOOKUP(TablaDatos[[#This Row],[PacienteID]],'Datos_Ejemplo.csv'!A:A,'Datos_Ejemplo.csv'!I:I)</f>
        <v>19</v>
      </c>
      <c r="N4956">
        <f>ABS(TablaDatos[[#This Row],[DiasOriginal]])</f>
        <v>19</v>
      </c>
      <c r="O4956" s="1">
        <f>TablaDatos[[#This Row],[FechaIngreso]]+TablaDatos[[#This Row],[DiasNuevo]]</f>
        <v>45280</v>
      </c>
    </row>
    <row r="4957" spans="1:15">
      <c r="A4957">
        <v>4956</v>
      </c>
      <c r="B4957" t="s">
        <v>67</v>
      </c>
      <c r="C4957" s="1">
        <v>43466</v>
      </c>
      <c r="D4957">
        <v>7</v>
      </c>
      <c r="E4957" s="4" t="s">
        <v>15</v>
      </c>
      <c r="F4957" t="s">
        <v>21</v>
      </c>
      <c r="G4957" s="1">
        <v>45164</v>
      </c>
      <c r="H4957" s="1">
        <f>TablaDatos[[#This Row],[FechaIngreso]]+TablaDatos[[#This Row],[DiasNuevo]]</f>
        <v>45170</v>
      </c>
      <c r="I4957">
        <v>6</v>
      </c>
      <c r="J4957" t="s">
        <v>19</v>
      </c>
      <c r="K4957" s="3">
        <v>12941.67</v>
      </c>
      <c r="L4957" t="b">
        <f>TablaDatos[[#This Row],[FechaAlta]] &lt; TablaDatos[[#This Row],[FechaIngreso]]</f>
        <v>0</v>
      </c>
      <c r="M4957">
        <f>_xlfn.XLOOKUP(TablaDatos[[#This Row],[PacienteID]],'Datos_Ejemplo.csv'!A:A,'Datos_Ejemplo.csv'!I:I)</f>
        <v>6</v>
      </c>
      <c r="N4957">
        <f>ABS(TablaDatos[[#This Row],[DiasOriginal]])</f>
        <v>6</v>
      </c>
      <c r="O4957" s="1">
        <f>TablaDatos[[#This Row],[FechaIngreso]]+TablaDatos[[#This Row],[DiasNuevo]]</f>
        <v>45170</v>
      </c>
    </row>
    <row r="4958" spans="1:15">
      <c r="A4958">
        <v>4957</v>
      </c>
      <c r="B4958" t="s">
        <v>269</v>
      </c>
      <c r="C4958" s="1">
        <v>24838</v>
      </c>
      <c r="D4958">
        <v>58</v>
      </c>
      <c r="E4958" s="4" t="s">
        <v>15</v>
      </c>
      <c r="F4958" t="s">
        <v>13</v>
      </c>
      <c r="G4958" s="1">
        <v>45079</v>
      </c>
      <c r="H4958" s="1">
        <f>TablaDatos[[#This Row],[FechaIngreso]]+TablaDatos[[#This Row],[DiasNuevo]]</f>
        <v>45107</v>
      </c>
      <c r="I4958">
        <v>28</v>
      </c>
      <c r="J4958" t="s">
        <v>23</v>
      </c>
      <c r="K4958" s="3">
        <v>17793.91</v>
      </c>
      <c r="L4958" t="b">
        <f>TablaDatos[[#This Row],[FechaAlta]] &lt; TablaDatos[[#This Row],[FechaIngreso]]</f>
        <v>0</v>
      </c>
      <c r="M4958">
        <f>_xlfn.XLOOKUP(TablaDatos[[#This Row],[PacienteID]],'Datos_Ejemplo.csv'!A:A,'Datos_Ejemplo.csv'!I:I)</f>
        <v>28</v>
      </c>
      <c r="N4958">
        <f>ABS(TablaDatos[[#This Row],[DiasOriginal]])</f>
        <v>28</v>
      </c>
      <c r="O4958" s="1">
        <f>TablaDatos[[#This Row],[FechaIngreso]]+TablaDatos[[#This Row],[DiasNuevo]]</f>
        <v>45107</v>
      </c>
    </row>
    <row r="4959" spans="1:15">
      <c r="A4959">
        <v>4958</v>
      </c>
      <c r="B4959" t="s">
        <v>234</v>
      </c>
      <c r="C4959" s="1">
        <v>25568</v>
      </c>
      <c r="D4959">
        <v>56</v>
      </c>
      <c r="E4959" s="4" t="s">
        <v>12</v>
      </c>
      <c r="F4959" t="s">
        <v>18</v>
      </c>
      <c r="G4959" s="1">
        <v>45532</v>
      </c>
      <c r="H4959" s="1">
        <f>TablaDatos[[#This Row],[FechaIngreso]]+TablaDatos[[#This Row],[DiasNuevo]]</f>
        <v>45539</v>
      </c>
      <c r="I4959">
        <v>7</v>
      </c>
      <c r="J4959" t="s">
        <v>19</v>
      </c>
      <c r="K4959" s="3">
        <v>15695.24</v>
      </c>
      <c r="L4959" t="b">
        <f>TablaDatos[[#This Row],[FechaAlta]] &lt; TablaDatos[[#This Row],[FechaIngreso]]</f>
        <v>0</v>
      </c>
      <c r="M4959">
        <f>_xlfn.XLOOKUP(TablaDatos[[#This Row],[PacienteID]],'Datos_Ejemplo.csv'!A:A,'Datos_Ejemplo.csv'!I:I)</f>
        <v>7</v>
      </c>
      <c r="N4959">
        <f>ABS(TablaDatos[[#This Row],[DiasOriginal]])</f>
        <v>7</v>
      </c>
      <c r="O4959" s="1">
        <f>TablaDatos[[#This Row],[FechaIngreso]]+TablaDatos[[#This Row],[DiasNuevo]]</f>
        <v>45539</v>
      </c>
    </row>
    <row r="4960" spans="1:15">
      <c r="A4960">
        <v>4959</v>
      </c>
      <c r="B4960" t="s">
        <v>266</v>
      </c>
      <c r="C4960" s="1">
        <v>31778</v>
      </c>
      <c r="D4960">
        <v>39</v>
      </c>
      <c r="E4960" s="4" t="s">
        <v>12</v>
      </c>
      <c r="F4960" t="s">
        <v>13</v>
      </c>
      <c r="G4960" s="1">
        <v>45041</v>
      </c>
      <c r="H4960" s="1">
        <f>TablaDatos[[#This Row],[FechaIngreso]]+TablaDatos[[#This Row],[DiasNuevo]]</f>
        <v>45048</v>
      </c>
      <c r="I4960">
        <v>7</v>
      </c>
      <c r="J4960" t="s">
        <v>19</v>
      </c>
      <c r="K4960" s="3">
        <v>462.75</v>
      </c>
      <c r="L4960" t="b">
        <f>TablaDatos[[#This Row],[FechaAlta]] &lt; TablaDatos[[#This Row],[FechaIngreso]]</f>
        <v>0</v>
      </c>
      <c r="M4960">
        <f>_xlfn.XLOOKUP(TablaDatos[[#This Row],[PacienteID]],'Datos_Ejemplo.csv'!A:A,'Datos_Ejemplo.csv'!I:I)</f>
        <v>7</v>
      </c>
      <c r="N4960">
        <f>ABS(TablaDatos[[#This Row],[DiasOriginal]])</f>
        <v>7</v>
      </c>
      <c r="O4960" s="1">
        <f>TablaDatos[[#This Row],[FechaIngreso]]+TablaDatos[[#This Row],[DiasNuevo]]</f>
        <v>45048</v>
      </c>
    </row>
    <row r="4961" spans="1:15">
      <c r="A4961">
        <v>4960</v>
      </c>
      <c r="B4961" t="s">
        <v>313</v>
      </c>
      <c r="C4961" s="1">
        <v>24838</v>
      </c>
      <c r="D4961">
        <v>58</v>
      </c>
      <c r="E4961" s="4" t="s">
        <v>12</v>
      </c>
      <c r="F4961" t="s">
        <v>18</v>
      </c>
      <c r="G4961" s="1">
        <v>45325</v>
      </c>
      <c r="H4961" s="1">
        <f>TablaDatos[[#This Row],[FechaIngreso]]+TablaDatos[[#This Row],[DiasNuevo]]</f>
        <v>45352</v>
      </c>
      <c r="I4961">
        <v>27</v>
      </c>
      <c r="J4961" t="s">
        <v>23</v>
      </c>
      <c r="K4961" s="3">
        <v>1215.3900000000001</v>
      </c>
      <c r="L4961" t="b">
        <f>TablaDatos[[#This Row],[FechaAlta]] &lt; TablaDatos[[#This Row],[FechaIngreso]]</f>
        <v>0</v>
      </c>
      <c r="M4961">
        <f>_xlfn.XLOOKUP(TablaDatos[[#This Row],[PacienteID]],'Datos_Ejemplo.csv'!A:A,'Datos_Ejemplo.csv'!I:I)</f>
        <v>27</v>
      </c>
      <c r="N4961">
        <f>ABS(TablaDatos[[#This Row],[DiasOriginal]])</f>
        <v>27</v>
      </c>
      <c r="O4961" s="1">
        <f>TablaDatos[[#This Row],[FechaIngreso]]+TablaDatos[[#This Row],[DiasNuevo]]</f>
        <v>45352</v>
      </c>
    </row>
    <row r="4962" spans="1:15">
      <c r="A4962">
        <v>4961</v>
      </c>
      <c r="B4962" t="s">
        <v>257</v>
      </c>
      <c r="C4962" s="1">
        <v>45657</v>
      </c>
      <c r="D4962">
        <v>1</v>
      </c>
      <c r="E4962" s="4" t="s">
        <v>15</v>
      </c>
      <c r="F4962" t="s">
        <v>201</v>
      </c>
      <c r="G4962" s="1">
        <v>44958</v>
      </c>
      <c r="H4962" s="1">
        <f>TablaDatos[[#This Row],[FechaIngreso]]+TablaDatos[[#This Row],[DiasNuevo]]</f>
        <v>44965</v>
      </c>
      <c r="I4962">
        <v>7</v>
      </c>
      <c r="J4962" t="s">
        <v>23</v>
      </c>
      <c r="K4962" s="3">
        <v>10467.469999999999</v>
      </c>
      <c r="L4962" t="b">
        <f>TablaDatos[[#This Row],[FechaAlta]] &lt; TablaDatos[[#This Row],[FechaIngreso]]</f>
        <v>0</v>
      </c>
      <c r="M4962">
        <f>_xlfn.XLOOKUP(TablaDatos[[#This Row],[PacienteID]],'Datos_Ejemplo.csv'!A:A,'Datos_Ejemplo.csv'!I:I)</f>
        <v>7</v>
      </c>
      <c r="N4962">
        <f>ABS(TablaDatos[[#This Row],[DiasOriginal]])</f>
        <v>7</v>
      </c>
      <c r="O4962" s="1">
        <f>TablaDatos[[#This Row],[FechaIngreso]]+TablaDatos[[#This Row],[DiasNuevo]]</f>
        <v>44965</v>
      </c>
    </row>
    <row r="4963" spans="1:15">
      <c r="A4963">
        <v>4962</v>
      </c>
      <c r="B4963" t="s">
        <v>349</v>
      </c>
      <c r="C4963" s="1">
        <v>12054</v>
      </c>
      <c r="D4963">
        <v>93</v>
      </c>
      <c r="E4963" s="4" t="s">
        <v>15</v>
      </c>
      <c r="F4963" t="s">
        <v>295</v>
      </c>
      <c r="G4963" s="1">
        <v>45458</v>
      </c>
      <c r="H4963" s="1">
        <f>TablaDatos[[#This Row],[FechaIngreso]]+TablaDatos[[#This Row],[DiasNuevo]]</f>
        <v>45491</v>
      </c>
      <c r="I4963">
        <v>33</v>
      </c>
      <c r="J4963" t="s">
        <v>19</v>
      </c>
      <c r="K4963" s="3">
        <v>2505.34</v>
      </c>
      <c r="L4963" t="b">
        <f>TablaDatos[[#This Row],[FechaAlta]] &lt; TablaDatos[[#This Row],[FechaIngreso]]</f>
        <v>0</v>
      </c>
      <c r="M4963">
        <f>_xlfn.XLOOKUP(TablaDatos[[#This Row],[PacienteID]],'Datos_Ejemplo.csv'!A:A,'Datos_Ejemplo.csv'!I:I)</f>
        <v>33</v>
      </c>
      <c r="N4963">
        <f>ABS(TablaDatos[[#This Row],[DiasOriginal]])</f>
        <v>33</v>
      </c>
      <c r="O4963" s="1">
        <f>TablaDatos[[#This Row],[FechaIngreso]]+TablaDatos[[#This Row],[DiasNuevo]]</f>
        <v>45491</v>
      </c>
    </row>
    <row r="4964" spans="1:15">
      <c r="A4964">
        <v>4963</v>
      </c>
      <c r="B4964" t="s">
        <v>337</v>
      </c>
      <c r="C4964" s="1">
        <v>12054</v>
      </c>
      <c r="D4964">
        <v>93</v>
      </c>
      <c r="E4964" s="4" t="s">
        <v>15</v>
      </c>
      <c r="F4964" t="s">
        <v>18</v>
      </c>
      <c r="G4964" s="1">
        <v>44979</v>
      </c>
      <c r="H4964" s="1">
        <f>TablaDatos[[#This Row],[FechaIngreso]]+TablaDatos[[#This Row],[DiasNuevo]]</f>
        <v>44994</v>
      </c>
      <c r="I4964">
        <v>15</v>
      </c>
      <c r="J4964" t="s">
        <v>25</v>
      </c>
      <c r="K4964" s="3">
        <v>9166.7900000000009</v>
      </c>
      <c r="L4964" t="b">
        <f>TablaDatos[[#This Row],[FechaAlta]] &lt; TablaDatos[[#This Row],[FechaIngreso]]</f>
        <v>0</v>
      </c>
      <c r="M4964">
        <f>_xlfn.XLOOKUP(TablaDatos[[#This Row],[PacienteID]],'Datos_Ejemplo.csv'!A:A,'Datos_Ejemplo.csv'!I:I)</f>
        <v>15</v>
      </c>
      <c r="N4964">
        <f>ABS(TablaDatos[[#This Row],[DiasOriginal]])</f>
        <v>15</v>
      </c>
      <c r="O4964" s="1">
        <f>TablaDatos[[#This Row],[FechaIngreso]]+TablaDatos[[#This Row],[DiasNuevo]]</f>
        <v>44994</v>
      </c>
    </row>
    <row r="4965" spans="1:15">
      <c r="A4965">
        <v>4964</v>
      </c>
      <c r="B4965" t="s">
        <v>309</v>
      </c>
      <c r="C4965" s="1">
        <v>18629</v>
      </c>
      <c r="D4965">
        <v>75</v>
      </c>
      <c r="E4965" s="4" t="s">
        <v>12</v>
      </c>
      <c r="F4965" t="s">
        <v>295</v>
      </c>
      <c r="G4965" s="1">
        <v>45644</v>
      </c>
      <c r="H4965" s="1">
        <f>TablaDatos[[#This Row],[FechaIngreso]]+TablaDatos[[#This Row],[DiasNuevo]]</f>
        <v>45660</v>
      </c>
      <c r="I4965">
        <v>16</v>
      </c>
      <c r="J4965" t="s">
        <v>23</v>
      </c>
      <c r="K4965" s="3">
        <v>19088.07</v>
      </c>
      <c r="L4965" t="b">
        <f>TablaDatos[[#This Row],[FechaAlta]] &lt; TablaDatos[[#This Row],[FechaIngreso]]</f>
        <v>0</v>
      </c>
      <c r="M4965">
        <f>_xlfn.XLOOKUP(TablaDatos[[#This Row],[PacienteID]],'Datos_Ejemplo.csv'!A:A,'Datos_Ejemplo.csv'!I:I)</f>
        <v>16</v>
      </c>
      <c r="N4965">
        <f>ABS(TablaDatos[[#This Row],[DiasOriginal]])</f>
        <v>16</v>
      </c>
      <c r="O4965" s="1">
        <f>TablaDatos[[#This Row],[FechaIngreso]]+TablaDatos[[#This Row],[DiasNuevo]]</f>
        <v>45660</v>
      </c>
    </row>
    <row r="4966" spans="1:15">
      <c r="A4966">
        <v>4965</v>
      </c>
      <c r="B4966" t="s">
        <v>248</v>
      </c>
      <c r="C4966" s="1">
        <v>42735</v>
      </c>
      <c r="D4966">
        <f ca="1">DATEDIF(TablaDatos[[#This Row],[FechaNacimiento]],TODAY(),"Y")</f>
        <v>9</v>
      </c>
      <c r="E4966" s="4" t="s">
        <v>12</v>
      </c>
      <c r="F4966" t="s">
        <v>295</v>
      </c>
      <c r="G4966" s="1">
        <v>45121</v>
      </c>
      <c r="H4966" s="1">
        <f>TablaDatos[[#This Row],[FechaIngreso]]+TablaDatos[[#This Row],[DiasNuevo]]</f>
        <v>45141</v>
      </c>
      <c r="I4966">
        <v>20</v>
      </c>
      <c r="J4966" t="s">
        <v>23</v>
      </c>
      <c r="K4966" s="3">
        <v>5824.62</v>
      </c>
      <c r="L4966" t="b">
        <f>TablaDatos[[#This Row],[FechaAlta]] &lt; TablaDatos[[#This Row],[FechaIngreso]]</f>
        <v>0</v>
      </c>
      <c r="M4966">
        <f>_xlfn.XLOOKUP(TablaDatos[[#This Row],[PacienteID]],'Datos_Ejemplo.csv'!A:A,'Datos_Ejemplo.csv'!I:I)</f>
        <v>20</v>
      </c>
      <c r="N4966">
        <f>ABS(TablaDatos[[#This Row],[DiasOriginal]])</f>
        <v>20</v>
      </c>
      <c r="O4966" s="1">
        <f>TablaDatos[[#This Row],[FechaIngreso]]+TablaDatos[[#This Row],[DiasNuevo]]</f>
        <v>45141</v>
      </c>
    </row>
    <row r="4967" spans="1:15">
      <c r="A4967">
        <v>4966</v>
      </c>
      <c r="B4967" t="s">
        <v>255</v>
      </c>
      <c r="C4967" s="1">
        <f ca="1">DATE(YEAR(TODAY())-TablaDatos[[#This Row],[Edad]],1,1)</f>
        <v>30317</v>
      </c>
      <c r="D4967">
        <v>43</v>
      </c>
      <c r="E4967" s="4" t="s">
        <v>12</v>
      </c>
      <c r="F4967" t="s">
        <v>295</v>
      </c>
      <c r="G4967" s="1">
        <v>45231</v>
      </c>
      <c r="H4967" s="1">
        <f>TablaDatos[[#This Row],[FechaIngreso]]+TablaDatos[[#This Row],[DiasNuevo]]</f>
        <v>45232</v>
      </c>
      <c r="I4967">
        <v>1</v>
      </c>
      <c r="J4967" t="s">
        <v>19</v>
      </c>
      <c r="K4967" s="3">
        <v>9727.15</v>
      </c>
      <c r="L4967" t="b">
        <f>TablaDatos[[#This Row],[FechaAlta]] &lt; TablaDatos[[#This Row],[FechaIngreso]]</f>
        <v>0</v>
      </c>
      <c r="M4967">
        <f>_xlfn.XLOOKUP(TablaDatos[[#This Row],[PacienteID]],'Datos_Ejemplo.csv'!A:A,'Datos_Ejemplo.csv'!I:I)</f>
        <v>1</v>
      </c>
      <c r="N4967">
        <f>ABS(TablaDatos[[#This Row],[DiasOriginal]])</f>
        <v>1</v>
      </c>
      <c r="O4967" s="1">
        <f>TablaDatos[[#This Row],[FechaIngreso]]+TablaDatos[[#This Row],[DiasNuevo]]</f>
        <v>45232</v>
      </c>
    </row>
    <row r="4968" spans="1:15">
      <c r="A4968">
        <v>4967</v>
      </c>
      <c r="B4968" t="s">
        <v>333</v>
      </c>
      <c r="C4968" s="1">
        <v>42370</v>
      </c>
      <c r="D4968">
        <v>10</v>
      </c>
      <c r="E4968" s="4" t="s">
        <v>15</v>
      </c>
      <c r="F4968" t="s">
        <v>18</v>
      </c>
      <c r="G4968" s="1">
        <v>45633</v>
      </c>
      <c r="H4968" s="1">
        <f>TablaDatos[[#This Row],[FechaIngreso]]+TablaDatos[[#This Row],[DiasNuevo]]</f>
        <v>45642</v>
      </c>
      <c r="I4968">
        <v>9</v>
      </c>
      <c r="J4968" t="s">
        <v>23</v>
      </c>
      <c r="K4968" s="3">
        <v>7623.62</v>
      </c>
      <c r="L4968" t="b">
        <f>TablaDatos[[#This Row],[FechaAlta]] &lt; TablaDatos[[#This Row],[FechaIngreso]]</f>
        <v>0</v>
      </c>
      <c r="M4968">
        <f>_xlfn.XLOOKUP(TablaDatos[[#This Row],[PacienteID]],'Datos_Ejemplo.csv'!A:A,'Datos_Ejemplo.csv'!I:I)</f>
        <v>9</v>
      </c>
      <c r="N4968">
        <f>ABS(TablaDatos[[#This Row],[DiasOriginal]])</f>
        <v>9</v>
      </c>
      <c r="O4968" s="1">
        <f>TablaDatos[[#This Row],[FechaIngreso]]+TablaDatos[[#This Row],[DiasNuevo]]</f>
        <v>45642</v>
      </c>
    </row>
    <row r="4969" spans="1:15">
      <c r="A4969">
        <v>4968</v>
      </c>
      <c r="B4969" t="s">
        <v>146</v>
      </c>
      <c r="C4969" s="1">
        <v>17533</v>
      </c>
      <c r="D4969">
        <v>78</v>
      </c>
      <c r="E4969" s="4" t="s">
        <v>12</v>
      </c>
      <c r="F4969" t="s">
        <v>18</v>
      </c>
      <c r="G4969" s="1">
        <v>45271</v>
      </c>
      <c r="H4969" s="1">
        <f>TablaDatos[[#This Row],[FechaIngreso]]+TablaDatos[[#This Row],[DiasNuevo]]</f>
        <v>45292</v>
      </c>
      <c r="I4969">
        <v>21</v>
      </c>
      <c r="J4969" t="s">
        <v>23</v>
      </c>
      <c r="K4969" s="3">
        <v>12559.52</v>
      </c>
      <c r="L4969" t="b">
        <f>TablaDatos[[#This Row],[FechaAlta]] &lt; TablaDatos[[#This Row],[FechaIngreso]]</f>
        <v>0</v>
      </c>
      <c r="M4969">
        <f>_xlfn.XLOOKUP(TablaDatos[[#This Row],[PacienteID]],'Datos_Ejemplo.csv'!A:A,'Datos_Ejemplo.csv'!I:I)</f>
        <v>21</v>
      </c>
      <c r="N4969">
        <f>ABS(TablaDatos[[#This Row],[DiasOriginal]])</f>
        <v>21</v>
      </c>
      <c r="O4969" s="1">
        <f>TablaDatos[[#This Row],[FechaIngreso]]+TablaDatos[[#This Row],[DiasNuevo]]</f>
        <v>45292</v>
      </c>
    </row>
    <row r="4970" spans="1:15">
      <c r="A4970">
        <v>4969</v>
      </c>
      <c r="B4970" t="s">
        <v>239</v>
      </c>
      <c r="C4970" s="1">
        <v>17168</v>
      </c>
      <c r="D4970">
        <v>79</v>
      </c>
      <c r="E4970" s="4" t="s">
        <v>15</v>
      </c>
      <c r="F4970" t="s">
        <v>295</v>
      </c>
      <c r="G4970" s="1">
        <v>45008</v>
      </c>
      <c r="H4970" s="1">
        <f>TablaDatos[[#This Row],[FechaIngreso]]+TablaDatos[[#This Row],[DiasNuevo]]</f>
        <v>45018</v>
      </c>
      <c r="I4970">
        <v>10</v>
      </c>
      <c r="J4970" t="s">
        <v>23</v>
      </c>
      <c r="K4970" s="3">
        <v>3796.28</v>
      </c>
      <c r="L4970" t="b">
        <f>TablaDatos[[#This Row],[FechaAlta]] &lt; TablaDatos[[#This Row],[FechaIngreso]]</f>
        <v>0</v>
      </c>
      <c r="M4970">
        <f>_xlfn.XLOOKUP(TablaDatos[[#This Row],[PacienteID]],'Datos_Ejemplo.csv'!A:A,'Datos_Ejemplo.csv'!I:I)</f>
        <v>10</v>
      </c>
      <c r="N4970">
        <f>ABS(TablaDatos[[#This Row],[DiasOriginal]])</f>
        <v>10</v>
      </c>
      <c r="O4970" s="1">
        <f>TablaDatos[[#This Row],[FechaIngreso]]+TablaDatos[[#This Row],[DiasNuevo]]</f>
        <v>45018</v>
      </c>
    </row>
    <row r="4971" spans="1:15">
      <c r="A4971">
        <v>4970</v>
      </c>
      <c r="B4971" t="s">
        <v>243</v>
      </c>
      <c r="C4971" s="1">
        <v>16802</v>
      </c>
      <c r="D4971">
        <v>80</v>
      </c>
      <c r="E4971" s="4" t="s">
        <v>12</v>
      </c>
      <c r="F4971" t="s">
        <v>201</v>
      </c>
      <c r="G4971" s="1">
        <v>44927</v>
      </c>
      <c r="H4971" s="1">
        <f>TablaDatos[[#This Row],[FechaIngreso]]+TablaDatos[[#This Row],[DiasNuevo]]</f>
        <v>44928</v>
      </c>
      <c r="I4971">
        <v>1</v>
      </c>
      <c r="J4971" t="s">
        <v>23</v>
      </c>
      <c r="K4971" s="3">
        <v>5124.78</v>
      </c>
      <c r="L4971" t="b">
        <f>TablaDatos[[#This Row],[FechaAlta]] &lt; TablaDatos[[#This Row],[FechaIngreso]]</f>
        <v>0</v>
      </c>
      <c r="M4971">
        <f>_xlfn.XLOOKUP(TablaDatos[[#This Row],[PacienteID]],'Datos_Ejemplo.csv'!A:A,'Datos_Ejemplo.csv'!I:I)</f>
        <v>1</v>
      </c>
      <c r="N4971">
        <f>ABS(TablaDatos[[#This Row],[DiasOriginal]])</f>
        <v>1</v>
      </c>
      <c r="O4971" s="1">
        <f>TablaDatos[[#This Row],[FechaIngreso]]+TablaDatos[[#This Row],[DiasNuevo]]</f>
        <v>44928</v>
      </c>
    </row>
    <row r="4972" spans="1:15">
      <c r="A4972">
        <v>4971</v>
      </c>
      <c r="B4972" t="s">
        <v>356</v>
      </c>
      <c r="C4972" s="1">
        <v>13515</v>
      </c>
      <c r="D4972">
        <v>89</v>
      </c>
      <c r="E4972" s="4" t="s">
        <v>15</v>
      </c>
      <c r="F4972" t="s">
        <v>295</v>
      </c>
      <c r="G4972" s="1">
        <v>45093</v>
      </c>
      <c r="H4972" s="1">
        <f>TablaDatos[[#This Row],[FechaIngreso]]+TablaDatos[[#This Row],[DiasNuevo]]</f>
        <v>45117</v>
      </c>
      <c r="I4972">
        <v>24</v>
      </c>
      <c r="J4972" t="s">
        <v>23</v>
      </c>
      <c r="K4972" s="3">
        <v>17161.23</v>
      </c>
      <c r="L4972" t="b">
        <f>TablaDatos[[#This Row],[FechaAlta]] &lt; TablaDatos[[#This Row],[FechaIngreso]]</f>
        <v>0</v>
      </c>
      <c r="M4972">
        <f>_xlfn.XLOOKUP(TablaDatos[[#This Row],[PacienteID]],'Datos_Ejemplo.csv'!A:A,'Datos_Ejemplo.csv'!I:I)</f>
        <v>24</v>
      </c>
      <c r="N4972">
        <f>ABS(TablaDatos[[#This Row],[DiasOriginal]])</f>
        <v>24</v>
      </c>
      <c r="O4972" s="1">
        <f>TablaDatos[[#This Row],[FechaIngreso]]+TablaDatos[[#This Row],[DiasNuevo]]</f>
        <v>45117</v>
      </c>
    </row>
    <row r="4973" spans="1:15">
      <c r="A4973">
        <v>4972</v>
      </c>
      <c r="B4973" t="s">
        <v>271</v>
      </c>
      <c r="C4973" s="1">
        <v>45657</v>
      </c>
      <c r="D4973">
        <v>1</v>
      </c>
      <c r="E4973" s="4" t="s">
        <v>12</v>
      </c>
      <c r="F4973" t="s">
        <v>201</v>
      </c>
      <c r="G4973" s="1">
        <v>45243</v>
      </c>
      <c r="H4973" s="1">
        <f>TablaDatos[[#This Row],[FechaIngreso]]+TablaDatos[[#This Row],[DiasNuevo]]</f>
        <v>45278</v>
      </c>
      <c r="I4973">
        <v>35</v>
      </c>
      <c r="J4973" t="s">
        <v>23</v>
      </c>
      <c r="K4973" s="3">
        <v>16207.86</v>
      </c>
      <c r="L4973" t="b">
        <f>TablaDatos[[#This Row],[FechaAlta]] &lt; TablaDatos[[#This Row],[FechaIngreso]]</f>
        <v>0</v>
      </c>
      <c r="M4973">
        <f>_xlfn.XLOOKUP(TablaDatos[[#This Row],[PacienteID]],'Datos_Ejemplo.csv'!A:A,'Datos_Ejemplo.csv'!I:I)</f>
        <v>35</v>
      </c>
      <c r="N4973">
        <f>ABS(TablaDatos[[#This Row],[DiasOriginal]])</f>
        <v>35</v>
      </c>
      <c r="O4973" s="1">
        <f>TablaDatos[[#This Row],[FechaIngreso]]+TablaDatos[[#This Row],[DiasNuevo]]</f>
        <v>45278</v>
      </c>
    </row>
    <row r="4974" spans="1:15">
      <c r="A4974">
        <v>4973</v>
      </c>
      <c r="B4974" t="s">
        <v>136</v>
      </c>
      <c r="C4974" s="1">
        <v>28125</v>
      </c>
      <c r="D4974">
        <v>49</v>
      </c>
      <c r="E4974" s="4" t="s">
        <v>15</v>
      </c>
      <c r="F4974" t="s">
        <v>21</v>
      </c>
      <c r="G4974" s="1">
        <v>45109</v>
      </c>
      <c r="H4974" s="1">
        <f>TablaDatos[[#This Row],[FechaIngreso]]+TablaDatos[[#This Row],[DiasNuevo]]</f>
        <v>45145</v>
      </c>
      <c r="I4974">
        <v>36</v>
      </c>
      <c r="J4974" t="s">
        <v>25</v>
      </c>
      <c r="K4974" s="3">
        <v>15762.71</v>
      </c>
      <c r="L4974" t="b">
        <f>TablaDatos[[#This Row],[FechaAlta]] &lt; TablaDatos[[#This Row],[FechaIngreso]]</f>
        <v>0</v>
      </c>
      <c r="M4974">
        <f>_xlfn.XLOOKUP(TablaDatos[[#This Row],[PacienteID]],'Datos_Ejemplo.csv'!A:A,'Datos_Ejemplo.csv'!I:I)</f>
        <v>36</v>
      </c>
      <c r="N4974">
        <f>ABS(TablaDatos[[#This Row],[DiasOriginal]])</f>
        <v>36</v>
      </c>
      <c r="O4974" s="1">
        <f>TablaDatos[[#This Row],[FechaIngreso]]+TablaDatos[[#This Row],[DiasNuevo]]</f>
        <v>45145</v>
      </c>
    </row>
    <row r="4975" spans="1:15">
      <c r="A4975">
        <v>4974</v>
      </c>
      <c r="B4975" t="s">
        <v>367</v>
      </c>
      <c r="C4975" s="1">
        <v>42005</v>
      </c>
      <c r="D4975">
        <v>11</v>
      </c>
      <c r="E4975" s="4" t="s">
        <v>15</v>
      </c>
      <c r="F4975" t="s">
        <v>201</v>
      </c>
      <c r="G4975" s="1">
        <v>45199</v>
      </c>
      <c r="H4975" s="1">
        <f>TablaDatos[[#This Row],[FechaIngreso]]+TablaDatos[[#This Row],[DiasNuevo]]</f>
        <v>45204</v>
      </c>
      <c r="I4975">
        <v>5</v>
      </c>
      <c r="J4975" t="s">
        <v>23</v>
      </c>
      <c r="K4975" s="3">
        <v>15395.48</v>
      </c>
      <c r="L4975" t="b">
        <f>TablaDatos[[#This Row],[FechaAlta]] &lt; TablaDatos[[#This Row],[FechaIngreso]]</f>
        <v>0</v>
      </c>
      <c r="M4975">
        <f>_xlfn.XLOOKUP(TablaDatos[[#This Row],[PacienteID]],'Datos_Ejemplo.csv'!A:A,'Datos_Ejemplo.csv'!I:I)</f>
        <v>5</v>
      </c>
      <c r="N4975">
        <f>ABS(TablaDatos[[#This Row],[DiasOriginal]])</f>
        <v>5</v>
      </c>
      <c r="O4975" s="1">
        <f>TablaDatos[[#This Row],[FechaIngreso]]+TablaDatos[[#This Row],[DiasNuevo]]</f>
        <v>45204</v>
      </c>
    </row>
    <row r="4976" spans="1:15">
      <c r="A4976">
        <v>4975</v>
      </c>
      <c r="B4976" t="s">
        <v>267</v>
      </c>
      <c r="C4976" s="1">
        <v>13515</v>
      </c>
      <c r="D4976">
        <v>89</v>
      </c>
      <c r="E4976" s="4" t="s">
        <v>15</v>
      </c>
      <c r="F4976" t="s">
        <v>201</v>
      </c>
      <c r="G4976" s="1">
        <v>45595</v>
      </c>
      <c r="H4976" s="1">
        <f>TablaDatos[[#This Row],[FechaIngreso]]+TablaDatos[[#This Row],[DiasNuevo]]</f>
        <v>45618</v>
      </c>
      <c r="I4976">
        <v>23</v>
      </c>
      <c r="J4976" t="s">
        <v>23</v>
      </c>
      <c r="K4976" s="3">
        <v>9134.69</v>
      </c>
      <c r="L4976" t="b">
        <f>TablaDatos[[#This Row],[FechaAlta]] &lt; TablaDatos[[#This Row],[FechaIngreso]]</f>
        <v>0</v>
      </c>
      <c r="M4976">
        <f>_xlfn.XLOOKUP(TablaDatos[[#This Row],[PacienteID]],'Datos_Ejemplo.csv'!A:A,'Datos_Ejemplo.csv'!I:I)</f>
        <v>23</v>
      </c>
      <c r="N4976">
        <f>ABS(TablaDatos[[#This Row],[DiasOriginal]])</f>
        <v>23</v>
      </c>
      <c r="O4976" s="1">
        <f>TablaDatos[[#This Row],[FechaIngreso]]+TablaDatos[[#This Row],[DiasNuevo]]</f>
        <v>45618</v>
      </c>
    </row>
    <row r="4977" spans="1:15">
      <c r="A4977">
        <v>4976</v>
      </c>
      <c r="B4977" t="s">
        <v>338</v>
      </c>
      <c r="C4977" s="1">
        <v>37987</v>
      </c>
      <c r="D4977">
        <v>22</v>
      </c>
      <c r="E4977" s="4" t="s">
        <v>15</v>
      </c>
      <c r="F4977" t="s">
        <v>201</v>
      </c>
      <c r="G4977" s="1">
        <v>45299</v>
      </c>
      <c r="H4977" s="1">
        <f>TablaDatos[[#This Row],[FechaIngreso]]+TablaDatos[[#This Row],[DiasNuevo]]</f>
        <v>45330</v>
      </c>
      <c r="I4977">
        <v>31</v>
      </c>
      <c r="J4977" t="s">
        <v>23</v>
      </c>
      <c r="K4977" s="3">
        <v>14550.7</v>
      </c>
      <c r="L4977" t="b">
        <f>TablaDatos[[#This Row],[FechaAlta]] &lt; TablaDatos[[#This Row],[FechaIngreso]]</f>
        <v>0</v>
      </c>
      <c r="M4977">
        <f>_xlfn.XLOOKUP(TablaDatos[[#This Row],[PacienteID]],'Datos_Ejemplo.csv'!A:A,'Datos_Ejemplo.csv'!I:I)</f>
        <v>31</v>
      </c>
      <c r="N4977">
        <f>ABS(TablaDatos[[#This Row],[DiasOriginal]])</f>
        <v>31</v>
      </c>
      <c r="O4977" s="1">
        <f>TablaDatos[[#This Row],[FechaIngreso]]+TablaDatos[[#This Row],[DiasNuevo]]</f>
        <v>45330</v>
      </c>
    </row>
    <row r="4978" spans="1:15">
      <c r="A4978">
        <v>4977</v>
      </c>
      <c r="B4978" t="s">
        <v>242</v>
      </c>
      <c r="C4978" s="1">
        <v>39813</v>
      </c>
      <c r="D4978">
        <v>17</v>
      </c>
      <c r="E4978" s="4" t="s">
        <v>15</v>
      </c>
      <c r="F4978" t="s">
        <v>295</v>
      </c>
      <c r="G4978" s="1">
        <v>45288</v>
      </c>
      <c r="H4978" s="1">
        <f>TablaDatos[[#This Row],[FechaIngreso]]+TablaDatos[[#This Row],[DiasNuevo]]</f>
        <v>45294</v>
      </c>
      <c r="I4978">
        <v>6</v>
      </c>
      <c r="J4978" t="s">
        <v>23</v>
      </c>
      <c r="K4978" s="3">
        <v>7682.82</v>
      </c>
      <c r="L4978" t="b">
        <f>TablaDatos[[#This Row],[FechaAlta]] &lt; TablaDatos[[#This Row],[FechaIngreso]]</f>
        <v>0</v>
      </c>
      <c r="M4978">
        <f>_xlfn.XLOOKUP(TablaDatos[[#This Row],[PacienteID]],'Datos_Ejemplo.csv'!A:A,'Datos_Ejemplo.csv'!I:I)</f>
        <v>6</v>
      </c>
      <c r="N4978">
        <f>ABS(TablaDatos[[#This Row],[DiasOriginal]])</f>
        <v>6</v>
      </c>
      <c r="O4978" s="1">
        <f>TablaDatos[[#This Row],[FechaIngreso]]+TablaDatos[[#This Row],[DiasNuevo]]</f>
        <v>45294</v>
      </c>
    </row>
    <row r="4979" spans="1:15">
      <c r="A4979">
        <v>4978</v>
      </c>
      <c r="B4979" t="s">
        <v>304</v>
      </c>
      <c r="C4979" s="1">
        <v>23742</v>
      </c>
      <c r="D4979">
        <v>61</v>
      </c>
      <c r="E4979" s="4" t="s">
        <v>15</v>
      </c>
      <c r="F4979" t="s">
        <v>32</v>
      </c>
      <c r="G4979" s="1">
        <v>45127</v>
      </c>
      <c r="H4979" s="1">
        <f>TablaDatos[[#This Row],[FechaIngreso]]+TablaDatos[[#This Row],[DiasNuevo]]</f>
        <v>45134</v>
      </c>
      <c r="I4979">
        <v>7</v>
      </c>
      <c r="J4979" t="s">
        <v>19</v>
      </c>
      <c r="K4979" s="3">
        <v>1924.26</v>
      </c>
      <c r="L4979" t="b">
        <f>TablaDatos[[#This Row],[FechaAlta]] &lt; TablaDatos[[#This Row],[FechaIngreso]]</f>
        <v>0</v>
      </c>
      <c r="M4979">
        <f>_xlfn.XLOOKUP(TablaDatos[[#This Row],[PacienteID]],'Datos_Ejemplo.csv'!A:A,'Datos_Ejemplo.csv'!I:I)</f>
        <v>7</v>
      </c>
      <c r="N4979">
        <f>ABS(TablaDatos[[#This Row],[DiasOriginal]])</f>
        <v>7</v>
      </c>
      <c r="O4979" s="1">
        <f>TablaDatos[[#This Row],[FechaIngreso]]+TablaDatos[[#This Row],[DiasNuevo]]</f>
        <v>45134</v>
      </c>
    </row>
    <row r="4980" spans="1:15">
      <c r="A4980">
        <v>4979</v>
      </c>
      <c r="B4980" t="s">
        <v>326</v>
      </c>
      <c r="C4980" s="1">
        <v>23742</v>
      </c>
      <c r="D4980">
        <v>61</v>
      </c>
      <c r="E4980" s="4" t="s">
        <v>15</v>
      </c>
      <c r="F4980" t="s">
        <v>21</v>
      </c>
      <c r="G4980" s="1">
        <v>45118</v>
      </c>
      <c r="H4980" s="1">
        <f>TablaDatos[[#This Row],[FechaIngreso]]+TablaDatos[[#This Row],[DiasNuevo]]</f>
        <v>45120</v>
      </c>
      <c r="I4980">
        <v>2</v>
      </c>
      <c r="J4980" t="s">
        <v>25</v>
      </c>
      <c r="K4980" s="3">
        <v>7806.83</v>
      </c>
      <c r="L4980" t="b">
        <f>TablaDatos[[#This Row],[FechaAlta]] &lt; TablaDatos[[#This Row],[FechaIngreso]]</f>
        <v>0</v>
      </c>
      <c r="M4980">
        <f>_xlfn.XLOOKUP(TablaDatos[[#This Row],[PacienteID]],'Datos_Ejemplo.csv'!A:A,'Datos_Ejemplo.csv'!I:I)</f>
        <v>-2</v>
      </c>
      <c r="N4980">
        <f>ABS(TablaDatos[[#This Row],[DiasOriginal]])</f>
        <v>2</v>
      </c>
      <c r="O4980" s="1">
        <f>TablaDatos[[#This Row],[FechaIngreso]]+TablaDatos[[#This Row],[DiasNuevo]]</f>
        <v>45120</v>
      </c>
    </row>
    <row r="4981" spans="1:15">
      <c r="A4981">
        <v>4980</v>
      </c>
      <c r="B4981" t="s">
        <v>268</v>
      </c>
      <c r="C4981" s="1">
        <v>32508</v>
      </c>
      <c r="D4981">
        <v>37</v>
      </c>
      <c r="E4981" s="4" t="s">
        <v>12</v>
      </c>
      <c r="F4981" t="s">
        <v>21</v>
      </c>
      <c r="G4981" s="1">
        <v>45267</v>
      </c>
      <c r="H4981" s="1">
        <f>TablaDatos[[#This Row],[FechaIngreso]]+TablaDatos[[#This Row],[DiasNuevo]]</f>
        <v>45272</v>
      </c>
      <c r="I4981">
        <v>5</v>
      </c>
      <c r="J4981" t="s">
        <v>23</v>
      </c>
      <c r="K4981" s="3">
        <v>3089.13</v>
      </c>
      <c r="L4981" t="b">
        <f>TablaDatos[[#This Row],[FechaAlta]] &lt; TablaDatos[[#This Row],[FechaIngreso]]</f>
        <v>0</v>
      </c>
      <c r="M4981">
        <f>_xlfn.XLOOKUP(TablaDatos[[#This Row],[PacienteID]],'Datos_Ejemplo.csv'!A:A,'Datos_Ejemplo.csv'!I:I)</f>
        <v>5</v>
      </c>
      <c r="N4981">
        <f>ABS(TablaDatos[[#This Row],[DiasOriginal]])</f>
        <v>5</v>
      </c>
      <c r="O4981" s="1">
        <f>TablaDatos[[#This Row],[FechaIngreso]]+TablaDatos[[#This Row],[DiasNuevo]]</f>
        <v>45272</v>
      </c>
    </row>
    <row r="4982" spans="1:15">
      <c r="A4982">
        <v>4981</v>
      </c>
      <c r="B4982" t="s">
        <v>290</v>
      </c>
      <c r="C4982" s="1">
        <v>21916</v>
      </c>
      <c r="D4982">
        <v>66</v>
      </c>
      <c r="E4982" s="4" t="s">
        <v>15</v>
      </c>
      <c r="F4982" t="s">
        <v>21</v>
      </c>
      <c r="G4982" s="1">
        <v>45225</v>
      </c>
      <c r="H4982" s="1">
        <f>TablaDatos[[#This Row],[FechaIngreso]]+TablaDatos[[#This Row],[DiasNuevo]]</f>
        <v>45232</v>
      </c>
      <c r="I4982">
        <v>7</v>
      </c>
      <c r="J4982" t="s">
        <v>23</v>
      </c>
      <c r="K4982" s="3">
        <v>7756.12</v>
      </c>
      <c r="L4982" t="b">
        <f>TablaDatos[[#This Row],[FechaAlta]] &lt; TablaDatos[[#This Row],[FechaIngreso]]</f>
        <v>0</v>
      </c>
      <c r="M4982">
        <f>_xlfn.XLOOKUP(TablaDatos[[#This Row],[PacienteID]],'Datos_Ejemplo.csv'!A:A,'Datos_Ejemplo.csv'!I:I)</f>
        <v>7</v>
      </c>
      <c r="N4982">
        <f>ABS(TablaDatos[[#This Row],[DiasOriginal]])</f>
        <v>7</v>
      </c>
      <c r="O4982" s="1">
        <f>TablaDatos[[#This Row],[FechaIngreso]]+TablaDatos[[#This Row],[DiasNuevo]]</f>
        <v>45232</v>
      </c>
    </row>
    <row r="4983" spans="1:15">
      <c r="A4983">
        <v>4982</v>
      </c>
      <c r="B4983" t="s">
        <v>302</v>
      </c>
      <c r="C4983" s="1">
        <f ca="1">DATE(YEAR(TODAY())-TablaDatos[[#This Row],[Edad]],1,1)</f>
        <v>32509</v>
      </c>
      <c r="D4983">
        <v>37</v>
      </c>
      <c r="E4983" s="4" t="s">
        <v>12</v>
      </c>
      <c r="F4983" t="s">
        <v>32</v>
      </c>
      <c r="G4983" s="1">
        <v>45432</v>
      </c>
      <c r="H4983" s="1">
        <f>TablaDatos[[#This Row],[FechaIngreso]]+TablaDatos[[#This Row],[DiasNuevo]]</f>
        <v>45454</v>
      </c>
      <c r="I4983">
        <v>22</v>
      </c>
      <c r="J4983" t="s">
        <v>25</v>
      </c>
      <c r="K4983" s="3">
        <v>5878.25</v>
      </c>
      <c r="L4983" t="b">
        <f>TablaDatos[[#This Row],[FechaAlta]] &lt; TablaDatos[[#This Row],[FechaIngreso]]</f>
        <v>0</v>
      </c>
      <c r="M4983">
        <f>_xlfn.XLOOKUP(TablaDatos[[#This Row],[PacienteID]],'Datos_Ejemplo.csv'!A:A,'Datos_Ejemplo.csv'!I:I)</f>
        <v>22</v>
      </c>
      <c r="N4983">
        <f>ABS(TablaDatos[[#This Row],[DiasOriginal]])</f>
        <v>22</v>
      </c>
      <c r="O4983" s="1">
        <f>TablaDatos[[#This Row],[FechaIngreso]]+TablaDatos[[#This Row],[DiasNuevo]]</f>
        <v>45454</v>
      </c>
    </row>
    <row r="4984" spans="1:15">
      <c r="A4984">
        <v>4983</v>
      </c>
      <c r="B4984" t="s">
        <v>343</v>
      </c>
      <c r="C4984" s="1">
        <v>21916</v>
      </c>
      <c r="D4984">
        <v>66</v>
      </c>
      <c r="E4984" s="4" t="s">
        <v>15</v>
      </c>
      <c r="F4984" t="s">
        <v>21</v>
      </c>
      <c r="G4984" s="1">
        <v>45514</v>
      </c>
      <c r="H4984" s="1">
        <f>TablaDatos[[#This Row],[FechaIngreso]]+TablaDatos[[#This Row],[DiasNuevo]]</f>
        <v>45542</v>
      </c>
      <c r="I4984">
        <v>28</v>
      </c>
      <c r="J4984" t="s">
        <v>23</v>
      </c>
      <c r="K4984" s="3">
        <v>11943.13</v>
      </c>
      <c r="L4984" t="b">
        <f>TablaDatos[[#This Row],[FechaAlta]] &lt; TablaDatos[[#This Row],[FechaIngreso]]</f>
        <v>0</v>
      </c>
      <c r="M4984">
        <f>_xlfn.XLOOKUP(TablaDatos[[#This Row],[PacienteID]],'Datos_Ejemplo.csv'!A:A,'Datos_Ejemplo.csv'!I:I)</f>
        <v>28</v>
      </c>
      <c r="N4984">
        <f>ABS(TablaDatos[[#This Row],[DiasOriginal]])</f>
        <v>28</v>
      </c>
      <c r="O4984" s="1">
        <f>TablaDatos[[#This Row],[FechaIngreso]]+TablaDatos[[#This Row],[DiasNuevo]]</f>
        <v>45542</v>
      </c>
    </row>
    <row r="4985" spans="1:15">
      <c r="A4985">
        <v>4984</v>
      </c>
      <c r="B4985" t="s">
        <v>306</v>
      </c>
      <c r="C4985" s="1">
        <v>12054</v>
      </c>
      <c r="D4985">
        <v>93</v>
      </c>
      <c r="E4985" s="4" t="s">
        <v>12</v>
      </c>
      <c r="F4985" t="s">
        <v>21</v>
      </c>
      <c r="G4985" s="1">
        <v>45066</v>
      </c>
      <c r="H4985" s="1">
        <f>TablaDatos[[#This Row],[FechaIngreso]]+TablaDatos[[#This Row],[DiasNuevo]]</f>
        <v>45102</v>
      </c>
      <c r="I4985">
        <v>36</v>
      </c>
      <c r="J4985" t="s">
        <v>19</v>
      </c>
      <c r="K4985" s="3">
        <v>7166.96</v>
      </c>
      <c r="L4985" t="b">
        <f>TablaDatos[[#This Row],[FechaAlta]] &lt; TablaDatos[[#This Row],[FechaIngreso]]</f>
        <v>0</v>
      </c>
      <c r="M4985">
        <f>_xlfn.XLOOKUP(TablaDatos[[#This Row],[PacienteID]],'Datos_Ejemplo.csv'!A:A,'Datos_Ejemplo.csv'!I:I)</f>
        <v>36</v>
      </c>
      <c r="N4985">
        <f>ABS(TablaDatos[[#This Row],[DiasOriginal]])</f>
        <v>36</v>
      </c>
      <c r="O4985" s="1">
        <f>TablaDatos[[#This Row],[FechaIngreso]]+TablaDatos[[#This Row],[DiasNuevo]]</f>
        <v>45102</v>
      </c>
    </row>
    <row r="4986" spans="1:15">
      <c r="A4986">
        <v>4985</v>
      </c>
      <c r="B4986" t="s">
        <v>325</v>
      </c>
      <c r="C4986" s="1">
        <v>24107</v>
      </c>
      <c r="D4986">
        <v>60</v>
      </c>
      <c r="E4986" s="4" t="s">
        <v>12</v>
      </c>
      <c r="F4986" t="s">
        <v>18</v>
      </c>
      <c r="G4986" s="1">
        <v>45232</v>
      </c>
      <c r="H4986" s="1">
        <f>TablaDatos[[#This Row],[FechaIngreso]]+TablaDatos[[#This Row],[DiasNuevo]]</f>
        <v>45232</v>
      </c>
      <c r="I4986">
        <v>0</v>
      </c>
      <c r="J4986" t="s">
        <v>25</v>
      </c>
      <c r="K4986" s="3">
        <v>14082.35</v>
      </c>
      <c r="L4986" t="b">
        <f>TablaDatos[[#This Row],[FechaAlta]] &lt; TablaDatos[[#This Row],[FechaIngreso]]</f>
        <v>0</v>
      </c>
      <c r="M4986">
        <f>_xlfn.XLOOKUP(TablaDatos[[#This Row],[PacienteID]],'Datos_Ejemplo.csv'!A:A,'Datos_Ejemplo.csv'!I:I)</f>
        <v>0</v>
      </c>
      <c r="N4986">
        <f>ABS(TablaDatos[[#This Row],[DiasOriginal]])</f>
        <v>0</v>
      </c>
      <c r="O4986" s="1">
        <f>TablaDatos[[#This Row],[FechaIngreso]]+TablaDatos[[#This Row],[DiasNuevo]]</f>
        <v>45232</v>
      </c>
    </row>
    <row r="4987" spans="1:15">
      <c r="A4987">
        <v>4986</v>
      </c>
      <c r="B4987" t="s">
        <v>312</v>
      </c>
      <c r="C4987" s="1">
        <v>46022</v>
      </c>
      <c r="D4987">
        <v>0</v>
      </c>
      <c r="E4987" s="4" t="s">
        <v>15</v>
      </c>
      <c r="F4987" t="s">
        <v>261</v>
      </c>
      <c r="G4987" s="1">
        <v>45122</v>
      </c>
      <c r="H4987" s="1">
        <f>TablaDatos[[#This Row],[FechaIngreso]]+TablaDatos[[#This Row],[DiasNuevo]]</f>
        <v>45158</v>
      </c>
      <c r="I4987">
        <v>36</v>
      </c>
      <c r="J4987" t="s">
        <v>19</v>
      </c>
      <c r="K4987" s="3">
        <v>10194.15</v>
      </c>
      <c r="L4987" t="b">
        <f>TablaDatos[[#This Row],[FechaAlta]] &lt; TablaDatos[[#This Row],[FechaIngreso]]</f>
        <v>0</v>
      </c>
      <c r="M4987">
        <f>_xlfn.XLOOKUP(TablaDatos[[#This Row],[PacienteID]],'Datos_Ejemplo.csv'!A:A,'Datos_Ejemplo.csv'!I:I)</f>
        <v>36</v>
      </c>
      <c r="N4987">
        <f>ABS(TablaDatos[[#This Row],[DiasOriginal]])</f>
        <v>36</v>
      </c>
      <c r="O4987" s="1">
        <f>TablaDatos[[#This Row],[FechaIngreso]]+TablaDatos[[#This Row],[DiasNuevo]]</f>
        <v>45158</v>
      </c>
    </row>
    <row r="4988" spans="1:15">
      <c r="A4988">
        <v>4987</v>
      </c>
      <c r="B4988" t="s">
        <v>268</v>
      </c>
      <c r="C4988" s="1">
        <v>12054</v>
      </c>
      <c r="D4988">
        <v>93</v>
      </c>
      <c r="E4988" s="4" t="s">
        <v>12</v>
      </c>
      <c r="F4988" t="s">
        <v>18</v>
      </c>
      <c r="G4988" s="1">
        <v>44987</v>
      </c>
      <c r="H4988" s="1">
        <f>TablaDatos[[#This Row],[FechaIngreso]]+TablaDatos[[#This Row],[DiasNuevo]]</f>
        <v>45022</v>
      </c>
      <c r="I4988">
        <v>35</v>
      </c>
      <c r="J4988" t="s">
        <v>23</v>
      </c>
      <c r="K4988" s="3">
        <v>18381.79</v>
      </c>
      <c r="L4988" t="b">
        <f>TablaDatos[[#This Row],[FechaAlta]] &lt; TablaDatos[[#This Row],[FechaIngreso]]</f>
        <v>0</v>
      </c>
      <c r="M4988">
        <f>_xlfn.XLOOKUP(TablaDatos[[#This Row],[PacienteID]],'Datos_Ejemplo.csv'!A:A,'Datos_Ejemplo.csv'!I:I)</f>
        <v>35</v>
      </c>
      <c r="N4988">
        <f>ABS(TablaDatos[[#This Row],[DiasOriginal]])</f>
        <v>35</v>
      </c>
      <c r="O4988" s="1">
        <f>TablaDatos[[#This Row],[FechaIngreso]]+TablaDatos[[#This Row],[DiasNuevo]]</f>
        <v>45022</v>
      </c>
    </row>
    <row r="4989" spans="1:15">
      <c r="A4989">
        <v>4988</v>
      </c>
      <c r="B4989" t="s">
        <v>342</v>
      </c>
      <c r="C4989" s="1">
        <v>29951</v>
      </c>
      <c r="D4989">
        <v>44</v>
      </c>
      <c r="E4989" s="4" t="s">
        <v>15</v>
      </c>
      <c r="F4989" t="s">
        <v>295</v>
      </c>
      <c r="G4989" s="1">
        <v>45286</v>
      </c>
      <c r="H4989" s="1">
        <f>TablaDatos[[#This Row],[FechaIngreso]]+TablaDatos[[#This Row],[DiasNuevo]]</f>
        <v>45318</v>
      </c>
      <c r="I4989">
        <v>32</v>
      </c>
      <c r="J4989" t="s">
        <v>19</v>
      </c>
      <c r="K4989" s="3">
        <v>1729.61</v>
      </c>
      <c r="L4989" t="b">
        <f>TablaDatos[[#This Row],[FechaAlta]] &lt; TablaDatos[[#This Row],[FechaIngreso]]</f>
        <v>0</v>
      </c>
      <c r="M4989">
        <f>_xlfn.XLOOKUP(TablaDatos[[#This Row],[PacienteID]],'Datos_Ejemplo.csv'!A:A,'Datos_Ejemplo.csv'!I:I)</f>
        <v>32</v>
      </c>
      <c r="N4989">
        <f>ABS(TablaDatos[[#This Row],[DiasOriginal]])</f>
        <v>32</v>
      </c>
      <c r="O4989" s="1">
        <f>TablaDatos[[#This Row],[FechaIngreso]]+TablaDatos[[#This Row],[DiasNuevo]]</f>
        <v>45318</v>
      </c>
    </row>
    <row r="4990" spans="1:15">
      <c r="A4990">
        <v>4989</v>
      </c>
      <c r="B4990" t="s">
        <v>267</v>
      </c>
      <c r="C4990" s="1">
        <v>36161</v>
      </c>
      <c r="D4990">
        <v>27</v>
      </c>
      <c r="E4990" s="4" t="s">
        <v>12</v>
      </c>
      <c r="F4990" t="s">
        <v>295</v>
      </c>
      <c r="G4990" s="1">
        <v>45233</v>
      </c>
      <c r="H4990" s="1">
        <f>TablaDatos[[#This Row],[FechaIngreso]]+TablaDatos[[#This Row],[DiasNuevo]]</f>
        <v>45238</v>
      </c>
      <c r="I4990">
        <v>5</v>
      </c>
      <c r="J4990" t="s">
        <v>23</v>
      </c>
      <c r="K4990" s="3">
        <v>13722.95</v>
      </c>
      <c r="L4990" t="b">
        <f>TablaDatos[[#This Row],[FechaAlta]] &lt; TablaDatos[[#This Row],[FechaIngreso]]</f>
        <v>0</v>
      </c>
      <c r="M4990">
        <f>_xlfn.XLOOKUP(TablaDatos[[#This Row],[PacienteID]],'Datos_Ejemplo.csv'!A:A,'Datos_Ejemplo.csv'!I:I)</f>
        <v>5</v>
      </c>
      <c r="N4990">
        <f>ABS(TablaDatos[[#This Row],[DiasOriginal]])</f>
        <v>5</v>
      </c>
      <c r="O4990" s="1">
        <f>TablaDatos[[#This Row],[FechaIngreso]]+TablaDatos[[#This Row],[DiasNuevo]]</f>
        <v>45238</v>
      </c>
    </row>
    <row r="4991" spans="1:15">
      <c r="A4991">
        <v>4990</v>
      </c>
      <c r="B4991" t="s">
        <v>326</v>
      </c>
      <c r="C4991" s="1">
        <v>38717</v>
      </c>
      <c r="D4991">
        <v>20</v>
      </c>
      <c r="E4991" s="4" t="s">
        <v>12</v>
      </c>
      <c r="F4991" t="s">
        <v>201</v>
      </c>
      <c r="G4991" s="1">
        <v>45406</v>
      </c>
      <c r="H4991" s="1">
        <f>TablaDatos[[#This Row],[FechaIngreso]]+TablaDatos[[#This Row],[DiasNuevo]]</f>
        <v>45408</v>
      </c>
      <c r="I4991">
        <v>2</v>
      </c>
      <c r="J4991" t="s">
        <v>23</v>
      </c>
      <c r="K4991" s="3">
        <v>13415.18</v>
      </c>
      <c r="L4991" t="b">
        <f>TablaDatos[[#This Row],[FechaAlta]] &lt; TablaDatos[[#This Row],[FechaIngreso]]</f>
        <v>0</v>
      </c>
      <c r="M4991">
        <f>_xlfn.XLOOKUP(TablaDatos[[#This Row],[PacienteID]],'Datos_Ejemplo.csv'!A:A,'Datos_Ejemplo.csv'!I:I)</f>
        <v>-2</v>
      </c>
      <c r="N4991">
        <f>ABS(TablaDatos[[#This Row],[DiasOriginal]])</f>
        <v>2</v>
      </c>
      <c r="O4991" s="1">
        <f>TablaDatos[[#This Row],[FechaIngreso]]+TablaDatos[[#This Row],[DiasNuevo]]</f>
        <v>45408</v>
      </c>
    </row>
    <row r="4992" spans="1:15">
      <c r="A4992">
        <v>4991</v>
      </c>
      <c r="B4992" t="s">
        <v>307</v>
      </c>
      <c r="C4992" s="1">
        <v>41639</v>
      </c>
      <c r="D4992">
        <v>12</v>
      </c>
      <c r="E4992" s="4" t="s">
        <v>15</v>
      </c>
      <c r="F4992" t="s">
        <v>13</v>
      </c>
      <c r="G4992" s="1">
        <v>45259</v>
      </c>
      <c r="H4992" s="1">
        <f>TablaDatos[[#This Row],[FechaIngreso]]+TablaDatos[[#This Row],[DiasNuevo]]</f>
        <v>45261</v>
      </c>
      <c r="I4992">
        <v>2</v>
      </c>
      <c r="J4992" t="s">
        <v>23</v>
      </c>
      <c r="K4992" s="3">
        <v>19007.59</v>
      </c>
      <c r="L4992" t="b">
        <f>TablaDatos[[#This Row],[FechaAlta]] &lt; TablaDatos[[#This Row],[FechaIngreso]]</f>
        <v>0</v>
      </c>
      <c r="M4992">
        <f>_xlfn.XLOOKUP(TablaDatos[[#This Row],[PacienteID]],'Datos_Ejemplo.csv'!A:A,'Datos_Ejemplo.csv'!I:I)</f>
        <v>2</v>
      </c>
      <c r="N4992">
        <f>ABS(TablaDatos[[#This Row],[DiasOriginal]])</f>
        <v>2</v>
      </c>
      <c r="O4992" s="1">
        <f>TablaDatos[[#This Row],[FechaIngreso]]+TablaDatos[[#This Row],[DiasNuevo]]</f>
        <v>45261</v>
      </c>
    </row>
    <row r="4993" spans="1:15">
      <c r="A4993">
        <v>4992</v>
      </c>
      <c r="B4993" t="s">
        <v>272</v>
      </c>
      <c r="C4993" s="1">
        <v>36526</v>
      </c>
      <c r="D4993">
        <v>26</v>
      </c>
      <c r="E4993" s="4" t="s">
        <v>15</v>
      </c>
      <c r="F4993" t="s">
        <v>261</v>
      </c>
      <c r="G4993" s="1">
        <v>45009</v>
      </c>
      <c r="H4993" s="1">
        <f>TablaDatos[[#This Row],[FechaIngreso]]+TablaDatos[[#This Row],[DiasNuevo]]</f>
        <v>45033</v>
      </c>
      <c r="I4993">
        <v>24</v>
      </c>
      <c r="J4993" t="s">
        <v>25</v>
      </c>
      <c r="K4993" s="3">
        <v>7368.19</v>
      </c>
      <c r="L4993" t="b">
        <f>TablaDatos[[#This Row],[FechaAlta]] &lt; TablaDatos[[#This Row],[FechaIngreso]]</f>
        <v>0</v>
      </c>
      <c r="M4993">
        <f>_xlfn.XLOOKUP(TablaDatos[[#This Row],[PacienteID]],'Datos_Ejemplo.csv'!A:A,'Datos_Ejemplo.csv'!I:I)</f>
        <v>24</v>
      </c>
      <c r="N4993">
        <f>ABS(TablaDatos[[#This Row],[DiasOriginal]])</f>
        <v>24</v>
      </c>
      <c r="O4993" s="1">
        <f>TablaDatos[[#This Row],[FechaIngreso]]+TablaDatos[[#This Row],[DiasNuevo]]</f>
        <v>45033</v>
      </c>
    </row>
    <row r="4994" spans="1:15">
      <c r="A4994">
        <v>4993</v>
      </c>
      <c r="B4994" t="s">
        <v>341</v>
      </c>
      <c r="C4994" s="1">
        <v>43831</v>
      </c>
      <c r="D4994">
        <v>6</v>
      </c>
      <c r="E4994" s="4" t="s">
        <v>15</v>
      </c>
      <c r="F4994" t="s">
        <v>32</v>
      </c>
      <c r="G4994" s="1">
        <v>45260</v>
      </c>
      <c r="H4994" s="1">
        <f>TablaDatos[[#This Row],[FechaIngreso]]+TablaDatos[[#This Row],[DiasNuevo]]</f>
        <v>45283</v>
      </c>
      <c r="I4994">
        <v>23</v>
      </c>
      <c r="J4994" t="s">
        <v>25</v>
      </c>
      <c r="K4994" s="3">
        <v>6039.3</v>
      </c>
      <c r="L4994" t="b">
        <f>TablaDatos[[#This Row],[FechaAlta]] &lt; TablaDatos[[#This Row],[FechaIngreso]]</f>
        <v>0</v>
      </c>
      <c r="M4994">
        <f>_xlfn.XLOOKUP(TablaDatos[[#This Row],[PacienteID]],'Datos_Ejemplo.csv'!A:A,'Datos_Ejemplo.csv'!I:I)</f>
        <v>23</v>
      </c>
      <c r="N4994">
        <f>ABS(TablaDatos[[#This Row],[DiasOriginal]])</f>
        <v>23</v>
      </c>
      <c r="O4994" s="1">
        <f>TablaDatos[[#This Row],[FechaIngreso]]+TablaDatos[[#This Row],[DiasNuevo]]</f>
        <v>45283</v>
      </c>
    </row>
    <row r="4995" spans="1:15">
      <c r="A4995">
        <v>4994</v>
      </c>
      <c r="B4995" t="s">
        <v>304</v>
      </c>
      <c r="C4995" s="1">
        <v>38352</v>
      </c>
      <c r="D4995">
        <v>21</v>
      </c>
      <c r="E4995" s="4" t="s">
        <v>15</v>
      </c>
      <c r="F4995" t="s">
        <v>18</v>
      </c>
      <c r="G4995" s="1">
        <v>45443</v>
      </c>
      <c r="H4995" s="1">
        <f>TablaDatos[[#This Row],[FechaIngreso]]+TablaDatos[[#This Row],[DiasNuevo]]</f>
        <v>45466</v>
      </c>
      <c r="I4995">
        <v>23</v>
      </c>
      <c r="J4995" t="s">
        <v>23</v>
      </c>
      <c r="K4995" s="3">
        <v>3365.11</v>
      </c>
      <c r="L4995" t="b">
        <f>TablaDatos[[#This Row],[FechaAlta]] &lt; TablaDatos[[#This Row],[FechaIngreso]]</f>
        <v>0</v>
      </c>
      <c r="M4995">
        <f>_xlfn.XLOOKUP(TablaDatos[[#This Row],[PacienteID]],'Datos_Ejemplo.csv'!A:A,'Datos_Ejemplo.csv'!I:I)</f>
        <v>23</v>
      </c>
      <c r="N4995">
        <f>ABS(TablaDatos[[#This Row],[DiasOriginal]])</f>
        <v>23</v>
      </c>
      <c r="O4995" s="1">
        <f>TablaDatos[[#This Row],[FechaIngreso]]+TablaDatos[[#This Row],[DiasNuevo]]</f>
        <v>45466</v>
      </c>
    </row>
    <row r="4996" spans="1:15">
      <c r="A4996">
        <v>4995</v>
      </c>
      <c r="B4996" t="s">
        <v>275</v>
      </c>
      <c r="C4996" s="1">
        <v>19359</v>
      </c>
      <c r="D4996">
        <v>73</v>
      </c>
      <c r="E4996" s="4" t="s">
        <v>12</v>
      </c>
      <c r="F4996" t="s">
        <v>295</v>
      </c>
      <c r="G4996" s="1">
        <v>45400</v>
      </c>
      <c r="H4996" s="1">
        <f>TablaDatos[[#This Row],[FechaIngreso]]+TablaDatos[[#This Row],[DiasNuevo]]</f>
        <v>45408</v>
      </c>
      <c r="I4996">
        <v>8</v>
      </c>
      <c r="J4996" t="s">
        <v>23</v>
      </c>
      <c r="K4996" s="3">
        <v>5232.3</v>
      </c>
      <c r="L4996" t="b">
        <f>TablaDatos[[#This Row],[FechaAlta]] &lt; TablaDatos[[#This Row],[FechaIngreso]]</f>
        <v>0</v>
      </c>
      <c r="M4996">
        <f>_xlfn.XLOOKUP(TablaDatos[[#This Row],[PacienteID]],'Datos_Ejemplo.csv'!A:A,'Datos_Ejemplo.csv'!I:I)</f>
        <v>8</v>
      </c>
      <c r="N4996">
        <f>ABS(TablaDatos[[#This Row],[DiasOriginal]])</f>
        <v>8</v>
      </c>
      <c r="O4996" s="1">
        <f>TablaDatos[[#This Row],[FechaIngreso]]+TablaDatos[[#This Row],[DiasNuevo]]</f>
        <v>45408</v>
      </c>
    </row>
    <row r="4997" spans="1:15">
      <c r="A4997">
        <v>4996</v>
      </c>
      <c r="B4997" t="s">
        <v>260</v>
      </c>
      <c r="C4997" s="1">
        <v>27029</v>
      </c>
      <c r="D4997">
        <v>52</v>
      </c>
      <c r="E4997" s="4" t="s">
        <v>15</v>
      </c>
      <c r="F4997" t="s">
        <v>32</v>
      </c>
      <c r="G4997" s="1">
        <v>45320</v>
      </c>
      <c r="H4997" s="1">
        <f>TablaDatos[[#This Row],[FechaIngreso]]+TablaDatos[[#This Row],[DiasNuevo]]</f>
        <v>45351</v>
      </c>
      <c r="I4997">
        <v>31</v>
      </c>
      <c r="J4997" t="s">
        <v>23</v>
      </c>
      <c r="K4997" s="3">
        <v>9988</v>
      </c>
      <c r="L4997" t="b">
        <f>TablaDatos[[#This Row],[FechaAlta]] &lt; TablaDatos[[#This Row],[FechaIngreso]]</f>
        <v>0</v>
      </c>
      <c r="M4997">
        <f>_xlfn.XLOOKUP(TablaDatos[[#This Row],[PacienteID]],'Datos_Ejemplo.csv'!A:A,'Datos_Ejemplo.csv'!I:I)</f>
        <v>31</v>
      </c>
      <c r="N4997">
        <f>ABS(TablaDatos[[#This Row],[DiasOriginal]])</f>
        <v>31</v>
      </c>
      <c r="O4997" s="1">
        <f>TablaDatos[[#This Row],[FechaIngreso]]+TablaDatos[[#This Row],[DiasNuevo]]</f>
        <v>45351</v>
      </c>
    </row>
    <row r="4998" spans="1:15">
      <c r="A4998">
        <v>4997</v>
      </c>
      <c r="B4998" t="s">
        <v>263</v>
      </c>
      <c r="C4998" s="1">
        <v>17533</v>
      </c>
      <c r="D4998">
        <v>78</v>
      </c>
      <c r="E4998" s="4" t="s">
        <v>15</v>
      </c>
      <c r="F4998" t="s">
        <v>21</v>
      </c>
      <c r="G4998" s="1">
        <v>45526</v>
      </c>
      <c r="H4998" s="1">
        <f>TablaDatos[[#This Row],[FechaIngreso]]+TablaDatos[[#This Row],[DiasNuevo]]</f>
        <v>45564</v>
      </c>
      <c r="I4998">
        <v>38</v>
      </c>
      <c r="J4998" t="s">
        <v>23</v>
      </c>
      <c r="K4998" s="3">
        <v>16738.03</v>
      </c>
      <c r="L4998" t="b">
        <f>TablaDatos[[#This Row],[FechaAlta]] &lt; TablaDatos[[#This Row],[FechaIngreso]]</f>
        <v>0</v>
      </c>
      <c r="M4998">
        <f>_xlfn.XLOOKUP(TablaDatos[[#This Row],[PacienteID]],'Datos_Ejemplo.csv'!A:A,'Datos_Ejemplo.csv'!I:I)</f>
        <v>38</v>
      </c>
      <c r="N4998">
        <f>ABS(TablaDatos[[#This Row],[DiasOriginal]])</f>
        <v>38</v>
      </c>
      <c r="O4998" s="1">
        <f>TablaDatos[[#This Row],[FechaIngreso]]+TablaDatos[[#This Row],[DiasNuevo]]</f>
        <v>45564</v>
      </c>
    </row>
    <row r="4999" spans="1:15">
      <c r="A4999">
        <v>4998</v>
      </c>
      <c r="B4999" t="s">
        <v>289</v>
      </c>
      <c r="C4999" s="1">
        <v>17533</v>
      </c>
      <c r="D4999">
        <v>78</v>
      </c>
      <c r="E4999" s="4" t="s">
        <v>15</v>
      </c>
      <c r="F4999" t="s">
        <v>32</v>
      </c>
      <c r="G4999" s="1">
        <v>45647</v>
      </c>
      <c r="H4999" s="1">
        <f>TablaDatos[[#This Row],[FechaIngreso]]+TablaDatos[[#This Row],[DiasNuevo]]</f>
        <v>45648</v>
      </c>
      <c r="I4999">
        <v>1</v>
      </c>
      <c r="J4999" t="s">
        <v>23</v>
      </c>
      <c r="K4999" s="3">
        <v>5614.16</v>
      </c>
      <c r="L4999" t="b">
        <f>TablaDatos[[#This Row],[FechaAlta]] &lt; TablaDatos[[#This Row],[FechaIngreso]]</f>
        <v>0</v>
      </c>
      <c r="M4999">
        <f>_xlfn.XLOOKUP(TablaDatos[[#This Row],[PacienteID]],'Datos_Ejemplo.csv'!A:A,'Datos_Ejemplo.csv'!I:I)</f>
        <v>-1</v>
      </c>
      <c r="N4999">
        <f>ABS(TablaDatos[[#This Row],[DiasOriginal]])</f>
        <v>1</v>
      </c>
      <c r="O4999" s="1">
        <f>TablaDatos[[#This Row],[FechaIngreso]]+TablaDatos[[#This Row],[DiasNuevo]]</f>
        <v>45648</v>
      </c>
    </row>
    <row r="5000" spans="1:15">
      <c r="A5000">
        <v>4999</v>
      </c>
      <c r="B5000" t="s">
        <v>238</v>
      </c>
      <c r="C5000" s="1">
        <v>44927</v>
      </c>
      <c r="D5000">
        <v>3</v>
      </c>
      <c r="E5000" s="4" t="s">
        <v>15</v>
      </c>
      <c r="F5000" t="s">
        <v>18</v>
      </c>
      <c r="G5000" s="1">
        <v>45618</v>
      </c>
      <c r="H5000" s="1">
        <f>TablaDatos[[#This Row],[FechaIngreso]]+TablaDatos[[#This Row],[DiasNuevo]]</f>
        <v>45636</v>
      </c>
      <c r="I5000">
        <v>18</v>
      </c>
      <c r="J5000" t="s">
        <v>19</v>
      </c>
      <c r="K5000" s="3">
        <v>3070.62</v>
      </c>
      <c r="L5000" t="b">
        <f>TablaDatos[[#This Row],[FechaAlta]] &lt; TablaDatos[[#This Row],[FechaIngreso]]</f>
        <v>0</v>
      </c>
      <c r="M5000">
        <f>_xlfn.XLOOKUP(TablaDatos[[#This Row],[PacienteID]],'Datos_Ejemplo.csv'!A:A,'Datos_Ejemplo.csv'!I:I)</f>
        <v>18</v>
      </c>
      <c r="N5000">
        <f>ABS(TablaDatos[[#This Row],[DiasOriginal]])</f>
        <v>18</v>
      </c>
      <c r="O5000" s="1">
        <f>TablaDatos[[#This Row],[FechaIngreso]]+TablaDatos[[#This Row],[DiasNuevo]]</f>
        <v>45636</v>
      </c>
    </row>
    <row r="5001" spans="1:15">
      <c r="A5001">
        <v>5000</v>
      </c>
      <c r="B5001" t="s">
        <v>235</v>
      </c>
      <c r="C5001" s="1">
        <v>37987</v>
      </c>
      <c r="D5001">
        <v>22</v>
      </c>
      <c r="E5001" s="4" t="s">
        <v>15</v>
      </c>
      <c r="F5001" t="s">
        <v>261</v>
      </c>
      <c r="G5001" s="1">
        <v>45646</v>
      </c>
      <c r="H5001" s="1">
        <f>TablaDatos[[#This Row],[FechaIngreso]]+TablaDatos[[#This Row],[DiasNuevo]]</f>
        <v>45669</v>
      </c>
      <c r="I5001">
        <v>23</v>
      </c>
      <c r="J5001" t="s">
        <v>23</v>
      </c>
      <c r="K5001" s="3">
        <v>5369.78</v>
      </c>
      <c r="L5001" t="b">
        <f>TablaDatos[[#This Row],[FechaAlta]] &lt; TablaDatos[[#This Row],[FechaIngreso]]</f>
        <v>0</v>
      </c>
      <c r="M5001">
        <f>_xlfn.XLOOKUP(TablaDatos[[#This Row],[PacienteID]],'Datos_Ejemplo.csv'!A:A,'Datos_Ejemplo.csv'!I:I)</f>
        <v>23</v>
      </c>
      <c r="N5001">
        <f>ABS(TablaDatos[[#This Row],[DiasOriginal]])</f>
        <v>23</v>
      </c>
      <c r="O5001" s="1">
        <f>TablaDatos[[#This Row],[FechaIngreso]]+TablaDatos[[#This Row],[DiasNuevo]]</f>
        <v>45669</v>
      </c>
    </row>
    <row r="5002" spans="1:15">
      <c r="A5002" t="s">
        <v>202</v>
      </c>
      <c r="C5002" s="1" t="e">
        <f ca="1">DATE(YEAR(TODAY())-TablaDatos[[#This Row],[Edad]],1,1)</f>
        <v>#VALUE!</v>
      </c>
      <c r="E5002" s="4" t="s">
        <v>197</v>
      </c>
      <c r="F5002" t="s">
        <v>201</v>
      </c>
      <c r="K5002" s="3">
        <f>SUBTOTAL(109,TablaDatos[CostoEstimado_USD])</f>
        <v>49620177.440000065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Datos_Ejemplo.csv</vt:lpstr>
      <vt:lpstr>Errores</vt:lpstr>
      <vt:lpstr>Correcciones</vt:lpstr>
      <vt:lpstr>Datos_Corregidos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rigo</dc:creator>
  <cp:lastModifiedBy>Bryan Rigoberto Bodegas Bodegas</cp:lastModifiedBy>
  <dcterms:created xsi:type="dcterms:W3CDTF">2026-05-04T01:26:38Z</dcterms:created>
  <dcterms:modified xsi:type="dcterms:W3CDTF">2026-05-04T05:02:59Z</dcterms:modified>
</cp:coreProperties>
</file>